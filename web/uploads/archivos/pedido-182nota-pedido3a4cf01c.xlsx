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F0D3E084-C95A-484D-A41F-B75B3015378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NotaPedido'!$A$1:$K$25</definedName>
    <definedName name="_xlnm.Print_Area" localSheetId="2">'Autor Gastar'!$A$1:$Q$20</definedName>
  </definedNames>
  <calcPr calcId="181029"/>
</workbook>
</file>

<file path=xl/calcChain.xml><?xml version="1.0" encoding="utf-8"?>
<calcChain xmlns="http://schemas.openxmlformats.org/spreadsheetml/2006/main">
  <c r="A10" i="3" l="1"/>
  <c r="D7" i="2" l="1"/>
  <c r="K13" i="2" l="1"/>
  <c r="K14" i="2"/>
  <c r="K15" i="2"/>
  <c r="K16" i="2"/>
  <c r="K17" i="2"/>
  <c r="K18" i="2"/>
  <c r="K19" i="2"/>
  <c r="K20" i="2"/>
  <c r="K21" i="2"/>
  <c r="K22" i="2"/>
  <c r="K23" i="2"/>
  <c r="K24" i="2"/>
  <c r="J13" i="2"/>
  <c r="J14" i="2"/>
  <c r="J15" i="2"/>
  <c r="J16" i="2"/>
  <c r="J17" i="2"/>
  <c r="J18" i="2"/>
  <c r="J19" i="2"/>
  <c r="J20" i="2"/>
  <c r="J21" i="2"/>
  <c r="J22" i="2"/>
  <c r="J23" i="2"/>
  <c r="J24" i="2"/>
  <c r="C22" i="2"/>
  <c r="C23" i="2"/>
  <c r="C24" i="2"/>
  <c r="C13" i="2"/>
  <c r="C14" i="2"/>
  <c r="C15" i="2"/>
  <c r="C16" i="2"/>
  <c r="C17" i="2"/>
  <c r="C18" i="2"/>
  <c r="C19" i="2"/>
  <c r="C20" i="2"/>
  <c r="C21" i="2"/>
  <c r="B13" i="2"/>
  <c r="B14" i="2"/>
  <c r="B15" i="2"/>
  <c r="B16" i="2"/>
  <c r="B17" i="2"/>
  <c r="B18" i="2"/>
  <c r="B19" i="2"/>
  <c r="B20" i="2"/>
  <c r="B21" i="2"/>
  <c r="B22" i="2"/>
  <c r="B23" i="2"/>
  <c r="B24" i="2"/>
  <c r="A13" i="2"/>
  <c r="A14" i="2"/>
  <c r="A15" i="2"/>
  <c r="A16" i="2"/>
  <c r="A17" i="2"/>
  <c r="A18" i="2"/>
  <c r="A19" i="2"/>
  <c r="A20" i="2"/>
  <c r="A21" i="2"/>
  <c r="A22" i="2"/>
  <c r="A23" i="2"/>
  <c r="A24" i="2"/>
  <c r="K12" i="2"/>
  <c r="J12" i="2"/>
  <c r="C12" i="2"/>
  <c r="B12" i="2"/>
  <c r="A12" i="2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23" i="1" l="1"/>
  <c r="J23" i="1"/>
  <c r="J25" i="2"/>
  <c r="Q15" i="3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<sst xmlns="http://schemas.openxmlformats.org/spreadsheetml/2006/main" count="168" uniqueCount="101">
  <si>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</si>
  <si>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</si>
  <si>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</si>
  <si>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</si>
  <si>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</si>
  <si>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</si>
  <si>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</si>
  <si>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</si>
  <si>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</si>
  <si>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</si>
  <si>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</si>
  <si>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</si>
  <si>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</si>
  <si>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</si>
  <si>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</si>
  <si>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</si>
  <si>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</si>
  <si>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</si>
  <si>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</si>
  <si>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</si>
  <si>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</si>
  <si>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</si>
  <si>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</si>
  <si>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</si>
  <si>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</si>
  <si>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</si>
  <si>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</si>
  <si>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</si>
  <si>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</si>
  <si>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</si>
  <si>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</si>
  <si>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</si>
  <si>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</si>
  <si>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</si>
  <si>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</si>
  <si>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</si>
  <si>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</si>
  <si>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</si>
  <si>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</si>
  <si>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</si>
  <si>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</si>
  <si>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</si>
  <si>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</si>
  <si>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</si>
  <si>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</si>
  <si>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</si>
  <si>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</si>
  <si>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</si>
  <si>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</si>
  <si>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</si>
  <si>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</si>
  <si>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</si>
  <si>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</si>
  <si>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</si>
  <si>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</si>
  <si>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</si>
  <si>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7 - Direccion de Administracion de la Policia de la Provincia de Catamarca</t>
  </si>
  <si>
    <t>Policía de la Provincia de Catamarca</t>
  </si>
  <si>
    <t>NO</t>
  </si>
  <si>
    <t>1.1</t>
  </si>
  <si>
    <t>Especificidades de todos los Items.</t>
  </si>
  <si>
    <t>ELEMENTOS DE LIMPIEZA</t>
  </si>
  <si>
    <t>2.9.1-683.5</t>
  </si>
  <si>
    <t>SECADORES DE GOMA; LARGO: 40 Cm, COLOR: NEGRO</t>
  </si>
  <si>
    <t>Adquisición de elementos de limpieza destinados a dependencias policiales.</t>
  </si>
  <si>
    <t xml:space="preserve">
</t>
  </si>
  <si>
    <t>Adquisición de elementos de limpieza destinados a dependencias policiales.-</t>
  </si>
  <si>
    <t>2.9.1-6951.30</t>
  </si>
  <si>
    <t>2.9.1</t>
  </si>
  <si>
    <t>LIMPIADORES; TIPO: LAVANDINA, PRESENTACION: ENVASE X 5 L</t>
  </si>
  <si>
    <t>2.9.1-6951.306</t>
  </si>
  <si>
    <t>LIMPIADORES; TIPO: DETERGENTE, PRESENTACION: ENVASE X 900 mL, BIODEGRADABLE: SI</t>
  </si>
  <si>
    <t>2.9.1-6952.31</t>
  </si>
  <si>
    <t>CEPILLOS; TIPO: ESCOBILLON, MATERIAL: CERDA</t>
  </si>
  <si>
    <t>2.9.1-713.8</t>
  </si>
  <si>
    <t>TRAPOS DE PISO; DIMENSION: 40 X 50 Cm, COLOR: SIN VALOR</t>
  </si>
  <si>
    <t>2.9.1-678.7</t>
  </si>
  <si>
    <t>TRAPOS REJILLA; DIMENSION: 40 X 50 Cm, COLOR: SIN VALOR, MATERIAL: ALGODON</t>
  </si>
  <si>
    <t>2.9.1-714.2</t>
  </si>
  <si>
    <t>FRANELAS; DIMENSION: 50 X 50 Cm</t>
  </si>
  <si>
    <t>2.9.1-646.16</t>
  </si>
  <si>
    <t>BOLSAS DE RESIDUOS; COLOR: OBSCURO, ESPESOR: 30 Mn, DIMENSION: 45 X 60 Cm, PRESENTACION: SIN VALOR</t>
  </si>
  <si>
    <t>2.9.1-544.73</t>
  </si>
  <si>
    <t>DESODORANTES DE AMBIENTE; FORMATO: AEROSOL, FRAGANCIA: LAVANDA, PRESENTACION: ENVASE X 360 CM3, LIBRE DE CFC: SI</t>
  </si>
  <si>
    <t>2.9.1-6950.30</t>
  </si>
  <si>
    <t>LUSTRADORES; TIPO: LUSTRAMUEBLES, PRESENTACION: AEROSOL X 360 CM3</t>
  </si>
  <si>
    <t>2.9.1-564.22</t>
  </si>
  <si>
    <t>BALDES DE PLASTICO; CAPACIDAD: 11 L</t>
  </si>
  <si>
    <t>2.9.1-6961.6</t>
  </si>
  <si>
    <t>ELEM. P/LIMPIEZA SANITARIOS; TIPO: PASTILLA DESODORANTE, PRESENTACION: UNIDAD</t>
  </si>
  <si>
    <t>2.9.1-6956.78</t>
  </si>
  <si>
    <t>ARTICULOS DE TOCADOR; TIPO: JABON LIQUIDO, PRESENTACION: ENVASE X 295 mL</t>
  </si>
  <si>
    <t>30 dias</t>
  </si>
  <si>
    <t>*</t>
  </si>
  <si>
    <t>10/2021</t>
  </si>
  <si>
    <r>
      <t xml:space="preserve">Que Cumpla con lo Solicitado de Forma Integra. </t>
    </r>
    <r>
      <rPr>
        <b/>
        <u/>
        <sz val="10"/>
        <rFont val="Century Gothic"/>
        <family val="2"/>
      </rPr>
      <t xml:space="preserve">Presentar Muestras, </t>
    </r>
    <r>
      <rPr>
        <sz val="10"/>
        <rFont val="Century Gothic"/>
        <family val="2"/>
      </rPr>
      <t>La recepción de las muestras se realizará en el Departamento Logística (D-4) de la Policía de Catamarca, hasta momentos antes de la apertura, sito en Av. Felix Avellaneda, RP Nº 33, Km 2, Sumalao - Valle Viejo. Provincia de Catamarca.
c.3) Debidamente rotuladas por ítems e identificando claramente el oferente cotizante. No se aceptaran muestras distintas a lo cotizado.</t>
    </r>
  </si>
  <si>
    <r>
      <t>AUTORIZACIÓN</t>
    </r>
    <r>
      <rPr>
        <b/>
        <sz val="10"/>
        <rFont val="Century Gothic"/>
        <family val="2"/>
      </rPr>
      <t>:</t>
    </r>
  </si>
  <si>
    <t>División Intendencia - Departamento Logística (D-4)</t>
  </si>
  <si>
    <t>Costo total estimado: PESOS UN MILLON NOVECIENTOS NOVENTA Y OCHO MIL CON 00/100.-</t>
  </si>
  <si>
    <t>TOTAL DE PESOS:  UN MILLON NOVECIENTOS NOVENTA Y OCHO MIL CON 00/100.-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</si>
  <si>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 Reglamento Parcial N° 2 de la ley 4938.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</si>
</sst>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\ #,##0;[Red]&quot;$&quot;\ \-#,##0"/>
    <numFmt numFmtId="165" formatCode="&quot;$&quot;\ #,##0.00;[Red]&quot;$&quot;\ \-#,##0.00"/>
    <numFmt numFmtId="166" formatCode="_ &quot;$&quot;\ * #,##0.00_ ;_ &quot;$&quot;\ * \-#,##0.00_ ;_ &quot;$&quot;\ * &quot;-&quot;??_ ;_ @_ "/>
    <numFmt numFmtId="167" formatCode="_(\$* #,##0.00_);_(\$* \(#,##0.00\);_(\$* \-??_);_(@_)"/>
    <numFmt numFmtId="168" formatCode="_-* #,##0.00&quot; €&quot;_-;\-* #,##0.00&quot; €&quot;_-;_-* \-??&quot; €&quot;_-;_-@_-"/>
    <numFmt numFmtId="169" formatCode="[$$-2C0A]\ #,##0.00;[$$-2C0A]&quot; -&quot;#,##0.00"/>
    <numFmt numFmtId="170" formatCode="[$$-2C0A]\ #,##0.00"/>
    <numFmt numFmtId="171" formatCode="dd\-mm\-yy;@"/>
    <numFmt numFmtId="172" formatCode="_ [$$-2C0A]\ * #,##0.00_ ;_ [$$-2C0A]\ * \-#,##0.00_ ;_ [$$-2C0A]\ * &quot;-&quot;??_ ;_ @_ "/>
  </numFmts>
  <fonts count="2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10.5"/>
      <color theme="1"/>
      <name val="Century Gothic"/>
      <family val="2"/>
    </font>
    <font>
      <sz val="12"/>
      <color theme="1"/>
      <name val="Century Gothic"/>
      <family val="2"/>
    </font>
    <font>
      <b/>
      <sz val="1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sz val="11"/>
      <name val="Century Gothic"/>
      <family val="2"/>
    </font>
    <font>
      <sz val="10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168" fontId="4" fillId="0" borderId="0" applyBorder="0" applyProtection="0"/>
    <xf numFmtId="0" fontId="1" fillId="0" borderId="1" applyProtection="0"/>
    <xf numFmtId="167" fontId="2" fillId="0" borderId="0" applyBorder="0" applyProtection="0"/>
    <xf numFmtId="0" fontId="3" fillId="2" borderId="0" applyBorder="0" applyProtection="0"/>
  </cellStyleXfs>
  <cellXfs count="143">
    <xf numFmtId="0" fontId="0" fillId="0" borderId="0" xfId="0"/>
    <xf numFmtId="0" fontId="7" fillId="3" borderId="0" xfId="0" applyFont="1" applyFill="1" applyAlignment="1">
      <alignment horizontal="center" vertical="center"/>
    </xf>
    <xf numFmtId="172" fontId="7" fillId="3" borderId="0" xfId="0" applyNumberFormat="1" applyFont="1" applyFill="1" applyAlignment="1">
      <alignment horizontal="center" vertical="center"/>
    </xf>
    <xf numFmtId="0" fontId="7" fillId="3" borderId="0" xfId="0" applyFont="1" applyFill="1"/>
    <xf numFmtId="0" fontId="14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left" wrapText="1"/>
    </xf>
    <xf numFmtId="0" fontId="14" fillId="3" borderId="0" xfId="0" applyFont="1" applyFill="1" applyAlignment="1">
      <alignment horizontal="left" wrapText="1"/>
    </xf>
    <xf numFmtId="0" fontId="15" fillId="3" borderId="48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left" vertical="center" wrapText="1"/>
    </xf>
    <xf numFmtId="172" fontId="15" fillId="3" borderId="48" xfId="0" applyNumberFormat="1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6" fillId="3" borderId="49" xfId="0" applyFont="1" applyFill="1" applyBorder="1" applyAlignment="1">
      <alignment horizontal="center" vertical="center"/>
    </xf>
    <xf numFmtId="0" fontId="7" fillId="3" borderId="50" xfId="0" applyFont="1" applyFill="1" applyBorder="1" applyAlignment="1">
      <alignment vertical="center" wrapText="1"/>
    </xf>
    <xf numFmtId="49" fontId="7" fillId="3" borderId="50" xfId="0" applyNumberFormat="1" applyFont="1" applyFill="1" applyBorder="1"/>
    <xf numFmtId="49" fontId="7" fillId="3" borderId="50" xfId="0" applyNumberFormat="1" applyFont="1" applyFill="1" applyBorder="1" applyAlignment="1">
      <alignment wrapText="1"/>
    </xf>
    <xf numFmtId="0" fontId="17" fillId="3" borderId="50" xfId="0" applyFont="1" applyFill="1" applyBorder="1" applyAlignment="1">
      <alignment horizontal="center" vertical="center" wrapText="1"/>
    </xf>
    <xf numFmtId="164" fontId="16" fillId="3" borderId="50" xfId="0" applyNumberFormat="1" applyFont="1" applyFill="1" applyBorder="1" applyAlignment="1">
      <alignment horizontal="center" vertical="center"/>
    </xf>
    <xf numFmtId="166" fontId="16" fillId="3" borderId="51" xfId="1" applyNumberFormat="1" applyFont="1" applyFill="1" applyBorder="1"/>
    <xf numFmtId="0" fontId="16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 wrapText="1"/>
    </xf>
    <xf numFmtId="49" fontId="7" fillId="3" borderId="3" xfId="0" applyNumberFormat="1" applyFont="1" applyFill="1" applyBorder="1"/>
    <xf numFmtId="49" fontId="7" fillId="3" borderId="3" xfId="0" applyNumberFormat="1" applyFont="1" applyFill="1" applyBorder="1" applyAlignment="1">
      <alignment wrapText="1"/>
    </xf>
    <xf numFmtId="0" fontId="17" fillId="3" borderId="3" xfId="0" applyFont="1" applyFill="1" applyBorder="1" applyAlignment="1">
      <alignment horizontal="center" vertical="center" wrapText="1"/>
    </xf>
    <xf numFmtId="165" fontId="16" fillId="3" borderId="3" xfId="0" applyNumberFormat="1" applyFont="1" applyFill="1" applyBorder="1" applyAlignment="1">
      <alignment horizontal="center" vertical="center"/>
    </xf>
    <xf numFmtId="166" fontId="16" fillId="3" borderId="4" xfId="1" applyNumberFormat="1" applyFont="1" applyFill="1" applyBorder="1"/>
    <xf numFmtId="49" fontId="7" fillId="3" borderId="3" xfId="0" applyNumberFormat="1" applyFont="1" applyFill="1" applyBorder="1" applyAlignment="1">
      <alignment vertical="center"/>
    </xf>
    <xf numFmtId="49" fontId="16" fillId="3" borderId="3" xfId="0" applyNumberFormat="1" applyFont="1" applyFill="1" applyBorder="1" applyAlignment="1">
      <alignment vertical="center"/>
    </xf>
    <xf numFmtId="0" fontId="16" fillId="3" borderId="3" xfId="0" applyFont="1" applyFill="1" applyBorder="1" applyAlignment="1">
      <alignment horizontal="center" vertical="center" wrapText="1"/>
    </xf>
    <xf numFmtId="166" fontId="16" fillId="3" borderId="4" xfId="1" applyNumberFormat="1" applyFont="1" applyFill="1" applyBorder="1" applyAlignment="1"/>
    <xf numFmtId="0" fontId="7" fillId="3" borderId="0" xfId="0" applyFont="1" applyFill="1" applyAlignment="1">
      <alignment horizontal="left"/>
    </xf>
    <xf numFmtId="0" fontId="19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/>
    </xf>
    <xf numFmtId="0" fontId="19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6" xfId="0" applyFont="1" applyFill="1" applyBorder="1"/>
    <xf numFmtId="0" fontId="7" fillId="3" borderId="7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left" wrapText="1"/>
    </xf>
    <xf numFmtId="0" fontId="19" fillId="3" borderId="10" xfId="0" applyFont="1" applyFill="1" applyBorder="1" applyAlignment="1">
      <alignment horizontal="center" vertical="center"/>
    </xf>
    <xf numFmtId="3" fontId="9" fillId="3" borderId="0" xfId="0" applyNumberFormat="1" applyFont="1" applyFill="1" applyBorder="1" applyAlignment="1"/>
    <xf numFmtId="171" fontId="7" fillId="3" borderId="0" xfId="0" applyNumberFormat="1" applyFont="1" applyFill="1" applyAlignment="1">
      <alignment horizontal="left"/>
    </xf>
    <xf numFmtId="0" fontId="7" fillId="3" borderId="13" xfId="0" applyFont="1" applyFill="1" applyBorder="1"/>
    <xf numFmtId="0" fontId="7" fillId="3" borderId="27" xfId="0" applyFont="1" applyFill="1" applyBorder="1"/>
    <xf numFmtId="0" fontId="7" fillId="3" borderId="15" xfId="0" applyFont="1" applyFill="1" applyBorder="1"/>
    <xf numFmtId="0" fontId="7" fillId="3" borderId="15" xfId="0" applyFont="1" applyFill="1" applyBorder="1" applyAlignment="1">
      <alignment horizontal="left"/>
    </xf>
    <xf numFmtId="0" fontId="7" fillId="3" borderId="28" xfId="0" applyFont="1" applyFill="1" applyBorder="1"/>
    <xf numFmtId="0" fontId="18" fillId="3" borderId="30" xfId="0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left" vertical="center"/>
    </xf>
    <xf numFmtId="0" fontId="18" fillId="3" borderId="32" xfId="0" applyFont="1" applyFill="1" applyBorder="1" applyAlignment="1">
      <alignment horizontal="center" vertical="center"/>
    </xf>
    <xf numFmtId="0" fontId="18" fillId="3" borderId="26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169" fontId="7" fillId="3" borderId="36" xfId="3" applyNumberFormat="1" applyFont="1" applyFill="1" applyBorder="1" applyAlignment="1" applyProtection="1">
      <alignment horizontal="center" vertical="center"/>
    </xf>
    <xf numFmtId="169" fontId="18" fillId="3" borderId="37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right" vertical="center"/>
    </xf>
    <xf numFmtId="49" fontId="6" fillId="3" borderId="14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46" xfId="0" applyFont="1" applyFill="1" applyBorder="1"/>
    <xf numFmtId="0" fontId="7" fillId="3" borderId="45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 wrapText="1"/>
    </xf>
    <xf numFmtId="172" fontId="7" fillId="3" borderId="45" xfId="1" applyNumberFormat="1" applyFont="1" applyFill="1" applyBorder="1" applyAlignment="1" applyProtection="1">
      <alignment horizontal="center" vertical="center"/>
    </xf>
    <xf numFmtId="3" fontId="7" fillId="3" borderId="45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172" fontId="7" fillId="3" borderId="0" xfId="0" applyNumberFormat="1" applyFont="1" applyFill="1" applyBorder="1" applyAlignment="1">
      <alignment vertical="center"/>
    </xf>
    <xf numFmtId="172" fontId="22" fillId="3" borderId="0" xfId="0" applyNumberFormat="1" applyFont="1" applyFill="1"/>
    <xf numFmtId="172" fontId="18" fillId="3" borderId="41" xfId="0" applyNumberFormat="1" applyFont="1" applyFill="1" applyBorder="1" applyAlignment="1">
      <alignment horizontal="center" vertical="center"/>
    </xf>
    <xf numFmtId="0" fontId="16" fillId="3" borderId="52" xfId="0" applyFont="1" applyFill="1" applyBorder="1" applyAlignment="1">
      <alignment horizontal="center" vertical="center"/>
    </xf>
    <xf numFmtId="49" fontId="7" fillId="3" borderId="53" xfId="0" applyNumberFormat="1" applyFont="1" applyFill="1" applyBorder="1" applyAlignment="1">
      <alignment vertical="center"/>
    </xf>
    <xf numFmtId="49" fontId="7" fillId="3" borderId="53" xfId="0" applyNumberFormat="1" applyFont="1" applyFill="1" applyBorder="1"/>
    <xf numFmtId="49" fontId="7" fillId="3" borderId="53" xfId="0" applyNumberFormat="1" applyFont="1" applyFill="1" applyBorder="1" applyAlignment="1">
      <alignment wrapText="1"/>
    </xf>
    <xf numFmtId="0" fontId="16" fillId="3" borderId="53" xfId="0" applyFont="1" applyFill="1" applyBorder="1" applyAlignment="1">
      <alignment horizontal="center" vertical="center" wrapText="1"/>
    </xf>
    <xf numFmtId="165" fontId="16" fillId="3" borderId="53" xfId="0" applyNumberFormat="1" applyFont="1" applyFill="1" applyBorder="1" applyAlignment="1">
      <alignment horizontal="center" vertical="center"/>
    </xf>
    <xf numFmtId="166" fontId="16" fillId="3" borderId="54" xfId="1" applyNumberFormat="1" applyFont="1" applyFill="1" applyBorder="1" applyAlignment="1">
      <alignment vertical="center"/>
    </xf>
    <xf numFmtId="49" fontId="0" fillId="3" borderId="0" xfId="0" applyNumberFormat="1" applyFill="1" applyBorder="1"/>
    <xf numFmtId="0" fontId="0" fillId="3" borderId="0" xfId="0" applyFill="1" applyBorder="1"/>
    <xf numFmtId="0" fontId="11" fillId="3" borderId="0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left" wrapText="1" indent="1"/>
    </xf>
    <xf numFmtId="0" fontId="7" fillId="3" borderId="0" xfId="0" applyFont="1" applyFill="1" applyBorder="1" applyAlignment="1">
      <alignment horizontal="left" wrapText="1"/>
    </xf>
    <xf numFmtId="0" fontId="7" fillId="3" borderId="9" xfId="0" applyFont="1" applyFill="1" applyBorder="1" applyAlignment="1">
      <alignment horizontal="left" wrapText="1"/>
    </xf>
    <xf numFmtId="0" fontId="7" fillId="3" borderId="1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49" fontId="10" fillId="3" borderId="3" xfId="0" applyNumberFormat="1" applyFont="1" applyFill="1" applyBorder="1" applyAlignment="1">
      <alignment horizontal="left" wrapText="1"/>
    </xf>
    <xf numFmtId="0" fontId="10" fillId="3" borderId="3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left" vertical="center" wrapText="1"/>
    </xf>
    <xf numFmtId="170" fontId="6" fillId="3" borderId="41" xfId="0" applyNumberFormat="1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left" vertical="center" wrapText="1" indent="1"/>
    </xf>
    <xf numFmtId="0" fontId="9" fillId="3" borderId="19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 wrapText="1"/>
    </xf>
    <xf numFmtId="0" fontId="9" fillId="3" borderId="47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left" vertical="center"/>
    </xf>
    <xf numFmtId="0" fontId="6" fillId="3" borderId="41" xfId="0" applyFont="1" applyFill="1" applyBorder="1" applyAlignment="1">
      <alignment horizontal="left" vertical="center" wrapText="1" indent="1"/>
    </xf>
    <xf numFmtId="0" fontId="7" fillId="3" borderId="22" xfId="0" applyFont="1" applyFill="1" applyBorder="1" applyAlignment="1">
      <alignment horizontal="center"/>
    </xf>
    <xf numFmtId="3" fontId="9" fillId="3" borderId="23" xfId="0" applyNumberFormat="1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/>
    <xf numFmtId="0" fontId="21" fillId="3" borderId="14" xfId="0" applyFont="1" applyFill="1" applyBorder="1" applyAlignment="1">
      <alignment horizontal="left" indent="1"/>
    </xf>
    <xf numFmtId="0" fontId="7" fillId="3" borderId="16" xfId="0" applyFont="1" applyFill="1" applyBorder="1" applyAlignment="1">
      <alignment horizontal="left" vertical="center" wrapText="1"/>
    </xf>
    <xf numFmtId="0" fontId="7" fillId="3" borderId="39" xfId="0" applyFont="1" applyFill="1" applyBorder="1" applyAlignment="1">
      <alignment horizontal="left" vertical="center" wrapText="1"/>
    </xf>
    <xf numFmtId="0" fontId="7" fillId="3" borderId="40" xfId="0" applyFont="1" applyFill="1" applyBorder="1" applyAlignment="1">
      <alignment horizontal="left" vertical="center" wrapText="1"/>
    </xf>
    <xf numFmtId="0" fontId="20" fillId="3" borderId="14" xfId="0" applyFont="1" applyFill="1" applyBorder="1" applyAlignment="1">
      <alignment horizontal="left"/>
    </xf>
    <xf numFmtId="0" fontId="21" fillId="3" borderId="25" xfId="0" applyFont="1" applyFill="1" applyBorder="1"/>
    <xf numFmtId="0" fontId="21" fillId="3" borderId="26" xfId="0" applyFont="1" applyFill="1" applyBorder="1" applyAlignment="1">
      <alignment horizontal="left" vertical="center" wrapText="1" indent="1"/>
    </xf>
    <xf numFmtId="0" fontId="18" fillId="3" borderId="24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24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left" vertical="center" wrapText="1"/>
    </xf>
    <xf numFmtId="0" fontId="7" fillId="3" borderId="42" xfId="0" applyFont="1" applyFill="1" applyBorder="1" applyAlignment="1">
      <alignment horizontal="left" vertical="center" wrapText="1"/>
    </xf>
    <xf numFmtId="0" fontId="9" fillId="3" borderId="22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20" xfId="0" applyFont="1" applyFill="1" applyBorder="1" applyAlignment="1">
      <alignment vertical="center" wrapText="1"/>
    </xf>
    <xf numFmtId="0" fontId="21" fillId="3" borderId="29" xfId="0" applyFont="1" applyFill="1" applyBorder="1" applyAlignment="1">
      <alignment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1" fillId="3" borderId="28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>
      <alignment horizontal="left" vertical="center" wrapText="1"/>
    </xf>
    <xf numFmtId="0" fontId="18" fillId="3" borderId="18" xfId="0" applyFont="1" applyFill="1" applyBorder="1" applyAlignment="1">
      <alignment vertical="center"/>
    </xf>
    <xf numFmtId="0" fontId="18" fillId="3" borderId="43" xfId="0" applyFont="1" applyFill="1" applyBorder="1" applyAlignment="1">
      <alignment vertical="center"/>
    </xf>
    <xf numFmtId="0" fontId="18" fillId="3" borderId="29" xfId="0" applyFont="1" applyFill="1" applyBorder="1" applyAlignment="1">
      <alignment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2"/>
  <sheetViews>
    <sheetView tabSelected="1" zoomScale="70" zoomScaleNormal="70" workbookViewId="0">
      <selection activeCell="E14" sqref="E14"/>
    </sheetView>
  </sheetViews>
  <sheetFormatPr baseColWidth="10" defaultColWidth="11" defaultRowHeight="13.5" x14ac:dyDescent="0.25"/>
  <cols>
    <col min="1" max="1" width="7.140625" style="1" customWidth="1"/>
    <col min="2" max="2" width="21" style="1" customWidth="1"/>
    <col min="3" max="3" width="29" style="1" customWidth="1"/>
    <col min="4" max="4" width="8.42578125" style="3" customWidth="1"/>
    <col min="5" max="5" width="116.7109375" style="30" customWidth="1"/>
    <col min="6" max="6" width="11" style="1"/>
    <col min="7" max="7" width="12.7109375" style="1" customWidth="1"/>
    <col min="8" max="8" width="13.85546875" style="1" customWidth="1"/>
    <col min="9" max="9" width="18.5703125" style="2" customWidth="1"/>
    <col min="10" max="10" width="14.5703125" style="3" bestFit="1" customWidth="1"/>
    <col min="11" max="11" width="12.85546875" style="3" bestFit="1" customWidth="1"/>
    <col min="12" max="16384" width="11" style="3"/>
  </cols>
  <sheetData>
    <row r="2" spans="1:9" ht="28.5" x14ac:dyDescent="0.4">
      <c r="B2" s="89" t="s">
        <v>0</v>
      </c>
      <c r="C2" s="89"/>
      <c r="D2" s="89"/>
      <c r="E2" s="89"/>
      <c r="F2" s="89"/>
      <c r="G2" s="89"/>
      <c r="H2" s="89"/>
    </row>
    <row r="4" spans="1:9" ht="15.75" x14ac:dyDescent="0.25">
      <c r="A4" s="90" t="s">
        <v>1</v>
      </c>
      <c r="B4" s="90"/>
      <c r="C4" s="91" t="s">
        <v>55</v>
      </c>
      <c r="D4" s="91"/>
      <c r="E4" s="91"/>
      <c r="F4" s="4"/>
      <c r="G4" s="4"/>
      <c r="H4" s="4"/>
    </row>
    <row r="5" spans="1:9" ht="15.75" x14ac:dyDescent="0.25">
      <c r="A5" s="90" t="s">
        <v>2</v>
      </c>
      <c r="B5" s="90"/>
      <c r="C5" s="91" t="s">
        <v>56</v>
      </c>
      <c r="D5" s="91"/>
      <c r="E5" s="91"/>
      <c r="F5" s="4"/>
      <c r="G5" s="4"/>
      <c r="H5" s="4"/>
    </row>
    <row r="6" spans="1:9" ht="15" x14ac:dyDescent="0.25">
      <c r="A6" s="90" t="s">
        <v>3</v>
      </c>
      <c r="B6" s="90"/>
      <c r="C6" s="5">
        <v>2021</v>
      </c>
      <c r="D6" s="6"/>
      <c r="E6" s="6"/>
      <c r="F6" s="4"/>
      <c r="G6" s="4"/>
      <c r="H6" s="4"/>
    </row>
    <row r="7" spans="1:9" ht="15" x14ac:dyDescent="0.25">
      <c r="A7" s="90" t="s">
        <v>4</v>
      </c>
      <c r="B7" s="90"/>
      <c r="C7" s="5">
        <v>1</v>
      </c>
      <c r="D7" s="6"/>
      <c r="E7" s="6"/>
      <c r="F7" s="4"/>
      <c r="G7" s="4"/>
      <c r="H7" s="4"/>
    </row>
    <row r="8" spans="1:9" ht="14.25" thickBot="1" x14ac:dyDescent="0.3">
      <c r="B8" s="4"/>
      <c r="C8" s="4"/>
      <c r="D8" s="7"/>
      <c r="E8" s="7"/>
      <c r="F8" s="4"/>
      <c r="G8" s="4"/>
      <c r="H8" s="4"/>
    </row>
    <row r="9" spans="1:9" s="11" customFormat="1" ht="39.75" thickTop="1" thickBot="1" x14ac:dyDescent="0.3">
      <c r="A9" s="8" t="s">
        <v>5</v>
      </c>
      <c r="B9" s="8" t="s">
        <v>6</v>
      </c>
      <c r="C9" s="8" t="s">
        <v>7</v>
      </c>
      <c r="D9" s="8" t="s">
        <v>8</v>
      </c>
      <c r="E9" s="9" t="s">
        <v>9</v>
      </c>
      <c r="F9" s="8" t="s">
        <v>10</v>
      </c>
      <c r="G9" s="8" t="s">
        <v>11</v>
      </c>
      <c r="H9" s="8" t="s">
        <v>12</v>
      </c>
      <c r="I9" s="10" t="s">
        <v>13</v>
      </c>
    </row>
    <row r="10" spans="1:9" ht="29.25" customHeight="1" x14ac:dyDescent="0.3">
      <c r="A10" s="12">
        <v>1</v>
      </c>
      <c r="B10" s="13" t="s">
        <v>67</v>
      </c>
      <c r="C10" s="14" t="s">
        <v>61</v>
      </c>
      <c r="D10" s="14" t="s">
        <v>68</v>
      </c>
      <c r="E10" s="15" t="s">
        <v>69</v>
      </c>
      <c r="F10" s="15" t="s">
        <v>14</v>
      </c>
      <c r="G10" s="16">
        <v>2500</v>
      </c>
      <c r="H10" s="17">
        <v>210</v>
      </c>
      <c r="I10" s="18">
        <f>H10*G10</f>
        <v>525000</v>
      </c>
    </row>
    <row r="11" spans="1:9" ht="29.25" customHeight="1" x14ac:dyDescent="0.3">
      <c r="A11" s="19">
        <v>2</v>
      </c>
      <c r="B11" s="20" t="s">
        <v>70</v>
      </c>
      <c r="C11" s="21" t="s">
        <v>61</v>
      </c>
      <c r="D11" s="21" t="s">
        <v>68</v>
      </c>
      <c r="E11" s="22" t="s">
        <v>71</v>
      </c>
      <c r="F11" s="22" t="s">
        <v>14</v>
      </c>
      <c r="G11" s="23">
        <v>1700</v>
      </c>
      <c r="H11" s="24">
        <v>298</v>
      </c>
      <c r="I11" s="25">
        <f t="shared" ref="I11:I22" si="0">H11*G11</f>
        <v>506600</v>
      </c>
    </row>
    <row r="12" spans="1:9" ht="29.25" customHeight="1" x14ac:dyDescent="0.3">
      <c r="A12" s="19">
        <v>3</v>
      </c>
      <c r="B12" s="20" t="s">
        <v>72</v>
      </c>
      <c r="C12" s="21" t="s">
        <v>61</v>
      </c>
      <c r="D12" s="21" t="s">
        <v>68</v>
      </c>
      <c r="E12" s="21" t="s">
        <v>73</v>
      </c>
      <c r="F12" s="22" t="s">
        <v>14</v>
      </c>
      <c r="G12" s="23">
        <v>600</v>
      </c>
      <c r="H12" s="24">
        <v>179</v>
      </c>
      <c r="I12" s="25">
        <f t="shared" si="0"/>
        <v>107400</v>
      </c>
    </row>
    <row r="13" spans="1:9" ht="29.25" customHeight="1" x14ac:dyDescent="0.3">
      <c r="A13" s="19">
        <v>4</v>
      </c>
      <c r="B13" s="26" t="s">
        <v>74</v>
      </c>
      <c r="C13" s="21" t="s">
        <v>61</v>
      </c>
      <c r="D13" s="21" t="s">
        <v>68</v>
      </c>
      <c r="E13" s="22" t="s">
        <v>75</v>
      </c>
      <c r="F13" s="22" t="s">
        <v>14</v>
      </c>
      <c r="G13" s="23">
        <v>900</v>
      </c>
      <c r="H13" s="24">
        <v>69</v>
      </c>
      <c r="I13" s="25">
        <f t="shared" si="0"/>
        <v>62100</v>
      </c>
    </row>
    <row r="14" spans="1:9" ht="29.25" customHeight="1" x14ac:dyDescent="0.3">
      <c r="A14" s="19">
        <v>5</v>
      </c>
      <c r="B14" s="26" t="s">
        <v>76</v>
      </c>
      <c r="C14" s="21" t="s">
        <v>61</v>
      </c>
      <c r="D14" s="21" t="s">
        <v>68</v>
      </c>
      <c r="E14" s="22" t="s">
        <v>77</v>
      </c>
      <c r="F14" s="22" t="s">
        <v>14</v>
      </c>
      <c r="G14" s="23">
        <v>900</v>
      </c>
      <c r="H14" s="24">
        <v>69</v>
      </c>
      <c r="I14" s="25">
        <f t="shared" si="0"/>
        <v>62100</v>
      </c>
    </row>
    <row r="15" spans="1:9" ht="29.25" customHeight="1" x14ac:dyDescent="0.3">
      <c r="A15" s="19">
        <v>6</v>
      </c>
      <c r="B15" s="26" t="s">
        <v>78</v>
      </c>
      <c r="C15" s="21" t="s">
        <v>61</v>
      </c>
      <c r="D15" s="21" t="s">
        <v>68</v>
      </c>
      <c r="E15" s="21" t="s">
        <v>79</v>
      </c>
      <c r="F15" s="22" t="s">
        <v>14</v>
      </c>
      <c r="G15" s="23">
        <v>900</v>
      </c>
      <c r="H15" s="24">
        <v>69</v>
      </c>
      <c r="I15" s="25">
        <f t="shared" si="0"/>
        <v>62100</v>
      </c>
    </row>
    <row r="16" spans="1:9" ht="29.25" customHeight="1" x14ac:dyDescent="0.3">
      <c r="A16" s="19">
        <v>7</v>
      </c>
      <c r="B16" s="20" t="s">
        <v>80</v>
      </c>
      <c r="C16" s="21" t="s">
        <v>61</v>
      </c>
      <c r="D16" s="21" t="s">
        <v>68</v>
      </c>
      <c r="E16" s="22" t="s">
        <v>81</v>
      </c>
      <c r="F16" s="22" t="s">
        <v>14</v>
      </c>
      <c r="G16" s="23">
        <v>1800</v>
      </c>
      <c r="H16" s="24">
        <v>48</v>
      </c>
      <c r="I16" s="25">
        <f t="shared" si="0"/>
        <v>86400</v>
      </c>
    </row>
    <row r="17" spans="1:10" ht="29.25" customHeight="1" x14ac:dyDescent="0.3">
      <c r="A17" s="19">
        <v>8</v>
      </c>
      <c r="B17" s="20" t="s">
        <v>82</v>
      </c>
      <c r="C17" s="21" t="s">
        <v>61</v>
      </c>
      <c r="D17" s="21" t="s">
        <v>68</v>
      </c>
      <c r="E17" s="22" t="s">
        <v>83</v>
      </c>
      <c r="F17" s="22" t="s">
        <v>14</v>
      </c>
      <c r="G17" s="23">
        <v>900</v>
      </c>
      <c r="H17" s="24">
        <v>149</v>
      </c>
      <c r="I17" s="25">
        <f t="shared" si="0"/>
        <v>134100</v>
      </c>
    </row>
    <row r="18" spans="1:10" ht="29.25" customHeight="1" x14ac:dyDescent="0.3">
      <c r="A18" s="19">
        <v>9</v>
      </c>
      <c r="B18" s="20" t="s">
        <v>84</v>
      </c>
      <c r="C18" s="21" t="s">
        <v>61</v>
      </c>
      <c r="D18" s="21" t="s">
        <v>68</v>
      </c>
      <c r="E18" s="22" t="s">
        <v>85</v>
      </c>
      <c r="F18" s="22" t="s">
        <v>14</v>
      </c>
      <c r="G18" s="23">
        <v>800</v>
      </c>
      <c r="H18" s="24">
        <v>195</v>
      </c>
      <c r="I18" s="25">
        <f t="shared" si="0"/>
        <v>156000</v>
      </c>
    </row>
    <row r="19" spans="1:10" ht="29.25" customHeight="1" x14ac:dyDescent="0.3">
      <c r="A19" s="19">
        <v>10</v>
      </c>
      <c r="B19" s="20" t="s">
        <v>62</v>
      </c>
      <c r="C19" s="21" t="s">
        <v>61</v>
      </c>
      <c r="D19" s="21" t="s">
        <v>68</v>
      </c>
      <c r="E19" s="22" t="s">
        <v>63</v>
      </c>
      <c r="F19" s="22" t="s">
        <v>14</v>
      </c>
      <c r="G19" s="23">
        <v>600</v>
      </c>
      <c r="H19" s="24">
        <v>78</v>
      </c>
      <c r="I19" s="25">
        <f t="shared" si="0"/>
        <v>46800</v>
      </c>
    </row>
    <row r="20" spans="1:10" ht="29.25" customHeight="1" x14ac:dyDescent="0.3">
      <c r="A20" s="19">
        <v>11</v>
      </c>
      <c r="B20" s="20" t="s">
        <v>86</v>
      </c>
      <c r="C20" s="21" t="s">
        <v>61</v>
      </c>
      <c r="D20" s="21" t="s">
        <v>68</v>
      </c>
      <c r="E20" s="21" t="s">
        <v>87</v>
      </c>
      <c r="F20" s="22" t="s">
        <v>14</v>
      </c>
      <c r="G20" s="23">
        <v>300</v>
      </c>
      <c r="H20" s="24">
        <v>169</v>
      </c>
      <c r="I20" s="25">
        <f t="shared" si="0"/>
        <v>50700</v>
      </c>
    </row>
    <row r="21" spans="1:10" s="11" customFormat="1" ht="29.25" customHeight="1" x14ac:dyDescent="0.3">
      <c r="A21" s="19">
        <v>12</v>
      </c>
      <c r="B21" s="27" t="s">
        <v>88</v>
      </c>
      <c r="C21" s="21" t="s">
        <v>61</v>
      </c>
      <c r="D21" s="21" t="s">
        <v>68</v>
      </c>
      <c r="E21" s="22" t="s">
        <v>89</v>
      </c>
      <c r="F21" s="22" t="s">
        <v>14</v>
      </c>
      <c r="G21" s="28">
        <v>350</v>
      </c>
      <c r="H21" s="24">
        <v>114</v>
      </c>
      <c r="I21" s="29">
        <f t="shared" si="0"/>
        <v>39900</v>
      </c>
    </row>
    <row r="22" spans="1:10" s="11" customFormat="1" ht="29.25" customHeight="1" thickBot="1" x14ac:dyDescent="0.3">
      <c r="A22" s="80">
        <v>13</v>
      </c>
      <c r="B22" s="81" t="s">
        <v>90</v>
      </c>
      <c r="C22" s="82" t="s">
        <v>61</v>
      </c>
      <c r="D22" s="82" t="s">
        <v>68</v>
      </c>
      <c r="E22" s="83" t="s">
        <v>91</v>
      </c>
      <c r="F22" s="83" t="s">
        <v>14</v>
      </c>
      <c r="G22" s="84">
        <v>400</v>
      </c>
      <c r="H22" s="85">
        <v>397</v>
      </c>
      <c r="I22" s="86">
        <f t="shared" si="0"/>
        <v>158800</v>
      </c>
    </row>
    <row r="23" spans="1:10" ht="14.25" thickBot="1" x14ac:dyDescent="0.3">
      <c r="I23" s="79">
        <f>SUM(I10:I22)</f>
        <v>1998000</v>
      </c>
      <c r="J23" s="78">
        <f>SUM(I10:I22)</f>
        <v>1998000</v>
      </c>
    </row>
    <row r="24" spans="1:10" ht="17.25" customHeight="1" x14ac:dyDescent="0.25">
      <c r="B24" s="31" t="s">
        <v>60</v>
      </c>
      <c r="C24" s="32"/>
      <c r="D24" s="11"/>
      <c r="E24" s="33"/>
    </row>
    <row r="25" spans="1:10" ht="9" customHeight="1" thickBot="1" x14ac:dyDescent="0.3">
      <c r="B25" s="11"/>
      <c r="C25" s="32"/>
      <c r="D25" s="11"/>
      <c r="E25" s="33"/>
    </row>
    <row r="26" spans="1:10" ht="18.75" customHeight="1" x14ac:dyDescent="0.25">
      <c r="B26" s="34" t="s">
        <v>15</v>
      </c>
      <c r="C26" s="35"/>
      <c r="D26" s="36"/>
      <c r="E26" s="37"/>
    </row>
    <row r="27" spans="1:10" ht="85.5" customHeight="1" x14ac:dyDescent="0.25">
      <c r="B27" s="38"/>
      <c r="C27" s="96" t="s">
        <v>100</v>
      </c>
      <c r="D27" s="96"/>
      <c r="E27" s="97"/>
    </row>
    <row r="28" spans="1:10" ht="18.75" customHeight="1" x14ac:dyDescent="0.25">
      <c r="B28" s="39" t="s">
        <v>16</v>
      </c>
      <c r="C28" s="32"/>
      <c r="D28" s="11"/>
      <c r="E28" s="40"/>
    </row>
    <row r="29" spans="1:10" ht="72.75" customHeight="1" x14ac:dyDescent="0.25">
      <c r="B29" s="38"/>
      <c r="C29" s="96" t="s">
        <v>95</v>
      </c>
      <c r="D29" s="96"/>
      <c r="E29" s="97"/>
    </row>
    <row r="30" spans="1:10" x14ac:dyDescent="0.25">
      <c r="B30" s="39" t="s">
        <v>17</v>
      </c>
      <c r="C30" s="41"/>
      <c r="D30" s="42"/>
      <c r="E30" s="43"/>
    </row>
    <row r="31" spans="1:10" ht="27" customHeight="1" x14ac:dyDescent="0.25">
      <c r="B31" s="38"/>
      <c r="C31" s="92" t="s">
        <v>92</v>
      </c>
      <c r="D31" s="92"/>
      <c r="E31" s="93"/>
    </row>
    <row r="32" spans="1:10" x14ac:dyDescent="0.25">
      <c r="B32" s="39" t="s">
        <v>18</v>
      </c>
      <c r="C32" s="32"/>
      <c r="D32" s="11"/>
      <c r="E32" s="40"/>
    </row>
    <row r="33" spans="1:5" ht="14.25" thickBot="1" x14ac:dyDescent="0.3">
      <c r="B33" s="44"/>
      <c r="C33" s="94" t="s">
        <v>93</v>
      </c>
      <c r="D33" s="94"/>
      <c r="E33" s="95"/>
    </row>
    <row r="34" spans="1:5" x14ac:dyDescent="0.25">
      <c r="B34" s="32"/>
      <c r="C34" s="32"/>
      <c r="D34" s="11"/>
      <c r="E34" s="33"/>
    </row>
    <row r="42" spans="1:5" s="88" customFormat="1" ht="12.75" x14ac:dyDescent="0.2">
      <c r="A42" s="87"/>
      <c r="B42" s="87"/>
      <c r="C42" s="87"/>
      <c r="D42" s="87"/>
    </row>
  </sheetData>
  <mergeCells count="11">
    <mergeCell ref="C31:E31"/>
    <mergeCell ref="C33:E33"/>
    <mergeCell ref="A6:B6"/>
    <mergeCell ref="A7:B7"/>
    <mergeCell ref="C29:E29"/>
    <mergeCell ref="C27:E2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6"/>
  <sheetViews>
    <sheetView topLeftCell="A10" zoomScale="85" zoomScaleNormal="85" workbookViewId="0">
      <selection activeCell="K1" sqref="K1"/>
    </sheetView>
  </sheetViews>
  <sheetFormatPr baseColWidth="10" defaultColWidth="9.140625" defaultRowHeight="13.5" x14ac:dyDescent="0.25"/>
  <cols>
    <col min="1" max="1" width="5.42578125" style="64" customWidth="1"/>
    <col min="2" max="2" width="12.28515625" style="64" customWidth="1"/>
    <col min="3" max="3" width="14.140625" style="64" customWidth="1"/>
    <col min="4" max="4" width="26" style="64" customWidth="1"/>
    <col min="5" max="5" width="8" style="64" customWidth="1"/>
    <col min="6" max="6" width="7.85546875" style="64" customWidth="1"/>
    <col min="7" max="7" width="77.42578125" style="64" customWidth="1"/>
    <col min="8" max="8" width="8.42578125" style="64" customWidth="1"/>
    <col min="9" max="9" width="12" style="64" customWidth="1"/>
    <col min="10" max="10" width="11.42578125" style="64" customWidth="1"/>
    <col min="11" max="11" width="10.85546875" style="64" customWidth="1"/>
    <col min="12" max="14" width="5.85546875" style="64" customWidth="1"/>
    <col min="15" max="15" width="12.5703125" style="64" customWidth="1"/>
    <col min="16" max="1024" width="9.140625" style="64"/>
    <col min="1025" max="16384" width="9.140625" style="3"/>
  </cols>
  <sheetData>
    <row r="1" spans="1:11" ht="18" customHeight="1" x14ac:dyDescent="0.25">
      <c r="A1" s="100" t="s">
        <v>19</v>
      </c>
      <c r="B1" s="100"/>
      <c r="C1" s="100"/>
      <c r="D1" s="100"/>
      <c r="E1" s="100"/>
      <c r="F1" s="100"/>
      <c r="G1" s="100"/>
      <c r="H1" s="100"/>
      <c r="I1" s="100"/>
      <c r="J1" s="62" t="s">
        <v>20</v>
      </c>
      <c r="K1" s="63" t="s">
        <v>94</v>
      </c>
    </row>
    <row r="2" spans="1:11" ht="18.75" customHeight="1" thickBot="1" x14ac:dyDescent="0.3">
      <c r="A2" s="65"/>
      <c r="B2" s="65"/>
      <c r="C2" s="65"/>
      <c r="D2" s="66"/>
      <c r="E2" s="66"/>
      <c r="F2" s="66"/>
      <c r="G2" s="66"/>
      <c r="H2" s="66"/>
      <c r="I2" s="66"/>
      <c r="J2" s="66"/>
      <c r="K2" s="66"/>
    </row>
    <row r="3" spans="1:11" ht="18.75" customHeight="1" thickBot="1" x14ac:dyDescent="0.3">
      <c r="A3" s="101" t="s">
        <v>52</v>
      </c>
      <c r="B3" s="101"/>
      <c r="C3" s="101"/>
      <c r="D3" s="102" t="str">
        <f>'Necesidades Trimestrales'!C4</f>
        <v>90 - Ministerio de Seguridad</v>
      </c>
      <c r="E3" s="102"/>
      <c r="F3" s="102"/>
      <c r="G3" s="102"/>
      <c r="H3" s="102"/>
      <c r="I3" s="102"/>
      <c r="J3" s="102"/>
      <c r="K3" s="102"/>
    </row>
    <row r="4" spans="1:11" ht="18.75" customHeight="1" thickBot="1" x14ac:dyDescent="0.3">
      <c r="A4" s="103" t="s">
        <v>53</v>
      </c>
      <c r="B4" s="103"/>
      <c r="C4" s="103"/>
      <c r="D4" s="102" t="str">
        <f>'Necesidades Trimestrales'!C5</f>
        <v>7 - Direccion de Administracion de la Policia de la Provincia de Catamarca</v>
      </c>
      <c r="E4" s="102"/>
      <c r="F4" s="102"/>
      <c r="G4" s="102"/>
      <c r="H4" s="102"/>
      <c r="I4" s="102"/>
      <c r="J4" s="102"/>
      <c r="K4" s="102"/>
    </row>
    <row r="5" spans="1:11" ht="18.75" customHeight="1" thickBot="1" x14ac:dyDescent="0.3">
      <c r="A5" s="103" t="s">
        <v>32</v>
      </c>
      <c r="B5" s="103"/>
      <c r="C5" s="103"/>
      <c r="D5" s="102" t="s">
        <v>57</v>
      </c>
      <c r="E5" s="102"/>
      <c r="F5" s="102"/>
      <c r="G5" s="102"/>
      <c r="H5" s="102"/>
      <c r="I5" s="102"/>
      <c r="J5" s="102"/>
      <c r="K5" s="102"/>
    </row>
    <row r="6" spans="1:11" ht="16.5" customHeight="1" thickBot="1" x14ac:dyDescent="0.3">
      <c r="A6" s="101" t="s">
        <v>54</v>
      </c>
      <c r="B6" s="101"/>
      <c r="C6" s="101"/>
      <c r="D6" s="102" t="s">
        <v>97</v>
      </c>
      <c r="E6" s="102"/>
      <c r="F6" s="102"/>
      <c r="G6" s="102"/>
      <c r="H6" s="102"/>
      <c r="I6" s="102"/>
      <c r="J6" s="102"/>
      <c r="K6" s="102"/>
    </row>
    <row r="7" spans="1:11" ht="16.5" customHeight="1" thickBot="1" x14ac:dyDescent="0.3">
      <c r="A7" s="103" t="s">
        <v>21</v>
      </c>
      <c r="B7" s="103"/>
      <c r="C7" s="103"/>
      <c r="D7" s="102" t="str">
        <f>'Necesidades Trimestrales'!C7 &amp; "° Trimestre - Año " &amp;'Necesidades Trimestrales'!C6</f>
        <v>1° Trimestre - Año 2021</v>
      </c>
      <c r="E7" s="102"/>
      <c r="F7" s="102"/>
      <c r="G7" s="102"/>
      <c r="H7" s="102"/>
      <c r="I7" s="102"/>
      <c r="J7" s="102"/>
      <c r="K7" s="102"/>
    </row>
    <row r="8" spans="1:11" ht="16.5" customHeight="1" thickBot="1" x14ac:dyDescent="0.3">
      <c r="A8" s="110" t="s">
        <v>22</v>
      </c>
      <c r="B8" s="110"/>
      <c r="C8" s="110"/>
      <c r="D8" s="105" t="s">
        <v>64</v>
      </c>
      <c r="E8" s="105"/>
      <c r="F8" s="105"/>
      <c r="G8" s="105"/>
      <c r="H8" s="105"/>
      <c r="I8" s="105"/>
      <c r="J8" s="105"/>
      <c r="K8" s="105"/>
    </row>
    <row r="9" spans="1:11" ht="18" thickBot="1" x14ac:dyDescent="0.3">
      <c r="A9" s="67"/>
      <c r="B9" s="67"/>
      <c r="C9" s="67"/>
      <c r="D9" s="68"/>
      <c r="E9" s="68"/>
      <c r="F9" s="68"/>
      <c r="G9" s="68"/>
      <c r="H9" s="68"/>
      <c r="I9" s="68"/>
      <c r="J9" s="68"/>
      <c r="K9" s="68"/>
    </row>
    <row r="10" spans="1:11" ht="14.25" thickBot="1" x14ac:dyDescent="0.3">
      <c r="A10" s="106" t="s">
        <v>23</v>
      </c>
      <c r="B10" s="107" t="s">
        <v>24</v>
      </c>
      <c r="C10" s="107" t="s">
        <v>25</v>
      </c>
      <c r="D10" s="107"/>
      <c r="E10" s="107"/>
      <c r="F10" s="107"/>
      <c r="G10" s="107"/>
      <c r="H10" s="107" t="s">
        <v>26</v>
      </c>
      <c r="I10" s="107" t="s">
        <v>27</v>
      </c>
      <c r="J10" s="107" t="s">
        <v>28</v>
      </c>
      <c r="K10" s="109" t="s">
        <v>29</v>
      </c>
    </row>
    <row r="11" spans="1:11" ht="14.25" thickBot="1" x14ac:dyDescent="0.3">
      <c r="A11" s="106"/>
      <c r="B11" s="107"/>
      <c r="C11" s="108"/>
      <c r="D11" s="108"/>
      <c r="E11" s="108"/>
      <c r="F11" s="108"/>
      <c r="G11" s="108"/>
      <c r="H11" s="107"/>
      <c r="I11" s="107"/>
      <c r="J11" s="107"/>
      <c r="K11" s="109"/>
    </row>
    <row r="12" spans="1:11" ht="30.75" customHeight="1" x14ac:dyDescent="0.3">
      <c r="A12" s="69">
        <f>'Necesidades Trimestrales'!A10</f>
        <v>1</v>
      </c>
      <c r="B12" s="70" t="str">
        <f>'Necesidades Trimestrales'!B10</f>
        <v>2.9.1-6951.30</v>
      </c>
      <c r="C12" s="98" t="str">
        <f>'Necesidades Trimestrales'!E10</f>
        <v>LIMPIADORES; TIPO: LAVANDINA, PRESENTACION: ENVASE X 5 L</v>
      </c>
      <c r="D12" s="99"/>
      <c r="E12" s="99"/>
      <c r="F12" s="99"/>
      <c r="G12" s="99"/>
      <c r="H12" s="71" t="s">
        <v>58</v>
      </c>
      <c r="I12" s="72" t="s">
        <v>14</v>
      </c>
      <c r="J12" s="73">
        <f>'Necesidades Trimestrales'!H10</f>
        <v>210</v>
      </c>
      <c r="K12" s="74">
        <f>'Necesidades Trimestrales'!G10</f>
        <v>2500</v>
      </c>
    </row>
    <row r="13" spans="1:11" ht="21.75" customHeight="1" x14ac:dyDescent="0.3">
      <c r="A13" s="69">
        <f>'Necesidades Trimestrales'!A11</f>
        <v>2</v>
      </c>
      <c r="B13" s="70" t="str">
        <f>'Necesidades Trimestrales'!B11</f>
        <v>2.9.1-6951.306</v>
      </c>
      <c r="C13" s="98" t="str">
        <f>'Necesidades Trimestrales'!E11</f>
        <v>LIMPIADORES; TIPO: DETERGENTE, PRESENTACION: ENVASE X 900 mL, BIODEGRADABLE: SI</v>
      </c>
      <c r="D13" s="99"/>
      <c r="E13" s="99"/>
      <c r="F13" s="99"/>
      <c r="G13" s="99"/>
      <c r="H13" s="75" t="s">
        <v>58</v>
      </c>
      <c r="I13" s="76" t="s">
        <v>14</v>
      </c>
      <c r="J13" s="73">
        <f>'Necesidades Trimestrales'!H11</f>
        <v>298</v>
      </c>
      <c r="K13" s="74">
        <f>'Necesidades Trimestrales'!G11</f>
        <v>1700</v>
      </c>
    </row>
    <row r="14" spans="1:11" ht="19.5" customHeight="1" x14ac:dyDescent="0.3">
      <c r="A14" s="69">
        <f>'Necesidades Trimestrales'!A12</f>
        <v>3</v>
      </c>
      <c r="B14" s="70" t="str">
        <f>'Necesidades Trimestrales'!B12</f>
        <v>2.9.1-6952.31</v>
      </c>
      <c r="C14" s="98" t="str">
        <f>'Necesidades Trimestrales'!E12</f>
        <v>CEPILLOS; TIPO: ESCOBILLON, MATERIAL: CERDA</v>
      </c>
      <c r="D14" s="99"/>
      <c r="E14" s="99"/>
      <c r="F14" s="99"/>
      <c r="G14" s="99"/>
      <c r="H14" s="75" t="s">
        <v>58</v>
      </c>
      <c r="I14" s="76" t="s">
        <v>14</v>
      </c>
      <c r="J14" s="73">
        <f>'Necesidades Trimestrales'!H12</f>
        <v>179</v>
      </c>
      <c r="K14" s="74">
        <f>'Necesidades Trimestrales'!G12</f>
        <v>600</v>
      </c>
    </row>
    <row r="15" spans="1:11" ht="19.5" customHeight="1" x14ac:dyDescent="0.3">
      <c r="A15" s="69">
        <f>'Necesidades Trimestrales'!A13</f>
        <v>4</v>
      </c>
      <c r="B15" s="70" t="str">
        <f>'Necesidades Trimestrales'!B13</f>
        <v>2.9.1-713.8</v>
      </c>
      <c r="C15" s="98" t="str">
        <f>'Necesidades Trimestrales'!E13</f>
        <v>TRAPOS DE PISO; DIMENSION: 40 X 50 Cm, COLOR: SIN VALOR</v>
      </c>
      <c r="D15" s="99"/>
      <c r="E15" s="99"/>
      <c r="F15" s="99"/>
      <c r="G15" s="99"/>
      <c r="H15" s="75" t="s">
        <v>58</v>
      </c>
      <c r="I15" s="76" t="s">
        <v>14</v>
      </c>
      <c r="J15" s="73">
        <f>'Necesidades Trimestrales'!H13</f>
        <v>69</v>
      </c>
      <c r="K15" s="74">
        <f>'Necesidades Trimestrales'!G13</f>
        <v>900</v>
      </c>
    </row>
    <row r="16" spans="1:11" ht="19.5" customHeight="1" x14ac:dyDescent="0.3">
      <c r="A16" s="69">
        <f>'Necesidades Trimestrales'!A14</f>
        <v>5</v>
      </c>
      <c r="B16" s="70" t="str">
        <f>'Necesidades Trimestrales'!B14</f>
        <v>2.9.1-678.7</v>
      </c>
      <c r="C16" s="98" t="str">
        <f>'Necesidades Trimestrales'!E14</f>
        <v>TRAPOS REJILLA; DIMENSION: 40 X 50 Cm, COLOR: SIN VALOR, MATERIAL: ALGODON</v>
      </c>
      <c r="D16" s="99"/>
      <c r="E16" s="99"/>
      <c r="F16" s="99"/>
      <c r="G16" s="99"/>
      <c r="H16" s="75" t="s">
        <v>58</v>
      </c>
      <c r="I16" s="76" t="s">
        <v>14</v>
      </c>
      <c r="J16" s="73">
        <f>'Necesidades Trimestrales'!H14</f>
        <v>69</v>
      </c>
      <c r="K16" s="74">
        <f>'Necesidades Trimestrales'!G14</f>
        <v>900</v>
      </c>
    </row>
    <row r="17" spans="1:1024" ht="19.5" customHeight="1" x14ac:dyDescent="0.3">
      <c r="A17" s="69">
        <f>'Necesidades Trimestrales'!A15</f>
        <v>6</v>
      </c>
      <c r="B17" s="70" t="str">
        <f>'Necesidades Trimestrales'!B15</f>
        <v>2.9.1-714.2</v>
      </c>
      <c r="C17" s="98" t="str">
        <f>'Necesidades Trimestrales'!E15</f>
        <v>FRANELAS; DIMENSION: 50 X 50 Cm</v>
      </c>
      <c r="D17" s="99"/>
      <c r="E17" s="99"/>
      <c r="F17" s="99"/>
      <c r="G17" s="99"/>
      <c r="H17" s="75" t="s">
        <v>58</v>
      </c>
      <c r="I17" s="76" t="s">
        <v>14</v>
      </c>
      <c r="J17" s="73">
        <f>'Necesidades Trimestrales'!H15</f>
        <v>69</v>
      </c>
      <c r="K17" s="74">
        <f>'Necesidades Trimestrales'!G15</f>
        <v>900</v>
      </c>
    </row>
    <row r="18" spans="1:1024" ht="19.5" customHeight="1" x14ac:dyDescent="0.3">
      <c r="A18" s="69">
        <f>'Necesidades Trimestrales'!A16</f>
        <v>7</v>
      </c>
      <c r="B18" s="70" t="str">
        <f>'Necesidades Trimestrales'!B16</f>
        <v>2.9.1-646.16</v>
      </c>
      <c r="C18" s="98" t="str">
        <f>'Necesidades Trimestrales'!E16</f>
        <v>BOLSAS DE RESIDUOS; COLOR: OBSCURO, ESPESOR: 30 Mn, DIMENSION: 45 X 60 Cm, PRESENTACION: SIN VALOR</v>
      </c>
      <c r="D18" s="99"/>
      <c r="E18" s="99"/>
      <c r="F18" s="99"/>
      <c r="G18" s="99"/>
      <c r="H18" s="75" t="s">
        <v>58</v>
      </c>
      <c r="I18" s="76" t="s">
        <v>14</v>
      </c>
      <c r="J18" s="73">
        <f>'Necesidades Trimestrales'!H16</f>
        <v>48</v>
      </c>
      <c r="K18" s="74">
        <f>'Necesidades Trimestrales'!G16</f>
        <v>1800</v>
      </c>
    </row>
    <row r="19" spans="1:1024" ht="19.5" customHeight="1" x14ac:dyDescent="0.3">
      <c r="A19" s="69">
        <f>'Necesidades Trimestrales'!A17</f>
        <v>8</v>
      </c>
      <c r="B19" s="70" t="str">
        <f>'Necesidades Trimestrales'!B17</f>
        <v>2.9.1-544.73</v>
      </c>
      <c r="C19" s="98" t="str">
        <f>'Necesidades Trimestrales'!E17</f>
        <v>DESODORANTES DE AMBIENTE; FORMATO: AEROSOL, FRAGANCIA: LAVANDA, PRESENTACION: ENVASE X 360 CM3, LIBRE DE CFC: SI</v>
      </c>
      <c r="D19" s="99"/>
      <c r="E19" s="99"/>
      <c r="F19" s="99"/>
      <c r="G19" s="99"/>
      <c r="H19" s="75" t="s">
        <v>58</v>
      </c>
      <c r="I19" s="76" t="s">
        <v>14</v>
      </c>
      <c r="J19" s="73">
        <f>'Necesidades Trimestrales'!H17</f>
        <v>149</v>
      </c>
      <c r="K19" s="74">
        <f>'Necesidades Trimestrales'!G17</f>
        <v>900</v>
      </c>
    </row>
    <row r="20" spans="1:1024" ht="19.5" customHeight="1" x14ac:dyDescent="0.3">
      <c r="A20" s="69">
        <f>'Necesidades Trimestrales'!A18</f>
        <v>9</v>
      </c>
      <c r="B20" s="70" t="str">
        <f>'Necesidades Trimestrales'!B18</f>
        <v>2.9.1-6950.30</v>
      </c>
      <c r="C20" s="98" t="str">
        <f>'Necesidades Trimestrales'!E18</f>
        <v>LUSTRADORES; TIPO: LUSTRAMUEBLES, PRESENTACION: AEROSOL X 360 CM3</v>
      </c>
      <c r="D20" s="99"/>
      <c r="E20" s="99"/>
      <c r="F20" s="99"/>
      <c r="G20" s="99"/>
      <c r="H20" s="75" t="s">
        <v>58</v>
      </c>
      <c r="I20" s="76" t="s">
        <v>14</v>
      </c>
      <c r="J20" s="73">
        <f>'Necesidades Trimestrales'!H18</f>
        <v>195</v>
      </c>
      <c r="K20" s="74">
        <f>'Necesidades Trimestrales'!G18</f>
        <v>800</v>
      </c>
    </row>
    <row r="21" spans="1:1024" ht="19.5" customHeight="1" x14ac:dyDescent="0.3">
      <c r="A21" s="69">
        <f>'Necesidades Trimestrales'!A19</f>
        <v>10</v>
      </c>
      <c r="B21" s="70" t="str">
        <f>'Necesidades Trimestrales'!B19</f>
        <v>2.9.1-683.5</v>
      </c>
      <c r="C21" s="98" t="str">
        <f>'Necesidades Trimestrales'!E19</f>
        <v>SECADORES DE GOMA; LARGO: 40 Cm, COLOR: NEGRO</v>
      </c>
      <c r="D21" s="99"/>
      <c r="E21" s="99"/>
      <c r="F21" s="99"/>
      <c r="G21" s="99"/>
      <c r="H21" s="75" t="s">
        <v>58</v>
      </c>
      <c r="I21" s="76" t="s">
        <v>14</v>
      </c>
      <c r="J21" s="73">
        <f>'Necesidades Trimestrales'!H19</f>
        <v>78</v>
      </c>
      <c r="K21" s="74">
        <f>'Necesidades Trimestrales'!G19</f>
        <v>600</v>
      </c>
    </row>
    <row r="22" spans="1:1024" ht="19.5" customHeight="1" x14ac:dyDescent="0.3">
      <c r="A22" s="69">
        <f>'Necesidades Trimestrales'!A20</f>
        <v>11</v>
      </c>
      <c r="B22" s="70" t="str">
        <f>'Necesidades Trimestrales'!B20</f>
        <v>2.9.1-564.22</v>
      </c>
      <c r="C22" s="98" t="str">
        <f>'Necesidades Trimestrales'!E20</f>
        <v>BALDES DE PLASTICO; CAPACIDAD: 11 L</v>
      </c>
      <c r="D22" s="99"/>
      <c r="E22" s="99"/>
      <c r="F22" s="99"/>
      <c r="G22" s="99"/>
      <c r="H22" s="75" t="s">
        <v>58</v>
      </c>
      <c r="I22" s="76" t="s">
        <v>14</v>
      </c>
      <c r="J22" s="73">
        <f>'Necesidades Trimestrales'!H20</f>
        <v>169</v>
      </c>
      <c r="K22" s="74">
        <f>'Necesidades Trimestrales'!G20</f>
        <v>300</v>
      </c>
    </row>
    <row r="23" spans="1:1024" ht="19.5" customHeight="1" x14ac:dyDescent="0.3">
      <c r="A23" s="69">
        <f>'Necesidades Trimestrales'!A21</f>
        <v>12</v>
      </c>
      <c r="B23" s="70" t="str">
        <f>'Necesidades Trimestrales'!B21</f>
        <v>2.9.1-6961.6</v>
      </c>
      <c r="C23" s="98" t="str">
        <f>'Necesidades Trimestrales'!E21</f>
        <v>ELEM. P/LIMPIEZA SANITARIOS; TIPO: PASTILLA DESODORANTE, PRESENTACION: UNIDAD</v>
      </c>
      <c r="D23" s="99"/>
      <c r="E23" s="99"/>
      <c r="F23" s="99"/>
      <c r="G23" s="99"/>
      <c r="H23" s="75" t="s">
        <v>58</v>
      </c>
      <c r="I23" s="76" t="s">
        <v>14</v>
      </c>
      <c r="J23" s="73">
        <f>'Necesidades Trimestrales'!H21</f>
        <v>114</v>
      </c>
      <c r="K23" s="74">
        <f>'Necesidades Trimestrales'!G21</f>
        <v>350</v>
      </c>
    </row>
    <row r="24" spans="1:1024" ht="19.5" customHeight="1" x14ac:dyDescent="0.3">
      <c r="A24" s="69">
        <f>'Necesidades Trimestrales'!A22</f>
        <v>13</v>
      </c>
      <c r="B24" s="70" t="str">
        <f>'Necesidades Trimestrales'!B22</f>
        <v>2.9.1-6956.78</v>
      </c>
      <c r="C24" s="98" t="str">
        <f>'Necesidades Trimestrales'!E22</f>
        <v>ARTICULOS DE TOCADOR; TIPO: JABON LIQUIDO, PRESENTACION: ENVASE X 295 mL</v>
      </c>
      <c r="D24" s="99"/>
      <c r="E24" s="99"/>
      <c r="F24" s="99"/>
      <c r="G24" s="99"/>
      <c r="H24" s="75" t="s">
        <v>58</v>
      </c>
      <c r="I24" s="76" t="s">
        <v>14</v>
      </c>
      <c r="J24" s="73">
        <f>'Necesidades Trimestrales'!H22</f>
        <v>397</v>
      </c>
      <c r="K24" s="74">
        <f>'Necesidades Trimestrales'!G22</f>
        <v>400</v>
      </c>
    </row>
    <row r="25" spans="1:1024" ht="15.75" thickBot="1" x14ac:dyDescent="0.3">
      <c r="A25" s="111" t="s">
        <v>98</v>
      </c>
      <c r="B25" s="111"/>
      <c r="C25" s="111"/>
      <c r="D25" s="111"/>
      <c r="E25" s="111"/>
      <c r="F25" s="111"/>
      <c r="G25" s="111"/>
      <c r="H25" s="111"/>
      <c r="I25" s="111"/>
      <c r="J25" s="104">
        <f>SUMPRODUCT(J12:J24,K12:K24)</f>
        <v>1998000</v>
      </c>
      <c r="K25" s="10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</row>
    <row r="26" spans="1:1024" x14ac:dyDescent="0.25">
      <c r="J26" s="77"/>
    </row>
  </sheetData>
  <mergeCells count="35">
    <mergeCell ref="C18:G18"/>
    <mergeCell ref="C19:G19"/>
    <mergeCell ref="C20:G20"/>
    <mergeCell ref="C21:G21"/>
    <mergeCell ref="A25:I25"/>
    <mergeCell ref="C23:G23"/>
    <mergeCell ref="C24:G24"/>
    <mergeCell ref="J25:K2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2:G12"/>
    <mergeCell ref="C13:G13"/>
    <mergeCell ref="C16:G16"/>
    <mergeCell ref="C17:G17"/>
    <mergeCell ref="C14:G14"/>
    <mergeCell ref="C22:G22"/>
    <mergeCell ref="C15:G1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zoomScale="85" zoomScaleNormal="85" workbookViewId="0">
      <selection activeCell="G18" sqref="G18:Q18"/>
    </sheetView>
  </sheetViews>
  <sheetFormatPr baseColWidth="10" defaultColWidth="11" defaultRowHeight="13.5" x14ac:dyDescent="0.25"/>
  <cols>
    <col min="1" max="6" width="4.42578125" style="3" customWidth="1"/>
    <col min="7" max="7" width="4.42578125" style="30" customWidth="1"/>
    <col min="8" max="11" width="4.42578125" style="3" customWidth="1"/>
    <col min="12" max="12" width="6" style="3" customWidth="1"/>
    <col min="13" max="14" width="4.42578125" style="3" customWidth="1"/>
    <col min="15" max="16" width="14.85546875" style="3" customWidth="1"/>
    <col min="17" max="17" width="14.7109375" style="3" customWidth="1"/>
    <col min="18" max="16384" width="11" style="3"/>
  </cols>
  <sheetData>
    <row r="1" spans="1:17" ht="15.75" customHeight="1" x14ac:dyDescent="0.25">
      <c r="A1" s="112" t="s">
        <v>3</v>
      </c>
      <c r="B1" s="112"/>
      <c r="C1" s="112"/>
      <c r="D1" s="113">
        <f>'Necesidades Trimestrales'!C6</f>
        <v>2021</v>
      </c>
      <c r="E1" s="113"/>
      <c r="F1" s="45"/>
      <c r="G1" s="45"/>
      <c r="H1" s="46"/>
      <c r="I1" s="46"/>
      <c r="J1" s="46"/>
      <c r="K1" s="46"/>
      <c r="L1" s="46"/>
      <c r="M1" s="46"/>
      <c r="N1" s="46"/>
      <c r="P1" s="114" t="s">
        <v>30</v>
      </c>
      <c r="Q1" s="114"/>
    </row>
    <row r="2" spans="1:17" ht="15.75" customHeight="1" x14ac:dyDescent="0.25">
      <c r="H2" s="46"/>
      <c r="I2" s="46"/>
      <c r="J2" s="46"/>
      <c r="K2" s="46"/>
      <c r="L2" s="46"/>
      <c r="M2" s="46"/>
      <c r="N2" s="46"/>
      <c r="P2" s="114"/>
      <c r="Q2" s="114"/>
    </row>
    <row r="4" spans="1:17" ht="18" customHeight="1" thickBot="1" x14ac:dyDescent="0.35">
      <c r="A4" s="115" t="s">
        <v>31</v>
      </c>
      <c r="B4" s="115"/>
      <c r="C4" s="115"/>
      <c r="D4" s="115"/>
      <c r="E4" s="115"/>
      <c r="F4" s="115"/>
      <c r="G4" s="116" t="str">
        <f>' NotaPedido'!D3</f>
        <v>90 - Ministerio de Seguridad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ht="18" customHeight="1" thickBot="1" x14ac:dyDescent="0.35">
      <c r="A5" s="117" t="s">
        <v>53</v>
      </c>
      <c r="B5" s="118"/>
      <c r="C5" s="118"/>
      <c r="D5" s="118"/>
      <c r="E5" s="118"/>
      <c r="F5" s="119"/>
      <c r="G5" s="116" t="str">
        <f>' NotaPedido'!D4</f>
        <v>7 - Direccion de Administracion de la Policia de la Provincia de Catamarca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7" ht="18" customHeight="1" thickBot="1" x14ac:dyDescent="0.35">
      <c r="A6" s="117" t="s">
        <v>32</v>
      </c>
      <c r="B6" s="118"/>
      <c r="C6" s="118"/>
      <c r="D6" s="118"/>
      <c r="E6" s="118"/>
      <c r="F6" s="119"/>
      <c r="G6" s="116" t="str">
        <f>' NotaPedido'!D5</f>
        <v>Policía de la Provincia de Catamarca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ht="18" customHeight="1" thickBot="1" x14ac:dyDescent="0.35">
      <c r="A7" s="117" t="s">
        <v>54</v>
      </c>
      <c r="B7" s="118"/>
      <c r="C7" s="118"/>
      <c r="D7" s="118"/>
      <c r="E7" s="118"/>
      <c r="F7" s="119"/>
      <c r="G7" s="116" t="str">
        <f>' NotaPedido'!D6</f>
        <v>División Intendencia - Departamento Logística (D-4)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18" customHeight="1" thickBot="1" x14ac:dyDescent="0.3">
      <c r="A8" s="120" t="s">
        <v>96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7" ht="18" customHeight="1" x14ac:dyDescent="0.3">
      <c r="A9" s="121" t="s">
        <v>33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1"/>
      <c r="P9" s="11"/>
      <c r="Q9" s="47"/>
    </row>
    <row r="10" spans="1:17" ht="54.75" customHeight="1" x14ac:dyDescent="0.25">
      <c r="A10" s="12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10/2021,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5">
      <c r="A11" s="48"/>
      <c r="B11" s="49"/>
      <c r="C11" s="49"/>
      <c r="D11" s="49"/>
      <c r="E11" s="49"/>
      <c r="F11" s="49"/>
      <c r="G11" s="50"/>
      <c r="H11" s="49"/>
      <c r="I11" s="49"/>
      <c r="J11" s="49"/>
      <c r="K11" s="49"/>
      <c r="L11" s="49"/>
      <c r="M11" s="49"/>
      <c r="N11" s="49"/>
      <c r="O11" s="49"/>
      <c r="P11" s="49"/>
      <c r="Q11" s="51"/>
    </row>
    <row r="12" spans="1:17" ht="15.75" customHeight="1" x14ac:dyDescent="0.25">
      <c r="A12" s="123" t="s">
        <v>34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5">
      <c r="A13" s="124" t="s">
        <v>35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36</v>
      </c>
      <c r="P13" s="125"/>
      <c r="Q13" s="126" t="s">
        <v>37</v>
      </c>
    </row>
    <row r="14" spans="1:17" ht="15.75" customHeight="1" thickBot="1" x14ac:dyDescent="0.3">
      <c r="A14" s="52" t="s">
        <v>38</v>
      </c>
      <c r="B14" s="53" t="s">
        <v>39</v>
      </c>
      <c r="C14" s="53" t="s">
        <v>40</v>
      </c>
      <c r="D14" s="53" t="s">
        <v>41</v>
      </c>
      <c r="E14" s="53" t="s">
        <v>42</v>
      </c>
      <c r="F14" s="53" t="s">
        <v>43</v>
      </c>
      <c r="G14" s="54" t="s">
        <v>44</v>
      </c>
      <c r="H14" s="53" t="s">
        <v>45</v>
      </c>
      <c r="I14" s="53" t="s">
        <v>46</v>
      </c>
      <c r="J14" s="53" t="s">
        <v>47</v>
      </c>
      <c r="K14" s="53" t="s">
        <v>47</v>
      </c>
      <c r="L14" s="53" t="s">
        <v>48</v>
      </c>
      <c r="M14" s="55" t="s">
        <v>49</v>
      </c>
      <c r="N14" s="56" t="s">
        <v>50</v>
      </c>
      <c r="O14" s="125"/>
      <c r="P14" s="125"/>
      <c r="Q14" s="126"/>
    </row>
    <row r="15" spans="1:17" ht="17.25" customHeight="1" x14ac:dyDescent="0.25">
      <c r="A15" s="57">
        <v>16</v>
      </c>
      <c r="B15" s="58">
        <v>0</v>
      </c>
      <c r="C15" s="58">
        <v>0</v>
      </c>
      <c r="D15" s="58">
        <v>1</v>
      </c>
      <c r="E15" s="58">
        <v>0</v>
      </c>
      <c r="F15" s="58">
        <v>10</v>
      </c>
      <c r="G15" s="58">
        <v>2</v>
      </c>
      <c r="H15" s="58">
        <v>1</v>
      </c>
      <c r="I15" s="58">
        <v>2</v>
      </c>
      <c r="J15" s="58">
        <v>9</v>
      </c>
      <c r="K15" s="58">
        <v>1</v>
      </c>
      <c r="L15" s="58">
        <v>0</v>
      </c>
      <c r="M15" s="59">
        <v>1</v>
      </c>
      <c r="N15" s="58" t="s">
        <v>59</v>
      </c>
      <c r="O15" s="127" t="s">
        <v>61</v>
      </c>
      <c r="P15" s="128"/>
      <c r="Q15" s="60">
        <f>SUM('Necesidades Trimestrales'!I10:I22)</f>
        <v>1998000</v>
      </c>
    </row>
    <row r="16" spans="1:17" ht="33" customHeight="1" thickBot="1" x14ac:dyDescent="0.3">
      <c r="A16" s="139" t="s">
        <v>99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61">
        <f>SUM(Q15:Q15)</f>
        <v>1998000</v>
      </c>
    </row>
    <row r="17" spans="1:17" ht="18" customHeight="1" thickBot="1" x14ac:dyDescent="0.3">
      <c r="A17" s="140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2"/>
    </row>
    <row r="18" spans="1:17" ht="17.25" customHeight="1" thickBot="1" x14ac:dyDescent="0.3">
      <c r="A18" s="129" t="s">
        <v>51</v>
      </c>
      <c r="B18" s="130"/>
      <c r="C18" s="130"/>
      <c r="D18" s="130"/>
      <c r="E18" s="130"/>
      <c r="F18" s="131"/>
      <c r="G18" s="132" t="s">
        <v>66</v>
      </c>
      <c r="H18" s="132"/>
      <c r="I18" s="132"/>
      <c r="J18" s="132"/>
      <c r="K18" s="132"/>
      <c r="L18" s="132"/>
      <c r="M18" s="132"/>
      <c r="N18" s="132"/>
      <c r="O18" s="132"/>
      <c r="P18" s="132"/>
      <c r="Q18" s="132"/>
    </row>
    <row r="19" spans="1:17" ht="18" customHeight="1" x14ac:dyDescent="0.25">
      <c r="A19" s="133" t="s">
        <v>65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5"/>
    </row>
    <row r="20" spans="1:17" ht="15" customHeight="1" thickBot="1" x14ac:dyDescent="0.3">
      <c r="A20" s="136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8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2021-08-12T15:01:51Z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