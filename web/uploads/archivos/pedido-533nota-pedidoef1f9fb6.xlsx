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Trimestrales'!$A$9:$I$9</definedName>
    <definedName name="_xlnm.Print_Area" localSheetId="2">'Autor Gastar'!$A$1:$Q$27</definedName>
    <definedName name="_xlnm.Print_Area" localSheetId="1">NotaPedido!$A$1:$K$80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8" i="2" l="1"/>
  <c r="C73" i="2"/>
  <c r="I18" i="2" l="1"/>
  <c r="J18" i="2"/>
  <c r="K18" i="2"/>
  <c r="C17" i="2"/>
  <c r="C16" i="2"/>
  <c r="C79" i="2"/>
  <c r="K78" i="2"/>
  <c r="J78" i="2"/>
  <c r="I78" i="2"/>
  <c r="C78" i="2"/>
  <c r="I76" i="1" l="1"/>
  <c r="D76" i="1"/>
  <c r="D77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 l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9" i="2"/>
  <c r="K17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9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4" i="2"/>
  <c r="C75" i="2"/>
  <c r="C76" i="2"/>
  <c r="C77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9" i="2"/>
  <c r="I17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9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77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80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<sst xmlns="http://schemas.openxmlformats.org/spreadsheetml/2006/main" count="430" uniqueCount="217">
  <si>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</si>
  <si>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</si>
  <si>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</si>
  <si>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</si>
  <si>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</si>
  <si>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</si>
  <si>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</si>
  <si>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</si>
  <si>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</si>
  <si>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</si>
  <si>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</si>
  <si>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</si>
  <si>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</si>
  <si>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</si>
  <si>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</si>
  <si>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</si>
  <si>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</si>
  <si>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</si>
  <si>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</si>
  <si>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</si>
  <si>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</si>
  <si>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</si>
  <si>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</si>
  <si>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</si>
  <si>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</si>
  <si>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</si>
  <si>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</si>
  <si>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</si>
  <si>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</si>
  <si>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</si>
  <si>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</si>
  <si>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</si>
  <si>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</si>
  <si>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</si>
  <si>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</si>
  <si>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</si>
  <si>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</si>
  <si>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</si>
  <si>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</si>
  <si>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</si>
  <si>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</si>
  <si>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</si>
  <si>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</si>
  <si>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</si>
  <si>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</si>
  <si>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</si>
  <si>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</si>
  <si>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</si>
  <si>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</si>
  <si>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</si>
  <si>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</si>
  <si>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</si>
  <si>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</si>
  <si>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</si>
  <si>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</si>
  <si>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</si>
  <si>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</si>
  <si>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</si>
  <si>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</si>
  <si>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</si>
  <si>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</si>
  <si>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>3.1</t>
  </si>
  <si>
    <t>1.1</t>
  </si>
  <si>
    <t>2.5.1-8988.2389</t>
  </si>
  <si>
    <t>QUIMICOS</t>
  </si>
  <si>
    <t>REACTIVO P/EQUIPO; MARCA EQUIPO: COBAS LIAT; NOMBRE DEL PRODUCTO: DETERMINACIÓN SARS-COV-2 &amp; INFLUENZA A/B; PRESENTACIÓN: KIT X 20 DET.</t>
  </si>
  <si>
    <t>UNIDAD</t>
  </si>
  <si>
    <t>2.5.1-9043.6</t>
  </si>
  <si>
    <t>ACEITES Y GRASAS; COMPUESTO QUIMICO: BALSAMO DE CANADA , ESTADO: LIQUIDO, CALIDAD: PRO ANALISIS, CONCENTRACION/PUREZA: 99,9 %, PRESENTACION: ENVASE X 100 Ml</t>
  </si>
  <si>
    <t>BOTELLA</t>
  </si>
  <si>
    <t>2.5.1-8937.899</t>
  </si>
  <si>
    <t>PATRON/ESTANDAR P/CALIBRACION; EQUIPO: AUTOANAL. X QUIMIOLUMINISCENCIA,, MARCA EQUIPO: ROCHE, NOMBRE DEL PRODUCTO: CONTROL ANTI CCP 2 NIVELES, PRESENTACION: 4 X 2 ML</t>
  </si>
  <si>
    <t>CAJA</t>
  </si>
  <si>
    <t>2.5.1-8988.1619</t>
  </si>
  <si>
    <t>REACTIVOS P/EQUIPO; EQUIPO: ANALIZADOR DE QUIMICA CLINICA, MARCA EQUIPO: ROCHE, NOMBRE DEL PRODUCTO: ANTIESTREPTOLISINA, PRESENTACION: ENVASE X 150 DETERM.</t>
  </si>
  <si>
    <t>CASSETTE</t>
  </si>
  <si>
    <t>2.5.1-8988.1331</t>
  </si>
  <si>
    <t>REACTIVOS P/EQUIPO; EQUIPO: ANALIZADOR MULTIPARAMÉTRICO; MARCA EQUIPO: COBAS ROCHE; NOMBRE DEL PRODUCTO: DET. DE ÁCIDO ÚRICO; PRESENTACIÓN: UNIDAD S/PLIEGO</t>
  </si>
  <si>
    <t>2.5.1-8988.972</t>
  </si>
  <si>
    <t>REACTIVOS P/EQUIPO; EQUIPO: AUTOANA. QUIMICA CLINICA, MARCA EQUIPO: COBAS ROCHE, NOMBRE DEL PRODUCTO: ALBUMINA P/MICROALBUMINURIA, PRESENTACION: ENVASE X 100 DETERM.</t>
  </si>
  <si>
    <t>2.5.1-8988.930</t>
  </si>
  <si>
    <t>REACTIVOS P/EQUIPO; EQUIPO: AUTOANA. QUIMICA CLINICA, MARCA EQUIPO: COBAS ROCHE, NOMBRE DEL PRODUCTO: ALBUMINA, PRESENTACION: ENVASE X 300 DETERM.</t>
  </si>
  <si>
    <t>2.5.1-8988.943</t>
  </si>
  <si>
    <t>REACTIVOS P/EQUIPO; EQUIPO: AUTOANA. QUIMICA CLINICA, MARCA EQUIPO: COBAS ROCHE, NOMBRE DEL PRODUCTO: ALP2L (IFCC), PRESENTACION: ENVASE X 400 DETERM.</t>
  </si>
  <si>
    <t>2.5.1-8988.933</t>
  </si>
  <si>
    <t>REACTIVOS P/EQUIPO; EQUIPO: AUTOANA. QUIMICA CLINICA, MARCA EQUIPO: COBAS ROCHE, NOMBRE DEL PRODUCTO: ALTL (IFCC), PRESENTACION: ENVASE X 500 DETERM.</t>
  </si>
  <si>
    <t>2.5.1-8988.931</t>
  </si>
  <si>
    <t>REACTIVOS P/EQUIPO; EQUIPO: AUTOANA. QUIMICA CLINICA, MARCA EQUIPO: COBAS ROCHE, NOMBRE DEL PRODUCTO: AMILASA TOTAL, PRESENTACION: ENVASE X 300 DETERM.</t>
  </si>
  <si>
    <t>2.5.1-8988.932</t>
  </si>
  <si>
    <t>REACTIVOS P/EQUIPO; EQUIPO: AUTOANA. QUIMICA CLINICA, MARCA EQUIPO: COBAS ROCHE, NOMBRE DEL PRODUCTO: AST (IFCC), PRESENTACION: ENVASE X 500 DETERM.</t>
  </si>
  <si>
    <t>2.5.1-8988.934</t>
  </si>
  <si>
    <t>REACTIVOS P/EQUIPO; EQUIPO: AUTOANA. QUIMICA CLINICA, MARCA EQUIPO: COBAS ROCHE, NOMBRE DEL PRODUCTO: BILIRRUBINA DIRECTA, PRESENTACION: ENVASE X 350 DETERM.</t>
  </si>
  <si>
    <t>2.5.1-8988.935</t>
  </si>
  <si>
    <t>REACTIVOS P/EQUIPO; EQUIPO: AUTOANA. QUIMICA CLINICA, MARCA EQUIPO: COBAS ROCHE, NOMBRE DEL PRODUCTO: BILIRRUBINA TOTAL, PRESENTACION: ENVASE X 250 DETERM.</t>
  </si>
  <si>
    <t>2.5.1-8988.1599</t>
  </si>
  <si>
    <t>REACTIVOS P/EQUIPO; EQUIPO: AUTOANA. QUIMICA CLINICA, MARCA EQUIPO: COBAS ROCHE, NOMBRE DEL PRODUCTO: C3, PRESENTACION: ENVASE X 100 DETERM.</t>
  </si>
  <si>
    <t>2.5.1-8988.1600</t>
  </si>
  <si>
    <t>REACTIVOS P/EQUIPO; EQUIPO: AUTOANA. QUIMICA CLINICA, MARCA EQUIPO: COBAS ROCHE, NOMBRE DEL PRODUCTO: C4, PRESENTACION: ENVASE X 100 DETERM.</t>
  </si>
  <si>
    <t>2.5.1-8988.936</t>
  </si>
  <si>
    <t>REACTIVOS P/EQUIPO; EQUIPO: AUTOANA. QUIMICA CLINICA, MARCA EQUIPO: COBAS ROCHE, NOMBRE DEL PRODUCTO: CALCIO, PRESENTACION: ENVASE X 300 DETERM.</t>
  </si>
  <si>
    <t>2.5.1-8988.941</t>
  </si>
  <si>
    <t>REACTIVOS P/EQUIPO; EQUIPO: AUTOANA. QUIMICA CLINICA, MARCA EQUIPO: COBAS ROCHE, NOMBRE DEL PRODUCTO: CK-NAC, PRESENTACION: ENVASE X 200 DETERM.</t>
  </si>
  <si>
    <t>2.5.1-8988.937</t>
  </si>
  <si>
    <t>REACTIVOS P/EQUIPO; EQUIPO: AUTOANA. QUIMICA CLINICA, MARCA EQUIPO: COBAS ROCHE, NOMBRE DEL PRODUCTO: COLESTEROL TOTAL, PRESENTACION: ENVASE X 400 DETERM.</t>
  </si>
  <si>
    <t>2.5.1-8988.942</t>
  </si>
  <si>
    <t>REACTIVOS P/EQUIPO; EQUIPO: AUTOANA. QUIMICA CLINICA, MARCA EQUIPO: COBAS ROCHE, NOMBRE DEL PRODUCTO: CREATININA JAFFE, PRESENTACION: ENVASE X 700 DETERM.</t>
  </si>
  <si>
    <t>2.5.1-8988.948</t>
  </si>
  <si>
    <t>REACTIVOS P/EQUIPO; EQUIPO: AUTOANA. QUIMICA CLINICA, MARCA EQUIPO: COBAS ROCHE, NOMBRE DEL PRODUCTO: FOSFORO, PRESENTACION: ENVASE X 250 DETERM.</t>
  </si>
  <si>
    <t>2.5.1-8988.970</t>
  </si>
  <si>
    <t>REACTIVOS P/EQUIPO; EQUIPO: AUTOANA. QUIMICA CLINICA, MARCA EQUIPO: COBAS ROCHE, NOMBRE DEL PRODUCTO: GAMMA GT, PRESENTACION: ENVASE X 400 DETERM.</t>
  </si>
  <si>
    <t>2.5.1-8988.969</t>
  </si>
  <si>
    <t>REACTIVOS P/EQUIPO; EQUIPO: AUTOANA. QUIMICA CLINICA, MARCA EQUIPO: COBAS ROCHE, NOMBRE DEL PRODUCTO: GLUCOSA, PRESENTACION: ENVASE X 800 DETERM.</t>
  </si>
  <si>
    <t>2.5.1-8988.954</t>
  </si>
  <si>
    <t>REACTIVOS P/EQUIPO; EQUIPO: AUTOANA. QUIMICA CLINICA, MARCA EQUIPO: COBAS ROCHE, NOMBRE DEL PRODUCTO: HEMOGLOBINA GLICOSILADA, PRESENTACION: ENVASE X 150 DETERM.</t>
  </si>
  <si>
    <t>2.5.1-8988.945</t>
  </si>
  <si>
    <t>REACTIVOS P/EQUIPO; EQUIPO: AUTOANA. QUIMICA CLINICA, MARCA EQUIPO: COBAS ROCHE, NOMBRE DEL PRODUCTO: HIERRO, PRESENTACION: ENVASE X 200 DETERM.</t>
  </si>
  <si>
    <t>2.5.1-8988.971</t>
  </si>
  <si>
    <t>REACTIVOS P/EQUIPO; EQUIPO: AUTOANA. QUIMICA CLINICA, MARCA EQUIPO: COBAS ROCHE, NOMBRE DEL PRODUCTO: LDH OPTIMIZADA, PRESENTACION: ENVASE X 300 DETERM.</t>
  </si>
  <si>
    <t>2.5.1-8988.946</t>
  </si>
  <si>
    <t>REACTIVOS P/EQUIPO; EQUIPO: AUTOANA. QUIMICA CLINICA, MARCA EQUIPO: COBAS ROCHE, NOMBRE DEL PRODUCTO: LIPASA, PRESENTACION: ENVASE X 200 DETERM.</t>
  </si>
  <si>
    <t>2.5.1-8988.949</t>
  </si>
  <si>
    <t>REACTIVOS P/EQUIPO; EQUIPO: AUTOANA. QUIMICA CLINICA, MARCA EQUIPO: COBAS ROCHE, NOMBRE DEL PRODUCTO: PROTEINAS TOTALES, PRESENTACION: ENVASE X 300 DETERM.</t>
  </si>
  <si>
    <t>2.5.1-8988.950</t>
  </si>
  <si>
    <t>REACTIVOS P/EQUIPO; EQUIPO: AUTOANA. QUIMICA CLINICA, MARCA EQUIPO: COBAS ROCHE, NOMBRE DEL PRODUCTO: TRIGLICERIDOS, PRESENTACION: ENVASE X 250 DETERM.</t>
  </si>
  <si>
    <t>2.5.1-8988.956</t>
  </si>
  <si>
    <t>REACTIVOS P/EQUIPO; EQUIPO: AUTOANA. QUIMICA CLINICA, MARCA EQUIPO: COBAS ROCHE, NOMBRE DEL PRODUCTO: U/CSF, PRESENTACION: ENVASE X 150 DETERM.</t>
  </si>
  <si>
    <t>2.5.1-8988.952</t>
  </si>
  <si>
    <t>REACTIVOS P/EQUIPO; EQUIPO: AUTOANA. QUIMICA CLINICA, MARCA EQUIPO: COBAS ROCHE, NOMBRE DEL PRODUCTO: UREA (BUN), PRESENTACION: ENVASE X 500 DETERM.</t>
  </si>
  <si>
    <t>2.5.1-8988.461</t>
  </si>
  <si>
    <t>REACTIVOS P/EQUIPO; EQUIPO: AUTOANA. X QUIMIOLUMINISCENCIA, MARCA EQUIPO: ROCHE, NOMBRE DEL PRODUCTO: ANTIG. PROSTATICO ESPECIF. PSA, PRESENTACION: ENVASE X 100 DETERM.</t>
  </si>
  <si>
    <t>2.5.1-8988.20</t>
  </si>
  <si>
    <t>REACTIVOS P/EQUIPO; EQUIPO: AUTOANA. X QUIMIOLUMINISCENCIA, MARCA EQUIPO: ROCHE, NOMBRE DEL PRODUCTO: CONTROL UNIVERSAL, PRESENTACION: 4 X ENVASE X 3 Ml</t>
  </si>
  <si>
    <t>2.5.1-8988.1792</t>
  </si>
  <si>
    <t>REACTIVOS P/EQUIPO; EQUIPO: AUTOANA. X QUIMIOLUMINISCENCIA, MARCA EQUIPO: ROCHE, NOMBRE DEL PRODUCTO: FERRITINA, PRESENTACION: ENVASE X 250 DETERM.</t>
  </si>
  <si>
    <t>2.5.1-8988.446</t>
  </si>
  <si>
    <t>REACTIVOS P/EQUIPO; EQUIPO: AUTOANA. X QUIMIOLUMINISCENCIA, MARCA EQUIPO: ROCHE, NOMBRE DEL PRODUCTO: KIT P/CUANT TIROGLOBULINA 2GEN, PRESENTACION: ENVASE X 100 DETERM.</t>
  </si>
  <si>
    <t>2.5.1-8988.432</t>
  </si>
  <si>
    <t>REACTIVOS P/EQUIPO; EQUIPO: AUTOANA. X QUIMIOLUMINISCENCIA, MARCA EQUIPO: ROCHE, NOMBRE DEL PRODUCTO: KIT P/CUANT. HORMONA ESTRADIOL, PRESENTACION: ENVASE X 100 DETERM.</t>
  </si>
  <si>
    <t>2.5.1-8988.435</t>
  </si>
  <si>
    <t>REACTIVOS P/EQUIPO; EQUIPO: AUTOANA. X QUIMIOLUMINISCENCIA, MARCA EQUIPO: ROCHE, NOMBRE DEL PRODUCTO: KIT P/CUANT. HORMONA INSULINA, PRESENTACION: ENVASE X 100 DETERM.</t>
  </si>
  <si>
    <t>2.5.1-8988.439</t>
  </si>
  <si>
    <t>REACTIVOS P/EQUIPO; EQUIPO: AUTOANA. X QUIMIOLUMINISCENCIA, MARCA EQUIPO: ROCHE, NOMBRE DEL PRODUCTO: KIT P/CUANT. TESTOSTERONA, PRESENTACION: ENVASE X 100 DETERM.</t>
  </si>
  <si>
    <t>2.5.1-8988.443</t>
  </si>
  <si>
    <t>REACTIVOS P/EQUIPO; EQUIPO: AUTOANA. X QUIMIOLUMINISCENCIA, MARCA EQUIPO: ROCHE, NOMBRE DEL PRODUCTO: KIT P/CUANT. TIROIDE T3 LIBRE, PRESENTACION: ENVASE X 200 DETERM.</t>
  </si>
  <si>
    <t>2.5.1-8988.440</t>
  </si>
  <si>
    <t>REACTIVOS P/EQUIPO; EQUIPO: AUTOANA. X QUIMIOLUMINISCENCIA, MARCA EQUIPO: ROCHE, NOMBRE DEL PRODUCTO: KIT P/CUANT. TIROTROFICA TSH, PRESENTACION: ENVASE X 200 DETERM.</t>
  </si>
  <si>
    <t>2.5.1-8988.582</t>
  </si>
  <si>
    <t>REACTIVOS P/EQUIPO; EQUIPO: AUTOANA. X QUIMIOLUMINISCENCIA, MARCA EQUIPO: ROCHE, NOMBRE DEL PRODUCTO: KIT P/CUANT. VITAMINA D, PRESENTACION: ENVASE X 100 DETERM.</t>
  </si>
  <si>
    <t>2.5.1-8988.1793</t>
  </si>
  <si>
    <t>REACTIVOS P/EQUIPO; EQUIPO: AUTOANA. X QUIMIOLUMINISCENCIA, MARCA EQUIPO: ROCHE, NOMBRE DEL PRODUCTO: TRANSFERRINA, PRESENTACION: ENVASE X 100 DETERM.</t>
  </si>
  <si>
    <t>2.5.1-8988.2388</t>
  </si>
  <si>
    <t>REACTIVOS P/EQUIPO; EQUIPO: AUTOANA. X QUIMIOLUMINISCENCIA, MARCA EQUIPO: ROCHE, NOMBRE DEL PRODUCTO: VARIA, PRESENTACION: 4 X 3 ML</t>
  </si>
  <si>
    <t>2.5.1-8988.441</t>
  </si>
  <si>
    <t>REACTIVOS P/EQUIPO; EQUIPO: AUTOANA. X QUIMIOLUMINISCENCIA; MARCA EQUIPO: ROCHE; NOMBRE DEL PRODUCTO: KIT P/CUANT. HORM. TIROIDE T3 TOTAL; PRESENTACIÓN: ENVASE X 200 DETERM.</t>
  </si>
  <si>
    <t>2.5.1-8988.442</t>
  </si>
  <si>
    <t>REACTIVOS P/EQUIPO; EQUIPO: AUTOANA. X QUIMIOLUMINISCENCIA; MARCA EQUIPO: ROCHE; NOMBRE DEL PRODUCTO: KIT P/CUANT. HORM. TIROIDE T4 TOTAL; PRESENTACIÓN: ENVASE X 200 DETERM.</t>
  </si>
  <si>
    <t>2.5.1-8988.1603</t>
  </si>
  <si>
    <t>REACTIVOS P/EQUIPO; EQUIPO: AUTOANALIZADOR, MARCA EQUIPO: COBAS ROCHE, NOMBRE DEL PRODUCTO: IG A, PRESENTACION: ENVASE X 150 DETERM.</t>
  </si>
  <si>
    <t>2.5.1-8988.1604</t>
  </si>
  <si>
    <t>REACTIVOS P/EQUIPO; EQUIPO: AUTOANALIZADOR, MARCA EQUIPO: COBAS ROCHE, NOMBRE DEL PRODUCTO: IG G, PRESENTACION: ENVASE X 150 DETERM.</t>
  </si>
  <si>
    <t>2.5.1-8988.1605</t>
  </si>
  <si>
    <t>REACTIVOS P/EQUIPO; EQUIPO: AUTOANALIZADOR, MARCA EQUIPO: COBAS ROCHE, NOMBRE DEL PRODUCTO: IG M, PRESENTACION: ENVASE X 150 DETERM.</t>
  </si>
  <si>
    <t>2.5.1-8988.2395</t>
  </si>
  <si>
    <t>REACTIVOS P/EQUIPO; EQUIPO: COBAS C 311 , MARCA EQUIPO: ROCHE, NOMBRE DEL PRODUCTO: SOLUCION DE LAVADO, PRESENTACION: ENVASE X 50 ML</t>
  </si>
  <si>
    <t>2.5.1-8988.2392</t>
  </si>
  <si>
    <t>REACTIVOS P/EQUIPO; EQUIPO: COBAS C 311, MARCA EQUIPO: ROCHE, NOMBRE DEL PRODUCTO: FACT. REUMATOIDEO, PRESENTACION: 100 DET</t>
  </si>
  <si>
    <t>2.5.1-8988.2391</t>
  </si>
  <si>
    <t>REACTIVOS P/EQUIPO; EQUIPO: COBAS C 311, MARCA EQUIPO: ROCHE, NOMBRE DEL PRODUCTO: SOLUCION DE LAVADO, PRESENTACION: ENVASE X 54 ML</t>
  </si>
  <si>
    <t>2.5.1-8988.2387</t>
  </si>
  <si>
    <t>REACTIVOS P/EQUIPO; EQUIPO: COBAS C311, MARCA EQUIPO: COBAS ROCHE, NOMBRE DEL PRODUCTO: NAOH-D, PRESENTACION: CASSETTE</t>
  </si>
  <si>
    <t>2.5.1-8988.2397</t>
  </si>
  <si>
    <t>REACTIVOS P/EQUIPO; EQUIPO: COBAS C311, MARCA EQUIPO: ROCHE, NOMBRE DEL PRODUCTO: CALIBRADOR P-SIST-AUT- PROTEINAS, PRESENTACION: 5 X 1ML</t>
  </si>
  <si>
    <t>2.5.1-8988.2400</t>
  </si>
  <si>
    <t>REACTIVOS P/EQUIPO; EQUIPO: COBAS C311, MARCA EQUIPO: ROCHE, NOMBRE DEL PRODUCTO: COLESTEROL HDL, PRESENTACION: 350 DET</t>
  </si>
  <si>
    <t>2.5.1-8988.2393</t>
  </si>
  <si>
    <t>REACTIVOS P/EQUIPO; EQUIPO: COBAS C311, MARCA EQUIPO: ROCHE, NOMBRE DEL PRODUCTO: DET. DE CRP, PRESENTACION: 250 UNID</t>
  </si>
  <si>
    <t>2.5.1-8988.2394</t>
  </si>
  <si>
    <t>REACTIVOS P/EQUIPO; EQUIPO: COBAS E411, MARCA EQUIPO: COBAS ROCHE, NOMBRE DEL PRODUCTO: ANTI TPO, PRESENTACION: 100 UNIDAD</t>
  </si>
  <si>
    <t>2.5.1-8988.1322</t>
  </si>
  <si>
    <t>REACTIVOS P/EQUIPO; EQUIPO: CONTADOR HEMATOLOGICO, MARCA EQUIPO: SYSMEX ROCHE, NOMBRE DEL PRODUCTO: DILUYENTE, PRESENTACION: ENVASE X 20 L</t>
  </si>
  <si>
    <t>BIDON</t>
  </si>
  <si>
    <t>2.5.1-8988.1323</t>
  </si>
  <si>
    <t>REACTIVOS P/EQUIPO; EQUIPO: CONTADOR HEMATOLOGICO, MARCA EQUIPO: SYSMEX ROCHE, NOMBRE DEL PRODUCTO: LISANTE, PRESENTACION: ENVASE X 5 L</t>
  </si>
  <si>
    <t>2.5.1-8988.1324</t>
  </si>
  <si>
    <t>REACTIVOS P/EQUIPO; EQUIPO: CONTADOR HEMATOLOGICO, MARCA EQUIPO: SYSMEX ROCHE, NOMBRE DEL PRODUCTO: REACTIVO DIFERENCIAL, PRESENTACION: ENVASE X 5 L</t>
  </si>
  <si>
    <t>2.5.1-8988.1095</t>
  </si>
  <si>
    <t>REACTIVOS P/EQUIPO; EQUIPO: ELECTROQUIMIOLUMINISCENCIA, MARCA EQUIPO: ELECSYS ROCHE, NOMBRE DEL PRODUCTO: ANTI PEPTIDO CITRULINADO, PRESENTACION: ENVASE X 100 DETERM.</t>
  </si>
  <si>
    <t>2.5.1-8988.2396</t>
  </si>
  <si>
    <t>REACTIVOS P/EQUIPO; EQUIPO: SYSMEX XN-L, MARCA EQUIPO: SYSMEX, NOMBRE DEL PRODUCTO: CELLCLEAN AUTO, PRESENTACION: 4ML X 20</t>
  </si>
  <si>
    <t>2.5.1-8988.2398</t>
  </si>
  <si>
    <t>REACTIVOS P/EQUIPO; EQUIPO: SYSMEX XN-L, MARCA EQUIPO: SYSMEX, NOMBRE DEL PRODUCTO: FLUOROCELL WDF, PRESENTACION: 2 X 42MM</t>
  </si>
  <si>
    <t>2.5.1-8988.2399</t>
  </si>
  <si>
    <t>REACTIVOS P/EQUIPO; REACTIVO: HEMOLISANTE HBAIC2, EQUIPO: COBAS C311, MARCA: ROCHE, PRESENTACION: X 800 DET</t>
  </si>
  <si>
    <t>2.5.1-8988.2401</t>
  </si>
  <si>
    <t>REACTIVOS P/EQUIPO; REACTIVO: LDL COLESTEROL, EQUIPO: COBAS C311, MARCA: ROCHE, PRESENTACION: X 200 DET</t>
  </si>
  <si>
    <t>2.5.1-8988.2402</t>
  </si>
  <si>
    <t>REACTIVOS P/EQUIPO; REACTIVO: MAGNESIO, EQUIPO: COBAS C311, MARCA: ROCHE, PRESENTACION: X 250 DET</t>
  </si>
  <si>
    <t>2.5.1-8988.2403</t>
  </si>
  <si>
    <t>REACTIVOS P/EQUIPO; REACTIVO: NACL 9%, EQUIPO: COBAS C311, MARCA EQUIPO: ROCHE, PRESENTACION: SEGUN PLIEGO</t>
  </si>
  <si>
    <t>2.5.1-8988.2390</t>
  </si>
  <si>
    <t>REACTIVOS P/EQUIPO; EQUIPO: SISTEMA AUTOM. P/HEMOCULTIVO, MARCA EQUIPO: BACTEC PLUS/AEROBIC/F, NOMBRE DEL PRODUCTO: FRASCO P/HEMOCULTIVO (CULTURE VIALS), PRESENTACION: CAJA POR 50 UNIDADES X 30 ML</t>
  </si>
  <si>
    <t xml:space="preserve">PLAZO DE MANTENIMIENTO DE OFERTA: 45 DIAS HABILES </t>
  </si>
  <si>
    <t xml:space="preserve">PLAZO DE ENTREGA: 15 DIAS HABILES EN EL SERVICIO DE LABORATORIO - AVDA. ILLIA Y MARIANO MORENO - DE LUNES A VIERNES EN EL HORARIO DE 08 A 11 HORAS </t>
  </si>
  <si>
    <t>BALSAMO DE CANADA SINTETICO T/BIOPUR X 100 ML</t>
  </si>
  <si>
    <t>Especificidades Item N° 3:</t>
  </si>
  <si>
    <t>BALSAMO DE CANADA NATURAL SECADO RAPIDO T/BIOPUR X 100 ML</t>
  </si>
  <si>
    <t>REACTIVO ACIDO URICO COBAS C-311 ROCHE  X 400 DET</t>
  </si>
  <si>
    <t>Especificidades Item N° 6:</t>
  </si>
  <si>
    <t>Servicio de Laboratorio Central</t>
  </si>
  <si>
    <t>Adquisición de Reactivos Desiertos</t>
  </si>
  <si>
    <t>SI</t>
  </si>
  <si>
    <t>2.5.1-8988.2230</t>
  </si>
  <si>
    <t>REACTIVOS P/EQUIPO; EQUIPO: SISTEMA AUTOMATIZADO P/ORINA, MARCA EQUIPO: GENERICO, NOMBRE DEL PRODUCTO: TIRAS REACTIVAS 10 PARAMETROS, PRESENTACION: ENVASE X 100 UN</t>
  </si>
  <si>
    <t>Costo total estimado: PESOS DIEZ MILLONES QUINIENTOS VEINTITRES MIL TRESCIENTOS VEINTINUEVE CON 00/100</t>
  </si>
  <si>
    <t>TOTAL DE PESOS: DIEZ MILLONES QUINIENTOS VEINTITRES MIL TRESCIENTOS VEINTINUEVE CON 00/100.-----</t>
  </si>
  <si>
    <t>NOTA DE PEDIDO 121</t>
  </si>
  <si>
    <t>DOCFI-2022-01873418-CAT-DASIS#HSJB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</si>
</sst>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4" fillId="0" borderId="48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9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6" fillId="0" borderId="44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6"/>
  <sheetViews>
    <sheetView tabSelected="1" topLeftCell="A73" zoomScale="85" zoomScaleNormal="85" workbookViewId="0">
      <selection activeCell="H86" sqref="H86"/>
    </sheetView>
  </sheetViews>
  <sheetFormatPr baseColWidth="10" defaultColWidth="11" defaultRowHeight="12.75" x14ac:dyDescent="0.2"/>
  <cols>
    <col min="1" max="1" width="4.5703125" style="39" customWidth="1"/>
    <col min="2" max="2" width="1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5">
      <c r="A4" s="84" t="s">
        <v>1</v>
      </c>
      <c r="B4" s="84"/>
      <c r="C4" s="85" t="s">
        <v>57</v>
      </c>
      <c r="D4" s="85"/>
      <c r="E4" s="85"/>
      <c r="F4" s="40"/>
      <c r="G4" s="41"/>
      <c r="H4" s="40"/>
    </row>
    <row r="5" spans="1:9" ht="18" customHeight="1" x14ac:dyDescent="0.25">
      <c r="A5" s="84" t="s">
        <v>2</v>
      </c>
      <c r="B5" s="84"/>
      <c r="C5" s="85" t="s">
        <v>58</v>
      </c>
      <c r="D5" s="85"/>
      <c r="E5" s="85"/>
      <c r="F5" s="40"/>
      <c r="G5" s="41"/>
      <c r="H5" s="40"/>
    </row>
    <row r="6" spans="1:9" ht="16.5" customHeight="1" x14ac:dyDescent="0.25">
      <c r="A6" s="84" t="s">
        <v>3</v>
      </c>
      <c r="B6" s="84"/>
      <c r="C6" s="64">
        <v>2022</v>
      </c>
      <c r="D6" s="65"/>
      <c r="E6" s="65"/>
      <c r="F6" s="40"/>
      <c r="G6" s="41"/>
      <c r="H6" s="40"/>
    </row>
    <row r="7" spans="1:9" ht="16.5" customHeight="1" x14ac:dyDescent="0.25">
      <c r="A7" s="84" t="s">
        <v>4</v>
      </c>
      <c r="B7" s="84"/>
      <c r="C7" s="64">
        <v>4</v>
      </c>
      <c r="D7" s="65"/>
      <c r="E7" s="65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1" t="s">
        <v>63</v>
      </c>
      <c r="C10" s="57" t="s">
        <v>64</v>
      </c>
      <c r="D10" s="58" t="str">
        <f>LEFT(B10,5)</f>
        <v>2.5.1</v>
      </c>
      <c r="E10" s="59" t="s">
        <v>65</v>
      </c>
      <c r="F10" s="61" t="s">
        <v>66</v>
      </c>
      <c r="G10" s="61">
        <v>24</v>
      </c>
      <c r="H10" s="62">
        <v>156000</v>
      </c>
      <c r="I10" s="63">
        <f t="shared" ref="I10:I73" si="0">G10*H10</f>
        <v>3744000</v>
      </c>
    </row>
    <row r="11" spans="1:9" ht="31.9" customHeight="1" thickBot="1" x14ac:dyDescent="0.25">
      <c r="A11" s="56">
        <v>2</v>
      </c>
      <c r="B11" s="61" t="s">
        <v>67</v>
      </c>
      <c r="C11" s="57" t="s">
        <v>64</v>
      </c>
      <c r="D11" s="58" t="str">
        <f t="shared" ref="D11:D74" si="1">LEFT(B11,5)</f>
        <v>2.5.1</v>
      </c>
      <c r="E11" s="59" t="s">
        <v>68</v>
      </c>
      <c r="F11" s="61" t="s">
        <v>69</v>
      </c>
      <c r="G11" s="61">
        <v>6</v>
      </c>
      <c r="H11" s="62">
        <v>2686</v>
      </c>
      <c r="I11" s="63">
        <f t="shared" si="0"/>
        <v>16116</v>
      </c>
    </row>
    <row r="12" spans="1:9" ht="31.9" customHeight="1" thickBot="1" x14ac:dyDescent="0.25">
      <c r="A12" s="56">
        <v>3</v>
      </c>
      <c r="B12" s="61" t="s">
        <v>67</v>
      </c>
      <c r="C12" s="57" t="s">
        <v>64</v>
      </c>
      <c r="D12" s="58" t="str">
        <f t="shared" si="1"/>
        <v>2.5.1</v>
      </c>
      <c r="E12" s="59" t="s">
        <v>68</v>
      </c>
      <c r="F12" s="61" t="s">
        <v>69</v>
      </c>
      <c r="G12" s="61">
        <v>6</v>
      </c>
      <c r="H12" s="62">
        <v>2518</v>
      </c>
      <c r="I12" s="63">
        <f t="shared" si="0"/>
        <v>15108</v>
      </c>
    </row>
    <row r="13" spans="1:9" ht="31.9" customHeight="1" thickBot="1" x14ac:dyDescent="0.25">
      <c r="A13" s="56">
        <v>4</v>
      </c>
      <c r="B13" s="61" t="s">
        <v>70</v>
      </c>
      <c r="C13" s="57" t="s">
        <v>64</v>
      </c>
      <c r="D13" s="58" t="str">
        <f t="shared" si="1"/>
        <v>2.5.1</v>
      </c>
      <c r="E13" s="59" t="s">
        <v>71</v>
      </c>
      <c r="F13" s="61" t="s">
        <v>72</v>
      </c>
      <c r="G13" s="61">
        <v>1</v>
      </c>
      <c r="H13" s="62">
        <v>37129</v>
      </c>
      <c r="I13" s="63">
        <f t="shared" si="0"/>
        <v>37129</v>
      </c>
    </row>
    <row r="14" spans="1:9" ht="31.9" customHeight="1" thickBot="1" x14ac:dyDescent="0.25">
      <c r="A14" s="56">
        <v>5</v>
      </c>
      <c r="B14" s="61" t="s">
        <v>73</v>
      </c>
      <c r="C14" s="57" t="s">
        <v>64</v>
      </c>
      <c r="D14" s="58" t="str">
        <f t="shared" si="1"/>
        <v>2.5.1</v>
      </c>
      <c r="E14" s="59" t="s">
        <v>74</v>
      </c>
      <c r="F14" s="61" t="s">
        <v>75</v>
      </c>
      <c r="G14" s="61">
        <v>1</v>
      </c>
      <c r="H14" s="62">
        <v>38887</v>
      </c>
      <c r="I14" s="63">
        <f t="shared" si="0"/>
        <v>38887</v>
      </c>
    </row>
    <row r="15" spans="1:9" ht="31.9" customHeight="1" thickBot="1" x14ac:dyDescent="0.25">
      <c r="A15" s="56">
        <v>6</v>
      </c>
      <c r="B15" s="61" t="s">
        <v>76</v>
      </c>
      <c r="C15" s="57" t="s">
        <v>64</v>
      </c>
      <c r="D15" s="58" t="str">
        <f t="shared" si="1"/>
        <v>2.5.1</v>
      </c>
      <c r="E15" s="59" t="s">
        <v>77</v>
      </c>
      <c r="F15" s="61" t="s">
        <v>75</v>
      </c>
      <c r="G15" s="61">
        <v>3</v>
      </c>
      <c r="H15" s="62">
        <v>7703</v>
      </c>
      <c r="I15" s="63">
        <f t="shared" si="0"/>
        <v>23109</v>
      </c>
    </row>
    <row r="16" spans="1:9" ht="31.9" customHeight="1" thickBot="1" x14ac:dyDescent="0.25">
      <c r="A16" s="56">
        <v>7</v>
      </c>
      <c r="B16" s="61" t="s">
        <v>78</v>
      </c>
      <c r="C16" s="57" t="s">
        <v>64</v>
      </c>
      <c r="D16" s="58" t="str">
        <f t="shared" si="1"/>
        <v>2.5.1</v>
      </c>
      <c r="E16" s="59" t="s">
        <v>79</v>
      </c>
      <c r="F16" s="61" t="s">
        <v>75</v>
      </c>
      <c r="G16" s="61">
        <v>2</v>
      </c>
      <c r="H16" s="62">
        <v>14833</v>
      </c>
      <c r="I16" s="63">
        <f t="shared" si="0"/>
        <v>29666</v>
      </c>
    </row>
    <row r="17" spans="1:9" ht="31.9" customHeight="1" thickBot="1" x14ac:dyDescent="0.25">
      <c r="A17" s="56">
        <v>8</v>
      </c>
      <c r="B17" s="61" t="s">
        <v>80</v>
      </c>
      <c r="C17" s="57" t="s">
        <v>64</v>
      </c>
      <c r="D17" s="58" t="str">
        <f t="shared" si="1"/>
        <v>2.5.1</v>
      </c>
      <c r="E17" s="59" t="s">
        <v>81</v>
      </c>
      <c r="F17" s="61" t="s">
        <v>75</v>
      </c>
      <c r="G17" s="61">
        <v>14</v>
      </c>
      <c r="H17" s="62">
        <v>2820</v>
      </c>
      <c r="I17" s="63">
        <f t="shared" si="0"/>
        <v>39480</v>
      </c>
    </row>
    <row r="18" spans="1:9" ht="31.9" customHeight="1" thickBot="1" x14ac:dyDescent="0.25">
      <c r="A18" s="56">
        <v>9</v>
      </c>
      <c r="B18" s="61" t="s">
        <v>82</v>
      </c>
      <c r="C18" s="57" t="s">
        <v>64</v>
      </c>
      <c r="D18" s="58" t="str">
        <f t="shared" si="1"/>
        <v>2.5.1</v>
      </c>
      <c r="E18" s="59" t="s">
        <v>83</v>
      </c>
      <c r="F18" s="61" t="s">
        <v>75</v>
      </c>
      <c r="G18" s="61">
        <v>8</v>
      </c>
      <c r="H18" s="62">
        <v>12214</v>
      </c>
      <c r="I18" s="63">
        <f t="shared" si="0"/>
        <v>97712</v>
      </c>
    </row>
    <row r="19" spans="1:9" ht="31.9" customHeight="1" thickBot="1" x14ac:dyDescent="0.25">
      <c r="A19" s="56">
        <v>10</v>
      </c>
      <c r="B19" s="61" t="s">
        <v>84</v>
      </c>
      <c r="C19" s="57" t="s">
        <v>64</v>
      </c>
      <c r="D19" s="58" t="str">
        <f t="shared" si="1"/>
        <v>2.5.1</v>
      </c>
      <c r="E19" s="59" t="s">
        <v>85</v>
      </c>
      <c r="F19" s="61" t="s">
        <v>75</v>
      </c>
      <c r="G19" s="61">
        <v>8</v>
      </c>
      <c r="H19" s="62">
        <v>12214</v>
      </c>
      <c r="I19" s="63">
        <f t="shared" si="0"/>
        <v>97712</v>
      </c>
    </row>
    <row r="20" spans="1:9" ht="31.9" customHeight="1" thickBot="1" x14ac:dyDescent="0.25">
      <c r="A20" s="56">
        <v>11</v>
      </c>
      <c r="B20" s="61" t="s">
        <v>86</v>
      </c>
      <c r="C20" s="57" t="s">
        <v>64</v>
      </c>
      <c r="D20" s="58" t="str">
        <f t="shared" si="1"/>
        <v>2.5.1</v>
      </c>
      <c r="E20" s="59" t="s">
        <v>87</v>
      </c>
      <c r="F20" s="61" t="s">
        <v>75</v>
      </c>
      <c r="G20" s="61">
        <v>4</v>
      </c>
      <c r="H20" s="62">
        <v>14571</v>
      </c>
      <c r="I20" s="63">
        <f t="shared" si="0"/>
        <v>58284</v>
      </c>
    </row>
    <row r="21" spans="1:9" ht="31.9" customHeight="1" thickBot="1" x14ac:dyDescent="0.25">
      <c r="A21" s="56">
        <v>12</v>
      </c>
      <c r="B21" s="61" t="s">
        <v>88</v>
      </c>
      <c r="C21" s="57" t="s">
        <v>64</v>
      </c>
      <c r="D21" s="58" t="str">
        <f t="shared" si="1"/>
        <v>2.5.1</v>
      </c>
      <c r="E21" s="59" t="s">
        <v>89</v>
      </c>
      <c r="F21" s="61" t="s">
        <v>75</v>
      </c>
      <c r="G21" s="61">
        <v>8</v>
      </c>
      <c r="H21" s="62">
        <v>12214</v>
      </c>
      <c r="I21" s="63">
        <f t="shared" si="0"/>
        <v>97712</v>
      </c>
    </row>
    <row r="22" spans="1:9" ht="31.9" customHeight="1" thickBot="1" x14ac:dyDescent="0.25">
      <c r="A22" s="56">
        <v>13</v>
      </c>
      <c r="B22" s="61" t="s">
        <v>90</v>
      </c>
      <c r="C22" s="57" t="s">
        <v>64</v>
      </c>
      <c r="D22" s="58" t="str">
        <f t="shared" si="1"/>
        <v>2.5.1</v>
      </c>
      <c r="E22" s="59" t="s">
        <v>91</v>
      </c>
      <c r="F22" s="61" t="s">
        <v>75</v>
      </c>
      <c r="G22" s="61">
        <v>10</v>
      </c>
      <c r="H22" s="62">
        <v>5658</v>
      </c>
      <c r="I22" s="63">
        <f t="shared" si="0"/>
        <v>56580</v>
      </c>
    </row>
    <row r="23" spans="1:9" ht="31.9" customHeight="1" thickBot="1" x14ac:dyDescent="0.25">
      <c r="A23" s="56">
        <v>14</v>
      </c>
      <c r="B23" s="61" t="s">
        <v>92</v>
      </c>
      <c r="C23" s="57" t="s">
        <v>64</v>
      </c>
      <c r="D23" s="58" t="str">
        <f t="shared" si="1"/>
        <v>2.5.1</v>
      </c>
      <c r="E23" s="59" t="s">
        <v>93</v>
      </c>
      <c r="F23" s="61" t="s">
        <v>75</v>
      </c>
      <c r="G23" s="61">
        <v>15</v>
      </c>
      <c r="H23" s="62">
        <v>5807</v>
      </c>
      <c r="I23" s="63">
        <f t="shared" si="0"/>
        <v>87105</v>
      </c>
    </row>
    <row r="24" spans="1:9" ht="31.9" customHeight="1" thickBot="1" x14ac:dyDescent="0.25">
      <c r="A24" s="56">
        <v>15</v>
      </c>
      <c r="B24" s="61" t="s">
        <v>94</v>
      </c>
      <c r="C24" s="57" t="s">
        <v>64</v>
      </c>
      <c r="D24" s="58" t="str">
        <f t="shared" si="1"/>
        <v>2.5.1</v>
      </c>
      <c r="E24" s="59" t="s">
        <v>95</v>
      </c>
      <c r="F24" s="61" t="s">
        <v>75</v>
      </c>
      <c r="G24" s="61">
        <v>1</v>
      </c>
      <c r="H24" s="62">
        <v>17058</v>
      </c>
      <c r="I24" s="63">
        <f t="shared" si="0"/>
        <v>17058</v>
      </c>
    </row>
    <row r="25" spans="1:9" ht="31.9" customHeight="1" thickBot="1" x14ac:dyDescent="0.25">
      <c r="A25" s="56">
        <v>16</v>
      </c>
      <c r="B25" s="61" t="s">
        <v>96</v>
      </c>
      <c r="C25" s="57" t="s">
        <v>64</v>
      </c>
      <c r="D25" s="58" t="str">
        <f t="shared" si="1"/>
        <v>2.5.1</v>
      </c>
      <c r="E25" s="59" t="s">
        <v>97</v>
      </c>
      <c r="F25" s="61" t="s">
        <v>75</v>
      </c>
      <c r="G25" s="61">
        <v>1</v>
      </c>
      <c r="H25" s="62">
        <v>17058</v>
      </c>
      <c r="I25" s="63">
        <f t="shared" si="0"/>
        <v>17058</v>
      </c>
    </row>
    <row r="26" spans="1:9" ht="31.9" customHeight="1" thickBot="1" x14ac:dyDescent="0.25">
      <c r="A26" s="56">
        <v>17</v>
      </c>
      <c r="B26" s="61" t="s">
        <v>98</v>
      </c>
      <c r="C26" s="57" t="s">
        <v>64</v>
      </c>
      <c r="D26" s="58" t="str">
        <f t="shared" si="1"/>
        <v>2.5.1</v>
      </c>
      <c r="E26" s="59" t="s">
        <v>99</v>
      </c>
      <c r="F26" s="61" t="s">
        <v>75</v>
      </c>
      <c r="G26" s="61">
        <v>2</v>
      </c>
      <c r="H26" s="62">
        <v>5807</v>
      </c>
      <c r="I26" s="63">
        <f t="shared" si="0"/>
        <v>11614</v>
      </c>
    </row>
    <row r="27" spans="1:9" ht="31.9" customHeight="1" thickBot="1" x14ac:dyDescent="0.25">
      <c r="A27" s="56">
        <v>18</v>
      </c>
      <c r="B27" s="61" t="s">
        <v>100</v>
      </c>
      <c r="C27" s="57" t="s">
        <v>64</v>
      </c>
      <c r="D27" s="58" t="str">
        <f t="shared" si="1"/>
        <v>2.5.1</v>
      </c>
      <c r="E27" s="59" t="s">
        <v>101</v>
      </c>
      <c r="F27" s="61" t="s">
        <v>75</v>
      </c>
      <c r="G27" s="61">
        <v>2</v>
      </c>
      <c r="H27" s="62">
        <v>4834</v>
      </c>
      <c r="I27" s="63">
        <f t="shared" si="0"/>
        <v>9668</v>
      </c>
    </row>
    <row r="28" spans="1:9" ht="31.9" customHeight="1" thickBot="1" x14ac:dyDescent="0.25">
      <c r="A28" s="56">
        <v>19</v>
      </c>
      <c r="B28" s="61" t="s">
        <v>102</v>
      </c>
      <c r="C28" s="57" t="s">
        <v>64</v>
      </c>
      <c r="D28" s="58" t="str">
        <f t="shared" si="1"/>
        <v>2.5.1</v>
      </c>
      <c r="E28" s="59" t="s">
        <v>103</v>
      </c>
      <c r="F28" s="61" t="s">
        <v>75</v>
      </c>
      <c r="G28" s="61">
        <v>3</v>
      </c>
      <c r="H28" s="62">
        <v>5807</v>
      </c>
      <c r="I28" s="63">
        <f t="shared" si="0"/>
        <v>17421</v>
      </c>
    </row>
    <row r="29" spans="1:9" ht="31.9" customHeight="1" thickBot="1" x14ac:dyDescent="0.25">
      <c r="A29" s="56">
        <v>20</v>
      </c>
      <c r="B29" s="61" t="s">
        <v>104</v>
      </c>
      <c r="C29" s="57" t="s">
        <v>64</v>
      </c>
      <c r="D29" s="58" t="str">
        <f t="shared" si="1"/>
        <v>2.5.1</v>
      </c>
      <c r="E29" s="59" t="s">
        <v>105</v>
      </c>
      <c r="F29" s="61" t="s">
        <v>75</v>
      </c>
      <c r="G29" s="61">
        <v>10</v>
      </c>
      <c r="H29" s="62">
        <v>6370</v>
      </c>
      <c r="I29" s="63">
        <f t="shared" si="0"/>
        <v>63700</v>
      </c>
    </row>
    <row r="30" spans="1:9" ht="31.9" customHeight="1" thickBot="1" x14ac:dyDescent="0.25">
      <c r="A30" s="56">
        <v>21</v>
      </c>
      <c r="B30" s="61" t="s">
        <v>106</v>
      </c>
      <c r="C30" s="57" t="s">
        <v>64</v>
      </c>
      <c r="D30" s="58" t="str">
        <f t="shared" si="1"/>
        <v>2.5.1</v>
      </c>
      <c r="E30" s="59" t="s">
        <v>107</v>
      </c>
      <c r="F30" s="61" t="s">
        <v>75</v>
      </c>
      <c r="G30" s="61">
        <v>2</v>
      </c>
      <c r="H30" s="62">
        <v>5386</v>
      </c>
      <c r="I30" s="63">
        <f t="shared" si="0"/>
        <v>10772</v>
      </c>
    </row>
    <row r="31" spans="1:9" ht="31.9" customHeight="1" thickBot="1" x14ac:dyDescent="0.25">
      <c r="A31" s="56">
        <v>22</v>
      </c>
      <c r="B31" s="61" t="s">
        <v>108</v>
      </c>
      <c r="C31" s="57" t="s">
        <v>64</v>
      </c>
      <c r="D31" s="58" t="str">
        <f t="shared" si="1"/>
        <v>2.5.1</v>
      </c>
      <c r="E31" s="59" t="s">
        <v>109</v>
      </c>
      <c r="F31" s="61" t="s">
        <v>75</v>
      </c>
      <c r="G31" s="61">
        <v>12</v>
      </c>
      <c r="H31" s="62">
        <v>12787</v>
      </c>
      <c r="I31" s="63">
        <f t="shared" si="0"/>
        <v>153444</v>
      </c>
    </row>
    <row r="32" spans="1:9" ht="31.9" customHeight="1" thickBot="1" x14ac:dyDescent="0.25">
      <c r="A32" s="56">
        <v>23</v>
      </c>
      <c r="B32" s="61" t="s">
        <v>110</v>
      </c>
      <c r="C32" s="57" t="s">
        <v>64</v>
      </c>
      <c r="D32" s="58" t="str">
        <f t="shared" si="1"/>
        <v>2.5.1</v>
      </c>
      <c r="E32" s="59" t="s">
        <v>111</v>
      </c>
      <c r="F32" s="61" t="s">
        <v>75</v>
      </c>
      <c r="G32" s="61">
        <v>10</v>
      </c>
      <c r="H32" s="62">
        <v>12726</v>
      </c>
      <c r="I32" s="63">
        <f t="shared" si="0"/>
        <v>127260</v>
      </c>
    </row>
    <row r="33" spans="1:9" ht="31.9" customHeight="1" thickBot="1" x14ac:dyDescent="0.25">
      <c r="A33" s="56">
        <v>24</v>
      </c>
      <c r="B33" s="61" t="s">
        <v>112</v>
      </c>
      <c r="C33" s="57" t="s">
        <v>64</v>
      </c>
      <c r="D33" s="58" t="str">
        <f t="shared" si="1"/>
        <v>2.5.1</v>
      </c>
      <c r="E33" s="59" t="s">
        <v>113</v>
      </c>
      <c r="F33" s="61" t="s">
        <v>75</v>
      </c>
      <c r="G33" s="61">
        <v>4</v>
      </c>
      <c r="H33" s="62">
        <v>32680</v>
      </c>
      <c r="I33" s="63">
        <f t="shared" si="0"/>
        <v>130720</v>
      </c>
    </row>
    <row r="34" spans="1:9" ht="31.9" customHeight="1" thickBot="1" x14ac:dyDescent="0.25">
      <c r="A34" s="56">
        <v>25</v>
      </c>
      <c r="B34" s="61" t="s">
        <v>114</v>
      </c>
      <c r="C34" s="57" t="s">
        <v>64</v>
      </c>
      <c r="D34" s="58" t="str">
        <f t="shared" si="1"/>
        <v>2.5.1</v>
      </c>
      <c r="E34" s="59" t="s">
        <v>115</v>
      </c>
      <c r="F34" s="61" t="s">
        <v>75</v>
      </c>
      <c r="G34" s="61">
        <v>2</v>
      </c>
      <c r="H34" s="62">
        <v>2879</v>
      </c>
      <c r="I34" s="63">
        <f t="shared" si="0"/>
        <v>5758</v>
      </c>
    </row>
    <row r="35" spans="1:9" ht="31.9" customHeight="1" thickBot="1" x14ac:dyDescent="0.25">
      <c r="A35" s="56">
        <v>26</v>
      </c>
      <c r="B35" s="61" t="s">
        <v>116</v>
      </c>
      <c r="C35" s="57" t="s">
        <v>64</v>
      </c>
      <c r="D35" s="58" t="str">
        <f t="shared" si="1"/>
        <v>2.5.1</v>
      </c>
      <c r="E35" s="59" t="s">
        <v>117</v>
      </c>
      <c r="F35" s="61" t="s">
        <v>75</v>
      </c>
      <c r="G35" s="61">
        <v>4</v>
      </c>
      <c r="H35" s="62">
        <v>4834</v>
      </c>
      <c r="I35" s="63">
        <f t="shared" si="0"/>
        <v>19336</v>
      </c>
    </row>
    <row r="36" spans="1:9" ht="31.9" customHeight="1" thickBot="1" x14ac:dyDescent="0.25">
      <c r="A36" s="56">
        <v>27</v>
      </c>
      <c r="B36" s="61" t="s">
        <v>118</v>
      </c>
      <c r="C36" s="57" t="s">
        <v>64</v>
      </c>
      <c r="D36" s="58" t="str">
        <f t="shared" si="1"/>
        <v>2.5.1</v>
      </c>
      <c r="E36" s="59" t="s">
        <v>119</v>
      </c>
      <c r="F36" s="61" t="s">
        <v>75</v>
      </c>
      <c r="G36" s="61">
        <v>5</v>
      </c>
      <c r="H36" s="62">
        <v>14571</v>
      </c>
      <c r="I36" s="63">
        <f t="shared" si="0"/>
        <v>72855</v>
      </c>
    </row>
    <row r="37" spans="1:9" ht="31.9" customHeight="1" thickBot="1" x14ac:dyDescent="0.25">
      <c r="A37" s="56">
        <v>28</v>
      </c>
      <c r="B37" s="61" t="s">
        <v>120</v>
      </c>
      <c r="C37" s="57" t="s">
        <v>64</v>
      </c>
      <c r="D37" s="58" t="str">
        <f t="shared" si="1"/>
        <v>2.5.1</v>
      </c>
      <c r="E37" s="59" t="s">
        <v>121</v>
      </c>
      <c r="F37" s="61" t="s">
        <v>75</v>
      </c>
      <c r="G37" s="61">
        <v>12</v>
      </c>
      <c r="H37" s="62">
        <v>2438</v>
      </c>
      <c r="I37" s="63">
        <f t="shared" si="0"/>
        <v>29256</v>
      </c>
    </row>
    <row r="38" spans="1:9" ht="31.9" customHeight="1" thickBot="1" x14ac:dyDescent="0.25">
      <c r="A38" s="56">
        <v>29</v>
      </c>
      <c r="B38" s="61" t="s">
        <v>122</v>
      </c>
      <c r="C38" s="57" t="s">
        <v>64</v>
      </c>
      <c r="D38" s="58" t="str">
        <f t="shared" si="1"/>
        <v>2.5.1</v>
      </c>
      <c r="E38" s="59" t="s">
        <v>123</v>
      </c>
      <c r="F38" s="61" t="s">
        <v>75</v>
      </c>
      <c r="G38" s="61">
        <v>6</v>
      </c>
      <c r="H38" s="62">
        <v>5115</v>
      </c>
      <c r="I38" s="63">
        <f t="shared" si="0"/>
        <v>30690</v>
      </c>
    </row>
    <row r="39" spans="1:9" ht="31.9" customHeight="1" thickBot="1" x14ac:dyDescent="0.25">
      <c r="A39" s="56">
        <v>30</v>
      </c>
      <c r="B39" s="61" t="s">
        <v>124</v>
      </c>
      <c r="C39" s="57" t="s">
        <v>64</v>
      </c>
      <c r="D39" s="58" t="str">
        <f t="shared" si="1"/>
        <v>2.5.1</v>
      </c>
      <c r="E39" s="59" t="s">
        <v>125</v>
      </c>
      <c r="F39" s="61" t="s">
        <v>75</v>
      </c>
      <c r="G39" s="61">
        <v>8</v>
      </c>
      <c r="H39" s="62">
        <v>7221</v>
      </c>
      <c r="I39" s="63">
        <f t="shared" si="0"/>
        <v>57768</v>
      </c>
    </row>
    <row r="40" spans="1:9" ht="31.9" customHeight="1" thickBot="1" x14ac:dyDescent="0.25">
      <c r="A40" s="56">
        <v>31</v>
      </c>
      <c r="B40" s="61" t="s">
        <v>126</v>
      </c>
      <c r="C40" s="57" t="s">
        <v>64</v>
      </c>
      <c r="D40" s="58" t="str">
        <f t="shared" si="1"/>
        <v>2.5.1</v>
      </c>
      <c r="E40" s="59" t="s">
        <v>127</v>
      </c>
      <c r="F40" s="61" t="s">
        <v>75</v>
      </c>
      <c r="G40" s="61">
        <v>14</v>
      </c>
      <c r="H40" s="62">
        <v>8675</v>
      </c>
      <c r="I40" s="63">
        <f t="shared" si="0"/>
        <v>121450</v>
      </c>
    </row>
    <row r="41" spans="1:9" ht="31.9" customHeight="1" thickBot="1" x14ac:dyDescent="0.25">
      <c r="A41" s="56">
        <v>32</v>
      </c>
      <c r="B41" s="61" t="s">
        <v>128</v>
      </c>
      <c r="C41" s="57" t="s">
        <v>64</v>
      </c>
      <c r="D41" s="58" t="str">
        <f t="shared" si="1"/>
        <v>2.5.1</v>
      </c>
      <c r="E41" s="59" t="s">
        <v>129</v>
      </c>
      <c r="F41" s="61" t="s">
        <v>72</v>
      </c>
      <c r="G41" s="61">
        <v>1</v>
      </c>
      <c r="H41" s="62">
        <v>40102</v>
      </c>
      <c r="I41" s="63">
        <f t="shared" si="0"/>
        <v>40102</v>
      </c>
    </row>
    <row r="42" spans="1:9" ht="31.9" customHeight="1" thickBot="1" x14ac:dyDescent="0.25">
      <c r="A42" s="56">
        <v>33</v>
      </c>
      <c r="B42" s="61" t="s">
        <v>130</v>
      </c>
      <c r="C42" s="57" t="s">
        <v>64</v>
      </c>
      <c r="D42" s="58" t="str">
        <f t="shared" si="1"/>
        <v>2.5.1</v>
      </c>
      <c r="E42" s="59" t="s">
        <v>131</v>
      </c>
      <c r="F42" s="61" t="s">
        <v>72</v>
      </c>
      <c r="G42" s="61">
        <v>3</v>
      </c>
      <c r="H42" s="62">
        <v>16144</v>
      </c>
      <c r="I42" s="63">
        <f t="shared" si="0"/>
        <v>48432</v>
      </c>
    </row>
    <row r="43" spans="1:9" ht="31.9" customHeight="1" thickBot="1" x14ac:dyDescent="0.25">
      <c r="A43" s="56">
        <v>34</v>
      </c>
      <c r="B43" s="61" t="s">
        <v>132</v>
      </c>
      <c r="C43" s="57" t="s">
        <v>64</v>
      </c>
      <c r="D43" s="58" t="str">
        <f t="shared" si="1"/>
        <v>2.5.1</v>
      </c>
      <c r="E43" s="59" t="s">
        <v>133</v>
      </c>
      <c r="F43" s="61" t="s">
        <v>75</v>
      </c>
      <c r="G43" s="61">
        <v>3</v>
      </c>
      <c r="H43" s="62">
        <v>35406</v>
      </c>
      <c r="I43" s="63">
        <f t="shared" si="0"/>
        <v>106218</v>
      </c>
    </row>
    <row r="44" spans="1:9" ht="31.9" customHeight="1" thickBot="1" x14ac:dyDescent="0.25">
      <c r="A44" s="56">
        <v>35</v>
      </c>
      <c r="B44" s="61" t="s">
        <v>134</v>
      </c>
      <c r="C44" s="57" t="s">
        <v>64</v>
      </c>
      <c r="D44" s="58" t="str">
        <f t="shared" si="1"/>
        <v>2.5.1</v>
      </c>
      <c r="E44" s="59" t="s">
        <v>135</v>
      </c>
      <c r="F44" s="61" t="s">
        <v>72</v>
      </c>
      <c r="G44" s="61">
        <v>1</v>
      </c>
      <c r="H44" s="62">
        <v>31072</v>
      </c>
      <c r="I44" s="63">
        <f t="shared" si="0"/>
        <v>31072</v>
      </c>
    </row>
    <row r="45" spans="1:9" ht="31.9" customHeight="1" thickBot="1" x14ac:dyDescent="0.25">
      <c r="A45" s="56">
        <v>36</v>
      </c>
      <c r="B45" s="61" t="s">
        <v>136</v>
      </c>
      <c r="C45" s="57" t="s">
        <v>64</v>
      </c>
      <c r="D45" s="58" t="str">
        <f t="shared" si="1"/>
        <v>2.5.1</v>
      </c>
      <c r="E45" s="59" t="s">
        <v>137</v>
      </c>
      <c r="F45" s="61" t="s">
        <v>72</v>
      </c>
      <c r="G45" s="61">
        <v>1</v>
      </c>
      <c r="H45" s="62">
        <v>28344</v>
      </c>
      <c r="I45" s="63">
        <f t="shared" si="0"/>
        <v>28344</v>
      </c>
    </row>
    <row r="46" spans="1:9" ht="31.9" customHeight="1" thickBot="1" x14ac:dyDescent="0.25">
      <c r="A46" s="56">
        <v>37</v>
      </c>
      <c r="B46" s="61" t="s">
        <v>138</v>
      </c>
      <c r="C46" s="57" t="s">
        <v>64</v>
      </c>
      <c r="D46" s="58" t="str">
        <f t="shared" si="1"/>
        <v>2.5.1</v>
      </c>
      <c r="E46" s="59" t="s">
        <v>139</v>
      </c>
      <c r="F46" s="61" t="s">
        <v>72</v>
      </c>
      <c r="G46" s="61">
        <v>3</v>
      </c>
      <c r="H46" s="62">
        <v>32915</v>
      </c>
      <c r="I46" s="63">
        <f t="shared" si="0"/>
        <v>98745</v>
      </c>
    </row>
    <row r="47" spans="1:9" ht="31.9" customHeight="1" thickBot="1" x14ac:dyDescent="0.25">
      <c r="A47" s="56">
        <v>38</v>
      </c>
      <c r="B47" s="61" t="s">
        <v>140</v>
      </c>
      <c r="C47" s="57" t="s">
        <v>64</v>
      </c>
      <c r="D47" s="58" t="str">
        <f t="shared" si="1"/>
        <v>2.5.1</v>
      </c>
      <c r="E47" s="59" t="s">
        <v>141</v>
      </c>
      <c r="F47" s="61" t="s">
        <v>72</v>
      </c>
      <c r="G47" s="61">
        <v>1</v>
      </c>
      <c r="H47" s="62">
        <v>28344</v>
      </c>
      <c r="I47" s="63">
        <f t="shared" si="0"/>
        <v>28344</v>
      </c>
    </row>
    <row r="48" spans="1:9" ht="31.9" customHeight="1" thickBot="1" x14ac:dyDescent="0.25">
      <c r="A48" s="56">
        <v>39</v>
      </c>
      <c r="B48" s="61" t="s">
        <v>142</v>
      </c>
      <c r="C48" s="57" t="s">
        <v>64</v>
      </c>
      <c r="D48" s="58" t="str">
        <f t="shared" si="1"/>
        <v>2.5.1</v>
      </c>
      <c r="E48" s="59" t="s">
        <v>143</v>
      </c>
      <c r="F48" s="61" t="s">
        <v>72</v>
      </c>
      <c r="G48" s="61">
        <v>1</v>
      </c>
      <c r="H48" s="62">
        <v>35910</v>
      </c>
      <c r="I48" s="63">
        <f t="shared" si="0"/>
        <v>35910</v>
      </c>
    </row>
    <row r="49" spans="1:9" ht="31.9" customHeight="1" thickBot="1" x14ac:dyDescent="0.25">
      <c r="A49" s="56">
        <v>40</v>
      </c>
      <c r="B49" s="61" t="s">
        <v>144</v>
      </c>
      <c r="C49" s="57" t="s">
        <v>64</v>
      </c>
      <c r="D49" s="58" t="str">
        <f t="shared" si="1"/>
        <v>2.5.1</v>
      </c>
      <c r="E49" s="59" t="s">
        <v>145</v>
      </c>
      <c r="F49" s="61" t="s">
        <v>72</v>
      </c>
      <c r="G49" s="61">
        <v>12</v>
      </c>
      <c r="H49" s="62">
        <v>28041</v>
      </c>
      <c r="I49" s="63">
        <f t="shared" si="0"/>
        <v>336492</v>
      </c>
    </row>
    <row r="50" spans="1:9" ht="31.9" customHeight="1" thickBot="1" x14ac:dyDescent="0.25">
      <c r="A50" s="56">
        <v>41</v>
      </c>
      <c r="B50" s="61" t="s">
        <v>146</v>
      </c>
      <c r="C50" s="57" t="s">
        <v>64</v>
      </c>
      <c r="D50" s="58" t="str">
        <f t="shared" si="1"/>
        <v>2.5.1</v>
      </c>
      <c r="E50" s="59" t="s">
        <v>147</v>
      </c>
      <c r="F50" s="61" t="s">
        <v>72</v>
      </c>
      <c r="G50" s="61">
        <v>8</v>
      </c>
      <c r="H50" s="62">
        <v>127977</v>
      </c>
      <c r="I50" s="63">
        <f t="shared" si="0"/>
        <v>1023816</v>
      </c>
    </row>
    <row r="51" spans="1:9" ht="31.9" customHeight="1" thickBot="1" x14ac:dyDescent="0.25">
      <c r="A51" s="56">
        <v>42</v>
      </c>
      <c r="B51" s="61" t="s">
        <v>148</v>
      </c>
      <c r="C51" s="57" t="s">
        <v>64</v>
      </c>
      <c r="D51" s="58" t="str">
        <f t="shared" si="1"/>
        <v>2.5.1</v>
      </c>
      <c r="E51" s="59" t="s">
        <v>149</v>
      </c>
      <c r="F51" s="61" t="s">
        <v>75</v>
      </c>
      <c r="G51" s="61">
        <v>3</v>
      </c>
      <c r="H51" s="62">
        <v>13599</v>
      </c>
      <c r="I51" s="63">
        <f t="shared" si="0"/>
        <v>40797</v>
      </c>
    </row>
    <row r="52" spans="1:9" ht="31.9" customHeight="1" thickBot="1" x14ac:dyDescent="0.25">
      <c r="A52" s="56">
        <v>43</v>
      </c>
      <c r="B52" s="61" t="s">
        <v>150</v>
      </c>
      <c r="C52" s="57" t="s">
        <v>64</v>
      </c>
      <c r="D52" s="58" t="str">
        <f t="shared" si="1"/>
        <v>2.5.1</v>
      </c>
      <c r="E52" s="59" t="s">
        <v>151</v>
      </c>
      <c r="F52" s="61" t="s">
        <v>72</v>
      </c>
      <c r="G52" s="61">
        <v>1</v>
      </c>
      <c r="H52" s="62">
        <v>40899</v>
      </c>
      <c r="I52" s="63">
        <f t="shared" si="0"/>
        <v>40899</v>
      </c>
    </row>
    <row r="53" spans="1:9" ht="31.9" customHeight="1" thickBot="1" x14ac:dyDescent="0.25">
      <c r="A53" s="56">
        <v>44</v>
      </c>
      <c r="B53" s="61" t="s">
        <v>152</v>
      </c>
      <c r="C53" s="57" t="s">
        <v>64</v>
      </c>
      <c r="D53" s="58" t="str">
        <f t="shared" si="1"/>
        <v>2.5.1</v>
      </c>
      <c r="E53" s="59" t="s">
        <v>153</v>
      </c>
      <c r="F53" s="61" t="s">
        <v>72</v>
      </c>
      <c r="G53" s="61">
        <v>1</v>
      </c>
      <c r="H53" s="62">
        <v>29412</v>
      </c>
      <c r="I53" s="63">
        <f t="shared" si="0"/>
        <v>29412</v>
      </c>
    </row>
    <row r="54" spans="1:9" ht="31.9" customHeight="1" thickBot="1" x14ac:dyDescent="0.25">
      <c r="A54" s="56">
        <v>45</v>
      </c>
      <c r="B54" s="61" t="s">
        <v>154</v>
      </c>
      <c r="C54" s="57" t="s">
        <v>64</v>
      </c>
      <c r="D54" s="58" t="str">
        <f t="shared" si="1"/>
        <v>2.5.1</v>
      </c>
      <c r="E54" s="59" t="s">
        <v>155</v>
      </c>
      <c r="F54" s="61" t="s">
        <v>72</v>
      </c>
      <c r="G54" s="61">
        <v>1</v>
      </c>
      <c r="H54" s="62">
        <v>29412</v>
      </c>
      <c r="I54" s="63">
        <f t="shared" si="0"/>
        <v>29412</v>
      </c>
    </row>
    <row r="55" spans="1:9" ht="31.9" customHeight="1" thickBot="1" x14ac:dyDescent="0.25">
      <c r="A55" s="56">
        <v>46</v>
      </c>
      <c r="B55" s="61" t="s">
        <v>156</v>
      </c>
      <c r="C55" s="57" t="s">
        <v>64</v>
      </c>
      <c r="D55" s="58" t="str">
        <f t="shared" si="1"/>
        <v>2.5.1</v>
      </c>
      <c r="E55" s="59" t="s">
        <v>157</v>
      </c>
      <c r="F55" s="61" t="s">
        <v>75</v>
      </c>
      <c r="G55" s="61">
        <v>2</v>
      </c>
      <c r="H55" s="62">
        <v>26755</v>
      </c>
      <c r="I55" s="63">
        <f t="shared" si="0"/>
        <v>53510</v>
      </c>
    </row>
    <row r="56" spans="1:9" ht="31.9" customHeight="1" thickBot="1" x14ac:dyDescent="0.25">
      <c r="A56" s="56">
        <v>47</v>
      </c>
      <c r="B56" s="61" t="s">
        <v>158</v>
      </c>
      <c r="C56" s="57" t="s">
        <v>64</v>
      </c>
      <c r="D56" s="58" t="str">
        <f t="shared" si="1"/>
        <v>2.5.1</v>
      </c>
      <c r="E56" s="59" t="s">
        <v>159</v>
      </c>
      <c r="F56" s="61" t="s">
        <v>75</v>
      </c>
      <c r="G56" s="61">
        <v>1</v>
      </c>
      <c r="H56" s="62">
        <v>26755</v>
      </c>
      <c r="I56" s="63">
        <f t="shared" si="0"/>
        <v>26755</v>
      </c>
    </row>
    <row r="57" spans="1:9" ht="31.9" customHeight="1" thickBot="1" x14ac:dyDescent="0.25">
      <c r="A57" s="56">
        <v>48</v>
      </c>
      <c r="B57" s="61" t="s">
        <v>160</v>
      </c>
      <c r="C57" s="57" t="s">
        <v>64</v>
      </c>
      <c r="D57" s="58" t="str">
        <f t="shared" si="1"/>
        <v>2.5.1</v>
      </c>
      <c r="E57" s="59" t="s">
        <v>161</v>
      </c>
      <c r="F57" s="61" t="s">
        <v>75</v>
      </c>
      <c r="G57" s="61">
        <v>1</v>
      </c>
      <c r="H57" s="62">
        <v>26755</v>
      </c>
      <c r="I57" s="63">
        <f t="shared" si="0"/>
        <v>26755</v>
      </c>
    </row>
    <row r="58" spans="1:9" ht="31.9" customHeight="1" thickBot="1" x14ac:dyDescent="0.25">
      <c r="A58" s="56">
        <v>49</v>
      </c>
      <c r="B58" s="61" t="s">
        <v>162</v>
      </c>
      <c r="C58" s="57" t="s">
        <v>64</v>
      </c>
      <c r="D58" s="58" t="str">
        <f t="shared" si="1"/>
        <v>2.5.1</v>
      </c>
      <c r="E58" s="59" t="s">
        <v>163</v>
      </c>
      <c r="F58" s="61" t="s">
        <v>75</v>
      </c>
      <c r="G58" s="61">
        <v>18</v>
      </c>
      <c r="H58" s="62">
        <v>1527</v>
      </c>
      <c r="I58" s="63">
        <f t="shared" si="0"/>
        <v>27486</v>
      </c>
    </row>
    <row r="59" spans="1:9" ht="31.9" customHeight="1" thickBot="1" x14ac:dyDescent="0.25">
      <c r="A59" s="56">
        <v>50</v>
      </c>
      <c r="B59" s="61" t="s">
        <v>164</v>
      </c>
      <c r="C59" s="57" t="s">
        <v>64</v>
      </c>
      <c r="D59" s="58" t="str">
        <f t="shared" si="1"/>
        <v>2.5.1</v>
      </c>
      <c r="E59" s="59" t="s">
        <v>165</v>
      </c>
      <c r="F59" s="61" t="s">
        <v>75</v>
      </c>
      <c r="G59" s="61">
        <v>5</v>
      </c>
      <c r="H59" s="62">
        <v>14571</v>
      </c>
      <c r="I59" s="63">
        <f t="shared" si="0"/>
        <v>72855</v>
      </c>
    </row>
    <row r="60" spans="1:9" ht="31.9" customHeight="1" thickBot="1" x14ac:dyDescent="0.25">
      <c r="A60" s="56">
        <v>51</v>
      </c>
      <c r="B60" s="61" t="s">
        <v>166</v>
      </c>
      <c r="C60" s="57" t="s">
        <v>64</v>
      </c>
      <c r="D60" s="58" t="str">
        <f t="shared" si="1"/>
        <v>2.5.1</v>
      </c>
      <c r="E60" s="59" t="s">
        <v>167</v>
      </c>
      <c r="F60" s="61" t="s">
        <v>75</v>
      </c>
      <c r="G60" s="61">
        <v>28</v>
      </c>
      <c r="H60" s="62">
        <v>8112</v>
      </c>
      <c r="I60" s="63">
        <f t="shared" si="0"/>
        <v>227136</v>
      </c>
    </row>
    <row r="61" spans="1:9" ht="31.9" customHeight="1" thickBot="1" x14ac:dyDescent="0.25">
      <c r="A61" s="56">
        <v>52</v>
      </c>
      <c r="B61" s="61" t="s">
        <v>168</v>
      </c>
      <c r="C61" s="57" t="s">
        <v>64</v>
      </c>
      <c r="D61" s="58" t="str">
        <f t="shared" si="1"/>
        <v>2.5.1</v>
      </c>
      <c r="E61" s="59" t="s">
        <v>169</v>
      </c>
      <c r="F61" s="61" t="s">
        <v>75</v>
      </c>
      <c r="G61" s="61">
        <v>28</v>
      </c>
      <c r="H61" s="62">
        <v>1527</v>
      </c>
      <c r="I61" s="63">
        <f t="shared" si="0"/>
        <v>42756</v>
      </c>
    </row>
    <row r="62" spans="1:9" ht="31.9" customHeight="1" thickBot="1" x14ac:dyDescent="0.25">
      <c r="A62" s="56">
        <v>53</v>
      </c>
      <c r="B62" s="61" t="s">
        <v>170</v>
      </c>
      <c r="C62" s="57" t="s">
        <v>64</v>
      </c>
      <c r="D62" s="58" t="str">
        <f t="shared" si="1"/>
        <v>2.5.1</v>
      </c>
      <c r="E62" s="59" t="s">
        <v>171</v>
      </c>
      <c r="F62" s="61" t="s">
        <v>72</v>
      </c>
      <c r="G62" s="61">
        <v>1</v>
      </c>
      <c r="H62" s="62">
        <v>33102</v>
      </c>
      <c r="I62" s="63">
        <f t="shared" si="0"/>
        <v>33102</v>
      </c>
    </row>
    <row r="63" spans="1:9" ht="31.9" customHeight="1" thickBot="1" x14ac:dyDescent="0.25">
      <c r="A63" s="56">
        <v>54</v>
      </c>
      <c r="B63" s="61" t="s">
        <v>172</v>
      </c>
      <c r="C63" s="57" t="s">
        <v>64</v>
      </c>
      <c r="D63" s="58" t="str">
        <f t="shared" si="1"/>
        <v>2.5.1</v>
      </c>
      <c r="E63" s="59" t="s">
        <v>173</v>
      </c>
      <c r="F63" s="61" t="s">
        <v>75</v>
      </c>
      <c r="G63" s="61">
        <v>3</v>
      </c>
      <c r="H63" s="62">
        <v>25470</v>
      </c>
      <c r="I63" s="63">
        <f t="shared" si="0"/>
        <v>76410</v>
      </c>
    </row>
    <row r="64" spans="1:9" ht="31.9" customHeight="1" thickBot="1" x14ac:dyDescent="0.25">
      <c r="A64" s="56">
        <v>55</v>
      </c>
      <c r="B64" s="61" t="s">
        <v>174</v>
      </c>
      <c r="C64" s="57" t="s">
        <v>64</v>
      </c>
      <c r="D64" s="58" t="str">
        <f t="shared" si="1"/>
        <v>2.5.1</v>
      </c>
      <c r="E64" s="59" t="s">
        <v>175</v>
      </c>
      <c r="F64" s="61" t="s">
        <v>75</v>
      </c>
      <c r="G64" s="61">
        <v>8</v>
      </c>
      <c r="H64" s="62">
        <v>52495</v>
      </c>
      <c r="I64" s="63">
        <f t="shared" si="0"/>
        <v>419960</v>
      </c>
    </row>
    <row r="65" spans="1:9" ht="31.9" customHeight="1" thickBot="1" x14ac:dyDescent="0.25">
      <c r="A65" s="56">
        <v>56</v>
      </c>
      <c r="B65" s="61" t="s">
        <v>176</v>
      </c>
      <c r="C65" s="57" t="s">
        <v>64</v>
      </c>
      <c r="D65" s="58" t="str">
        <f t="shared" si="1"/>
        <v>2.5.1</v>
      </c>
      <c r="E65" s="59" t="s">
        <v>177</v>
      </c>
      <c r="F65" s="61" t="s">
        <v>72</v>
      </c>
      <c r="G65" s="61">
        <v>5</v>
      </c>
      <c r="H65" s="62">
        <v>32052</v>
      </c>
      <c r="I65" s="63">
        <f t="shared" si="0"/>
        <v>160260</v>
      </c>
    </row>
    <row r="66" spans="1:9" ht="31.9" customHeight="1" thickBot="1" x14ac:dyDescent="0.25">
      <c r="A66" s="56">
        <v>57</v>
      </c>
      <c r="B66" s="61" t="s">
        <v>178</v>
      </c>
      <c r="C66" s="57" t="s">
        <v>64</v>
      </c>
      <c r="D66" s="58" t="str">
        <f t="shared" si="1"/>
        <v>2.5.1</v>
      </c>
      <c r="E66" s="59" t="s">
        <v>179</v>
      </c>
      <c r="F66" s="61" t="s">
        <v>180</v>
      </c>
      <c r="G66" s="61">
        <v>30</v>
      </c>
      <c r="H66" s="62">
        <v>15298</v>
      </c>
      <c r="I66" s="63">
        <f t="shared" si="0"/>
        <v>458940</v>
      </c>
    </row>
    <row r="67" spans="1:9" ht="31.9" customHeight="1" thickBot="1" x14ac:dyDescent="0.25">
      <c r="A67" s="56">
        <v>58</v>
      </c>
      <c r="B67" s="61" t="s">
        <v>181</v>
      </c>
      <c r="C67" s="57" t="s">
        <v>64</v>
      </c>
      <c r="D67" s="58" t="str">
        <f t="shared" si="1"/>
        <v>2.5.1</v>
      </c>
      <c r="E67" s="59" t="s">
        <v>182</v>
      </c>
      <c r="F67" s="61" t="s">
        <v>180</v>
      </c>
      <c r="G67" s="61">
        <v>4</v>
      </c>
      <c r="H67" s="62">
        <v>28942</v>
      </c>
      <c r="I67" s="63">
        <f t="shared" si="0"/>
        <v>115768</v>
      </c>
    </row>
    <row r="68" spans="1:9" ht="31.9" customHeight="1" thickBot="1" x14ac:dyDescent="0.25">
      <c r="A68" s="56">
        <v>59</v>
      </c>
      <c r="B68" s="61" t="s">
        <v>183</v>
      </c>
      <c r="C68" s="57" t="s">
        <v>64</v>
      </c>
      <c r="D68" s="58" t="str">
        <f t="shared" si="1"/>
        <v>2.5.1</v>
      </c>
      <c r="E68" s="59" t="s">
        <v>184</v>
      </c>
      <c r="F68" s="61" t="s">
        <v>180</v>
      </c>
      <c r="G68" s="61">
        <v>1</v>
      </c>
      <c r="H68" s="62">
        <v>49446</v>
      </c>
      <c r="I68" s="63">
        <f t="shared" si="0"/>
        <v>49446</v>
      </c>
    </row>
    <row r="69" spans="1:9" ht="31.9" customHeight="1" thickBot="1" x14ac:dyDescent="0.25">
      <c r="A69" s="56">
        <v>60</v>
      </c>
      <c r="B69" s="61" t="s">
        <v>185</v>
      </c>
      <c r="C69" s="57" t="s">
        <v>64</v>
      </c>
      <c r="D69" s="58" t="str">
        <f t="shared" si="1"/>
        <v>2.5.1</v>
      </c>
      <c r="E69" s="60" t="s">
        <v>186</v>
      </c>
      <c r="F69" s="61" t="s">
        <v>72</v>
      </c>
      <c r="G69" s="61">
        <v>2</v>
      </c>
      <c r="H69" s="62">
        <v>42107</v>
      </c>
      <c r="I69" s="63">
        <f t="shared" si="0"/>
        <v>84214</v>
      </c>
    </row>
    <row r="70" spans="1:9" ht="31.9" customHeight="1" thickBot="1" x14ac:dyDescent="0.25">
      <c r="A70" s="56">
        <v>61</v>
      </c>
      <c r="B70" s="61" t="s">
        <v>187</v>
      </c>
      <c r="C70" s="57" t="s">
        <v>64</v>
      </c>
      <c r="D70" s="58" t="str">
        <f t="shared" si="1"/>
        <v>2.5.1</v>
      </c>
      <c r="E70" s="59" t="s">
        <v>188</v>
      </c>
      <c r="F70" s="61" t="s">
        <v>72</v>
      </c>
      <c r="G70" s="61">
        <v>15</v>
      </c>
      <c r="H70" s="62">
        <v>12404</v>
      </c>
      <c r="I70" s="63">
        <f t="shared" si="0"/>
        <v>186060</v>
      </c>
    </row>
    <row r="71" spans="1:9" ht="31.9" customHeight="1" thickBot="1" x14ac:dyDescent="0.25">
      <c r="A71" s="56">
        <v>62</v>
      </c>
      <c r="B71" s="61" t="s">
        <v>189</v>
      </c>
      <c r="C71" s="57" t="s">
        <v>64</v>
      </c>
      <c r="D71" s="58" t="str">
        <f t="shared" si="1"/>
        <v>2.5.1</v>
      </c>
      <c r="E71" s="59" t="s">
        <v>190</v>
      </c>
      <c r="F71" s="61" t="s">
        <v>180</v>
      </c>
      <c r="G71" s="61">
        <v>3</v>
      </c>
      <c r="H71" s="62">
        <v>90961</v>
      </c>
      <c r="I71" s="63">
        <f t="shared" si="0"/>
        <v>272883</v>
      </c>
    </row>
    <row r="72" spans="1:9" ht="31.9" customHeight="1" thickBot="1" x14ac:dyDescent="0.25">
      <c r="A72" s="56">
        <v>63</v>
      </c>
      <c r="B72" s="61" t="s">
        <v>191</v>
      </c>
      <c r="C72" s="57" t="s">
        <v>64</v>
      </c>
      <c r="D72" s="58" t="str">
        <f t="shared" si="1"/>
        <v>2.5.1</v>
      </c>
      <c r="E72" s="59" t="s">
        <v>192</v>
      </c>
      <c r="F72" s="61" t="s">
        <v>75</v>
      </c>
      <c r="G72" s="61">
        <v>1</v>
      </c>
      <c r="H72" s="62">
        <v>6240</v>
      </c>
      <c r="I72" s="63">
        <f t="shared" si="0"/>
        <v>6240</v>
      </c>
    </row>
    <row r="73" spans="1:9" ht="31.9" customHeight="1" thickBot="1" x14ac:dyDescent="0.25">
      <c r="A73" s="56">
        <v>64</v>
      </c>
      <c r="B73" s="61" t="s">
        <v>193</v>
      </c>
      <c r="C73" s="57" t="s">
        <v>64</v>
      </c>
      <c r="D73" s="58" t="str">
        <f t="shared" si="1"/>
        <v>2.5.1</v>
      </c>
      <c r="E73" s="59" t="s">
        <v>194</v>
      </c>
      <c r="F73" s="61" t="s">
        <v>75</v>
      </c>
      <c r="G73" s="61">
        <v>4</v>
      </c>
      <c r="H73" s="62">
        <v>22924</v>
      </c>
      <c r="I73" s="63">
        <f t="shared" si="0"/>
        <v>91696</v>
      </c>
    </row>
    <row r="74" spans="1:9" ht="31.9" customHeight="1" thickBot="1" x14ac:dyDescent="0.25">
      <c r="A74" s="56">
        <v>65</v>
      </c>
      <c r="B74" s="61" t="s">
        <v>195</v>
      </c>
      <c r="C74" s="57" t="s">
        <v>64</v>
      </c>
      <c r="D74" s="58" t="str">
        <f t="shared" si="1"/>
        <v>2.5.1</v>
      </c>
      <c r="E74" s="59" t="s">
        <v>196</v>
      </c>
      <c r="F74" s="61" t="s">
        <v>75</v>
      </c>
      <c r="G74" s="61">
        <v>1</v>
      </c>
      <c r="H74" s="62">
        <v>6370</v>
      </c>
      <c r="I74" s="63">
        <f t="shared" ref="I74:I77" si="2">G74*H74</f>
        <v>6370</v>
      </c>
    </row>
    <row r="75" spans="1:9" ht="31.9" customHeight="1" thickBot="1" x14ac:dyDescent="0.25">
      <c r="A75" s="56">
        <v>66</v>
      </c>
      <c r="B75" s="61" t="s">
        <v>197</v>
      </c>
      <c r="C75" s="57" t="s">
        <v>64</v>
      </c>
      <c r="D75" s="58" t="str">
        <f t="shared" ref="D75:D77" si="3">LEFT(B75,5)</f>
        <v>2.5.1</v>
      </c>
      <c r="E75" s="59" t="s">
        <v>198</v>
      </c>
      <c r="F75" s="61" t="s">
        <v>75</v>
      </c>
      <c r="G75" s="61">
        <v>3</v>
      </c>
      <c r="H75" s="62">
        <v>1716</v>
      </c>
      <c r="I75" s="63">
        <f t="shared" si="2"/>
        <v>5148</v>
      </c>
    </row>
    <row r="76" spans="1:9" ht="31.9" customHeight="1" thickBot="1" x14ac:dyDescent="0.25">
      <c r="A76" s="56">
        <v>67</v>
      </c>
      <c r="B76" s="61" t="s">
        <v>199</v>
      </c>
      <c r="C76" s="80" t="s">
        <v>64</v>
      </c>
      <c r="D76" s="81" t="str">
        <f t="shared" ref="D76" si="4">LEFT(B76,5)</f>
        <v>2.5.1</v>
      </c>
      <c r="E76" s="82" t="s">
        <v>200</v>
      </c>
      <c r="F76" s="61" t="s">
        <v>72</v>
      </c>
      <c r="G76" s="61">
        <v>8</v>
      </c>
      <c r="H76" s="62">
        <v>80332</v>
      </c>
      <c r="I76" s="63">
        <f t="shared" ref="I76" si="5">G76*H76</f>
        <v>642656</v>
      </c>
    </row>
    <row r="77" spans="1:9" ht="31.9" customHeight="1" thickBot="1" x14ac:dyDescent="0.25">
      <c r="A77" s="56">
        <v>68</v>
      </c>
      <c r="B77" s="61" t="s">
        <v>211</v>
      </c>
      <c r="C77" s="80" t="s">
        <v>64</v>
      </c>
      <c r="D77" s="81" t="str">
        <f t="shared" si="3"/>
        <v>2.5.1</v>
      </c>
      <c r="E77" s="82" t="s">
        <v>212</v>
      </c>
      <c r="F77" s="61" t="s">
        <v>72</v>
      </c>
      <c r="G77" s="61">
        <v>50</v>
      </c>
      <c r="H77" s="62">
        <v>3690</v>
      </c>
      <c r="I77" s="63">
        <f t="shared" si="2"/>
        <v>184500</v>
      </c>
    </row>
    <row r="78" spans="1:9" ht="13.5" thickBot="1" x14ac:dyDescent="0.25"/>
    <row r="79" spans="1:9" ht="39.75" customHeight="1" thickBot="1" x14ac:dyDescent="0.25">
      <c r="C79" s="88" t="s">
        <v>201</v>
      </c>
      <c r="D79" s="89"/>
      <c r="E79" s="90"/>
    </row>
    <row r="80" spans="1:9" ht="48.75" customHeight="1" thickBot="1" x14ac:dyDescent="0.25">
      <c r="C80" s="91" t="s">
        <v>202</v>
      </c>
      <c r="D80" s="92"/>
      <c r="E80" s="93"/>
    </row>
    <row r="82" spans="2:5" ht="13.5" thickBot="1" x14ac:dyDescent="0.25"/>
    <row r="83" spans="2:5" x14ac:dyDescent="0.2">
      <c r="B83" s="42" t="s">
        <v>19</v>
      </c>
      <c r="C83" s="43"/>
      <c r="D83" s="43"/>
      <c r="E83" s="44"/>
    </row>
    <row r="84" spans="2:5" ht="5.25" customHeight="1" x14ac:dyDescent="0.2">
      <c r="B84" s="45"/>
      <c r="C84" s="46"/>
      <c r="D84" s="46"/>
      <c r="E84" s="47"/>
    </row>
    <row r="85" spans="2:5" x14ac:dyDescent="0.2">
      <c r="B85" s="48" t="s">
        <v>14</v>
      </c>
      <c r="C85" s="46"/>
      <c r="D85" s="46"/>
      <c r="E85" s="47"/>
    </row>
    <row r="86" spans="2:5" ht="41.25" customHeight="1" x14ac:dyDescent="0.2">
      <c r="B86" s="48"/>
      <c r="C86" s="87" t="s">
        <v>203</v>
      </c>
      <c r="D86" s="87"/>
      <c r="E86" s="87"/>
    </row>
    <row r="87" spans="2:5" x14ac:dyDescent="0.2">
      <c r="B87" s="48" t="s">
        <v>15</v>
      </c>
      <c r="C87" s="46"/>
      <c r="D87" s="46"/>
      <c r="E87" s="47"/>
    </row>
    <row r="88" spans="2:5" x14ac:dyDescent="0.2">
      <c r="B88" s="49"/>
      <c r="C88" s="94"/>
      <c r="D88" s="94"/>
      <c r="E88" s="94"/>
    </row>
    <row r="89" spans="2:5" x14ac:dyDescent="0.2">
      <c r="B89" s="49"/>
      <c r="C89" s="86"/>
      <c r="D89" s="86"/>
      <c r="E89" s="86"/>
    </row>
    <row r="90" spans="2:5" x14ac:dyDescent="0.2">
      <c r="B90" s="48" t="s">
        <v>16</v>
      </c>
      <c r="C90" s="46"/>
      <c r="D90" s="46"/>
      <c r="E90" s="47"/>
    </row>
    <row r="91" spans="2:5" ht="26.25" customHeight="1" x14ac:dyDescent="0.2">
      <c r="B91" s="49"/>
      <c r="C91" s="87"/>
      <c r="D91" s="87"/>
      <c r="E91" s="87"/>
    </row>
    <row r="92" spans="2:5" x14ac:dyDescent="0.2">
      <c r="B92" s="48" t="s">
        <v>17</v>
      </c>
      <c r="C92" s="50"/>
      <c r="D92" s="50"/>
      <c r="E92" s="51"/>
    </row>
    <row r="93" spans="2:5" ht="26.25" customHeight="1" x14ac:dyDescent="0.2">
      <c r="B93" s="49"/>
      <c r="C93" s="95"/>
      <c r="D93" s="95"/>
      <c r="E93" s="95"/>
    </row>
    <row r="94" spans="2:5" x14ac:dyDescent="0.2">
      <c r="B94" s="48" t="s">
        <v>18</v>
      </c>
      <c r="C94" s="46"/>
      <c r="D94" s="46"/>
      <c r="E94" s="47"/>
    </row>
    <row r="95" spans="2:5" ht="23.25" customHeight="1" x14ac:dyDescent="0.2">
      <c r="B95" s="48"/>
      <c r="C95" s="96"/>
      <c r="D95" s="96"/>
      <c r="E95" s="96"/>
    </row>
    <row r="96" spans="2:5" ht="13.5" thickBot="1" x14ac:dyDescent="0.25">
      <c r="B96" s="52"/>
      <c r="C96" s="53"/>
      <c r="D96" s="53"/>
      <c r="E96" s="54"/>
    </row>
    <row r="97" spans="2:5" ht="13.5" thickBot="1" x14ac:dyDescent="0.25"/>
    <row r="98" spans="2:5" x14ac:dyDescent="0.2">
      <c r="B98" s="42" t="s">
        <v>204</v>
      </c>
      <c r="C98" s="43"/>
      <c r="D98" s="43"/>
      <c r="E98" s="44"/>
    </row>
    <row r="99" spans="2:5" ht="5.25" customHeight="1" x14ac:dyDescent="0.2">
      <c r="B99" s="45"/>
      <c r="C99" s="46"/>
      <c r="D99" s="46"/>
      <c r="E99" s="47"/>
    </row>
    <row r="100" spans="2:5" x14ac:dyDescent="0.2">
      <c r="B100" s="48" t="s">
        <v>14</v>
      </c>
      <c r="C100" s="46"/>
      <c r="D100" s="46"/>
      <c r="E100" s="47"/>
    </row>
    <row r="101" spans="2:5" ht="41.25" customHeight="1" x14ac:dyDescent="0.2">
      <c r="B101" s="48"/>
      <c r="C101" s="87" t="s">
        <v>205</v>
      </c>
      <c r="D101" s="87"/>
      <c r="E101" s="87"/>
    </row>
    <row r="102" spans="2:5" x14ac:dyDescent="0.2">
      <c r="B102" s="48" t="s">
        <v>15</v>
      </c>
      <c r="C102" s="46"/>
      <c r="D102" s="46"/>
      <c r="E102" s="47"/>
    </row>
    <row r="103" spans="2:5" x14ac:dyDescent="0.2">
      <c r="B103" s="49"/>
      <c r="C103" s="94"/>
      <c r="D103" s="94"/>
      <c r="E103" s="94"/>
    </row>
    <row r="104" spans="2:5" x14ac:dyDescent="0.2">
      <c r="B104" s="49"/>
      <c r="C104" s="86"/>
      <c r="D104" s="86"/>
      <c r="E104" s="86"/>
    </row>
    <row r="105" spans="2:5" x14ac:dyDescent="0.2">
      <c r="B105" s="48" t="s">
        <v>16</v>
      </c>
      <c r="C105" s="46"/>
      <c r="D105" s="46"/>
      <c r="E105" s="47"/>
    </row>
    <row r="106" spans="2:5" ht="26.25" customHeight="1" x14ac:dyDescent="0.2">
      <c r="B106" s="49"/>
      <c r="C106" s="87"/>
      <c r="D106" s="87"/>
      <c r="E106" s="87"/>
    </row>
    <row r="107" spans="2:5" x14ac:dyDescent="0.2">
      <c r="B107" s="48" t="s">
        <v>17</v>
      </c>
      <c r="C107" s="50"/>
      <c r="D107" s="50"/>
      <c r="E107" s="51"/>
    </row>
    <row r="108" spans="2:5" ht="26.25" customHeight="1" x14ac:dyDescent="0.2">
      <c r="B108" s="49"/>
      <c r="C108" s="95"/>
      <c r="D108" s="95"/>
      <c r="E108" s="95"/>
    </row>
    <row r="109" spans="2:5" x14ac:dyDescent="0.2">
      <c r="B109" s="48" t="s">
        <v>18</v>
      </c>
      <c r="C109" s="46"/>
      <c r="D109" s="46"/>
      <c r="E109" s="47"/>
    </row>
    <row r="110" spans="2:5" ht="23.25" customHeight="1" x14ac:dyDescent="0.2">
      <c r="B110" s="48"/>
      <c r="C110" s="96"/>
      <c r="D110" s="96"/>
      <c r="E110" s="96"/>
    </row>
    <row r="111" spans="2:5" ht="13.5" thickBot="1" x14ac:dyDescent="0.25">
      <c r="B111" s="52"/>
      <c r="C111" s="53"/>
      <c r="D111" s="53"/>
      <c r="E111" s="54"/>
    </row>
    <row r="112" spans="2:5" ht="13.5" thickBot="1" x14ac:dyDescent="0.25"/>
    <row r="113" spans="2:5" x14ac:dyDescent="0.2">
      <c r="B113" s="42" t="s">
        <v>207</v>
      </c>
      <c r="C113" s="43"/>
      <c r="D113" s="43"/>
      <c r="E113" s="44"/>
    </row>
    <row r="114" spans="2:5" ht="5.25" customHeight="1" x14ac:dyDescent="0.2">
      <c r="B114" s="45"/>
      <c r="C114" s="46"/>
      <c r="D114" s="46"/>
      <c r="E114" s="47"/>
    </row>
    <row r="115" spans="2:5" x14ac:dyDescent="0.2">
      <c r="B115" s="48" t="s">
        <v>14</v>
      </c>
      <c r="C115" s="46"/>
      <c r="D115" s="46"/>
      <c r="E115" s="47"/>
    </row>
    <row r="116" spans="2:5" ht="41.25" customHeight="1" x14ac:dyDescent="0.2">
      <c r="B116" s="48"/>
      <c r="C116" s="87" t="s">
        <v>206</v>
      </c>
      <c r="D116" s="87"/>
      <c r="E116" s="87"/>
    </row>
    <row r="117" spans="2:5" x14ac:dyDescent="0.2">
      <c r="B117" s="48" t="s">
        <v>15</v>
      </c>
      <c r="C117" s="46"/>
      <c r="D117" s="46"/>
      <c r="E117" s="47"/>
    </row>
    <row r="118" spans="2:5" x14ac:dyDescent="0.2">
      <c r="B118" s="49"/>
      <c r="C118" s="94"/>
      <c r="D118" s="94"/>
      <c r="E118" s="94"/>
    </row>
    <row r="119" spans="2:5" x14ac:dyDescent="0.2">
      <c r="B119" s="49"/>
      <c r="C119" s="86"/>
      <c r="D119" s="86"/>
      <c r="E119" s="86"/>
    </row>
    <row r="120" spans="2:5" x14ac:dyDescent="0.2">
      <c r="B120" s="48" t="s">
        <v>16</v>
      </c>
      <c r="C120" s="46"/>
      <c r="D120" s="46"/>
      <c r="E120" s="47"/>
    </row>
    <row r="121" spans="2:5" ht="26.25" customHeight="1" x14ac:dyDescent="0.2">
      <c r="B121" s="49"/>
      <c r="C121" s="87"/>
      <c r="D121" s="87"/>
      <c r="E121" s="87"/>
    </row>
    <row r="122" spans="2:5" x14ac:dyDescent="0.2">
      <c r="B122" s="48" t="s">
        <v>17</v>
      </c>
      <c r="C122" s="50"/>
      <c r="D122" s="50"/>
      <c r="E122" s="51"/>
    </row>
    <row r="123" spans="2:5" ht="26.25" customHeight="1" x14ac:dyDescent="0.2">
      <c r="B123" s="49"/>
      <c r="C123" s="95"/>
      <c r="D123" s="95"/>
      <c r="E123" s="95"/>
    </row>
    <row r="124" spans="2:5" x14ac:dyDescent="0.2">
      <c r="B124" s="48" t="s">
        <v>18</v>
      </c>
      <c r="C124" s="46"/>
      <c r="D124" s="46"/>
      <c r="E124" s="47"/>
    </row>
    <row r="125" spans="2:5" ht="23.25" customHeight="1" x14ac:dyDescent="0.2">
      <c r="B125" s="48"/>
      <c r="C125" s="96"/>
      <c r="D125" s="96"/>
      <c r="E125" s="96"/>
    </row>
    <row r="126" spans="2:5" ht="13.5" thickBot="1" x14ac:dyDescent="0.25">
      <c r="B126" s="52"/>
      <c r="C126" s="53"/>
      <c r="D126" s="53"/>
      <c r="E126" s="54"/>
    </row>
  </sheetData>
  <autoFilter ref="A9:I9"/>
  <mergeCells count="27">
    <mergeCell ref="C121:E121"/>
    <mergeCell ref="C123:E123"/>
    <mergeCell ref="C125:E125"/>
    <mergeCell ref="C108:E108"/>
    <mergeCell ref="C110:E110"/>
    <mergeCell ref="C116:E116"/>
    <mergeCell ref="C118:E118"/>
    <mergeCell ref="C119:E119"/>
    <mergeCell ref="C104:E104"/>
    <mergeCell ref="C106:E106"/>
    <mergeCell ref="A6:B6"/>
    <mergeCell ref="A7:B7"/>
    <mergeCell ref="C86:E86"/>
    <mergeCell ref="C79:E79"/>
    <mergeCell ref="C80:E80"/>
    <mergeCell ref="C101:E101"/>
    <mergeCell ref="C103:E103"/>
    <mergeCell ref="C88:E88"/>
    <mergeCell ref="C89:E89"/>
    <mergeCell ref="C91:E91"/>
    <mergeCell ref="C93:E93"/>
    <mergeCell ref="C95:E95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0"/>
  <sheetViews>
    <sheetView zoomScale="70" zoomScaleNormal="70" workbookViewId="0">
      <selection activeCell="P12" sqref="P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8.71093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7" t="s">
        <v>215</v>
      </c>
      <c r="B1" s="97"/>
      <c r="C1" s="97"/>
      <c r="D1" s="97"/>
      <c r="E1" s="97"/>
      <c r="F1" s="97"/>
      <c r="G1" s="97"/>
      <c r="H1" s="97"/>
      <c r="I1" s="97"/>
      <c r="J1" s="3" t="s">
        <v>20</v>
      </c>
      <c r="K1" s="66" t="s">
        <v>216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8" t="s">
        <v>53</v>
      </c>
      <c r="B3" s="98"/>
      <c r="C3" s="98"/>
      <c r="D3" s="99" t="str">
        <f>'Necesidades Trimestrales'!C4</f>
        <v>40 - Ministerio de Salud</v>
      </c>
      <c r="E3" s="99"/>
      <c r="F3" s="99"/>
      <c r="G3" s="99"/>
      <c r="H3" s="99"/>
      <c r="I3" s="99"/>
      <c r="J3" s="99"/>
      <c r="K3" s="99"/>
    </row>
    <row r="4" spans="1:11" ht="18.75" customHeight="1" thickBot="1" x14ac:dyDescent="0.25">
      <c r="A4" s="100" t="s">
        <v>54</v>
      </c>
      <c r="B4" s="100"/>
      <c r="C4" s="100"/>
      <c r="D4" s="99" t="str">
        <f>'Necesidades Trimestrales'!C5</f>
        <v>23 - Hospital Interzonal San Juan Bautista</v>
      </c>
      <c r="E4" s="99"/>
      <c r="F4" s="99"/>
      <c r="G4" s="99"/>
      <c r="H4" s="99"/>
      <c r="I4" s="99"/>
      <c r="J4" s="99"/>
      <c r="K4" s="99"/>
    </row>
    <row r="5" spans="1:11" ht="18.75" customHeight="1" thickBot="1" x14ac:dyDescent="0.25">
      <c r="A5" s="100" t="s">
        <v>32</v>
      </c>
      <c r="B5" s="100"/>
      <c r="C5" s="100"/>
      <c r="D5" s="99" t="s">
        <v>59</v>
      </c>
      <c r="E5" s="99"/>
      <c r="F5" s="99"/>
      <c r="G5" s="99"/>
      <c r="H5" s="99"/>
      <c r="I5" s="99"/>
      <c r="J5" s="99"/>
      <c r="K5" s="99"/>
    </row>
    <row r="6" spans="1:11" ht="16.5" customHeight="1" thickBot="1" x14ac:dyDescent="0.25">
      <c r="A6" s="98" t="s">
        <v>55</v>
      </c>
      <c r="B6" s="98"/>
      <c r="C6" s="98"/>
      <c r="D6" s="99" t="s">
        <v>208</v>
      </c>
      <c r="E6" s="99"/>
      <c r="F6" s="99"/>
      <c r="G6" s="99"/>
      <c r="H6" s="99"/>
      <c r="I6" s="99"/>
      <c r="J6" s="99"/>
      <c r="K6" s="99"/>
    </row>
    <row r="7" spans="1:11" ht="16.5" customHeight="1" x14ac:dyDescent="0.2">
      <c r="A7" s="100" t="s">
        <v>21</v>
      </c>
      <c r="B7" s="100"/>
      <c r="C7" s="100"/>
      <c r="D7" s="99" t="str">
        <f>'Necesidades Trimestrales'!C7 &amp; "° Trimestre - Año " &amp; 'Necesidades Trimestrales'!C6</f>
        <v>4° Trimestre - Año 2022</v>
      </c>
      <c r="E7" s="99"/>
      <c r="F7" s="99"/>
      <c r="G7" s="99"/>
      <c r="H7" s="99"/>
      <c r="I7" s="99"/>
      <c r="J7" s="99"/>
      <c r="K7" s="99"/>
    </row>
    <row r="8" spans="1:11" ht="16.5" customHeight="1" x14ac:dyDescent="0.2">
      <c r="A8" s="103" t="s">
        <v>22</v>
      </c>
      <c r="B8" s="103"/>
      <c r="C8" s="103"/>
      <c r="D8" s="104" t="s">
        <v>209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5" t="s">
        <v>23</v>
      </c>
      <c r="B10" s="106" t="s">
        <v>24</v>
      </c>
      <c r="C10" s="106" t="s">
        <v>25</v>
      </c>
      <c r="D10" s="106"/>
      <c r="E10" s="106"/>
      <c r="F10" s="106"/>
      <c r="G10" s="106"/>
      <c r="H10" s="106" t="s">
        <v>26</v>
      </c>
      <c r="I10" s="106" t="s">
        <v>27</v>
      </c>
      <c r="J10" s="106" t="s">
        <v>28</v>
      </c>
      <c r="K10" s="107" t="s">
        <v>29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43.15" customHeight="1" thickBot="1" x14ac:dyDescent="0.25">
      <c r="A12" s="8">
        <v>1</v>
      </c>
      <c r="B12" s="67" t="str">
        <f>'Necesidades Trimestrales'!B10</f>
        <v>2.5.1-8988.2389</v>
      </c>
      <c r="C12" s="108" t="str">
        <f>'Necesidades Trimestrales'!E10</f>
        <v>REACTIVO P/EQUIPO; MARCA EQUIPO: COBAS LIAT; NOMBRE DEL PRODUCTO: DETERMINACIÓN SARS-COV-2 &amp; INFLUENZA A/B; PRESENTACIÓN: KIT X 20 DET.</v>
      </c>
      <c r="D12" s="108"/>
      <c r="E12" s="108"/>
      <c r="F12" s="108"/>
      <c r="G12" s="108"/>
      <c r="H12" s="68" t="s">
        <v>56</v>
      </c>
      <c r="I12" s="69" t="str">
        <f>'Necesidades Trimestrales'!F10</f>
        <v>UNIDAD</v>
      </c>
      <c r="J12" s="70">
        <f>'Necesidades Trimestrales'!H10</f>
        <v>156000</v>
      </c>
      <c r="K12" s="71">
        <f>'Necesidades Trimestrales'!G10</f>
        <v>24</v>
      </c>
    </row>
    <row r="13" spans="1:11" ht="43.15" customHeight="1" thickBot="1" x14ac:dyDescent="0.25">
      <c r="A13" s="8">
        <v>2</v>
      </c>
      <c r="B13" s="67" t="str">
        <f>'Necesidades Trimestrales'!B11</f>
        <v>2.5.1-9043.6</v>
      </c>
      <c r="C13" s="108" t="str">
        <f>'Necesidades Trimestrales'!E11</f>
        <v>ACEITES Y GRASAS; COMPUESTO QUIMICO: BALSAMO DE CANADA , ESTADO: LIQUIDO, CALIDAD: PRO ANALISIS, CONCENTRACION/PUREZA: 99,9 %, PRESENTACION: ENVASE X 100 Ml</v>
      </c>
      <c r="D13" s="108"/>
      <c r="E13" s="108"/>
      <c r="F13" s="108"/>
      <c r="G13" s="108"/>
      <c r="H13" s="68" t="s">
        <v>210</v>
      </c>
      <c r="I13" s="69" t="str">
        <f>'Necesidades Trimestrales'!F11</f>
        <v>BOTELLA</v>
      </c>
      <c r="J13" s="70">
        <f>'Necesidades Trimestrales'!H11</f>
        <v>2686</v>
      </c>
      <c r="K13" s="71">
        <f>'Necesidades Trimestrales'!G11</f>
        <v>6</v>
      </c>
    </row>
    <row r="14" spans="1:11" ht="43.15" customHeight="1" thickBot="1" x14ac:dyDescent="0.25">
      <c r="A14" s="8">
        <v>3</v>
      </c>
      <c r="B14" s="67" t="str">
        <f>'Necesidades Trimestrales'!B12</f>
        <v>2.5.1-9043.6</v>
      </c>
      <c r="C14" s="108" t="str">
        <f>'Necesidades Trimestrales'!E12</f>
        <v>ACEITES Y GRASAS; COMPUESTO QUIMICO: BALSAMO DE CANADA , ESTADO: LIQUIDO, CALIDAD: PRO ANALISIS, CONCENTRACION/PUREZA: 99,9 %, PRESENTACION: ENVASE X 100 Ml</v>
      </c>
      <c r="D14" s="108"/>
      <c r="E14" s="108"/>
      <c r="F14" s="108"/>
      <c r="G14" s="108"/>
      <c r="H14" s="68" t="s">
        <v>210</v>
      </c>
      <c r="I14" s="69" t="str">
        <f>'Necesidades Trimestrales'!F12</f>
        <v>BOTELLA</v>
      </c>
      <c r="J14" s="70">
        <f>'Necesidades Trimestrales'!H12</f>
        <v>2518</v>
      </c>
      <c r="K14" s="71">
        <f>'Necesidades Trimestrales'!G12</f>
        <v>6</v>
      </c>
    </row>
    <row r="15" spans="1:11" ht="43.15" customHeight="1" thickBot="1" x14ac:dyDescent="0.25">
      <c r="A15" s="8">
        <v>4</v>
      </c>
      <c r="B15" s="67" t="str">
        <f>'Necesidades Trimestrales'!B13</f>
        <v>2.5.1-8937.899</v>
      </c>
      <c r="C15" s="108" t="str">
        <f>'Necesidades Trimestrales'!E13</f>
        <v>PATRON/ESTANDAR P/CALIBRACION; EQUIPO: AUTOANAL. X QUIMIOLUMINISCENCIA,, MARCA EQUIPO: ROCHE, NOMBRE DEL PRODUCTO: CONTROL ANTI CCP 2 NIVELES, PRESENTACION: 4 X 2 ML</v>
      </c>
      <c r="D15" s="108"/>
      <c r="E15" s="108"/>
      <c r="F15" s="108"/>
      <c r="G15" s="108"/>
      <c r="H15" s="68" t="s">
        <v>56</v>
      </c>
      <c r="I15" s="69" t="str">
        <f>'Necesidades Trimestrales'!F13</f>
        <v>CAJA</v>
      </c>
      <c r="J15" s="70">
        <f>'Necesidades Trimestrales'!H13</f>
        <v>37129</v>
      </c>
      <c r="K15" s="71">
        <f>'Necesidades Trimestrales'!G13</f>
        <v>1</v>
      </c>
    </row>
    <row r="16" spans="1:11" ht="43.15" customHeight="1" thickBot="1" x14ac:dyDescent="0.25">
      <c r="A16" s="8">
        <v>5</v>
      </c>
      <c r="B16" s="67" t="str">
        <f>'Necesidades Trimestrales'!B14</f>
        <v>2.5.1-8988.1619</v>
      </c>
      <c r="C16" s="108" t="str">
        <f>'Necesidades Trimestrales'!E14</f>
        <v>REACTIVOS P/EQUIPO; EQUIPO: ANALIZADOR DE QUIMICA CLINICA, MARCA EQUIPO: ROCHE, NOMBRE DEL PRODUCTO: ANTIESTREPTOLISINA, PRESENTACION: ENVASE X 150 DETERM.</v>
      </c>
      <c r="D16" s="108"/>
      <c r="E16" s="108"/>
      <c r="F16" s="108"/>
      <c r="G16" s="108"/>
      <c r="H16" s="68" t="s">
        <v>56</v>
      </c>
      <c r="I16" s="69" t="str">
        <f>'Necesidades Trimestrales'!F14</f>
        <v>CASSETTE</v>
      </c>
      <c r="J16" s="70">
        <f>'Necesidades Trimestrales'!H14</f>
        <v>38887</v>
      </c>
      <c r="K16" s="71">
        <f>'Necesidades Trimestrales'!G14</f>
        <v>1</v>
      </c>
    </row>
    <row r="17" spans="1:11" ht="43.15" customHeight="1" thickBot="1" x14ac:dyDescent="0.25">
      <c r="A17" s="8">
        <v>6</v>
      </c>
      <c r="B17" s="67" t="str">
        <f>'Necesidades Trimestrales'!B15</f>
        <v>2.5.1-8988.1331</v>
      </c>
      <c r="C17" s="108" t="str">
        <f>'Necesidades Trimestrales'!E15</f>
        <v>REACTIVOS P/EQUIPO; EQUIPO: ANALIZADOR MULTIPARAMÉTRICO; MARCA EQUIPO: COBAS ROCHE; NOMBRE DEL PRODUCTO: DET. DE ÁCIDO ÚRICO; PRESENTACIÓN: UNIDAD S/PLIEGO</v>
      </c>
      <c r="D17" s="108"/>
      <c r="E17" s="108"/>
      <c r="F17" s="108"/>
      <c r="G17" s="108"/>
      <c r="H17" s="68" t="s">
        <v>210</v>
      </c>
      <c r="I17" s="69" t="str">
        <f>'Necesidades Trimestrales'!F15</f>
        <v>CASSETTE</v>
      </c>
      <c r="J17" s="70">
        <f>'Necesidades Trimestrales'!H15</f>
        <v>7703</v>
      </c>
      <c r="K17" s="71">
        <f>'Necesidades Trimestrales'!G15</f>
        <v>3</v>
      </c>
    </row>
    <row r="18" spans="1:11" ht="43.15" customHeight="1" thickBot="1" x14ac:dyDescent="0.25">
      <c r="A18" s="8">
        <v>7</v>
      </c>
      <c r="B18" s="67" t="str">
        <f>'Necesidades Trimestrales'!B16</f>
        <v>2.5.1-8988.972</v>
      </c>
      <c r="C18" s="108" t="str">
        <f>'Necesidades Trimestrales'!E16</f>
        <v>REACTIVOS P/EQUIPO; EQUIPO: AUTOANA. QUIMICA CLINICA, MARCA EQUIPO: COBAS ROCHE, NOMBRE DEL PRODUCTO: ALBUMINA P/MICROALBUMINURIA, PRESENTACION: ENVASE X 100 DETERM.</v>
      </c>
      <c r="D18" s="108"/>
      <c r="E18" s="108"/>
      <c r="F18" s="108"/>
      <c r="G18" s="108"/>
      <c r="H18" s="68" t="s">
        <v>56</v>
      </c>
      <c r="I18" s="69" t="str">
        <f>'Necesidades Trimestrales'!F16</f>
        <v>CASSETTE</v>
      </c>
      <c r="J18" s="70">
        <f>'Necesidades Trimestrales'!H16</f>
        <v>14833</v>
      </c>
      <c r="K18" s="71">
        <f>'Necesidades Trimestrales'!G16</f>
        <v>2</v>
      </c>
    </row>
    <row r="19" spans="1:11" ht="43.15" customHeight="1" thickBot="1" x14ac:dyDescent="0.25">
      <c r="A19" s="8">
        <v>8</v>
      </c>
      <c r="B19" s="67" t="str">
        <f>'Necesidades Trimestrales'!B17</f>
        <v>2.5.1-8988.930</v>
      </c>
      <c r="C19" s="108" t="str">
        <f>'Necesidades Trimestrales'!E17</f>
        <v>REACTIVOS P/EQUIPO; EQUIPO: AUTOANA. QUIMICA CLINICA, MARCA EQUIPO: COBAS ROCHE, NOMBRE DEL PRODUCTO: ALBUMINA, PRESENTACION: ENVASE X 300 DETERM.</v>
      </c>
      <c r="D19" s="108"/>
      <c r="E19" s="108"/>
      <c r="F19" s="108"/>
      <c r="G19" s="108"/>
      <c r="H19" s="68" t="s">
        <v>56</v>
      </c>
      <c r="I19" s="69" t="str">
        <f>'Necesidades Trimestrales'!F17</f>
        <v>CASSETTE</v>
      </c>
      <c r="J19" s="70">
        <f>'Necesidades Trimestrales'!H17</f>
        <v>2820</v>
      </c>
      <c r="K19" s="71">
        <f>'Necesidades Trimestrales'!G17</f>
        <v>14</v>
      </c>
    </row>
    <row r="20" spans="1:11" ht="43.15" customHeight="1" thickBot="1" x14ac:dyDescent="0.25">
      <c r="A20" s="8">
        <v>9</v>
      </c>
      <c r="B20" s="67" t="str">
        <f>'Necesidades Trimestrales'!B18</f>
        <v>2.5.1-8988.943</v>
      </c>
      <c r="C20" s="108" t="str">
        <f>'Necesidades Trimestrales'!E18</f>
        <v>REACTIVOS P/EQUIPO; EQUIPO: AUTOANA. QUIMICA CLINICA, MARCA EQUIPO: COBAS ROCHE, NOMBRE DEL PRODUCTO: ALP2L (IFCC), PRESENTACION: ENVASE X 400 DETERM.</v>
      </c>
      <c r="D20" s="108"/>
      <c r="E20" s="108"/>
      <c r="F20" s="108"/>
      <c r="G20" s="108"/>
      <c r="H20" s="68" t="s">
        <v>56</v>
      </c>
      <c r="I20" s="69" t="str">
        <f>'Necesidades Trimestrales'!F18</f>
        <v>CASSETTE</v>
      </c>
      <c r="J20" s="70">
        <f>'Necesidades Trimestrales'!H18</f>
        <v>12214</v>
      </c>
      <c r="K20" s="71">
        <f>'Necesidades Trimestrales'!G18</f>
        <v>8</v>
      </c>
    </row>
    <row r="21" spans="1:11" ht="43.15" customHeight="1" thickBot="1" x14ac:dyDescent="0.25">
      <c r="A21" s="8">
        <v>10</v>
      </c>
      <c r="B21" s="67" t="str">
        <f>'Necesidades Trimestrales'!B19</f>
        <v>2.5.1-8988.933</v>
      </c>
      <c r="C21" s="108" t="str">
        <f>'Necesidades Trimestrales'!E19</f>
        <v>REACTIVOS P/EQUIPO; EQUIPO: AUTOANA. QUIMICA CLINICA, MARCA EQUIPO: COBAS ROCHE, NOMBRE DEL PRODUCTO: ALTL (IFCC), PRESENTACION: ENVASE X 500 DETERM.</v>
      </c>
      <c r="D21" s="108"/>
      <c r="E21" s="108"/>
      <c r="F21" s="108"/>
      <c r="G21" s="108"/>
      <c r="H21" s="68" t="s">
        <v>56</v>
      </c>
      <c r="I21" s="69" t="str">
        <f>'Necesidades Trimestrales'!F19</f>
        <v>CASSETTE</v>
      </c>
      <c r="J21" s="70">
        <f>'Necesidades Trimestrales'!H19</f>
        <v>12214</v>
      </c>
      <c r="K21" s="71">
        <f>'Necesidades Trimestrales'!G19</f>
        <v>8</v>
      </c>
    </row>
    <row r="22" spans="1:11" ht="43.15" customHeight="1" thickBot="1" x14ac:dyDescent="0.25">
      <c r="A22" s="8">
        <v>11</v>
      </c>
      <c r="B22" s="67" t="str">
        <f>'Necesidades Trimestrales'!B20</f>
        <v>2.5.1-8988.931</v>
      </c>
      <c r="C22" s="108" t="str">
        <f>'Necesidades Trimestrales'!E20</f>
        <v>REACTIVOS P/EQUIPO; EQUIPO: AUTOANA. QUIMICA CLINICA, MARCA EQUIPO: COBAS ROCHE, NOMBRE DEL PRODUCTO: AMILASA TOTAL, PRESENTACION: ENVASE X 300 DETERM.</v>
      </c>
      <c r="D22" s="108"/>
      <c r="E22" s="108"/>
      <c r="F22" s="108"/>
      <c r="G22" s="108"/>
      <c r="H22" s="68" t="s">
        <v>56</v>
      </c>
      <c r="I22" s="69" t="str">
        <f>'Necesidades Trimestrales'!F20</f>
        <v>CASSETTE</v>
      </c>
      <c r="J22" s="70">
        <f>'Necesidades Trimestrales'!H20</f>
        <v>14571</v>
      </c>
      <c r="K22" s="71">
        <f>'Necesidades Trimestrales'!G20</f>
        <v>4</v>
      </c>
    </row>
    <row r="23" spans="1:11" ht="43.15" customHeight="1" thickBot="1" x14ac:dyDescent="0.25">
      <c r="A23" s="8">
        <v>12</v>
      </c>
      <c r="B23" s="67" t="str">
        <f>'Necesidades Trimestrales'!B21</f>
        <v>2.5.1-8988.932</v>
      </c>
      <c r="C23" s="108" t="str">
        <f>'Necesidades Trimestrales'!E21</f>
        <v>REACTIVOS P/EQUIPO; EQUIPO: AUTOANA. QUIMICA CLINICA, MARCA EQUIPO: COBAS ROCHE, NOMBRE DEL PRODUCTO: AST (IFCC), PRESENTACION: ENVASE X 500 DETERM.</v>
      </c>
      <c r="D23" s="108"/>
      <c r="E23" s="108"/>
      <c r="F23" s="108"/>
      <c r="G23" s="108"/>
      <c r="H23" s="68" t="s">
        <v>56</v>
      </c>
      <c r="I23" s="69" t="str">
        <f>'Necesidades Trimestrales'!F21</f>
        <v>CASSETTE</v>
      </c>
      <c r="J23" s="70">
        <f>'Necesidades Trimestrales'!H21</f>
        <v>12214</v>
      </c>
      <c r="K23" s="71">
        <f>'Necesidades Trimestrales'!G21</f>
        <v>8</v>
      </c>
    </row>
    <row r="24" spans="1:11" ht="43.15" customHeight="1" thickBot="1" x14ac:dyDescent="0.25">
      <c r="A24" s="8">
        <v>13</v>
      </c>
      <c r="B24" s="67" t="str">
        <f>'Necesidades Trimestrales'!B22</f>
        <v>2.5.1-8988.934</v>
      </c>
      <c r="C24" s="108" t="str">
        <f>'Necesidades Trimestrales'!E22</f>
        <v>REACTIVOS P/EQUIPO; EQUIPO: AUTOANA. QUIMICA CLINICA, MARCA EQUIPO: COBAS ROCHE, NOMBRE DEL PRODUCTO: BILIRRUBINA DIRECTA, PRESENTACION: ENVASE X 350 DETERM.</v>
      </c>
      <c r="D24" s="108"/>
      <c r="E24" s="108"/>
      <c r="F24" s="108"/>
      <c r="G24" s="108"/>
      <c r="H24" s="68" t="s">
        <v>56</v>
      </c>
      <c r="I24" s="69" t="str">
        <f>'Necesidades Trimestrales'!F22</f>
        <v>CASSETTE</v>
      </c>
      <c r="J24" s="70">
        <f>'Necesidades Trimestrales'!H22</f>
        <v>5658</v>
      </c>
      <c r="K24" s="71">
        <f>'Necesidades Trimestrales'!G22</f>
        <v>10</v>
      </c>
    </row>
    <row r="25" spans="1:11" ht="43.15" customHeight="1" thickBot="1" x14ac:dyDescent="0.25">
      <c r="A25" s="8">
        <v>14</v>
      </c>
      <c r="B25" s="67" t="str">
        <f>'Necesidades Trimestrales'!B23</f>
        <v>2.5.1-8988.935</v>
      </c>
      <c r="C25" s="108" t="str">
        <f>'Necesidades Trimestrales'!E23</f>
        <v>REACTIVOS P/EQUIPO; EQUIPO: AUTOANA. QUIMICA CLINICA, MARCA EQUIPO: COBAS ROCHE, NOMBRE DEL PRODUCTO: BILIRRUBINA TOTAL, PRESENTACION: ENVASE X 250 DETERM.</v>
      </c>
      <c r="D25" s="108"/>
      <c r="E25" s="108"/>
      <c r="F25" s="108"/>
      <c r="G25" s="108"/>
      <c r="H25" s="68" t="s">
        <v>56</v>
      </c>
      <c r="I25" s="69" t="str">
        <f>'Necesidades Trimestrales'!F23</f>
        <v>CASSETTE</v>
      </c>
      <c r="J25" s="70">
        <f>'Necesidades Trimestrales'!H23</f>
        <v>5807</v>
      </c>
      <c r="K25" s="71">
        <f>'Necesidades Trimestrales'!G23</f>
        <v>15</v>
      </c>
    </row>
    <row r="26" spans="1:11" ht="43.15" customHeight="1" thickBot="1" x14ac:dyDescent="0.25">
      <c r="A26" s="8">
        <v>15</v>
      </c>
      <c r="B26" s="67" t="str">
        <f>'Necesidades Trimestrales'!B24</f>
        <v>2.5.1-8988.1599</v>
      </c>
      <c r="C26" s="108" t="str">
        <f>'Necesidades Trimestrales'!E24</f>
        <v>REACTIVOS P/EQUIPO; EQUIPO: AUTOANA. QUIMICA CLINICA, MARCA EQUIPO: COBAS ROCHE, NOMBRE DEL PRODUCTO: C3, PRESENTACION: ENVASE X 100 DETERM.</v>
      </c>
      <c r="D26" s="108"/>
      <c r="E26" s="108"/>
      <c r="F26" s="108"/>
      <c r="G26" s="108"/>
      <c r="H26" s="68" t="s">
        <v>56</v>
      </c>
      <c r="I26" s="69" t="str">
        <f>'Necesidades Trimestrales'!F24</f>
        <v>CASSETTE</v>
      </c>
      <c r="J26" s="70">
        <f>'Necesidades Trimestrales'!H24</f>
        <v>17058</v>
      </c>
      <c r="K26" s="71">
        <f>'Necesidades Trimestrales'!G24</f>
        <v>1</v>
      </c>
    </row>
    <row r="27" spans="1:11" ht="43.15" customHeight="1" thickBot="1" x14ac:dyDescent="0.25">
      <c r="A27" s="8">
        <v>16</v>
      </c>
      <c r="B27" s="67" t="str">
        <f>'Necesidades Trimestrales'!B25</f>
        <v>2.5.1-8988.1600</v>
      </c>
      <c r="C27" s="108" t="str">
        <f>'Necesidades Trimestrales'!E25</f>
        <v>REACTIVOS P/EQUIPO; EQUIPO: AUTOANA. QUIMICA CLINICA, MARCA EQUIPO: COBAS ROCHE, NOMBRE DEL PRODUCTO: C4, PRESENTACION: ENVASE X 100 DETERM.</v>
      </c>
      <c r="D27" s="108"/>
      <c r="E27" s="108"/>
      <c r="F27" s="108"/>
      <c r="G27" s="108"/>
      <c r="H27" s="68" t="s">
        <v>56</v>
      </c>
      <c r="I27" s="69" t="str">
        <f>'Necesidades Trimestrales'!F25</f>
        <v>CASSETTE</v>
      </c>
      <c r="J27" s="70">
        <f>'Necesidades Trimestrales'!H25</f>
        <v>17058</v>
      </c>
      <c r="K27" s="71">
        <f>'Necesidades Trimestrales'!G25</f>
        <v>1</v>
      </c>
    </row>
    <row r="28" spans="1:11" ht="43.15" customHeight="1" thickBot="1" x14ac:dyDescent="0.25">
      <c r="A28" s="8">
        <v>17</v>
      </c>
      <c r="B28" s="67" t="str">
        <f>'Necesidades Trimestrales'!B26</f>
        <v>2.5.1-8988.936</v>
      </c>
      <c r="C28" s="108" t="str">
        <f>'Necesidades Trimestrales'!E26</f>
        <v>REACTIVOS P/EQUIPO; EQUIPO: AUTOANA. QUIMICA CLINICA, MARCA EQUIPO: COBAS ROCHE, NOMBRE DEL PRODUCTO: CALCIO, PRESENTACION: ENVASE X 300 DETERM.</v>
      </c>
      <c r="D28" s="108"/>
      <c r="E28" s="108"/>
      <c r="F28" s="108"/>
      <c r="G28" s="108"/>
      <c r="H28" s="68" t="s">
        <v>56</v>
      </c>
      <c r="I28" s="69" t="str">
        <f>'Necesidades Trimestrales'!F26</f>
        <v>CASSETTE</v>
      </c>
      <c r="J28" s="70">
        <f>'Necesidades Trimestrales'!H26</f>
        <v>5807</v>
      </c>
      <c r="K28" s="71">
        <f>'Necesidades Trimestrales'!G26</f>
        <v>2</v>
      </c>
    </row>
    <row r="29" spans="1:11" ht="43.15" customHeight="1" thickBot="1" x14ac:dyDescent="0.25">
      <c r="A29" s="8">
        <v>18</v>
      </c>
      <c r="B29" s="67" t="str">
        <f>'Necesidades Trimestrales'!B27</f>
        <v>2.5.1-8988.941</v>
      </c>
      <c r="C29" s="108" t="str">
        <f>'Necesidades Trimestrales'!E27</f>
        <v>REACTIVOS P/EQUIPO; EQUIPO: AUTOANA. QUIMICA CLINICA, MARCA EQUIPO: COBAS ROCHE, NOMBRE DEL PRODUCTO: CK-NAC, PRESENTACION: ENVASE X 200 DETERM.</v>
      </c>
      <c r="D29" s="108"/>
      <c r="E29" s="108"/>
      <c r="F29" s="108"/>
      <c r="G29" s="108"/>
      <c r="H29" s="68" t="s">
        <v>56</v>
      </c>
      <c r="I29" s="69" t="str">
        <f>'Necesidades Trimestrales'!F27</f>
        <v>CASSETTE</v>
      </c>
      <c r="J29" s="70">
        <f>'Necesidades Trimestrales'!H27</f>
        <v>4834</v>
      </c>
      <c r="K29" s="71">
        <f>'Necesidades Trimestrales'!G27</f>
        <v>2</v>
      </c>
    </row>
    <row r="30" spans="1:11" ht="43.15" customHeight="1" thickBot="1" x14ac:dyDescent="0.25">
      <c r="A30" s="8">
        <v>19</v>
      </c>
      <c r="B30" s="67" t="str">
        <f>'Necesidades Trimestrales'!B28</f>
        <v>2.5.1-8988.937</v>
      </c>
      <c r="C30" s="108" t="str">
        <f>'Necesidades Trimestrales'!E28</f>
        <v>REACTIVOS P/EQUIPO; EQUIPO: AUTOANA. QUIMICA CLINICA, MARCA EQUIPO: COBAS ROCHE, NOMBRE DEL PRODUCTO: COLESTEROL TOTAL, PRESENTACION: ENVASE X 400 DETERM.</v>
      </c>
      <c r="D30" s="108"/>
      <c r="E30" s="108"/>
      <c r="F30" s="108"/>
      <c r="G30" s="108"/>
      <c r="H30" s="68" t="s">
        <v>56</v>
      </c>
      <c r="I30" s="69" t="str">
        <f>'Necesidades Trimestrales'!F28</f>
        <v>CASSETTE</v>
      </c>
      <c r="J30" s="70">
        <f>'Necesidades Trimestrales'!H28</f>
        <v>5807</v>
      </c>
      <c r="K30" s="71">
        <f>'Necesidades Trimestrales'!G28</f>
        <v>3</v>
      </c>
    </row>
    <row r="31" spans="1:11" ht="43.15" customHeight="1" thickBot="1" x14ac:dyDescent="0.25">
      <c r="A31" s="8">
        <v>20</v>
      </c>
      <c r="B31" s="67" t="str">
        <f>'Necesidades Trimestrales'!B29</f>
        <v>2.5.1-8988.942</v>
      </c>
      <c r="C31" s="108" t="str">
        <f>'Necesidades Trimestrales'!E29</f>
        <v>REACTIVOS P/EQUIPO; EQUIPO: AUTOANA. QUIMICA CLINICA, MARCA EQUIPO: COBAS ROCHE, NOMBRE DEL PRODUCTO: CREATININA JAFFE, PRESENTACION: ENVASE X 700 DETERM.</v>
      </c>
      <c r="D31" s="108"/>
      <c r="E31" s="108"/>
      <c r="F31" s="108"/>
      <c r="G31" s="108"/>
      <c r="H31" s="68" t="s">
        <v>56</v>
      </c>
      <c r="I31" s="69" t="str">
        <f>'Necesidades Trimestrales'!F29</f>
        <v>CASSETTE</v>
      </c>
      <c r="J31" s="70">
        <f>'Necesidades Trimestrales'!H29</f>
        <v>6370</v>
      </c>
      <c r="K31" s="71">
        <f>'Necesidades Trimestrales'!G29</f>
        <v>10</v>
      </c>
    </row>
    <row r="32" spans="1:11" ht="43.15" customHeight="1" thickBot="1" x14ac:dyDescent="0.25">
      <c r="A32" s="8">
        <v>21</v>
      </c>
      <c r="B32" s="67" t="str">
        <f>'Necesidades Trimestrales'!B30</f>
        <v>2.5.1-8988.948</v>
      </c>
      <c r="C32" s="108" t="str">
        <f>'Necesidades Trimestrales'!E30</f>
        <v>REACTIVOS P/EQUIPO; EQUIPO: AUTOANA. QUIMICA CLINICA, MARCA EQUIPO: COBAS ROCHE, NOMBRE DEL PRODUCTO: FOSFORO, PRESENTACION: ENVASE X 250 DETERM.</v>
      </c>
      <c r="D32" s="108"/>
      <c r="E32" s="108"/>
      <c r="F32" s="108"/>
      <c r="G32" s="108"/>
      <c r="H32" s="68" t="s">
        <v>56</v>
      </c>
      <c r="I32" s="69" t="str">
        <f>'Necesidades Trimestrales'!F30</f>
        <v>CASSETTE</v>
      </c>
      <c r="J32" s="70">
        <f>'Necesidades Trimestrales'!H30</f>
        <v>5386</v>
      </c>
      <c r="K32" s="71">
        <f>'Necesidades Trimestrales'!G30</f>
        <v>2</v>
      </c>
    </row>
    <row r="33" spans="1:11" ht="43.15" customHeight="1" thickBot="1" x14ac:dyDescent="0.25">
      <c r="A33" s="8">
        <v>22</v>
      </c>
      <c r="B33" s="67" t="str">
        <f>'Necesidades Trimestrales'!B31</f>
        <v>2.5.1-8988.970</v>
      </c>
      <c r="C33" s="108" t="str">
        <f>'Necesidades Trimestrales'!E31</f>
        <v>REACTIVOS P/EQUIPO; EQUIPO: AUTOANA. QUIMICA CLINICA, MARCA EQUIPO: COBAS ROCHE, NOMBRE DEL PRODUCTO: GAMMA GT, PRESENTACION: ENVASE X 400 DETERM.</v>
      </c>
      <c r="D33" s="108"/>
      <c r="E33" s="108"/>
      <c r="F33" s="108"/>
      <c r="G33" s="108"/>
      <c r="H33" s="68" t="s">
        <v>56</v>
      </c>
      <c r="I33" s="69" t="str">
        <f>'Necesidades Trimestrales'!F31</f>
        <v>CASSETTE</v>
      </c>
      <c r="J33" s="70">
        <f>'Necesidades Trimestrales'!H31</f>
        <v>12787</v>
      </c>
      <c r="K33" s="71">
        <f>'Necesidades Trimestrales'!G31</f>
        <v>12</v>
      </c>
    </row>
    <row r="34" spans="1:11" ht="43.15" customHeight="1" thickBot="1" x14ac:dyDescent="0.25">
      <c r="A34" s="8">
        <v>23</v>
      </c>
      <c r="B34" s="67" t="str">
        <f>'Necesidades Trimestrales'!B32</f>
        <v>2.5.1-8988.969</v>
      </c>
      <c r="C34" s="108" t="str">
        <f>'Necesidades Trimestrales'!E32</f>
        <v>REACTIVOS P/EQUIPO; EQUIPO: AUTOANA. QUIMICA CLINICA, MARCA EQUIPO: COBAS ROCHE, NOMBRE DEL PRODUCTO: GLUCOSA, PRESENTACION: ENVASE X 800 DETERM.</v>
      </c>
      <c r="D34" s="108"/>
      <c r="E34" s="108"/>
      <c r="F34" s="108"/>
      <c r="G34" s="108"/>
      <c r="H34" s="68" t="s">
        <v>56</v>
      </c>
      <c r="I34" s="69" t="str">
        <f>'Necesidades Trimestrales'!F32</f>
        <v>CASSETTE</v>
      </c>
      <c r="J34" s="70">
        <f>'Necesidades Trimestrales'!H32</f>
        <v>12726</v>
      </c>
      <c r="K34" s="71">
        <f>'Necesidades Trimestrales'!G32</f>
        <v>10</v>
      </c>
    </row>
    <row r="35" spans="1:11" ht="43.15" customHeight="1" thickBot="1" x14ac:dyDescent="0.25">
      <c r="A35" s="8">
        <v>24</v>
      </c>
      <c r="B35" s="67" t="str">
        <f>'Necesidades Trimestrales'!B33</f>
        <v>2.5.1-8988.954</v>
      </c>
      <c r="C35" s="108" t="str">
        <f>'Necesidades Trimestrales'!E33</f>
        <v>REACTIVOS P/EQUIPO; EQUIPO: AUTOANA. QUIMICA CLINICA, MARCA EQUIPO: COBAS ROCHE, NOMBRE DEL PRODUCTO: HEMOGLOBINA GLICOSILADA, PRESENTACION: ENVASE X 150 DETERM.</v>
      </c>
      <c r="D35" s="108"/>
      <c r="E35" s="108"/>
      <c r="F35" s="108"/>
      <c r="G35" s="108"/>
      <c r="H35" s="68" t="s">
        <v>56</v>
      </c>
      <c r="I35" s="69" t="str">
        <f>'Necesidades Trimestrales'!F33</f>
        <v>CASSETTE</v>
      </c>
      <c r="J35" s="70">
        <f>'Necesidades Trimestrales'!H33</f>
        <v>32680</v>
      </c>
      <c r="K35" s="71">
        <f>'Necesidades Trimestrales'!G33</f>
        <v>4</v>
      </c>
    </row>
    <row r="36" spans="1:11" ht="43.15" customHeight="1" thickBot="1" x14ac:dyDescent="0.25">
      <c r="A36" s="8">
        <v>25</v>
      </c>
      <c r="B36" s="67" t="str">
        <f>'Necesidades Trimestrales'!B34</f>
        <v>2.5.1-8988.945</v>
      </c>
      <c r="C36" s="108" t="str">
        <f>'Necesidades Trimestrales'!E34</f>
        <v>REACTIVOS P/EQUIPO; EQUIPO: AUTOANA. QUIMICA CLINICA, MARCA EQUIPO: COBAS ROCHE, NOMBRE DEL PRODUCTO: HIERRO, PRESENTACION: ENVASE X 200 DETERM.</v>
      </c>
      <c r="D36" s="108"/>
      <c r="E36" s="108"/>
      <c r="F36" s="108"/>
      <c r="G36" s="108"/>
      <c r="H36" s="68" t="s">
        <v>56</v>
      </c>
      <c r="I36" s="69" t="str">
        <f>'Necesidades Trimestrales'!F34</f>
        <v>CASSETTE</v>
      </c>
      <c r="J36" s="70">
        <f>'Necesidades Trimestrales'!H34</f>
        <v>2879</v>
      </c>
      <c r="K36" s="71">
        <f>'Necesidades Trimestrales'!G34</f>
        <v>2</v>
      </c>
    </row>
    <row r="37" spans="1:11" ht="43.15" customHeight="1" thickBot="1" x14ac:dyDescent="0.25">
      <c r="A37" s="8">
        <v>26</v>
      </c>
      <c r="B37" s="67" t="str">
        <f>'Necesidades Trimestrales'!B35</f>
        <v>2.5.1-8988.971</v>
      </c>
      <c r="C37" s="108" t="str">
        <f>'Necesidades Trimestrales'!E35</f>
        <v>REACTIVOS P/EQUIPO; EQUIPO: AUTOANA. QUIMICA CLINICA, MARCA EQUIPO: COBAS ROCHE, NOMBRE DEL PRODUCTO: LDH OPTIMIZADA, PRESENTACION: ENVASE X 300 DETERM.</v>
      </c>
      <c r="D37" s="108"/>
      <c r="E37" s="108"/>
      <c r="F37" s="108"/>
      <c r="G37" s="108"/>
      <c r="H37" s="68" t="s">
        <v>56</v>
      </c>
      <c r="I37" s="69" t="str">
        <f>'Necesidades Trimestrales'!F35</f>
        <v>CASSETTE</v>
      </c>
      <c r="J37" s="70">
        <f>'Necesidades Trimestrales'!H35</f>
        <v>4834</v>
      </c>
      <c r="K37" s="71">
        <f>'Necesidades Trimestrales'!G35</f>
        <v>4</v>
      </c>
    </row>
    <row r="38" spans="1:11" ht="43.15" customHeight="1" thickBot="1" x14ac:dyDescent="0.25">
      <c r="A38" s="8">
        <v>27</v>
      </c>
      <c r="B38" s="67" t="str">
        <f>'Necesidades Trimestrales'!B36</f>
        <v>2.5.1-8988.946</v>
      </c>
      <c r="C38" s="108" t="str">
        <f>'Necesidades Trimestrales'!E36</f>
        <v>REACTIVOS P/EQUIPO; EQUIPO: AUTOANA. QUIMICA CLINICA, MARCA EQUIPO: COBAS ROCHE, NOMBRE DEL PRODUCTO: LIPASA, PRESENTACION: ENVASE X 200 DETERM.</v>
      </c>
      <c r="D38" s="108"/>
      <c r="E38" s="108"/>
      <c r="F38" s="108"/>
      <c r="G38" s="108"/>
      <c r="H38" s="68" t="s">
        <v>56</v>
      </c>
      <c r="I38" s="69" t="str">
        <f>'Necesidades Trimestrales'!F36</f>
        <v>CASSETTE</v>
      </c>
      <c r="J38" s="70">
        <f>'Necesidades Trimestrales'!H36</f>
        <v>14571</v>
      </c>
      <c r="K38" s="71">
        <f>'Necesidades Trimestrales'!G36</f>
        <v>5</v>
      </c>
    </row>
    <row r="39" spans="1:11" ht="43.15" customHeight="1" thickBot="1" x14ac:dyDescent="0.25">
      <c r="A39" s="8">
        <v>28</v>
      </c>
      <c r="B39" s="67" t="str">
        <f>'Necesidades Trimestrales'!B37</f>
        <v>2.5.1-8988.949</v>
      </c>
      <c r="C39" s="108" t="str">
        <f>'Necesidades Trimestrales'!E37</f>
        <v>REACTIVOS P/EQUIPO; EQUIPO: AUTOANA. QUIMICA CLINICA, MARCA EQUIPO: COBAS ROCHE, NOMBRE DEL PRODUCTO: PROTEINAS TOTALES, PRESENTACION: ENVASE X 300 DETERM.</v>
      </c>
      <c r="D39" s="108"/>
      <c r="E39" s="108"/>
      <c r="F39" s="108"/>
      <c r="G39" s="108"/>
      <c r="H39" s="68" t="s">
        <v>56</v>
      </c>
      <c r="I39" s="69" t="str">
        <f>'Necesidades Trimestrales'!F37</f>
        <v>CASSETTE</v>
      </c>
      <c r="J39" s="70">
        <f>'Necesidades Trimestrales'!H37</f>
        <v>2438</v>
      </c>
      <c r="K39" s="71">
        <f>'Necesidades Trimestrales'!G37</f>
        <v>12</v>
      </c>
    </row>
    <row r="40" spans="1:11" ht="43.15" customHeight="1" thickBot="1" x14ac:dyDescent="0.25">
      <c r="A40" s="8">
        <v>29</v>
      </c>
      <c r="B40" s="67" t="str">
        <f>'Necesidades Trimestrales'!B38</f>
        <v>2.5.1-8988.950</v>
      </c>
      <c r="C40" s="108" t="str">
        <f>'Necesidades Trimestrales'!E38</f>
        <v>REACTIVOS P/EQUIPO; EQUIPO: AUTOANA. QUIMICA CLINICA, MARCA EQUIPO: COBAS ROCHE, NOMBRE DEL PRODUCTO: TRIGLICERIDOS, PRESENTACION: ENVASE X 250 DETERM.</v>
      </c>
      <c r="D40" s="108"/>
      <c r="E40" s="108"/>
      <c r="F40" s="108"/>
      <c r="G40" s="108"/>
      <c r="H40" s="68" t="s">
        <v>56</v>
      </c>
      <c r="I40" s="69" t="str">
        <f>'Necesidades Trimestrales'!F38</f>
        <v>CASSETTE</v>
      </c>
      <c r="J40" s="70">
        <f>'Necesidades Trimestrales'!H38</f>
        <v>5115</v>
      </c>
      <c r="K40" s="71">
        <f>'Necesidades Trimestrales'!G38</f>
        <v>6</v>
      </c>
    </row>
    <row r="41" spans="1:11" ht="43.15" customHeight="1" thickBot="1" x14ac:dyDescent="0.25">
      <c r="A41" s="8">
        <v>30</v>
      </c>
      <c r="B41" s="67" t="str">
        <f>'Necesidades Trimestrales'!B39</f>
        <v>2.5.1-8988.956</v>
      </c>
      <c r="C41" s="108" t="str">
        <f>'Necesidades Trimestrales'!E39</f>
        <v>REACTIVOS P/EQUIPO; EQUIPO: AUTOANA. QUIMICA CLINICA, MARCA EQUIPO: COBAS ROCHE, NOMBRE DEL PRODUCTO: U/CSF, PRESENTACION: ENVASE X 150 DETERM.</v>
      </c>
      <c r="D41" s="108"/>
      <c r="E41" s="108"/>
      <c r="F41" s="108"/>
      <c r="G41" s="108"/>
      <c r="H41" s="68" t="s">
        <v>56</v>
      </c>
      <c r="I41" s="69" t="str">
        <f>'Necesidades Trimestrales'!F39</f>
        <v>CASSETTE</v>
      </c>
      <c r="J41" s="70">
        <f>'Necesidades Trimestrales'!H39</f>
        <v>7221</v>
      </c>
      <c r="K41" s="71">
        <f>'Necesidades Trimestrales'!G39</f>
        <v>8</v>
      </c>
    </row>
    <row r="42" spans="1:11" ht="43.15" customHeight="1" thickBot="1" x14ac:dyDescent="0.25">
      <c r="A42" s="8">
        <v>31</v>
      </c>
      <c r="B42" s="67" t="str">
        <f>'Necesidades Trimestrales'!B40</f>
        <v>2.5.1-8988.952</v>
      </c>
      <c r="C42" s="108" t="str">
        <f>'Necesidades Trimestrales'!E40</f>
        <v>REACTIVOS P/EQUIPO; EQUIPO: AUTOANA. QUIMICA CLINICA, MARCA EQUIPO: COBAS ROCHE, NOMBRE DEL PRODUCTO: UREA (BUN), PRESENTACION: ENVASE X 500 DETERM.</v>
      </c>
      <c r="D42" s="108"/>
      <c r="E42" s="108"/>
      <c r="F42" s="108"/>
      <c r="G42" s="108"/>
      <c r="H42" s="68" t="s">
        <v>56</v>
      </c>
      <c r="I42" s="69" t="str">
        <f>'Necesidades Trimestrales'!F40</f>
        <v>CASSETTE</v>
      </c>
      <c r="J42" s="70">
        <f>'Necesidades Trimestrales'!H40</f>
        <v>8675</v>
      </c>
      <c r="K42" s="71">
        <f>'Necesidades Trimestrales'!G40</f>
        <v>14</v>
      </c>
    </row>
    <row r="43" spans="1:11" ht="43.15" customHeight="1" thickBot="1" x14ac:dyDescent="0.25">
      <c r="A43" s="8">
        <v>32</v>
      </c>
      <c r="B43" s="67" t="str">
        <f>'Necesidades Trimestrales'!B41</f>
        <v>2.5.1-8988.461</v>
      </c>
      <c r="C43" s="108" t="str">
        <f>'Necesidades Trimestrales'!E41</f>
        <v>REACTIVOS P/EQUIPO; EQUIPO: AUTOANA. X QUIMIOLUMINISCENCIA, MARCA EQUIPO: ROCHE, NOMBRE DEL PRODUCTO: ANTIG. PROSTATICO ESPECIF. PSA, PRESENTACION: ENVASE X 100 DETERM.</v>
      </c>
      <c r="D43" s="108"/>
      <c r="E43" s="108"/>
      <c r="F43" s="108"/>
      <c r="G43" s="108"/>
      <c r="H43" s="68" t="s">
        <v>56</v>
      </c>
      <c r="I43" s="69" t="str">
        <f>'Necesidades Trimestrales'!F41</f>
        <v>CAJA</v>
      </c>
      <c r="J43" s="70">
        <f>'Necesidades Trimestrales'!H41</f>
        <v>40102</v>
      </c>
      <c r="K43" s="71">
        <f>'Necesidades Trimestrales'!G41</f>
        <v>1</v>
      </c>
    </row>
    <row r="44" spans="1:11" ht="43.15" customHeight="1" thickBot="1" x14ac:dyDescent="0.25">
      <c r="A44" s="8">
        <v>33</v>
      </c>
      <c r="B44" s="67" t="str">
        <f>'Necesidades Trimestrales'!B42</f>
        <v>2.5.1-8988.20</v>
      </c>
      <c r="C44" s="108" t="str">
        <f>'Necesidades Trimestrales'!E42</f>
        <v>REACTIVOS P/EQUIPO; EQUIPO: AUTOANA. X QUIMIOLUMINISCENCIA, MARCA EQUIPO: ROCHE, NOMBRE DEL PRODUCTO: CONTROL UNIVERSAL, PRESENTACION: 4 X ENVASE X 3 Ml</v>
      </c>
      <c r="D44" s="108"/>
      <c r="E44" s="108"/>
      <c r="F44" s="108"/>
      <c r="G44" s="108"/>
      <c r="H44" s="68" t="s">
        <v>56</v>
      </c>
      <c r="I44" s="69" t="str">
        <f>'Necesidades Trimestrales'!F42</f>
        <v>CAJA</v>
      </c>
      <c r="J44" s="70">
        <f>'Necesidades Trimestrales'!H42</f>
        <v>16144</v>
      </c>
      <c r="K44" s="71">
        <f>'Necesidades Trimestrales'!G42</f>
        <v>3</v>
      </c>
    </row>
    <row r="45" spans="1:11" ht="43.15" customHeight="1" thickBot="1" x14ac:dyDescent="0.25">
      <c r="A45" s="8">
        <v>34</v>
      </c>
      <c r="B45" s="67" t="str">
        <f>'Necesidades Trimestrales'!B43</f>
        <v>2.5.1-8988.1792</v>
      </c>
      <c r="C45" s="108" t="str">
        <f>'Necesidades Trimestrales'!E43</f>
        <v>REACTIVOS P/EQUIPO; EQUIPO: AUTOANA. X QUIMIOLUMINISCENCIA, MARCA EQUIPO: ROCHE, NOMBRE DEL PRODUCTO: FERRITINA, PRESENTACION: ENVASE X 250 DETERM.</v>
      </c>
      <c r="D45" s="108"/>
      <c r="E45" s="108"/>
      <c r="F45" s="108"/>
      <c r="G45" s="108"/>
      <c r="H45" s="68" t="s">
        <v>56</v>
      </c>
      <c r="I45" s="69" t="str">
        <f>'Necesidades Trimestrales'!F43</f>
        <v>CASSETTE</v>
      </c>
      <c r="J45" s="70">
        <f>'Necesidades Trimestrales'!H43</f>
        <v>35406</v>
      </c>
      <c r="K45" s="71">
        <f>'Necesidades Trimestrales'!G43</f>
        <v>3</v>
      </c>
    </row>
    <row r="46" spans="1:11" ht="43.15" customHeight="1" thickBot="1" x14ac:dyDescent="0.25">
      <c r="A46" s="8">
        <v>35</v>
      </c>
      <c r="B46" s="67" t="str">
        <f>'Necesidades Trimestrales'!B44</f>
        <v>2.5.1-8988.446</v>
      </c>
      <c r="C46" s="108" t="str">
        <f>'Necesidades Trimestrales'!E44</f>
        <v>REACTIVOS P/EQUIPO; EQUIPO: AUTOANA. X QUIMIOLUMINISCENCIA, MARCA EQUIPO: ROCHE, NOMBRE DEL PRODUCTO: KIT P/CUANT TIROGLOBULINA 2GEN, PRESENTACION: ENVASE X 100 DETERM.</v>
      </c>
      <c r="D46" s="108"/>
      <c r="E46" s="108"/>
      <c r="F46" s="108"/>
      <c r="G46" s="108"/>
      <c r="H46" s="68" t="s">
        <v>56</v>
      </c>
      <c r="I46" s="69" t="str">
        <f>'Necesidades Trimestrales'!F44</f>
        <v>CAJA</v>
      </c>
      <c r="J46" s="70">
        <f>'Necesidades Trimestrales'!H44</f>
        <v>31072</v>
      </c>
      <c r="K46" s="71">
        <f>'Necesidades Trimestrales'!G44</f>
        <v>1</v>
      </c>
    </row>
    <row r="47" spans="1:11" ht="43.15" customHeight="1" thickBot="1" x14ac:dyDescent="0.25">
      <c r="A47" s="8">
        <v>36</v>
      </c>
      <c r="B47" s="67" t="str">
        <f>'Necesidades Trimestrales'!B45</f>
        <v>2.5.1-8988.432</v>
      </c>
      <c r="C47" s="108" t="str">
        <f>'Necesidades Trimestrales'!E45</f>
        <v>REACTIVOS P/EQUIPO; EQUIPO: AUTOANA. X QUIMIOLUMINISCENCIA, MARCA EQUIPO: ROCHE, NOMBRE DEL PRODUCTO: KIT P/CUANT. HORMONA ESTRADIOL, PRESENTACION: ENVASE X 100 DETERM.</v>
      </c>
      <c r="D47" s="108"/>
      <c r="E47" s="108"/>
      <c r="F47" s="108"/>
      <c r="G47" s="108"/>
      <c r="H47" s="68" t="s">
        <v>56</v>
      </c>
      <c r="I47" s="69" t="str">
        <f>'Necesidades Trimestrales'!F45</f>
        <v>CAJA</v>
      </c>
      <c r="J47" s="70">
        <f>'Necesidades Trimestrales'!H45</f>
        <v>28344</v>
      </c>
      <c r="K47" s="71">
        <f>'Necesidades Trimestrales'!G45</f>
        <v>1</v>
      </c>
    </row>
    <row r="48" spans="1:11" ht="43.15" customHeight="1" thickBot="1" x14ac:dyDescent="0.25">
      <c r="A48" s="8">
        <v>37</v>
      </c>
      <c r="B48" s="67" t="str">
        <f>'Necesidades Trimestrales'!B46</f>
        <v>2.5.1-8988.435</v>
      </c>
      <c r="C48" s="108" t="str">
        <f>'Necesidades Trimestrales'!E46</f>
        <v>REACTIVOS P/EQUIPO; EQUIPO: AUTOANA. X QUIMIOLUMINISCENCIA, MARCA EQUIPO: ROCHE, NOMBRE DEL PRODUCTO: KIT P/CUANT. HORMONA INSULINA, PRESENTACION: ENVASE X 100 DETERM.</v>
      </c>
      <c r="D48" s="108"/>
      <c r="E48" s="108"/>
      <c r="F48" s="108"/>
      <c r="G48" s="108"/>
      <c r="H48" s="68" t="s">
        <v>56</v>
      </c>
      <c r="I48" s="69" t="str">
        <f>'Necesidades Trimestrales'!F46</f>
        <v>CAJA</v>
      </c>
      <c r="J48" s="70">
        <f>'Necesidades Trimestrales'!H46</f>
        <v>32915</v>
      </c>
      <c r="K48" s="71">
        <f>'Necesidades Trimestrales'!G46</f>
        <v>3</v>
      </c>
    </row>
    <row r="49" spans="1:11" ht="43.15" customHeight="1" thickBot="1" x14ac:dyDescent="0.25">
      <c r="A49" s="8">
        <v>38</v>
      </c>
      <c r="B49" s="67" t="str">
        <f>'Necesidades Trimestrales'!B47</f>
        <v>2.5.1-8988.439</v>
      </c>
      <c r="C49" s="108" t="str">
        <f>'Necesidades Trimestrales'!E47</f>
        <v>REACTIVOS P/EQUIPO; EQUIPO: AUTOANA. X QUIMIOLUMINISCENCIA, MARCA EQUIPO: ROCHE, NOMBRE DEL PRODUCTO: KIT P/CUANT. TESTOSTERONA, PRESENTACION: ENVASE X 100 DETERM.</v>
      </c>
      <c r="D49" s="108"/>
      <c r="E49" s="108"/>
      <c r="F49" s="108"/>
      <c r="G49" s="108"/>
      <c r="H49" s="68" t="s">
        <v>56</v>
      </c>
      <c r="I49" s="69" t="str">
        <f>'Necesidades Trimestrales'!F47</f>
        <v>CAJA</v>
      </c>
      <c r="J49" s="70">
        <f>'Necesidades Trimestrales'!H47</f>
        <v>28344</v>
      </c>
      <c r="K49" s="71">
        <f>'Necesidades Trimestrales'!G47</f>
        <v>1</v>
      </c>
    </row>
    <row r="50" spans="1:11" ht="43.15" customHeight="1" thickBot="1" x14ac:dyDescent="0.25">
      <c r="A50" s="8">
        <v>39</v>
      </c>
      <c r="B50" s="67" t="str">
        <f>'Necesidades Trimestrales'!B48</f>
        <v>2.5.1-8988.443</v>
      </c>
      <c r="C50" s="108" t="str">
        <f>'Necesidades Trimestrales'!E48</f>
        <v>REACTIVOS P/EQUIPO; EQUIPO: AUTOANA. X QUIMIOLUMINISCENCIA, MARCA EQUIPO: ROCHE, NOMBRE DEL PRODUCTO: KIT P/CUANT. TIROIDE T3 LIBRE, PRESENTACION: ENVASE X 200 DETERM.</v>
      </c>
      <c r="D50" s="108"/>
      <c r="E50" s="108"/>
      <c r="F50" s="108"/>
      <c r="G50" s="108"/>
      <c r="H50" s="68" t="s">
        <v>56</v>
      </c>
      <c r="I50" s="69" t="str">
        <f>'Necesidades Trimestrales'!F48</f>
        <v>CAJA</v>
      </c>
      <c r="J50" s="70">
        <f>'Necesidades Trimestrales'!H48</f>
        <v>35910</v>
      </c>
      <c r="K50" s="71">
        <f>'Necesidades Trimestrales'!G48</f>
        <v>1</v>
      </c>
    </row>
    <row r="51" spans="1:11" ht="43.15" customHeight="1" thickBot="1" x14ac:dyDescent="0.25">
      <c r="A51" s="8">
        <v>40</v>
      </c>
      <c r="B51" s="67" t="str">
        <f>'Necesidades Trimestrales'!B49</f>
        <v>2.5.1-8988.440</v>
      </c>
      <c r="C51" s="108" t="str">
        <f>'Necesidades Trimestrales'!E49</f>
        <v>REACTIVOS P/EQUIPO; EQUIPO: AUTOANA. X QUIMIOLUMINISCENCIA, MARCA EQUIPO: ROCHE, NOMBRE DEL PRODUCTO: KIT P/CUANT. TIROTROFICA TSH, PRESENTACION: ENVASE X 200 DETERM.</v>
      </c>
      <c r="D51" s="108"/>
      <c r="E51" s="108"/>
      <c r="F51" s="108"/>
      <c r="G51" s="108"/>
      <c r="H51" s="68" t="s">
        <v>56</v>
      </c>
      <c r="I51" s="69" t="str">
        <f>'Necesidades Trimestrales'!F49</f>
        <v>CAJA</v>
      </c>
      <c r="J51" s="70">
        <f>'Necesidades Trimestrales'!H49</f>
        <v>28041</v>
      </c>
      <c r="K51" s="71">
        <f>'Necesidades Trimestrales'!G49</f>
        <v>12</v>
      </c>
    </row>
    <row r="52" spans="1:11" ht="43.15" customHeight="1" thickBot="1" x14ac:dyDescent="0.25">
      <c r="A52" s="8">
        <v>41</v>
      </c>
      <c r="B52" s="67" t="str">
        <f>'Necesidades Trimestrales'!B50</f>
        <v>2.5.1-8988.582</v>
      </c>
      <c r="C52" s="108" t="str">
        <f>'Necesidades Trimestrales'!E50</f>
        <v>REACTIVOS P/EQUIPO; EQUIPO: AUTOANA. X QUIMIOLUMINISCENCIA, MARCA EQUIPO: ROCHE, NOMBRE DEL PRODUCTO: KIT P/CUANT. VITAMINA D, PRESENTACION: ENVASE X 100 DETERM.</v>
      </c>
      <c r="D52" s="108"/>
      <c r="E52" s="108"/>
      <c r="F52" s="108"/>
      <c r="G52" s="108"/>
      <c r="H52" s="68" t="s">
        <v>56</v>
      </c>
      <c r="I52" s="69" t="str">
        <f>'Necesidades Trimestrales'!F50</f>
        <v>CAJA</v>
      </c>
      <c r="J52" s="70">
        <f>'Necesidades Trimestrales'!H50</f>
        <v>127977</v>
      </c>
      <c r="K52" s="71">
        <f>'Necesidades Trimestrales'!G50</f>
        <v>8</v>
      </c>
    </row>
    <row r="53" spans="1:11" ht="43.15" customHeight="1" thickBot="1" x14ac:dyDescent="0.25">
      <c r="A53" s="8">
        <v>42</v>
      </c>
      <c r="B53" s="67" t="str">
        <f>'Necesidades Trimestrales'!B51</f>
        <v>2.5.1-8988.1793</v>
      </c>
      <c r="C53" s="108" t="str">
        <f>'Necesidades Trimestrales'!E51</f>
        <v>REACTIVOS P/EQUIPO; EQUIPO: AUTOANA. X QUIMIOLUMINISCENCIA, MARCA EQUIPO: ROCHE, NOMBRE DEL PRODUCTO: TRANSFERRINA, PRESENTACION: ENVASE X 100 DETERM.</v>
      </c>
      <c r="D53" s="108"/>
      <c r="E53" s="108"/>
      <c r="F53" s="108"/>
      <c r="G53" s="108"/>
      <c r="H53" s="68" t="s">
        <v>56</v>
      </c>
      <c r="I53" s="69" t="str">
        <f>'Necesidades Trimestrales'!F51</f>
        <v>CASSETTE</v>
      </c>
      <c r="J53" s="70">
        <f>'Necesidades Trimestrales'!H51</f>
        <v>13599</v>
      </c>
      <c r="K53" s="71">
        <f>'Necesidades Trimestrales'!G51</f>
        <v>3</v>
      </c>
    </row>
    <row r="54" spans="1:11" ht="43.15" customHeight="1" thickBot="1" x14ac:dyDescent="0.25">
      <c r="A54" s="8">
        <v>43</v>
      </c>
      <c r="B54" s="67" t="str">
        <f>'Necesidades Trimestrales'!B52</f>
        <v>2.5.1-8988.2388</v>
      </c>
      <c r="C54" s="108" t="str">
        <f>'Necesidades Trimestrales'!E52</f>
        <v>REACTIVOS P/EQUIPO; EQUIPO: AUTOANA. X QUIMIOLUMINISCENCIA, MARCA EQUIPO: ROCHE, NOMBRE DEL PRODUCTO: VARIA, PRESENTACION: 4 X 3 ML</v>
      </c>
      <c r="D54" s="108"/>
      <c r="E54" s="108"/>
      <c r="F54" s="108"/>
      <c r="G54" s="108"/>
      <c r="H54" s="68" t="s">
        <v>56</v>
      </c>
      <c r="I54" s="69" t="str">
        <f>'Necesidades Trimestrales'!F52</f>
        <v>CAJA</v>
      </c>
      <c r="J54" s="70">
        <f>'Necesidades Trimestrales'!H52</f>
        <v>40899</v>
      </c>
      <c r="K54" s="71">
        <f>'Necesidades Trimestrales'!G52</f>
        <v>1</v>
      </c>
    </row>
    <row r="55" spans="1:11" ht="43.15" customHeight="1" thickBot="1" x14ac:dyDescent="0.25">
      <c r="A55" s="8">
        <v>44</v>
      </c>
      <c r="B55" s="67" t="str">
        <f>'Necesidades Trimestrales'!B53</f>
        <v>2.5.1-8988.441</v>
      </c>
      <c r="C55" s="108" t="str">
        <f>'Necesidades Trimestrales'!E53</f>
        <v>REACTIVOS P/EQUIPO; EQUIPO: AUTOANA. X QUIMIOLUMINISCENCIA; MARCA EQUIPO: ROCHE; NOMBRE DEL PRODUCTO: KIT P/CUANT. HORM. TIROIDE T3 TOTAL; PRESENTACIÓN: ENVASE X 200 DETERM.</v>
      </c>
      <c r="D55" s="108"/>
      <c r="E55" s="108"/>
      <c r="F55" s="108"/>
      <c r="G55" s="108"/>
      <c r="H55" s="68" t="s">
        <v>56</v>
      </c>
      <c r="I55" s="69" t="str">
        <f>'Necesidades Trimestrales'!F53</f>
        <v>CAJA</v>
      </c>
      <c r="J55" s="70">
        <f>'Necesidades Trimestrales'!H53</f>
        <v>29412</v>
      </c>
      <c r="K55" s="71">
        <f>'Necesidades Trimestrales'!G53</f>
        <v>1</v>
      </c>
    </row>
    <row r="56" spans="1:11" ht="43.15" customHeight="1" thickBot="1" x14ac:dyDescent="0.25">
      <c r="A56" s="8">
        <v>45</v>
      </c>
      <c r="B56" s="67" t="str">
        <f>'Necesidades Trimestrales'!B54</f>
        <v>2.5.1-8988.442</v>
      </c>
      <c r="C56" s="108" t="str">
        <f>'Necesidades Trimestrales'!E54</f>
        <v>REACTIVOS P/EQUIPO; EQUIPO: AUTOANA. X QUIMIOLUMINISCENCIA; MARCA EQUIPO: ROCHE; NOMBRE DEL PRODUCTO: KIT P/CUANT. HORM. TIROIDE T4 TOTAL; PRESENTACIÓN: ENVASE X 200 DETERM.</v>
      </c>
      <c r="D56" s="108"/>
      <c r="E56" s="108"/>
      <c r="F56" s="108"/>
      <c r="G56" s="108"/>
      <c r="H56" s="68" t="s">
        <v>56</v>
      </c>
      <c r="I56" s="69" t="str">
        <f>'Necesidades Trimestrales'!F54</f>
        <v>CAJA</v>
      </c>
      <c r="J56" s="70">
        <f>'Necesidades Trimestrales'!H54</f>
        <v>29412</v>
      </c>
      <c r="K56" s="71">
        <f>'Necesidades Trimestrales'!G54</f>
        <v>1</v>
      </c>
    </row>
    <row r="57" spans="1:11" ht="43.15" customHeight="1" thickBot="1" x14ac:dyDescent="0.25">
      <c r="A57" s="8">
        <v>46</v>
      </c>
      <c r="B57" s="67" t="str">
        <f>'Necesidades Trimestrales'!B55</f>
        <v>2.5.1-8988.1603</v>
      </c>
      <c r="C57" s="108" t="str">
        <f>'Necesidades Trimestrales'!E55</f>
        <v>REACTIVOS P/EQUIPO; EQUIPO: AUTOANALIZADOR, MARCA EQUIPO: COBAS ROCHE, NOMBRE DEL PRODUCTO: IG A, PRESENTACION: ENVASE X 150 DETERM.</v>
      </c>
      <c r="D57" s="108"/>
      <c r="E57" s="108"/>
      <c r="F57" s="108"/>
      <c r="G57" s="108"/>
      <c r="H57" s="68" t="s">
        <v>56</v>
      </c>
      <c r="I57" s="69" t="str">
        <f>'Necesidades Trimestrales'!F55</f>
        <v>CASSETTE</v>
      </c>
      <c r="J57" s="70">
        <f>'Necesidades Trimestrales'!H55</f>
        <v>26755</v>
      </c>
      <c r="K57" s="71">
        <f>'Necesidades Trimestrales'!G55</f>
        <v>2</v>
      </c>
    </row>
    <row r="58" spans="1:11" ht="43.15" customHeight="1" thickBot="1" x14ac:dyDescent="0.25">
      <c r="A58" s="8">
        <v>47</v>
      </c>
      <c r="B58" s="67" t="str">
        <f>'Necesidades Trimestrales'!B56</f>
        <v>2.5.1-8988.1604</v>
      </c>
      <c r="C58" s="108" t="str">
        <f>'Necesidades Trimestrales'!E56</f>
        <v>REACTIVOS P/EQUIPO; EQUIPO: AUTOANALIZADOR, MARCA EQUIPO: COBAS ROCHE, NOMBRE DEL PRODUCTO: IG G, PRESENTACION: ENVASE X 150 DETERM.</v>
      </c>
      <c r="D58" s="108"/>
      <c r="E58" s="108"/>
      <c r="F58" s="108"/>
      <c r="G58" s="108"/>
      <c r="H58" s="68" t="s">
        <v>56</v>
      </c>
      <c r="I58" s="69" t="str">
        <f>'Necesidades Trimestrales'!F56</f>
        <v>CASSETTE</v>
      </c>
      <c r="J58" s="70">
        <f>'Necesidades Trimestrales'!H56</f>
        <v>26755</v>
      </c>
      <c r="K58" s="71">
        <f>'Necesidades Trimestrales'!G56</f>
        <v>1</v>
      </c>
    </row>
    <row r="59" spans="1:11" ht="43.15" customHeight="1" thickBot="1" x14ac:dyDescent="0.25">
      <c r="A59" s="8">
        <v>48</v>
      </c>
      <c r="B59" s="67" t="str">
        <f>'Necesidades Trimestrales'!B57</f>
        <v>2.5.1-8988.1605</v>
      </c>
      <c r="C59" s="108" t="str">
        <f>'Necesidades Trimestrales'!E57</f>
        <v>REACTIVOS P/EQUIPO; EQUIPO: AUTOANALIZADOR, MARCA EQUIPO: COBAS ROCHE, NOMBRE DEL PRODUCTO: IG M, PRESENTACION: ENVASE X 150 DETERM.</v>
      </c>
      <c r="D59" s="108"/>
      <c r="E59" s="108"/>
      <c r="F59" s="108"/>
      <c r="G59" s="108"/>
      <c r="H59" s="68" t="s">
        <v>56</v>
      </c>
      <c r="I59" s="69" t="str">
        <f>'Necesidades Trimestrales'!F57</f>
        <v>CASSETTE</v>
      </c>
      <c r="J59" s="70">
        <f>'Necesidades Trimestrales'!H57</f>
        <v>26755</v>
      </c>
      <c r="K59" s="71">
        <f>'Necesidades Trimestrales'!G57</f>
        <v>1</v>
      </c>
    </row>
    <row r="60" spans="1:11" ht="43.15" customHeight="1" thickBot="1" x14ac:dyDescent="0.25">
      <c r="A60" s="8">
        <v>49</v>
      </c>
      <c r="B60" s="67" t="str">
        <f>'Necesidades Trimestrales'!B58</f>
        <v>2.5.1-8988.2395</v>
      </c>
      <c r="C60" s="108" t="str">
        <f>'Necesidades Trimestrales'!E58</f>
        <v>REACTIVOS P/EQUIPO; EQUIPO: COBAS C 311 , MARCA EQUIPO: ROCHE, NOMBRE DEL PRODUCTO: SOLUCION DE LAVADO, PRESENTACION: ENVASE X 50 ML</v>
      </c>
      <c r="D60" s="108"/>
      <c r="E60" s="108"/>
      <c r="F60" s="108"/>
      <c r="G60" s="108"/>
      <c r="H60" s="68" t="s">
        <v>56</v>
      </c>
      <c r="I60" s="69" t="str">
        <f>'Necesidades Trimestrales'!F58</f>
        <v>CASSETTE</v>
      </c>
      <c r="J60" s="70">
        <f>'Necesidades Trimestrales'!H58</f>
        <v>1527</v>
      </c>
      <c r="K60" s="71">
        <f>'Necesidades Trimestrales'!G58</f>
        <v>18</v>
      </c>
    </row>
    <row r="61" spans="1:11" ht="43.15" customHeight="1" thickBot="1" x14ac:dyDescent="0.25">
      <c r="A61" s="8">
        <v>50</v>
      </c>
      <c r="B61" s="67" t="str">
        <f>'Necesidades Trimestrales'!B59</f>
        <v>2.5.1-8988.2392</v>
      </c>
      <c r="C61" s="108" t="str">
        <f>'Necesidades Trimestrales'!E59</f>
        <v>REACTIVOS P/EQUIPO; EQUIPO: COBAS C 311, MARCA EQUIPO: ROCHE, NOMBRE DEL PRODUCTO: FACT. REUMATOIDEO, PRESENTACION: 100 DET</v>
      </c>
      <c r="D61" s="108"/>
      <c r="E61" s="108"/>
      <c r="F61" s="108"/>
      <c r="G61" s="108"/>
      <c r="H61" s="68" t="s">
        <v>56</v>
      </c>
      <c r="I61" s="69" t="str">
        <f>'Necesidades Trimestrales'!F59</f>
        <v>CASSETTE</v>
      </c>
      <c r="J61" s="70">
        <f>'Necesidades Trimestrales'!H59</f>
        <v>14571</v>
      </c>
      <c r="K61" s="71">
        <f>'Necesidades Trimestrales'!G59</f>
        <v>5</v>
      </c>
    </row>
    <row r="62" spans="1:11" ht="43.15" customHeight="1" thickBot="1" x14ac:dyDescent="0.25">
      <c r="A62" s="8">
        <v>51</v>
      </c>
      <c r="B62" s="67" t="str">
        <f>'Necesidades Trimestrales'!B60</f>
        <v>2.5.1-8988.2391</v>
      </c>
      <c r="C62" s="108" t="str">
        <f>'Necesidades Trimestrales'!E60</f>
        <v>REACTIVOS P/EQUIPO; EQUIPO: COBAS C 311, MARCA EQUIPO: ROCHE, NOMBRE DEL PRODUCTO: SOLUCION DE LAVADO, PRESENTACION: ENVASE X 54 ML</v>
      </c>
      <c r="D62" s="108"/>
      <c r="E62" s="108"/>
      <c r="F62" s="108"/>
      <c r="G62" s="108"/>
      <c r="H62" s="68" t="s">
        <v>56</v>
      </c>
      <c r="I62" s="69" t="str">
        <f>'Necesidades Trimestrales'!F60</f>
        <v>CASSETTE</v>
      </c>
      <c r="J62" s="70">
        <f>'Necesidades Trimestrales'!H60</f>
        <v>8112</v>
      </c>
      <c r="K62" s="71">
        <f>'Necesidades Trimestrales'!G60</f>
        <v>28</v>
      </c>
    </row>
    <row r="63" spans="1:11" ht="43.15" customHeight="1" thickBot="1" x14ac:dyDescent="0.25">
      <c r="A63" s="8">
        <v>52</v>
      </c>
      <c r="B63" s="67" t="str">
        <f>'Necesidades Trimestrales'!B61</f>
        <v>2.5.1-8988.2387</v>
      </c>
      <c r="C63" s="108" t="str">
        <f>'Necesidades Trimestrales'!E61</f>
        <v>REACTIVOS P/EQUIPO; EQUIPO: COBAS C311, MARCA EQUIPO: COBAS ROCHE, NOMBRE DEL PRODUCTO: NAOH-D, PRESENTACION: CASSETTE</v>
      </c>
      <c r="D63" s="108"/>
      <c r="E63" s="108"/>
      <c r="F63" s="108"/>
      <c r="G63" s="108"/>
      <c r="H63" s="68" t="s">
        <v>56</v>
      </c>
      <c r="I63" s="69" t="str">
        <f>'Necesidades Trimestrales'!F61</f>
        <v>CASSETTE</v>
      </c>
      <c r="J63" s="70">
        <f>'Necesidades Trimestrales'!H61</f>
        <v>1527</v>
      </c>
      <c r="K63" s="71">
        <f>'Necesidades Trimestrales'!G61</f>
        <v>28</v>
      </c>
    </row>
    <row r="64" spans="1:11" ht="43.15" customHeight="1" thickBot="1" x14ac:dyDescent="0.25">
      <c r="A64" s="8">
        <v>53</v>
      </c>
      <c r="B64" s="67" t="str">
        <f>'Necesidades Trimestrales'!B62</f>
        <v>2.5.1-8988.2397</v>
      </c>
      <c r="C64" s="108" t="str">
        <f>'Necesidades Trimestrales'!E62</f>
        <v>REACTIVOS P/EQUIPO; EQUIPO: COBAS C311, MARCA EQUIPO: ROCHE, NOMBRE DEL PRODUCTO: CALIBRADOR P-SIST-AUT- PROTEINAS, PRESENTACION: 5 X 1ML</v>
      </c>
      <c r="D64" s="108"/>
      <c r="E64" s="108"/>
      <c r="F64" s="108"/>
      <c r="G64" s="108"/>
      <c r="H64" s="68" t="s">
        <v>56</v>
      </c>
      <c r="I64" s="69" t="str">
        <f>'Necesidades Trimestrales'!F62</f>
        <v>CAJA</v>
      </c>
      <c r="J64" s="70">
        <f>'Necesidades Trimestrales'!H62</f>
        <v>33102</v>
      </c>
      <c r="K64" s="71">
        <f>'Necesidades Trimestrales'!G62</f>
        <v>1</v>
      </c>
    </row>
    <row r="65" spans="1:1024" ht="43.15" customHeight="1" thickBot="1" x14ac:dyDescent="0.25">
      <c r="A65" s="8">
        <v>54</v>
      </c>
      <c r="B65" s="67" t="str">
        <f>'Necesidades Trimestrales'!B63</f>
        <v>2.5.1-8988.2400</v>
      </c>
      <c r="C65" s="108" t="str">
        <f>'Necesidades Trimestrales'!E63</f>
        <v>REACTIVOS P/EQUIPO; EQUIPO: COBAS C311, MARCA EQUIPO: ROCHE, NOMBRE DEL PRODUCTO: COLESTEROL HDL, PRESENTACION: 350 DET</v>
      </c>
      <c r="D65" s="108"/>
      <c r="E65" s="108"/>
      <c r="F65" s="108"/>
      <c r="G65" s="108"/>
      <c r="H65" s="68" t="s">
        <v>56</v>
      </c>
      <c r="I65" s="69" t="str">
        <f>'Necesidades Trimestrales'!F63</f>
        <v>CASSETTE</v>
      </c>
      <c r="J65" s="70">
        <f>'Necesidades Trimestrales'!H63</f>
        <v>25470</v>
      </c>
      <c r="K65" s="71">
        <f>'Necesidades Trimestrales'!G63</f>
        <v>3</v>
      </c>
    </row>
    <row r="66" spans="1:1024" ht="43.15" customHeight="1" thickBot="1" x14ac:dyDescent="0.25">
      <c r="A66" s="8">
        <v>55</v>
      </c>
      <c r="B66" s="67" t="str">
        <f>'Necesidades Trimestrales'!B64</f>
        <v>2.5.1-8988.2393</v>
      </c>
      <c r="C66" s="108" t="str">
        <f>'Necesidades Trimestrales'!E64</f>
        <v>REACTIVOS P/EQUIPO; EQUIPO: COBAS C311, MARCA EQUIPO: ROCHE, NOMBRE DEL PRODUCTO: DET. DE CRP, PRESENTACION: 250 UNID</v>
      </c>
      <c r="D66" s="108"/>
      <c r="E66" s="108"/>
      <c r="F66" s="108"/>
      <c r="G66" s="108"/>
      <c r="H66" s="68" t="s">
        <v>56</v>
      </c>
      <c r="I66" s="69" t="str">
        <f>'Necesidades Trimestrales'!F64</f>
        <v>CASSETTE</v>
      </c>
      <c r="J66" s="70">
        <f>'Necesidades Trimestrales'!H64</f>
        <v>52495</v>
      </c>
      <c r="K66" s="71">
        <f>'Necesidades Trimestrales'!G64</f>
        <v>8</v>
      </c>
    </row>
    <row r="67" spans="1:1024" ht="43.15" customHeight="1" thickBot="1" x14ac:dyDescent="0.25">
      <c r="A67" s="8">
        <v>56</v>
      </c>
      <c r="B67" s="67" t="str">
        <f>'Necesidades Trimestrales'!B65</f>
        <v>2.5.1-8988.2394</v>
      </c>
      <c r="C67" s="108" t="str">
        <f>'Necesidades Trimestrales'!E65</f>
        <v>REACTIVOS P/EQUIPO; EQUIPO: COBAS E411, MARCA EQUIPO: COBAS ROCHE, NOMBRE DEL PRODUCTO: ANTI TPO, PRESENTACION: 100 UNIDAD</v>
      </c>
      <c r="D67" s="108"/>
      <c r="E67" s="108"/>
      <c r="F67" s="108"/>
      <c r="G67" s="108"/>
      <c r="H67" s="68" t="s">
        <v>56</v>
      </c>
      <c r="I67" s="69" t="str">
        <f>'Necesidades Trimestrales'!F65</f>
        <v>CAJA</v>
      </c>
      <c r="J67" s="70">
        <f>'Necesidades Trimestrales'!H65</f>
        <v>32052</v>
      </c>
      <c r="K67" s="71">
        <f>'Necesidades Trimestrales'!G65</f>
        <v>5</v>
      </c>
    </row>
    <row r="68" spans="1:1024" ht="43.15" customHeight="1" thickBot="1" x14ac:dyDescent="0.25">
      <c r="A68" s="8">
        <v>57</v>
      </c>
      <c r="B68" s="67" t="str">
        <f>'Necesidades Trimestrales'!B66</f>
        <v>2.5.1-8988.1322</v>
      </c>
      <c r="C68" s="108" t="str">
        <f>'Necesidades Trimestrales'!E66</f>
        <v>REACTIVOS P/EQUIPO; EQUIPO: CONTADOR HEMATOLOGICO, MARCA EQUIPO: SYSMEX ROCHE, NOMBRE DEL PRODUCTO: DILUYENTE, PRESENTACION: ENVASE X 20 L</v>
      </c>
      <c r="D68" s="108"/>
      <c r="E68" s="108"/>
      <c r="F68" s="108"/>
      <c r="G68" s="108"/>
      <c r="H68" s="68" t="s">
        <v>56</v>
      </c>
      <c r="I68" s="69" t="str">
        <f>'Necesidades Trimestrales'!F66</f>
        <v>BIDON</v>
      </c>
      <c r="J68" s="70">
        <f>'Necesidades Trimestrales'!H66</f>
        <v>15298</v>
      </c>
      <c r="K68" s="71">
        <f>'Necesidades Trimestrales'!G66</f>
        <v>30</v>
      </c>
    </row>
    <row r="69" spans="1:1024" ht="43.15" customHeight="1" thickBot="1" x14ac:dyDescent="0.25">
      <c r="A69" s="8">
        <v>58</v>
      </c>
      <c r="B69" s="67" t="str">
        <f>'Necesidades Trimestrales'!B67</f>
        <v>2.5.1-8988.1323</v>
      </c>
      <c r="C69" s="108" t="str">
        <f>'Necesidades Trimestrales'!E67</f>
        <v>REACTIVOS P/EQUIPO; EQUIPO: CONTADOR HEMATOLOGICO, MARCA EQUIPO: SYSMEX ROCHE, NOMBRE DEL PRODUCTO: LISANTE, PRESENTACION: ENVASE X 5 L</v>
      </c>
      <c r="D69" s="108"/>
      <c r="E69" s="108"/>
      <c r="F69" s="108"/>
      <c r="G69" s="108"/>
      <c r="H69" s="68" t="s">
        <v>56</v>
      </c>
      <c r="I69" s="69" t="str">
        <f>'Necesidades Trimestrales'!F67</f>
        <v>BIDON</v>
      </c>
      <c r="J69" s="70">
        <f>'Necesidades Trimestrales'!H67</f>
        <v>28942</v>
      </c>
      <c r="K69" s="71">
        <f>'Necesidades Trimestrales'!G67</f>
        <v>4</v>
      </c>
    </row>
    <row r="70" spans="1:1024" ht="43.15" customHeight="1" thickBot="1" x14ac:dyDescent="0.25">
      <c r="A70" s="8">
        <v>59</v>
      </c>
      <c r="B70" s="67" t="str">
        <f>'Necesidades Trimestrales'!B68</f>
        <v>2.5.1-8988.1324</v>
      </c>
      <c r="C70" s="108" t="str">
        <f>'Necesidades Trimestrales'!E68</f>
        <v>REACTIVOS P/EQUIPO; EQUIPO: CONTADOR HEMATOLOGICO, MARCA EQUIPO: SYSMEX ROCHE, NOMBRE DEL PRODUCTO: REACTIVO DIFERENCIAL, PRESENTACION: ENVASE X 5 L</v>
      </c>
      <c r="D70" s="108"/>
      <c r="E70" s="108"/>
      <c r="F70" s="108"/>
      <c r="G70" s="108"/>
      <c r="H70" s="68" t="s">
        <v>56</v>
      </c>
      <c r="I70" s="69" t="str">
        <f>'Necesidades Trimestrales'!F68</f>
        <v>BIDON</v>
      </c>
      <c r="J70" s="70">
        <f>'Necesidades Trimestrales'!H68</f>
        <v>49446</v>
      </c>
      <c r="K70" s="71">
        <f>'Necesidades Trimestrales'!G68</f>
        <v>1</v>
      </c>
    </row>
    <row r="71" spans="1:1024" ht="43.15" customHeight="1" thickBot="1" x14ac:dyDescent="0.25">
      <c r="A71" s="8">
        <v>60</v>
      </c>
      <c r="B71" s="67" t="str">
        <f>'Necesidades Trimestrales'!B69</f>
        <v>2.5.1-8988.1095</v>
      </c>
      <c r="C71" s="108" t="str">
        <f>'Necesidades Trimestrales'!E69</f>
        <v>REACTIVOS P/EQUIPO; EQUIPO: ELECTROQUIMIOLUMINISCENCIA, MARCA EQUIPO: ELECSYS ROCHE, NOMBRE DEL PRODUCTO: ANTI PEPTIDO CITRULINADO, PRESENTACION: ENVASE X 100 DETERM.</v>
      </c>
      <c r="D71" s="108"/>
      <c r="E71" s="108"/>
      <c r="F71" s="108"/>
      <c r="G71" s="108"/>
      <c r="H71" s="68" t="s">
        <v>56</v>
      </c>
      <c r="I71" s="69" t="str">
        <f>'Necesidades Trimestrales'!F69</f>
        <v>CAJA</v>
      </c>
      <c r="J71" s="70">
        <f>'Necesidades Trimestrales'!H69</f>
        <v>42107</v>
      </c>
      <c r="K71" s="71">
        <f>'Necesidades Trimestrales'!G69</f>
        <v>2</v>
      </c>
    </row>
    <row r="72" spans="1:1024" ht="43.15" customHeight="1" thickBot="1" x14ac:dyDescent="0.25">
      <c r="A72" s="8">
        <v>61</v>
      </c>
      <c r="B72" s="67" t="str">
        <f>'Necesidades Trimestrales'!B70</f>
        <v>2.5.1-8988.2396</v>
      </c>
      <c r="C72" s="108" t="str">
        <f>'Necesidades Trimestrales'!E70</f>
        <v>REACTIVOS P/EQUIPO; EQUIPO: SYSMEX XN-L, MARCA EQUIPO: SYSMEX, NOMBRE DEL PRODUCTO: CELLCLEAN AUTO, PRESENTACION: 4ML X 20</v>
      </c>
      <c r="D72" s="108"/>
      <c r="E72" s="108"/>
      <c r="F72" s="108"/>
      <c r="G72" s="108"/>
      <c r="H72" s="68" t="s">
        <v>56</v>
      </c>
      <c r="I72" s="69" t="str">
        <f>'Necesidades Trimestrales'!F70</f>
        <v>CAJA</v>
      </c>
      <c r="J72" s="70">
        <f>'Necesidades Trimestrales'!H70</f>
        <v>12404</v>
      </c>
      <c r="K72" s="71">
        <f>'Necesidades Trimestrales'!G70</f>
        <v>15</v>
      </c>
    </row>
    <row r="73" spans="1:1024" ht="43.15" customHeight="1" thickBot="1" x14ac:dyDescent="0.25">
      <c r="A73" s="8">
        <v>62</v>
      </c>
      <c r="B73" s="67" t="str">
        <f>'Necesidades Trimestrales'!B71</f>
        <v>2.5.1-8988.2398</v>
      </c>
      <c r="C73" s="108" t="str">
        <f>'Necesidades Trimestrales'!E71</f>
        <v>REACTIVOS P/EQUIPO; EQUIPO: SYSMEX XN-L, MARCA EQUIPO: SYSMEX, NOMBRE DEL PRODUCTO: FLUOROCELL WDF, PRESENTACION: 2 X 42MM</v>
      </c>
      <c r="D73" s="108"/>
      <c r="E73" s="108"/>
      <c r="F73" s="108"/>
      <c r="G73" s="108"/>
      <c r="H73" s="68" t="s">
        <v>56</v>
      </c>
      <c r="I73" s="69" t="str">
        <f>'Necesidades Trimestrales'!F71</f>
        <v>BIDON</v>
      </c>
      <c r="J73" s="70">
        <f>'Necesidades Trimestrales'!H71</f>
        <v>90961</v>
      </c>
      <c r="K73" s="71">
        <f>'Necesidades Trimestrales'!G71</f>
        <v>3</v>
      </c>
    </row>
    <row r="74" spans="1:1024" ht="43.15" customHeight="1" thickBot="1" x14ac:dyDescent="0.25">
      <c r="A74" s="8">
        <v>63</v>
      </c>
      <c r="B74" s="67" t="str">
        <f>'Necesidades Trimestrales'!B72</f>
        <v>2.5.1-8988.2399</v>
      </c>
      <c r="C74" s="108" t="str">
        <f>'Necesidades Trimestrales'!E72</f>
        <v>REACTIVOS P/EQUIPO; REACTIVO: HEMOLISANTE HBAIC2, EQUIPO: COBAS C311, MARCA: ROCHE, PRESENTACION: X 800 DET</v>
      </c>
      <c r="D74" s="108"/>
      <c r="E74" s="108"/>
      <c r="F74" s="108"/>
      <c r="G74" s="108"/>
      <c r="H74" s="68" t="s">
        <v>56</v>
      </c>
      <c r="I74" s="69" t="str">
        <f>'Necesidades Trimestrales'!F72</f>
        <v>CASSETTE</v>
      </c>
      <c r="J74" s="70">
        <f>'Necesidades Trimestrales'!H72</f>
        <v>6240</v>
      </c>
      <c r="K74" s="71">
        <f>'Necesidades Trimestrales'!G72</f>
        <v>1</v>
      </c>
    </row>
    <row r="75" spans="1:1024" ht="43.15" customHeight="1" thickBot="1" x14ac:dyDescent="0.25">
      <c r="A75" s="8">
        <v>64</v>
      </c>
      <c r="B75" s="67" t="str">
        <f>'Necesidades Trimestrales'!B73</f>
        <v>2.5.1-8988.2401</v>
      </c>
      <c r="C75" s="108" t="str">
        <f>'Necesidades Trimestrales'!E73</f>
        <v>REACTIVOS P/EQUIPO; REACTIVO: LDL COLESTEROL, EQUIPO: COBAS C311, MARCA: ROCHE, PRESENTACION: X 200 DET</v>
      </c>
      <c r="D75" s="108"/>
      <c r="E75" s="108"/>
      <c r="F75" s="108"/>
      <c r="G75" s="108"/>
      <c r="H75" s="68" t="s">
        <v>56</v>
      </c>
      <c r="I75" s="69" t="str">
        <f>'Necesidades Trimestrales'!F73</f>
        <v>CASSETTE</v>
      </c>
      <c r="J75" s="70">
        <f>'Necesidades Trimestrales'!H73</f>
        <v>22924</v>
      </c>
      <c r="K75" s="71">
        <f>'Necesidades Trimestrales'!G73</f>
        <v>4</v>
      </c>
    </row>
    <row r="76" spans="1:1024" ht="43.15" customHeight="1" thickBot="1" x14ac:dyDescent="0.25">
      <c r="A76" s="8">
        <v>65</v>
      </c>
      <c r="B76" s="67" t="str">
        <f>'Necesidades Trimestrales'!B74</f>
        <v>2.5.1-8988.2402</v>
      </c>
      <c r="C76" s="108" t="str">
        <f>'Necesidades Trimestrales'!E74</f>
        <v>REACTIVOS P/EQUIPO; REACTIVO: MAGNESIO, EQUIPO: COBAS C311, MARCA: ROCHE, PRESENTACION: X 250 DET</v>
      </c>
      <c r="D76" s="108"/>
      <c r="E76" s="108"/>
      <c r="F76" s="108"/>
      <c r="G76" s="108"/>
      <c r="H76" s="68" t="s">
        <v>56</v>
      </c>
      <c r="I76" s="69" t="str">
        <f>'Necesidades Trimestrales'!F74</f>
        <v>CASSETTE</v>
      </c>
      <c r="J76" s="70">
        <f>'Necesidades Trimestrales'!H74</f>
        <v>6370</v>
      </c>
      <c r="K76" s="71">
        <f>'Necesidades Trimestrales'!G74</f>
        <v>1</v>
      </c>
    </row>
    <row r="77" spans="1:1024" ht="43.15" customHeight="1" thickBot="1" x14ac:dyDescent="0.25">
      <c r="A77" s="8">
        <v>66</v>
      </c>
      <c r="B77" s="67" t="str">
        <f>'Necesidades Trimestrales'!B75</f>
        <v>2.5.1-8988.2403</v>
      </c>
      <c r="C77" s="108" t="str">
        <f>'Necesidades Trimestrales'!E75</f>
        <v>REACTIVOS P/EQUIPO; REACTIVO: NACL 9%, EQUIPO: COBAS C311, MARCA EQUIPO: ROCHE, PRESENTACION: SEGUN PLIEGO</v>
      </c>
      <c r="D77" s="108"/>
      <c r="E77" s="108"/>
      <c r="F77" s="108"/>
      <c r="G77" s="108"/>
      <c r="H77" s="68" t="s">
        <v>56</v>
      </c>
      <c r="I77" s="69" t="str">
        <f>'Necesidades Trimestrales'!F75</f>
        <v>CASSETTE</v>
      </c>
      <c r="J77" s="70">
        <f>'Necesidades Trimestrales'!H75</f>
        <v>1716</v>
      </c>
      <c r="K77" s="71">
        <f>'Necesidades Trimestrales'!G75</f>
        <v>3</v>
      </c>
    </row>
    <row r="78" spans="1:1024" ht="43.15" customHeight="1" thickBot="1" x14ac:dyDescent="0.25">
      <c r="A78" s="8">
        <v>67</v>
      </c>
      <c r="B78" s="67" t="str">
        <f>'Necesidades Trimestrales'!B76</f>
        <v>2.5.1-8988.2390</v>
      </c>
      <c r="C78" s="108" t="str">
        <f>'Necesidades Trimestrales'!E76</f>
        <v>REACTIVOS P/EQUIPO; EQUIPO: SISTEMA AUTOM. P/HEMOCULTIVO, MARCA EQUIPO: BACTEC PLUS/AEROBIC/F, NOMBRE DEL PRODUCTO: FRASCO P/HEMOCULTIVO (CULTURE VIALS), PRESENTACION: CAJA POR 50 UNIDADES X 30 ML</v>
      </c>
      <c r="D78" s="108"/>
      <c r="E78" s="108"/>
      <c r="F78" s="108"/>
      <c r="G78" s="108"/>
      <c r="H78" s="68" t="s">
        <v>56</v>
      </c>
      <c r="I78" s="69" t="str">
        <f>'Necesidades Trimestrales'!F76</f>
        <v>CAJA</v>
      </c>
      <c r="J78" s="70">
        <f>'Necesidades Trimestrales'!H76</f>
        <v>80332</v>
      </c>
      <c r="K78" s="71">
        <f>'Necesidades Trimestrales'!G76</f>
        <v>8</v>
      </c>
    </row>
    <row r="79" spans="1:1024" ht="43.15" customHeight="1" thickBot="1" x14ac:dyDescent="0.25">
      <c r="A79" s="8">
        <v>68</v>
      </c>
      <c r="B79" s="67" t="str">
        <f>'Necesidades Trimestrales'!B77</f>
        <v>2.5.1-8988.2230</v>
      </c>
      <c r="C79" s="108" t="str">
        <f>'Necesidades Trimestrales'!E77</f>
        <v>REACTIVOS P/EQUIPO; EQUIPO: SISTEMA AUTOMATIZADO P/ORINA, MARCA EQUIPO: GENERICO, NOMBRE DEL PRODUCTO: TIRAS REACTIVAS 10 PARAMETROS, PRESENTACION: ENVASE X 100 UN</v>
      </c>
      <c r="D79" s="108"/>
      <c r="E79" s="108"/>
      <c r="F79" s="108"/>
      <c r="G79" s="108"/>
      <c r="H79" s="68" t="s">
        <v>56</v>
      </c>
      <c r="I79" s="69" t="str">
        <f>'Necesidades Trimestrales'!F77</f>
        <v>CAJA</v>
      </c>
      <c r="J79" s="70">
        <f>'Necesidades Trimestrales'!H77</f>
        <v>3690</v>
      </c>
      <c r="K79" s="71">
        <f>'Necesidades Trimestrales'!G77</f>
        <v>50</v>
      </c>
    </row>
    <row r="80" spans="1:1024" ht="20.25" customHeight="1" thickBot="1" x14ac:dyDescent="0.25">
      <c r="A80" s="101" t="s">
        <v>213</v>
      </c>
      <c r="B80" s="101"/>
      <c r="C80" s="101"/>
      <c r="D80" s="101"/>
      <c r="E80" s="101"/>
      <c r="F80" s="101"/>
      <c r="G80" s="101"/>
      <c r="H80" s="101"/>
      <c r="I80" s="101"/>
      <c r="J80" s="102">
        <f>SUMPRODUCT(J12:J79,K12:K79)</f>
        <v>10523329</v>
      </c>
      <c r="K80" s="102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</sheetData>
  <mergeCells count="90">
    <mergeCell ref="C79:G79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60:G60"/>
    <mergeCell ref="C61:G61"/>
    <mergeCell ref="C75:G75"/>
    <mergeCell ref="C76:G76"/>
    <mergeCell ref="C77:G77"/>
    <mergeCell ref="C62:G62"/>
    <mergeCell ref="C63:G63"/>
    <mergeCell ref="C64:G64"/>
    <mergeCell ref="C65:G65"/>
    <mergeCell ref="C58:G58"/>
    <mergeCell ref="C59:G59"/>
    <mergeCell ref="C45:G45"/>
    <mergeCell ref="C46:G46"/>
    <mergeCell ref="C47:G47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37:G37"/>
    <mergeCell ref="C38:G38"/>
    <mergeCell ref="C39:G39"/>
    <mergeCell ref="C30:G30"/>
    <mergeCell ref="C31:G31"/>
    <mergeCell ref="C32:G32"/>
    <mergeCell ref="C33:G33"/>
    <mergeCell ref="C34:G34"/>
    <mergeCell ref="C44:G44"/>
    <mergeCell ref="C43:G43"/>
    <mergeCell ref="C17:G17"/>
    <mergeCell ref="C18:G18"/>
    <mergeCell ref="C19:G19"/>
    <mergeCell ref="C20:G20"/>
    <mergeCell ref="C21:G21"/>
    <mergeCell ref="C40:G40"/>
    <mergeCell ref="C41:G41"/>
    <mergeCell ref="C42:G42"/>
    <mergeCell ref="C22:G22"/>
    <mergeCell ref="C23:G23"/>
    <mergeCell ref="C24:G24"/>
    <mergeCell ref="C25:G25"/>
    <mergeCell ref="C35:G35"/>
    <mergeCell ref="C36:G36"/>
    <mergeCell ref="C12:G12"/>
    <mergeCell ref="C13:G13"/>
    <mergeCell ref="C14:G14"/>
    <mergeCell ref="C15:G15"/>
    <mergeCell ref="C16:G16"/>
    <mergeCell ref="A80:I80"/>
    <mergeCell ref="J80:K8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78:G78"/>
    <mergeCell ref="C26:G26"/>
    <mergeCell ref="C27:G27"/>
    <mergeCell ref="C28:G28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4" zoomScale="130" zoomScaleNormal="130" workbookViewId="0">
      <selection activeCell="J33" sqref="J3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9" t="s">
        <v>3</v>
      </c>
      <c r="B1" s="109"/>
      <c r="C1" s="109"/>
      <c r="D1" s="110">
        <f>'Necesidades Trimestrales'!C6</f>
        <v>2022</v>
      </c>
      <c r="E1" s="110"/>
      <c r="F1" s="10"/>
      <c r="G1" s="10"/>
      <c r="H1" s="11"/>
      <c r="I1" s="11"/>
      <c r="J1" s="11"/>
      <c r="K1" s="11"/>
      <c r="L1" s="11"/>
      <c r="M1" s="11"/>
      <c r="N1" s="11"/>
      <c r="P1" s="111" t="s">
        <v>30</v>
      </c>
      <c r="Q1" s="11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1"/>
      <c r="Q2" s="111"/>
    </row>
    <row r="4" spans="1:17" s="12" customFormat="1" ht="18" customHeight="1" thickBot="1" x14ac:dyDescent="0.25">
      <c r="A4" s="112" t="s">
        <v>31</v>
      </c>
      <c r="B4" s="112"/>
      <c r="C4" s="112"/>
      <c r="D4" s="112"/>
      <c r="E4" s="112"/>
      <c r="F4" s="112"/>
      <c r="G4" s="113" t="str">
        <f>NotaPedido!D3</f>
        <v>40 - Ministerio de Salud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s="12" customFormat="1" ht="18" customHeight="1" thickBot="1" x14ac:dyDescent="0.25">
      <c r="A5" s="114" t="s">
        <v>54</v>
      </c>
      <c r="B5" s="115"/>
      <c r="C5" s="115"/>
      <c r="D5" s="115"/>
      <c r="E5" s="115"/>
      <c r="F5" s="116"/>
      <c r="G5" s="113" t="str">
        <f>NotaPedido!D4</f>
        <v>23 - Hospital Interzonal San Juan Bautista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s="12" customFormat="1" ht="18" customHeight="1" thickBot="1" x14ac:dyDescent="0.25">
      <c r="A6" s="114" t="s">
        <v>32</v>
      </c>
      <c r="B6" s="115"/>
      <c r="C6" s="115"/>
      <c r="D6" s="115"/>
      <c r="E6" s="115"/>
      <c r="F6" s="116"/>
      <c r="G6" s="113" t="str">
        <f>NotaPedido!D5</f>
        <v>168 - Direccion Asistencial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s="12" customFormat="1" ht="18" customHeight="1" thickBot="1" x14ac:dyDescent="0.25">
      <c r="A7" s="114" t="s">
        <v>55</v>
      </c>
      <c r="B7" s="115"/>
      <c r="C7" s="115"/>
      <c r="D7" s="115"/>
      <c r="E7" s="115"/>
      <c r="F7" s="116"/>
      <c r="G7" s="113" t="str">
        <f>NotaPedido!D6</f>
        <v>Servicio de Laboratorio Central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8" customHeight="1" thickBot="1" x14ac:dyDescent="0.25">
      <c r="A8" s="117" t="s">
        <v>33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18" t="s">
        <v>34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13"/>
    </row>
    <row r="10" spans="1:17" ht="54.75" customHeight="1" x14ac:dyDescent="0.2">
      <c r="A10" s="11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DOCFI-2022-01873418-CAT-DASIS#HSJB,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0" t="s">
        <v>35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2">
      <c r="A13" s="121" t="s">
        <v>36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37</v>
      </c>
      <c r="P13" s="122"/>
      <c r="Q13" s="123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2"/>
      <c r="P14" s="122"/>
      <c r="Q14" s="123"/>
    </row>
    <row r="15" spans="1:17" ht="17.25" customHeight="1" x14ac:dyDescent="0.2">
      <c r="A15" s="74">
        <v>33</v>
      </c>
      <c r="B15" s="75"/>
      <c r="C15" s="75"/>
      <c r="D15" s="75">
        <v>2</v>
      </c>
      <c r="E15" s="75"/>
      <c r="F15" s="75">
        <v>4901</v>
      </c>
      <c r="G15" s="75">
        <v>3</v>
      </c>
      <c r="H15" s="76" t="s">
        <v>61</v>
      </c>
      <c r="I15" s="77">
        <v>2</v>
      </c>
      <c r="J15" s="77">
        <v>5</v>
      </c>
      <c r="K15" s="77">
        <v>1</v>
      </c>
      <c r="L15" s="75"/>
      <c r="M15" s="78">
        <v>1</v>
      </c>
      <c r="N15" s="76" t="s">
        <v>62</v>
      </c>
      <c r="O15" s="124" t="s">
        <v>60</v>
      </c>
      <c r="P15" s="124"/>
      <c r="Q15" s="23">
        <v>10523329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2"/>
      <c r="I16" s="25"/>
      <c r="J16" s="25"/>
      <c r="K16" s="25"/>
      <c r="L16" s="25"/>
      <c r="M16" s="26"/>
      <c r="N16" s="73"/>
      <c r="O16" s="125"/>
      <c r="P16" s="12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2"/>
      <c r="I17" s="25"/>
      <c r="J17" s="25"/>
      <c r="K17" s="25"/>
      <c r="L17" s="25"/>
      <c r="M17" s="26"/>
      <c r="N17" s="73"/>
      <c r="O17" s="125"/>
      <c r="P17" s="125"/>
      <c r="Q17" s="28"/>
      <c r="S17" s="79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2"/>
      <c r="I18" s="25"/>
      <c r="J18" s="25"/>
      <c r="K18" s="25"/>
      <c r="L18" s="25"/>
      <c r="M18" s="26"/>
      <c r="N18" s="73"/>
      <c r="O18" s="126"/>
      <c r="P18" s="12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7"/>
      <c r="P19" s="127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7"/>
      <c r="P20" s="127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3"/>
      <c r="P21" s="133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4"/>
      <c r="P22" s="134"/>
      <c r="Q22" s="37"/>
    </row>
    <row r="23" spans="1:19" ht="32.450000000000003" customHeight="1" x14ac:dyDescent="0.2">
      <c r="A23" s="136" t="s">
        <v>214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38">
        <f>SUM(Q15:Q22)</f>
        <v>10523329</v>
      </c>
    </row>
    <row r="24" spans="1:19" ht="18" customHeight="1" thickBot="1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9" ht="17.25" customHeight="1" thickBot="1" x14ac:dyDescent="0.25">
      <c r="A25" s="128" t="s">
        <v>52</v>
      </c>
      <c r="B25" s="129"/>
      <c r="C25" s="129"/>
      <c r="D25" s="129"/>
      <c r="E25" s="129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9" ht="18" customHeight="1" thickBot="1" x14ac:dyDescent="0.25">
      <c r="A26" s="132" t="str">
        <f>"Para la "&amp; NotaPedido!D8 &amp;" para ser destinados al " &amp; NotaPedido!D6 &amp;"  del HISJB del Ministerio de Salud."</f>
        <v>Para la Adquisición de Reactivos Desiertos para ser destinados al Servicio de Laboratorio Central  del HISJB del Ministerio de Salud.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9" ht="15" customHeight="1" x14ac:dyDescent="0.2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2022-10-13T11:49:12Z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