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R\Downloads\"/>
    </mc:Choice>
  </mc:AlternateContent>
  <xr:revisionPtr revIDLastSave="0" documentId="13_ncr:1_{B1EAEADA-7143-4817-B34E-4E4B3966D5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externalReferences>
    <externalReference r:id="rId4"/>
  </externalReferences>
  <definedNames>
    <definedName name="_xlnm._FilterDatabase" localSheetId="0" hidden="1">'SAF 011 - NECESIDAD TRIMESTRAL'!$A$9:$AY$17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G10" i="1" l="1"/>
  <c r="BH10" i="1" s="1"/>
  <c r="BH11" i="1"/>
  <c r="BH12" i="1"/>
  <c r="BH13" i="1"/>
  <c r="BH14" i="1"/>
  <c r="BH15" i="1"/>
  <c r="BH16" i="1"/>
  <c r="BG11" i="1"/>
  <c r="BG12" i="1"/>
  <c r="BG13" i="1"/>
  <c r="BG14" i="1"/>
  <c r="BG15" i="1"/>
  <c r="BG16" i="1"/>
  <c r="C51" i="1" l="1"/>
  <c r="I12" i="2" l="1"/>
  <c r="I13" i="2"/>
  <c r="I14" i="2"/>
  <c r="I15" i="2"/>
  <c r="I16" i="2"/>
  <c r="I17" i="2"/>
  <c r="I18" i="2"/>
  <c r="C54" i="1"/>
  <c r="C48" i="1"/>
  <c r="C45" i="1"/>
  <c r="C42" i="1"/>
  <c r="C39" i="1"/>
  <c r="C36" i="1"/>
  <c r="A38" i="3"/>
  <c r="G7" i="3"/>
  <c r="G6" i="3"/>
  <c r="G5" i="3"/>
  <c r="G4" i="3"/>
  <c r="K18" i="2"/>
  <c r="J18" i="2"/>
  <c r="C18" i="2"/>
  <c r="B18" i="2"/>
  <c r="K17" i="2"/>
  <c r="J17" i="2"/>
  <c r="C17" i="2"/>
  <c r="B17" i="2"/>
  <c r="K16" i="2"/>
  <c r="J16" i="2"/>
  <c r="C16" i="2"/>
  <c r="B16" i="2"/>
  <c r="K15" i="2"/>
  <c r="J15" i="2"/>
  <c r="C15" i="2"/>
  <c r="B15" i="2"/>
  <c r="K14" i="2"/>
  <c r="J14" i="2"/>
  <c r="C14" i="2"/>
  <c r="B14" i="2"/>
  <c r="K13" i="2"/>
  <c r="J13" i="2"/>
  <c r="C13" i="2"/>
  <c r="B13" i="2"/>
  <c r="K12" i="2"/>
  <c r="J12" i="2"/>
  <c r="C12" i="2"/>
  <c r="B12" i="2"/>
  <c r="AW16" i="1"/>
  <c r="AY16" i="1" s="1"/>
  <c r="AV16" i="1"/>
  <c r="AW15" i="1"/>
  <c r="AY15" i="1" s="1"/>
  <c r="AV15" i="1"/>
  <c r="AW14" i="1"/>
  <c r="AY14" i="1" s="1"/>
  <c r="AV14" i="1"/>
  <c r="AW13" i="1"/>
  <c r="AY13" i="1" s="1"/>
  <c r="AV13" i="1"/>
  <c r="AW12" i="1"/>
  <c r="AY12" i="1" s="1"/>
  <c r="AV12" i="1"/>
  <c r="AW11" i="1"/>
  <c r="AY11" i="1" s="1"/>
  <c r="AV11" i="1"/>
  <c r="AW10" i="1"/>
  <c r="AY10" i="1" s="1"/>
  <c r="AV10" i="1"/>
  <c r="N18" i="2" l="1"/>
  <c r="M17" i="2"/>
  <c r="N15" i="2"/>
  <c r="N13" i="2"/>
  <c r="N16" i="2"/>
  <c r="J20" i="2"/>
  <c r="N12" i="2"/>
  <c r="N14" i="2"/>
  <c r="AY17" i="1"/>
  <c r="M20" i="2" l="1"/>
  <c r="Q15" i="3" s="1"/>
  <c r="N20" i="2"/>
  <c r="Q16" i="3" s="1"/>
  <c r="O20" i="2" l="1"/>
  <c r="Q35" i="3"/>
</calcChain>
</file>

<file path=xl/sharedStrings.xml><?xml version="1.0" encoding="utf-8"?>
<sst xmlns="http://schemas.openxmlformats.org/spreadsheetml/2006/main" count="215" uniqueCount="163">
  <si>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</si>
  <si>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</si>
  <si>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</si>
  <si>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</si>
  <si>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</si>
  <si>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</si>
  <si>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</si>
  <si>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</si>
  <si>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</si>
  <si>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</si>
  <si>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</si>
  <si>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</si>
  <si>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</si>
  <si>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</si>
  <si>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</si>
  <si>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</si>
  <si>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</si>
  <si>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</si>
  <si>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</si>
  <si>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</si>
  <si>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</si>
  <si>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</si>
  <si>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</si>
  <si>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</si>
  <si>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</si>
  <si>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</si>
  <si>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</si>
  <si>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</si>
  <si>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</si>
  <si>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</si>
  <si>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</si>
  <si>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</si>
  <si>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</si>
  <si>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</si>
  <si>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</si>
  <si>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</si>
  <si>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</si>
  <si>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</si>
  <si>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</si>
  <si>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</si>
  <si>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</si>
  <si>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</si>
  <si>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</si>
  <si>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</si>
  <si>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</si>
  <si>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</si>
  <si>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</si>
  <si>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</si>
  <si>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</si>
  <si>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</si>
  <si>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</si>
  <si>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</si>
  <si>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</si>
  <si>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MS</t>
  </si>
  <si>
    <t>TOTAL MS</t>
  </si>
  <si>
    <t>CANTIDAD TOTAL</t>
  </si>
  <si>
    <t>PRECIO UNITARIO ESTIMADO</t>
  </si>
  <si>
    <t xml:space="preserve">IMPORTE TOTAL ESTIMADO </t>
  </si>
  <si>
    <t>ESPECIFICACION TECNICA</t>
  </si>
  <si>
    <t>IPP</t>
  </si>
  <si>
    <t>RUBRO S/CATALOGO</t>
  </si>
  <si>
    <t>EQUIPO DE OFICINA Y MUEBLES</t>
  </si>
  <si>
    <t>4.3.7</t>
  </si>
  <si>
    <t>UNIDAD</t>
  </si>
  <si>
    <t>4.3.7-2001.22</t>
  </si>
  <si>
    <t>BANQUETAS/TABURETES; TERMINACION: METAL, DIMENSION: 0,6 X 0,3, RESPALDO: SIN, GIRATORIA: NO, APOYABRAZO: SIN, PATAS: 4, ALTURA: REGULABLE, MATERIAL: METAL</t>
  </si>
  <si>
    <t>BANQUETA METAL (s/respaldo, Fija, 4 patas y sin ruedas)</t>
  </si>
  <si>
    <t>4.3.7-1404.22</t>
  </si>
  <si>
    <t>ESTANTERIAS; MATERIAL: METAL, DIMENSION: 205 X 60 Cm, ALTURA: 260 Cm, ESTANTES: 6 UN, CAPACIDAD POR ESTANTE: SIN VALOR</t>
  </si>
  <si>
    <r>
      <rPr>
        <sz val="8"/>
        <rFont val="Calibri"/>
        <family val="2"/>
      </rPr>
      <t>ESTANTERIA METALICA (6 Estantes) (Alt.xAnc.xProf.=</t>
    </r>
    <r>
      <rPr>
        <sz val="8"/>
        <color rgb="FFFF0000"/>
        <rFont val="Calibri"/>
        <family val="2"/>
      </rPr>
      <t>260x205x60cm??</t>
    </r>
    <r>
      <rPr>
        <sz val="8"/>
        <rFont val="Calibri"/>
        <family val="2"/>
      </rPr>
      <t>)</t>
    </r>
  </si>
  <si>
    <t>4.3.7-4500.4</t>
  </si>
  <si>
    <t>GAVETEROS; MATERIAL: METAL, ALTURA: 240 Cm, ANCHO: 110 Cm, PROFUNDIDAD: 36 Cm, TERMINACION: ESMALTE, CANTIDAD DE CAJONES: 32</t>
  </si>
  <si>
    <t>Incluye 3 separadores por cada cajon</t>
  </si>
  <si>
    <t>GAVETERO metálico (32 cajones, terminación esmalte, HxAxProf=240x110x36 cm)</t>
  </si>
  <si>
    <t>4.3.7-5446.1</t>
  </si>
  <si>
    <t>MESAS P/CAMAS; BASE: ACERO INOXIDABLE, ALTURA: REGULABLE, DIMENSION DE TAPA: 50 X 80 Cm, MATERIAL DE TAPA: LAMINADA EN MELAMINA, SUPERFICIE APOYO: 50 X 80 Cm</t>
  </si>
  <si>
    <t>MESA P/CAMA (Altura regulable, laminada en melamina)</t>
  </si>
  <si>
    <t>4.3.7-1880.1</t>
  </si>
  <si>
    <t>RELOJES; TAMAÑO: 30 X 25 Cm, ALIMENTACION: ELECTRICA, MECANISMO: ANALOGICO, TIPO: DE PARED, MATERIAL: PLASTICO</t>
  </si>
  <si>
    <t>RELOJ ANALOGICO (de pared, material plástico)</t>
  </si>
  <si>
    <t>ELEMENTOS DE LIMPIEZA</t>
  </si>
  <si>
    <t>2.9.1</t>
  </si>
  <si>
    <t>291 o 299</t>
  </si>
  <si>
    <t>TACHO DE RESIDUOS (circular con tapa, 80,5x50cm)</t>
  </si>
  <si>
    <t>4.3.7-1832.16</t>
  </si>
  <si>
    <t>VITRINAS; ESTRUCTURA: MADERA, ALTURA: 170 Cm, ANCHO: 132 Cm, PROFUNDIDAD: 43 Cm, ESTANTE: CON, MATERIAL ESTRUCTURA: MADERA, PUERTA: 2 DE VIDRIO Y MADERA, PUERTAS: 2 DE VIDRIO Y MADERA</t>
  </si>
  <si>
    <t>TOTAL RUBRO MUEBLES Y ARTICULOS DEL HOGAR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</si>
  <si>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</si>
  <si>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</si>
  <si>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</si>
  <si>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</si>
  <si>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</si>
  <si>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</si>
  <si>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</si>
  <si>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</si>
  <si>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</si>
  <si>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</si>
  <si>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</si>
  <si>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</si>
  <si>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</si>
  <si>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</si>
  <si>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</si>
  <si>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</si>
  <si>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</si>
  <si>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</si>
  <si>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</si>
  <si>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</si>
  <si>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</si>
  <si>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</si>
  <si>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</si>
  <si>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</si>
  <si>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</si>
  <si>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</si>
  <si>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</si>
  <si>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</si>
  <si>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</si>
  <si>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</si>
  <si>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</si>
  <si>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</si>
  <si>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</si>
  <si>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</si>
  <si>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</si>
  <si>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</si>
  <si>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</si>
  <si>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</si>
  <si>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</si>
  <si>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</si>
  <si>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</si>
  <si>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</si>
  <si>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</si>
  <si>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</si>
  <si>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</si>
  <si>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</si>
  <si>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</si>
  <si>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DE OFICINA Y MUEBLES</t>
  </si>
  <si>
    <t>JUSTIFICACIÓN:</t>
  </si>
  <si>
    <t>2.9.1-2661.8</t>
  </si>
  <si>
    <t>TACHOS DE RESIDUOS; MATERIAL: PLASTICO, SECCION: CIRCULAR, DIMENSION: 119 L, TAPA: CON</t>
  </si>
  <si>
    <t>TACHO DE RESIDUOS (circular con tapa, capacidad: 119 litros)</t>
  </si>
  <si>
    <r>
      <t xml:space="preserve">VITRINA (madera c/estantes y c/2puertas de vidrio, HxAxProf= 170x132x43cm) </t>
    </r>
    <r>
      <rPr>
        <sz val="8"/>
        <color rgb="FFFF0000"/>
        <rFont val="Calibri"/>
        <family val="2"/>
      </rPr>
      <t>Aclarar cuantos estantes, el tipo de madera y su terminación.</t>
    </r>
  </si>
  <si>
    <t>VITRINA (madera c/estantes y c/2puertas de vidrio, HxAxProf= 170x132x43cm) Estantes: 4, tipo de madera: aglomerado, terminación: melanima. Con 2 puertas vidriadas con llave</t>
  </si>
  <si>
    <t>veinte (20) dias habiles</t>
  </si>
  <si>
    <t>TERCERO</t>
  </si>
  <si>
    <t>Garantia:</t>
  </si>
  <si>
    <t>un (1) año</t>
  </si>
  <si>
    <t>ESPECIFICIDADES ITEM 5</t>
  </si>
  <si>
    <t>ESTANTERIA METALICA (6 Estantes) (Alt.xAnc.xProf.=260x205x60cm) Estantes reforzados: capacidad de carga 35/40 kg por estante. Terminación con pintura epoxi.</t>
  </si>
  <si>
    <t>MESA P/CAMA; Rodante;  Altura regulable; Estructura de acero pintado/cromado. Cuatro ruedas dobles con frenos. Con ajuste manual. Regulable en altura: 72 a 115cm.</t>
  </si>
  <si>
    <t>3er TRIMESTRE 2022</t>
  </si>
  <si>
    <t>* ADJUNTAR FOLLETERIA, MANUALES Y/O CUALQUIER OTRA DOCUMENTACION QUE EL PROVEEDOR ESTIME NECESARIO PARA ACLARAR EL BIEN COTIZADO</t>
  </si>
  <si>
    <t>FRACASADO</t>
  </si>
  <si>
    <t>DESIERTO</t>
  </si>
  <si>
    <t>ESPECIFICIDADES ITEM 1</t>
  </si>
  <si>
    <t>ESPECIFICIDADES ITEM 2</t>
  </si>
  <si>
    <t>ESPECIFICIDADES ITEM 3</t>
  </si>
  <si>
    <t>ESPECIFICIDADES ITEM 4</t>
  </si>
  <si>
    <t>ESPECIFICIDADES ITEM 6</t>
  </si>
  <si>
    <t>ESPECIFICIDADES ITEM 7</t>
  </si>
  <si>
    <t>Costo total estimado: PESOS ONCE MILLONES DOSCIENTOS CINCUENTA Y CUATRO MIL CON 00/100.-</t>
  </si>
  <si>
    <t>TOTAL DE PESOS: ONCE MILLONES DOSCIENTOS CINCUENTA Y CUATRO MIL CON 00/100.-</t>
  </si>
  <si>
    <t>ADQUISICION DE DESIERTOS Y FRACASADOS DE EQUIPAMIENTO PARA HOSPITALES DE LA PROVINCIA (ART. DEL HOGAR Y MUEBLES)</t>
  </si>
  <si>
    <t>XX/2022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</si>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</sst>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"/>
    <numFmt numFmtId="168" formatCode="_-[$$-2C0A]\ * #,##0.00_-;\-[$$-2C0A]\ * #,##0.00_-;_-[$$-2C0A]\ * &quot;-&quot;??_-;_-@_-"/>
  </numFmts>
  <fonts count="45" x14ac:knownFonts="1">
    <font>
      <sz val="11"/>
      <color rgb="FF000000"/>
      <name val="Calibri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u/>
      <sz val="24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8"/>
      <color rgb="FFFF0000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2"/>
      <name val="Times New Roman"/>
      <family val="1"/>
    </font>
    <font>
      <sz val="11"/>
      <name val="Arial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/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68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0" fillId="4" borderId="5" xfId="0" applyFill="1" applyBorder="1" applyAlignment="1">
      <alignment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165" fontId="11" fillId="0" borderId="3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 wrapText="1"/>
    </xf>
    <xf numFmtId="165" fontId="11" fillId="0" borderId="12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0" fillId="4" borderId="4" xfId="0" applyFont="1" applyFill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16" fillId="0" borderId="25" xfId="0" applyNumberFormat="1" applyFont="1" applyBorder="1" applyAlignment="1">
      <alignment horizontal="right" vertical="center"/>
    </xf>
    <xf numFmtId="0" fontId="18" fillId="0" borderId="27" xfId="0" applyFont="1" applyBorder="1" applyAlignment="1">
      <alignment vertical="center"/>
    </xf>
    <xf numFmtId="0" fontId="19" fillId="0" borderId="28" xfId="0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1" fillId="0" borderId="0" xfId="0" applyFont="1" applyAlignment="1">
      <alignment vertical="center"/>
    </xf>
    <xf numFmtId="165" fontId="22" fillId="0" borderId="0" xfId="0" applyNumberFormat="1" applyFont="1" applyAlignment="1">
      <alignment vertical="center"/>
    </xf>
    <xf numFmtId="0" fontId="23" fillId="0" borderId="18" xfId="0" applyFont="1" applyBorder="1" applyAlignment="1">
      <alignment vertical="center"/>
    </xf>
    <xf numFmtId="0" fontId="17" fillId="0" borderId="31" xfId="0" applyFont="1" applyBorder="1" applyAlignment="1">
      <alignment vertical="center"/>
    </xf>
    <xf numFmtId="0" fontId="17" fillId="0" borderId="32" xfId="0" applyFont="1" applyBorder="1" applyAlignment="1">
      <alignment vertical="center"/>
    </xf>
    <xf numFmtId="165" fontId="17" fillId="0" borderId="32" xfId="0" applyNumberFormat="1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17" fillId="0" borderId="37" xfId="0" applyFont="1" applyBorder="1" applyAlignment="1">
      <alignment vertical="center"/>
    </xf>
    <xf numFmtId="0" fontId="24" fillId="0" borderId="17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26" fillId="0" borderId="4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26" fillId="0" borderId="1" xfId="0" applyNumberFormat="1" applyFont="1" applyBorder="1" applyAlignment="1">
      <alignment horizontal="center" vertical="center" wrapText="1"/>
    </xf>
    <xf numFmtId="3" fontId="26" fillId="0" borderId="43" xfId="0" applyNumberFormat="1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/>
    </xf>
    <xf numFmtId="3" fontId="27" fillId="0" borderId="15" xfId="0" applyNumberFormat="1" applyFont="1" applyBorder="1"/>
    <xf numFmtId="167" fontId="0" fillId="0" borderId="15" xfId="0" applyNumberFormat="1" applyBorder="1" applyAlignment="1">
      <alignment horizontal="left"/>
    </xf>
    <xf numFmtId="0" fontId="0" fillId="0" borderId="15" xfId="0" applyBorder="1"/>
    <xf numFmtId="0" fontId="0" fillId="0" borderId="17" xfId="0" applyBorder="1"/>
    <xf numFmtId="0" fontId="0" fillId="0" borderId="0" xfId="0" applyAlignment="1">
      <alignment horizontal="left"/>
    </xf>
    <xf numFmtId="167" fontId="0" fillId="0" borderId="0" xfId="0" applyNumberFormat="1" applyAlignment="1">
      <alignment horizontal="left"/>
    </xf>
    <xf numFmtId="165" fontId="0" fillId="0" borderId="18" xfId="0" applyNumberForma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left"/>
    </xf>
    <xf numFmtId="165" fontId="0" fillId="0" borderId="45" xfId="0" applyNumberFormat="1" applyBorder="1"/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5" fontId="0" fillId="0" borderId="58" xfId="0" applyNumberForma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65" fontId="0" fillId="0" borderId="63" xfId="0" applyNumberFormat="1" applyBorder="1" applyAlignment="1">
      <alignment horizontal="center" vertical="center"/>
    </xf>
    <xf numFmtId="165" fontId="32" fillId="0" borderId="65" xfId="0" applyNumberFormat="1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14" fillId="0" borderId="18" xfId="0" applyFont="1" applyBorder="1"/>
    <xf numFmtId="0" fontId="13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66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34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35" fillId="0" borderId="10" xfId="0" applyFont="1" applyBorder="1" applyAlignment="1">
      <alignment vertical="center" wrapText="1"/>
    </xf>
    <xf numFmtId="0" fontId="0" fillId="4" borderId="33" xfId="0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 wrapText="1"/>
    </xf>
    <xf numFmtId="0" fontId="9" fillId="0" borderId="69" xfId="0" applyFont="1" applyBorder="1" applyAlignment="1">
      <alignment vertical="center" wrapText="1"/>
    </xf>
    <xf numFmtId="0" fontId="7" fillId="0" borderId="69" xfId="0" applyFont="1" applyBorder="1" applyAlignment="1">
      <alignment vertical="center" wrapText="1"/>
    </xf>
    <xf numFmtId="0" fontId="34" fillId="0" borderId="69" xfId="0" applyFont="1" applyBorder="1" applyAlignment="1">
      <alignment vertical="center" wrapText="1"/>
    </xf>
    <xf numFmtId="0" fontId="35" fillId="0" borderId="69" xfId="0" applyFont="1" applyBorder="1" applyAlignment="1">
      <alignment vertical="center" wrapText="1"/>
    </xf>
    <xf numFmtId="0" fontId="3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6" fillId="0" borderId="0" xfId="0" applyFont="1"/>
    <xf numFmtId="0" fontId="40" fillId="0" borderId="26" xfId="0" applyFont="1" applyBorder="1" applyAlignment="1">
      <alignment horizontal="center" vertical="center"/>
    </xf>
    <xf numFmtId="165" fontId="42" fillId="0" borderId="0" xfId="0" applyNumberFormat="1" applyFont="1"/>
    <xf numFmtId="0" fontId="42" fillId="0" borderId="0" xfId="0" applyFont="1"/>
    <xf numFmtId="0" fontId="10" fillId="4" borderId="0" xfId="0" applyFont="1" applyFill="1" applyAlignment="1">
      <alignment vertical="center" wrapText="1"/>
    </xf>
    <xf numFmtId="168" fontId="0" fillId="0" borderId="0" xfId="0" applyNumberFormat="1"/>
    <xf numFmtId="0" fontId="43" fillId="0" borderId="55" xfId="0" applyFont="1" applyBorder="1" applyAlignment="1">
      <alignment horizontal="center" vertical="center"/>
    </xf>
    <xf numFmtId="0" fontId="0" fillId="5" borderId="76" xfId="0" applyFill="1" applyBorder="1" applyAlignment="1">
      <alignment horizontal="center" vertical="center"/>
    </xf>
    <xf numFmtId="0" fontId="0" fillId="6" borderId="76" xfId="0" applyFill="1" applyBorder="1" applyAlignment="1">
      <alignment horizontal="center" vertical="center"/>
    </xf>
    <xf numFmtId="3" fontId="7" fillId="0" borderId="77" xfId="0" applyNumberFormat="1" applyFont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165" fontId="26" fillId="0" borderId="6" xfId="0" applyNumberFormat="1" applyFont="1" applyBorder="1" applyAlignment="1">
      <alignment horizontal="center" vertical="center" wrapText="1"/>
    </xf>
    <xf numFmtId="3" fontId="26" fillId="0" borderId="81" xfId="0" applyNumberFormat="1" applyFont="1" applyBorder="1" applyAlignment="1">
      <alignment horizontal="center" vertical="center"/>
    </xf>
    <xf numFmtId="0" fontId="26" fillId="0" borderId="88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 wrapText="1"/>
    </xf>
    <xf numFmtId="165" fontId="26" fillId="0" borderId="77" xfId="0" applyNumberFormat="1" applyFont="1" applyBorder="1" applyAlignment="1">
      <alignment horizontal="center" vertical="center" wrapText="1"/>
    </xf>
    <xf numFmtId="3" fontId="26" fillId="0" borderId="92" xfId="0" applyNumberFormat="1" applyFont="1" applyBorder="1" applyAlignment="1">
      <alignment horizontal="center" vertical="center"/>
    </xf>
    <xf numFmtId="165" fontId="0" fillId="0" borderId="94" xfId="0" applyNumberFormat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32" fillId="0" borderId="96" xfId="0" applyFont="1" applyBorder="1" applyAlignment="1">
      <alignment horizontal="center" vertical="center"/>
    </xf>
    <xf numFmtId="0" fontId="32" fillId="0" borderId="96" xfId="0" applyFont="1" applyBorder="1" applyAlignment="1">
      <alignment horizontal="left" vertical="center"/>
    </xf>
    <xf numFmtId="0" fontId="32" fillId="0" borderId="97" xfId="0" applyFont="1" applyBorder="1" applyAlignment="1">
      <alignment horizontal="center" vertical="center"/>
    </xf>
    <xf numFmtId="0" fontId="32" fillId="0" borderId="8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0" borderId="18" xfId="0" applyFont="1" applyBorder="1"/>
    <xf numFmtId="0" fontId="13" fillId="0" borderId="0" xfId="0" applyFont="1" applyAlignment="1">
      <alignment horizontal="center" vertical="center"/>
    </xf>
    <xf numFmtId="0" fontId="38" fillId="0" borderId="14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4" fillId="0" borderId="21" xfId="0" applyFont="1" applyBorder="1"/>
    <xf numFmtId="0" fontId="25" fillId="0" borderId="41" xfId="0" applyFont="1" applyBorder="1" applyAlignment="1">
      <alignment horizontal="center" vertical="center" wrapText="1"/>
    </xf>
    <xf numFmtId="0" fontId="14" fillId="0" borderId="87" xfId="0" applyFont="1" applyBorder="1"/>
    <xf numFmtId="165" fontId="25" fillId="0" borderId="39" xfId="0" applyNumberFormat="1" applyFont="1" applyBorder="1" applyAlignment="1">
      <alignment horizontal="center" vertical="center" wrapText="1"/>
    </xf>
    <xf numFmtId="0" fontId="14" fillId="0" borderId="83" xfId="0" applyFont="1" applyBorder="1"/>
    <xf numFmtId="0" fontId="26" fillId="0" borderId="67" xfId="0" applyFont="1" applyBorder="1" applyAlignment="1">
      <alignment horizontal="left" vertical="center" wrapText="1"/>
    </xf>
    <xf numFmtId="0" fontId="14" fillId="0" borderId="79" xfId="0" applyFont="1" applyBorder="1"/>
    <xf numFmtId="0" fontId="14" fillId="0" borderId="80" xfId="0" applyFont="1" applyBorder="1"/>
    <xf numFmtId="0" fontId="26" fillId="0" borderId="8" xfId="0" applyFont="1" applyBorder="1" applyAlignment="1">
      <alignment horizontal="left" vertical="center" wrapText="1"/>
    </xf>
    <xf numFmtId="0" fontId="14" fillId="0" borderId="7" xfId="0" applyFont="1" applyBorder="1"/>
    <xf numFmtId="0" fontId="14" fillId="0" borderId="13" xfId="0" applyFont="1" applyBorder="1"/>
    <xf numFmtId="166" fontId="17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14" fillId="0" borderId="20" xfId="0" applyFont="1" applyBorder="1"/>
    <xf numFmtId="0" fontId="26" fillId="0" borderId="89" xfId="0" applyFont="1" applyBorder="1" applyAlignment="1">
      <alignment horizontal="center" vertical="center" wrapText="1"/>
    </xf>
    <xf numFmtId="0" fontId="14" fillId="0" borderId="90" xfId="0" applyFont="1" applyBorder="1"/>
    <xf numFmtId="0" fontId="14" fillId="0" borderId="91" xfId="0" applyFont="1" applyBorder="1"/>
    <xf numFmtId="0" fontId="15" fillId="0" borderId="14" xfId="0" applyFont="1" applyBorder="1" applyAlignment="1">
      <alignment horizontal="center" vertical="center"/>
    </xf>
    <xf numFmtId="0" fontId="14" fillId="0" borderId="15" xfId="0" applyFont="1" applyBorder="1"/>
    <xf numFmtId="0" fontId="24" fillId="0" borderId="29" xfId="0" applyFont="1" applyBorder="1" applyAlignment="1">
      <alignment horizontal="left" vertical="center" wrapText="1"/>
    </xf>
    <xf numFmtId="0" fontId="14" fillId="0" borderId="30" xfId="0" applyFont="1" applyBorder="1"/>
    <xf numFmtId="0" fontId="24" fillId="0" borderId="34" xfId="0" applyFont="1" applyBorder="1" applyAlignment="1">
      <alignment horizontal="left" vertical="center" wrapText="1"/>
    </xf>
    <xf numFmtId="0" fontId="14" fillId="0" borderId="35" xfId="0" applyFont="1" applyBorder="1"/>
    <xf numFmtId="0" fontId="25" fillId="0" borderId="39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/>
    </xf>
    <xf numFmtId="0" fontId="14" fillId="0" borderId="82" xfId="0" applyFont="1" applyBorder="1"/>
    <xf numFmtId="0" fontId="25" fillId="0" borderId="40" xfId="0" applyFont="1" applyBorder="1" applyAlignment="1">
      <alignment horizontal="center" vertical="center" wrapText="1"/>
    </xf>
    <xf numFmtId="0" fontId="14" fillId="0" borderId="25" xfId="0" applyFont="1" applyBorder="1"/>
    <xf numFmtId="0" fontId="14" fillId="0" borderId="84" xfId="0" applyFont="1" applyBorder="1"/>
    <xf numFmtId="0" fontId="0" fillId="0" borderId="85" xfId="0" applyBorder="1"/>
    <xf numFmtId="0" fontId="14" fillId="0" borderId="86" xfId="0" applyFont="1" applyBorder="1"/>
    <xf numFmtId="0" fontId="24" fillId="0" borderId="31" xfId="0" applyFont="1" applyBorder="1" applyAlignment="1">
      <alignment horizontal="left" vertical="center"/>
    </xf>
    <xf numFmtId="0" fontId="14" fillId="0" borderId="32" xfId="0" applyFont="1" applyBorder="1"/>
    <xf numFmtId="0" fontId="14" fillId="0" borderId="36" xfId="0" applyFont="1" applyBorder="1"/>
    <xf numFmtId="0" fontId="0" fillId="0" borderId="56" xfId="0" applyBorder="1" applyAlignment="1">
      <alignment horizontal="center" vertical="center"/>
    </xf>
    <xf numFmtId="0" fontId="14" fillId="0" borderId="57" xfId="0" applyFont="1" applyBorder="1"/>
    <xf numFmtId="0" fontId="0" fillId="0" borderId="56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14" fillId="0" borderId="62" xfId="0" applyFont="1" applyBorder="1"/>
    <xf numFmtId="0" fontId="44" fillId="0" borderId="27" xfId="0" applyFont="1" applyBorder="1" applyAlignment="1">
      <alignment horizontal="left" vertical="center" wrapText="1"/>
    </xf>
    <xf numFmtId="0" fontId="14" fillId="0" borderId="28" xfId="0" applyFont="1" applyBorder="1"/>
    <xf numFmtId="0" fontId="14" fillId="0" borderId="64" xfId="0" applyFont="1" applyBorder="1"/>
    <xf numFmtId="0" fontId="0" fillId="0" borderId="34" xfId="0" applyBorder="1"/>
    <xf numFmtId="0" fontId="14" fillId="0" borderId="49" xfId="0" applyFont="1" applyBorder="1"/>
    <xf numFmtId="0" fontId="27" fillId="0" borderId="31" xfId="0" applyFont="1" applyBorder="1" applyAlignment="1">
      <alignment vertical="center" wrapText="1"/>
    </xf>
    <xf numFmtId="0" fontId="14" fillId="0" borderId="33" xfId="0" applyFont="1" applyBorder="1"/>
    <xf numFmtId="0" fontId="30" fillId="0" borderId="35" xfId="0" applyFont="1" applyBorder="1" applyAlignment="1">
      <alignment vertical="center" wrapText="1"/>
    </xf>
    <xf numFmtId="0" fontId="30" fillId="0" borderId="17" xfId="0" applyFont="1" applyBorder="1" applyAlignment="1">
      <alignment horizontal="left" vertical="center" wrapText="1"/>
    </xf>
    <xf numFmtId="0" fontId="14" fillId="0" borderId="19" xfId="0" applyFont="1" applyBorder="1"/>
    <xf numFmtId="0" fontId="0" fillId="0" borderId="31" xfId="0" applyBorder="1" applyAlignment="1">
      <alignment horizontal="center"/>
    </xf>
    <xf numFmtId="3" fontId="27" fillId="0" borderId="32" xfId="0" applyNumberFormat="1" applyFont="1" applyBorder="1" applyAlignment="1">
      <alignment horizontal="center"/>
    </xf>
    <xf numFmtId="0" fontId="28" fillId="0" borderId="40" xfId="0" applyFont="1" applyBorder="1" applyAlignment="1">
      <alignment horizontal="center" vertical="center" wrapText="1"/>
    </xf>
    <xf numFmtId="0" fontId="14" fillId="0" borderId="16" xfId="0" applyFont="1" applyBorder="1"/>
    <xf numFmtId="0" fontId="14" fillId="0" borderId="44" xfId="0" applyFont="1" applyBorder="1"/>
    <xf numFmtId="0" fontId="14" fillId="0" borderId="45" xfId="0" applyFont="1" applyBorder="1"/>
    <xf numFmtId="0" fontId="30" fillId="0" borderId="47" xfId="0" applyFont="1" applyBorder="1" applyAlignment="1">
      <alignment horizontal="left"/>
    </xf>
    <xf numFmtId="0" fontId="14" fillId="0" borderId="48" xfId="0" applyFont="1" applyBorder="1"/>
    <xf numFmtId="0" fontId="1" fillId="0" borderId="29" xfId="0" applyFont="1" applyBorder="1" applyAlignment="1">
      <alignment horizontal="left" vertical="center" wrapText="1"/>
    </xf>
    <xf numFmtId="0" fontId="14" fillId="0" borderId="46" xfId="0" applyFont="1" applyBorder="1"/>
    <xf numFmtId="0" fontId="29" fillId="0" borderId="29" xfId="0" applyFont="1" applyBorder="1"/>
    <xf numFmtId="0" fontId="30" fillId="0" borderId="34" xfId="0" applyFont="1" applyBorder="1" applyAlignment="1">
      <alignment horizontal="left"/>
    </xf>
    <xf numFmtId="0" fontId="31" fillId="0" borderId="29" xfId="0" applyFont="1" applyBorder="1" applyAlignment="1">
      <alignment horizontal="left"/>
    </xf>
    <xf numFmtId="0" fontId="43" fillId="0" borderId="56" xfId="0" applyFont="1" applyBorder="1" applyAlignment="1">
      <alignment horizontal="left" vertical="center"/>
    </xf>
    <xf numFmtId="49" fontId="41" fillId="0" borderId="17" xfId="0" applyNumberFormat="1" applyFont="1" applyBorder="1" applyAlignment="1">
      <alignment horizontal="left" vertical="center" wrapText="1"/>
    </xf>
    <xf numFmtId="0" fontId="32" fillId="0" borderId="34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 vertical="center" wrapText="1"/>
    </xf>
    <xf numFmtId="0" fontId="14" fillId="0" borderId="51" xfId="0" applyFont="1" applyBorder="1"/>
    <xf numFmtId="165" fontId="32" fillId="0" borderId="49" xfId="0" applyNumberFormat="1" applyFont="1" applyBorder="1" applyAlignment="1">
      <alignment horizontal="center" vertical="center"/>
    </xf>
    <xf numFmtId="0" fontId="14" fillId="0" borderId="98" xfId="0" applyFont="1" applyBorder="1"/>
    <xf numFmtId="0" fontId="0" fillId="0" borderId="54" xfId="0" applyBorder="1" applyAlignment="1">
      <alignment horizontal="left"/>
    </xf>
    <xf numFmtId="0" fontId="14" fillId="0" borderId="93" xfId="0" applyFont="1" applyBorder="1"/>
    <xf numFmtId="0" fontId="7" fillId="0" borderId="99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9" fillId="6" borderId="70" xfId="0" applyFont="1" applyFill="1" applyBorder="1" applyAlignment="1">
      <alignment horizontal="left" vertical="center" wrapText="1"/>
    </xf>
    <xf numFmtId="0" fontId="12" fillId="6" borderId="71" xfId="0" applyFont="1" applyFill="1" applyBorder="1" applyAlignment="1">
      <alignment horizontal="left" vertical="center" wrapText="1"/>
    </xf>
    <xf numFmtId="0" fontId="12" fillId="6" borderId="72" xfId="0" applyFont="1" applyFill="1" applyBorder="1" applyAlignment="1">
      <alignment horizontal="left" vertical="center" wrapText="1"/>
    </xf>
    <xf numFmtId="0" fontId="7" fillId="6" borderId="73" xfId="0" applyFont="1" applyFill="1" applyBorder="1" applyAlignment="1">
      <alignment horizontal="left" vertical="center" wrapText="1"/>
    </xf>
    <xf numFmtId="0" fontId="7" fillId="6" borderId="74" xfId="0" applyFont="1" applyFill="1" applyBorder="1" applyAlignment="1">
      <alignment horizontal="left" vertical="center" wrapText="1"/>
    </xf>
    <xf numFmtId="0" fontId="7" fillId="6" borderId="75" xfId="0" applyFont="1" applyFill="1" applyBorder="1" applyAlignment="1">
      <alignment horizontal="left" vertical="center" wrapText="1"/>
    </xf>
    <xf numFmtId="0" fontId="0" fillId="6" borderId="0" xfId="0" applyFill="1" applyAlignment="1">
      <alignment wrapText="1"/>
    </xf>
    <xf numFmtId="0" fontId="36" fillId="6" borderId="17" xfId="0" applyFont="1" applyFill="1" applyBorder="1" applyAlignment="1">
      <alignment horizontal="center" vertical="center" wrapText="1"/>
    </xf>
    <xf numFmtId="0" fontId="36" fillId="6" borderId="0" xfId="0" applyFont="1" applyFill="1" applyAlignment="1">
      <alignment horizontal="left" vertical="center"/>
    </xf>
    <xf numFmtId="0" fontId="36" fillId="6" borderId="18" xfId="0" applyFont="1" applyFill="1" applyBorder="1" applyAlignment="1">
      <alignment horizontal="left" vertical="center"/>
    </xf>
    <xf numFmtId="0" fontId="38" fillId="6" borderId="17" xfId="0" applyFont="1" applyFill="1" applyBorder="1" applyAlignment="1">
      <alignment horizontal="center" vertical="center" wrapText="1"/>
    </xf>
    <xf numFmtId="0" fontId="38" fillId="6" borderId="0" xfId="0" applyFont="1" applyFill="1" applyAlignment="1">
      <alignment horizontal="center" vertical="center" wrapText="1"/>
    </xf>
    <xf numFmtId="0" fontId="38" fillId="6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COMPARTIDA\DIRECCION%20DE%20PLANIFICACION\DOCUMENTACION\Mario\MS\DESIERTOS%20Y%20FRACASADOS%20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5">
          <cell r="B5" t="str">
            <v>4.3.7-2001.22</v>
          </cell>
          <cell r="C5" t="str">
            <v>EQUIPO DE OFICINA Y MUEBLES</v>
          </cell>
          <cell r="D5" t="str">
            <v>4.3.7</v>
          </cell>
          <cell r="E5" t="str">
            <v>BANQUETAS/TABURETES; TERMINACION: METAL, DIMENSION: 0,6 X 0,3, RESPALDO: SIN, GIRATORIA: NO, APOYABRAZO: SIN, PATAS: 4, ALTURA: REGULABLE, MATERIAL: METAL</v>
          </cell>
          <cell r="F5" t="str">
            <v>UNIDAD</v>
          </cell>
          <cell r="G5">
            <v>10</v>
          </cell>
          <cell r="H5">
            <v>15500</v>
          </cell>
          <cell r="I5">
            <v>155000</v>
          </cell>
          <cell r="J5" t="str">
            <v>BANQUETA METAL (s/respaldo, Fija, 4 patas y sin ruedas)</v>
          </cell>
        </row>
        <row r="6">
          <cell r="B6" t="str">
            <v>4.3.7-1404.22</v>
          </cell>
          <cell r="C6" t="str">
            <v>EQUIPO DE OFICINA Y MUEBLES</v>
          </cell>
          <cell r="D6" t="str">
            <v>4.3.7</v>
          </cell>
          <cell r="E6" t="str">
            <v>ESTANTERIAS; MATERIAL: METAL, DIMENSION: 205 X 60 Cm, ALTURA: 260 Cm, ESTANTES: 6 UN, CAPACIDAD POR ESTANTE: SIN VALOR</v>
          </cell>
          <cell r="F6" t="str">
            <v>UNIDAD</v>
          </cell>
          <cell r="G6">
            <v>30</v>
          </cell>
          <cell r="H6">
            <v>40000</v>
          </cell>
          <cell r="I6">
            <v>1200000</v>
          </cell>
          <cell r="J6" t="str">
            <v>ESTANTERIA METALICA (6 Estantes) (Alt.xAnc.xProf.=260x205x60cm) Estantes reforzados: capacidad de carga 35/40 kg por estante. Terminación con pintura epoxi.</v>
          </cell>
        </row>
        <row r="7">
          <cell r="B7" t="str">
            <v>4.3.7-4500.4</v>
          </cell>
          <cell r="C7" t="str">
            <v>EQUIPO DE OFICINA Y MUEBLES</v>
          </cell>
          <cell r="D7" t="str">
            <v>4.3.7</v>
          </cell>
          <cell r="E7" t="str">
            <v>GAVETEROS; MATERIAL: METAL, ALTURA: 240 Cm, ANCHO: 110 Cm, PROFUNDIDAD: 36 Cm, TERMINACION: ESMALTE, CANTIDAD DE CAJONES: 32</v>
          </cell>
          <cell r="F7" t="str">
            <v>UNIDAD</v>
          </cell>
          <cell r="G7">
            <v>100</v>
          </cell>
          <cell r="H7">
            <v>9000</v>
          </cell>
          <cell r="I7">
            <v>900000</v>
          </cell>
          <cell r="J7" t="str">
            <v>Incluye 3 separadores por cada cajon</v>
          </cell>
        </row>
        <row r="8">
          <cell r="B8" t="str">
            <v>4.3.7-15.123</v>
          </cell>
          <cell r="C8" t="str">
            <v>ARTICULOS DEL HOGAR</v>
          </cell>
          <cell r="D8" t="str">
            <v>4.3.7</v>
          </cell>
          <cell r="E8" t="str">
            <v>HELADERAS; CAPACIDAD: 400 L, FRIO: CON FREEZER, CONSUMO: MENOR A 5 KVA, TENSION NOMINAL: 220 V, CRITERIO DE SEGURIDAD: SELLO DE SEGURIDAD, CORRIENTE NOMINAL: MENOR A 63 A, EFICIENCIA ENERGETICA: GRADO A</v>
          </cell>
          <cell r="F8" t="str">
            <v>UNIDAD</v>
          </cell>
          <cell r="G8">
            <v>10</v>
          </cell>
          <cell r="H8">
            <v>136000</v>
          </cell>
          <cell r="I8">
            <v>1360000</v>
          </cell>
          <cell r="J8" t="str">
            <v xml:space="preserve">Heladera No Frost de 400 lts aproximadamente (incluyendo el freezer). Con estantes de vidrio templado, alarma de puerta abierta, filtro antibacterial y control de temperatura. </v>
          </cell>
        </row>
        <row r="9">
          <cell r="B9" t="str">
            <v>4.3.7-5446.1</v>
          </cell>
          <cell r="C9" t="str">
            <v>EQUIPO DE OFICINA Y MUEBLES</v>
          </cell>
          <cell r="D9" t="str">
            <v>4.3.7</v>
          </cell>
          <cell r="E9" t="str">
            <v>MESAS P/CAMAS; BASE: ACERO INOXIDABLE, ALTURA: REGULABLE, DIMENSION DE TAPA: 50 X 80 Cm, MATERIAL DE TAPA: LAMINADA EN MELAMINA, SUPERFICIE APOYO: 50 X 80 Cm</v>
          </cell>
          <cell r="F9" t="str">
            <v>UNIDAD</v>
          </cell>
          <cell r="G9">
            <v>100</v>
          </cell>
          <cell r="H9">
            <v>12000</v>
          </cell>
          <cell r="I9">
            <v>1200000</v>
          </cell>
          <cell r="J9" t="str">
            <v>MESA P/CAMA; Rodante;  Altura regulable; Estructura de acero pintado/cromado. Cuatro ruedas dobles con frenos. Con ajuste manual. Regulable en altura: 72 a 115cm.</v>
          </cell>
        </row>
        <row r="10">
          <cell r="B10" t="str">
            <v>4.3.7-1880.1</v>
          </cell>
          <cell r="C10" t="str">
            <v>EQUIPO DE OFICINA Y MUEBLES</v>
          </cell>
          <cell r="D10" t="str">
            <v>4.3.7</v>
          </cell>
          <cell r="E10" t="str">
            <v>RELOJES; TAMAÑO: 30 X 25 Cm, ALIMENTACION: ELECTRICA, MECANISMO: ANALOGICO, TIPO: DE PARED, MATERIAL: PLASTICO</v>
          </cell>
          <cell r="F10" t="str">
            <v>UNIDAD</v>
          </cell>
          <cell r="G10">
            <v>30</v>
          </cell>
          <cell r="H10">
            <v>2300</v>
          </cell>
          <cell r="I10">
            <v>69000</v>
          </cell>
          <cell r="J10" t="str">
            <v>RELOJ ANALOGICO (de pared, material plástico)</v>
          </cell>
        </row>
        <row r="11">
          <cell r="B11" t="str">
            <v>4.3.9-2655.27</v>
          </cell>
          <cell r="C11" t="str">
            <v>EQUIPOS</v>
          </cell>
          <cell r="D11" t="str">
            <v>4.3.7</v>
          </cell>
          <cell r="E11" t="str">
            <v>SECARROPAS/CENTRIFUGA; TIPO: ROTATIVO, SECADO: POR CALOR, CAPACIDAD: 10 Kg, TENSION NOMINAL: 220 V, CORRIENTE NOMINAL: 10 A, CRITERIO DE SEGURIDAD: SELLO DE SEGURIDAD, CONSUMO: 6 KW, EFICIENCIA ENERGETICA: GRADO B</v>
          </cell>
          <cell r="F11" t="str">
            <v>UNIDAD</v>
          </cell>
          <cell r="G11">
            <v>10</v>
          </cell>
          <cell r="H11">
            <v>80000</v>
          </cell>
          <cell r="I11">
            <v>800000</v>
          </cell>
          <cell r="J11" t="str">
            <v>SECARROPA CENTRIFUGO (Alim.220V, Cap.10Kg, Efic.energ. B)</v>
          </cell>
        </row>
        <row r="12">
          <cell r="B12" t="str">
            <v>2.9.1-2661.8</v>
          </cell>
          <cell r="C12" t="str">
            <v>ELEMENTOS DE LIMPIEZA</v>
          </cell>
          <cell r="D12" t="str">
            <v>2.9.1</v>
          </cell>
          <cell r="E12" t="str">
            <v>TACHOS DE RESIDUOS; MATERIAL: PLASTICO, SECCION: CIRCULAR, DIMENSION: 119 L, TAPA: CON</v>
          </cell>
          <cell r="F12" t="str">
            <v>UNIDAD</v>
          </cell>
          <cell r="G12">
            <v>200</v>
          </cell>
          <cell r="H12">
            <v>17250</v>
          </cell>
          <cell r="I12">
            <v>3450000</v>
          </cell>
          <cell r="J12" t="str">
            <v>TACHO DE RESIDUOS (circular con tapa, capacidad: 119 litros)</v>
          </cell>
        </row>
        <row r="13">
          <cell r="B13" t="str">
            <v>4.3.7-1832.16</v>
          </cell>
          <cell r="C13" t="str">
            <v>EQUIPO DE OFICINA Y MUEBLES</v>
          </cell>
          <cell r="D13" t="str">
            <v>4.3.7</v>
          </cell>
          <cell r="E13" t="str">
            <v>VITRINAS; ESTRUCTURA: MADERA, ALTURA: 170 Cm, ANCHO: 132 Cm, PROFUNDIDAD: 43 Cm, ESTANTE: CON, MATERIAL ESTRUCTURA: MADERA, PUERTA: 2 DE VIDRIO Y MADERA, PUERTAS: 2 DE VIDRIO Y MADERA</v>
          </cell>
          <cell r="F13" t="str">
            <v>UNIDAD</v>
          </cell>
          <cell r="G13">
            <v>80</v>
          </cell>
          <cell r="H13">
            <v>53500</v>
          </cell>
          <cell r="I13">
            <v>4280000</v>
          </cell>
          <cell r="J13" t="str">
            <v>VITRINA (madera c/estantes y c/2puertas de vidrio, HxAxProf= 170x132x43cm) Estantes: 4, tipo de madera: aglomerado, terminación: melanima. Con 2 puertas vidriadas con llave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5"/>
  <sheetViews>
    <sheetView tabSelected="1" zoomScale="90" zoomScaleNormal="90" workbookViewId="0">
      <selection activeCell="E10" sqref="E10"/>
    </sheetView>
  </sheetViews>
  <sheetFormatPr baseColWidth="10" defaultColWidth="14.42578125" defaultRowHeight="15" customHeight="1" x14ac:dyDescent="0.25"/>
  <cols>
    <col min="1" max="1" width="8.5703125" customWidth="1"/>
    <col min="2" max="2" width="13.85546875" customWidth="1"/>
    <col min="3" max="3" width="47.140625" customWidth="1"/>
    <col min="4" max="4" width="5.5703125" customWidth="1"/>
    <col min="5" max="5" width="91.85546875" customWidth="1"/>
    <col min="6" max="6" width="18.140625" customWidth="1"/>
    <col min="7" max="7" width="17.140625" hidden="1" customWidth="1"/>
    <col min="8" max="8" width="10.85546875" hidden="1" customWidth="1"/>
    <col min="9" max="9" width="8" hidden="1" customWidth="1"/>
    <col min="10" max="10" width="14.5703125" hidden="1" customWidth="1"/>
    <col min="11" max="11" width="9.42578125" hidden="1" customWidth="1"/>
    <col min="12" max="12" width="14" hidden="1" customWidth="1"/>
    <col min="13" max="13" width="8.28515625" hidden="1" customWidth="1"/>
    <col min="14" max="14" width="14.140625" hidden="1" customWidth="1"/>
    <col min="15" max="15" width="4.5703125" hidden="1" customWidth="1"/>
    <col min="16" max="16" width="12.42578125" hidden="1" customWidth="1"/>
    <col min="17" max="17" width="14.7109375" hidden="1" customWidth="1"/>
    <col min="18" max="18" width="13.42578125" hidden="1" customWidth="1"/>
    <col min="19" max="20" width="10.5703125" hidden="1" customWidth="1"/>
    <col min="21" max="21" width="14.7109375" hidden="1" customWidth="1"/>
    <col min="22" max="22" width="12.85546875" hidden="1" customWidth="1"/>
    <col min="23" max="23" width="6" hidden="1" customWidth="1"/>
    <col min="24" max="24" width="13.85546875" hidden="1" customWidth="1"/>
    <col min="25" max="25" width="10.140625" hidden="1" customWidth="1"/>
    <col min="26" max="26" width="13.5703125" hidden="1" customWidth="1"/>
    <col min="27" max="28" width="14.42578125" hidden="1" customWidth="1"/>
    <col min="29" max="29" width="5.7109375" hidden="1" customWidth="1"/>
    <col min="30" max="30" width="12.42578125" hidden="1" customWidth="1"/>
    <col min="31" max="31" width="10.140625" hidden="1" customWidth="1"/>
    <col min="32" max="32" width="13.5703125" hidden="1" customWidth="1"/>
    <col min="33" max="33" width="12.140625" hidden="1" customWidth="1"/>
    <col min="34" max="34" width="13" hidden="1" customWidth="1"/>
    <col min="35" max="36" width="10.5703125" hidden="1" customWidth="1"/>
    <col min="37" max="37" width="4.7109375" hidden="1" customWidth="1"/>
    <col min="38" max="38" width="11.28515625" hidden="1" customWidth="1"/>
    <col min="39" max="39" width="6.5703125" hidden="1" customWidth="1"/>
    <col min="40" max="40" width="13.5703125" hidden="1" customWidth="1"/>
    <col min="41" max="41" width="14.85546875" hidden="1" customWidth="1"/>
    <col min="42" max="42" width="13.5703125" hidden="1" customWidth="1"/>
    <col min="43" max="44" width="13.85546875" hidden="1" customWidth="1"/>
    <col min="45" max="46" width="15.28515625" hidden="1" customWidth="1"/>
    <col min="47" max="47" width="4.140625" hidden="1" customWidth="1"/>
    <col min="48" max="48" width="13.85546875" hidden="1" customWidth="1"/>
    <col min="49" max="49" width="11.5703125" customWidth="1"/>
    <col min="50" max="50" width="15.5703125" customWidth="1"/>
    <col min="51" max="51" width="16.7109375" customWidth="1"/>
    <col min="52" max="52" width="67.28515625" hidden="1" customWidth="1"/>
    <col min="53" max="53" width="12.28515625" hidden="1" customWidth="1"/>
    <col min="54" max="54" width="58.28515625" hidden="1" customWidth="1"/>
    <col min="55" max="55" width="30.7109375" hidden="1" customWidth="1"/>
    <col min="56" max="56" width="14.42578125" hidden="1" customWidth="1"/>
    <col min="57" max="57" width="0" hidden="1" customWidth="1"/>
  </cols>
  <sheetData>
    <row r="1" spans="1:60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9"/>
      <c r="Y1" s="10"/>
      <c r="Z1" s="10"/>
      <c r="AA1" s="10"/>
      <c r="AB1" s="9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9"/>
      <c r="AO1" s="10"/>
      <c r="AP1" s="10"/>
      <c r="AQ1" s="10"/>
      <c r="AR1" s="9"/>
      <c r="AS1" s="10"/>
      <c r="AT1" s="10"/>
      <c r="AU1" s="10"/>
      <c r="AV1" s="9"/>
      <c r="AW1" s="11"/>
      <c r="AX1" s="9"/>
      <c r="AY1" s="9"/>
      <c r="AZ1" s="12"/>
      <c r="BA1" s="10"/>
      <c r="BB1" s="13"/>
    </row>
    <row r="2" spans="1:60" ht="18.75" x14ac:dyDescent="0.25">
      <c r="A2" s="3"/>
      <c r="B2" s="167" t="s">
        <v>0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9"/>
      <c r="AZ2" s="12"/>
      <c r="BA2" s="10"/>
      <c r="BB2" s="13"/>
    </row>
    <row r="3" spans="1:60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9"/>
      <c r="Y3" s="10"/>
      <c r="Z3" s="10"/>
      <c r="AA3" s="10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9"/>
      <c r="AO3" s="10"/>
      <c r="AP3" s="10"/>
      <c r="AQ3" s="10"/>
      <c r="AR3" s="9"/>
      <c r="AS3" s="10"/>
      <c r="AT3" s="10"/>
      <c r="AU3" s="10"/>
      <c r="AV3" s="9"/>
      <c r="AW3" s="11"/>
      <c r="AX3" s="9"/>
      <c r="AY3" s="9"/>
      <c r="AZ3" s="12"/>
      <c r="BA3" s="10"/>
      <c r="BB3" s="13"/>
    </row>
    <row r="4" spans="1:60" x14ac:dyDescent="0.25">
      <c r="A4" s="171" t="s">
        <v>1</v>
      </c>
      <c r="B4" s="168"/>
      <c r="C4" s="169" t="s">
        <v>2</v>
      </c>
      <c r="D4" s="168"/>
      <c r="E4" s="168"/>
      <c r="F4" s="15"/>
      <c r="G4" s="15"/>
      <c r="H4" s="15"/>
      <c r="I4" s="15"/>
      <c r="J4" s="15"/>
      <c r="K4" s="15"/>
      <c r="L4" s="15"/>
      <c r="M4" s="16"/>
      <c r="N4" s="17"/>
      <c r="O4" s="18"/>
      <c r="P4" s="15"/>
      <c r="Q4" s="16"/>
      <c r="R4" s="15"/>
      <c r="S4" s="18"/>
      <c r="T4" s="19"/>
      <c r="U4" s="16"/>
      <c r="V4" s="15"/>
      <c r="W4" s="18"/>
      <c r="X4" s="9"/>
      <c r="Y4" s="10"/>
      <c r="Z4" s="10"/>
      <c r="AA4" s="10"/>
      <c r="AB4" s="9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9"/>
      <c r="AO4" s="10"/>
      <c r="AP4" s="10"/>
      <c r="AQ4" s="10"/>
      <c r="AR4" s="9"/>
      <c r="AS4" s="10"/>
      <c r="AT4" s="10"/>
      <c r="AU4" s="10"/>
      <c r="AV4" s="9"/>
      <c r="AW4" s="11"/>
      <c r="AX4" s="9"/>
      <c r="AY4" s="9"/>
      <c r="AZ4" s="12"/>
      <c r="BA4" s="10"/>
      <c r="BB4" s="13"/>
    </row>
    <row r="5" spans="1:60" x14ac:dyDescent="0.25">
      <c r="A5" s="171" t="s">
        <v>3</v>
      </c>
      <c r="B5" s="168"/>
      <c r="C5" s="170" t="s">
        <v>4</v>
      </c>
      <c r="D5" s="168"/>
      <c r="E5" s="168"/>
      <c r="F5" s="15"/>
      <c r="G5" s="15"/>
      <c r="H5" s="15"/>
      <c r="I5" s="15"/>
      <c r="J5" s="15"/>
      <c r="K5" s="15"/>
      <c r="L5" s="15"/>
      <c r="M5" s="16"/>
      <c r="N5" s="17"/>
      <c r="O5" s="18"/>
      <c r="P5" s="15"/>
      <c r="Q5" s="16"/>
      <c r="R5" s="15"/>
      <c r="S5" s="18"/>
      <c r="T5" s="19"/>
      <c r="U5" s="16"/>
      <c r="V5" s="15"/>
      <c r="W5" s="18"/>
      <c r="X5" s="19"/>
      <c r="Y5" s="18"/>
      <c r="Z5" s="15"/>
      <c r="AA5" s="18"/>
      <c r="AB5" s="19"/>
      <c r="AC5" s="18"/>
      <c r="AD5" s="15"/>
      <c r="AE5" s="18"/>
      <c r="AF5" s="15"/>
      <c r="AG5" s="18"/>
      <c r="AH5" s="15"/>
      <c r="AI5" s="18"/>
      <c r="AJ5" s="15"/>
      <c r="AK5" s="18"/>
      <c r="AL5" s="15"/>
      <c r="AM5" s="18"/>
      <c r="AN5" s="19"/>
      <c r="AO5" s="18"/>
      <c r="AP5" s="15"/>
      <c r="AQ5" s="18"/>
      <c r="AR5" s="19"/>
      <c r="AS5" s="15"/>
      <c r="AT5" s="15"/>
      <c r="AU5" s="15"/>
      <c r="AV5" s="19"/>
      <c r="AW5" s="18"/>
      <c r="AX5" s="8"/>
      <c r="AY5" s="8"/>
      <c r="AZ5" s="12"/>
      <c r="BA5" s="10"/>
      <c r="BB5" s="13"/>
    </row>
    <row r="6" spans="1:60" x14ac:dyDescent="0.25">
      <c r="A6" s="171" t="s">
        <v>5</v>
      </c>
      <c r="B6" s="168"/>
      <c r="C6" s="20">
        <v>2022</v>
      </c>
      <c r="D6" s="14"/>
      <c r="E6" s="20"/>
      <c r="F6" s="15"/>
      <c r="G6" s="15"/>
      <c r="H6" s="15"/>
      <c r="I6" s="15"/>
      <c r="J6" s="15"/>
      <c r="K6" s="15"/>
      <c r="L6" s="15"/>
      <c r="M6" s="16"/>
      <c r="N6" s="17"/>
      <c r="O6" s="18"/>
      <c r="P6" s="15"/>
      <c r="Q6" s="16"/>
      <c r="R6" s="15"/>
      <c r="S6" s="18"/>
      <c r="T6" s="19"/>
      <c r="U6" s="16"/>
      <c r="V6" s="15"/>
      <c r="W6" s="18"/>
      <c r="X6" s="19"/>
      <c r="Y6" s="18"/>
      <c r="Z6" s="15"/>
      <c r="AA6" s="18"/>
      <c r="AB6" s="19"/>
      <c r="AC6" s="18"/>
      <c r="AD6" s="15"/>
      <c r="AE6" s="18"/>
      <c r="AF6" s="15"/>
      <c r="AG6" s="18"/>
      <c r="AH6" s="15"/>
      <c r="AI6" s="18"/>
      <c r="AJ6" s="15"/>
      <c r="AK6" s="18"/>
      <c r="AL6" s="15"/>
      <c r="AM6" s="18"/>
      <c r="AN6" s="19"/>
      <c r="AO6" s="18"/>
      <c r="AP6" s="15"/>
      <c r="AQ6" s="18"/>
      <c r="AR6" s="19"/>
      <c r="AS6" s="15"/>
      <c r="AT6" s="15"/>
      <c r="AU6" s="15"/>
      <c r="AV6" s="19"/>
      <c r="AW6" s="18"/>
      <c r="AX6" s="8"/>
      <c r="AY6" s="8"/>
      <c r="AZ6" s="12"/>
      <c r="BA6" s="10"/>
      <c r="BB6" s="13"/>
    </row>
    <row r="7" spans="1:60" x14ac:dyDescent="0.25">
      <c r="A7" s="171" t="s">
        <v>6</v>
      </c>
      <c r="B7" s="168"/>
      <c r="C7" s="139" t="s">
        <v>142</v>
      </c>
      <c r="D7" s="14"/>
      <c r="E7" s="20"/>
      <c r="F7" s="15"/>
      <c r="G7" s="15"/>
      <c r="H7" s="15"/>
      <c r="I7" s="15"/>
      <c r="J7" s="15"/>
      <c r="K7" s="15"/>
      <c r="L7" s="15"/>
      <c r="M7" s="16"/>
      <c r="N7" s="17"/>
      <c r="O7" s="18"/>
      <c r="P7" s="15"/>
      <c r="Q7" s="16"/>
      <c r="R7" s="15"/>
      <c r="S7" s="18"/>
      <c r="T7" s="19"/>
      <c r="U7" s="16"/>
      <c r="V7" s="15"/>
      <c r="W7" s="18"/>
      <c r="X7" s="19"/>
      <c r="Y7" s="18"/>
      <c r="Z7" s="15"/>
      <c r="AA7" s="18"/>
      <c r="AB7" s="19"/>
      <c r="AC7" s="18"/>
      <c r="AD7" s="15"/>
      <c r="AE7" s="18"/>
      <c r="AF7" s="15"/>
      <c r="AG7" s="18"/>
      <c r="AH7" s="15"/>
      <c r="AI7" s="18"/>
      <c r="AJ7" s="15"/>
      <c r="AK7" s="18"/>
      <c r="AL7" s="15"/>
      <c r="AM7" s="18"/>
      <c r="AN7" s="19"/>
      <c r="AO7" s="18"/>
      <c r="AP7" s="15"/>
      <c r="AQ7" s="18"/>
      <c r="AR7" s="19"/>
      <c r="AS7" s="15"/>
      <c r="AT7" s="15"/>
      <c r="AU7" s="15"/>
      <c r="AV7" s="19"/>
      <c r="AW7" s="18"/>
      <c r="AX7" s="8"/>
      <c r="AY7" s="8"/>
      <c r="AZ7" s="12"/>
      <c r="BA7" s="10"/>
      <c r="BB7" s="13"/>
    </row>
    <row r="8" spans="1:60" ht="15.75" thickBot="1" x14ac:dyDescent="0.3">
      <c r="A8" s="3"/>
      <c r="B8" s="15"/>
      <c r="C8" s="15"/>
      <c r="D8" s="15"/>
      <c r="E8" s="21"/>
      <c r="F8" s="15"/>
      <c r="G8" s="15"/>
      <c r="H8" s="15"/>
      <c r="I8" s="15"/>
      <c r="J8" s="15"/>
      <c r="K8" s="15"/>
      <c r="L8" s="15"/>
      <c r="M8" s="16"/>
      <c r="N8" s="17"/>
      <c r="O8" s="18"/>
      <c r="P8" s="15"/>
      <c r="Q8" s="16"/>
      <c r="R8" s="15"/>
      <c r="S8" s="18"/>
      <c r="T8" s="19"/>
      <c r="U8" s="16"/>
      <c r="V8" s="15"/>
      <c r="W8" s="18"/>
      <c r="X8" s="19"/>
      <c r="Y8" s="18"/>
      <c r="Z8" s="15"/>
      <c r="AA8" s="18"/>
      <c r="AB8" s="19"/>
      <c r="AC8" s="18"/>
      <c r="AD8" s="15"/>
      <c r="AE8" s="18"/>
      <c r="AF8" s="15"/>
      <c r="AG8" s="18"/>
      <c r="AH8" s="15"/>
      <c r="AI8" s="18"/>
      <c r="AJ8" s="15"/>
      <c r="AK8" s="18"/>
      <c r="AL8" s="15"/>
      <c r="AM8" s="18"/>
      <c r="AN8" s="19"/>
      <c r="AO8" s="18"/>
      <c r="AP8" s="15"/>
      <c r="AQ8" s="18"/>
      <c r="AR8" s="19"/>
      <c r="AS8" s="15"/>
      <c r="AT8" s="15"/>
      <c r="AU8" s="15"/>
      <c r="AV8" s="19"/>
      <c r="AW8" s="18"/>
      <c r="AX8" s="8"/>
      <c r="AY8" s="8"/>
      <c r="AZ8" s="12"/>
      <c r="BA8" s="10"/>
      <c r="BB8" s="13"/>
    </row>
    <row r="9" spans="1:60" ht="39" thickBot="1" x14ac:dyDescent="0.3">
      <c r="A9" s="22" t="s">
        <v>7</v>
      </c>
      <c r="B9" s="23" t="s">
        <v>8</v>
      </c>
      <c r="C9" s="24" t="s">
        <v>9</v>
      </c>
      <c r="D9" s="23" t="s">
        <v>10</v>
      </c>
      <c r="E9" s="25" t="s">
        <v>11</v>
      </c>
      <c r="F9" s="24" t="s">
        <v>12</v>
      </c>
      <c r="G9" s="24" t="s">
        <v>13</v>
      </c>
      <c r="H9" s="24" t="s">
        <v>14</v>
      </c>
      <c r="I9" s="26" t="s">
        <v>15</v>
      </c>
      <c r="J9" s="24" t="s">
        <v>16</v>
      </c>
      <c r="K9" s="24" t="s">
        <v>17</v>
      </c>
      <c r="L9" s="24" t="s">
        <v>18</v>
      </c>
      <c r="M9" s="27" t="s">
        <v>19</v>
      </c>
      <c r="N9" s="28" t="s">
        <v>20</v>
      </c>
      <c r="O9" s="29" t="s">
        <v>21</v>
      </c>
      <c r="P9" s="24" t="s">
        <v>22</v>
      </c>
      <c r="Q9" s="27" t="s">
        <v>23</v>
      </c>
      <c r="R9" s="24" t="s">
        <v>24</v>
      </c>
      <c r="S9" s="29" t="s">
        <v>25</v>
      </c>
      <c r="T9" s="30" t="s">
        <v>26</v>
      </c>
      <c r="U9" s="27" t="s">
        <v>27</v>
      </c>
      <c r="V9" s="24" t="s">
        <v>28</v>
      </c>
      <c r="W9" s="29" t="s">
        <v>29</v>
      </c>
      <c r="X9" s="30" t="s">
        <v>30</v>
      </c>
      <c r="Y9" s="29" t="s">
        <v>31</v>
      </c>
      <c r="Z9" s="24" t="s">
        <v>32</v>
      </c>
      <c r="AA9" s="29" t="s">
        <v>33</v>
      </c>
      <c r="AB9" s="30" t="s">
        <v>34</v>
      </c>
      <c r="AC9" s="31" t="s">
        <v>35</v>
      </c>
      <c r="AD9" s="24" t="s">
        <v>36</v>
      </c>
      <c r="AE9" s="29" t="s">
        <v>37</v>
      </c>
      <c r="AF9" s="24" t="s">
        <v>38</v>
      </c>
      <c r="AG9" s="29" t="s">
        <v>39</v>
      </c>
      <c r="AH9" s="24" t="s">
        <v>40</v>
      </c>
      <c r="AI9" s="29" t="s">
        <v>41</v>
      </c>
      <c r="AJ9" s="24" t="s">
        <v>42</v>
      </c>
      <c r="AK9" s="29" t="s">
        <v>43</v>
      </c>
      <c r="AL9" s="24" t="s">
        <v>44</v>
      </c>
      <c r="AM9" s="31" t="s">
        <v>45</v>
      </c>
      <c r="AN9" s="30" t="s">
        <v>46</v>
      </c>
      <c r="AO9" s="31" t="s">
        <v>47</v>
      </c>
      <c r="AP9" s="24" t="s">
        <v>48</v>
      </c>
      <c r="AQ9" s="29" t="s">
        <v>49</v>
      </c>
      <c r="AR9" s="30" t="s">
        <v>50</v>
      </c>
      <c r="AS9" s="24" t="s">
        <v>51</v>
      </c>
      <c r="AT9" s="24" t="s">
        <v>52</v>
      </c>
      <c r="AU9" s="24" t="s">
        <v>53</v>
      </c>
      <c r="AV9" s="30" t="s">
        <v>54</v>
      </c>
      <c r="AW9" s="29" t="s">
        <v>55</v>
      </c>
      <c r="AX9" s="32" t="s">
        <v>56</v>
      </c>
      <c r="AY9" s="30" t="s">
        <v>57</v>
      </c>
      <c r="AZ9" s="134" t="s">
        <v>58</v>
      </c>
      <c r="BA9" s="131" t="s">
        <v>59</v>
      </c>
      <c r="BB9" s="33"/>
      <c r="BC9" s="109" t="s">
        <v>60</v>
      </c>
    </row>
    <row r="10" spans="1:60" ht="26.25" customHeight="1" x14ac:dyDescent="0.25">
      <c r="A10" s="117">
        <v>1</v>
      </c>
      <c r="B10" s="113" t="s">
        <v>64</v>
      </c>
      <c r="C10" s="113" t="s">
        <v>61</v>
      </c>
      <c r="D10" s="113" t="s">
        <v>62</v>
      </c>
      <c r="E10" s="114" t="s">
        <v>65</v>
      </c>
      <c r="F10" s="113" t="s">
        <v>63</v>
      </c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8"/>
      <c r="T10" s="119"/>
      <c r="U10" s="117"/>
      <c r="V10" s="120"/>
      <c r="W10" s="117"/>
      <c r="X10" s="119"/>
      <c r="Y10" s="117"/>
      <c r="Z10" s="117"/>
      <c r="AA10" s="117"/>
      <c r="AB10" s="119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9"/>
      <c r="AO10" s="117"/>
      <c r="AP10" s="117"/>
      <c r="AQ10" s="117"/>
      <c r="AR10" s="119"/>
      <c r="AS10" s="117"/>
      <c r="AT10" s="117"/>
      <c r="AU10" s="117">
        <v>10</v>
      </c>
      <c r="AV10" s="119">
        <f t="shared" ref="AV10:AV16" si="0">+AU10*AX10</f>
        <v>155000</v>
      </c>
      <c r="AW10" s="121">
        <f t="shared" ref="AW10:AW16" si="1">+AQ10+AO10+AM10+AK10+AI10+AG10+AE10+AC10+AA10+Y10+W10+U10+S10+Q10+O10+M10+K10+I10+AS10+G10+AU10</f>
        <v>10</v>
      </c>
      <c r="AX10" s="119">
        <v>15500</v>
      </c>
      <c r="AY10" s="115">
        <f t="shared" ref="AY10:AY16" si="2">+AW10*AX10</f>
        <v>155000</v>
      </c>
      <c r="AZ10" s="136" t="s">
        <v>66</v>
      </c>
      <c r="BA10" s="132">
        <v>437</v>
      </c>
      <c r="BB10" s="124" t="s">
        <v>66</v>
      </c>
      <c r="BC10" s="125" t="s">
        <v>61</v>
      </c>
      <c r="BD10" s="148" t="s">
        <v>151</v>
      </c>
      <c r="BF10" s="252" t="s">
        <v>66</v>
      </c>
      <c r="BG10" s="254" t="str">
        <f>+VLOOKUP(B10,[1]Hoja1!$B$5:$J$13,9,0)</f>
        <v>BANQUETA METAL (s/respaldo, Fija, 4 patas y sin ruedas)</v>
      </c>
      <c r="BH10" s="254" t="b">
        <f>BF10=BG10</f>
        <v>1</v>
      </c>
    </row>
    <row r="11" spans="1:60" ht="26.25" thickBot="1" x14ac:dyDescent="0.3">
      <c r="A11" s="117">
        <v>2</v>
      </c>
      <c r="B11" s="113" t="s">
        <v>67</v>
      </c>
      <c r="C11" s="113" t="s">
        <v>61</v>
      </c>
      <c r="D11" s="113" t="s">
        <v>62</v>
      </c>
      <c r="E11" s="114" t="s">
        <v>68</v>
      </c>
      <c r="F11" s="113" t="s">
        <v>63</v>
      </c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8"/>
      <c r="T11" s="119"/>
      <c r="U11" s="117"/>
      <c r="V11" s="120"/>
      <c r="W11" s="117"/>
      <c r="X11" s="119"/>
      <c r="Y11" s="117"/>
      <c r="Z11" s="117"/>
      <c r="AA11" s="117"/>
      <c r="AB11" s="119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9"/>
      <c r="AO11" s="117"/>
      <c r="AP11" s="117"/>
      <c r="AQ11" s="117"/>
      <c r="AR11" s="119"/>
      <c r="AS11" s="117"/>
      <c r="AT11" s="117"/>
      <c r="AU11" s="117">
        <v>30</v>
      </c>
      <c r="AV11" s="119">
        <f t="shared" si="0"/>
        <v>1200000</v>
      </c>
      <c r="AW11" s="121">
        <f t="shared" si="1"/>
        <v>30</v>
      </c>
      <c r="AX11" s="119">
        <v>40000</v>
      </c>
      <c r="AY11" s="115">
        <f t="shared" si="2"/>
        <v>1200000</v>
      </c>
      <c r="AZ11" s="138" t="s">
        <v>146</v>
      </c>
      <c r="BA11" s="132"/>
      <c r="BB11" s="127" t="s">
        <v>69</v>
      </c>
      <c r="BC11" s="123" t="s">
        <v>61</v>
      </c>
      <c r="BD11" s="148" t="s">
        <v>151</v>
      </c>
      <c r="BF11" s="253" t="s">
        <v>146</v>
      </c>
      <c r="BG11" s="254" t="str">
        <f>+VLOOKUP(B11,[1]Hoja1!$B$5:$J$13,9,0)</f>
        <v>ESTANTERIA METALICA (6 Estantes) (Alt.xAnc.xProf.=260x205x60cm) Estantes reforzados: capacidad de carga 35/40 kg por estante. Terminación con pintura epoxi.</v>
      </c>
      <c r="BH11" s="254" t="b">
        <f t="shared" ref="BH11:BH16" si="3">BF11=BG11</f>
        <v>1</v>
      </c>
    </row>
    <row r="12" spans="1:60" ht="25.5" x14ac:dyDescent="0.25">
      <c r="A12" s="117">
        <v>3</v>
      </c>
      <c r="B12" s="113" t="s">
        <v>70</v>
      </c>
      <c r="C12" s="113" t="s">
        <v>61</v>
      </c>
      <c r="D12" s="113" t="s">
        <v>62</v>
      </c>
      <c r="E12" s="114" t="s">
        <v>71</v>
      </c>
      <c r="F12" s="113" t="s">
        <v>63</v>
      </c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8"/>
      <c r="T12" s="119"/>
      <c r="U12" s="117"/>
      <c r="V12" s="120"/>
      <c r="W12" s="117"/>
      <c r="X12" s="119"/>
      <c r="Y12" s="117"/>
      <c r="Z12" s="117"/>
      <c r="AA12" s="117"/>
      <c r="AB12" s="119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9"/>
      <c r="AO12" s="117"/>
      <c r="AP12" s="117"/>
      <c r="AQ12" s="117"/>
      <c r="AR12" s="119"/>
      <c r="AS12" s="117"/>
      <c r="AT12" s="117"/>
      <c r="AU12" s="117">
        <v>100</v>
      </c>
      <c r="AV12" s="119">
        <f t="shared" si="0"/>
        <v>900000</v>
      </c>
      <c r="AW12" s="121">
        <f t="shared" si="1"/>
        <v>100</v>
      </c>
      <c r="AX12" s="119">
        <v>9000</v>
      </c>
      <c r="AY12" s="115">
        <f t="shared" si="2"/>
        <v>900000</v>
      </c>
      <c r="AZ12" s="136" t="s">
        <v>72</v>
      </c>
      <c r="BA12" s="132">
        <v>437</v>
      </c>
      <c r="BB12" s="124" t="s">
        <v>73</v>
      </c>
      <c r="BC12" s="116" t="s">
        <v>61</v>
      </c>
      <c r="BD12" s="148" t="s">
        <v>151</v>
      </c>
      <c r="BF12" s="253" t="s">
        <v>72</v>
      </c>
      <c r="BG12" s="254" t="str">
        <f>+VLOOKUP(B12,[1]Hoja1!$B$5:$J$13,9,0)</f>
        <v>Incluye 3 separadores por cada cajon</v>
      </c>
      <c r="BH12" s="254" t="b">
        <f t="shared" si="3"/>
        <v>1</v>
      </c>
    </row>
    <row r="13" spans="1:60" ht="38.25" x14ac:dyDescent="0.25">
      <c r="A13" s="117">
        <v>4</v>
      </c>
      <c r="B13" s="113" t="s">
        <v>74</v>
      </c>
      <c r="C13" s="113" t="s">
        <v>61</v>
      </c>
      <c r="D13" s="113" t="s">
        <v>62</v>
      </c>
      <c r="E13" s="114" t="s">
        <v>75</v>
      </c>
      <c r="F13" s="113" t="s">
        <v>63</v>
      </c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8"/>
      <c r="T13" s="119"/>
      <c r="U13" s="117"/>
      <c r="V13" s="120"/>
      <c r="W13" s="117"/>
      <c r="X13" s="119"/>
      <c r="Y13" s="117"/>
      <c r="Z13" s="117"/>
      <c r="AA13" s="117"/>
      <c r="AB13" s="119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9"/>
      <c r="AO13" s="117"/>
      <c r="AP13" s="117"/>
      <c r="AQ13" s="117"/>
      <c r="AR13" s="119"/>
      <c r="AS13" s="117"/>
      <c r="AT13" s="117"/>
      <c r="AU13" s="117">
        <v>100</v>
      </c>
      <c r="AV13" s="119">
        <f t="shared" si="0"/>
        <v>1200000</v>
      </c>
      <c r="AW13" s="121">
        <f t="shared" si="1"/>
        <v>100</v>
      </c>
      <c r="AX13" s="119">
        <v>12000</v>
      </c>
      <c r="AY13" s="115">
        <f t="shared" si="2"/>
        <v>1200000</v>
      </c>
      <c r="AZ13" s="136" t="s">
        <v>147</v>
      </c>
      <c r="BA13" s="132">
        <v>437</v>
      </c>
      <c r="BB13" s="124" t="s">
        <v>76</v>
      </c>
      <c r="BC13" s="125" t="s">
        <v>61</v>
      </c>
      <c r="BD13" s="149" t="s">
        <v>150</v>
      </c>
      <c r="BF13" s="253" t="s">
        <v>147</v>
      </c>
      <c r="BG13" s="254" t="str">
        <f>+VLOOKUP(B13,[1]Hoja1!$B$5:$J$13,9,0)</f>
        <v>MESA P/CAMA; Rodante;  Altura regulable; Estructura de acero pintado/cromado. Cuatro ruedas dobles con frenos. Con ajuste manual. Regulable en altura: 72 a 115cm.</v>
      </c>
      <c r="BH13" s="254" t="b">
        <f t="shared" si="3"/>
        <v>1</v>
      </c>
    </row>
    <row r="14" spans="1:60" ht="26.25" thickBot="1" x14ac:dyDescent="0.3">
      <c r="A14" s="117">
        <v>5</v>
      </c>
      <c r="B14" s="113" t="s">
        <v>77</v>
      </c>
      <c r="C14" s="113" t="s">
        <v>61</v>
      </c>
      <c r="D14" s="128" t="s">
        <v>62</v>
      </c>
      <c r="E14" s="114" t="s">
        <v>78</v>
      </c>
      <c r="F14" s="113" t="s">
        <v>63</v>
      </c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8"/>
      <c r="T14" s="119"/>
      <c r="U14" s="117"/>
      <c r="V14" s="120"/>
      <c r="W14" s="117"/>
      <c r="X14" s="119"/>
      <c r="Y14" s="117"/>
      <c r="Z14" s="117"/>
      <c r="AA14" s="117"/>
      <c r="AB14" s="119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9"/>
      <c r="AO14" s="117"/>
      <c r="AP14" s="117"/>
      <c r="AQ14" s="117"/>
      <c r="AR14" s="119"/>
      <c r="AS14" s="117"/>
      <c r="AT14" s="117"/>
      <c r="AU14" s="117">
        <v>30</v>
      </c>
      <c r="AV14" s="119">
        <f t="shared" si="0"/>
        <v>69000</v>
      </c>
      <c r="AW14" s="121">
        <f t="shared" si="1"/>
        <v>30</v>
      </c>
      <c r="AX14" s="119">
        <v>2300</v>
      </c>
      <c r="AY14" s="115">
        <f t="shared" si="2"/>
        <v>69000</v>
      </c>
      <c r="AZ14" s="135" t="s">
        <v>79</v>
      </c>
      <c r="BA14" s="132">
        <v>437</v>
      </c>
      <c r="BB14" s="122" t="s">
        <v>79</v>
      </c>
      <c r="BC14" s="123" t="s">
        <v>61</v>
      </c>
      <c r="BD14" s="148" t="s">
        <v>151</v>
      </c>
      <c r="BF14" s="253" t="s">
        <v>79</v>
      </c>
      <c r="BG14" s="254" t="str">
        <f>+VLOOKUP(B14,[1]Hoja1!$B$5:$J$13,9,0)</f>
        <v>RELOJ ANALOGICO (de pared, material plástico)</v>
      </c>
      <c r="BH14" s="254" t="b">
        <f t="shared" si="3"/>
        <v>1</v>
      </c>
    </row>
    <row r="15" spans="1:60" ht="30.75" customHeight="1" x14ac:dyDescent="0.25">
      <c r="A15" s="117">
        <v>6</v>
      </c>
      <c r="B15" s="128" t="s">
        <v>136</v>
      </c>
      <c r="C15" s="113" t="s">
        <v>80</v>
      </c>
      <c r="D15" s="128" t="s">
        <v>81</v>
      </c>
      <c r="E15" s="114" t="s">
        <v>137</v>
      </c>
      <c r="F15" s="113" t="s">
        <v>63</v>
      </c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8"/>
      <c r="T15" s="119"/>
      <c r="U15" s="117"/>
      <c r="V15" s="120"/>
      <c r="W15" s="117"/>
      <c r="X15" s="119"/>
      <c r="Y15" s="117"/>
      <c r="Z15" s="117"/>
      <c r="AA15" s="117"/>
      <c r="AB15" s="119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9"/>
      <c r="AO15" s="117"/>
      <c r="AP15" s="117"/>
      <c r="AQ15" s="117"/>
      <c r="AR15" s="119"/>
      <c r="AS15" s="117"/>
      <c r="AT15" s="117"/>
      <c r="AU15" s="117">
        <v>200</v>
      </c>
      <c r="AV15" s="119">
        <f t="shared" si="0"/>
        <v>3450000</v>
      </c>
      <c r="AW15" s="121">
        <f t="shared" si="1"/>
        <v>200</v>
      </c>
      <c r="AX15" s="119">
        <v>17250</v>
      </c>
      <c r="AY15" s="115">
        <f t="shared" si="2"/>
        <v>3450000</v>
      </c>
      <c r="AZ15" s="138" t="s">
        <v>138</v>
      </c>
      <c r="BA15" s="132" t="s">
        <v>82</v>
      </c>
      <c r="BB15" s="129" t="s">
        <v>83</v>
      </c>
      <c r="BC15" s="126" t="s">
        <v>80</v>
      </c>
      <c r="BD15" s="148" t="s">
        <v>151</v>
      </c>
      <c r="BF15" s="253" t="s">
        <v>138</v>
      </c>
      <c r="BG15" s="254" t="str">
        <f>+VLOOKUP(B15,[1]Hoja1!$B$5:$J$13,9,0)</f>
        <v>TACHO DE RESIDUOS (circular con tapa, capacidad: 119 litros)</v>
      </c>
      <c r="BH15" s="254" t="b">
        <f t="shared" si="3"/>
        <v>1</v>
      </c>
    </row>
    <row r="16" spans="1:60" ht="46.5" customHeight="1" thickBot="1" x14ac:dyDescent="0.3">
      <c r="A16" s="117">
        <v>7</v>
      </c>
      <c r="B16" s="113" t="s">
        <v>84</v>
      </c>
      <c r="C16" s="113" t="s">
        <v>61</v>
      </c>
      <c r="D16" s="113" t="s">
        <v>62</v>
      </c>
      <c r="E16" s="114" t="s">
        <v>85</v>
      </c>
      <c r="F16" s="113" t="s">
        <v>63</v>
      </c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8"/>
      <c r="T16" s="119"/>
      <c r="U16" s="117"/>
      <c r="V16" s="120"/>
      <c r="W16" s="117"/>
      <c r="X16" s="119"/>
      <c r="Y16" s="117"/>
      <c r="Z16" s="117"/>
      <c r="AA16" s="117"/>
      <c r="AB16" s="119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9"/>
      <c r="AO16" s="117"/>
      <c r="AP16" s="117"/>
      <c r="AQ16" s="117"/>
      <c r="AR16" s="119"/>
      <c r="AS16" s="117"/>
      <c r="AT16" s="117"/>
      <c r="AU16" s="117">
        <v>80</v>
      </c>
      <c r="AV16" s="119">
        <f t="shared" si="0"/>
        <v>4280000</v>
      </c>
      <c r="AW16" s="150">
        <f t="shared" si="1"/>
        <v>80</v>
      </c>
      <c r="AX16" s="119">
        <v>53500</v>
      </c>
      <c r="AY16" s="115">
        <f t="shared" si="2"/>
        <v>4280000</v>
      </c>
      <c r="AZ16" s="137" t="s">
        <v>140</v>
      </c>
      <c r="BA16" s="133">
        <v>437</v>
      </c>
      <c r="BB16" s="130" t="s">
        <v>139</v>
      </c>
      <c r="BC16" s="123" t="s">
        <v>61</v>
      </c>
      <c r="BD16" s="149" t="s">
        <v>150</v>
      </c>
      <c r="BF16" s="253" t="s">
        <v>140</v>
      </c>
      <c r="BG16" s="254" t="str">
        <f>+VLOOKUP(B16,[1]Hoja1!$B$5:$J$13,9,0)</f>
        <v>VITRINA (madera c/estantes y c/2puertas de vidrio, HxAxProf= 170x132x43cm) Estantes: 4, tipo de madera: aglomerado, terminación: melanima. Con 2 puertas vidriadas con llave</v>
      </c>
      <c r="BH16" s="254" t="b">
        <f t="shared" si="3"/>
        <v>1</v>
      </c>
    </row>
    <row r="17" spans="1:55" ht="15.75" customHeight="1" thickBot="1" x14ac:dyDescent="0.3">
      <c r="A17" s="34"/>
      <c r="B17" s="35"/>
      <c r="C17" s="36"/>
      <c r="D17" s="36"/>
      <c r="E17" s="37" t="s">
        <v>86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8"/>
      <c r="Q17" s="36"/>
      <c r="R17" s="36"/>
      <c r="S17" s="39"/>
      <c r="T17" s="38"/>
      <c r="U17" s="36"/>
      <c r="V17" s="36"/>
      <c r="W17" s="36"/>
      <c r="X17" s="38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8"/>
      <c r="AO17" s="36"/>
      <c r="AP17" s="36"/>
      <c r="AQ17" s="36"/>
      <c r="AR17" s="38"/>
      <c r="AS17" s="36"/>
      <c r="AT17" s="36"/>
      <c r="AU17" s="36"/>
      <c r="AV17" s="38"/>
      <c r="AW17" s="40"/>
      <c r="AX17" s="38"/>
      <c r="AY17" s="41">
        <f>+SUM(AY10:AY16)</f>
        <v>11254000</v>
      </c>
      <c r="AZ17" s="42"/>
      <c r="BA17" s="43"/>
      <c r="BB17" s="44"/>
      <c r="BC17" s="45"/>
    </row>
    <row r="18" spans="1:55" ht="15.75" customHeight="1" x14ac:dyDescent="0.25">
      <c r="A18" s="46"/>
      <c r="B18" s="46"/>
      <c r="C18" s="46"/>
      <c r="D18" s="46"/>
      <c r="E18" s="47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8"/>
      <c r="T18" s="49"/>
      <c r="U18" s="46"/>
      <c r="V18" s="46"/>
      <c r="W18" s="46"/>
      <c r="X18" s="49"/>
      <c r="Y18" s="46"/>
      <c r="Z18" s="46"/>
      <c r="AA18" s="46"/>
      <c r="AB18" s="49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9"/>
      <c r="AO18" s="46"/>
      <c r="AP18" s="46"/>
      <c r="AQ18" s="46"/>
      <c r="AR18" s="49"/>
      <c r="AS18" s="46"/>
      <c r="AT18" s="46"/>
      <c r="AU18" s="46"/>
      <c r="AV18" s="49"/>
      <c r="AW18" s="48"/>
      <c r="AX18" s="49"/>
      <c r="AY18" s="49"/>
      <c r="AZ18" s="50"/>
      <c r="BA18" s="46"/>
      <c r="BB18" s="51"/>
      <c r="BC18" s="52"/>
    </row>
    <row r="19" spans="1:55" ht="15.75" customHeight="1" thickBot="1" x14ac:dyDescent="0.3">
      <c r="A19" s="46"/>
      <c r="B19" s="46"/>
      <c r="C19" s="46"/>
      <c r="D19" s="46"/>
      <c r="E19" s="47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8"/>
      <c r="T19" s="49"/>
      <c r="U19" s="46"/>
      <c r="V19" s="46"/>
      <c r="W19" s="46"/>
      <c r="X19" s="49"/>
      <c r="Y19" s="46"/>
      <c r="Z19" s="46"/>
      <c r="AA19" s="46"/>
      <c r="AB19" s="49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9"/>
      <c r="AO19" s="46"/>
      <c r="AP19" s="46"/>
      <c r="AQ19" s="46"/>
      <c r="AR19" s="49"/>
      <c r="AS19" s="46"/>
      <c r="AT19" s="46"/>
      <c r="AU19" s="46"/>
      <c r="AV19" s="49"/>
      <c r="AW19" s="48"/>
      <c r="AX19" s="49"/>
      <c r="AY19" s="49"/>
      <c r="AZ19" s="50"/>
      <c r="BA19" s="46"/>
      <c r="BB19" s="51"/>
      <c r="BC19" s="52"/>
    </row>
    <row r="20" spans="1:55" ht="29.25" customHeight="1" thickBot="1" x14ac:dyDescent="0.3">
      <c r="A20" s="46"/>
      <c r="B20" s="46"/>
      <c r="C20" s="175" t="s">
        <v>87</v>
      </c>
      <c r="D20" s="176"/>
      <c r="E20" s="177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8"/>
      <c r="T20" s="49"/>
      <c r="U20" s="46"/>
      <c r="V20" s="46"/>
      <c r="W20" s="46"/>
      <c r="X20" s="49"/>
      <c r="Y20" s="46"/>
      <c r="Z20" s="46"/>
      <c r="AA20" s="46"/>
      <c r="AB20" s="49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9"/>
      <c r="AO20" s="46"/>
      <c r="AP20" s="46"/>
      <c r="AQ20" s="46"/>
      <c r="AR20" s="49"/>
      <c r="AS20" s="46"/>
      <c r="AT20" s="46"/>
      <c r="AU20" s="46"/>
      <c r="AV20" s="49"/>
      <c r="AW20" s="48"/>
      <c r="AX20" s="49"/>
      <c r="AY20" s="49"/>
      <c r="AZ20" s="52"/>
      <c r="BA20" s="46"/>
      <c r="BB20" s="53"/>
      <c r="BC20" s="52"/>
    </row>
    <row r="21" spans="1:55" ht="29.25" customHeight="1" x14ac:dyDescent="0.25">
      <c r="A21" s="46"/>
      <c r="B21" s="46"/>
      <c r="C21" s="265" t="s">
        <v>149</v>
      </c>
      <c r="D21" s="266"/>
      <c r="E21" s="267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8"/>
      <c r="T21" s="49"/>
      <c r="U21" s="46"/>
      <c r="V21" s="46"/>
      <c r="W21" s="46"/>
      <c r="X21" s="49"/>
      <c r="Y21" s="46"/>
      <c r="Z21" s="46"/>
      <c r="AA21" s="46"/>
      <c r="AB21" s="49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9"/>
      <c r="AO21" s="46"/>
      <c r="AP21" s="46"/>
      <c r="AQ21" s="46"/>
      <c r="AR21" s="49"/>
      <c r="AS21" s="46"/>
      <c r="AT21" s="46"/>
      <c r="AU21" s="46"/>
      <c r="AV21" s="49"/>
      <c r="AW21" s="48"/>
      <c r="AX21" s="49"/>
      <c r="AY21" s="49"/>
      <c r="AZ21" s="52"/>
      <c r="BA21" s="46"/>
      <c r="BB21" s="145"/>
      <c r="BC21" s="52"/>
    </row>
    <row r="22" spans="1:55" ht="15.75" customHeight="1" x14ac:dyDescent="0.25">
      <c r="A22" s="46"/>
      <c r="B22" s="46"/>
      <c r="C22" s="54"/>
      <c r="D22" s="178"/>
      <c r="E22" s="173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8"/>
      <c r="T22" s="49"/>
      <c r="U22" s="46"/>
      <c r="V22" s="46"/>
      <c r="W22" s="46"/>
      <c r="X22" s="49"/>
      <c r="Y22" s="46"/>
      <c r="Z22" s="46"/>
      <c r="AA22" s="46"/>
      <c r="AB22" s="49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9"/>
      <c r="AO22" s="46"/>
      <c r="AP22" s="46"/>
      <c r="AQ22" s="46"/>
      <c r="AR22" s="49"/>
      <c r="AS22" s="46"/>
      <c r="AT22" s="46"/>
      <c r="AU22" s="46"/>
      <c r="AV22" s="49"/>
      <c r="AW22" s="48"/>
      <c r="AX22" s="49"/>
      <c r="AY22" s="49"/>
      <c r="AZ22" s="50"/>
      <c r="BA22" s="46"/>
      <c r="BB22" s="51"/>
      <c r="BC22" s="52"/>
    </row>
    <row r="23" spans="1:55" ht="15.75" customHeight="1" x14ac:dyDescent="0.25">
      <c r="A23" s="46"/>
      <c r="B23" s="46"/>
      <c r="C23" s="54" t="s">
        <v>88</v>
      </c>
      <c r="D23" s="112" t="s">
        <v>141</v>
      </c>
      <c r="E23" s="5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8"/>
      <c r="T23" s="49"/>
      <c r="U23" s="46"/>
      <c r="V23" s="46"/>
      <c r="W23" s="46"/>
      <c r="X23" s="49"/>
      <c r="Y23" s="46"/>
      <c r="Z23" s="46"/>
      <c r="AA23" s="46"/>
      <c r="AB23" s="49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9"/>
      <c r="AO23" s="46"/>
      <c r="AP23" s="46"/>
      <c r="AQ23" s="46"/>
      <c r="AR23" s="49"/>
      <c r="AS23" s="46"/>
      <c r="AT23" s="46"/>
      <c r="AU23" s="46"/>
      <c r="AV23" s="49"/>
      <c r="AW23" s="48"/>
      <c r="AX23" s="49"/>
      <c r="AY23" s="49"/>
      <c r="AZ23" s="50"/>
      <c r="BA23" s="46"/>
      <c r="BB23" s="51"/>
      <c r="BC23" s="52"/>
    </row>
    <row r="24" spans="1:55" ht="15.75" customHeight="1" x14ac:dyDescent="0.25">
      <c r="A24" s="46"/>
      <c r="B24" s="46"/>
      <c r="C24" s="54"/>
      <c r="D24" s="174"/>
      <c r="E24" s="173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8"/>
      <c r="T24" s="49"/>
      <c r="U24" s="46"/>
      <c r="V24" s="46"/>
      <c r="W24" s="46"/>
      <c r="X24" s="49"/>
      <c r="Y24" s="46"/>
      <c r="Z24" s="46"/>
      <c r="AA24" s="46"/>
      <c r="AB24" s="49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9"/>
      <c r="AO24" s="46"/>
      <c r="AP24" s="46"/>
      <c r="AQ24" s="46"/>
      <c r="AR24" s="49"/>
      <c r="AS24" s="46"/>
      <c r="AT24" s="46"/>
      <c r="AU24" s="46"/>
      <c r="AV24" s="49"/>
      <c r="AW24" s="48"/>
      <c r="AX24" s="49"/>
      <c r="AY24" s="49"/>
      <c r="AZ24" s="50"/>
      <c r="BA24" s="46"/>
      <c r="BB24" s="51"/>
      <c r="BC24" s="52"/>
    </row>
    <row r="25" spans="1:55" ht="15.75" customHeight="1" x14ac:dyDescent="0.25">
      <c r="A25" s="46"/>
      <c r="B25" s="46"/>
      <c r="C25" s="54" t="s">
        <v>89</v>
      </c>
      <c r="D25" s="172" t="s">
        <v>90</v>
      </c>
      <c r="E25" s="17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8"/>
      <c r="T25" s="49"/>
      <c r="U25" s="46"/>
      <c r="V25" s="46"/>
      <c r="W25" s="46"/>
      <c r="X25" s="49"/>
      <c r="Y25" s="46"/>
      <c r="Z25" s="46"/>
      <c r="AA25" s="46"/>
      <c r="AB25" s="49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9"/>
      <c r="AO25" s="46"/>
      <c r="AP25" s="46"/>
      <c r="AQ25" s="46"/>
      <c r="AR25" s="49"/>
      <c r="AS25" s="46"/>
      <c r="AT25" s="46"/>
      <c r="AU25" s="46"/>
      <c r="AV25" s="49"/>
      <c r="AW25" s="48"/>
      <c r="AX25" s="49"/>
      <c r="AY25" s="49"/>
      <c r="AZ25" s="50"/>
      <c r="BA25" s="46"/>
      <c r="BB25" s="51"/>
      <c r="BC25" s="52"/>
    </row>
    <row r="26" spans="1:55" ht="15.75" customHeight="1" x14ac:dyDescent="0.25">
      <c r="A26" s="46"/>
      <c r="B26" s="46"/>
      <c r="C26" s="54"/>
      <c r="D26" s="174"/>
      <c r="E26" s="173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8"/>
      <c r="T26" s="49"/>
      <c r="U26" s="46"/>
      <c r="V26" s="46"/>
      <c r="W26" s="46"/>
      <c r="X26" s="49"/>
      <c r="Y26" s="46"/>
      <c r="Z26" s="46"/>
      <c r="AA26" s="46"/>
      <c r="AB26" s="49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9"/>
      <c r="AO26" s="46"/>
      <c r="AP26" s="46"/>
      <c r="AQ26" s="46"/>
      <c r="AR26" s="49"/>
      <c r="AS26" s="46"/>
      <c r="AT26" s="46"/>
      <c r="AU26" s="46"/>
      <c r="AV26" s="49"/>
      <c r="AW26" s="48"/>
      <c r="AX26" s="49"/>
      <c r="AY26" s="49"/>
      <c r="AZ26" s="50"/>
      <c r="BA26" s="46"/>
      <c r="BB26" s="51"/>
      <c r="BC26" s="52"/>
    </row>
    <row r="27" spans="1:55" ht="15.75" customHeight="1" x14ac:dyDescent="0.25">
      <c r="A27" s="46"/>
      <c r="B27" s="46"/>
      <c r="C27" s="54" t="s">
        <v>91</v>
      </c>
      <c r="D27" s="174"/>
      <c r="E27" s="173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8"/>
      <c r="T27" s="49"/>
      <c r="U27" s="46"/>
      <c r="V27" s="46"/>
      <c r="W27" s="46"/>
      <c r="X27" s="49"/>
      <c r="Y27" s="46"/>
      <c r="Z27" s="46"/>
      <c r="AA27" s="46"/>
      <c r="AB27" s="49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9"/>
      <c r="AO27" s="46"/>
      <c r="AP27" s="46"/>
      <c r="AQ27" s="46"/>
      <c r="AR27" s="49"/>
      <c r="AS27" s="46"/>
      <c r="AT27" s="46"/>
      <c r="AU27" s="46"/>
      <c r="AV27" s="49"/>
      <c r="AW27" s="48"/>
      <c r="AX27" s="49"/>
      <c r="AY27" s="49"/>
      <c r="AZ27" s="50"/>
      <c r="BA27" s="46"/>
      <c r="BB27" s="51"/>
      <c r="BC27" s="52"/>
    </row>
    <row r="28" spans="1:55" ht="15.75" customHeight="1" x14ac:dyDescent="0.25">
      <c r="A28" s="46"/>
      <c r="B28" s="46"/>
      <c r="C28" s="54"/>
      <c r="D28" s="111"/>
      <c r="E28" s="110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8"/>
      <c r="T28" s="49"/>
      <c r="U28" s="46"/>
      <c r="V28" s="46"/>
      <c r="W28" s="46"/>
      <c r="X28" s="49"/>
      <c r="Y28" s="46"/>
      <c r="Z28" s="46"/>
      <c r="AA28" s="46"/>
      <c r="AB28" s="49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9"/>
      <c r="AO28" s="46"/>
      <c r="AP28" s="46"/>
      <c r="AQ28" s="46"/>
      <c r="AR28" s="49"/>
      <c r="AS28" s="46"/>
      <c r="AT28" s="46"/>
      <c r="AU28" s="46"/>
      <c r="AV28" s="49"/>
      <c r="AW28" s="48"/>
      <c r="AX28" s="49"/>
      <c r="AY28" s="49"/>
      <c r="AZ28" s="50"/>
      <c r="BA28" s="46"/>
      <c r="BB28" s="51"/>
      <c r="BC28" s="52"/>
    </row>
    <row r="29" spans="1:55" ht="15.75" customHeight="1" x14ac:dyDescent="0.25">
      <c r="A29" s="46"/>
      <c r="B29" s="46"/>
      <c r="C29" s="262" t="s">
        <v>143</v>
      </c>
      <c r="D29" s="263" t="s">
        <v>144</v>
      </c>
      <c r="E29" s="264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8"/>
      <c r="T29" s="49"/>
      <c r="U29" s="46"/>
      <c r="V29" s="46"/>
      <c r="W29" s="46"/>
      <c r="X29" s="49"/>
      <c r="Y29" s="46"/>
      <c r="Z29" s="46"/>
      <c r="AA29" s="46"/>
      <c r="AB29" s="49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9"/>
      <c r="AO29" s="46"/>
      <c r="AP29" s="46"/>
      <c r="AQ29" s="46"/>
      <c r="AR29" s="49"/>
      <c r="AS29" s="46"/>
      <c r="AT29" s="46"/>
      <c r="AU29" s="46"/>
      <c r="AV29" s="49"/>
      <c r="AW29" s="48"/>
      <c r="AX29" s="49"/>
      <c r="AY29" s="49"/>
      <c r="AZ29" s="50"/>
      <c r="BA29" s="46"/>
      <c r="BB29" s="51"/>
      <c r="BC29" s="52"/>
    </row>
    <row r="30" spans="1:55" ht="15.75" customHeight="1" x14ac:dyDescent="0.25">
      <c r="A30" s="46"/>
      <c r="B30" s="46"/>
      <c r="C30" s="54"/>
      <c r="D30" s="174"/>
      <c r="E30" s="173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8"/>
      <c r="T30" s="49"/>
      <c r="U30" s="46"/>
      <c r="V30" s="46"/>
      <c r="W30" s="46"/>
      <c r="X30" s="49"/>
      <c r="Y30" s="46"/>
      <c r="Z30" s="46"/>
      <c r="AA30" s="46"/>
      <c r="AB30" s="49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9"/>
      <c r="AO30" s="46"/>
      <c r="AP30" s="46"/>
      <c r="AQ30" s="46"/>
      <c r="AR30" s="49"/>
      <c r="AS30" s="46"/>
      <c r="AT30" s="46"/>
      <c r="AU30" s="46"/>
      <c r="AV30" s="49"/>
      <c r="AW30" s="48"/>
      <c r="AX30" s="49"/>
      <c r="AY30" s="49"/>
      <c r="AZ30" s="50"/>
      <c r="BA30" s="46"/>
      <c r="BB30" s="51"/>
      <c r="BC30" s="52"/>
    </row>
    <row r="31" spans="1:55" ht="15.75" customHeight="1" x14ac:dyDescent="0.25">
      <c r="A31" s="46"/>
      <c r="B31" s="46"/>
      <c r="C31" s="54" t="s">
        <v>92</v>
      </c>
      <c r="D31" s="55" t="s">
        <v>93</v>
      </c>
      <c r="E31" s="5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8"/>
      <c r="T31" s="49"/>
      <c r="U31" s="46"/>
      <c r="V31" s="46"/>
      <c r="W31" s="46"/>
      <c r="X31" s="49"/>
      <c r="Y31" s="46"/>
      <c r="Z31" s="46"/>
      <c r="AA31" s="46"/>
      <c r="AB31" s="49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9"/>
      <c r="AO31" s="46"/>
      <c r="AP31" s="46"/>
      <c r="AQ31" s="46"/>
      <c r="AR31" s="49"/>
      <c r="AS31" s="46"/>
      <c r="AT31" s="46"/>
      <c r="AU31" s="46"/>
      <c r="AV31" s="49"/>
      <c r="AW31" s="48"/>
      <c r="AX31" s="49"/>
      <c r="AY31" s="49"/>
      <c r="AZ31" s="50"/>
      <c r="BA31" s="46"/>
      <c r="BB31" s="51"/>
      <c r="BC31" s="52"/>
    </row>
    <row r="32" spans="1:55" ht="15.75" customHeight="1" thickBot="1" x14ac:dyDescent="0.3">
      <c r="A32" s="46"/>
      <c r="B32" s="46"/>
      <c r="C32" s="57"/>
      <c r="D32" s="179"/>
      <c r="E32" s="180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8"/>
      <c r="T32" s="49"/>
      <c r="U32" s="46"/>
      <c r="V32" s="46"/>
      <c r="W32" s="46"/>
      <c r="X32" s="49"/>
      <c r="Y32" s="46"/>
      <c r="Z32" s="46"/>
      <c r="AA32" s="46"/>
      <c r="AB32" s="49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9"/>
      <c r="AO32" s="46"/>
      <c r="AP32" s="46"/>
      <c r="AQ32" s="46"/>
      <c r="AR32" s="49"/>
      <c r="AS32" s="46"/>
      <c r="AT32" s="46"/>
      <c r="AU32" s="46"/>
      <c r="AV32" s="49"/>
      <c r="AW32" s="48"/>
      <c r="AX32" s="49"/>
      <c r="AY32" s="49"/>
      <c r="AZ32" s="50"/>
      <c r="BA32" s="46"/>
      <c r="BB32" s="51"/>
      <c r="BC32" s="52"/>
    </row>
    <row r="33" spans="1:55" ht="15.75" customHeight="1" x14ac:dyDescent="0.25">
      <c r="A33" s="46"/>
      <c r="B33" s="46"/>
      <c r="C33" s="46"/>
      <c r="D33" s="46"/>
      <c r="E33" s="47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8"/>
      <c r="T33" s="49"/>
      <c r="U33" s="46"/>
      <c r="V33" s="46"/>
      <c r="W33" s="46"/>
      <c r="X33" s="49"/>
      <c r="Y33" s="46"/>
      <c r="Z33" s="46"/>
      <c r="AA33" s="46"/>
      <c r="AB33" s="49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9"/>
      <c r="AO33" s="46"/>
      <c r="AP33" s="46"/>
      <c r="AQ33" s="46"/>
      <c r="AR33" s="49"/>
      <c r="AS33" s="46"/>
      <c r="AT33" s="46"/>
      <c r="AU33" s="46"/>
      <c r="AV33" s="49"/>
      <c r="AW33" s="48"/>
      <c r="AX33" s="49"/>
      <c r="AY33" s="49"/>
      <c r="AZ33" s="50"/>
      <c r="BA33" s="46"/>
      <c r="BB33" s="51"/>
      <c r="BC33" s="52"/>
    </row>
    <row r="34" spans="1:55" ht="15.75" customHeight="1" thickBot="1" x14ac:dyDescent="0.3">
      <c r="A34" s="10"/>
      <c r="B34" s="10"/>
      <c r="C34" s="140"/>
      <c r="D34" s="58"/>
      <c r="E34" s="58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1"/>
      <c r="T34" s="9"/>
      <c r="U34" s="10"/>
      <c r="V34" s="10"/>
      <c r="W34" s="10"/>
      <c r="X34" s="9"/>
      <c r="Y34" s="10"/>
      <c r="Z34" s="10"/>
      <c r="AA34" s="10"/>
      <c r="AB34" s="9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9"/>
      <c r="AO34" s="10"/>
      <c r="AP34" s="10"/>
      <c r="AQ34" s="10"/>
      <c r="AR34" s="9"/>
      <c r="AS34" s="10"/>
      <c r="AT34" s="10"/>
      <c r="AU34" s="10"/>
      <c r="AV34" s="9"/>
      <c r="AW34" s="11"/>
      <c r="AX34" s="9"/>
      <c r="AY34" s="9"/>
      <c r="AZ34" s="12"/>
      <c r="BA34" s="10"/>
      <c r="BB34" s="13"/>
    </row>
    <row r="35" spans="1:55" ht="15.75" customHeight="1" x14ac:dyDescent="0.25">
      <c r="A35" s="10"/>
      <c r="B35" s="10"/>
      <c r="C35" s="255" t="s">
        <v>152</v>
      </c>
      <c r="D35" s="256"/>
      <c r="E35" s="257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1"/>
      <c r="T35" s="9"/>
      <c r="U35" s="10"/>
      <c r="V35" s="10"/>
      <c r="W35" s="10"/>
      <c r="X35" s="9"/>
      <c r="Y35" s="10"/>
      <c r="Z35" s="10"/>
      <c r="AA35" s="10"/>
      <c r="AB35" s="9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9"/>
      <c r="AO35" s="10"/>
      <c r="AP35" s="10"/>
      <c r="AQ35" s="10"/>
      <c r="AR35" s="9"/>
      <c r="AS35" s="10"/>
      <c r="AT35" s="10"/>
      <c r="AU35" s="10"/>
      <c r="AV35" s="9"/>
      <c r="AW35" s="11"/>
      <c r="AX35" s="9"/>
      <c r="AY35" s="9"/>
      <c r="AZ35" s="12"/>
      <c r="BA35" s="10"/>
      <c r="BB35" s="13"/>
    </row>
    <row r="36" spans="1:55" ht="25.5" customHeight="1" thickBot="1" x14ac:dyDescent="0.3">
      <c r="A36" s="10"/>
      <c r="B36" s="10"/>
      <c r="C36" s="258" t="str">
        <f>AZ10</f>
        <v>BANQUETA METAL (s/respaldo, Fija, 4 patas y sin ruedas)</v>
      </c>
      <c r="D36" s="259"/>
      <c r="E36" s="26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1"/>
      <c r="T36" s="9"/>
      <c r="U36" s="10"/>
      <c r="V36" s="10"/>
      <c r="W36" s="10"/>
      <c r="X36" s="9"/>
      <c r="Y36" s="10"/>
      <c r="Z36" s="10"/>
      <c r="AA36" s="10"/>
      <c r="AB36" s="9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9"/>
      <c r="AO36" s="10"/>
      <c r="AP36" s="10"/>
      <c r="AQ36" s="10"/>
      <c r="AR36" s="9"/>
      <c r="AS36" s="10"/>
      <c r="AT36" s="10"/>
      <c r="AU36" s="10"/>
      <c r="AV36" s="9"/>
      <c r="AW36" s="11"/>
      <c r="AX36" s="9"/>
      <c r="AY36" s="9"/>
      <c r="AZ36" s="12"/>
      <c r="BA36" s="10"/>
      <c r="BB36" s="13"/>
    </row>
    <row r="37" spans="1:55" ht="15.75" customHeight="1" thickBot="1" x14ac:dyDescent="0.3">
      <c r="A37" s="10"/>
      <c r="B37" s="10"/>
      <c r="C37" s="140"/>
      <c r="D37" s="58"/>
      <c r="E37" s="58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1"/>
      <c r="T37" s="9"/>
      <c r="U37" s="10"/>
      <c r="V37" s="10"/>
      <c r="W37" s="10"/>
      <c r="X37" s="9"/>
      <c r="Y37" s="10"/>
      <c r="Z37" s="10"/>
      <c r="AA37" s="10"/>
      <c r="AB37" s="9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9"/>
      <c r="AO37" s="10"/>
      <c r="AP37" s="10"/>
      <c r="AQ37" s="10"/>
      <c r="AR37" s="9"/>
      <c r="AS37" s="10"/>
      <c r="AT37" s="10"/>
      <c r="AU37" s="10"/>
      <c r="AV37" s="9"/>
      <c r="AW37" s="11"/>
      <c r="AX37" s="9"/>
      <c r="AY37" s="9"/>
      <c r="AZ37" s="12"/>
      <c r="BA37" s="10"/>
      <c r="BB37" s="13"/>
    </row>
    <row r="38" spans="1:55" ht="15" customHeight="1" x14ac:dyDescent="0.25">
      <c r="C38" s="255" t="s">
        <v>153</v>
      </c>
      <c r="D38" s="256"/>
      <c r="E38" s="257"/>
    </row>
    <row r="39" spans="1:55" ht="15" customHeight="1" thickBot="1" x14ac:dyDescent="0.3">
      <c r="C39" s="258" t="str">
        <f>AZ11</f>
        <v>ESTANTERIA METALICA (6 Estantes) (Alt.xAnc.xProf.=260x205x60cm) Estantes reforzados: capacidad de carga 35/40 kg por estante. Terminación con pintura epoxi.</v>
      </c>
      <c r="D39" s="259"/>
      <c r="E39" s="260"/>
    </row>
    <row r="40" spans="1:55" ht="15" customHeight="1" thickBot="1" x14ac:dyDescent="0.3">
      <c r="C40" s="47"/>
      <c r="D40" s="47"/>
      <c r="E40" s="47"/>
    </row>
    <row r="41" spans="1:55" ht="15" customHeight="1" x14ac:dyDescent="0.25">
      <c r="C41" s="255" t="s">
        <v>154</v>
      </c>
      <c r="D41" s="256"/>
      <c r="E41" s="257"/>
    </row>
    <row r="42" spans="1:55" ht="15" customHeight="1" thickBot="1" x14ac:dyDescent="0.3">
      <c r="C42" s="258" t="str">
        <f>AZ12</f>
        <v>Incluye 3 separadores por cada cajon</v>
      </c>
      <c r="D42" s="259"/>
      <c r="E42" s="260"/>
    </row>
    <row r="43" spans="1:55" ht="15" customHeight="1" thickBot="1" x14ac:dyDescent="0.3">
      <c r="C43" s="140"/>
      <c r="D43" s="58"/>
      <c r="E43" s="58"/>
    </row>
    <row r="44" spans="1:55" ht="15" customHeight="1" x14ac:dyDescent="0.25">
      <c r="C44" s="255" t="s">
        <v>155</v>
      </c>
      <c r="D44" s="256"/>
      <c r="E44" s="257"/>
    </row>
    <row r="45" spans="1:55" ht="15" customHeight="1" thickBot="1" x14ac:dyDescent="0.3">
      <c r="C45" s="258" t="str">
        <f>AZ13</f>
        <v>MESA P/CAMA; Rodante;  Altura regulable; Estructura de acero pintado/cromado. Cuatro ruedas dobles con frenos. Con ajuste manual. Regulable en altura: 72 a 115cm.</v>
      </c>
      <c r="D45" s="259"/>
      <c r="E45" s="260"/>
    </row>
    <row r="46" spans="1:55" ht="15" customHeight="1" thickBot="1" x14ac:dyDescent="0.3">
      <c r="C46" s="261"/>
      <c r="D46" s="261"/>
      <c r="E46" s="261"/>
    </row>
    <row r="47" spans="1:55" ht="15" customHeight="1" x14ac:dyDescent="0.25">
      <c r="C47" s="255" t="s">
        <v>145</v>
      </c>
      <c r="D47" s="256"/>
      <c r="E47" s="257"/>
    </row>
    <row r="48" spans="1:55" ht="15" customHeight="1" thickBot="1" x14ac:dyDescent="0.3">
      <c r="C48" s="258" t="str">
        <f>AZ14</f>
        <v>RELOJ ANALOGICO (de pared, material plástico)</v>
      </c>
      <c r="D48" s="259"/>
      <c r="E48" s="260"/>
    </row>
    <row r="49" spans="3:5" ht="15" customHeight="1" thickBot="1" x14ac:dyDescent="0.3">
      <c r="C49" s="13"/>
      <c r="D49" s="13"/>
      <c r="E49" s="13"/>
    </row>
    <row r="50" spans="3:5" ht="15" customHeight="1" x14ac:dyDescent="0.25">
      <c r="C50" s="255" t="s">
        <v>156</v>
      </c>
      <c r="D50" s="256"/>
      <c r="E50" s="257"/>
    </row>
    <row r="51" spans="3:5" ht="15" customHeight="1" thickBot="1" x14ac:dyDescent="0.3">
      <c r="C51" s="258" t="str">
        <f>AZ15</f>
        <v>TACHO DE RESIDUOS (circular con tapa, capacidad: 119 litros)</v>
      </c>
      <c r="D51" s="259"/>
      <c r="E51" s="260"/>
    </row>
    <row r="52" spans="3:5" ht="15" customHeight="1" thickBot="1" x14ac:dyDescent="0.3">
      <c r="C52" s="13"/>
      <c r="D52" s="13"/>
      <c r="E52" s="13"/>
    </row>
    <row r="53" spans="3:5" ht="15" customHeight="1" x14ac:dyDescent="0.25">
      <c r="C53" s="255" t="s">
        <v>157</v>
      </c>
      <c r="D53" s="256"/>
      <c r="E53" s="257"/>
    </row>
    <row r="54" spans="3:5" ht="29.25" customHeight="1" thickBot="1" x14ac:dyDescent="0.3">
      <c r="C54" s="258" t="str">
        <f>AZ16</f>
        <v>VITRINA (madera c/estantes y c/2puertas de vidrio, HxAxProf= 170x132x43cm) Estantes: 4, tipo de madera: aglomerado, terminación: melanima. Con 2 puertas vidriadas con llave</v>
      </c>
      <c r="D54" s="259"/>
      <c r="E54" s="260"/>
    </row>
    <row r="55" spans="3:5" ht="15" customHeight="1" x14ac:dyDescent="0.25">
      <c r="C55" s="13"/>
      <c r="D55" s="13"/>
      <c r="E55" s="13"/>
    </row>
  </sheetData>
  <mergeCells count="31">
    <mergeCell ref="D32:E32"/>
    <mergeCell ref="D29:E29"/>
    <mergeCell ref="C21:E21"/>
    <mergeCell ref="D22:E22"/>
    <mergeCell ref="D26:E26"/>
    <mergeCell ref="D27:E27"/>
    <mergeCell ref="D30:E30"/>
    <mergeCell ref="C38:E38"/>
    <mergeCell ref="C39:E39"/>
    <mergeCell ref="C41:E41"/>
    <mergeCell ref="C42:E42"/>
    <mergeCell ref="B2:AX2"/>
    <mergeCell ref="C4:E4"/>
    <mergeCell ref="C5:E5"/>
    <mergeCell ref="A4:B4"/>
    <mergeCell ref="A5:B5"/>
    <mergeCell ref="C36:E36"/>
    <mergeCell ref="C35:E35"/>
    <mergeCell ref="A6:B6"/>
    <mergeCell ref="A7:B7"/>
    <mergeCell ref="D25:E25"/>
    <mergeCell ref="D24:E24"/>
    <mergeCell ref="C20:E20"/>
    <mergeCell ref="C50:E50"/>
    <mergeCell ref="C51:E51"/>
    <mergeCell ref="C53:E53"/>
    <mergeCell ref="C54:E54"/>
    <mergeCell ref="C44:E44"/>
    <mergeCell ref="C45:E45"/>
    <mergeCell ref="C47:E47"/>
    <mergeCell ref="C48:E48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0"/>
  <sheetViews>
    <sheetView workbookViewId="0">
      <selection activeCell="K2" sqref="K2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0.7109375" style="141" customWidth="1"/>
    <col min="13" max="13" width="14.5703125" style="144" customWidth="1"/>
    <col min="14" max="15" width="15.5703125" style="144" customWidth="1"/>
    <col min="16" max="21" width="14.42578125" style="141"/>
  </cols>
  <sheetData>
    <row r="1" spans="1:14" ht="30.75" thickBot="1" x14ac:dyDescent="0.3">
      <c r="A1" s="197" t="s">
        <v>94</v>
      </c>
      <c r="B1" s="198"/>
      <c r="C1" s="198"/>
      <c r="D1" s="198"/>
      <c r="E1" s="198"/>
      <c r="F1" s="198"/>
      <c r="G1" s="198"/>
      <c r="H1" s="198"/>
      <c r="I1" s="198"/>
      <c r="J1" s="59" t="s">
        <v>95</v>
      </c>
      <c r="K1" s="142" t="s">
        <v>161</v>
      </c>
      <c r="M1" s="143"/>
      <c r="N1" s="143"/>
    </row>
    <row r="2" spans="1:14" ht="16.5" thickBot="1" x14ac:dyDescent="0.3">
      <c r="A2" s="60"/>
      <c r="B2" s="61"/>
      <c r="C2" s="62"/>
      <c r="D2" s="63"/>
      <c r="E2" s="63"/>
      <c r="F2" s="63"/>
      <c r="G2" s="63"/>
      <c r="H2" s="63"/>
      <c r="I2" s="63"/>
      <c r="J2" s="64"/>
      <c r="K2" s="65"/>
      <c r="M2" s="143"/>
      <c r="N2" s="143"/>
    </row>
    <row r="3" spans="1:14" ht="16.5" customHeight="1" thickBot="1" x14ac:dyDescent="0.3">
      <c r="A3" s="199" t="s">
        <v>96</v>
      </c>
      <c r="B3" s="200"/>
      <c r="C3" s="200"/>
      <c r="D3" s="66" t="s">
        <v>2</v>
      </c>
      <c r="E3" s="67"/>
      <c r="F3" s="67"/>
      <c r="G3" s="67"/>
      <c r="H3" s="67"/>
      <c r="I3" s="67"/>
      <c r="J3" s="68"/>
      <c r="K3" s="69"/>
      <c r="M3" s="143"/>
      <c r="N3" s="143"/>
    </row>
    <row r="4" spans="1:14" ht="16.5" customHeight="1" thickBot="1" x14ac:dyDescent="0.3">
      <c r="A4" s="201" t="s">
        <v>97</v>
      </c>
      <c r="B4" s="202"/>
      <c r="C4" s="202"/>
      <c r="D4" s="66" t="s">
        <v>98</v>
      </c>
      <c r="E4" s="67"/>
      <c r="F4" s="67"/>
      <c r="G4" s="67"/>
      <c r="H4" s="67"/>
      <c r="I4" s="67"/>
      <c r="J4" s="68"/>
      <c r="K4" s="69"/>
      <c r="M4" s="143"/>
      <c r="N4" s="143"/>
    </row>
    <row r="5" spans="1:14" ht="16.5" thickBot="1" x14ac:dyDescent="0.3">
      <c r="A5" s="201" t="s">
        <v>99</v>
      </c>
      <c r="B5" s="202"/>
      <c r="C5" s="202"/>
      <c r="D5" s="66" t="s">
        <v>100</v>
      </c>
      <c r="E5" s="67"/>
      <c r="F5" s="67"/>
      <c r="G5" s="67"/>
      <c r="H5" s="67"/>
      <c r="I5" s="67"/>
      <c r="J5" s="68"/>
      <c r="K5" s="69"/>
      <c r="M5" s="143"/>
      <c r="N5" s="143"/>
    </row>
    <row r="6" spans="1:14" ht="16.5" thickBot="1" x14ac:dyDescent="0.3">
      <c r="A6" s="199" t="s">
        <v>101</v>
      </c>
      <c r="B6" s="200"/>
      <c r="C6" s="200"/>
      <c r="D6" s="66" t="s">
        <v>100</v>
      </c>
      <c r="E6" s="67"/>
      <c r="F6" s="67"/>
      <c r="G6" s="67"/>
      <c r="H6" s="67"/>
      <c r="I6" s="67"/>
      <c r="J6" s="68"/>
      <c r="K6" s="69"/>
      <c r="M6" s="143"/>
      <c r="N6" s="143"/>
    </row>
    <row r="7" spans="1:14" ht="16.5" thickBot="1" x14ac:dyDescent="0.3">
      <c r="A7" s="201" t="s">
        <v>102</v>
      </c>
      <c r="B7" s="202"/>
      <c r="C7" s="202"/>
      <c r="D7" s="66" t="s">
        <v>148</v>
      </c>
      <c r="E7" s="67"/>
      <c r="F7" s="67"/>
      <c r="G7" s="67"/>
      <c r="H7" s="67"/>
      <c r="I7" s="67"/>
      <c r="J7" s="68"/>
      <c r="K7" s="69"/>
      <c r="M7" s="143"/>
      <c r="N7" s="143"/>
    </row>
    <row r="8" spans="1:14" ht="16.5" customHeight="1" thickBot="1" x14ac:dyDescent="0.3">
      <c r="A8" s="211" t="s">
        <v>103</v>
      </c>
      <c r="B8" s="212"/>
      <c r="C8" s="213"/>
      <c r="D8" s="70" t="s">
        <v>160</v>
      </c>
      <c r="E8" s="67"/>
      <c r="F8" s="67"/>
      <c r="G8" s="67"/>
      <c r="H8" s="67"/>
      <c r="I8" s="67"/>
      <c r="J8" s="68"/>
      <c r="K8" s="69"/>
      <c r="M8" s="143"/>
      <c r="N8" s="143"/>
    </row>
    <row r="9" spans="1:14" ht="16.5" thickBot="1" x14ac:dyDescent="0.3">
      <c r="A9" s="71"/>
      <c r="B9" s="72"/>
      <c r="C9" s="73"/>
      <c r="D9" s="74"/>
      <c r="E9" s="74"/>
      <c r="F9" s="74"/>
      <c r="G9" s="74"/>
      <c r="H9" s="74"/>
      <c r="I9" s="74"/>
      <c r="J9" s="75"/>
      <c r="K9" s="76"/>
      <c r="M9" s="143"/>
      <c r="N9" s="143"/>
    </row>
    <row r="10" spans="1:14" x14ac:dyDescent="0.25">
      <c r="A10" s="204" t="s">
        <v>104</v>
      </c>
      <c r="B10" s="203" t="s">
        <v>105</v>
      </c>
      <c r="C10" s="206" t="s">
        <v>106</v>
      </c>
      <c r="D10" s="198"/>
      <c r="E10" s="198"/>
      <c r="F10" s="198"/>
      <c r="G10" s="207"/>
      <c r="H10" s="203" t="s">
        <v>107</v>
      </c>
      <c r="I10" s="203" t="s">
        <v>108</v>
      </c>
      <c r="J10" s="183" t="s">
        <v>109</v>
      </c>
      <c r="K10" s="181" t="s">
        <v>110</v>
      </c>
      <c r="M10" s="143"/>
      <c r="N10" s="143"/>
    </row>
    <row r="11" spans="1:14" ht="36.75" customHeight="1" thickBot="1" x14ac:dyDescent="0.3">
      <c r="A11" s="205"/>
      <c r="B11" s="184"/>
      <c r="C11" s="208"/>
      <c r="D11" s="209"/>
      <c r="E11" s="209"/>
      <c r="F11" s="209"/>
      <c r="G11" s="210"/>
      <c r="H11" s="184"/>
      <c r="I11" s="184"/>
      <c r="J11" s="184"/>
      <c r="K11" s="182"/>
      <c r="M11" s="144">
        <v>291</v>
      </c>
      <c r="N11" s="144">
        <v>437</v>
      </c>
    </row>
    <row r="12" spans="1:14" ht="32.25" customHeight="1" x14ac:dyDescent="0.25">
      <c r="A12" s="151">
        <v>1</v>
      </c>
      <c r="B12" s="152" t="str">
        <f>'SAF 011 - NECESIDAD TRIMESTRAL'!B10</f>
        <v>4.3.7-2001.22</v>
      </c>
      <c r="C12" s="185" t="str">
        <f>'SAF 011 - NECESIDAD TRIMESTRAL'!E10</f>
        <v>BANQUETAS/TABURETES; TERMINACION: METAL, DIMENSION: 0,6 X 0,3, RESPALDO: SIN, GIRATORIA: NO, APOYABRAZO: SIN, PATAS: 4, ALTURA: REGULABLE, MATERIAL: METAL</v>
      </c>
      <c r="D12" s="186"/>
      <c r="E12" s="186"/>
      <c r="F12" s="186"/>
      <c r="G12" s="187"/>
      <c r="H12" s="152" t="s">
        <v>111</v>
      </c>
      <c r="I12" s="153" t="str">
        <f>'SAF 011 - NECESIDAD TRIMESTRAL'!F10</f>
        <v>UNIDAD</v>
      </c>
      <c r="J12" s="154">
        <f>'SAF 011 - NECESIDAD TRIMESTRAL'!AX10</f>
        <v>15500</v>
      </c>
      <c r="K12" s="155">
        <f>'SAF 011 - NECESIDAD TRIMESTRAL'!AU10</f>
        <v>10</v>
      </c>
      <c r="M12" s="143"/>
      <c r="N12" s="143">
        <f t="shared" ref="N12" si="0">+J12*K12</f>
        <v>155000</v>
      </c>
    </row>
    <row r="13" spans="1:14" ht="45" customHeight="1" x14ac:dyDescent="0.25">
      <c r="A13" s="77">
        <v>2</v>
      </c>
      <c r="B13" s="78" t="str">
        <f>'SAF 011 - NECESIDAD TRIMESTRAL'!B11</f>
        <v>4.3.7-1404.22</v>
      </c>
      <c r="C13" s="188" t="str">
        <f>'SAF 011 - NECESIDAD TRIMESTRAL'!E11</f>
        <v>ESTANTERIAS; MATERIAL: METAL, DIMENSION: 205 X 60 Cm, ALTURA: 260 Cm, ESTANTES: 6 UN, CAPACIDAD POR ESTANTE: SIN VALOR</v>
      </c>
      <c r="D13" s="189"/>
      <c r="E13" s="189"/>
      <c r="F13" s="189"/>
      <c r="G13" s="190"/>
      <c r="H13" s="78" t="s">
        <v>111</v>
      </c>
      <c r="I13" s="79" t="str">
        <f>'SAF 011 - NECESIDAD TRIMESTRAL'!F11</f>
        <v>UNIDAD</v>
      </c>
      <c r="J13" s="80">
        <f>'SAF 011 - NECESIDAD TRIMESTRAL'!AX11</f>
        <v>40000</v>
      </c>
      <c r="K13" s="81">
        <f>'SAF 011 - NECESIDAD TRIMESTRAL'!AU11</f>
        <v>30</v>
      </c>
      <c r="M13" s="143"/>
      <c r="N13" s="143">
        <f t="shared" ref="N13" si="1">+J13*K13</f>
        <v>1200000</v>
      </c>
    </row>
    <row r="14" spans="1:14" ht="37.5" customHeight="1" x14ac:dyDescent="0.25">
      <c r="A14" s="77">
        <v>3</v>
      </c>
      <c r="B14" s="78" t="str">
        <f>'SAF 011 - NECESIDAD TRIMESTRAL'!B12</f>
        <v>4.3.7-4500.4</v>
      </c>
      <c r="C14" s="188" t="str">
        <f>'SAF 011 - NECESIDAD TRIMESTRAL'!E12</f>
        <v>GAVETEROS; MATERIAL: METAL, ALTURA: 240 Cm, ANCHO: 110 Cm, PROFUNDIDAD: 36 Cm, TERMINACION: ESMALTE, CANTIDAD DE CAJONES: 32</v>
      </c>
      <c r="D14" s="189"/>
      <c r="E14" s="189"/>
      <c r="F14" s="189"/>
      <c r="G14" s="190"/>
      <c r="H14" s="78" t="s">
        <v>111</v>
      </c>
      <c r="I14" s="79" t="str">
        <f>'SAF 011 - NECESIDAD TRIMESTRAL'!F12</f>
        <v>UNIDAD</v>
      </c>
      <c r="J14" s="80">
        <f>'SAF 011 - NECESIDAD TRIMESTRAL'!AX12</f>
        <v>9000</v>
      </c>
      <c r="K14" s="81">
        <f>'SAF 011 - NECESIDAD TRIMESTRAL'!AU12</f>
        <v>100</v>
      </c>
      <c r="M14" s="143"/>
      <c r="N14" s="143">
        <f>+J14*K14</f>
        <v>900000</v>
      </c>
    </row>
    <row r="15" spans="1:14" ht="43.5" customHeight="1" x14ac:dyDescent="0.25">
      <c r="A15" s="77">
        <v>4</v>
      </c>
      <c r="B15" s="78" t="str">
        <f>'SAF 011 - NECESIDAD TRIMESTRAL'!B13</f>
        <v>4.3.7-5446.1</v>
      </c>
      <c r="C15" s="188" t="str">
        <f>'SAF 011 - NECESIDAD TRIMESTRAL'!E13</f>
        <v>MESAS P/CAMAS; BASE: ACERO INOXIDABLE, ALTURA: REGULABLE, DIMENSION DE TAPA: 50 X 80 Cm, MATERIAL DE TAPA: LAMINADA EN MELAMINA, SUPERFICIE APOYO: 50 X 80 Cm</v>
      </c>
      <c r="D15" s="189"/>
      <c r="E15" s="189"/>
      <c r="F15" s="189"/>
      <c r="G15" s="190"/>
      <c r="H15" s="78" t="s">
        <v>111</v>
      </c>
      <c r="I15" s="79" t="str">
        <f>'SAF 011 - NECESIDAD TRIMESTRAL'!F13</f>
        <v>UNIDAD</v>
      </c>
      <c r="J15" s="80">
        <f>'SAF 011 - NECESIDAD TRIMESTRAL'!AX13</f>
        <v>12000</v>
      </c>
      <c r="K15" s="81">
        <f>'SAF 011 - NECESIDAD TRIMESTRAL'!AU13</f>
        <v>100</v>
      </c>
      <c r="M15" s="143"/>
      <c r="N15" s="143">
        <f t="shared" ref="N15" si="2">+J15*K15</f>
        <v>1200000</v>
      </c>
    </row>
    <row r="16" spans="1:14" ht="39" customHeight="1" x14ac:dyDescent="0.25">
      <c r="A16" s="77">
        <v>5</v>
      </c>
      <c r="B16" s="78" t="str">
        <f>'SAF 011 - NECESIDAD TRIMESTRAL'!B14</f>
        <v>4.3.7-1880.1</v>
      </c>
      <c r="C16" s="188" t="str">
        <f>'SAF 011 - NECESIDAD TRIMESTRAL'!E14</f>
        <v>RELOJES; TAMAÑO: 30 X 25 Cm, ALIMENTACION: ELECTRICA, MECANISMO: ANALOGICO, TIPO: DE PARED, MATERIAL: PLASTICO</v>
      </c>
      <c r="D16" s="189"/>
      <c r="E16" s="189"/>
      <c r="F16" s="189"/>
      <c r="G16" s="190"/>
      <c r="H16" s="78" t="s">
        <v>111</v>
      </c>
      <c r="I16" s="79" t="str">
        <f>'SAF 011 - NECESIDAD TRIMESTRAL'!F14</f>
        <v>UNIDAD</v>
      </c>
      <c r="J16" s="80">
        <f>'SAF 011 - NECESIDAD TRIMESTRAL'!AX14</f>
        <v>2300</v>
      </c>
      <c r="K16" s="81">
        <f>'SAF 011 - NECESIDAD TRIMESTRAL'!AU14</f>
        <v>30</v>
      </c>
      <c r="M16" s="143"/>
      <c r="N16" s="143">
        <f>+J16*K16</f>
        <v>69000</v>
      </c>
    </row>
    <row r="17" spans="1:15" ht="33.75" customHeight="1" x14ac:dyDescent="0.25">
      <c r="A17" s="77">
        <v>6</v>
      </c>
      <c r="B17" s="78" t="str">
        <f>'SAF 011 - NECESIDAD TRIMESTRAL'!B15</f>
        <v>2.9.1-2661.8</v>
      </c>
      <c r="C17" s="188" t="str">
        <f>'SAF 011 - NECESIDAD TRIMESTRAL'!E15</f>
        <v>TACHOS DE RESIDUOS; MATERIAL: PLASTICO, SECCION: CIRCULAR, DIMENSION: 119 L, TAPA: CON</v>
      </c>
      <c r="D17" s="189"/>
      <c r="E17" s="189"/>
      <c r="F17" s="189"/>
      <c r="G17" s="190"/>
      <c r="H17" s="78" t="s">
        <v>111</v>
      </c>
      <c r="I17" s="79" t="str">
        <f>'SAF 011 - NECESIDAD TRIMESTRAL'!F15</f>
        <v>UNIDAD</v>
      </c>
      <c r="J17" s="80">
        <f>'SAF 011 - NECESIDAD TRIMESTRAL'!AX15</f>
        <v>17250</v>
      </c>
      <c r="K17" s="81">
        <f>'SAF 011 - NECESIDAD TRIMESTRAL'!AU15</f>
        <v>200</v>
      </c>
      <c r="M17" s="143">
        <f t="shared" ref="M17" si="3">+J17*K17</f>
        <v>3450000</v>
      </c>
      <c r="N17" s="143"/>
    </row>
    <row r="18" spans="1:15" ht="45" customHeight="1" x14ac:dyDescent="0.25">
      <c r="A18" s="77">
        <v>7</v>
      </c>
      <c r="B18" s="78" t="str">
        <f>'SAF 011 - NECESIDAD TRIMESTRAL'!B16</f>
        <v>4.3.7-1832.16</v>
      </c>
      <c r="C18" s="188" t="str">
        <f>'SAF 011 - NECESIDAD TRIMESTRAL'!E16</f>
        <v>VITRINAS; ESTRUCTURA: MADERA, ALTURA: 170 Cm, ANCHO: 132 Cm, PROFUNDIDAD: 43 Cm, ESTANTE: CON, MATERIAL ESTRUCTURA: MADERA, PUERTA: 2 DE VIDRIO Y MADERA, PUERTAS: 2 DE VIDRIO Y MADERA</v>
      </c>
      <c r="D18" s="189"/>
      <c r="E18" s="189"/>
      <c r="F18" s="189"/>
      <c r="G18" s="190"/>
      <c r="H18" s="78" t="s">
        <v>111</v>
      </c>
      <c r="I18" s="79" t="str">
        <f>'SAF 011 - NECESIDAD TRIMESTRAL'!F16</f>
        <v>UNIDAD</v>
      </c>
      <c r="J18" s="80">
        <f>'SAF 011 - NECESIDAD TRIMESTRAL'!AX16</f>
        <v>53500</v>
      </c>
      <c r="K18" s="81">
        <f>'SAF 011 - NECESIDAD TRIMESTRAL'!AU16</f>
        <v>80</v>
      </c>
      <c r="M18" s="143"/>
      <c r="N18" s="143">
        <f t="shared" ref="N18" si="4">+J18*K18</f>
        <v>4280000</v>
      </c>
    </row>
    <row r="19" spans="1:15" ht="15.75" customHeight="1" thickBot="1" x14ac:dyDescent="0.3">
      <c r="A19" s="156"/>
      <c r="B19" s="157"/>
      <c r="C19" s="194"/>
      <c r="D19" s="195"/>
      <c r="E19" s="195"/>
      <c r="F19" s="195"/>
      <c r="G19" s="196"/>
      <c r="H19" s="157"/>
      <c r="I19" s="158"/>
      <c r="J19" s="159"/>
      <c r="K19" s="160"/>
      <c r="M19" s="143"/>
      <c r="N19" s="143"/>
    </row>
    <row r="20" spans="1:15" ht="29.25" customHeight="1" thickBot="1" x14ac:dyDescent="0.3">
      <c r="A20" s="192" t="s">
        <v>158</v>
      </c>
      <c r="B20" s="193"/>
      <c r="C20" s="193"/>
      <c r="D20" s="193"/>
      <c r="E20" s="193"/>
      <c r="F20" s="193"/>
      <c r="G20" s="193"/>
      <c r="H20" s="193"/>
      <c r="I20" s="180"/>
      <c r="J20" s="191">
        <f>SUMPRODUCT(J12:J18,K12:K18)</f>
        <v>11254000</v>
      </c>
      <c r="K20" s="180"/>
      <c r="M20" s="143">
        <f>SUM(M12:M19)</f>
        <v>3450000</v>
      </c>
      <c r="N20" s="143">
        <f>SUM(N12:N19)</f>
        <v>7804000</v>
      </c>
      <c r="O20" s="143">
        <f>SUM(M20:N20)</f>
        <v>11254000</v>
      </c>
    </row>
    <row r="21" spans="1:15" ht="15.75" customHeight="1" x14ac:dyDescent="0.25">
      <c r="B21" s="83"/>
      <c r="J21" s="82"/>
      <c r="M21" s="143"/>
      <c r="N21" s="143"/>
    </row>
    <row r="22" spans="1:15" ht="15.75" customHeight="1" x14ac:dyDescent="0.25">
      <c r="B22" s="83"/>
      <c r="J22" s="82"/>
      <c r="M22" s="143"/>
      <c r="N22" s="143"/>
    </row>
    <row r="23" spans="1:15" ht="15.75" customHeight="1" x14ac:dyDescent="0.25">
      <c r="B23" s="83"/>
      <c r="J23" s="82"/>
      <c r="M23" s="143"/>
      <c r="N23" s="143"/>
    </row>
    <row r="24" spans="1:15" ht="15.75" customHeight="1" x14ac:dyDescent="0.25">
      <c r="B24" s="83"/>
      <c r="J24" s="82"/>
      <c r="M24" s="143"/>
      <c r="N24" s="143"/>
    </row>
    <row r="25" spans="1:15" ht="15.75" customHeight="1" x14ac:dyDescent="0.25">
      <c r="B25" s="83"/>
      <c r="J25" s="82"/>
      <c r="M25" s="143"/>
      <c r="N25" s="143"/>
    </row>
    <row r="26" spans="1:15" ht="15.75" customHeight="1" x14ac:dyDescent="0.25">
      <c r="B26" s="83"/>
      <c r="J26" s="82"/>
      <c r="M26" s="143"/>
      <c r="N26" s="143"/>
    </row>
    <row r="27" spans="1:15" ht="15.75" customHeight="1" x14ac:dyDescent="0.25">
      <c r="B27" s="83"/>
      <c r="J27" s="82"/>
      <c r="M27" s="143"/>
      <c r="N27" s="143"/>
    </row>
    <row r="28" spans="1:15" ht="15.75" customHeight="1" x14ac:dyDescent="0.25">
      <c r="B28" s="83"/>
      <c r="J28" s="82"/>
      <c r="M28" s="143"/>
      <c r="N28" s="143"/>
    </row>
    <row r="29" spans="1:15" ht="15.75" customHeight="1" x14ac:dyDescent="0.25">
      <c r="B29" s="83"/>
      <c r="J29" s="82"/>
      <c r="M29" s="143"/>
      <c r="N29" s="143"/>
    </row>
    <row r="30" spans="1:15" ht="15.75" customHeight="1" x14ac:dyDescent="0.25">
      <c r="B30" s="83"/>
      <c r="J30" s="82"/>
      <c r="M30" s="143"/>
      <c r="N30" s="143"/>
    </row>
    <row r="31" spans="1:15" ht="15.75" customHeight="1" x14ac:dyDescent="0.25">
      <c r="B31" s="83"/>
      <c r="J31" s="82"/>
      <c r="M31" s="143"/>
      <c r="N31" s="143"/>
    </row>
    <row r="32" spans="1:15" ht="15.75" customHeight="1" x14ac:dyDescent="0.25">
      <c r="B32" s="83"/>
      <c r="J32" s="82"/>
      <c r="M32" s="143"/>
      <c r="N32" s="143"/>
    </row>
    <row r="33" spans="2:14" ht="15.75" customHeight="1" x14ac:dyDescent="0.25">
      <c r="B33" s="83"/>
      <c r="J33" s="82"/>
      <c r="M33" s="143"/>
      <c r="N33" s="143"/>
    </row>
    <row r="34" spans="2:14" ht="15.75" customHeight="1" x14ac:dyDescent="0.25">
      <c r="B34" s="83"/>
      <c r="J34" s="82"/>
      <c r="M34" s="143"/>
      <c r="N34" s="143"/>
    </row>
    <row r="35" spans="2:14" ht="15.75" customHeight="1" x14ac:dyDescent="0.25">
      <c r="B35" s="83"/>
      <c r="J35" s="82"/>
      <c r="M35" s="143"/>
      <c r="N35" s="143"/>
    </row>
    <row r="36" spans="2:14" ht="15.75" customHeight="1" x14ac:dyDescent="0.25">
      <c r="B36" s="83"/>
      <c r="J36" s="82"/>
      <c r="M36" s="143"/>
      <c r="N36" s="143"/>
    </row>
    <row r="37" spans="2:14" ht="15.75" customHeight="1" x14ac:dyDescent="0.25">
      <c r="B37" s="83"/>
      <c r="J37" s="82"/>
      <c r="M37" s="143"/>
      <c r="N37" s="143"/>
    </row>
    <row r="38" spans="2:14" ht="15.75" customHeight="1" x14ac:dyDescent="0.25">
      <c r="B38" s="83"/>
      <c r="J38" s="82"/>
      <c r="M38" s="143"/>
      <c r="N38" s="143"/>
    </row>
    <row r="39" spans="2:14" ht="15.75" customHeight="1" x14ac:dyDescent="0.25">
      <c r="B39" s="83"/>
      <c r="J39" s="82"/>
      <c r="M39" s="143"/>
      <c r="N39" s="143"/>
    </row>
    <row r="40" spans="2:14" ht="15.75" customHeight="1" x14ac:dyDescent="0.25">
      <c r="B40" s="83"/>
      <c r="J40" s="82"/>
      <c r="M40" s="143"/>
      <c r="N40" s="143"/>
    </row>
    <row r="41" spans="2:14" ht="15.75" customHeight="1" x14ac:dyDescent="0.25">
      <c r="B41" s="83"/>
      <c r="J41" s="82"/>
      <c r="M41" s="143"/>
      <c r="N41" s="143"/>
    </row>
    <row r="42" spans="2:14" ht="15.75" customHeight="1" x14ac:dyDescent="0.25">
      <c r="B42" s="83"/>
      <c r="J42" s="82"/>
      <c r="M42" s="143"/>
      <c r="N42" s="143"/>
    </row>
    <row r="43" spans="2:14" ht="15.75" customHeight="1" x14ac:dyDescent="0.25">
      <c r="B43" s="83"/>
      <c r="J43" s="82"/>
      <c r="M43" s="143"/>
      <c r="N43" s="143"/>
    </row>
    <row r="44" spans="2:14" ht="15.75" customHeight="1" x14ac:dyDescent="0.25">
      <c r="B44" s="83"/>
      <c r="J44" s="82"/>
      <c r="M44" s="143"/>
      <c r="N44" s="143"/>
    </row>
    <row r="45" spans="2:14" ht="15.75" customHeight="1" x14ac:dyDescent="0.25">
      <c r="B45" s="83"/>
      <c r="J45" s="82"/>
      <c r="M45" s="143"/>
      <c r="N45" s="143"/>
    </row>
    <row r="46" spans="2:14" ht="15.75" customHeight="1" x14ac:dyDescent="0.25">
      <c r="B46" s="83"/>
      <c r="J46" s="82"/>
      <c r="M46" s="143"/>
      <c r="N46" s="143"/>
    </row>
    <row r="47" spans="2:14" ht="15.75" customHeight="1" x14ac:dyDescent="0.25">
      <c r="B47" s="83"/>
      <c r="J47" s="82"/>
      <c r="M47" s="143"/>
      <c r="N47" s="143"/>
    </row>
    <row r="48" spans="2:14" ht="15.75" customHeight="1" x14ac:dyDescent="0.25">
      <c r="B48" s="83"/>
      <c r="J48" s="82"/>
      <c r="M48" s="143"/>
      <c r="N48" s="143"/>
    </row>
    <row r="49" spans="2:14" ht="15.75" customHeight="1" x14ac:dyDescent="0.25">
      <c r="B49" s="83"/>
      <c r="J49" s="82"/>
      <c r="M49" s="143"/>
      <c r="N49" s="143"/>
    </row>
    <row r="50" spans="2:14" ht="15.75" customHeight="1" x14ac:dyDescent="0.25">
      <c r="B50" s="83"/>
      <c r="J50" s="82"/>
      <c r="M50" s="143"/>
      <c r="N50" s="143"/>
    </row>
    <row r="51" spans="2:14" ht="15.75" customHeight="1" x14ac:dyDescent="0.25">
      <c r="B51" s="83"/>
      <c r="J51" s="82"/>
      <c r="M51" s="143"/>
      <c r="N51" s="143"/>
    </row>
    <row r="52" spans="2:14" ht="15.75" customHeight="1" x14ac:dyDescent="0.25">
      <c r="B52" s="83"/>
      <c r="J52" s="82"/>
      <c r="M52" s="143"/>
      <c r="N52" s="143"/>
    </row>
    <row r="53" spans="2:14" ht="15.75" customHeight="1" x14ac:dyDescent="0.25">
      <c r="B53" s="83"/>
      <c r="J53" s="82"/>
      <c r="M53" s="143"/>
      <c r="N53" s="143"/>
    </row>
    <row r="54" spans="2:14" ht="15.75" customHeight="1" x14ac:dyDescent="0.25">
      <c r="B54" s="83"/>
      <c r="J54" s="82"/>
      <c r="M54" s="143"/>
      <c r="N54" s="143"/>
    </row>
    <row r="55" spans="2:14" ht="15.75" customHeight="1" x14ac:dyDescent="0.25">
      <c r="B55" s="83"/>
      <c r="J55" s="82"/>
      <c r="M55" s="143"/>
      <c r="N55" s="143"/>
    </row>
    <row r="56" spans="2:14" ht="15.75" customHeight="1" x14ac:dyDescent="0.25">
      <c r="B56" s="83"/>
      <c r="J56" s="82"/>
      <c r="M56" s="143"/>
      <c r="N56" s="143"/>
    </row>
    <row r="57" spans="2:14" ht="15.75" customHeight="1" x14ac:dyDescent="0.25">
      <c r="B57" s="83"/>
      <c r="J57" s="82"/>
      <c r="M57" s="143"/>
      <c r="N57" s="143"/>
    </row>
    <row r="58" spans="2:14" ht="15.75" customHeight="1" x14ac:dyDescent="0.25">
      <c r="B58" s="83"/>
      <c r="J58" s="82"/>
      <c r="M58" s="143"/>
      <c r="N58" s="143"/>
    </row>
    <row r="59" spans="2:14" ht="15.75" customHeight="1" x14ac:dyDescent="0.25">
      <c r="B59" s="83"/>
      <c r="J59" s="82"/>
      <c r="M59" s="143"/>
      <c r="N59" s="143"/>
    </row>
    <row r="60" spans="2:14" ht="15.75" customHeight="1" x14ac:dyDescent="0.25">
      <c r="B60" s="83"/>
      <c r="J60" s="82"/>
      <c r="M60" s="143"/>
      <c r="N60" s="143"/>
    </row>
    <row r="61" spans="2:14" ht="15.75" customHeight="1" x14ac:dyDescent="0.25">
      <c r="B61" s="83"/>
      <c r="J61" s="82"/>
      <c r="M61" s="143"/>
      <c r="N61" s="143"/>
    </row>
    <row r="62" spans="2:14" ht="15.75" customHeight="1" x14ac:dyDescent="0.25">
      <c r="B62" s="83"/>
      <c r="J62" s="82"/>
      <c r="M62" s="143"/>
      <c r="N62" s="143"/>
    </row>
    <row r="63" spans="2:14" ht="15.75" customHeight="1" x14ac:dyDescent="0.25">
      <c r="B63" s="83"/>
      <c r="J63" s="82"/>
      <c r="M63" s="143"/>
      <c r="N63" s="143"/>
    </row>
    <row r="64" spans="2:14" ht="15.75" customHeight="1" x14ac:dyDescent="0.25">
      <c r="B64" s="83"/>
      <c r="J64" s="82"/>
      <c r="M64" s="143"/>
      <c r="N64" s="143"/>
    </row>
    <row r="65" spans="2:14" ht="15.75" customHeight="1" x14ac:dyDescent="0.25">
      <c r="B65" s="83"/>
      <c r="J65" s="82"/>
      <c r="M65" s="143"/>
      <c r="N65" s="143"/>
    </row>
    <row r="66" spans="2:14" ht="15.75" customHeight="1" x14ac:dyDescent="0.25">
      <c r="B66" s="83"/>
      <c r="J66" s="82"/>
      <c r="M66" s="143"/>
      <c r="N66" s="143"/>
    </row>
    <row r="67" spans="2:14" ht="15.75" customHeight="1" x14ac:dyDescent="0.25">
      <c r="B67" s="83"/>
      <c r="J67" s="82"/>
      <c r="M67" s="143"/>
      <c r="N67" s="143"/>
    </row>
    <row r="68" spans="2:14" ht="15.75" customHeight="1" x14ac:dyDescent="0.25">
      <c r="B68" s="83"/>
      <c r="J68" s="82"/>
      <c r="M68" s="143"/>
      <c r="N68" s="143"/>
    </row>
    <row r="69" spans="2:14" ht="15.75" customHeight="1" x14ac:dyDescent="0.25">
      <c r="B69" s="83"/>
      <c r="J69" s="82"/>
      <c r="M69" s="143"/>
      <c r="N69" s="143"/>
    </row>
    <row r="70" spans="2:14" ht="15.75" customHeight="1" x14ac:dyDescent="0.25">
      <c r="B70" s="83"/>
      <c r="J70" s="82"/>
      <c r="M70" s="143"/>
      <c r="N70" s="143"/>
    </row>
  </sheetData>
  <mergeCells count="24">
    <mergeCell ref="A1:I1"/>
    <mergeCell ref="A3:C3"/>
    <mergeCell ref="A4:C4"/>
    <mergeCell ref="C14:G14"/>
    <mergeCell ref="C13:G13"/>
    <mergeCell ref="I10:I11"/>
    <mergeCell ref="H10:H11"/>
    <mergeCell ref="A5:C5"/>
    <mergeCell ref="A10:A11"/>
    <mergeCell ref="B10:B11"/>
    <mergeCell ref="C10:G11"/>
    <mergeCell ref="A6:C6"/>
    <mergeCell ref="A7:C7"/>
    <mergeCell ref="A8:C8"/>
    <mergeCell ref="K10:K11"/>
    <mergeCell ref="J10:J11"/>
    <mergeCell ref="C12:G12"/>
    <mergeCell ref="C15:G15"/>
    <mergeCell ref="J20:K20"/>
    <mergeCell ref="C17:G17"/>
    <mergeCell ref="C16:G16"/>
    <mergeCell ref="A20:I20"/>
    <mergeCell ref="C19:G19"/>
    <mergeCell ref="C18:G18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7"/>
  <sheetViews>
    <sheetView topLeftCell="A13" workbookViewId="0">
      <selection activeCell="R27" sqref="R27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4.7109375" customWidth="1"/>
    <col min="17" max="17" width="19.5703125" customWidth="1"/>
    <col min="19" max="19" width="15.5703125" style="146" bestFit="1" customWidth="1"/>
  </cols>
  <sheetData>
    <row r="1" spans="1:17" x14ac:dyDescent="0.25">
      <c r="A1" s="229" t="s">
        <v>5</v>
      </c>
      <c r="B1" s="212"/>
      <c r="C1" s="212"/>
      <c r="D1" s="230">
        <v>2022</v>
      </c>
      <c r="E1" s="225"/>
      <c r="F1" s="84"/>
      <c r="G1" s="84"/>
      <c r="H1" s="85"/>
      <c r="I1" s="85"/>
      <c r="J1" s="85"/>
      <c r="K1" s="85"/>
      <c r="L1" s="85"/>
      <c r="M1" s="85"/>
      <c r="N1" s="85"/>
      <c r="O1" s="86"/>
      <c r="P1" s="231" t="s">
        <v>112</v>
      </c>
      <c r="Q1" s="232"/>
    </row>
    <row r="2" spans="1:17" x14ac:dyDescent="0.25">
      <c r="A2" s="87"/>
      <c r="G2" s="88"/>
      <c r="H2" s="89"/>
      <c r="I2" s="89"/>
      <c r="J2" s="89"/>
      <c r="K2" s="89"/>
      <c r="L2" s="89"/>
      <c r="M2" s="89"/>
      <c r="N2" s="89"/>
      <c r="P2" s="233"/>
      <c r="Q2" s="234"/>
    </row>
    <row r="3" spans="1:17" x14ac:dyDescent="0.25">
      <c r="A3" s="87"/>
      <c r="G3" s="88"/>
      <c r="Q3" s="90"/>
    </row>
    <row r="4" spans="1:17" x14ac:dyDescent="0.25">
      <c r="A4" s="239" t="s">
        <v>113</v>
      </c>
      <c r="B4" s="200"/>
      <c r="C4" s="200"/>
      <c r="D4" s="200"/>
      <c r="E4" s="200"/>
      <c r="F4" s="238"/>
      <c r="G4" s="235" t="str">
        <f>NP!D3</f>
        <v>040 - MINISTERIO DE SALUD</v>
      </c>
      <c r="H4" s="200"/>
      <c r="I4" s="200"/>
      <c r="J4" s="200"/>
      <c r="K4" s="200"/>
      <c r="L4" s="200"/>
      <c r="M4" s="200"/>
      <c r="N4" s="200"/>
      <c r="O4" s="200"/>
      <c r="P4" s="200"/>
      <c r="Q4" s="236"/>
    </row>
    <row r="5" spans="1:17" x14ac:dyDescent="0.25">
      <c r="A5" s="237" t="s">
        <v>97</v>
      </c>
      <c r="B5" s="200"/>
      <c r="C5" s="200"/>
      <c r="D5" s="200"/>
      <c r="E5" s="200"/>
      <c r="F5" s="238"/>
      <c r="G5" s="235" t="str">
        <f>NP!D4</f>
        <v>011 - DIRECCION PROVINCIAL DE ADMINISTRACION DEL MINISTERIO DE SALUD</v>
      </c>
      <c r="H5" s="200"/>
      <c r="I5" s="200"/>
      <c r="J5" s="200"/>
      <c r="K5" s="200"/>
      <c r="L5" s="200"/>
      <c r="M5" s="200"/>
      <c r="N5" s="200"/>
      <c r="O5" s="200"/>
      <c r="P5" s="200"/>
      <c r="Q5" s="236"/>
    </row>
    <row r="6" spans="1:17" x14ac:dyDescent="0.25">
      <c r="A6" s="237" t="s">
        <v>99</v>
      </c>
      <c r="B6" s="200"/>
      <c r="C6" s="200"/>
      <c r="D6" s="200"/>
      <c r="E6" s="200"/>
      <c r="F6" s="238"/>
      <c r="G6" s="235" t="str">
        <f>NP!D5</f>
        <v>352 - MINISTERIO DE SALUD</v>
      </c>
      <c r="H6" s="200"/>
      <c r="I6" s="200"/>
      <c r="J6" s="200"/>
      <c r="K6" s="200"/>
      <c r="L6" s="200"/>
      <c r="M6" s="200"/>
      <c r="N6" s="200"/>
      <c r="O6" s="200"/>
      <c r="P6" s="200"/>
      <c r="Q6" s="236"/>
    </row>
    <row r="7" spans="1:17" x14ac:dyDescent="0.25">
      <c r="A7" s="237" t="s">
        <v>101</v>
      </c>
      <c r="B7" s="200"/>
      <c r="C7" s="200"/>
      <c r="D7" s="200"/>
      <c r="E7" s="200"/>
      <c r="F7" s="238"/>
      <c r="G7" s="235" t="str">
        <f>NP!D6</f>
        <v>352 - MINISTERIO DE SALUD</v>
      </c>
      <c r="H7" s="200"/>
      <c r="I7" s="200"/>
      <c r="J7" s="200"/>
      <c r="K7" s="200"/>
      <c r="L7" s="200"/>
      <c r="M7" s="200"/>
      <c r="N7" s="200"/>
      <c r="O7" s="200"/>
      <c r="P7" s="200"/>
      <c r="Q7" s="236"/>
    </row>
    <row r="8" spans="1:17" x14ac:dyDescent="0.25">
      <c r="A8" s="241" t="s">
        <v>114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36"/>
    </row>
    <row r="9" spans="1:17" x14ac:dyDescent="0.25">
      <c r="A9" s="240" t="s">
        <v>115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23"/>
    </row>
    <row r="10" spans="1:17" ht="75" customHeight="1" x14ac:dyDescent="0.25">
      <c r="A10" s="243" t="s">
        <v>162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73"/>
    </row>
    <row r="11" spans="1:17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thickBot="1" x14ac:dyDescent="0.3">
      <c r="A12" s="244" t="s">
        <v>116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23"/>
    </row>
    <row r="13" spans="1:17" ht="15.75" thickBot="1" x14ac:dyDescent="0.3">
      <c r="A13" s="245" t="s">
        <v>117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38"/>
      <c r="O13" s="246" t="s">
        <v>118</v>
      </c>
      <c r="P13" s="247"/>
      <c r="Q13" s="248" t="s">
        <v>119</v>
      </c>
    </row>
    <row r="14" spans="1:17" ht="15.75" thickBot="1" x14ac:dyDescent="0.3">
      <c r="A14" s="162" t="s">
        <v>120</v>
      </c>
      <c r="B14" s="163" t="s">
        <v>121</v>
      </c>
      <c r="C14" s="163" t="s">
        <v>122</v>
      </c>
      <c r="D14" s="163" t="s">
        <v>123</v>
      </c>
      <c r="E14" s="163" t="s">
        <v>124</v>
      </c>
      <c r="F14" s="163" t="s">
        <v>125</v>
      </c>
      <c r="G14" s="164" t="s">
        <v>126</v>
      </c>
      <c r="H14" s="163" t="s">
        <v>127</v>
      </c>
      <c r="I14" s="163" t="s">
        <v>128</v>
      </c>
      <c r="J14" s="163" t="s">
        <v>129</v>
      </c>
      <c r="K14" s="163" t="s">
        <v>129</v>
      </c>
      <c r="L14" s="163" t="s">
        <v>130</v>
      </c>
      <c r="M14" s="165" t="s">
        <v>131</v>
      </c>
      <c r="N14" s="166" t="s">
        <v>132</v>
      </c>
      <c r="O14" s="208"/>
      <c r="P14" s="210"/>
      <c r="Q14" s="249"/>
    </row>
    <row r="15" spans="1:17" x14ac:dyDescent="0.25">
      <c r="A15" s="95">
        <v>1</v>
      </c>
      <c r="B15" s="96"/>
      <c r="C15" s="96"/>
      <c r="D15" s="96">
        <v>1</v>
      </c>
      <c r="E15" s="96"/>
      <c r="F15" s="96">
        <v>4901</v>
      </c>
      <c r="G15" s="96">
        <v>3</v>
      </c>
      <c r="H15" s="96">
        <v>1</v>
      </c>
      <c r="I15" s="96">
        <v>2</v>
      </c>
      <c r="J15" s="96">
        <v>9</v>
      </c>
      <c r="K15" s="96">
        <v>1</v>
      </c>
      <c r="L15" s="96"/>
      <c r="M15" s="97">
        <v>1</v>
      </c>
      <c r="N15" s="96" t="s">
        <v>133</v>
      </c>
      <c r="O15" s="250" t="s">
        <v>80</v>
      </c>
      <c r="P15" s="251"/>
      <c r="Q15" s="161">
        <f>NP!M20</f>
        <v>3450000</v>
      </c>
    </row>
    <row r="16" spans="1:17" x14ac:dyDescent="0.25">
      <c r="A16" s="95">
        <v>1</v>
      </c>
      <c r="B16" s="96"/>
      <c r="C16" s="96"/>
      <c r="D16" s="96">
        <v>1</v>
      </c>
      <c r="E16" s="96"/>
      <c r="F16" s="96">
        <v>4901</v>
      </c>
      <c r="G16" s="96">
        <v>3</v>
      </c>
      <c r="H16" s="96">
        <v>1</v>
      </c>
      <c r="I16" s="96">
        <v>4</v>
      </c>
      <c r="J16" s="96">
        <v>3</v>
      </c>
      <c r="K16" s="96">
        <v>7</v>
      </c>
      <c r="L16" s="96"/>
      <c r="M16" s="97">
        <v>1</v>
      </c>
      <c r="N16" s="147" t="s">
        <v>133</v>
      </c>
      <c r="O16" s="242" t="s">
        <v>134</v>
      </c>
      <c r="P16" s="215"/>
      <c r="Q16" s="99">
        <f>NP!N20</f>
        <v>7804000</v>
      </c>
    </row>
    <row r="17" spans="1:17" x14ac:dyDescent="0.25">
      <c r="A17" s="95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7"/>
      <c r="N17" s="98"/>
      <c r="O17" s="214"/>
      <c r="P17" s="215"/>
      <c r="Q17" s="99"/>
    </row>
    <row r="18" spans="1:17" ht="15.75" customHeight="1" x14ac:dyDescent="0.25">
      <c r="A18" s="95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7"/>
      <c r="N18" s="98"/>
      <c r="O18" s="214"/>
      <c r="P18" s="215"/>
      <c r="Q18" s="99"/>
    </row>
    <row r="19" spans="1:17" ht="15.75" customHeight="1" x14ac:dyDescent="0.25">
      <c r="A19" s="95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7"/>
      <c r="N19" s="98"/>
      <c r="O19" s="214"/>
      <c r="P19" s="215"/>
      <c r="Q19" s="99"/>
    </row>
    <row r="20" spans="1:17" ht="15.75" customHeight="1" x14ac:dyDescent="0.25">
      <c r="A20" s="95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7"/>
      <c r="N20" s="98"/>
      <c r="O20" s="214"/>
      <c r="P20" s="215"/>
      <c r="Q20" s="99"/>
    </row>
    <row r="21" spans="1:17" ht="15.75" customHeight="1" x14ac:dyDescent="0.25">
      <c r="A21" s="95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7"/>
      <c r="N21" s="98"/>
      <c r="O21" s="214"/>
      <c r="P21" s="215"/>
      <c r="Q21" s="99"/>
    </row>
    <row r="22" spans="1:17" ht="15.75" customHeight="1" x14ac:dyDescent="0.25">
      <c r="A22" s="9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7"/>
      <c r="N22" s="98"/>
      <c r="O22" s="214"/>
      <c r="P22" s="215"/>
      <c r="Q22" s="99"/>
    </row>
    <row r="23" spans="1:17" ht="15.75" customHeight="1" x14ac:dyDescent="0.25">
      <c r="A23" s="95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7"/>
      <c r="N23" s="98"/>
      <c r="O23" s="214"/>
      <c r="P23" s="215"/>
      <c r="Q23" s="99"/>
    </row>
    <row r="24" spans="1:17" ht="15.75" customHeight="1" x14ac:dyDescent="0.25">
      <c r="A24" s="95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7"/>
      <c r="N24" s="98"/>
      <c r="O24" s="214"/>
      <c r="P24" s="215"/>
      <c r="Q24" s="99"/>
    </row>
    <row r="25" spans="1:17" ht="15.75" customHeight="1" x14ac:dyDescent="0.25">
      <c r="A25" s="95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7"/>
      <c r="N25" s="98"/>
      <c r="O25" s="214"/>
      <c r="P25" s="215"/>
      <c r="Q25" s="99"/>
    </row>
    <row r="26" spans="1:17" ht="15.75" customHeight="1" x14ac:dyDescent="0.25">
      <c r="A26" s="95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7"/>
      <c r="N26" s="98"/>
      <c r="O26" s="214"/>
      <c r="P26" s="215"/>
      <c r="Q26" s="99"/>
    </row>
    <row r="27" spans="1:17" ht="15.75" customHeight="1" x14ac:dyDescent="0.25">
      <c r="A27" s="95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7"/>
      <c r="N27" s="98"/>
      <c r="O27" s="214"/>
      <c r="P27" s="215"/>
      <c r="Q27" s="99"/>
    </row>
    <row r="28" spans="1:17" ht="15.75" customHeight="1" x14ac:dyDescent="0.25">
      <c r="A28" s="95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7"/>
      <c r="N28" s="98"/>
      <c r="O28" s="214"/>
      <c r="P28" s="215"/>
      <c r="Q28" s="99"/>
    </row>
    <row r="29" spans="1:17" ht="15.75" customHeight="1" x14ac:dyDescent="0.25">
      <c r="A29" s="95"/>
      <c r="B29" s="96"/>
      <c r="C29" s="96"/>
      <c r="D29" s="96"/>
      <c r="E29" s="96"/>
      <c r="F29" s="98"/>
      <c r="G29" s="96"/>
      <c r="H29" s="96"/>
      <c r="I29" s="96"/>
      <c r="J29" s="96"/>
      <c r="K29" s="96"/>
      <c r="L29" s="96"/>
      <c r="M29" s="97"/>
      <c r="N29" s="98"/>
      <c r="O29" s="216"/>
      <c r="P29" s="215"/>
      <c r="Q29" s="99"/>
    </row>
    <row r="30" spans="1:17" ht="15.75" customHeight="1" x14ac:dyDescent="0.25">
      <c r="A30" s="95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7"/>
      <c r="N30" s="98"/>
      <c r="O30" s="216"/>
      <c r="P30" s="215"/>
      <c r="Q30" s="99"/>
    </row>
    <row r="31" spans="1:17" ht="15.75" customHeight="1" x14ac:dyDescent="0.25">
      <c r="A31" s="95"/>
      <c r="B31" s="96"/>
      <c r="C31" s="96"/>
      <c r="D31" s="96"/>
      <c r="E31" s="96"/>
      <c r="F31" s="98"/>
      <c r="G31" s="96"/>
      <c r="H31" s="96"/>
      <c r="I31" s="96"/>
      <c r="J31" s="96"/>
      <c r="K31" s="96"/>
      <c r="L31" s="96"/>
      <c r="M31" s="97"/>
      <c r="N31" s="98"/>
      <c r="O31" s="216"/>
      <c r="P31" s="215"/>
      <c r="Q31" s="99"/>
    </row>
    <row r="32" spans="1:17" ht="15.75" customHeight="1" x14ac:dyDescent="0.25">
      <c r="A32" s="95"/>
      <c r="B32" s="96"/>
      <c r="C32" s="96"/>
      <c r="D32" s="96"/>
      <c r="E32" s="96"/>
      <c r="F32" s="98"/>
      <c r="G32" s="96"/>
      <c r="H32" s="96"/>
      <c r="I32" s="96"/>
      <c r="J32" s="96"/>
      <c r="K32" s="96"/>
      <c r="L32" s="96"/>
      <c r="M32" s="97"/>
      <c r="N32" s="98"/>
      <c r="O32" s="216"/>
      <c r="P32" s="215"/>
      <c r="Q32" s="99"/>
    </row>
    <row r="33" spans="1:17" ht="15.75" customHeight="1" x14ac:dyDescent="0.25">
      <c r="A33" s="100"/>
      <c r="B33" s="101"/>
      <c r="C33" s="101"/>
      <c r="D33" s="101"/>
      <c r="E33" s="101"/>
      <c r="F33" s="98"/>
      <c r="G33" s="101"/>
      <c r="H33" s="101"/>
      <c r="I33" s="101"/>
      <c r="J33" s="101"/>
      <c r="K33" s="101"/>
      <c r="L33" s="101"/>
      <c r="M33" s="102"/>
      <c r="N33" s="103"/>
      <c r="O33" s="216"/>
      <c r="P33" s="215"/>
      <c r="Q33" s="99"/>
    </row>
    <row r="34" spans="1:17" ht="15.75" customHeight="1" x14ac:dyDescent="0.25">
      <c r="A34" s="104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6"/>
      <c r="N34" s="105"/>
      <c r="O34" s="217"/>
      <c r="P34" s="218"/>
      <c r="Q34" s="107"/>
    </row>
    <row r="35" spans="1:17" ht="36" customHeight="1" x14ac:dyDescent="0.25">
      <c r="A35" s="219" t="s">
        <v>159</v>
      </c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1"/>
      <c r="Q35" s="108">
        <f>SUM(Q15:Q34)</f>
        <v>11254000</v>
      </c>
    </row>
    <row r="36" spans="1:17" ht="15.75" customHeight="1" x14ac:dyDescent="0.25">
      <c r="A36" s="22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23"/>
    </row>
    <row r="37" spans="1:17" ht="15.75" customHeight="1" x14ac:dyDescent="0.25">
      <c r="A37" s="224" t="s">
        <v>135</v>
      </c>
      <c r="B37" s="212"/>
      <c r="C37" s="212"/>
      <c r="D37" s="212"/>
      <c r="E37" s="212"/>
      <c r="F37" s="225"/>
      <c r="G37" s="226"/>
      <c r="H37" s="202"/>
      <c r="I37" s="202"/>
      <c r="J37" s="202"/>
      <c r="K37" s="202"/>
      <c r="L37" s="202"/>
      <c r="M37" s="202"/>
      <c r="N37" s="202"/>
      <c r="O37" s="202"/>
      <c r="P37" s="202"/>
      <c r="Q37" s="223"/>
    </row>
    <row r="38" spans="1:17" ht="15.75" customHeight="1" x14ac:dyDescent="0.25">
      <c r="A38" s="227" t="str">
        <f>NP!D8</f>
        <v>ADQUISICION DE DESIERTOS Y FRACASADOS DE EQUIPAMIENTO PARA HOSPITALES DE LA PROVINCIA (ART. DEL HOGAR Y MUEBLES)</v>
      </c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73"/>
    </row>
    <row r="39" spans="1:17" ht="15.75" customHeight="1" x14ac:dyDescent="0.25">
      <c r="A39" s="228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80"/>
    </row>
    <row r="40" spans="1:17" ht="15.75" customHeight="1" x14ac:dyDescent="0.25">
      <c r="Q40" s="82"/>
    </row>
    <row r="41" spans="1:17" ht="15.75" customHeight="1" x14ac:dyDescent="0.25">
      <c r="Q41" s="82"/>
    </row>
    <row r="42" spans="1:17" ht="15.75" customHeight="1" x14ac:dyDescent="0.25">
      <c r="Q42" s="82"/>
    </row>
    <row r="43" spans="1:17" ht="15.75" customHeight="1" x14ac:dyDescent="0.25">
      <c r="Q43" s="82"/>
    </row>
    <row r="44" spans="1:17" ht="15.75" customHeight="1" x14ac:dyDescent="0.25">
      <c r="Q44" s="82"/>
    </row>
    <row r="45" spans="1:17" ht="15.75" customHeight="1" x14ac:dyDescent="0.25">
      <c r="Q45" s="82"/>
    </row>
    <row r="46" spans="1:17" ht="15.75" customHeight="1" x14ac:dyDescent="0.25">
      <c r="Q46" s="82"/>
    </row>
    <row r="47" spans="1:17" ht="15.75" customHeight="1" x14ac:dyDescent="0.25">
      <c r="Q47" s="82"/>
    </row>
    <row r="48" spans="1:17" ht="15.75" customHeight="1" x14ac:dyDescent="0.25">
      <c r="Q48" s="82"/>
    </row>
    <row r="49" spans="17:17" ht="15.75" customHeight="1" x14ac:dyDescent="0.25">
      <c r="Q49" s="82"/>
    </row>
    <row r="50" spans="17:17" ht="15.75" customHeight="1" x14ac:dyDescent="0.25">
      <c r="Q50" s="82"/>
    </row>
    <row r="51" spans="17:17" ht="15.75" customHeight="1" x14ac:dyDescent="0.25">
      <c r="Q51" s="82"/>
    </row>
    <row r="52" spans="17:17" ht="15.75" customHeight="1" x14ac:dyDescent="0.25">
      <c r="Q52" s="82"/>
    </row>
    <row r="53" spans="17:17" ht="15.75" customHeight="1" x14ac:dyDescent="0.25">
      <c r="Q53" s="82"/>
    </row>
    <row r="54" spans="17:17" ht="15.75" customHeight="1" x14ac:dyDescent="0.25">
      <c r="Q54" s="82"/>
    </row>
    <row r="55" spans="17:17" ht="15.75" customHeight="1" x14ac:dyDescent="0.25">
      <c r="Q55" s="82"/>
    </row>
    <row r="56" spans="17:17" ht="15.75" customHeight="1" x14ac:dyDescent="0.25">
      <c r="Q56" s="82"/>
    </row>
    <row r="57" spans="17:17" ht="15.75" customHeight="1" x14ac:dyDescent="0.25">
      <c r="Q57" s="82"/>
    </row>
    <row r="58" spans="17:17" ht="15.75" customHeight="1" x14ac:dyDescent="0.25">
      <c r="Q58" s="82"/>
    </row>
    <row r="59" spans="17:17" ht="15.75" customHeight="1" x14ac:dyDescent="0.25">
      <c r="Q59" s="82"/>
    </row>
    <row r="60" spans="17:17" ht="15.75" customHeight="1" x14ac:dyDescent="0.25">
      <c r="Q60" s="82"/>
    </row>
    <row r="61" spans="17:17" ht="15.75" customHeight="1" x14ac:dyDescent="0.25">
      <c r="Q61" s="82"/>
    </row>
    <row r="62" spans="17:17" ht="15.75" customHeight="1" x14ac:dyDescent="0.25">
      <c r="Q62" s="82"/>
    </row>
    <row r="63" spans="17:17" ht="15.75" customHeight="1" x14ac:dyDescent="0.25">
      <c r="Q63" s="82"/>
    </row>
    <row r="64" spans="17:17" ht="15.75" customHeight="1" x14ac:dyDescent="0.25">
      <c r="Q64" s="82"/>
    </row>
    <row r="65" spans="17:17" ht="15.75" customHeight="1" x14ac:dyDescent="0.25">
      <c r="Q65" s="82"/>
    </row>
    <row r="66" spans="17:17" ht="15.75" customHeight="1" x14ac:dyDescent="0.25">
      <c r="Q66" s="82"/>
    </row>
    <row r="67" spans="17:17" ht="15.75" customHeight="1" x14ac:dyDescent="0.25">
      <c r="Q67" s="82"/>
    </row>
    <row r="68" spans="17:17" ht="15.75" customHeight="1" x14ac:dyDescent="0.25">
      <c r="Q68" s="82"/>
    </row>
    <row r="69" spans="17:17" ht="15.75" customHeight="1" x14ac:dyDescent="0.25">
      <c r="Q69" s="82"/>
    </row>
    <row r="70" spans="17:17" ht="15.75" customHeight="1" x14ac:dyDescent="0.25">
      <c r="Q70" s="82"/>
    </row>
    <row r="71" spans="17:17" ht="15.75" customHeight="1" x14ac:dyDescent="0.25">
      <c r="Q71" s="82"/>
    </row>
    <row r="72" spans="17:17" ht="15.75" customHeight="1" x14ac:dyDescent="0.25">
      <c r="Q72" s="82"/>
    </row>
    <row r="73" spans="17:17" ht="15.75" customHeight="1" x14ac:dyDescent="0.25">
      <c r="Q73" s="82"/>
    </row>
    <row r="74" spans="17:17" ht="15.75" customHeight="1" x14ac:dyDescent="0.25">
      <c r="Q74" s="82"/>
    </row>
    <row r="75" spans="17:17" ht="15.75" customHeight="1" x14ac:dyDescent="0.25">
      <c r="Q75" s="82"/>
    </row>
    <row r="76" spans="17:17" ht="15.75" customHeight="1" x14ac:dyDescent="0.25">
      <c r="Q76" s="82"/>
    </row>
    <row r="77" spans="17:17" ht="15.75" customHeight="1" x14ac:dyDescent="0.25">
      <c r="Q77" s="82"/>
    </row>
    <row r="78" spans="17:17" ht="15.75" customHeight="1" x14ac:dyDescent="0.25">
      <c r="Q78" s="82"/>
    </row>
    <row r="79" spans="17:17" ht="15.75" customHeight="1" x14ac:dyDescent="0.25">
      <c r="Q79" s="82"/>
    </row>
    <row r="80" spans="17:17" ht="15.75" customHeight="1" x14ac:dyDescent="0.25">
      <c r="Q80" s="82"/>
    </row>
    <row r="81" spans="17:17" ht="15.75" customHeight="1" x14ac:dyDescent="0.25">
      <c r="Q81" s="82"/>
    </row>
    <row r="82" spans="17:17" ht="15.75" customHeight="1" x14ac:dyDescent="0.25">
      <c r="Q82" s="82"/>
    </row>
    <row r="83" spans="17:17" ht="15.75" customHeight="1" x14ac:dyDescent="0.25">
      <c r="Q83" s="82"/>
    </row>
    <row r="84" spans="17:17" ht="15.75" customHeight="1" x14ac:dyDescent="0.25">
      <c r="Q84" s="82"/>
    </row>
    <row r="85" spans="17:17" ht="15.75" customHeight="1" x14ac:dyDescent="0.25">
      <c r="Q85" s="82"/>
    </row>
    <row r="86" spans="17:17" ht="15.75" customHeight="1" x14ac:dyDescent="0.25">
      <c r="Q86" s="82"/>
    </row>
    <row r="87" spans="17:17" ht="15.75" customHeight="1" x14ac:dyDescent="0.25">
      <c r="Q87" s="82"/>
    </row>
    <row r="88" spans="17:17" ht="15.75" customHeight="1" x14ac:dyDescent="0.25">
      <c r="Q88" s="82"/>
    </row>
    <row r="89" spans="17:17" ht="15.75" customHeight="1" x14ac:dyDescent="0.25">
      <c r="Q89" s="82"/>
    </row>
    <row r="90" spans="17:17" ht="15.75" customHeight="1" x14ac:dyDescent="0.25">
      <c r="Q90" s="82"/>
    </row>
    <row r="91" spans="17:17" ht="15.75" customHeight="1" x14ac:dyDescent="0.25">
      <c r="Q91" s="82"/>
    </row>
    <row r="92" spans="17:17" ht="15.75" customHeight="1" x14ac:dyDescent="0.25">
      <c r="Q92" s="82"/>
    </row>
    <row r="93" spans="17:17" ht="15.75" customHeight="1" x14ac:dyDescent="0.25">
      <c r="Q93" s="82"/>
    </row>
    <row r="94" spans="17:17" ht="15.75" customHeight="1" x14ac:dyDescent="0.25">
      <c r="Q94" s="82"/>
    </row>
    <row r="95" spans="17:17" ht="15.75" customHeight="1" x14ac:dyDescent="0.25">
      <c r="Q95" s="82"/>
    </row>
    <row r="96" spans="17:17" ht="15.75" customHeight="1" x14ac:dyDescent="0.25">
      <c r="Q96" s="82"/>
    </row>
    <row r="97" spans="17:17" ht="15.75" customHeight="1" x14ac:dyDescent="0.25">
      <c r="Q97" s="82"/>
    </row>
  </sheetData>
  <mergeCells count="43">
    <mergeCell ref="O16:P16"/>
    <mergeCell ref="O17:P17"/>
    <mergeCell ref="O19:P19"/>
    <mergeCell ref="O18:P18"/>
    <mergeCell ref="A10:Q10"/>
    <mergeCell ref="A12:Q12"/>
    <mergeCell ref="A13:N13"/>
    <mergeCell ref="O13:P14"/>
    <mergeCell ref="Q13:Q14"/>
    <mergeCell ref="O15:P15"/>
    <mergeCell ref="A6:F6"/>
    <mergeCell ref="A4:F4"/>
    <mergeCell ref="A7:F7"/>
    <mergeCell ref="A9:Q9"/>
    <mergeCell ref="A8:Q8"/>
    <mergeCell ref="G6:Q6"/>
    <mergeCell ref="G7:Q7"/>
    <mergeCell ref="A1:C1"/>
    <mergeCell ref="D1:E1"/>
    <mergeCell ref="P1:Q2"/>
    <mergeCell ref="G4:Q4"/>
    <mergeCell ref="G5:Q5"/>
    <mergeCell ref="A5:F5"/>
    <mergeCell ref="A35:P35"/>
    <mergeCell ref="A36:Q36"/>
    <mergeCell ref="A37:F37"/>
    <mergeCell ref="G37:Q37"/>
    <mergeCell ref="A38:Q39"/>
    <mergeCell ref="O31:P31"/>
    <mergeCell ref="O32:P32"/>
    <mergeCell ref="O33:P33"/>
    <mergeCell ref="O34:P34"/>
    <mergeCell ref="O25:P25"/>
    <mergeCell ref="O26:P26"/>
    <mergeCell ref="O27:P27"/>
    <mergeCell ref="O28:P28"/>
    <mergeCell ref="O30:P30"/>
    <mergeCell ref="O29:P29"/>
    <mergeCell ref="O20:P20"/>
    <mergeCell ref="O21:P21"/>
    <mergeCell ref="O22:P22"/>
    <mergeCell ref="O23:P23"/>
    <mergeCell ref="O24:P2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2022-08-17T14:11:21Z</dcterms:modified>
</cp:coreProperties>
</file>