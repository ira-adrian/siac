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45" windowWidth="20640" windowHeight="1170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Trimestrales'!$A$9:$I$20</definedName>
    <definedName name="_xlnm.Print_Area" localSheetId="1">' NotaPedido'!$A$1:$K$23</definedName>
    <definedName name="_xlnm.Print_Area" localSheetId="2">'Autor Gastar'!$A$1:$Q$24</definedName>
    <definedName name="_xlnm.Print_Area" localSheetId="0">'Necesidades Trimestrales'!$E$9:$E$20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D7" i="2"/>
  <c r="K13" i="2" l="1"/>
  <c r="K14" i="2"/>
  <c r="K15" i="2"/>
  <c r="K16" i="2"/>
  <c r="K17" i="2"/>
  <c r="K18" i="2"/>
  <c r="K19" i="2"/>
  <c r="K20" i="2"/>
  <c r="K21" i="2"/>
  <c r="K22" i="2"/>
  <c r="J13" i="2"/>
  <c r="J14" i="2"/>
  <c r="J15" i="2"/>
  <c r="J16" i="2"/>
  <c r="J17" i="2"/>
  <c r="J18" i="2"/>
  <c r="J19" i="2"/>
  <c r="J20" i="2"/>
  <c r="J21" i="2"/>
  <c r="J22" i="2"/>
  <c r="I13" i="2"/>
  <c r="I14" i="2"/>
  <c r="I15" i="2"/>
  <c r="I16" i="2"/>
  <c r="I17" i="2"/>
  <c r="I18" i="2"/>
  <c r="I19" i="2"/>
  <c r="I20" i="2"/>
  <c r="I21" i="2"/>
  <c r="I22" i="2"/>
  <c r="C13" i="2"/>
  <c r="C14" i="2"/>
  <c r="C15" i="2"/>
  <c r="C16" i="2"/>
  <c r="C17" i="2"/>
  <c r="C18" i="2"/>
  <c r="C19" i="2"/>
  <c r="C20" i="2"/>
  <c r="C21" i="2"/>
  <c r="C22" i="2"/>
  <c r="K12" i="2"/>
  <c r="J12" i="2"/>
  <c r="I12" i="2"/>
  <c r="C12" i="2"/>
  <c r="J23" i="2" l="1"/>
  <c r="A10" i="3"/>
  <c r="G6" i="3" l="1"/>
  <c r="D3" i="2"/>
  <c r="G4" i="3" s="1"/>
  <c r="D4" i="2"/>
  <c r="G5" i="3" s="1"/>
  <c r="D1" i="3" l="1"/>
  <c r="Q20" i="3" l="1"/>
</calcChain>
</file>

<file path=xl/sharedStrings.xml><?xml version="1.0" encoding="utf-8"?>
<sst xmlns="http://schemas.openxmlformats.org/spreadsheetml/2006/main" count="122" uniqueCount="85">
  <si>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</si>
  <si>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</si>
  <si>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</si>
  <si>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</si>
  <si>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</si>
  <si>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</si>
  <si>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</si>
  <si>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</si>
  <si>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</si>
  <si>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</si>
  <si>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</si>
  <si>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</si>
  <si>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</si>
  <si>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</si>
  <si>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</si>
  <si>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</si>
  <si>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</si>
  <si>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</si>
  <si>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</si>
  <si>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</si>
  <si>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</si>
  <si>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</si>
  <si>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</si>
  <si>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</si>
  <si>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</si>
  <si>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</si>
  <si>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</si>
  <si>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</si>
  <si>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</si>
  <si>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</si>
  <si>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</si>
  <si>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</si>
  <si>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</si>
  <si>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</si>
  <si>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</si>
  <si>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</si>
  <si>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</si>
  <si>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</si>
  <si>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</si>
  <si>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</si>
  <si>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</si>
  <si>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</si>
  <si>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</si>
  <si>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</si>
  <si>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</si>
  <si>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</si>
  <si>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</si>
  <si>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</si>
  <si>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</si>
  <si>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</si>
  <si>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</si>
  <si>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</si>
  <si>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</si>
  <si>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</si>
  <si>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</si>
  <si>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</si>
  <si>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</si>
  <si>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</si>
  <si>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</si>
  <si>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</si>
  <si>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Servicio de Laboratorio</t>
  </si>
  <si>
    <t>024 - Hospital Interzonal de Niños Eva Perón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</si>
  <si>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</si>
  <si>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UTILES MENORES MEDICO, QUIRURGICO Y DE LABORATORIO</t>
  </si>
  <si>
    <t>DESCARTABLE</t>
  </si>
  <si>
    <t>AMPOULE ADAPTER X 150 U</t>
  </si>
  <si>
    <t>LAMPARA HALOGENA P/ROCHE C311</t>
  </si>
  <si>
    <t>TOMADOR DE LISANTE P/MINDRAY BC 3000 PLUS REF801-1805-0002800</t>
  </si>
  <si>
    <t>PAPEL P/CONTADOR HEMATOLOGICO MINDRAY BC 3000 PLUS 49mmx 21m x 6</t>
  </si>
  <si>
    <t>BOLSA</t>
  </si>
  <si>
    <t>CEPILLOS PARA TUBOS DE 1,5 X 25 CM</t>
  </si>
  <si>
    <t>CUBETAS DE REACCION P/COBAS C311</t>
  </si>
  <si>
    <t>CUBETAS PARA COATRON M2 X 500U</t>
  </si>
  <si>
    <t>CUBRE OBJETOS 18 X 18 X 100 UNID.</t>
  </si>
  <si>
    <t>COPAS DE MUESTRAS ROCHE C311 X1000U</t>
  </si>
  <si>
    <t>TIPS CON CORONA 5-200 ul x 1000 U</t>
  </si>
  <si>
    <t>EPENDORF 0,5-1,5 ML X 1000U</t>
  </si>
  <si>
    <t>118/21</t>
  </si>
  <si>
    <t xml:space="preserve">Adquisición de Descartables de Laboratorio </t>
  </si>
  <si>
    <t>Para la adquisición de Descartables destinados al Servicio de Laboratorio del Hospital Interzonal de Niños Eva Perón, para el normal funcionamiento del organismo.</t>
  </si>
  <si>
    <t>Productos de Papel y Carton</t>
  </si>
  <si>
    <t>3° TRIMESTRE</t>
  </si>
  <si>
    <r>
      <rPr>
        <b/>
        <u/>
        <sz val="12"/>
        <rFont val="Times New Roman"/>
        <family val="1"/>
      </rPr>
      <t>Costo total estimado:</t>
    </r>
    <r>
      <rPr>
        <b/>
        <sz val="12"/>
        <rFont val="Times New Roman"/>
        <family val="1"/>
        <charset val="1"/>
      </rPr>
      <t xml:space="preserve"> Cuatrocientos veintinueve Mil trescientos treinta y cuatro CON 63/100.</t>
    </r>
  </si>
  <si>
    <r>
      <rPr>
        <b/>
        <u/>
        <sz val="11"/>
        <rFont val="Arial"/>
        <family val="2"/>
      </rPr>
      <t>TOTAL DE PESOS:</t>
    </r>
    <r>
      <rPr>
        <b/>
        <sz val="11"/>
        <rFont val="Arial"/>
        <family val="2"/>
      </rPr>
      <t xml:space="preserve"> Cuatrocientos veintinueve Mil trescientos treinta y cuatro CON 63/100.-</t>
    </r>
  </si>
  <si>
    <t>Utiles y Materiales electricos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</si>
</sst>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37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  <charset val="1"/>
    </font>
    <font>
      <b/>
      <u/>
      <sz val="10"/>
      <name val="Times New Roman"/>
      <family val="1"/>
    </font>
    <font>
      <sz val="9"/>
      <name val="Imago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7" fontId="16" fillId="0" borderId="0" applyBorder="0" applyProtection="0"/>
    <xf numFmtId="0" fontId="3" fillId="0" borderId="1" applyProtection="0"/>
    <xf numFmtId="166" fontId="4" fillId="0" borderId="0" applyBorder="0" applyProtection="0"/>
    <xf numFmtId="0" fontId="5" fillId="2" borderId="0" applyBorder="0" applyProtection="0"/>
    <xf numFmtId="0" fontId="16" fillId="0" borderId="0"/>
    <xf numFmtId="164" fontId="2" fillId="0" borderId="0" applyFont="0" applyFill="0" applyBorder="0" applyAlignment="0" applyProtection="0"/>
    <xf numFmtId="0" fontId="1" fillId="0" borderId="0"/>
    <xf numFmtId="0" fontId="16" fillId="0" borderId="0"/>
  </cellStyleXfs>
  <cellXfs count="16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4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8" fontId="15" fillId="0" borderId="29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7" fillId="3" borderId="1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2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169" fontId="17" fillId="0" borderId="0" xfId="0" applyNumberFormat="1" applyFont="1"/>
    <xf numFmtId="171" fontId="22" fillId="0" borderId="0" xfId="0" applyNumberFormat="1" applyFont="1"/>
    <xf numFmtId="171" fontId="23" fillId="0" borderId="0" xfId="0" applyNumberFormat="1" applyFont="1" applyAlignment="1">
      <alignment horizontal="left" wrapText="1"/>
    </xf>
    <xf numFmtId="169" fontId="4" fillId="3" borderId="0" xfId="0" applyNumberFormat="1" applyFont="1" applyFill="1" applyBorder="1" applyAlignment="1">
      <alignment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71" fontId="26" fillId="0" borderId="14" xfId="0" applyNumberFormat="1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wrapText="1"/>
    </xf>
    <xf numFmtId="0" fontId="27" fillId="3" borderId="14" xfId="0" applyFont="1" applyFill="1" applyBorder="1" applyAlignment="1">
      <alignment horizontal="center" vertical="center"/>
    </xf>
    <xf numFmtId="3" fontId="27" fillId="0" borderId="14" xfId="0" applyNumberFormat="1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wrapText="1"/>
    </xf>
    <xf numFmtId="0" fontId="25" fillId="4" borderId="0" xfId="0" applyFont="1" applyFill="1" applyAlignment="1">
      <alignment horizontal="left" indent="1"/>
    </xf>
    <xf numFmtId="168" fontId="0" fillId="0" borderId="45" xfId="3" applyNumberFormat="1" applyFont="1" applyBorder="1" applyAlignment="1" applyProtection="1">
      <alignment horizontal="center" vertical="center"/>
    </xf>
    <xf numFmtId="168" fontId="0" fillId="0" borderId="46" xfId="3" applyNumberFormat="1" applyFont="1" applyBorder="1" applyAlignment="1" applyProtection="1">
      <alignment horizontal="center" vertical="center"/>
    </xf>
    <xf numFmtId="168" fontId="0" fillId="0" borderId="47" xfId="3" applyNumberFormat="1" applyFont="1" applyBorder="1" applyAlignment="1" applyProtection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3" fontId="6" fillId="3" borderId="14" xfId="0" applyNumberFormat="1" applyFont="1" applyFill="1" applyBorder="1" applyAlignment="1">
      <alignment horizontal="center" vertical="center"/>
    </xf>
    <xf numFmtId="165" fontId="6" fillId="3" borderId="14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165" fontId="27" fillId="0" borderId="14" xfId="1" applyNumberFormat="1" applyFont="1" applyFill="1" applyBorder="1" applyAlignment="1" applyProtection="1">
      <alignment horizontal="right" vertical="center" wrapText="1"/>
    </xf>
    <xf numFmtId="0" fontId="34" fillId="0" borderId="0" xfId="0" applyFont="1" applyFill="1" applyAlignment="1">
      <alignment vertical="center"/>
    </xf>
    <xf numFmtId="0" fontId="17" fillId="0" borderId="0" xfId="0" applyFont="1" applyFill="1"/>
    <xf numFmtId="0" fontId="17" fillId="0" borderId="0" xfId="0" applyFont="1" applyFill="1" applyAlignment="1">
      <alignment horizontal="center" vertical="center"/>
    </xf>
    <xf numFmtId="171" fontId="22" fillId="0" borderId="0" xfId="0" applyNumberFormat="1" applyFont="1" applyFill="1"/>
    <xf numFmtId="168" fontId="17" fillId="0" borderId="0" xfId="0" applyNumberFormat="1" applyFont="1" applyFill="1"/>
    <xf numFmtId="0" fontId="24" fillId="0" borderId="2" xfId="0" applyFont="1" applyFill="1" applyBorder="1" applyAlignment="1">
      <alignment horizontal="left" indent="3"/>
    </xf>
    <xf numFmtId="0" fontId="17" fillId="0" borderId="3" xfId="0" applyFont="1" applyFill="1" applyBorder="1"/>
    <xf numFmtId="0" fontId="17" fillId="0" borderId="4" xfId="0" applyFont="1" applyFill="1" applyBorder="1"/>
    <xf numFmtId="171" fontId="22" fillId="0" borderId="0" xfId="0" applyNumberFormat="1" applyFont="1" applyFill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4" fillId="0" borderId="7" xfId="0" applyFont="1" applyFill="1" applyBorder="1" applyAlignment="1"/>
    <xf numFmtId="0" fontId="17" fillId="0" borderId="9" xfId="0" applyFont="1" applyFill="1" applyBorder="1" applyAlignment="1">
      <alignment horizontal="center" wrapText="1"/>
    </xf>
    <xf numFmtId="0" fontId="27" fillId="3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wrapText="1"/>
    </xf>
    <xf numFmtId="3" fontId="27" fillId="0" borderId="0" xfId="0" applyNumberFormat="1" applyFont="1" applyFill="1" applyBorder="1" applyAlignment="1">
      <alignment horizontal="center" vertical="center"/>
    </xf>
    <xf numFmtId="165" fontId="27" fillId="0" borderId="0" xfId="0" applyNumberFormat="1" applyFont="1" applyFill="1" applyBorder="1" applyAlignment="1">
      <alignment horizontal="center" vertical="center"/>
    </xf>
    <xf numFmtId="165" fontId="27" fillId="0" borderId="0" xfId="1" applyNumberFormat="1" applyFont="1" applyFill="1" applyBorder="1" applyAlignment="1" applyProtection="1">
      <alignment horizontal="right" vertical="center" wrapText="1"/>
    </xf>
    <xf numFmtId="165" fontId="27" fillId="3" borderId="14" xfId="0" applyNumberFormat="1" applyFont="1" applyFill="1" applyBorder="1" applyAlignment="1">
      <alignment horizontal="center" vertical="center"/>
    </xf>
    <xf numFmtId="0" fontId="35" fillId="0" borderId="63" xfId="5" applyFont="1" applyFill="1" applyBorder="1"/>
    <xf numFmtId="0" fontId="27" fillId="0" borderId="20" xfId="0" applyFont="1" applyFill="1" applyBorder="1" applyAlignment="1">
      <alignment horizontal="center" vertical="center" wrapText="1"/>
    </xf>
    <xf numFmtId="0" fontId="27" fillId="0" borderId="63" xfId="0" applyFont="1" applyFill="1" applyBorder="1"/>
    <xf numFmtId="0" fontId="27" fillId="0" borderId="64" xfId="0" applyFont="1" applyFill="1" applyBorder="1" applyAlignment="1">
      <alignment horizontal="left" wrapText="1"/>
    </xf>
    <xf numFmtId="0" fontId="27" fillId="0" borderId="42" xfId="0" applyFont="1" applyFill="1" applyBorder="1" applyAlignment="1">
      <alignment horizontal="left" wrapText="1"/>
    </xf>
    <xf numFmtId="0" fontId="27" fillId="0" borderId="65" xfId="0" applyFont="1" applyFill="1" applyBorder="1" applyAlignment="1">
      <alignment horizontal="left" vertical="center" wrapText="1"/>
    </xf>
    <xf numFmtId="0" fontId="36" fillId="0" borderId="65" xfId="0" applyFont="1" applyFill="1" applyBorder="1"/>
    <xf numFmtId="0" fontId="8" fillId="0" borderId="11" xfId="0" applyFont="1" applyFill="1" applyBorder="1" applyAlignment="1">
      <alignment horizontal="center" vertical="center"/>
    </xf>
    <xf numFmtId="0" fontId="17" fillId="0" borderId="5" xfId="5" applyFont="1" applyFill="1" applyBorder="1" applyAlignment="1">
      <alignment horizontal="left" wrapText="1"/>
    </xf>
    <xf numFmtId="0" fontId="17" fillId="0" borderId="0" xfId="5" applyFont="1" applyFill="1" applyBorder="1" applyAlignment="1">
      <alignment horizontal="left" wrapText="1"/>
    </xf>
    <xf numFmtId="0" fontId="17" fillId="0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14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 indent="1"/>
    </xf>
    <xf numFmtId="0" fontId="9" fillId="3" borderId="15" xfId="0" applyFont="1" applyFill="1" applyBorder="1" applyAlignment="1">
      <alignment horizontal="left" vertical="center" wrapText="1"/>
    </xf>
    <xf numFmtId="0" fontId="30" fillId="3" borderId="14" xfId="0" applyFont="1" applyFill="1" applyBorder="1" applyAlignment="1">
      <alignment horizontal="left" vertical="center" wrapText="1" indent="1"/>
    </xf>
    <xf numFmtId="169" fontId="30" fillId="3" borderId="14" xfId="0" applyNumberFormat="1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/>
    </xf>
    <xf numFmtId="0" fontId="0" fillId="0" borderId="19" xfId="0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/>
    <xf numFmtId="0" fontId="13" fillId="0" borderId="11" xfId="0" applyFont="1" applyBorder="1" applyAlignment="1">
      <alignment horizontal="left" indent="1"/>
    </xf>
    <xf numFmtId="0" fontId="6" fillId="0" borderId="13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 vertical="center" indent="1"/>
    </xf>
    <xf numFmtId="0" fontId="27" fillId="0" borderId="48" xfId="0" applyFont="1" applyFill="1" applyBorder="1" applyAlignment="1">
      <alignment horizontal="left" vertical="center" wrapText="1"/>
    </xf>
    <xf numFmtId="0" fontId="27" fillId="0" borderId="49" xfId="0" applyFont="1" applyFill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33" fillId="0" borderId="2" xfId="0" applyFont="1" applyFill="1" applyBorder="1" applyAlignment="1">
      <alignment vertical="center" wrapText="1"/>
    </xf>
    <xf numFmtId="0" fontId="33" fillId="0" borderId="3" xfId="0" applyFont="1" applyFill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22" xfId="0" applyFont="1" applyBorder="1"/>
    <xf numFmtId="0" fontId="13" fillId="0" borderId="23" xfId="0" applyFont="1" applyBorder="1" applyAlignment="1">
      <alignment horizontal="left" vertical="center" wrapText="1" indent="1"/>
    </xf>
    <xf numFmtId="0" fontId="15" fillId="0" borderId="2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3" fillId="4" borderId="57" xfId="0" applyFont="1" applyFill="1" applyBorder="1" applyAlignment="1">
      <alignment horizontal="left" vertical="center" wrapText="1" indent="1"/>
    </xf>
    <xf numFmtId="0" fontId="13" fillId="4" borderId="29" xfId="0" applyFont="1" applyFill="1" applyBorder="1" applyAlignment="1">
      <alignment horizontal="left" vertical="center" wrapText="1" indent="1"/>
    </xf>
    <xf numFmtId="0" fontId="13" fillId="4" borderId="58" xfId="0" applyFont="1" applyFill="1" applyBorder="1" applyAlignment="1">
      <alignment horizontal="left" vertical="center" wrapText="1" indent="1"/>
    </xf>
    <xf numFmtId="0" fontId="13" fillId="4" borderId="59" xfId="0" applyFont="1" applyFill="1" applyBorder="1" applyAlignment="1">
      <alignment horizontal="left" vertical="center" wrapText="1" indent="1"/>
    </xf>
    <xf numFmtId="0" fontId="13" fillId="4" borderId="39" xfId="0" applyFont="1" applyFill="1" applyBorder="1" applyAlignment="1">
      <alignment horizontal="left" vertical="center" wrapText="1" indent="1"/>
    </xf>
    <xf numFmtId="0" fontId="13" fillId="4" borderId="60" xfId="0" applyFont="1" applyFill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32" fillId="0" borderId="29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2" xfId="8"/>
    <cellStyle name="Normal 2 3" xfId="5"/>
    <cellStyle name="Normal 3" xfId="7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6"/>
  <sheetViews>
    <sheetView tabSelected="1" zoomScale="93" zoomScaleNormal="93" workbookViewId="0">
      <selection activeCell="J8" sqref="J8"/>
    </sheetView>
  </sheetViews>
  <sheetFormatPr baseColWidth="10" defaultColWidth="11" defaultRowHeight="12.75"/>
  <cols>
    <col min="1" max="1" width="6.42578125" style="17" customWidth="1"/>
    <col min="2" max="2" width="11.5703125" style="17" customWidth="1"/>
    <col min="3" max="3" width="13.5703125" style="17" customWidth="1"/>
    <col min="4" max="4" width="8.42578125" style="17" customWidth="1"/>
    <col min="5" max="5" width="80.42578125" style="17" customWidth="1"/>
    <col min="6" max="6" width="12.5703125" style="64" customWidth="1"/>
    <col min="7" max="7" width="12.140625" style="64" customWidth="1"/>
    <col min="8" max="8" width="15.28515625" style="30" customWidth="1"/>
    <col min="9" max="9" width="18.5703125" style="17" customWidth="1"/>
    <col min="10" max="16384" width="11" style="17"/>
  </cols>
  <sheetData>
    <row r="2" spans="1:10" ht="27">
      <c r="B2" s="104" t="s">
        <v>0</v>
      </c>
      <c r="C2" s="104"/>
      <c r="D2" s="104"/>
      <c r="E2" s="104"/>
      <c r="F2" s="104"/>
      <c r="G2" s="104"/>
      <c r="H2" s="104"/>
    </row>
    <row r="3" spans="1:10" ht="12" customHeight="1"/>
    <row r="4" spans="1:10" ht="18" customHeight="1">
      <c r="A4" s="103" t="s">
        <v>1</v>
      </c>
      <c r="B4" s="103"/>
      <c r="C4" s="105" t="s">
        <v>51</v>
      </c>
      <c r="D4" s="105"/>
      <c r="E4" s="105"/>
      <c r="F4" s="65"/>
      <c r="G4" s="65"/>
      <c r="H4" s="31"/>
    </row>
    <row r="5" spans="1:10" ht="18" customHeight="1">
      <c r="A5" s="103" t="s">
        <v>2</v>
      </c>
      <c r="B5" s="103"/>
      <c r="C5" s="105" t="s">
        <v>61</v>
      </c>
      <c r="D5" s="105"/>
      <c r="E5" s="105"/>
      <c r="F5" s="65"/>
      <c r="G5" s="65" t="s">
        <v>54</v>
      </c>
      <c r="H5" s="31"/>
    </row>
    <row r="6" spans="1:10" ht="16.5" customHeight="1">
      <c r="A6" s="103" t="s">
        <v>3</v>
      </c>
      <c r="B6" s="103"/>
      <c r="C6" s="27">
        <v>2021</v>
      </c>
      <c r="D6" s="28"/>
      <c r="E6" s="28"/>
      <c r="F6" s="65"/>
      <c r="G6" s="65"/>
      <c r="H6" s="31"/>
    </row>
    <row r="7" spans="1:10" ht="16.5" customHeight="1">
      <c r="A7" s="103" t="s">
        <v>4</v>
      </c>
      <c r="B7" s="103"/>
      <c r="C7" s="44" t="s">
        <v>81</v>
      </c>
      <c r="D7" s="28"/>
      <c r="E7" s="28"/>
      <c r="F7" s="65"/>
      <c r="G7" s="65"/>
      <c r="H7" s="31"/>
    </row>
    <row r="8" spans="1:10" ht="13.5" thickBot="1">
      <c r="B8" s="18"/>
      <c r="C8" s="19"/>
      <c r="D8" s="18"/>
      <c r="E8" s="18"/>
      <c r="F8" s="65"/>
      <c r="G8" s="65"/>
      <c r="H8" s="31"/>
      <c r="J8" s="29"/>
    </row>
    <row r="9" spans="1:10" ht="38.1" customHeight="1" thickBot="1">
      <c r="A9" s="38" t="s">
        <v>5</v>
      </c>
      <c r="B9" s="38" t="s">
        <v>6</v>
      </c>
      <c r="C9" s="38" t="s">
        <v>7</v>
      </c>
      <c r="D9" s="38" t="s">
        <v>8</v>
      </c>
      <c r="E9" s="38" t="s">
        <v>9</v>
      </c>
      <c r="F9" s="38" t="s">
        <v>10</v>
      </c>
      <c r="G9" s="38" t="s">
        <v>11</v>
      </c>
      <c r="H9" s="39" t="s">
        <v>12</v>
      </c>
      <c r="I9" s="38" t="s">
        <v>13</v>
      </c>
    </row>
    <row r="10" spans="1:10" ht="13.5" thickBot="1">
      <c r="A10" s="41">
        <v>1</v>
      </c>
      <c r="B10" s="66"/>
      <c r="C10" s="67" t="s">
        <v>64</v>
      </c>
      <c r="D10" s="68">
        <v>295</v>
      </c>
      <c r="E10" s="92" t="s">
        <v>65</v>
      </c>
      <c r="F10" s="93" t="s">
        <v>58</v>
      </c>
      <c r="G10" s="42">
        <v>3</v>
      </c>
      <c r="H10" s="91">
        <v>4780</v>
      </c>
      <c r="I10" s="69">
        <f>G10*H10</f>
        <v>14340</v>
      </c>
    </row>
    <row r="11" spans="1:10" ht="13.5" thickBot="1">
      <c r="A11" s="41">
        <v>2</v>
      </c>
      <c r="B11" s="66"/>
      <c r="C11" s="67" t="s">
        <v>64</v>
      </c>
      <c r="D11" s="68">
        <v>293</v>
      </c>
      <c r="E11" s="94" t="s">
        <v>66</v>
      </c>
      <c r="F11" s="93" t="s">
        <v>58</v>
      </c>
      <c r="G11" s="42">
        <v>2</v>
      </c>
      <c r="H11" s="91">
        <v>64983</v>
      </c>
      <c r="I11" s="69">
        <f t="shared" ref="I11:I20" si="0">G11*H11</f>
        <v>129966</v>
      </c>
    </row>
    <row r="12" spans="1:10" ht="13.5" thickBot="1">
      <c r="A12" s="41">
        <v>3</v>
      </c>
      <c r="B12" s="66"/>
      <c r="C12" s="67" t="s">
        <v>64</v>
      </c>
      <c r="D12" s="68">
        <v>295</v>
      </c>
      <c r="E12" s="95" t="s">
        <v>67</v>
      </c>
      <c r="F12" s="67" t="s">
        <v>58</v>
      </c>
      <c r="G12" s="42">
        <v>1</v>
      </c>
      <c r="H12" s="91">
        <v>23130</v>
      </c>
      <c r="I12" s="69">
        <f t="shared" si="0"/>
        <v>23130</v>
      </c>
    </row>
    <row r="13" spans="1:10" ht="13.5" thickBot="1">
      <c r="A13" s="41">
        <v>4</v>
      </c>
      <c r="B13" s="66"/>
      <c r="C13" s="67" t="s">
        <v>64</v>
      </c>
      <c r="D13" s="68">
        <v>234</v>
      </c>
      <c r="E13" s="96" t="s">
        <v>68</v>
      </c>
      <c r="F13" s="67" t="s">
        <v>69</v>
      </c>
      <c r="G13" s="42">
        <v>12</v>
      </c>
      <c r="H13" s="91">
        <v>2870</v>
      </c>
      <c r="I13" s="69">
        <f t="shared" si="0"/>
        <v>34440</v>
      </c>
    </row>
    <row r="14" spans="1:10" ht="13.5" thickBot="1">
      <c r="A14" s="41">
        <v>5</v>
      </c>
      <c r="B14" s="66"/>
      <c r="C14" s="67" t="s">
        <v>64</v>
      </c>
      <c r="D14" s="68">
        <v>295</v>
      </c>
      <c r="E14" s="97" t="s">
        <v>70</v>
      </c>
      <c r="F14" s="67" t="s">
        <v>55</v>
      </c>
      <c r="G14" s="42">
        <v>25</v>
      </c>
      <c r="H14" s="91">
        <v>237.43</v>
      </c>
      <c r="I14" s="69">
        <f t="shared" si="0"/>
        <v>5935.75</v>
      </c>
    </row>
    <row r="15" spans="1:10" ht="13.5" thickBot="1">
      <c r="A15" s="41">
        <v>6</v>
      </c>
      <c r="B15" s="66"/>
      <c r="C15" s="67" t="s">
        <v>64</v>
      </c>
      <c r="D15" s="68">
        <v>295</v>
      </c>
      <c r="E15" s="97" t="s">
        <v>71</v>
      </c>
      <c r="F15" s="67" t="s">
        <v>58</v>
      </c>
      <c r="G15" s="42">
        <v>1</v>
      </c>
      <c r="H15" s="91">
        <v>148442</v>
      </c>
      <c r="I15" s="69">
        <f t="shared" si="0"/>
        <v>148442</v>
      </c>
    </row>
    <row r="16" spans="1:10" ht="13.5" thickBot="1">
      <c r="A16" s="41">
        <v>7</v>
      </c>
      <c r="B16" s="66"/>
      <c r="C16" s="67" t="s">
        <v>64</v>
      </c>
      <c r="D16" s="68">
        <v>295</v>
      </c>
      <c r="E16" s="98" t="s">
        <v>72</v>
      </c>
      <c r="F16" s="67" t="s">
        <v>58</v>
      </c>
      <c r="G16" s="42">
        <v>3</v>
      </c>
      <c r="H16" s="91">
        <v>8718.9599999999991</v>
      </c>
      <c r="I16" s="69">
        <f t="shared" si="0"/>
        <v>26156.879999999997</v>
      </c>
    </row>
    <row r="17" spans="1:9" ht="13.5" thickBot="1">
      <c r="A17" s="41">
        <v>8</v>
      </c>
      <c r="B17" s="66"/>
      <c r="C17" s="67" t="s">
        <v>64</v>
      </c>
      <c r="D17" s="68">
        <v>295</v>
      </c>
      <c r="E17" s="97" t="s">
        <v>73</v>
      </c>
      <c r="F17" s="67" t="s">
        <v>58</v>
      </c>
      <c r="G17" s="42">
        <v>100</v>
      </c>
      <c r="H17" s="91">
        <v>212.53</v>
      </c>
      <c r="I17" s="69">
        <f t="shared" si="0"/>
        <v>21253</v>
      </c>
    </row>
    <row r="18" spans="1:9" ht="13.5" thickBot="1">
      <c r="A18" s="41">
        <v>9</v>
      </c>
      <c r="B18" s="66"/>
      <c r="C18" s="67" t="s">
        <v>64</v>
      </c>
      <c r="D18" s="68">
        <v>295</v>
      </c>
      <c r="E18" s="43" t="s">
        <v>74</v>
      </c>
      <c r="F18" s="67" t="s">
        <v>69</v>
      </c>
      <c r="G18" s="42">
        <v>2</v>
      </c>
      <c r="H18" s="91">
        <v>3749</v>
      </c>
      <c r="I18" s="69">
        <f t="shared" si="0"/>
        <v>7498</v>
      </c>
    </row>
    <row r="19" spans="1:9" ht="13.5" thickBot="1">
      <c r="A19" s="41">
        <v>10</v>
      </c>
      <c r="B19" s="66"/>
      <c r="C19" s="67" t="s">
        <v>64</v>
      </c>
      <c r="D19" s="68">
        <v>295</v>
      </c>
      <c r="E19" s="98" t="s">
        <v>75</v>
      </c>
      <c r="F19" s="67" t="s">
        <v>69</v>
      </c>
      <c r="G19" s="42">
        <v>3</v>
      </c>
      <c r="H19" s="91">
        <v>1591</v>
      </c>
      <c r="I19" s="69">
        <f t="shared" si="0"/>
        <v>4773</v>
      </c>
    </row>
    <row r="20" spans="1:9" ht="13.5" thickBot="1">
      <c r="A20" s="41">
        <v>11</v>
      </c>
      <c r="B20" s="66"/>
      <c r="C20" s="67" t="s">
        <v>64</v>
      </c>
      <c r="D20" s="68">
        <v>295</v>
      </c>
      <c r="E20" s="97" t="s">
        <v>76</v>
      </c>
      <c r="F20" s="67" t="s">
        <v>69</v>
      </c>
      <c r="G20" s="42">
        <v>5</v>
      </c>
      <c r="H20" s="91">
        <v>2680</v>
      </c>
      <c r="I20" s="69">
        <f t="shared" si="0"/>
        <v>13400</v>
      </c>
    </row>
    <row r="21" spans="1:9">
      <c r="A21" s="83"/>
      <c r="B21" s="84"/>
      <c r="C21" s="85"/>
      <c r="D21" s="86"/>
      <c r="E21" s="87"/>
      <c r="F21" s="85"/>
      <c r="G21" s="88"/>
      <c r="H21" s="89"/>
      <c r="I21" s="90"/>
    </row>
    <row r="22" spans="1:9" ht="21" customHeight="1" thickBot="1">
      <c r="B22" s="70"/>
      <c r="C22" s="71"/>
      <c r="D22" s="71"/>
      <c r="E22" s="71"/>
      <c r="F22" s="72"/>
      <c r="G22" s="72"/>
      <c r="H22" s="73"/>
      <c r="I22" s="74"/>
    </row>
    <row r="23" spans="1:9">
      <c r="B23" s="75" t="s">
        <v>56</v>
      </c>
      <c r="C23" s="76"/>
      <c r="D23" s="76"/>
      <c r="E23" s="77"/>
      <c r="F23" s="72"/>
      <c r="G23" s="72"/>
      <c r="H23" s="73"/>
      <c r="I23" s="74"/>
    </row>
    <row r="24" spans="1:9">
      <c r="B24" s="100" t="s">
        <v>59</v>
      </c>
      <c r="C24" s="101"/>
      <c r="D24" s="101"/>
      <c r="E24" s="102"/>
      <c r="F24" s="72"/>
      <c r="G24" s="78"/>
      <c r="H24" s="73"/>
      <c r="I24" s="71"/>
    </row>
    <row r="25" spans="1:9">
      <c r="B25" s="100"/>
      <c r="C25" s="101"/>
      <c r="D25" s="101"/>
      <c r="E25" s="102"/>
      <c r="F25" s="79"/>
      <c r="G25" s="80"/>
      <c r="H25" s="73"/>
      <c r="I25" s="71"/>
    </row>
    <row r="26" spans="1:9" ht="39" customHeight="1">
      <c r="B26" s="100" t="s">
        <v>62</v>
      </c>
      <c r="C26" s="101"/>
      <c r="D26" s="101"/>
      <c r="E26" s="102"/>
      <c r="F26" s="79"/>
      <c r="G26" s="80"/>
      <c r="H26" s="73"/>
      <c r="I26" s="71"/>
    </row>
    <row r="27" spans="1:9" ht="27" customHeight="1" thickBot="1">
      <c r="B27" s="81" t="s">
        <v>57</v>
      </c>
      <c r="C27" s="40"/>
      <c r="D27" s="40"/>
      <c r="E27" s="82"/>
      <c r="F27" s="79"/>
      <c r="G27" s="80"/>
      <c r="H27" s="73"/>
      <c r="I27" s="71"/>
    </row>
    <row r="28" spans="1:9">
      <c r="B28" s="71"/>
      <c r="C28" s="71"/>
      <c r="D28" s="71"/>
      <c r="E28" s="71"/>
      <c r="F28" s="72"/>
      <c r="G28" s="72"/>
      <c r="H28" s="73"/>
      <c r="I28" s="71"/>
    </row>
    <row r="29" spans="1:9">
      <c r="B29" s="71"/>
      <c r="C29" s="71"/>
      <c r="D29" s="71"/>
      <c r="E29" s="71"/>
      <c r="F29" s="72"/>
      <c r="G29" s="72"/>
      <c r="H29" s="73"/>
      <c r="I29" s="71"/>
    </row>
    <row r="30" spans="1:9">
      <c r="B30" s="71"/>
      <c r="C30" s="71"/>
      <c r="D30" s="71"/>
      <c r="E30" s="71"/>
      <c r="F30" s="72"/>
      <c r="G30" s="72"/>
      <c r="H30" s="73"/>
      <c r="I30" s="71"/>
    </row>
    <row r="31" spans="1:9">
      <c r="B31" s="71"/>
      <c r="C31" s="71"/>
      <c r="D31" s="71"/>
      <c r="E31" s="71"/>
      <c r="F31" s="72"/>
      <c r="G31" s="72"/>
      <c r="H31" s="73"/>
      <c r="I31" s="71"/>
    </row>
    <row r="32" spans="1:9">
      <c r="B32" s="71"/>
      <c r="C32" s="71"/>
      <c r="D32" s="71"/>
      <c r="E32" s="71"/>
      <c r="F32" s="72"/>
      <c r="G32" s="72"/>
      <c r="H32" s="73"/>
      <c r="I32" s="71"/>
    </row>
    <row r="33" spans="2:9">
      <c r="B33" s="71"/>
      <c r="C33" s="71"/>
      <c r="D33" s="71"/>
      <c r="E33" s="71"/>
      <c r="F33" s="72"/>
      <c r="G33" s="72"/>
      <c r="H33" s="73"/>
      <c r="I33" s="71"/>
    </row>
    <row r="34" spans="2:9">
      <c r="B34" s="71"/>
      <c r="C34" s="71"/>
      <c r="D34" s="71"/>
      <c r="E34" s="71"/>
      <c r="F34" s="72"/>
      <c r="G34" s="72"/>
      <c r="H34" s="73"/>
      <c r="I34" s="71"/>
    </row>
    <row r="35" spans="2:9">
      <c r="B35" s="71"/>
      <c r="C35" s="71"/>
      <c r="D35" s="71"/>
      <c r="E35" s="71"/>
      <c r="F35" s="72"/>
      <c r="G35" s="72"/>
      <c r="H35" s="73"/>
      <c r="I35" s="71"/>
    </row>
    <row r="36" spans="2:9">
      <c r="B36" s="71"/>
      <c r="C36" s="71"/>
      <c r="D36" s="71"/>
      <c r="E36" s="71"/>
      <c r="F36" s="72"/>
      <c r="G36" s="72"/>
      <c r="H36" s="73"/>
      <c r="I36" s="71"/>
    </row>
    <row r="37" spans="2:9">
      <c r="B37" s="71"/>
      <c r="C37" s="71"/>
      <c r="D37" s="71"/>
      <c r="E37" s="71"/>
      <c r="F37" s="72"/>
      <c r="G37" s="72"/>
      <c r="H37" s="73"/>
      <c r="I37" s="71"/>
    </row>
    <row r="38" spans="2:9">
      <c r="B38" s="71"/>
      <c r="C38" s="71"/>
      <c r="D38" s="71"/>
      <c r="E38" s="71"/>
      <c r="F38" s="72"/>
      <c r="G38" s="72"/>
      <c r="H38" s="73"/>
      <c r="I38" s="71"/>
    </row>
    <row r="39" spans="2:9">
      <c r="B39" s="71"/>
      <c r="C39" s="71"/>
      <c r="D39" s="71"/>
      <c r="E39" s="71"/>
      <c r="F39" s="72"/>
      <c r="G39" s="72"/>
      <c r="H39" s="73"/>
      <c r="I39" s="71"/>
    </row>
    <row r="40" spans="2:9">
      <c r="B40" s="71"/>
      <c r="C40" s="71"/>
      <c r="D40" s="71"/>
      <c r="E40" s="71"/>
      <c r="F40" s="72"/>
      <c r="G40" s="72"/>
      <c r="H40" s="73"/>
      <c r="I40" s="71"/>
    </row>
    <row r="41" spans="2:9">
      <c r="B41" s="71"/>
      <c r="C41" s="71"/>
      <c r="D41" s="71"/>
      <c r="E41" s="71"/>
      <c r="F41" s="72"/>
      <c r="G41" s="72"/>
      <c r="H41" s="73"/>
      <c r="I41" s="71"/>
    </row>
    <row r="42" spans="2:9">
      <c r="B42" s="71"/>
      <c r="C42" s="71"/>
      <c r="D42" s="71"/>
      <c r="E42" s="71"/>
      <c r="F42" s="72"/>
      <c r="G42" s="72"/>
      <c r="H42" s="73"/>
      <c r="I42" s="71"/>
    </row>
    <row r="43" spans="2:9">
      <c r="B43" s="71"/>
      <c r="C43" s="71"/>
      <c r="D43" s="71"/>
      <c r="E43" s="71"/>
      <c r="F43" s="72"/>
      <c r="G43" s="72"/>
      <c r="H43" s="73"/>
      <c r="I43" s="71"/>
    </row>
    <row r="44" spans="2:9">
      <c r="B44" s="71"/>
      <c r="C44" s="71"/>
      <c r="D44" s="71"/>
      <c r="E44" s="71"/>
      <c r="F44" s="72"/>
      <c r="G44" s="72"/>
      <c r="H44" s="73"/>
      <c r="I44" s="71"/>
    </row>
    <row r="45" spans="2:9">
      <c r="B45" s="71"/>
      <c r="C45" s="71"/>
      <c r="D45" s="71"/>
      <c r="E45" s="71"/>
      <c r="F45" s="72"/>
      <c r="G45" s="72"/>
      <c r="H45" s="73"/>
      <c r="I45" s="71"/>
    </row>
    <row r="46" spans="2:9">
      <c r="B46" s="71"/>
      <c r="C46" s="71"/>
      <c r="D46" s="71"/>
      <c r="E46" s="71"/>
      <c r="F46" s="72"/>
      <c r="G46" s="72"/>
      <c r="H46" s="73"/>
      <c r="I46" s="71"/>
    </row>
    <row r="47" spans="2:9">
      <c r="B47" s="71"/>
      <c r="C47" s="71"/>
      <c r="D47" s="71"/>
      <c r="E47" s="71"/>
      <c r="F47" s="72"/>
      <c r="G47" s="72"/>
      <c r="H47" s="73"/>
      <c r="I47" s="71"/>
    </row>
    <row r="48" spans="2:9">
      <c r="B48" s="71"/>
      <c r="C48" s="71"/>
      <c r="D48" s="71"/>
      <c r="E48" s="71"/>
      <c r="F48" s="72"/>
      <c r="G48" s="72"/>
      <c r="H48" s="73"/>
      <c r="I48" s="71"/>
    </row>
    <row r="49" spans="2:9">
      <c r="B49" s="71"/>
      <c r="C49" s="71"/>
      <c r="D49" s="71"/>
      <c r="E49" s="71"/>
      <c r="F49" s="72"/>
      <c r="G49" s="72"/>
      <c r="H49" s="73"/>
      <c r="I49" s="71"/>
    </row>
    <row r="50" spans="2:9">
      <c r="B50" s="71"/>
      <c r="C50" s="71"/>
      <c r="D50" s="71"/>
      <c r="E50" s="71"/>
      <c r="F50" s="72"/>
      <c r="G50" s="72"/>
      <c r="H50" s="73"/>
      <c r="I50" s="71"/>
    </row>
    <row r="51" spans="2:9">
      <c r="B51" s="71"/>
      <c r="C51" s="71"/>
      <c r="D51" s="71"/>
      <c r="E51" s="71"/>
      <c r="F51" s="72"/>
      <c r="G51" s="72"/>
      <c r="H51" s="73"/>
      <c r="I51" s="71"/>
    </row>
    <row r="52" spans="2:9">
      <c r="B52" s="71"/>
      <c r="C52" s="71"/>
      <c r="D52" s="71"/>
      <c r="E52" s="71"/>
      <c r="F52" s="72"/>
      <c r="G52" s="72"/>
      <c r="H52" s="73"/>
      <c r="I52" s="71"/>
    </row>
    <row r="53" spans="2:9">
      <c r="B53" s="71"/>
      <c r="C53" s="71"/>
      <c r="D53" s="71"/>
      <c r="E53" s="71"/>
      <c r="F53" s="72"/>
      <c r="G53" s="72"/>
      <c r="H53" s="73"/>
      <c r="I53" s="71"/>
    </row>
    <row r="54" spans="2:9">
      <c r="B54" s="71"/>
      <c r="C54" s="71"/>
      <c r="D54" s="71"/>
      <c r="E54" s="71"/>
      <c r="F54" s="72"/>
      <c r="G54" s="72"/>
      <c r="H54" s="73"/>
      <c r="I54" s="71"/>
    </row>
    <row r="55" spans="2:9">
      <c r="B55" s="71"/>
      <c r="C55" s="71"/>
      <c r="D55" s="71"/>
      <c r="E55" s="71"/>
      <c r="F55" s="72"/>
      <c r="G55" s="72"/>
      <c r="H55" s="73"/>
      <c r="I55" s="71"/>
    </row>
    <row r="56" spans="2:9">
      <c r="B56" s="71"/>
      <c r="C56" s="71"/>
      <c r="D56" s="71"/>
      <c r="E56" s="71"/>
      <c r="F56" s="72"/>
      <c r="G56" s="72"/>
      <c r="H56" s="73"/>
      <c r="I56" s="71"/>
    </row>
  </sheetData>
  <mergeCells count="9">
    <mergeCell ref="B24:E25"/>
    <mergeCell ref="B26:E26"/>
    <mergeCell ref="A6:B6"/>
    <mergeCell ref="A7:B7"/>
    <mergeCell ref="B2:H2"/>
    <mergeCell ref="A4:B4"/>
    <mergeCell ref="C4:E4"/>
    <mergeCell ref="A5:B5"/>
    <mergeCell ref="C5:E5"/>
  </mergeCells>
  <conditionalFormatting sqref="E10 E12:E13">
    <cfRule type="cellIs" dxfId="6" priority="39" operator="equal">
      <formula>"duplicado"</formula>
    </cfRule>
  </conditionalFormatting>
  <conditionalFormatting sqref="E10 E12:E13">
    <cfRule type="duplicateValues" dxfId="5" priority="7"/>
    <cfRule type="duplicateValues" dxfId="4" priority="8"/>
    <cfRule type="cellIs" dxfId="3" priority="9" operator="equal">
      <formula>"calibra"</formula>
    </cfRule>
  </conditionalFormatting>
  <conditionalFormatting sqref="E12:E13">
    <cfRule type="duplicateValues" dxfId="2" priority="4"/>
    <cfRule type="duplicateValues" dxfId="1" priority="5"/>
    <cfRule type="cellIs" dxfId="0" priority="6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3"/>
  <sheetViews>
    <sheetView topLeftCell="A16" zoomScale="80" zoomScaleNormal="80" workbookViewId="0">
      <selection activeCell="O11" sqref="O11"/>
    </sheetView>
  </sheetViews>
  <sheetFormatPr baseColWidth="10" defaultColWidth="9.140625" defaultRowHeight="12.75"/>
  <cols>
    <col min="1" max="1" width="5.5703125" style="21" customWidth="1"/>
    <col min="2" max="2" width="15.140625" style="21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48.5703125" style="21" customWidth="1"/>
    <col min="8" max="8" width="9.28515625" style="21" customWidth="1"/>
    <col min="9" max="9" width="15.5703125" style="21" customWidth="1"/>
    <col min="10" max="10" width="14.7109375" style="21" customWidth="1"/>
    <col min="11" max="11" width="15.5703125" style="21" customWidth="1"/>
    <col min="12" max="13" width="5.85546875" style="21" customWidth="1"/>
    <col min="14" max="14" width="14.140625" style="21" customWidth="1"/>
    <col min="15" max="15" width="12.5703125" style="21" customWidth="1"/>
    <col min="16" max="1024" width="9.140625" style="21"/>
    <col min="1025" max="16384" width="9.140625" style="22"/>
  </cols>
  <sheetData>
    <row r="1" spans="1:11" ht="18" customHeight="1">
      <c r="A1" s="107" t="s">
        <v>14</v>
      </c>
      <c r="B1" s="107"/>
      <c r="C1" s="107"/>
      <c r="D1" s="107"/>
      <c r="E1" s="107"/>
      <c r="F1" s="107"/>
      <c r="G1" s="107"/>
      <c r="H1" s="107"/>
      <c r="I1" s="107"/>
      <c r="J1" s="20" t="s">
        <v>15</v>
      </c>
      <c r="K1" s="99" t="s">
        <v>77</v>
      </c>
    </row>
    <row r="2" spans="1:11" ht="18.75" customHeight="1" thickBot="1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</row>
    <row r="3" spans="1:11" ht="18.75" customHeight="1" thickBot="1">
      <c r="A3" s="108" t="s">
        <v>48</v>
      </c>
      <c r="B3" s="108"/>
      <c r="C3" s="108"/>
      <c r="D3" s="109" t="str">
        <f>'Necesidades Trimestrales'!C4</f>
        <v>040 -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>
      <c r="A4" s="110" t="s">
        <v>49</v>
      </c>
      <c r="B4" s="110"/>
      <c r="C4" s="110"/>
      <c r="D4" s="109" t="str">
        <f>'Necesidades Trimestrales'!C5</f>
        <v>024 - Hospital Interzonal de Niños Eva Perón</v>
      </c>
      <c r="E4" s="109"/>
      <c r="F4" s="109"/>
      <c r="G4" s="109"/>
      <c r="H4" s="109"/>
      <c r="I4" s="109"/>
      <c r="J4" s="109"/>
      <c r="K4" s="109"/>
    </row>
    <row r="5" spans="1:11" ht="18.75" customHeight="1" thickBot="1">
      <c r="A5" s="110" t="s">
        <v>27</v>
      </c>
      <c r="B5" s="110"/>
      <c r="C5" s="110"/>
      <c r="D5" s="109" t="s">
        <v>61</v>
      </c>
      <c r="E5" s="109"/>
      <c r="F5" s="109"/>
      <c r="G5" s="109"/>
      <c r="H5" s="109"/>
      <c r="I5" s="109"/>
      <c r="J5" s="109"/>
      <c r="K5" s="109"/>
    </row>
    <row r="6" spans="1:11" ht="16.5" customHeight="1" thickBot="1">
      <c r="A6" s="108" t="s">
        <v>50</v>
      </c>
      <c r="B6" s="108"/>
      <c r="C6" s="108"/>
      <c r="D6" s="109" t="s">
        <v>60</v>
      </c>
      <c r="E6" s="109"/>
      <c r="F6" s="109"/>
      <c r="G6" s="109"/>
      <c r="H6" s="109"/>
      <c r="I6" s="109"/>
      <c r="J6" s="109"/>
      <c r="K6" s="109"/>
    </row>
    <row r="7" spans="1:11" ht="16.5" customHeight="1">
      <c r="A7" s="110" t="s">
        <v>16</v>
      </c>
      <c r="B7" s="110"/>
      <c r="C7" s="110"/>
      <c r="D7" s="109" t="str">
        <f>'Necesidades Trimestrales'!C7 &amp; "° - Año " &amp; 'Necesidades Trimestrales'!C6</f>
        <v>3° TRIMESTRE° - Año 2021</v>
      </c>
      <c r="E7" s="109"/>
      <c r="F7" s="109"/>
      <c r="G7" s="109"/>
      <c r="H7" s="109"/>
      <c r="I7" s="109"/>
      <c r="J7" s="109"/>
      <c r="K7" s="109"/>
    </row>
    <row r="8" spans="1:11" ht="16.5" customHeight="1">
      <c r="A8" s="117" t="s">
        <v>17</v>
      </c>
      <c r="B8" s="117"/>
      <c r="C8" s="117"/>
      <c r="D8" s="113" t="s">
        <v>78</v>
      </c>
      <c r="E8" s="113"/>
      <c r="F8" s="113"/>
      <c r="G8" s="113"/>
      <c r="H8" s="113"/>
      <c r="I8" s="113"/>
      <c r="J8" s="113"/>
      <c r="K8" s="113"/>
    </row>
    <row r="9" spans="1:11" ht="15.75">
      <c r="A9" s="25"/>
      <c r="B9" s="25"/>
      <c r="C9" s="25"/>
      <c r="D9" s="26"/>
      <c r="E9" s="26"/>
      <c r="F9" s="26"/>
      <c r="G9" s="26"/>
      <c r="H9" s="26"/>
      <c r="I9" s="26"/>
      <c r="J9" s="26"/>
      <c r="K9" s="26"/>
    </row>
    <row r="10" spans="1:11" ht="18.75" customHeight="1">
      <c r="A10" s="114" t="s">
        <v>18</v>
      </c>
      <c r="B10" s="115" t="s">
        <v>19</v>
      </c>
      <c r="C10" s="115" t="s">
        <v>20</v>
      </c>
      <c r="D10" s="115"/>
      <c r="E10" s="115"/>
      <c r="F10" s="115"/>
      <c r="G10" s="115"/>
      <c r="H10" s="115" t="s">
        <v>21</v>
      </c>
      <c r="I10" s="115" t="s">
        <v>22</v>
      </c>
      <c r="J10" s="115" t="s">
        <v>23</v>
      </c>
      <c r="K10" s="116" t="s">
        <v>24</v>
      </c>
    </row>
    <row r="11" spans="1:11" ht="24" customHeight="1" thickBot="1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27.75" customHeight="1" thickBot="1">
      <c r="A12" s="59">
        <v>1</v>
      </c>
      <c r="B12" s="59"/>
      <c r="C12" s="106" t="str">
        <f>'Necesidades Trimestrales'!E10</f>
        <v>AMPOULE ADAPTER X 150 U</v>
      </c>
      <c r="D12" s="106"/>
      <c r="E12" s="106"/>
      <c r="F12" s="106"/>
      <c r="G12" s="106"/>
      <c r="H12" s="60" t="s">
        <v>53</v>
      </c>
      <c r="I12" s="61" t="str">
        <f>'Necesidades Trimestrales'!F10</f>
        <v>CAJA</v>
      </c>
      <c r="J12" s="63">
        <f>'Necesidades Trimestrales'!H10</f>
        <v>4780</v>
      </c>
      <c r="K12" s="62">
        <f>'Necesidades Trimestrales'!G10</f>
        <v>3</v>
      </c>
    </row>
    <row r="13" spans="1:11" ht="27.75" customHeight="1" thickBot="1">
      <c r="A13" s="59">
        <v>2</v>
      </c>
      <c r="B13" s="59"/>
      <c r="C13" s="106" t="str">
        <f>'Necesidades Trimestrales'!E11</f>
        <v>LAMPARA HALOGENA P/ROCHE C311</v>
      </c>
      <c r="D13" s="106"/>
      <c r="E13" s="106"/>
      <c r="F13" s="106"/>
      <c r="G13" s="106"/>
      <c r="H13" s="60" t="s">
        <v>53</v>
      </c>
      <c r="I13" s="61" t="str">
        <f>'Necesidades Trimestrales'!F11</f>
        <v>CAJA</v>
      </c>
      <c r="J13" s="63">
        <f>'Necesidades Trimestrales'!H11</f>
        <v>64983</v>
      </c>
      <c r="K13" s="62">
        <f>'Necesidades Trimestrales'!G11</f>
        <v>2</v>
      </c>
    </row>
    <row r="14" spans="1:11" ht="27.75" customHeight="1" thickBot="1">
      <c r="A14" s="59">
        <v>3</v>
      </c>
      <c r="B14" s="59"/>
      <c r="C14" s="106" t="str">
        <f>'Necesidades Trimestrales'!E12</f>
        <v>TOMADOR DE LISANTE P/MINDRAY BC 3000 PLUS REF801-1805-0002800</v>
      </c>
      <c r="D14" s="106"/>
      <c r="E14" s="106"/>
      <c r="F14" s="106"/>
      <c r="G14" s="106"/>
      <c r="H14" s="60" t="s">
        <v>53</v>
      </c>
      <c r="I14" s="61" t="str">
        <f>'Necesidades Trimestrales'!F12</f>
        <v>CAJA</v>
      </c>
      <c r="J14" s="63">
        <f>'Necesidades Trimestrales'!H12</f>
        <v>23130</v>
      </c>
      <c r="K14" s="62">
        <f>'Necesidades Trimestrales'!G12</f>
        <v>1</v>
      </c>
    </row>
    <row r="15" spans="1:11" ht="27.75" customHeight="1" thickBot="1">
      <c r="A15" s="59">
        <v>4</v>
      </c>
      <c r="B15" s="59"/>
      <c r="C15" s="106" t="str">
        <f>'Necesidades Trimestrales'!E13</f>
        <v>PAPEL P/CONTADOR HEMATOLOGICO MINDRAY BC 3000 PLUS 49mmx 21m x 6</v>
      </c>
      <c r="D15" s="106"/>
      <c r="E15" s="106"/>
      <c r="F15" s="106"/>
      <c r="G15" s="106"/>
      <c r="H15" s="60" t="s">
        <v>53</v>
      </c>
      <c r="I15" s="61" t="str">
        <f>'Necesidades Trimestrales'!F13</f>
        <v>BOLSA</v>
      </c>
      <c r="J15" s="63">
        <f>'Necesidades Trimestrales'!H13</f>
        <v>2870</v>
      </c>
      <c r="K15" s="62">
        <f>'Necesidades Trimestrales'!G13</f>
        <v>12</v>
      </c>
    </row>
    <row r="16" spans="1:11" ht="27.75" customHeight="1" thickBot="1">
      <c r="A16" s="59">
        <v>5</v>
      </c>
      <c r="B16" s="59"/>
      <c r="C16" s="106" t="str">
        <f>'Necesidades Trimestrales'!E14</f>
        <v>CEPILLOS PARA TUBOS DE 1,5 X 25 CM</v>
      </c>
      <c r="D16" s="106"/>
      <c r="E16" s="106"/>
      <c r="F16" s="106"/>
      <c r="G16" s="106"/>
      <c r="H16" s="60" t="s">
        <v>53</v>
      </c>
      <c r="I16" s="61" t="str">
        <f>'Necesidades Trimestrales'!F14</f>
        <v>UNIDAD</v>
      </c>
      <c r="J16" s="63">
        <f>'Necesidades Trimestrales'!H14</f>
        <v>237.43</v>
      </c>
      <c r="K16" s="62">
        <f>'Necesidades Trimestrales'!G14</f>
        <v>25</v>
      </c>
    </row>
    <row r="17" spans="1:14" ht="27.75" customHeight="1" thickBot="1">
      <c r="A17" s="59">
        <v>6</v>
      </c>
      <c r="B17" s="59"/>
      <c r="C17" s="106" t="str">
        <f>'Necesidades Trimestrales'!E15</f>
        <v>CUBETAS DE REACCION P/COBAS C311</v>
      </c>
      <c r="D17" s="106"/>
      <c r="E17" s="106"/>
      <c r="F17" s="106"/>
      <c r="G17" s="106"/>
      <c r="H17" s="60" t="s">
        <v>53</v>
      </c>
      <c r="I17" s="61" t="str">
        <f>'Necesidades Trimestrales'!F15</f>
        <v>CAJA</v>
      </c>
      <c r="J17" s="63">
        <f>'Necesidades Trimestrales'!H15</f>
        <v>148442</v>
      </c>
      <c r="K17" s="62">
        <f>'Necesidades Trimestrales'!G15</f>
        <v>1</v>
      </c>
    </row>
    <row r="18" spans="1:14" ht="27.75" customHeight="1" thickBot="1">
      <c r="A18" s="59">
        <v>7</v>
      </c>
      <c r="B18" s="59"/>
      <c r="C18" s="106" t="str">
        <f>'Necesidades Trimestrales'!E16</f>
        <v>CUBETAS PARA COATRON M2 X 500U</v>
      </c>
      <c r="D18" s="106"/>
      <c r="E18" s="106"/>
      <c r="F18" s="106"/>
      <c r="G18" s="106"/>
      <c r="H18" s="60" t="s">
        <v>53</v>
      </c>
      <c r="I18" s="61" t="str">
        <f>'Necesidades Trimestrales'!F16</f>
        <v>CAJA</v>
      </c>
      <c r="J18" s="63">
        <f>'Necesidades Trimestrales'!H16</f>
        <v>8718.9599999999991</v>
      </c>
      <c r="K18" s="62">
        <f>'Necesidades Trimestrales'!G16</f>
        <v>3</v>
      </c>
    </row>
    <row r="19" spans="1:14" ht="27.75" customHeight="1" thickBot="1">
      <c r="A19" s="59">
        <v>8</v>
      </c>
      <c r="B19" s="59"/>
      <c r="C19" s="106" t="str">
        <f>'Necesidades Trimestrales'!E17</f>
        <v>CUBRE OBJETOS 18 X 18 X 100 UNID.</v>
      </c>
      <c r="D19" s="106"/>
      <c r="E19" s="106"/>
      <c r="F19" s="106"/>
      <c r="G19" s="106"/>
      <c r="H19" s="60" t="s">
        <v>53</v>
      </c>
      <c r="I19" s="61" t="str">
        <f>'Necesidades Trimestrales'!F17</f>
        <v>CAJA</v>
      </c>
      <c r="J19" s="63">
        <f>'Necesidades Trimestrales'!H17</f>
        <v>212.53</v>
      </c>
      <c r="K19" s="62">
        <f>'Necesidades Trimestrales'!G17</f>
        <v>100</v>
      </c>
    </row>
    <row r="20" spans="1:14" ht="27.75" customHeight="1" thickBot="1">
      <c r="A20" s="59">
        <v>9</v>
      </c>
      <c r="B20" s="59"/>
      <c r="C20" s="106" t="str">
        <f>'Necesidades Trimestrales'!E18</f>
        <v>COPAS DE MUESTRAS ROCHE C311 X1000U</v>
      </c>
      <c r="D20" s="106"/>
      <c r="E20" s="106"/>
      <c r="F20" s="106"/>
      <c r="G20" s="106"/>
      <c r="H20" s="60" t="s">
        <v>53</v>
      </c>
      <c r="I20" s="61" t="str">
        <f>'Necesidades Trimestrales'!F18</f>
        <v>BOLSA</v>
      </c>
      <c r="J20" s="63">
        <f>'Necesidades Trimestrales'!H18</f>
        <v>3749</v>
      </c>
      <c r="K20" s="62">
        <f>'Necesidades Trimestrales'!G18</f>
        <v>2</v>
      </c>
    </row>
    <row r="21" spans="1:14" ht="27.75" customHeight="1" thickBot="1">
      <c r="A21" s="59">
        <v>10</v>
      </c>
      <c r="B21" s="59"/>
      <c r="C21" s="106" t="str">
        <f>'Necesidades Trimestrales'!E19</f>
        <v>TIPS CON CORONA 5-200 ul x 1000 U</v>
      </c>
      <c r="D21" s="106"/>
      <c r="E21" s="106"/>
      <c r="F21" s="106"/>
      <c r="G21" s="106"/>
      <c r="H21" s="60" t="s">
        <v>53</v>
      </c>
      <c r="I21" s="61" t="str">
        <f>'Necesidades Trimestrales'!F19</f>
        <v>BOLSA</v>
      </c>
      <c r="J21" s="63">
        <f>'Necesidades Trimestrales'!H19</f>
        <v>1591</v>
      </c>
      <c r="K21" s="62">
        <f>'Necesidades Trimestrales'!G19</f>
        <v>3</v>
      </c>
    </row>
    <row r="22" spans="1:14" ht="27.75" customHeight="1" thickBot="1">
      <c r="A22" s="59">
        <v>11</v>
      </c>
      <c r="B22" s="59"/>
      <c r="C22" s="106" t="str">
        <f>'Necesidades Trimestrales'!E20</f>
        <v>EPENDORF 0,5-1,5 ML X 1000U</v>
      </c>
      <c r="D22" s="106"/>
      <c r="E22" s="106"/>
      <c r="F22" s="106"/>
      <c r="G22" s="106"/>
      <c r="H22" s="60" t="s">
        <v>53</v>
      </c>
      <c r="I22" s="61" t="str">
        <f>'Necesidades Trimestrales'!F20</f>
        <v>BOLSA</v>
      </c>
      <c r="J22" s="63">
        <f>'Necesidades Trimestrales'!H20</f>
        <v>2680</v>
      </c>
      <c r="K22" s="62">
        <f>'Necesidades Trimestrales'!G20</f>
        <v>5</v>
      </c>
    </row>
    <row r="23" spans="1:14" ht="20.25" customHeight="1" thickBot="1">
      <c r="A23" s="111" t="s">
        <v>82</v>
      </c>
      <c r="B23" s="109"/>
      <c r="C23" s="109"/>
      <c r="D23" s="109"/>
      <c r="E23" s="109"/>
      <c r="F23" s="109"/>
      <c r="G23" s="109"/>
      <c r="H23" s="109"/>
      <c r="I23" s="109"/>
      <c r="J23" s="112">
        <f>SUMPRODUCT(J12:J22,K12:K22)</f>
        <v>429334.63</v>
      </c>
      <c r="K23" s="112"/>
      <c r="N23" s="32"/>
    </row>
  </sheetData>
  <mergeCells count="33">
    <mergeCell ref="A23:I23"/>
    <mergeCell ref="J23:K23"/>
    <mergeCell ref="C12:G12"/>
    <mergeCell ref="C13:G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5:G15"/>
    <mergeCell ref="C16:G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2:G22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A13" zoomScale="130" zoomScaleNormal="130" workbookViewId="0">
      <selection activeCell="S18" sqref="S18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18" t="s">
        <v>3</v>
      </c>
      <c r="B1" s="118"/>
      <c r="C1" s="118"/>
      <c r="D1" s="119">
        <f>'Necesidades Trimestrales'!C6</f>
        <v>2021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25</v>
      </c>
      <c r="Q1" s="120"/>
    </row>
    <row r="2" spans="1:17" ht="15.75" customHeight="1">
      <c r="H2" s="4"/>
      <c r="I2" s="4"/>
      <c r="J2" s="4"/>
      <c r="K2" s="4"/>
      <c r="L2" s="4"/>
      <c r="M2" s="4"/>
      <c r="N2" s="4"/>
      <c r="P2" s="120"/>
      <c r="Q2" s="120"/>
    </row>
    <row r="4" spans="1:17" s="5" customFormat="1" ht="18" customHeight="1" thickBot="1">
      <c r="A4" s="121" t="s">
        <v>26</v>
      </c>
      <c r="B4" s="121"/>
      <c r="C4" s="121"/>
      <c r="D4" s="121"/>
      <c r="E4" s="121"/>
      <c r="F4" s="121"/>
      <c r="G4" s="122" t="str">
        <f>' NotaPedido'!D3</f>
        <v>040 - Ministerio de Salud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5" customFormat="1" ht="18" customHeight="1" thickBot="1">
      <c r="A5" s="123" t="s">
        <v>49</v>
      </c>
      <c r="B5" s="124"/>
      <c r="C5" s="124"/>
      <c r="D5" s="124"/>
      <c r="E5" s="124"/>
      <c r="F5" s="125"/>
      <c r="G5" s="122" t="str">
        <f>' NotaPedido'!D4</f>
        <v>024 - Hospital Interzonal de Niños Eva Perón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5" customFormat="1" ht="18" customHeight="1" thickBot="1">
      <c r="A6" s="123" t="s">
        <v>27</v>
      </c>
      <c r="B6" s="124"/>
      <c r="C6" s="124"/>
      <c r="D6" s="124"/>
      <c r="E6" s="124"/>
      <c r="F6" s="125"/>
      <c r="G6" s="122" t="str">
        <f>' NotaPedido'!D5</f>
        <v>024 - Hospital Interzonal de Niños Eva Perón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5" customFormat="1" ht="18" customHeight="1" thickBot="1">
      <c r="A7" s="123" t="s">
        <v>50</v>
      </c>
      <c r="B7" s="124"/>
      <c r="C7" s="124"/>
      <c r="D7" s="124"/>
      <c r="E7" s="124"/>
      <c r="F7" s="125"/>
      <c r="G7" s="127" t="s">
        <v>60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7" ht="18" customHeight="1" thickBot="1">
      <c r="A8" s="126" t="s">
        <v>28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>
      <c r="A9" s="136" t="s">
        <v>29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6"/>
    </row>
    <row r="10" spans="1:17" ht="54.75" customHeight="1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118/21,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>
      <c r="A12" s="138" t="s">
        <v>30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thickBot="1">
      <c r="A13" s="139" t="s">
        <v>31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32</v>
      </c>
      <c r="P13" s="142"/>
      <c r="Q13" s="145" t="s">
        <v>33</v>
      </c>
    </row>
    <row r="14" spans="1:17" ht="15.75" customHeight="1" thickBot="1">
      <c r="A14" s="33" t="s">
        <v>34</v>
      </c>
      <c r="B14" s="34" t="s">
        <v>35</v>
      </c>
      <c r="C14" s="34" t="s">
        <v>36</v>
      </c>
      <c r="D14" s="34" t="s">
        <v>37</v>
      </c>
      <c r="E14" s="34" t="s">
        <v>38</v>
      </c>
      <c r="F14" s="34" t="s">
        <v>39</v>
      </c>
      <c r="G14" s="35" t="s">
        <v>40</v>
      </c>
      <c r="H14" s="34" t="s">
        <v>41</v>
      </c>
      <c r="I14" s="34" t="s">
        <v>42</v>
      </c>
      <c r="J14" s="34" t="s">
        <v>43</v>
      </c>
      <c r="K14" s="34" t="s">
        <v>43</v>
      </c>
      <c r="L14" s="34" t="s">
        <v>44</v>
      </c>
      <c r="M14" s="36" t="s">
        <v>45</v>
      </c>
      <c r="N14" s="37" t="s">
        <v>46</v>
      </c>
      <c r="O14" s="143"/>
      <c r="P14" s="144"/>
      <c r="Q14" s="146"/>
    </row>
    <row r="15" spans="1:17" ht="26.25" customHeight="1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1</v>
      </c>
      <c r="I15" s="51">
        <v>2</v>
      </c>
      <c r="J15" s="51">
        <v>9</v>
      </c>
      <c r="K15" s="51">
        <v>3</v>
      </c>
      <c r="L15" s="51"/>
      <c r="M15" s="52">
        <v>1</v>
      </c>
      <c r="N15" s="53" t="s">
        <v>52</v>
      </c>
      <c r="O15" s="128" t="s">
        <v>84</v>
      </c>
      <c r="P15" s="129"/>
      <c r="Q15" s="45">
        <v>129966</v>
      </c>
    </row>
    <row r="16" spans="1:17" ht="36.75" customHeight="1">
      <c r="A16" s="54">
        <v>36</v>
      </c>
      <c r="B16" s="11"/>
      <c r="C16" s="11"/>
      <c r="D16" s="11">
        <v>1</v>
      </c>
      <c r="E16" s="11"/>
      <c r="F16" s="11">
        <v>4901</v>
      </c>
      <c r="G16" s="11">
        <v>3</v>
      </c>
      <c r="H16" s="11">
        <v>1</v>
      </c>
      <c r="I16" s="11">
        <v>2</v>
      </c>
      <c r="J16" s="11">
        <v>9</v>
      </c>
      <c r="K16" s="11">
        <v>5</v>
      </c>
      <c r="L16" s="11"/>
      <c r="M16" s="12">
        <v>1</v>
      </c>
      <c r="N16" s="48" t="s">
        <v>52</v>
      </c>
      <c r="O16" s="130" t="s">
        <v>63</v>
      </c>
      <c r="P16" s="131"/>
      <c r="Q16" s="46">
        <v>264928.63</v>
      </c>
    </row>
    <row r="17" spans="1:18" ht="17.25" customHeight="1">
      <c r="A17" s="54">
        <v>36</v>
      </c>
      <c r="B17" s="11"/>
      <c r="C17" s="11"/>
      <c r="D17" s="11">
        <v>1</v>
      </c>
      <c r="E17" s="11"/>
      <c r="F17" s="11">
        <v>4901</v>
      </c>
      <c r="G17" s="11">
        <v>3</v>
      </c>
      <c r="H17" s="11">
        <v>1</v>
      </c>
      <c r="I17" s="11">
        <v>2</v>
      </c>
      <c r="J17" s="11">
        <v>3</v>
      </c>
      <c r="K17" s="11">
        <v>4</v>
      </c>
      <c r="L17" s="11"/>
      <c r="M17" s="12">
        <v>1</v>
      </c>
      <c r="N17" s="48" t="s">
        <v>52</v>
      </c>
      <c r="O17" s="153" t="s">
        <v>80</v>
      </c>
      <c r="P17" s="154"/>
      <c r="Q17" s="46">
        <v>34440</v>
      </c>
    </row>
    <row r="18" spans="1:18" ht="17.25" customHeight="1">
      <c r="A18" s="55"/>
      <c r="B18" s="13"/>
      <c r="C18" s="13"/>
      <c r="D18" s="13"/>
      <c r="E18" s="13"/>
      <c r="F18" s="14"/>
      <c r="G18" s="13"/>
      <c r="H18" s="13"/>
      <c r="I18" s="13"/>
      <c r="J18" s="13"/>
      <c r="K18" s="13"/>
      <c r="L18" s="13"/>
      <c r="M18" s="15"/>
      <c r="N18" s="49"/>
      <c r="O18" s="153"/>
      <c r="P18" s="155"/>
      <c r="Q18" s="46"/>
      <c r="R18" s="1"/>
    </row>
    <row r="19" spans="1:18" ht="17.25" customHeight="1" thickBot="1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/>
      <c r="N19" s="58"/>
      <c r="O19" s="156"/>
      <c r="P19" s="157"/>
      <c r="Q19" s="47"/>
    </row>
    <row r="20" spans="1:18" ht="29.25" customHeight="1" thickBot="1">
      <c r="A20" s="158" t="s">
        <v>83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">
        <f>SUM(Q15:Q19)</f>
        <v>429334.63</v>
      </c>
    </row>
    <row r="21" spans="1:18" ht="18" customHeight="1" thickBot="1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</row>
    <row r="22" spans="1:18" ht="17.25" customHeight="1">
      <c r="A22" s="132" t="s">
        <v>47</v>
      </c>
      <c r="B22" s="133"/>
      <c r="C22" s="133"/>
      <c r="D22" s="133"/>
      <c r="E22" s="133"/>
      <c r="F22" s="133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</row>
    <row r="23" spans="1:18" ht="18" customHeight="1" thickBot="1">
      <c r="A23" s="147" t="s">
        <v>79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</row>
    <row r="24" spans="1:18" ht="26.25" customHeight="1" thickBot="1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2"/>
    </row>
  </sheetData>
  <mergeCells count="28">
    <mergeCell ref="A23:Q24"/>
    <mergeCell ref="O17:P17"/>
    <mergeCell ref="O18:P18"/>
    <mergeCell ref="O19:P19"/>
    <mergeCell ref="A20:P20"/>
    <mergeCell ref="A21:Q21"/>
    <mergeCell ref="O15:P15"/>
    <mergeCell ref="O16:P16"/>
    <mergeCell ref="A22:F22"/>
    <mergeCell ref="G22:Q22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2021-07-19T12:25:31Z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