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-120" yWindow="-120" windowWidth="20730" windowHeight="11160" tabRatio="500" activeTab="1"/>
  </bookViews>
  <sheets>
    <sheet name="NECESIDADES" sheetId="3" r:id="rId1"/>
    <sheet name=" NotaPedido" sheetId="1" r:id="rId2"/>
    <sheet name="Autor Gastar" sheetId="2" r:id="rId3"/>
  </sheets>
  <definedNames>
    <definedName name="_xlnm.Print_Area" localSheetId="1">' NotaPedido'!$A$1:$K$21</definedName>
    <definedName name="_xlnm.Print_Area" localSheetId="2">'Autor Gastar'!$A$1:$Q$41</definedName>
  </definedNames>
  <calcPr calcId="144525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J21" i="1" l="1"/>
  <c r="K13" i="1"/>
  <c r="K14" i="1"/>
  <c r="K15" i="1"/>
  <c r="K16" i="1"/>
  <c r="K17" i="1"/>
  <c r="K18" i="1"/>
  <c r="K19" i="1"/>
  <c r="J13" i="1"/>
  <c r="J14" i="1"/>
  <c r="J15" i="1"/>
  <c r="J16" i="1"/>
  <c r="J17" i="1"/>
  <c r="J18" i="1"/>
  <c r="J19" i="1"/>
  <c r="I13" i="1"/>
  <c r="I14" i="1"/>
  <c r="I15" i="1"/>
  <c r="I16" i="1"/>
  <c r="I17" i="1"/>
  <c r="I18" i="1"/>
  <c r="I19" i="1"/>
  <c r="B13" i="1"/>
  <c r="B14" i="1"/>
  <c r="B15" i="1"/>
  <c r="B16" i="1"/>
  <c r="B17" i="1"/>
  <c r="B18" i="1"/>
  <c r="B19" i="1"/>
  <c r="C13" i="1"/>
  <c r="C14" i="1"/>
  <c r="C15" i="1"/>
  <c r="C16" i="1"/>
  <c r="C17" i="1"/>
  <c r="C18" i="1"/>
  <c r="C19" i="1"/>
  <c r="I18" i="3"/>
  <c r="I11" i="3"/>
  <c r="I12" i="3"/>
  <c r="I13" i="3"/>
  <c r="I14" i="3"/>
  <c r="I15" i="3"/>
  <c r="I16" i="3"/>
  <c r="I17" i="3"/>
  <c r="A41" i="2" l="1"/>
  <c r="G6" i="2"/>
  <c r="G7" i="2"/>
  <c r="D4" i="1"/>
  <c r="G5" i="2" s="1"/>
  <c r="D3" i="1"/>
  <c r="G4" i="2" s="1"/>
  <c r="K12" i="1"/>
  <c r="J12" i="1"/>
  <c r="I12" i="1"/>
  <c r="C12" i="1"/>
  <c r="B12" i="1"/>
  <c r="I10" i="3" l="1"/>
  <c r="Q15" i="2" l="1"/>
  <c r="Q38" i="2" l="1"/>
</calcChain>
</file>

<file path=xl/sharedStrings.xml><?xml version="1.0" encoding="utf-8"?>
<sst xmlns="http://schemas.openxmlformats.org/spreadsheetml/2006/main" count="130" uniqueCount="80">
  <si>
    <t>NOTA DE PEDIDO</t>
  </si>
  <si>
    <t>N°</t>
  </si>
  <si>
    <t xml:space="preserve">JURISDICCIÓN: </t>
  </si>
  <si>
    <t>SAF:</t>
  </si>
  <si>
    <t>UNIDAD EJECUTORA:</t>
  </si>
  <si>
    <t xml:space="preserve">DEPENDENCIA SOLICITANTE: </t>
  </si>
  <si>
    <t>PERIODO UTILIZACIÓN:</t>
  </si>
  <si>
    <t>OBJETO:</t>
  </si>
  <si>
    <t>Ítem</t>
  </si>
  <si>
    <t>Codigo Item</t>
  </si>
  <si>
    <t>DESCRIPCIÓN</t>
  </si>
  <si>
    <t>Adjunta Detalle Técnico</t>
  </si>
  <si>
    <t>Unidad Medida</t>
  </si>
  <si>
    <t>Precio Unitario Estimado</t>
  </si>
  <si>
    <t>Cantidad Solicitada</t>
  </si>
  <si>
    <t>EJERCICIO:</t>
  </si>
  <si>
    <t>AUTORIZACION PARA GASTAR</t>
  </si>
  <si>
    <t>JURISDICCIÓN:</t>
  </si>
  <si>
    <r>
      <rPr>
        <b/>
        <u/>
        <sz val="10"/>
        <rFont val="Arial"/>
        <family val="2"/>
        <charset val="1"/>
      </rPr>
      <t>AUTORIZACIÓN</t>
    </r>
    <r>
      <rPr>
        <b/>
        <sz val="10"/>
        <rFont val="Arial"/>
        <family val="2"/>
        <charset val="1"/>
      </rPr>
      <t>:</t>
    </r>
  </si>
  <si>
    <t>Señor Director de Administración o Titular del Servicio Administrativo Financiero:</t>
  </si>
  <si>
    <t>IMPUTACIÓN PRESUPUESTARIA</t>
  </si>
  <si>
    <t>CÓDIGO</t>
  </si>
  <si>
    <t xml:space="preserve"> DENOMINACIÓN DE LA PARTIDA PRESUPUESTARIA</t>
  </si>
  <si>
    <t>IMPORTE</t>
  </si>
  <si>
    <t>PR</t>
  </si>
  <si>
    <t>SB</t>
  </si>
  <si>
    <t>PY</t>
  </si>
  <si>
    <t>AC</t>
  </si>
  <si>
    <t>OB</t>
  </si>
  <si>
    <t>UG</t>
  </si>
  <si>
    <t>FIN</t>
  </si>
  <si>
    <t>FUN</t>
  </si>
  <si>
    <t>I</t>
  </si>
  <si>
    <t>P</t>
  </si>
  <si>
    <t>SubP</t>
  </si>
  <si>
    <t>M</t>
  </si>
  <si>
    <t>FF</t>
  </si>
  <si>
    <t>JUSTIFICACIÓN:</t>
  </si>
  <si>
    <t>-</t>
  </si>
  <si>
    <t>SI</t>
  </si>
  <si>
    <t>SOFTWARES; TIPO: GESTION Y ADMINISTRACION</t>
  </si>
  <si>
    <t>4.8.1-8125.44</t>
  </si>
  <si>
    <t>PROGRAMAS DE COMPUTACION</t>
  </si>
  <si>
    <t>MINISTERIO DE SALUD</t>
  </si>
  <si>
    <t>ADQUISICION DE 2° ETAPA DE  MODULO SOFTWARE  DE HISTORIA CLINICA ELECTRONICA</t>
  </si>
  <si>
    <t>Pedido de Necesidades Trimestrales</t>
  </si>
  <si>
    <t>JURISDICCION:</t>
  </si>
  <si>
    <t>040 - MINISTERIO DE SALUD</t>
  </si>
  <si>
    <t xml:space="preserve">SAF N°: </t>
  </si>
  <si>
    <t>011 - DIRECCION PROVINCIAL DE ADMINISTRACION - MS</t>
  </si>
  <si>
    <t>TRIMESTRE:</t>
  </si>
  <si>
    <t>ID</t>
  </si>
  <si>
    <t>CODIGO ITEM</t>
  </si>
  <si>
    <t>RUBRO DE COMPRA</t>
  </si>
  <si>
    <t xml:space="preserve">I.P.P. </t>
  </si>
  <si>
    <t>DESCRIPCION</t>
  </si>
  <si>
    <t>UNIDAD DE MEDIDA</t>
  </si>
  <si>
    <t>CANTIDAD</t>
  </si>
  <si>
    <t>PRECIO UNITARIO ESTIMADO</t>
  </si>
  <si>
    <t xml:space="preserve">IMPORTE TOTAL ESTIMADO </t>
  </si>
  <si>
    <t>Plazos de entrega</t>
  </si>
  <si>
    <t>veinte (20) dias habiles</t>
  </si>
  <si>
    <t>Lugar de Entrega:</t>
  </si>
  <si>
    <t>Calidad Minima esperada</t>
  </si>
  <si>
    <t>Mantenimiento</t>
  </si>
  <si>
    <t>cuarenta y cinco (45) días</t>
  </si>
  <si>
    <t>4.8.1</t>
  </si>
  <si>
    <t>INFORMATICA</t>
  </si>
  <si>
    <t>TOTAL RUBRO INFORMATICA</t>
  </si>
  <si>
    <t>SECRETARIA DE PLANIFICACION Y GESTION EN SALUD - CHACABUCO N° 169 - en el horario de 8:00hs a 12:00hs de lunes a viernes</t>
  </si>
  <si>
    <t>3° TRIMESTRE 2022</t>
  </si>
  <si>
    <t>VER ANEXO I</t>
  </si>
  <si>
    <t xml:space="preserve">Costo total estimado: PESOS CINCUENTA Y NUEVE MILLONES OCHOCIENTOS MIL CON 00/100.- </t>
  </si>
  <si>
    <t xml:space="preserve">TOTAL DE PESOS: CINCUENTA Y NUEVE MILLONES OCHOCIENTOS MIL CON 00/100.- </t>
  </si>
  <si>
    <t>1.1</t>
  </si>
  <si>
    <t>DETALLE TECNICO Y ESPECIFICACIONES</t>
  </si>
  <si>
    <t>SECRETARIA DE PLANIFICACION Y GESTION EN SALUD</t>
  </si>
  <si>
    <t>MODULO</t>
  </si>
  <si>
    <t xml:space="preserve"> 06/2022</t>
  </si>
  <si>
    <r>
      <t xml:space="preserve">Autorizo la realización de los  trámites correspondientes, a fin de proveer a  este Organismo los bienes, servicios o ejecución de obras públicas que se detallan en Nota  de Pedido N° </t>
    </r>
    <r>
      <rPr>
        <b/>
        <sz val="11"/>
        <rFont val="Arial"/>
        <family val="2"/>
      </rPr>
      <t xml:space="preserve"> 06/2022</t>
    </r>
    <r>
      <rPr>
        <sz val="11"/>
        <rFont val="Arial"/>
        <family val="2"/>
        <charset val="1"/>
      </rPr>
      <t>, afectando la erogación resultante a los créditos presupuestarios aprobados a favor de esta Unidad Ejecutora, conforme al siguiente detalle: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</si>
</sst>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7">
    <numFmt numFmtId="44" formatCode="_-&quot;$&quot;\ * #,##0.00_-;\-&quot;$&quot;\ * #,##0.00_-;_-&quot;$&quot;\ * &quot;-&quot;??_-;_-@_-"/>
    <numFmt numFmtId="164" formatCode="_(\$* #,##0.00_);_(\$* \(#,##0.00\);_(\$* \-??_);_(@_)"/>
    <numFmt numFmtId="165" formatCode="dd\-mm\-yy;@"/>
    <numFmt numFmtId="166" formatCode="[$$-2C0A]\ #,##0.00;[$$-2C0A]&quot; -&quot;#,##0.00"/>
    <numFmt numFmtId="167" formatCode="_-[$$-2C0A]\ * #,##0.00_-;\-[$$-2C0A]\ * #,##0.00_-;_-[$$-2C0A]\ * &quot;-&quot;??_-;_-@_-"/>
    <numFmt numFmtId="168" formatCode="_-&quot;$&quot;* #,##0.00_-;\-&quot;$&quot;* #,##0.00_-;_-&quot;$&quot;* &quot;-&quot;??_-;_-@_-"/>
    <numFmt numFmtId="169" formatCode="&quot;$&quot;\ #,##0.00"/>
  </numFmts>
  <fonts count="37" x14ac:knownFonts="1">
    <font>
      <sz val="10"/>
      <name val="Arial"/>
      <charset val="1"/>
    </font>
    <font>
      <sz val="10"/>
      <name val="Arial"/>
      <family val="2"/>
    </font>
    <font>
      <b/>
      <sz val="15"/>
      <color rgb="FF666699"/>
      <name val="Calibri"/>
      <family val="2"/>
      <charset val="1"/>
    </font>
    <font>
      <sz val="10"/>
      <name val="Arial"/>
      <family val="2"/>
      <charset val="1"/>
    </font>
    <font>
      <sz val="11"/>
      <color rgb="FF993300"/>
      <name val="Calibri"/>
      <family val="2"/>
      <charset val="1"/>
    </font>
    <font>
      <b/>
      <u/>
      <sz val="24"/>
      <name val="Times New Roman"/>
      <family val="1"/>
      <charset val="1"/>
    </font>
    <font>
      <b/>
      <u/>
      <sz val="12"/>
      <name val="Times New Roman"/>
      <family val="1"/>
      <charset val="1"/>
    </font>
    <font>
      <b/>
      <sz val="12"/>
      <name val="Times New Roman"/>
      <family val="1"/>
      <charset val="1"/>
    </font>
    <font>
      <sz val="12"/>
      <name val="Times New Roman"/>
      <family val="1"/>
      <charset val="1"/>
    </font>
    <font>
      <b/>
      <sz val="11"/>
      <name val="Times New Roman"/>
      <family val="1"/>
      <charset val="1"/>
    </font>
    <font>
      <sz val="11"/>
      <name val="Times New Roman"/>
      <family val="1"/>
      <charset val="1"/>
    </font>
    <font>
      <sz val="10"/>
      <name val="Times New Roman"/>
      <family val="1"/>
      <charset val="1"/>
    </font>
    <font>
      <b/>
      <sz val="14"/>
      <name val="Times New Roman"/>
      <family val="1"/>
      <charset val="1"/>
    </font>
    <font>
      <b/>
      <sz val="11"/>
      <name val="Arial"/>
      <family val="2"/>
      <charset val="1"/>
    </font>
    <font>
      <b/>
      <sz val="12"/>
      <name val="Arial"/>
      <family val="2"/>
      <charset val="1"/>
    </font>
    <font>
      <sz val="11"/>
      <name val="Arial"/>
      <family val="2"/>
      <charset val="1"/>
    </font>
    <font>
      <b/>
      <u/>
      <sz val="10"/>
      <name val="Arial"/>
      <family val="2"/>
      <charset val="1"/>
    </font>
    <font>
      <b/>
      <sz val="10"/>
      <name val="Arial"/>
      <family val="2"/>
      <charset val="1"/>
    </font>
    <font>
      <sz val="9"/>
      <name val="Arial"/>
      <family val="2"/>
    </font>
    <font>
      <b/>
      <sz val="12"/>
      <name val="Times New Roman"/>
      <family val="1"/>
    </font>
    <font>
      <b/>
      <sz val="11"/>
      <name val="Arial"/>
      <family val="2"/>
    </font>
    <font>
      <i/>
      <sz val="12"/>
      <color rgb="FFFF0000"/>
      <name val="Times New Roman"/>
      <family val="1"/>
    </font>
    <font>
      <sz val="10"/>
      <name val="Arial"/>
      <charset val="1"/>
    </font>
    <font>
      <sz val="10"/>
      <name val="Times New Roman"/>
      <family val="1"/>
    </font>
    <font>
      <b/>
      <sz val="22"/>
      <name val="Times New Roman"/>
      <family val="1"/>
    </font>
    <font>
      <b/>
      <sz val="11"/>
      <color rgb="FF000000"/>
      <name val="Times New Roman"/>
      <family val="1"/>
    </font>
    <font>
      <b/>
      <sz val="12"/>
      <color rgb="FF000000"/>
      <name val="Times New Roman"/>
      <family val="1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FF0000"/>
      <name val="Times New Roman"/>
      <family val="1"/>
    </font>
    <font>
      <u/>
      <sz val="10"/>
      <name val="Times New Roman"/>
      <family val="1"/>
    </font>
    <font>
      <sz val="12"/>
      <name val="Times New Roman"/>
      <family val="1"/>
    </font>
    <font>
      <sz val="10"/>
      <color theme="1"/>
      <name val="Times New Roman"/>
      <family val="1"/>
    </font>
    <font>
      <sz val="10"/>
      <color theme="1"/>
      <name val="Arial"/>
      <family val="2"/>
    </font>
    <font>
      <b/>
      <sz val="12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99"/>
        <bgColor rgb="FFFFFFCC"/>
      </patternFill>
    </fill>
  </fills>
  <borders count="63">
    <border>
      <left/>
      <right/>
      <top/>
      <bottom/>
      <diagonal/>
    </border>
    <border>
      <left/>
      <right/>
      <top/>
      <bottom style="thick">
        <color rgb="FF33CCCC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rgb="FF3D3D3D"/>
      </right>
      <top style="medium">
        <color auto="1"/>
      </top>
      <bottom/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rgb="FF3D3D3D"/>
      </bottom>
      <diagonal/>
    </border>
    <border>
      <left style="medium">
        <color auto="1"/>
      </left>
      <right/>
      <top/>
      <bottom style="medium">
        <color rgb="FF3D3D3D"/>
      </bottom>
      <diagonal/>
    </border>
    <border>
      <left/>
      <right/>
      <top/>
      <bottom style="medium">
        <color rgb="FF3D3D3D"/>
      </bottom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rgb="FF3D3D3D"/>
      </top>
      <bottom/>
      <diagonal/>
    </border>
    <border>
      <left style="medium">
        <color auto="1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rgb="FF3D3D3D"/>
      </right>
      <top style="medium">
        <color auto="1"/>
      </top>
      <bottom/>
      <diagonal/>
    </border>
    <border>
      <left style="medium">
        <color rgb="FF3D3D3D"/>
      </left>
      <right style="medium">
        <color rgb="FF3D3D3D"/>
      </right>
      <top style="medium">
        <color auto="1"/>
      </top>
      <bottom/>
      <diagonal/>
    </border>
    <border>
      <left style="medium">
        <color rgb="FF3D3D3D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 style="medium">
        <color rgb="FF3D3D3D"/>
      </left>
      <right style="medium">
        <color auto="1"/>
      </right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rgb="FF3D3D3D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 style="medium">
        <color auto="1"/>
      </right>
      <top/>
      <bottom style="medium">
        <color rgb="FF3D3D3D"/>
      </bottom>
      <diagonal/>
    </border>
    <border>
      <left/>
      <right style="medium">
        <color auto="1"/>
      </right>
      <top style="medium">
        <color rgb="FF3D3D3D"/>
      </top>
      <bottom/>
      <diagonal/>
    </border>
    <border>
      <left style="medium">
        <color auto="1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/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auto="1"/>
      </right>
      <top style="thin">
        <color rgb="FF3D3D3D"/>
      </top>
      <bottom style="thin">
        <color rgb="FF3D3D3D"/>
      </bottom>
      <diagonal/>
    </border>
    <border>
      <left style="medium">
        <color auto="1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/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medium">
        <color auto="1"/>
      </right>
      <top style="thin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 style="medium">
        <color auto="1"/>
      </right>
      <top/>
      <bottom style="medium">
        <color rgb="FF3D3D3D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 style="medium">
        <color auto="1"/>
      </right>
      <top/>
      <bottom style="thin">
        <color rgb="FF3D3D3D"/>
      </bottom>
      <diagonal/>
    </border>
    <border>
      <left style="medium">
        <color indexed="64"/>
      </left>
      <right style="medium">
        <color rgb="FF3D3D3D"/>
      </right>
      <top style="medium">
        <color indexed="64"/>
      </top>
      <bottom style="medium">
        <color rgb="FF3D3D3D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rgb="FF3D3D3D"/>
      </right>
      <top/>
      <bottom style="medium">
        <color indexed="64"/>
      </bottom>
      <diagonal/>
    </border>
    <border>
      <left style="thin">
        <color rgb="FF3D3D3D"/>
      </left>
      <right style="thin">
        <color rgb="FF3D3D3D"/>
      </right>
      <top/>
      <bottom style="medium">
        <color indexed="64"/>
      </bottom>
      <diagonal/>
    </border>
    <border>
      <left style="thin">
        <color rgb="FF3D3D3D"/>
      </left>
      <right/>
      <top/>
      <bottom style="medium">
        <color indexed="64"/>
      </bottom>
      <diagonal/>
    </border>
    <border>
      <left style="medium">
        <color rgb="FF3D3D3D"/>
      </left>
      <right style="medium">
        <color rgb="FF3D3D3D"/>
      </right>
      <top/>
      <bottom style="medium">
        <color indexed="64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 style="medium">
        <color indexed="64"/>
      </bottom>
      <diagonal/>
    </border>
    <border>
      <left/>
      <right style="medium">
        <color indexed="64"/>
      </right>
      <top style="medium">
        <color rgb="FF3D3D3D"/>
      </top>
      <bottom style="medium">
        <color indexed="64"/>
      </bottom>
      <diagonal/>
    </border>
    <border>
      <left style="medium">
        <color rgb="FF3D3D3D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7">
    <xf numFmtId="0" fontId="0" fillId="0" borderId="0"/>
    <xf numFmtId="0" fontId="2" fillId="0" borderId="1" applyProtection="0"/>
    <xf numFmtId="164" fontId="3" fillId="0" borderId="0" applyBorder="0" applyProtection="0"/>
    <xf numFmtId="0" fontId="4" fillId="2" borderId="0" applyBorder="0" applyProtection="0"/>
    <xf numFmtId="44" fontId="22" fillId="0" borderId="0" applyFont="0" applyFill="0" applyBorder="0" applyAlignment="0" applyProtection="0"/>
    <xf numFmtId="0" fontId="1" fillId="0" borderId="0"/>
    <xf numFmtId="0" fontId="1" fillId="0" borderId="0"/>
  </cellStyleXfs>
  <cellXfs count="171">
    <xf numFmtId="0" fontId="0" fillId="0" borderId="0" xfId="0"/>
    <xf numFmtId="0" fontId="3" fillId="0" borderId="0" xfId="0" applyFont="1" applyBorder="1" applyAlignment="1">
      <alignment vertical="center"/>
    </xf>
    <xf numFmtId="0" fontId="6" fillId="0" borderId="3" xfId="0" applyFont="1" applyBorder="1" applyAlignment="1">
      <alignment horizontal="right" vertical="center"/>
    </xf>
    <xf numFmtId="0" fontId="6" fillId="0" borderId="5" xfId="0" applyFont="1" applyBorder="1" applyAlignment="1">
      <alignment vertical="center"/>
    </xf>
    <xf numFmtId="0" fontId="6" fillId="0" borderId="6" xfId="0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6" fillId="0" borderId="7" xfId="0" applyFont="1" applyBorder="1" applyAlignment="1">
      <alignment vertical="center"/>
    </xf>
    <xf numFmtId="0" fontId="8" fillId="0" borderId="12" xfId="0" applyFont="1" applyBorder="1" applyAlignment="1">
      <alignment horizontal="left" vertical="center"/>
    </xf>
    <xf numFmtId="0" fontId="8" fillId="0" borderId="0" xfId="0" applyFont="1" applyBorder="1" applyAlignment="1">
      <alignment horizontal="left" vertical="center"/>
    </xf>
    <xf numFmtId="0" fontId="7" fillId="0" borderId="0" xfId="0" applyFont="1" applyBorder="1" applyAlignment="1">
      <alignment horizontal="left" vertical="center" wrapText="1" indent="1"/>
    </xf>
    <xf numFmtId="0" fontId="7" fillId="0" borderId="7" xfId="0" applyFont="1" applyBorder="1" applyAlignment="1">
      <alignment horizontal="left" vertical="center" wrapText="1" indent="1"/>
    </xf>
    <xf numFmtId="0" fontId="0" fillId="0" borderId="0" xfId="0" applyAlignment="1">
      <alignment horizontal="left"/>
    </xf>
    <xf numFmtId="3" fontId="13" fillId="0" borderId="18" xfId="0" applyNumberFormat="1" applyFont="1" applyBorder="1" applyAlignment="1"/>
    <xf numFmtId="165" fontId="0" fillId="0" borderId="18" xfId="0" applyNumberFormat="1" applyBorder="1" applyAlignment="1">
      <alignment horizontal="left"/>
    </xf>
    <xf numFmtId="0" fontId="0" fillId="0" borderId="18" xfId="0" applyBorder="1"/>
    <xf numFmtId="0" fontId="0" fillId="0" borderId="12" xfId="0" applyBorder="1"/>
    <xf numFmtId="0" fontId="0" fillId="0" borderId="0" xfId="0" applyBorder="1"/>
    <xf numFmtId="0" fontId="0" fillId="0" borderId="0" xfId="0" applyBorder="1" applyAlignment="1">
      <alignment horizontal="left"/>
    </xf>
    <xf numFmtId="165" fontId="0" fillId="0" borderId="0" xfId="0" applyNumberFormat="1" applyBorder="1" applyAlignment="1">
      <alignment horizontal="left"/>
    </xf>
    <xf numFmtId="0" fontId="0" fillId="0" borderId="7" xfId="0" applyBorder="1"/>
    <xf numFmtId="0" fontId="3" fillId="0" borderId="0" xfId="0" applyFont="1"/>
    <xf numFmtId="0" fontId="0" fillId="0" borderId="5" xfId="0" applyBorder="1"/>
    <xf numFmtId="0" fontId="0" fillId="0" borderId="6" xfId="0" applyBorder="1"/>
    <xf numFmtId="0" fontId="0" fillId="0" borderId="6" xfId="0" applyBorder="1" applyAlignment="1">
      <alignment horizontal="left"/>
    </xf>
    <xf numFmtId="0" fontId="0" fillId="0" borderId="24" xfId="0" applyBorder="1"/>
    <xf numFmtId="0" fontId="0" fillId="0" borderId="26" xfId="0" applyFont="1" applyBorder="1" applyAlignment="1">
      <alignment horizontal="center" vertical="center"/>
    </xf>
    <xf numFmtId="0" fontId="0" fillId="0" borderId="27" xfId="0" applyFont="1" applyBorder="1" applyAlignment="1">
      <alignment horizontal="center" vertical="center"/>
    </xf>
    <xf numFmtId="0" fontId="0" fillId="0" borderId="28" xfId="0" applyFont="1" applyBorder="1" applyAlignment="1">
      <alignment horizontal="center" vertical="center"/>
    </xf>
    <xf numFmtId="0" fontId="0" fillId="0" borderId="29" xfId="0" applyFont="1" applyBorder="1" applyAlignment="1">
      <alignment horizontal="center" vertical="center"/>
    </xf>
    <xf numFmtId="166" fontId="0" fillId="0" borderId="30" xfId="2" applyNumberFormat="1" applyFont="1" applyBorder="1" applyAlignment="1" applyProtection="1">
      <alignment horizontal="center" vertical="center"/>
    </xf>
    <xf numFmtId="0" fontId="15" fillId="0" borderId="26" xfId="0" applyFont="1" applyBorder="1" applyAlignment="1">
      <alignment horizontal="center" vertical="center"/>
    </xf>
    <xf numFmtId="0" fontId="15" fillId="0" borderId="27" xfId="0" applyFont="1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15" fillId="0" borderId="28" xfId="0" applyFont="1" applyBorder="1" applyAlignment="1">
      <alignment horizontal="center" vertical="center"/>
    </xf>
    <xf numFmtId="0" fontId="15" fillId="0" borderId="29" xfId="0" applyFont="1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166" fontId="0" fillId="0" borderId="34" xfId="2" applyNumberFormat="1" applyFont="1" applyBorder="1" applyAlignment="1" applyProtection="1">
      <alignment horizontal="center" vertical="center"/>
    </xf>
    <xf numFmtId="166" fontId="17" fillId="0" borderId="36" xfId="0" applyNumberFormat="1" applyFont="1" applyBorder="1" applyAlignment="1">
      <alignment horizontal="center" vertical="center"/>
    </xf>
    <xf numFmtId="0" fontId="1" fillId="0" borderId="27" xfId="0" applyFont="1" applyBorder="1" applyAlignment="1">
      <alignment horizontal="center" vertical="center"/>
    </xf>
    <xf numFmtId="167" fontId="0" fillId="0" borderId="41" xfId="2" applyNumberFormat="1" applyFont="1" applyBorder="1" applyAlignment="1" applyProtection="1">
      <alignment horizontal="center" vertical="center" wrapText="1"/>
    </xf>
    <xf numFmtId="0" fontId="17" fillId="0" borderId="44" xfId="0" applyFont="1" applyBorder="1" applyAlignment="1">
      <alignment horizontal="center" vertical="center"/>
    </xf>
    <xf numFmtId="0" fontId="17" fillId="0" borderId="45" xfId="0" applyFont="1" applyBorder="1" applyAlignment="1">
      <alignment horizontal="center" vertical="center"/>
    </xf>
    <xf numFmtId="0" fontId="17" fillId="0" borderId="45" xfId="0" applyFont="1" applyBorder="1" applyAlignment="1">
      <alignment horizontal="left" vertical="center"/>
    </xf>
    <xf numFmtId="0" fontId="17" fillId="0" borderId="46" xfId="0" applyFont="1" applyBorder="1" applyAlignment="1">
      <alignment horizontal="center" vertical="center"/>
    </xf>
    <xf numFmtId="0" fontId="17" fillId="0" borderId="47" xfId="0" applyFont="1" applyBorder="1" applyAlignment="1">
      <alignment horizontal="center" vertical="center"/>
    </xf>
    <xf numFmtId="0" fontId="23" fillId="0" borderId="0" xfId="0" applyFont="1" applyFill="1"/>
    <xf numFmtId="168" fontId="23" fillId="0" borderId="0" xfId="0" applyNumberFormat="1" applyFont="1" applyFill="1"/>
    <xf numFmtId="0" fontId="27" fillId="0" borderId="0" xfId="0" applyFont="1" applyFill="1" applyAlignment="1">
      <alignment horizontal="left" wrapText="1"/>
    </xf>
    <xf numFmtId="0" fontId="27" fillId="0" borderId="0" xfId="0" applyFont="1" applyFill="1" applyAlignment="1">
      <alignment horizontal="center" wrapText="1"/>
    </xf>
    <xf numFmtId="0" fontId="26" fillId="0" borderId="0" xfId="0" applyFont="1" applyFill="1" applyAlignment="1">
      <alignment horizontal="left" wrapText="1" indent="1"/>
    </xf>
    <xf numFmtId="0" fontId="28" fillId="0" borderId="0" xfId="0" applyFont="1" applyFill="1" applyAlignment="1">
      <alignment horizontal="left" wrapText="1"/>
    </xf>
    <xf numFmtId="0" fontId="1" fillId="0" borderId="53" xfId="0" applyFont="1" applyFill="1" applyBorder="1" applyAlignment="1">
      <alignment horizontal="center" vertical="center"/>
    </xf>
    <xf numFmtId="0" fontId="1" fillId="0" borderId="53" xfId="0" applyFont="1" applyFill="1" applyBorder="1" applyAlignment="1">
      <alignment horizontal="center" vertical="center" wrapText="1"/>
    </xf>
    <xf numFmtId="0" fontId="0" fillId="0" borderId="53" xfId="0" applyFill="1" applyBorder="1" applyAlignment="1">
      <alignment horizontal="center" vertical="center" wrapText="1"/>
    </xf>
    <xf numFmtId="0" fontId="30" fillId="0" borderId="53" xfId="0" applyFont="1" applyFill="1" applyBorder="1" applyAlignment="1">
      <alignment horizontal="center" vertical="center" wrapText="1"/>
    </xf>
    <xf numFmtId="168" fontId="1" fillId="0" borderId="53" xfId="4" applyNumberFormat="1" applyFont="1" applyFill="1" applyBorder="1" applyAlignment="1" applyProtection="1">
      <alignment horizontal="right" vertical="center" wrapText="1"/>
    </xf>
    <xf numFmtId="168" fontId="31" fillId="0" borderId="17" xfId="0" applyNumberFormat="1" applyFont="1" applyFill="1" applyBorder="1"/>
    <xf numFmtId="0" fontId="23" fillId="0" borderId="0" xfId="0" applyFont="1" applyFill="1" applyBorder="1"/>
    <xf numFmtId="0" fontId="23" fillId="0" borderId="0" xfId="6" applyFont="1" applyFill="1" applyBorder="1" applyAlignment="1">
      <alignment horizontal="left" vertical="center" wrapText="1"/>
    </xf>
    <xf numFmtId="0" fontId="23" fillId="0" borderId="0" xfId="6" applyFont="1" applyFill="1" applyBorder="1" applyAlignment="1">
      <alignment horizontal="left" vertical="center"/>
    </xf>
    <xf numFmtId="0" fontId="23" fillId="0" borderId="0" xfId="6" applyFont="1" applyFill="1" applyBorder="1" applyAlignment="1">
      <alignment horizontal="center" vertical="center"/>
    </xf>
    <xf numFmtId="0" fontId="23" fillId="0" borderId="0" xfId="6" applyFont="1" applyFill="1" applyBorder="1" applyAlignment="1">
      <alignment vertical="center"/>
    </xf>
    <xf numFmtId="0" fontId="23" fillId="0" borderId="0" xfId="0" applyFont="1" applyFill="1" applyAlignment="1">
      <alignment horizontal="center" vertical="center"/>
    </xf>
    <xf numFmtId="0" fontId="23" fillId="0" borderId="0" xfId="6" applyFont="1" applyBorder="1" applyAlignment="1">
      <alignment horizontal="center" vertical="center"/>
    </xf>
    <xf numFmtId="0" fontId="23" fillId="0" borderId="0" xfId="0" applyFont="1" applyFill="1" applyBorder="1" applyAlignment="1">
      <alignment horizontal="center" vertical="center"/>
    </xf>
    <xf numFmtId="0" fontId="23" fillId="0" borderId="0" xfId="6" applyFont="1" applyBorder="1" applyAlignment="1">
      <alignment horizontal="left" vertical="center"/>
    </xf>
    <xf numFmtId="0" fontId="32" fillId="0" borderId="0" xfId="0" applyFont="1" applyFill="1" applyBorder="1" applyAlignment="1"/>
    <xf numFmtId="0" fontId="23" fillId="0" borderId="37" xfId="0" applyFont="1" applyFill="1" applyBorder="1"/>
    <xf numFmtId="0" fontId="23" fillId="0" borderId="38" xfId="0" applyFont="1" applyFill="1" applyBorder="1"/>
    <xf numFmtId="0" fontId="23" fillId="0" borderId="39" xfId="0" applyFont="1" applyFill="1" applyBorder="1"/>
    <xf numFmtId="0" fontId="10" fillId="0" borderId="54" xfId="0" applyFont="1" applyBorder="1" applyAlignment="1">
      <alignment horizontal="center" vertical="center"/>
    </xf>
    <xf numFmtId="0" fontId="10" fillId="0" borderId="55" xfId="0" applyFont="1" applyBorder="1" applyAlignment="1">
      <alignment horizontal="left" vertical="center"/>
    </xf>
    <xf numFmtId="0" fontId="11" fillId="0" borderId="55" xfId="0" applyFont="1" applyBorder="1" applyAlignment="1">
      <alignment horizontal="center" vertical="center"/>
    </xf>
    <xf numFmtId="0" fontId="11" fillId="0" borderId="55" xfId="0" applyFont="1" applyBorder="1" applyAlignment="1">
      <alignment horizontal="center" vertical="center" wrapText="1"/>
    </xf>
    <xf numFmtId="3" fontId="11" fillId="0" borderId="56" xfId="0" applyNumberFormat="1" applyFont="1" applyBorder="1" applyAlignment="1">
      <alignment horizontal="center" vertical="center"/>
    </xf>
    <xf numFmtId="0" fontId="29" fillId="0" borderId="52" xfId="0" applyFont="1" applyFill="1" applyBorder="1" applyAlignment="1">
      <alignment horizontal="center" vertical="center" wrapText="1"/>
    </xf>
    <xf numFmtId="168" fontId="29" fillId="0" borderId="52" xfId="0" applyNumberFormat="1" applyFont="1" applyFill="1" applyBorder="1" applyAlignment="1">
      <alignment horizontal="center" vertical="center" wrapText="1"/>
    </xf>
    <xf numFmtId="3" fontId="1" fillId="0" borderId="53" xfId="0" applyNumberFormat="1" applyFont="1" applyFill="1" applyBorder="1" applyAlignment="1">
      <alignment horizontal="center" vertical="center"/>
    </xf>
    <xf numFmtId="44" fontId="1" fillId="0" borderId="53" xfId="4" applyNumberFormat="1" applyFont="1" applyFill="1" applyBorder="1" applyAlignment="1">
      <alignment horizontal="center" vertical="center"/>
    </xf>
    <xf numFmtId="0" fontId="23" fillId="0" borderId="0" xfId="0" applyFont="1" applyFill="1" applyAlignment="1">
      <alignment vertical="center"/>
    </xf>
    <xf numFmtId="0" fontId="0" fillId="0" borderId="0" xfId="0" applyFill="1" applyAlignment="1">
      <alignment vertical="center"/>
    </xf>
    <xf numFmtId="0" fontId="33" fillId="0" borderId="16" xfId="0" applyFont="1" applyBorder="1" applyAlignment="1">
      <alignment vertical="center"/>
    </xf>
    <xf numFmtId="0" fontId="33" fillId="0" borderId="51" xfId="0" applyFont="1" applyBorder="1" applyAlignment="1">
      <alignment vertical="center"/>
    </xf>
    <xf numFmtId="0" fontId="33" fillId="0" borderId="17" xfId="0" applyFont="1" applyBorder="1" applyAlignment="1">
      <alignment vertical="center"/>
    </xf>
    <xf numFmtId="0" fontId="33" fillId="0" borderId="50" xfId="0" applyFont="1" applyBorder="1" applyAlignment="1">
      <alignment vertical="center"/>
    </xf>
    <xf numFmtId="0" fontId="34" fillId="0" borderId="2" xfId="6" applyFont="1" applyFill="1" applyBorder="1" applyAlignment="1">
      <alignment horizontal="center" vertical="center" wrapText="1"/>
    </xf>
    <xf numFmtId="0" fontId="23" fillId="0" borderId="12" xfId="6" applyFont="1" applyFill="1" applyBorder="1" applyAlignment="1">
      <alignment horizontal="center" vertical="center" wrapText="1"/>
    </xf>
    <xf numFmtId="169" fontId="23" fillId="0" borderId="0" xfId="0" applyNumberFormat="1" applyFont="1" applyFill="1" applyAlignment="1">
      <alignment horizontal="center" vertical="center"/>
    </xf>
    <xf numFmtId="0" fontId="1" fillId="0" borderId="53" xfId="0" applyFont="1" applyFill="1" applyBorder="1" applyAlignment="1">
      <alignment horizontal="left" vertical="center" wrapText="1"/>
    </xf>
    <xf numFmtId="0" fontId="35" fillId="0" borderId="26" xfId="0" applyFont="1" applyBorder="1" applyAlignment="1">
      <alignment horizontal="center" vertical="center"/>
    </xf>
    <xf numFmtId="0" fontId="35" fillId="0" borderId="27" xfId="0" applyFont="1" applyBorder="1" applyAlignment="1">
      <alignment horizontal="center" vertical="center"/>
    </xf>
    <xf numFmtId="0" fontId="36" fillId="0" borderId="4" xfId="0" applyFont="1" applyBorder="1" applyAlignment="1">
      <alignment horizontal="center" vertical="center"/>
    </xf>
    <xf numFmtId="0" fontId="1" fillId="0" borderId="52" xfId="0" applyFont="1" applyFill="1" applyBorder="1" applyAlignment="1">
      <alignment horizontal="center" vertical="center"/>
    </xf>
    <xf numFmtId="44" fontId="1" fillId="0" borderId="52" xfId="4" applyNumberFormat="1" applyFont="1" applyFill="1" applyBorder="1" applyAlignment="1">
      <alignment horizontal="center" vertical="center"/>
    </xf>
    <xf numFmtId="0" fontId="10" fillId="0" borderId="57" xfId="0" applyFont="1" applyBorder="1" applyAlignment="1">
      <alignment horizontal="center" vertical="center"/>
    </xf>
    <xf numFmtId="0" fontId="10" fillId="0" borderId="58" xfId="0" applyFont="1" applyBorder="1" applyAlignment="1">
      <alignment horizontal="left" vertical="center"/>
    </xf>
    <xf numFmtId="0" fontId="11" fillId="0" borderId="58" xfId="0" applyFont="1" applyBorder="1" applyAlignment="1">
      <alignment horizontal="center" vertical="center"/>
    </xf>
    <xf numFmtId="0" fontId="11" fillId="0" borderId="58" xfId="0" applyFont="1" applyBorder="1" applyAlignment="1">
      <alignment horizontal="center" vertical="center" wrapText="1"/>
    </xf>
    <xf numFmtId="167" fontId="11" fillId="0" borderId="58" xfId="0" applyNumberFormat="1" applyFont="1" applyBorder="1" applyAlignment="1">
      <alignment horizontal="center" vertical="center" wrapText="1"/>
    </xf>
    <xf numFmtId="3" fontId="11" fillId="0" borderId="59" xfId="0" applyNumberFormat="1" applyFont="1" applyBorder="1" applyAlignment="1">
      <alignment horizontal="center" vertical="center"/>
    </xf>
    <xf numFmtId="0" fontId="10" fillId="0" borderId="52" xfId="0" applyFont="1" applyBorder="1" applyAlignment="1">
      <alignment horizontal="center" vertical="center"/>
    </xf>
    <xf numFmtId="0" fontId="10" fillId="0" borderId="52" xfId="0" applyFont="1" applyBorder="1" applyAlignment="1">
      <alignment horizontal="left" vertical="center"/>
    </xf>
    <xf numFmtId="0" fontId="11" fillId="0" borderId="52" xfId="0" applyFont="1" applyBorder="1" applyAlignment="1">
      <alignment horizontal="center" vertical="center"/>
    </xf>
    <xf numFmtId="0" fontId="11" fillId="0" borderId="52" xfId="0" applyFont="1" applyBorder="1" applyAlignment="1">
      <alignment horizontal="center" vertical="center" wrapText="1"/>
    </xf>
    <xf numFmtId="167" fontId="11" fillId="0" borderId="52" xfId="0" applyNumberFormat="1" applyFont="1" applyBorder="1" applyAlignment="1">
      <alignment horizontal="center" vertical="center" wrapText="1"/>
    </xf>
    <xf numFmtId="3" fontId="11" fillId="0" borderId="52" xfId="0" applyNumberFormat="1" applyFont="1" applyBorder="1" applyAlignment="1">
      <alignment horizontal="center" vertical="center"/>
    </xf>
    <xf numFmtId="0" fontId="23" fillId="0" borderId="0" xfId="0" applyFont="1" applyFill="1" applyBorder="1" applyAlignment="1">
      <alignment vertical="center"/>
    </xf>
    <xf numFmtId="168" fontId="23" fillId="0" borderId="0" xfId="0" applyNumberFormat="1" applyFont="1" applyFill="1" applyAlignment="1">
      <alignment vertical="center"/>
    </xf>
    <xf numFmtId="0" fontId="23" fillId="0" borderId="7" xfId="0" applyFont="1" applyFill="1" applyBorder="1" applyAlignment="1">
      <alignment vertical="center"/>
    </xf>
    <xf numFmtId="169" fontId="23" fillId="0" borderId="0" xfId="0" applyNumberFormat="1" applyFont="1" applyFill="1" applyAlignment="1">
      <alignment vertical="center"/>
    </xf>
    <xf numFmtId="0" fontId="23" fillId="0" borderId="0" xfId="5" applyFont="1" applyFill="1" applyBorder="1" applyAlignment="1">
      <alignment vertical="center" wrapText="1"/>
    </xf>
    <xf numFmtId="0" fontId="23" fillId="0" borderId="7" xfId="5" applyFont="1" applyFill="1" applyBorder="1" applyAlignment="1">
      <alignment vertical="center" wrapText="1"/>
    </xf>
    <xf numFmtId="0" fontId="23" fillId="0" borderId="12" xfId="6" applyFont="1" applyBorder="1" applyAlignment="1">
      <alignment horizontal="center" vertical="center" wrapText="1"/>
    </xf>
    <xf numFmtId="0" fontId="23" fillId="0" borderId="0" xfId="5" applyFont="1" applyFill="1" applyBorder="1" applyAlignment="1">
      <alignment horizontal="left" vertical="center" wrapText="1"/>
    </xf>
    <xf numFmtId="0" fontId="23" fillId="0" borderId="7" xfId="5" applyFont="1" applyFill="1" applyBorder="1" applyAlignment="1">
      <alignment horizontal="left" vertical="center" wrapText="1"/>
    </xf>
    <xf numFmtId="0" fontId="23" fillId="0" borderId="0" xfId="6" applyFont="1" applyFill="1" applyBorder="1" applyAlignment="1">
      <alignment horizontal="left" vertical="center"/>
    </xf>
    <xf numFmtId="0" fontId="23" fillId="0" borderId="7" xfId="6" applyFont="1" applyFill="1" applyBorder="1" applyAlignment="1">
      <alignment horizontal="left" vertical="center"/>
    </xf>
    <xf numFmtId="0" fontId="25" fillId="0" borderId="0" xfId="0" applyFont="1" applyFill="1" applyBorder="1" applyAlignment="1">
      <alignment horizontal="left" vertical="center" wrapText="1"/>
    </xf>
    <xf numFmtId="0" fontId="31" fillId="0" borderId="16" xfId="0" applyFont="1" applyFill="1" applyBorder="1" applyAlignment="1">
      <alignment horizontal="center"/>
    </xf>
    <xf numFmtId="0" fontId="31" fillId="0" borderId="51" xfId="0" applyFont="1" applyFill="1" applyBorder="1" applyAlignment="1">
      <alignment horizontal="center"/>
    </xf>
    <xf numFmtId="0" fontId="31" fillId="0" borderId="17" xfId="0" applyFont="1" applyFill="1" applyBorder="1" applyAlignment="1">
      <alignment horizontal="center"/>
    </xf>
    <xf numFmtId="0" fontId="34" fillId="0" borderId="18" xfId="6" applyFont="1" applyFill="1" applyBorder="1" applyAlignment="1">
      <alignment horizontal="left" vertical="center" wrapText="1"/>
    </xf>
    <xf numFmtId="0" fontId="34" fillId="0" borderId="43" xfId="6" applyFont="1" applyFill="1" applyBorder="1" applyAlignment="1">
      <alignment horizontal="left" vertical="center" wrapText="1"/>
    </xf>
    <xf numFmtId="0" fontId="24" fillId="0" borderId="0" xfId="0" applyFont="1" applyFill="1" applyBorder="1" applyAlignment="1">
      <alignment horizontal="center"/>
    </xf>
    <xf numFmtId="0" fontId="26" fillId="0" borderId="0" xfId="0" applyFont="1" applyFill="1" applyBorder="1" applyAlignment="1">
      <alignment horizontal="left" wrapText="1" indent="1"/>
    </xf>
    <xf numFmtId="0" fontId="8" fillId="0" borderId="60" xfId="0" applyFont="1" applyBorder="1" applyAlignment="1">
      <alignment vertical="center" wrapText="1"/>
    </xf>
    <xf numFmtId="0" fontId="8" fillId="0" borderId="61" xfId="0" applyFont="1" applyBorder="1" applyAlignment="1">
      <alignment vertical="center" wrapText="1"/>
    </xf>
    <xf numFmtId="0" fontId="8" fillId="0" borderId="62" xfId="0" applyFont="1" applyBorder="1" applyAlignment="1">
      <alignment vertical="center" wrapText="1"/>
    </xf>
    <xf numFmtId="0" fontId="8" fillId="0" borderId="10" xfId="0" applyFont="1" applyBorder="1" applyAlignment="1">
      <alignment horizontal="left" vertical="center" wrapText="1"/>
    </xf>
    <xf numFmtId="0" fontId="8" fillId="0" borderId="58" xfId="0" applyFont="1" applyBorder="1" applyAlignment="1">
      <alignment vertical="center" wrapText="1"/>
    </xf>
    <xf numFmtId="0" fontId="21" fillId="0" borderId="55" xfId="0" applyFont="1" applyBorder="1" applyAlignment="1">
      <alignment horizontal="left" vertical="center" wrapText="1"/>
    </xf>
    <xf numFmtId="0" fontId="12" fillId="0" borderId="9" xfId="0" applyFont="1" applyBorder="1" applyAlignment="1">
      <alignment horizontal="left" vertical="center" wrapText="1" indent="1"/>
    </xf>
    <xf numFmtId="167" fontId="19" fillId="0" borderId="16" xfId="0" applyNumberFormat="1" applyFont="1" applyBorder="1" applyAlignment="1">
      <alignment horizontal="center" vertical="center"/>
    </xf>
    <xf numFmtId="167" fontId="19" fillId="0" borderId="17" xfId="0" applyNumberFormat="1" applyFont="1" applyBorder="1" applyAlignment="1">
      <alignment horizontal="center" vertical="center"/>
    </xf>
    <xf numFmtId="0" fontId="8" fillId="0" borderId="11" xfId="0" applyFont="1" applyBorder="1" applyAlignment="1">
      <alignment horizontal="left" vertical="center"/>
    </xf>
    <xf numFmtId="0" fontId="9" fillId="0" borderId="13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 wrapText="1"/>
    </xf>
    <xf numFmtId="0" fontId="9" fillId="0" borderId="15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/>
    </xf>
    <xf numFmtId="0" fontId="8" fillId="0" borderId="8" xfId="0" applyFont="1" applyBorder="1" applyAlignment="1">
      <alignment horizontal="left" vertical="center" wrapText="1"/>
    </xf>
    <xf numFmtId="0" fontId="15" fillId="0" borderId="37" xfId="0" applyFont="1" applyBorder="1" applyAlignment="1">
      <alignment horizontal="center" vertical="center" wrapText="1"/>
    </xf>
    <xf numFmtId="0" fontId="15" fillId="0" borderId="38" xfId="0" applyFont="1" applyBorder="1" applyAlignment="1">
      <alignment horizontal="center" vertical="center" wrapText="1"/>
    </xf>
    <xf numFmtId="0" fontId="15" fillId="0" borderId="39" xfId="0" applyFont="1" applyBorder="1" applyAlignment="1">
      <alignment horizontal="center" vertical="center" wrapText="1"/>
    </xf>
    <xf numFmtId="0" fontId="0" fillId="0" borderId="29" xfId="0" applyFont="1" applyBorder="1" applyAlignment="1">
      <alignment horizontal="left" vertical="center"/>
    </xf>
    <xf numFmtId="0" fontId="0" fillId="0" borderId="29" xfId="0" applyBorder="1" applyAlignment="1">
      <alignment horizontal="left" vertical="center"/>
    </xf>
    <xf numFmtId="0" fontId="0" fillId="0" borderId="32" xfId="0" applyBorder="1" applyAlignment="1">
      <alignment horizontal="left" vertical="center"/>
    </xf>
    <xf numFmtId="0" fontId="13" fillId="0" borderId="35" xfId="0" applyFont="1" applyBorder="1" applyAlignment="1">
      <alignment horizontal="left" vertical="center" wrapText="1"/>
    </xf>
    <xf numFmtId="0" fontId="0" fillId="0" borderId="22" xfId="0" applyBorder="1"/>
    <xf numFmtId="0" fontId="13" fillId="0" borderId="9" xfId="0" applyFont="1" applyBorder="1" applyAlignment="1">
      <alignment vertical="center" wrapText="1"/>
    </xf>
    <xf numFmtId="0" fontId="15" fillId="0" borderId="25" xfId="0" applyFont="1" applyBorder="1" applyAlignment="1">
      <alignment vertical="center" wrapText="1"/>
    </xf>
    <xf numFmtId="0" fontId="0" fillId="0" borderId="29" xfId="0" applyFont="1" applyBorder="1" applyAlignment="1">
      <alignment horizontal="center" vertical="center"/>
    </xf>
    <xf numFmtId="0" fontId="18" fillId="0" borderId="28" xfId="0" applyFont="1" applyBorder="1" applyAlignment="1">
      <alignment horizontal="left" vertical="center" wrapText="1"/>
    </xf>
    <xf numFmtId="0" fontId="18" fillId="0" borderId="40" xfId="0" applyFont="1" applyBorder="1" applyAlignment="1">
      <alignment horizontal="left" vertical="center" wrapText="1"/>
    </xf>
    <xf numFmtId="0" fontId="0" fillId="0" borderId="29" xfId="0" applyBorder="1" applyAlignment="1">
      <alignment horizontal="center"/>
    </xf>
    <xf numFmtId="0" fontId="16" fillId="0" borderId="21" xfId="0" applyFont="1" applyBorder="1" applyAlignment="1">
      <alignment horizontal="left"/>
    </xf>
    <xf numFmtId="0" fontId="15" fillId="0" borderId="22" xfId="0" applyFont="1" applyBorder="1" applyAlignment="1">
      <alignment horizontal="left"/>
    </xf>
    <xf numFmtId="49" fontId="15" fillId="0" borderId="23" xfId="0" applyNumberFormat="1" applyFont="1" applyBorder="1" applyAlignment="1">
      <alignment horizontal="justify" vertical="center" wrapText="1"/>
    </xf>
    <xf numFmtId="0" fontId="17" fillId="0" borderId="22" xfId="0" applyFont="1" applyBorder="1" applyAlignment="1">
      <alignment horizontal="center" vertical="center"/>
    </xf>
    <xf numFmtId="0" fontId="17" fillId="0" borderId="42" xfId="0" applyFont="1" applyBorder="1" applyAlignment="1">
      <alignment horizontal="center" vertical="center"/>
    </xf>
    <xf numFmtId="0" fontId="17" fillId="0" borderId="14" xfId="0" applyFont="1" applyBorder="1" applyAlignment="1">
      <alignment horizontal="center" vertical="center" wrapText="1"/>
    </xf>
    <xf numFmtId="0" fontId="17" fillId="0" borderId="48" xfId="0" applyFont="1" applyBorder="1" applyAlignment="1">
      <alignment horizontal="center" vertical="center" wrapText="1"/>
    </xf>
    <xf numFmtId="0" fontId="17" fillId="0" borderId="43" xfId="0" applyFont="1" applyBorder="1" applyAlignment="1">
      <alignment horizontal="center" vertical="center"/>
    </xf>
    <xf numFmtId="0" fontId="17" fillId="0" borderId="49" xfId="0" applyFont="1" applyBorder="1" applyAlignment="1">
      <alignment horizontal="center" vertical="center"/>
    </xf>
    <xf numFmtId="0" fontId="11" fillId="0" borderId="19" xfId="0" applyFont="1" applyBorder="1" applyAlignment="1">
      <alignment horizontal="left" vertical="center" wrapText="1"/>
    </xf>
    <xf numFmtId="0" fontId="3" fillId="0" borderId="20" xfId="0" applyFont="1" applyBorder="1" applyAlignment="1">
      <alignment horizontal="left" indent="1"/>
    </xf>
    <xf numFmtId="0" fontId="0" fillId="0" borderId="16" xfId="0" applyFont="1" applyBorder="1" applyAlignment="1">
      <alignment horizontal="center"/>
    </xf>
    <xf numFmtId="3" fontId="13" fillId="0" borderId="17" xfId="0" applyNumberFormat="1" applyFont="1" applyBorder="1" applyAlignment="1">
      <alignment horizontal="center"/>
    </xf>
    <xf numFmtId="0" fontId="14" fillId="0" borderId="4" xfId="0" applyFont="1" applyBorder="1" applyAlignment="1">
      <alignment horizontal="center" vertical="center" wrapText="1"/>
    </xf>
    <xf numFmtId="0" fontId="3" fillId="0" borderId="19" xfId="0" applyFont="1" applyBorder="1"/>
  </cellXfs>
  <cellStyles count="7">
    <cellStyle name="Encabezado 1" xfId="1"/>
    <cellStyle name="Moneda" xfId="4" builtinId="4"/>
    <cellStyle name="Moneda_AUTORIZACION Y NOTA DE PEDIDO" xfId="2"/>
    <cellStyle name="Neutral 1" xfId="3"/>
    <cellStyle name="Normal" xfId="0" builtinId="0"/>
    <cellStyle name="Normal 2 2" xfId="6"/>
    <cellStyle name="Normal 2 3" xfId="5"/>
  </cellStyles>
  <dxfs count="4"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D3D3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2" name="CustomShape 1" hidden="1">
          <a:extLst>
            <a:ext uri="{FF2B5EF4-FFF2-40B4-BE49-F238E27FC236}">
              <a16:creationId xmlns:a16="http://schemas.microsoft.com/office/drawing/2014/main" xmlns="" id="{00000000-0008-0000-0100-000002000000}"/>
            </a:ext>
          </a:extLst>
        </xdr:cNvPr>
        <xdr:cNvSpPr/>
      </xdr:nvSpPr>
      <xdr:spPr>
        <a:xfrm>
          <a:off x="720396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3" name="CustomShape 1" hidden="1">
          <a:extLst>
            <a:ext uri="{FF2B5EF4-FFF2-40B4-BE49-F238E27FC236}">
              <a16:creationId xmlns:a16="http://schemas.microsoft.com/office/drawing/2014/main" xmlns="" id="{00000000-0008-0000-0100-000003000000}"/>
            </a:ext>
          </a:extLst>
        </xdr:cNvPr>
        <xdr:cNvSpPr/>
      </xdr:nvSpPr>
      <xdr:spPr>
        <a:xfrm>
          <a:off x="720396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4" name="CustomShape 1" hidden="1">
          <a:extLst>
            <a:ext uri="{FF2B5EF4-FFF2-40B4-BE49-F238E27FC236}">
              <a16:creationId xmlns:a16="http://schemas.microsoft.com/office/drawing/2014/main" xmlns="" id="{00000000-0008-0000-0100-000004000000}"/>
            </a:ext>
          </a:extLst>
        </xdr:cNvPr>
        <xdr:cNvSpPr/>
      </xdr:nvSpPr>
      <xdr:spPr>
        <a:xfrm>
          <a:off x="720396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5" name="CustomShape 1" hidden="1">
          <a:extLst>
            <a:ext uri="{FF2B5EF4-FFF2-40B4-BE49-F238E27FC236}">
              <a16:creationId xmlns:a16="http://schemas.microsoft.com/office/drawing/2014/main" xmlns="" id="{00000000-0008-0000-0100-000005000000}"/>
            </a:ext>
          </a:extLst>
        </xdr:cNvPr>
        <xdr:cNvSpPr/>
      </xdr:nvSpPr>
      <xdr:spPr>
        <a:xfrm>
          <a:off x="720396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0"/>
  <sheetViews>
    <sheetView workbookViewId="0">
      <selection activeCell="D24" sqref="D24:E24"/>
    </sheetView>
  </sheetViews>
  <sheetFormatPr baseColWidth="10" defaultColWidth="11" defaultRowHeight="12.75" x14ac:dyDescent="0.2"/>
  <cols>
    <col min="1" max="1" width="5.85546875" style="47" customWidth="1"/>
    <col min="2" max="2" width="14" style="47" customWidth="1"/>
    <col min="3" max="3" width="21.42578125" style="47" customWidth="1"/>
    <col min="4" max="4" width="8.42578125" style="47" customWidth="1"/>
    <col min="5" max="5" width="75.42578125" style="47" customWidth="1"/>
    <col min="6" max="6" width="13.5703125" style="47" customWidth="1"/>
    <col min="7" max="7" width="10.42578125" style="47" bestFit="1" customWidth="1"/>
    <col min="8" max="8" width="15.7109375" style="47" customWidth="1"/>
    <col min="9" max="9" width="18.5703125" style="48" customWidth="1"/>
    <col min="10" max="12" width="11" style="47"/>
    <col min="13" max="13" width="12" style="47" bestFit="1" customWidth="1"/>
    <col min="14" max="16384" width="11" style="47"/>
  </cols>
  <sheetData>
    <row r="1" spans="1:11" x14ac:dyDescent="0.2">
      <c r="A1" s="47">
        <v>2022</v>
      </c>
    </row>
    <row r="2" spans="1:11" ht="27" x14ac:dyDescent="0.35">
      <c r="B2" s="125" t="s">
        <v>45</v>
      </c>
      <c r="C2" s="125"/>
      <c r="D2" s="125"/>
      <c r="E2" s="125"/>
      <c r="F2" s="125"/>
      <c r="G2" s="125"/>
      <c r="H2" s="125"/>
    </row>
    <row r="4" spans="1:11" ht="15.75" x14ac:dyDescent="0.25">
      <c r="A4" s="119" t="s">
        <v>46</v>
      </c>
      <c r="B4" s="119"/>
      <c r="C4" s="126" t="s">
        <v>47</v>
      </c>
      <c r="D4" s="126"/>
      <c r="E4" s="126"/>
      <c r="F4" s="49"/>
      <c r="G4" s="50"/>
      <c r="H4" s="49"/>
    </row>
    <row r="5" spans="1:11" ht="15.75" x14ac:dyDescent="0.25">
      <c r="A5" s="119" t="s">
        <v>48</v>
      </c>
      <c r="B5" s="119"/>
      <c r="C5" s="126" t="s">
        <v>49</v>
      </c>
      <c r="D5" s="126"/>
      <c r="E5" s="126"/>
      <c r="F5" s="49"/>
      <c r="G5" s="50"/>
      <c r="H5" s="49"/>
    </row>
    <row r="6" spans="1:11" ht="15.75" x14ac:dyDescent="0.25">
      <c r="A6" s="119" t="s">
        <v>15</v>
      </c>
      <c r="B6" s="119"/>
      <c r="C6" s="51">
        <v>2022</v>
      </c>
      <c r="D6" s="52"/>
      <c r="E6" s="52"/>
      <c r="F6" s="49"/>
      <c r="G6" s="50"/>
      <c r="H6" s="49"/>
    </row>
    <row r="7" spans="1:11" ht="15.75" x14ac:dyDescent="0.25">
      <c r="A7" s="119" t="s">
        <v>50</v>
      </c>
      <c r="B7" s="119"/>
      <c r="C7" s="51">
        <v>3</v>
      </c>
      <c r="D7" s="52"/>
      <c r="E7" s="52"/>
      <c r="F7" s="49"/>
      <c r="G7" s="50"/>
      <c r="H7" s="49"/>
    </row>
    <row r="8" spans="1:11" x14ac:dyDescent="0.2">
      <c r="B8" s="49"/>
      <c r="C8" s="50"/>
      <c r="D8" s="49"/>
      <c r="E8" s="49"/>
      <c r="F8" s="49"/>
      <c r="G8" s="50"/>
      <c r="H8" s="49"/>
    </row>
    <row r="9" spans="1:11" ht="38.25" x14ac:dyDescent="0.2">
      <c r="A9" s="77" t="s">
        <v>51</v>
      </c>
      <c r="B9" s="77" t="s">
        <v>52</v>
      </c>
      <c r="C9" s="77" t="s">
        <v>53</v>
      </c>
      <c r="D9" s="77" t="s">
        <v>54</v>
      </c>
      <c r="E9" s="77" t="s">
        <v>55</v>
      </c>
      <c r="F9" s="77" t="s">
        <v>56</v>
      </c>
      <c r="G9" s="77" t="s">
        <v>57</v>
      </c>
      <c r="H9" s="77" t="s">
        <v>58</v>
      </c>
      <c r="I9" s="78" t="s">
        <v>59</v>
      </c>
    </row>
    <row r="10" spans="1:11" s="81" customFormat="1" ht="24.75" customHeight="1" x14ac:dyDescent="0.2">
      <c r="A10" s="53">
        <v>1</v>
      </c>
      <c r="B10" s="54" t="s">
        <v>41</v>
      </c>
      <c r="C10" s="55" t="s">
        <v>67</v>
      </c>
      <c r="D10" s="56" t="s">
        <v>66</v>
      </c>
      <c r="E10" s="90" t="s">
        <v>40</v>
      </c>
      <c r="F10" s="54" t="s">
        <v>77</v>
      </c>
      <c r="G10" s="79">
        <v>1</v>
      </c>
      <c r="H10" s="80">
        <v>8000000</v>
      </c>
      <c r="I10" s="57">
        <f t="shared" ref="I10:I17" si="0">+G10*H10</f>
        <v>8000000</v>
      </c>
      <c r="K10" s="82"/>
    </row>
    <row r="11" spans="1:11" s="81" customFormat="1" ht="24.75" customHeight="1" x14ac:dyDescent="0.2">
      <c r="A11" s="94">
        <v>2</v>
      </c>
      <c r="B11" s="54" t="s">
        <v>41</v>
      </c>
      <c r="C11" s="55" t="s">
        <v>67</v>
      </c>
      <c r="D11" s="56" t="s">
        <v>66</v>
      </c>
      <c r="E11" s="90" t="s">
        <v>40</v>
      </c>
      <c r="F11" s="54" t="s">
        <v>77</v>
      </c>
      <c r="G11" s="79">
        <v>1</v>
      </c>
      <c r="H11" s="95">
        <v>7000000</v>
      </c>
      <c r="I11" s="57">
        <f t="shared" si="0"/>
        <v>7000000</v>
      </c>
      <c r="K11" s="82"/>
    </row>
    <row r="12" spans="1:11" s="81" customFormat="1" ht="24.75" customHeight="1" x14ac:dyDescent="0.2">
      <c r="A12" s="94">
        <v>3</v>
      </c>
      <c r="B12" s="54" t="s">
        <v>41</v>
      </c>
      <c r="C12" s="55" t="s">
        <v>67</v>
      </c>
      <c r="D12" s="56" t="s">
        <v>66</v>
      </c>
      <c r="E12" s="90" t="s">
        <v>40</v>
      </c>
      <c r="F12" s="54" t="s">
        <v>77</v>
      </c>
      <c r="G12" s="79">
        <v>1</v>
      </c>
      <c r="H12" s="95">
        <v>7000000</v>
      </c>
      <c r="I12" s="57">
        <f t="shared" si="0"/>
        <v>7000000</v>
      </c>
      <c r="K12" s="82"/>
    </row>
    <row r="13" spans="1:11" s="81" customFormat="1" ht="24.75" customHeight="1" x14ac:dyDescent="0.2">
      <c r="A13" s="94">
        <v>4</v>
      </c>
      <c r="B13" s="54" t="s">
        <v>41</v>
      </c>
      <c r="C13" s="55" t="s">
        <v>67</v>
      </c>
      <c r="D13" s="56" t="s">
        <v>66</v>
      </c>
      <c r="E13" s="90" t="s">
        <v>40</v>
      </c>
      <c r="F13" s="54" t="s">
        <v>77</v>
      </c>
      <c r="G13" s="79">
        <v>1</v>
      </c>
      <c r="H13" s="95">
        <v>7000000</v>
      </c>
      <c r="I13" s="57">
        <f t="shared" si="0"/>
        <v>7000000</v>
      </c>
      <c r="K13" s="82"/>
    </row>
    <row r="14" spans="1:11" s="81" customFormat="1" ht="24.75" customHeight="1" x14ac:dyDescent="0.2">
      <c r="A14" s="94">
        <v>5</v>
      </c>
      <c r="B14" s="54" t="s">
        <v>41</v>
      </c>
      <c r="C14" s="55" t="s">
        <v>67</v>
      </c>
      <c r="D14" s="56" t="s">
        <v>66</v>
      </c>
      <c r="E14" s="90" t="s">
        <v>40</v>
      </c>
      <c r="F14" s="54" t="s">
        <v>77</v>
      </c>
      <c r="G14" s="79">
        <v>1</v>
      </c>
      <c r="H14" s="95">
        <v>7000000</v>
      </c>
      <c r="I14" s="57">
        <f t="shared" si="0"/>
        <v>7000000</v>
      </c>
      <c r="K14" s="82"/>
    </row>
    <row r="15" spans="1:11" s="81" customFormat="1" ht="24.75" customHeight="1" x14ac:dyDescent="0.2">
      <c r="A15" s="94">
        <v>6</v>
      </c>
      <c r="B15" s="54" t="s">
        <v>41</v>
      </c>
      <c r="C15" s="55" t="s">
        <v>67</v>
      </c>
      <c r="D15" s="56" t="s">
        <v>66</v>
      </c>
      <c r="E15" s="90" t="s">
        <v>40</v>
      </c>
      <c r="F15" s="54" t="s">
        <v>77</v>
      </c>
      <c r="G15" s="79">
        <v>1</v>
      </c>
      <c r="H15" s="95">
        <v>8000000</v>
      </c>
      <c r="I15" s="57">
        <f t="shared" si="0"/>
        <v>8000000</v>
      </c>
      <c r="K15" s="82"/>
    </row>
    <row r="16" spans="1:11" s="81" customFormat="1" ht="24.75" customHeight="1" x14ac:dyDescent="0.2">
      <c r="A16" s="94">
        <v>7</v>
      </c>
      <c r="B16" s="54" t="s">
        <v>41</v>
      </c>
      <c r="C16" s="55" t="s">
        <v>67</v>
      </c>
      <c r="D16" s="56" t="s">
        <v>66</v>
      </c>
      <c r="E16" s="90" t="s">
        <v>40</v>
      </c>
      <c r="F16" s="54" t="s">
        <v>77</v>
      </c>
      <c r="G16" s="79">
        <v>1</v>
      </c>
      <c r="H16" s="95">
        <v>8000000</v>
      </c>
      <c r="I16" s="57">
        <f t="shared" si="0"/>
        <v>8000000</v>
      </c>
      <c r="K16" s="82"/>
    </row>
    <row r="17" spans="1:11" s="81" customFormat="1" ht="24.75" customHeight="1" thickBot="1" x14ac:dyDescent="0.25">
      <c r="A17" s="53">
        <v>8</v>
      </c>
      <c r="B17" s="54" t="s">
        <v>41</v>
      </c>
      <c r="C17" s="55" t="s">
        <v>67</v>
      </c>
      <c r="D17" s="56" t="s">
        <v>66</v>
      </c>
      <c r="E17" s="90" t="s">
        <v>40</v>
      </c>
      <c r="F17" s="54" t="s">
        <v>77</v>
      </c>
      <c r="G17" s="79">
        <v>1</v>
      </c>
      <c r="H17" s="80">
        <v>7800000</v>
      </c>
      <c r="I17" s="57">
        <f t="shared" si="0"/>
        <v>7800000</v>
      </c>
      <c r="K17" s="82"/>
    </row>
    <row r="18" spans="1:11" ht="13.5" thickBot="1" x14ac:dyDescent="0.25">
      <c r="A18" s="120" t="s">
        <v>68</v>
      </c>
      <c r="B18" s="121"/>
      <c r="C18" s="121"/>
      <c r="D18" s="121"/>
      <c r="E18" s="121"/>
      <c r="F18" s="121"/>
      <c r="G18" s="121"/>
      <c r="H18" s="122"/>
      <c r="I18" s="58">
        <f>SUM(I10:I17)</f>
        <v>59800000</v>
      </c>
    </row>
    <row r="19" spans="1:11" ht="13.5" thickBot="1" x14ac:dyDescent="0.25"/>
    <row r="20" spans="1:11" s="81" customFormat="1" ht="41.25" customHeight="1" x14ac:dyDescent="0.2">
      <c r="B20" s="108"/>
      <c r="C20" s="87" t="s">
        <v>75</v>
      </c>
      <c r="D20" s="123" t="s">
        <v>71</v>
      </c>
      <c r="E20" s="124"/>
      <c r="I20" s="109"/>
    </row>
    <row r="21" spans="1:11" s="81" customFormat="1" x14ac:dyDescent="0.2">
      <c r="B21" s="108"/>
      <c r="C21" s="88"/>
      <c r="D21" s="60"/>
      <c r="E21" s="110"/>
      <c r="I21" s="109"/>
    </row>
    <row r="22" spans="1:11" s="81" customFormat="1" x14ac:dyDescent="0.2">
      <c r="B22" s="108"/>
      <c r="C22" s="88" t="s">
        <v>60</v>
      </c>
      <c r="D22" s="61" t="s">
        <v>61</v>
      </c>
      <c r="E22" s="110"/>
      <c r="I22" s="109"/>
    </row>
    <row r="23" spans="1:11" s="81" customFormat="1" x14ac:dyDescent="0.2">
      <c r="B23" s="108"/>
      <c r="C23" s="88"/>
      <c r="D23" s="62"/>
      <c r="E23" s="110"/>
      <c r="I23" s="109"/>
    </row>
    <row r="24" spans="1:11" s="81" customFormat="1" ht="27" customHeight="1" x14ac:dyDescent="0.2">
      <c r="B24" s="108"/>
      <c r="C24" s="88" t="s">
        <v>62</v>
      </c>
      <c r="D24" s="117" t="s">
        <v>69</v>
      </c>
      <c r="E24" s="118"/>
      <c r="F24" s="64"/>
      <c r="G24" s="64"/>
      <c r="H24" s="111"/>
      <c r="I24" s="109"/>
    </row>
    <row r="25" spans="1:11" s="81" customFormat="1" x14ac:dyDescent="0.2">
      <c r="B25" s="112"/>
      <c r="C25" s="88"/>
      <c r="D25" s="63"/>
      <c r="E25" s="113"/>
      <c r="F25" s="64"/>
      <c r="G25" s="89"/>
      <c r="H25" s="111"/>
      <c r="I25" s="109"/>
    </row>
    <row r="26" spans="1:11" s="81" customFormat="1" ht="17.25" customHeight="1" x14ac:dyDescent="0.2">
      <c r="B26" s="112"/>
      <c r="C26" s="114" t="s">
        <v>63</v>
      </c>
      <c r="D26" s="65"/>
      <c r="E26" s="113"/>
      <c r="F26" s="66"/>
      <c r="G26" s="66"/>
      <c r="H26" s="111"/>
      <c r="I26" s="109"/>
    </row>
    <row r="27" spans="1:11" s="81" customFormat="1" x14ac:dyDescent="0.2">
      <c r="B27" s="112"/>
      <c r="C27" s="114"/>
      <c r="D27" s="65"/>
      <c r="E27" s="113"/>
      <c r="F27" s="66"/>
      <c r="G27" s="66"/>
      <c r="H27" s="111"/>
    </row>
    <row r="28" spans="1:11" s="81" customFormat="1" x14ac:dyDescent="0.2">
      <c r="B28" s="115"/>
      <c r="C28" s="114" t="s">
        <v>64</v>
      </c>
      <c r="D28" s="67" t="s">
        <v>65</v>
      </c>
      <c r="E28" s="116"/>
      <c r="F28" s="66"/>
      <c r="G28" s="66"/>
      <c r="H28" s="111"/>
    </row>
    <row r="29" spans="1:11" ht="13.5" thickBot="1" x14ac:dyDescent="0.25">
      <c r="B29" s="68"/>
      <c r="C29" s="69"/>
      <c r="D29" s="70"/>
      <c r="E29" s="71"/>
      <c r="I29" s="47"/>
    </row>
    <row r="30" spans="1:11" x14ac:dyDescent="0.2">
      <c r="A30" s="59"/>
      <c r="B30" s="59"/>
      <c r="C30" s="59"/>
      <c r="D30" s="59"/>
      <c r="E30" s="59"/>
      <c r="F30" s="59"/>
      <c r="I30" s="47"/>
    </row>
  </sheetData>
  <mergeCells count="10">
    <mergeCell ref="D24:E24"/>
    <mergeCell ref="A7:B7"/>
    <mergeCell ref="A18:H18"/>
    <mergeCell ref="D20:E20"/>
    <mergeCell ref="B2:H2"/>
    <mergeCell ref="A4:B4"/>
    <mergeCell ref="C4:E4"/>
    <mergeCell ref="A5:B5"/>
    <mergeCell ref="C5:E5"/>
    <mergeCell ref="A6:B6"/>
  </mergeCells>
  <conditionalFormatting sqref="C22:C28">
    <cfRule type="duplicateValues" dxfId="3" priority="1"/>
  </conditionalFormatting>
  <conditionalFormatting sqref="C22:C28">
    <cfRule type="duplicateValues" dxfId="2" priority="2"/>
  </conditionalFormatting>
  <conditionalFormatting sqref="C22:C28">
    <cfRule type="duplicateValues" dxfId="1" priority="3"/>
  </conditionalFormatting>
  <conditionalFormatting sqref="C22:C28">
    <cfRule type="duplicateValues" dxfId="0" priority="4"/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J21"/>
  <sheetViews>
    <sheetView tabSelected="1" topLeftCell="A4" zoomScale="115" zoomScaleNormal="115" workbookViewId="0">
      <selection activeCell="P12" sqref="P12"/>
    </sheetView>
  </sheetViews>
  <sheetFormatPr baseColWidth="10" defaultColWidth="9.140625" defaultRowHeight="12.75" x14ac:dyDescent="0.2"/>
  <cols>
    <col min="1" max="1" width="5.5703125" style="1" customWidth="1"/>
    <col min="2" max="2" width="15.140625" style="1" customWidth="1"/>
    <col min="3" max="3" width="14.140625" style="1" customWidth="1"/>
    <col min="4" max="4" width="26" style="1" customWidth="1"/>
    <col min="5" max="5" width="8" style="1" customWidth="1"/>
    <col min="6" max="6" width="7.85546875" style="1" customWidth="1"/>
    <col min="7" max="7" width="28.5703125" style="1" customWidth="1"/>
    <col min="8" max="8" width="9.28515625" style="1" customWidth="1"/>
    <col min="9" max="9" width="15.5703125" style="1" customWidth="1"/>
    <col min="10" max="10" width="14.7109375" style="1" customWidth="1"/>
    <col min="11" max="11" width="15.5703125" style="1" customWidth="1"/>
    <col min="12" max="14" width="5.85546875" style="1" customWidth="1"/>
    <col min="15" max="15" width="12.5703125" style="1" customWidth="1"/>
    <col min="16" max="1024" width="9.140625" style="1"/>
  </cols>
  <sheetData>
    <row r="1" spans="1:11" ht="27" customHeight="1" x14ac:dyDescent="0.2">
      <c r="A1" s="140" t="s">
        <v>0</v>
      </c>
      <c r="B1" s="140"/>
      <c r="C1" s="140"/>
      <c r="D1" s="140"/>
      <c r="E1" s="140"/>
      <c r="F1" s="140"/>
      <c r="G1" s="140"/>
      <c r="H1" s="140"/>
      <c r="I1" s="140"/>
      <c r="J1" s="2" t="s">
        <v>1</v>
      </c>
      <c r="K1" s="93" t="s">
        <v>78</v>
      </c>
    </row>
    <row r="2" spans="1:11" ht="18.75" customHeight="1" thickBot="1" x14ac:dyDescent="0.25">
      <c r="A2" s="3"/>
      <c r="B2" s="4"/>
      <c r="C2" s="4"/>
      <c r="D2" s="5"/>
      <c r="E2" s="5"/>
      <c r="F2" s="5"/>
      <c r="G2" s="5"/>
      <c r="H2" s="5"/>
      <c r="I2" s="5"/>
      <c r="J2" s="5"/>
      <c r="K2" s="6"/>
    </row>
    <row r="3" spans="1:11" ht="18.75" customHeight="1" thickBot="1" x14ac:dyDescent="0.25">
      <c r="A3" s="141" t="s">
        <v>2</v>
      </c>
      <c r="B3" s="141"/>
      <c r="C3" s="141"/>
      <c r="D3" s="83" t="str">
        <f>NECESIDADES!C4</f>
        <v>040 - MINISTERIO DE SALUD</v>
      </c>
      <c r="E3" s="84"/>
      <c r="F3" s="84"/>
      <c r="G3" s="84"/>
      <c r="H3" s="84"/>
      <c r="I3" s="84"/>
      <c r="J3" s="84"/>
      <c r="K3" s="85"/>
    </row>
    <row r="4" spans="1:11" ht="18.75" customHeight="1" thickBot="1" x14ac:dyDescent="0.25">
      <c r="A4" s="130" t="s">
        <v>3</v>
      </c>
      <c r="B4" s="130"/>
      <c r="C4" s="130"/>
      <c r="D4" s="83" t="str">
        <f>NECESIDADES!C5</f>
        <v>011 - DIRECCION PROVINCIAL DE ADMINISTRACION - MS</v>
      </c>
      <c r="E4" s="84"/>
      <c r="F4" s="84"/>
      <c r="G4" s="84"/>
      <c r="H4" s="84"/>
      <c r="I4" s="84"/>
      <c r="J4" s="84"/>
      <c r="K4" s="85"/>
    </row>
    <row r="5" spans="1:11" ht="18.75" customHeight="1" thickBot="1" x14ac:dyDescent="0.25">
      <c r="A5" s="130" t="s">
        <v>4</v>
      </c>
      <c r="B5" s="130"/>
      <c r="C5" s="130"/>
      <c r="D5" s="83" t="s">
        <v>43</v>
      </c>
      <c r="E5" s="84"/>
      <c r="F5" s="84"/>
      <c r="G5" s="84"/>
      <c r="H5" s="84"/>
      <c r="I5" s="84"/>
      <c r="J5" s="84"/>
      <c r="K5" s="85"/>
    </row>
    <row r="6" spans="1:11" ht="16.5" customHeight="1" thickBot="1" x14ac:dyDescent="0.25">
      <c r="A6" s="141" t="s">
        <v>5</v>
      </c>
      <c r="B6" s="141"/>
      <c r="C6" s="141"/>
      <c r="D6" s="83" t="s">
        <v>76</v>
      </c>
      <c r="E6" s="84"/>
      <c r="F6" s="84"/>
      <c r="G6" s="84"/>
      <c r="H6" s="84"/>
      <c r="I6" s="84"/>
      <c r="J6" s="84"/>
      <c r="K6" s="85"/>
    </row>
    <row r="7" spans="1:11" ht="16.5" customHeight="1" thickBot="1" x14ac:dyDescent="0.25">
      <c r="A7" s="130" t="s">
        <v>6</v>
      </c>
      <c r="B7" s="130"/>
      <c r="C7" s="130"/>
      <c r="D7" s="83" t="s">
        <v>70</v>
      </c>
      <c r="E7" s="84"/>
      <c r="F7" s="84"/>
      <c r="G7" s="84"/>
      <c r="H7" s="84"/>
      <c r="I7" s="84"/>
      <c r="J7" s="84"/>
      <c r="K7" s="85"/>
    </row>
    <row r="8" spans="1:11" ht="16.5" customHeight="1" thickBot="1" x14ac:dyDescent="0.25">
      <c r="A8" s="136" t="s">
        <v>7</v>
      </c>
      <c r="B8" s="136"/>
      <c r="C8" s="136"/>
      <c r="D8" s="86" t="s">
        <v>44</v>
      </c>
      <c r="E8" s="84"/>
      <c r="F8" s="84"/>
      <c r="G8" s="84"/>
      <c r="H8" s="84"/>
      <c r="I8" s="84"/>
      <c r="J8" s="84"/>
      <c r="K8" s="85"/>
    </row>
    <row r="9" spans="1:11" ht="16.5" thickBot="1" x14ac:dyDescent="0.25">
      <c r="A9" s="7"/>
      <c r="B9" s="8"/>
      <c r="C9" s="8"/>
      <c r="D9" s="9"/>
      <c r="E9" s="9"/>
      <c r="F9" s="9"/>
      <c r="G9" s="9"/>
      <c r="H9" s="9"/>
      <c r="I9" s="9"/>
      <c r="J9" s="9"/>
      <c r="K9" s="10"/>
    </row>
    <row r="10" spans="1:11" ht="18.75" customHeight="1" thickBot="1" x14ac:dyDescent="0.25">
      <c r="A10" s="137" t="s">
        <v>8</v>
      </c>
      <c r="B10" s="138" t="s">
        <v>9</v>
      </c>
      <c r="C10" s="138" t="s">
        <v>10</v>
      </c>
      <c r="D10" s="138"/>
      <c r="E10" s="138"/>
      <c r="F10" s="138"/>
      <c r="G10" s="138"/>
      <c r="H10" s="138" t="s">
        <v>11</v>
      </c>
      <c r="I10" s="138" t="s">
        <v>12</v>
      </c>
      <c r="J10" s="138" t="s">
        <v>13</v>
      </c>
      <c r="K10" s="139" t="s">
        <v>14</v>
      </c>
    </row>
    <row r="11" spans="1:11" ht="24" customHeight="1" thickBot="1" x14ac:dyDescent="0.25">
      <c r="A11" s="137"/>
      <c r="B11" s="138"/>
      <c r="C11" s="138"/>
      <c r="D11" s="138"/>
      <c r="E11" s="138"/>
      <c r="F11" s="138"/>
      <c r="G11" s="138"/>
      <c r="H11" s="138"/>
      <c r="I11" s="138"/>
      <c r="J11" s="138"/>
      <c r="K11" s="139"/>
    </row>
    <row r="12" spans="1:11" ht="39.75" customHeight="1" x14ac:dyDescent="0.2">
      <c r="A12" s="96">
        <v>1</v>
      </c>
      <c r="B12" s="97" t="str">
        <f>NECESIDADES!B10</f>
        <v>4.8.1-8125.44</v>
      </c>
      <c r="C12" s="131" t="str">
        <f>NECESIDADES!E10</f>
        <v>SOFTWARES; TIPO: GESTION Y ADMINISTRACION</v>
      </c>
      <c r="D12" s="131"/>
      <c r="E12" s="131"/>
      <c r="F12" s="131"/>
      <c r="G12" s="131"/>
      <c r="H12" s="98" t="s">
        <v>39</v>
      </c>
      <c r="I12" s="99" t="str">
        <f>NECESIDADES!F10</f>
        <v>MODULO</v>
      </c>
      <c r="J12" s="100">
        <f>NECESIDADES!H10</f>
        <v>8000000</v>
      </c>
      <c r="K12" s="101">
        <f>NECESIDADES!G10</f>
        <v>1</v>
      </c>
    </row>
    <row r="13" spans="1:11" ht="39.75" customHeight="1" x14ac:dyDescent="0.2">
      <c r="A13" s="102">
        <v>2</v>
      </c>
      <c r="B13" s="103" t="str">
        <f>NECESIDADES!B11</f>
        <v>4.8.1-8125.44</v>
      </c>
      <c r="C13" s="127" t="str">
        <f>NECESIDADES!E11</f>
        <v>SOFTWARES; TIPO: GESTION Y ADMINISTRACION</v>
      </c>
      <c r="D13" s="128"/>
      <c r="E13" s="128"/>
      <c r="F13" s="128"/>
      <c r="G13" s="129"/>
      <c r="H13" s="104" t="s">
        <v>39</v>
      </c>
      <c r="I13" s="105" t="str">
        <f>NECESIDADES!F11</f>
        <v>MODULO</v>
      </c>
      <c r="J13" s="106">
        <f>NECESIDADES!H11</f>
        <v>7000000</v>
      </c>
      <c r="K13" s="107">
        <f>NECESIDADES!G11</f>
        <v>1</v>
      </c>
    </row>
    <row r="14" spans="1:11" ht="39.75" customHeight="1" x14ac:dyDescent="0.2">
      <c r="A14" s="102">
        <v>3</v>
      </c>
      <c r="B14" s="103" t="str">
        <f>NECESIDADES!B12</f>
        <v>4.8.1-8125.44</v>
      </c>
      <c r="C14" s="127" t="str">
        <f>NECESIDADES!E12</f>
        <v>SOFTWARES; TIPO: GESTION Y ADMINISTRACION</v>
      </c>
      <c r="D14" s="128"/>
      <c r="E14" s="128"/>
      <c r="F14" s="128"/>
      <c r="G14" s="129"/>
      <c r="H14" s="104" t="s">
        <v>39</v>
      </c>
      <c r="I14" s="105" t="str">
        <f>NECESIDADES!F12</f>
        <v>MODULO</v>
      </c>
      <c r="J14" s="106">
        <f>NECESIDADES!H12</f>
        <v>7000000</v>
      </c>
      <c r="K14" s="107">
        <f>NECESIDADES!G12</f>
        <v>1</v>
      </c>
    </row>
    <row r="15" spans="1:11" ht="39.75" customHeight="1" x14ac:dyDescent="0.2">
      <c r="A15" s="102">
        <v>4</v>
      </c>
      <c r="B15" s="103" t="str">
        <f>NECESIDADES!B13</f>
        <v>4.8.1-8125.44</v>
      </c>
      <c r="C15" s="127" t="str">
        <f>NECESIDADES!E13</f>
        <v>SOFTWARES; TIPO: GESTION Y ADMINISTRACION</v>
      </c>
      <c r="D15" s="128"/>
      <c r="E15" s="128"/>
      <c r="F15" s="128"/>
      <c r="G15" s="129"/>
      <c r="H15" s="104" t="s">
        <v>39</v>
      </c>
      <c r="I15" s="105" t="str">
        <f>NECESIDADES!F13</f>
        <v>MODULO</v>
      </c>
      <c r="J15" s="106">
        <f>NECESIDADES!H13</f>
        <v>7000000</v>
      </c>
      <c r="K15" s="107">
        <f>NECESIDADES!G13</f>
        <v>1</v>
      </c>
    </row>
    <row r="16" spans="1:11" ht="39.75" customHeight="1" x14ac:dyDescent="0.2">
      <c r="A16" s="102">
        <v>5</v>
      </c>
      <c r="B16" s="103" t="str">
        <f>NECESIDADES!B14</f>
        <v>4.8.1-8125.44</v>
      </c>
      <c r="C16" s="127" t="str">
        <f>NECESIDADES!E14</f>
        <v>SOFTWARES; TIPO: GESTION Y ADMINISTRACION</v>
      </c>
      <c r="D16" s="128"/>
      <c r="E16" s="128"/>
      <c r="F16" s="128"/>
      <c r="G16" s="129"/>
      <c r="H16" s="104" t="s">
        <v>39</v>
      </c>
      <c r="I16" s="105" t="str">
        <f>NECESIDADES!F14</f>
        <v>MODULO</v>
      </c>
      <c r="J16" s="106">
        <f>NECESIDADES!H14</f>
        <v>7000000</v>
      </c>
      <c r="K16" s="107">
        <f>NECESIDADES!G14</f>
        <v>1</v>
      </c>
    </row>
    <row r="17" spans="1:11" ht="39.75" customHeight="1" x14ac:dyDescent="0.2">
      <c r="A17" s="102">
        <v>6</v>
      </c>
      <c r="B17" s="103" t="str">
        <f>NECESIDADES!B15</f>
        <v>4.8.1-8125.44</v>
      </c>
      <c r="C17" s="127" t="str">
        <f>NECESIDADES!E15</f>
        <v>SOFTWARES; TIPO: GESTION Y ADMINISTRACION</v>
      </c>
      <c r="D17" s="128"/>
      <c r="E17" s="128"/>
      <c r="F17" s="128"/>
      <c r="G17" s="129"/>
      <c r="H17" s="104" t="s">
        <v>39</v>
      </c>
      <c r="I17" s="105" t="str">
        <f>NECESIDADES!F15</f>
        <v>MODULO</v>
      </c>
      <c r="J17" s="106">
        <f>NECESIDADES!H15</f>
        <v>8000000</v>
      </c>
      <c r="K17" s="107">
        <f>NECESIDADES!G15</f>
        <v>1</v>
      </c>
    </row>
    <row r="18" spans="1:11" ht="39.75" customHeight="1" x14ac:dyDescent="0.2">
      <c r="A18" s="102">
        <v>7</v>
      </c>
      <c r="B18" s="103" t="str">
        <f>NECESIDADES!B16</f>
        <v>4.8.1-8125.44</v>
      </c>
      <c r="C18" s="127" t="str">
        <f>NECESIDADES!E16</f>
        <v>SOFTWARES; TIPO: GESTION Y ADMINISTRACION</v>
      </c>
      <c r="D18" s="128"/>
      <c r="E18" s="128"/>
      <c r="F18" s="128"/>
      <c r="G18" s="129"/>
      <c r="H18" s="104" t="s">
        <v>39</v>
      </c>
      <c r="I18" s="105" t="str">
        <f>NECESIDADES!F16</f>
        <v>MODULO</v>
      </c>
      <c r="J18" s="106">
        <f>NECESIDADES!H16</f>
        <v>8000000</v>
      </c>
      <c r="K18" s="107">
        <f>NECESIDADES!G16</f>
        <v>1</v>
      </c>
    </row>
    <row r="19" spans="1:11" ht="39.75" customHeight="1" x14ac:dyDescent="0.2">
      <c r="A19" s="102">
        <v>8</v>
      </c>
      <c r="B19" s="103" t="str">
        <f>NECESIDADES!B17</f>
        <v>4.8.1-8125.44</v>
      </c>
      <c r="C19" s="127" t="str">
        <f>NECESIDADES!E17</f>
        <v>SOFTWARES; TIPO: GESTION Y ADMINISTRACION</v>
      </c>
      <c r="D19" s="128"/>
      <c r="E19" s="128"/>
      <c r="F19" s="128"/>
      <c r="G19" s="129"/>
      <c r="H19" s="104" t="s">
        <v>39</v>
      </c>
      <c r="I19" s="105" t="str">
        <f>NECESIDADES!F17</f>
        <v>MODULO</v>
      </c>
      <c r="J19" s="106">
        <f>NECESIDADES!H17</f>
        <v>7800000</v>
      </c>
      <c r="K19" s="107">
        <f>NECESIDADES!G17</f>
        <v>1</v>
      </c>
    </row>
    <row r="20" spans="1:11" ht="15" customHeight="1" thickBot="1" x14ac:dyDescent="0.25">
      <c r="A20" s="72"/>
      <c r="B20" s="73"/>
      <c r="C20" s="132"/>
      <c r="D20" s="132"/>
      <c r="E20" s="132"/>
      <c r="F20" s="132"/>
      <c r="G20" s="132"/>
      <c r="H20" s="74"/>
      <c r="I20" s="75"/>
      <c r="J20" s="75"/>
      <c r="K20" s="76"/>
    </row>
    <row r="21" spans="1:11" ht="25.5" customHeight="1" thickBot="1" x14ac:dyDescent="0.25">
      <c r="A21" s="133" t="s">
        <v>72</v>
      </c>
      <c r="B21" s="133"/>
      <c r="C21" s="133"/>
      <c r="D21" s="133"/>
      <c r="E21" s="133"/>
      <c r="F21" s="133"/>
      <c r="G21" s="133"/>
      <c r="H21" s="133"/>
      <c r="I21" s="133"/>
      <c r="J21" s="134">
        <f>SUMPRODUCT(J12:J19,K12:K19)</f>
        <v>59800000</v>
      </c>
      <c r="K21" s="135"/>
    </row>
  </sheetData>
  <mergeCells count="25">
    <mergeCell ref="A1:I1"/>
    <mergeCell ref="A3:C3"/>
    <mergeCell ref="A4:C4"/>
    <mergeCell ref="A5:C5"/>
    <mergeCell ref="A6:C6"/>
    <mergeCell ref="A21:I21"/>
    <mergeCell ref="J21:K21"/>
    <mergeCell ref="A8:C8"/>
    <mergeCell ref="A10:A11"/>
    <mergeCell ref="B10:B11"/>
    <mergeCell ref="C10:G11"/>
    <mergeCell ref="H10:H11"/>
    <mergeCell ref="I10:I11"/>
    <mergeCell ref="J10:J11"/>
    <mergeCell ref="K10:K11"/>
    <mergeCell ref="C13:G13"/>
    <mergeCell ref="C14:G14"/>
    <mergeCell ref="C15:G15"/>
    <mergeCell ref="C16:G16"/>
    <mergeCell ref="C17:G17"/>
    <mergeCell ref="C18:G18"/>
    <mergeCell ref="C19:G19"/>
    <mergeCell ref="A7:C7"/>
    <mergeCell ref="C12:G12"/>
    <mergeCell ref="C20:G20"/>
  </mergeCells>
  <printOptions horizontalCentered="1"/>
  <pageMargins left="0.196527777777778" right="0.196527777777778" top="0.98402777777777795" bottom="0.98402777777777795" header="0.51180555555555496" footer="0.51180555555555496"/>
  <pageSetup paperSize="9" scale="90" firstPageNumber="0" orientation="landscape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41"/>
  <sheetViews>
    <sheetView topLeftCell="A16" zoomScale="130" zoomScaleNormal="130" workbookViewId="0">
      <selection activeCell="A41" sqref="A41:Q41"/>
    </sheetView>
  </sheetViews>
  <sheetFormatPr baseColWidth="10" defaultColWidth="11" defaultRowHeight="12.75" x14ac:dyDescent="0.2"/>
  <cols>
    <col min="1" max="5" width="4.42578125" customWidth="1"/>
    <col min="6" max="6" width="5.140625" customWidth="1"/>
    <col min="7" max="7" width="4.42578125" style="11" customWidth="1"/>
    <col min="8" max="14" width="4.42578125" customWidth="1"/>
    <col min="15" max="15" width="14.85546875" customWidth="1"/>
    <col min="16" max="16" width="14.42578125" customWidth="1"/>
    <col min="17" max="17" width="15.42578125" customWidth="1"/>
  </cols>
  <sheetData>
    <row r="1" spans="1:17" ht="15.75" customHeight="1" x14ac:dyDescent="0.25">
      <c r="A1" s="167" t="s">
        <v>15</v>
      </c>
      <c r="B1" s="167"/>
      <c r="C1" s="167"/>
      <c r="D1" s="168">
        <v>2022</v>
      </c>
      <c r="E1" s="168"/>
      <c r="F1" s="12"/>
      <c r="G1" s="12"/>
      <c r="H1" s="13"/>
      <c r="I1" s="13"/>
      <c r="J1" s="13"/>
      <c r="K1" s="13"/>
      <c r="L1" s="13"/>
      <c r="M1" s="13"/>
      <c r="N1" s="13"/>
      <c r="O1" s="14"/>
      <c r="P1" s="169" t="s">
        <v>16</v>
      </c>
      <c r="Q1" s="169"/>
    </row>
    <row r="2" spans="1:17" ht="15.75" customHeight="1" x14ac:dyDescent="0.2">
      <c r="A2" s="15"/>
      <c r="B2" s="16"/>
      <c r="C2" s="16"/>
      <c r="D2" s="16"/>
      <c r="E2" s="16"/>
      <c r="F2" s="16"/>
      <c r="G2" s="17"/>
      <c r="H2" s="18"/>
      <c r="I2" s="18"/>
      <c r="J2" s="18"/>
      <c r="K2" s="18"/>
      <c r="L2" s="18"/>
      <c r="M2" s="18"/>
      <c r="N2" s="18"/>
      <c r="O2" s="16"/>
      <c r="P2" s="169"/>
      <c r="Q2" s="169"/>
    </row>
    <row r="3" spans="1:17" x14ac:dyDescent="0.2">
      <c r="A3" s="15"/>
      <c r="B3" s="16"/>
      <c r="C3" s="16"/>
      <c r="D3" s="16"/>
      <c r="E3" s="16"/>
      <c r="F3" s="16"/>
      <c r="G3" s="17"/>
      <c r="H3" s="16"/>
      <c r="I3" s="16"/>
      <c r="J3" s="16"/>
      <c r="K3" s="16"/>
      <c r="L3" s="16"/>
      <c r="M3" s="16"/>
      <c r="N3" s="16"/>
      <c r="O3" s="16"/>
      <c r="P3" s="16"/>
      <c r="Q3" s="19"/>
    </row>
    <row r="4" spans="1:17" s="20" customFormat="1" ht="18" customHeight="1" thickBot="1" x14ac:dyDescent="0.25">
      <c r="A4" s="170" t="s">
        <v>17</v>
      </c>
      <c r="B4" s="170"/>
      <c r="C4" s="170"/>
      <c r="D4" s="170"/>
      <c r="E4" s="170"/>
      <c r="F4" s="170"/>
      <c r="G4" s="166" t="str">
        <f>' NotaPedido'!D3</f>
        <v>040 - MINISTERIO DE SALUD</v>
      </c>
      <c r="H4" s="166"/>
      <c r="I4" s="166"/>
      <c r="J4" s="166"/>
      <c r="K4" s="166"/>
      <c r="L4" s="166"/>
      <c r="M4" s="166"/>
      <c r="N4" s="166"/>
      <c r="O4" s="166"/>
      <c r="P4" s="166"/>
      <c r="Q4" s="166"/>
    </row>
    <row r="5" spans="1:17" s="20" customFormat="1" ht="18" customHeight="1" thickBot="1" x14ac:dyDescent="0.25">
      <c r="A5" s="165" t="s">
        <v>3</v>
      </c>
      <c r="B5" s="165"/>
      <c r="C5" s="165"/>
      <c r="D5" s="165"/>
      <c r="E5" s="165"/>
      <c r="F5" s="165"/>
      <c r="G5" s="166" t="str">
        <f>' NotaPedido'!D4</f>
        <v>011 - DIRECCION PROVINCIAL DE ADMINISTRACION - MS</v>
      </c>
      <c r="H5" s="166"/>
      <c r="I5" s="166"/>
      <c r="J5" s="166"/>
      <c r="K5" s="166"/>
      <c r="L5" s="166"/>
      <c r="M5" s="166"/>
      <c r="N5" s="166"/>
      <c r="O5" s="166"/>
      <c r="P5" s="166"/>
      <c r="Q5" s="166"/>
    </row>
    <row r="6" spans="1:17" s="20" customFormat="1" ht="18" customHeight="1" thickBot="1" x14ac:dyDescent="0.25">
      <c r="A6" s="165" t="s">
        <v>4</v>
      </c>
      <c r="B6" s="165"/>
      <c r="C6" s="165"/>
      <c r="D6" s="165"/>
      <c r="E6" s="165"/>
      <c r="F6" s="165"/>
      <c r="G6" s="166" t="str">
        <f>' NotaPedido'!D5</f>
        <v>MINISTERIO DE SALUD</v>
      </c>
      <c r="H6" s="166"/>
      <c r="I6" s="166"/>
      <c r="J6" s="166"/>
      <c r="K6" s="166"/>
      <c r="L6" s="166"/>
      <c r="M6" s="166"/>
      <c r="N6" s="166"/>
      <c r="O6" s="166"/>
      <c r="P6" s="166"/>
      <c r="Q6" s="166"/>
    </row>
    <row r="7" spans="1:17" s="20" customFormat="1" ht="18" customHeight="1" thickBot="1" x14ac:dyDescent="0.25">
      <c r="A7" s="165" t="s">
        <v>5</v>
      </c>
      <c r="B7" s="165"/>
      <c r="C7" s="165"/>
      <c r="D7" s="165"/>
      <c r="E7" s="165"/>
      <c r="F7" s="165"/>
      <c r="G7" s="166" t="str">
        <f>' NotaPedido'!D6</f>
        <v>SECRETARIA DE PLANIFICACION Y GESTION EN SALUD</v>
      </c>
      <c r="H7" s="166"/>
      <c r="I7" s="166"/>
      <c r="J7" s="166"/>
      <c r="K7" s="166"/>
      <c r="L7" s="166"/>
      <c r="M7" s="166"/>
      <c r="N7" s="166"/>
      <c r="O7" s="166"/>
      <c r="P7" s="166"/>
      <c r="Q7" s="166"/>
    </row>
    <row r="8" spans="1:17" ht="18" customHeight="1" thickBot="1" x14ac:dyDescent="0.25">
      <c r="A8" s="156" t="s">
        <v>18</v>
      </c>
      <c r="B8" s="156"/>
      <c r="C8" s="156"/>
      <c r="D8" s="156"/>
      <c r="E8" s="156"/>
      <c r="F8" s="156"/>
      <c r="G8" s="156"/>
      <c r="H8" s="156"/>
      <c r="I8" s="156"/>
      <c r="J8" s="156"/>
      <c r="K8" s="156"/>
      <c r="L8" s="156"/>
      <c r="M8" s="156"/>
      <c r="N8" s="156"/>
      <c r="O8" s="156"/>
      <c r="P8" s="156"/>
      <c r="Q8" s="156"/>
    </row>
    <row r="9" spans="1:17" ht="18" customHeight="1" x14ac:dyDescent="0.2">
      <c r="A9" s="157" t="s">
        <v>19</v>
      </c>
      <c r="B9" s="157"/>
      <c r="C9" s="157"/>
      <c r="D9" s="157"/>
      <c r="E9" s="157"/>
      <c r="F9" s="157"/>
      <c r="G9" s="157"/>
      <c r="H9" s="157"/>
      <c r="I9" s="157"/>
      <c r="J9" s="157"/>
      <c r="K9" s="157"/>
      <c r="L9" s="157"/>
      <c r="M9" s="157"/>
      <c r="N9" s="157"/>
      <c r="O9" s="157"/>
      <c r="P9" s="157"/>
      <c r="Q9" s="157"/>
    </row>
    <row r="10" spans="1:17" ht="60" customHeight="1" x14ac:dyDescent="0.2">
      <c r="A10" s="158" t="s">
        <v>79</v>
      </c>
      <c r="B10" s="158"/>
      <c r="C10" s="158"/>
      <c r="D10" s="158"/>
      <c r="E10" s="158"/>
      <c r="F10" s="158"/>
      <c r="G10" s="158"/>
      <c r="H10" s="158"/>
      <c r="I10" s="158"/>
      <c r="J10" s="158"/>
      <c r="K10" s="158"/>
      <c r="L10" s="158"/>
      <c r="M10" s="158"/>
      <c r="N10" s="158"/>
      <c r="O10" s="158"/>
      <c r="P10" s="158"/>
      <c r="Q10" s="158"/>
    </row>
    <row r="11" spans="1:17" ht="9" customHeight="1" x14ac:dyDescent="0.2">
      <c r="A11" s="21"/>
      <c r="B11" s="22"/>
      <c r="C11" s="22"/>
      <c r="D11" s="22"/>
      <c r="E11" s="22"/>
      <c r="F11" s="22"/>
      <c r="G11" s="23"/>
      <c r="H11" s="22"/>
      <c r="I11" s="22"/>
      <c r="J11" s="22"/>
      <c r="K11" s="22"/>
      <c r="L11" s="22"/>
      <c r="M11" s="22"/>
      <c r="N11" s="22"/>
      <c r="O11" s="22"/>
      <c r="P11" s="22"/>
      <c r="Q11" s="24"/>
    </row>
    <row r="12" spans="1:17" ht="15.75" customHeight="1" thickBot="1" x14ac:dyDescent="0.25">
      <c r="A12" s="159" t="s">
        <v>20</v>
      </c>
      <c r="B12" s="159"/>
      <c r="C12" s="159"/>
      <c r="D12" s="159"/>
      <c r="E12" s="159"/>
      <c r="F12" s="159"/>
      <c r="G12" s="159"/>
      <c r="H12" s="159"/>
      <c r="I12" s="159"/>
      <c r="J12" s="159"/>
      <c r="K12" s="159"/>
      <c r="L12" s="159"/>
      <c r="M12" s="159"/>
      <c r="N12" s="159"/>
      <c r="O12" s="159"/>
      <c r="P12" s="159"/>
      <c r="Q12" s="159"/>
    </row>
    <row r="13" spans="1:17" ht="15.75" customHeight="1" thickBot="1" x14ac:dyDescent="0.25">
      <c r="A13" s="160" t="s">
        <v>21</v>
      </c>
      <c r="B13" s="160"/>
      <c r="C13" s="160"/>
      <c r="D13" s="160"/>
      <c r="E13" s="160"/>
      <c r="F13" s="160"/>
      <c r="G13" s="160"/>
      <c r="H13" s="160"/>
      <c r="I13" s="160"/>
      <c r="J13" s="160"/>
      <c r="K13" s="160"/>
      <c r="L13" s="160"/>
      <c r="M13" s="160"/>
      <c r="N13" s="160"/>
      <c r="O13" s="161" t="s">
        <v>22</v>
      </c>
      <c r="P13" s="161"/>
      <c r="Q13" s="163" t="s">
        <v>23</v>
      </c>
    </row>
    <row r="14" spans="1:17" ht="15.75" customHeight="1" thickBot="1" x14ac:dyDescent="0.25">
      <c r="A14" s="42" t="s">
        <v>24</v>
      </c>
      <c r="B14" s="43" t="s">
        <v>25</v>
      </c>
      <c r="C14" s="43" t="s">
        <v>26</v>
      </c>
      <c r="D14" s="43" t="s">
        <v>27</v>
      </c>
      <c r="E14" s="43" t="s">
        <v>28</v>
      </c>
      <c r="F14" s="43" t="s">
        <v>29</v>
      </c>
      <c r="G14" s="44" t="s">
        <v>30</v>
      </c>
      <c r="H14" s="43" t="s">
        <v>31</v>
      </c>
      <c r="I14" s="43" t="s">
        <v>32</v>
      </c>
      <c r="J14" s="43" t="s">
        <v>33</v>
      </c>
      <c r="K14" s="43" t="s">
        <v>33</v>
      </c>
      <c r="L14" s="43" t="s">
        <v>34</v>
      </c>
      <c r="M14" s="45" t="s">
        <v>35</v>
      </c>
      <c r="N14" s="46" t="s">
        <v>36</v>
      </c>
      <c r="O14" s="162"/>
      <c r="P14" s="162"/>
      <c r="Q14" s="164"/>
    </row>
    <row r="15" spans="1:17" ht="24" customHeight="1" x14ac:dyDescent="0.2">
      <c r="A15" s="91">
        <v>1</v>
      </c>
      <c r="B15" s="92" t="s">
        <v>38</v>
      </c>
      <c r="C15" s="92" t="s">
        <v>38</v>
      </c>
      <c r="D15" s="92">
        <v>1</v>
      </c>
      <c r="E15" s="92" t="s">
        <v>38</v>
      </c>
      <c r="F15" s="92">
        <v>4901</v>
      </c>
      <c r="G15" s="26">
        <v>3</v>
      </c>
      <c r="H15" s="26">
        <v>1</v>
      </c>
      <c r="I15" s="26">
        <v>4</v>
      </c>
      <c r="J15" s="26">
        <v>8</v>
      </c>
      <c r="K15" s="26">
        <v>1</v>
      </c>
      <c r="L15" s="40" t="s">
        <v>38</v>
      </c>
      <c r="M15" s="27">
        <v>1</v>
      </c>
      <c r="N15" s="40" t="s">
        <v>74</v>
      </c>
      <c r="O15" s="153" t="s">
        <v>42</v>
      </c>
      <c r="P15" s="154"/>
      <c r="Q15" s="41">
        <f>' NotaPedido'!J21</f>
        <v>59800000</v>
      </c>
    </row>
    <row r="16" spans="1:17" ht="17.25" customHeight="1" x14ac:dyDescent="0.2">
      <c r="A16" s="25"/>
      <c r="B16" s="26"/>
      <c r="C16" s="26"/>
      <c r="D16" s="26"/>
      <c r="E16" s="26"/>
      <c r="F16" s="26"/>
      <c r="G16" s="26"/>
      <c r="H16" s="26"/>
      <c r="I16" s="26"/>
      <c r="J16" s="26"/>
      <c r="K16" s="26"/>
      <c r="L16" s="26"/>
      <c r="M16" s="27"/>
      <c r="N16" s="28"/>
      <c r="O16" s="145"/>
      <c r="P16" s="145"/>
      <c r="Q16" s="29"/>
    </row>
    <row r="17" spans="1:17" ht="17.25" customHeight="1" x14ac:dyDescent="0.2">
      <c r="A17" s="25"/>
      <c r="B17" s="26"/>
      <c r="C17" s="26"/>
      <c r="D17" s="26"/>
      <c r="E17" s="26"/>
      <c r="F17" s="26"/>
      <c r="G17" s="26"/>
      <c r="H17" s="26"/>
      <c r="I17" s="26"/>
      <c r="J17" s="26"/>
      <c r="K17" s="26"/>
      <c r="L17" s="26"/>
      <c r="M17" s="27"/>
      <c r="N17" s="28"/>
      <c r="O17" s="155"/>
      <c r="P17" s="155"/>
      <c r="Q17" s="29"/>
    </row>
    <row r="18" spans="1:17" ht="17.25" customHeight="1" x14ac:dyDescent="0.2">
      <c r="A18" s="25"/>
      <c r="B18" s="26"/>
      <c r="C18" s="26"/>
      <c r="D18" s="26"/>
      <c r="E18" s="26"/>
      <c r="F18" s="26"/>
      <c r="G18" s="26"/>
      <c r="H18" s="26"/>
      <c r="I18" s="26"/>
      <c r="J18" s="26"/>
      <c r="K18" s="26"/>
      <c r="L18" s="26"/>
      <c r="M18" s="27"/>
      <c r="N18" s="28"/>
      <c r="O18" s="152"/>
      <c r="P18" s="152"/>
      <c r="Q18" s="29"/>
    </row>
    <row r="19" spans="1:17" ht="17.25" customHeight="1" x14ac:dyDescent="0.2">
      <c r="A19" s="25"/>
      <c r="B19" s="26"/>
      <c r="C19" s="26"/>
      <c r="D19" s="26"/>
      <c r="E19" s="26"/>
      <c r="F19" s="26"/>
      <c r="G19" s="26"/>
      <c r="H19" s="26"/>
      <c r="I19" s="26"/>
      <c r="J19" s="26"/>
      <c r="K19" s="26"/>
      <c r="L19" s="26"/>
      <c r="M19" s="27"/>
      <c r="N19" s="28"/>
      <c r="O19" s="152"/>
      <c r="P19" s="152"/>
      <c r="Q19" s="29"/>
    </row>
    <row r="20" spans="1:17" ht="17.25" customHeight="1" x14ac:dyDescent="0.2">
      <c r="A20" s="25"/>
      <c r="B20" s="26"/>
      <c r="C20" s="26"/>
      <c r="D20" s="26"/>
      <c r="E20" s="26"/>
      <c r="F20" s="26"/>
      <c r="G20" s="26"/>
      <c r="H20" s="26"/>
      <c r="I20" s="26"/>
      <c r="J20" s="26"/>
      <c r="K20" s="26"/>
      <c r="L20" s="26"/>
      <c r="M20" s="27"/>
      <c r="N20" s="28"/>
      <c r="O20" s="152"/>
      <c r="P20" s="152"/>
      <c r="Q20" s="29"/>
    </row>
    <row r="21" spans="1:17" ht="17.25" customHeight="1" x14ac:dyDescent="0.2">
      <c r="A21" s="25"/>
      <c r="B21" s="26"/>
      <c r="C21" s="26"/>
      <c r="D21" s="26"/>
      <c r="E21" s="26"/>
      <c r="F21" s="26"/>
      <c r="G21" s="26"/>
      <c r="H21" s="26"/>
      <c r="I21" s="26"/>
      <c r="J21" s="26"/>
      <c r="K21" s="26"/>
      <c r="L21" s="26"/>
      <c r="M21" s="27"/>
      <c r="N21" s="28"/>
      <c r="O21" s="152"/>
      <c r="P21" s="152"/>
      <c r="Q21" s="29"/>
    </row>
    <row r="22" spans="1:17" ht="17.25" customHeight="1" x14ac:dyDescent="0.2">
      <c r="A22" s="25"/>
      <c r="B22" s="26"/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7"/>
      <c r="N22" s="28"/>
      <c r="O22" s="152"/>
      <c r="P22" s="152"/>
      <c r="Q22" s="29"/>
    </row>
    <row r="23" spans="1:17" ht="17.25" customHeight="1" x14ac:dyDescent="0.2">
      <c r="A23" s="25"/>
      <c r="B23" s="26"/>
      <c r="C23" s="26"/>
      <c r="D23" s="26"/>
      <c r="E23" s="26"/>
      <c r="F23" s="26"/>
      <c r="G23" s="26"/>
      <c r="H23" s="26"/>
      <c r="I23" s="26"/>
      <c r="J23" s="26"/>
      <c r="K23" s="26"/>
      <c r="L23" s="26"/>
      <c r="M23" s="27"/>
      <c r="N23" s="28"/>
      <c r="O23" s="152"/>
      <c r="P23" s="152"/>
      <c r="Q23" s="29"/>
    </row>
    <row r="24" spans="1:17" ht="17.25" customHeight="1" x14ac:dyDescent="0.2">
      <c r="A24" s="25"/>
      <c r="B24" s="26"/>
      <c r="C24" s="26"/>
      <c r="D24" s="26"/>
      <c r="E24" s="26"/>
      <c r="F24" s="26"/>
      <c r="G24" s="26"/>
      <c r="H24" s="26"/>
      <c r="I24" s="26"/>
      <c r="J24" s="26"/>
      <c r="K24" s="26"/>
      <c r="L24" s="26"/>
      <c r="M24" s="27"/>
      <c r="N24" s="28"/>
      <c r="O24" s="152"/>
      <c r="P24" s="152"/>
      <c r="Q24" s="29"/>
    </row>
    <row r="25" spans="1:17" ht="17.25" customHeight="1" x14ac:dyDescent="0.2">
      <c r="A25" s="25"/>
      <c r="B25" s="26"/>
      <c r="C25" s="26"/>
      <c r="D25" s="26"/>
      <c r="E25" s="26"/>
      <c r="F25" s="26"/>
      <c r="G25" s="26"/>
      <c r="H25" s="26"/>
      <c r="I25" s="26"/>
      <c r="J25" s="26"/>
      <c r="K25" s="26"/>
      <c r="L25" s="26"/>
      <c r="M25" s="27"/>
      <c r="N25" s="28"/>
      <c r="O25" s="152"/>
      <c r="P25" s="152"/>
      <c r="Q25" s="29"/>
    </row>
    <row r="26" spans="1:17" ht="17.25" customHeight="1" x14ac:dyDescent="0.2">
      <c r="A26" s="25"/>
      <c r="B26" s="26"/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27"/>
      <c r="N26" s="28"/>
      <c r="O26" s="152"/>
      <c r="P26" s="152"/>
      <c r="Q26" s="29"/>
    </row>
    <row r="27" spans="1:17" ht="17.25" customHeight="1" x14ac:dyDescent="0.2">
      <c r="A27" s="25"/>
      <c r="B27" s="26"/>
      <c r="C27" s="26"/>
      <c r="D27" s="26"/>
      <c r="E27" s="26"/>
      <c r="F27" s="26"/>
      <c r="G27" s="26"/>
      <c r="H27" s="26"/>
      <c r="I27" s="26"/>
      <c r="J27" s="26"/>
      <c r="K27" s="26"/>
      <c r="L27" s="26"/>
      <c r="M27" s="27"/>
      <c r="N27" s="28"/>
      <c r="O27" s="152"/>
      <c r="P27" s="152"/>
      <c r="Q27" s="29"/>
    </row>
    <row r="28" spans="1:17" ht="17.25" customHeight="1" x14ac:dyDescent="0.2">
      <c r="A28" s="25"/>
      <c r="B28" s="26"/>
      <c r="C28" s="26"/>
      <c r="D28" s="26"/>
      <c r="E28" s="26"/>
      <c r="F28" s="26"/>
      <c r="G28" s="26"/>
      <c r="H28" s="26"/>
      <c r="I28" s="26"/>
      <c r="J28" s="26"/>
      <c r="K28" s="26"/>
      <c r="L28" s="26"/>
      <c r="M28" s="27"/>
      <c r="N28" s="28"/>
      <c r="O28" s="152"/>
      <c r="P28" s="152"/>
      <c r="Q28" s="29"/>
    </row>
    <row r="29" spans="1:17" ht="17.25" customHeight="1" x14ac:dyDescent="0.2">
      <c r="A29" s="25"/>
      <c r="B29" s="26"/>
      <c r="C29" s="26"/>
      <c r="D29" s="26"/>
      <c r="E29" s="26"/>
      <c r="F29" s="26"/>
      <c r="G29" s="26"/>
      <c r="H29" s="26"/>
      <c r="I29" s="26"/>
      <c r="J29" s="26"/>
      <c r="K29" s="26"/>
      <c r="L29" s="26"/>
      <c r="M29" s="27"/>
      <c r="N29" s="28"/>
      <c r="O29" s="152"/>
      <c r="P29" s="152"/>
      <c r="Q29" s="29"/>
    </row>
    <row r="30" spans="1:17" ht="17.25" customHeight="1" x14ac:dyDescent="0.2">
      <c r="A30" s="25"/>
      <c r="B30" s="26"/>
      <c r="C30" s="26"/>
      <c r="D30" s="26"/>
      <c r="E30" s="26"/>
      <c r="F30" s="26"/>
      <c r="G30" s="26"/>
      <c r="H30" s="26"/>
      <c r="I30" s="26"/>
      <c r="J30" s="26"/>
      <c r="K30" s="26"/>
      <c r="L30" s="26"/>
      <c r="M30" s="27"/>
      <c r="N30" s="28"/>
      <c r="O30" s="152"/>
      <c r="P30" s="152"/>
      <c r="Q30" s="29"/>
    </row>
    <row r="31" spans="1:17" ht="17.25" customHeight="1" x14ac:dyDescent="0.2">
      <c r="A31" s="25"/>
      <c r="B31" s="26"/>
      <c r="C31" s="26"/>
      <c r="D31" s="26"/>
      <c r="E31" s="26"/>
      <c r="F31" s="26"/>
      <c r="G31" s="26"/>
      <c r="H31" s="26"/>
      <c r="I31" s="26"/>
      <c r="J31" s="26"/>
      <c r="K31" s="26"/>
      <c r="L31" s="26"/>
      <c r="M31" s="27"/>
      <c r="N31" s="28"/>
      <c r="O31" s="152"/>
      <c r="P31" s="152"/>
      <c r="Q31" s="29"/>
    </row>
    <row r="32" spans="1:17" ht="17.25" customHeight="1" x14ac:dyDescent="0.2">
      <c r="A32" s="25"/>
      <c r="B32" s="26"/>
      <c r="C32" s="26"/>
      <c r="D32" s="26"/>
      <c r="E32" s="26"/>
      <c r="F32" s="28"/>
      <c r="G32" s="26"/>
      <c r="H32" s="26"/>
      <c r="I32" s="26"/>
      <c r="J32" s="26"/>
      <c r="K32" s="26"/>
      <c r="L32" s="26"/>
      <c r="M32" s="27"/>
      <c r="N32" s="28"/>
      <c r="O32" s="145"/>
      <c r="P32" s="145"/>
      <c r="Q32" s="29"/>
    </row>
    <row r="33" spans="1:18" ht="17.25" customHeight="1" x14ac:dyDescent="0.2">
      <c r="A33" s="25"/>
      <c r="B33" s="26"/>
      <c r="C33" s="26"/>
      <c r="D33" s="26"/>
      <c r="E33" s="26"/>
      <c r="F33" s="26"/>
      <c r="G33" s="26"/>
      <c r="H33" s="26"/>
      <c r="I33" s="26"/>
      <c r="J33" s="26"/>
      <c r="K33" s="26"/>
      <c r="L33" s="26"/>
      <c r="M33" s="27"/>
      <c r="N33" s="28"/>
      <c r="O33" s="145"/>
      <c r="P33" s="145"/>
      <c r="Q33" s="29"/>
    </row>
    <row r="34" spans="1:18" ht="17.25" customHeight="1" x14ac:dyDescent="0.2">
      <c r="A34" s="25"/>
      <c r="B34" s="26"/>
      <c r="C34" s="26"/>
      <c r="D34" s="26"/>
      <c r="E34" s="26"/>
      <c r="F34" s="28"/>
      <c r="G34" s="26"/>
      <c r="H34" s="26"/>
      <c r="I34" s="26"/>
      <c r="J34" s="26"/>
      <c r="K34" s="26"/>
      <c r="L34" s="26"/>
      <c r="M34" s="27"/>
      <c r="N34" s="28"/>
      <c r="O34" s="145"/>
      <c r="P34" s="145"/>
      <c r="Q34" s="29"/>
    </row>
    <row r="35" spans="1:18" ht="17.25" customHeight="1" x14ac:dyDescent="0.2">
      <c r="A35" s="25"/>
      <c r="B35" s="26"/>
      <c r="C35" s="26"/>
      <c r="D35" s="26"/>
      <c r="E35" s="26"/>
      <c r="F35" s="28"/>
      <c r="G35" s="26"/>
      <c r="H35" s="26"/>
      <c r="I35" s="26"/>
      <c r="J35" s="26"/>
      <c r="K35" s="26"/>
      <c r="L35" s="26"/>
      <c r="M35" s="27"/>
      <c r="N35" s="28"/>
      <c r="O35" s="145"/>
      <c r="P35" s="145"/>
      <c r="Q35" s="29"/>
    </row>
    <row r="36" spans="1:18" ht="17.25" customHeight="1" x14ac:dyDescent="0.2">
      <c r="A36" s="30"/>
      <c r="B36" s="31"/>
      <c r="C36" s="31"/>
      <c r="D36" s="31"/>
      <c r="E36" s="31"/>
      <c r="F36" s="32"/>
      <c r="G36" s="31"/>
      <c r="H36" s="31"/>
      <c r="I36" s="31"/>
      <c r="J36" s="31"/>
      <c r="K36" s="31"/>
      <c r="L36" s="31"/>
      <c r="M36" s="33"/>
      <c r="N36" s="34"/>
      <c r="O36" s="146"/>
      <c r="P36" s="146"/>
      <c r="Q36" s="29"/>
      <c r="R36" s="16"/>
    </row>
    <row r="37" spans="1:18" ht="17.25" customHeight="1" x14ac:dyDescent="0.2">
      <c r="A37" s="35"/>
      <c r="B37" s="36"/>
      <c r="C37" s="36"/>
      <c r="D37" s="36"/>
      <c r="E37" s="36"/>
      <c r="F37" s="36"/>
      <c r="G37" s="36"/>
      <c r="H37" s="36"/>
      <c r="I37" s="36"/>
      <c r="J37" s="36"/>
      <c r="K37" s="36"/>
      <c r="L37" s="36"/>
      <c r="M37" s="37"/>
      <c r="N37" s="36"/>
      <c r="O37" s="147"/>
      <c r="P37" s="147"/>
      <c r="Q37" s="38"/>
    </row>
    <row r="38" spans="1:18" ht="20.25" customHeight="1" x14ac:dyDescent="0.2">
      <c r="A38" s="148" t="s">
        <v>73</v>
      </c>
      <c r="B38" s="148"/>
      <c r="C38" s="148"/>
      <c r="D38" s="148"/>
      <c r="E38" s="148"/>
      <c r="F38" s="148"/>
      <c r="G38" s="148"/>
      <c r="H38" s="148"/>
      <c r="I38" s="148"/>
      <c r="J38" s="148"/>
      <c r="K38" s="148"/>
      <c r="L38" s="148"/>
      <c r="M38" s="148"/>
      <c r="N38" s="148"/>
      <c r="O38" s="148"/>
      <c r="P38" s="148"/>
      <c r="Q38" s="39">
        <f>SUM(Q15:Q37)</f>
        <v>59800000</v>
      </c>
    </row>
    <row r="39" spans="1:18" ht="18" customHeight="1" x14ac:dyDescent="0.2">
      <c r="A39" s="149"/>
      <c r="B39" s="149"/>
      <c r="C39" s="149"/>
      <c r="D39" s="149"/>
      <c r="E39" s="149"/>
      <c r="F39" s="149"/>
      <c r="G39" s="149"/>
      <c r="H39" s="149"/>
      <c r="I39" s="149"/>
      <c r="J39" s="149"/>
      <c r="K39" s="149"/>
      <c r="L39" s="149"/>
      <c r="M39" s="149"/>
      <c r="N39" s="149"/>
      <c r="O39" s="149"/>
      <c r="P39" s="149"/>
      <c r="Q39" s="149"/>
    </row>
    <row r="40" spans="1:18" ht="17.25" customHeight="1" thickBot="1" x14ac:dyDescent="0.25">
      <c r="A40" s="150" t="s">
        <v>37</v>
      </c>
      <c r="B40" s="150"/>
      <c r="C40" s="150"/>
      <c r="D40" s="150"/>
      <c r="E40" s="150"/>
      <c r="F40" s="150"/>
      <c r="G40" s="151"/>
      <c r="H40" s="151"/>
      <c r="I40" s="151"/>
      <c r="J40" s="151"/>
      <c r="K40" s="151"/>
      <c r="L40" s="151"/>
      <c r="M40" s="151"/>
      <c r="N40" s="151"/>
      <c r="O40" s="151"/>
      <c r="P40" s="151"/>
      <c r="Q40" s="151"/>
    </row>
    <row r="41" spans="1:18" ht="37.5" customHeight="1" thickBot="1" x14ac:dyDescent="0.25">
      <c r="A41" s="142" t="str">
        <f>' NotaPedido'!D8</f>
        <v>ADQUISICION DE 2° ETAPA DE  MODULO SOFTWARE  DE HISTORIA CLINICA ELECTRONICA</v>
      </c>
      <c r="B41" s="143"/>
      <c r="C41" s="143"/>
      <c r="D41" s="143"/>
      <c r="E41" s="143"/>
      <c r="F41" s="143"/>
      <c r="G41" s="143"/>
      <c r="H41" s="143"/>
      <c r="I41" s="143"/>
      <c r="J41" s="143"/>
      <c r="K41" s="143"/>
      <c r="L41" s="143"/>
      <c r="M41" s="143"/>
      <c r="N41" s="143"/>
      <c r="O41" s="143"/>
      <c r="P41" s="143"/>
      <c r="Q41" s="144"/>
    </row>
  </sheetData>
  <mergeCells count="46">
    <mergeCell ref="A1:C1"/>
    <mergeCell ref="D1:E1"/>
    <mergeCell ref="P1:Q2"/>
    <mergeCell ref="A4:F4"/>
    <mergeCell ref="G4:Q4"/>
    <mergeCell ref="A5:F5"/>
    <mergeCell ref="G5:Q5"/>
    <mergeCell ref="A6:F6"/>
    <mergeCell ref="G6:Q6"/>
    <mergeCell ref="A7:F7"/>
    <mergeCell ref="G7:Q7"/>
    <mergeCell ref="A8:Q8"/>
    <mergeCell ref="A9:Q9"/>
    <mergeCell ref="A10:Q10"/>
    <mergeCell ref="A12:Q12"/>
    <mergeCell ref="A13:N13"/>
    <mergeCell ref="O13:P14"/>
    <mergeCell ref="Q13:Q14"/>
    <mergeCell ref="O15:P15"/>
    <mergeCell ref="O16:P16"/>
    <mergeCell ref="O17:P17"/>
    <mergeCell ref="O18:P18"/>
    <mergeCell ref="O19:P19"/>
    <mergeCell ref="O20:P20"/>
    <mergeCell ref="O21:P21"/>
    <mergeCell ref="O22:P22"/>
    <mergeCell ref="O23:P23"/>
    <mergeCell ref="O24:P24"/>
    <mergeCell ref="O25:P25"/>
    <mergeCell ref="O26:P26"/>
    <mergeCell ref="O27:P27"/>
    <mergeCell ref="O28:P28"/>
    <mergeCell ref="O29:P29"/>
    <mergeCell ref="O30:P30"/>
    <mergeCell ref="O31:P31"/>
    <mergeCell ref="O32:P32"/>
    <mergeCell ref="O33:P33"/>
    <mergeCell ref="O34:P34"/>
    <mergeCell ref="A41:Q41"/>
    <mergeCell ref="O35:P35"/>
    <mergeCell ref="O36:P36"/>
    <mergeCell ref="O37:P37"/>
    <mergeCell ref="A38:P38"/>
    <mergeCell ref="A39:Q39"/>
    <mergeCell ref="A40:F40"/>
    <mergeCell ref="G40:Q40"/>
  </mergeCells>
  <printOptions horizontalCentered="1"/>
  <pageMargins left="0.25" right="0.25" top="0.75" bottom="0.75" header="0.51180555555555496" footer="0.51180555555555496"/>
  <pageSetup paperSize="9" scale="90" firstPageNumber="0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NECESIDADES</vt:lpstr>
      <vt:lpstr> NotaPedido</vt:lpstr>
      <vt:lpstr>Autor Gastar</vt:lpstr>
      <vt:lpstr>' NotaPedido'!Área_de_impresión</vt:lpstr>
      <vt:lpstr>'Autor Gastar'!Área_de_impresión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farce</dc:creator>
  <cp:lastModifiedBy>usuario</cp:lastModifiedBy>
  <cp:revision>3</cp:revision>
  <cp:lastPrinted>2020-07-21T14:18:42Z</cp:lastPrinted>
  <dcterms:created xsi:type="dcterms:W3CDTF">2020-07-17T23:44:49Z</dcterms:created>
  <dcterms:modified xsi:type="dcterms:W3CDTF">2022-06-30T21:55:51Z</dcterms:modified>
  <dc:language>es-AR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