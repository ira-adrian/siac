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330BC5C3-8260-4D4E-BC05-D993AD6734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AW11" i="1" l="1"/>
  <c r="AY12" i="1"/>
  <c r="AD22" i="1"/>
  <c r="AY17" i="1"/>
  <c r="AY20" i="1"/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T26" i="1" l="1"/>
  <c r="AW25" i="1"/>
  <c r="AY25" i="1" s="1"/>
  <c r="T25" i="1"/>
  <c r="R25" i="1"/>
  <c r="AW24" i="1"/>
  <c r="AY24" i="1" s="1"/>
  <c r="T24" i="1"/>
  <c r="R24" i="1"/>
  <c r="AW23" i="1"/>
  <c r="AY23" i="1" s="1"/>
  <c r="T23" i="1"/>
  <c r="R23" i="1"/>
  <c r="AW22" i="1"/>
  <c r="AY22" i="1" s="1"/>
  <c r="T22" i="1"/>
  <c r="R22" i="1"/>
  <c r="AW21" i="1"/>
  <c r="AY21" i="1" s="1"/>
  <c r="R21" i="1"/>
  <c r="T20" i="1"/>
  <c r="R20" i="1"/>
  <c r="AW19" i="1"/>
  <c r="AY19" i="1" s="1"/>
  <c r="T19" i="1"/>
  <c r="R19" i="1"/>
  <c r="AW18" i="1"/>
  <c r="AY18" i="1" s="1"/>
  <c r="T18" i="1"/>
  <c r="R18" i="1"/>
  <c r="T17" i="1"/>
  <c r="R17" i="1"/>
  <c r="AW16" i="1"/>
  <c r="AY16" i="1" s="1"/>
  <c r="T16" i="1"/>
  <c r="R16" i="1"/>
  <c r="AW15" i="1"/>
  <c r="AY15" i="1" s="1"/>
  <c r="T15" i="1"/>
  <c r="R15" i="1"/>
  <c r="AW14" i="1"/>
  <c r="AY14" i="1" s="1"/>
  <c r="T14" i="1"/>
  <c r="R14" i="1"/>
  <c r="AW13" i="1"/>
  <c r="AY13" i="1" s="1"/>
  <c r="T13" i="1"/>
  <c r="R13" i="1"/>
  <c r="AW12" i="1"/>
  <c r="T12" i="1"/>
  <c r="R12" i="1"/>
  <c r="AY11" i="1"/>
  <c r="T11" i="1"/>
  <c r="R11" i="1"/>
  <c r="AW10" i="1"/>
  <c r="AY10" i="1" s="1"/>
  <c r="T10" i="1"/>
  <c r="R10" i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  <c r="AY26" i="1"/>
</calcChain>
</file>

<file path=xl/sharedStrings.xml><?xml version="1.0" encoding="utf-8"?>
<sst xmlns="http://schemas.openxmlformats.org/spreadsheetml/2006/main" count="201" uniqueCount="139">
  <si>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</si>
  <si>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</si>
  <si>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</si>
  <si>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</si>
  <si>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</si>
  <si>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</si>
  <si>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</si>
  <si>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</si>
  <si>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</si>
  <si>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</si>
  <si>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</si>
  <si>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</si>
  <si>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</si>
  <si>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</si>
  <si>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</si>
  <si>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</si>
  <si>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</si>
  <si>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</si>
  <si>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</si>
  <si>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</si>
  <si>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</si>
  <si>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</si>
  <si>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</si>
  <si>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</si>
  <si>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</si>
  <si>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</si>
  <si>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</si>
  <si>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</si>
  <si>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</si>
  <si>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</si>
  <si>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</si>
  <si>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</si>
  <si>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</si>
  <si>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</si>
  <si>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</si>
  <si>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</si>
  <si>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</si>
  <si>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</si>
  <si>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</si>
  <si>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</si>
  <si>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</si>
  <si>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</si>
  <si>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</si>
  <si>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</si>
  <si>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</si>
  <si>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</si>
  <si>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</si>
  <si>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</si>
  <si>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</si>
  <si>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</si>
  <si>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</si>
  <si>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</si>
  <si>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</si>
  <si>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</si>
  <si>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</si>
  <si>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</si>
  <si>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</si>
  <si>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 xml:space="preserve">IMPORTE TOTAL ESTIMADO 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</si>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</sst>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169" fontId="19" fillId="0" borderId="0" applyBorder="0" applyProtection="0"/>
    <xf numFmtId="0" fontId="23" fillId="0" borderId="59" applyProtection="0"/>
    <xf numFmtId="0" fontId="23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Border="0" applyAlignment="0" applyProtection="0"/>
    <xf numFmtId="171" fontId="7" fillId="0" borderId="0" applyBorder="0" applyProtection="0"/>
    <xf numFmtId="171" fontId="7" fillId="0" borderId="0" applyBorder="0" applyProtection="0"/>
    <xf numFmtId="171" fontId="7" fillId="0" borderId="0" applyBorder="0" applyProtection="0"/>
    <xf numFmtId="0" fontId="24" fillId="3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16">
    <xf numFmtId="0" fontId="0" fillId="0" borderId="0" xfId="0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5" fontId="6" fillId="0" borderId="4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left" vertical="center" wrapText="1" indent="1"/>
    </xf>
    <xf numFmtId="0" fontId="14" fillId="0" borderId="25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7" fillId="0" borderId="31" xfId="0" applyNumberFormat="1" applyFont="1" applyBorder="1" applyAlignment="1"/>
    <xf numFmtId="168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7" xfId="0" applyBorder="1"/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0" fontId="0" fillId="0" borderId="52" xfId="7" applyNumberFormat="1" applyFont="1" applyBorder="1" applyAlignment="1" applyProtection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0" fontId="0" fillId="0" borderId="56" xfId="7" applyNumberFormat="1" applyFont="1" applyBorder="1" applyAlignment="1" applyProtection="1">
      <alignment horizontal="center" vertical="center"/>
    </xf>
    <xf numFmtId="170" fontId="22" fillId="0" borderId="58" xfId="0" applyNumberFormat="1" applyFont="1" applyBorder="1" applyAlignment="1">
      <alignment horizontal="center" vertical="center"/>
    </xf>
    <xf numFmtId="0" fontId="25" fillId="0" borderId="10" xfId="5" applyFont="1" applyFill="1" applyBorder="1" applyAlignment="1">
      <alignment horizontal="center" vertical="center" wrapText="1"/>
    </xf>
    <xf numFmtId="0" fontId="25" fillId="0" borderId="21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5" fillId="0" borderId="21" xfId="5" applyFont="1" applyFill="1" applyBorder="1" applyAlignment="1">
      <alignment horizontal="center" wrapText="1"/>
    </xf>
    <xf numFmtId="0" fontId="25" fillId="0" borderId="21" xfId="5" applyFont="1" applyBorder="1" applyAlignment="1">
      <alignment horizontal="center" wrapText="1"/>
    </xf>
    <xf numFmtId="0" fontId="25" fillId="0" borderId="60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2" fillId="0" borderId="0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6" fontId="11" fillId="0" borderId="0" xfId="0" applyNumberFormat="1" applyFont="1" applyBorder="1" applyAlignment="1">
      <alignment horizontal="left" vertical="center" wrapText="1" indent="1"/>
    </xf>
    <xf numFmtId="166" fontId="15" fillId="0" borderId="9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6" fillId="0" borderId="0" xfId="0" applyNumberFormat="1" applyFont="1"/>
    <xf numFmtId="0" fontId="6" fillId="0" borderId="1" xfId="0" applyFont="1" applyFill="1" applyBorder="1" applyAlignment="1">
      <alignment horizontal="left" vertical="center" wrapText="1"/>
    </xf>
    <xf numFmtId="3" fontId="6" fillId="0" borderId="3" xfId="2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5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6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166" fontId="6" fillId="0" borderId="3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3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166" fontId="6" fillId="0" borderId="4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3" fontId="8" fillId="0" borderId="7" xfId="0" applyNumberFormat="1" applyFont="1" applyFill="1" applyBorder="1" applyAlignment="1">
      <alignment horizontal="center" vertical="center"/>
    </xf>
    <xf numFmtId="166" fontId="8" fillId="0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166" fontId="8" fillId="0" borderId="8" xfId="2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6" fontId="10" fillId="0" borderId="11" xfId="0" applyNumberFormat="1" applyFont="1" applyFill="1" applyBorder="1" applyAlignment="1">
      <alignment horizontal="right" vertical="center"/>
    </xf>
    <xf numFmtId="0" fontId="11" fillId="0" borderId="12" xfId="0" applyFont="1" applyFill="1" applyBorder="1" applyAlignment="1">
      <alignment horizontal="center" vertical="center"/>
    </xf>
    <xf numFmtId="166" fontId="26" fillId="0" borderId="0" xfId="0" applyNumberFormat="1" applyFont="1" applyFill="1"/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5" xfId="0" applyNumberFormat="1" applyFont="1" applyBorder="1" applyAlignment="1">
      <alignment horizontal="center" vertical="center" wrapText="1"/>
    </xf>
    <xf numFmtId="3" fontId="15" fillId="0" borderId="67" xfId="0" applyNumberFormat="1" applyFont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170" fontId="0" fillId="0" borderId="47" xfId="7" applyNumberFormat="1" applyFont="1" applyFill="1" applyBorder="1" applyAlignment="1" applyProtection="1">
      <alignment horizontal="center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5" xfId="5" applyFont="1" applyFill="1" applyBorder="1" applyAlignment="1">
      <alignment horizontal="left" vertical="center" wrapText="1"/>
    </xf>
    <xf numFmtId="0" fontId="2" fillId="0" borderId="61" xfId="5" applyFont="1" applyBorder="1" applyAlignment="1">
      <alignment horizontal="left" vertical="center" wrapText="1"/>
    </xf>
    <xf numFmtId="0" fontId="2" fillId="0" borderId="62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 vertical="center"/>
    </xf>
    <xf numFmtId="0" fontId="2" fillId="0" borderId="31" xfId="5" applyFont="1" applyFill="1" applyBorder="1" applyAlignment="1">
      <alignment horizontal="left" vertical="center" wrapText="1"/>
    </xf>
    <xf numFmtId="0" fontId="2" fillId="0" borderId="63" xfId="5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166" fontId="13" fillId="0" borderId="23" xfId="0" applyNumberFormat="1" applyFont="1" applyBorder="1" applyAlignment="1">
      <alignment horizontal="center" vertical="center" wrapText="1"/>
    </xf>
    <xf numFmtId="166" fontId="13" fillId="0" borderId="64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 indent="1"/>
    </xf>
    <xf numFmtId="167" fontId="12" fillId="0" borderId="1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7" fillId="0" borderId="30" xfId="0" applyNumberFormat="1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9" fillId="0" borderId="32" xfId="0" applyFont="1" applyFill="1" applyBorder="1"/>
    <xf numFmtId="0" fontId="20" fillId="0" borderId="33" xfId="0" applyFont="1" applyFill="1" applyBorder="1" applyAlignment="1">
      <alignment horizontal="left" indent="1"/>
    </xf>
    <xf numFmtId="0" fontId="15" fillId="0" borderId="32" xfId="0" applyFont="1" applyFill="1" applyBorder="1" applyAlignment="1">
      <alignment horizontal="left" vertical="center" wrapText="1"/>
    </xf>
    <xf numFmtId="0" fontId="21" fillId="0" borderId="34" xfId="0" applyFont="1" applyBorder="1" applyAlignment="1">
      <alignment horizontal="left"/>
    </xf>
    <xf numFmtId="0" fontId="0" fillId="0" borderId="51" xfId="0" applyFont="1" applyBorder="1" applyAlignment="1">
      <alignment horizontal="center" vertical="center"/>
    </xf>
    <xf numFmtId="0" fontId="20" fillId="0" borderId="36" xfId="0" applyNumberFormat="1" applyFont="1" applyFill="1" applyBorder="1" applyAlignment="1">
      <alignment horizontal="justify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center"/>
    </xf>
    <xf numFmtId="0" fontId="17" fillId="0" borderId="17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28" xfId="0" applyFont="1" applyFill="1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7" fillId="0" borderId="57" xfId="0" applyFont="1" applyBorder="1" applyAlignment="1">
      <alignment horizontal="left" vertical="center" wrapText="1"/>
    </xf>
    <xf numFmtId="0" fontId="0" fillId="0" borderId="35" xfId="0" applyBorder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"/>
  <sheetViews>
    <sheetView tabSelected="1" topLeftCell="AD1" zoomScaleNormal="100" workbookViewId="0">
      <selection activeCell="AW14" sqref="AW14"/>
    </sheetView>
  </sheetViews>
  <sheetFormatPr baseColWidth="10" defaultRowHeight="15" x14ac:dyDescent="0.25"/>
  <cols>
    <col min="1" max="1" width="5.42578125" style="25" bestFit="1" customWidth="1"/>
    <col min="2" max="2" width="13" style="25" bestFit="1" customWidth="1"/>
    <col min="3" max="3" width="39.7109375" style="25" customWidth="1"/>
    <col min="4" max="4" width="8.7109375" style="25" customWidth="1"/>
    <col min="5" max="5" width="56.7109375" style="26" customWidth="1"/>
    <col min="6" max="6" width="21.85546875" style="25" bestFit="1" customWidth="1"/>
    <col min="7" max="7" width="17.140625" style="25" customWidth="1"/>
    <col min="8" max="8" width="10.85546875" style="25" customWidth="1"/>
    <col min="9" max="9" width="8" style="25" customWidth="1"/>
    <col min="10" max="10" width="14.5703125" style="25" customWidth="1"/>
    <col min="11" max="11" width="9.42578125" style="25" customWidth="1"/>
    <col min="12" max="12" width="14" style="25" customWidth="1"/>
    <col min="13" max="13" width="8.28515625" style="25" customWidth="1"/>
    <col min="14" max="14" width="14.140625" style="25" customWidth="1"/>
    <col min="15" max="15" width="4.5703125" style="25" customWidth="1"/>
    <col min="16" max="16" width="12.42578125" style="25" customWidth="1"/>
    <col min="17" max="17" width="14.7109375" style="25" customWidth="1"/>
    <col min="18" max="18" width="13.85546875" style="25" customWidth="1"/>
    <col min="19" max="19" width="10.5703125" style="27" customWidth="1"/>
    <col min="20" max="20" width="10.5703125" style="28" customWidth="1"/>
    <col min="21" max="21" width="14.7109375" style="25" customWidth="1"/>
    <col min="22" max="22" width="12.85546875" style="25" customWidth="1"/>
    <col min="23" max="23" width="6" style="25" customWidth="1"/>
    <col min="24" max="24" width="12.5703125" style="25" customWidth="1"/>
    <col min="25" max="25" width="10.140625" style="25" customWidth="1"/>
    <col min="26" max="26" width="13.5703125" style="25" customWidth="1"/>
    <col min="27" max="28" width="14.42578125" style="25" customWidth="1"/>
    <col min="29" max="29" width="5.7109375" style="25" customWidth="1"/>
    <col min="30" max="30" width="12.28515625" style="25" customWidth="1"/>
    <col min="31" max="31" width="10.140625" style="25" customWidth="1"/>
    <col min="32" max="32" width="13.5703125" style="25" customWidth="1"/>
    <col min="33" max="33" width="12.140625" style="25" customWidth="1"/>
    <col min="34" max="34" width="13" style="25" customWidth="1"/>
    <col min="35" max="36" width="10.5703125" style="25" customWidth="1"/>
    <col min="37" max="37" width="4.7109375" style="25" customWidth="1"/>
    <col min="38" max="38" width="11.28515625" style="25" customWidth="1"/>
    <col min="39" max="39" width="6.5703125" style="25" customWidth="1"/>
    <col min="40" max="40" width="13.5703125" style="28" customWidth="1"/>
    <col min="41" max="41" width="14.85546875" style="25" customWidth="1"/>
    <col min="42" max="42" width="13.5703125" style="25" customWidth="1"/>
    <col min="43" max="43" width="13.85546875" style="25" customWidth="1"/>
    <col min="44" max="44" width="12.85546875" style="28" customWidth="1"/>
    <col min="45" max="45" width="15.28515625" style="29" customWidth="1"/>
    <col min="46" max="46" width="15.28515625" style="25" customWidth="1"/>
    <col min="47" max="47" width="7.28515625" style="29" customWidth="1"/>
    <col min="48" max="48" width="13.85546875" style="25" customWidth="1"/>
    <col min="49" max="49" width="10.42578125" style="27" bestFit="1" customWidth="1"/>
    <col min="50" max="50" width="12.42578125" style="28" bestFit="1" customWidth="1"/>
    <col min="51" max="51" width="16.28515625" style="28" bestFit="1" customWidth="1"/>
  </cols>
  <sheetData>
    <row r="1" spans="1:51" s="106" customFormat="1" x14ac:dyDescent="0.25">
      <c r="A1" s="96">
        <v>2022</v>
      </c>
      <c r="B1" s="97"/>
      <c r="C1" s="98"/>
      <c r="D1" s="98"/>
      <c r="E1" s="99"/>
      <c r="F1" s="98"/>
      <c r="G1" s="98"/>
      <c r="H1" s="98"/>
      <c r="I1" s="98"/>
      <c r="J1" s="98"/>
      <c r="K1" s="98"/>
      <c r="L1" s="98"/>
      <c r="M1" s="100"/>
      <c r="N1" s="101"/>
      <c r="O1" s="102"/>
      <c r="P1" s="98"/>
      <c r="Q1" s="100"/>
      <c r="R1" s="98"/>
      <c r="S1" s="102"/>
      <c r="T1" s="103"/>
      <c r="U1" s="100"/>
      <c r="V1" s="98"/>
      <c r="W1" s="102"/>
      <c r="X1" s="98"/>
      <c r="Y1" s="102"/>
      <c r="Z1" s="98"/>
      <c r="AA1" s="102"/>
      <c r="AB1" s="98"/>
      <c r="AC1" s="102"/>
      <c r="AD1" s="98"/>
      <c r="AE1" s="102"/>
      <c r="AF1" s="98"/>
      <c r="AG1" s="102"/>
      <c r="AH1" s="98"/>
      <c r="AI1" s="102"/>
      <c r="AJ1" s="98"/>
      <c r="AK1" s="102"/>
      <c r="AL1" s="98"/>
      <c r="AM1" s="102"/>
      <c r="AN1" s="103"/>
      <c r="AO1" s="102"/>
      <c r="AP1" s="98"/>
      <c r="AQ1" s="102"/>
      <c r="AR1" s="103"/>
      <c r="AS1" s="104"/>
      <c r="AT1" s="98"/>
      <c r="AU1" s="104"/>
      <c r="AV1" s="98"/>
      <c r="AW1" s="102"/>
      <c r="AX1" s="105"/>
      <c r="AY1" s="103"/>
    </row>
    <row r="2" spans="1:51" s="106" customFormat="1" ht="18.75" x14ac:dyDescent="0.25">
      <c r="A2" s="98"/>
      <c r="B2" s="170" t="s">
        <v>0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03"/>
    </row>
    <row r="3" spans="1:51" s="106" customFormat="1" x14ac:dyDescent="0.25">
      <c r="A3" s="98"/>
      <c r="B3" s="97"/>
      <c r="C3" s="98"/>
      <c r="D3" s="98"/>
      <c r="E3" s="99"/>
      <c r="F3" s="98"/>
      <c r="G3" s="98"/>
      <c r="H3" s="98"/>
      <c r="I3" s="98"/>
      <c r="J3" s="98"/>
      <c r="K3" s="98"/>
      <c r="L3" s="98"/>
      <c r="M3" s="100"/>
      <c r="N3" s="101"/>
      <c r="O3" s="102"/>
      <c r="P3" s="98"/>
      <c r="Q3" s="100"/>
      <c r="R3" s="98"/>
      <c r="S3" s="102"/>
      <c r="T3" s="103"/>
      <c r="U3" s="100"/>
      <c r="V3" s="98"/>
      <c r="W3" s="102"/>
      <c r="X3" s="98"/>
      <c r="Y3" s="102"/>
      <c r="Z3" s="98"/>
      <c r="AA3" s="102"/>
      <c r="AB3" s="98"/>
      <c r="AC3" s="102"/>
      <c r="AD3" s="98"/>
      <c r="AE3" s="102"/>
      <c r="AF3" s="98"/>
      <c r="AG3" s="102"/>
      <c r="AH3" s="98"/>
      <c r="AI3" s="102"/>
      <c r="AJ3" s="98"/>
      <c r="AK3" s="102"/>
      <c r="AL3" s="98"/>
      <c r="AM3" s="102"/>
      <c r="AN3" s="103"/>
      <c r="AO3" s="102"/>
      <c r="AP3" s="98"/>
      <c r="AQ3" s="102"/>
      <c r="AR3" s="103"/>
      <c r="AS3" s="104"/>
      <c r="AT3" s="98"/>
      <c r="AU3" s="104"/>
      <c r="AV3" s="98"/>
      <c r="AW3" s="102"/>
      <c r="AX3" s="105"/>
      <c r="AY3" s="103"/>
    </row>
    <row r="4" spans="1:51" s="106" customFormat="1" x14ac:dyDescent="0.25">
      <c r="A4" s="169" t="s">
        <v>1</v>
      </c>
      <c r="B4" s="169"/>
      <c r="C4" s="80" t="s">
        <v>2</v>
      </c>
      <c r="D4" s="80"/>
      <c r="E4" s="80"/>
      <c r="F4" s="107"/>
      <c r="G4" s="107"/>
      <c r="H4" s="107"/>
      <c r="I4" s="107"/>
      <c r="J4" s="107"/>
      <c r="K4" s="107"/>
      <c r="L4" s="107"/>
      <c r="M4" s="108"/>
      <c r="N4" s="109"/>
      <c r="O4" s="110"/>
      <c r="P4" s="107"/>
      <c r="Q4" s="108"/>
      <c r="R4" s="107"/>
      <c r="S4" s="110"/>
      <c r="T4" s="111"/>
      <c r="U4" s="108"/>
      <c r="V4" s="107"/>
      <c r="W4" s="110"/>
      <c r="X4" s="107"/>
      <c r="Y4" s="110"/>
      <c r="Z4" s="107"/>
      <c r="AA4" s="110"/>
      <c r="AB4" s="107"/>
      <c r="AC4" s="110"/>
      <c r="AD4" s="107"/>
      <c r="AE4" s="110"/>
      <c r="AF4" s="107"/>
      <c r="AG4" s="110"/>
      <c r="AH4" s="107"/>
      <c r="AI4" s="110"/>
      <c r="AJ4" s="107"/>
      <c r="AK4" s="110"/>
      <c r="AL4" s="107"/>
      <c r="AM4" s="110"/>
      <c r="AN4" s="111"/>
      <c r="AO4" s="110"/>
      <c r="AP4" s="107"/>
      <c r="AQ4" s="110"/>
      <c r="AR4" s="111"/>
      <c r="AS4" s="112"/>
      <c r="AT4" s="107"/>
      <c r="AU4" s="112"/>
      <c r="AV4" s="107"/>
      <c r="AW4" s="110"/>
      <c r="AX4" s="105"/>
      <c r="AY4" s="103"/>
    </row>
    <row r="5" spans="1:51" s="106" customFormat="1" ht="15" customHeight="1" x14ac:dyDescent="0.25">
      <c r="A5" s="169" t="s">
        <v>3</v>
      </c>
      <c r="B5" s="169"/>
      <c r="C5" s="80" t="s">
        <v>4</v>
      </c>
      <c r="D5" s="80"/>
      <c r="E5" s="80"/>
      <c r="F5" s="107"/>
      <c r="G5" s="107"/>
      <c r="H5" s="107"/>
      <c r="I5" s="107"/>
      <c r="J5" s="107"/>
      <c r="K5" s="107"/>
      <c r="L5" s="107"/>
      <c r="M5" s="108"/>
      <c r="N5" s="109"/>
      <c r="O5" s="110"/>
      <c r="P5" s="107"/>
      <c r="Q5" s="108"/>
      <c r="R5" s="107"/>
      <c r="S5" s="110"/>
      <c r="T5" s="111"/>
      <c r="U5" s="108"/>
      <c r="V5" s="107"/>
      <c r="W5" s="110"/>
      <c r="X5" s="107"/>
      <c r="Y5" s="110"/>
      <c r="Z5" s="107"/>
      <c r="AA5" s="110"/>
      <c r="AB5" s="107"/>
      <c r="AC5" s="110"/>
      <c r="AD5" s="107"/>
      <c r="AE5" s="110"/>
      <c r="AF5" s="107"/>
      <c r="AG5" s="110"/>
      <c r="AH5" s="107"/>
      <c r="AI5" s="110"/>
      <c r="AJ5" s="107"/>
      <c r="AK5" s="110"/>
      <c r="AL5" s="107"/>
      <c r="AM5" s="110"/>
      <c r="AN5" s="111"/>
      <c r="AO5" s="110"/>
      <c r="AP5" s="107"/>
      <c r="AQ5" s="110"/>
      <c r="AR5" s="111"/>
      <c r="AS5" s="112"/>
      <c r="AT5" s="107"/>
      <c r="AU5" s="112"/>
      <c r="AV5" s="107"/>
      <c r="AW5" s="110"/>
      <c r="AX5" s="105"/>
      <c r="AY5" s="103"/>
    </row>
    <row r="6" spans="1:51" s="106" customFormat="1" x14ac:dyDescent="0.25">
      <c r="A6" s="169" t="s">
        <v>5</v>
      </c>
      <c r="B6" s="169"/>
      <c r="C6" s="81">
        <v>2022</v>
      </c>
      <c r="D6" s="82"/>
      <c r="E6" s="81"/>
      <c r="F6" s="107"/>
      <c r="G6" s="107"/>
      <c r="H6" s="107"/>
      <c r="I6" s="107"/>
      <c r="J6" s="107"/>
      <c r="K6" s="107"/>
      <c r="L6" s="107"/>
      <c r="M6" s="108"/>
      <c r="N6" s="109"/>
      <c r="O6" s="110"/>
      <c r="P6" s="107"/>
      <c r="Q6" s="108"/>
      <c r="R6" s="107"/>
      <c r="S6" s="110"/>
      <c r="T6" s="111"/>
      <c r="U6" s="108"/>
      <c r="V6" s="107"/>
      <c r="W6" s="110"/>
      <c r="X6" s="107"/>
      <c r="Y6" s="110"/>
      <c r="Z6" s="107"/>
      <c r="AA6" s="110"/>
      <c r="AB6" s="107"/>
      <c r="AC6" s="110"/>
      <c r="AD6" s="107"/>
      <c r="AE6" s="110"/>
      <c r="AF6" s="107"/>
      <c r="AG6" s="110"/>
      <c r="AH6" s="107"/>
      <c r="AI6" s="110"/>
      <c r="AJ6" s="107"/>
      <c r="AK6" s="110"/>
      <c r="AL6" s="107"/>
      <c r="AM6" s="110"/>
      <c r="AN6" s="111"/>
      <c r="AO6" s="110"/>
      <c r="AP6" s="107"/>
      <c r="AQ6" s="110"/>
      <c r="AR6" s="111"/>
      <c r="AS6" s="112"/>
      <c r="AT6" s="107"/>
      <c r="AU6" s="112"/>
      <c r="AV6" s="107"/>
      <c r="AW6" s="110"/>
      <c r="AX6" s="105"/>
      <c r="AY6" s="103"/>
    </row>
    <row r="7" spans="1:51" s="106" customFormat="1" x14ac:dyDescent="0.25">
      <c r="A7" s="169" t="s">
        <v>6</v>
      </c>
      <c r="B7" s="169"/>
      <c r="C7" s="81" t="s">
        <v>7</v>
      </c>
      <c r="D7" s="82"/>
      <c r="E7" s="81"/>
      <c r="F7" s="107"/>
      <c r="G7" s="107"/>
      <c r="H7" s="107"/>
      <c r="I7" s="107"/>
      <c r="J7" s="107"/>
      <c r="K7" s="107"/>
      <c r="L7" s="107"/>
      <c r="M7" s="108"/>
      <c r="N7" s="109"/>
      <c r="O7" s="110"/>
      <c r="P7" s="107"/>
      <c r="Q7" s="108"/>
      <c r="R7" s="107"/>
      <c r="S7" s="110"/>
      <c r="T7" s="111"/>
      <c r="U7" s="108"/>
      <c r="V7" s="107"/>
      <c r="W7" s="110"/>
      <c r="X7" s="107"/>
      <c r="Y7" s="110"/>
      <c r="Z7" s="107"/>
      <c r="AA7" s="110"/>
      <c r="AB7" s="107"/>
      <c r="AC7" s="110"/>
      <c r="AD7" s="107"/>
      <c r="AE7" s="110"/>
      <c r="AF7" s="107"/>
      <c r="AG7" s="110"/>
      <c r="AH7" s="107"/>
      <c r="AI7" s="110"/>
      <c r="AJ7" s="107"/>
      <c r="AK7" s="110"/>
      <c r="AL7" s="107"/>
      <c r="AM7" s="110"/>
      <c r="AN7" s="111"/>
      <c r="AO7" s="110"/>
      <c r="AP7" s="107"/>
      <c r="AQ7" s="110"/>
      <c r="AR7" s="111"/>
      <c r="AS7" s="112"/>
      <c r="AT7" s="107"/>
      <c r="AU7" s="112"/>
      <c r="AV7" s="107"/>
      <c r="AW7" s="110"/>
      <c r="AX7" s="105"/>
      <c r="AY7" s="103"/>
    </row>
    <row r="8" spans="1:51" x14ac:dyDescent="0.25">
      <c r="A8" s="1"/>
      <c r="B8" s="4"/>
      <c r="C8" s="4"/>
      <c r="D8" s="4"/>
      <c r="E8" s="10"/>
      <c r="F8" s="4"/>
      <c r="G8" s="4"/>
      <c r="H8" s="4"/>
      <c r="I8" s="4"/>
      <c r="J8" s="4"/>
      <c r="K8" s="4"/>
      <c r="L8" s="4"/>
      <c r="M8" s="5"/>
      <c r="N8" s="6"/>
      <c r="O8" s="7"/>
      <c r="P8" s="4"/>
      <c r="Q8" s="5"/>
      <c r="R8" s="4"/>
      <c r="S8" s="7"/>
      <c r="T8" s="8"/>
      <c r="U8" s="5"/>
      <c r="V8" s="4"/>
      <c r="W8" s="7"/>
      <c r="X8" s="4"/>
      <c r="Y8" s="7"/>
      <c r="Z8" s="4"/>
      <c r="AA8" s="7"/>
      <c r="AB8" s="4"/>
      <c r="AC8" s="7"/>
      <c r="AD8" s="4"/>
      <c r="AE8" s="7"/>
      <c r="AF8" s="4"/>
      <c r="AG8" s="7"/>
      <c r="AH8" s="4"/>
      <c r="AI8" s="7"/>
      <c r="AJ8" s="4"/>
      <c r="AK8" s="7"/>
      <c r="AL8" s="4"/>
      <c r="AM8" s="7"/>
      <c r="AN8" s="8"/>
      <c r="AO8" s="7"/>
      <c r="AP8" s="4"/>
      <c r="AQ8" s="7"/>
      <c r="AR8" s="8"/>
      <c r="AS8" s="9"/>
      <c r="AT8" s="4"/>
      <c r="AU8" s="9"/>
      <c r="AV8" s="4"/>
      <c r="AW8" s="7"/>
      <c r="AX8" s="3"/>
      <c r="AY8" s="2"/>
    </row>
    <row r="9" spans="1:51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2" t="s">
        <v>14</v>
      </c>
      <c r="H9" s="12" t="s">
        <v>15</v>
      </c>
      <c r="I9" s="14" t="s">
        <v>16</v>
      </c>
      <c r="J9" s="12" t="s">
        <v>17</v>
      </c>
      <c r="K9" s="12" t="s">
        <v>18</v>
      </c>
      <c r="L9" s="12" t="s">
        <v>19</v>
      </c>
      <c r="M9" s="15" t="s">
        <v>20</v>
      </c>
      <c r="N9" s="16" t="s">
        <v>21</v>
      </c>
      <c r="O9" s="17" t="s">
        <v>22</v>
      </c>
      <c r="P9" s="12" t="s">
        <v>23</v>
      </c>
      <c r="Q9" s="15" t="s">
        <v>24</v>
      </c>
      <c r="R9" s="12" t="s">
        <v>25</v>
      </c>
      <c r="S9" s="17" t="s">
        <v>26</v>
      </c>
      <c r="T9" s="18" t="s">
        <v>27</v>
      </c>
      <c r="U9" s="15" t="s">
        <v>28</v>
      </c>
      <c r="V9" s="12" t="s">
        <v>29</v>
      </c>
      <c r="W9" s="17" t="s">
        <v>30</v>
      </c>
      <c r="X9" s="12" t="s">
        <v>31</v>
      </c>
      <c r="Y9" s="17" t="s">
        <v>32</v>
      </c>
      <c r="Z9" s="12" t="s">
        <v>33</v>
      </c>
      <c r="AA9" s="17" t="s">
        <v>34</v>
      </c>
      <c r="AB9" s="12" t="s">
        <v>35</v>
      </c>
      <c r="AC9" s="19" t="s">
        <v>36</v>
      </c>
      <c r="AD9" s="12" t="s">
        <v>37</v>
      </c>
      <c r="AE9" s="17" t="s">
        <v>38</v>
      </c>
      <c r="AF9" s="12" t="s">
        <v>39</v>
      </c>
      <c r="AG9" s="17" t="s">
        <v>40</v>
      </c>
      <c r="AH9" s="12" t="s">
        <v>41</v>
      </c>
      <c r="AI9" s="17" t="s">
        <v>42</v>
      </c>
      <c r="AJ9" s="12" t="s">
        <v>43</v>
      </c>
      <c r="AK9" s="17" t="s">
        <v>44</v>
      </c>
      <c r="AL9" s="12" t="s">
        <v>45</v>
      </c>
      <c r="AM9" s="19" t="s">
        <v>46</v>
      </c>
      <c r="AN9" s="18" t="s">
        <v>47</v>
      </c>
      <c r="AO9" s="19" t="s">
        <v>48</v>
      </c>
      <c r="AP9" s="12" t="s">
        <v>49</v>
      </c>
      <c r="AQ9" s="17" t="s">
        <v>50</v>
      </c>
      <c r="AR9" s="18" t="s">
        <v>51</v>
      </c>
      <c r="AS9" s="20" t="s">
        <v>52</v>
      </c>
      <c r="AT9" s="12" t="s">
        <v>53</v>
      </c>
      <c r="AU9" s="20" t="s">
        <v>54</v>
      </c>
      <c r="AV9" s="12" t="s">
        <v>55</v>
      </c>
      <c r="AW9" s="17" t="s">
        <v>56</v>
      </c>
      <c r="AX9" s="21" t="s">
        <v>138</v>
      </c>
      <c r="AY9" s="18" t="s">
        <v>57</v>
      </c>
    </row>
    <row r="10" spans="1:51" s="125" customFormat="1" ht="12.75" x14ac:dyDescent="0.2">
      <c r="A10" s="118">
        <v>1</v>
      </c>
      <c r="B10" s="118"/>
      <c r="C10" s="118" t="s">
        <v>58</v>
      </c>
      <c r="D10" s="118" t="s">
        <v>59</v>
      </c>
      <c r="E10" s="92" t="s">
        <v>60</v>
      </c>
      <c r="F10" s="119" t="s">
        <v>127</v>
      </c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>
        <v>10</v>
      </c>
      <c r="R10" s="120">
        <f t="shared" ref="R10:R25" si="0">+Q10*AX10</f>
        <v>333150</v>
      </c>
      <c r="S10" s="121"/>
      <c r="T10" s="120">
        <f t="shared" ref="T10:T20" si="1">+S10*AX10</f>
        <v>0</v>
      </c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22"/>
      <c r="AG10" s="118"/>
      <c r="AH10" s="118"/>
      <c r="AI10" s="118"/>
      <c r="AJ10" s="118"/>
      <c r="AK10" s="118"/>
      <c r="AL10" s="118"/>
      <c r="AM10" s="118"/>
      <c r="AN10" s="120"/>
      <c r="AO10" s="118"/>
      <c r="AP10" s="118"/>
      <c r="AQ10" s="118"/>
      <c r="AR10" s="120"/>
      <c r="AS10" s="122"/>
      <c r="AT10" s="118"/>
      <c r="AU10" s="122"/>
      <c r="AV10" s="118"/>
      <c r="AW10" s="89">
        <f t="shared" ref="AW10:AW16" si="2">+AQ10+AO10+AM10+AK10+AI10+AG10+AE10+AC10+AA10+Y10+W10+U10+S10+Q10+O10+M10+K10+I10+AS10+G10+AU10</f>
        <v>10</v>
      </c>
      <c r="AX10" s="120">
        <v>33315</v>
      </c>
      <c r="AY10" s="123">
        <f>+AW10*AX10</f>
        <v>333150</v>
      </c>
    </row>
    <row r="11" spans="1:51" s="125" customFormat="1" ht="12.75" x14ac:dyDescent="0.2">
      <c r="A11" s="118">
        <v>2</v>
      </c>
      <c r="B11" s="124"/>
      <c r="C11" s="124" t="s">
        <v>58</v>
      </c>
      <c r="D11" s="124" t="s">
        <v>59</v>
      </c>
      <c r="E11" s="88" t="s">
        <v>61</v>
      </c>
      <c r="F11" s="124" t="s">
        <v>62</v>
      </c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>
        <v>14</v>
      </c>
      <c r="R11" s="120">
        <f t="shared" si="0"/>
        <v>60760</v>
      </c>
      <c r="S11" s="126"/>
      <c r="T11" s="127">
        <f t="shared" si="1"/>
        <v>0</v>
      </c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23"/>
      <c r="AG11" s="124"/>
      <c r="AH11" s="124"/>
      <c r="AI11" s="124"/>
      <c r="AJ11" s="124"/>
      <c r="AK11" s="124"/>
      <c r="AL11" s="124"/>
      <c r="AM11" s="124"/>
      <c r="AN11" s="127"/>
      <c r="AO11" s="124"/>
      <c r="AP11" s="124"/>
      <c r="AQ11" s="124"/>
      <c r="AR11" s="127"/>
      <c r="AS11" s="128"/>
      <c r="AT11" s="124"/>
      <c r="AU11" s="128"/>
      <c r="AV11" s="124"/>
      <c r="AW11" s="90">
        <f t="shared" si="2"/>
        <v>14</v>
      </c>
      <c r="AX11" s="127">
        <v>4340</v>
      </c>
      <c r="AY11" s="123">
        <f t="shared" ref="AY11:AY25" si="3">+AW11*AX11</f>
        <v>60760</v>
      </c>
    </row>
    <row r="12" spans="1:51" s="125" customFormat="1" ht="12.75" x14ac:dyDescent="0.2">
      <c r="A12" s="118">
        <v>3</v>
      </c>
      <c r="B12" s="124"/>
      <c r="C12" s="124" t="s">
        <v>58</v>
      </c>
      <c r="D12" s="124" t="s">
        <v>59</v>
      </c>
      <c r="E12" s="88" t="s">
        <v>63</v>
      </c>
      <c r="F12" s="124" t="s">
        <v>64</v>
      </c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>
        <v>8</v>
      </c>
      <c r="R12" s="120">
        <f t="shared" si="0"/>
        <v>408080</v>
      </c>
      <c r="S12" s="126"/>
      <c r="T12" s="127">
        <f t="shared" si="1"/>
        <v>0</v>
      </c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23"/>
      <c r="AG12" s="124"/>
      <c r="AH12" s="124"/>
      <c r="AI12" s="124"/>
      <c r="AJ12" s="124"/>
      <c r="AK12" s="124"/>
      <c r="AL12" s="124"/>
      <c r="AM12" s="124"/>
      <c r="AN12" s="127"/>
      <c r="AO12" s="124"/>
      <c r="AP12" s="124"/>
      <c r="AQ12" s="124"/>
      <c r="AR12" s="127"/>
      <c r="AS12" s="128"/>
      <c r="AT12" s="124"/>
      <c r="AU12" s="128"/>
      <c r="AV12" s="124"/>
      <c r="AW12" s="90">
        <f t="shared" si="2"/>
        <v>8</v>
      </c>
      <c r="AX12" s="127">
        <v>51010</v>
      </c>
      <c r="AY12" s="123">
        <f>+AW12*AX12</f>
        <v>408080</v>
      </c>
    </row>
    <row r="13" spans="1:51" s="125" customFormat="1" ht="12.75" x14ac:dyDescent="0.2">
      <c r="A13" s="118">
        <v>4</v>
      </c>
      <c r="B13" s="124"/>
      <c r="C13" s="124" t="s">
        <v>58</v>
      </c>
      <c r="D13" s="124" t="s">
        <v>59</v>
      </c>
      <c r="E13" s="88" t="s">
        <v>65</v>
      </c>
      <c r="F13" s="124" t="s">
        <v>64</v>
      </c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>
        <v>8</v>
      </c>
      <c r="R13" s="120">
        <f t="shared" si="0"/>
        <v>1486480</v>
      </c>
      <c r="S13" s="126"/>
      <c r="T13" s="127">
        <f t="shared" si="1"/>
        <v>0</v>
      </c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23"/>
      <c r="AG13" s="124"/>
      <c r="AH13" s="124"/>
      <c r="AI13" s="124"/>
      <c r="AJ13" s="124"/>
      <c r="AK13" s="124"/>
      <c r="AL13" s="124"/>
      <c r="AM13" s="124"/>
      <c r="AN13" s="127"/>
      <c r="AO13" s="124"/>
      <c r="AP13" s="124"/>
      <c r="AQ13" s="124"/>
      <c r="AR13" s="127"/>
      <c r="AS13" s="128"/>
      <c r="AT13" s="124"/>
      <c r="AU13" s="128"/>
      <c r="AV13" s="124"/>
      <c r="AW13" s="90">
        <f t="shared" si="2"/>
        <v>8</v>
      </c>
      <c r="AX13" s="127">
        <v>185810</v>
      </c>
      <c r="AY13" s="123">
        <f t="shared" si="3"/>
        <v>1486480</v>
      </c>
    </row>
    <row r="14" spans="1:51" s="125" customFormat="1" ht="12.75" x14ac:dyDescent="0.2">
      <c r="A14" s="118">
        <v>5</v>
      </c>
      <c r="B14" s="124"/>
      <c r="C14" s="124" t="s">
        <v>58</v>
      </c>
      <c r="D14" s="124" t="s">
        <v>59</v>
      </c>
      <c r="E14" s="88" t="s">
        <v>66</v>
      </c>
      <c r="F14" s="124" t="s">
        <v>64</v>
      </c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>
        <v>3</v>
      </c>
      <c r="R14" s="120">
        <f t="shared" si="0"/>
        <v>40545</v>
      </c>
      <c r="S14" s="126"/>
      <c r="T14" s="127">
        <f t="shared" si="1"/>
        <v>0</v>
      </c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23"/>
      <c r="AG14" s="124"/>
      <c r="AH14" s="124"/>
      <c r="AI14" s="124"/>
      <c r="AJ14" s="124"/>
      <c r="AK14" s="124"/>
      <c r="AL14" s="124"/>
      <c r="AM14" s="124"/>
      <c r="AN14" s="127"/>
      <c r="AO14" s="124"/>
      <c r="AP14" s="124"/>
      <c r="AQ14" s="124"/>
      <c r="AR14" s="127"/>
      <c r="AS14" s="128"/>
      <c r="AT14" s="124"/>
      <c r="AU14" s="128"/>
      <c r="AV14" s="124"/>
      <c r="AW14" s="90">
        <f t="shared" si="2"/>
        <v>3</v>
      </c>
      <c r="AX14" s="127">
        <v>13515</v>
      </c>
      <c r="AY14" s="123">
        <f t="shared" si="3"/>
        <v>40545</v>
      </c>
    </row>
    <row r="15" spans="1:51" s="125" customFormat="1" ht="12.75" x14ac:dyDescent="0.2">
      <c r="A15" s="118">
        <v>6</v>
      </c>
      <c r="B15" s="124"/>
      <c r="C15" s="124" t="s">
        <v>58</v>
      </c>
      <c r="D15" s="124" t="s">
        <v>59</v>
      </c>
      <c r="E15" s="88" t="s">
        <v>129</v>
      </c>
      <c r="F15" s="124" t="s">
        <v>126</v>
      </c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>
        <v>5</v>
      </c>
      <c r="R15" s="120">
        <f t="shared" si="0"/>
        <v>18500</v>
      </c>
      <c r="S15" s="126"/>
      <c r="T15" s="127">
        <f t="shared" si="1"/>
        <v>0</v>
      </c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23"/>
      <c r="AG15" s="124"/>
      <c r="AH15" s="124"/>
      <c r="AI15" s="124"/>
      <c r="AJ15" s="124"/>
      <c r="AK15" s="124"/>
      <c r="AL15" s="124"/>
      <c r="AM15" s="124"/>
      <c r="AN15" s="127"/>
      <c r="AO15" s="124"/>
      <c r="AP15" s="124"/>
      <c r="AQ15" s="124"/>
      <c r="AR15" s="127"/>
      <c r="AS15" s="128"/>
      <c r="AT15" s="124"/>
      <c r="AU15" s="128"/>
      <c r="AV15" s="124"/>
      <c r="AW15" s="90">
        <f t="shared" si="2"/>
        <v>5</v>
      </c>
      <c r="AX15" s="127">
        <v>3700</v>
      </c>
      <c r="AY15" s="123">
        <f t="shared" si="3"/>
        <v>18500</v>
      </c>
    </row>
    <row r="16" spans="1:51" s="125" customFormat="1" ht="12.75" x14ac:dyDescent="0.2">
      <c r="A16" s="118">
        <v>7</v>
      </c>
      <c r="B16" s="124"/>
      <c r="C16" s="124" t="s">
        <v>58</v>
      </c>
      <c r="D16" s="124" t="s">
        <v>59</v>
      </c>
      <c r="E16" s="88" t="s">
        <v>130</v>
      </c>
      <c r="F16" s="124" t="s">
        <v>126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>
        <v>5</v>
      </c>
      <c r="R16" s="120">
        <f t="shared" si="0"/>
        <v>19200</v>
      </c>
      <c r="S16" s="126"/>
      <c r="T16" s="127">
        <f t="shared" si="1"/>
        <v>0</v>
      </c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23"/>
      <c r="AG16" s="124"/>
      <c r="AH16" s="124"/>
      <c r="AI16" s="124"/>
      <c r="AJ16" s="124"/>
      <c r="AK16" s="124"/>
      <c r="AL16" s="124"/>
      <c r="AM16" s="124"/>
      <c r="AN16" s="127"/>
      <c r="AO16" s="124"/>
      <c r="AP16" s="124"/>
      <c r="AQ16" s="124"/>
      <c r="AR16" s="127"/>
      <c r="AS16" s="128"/>
      <c r="AT16" s="124"/>
      <c r="AU16" s="128"/>
      <c r="AV16" s="124"/>
      <c r="AW16" s="90">
        <f t="shared" si="2"/>
        <v>5</v>
      </c>
      <c r="AX16" s="127">
        <v>3840</v>
      </c>
      <c r="AY16" s="123">
        <f t="shared" si="3"/>
        <v>19200</v>
      </c>
    </row>
    <row r="17" spans="1:51" s="125" customFormat="1" ht="12.75" x14ac:dyDescent="0.2">
      <c r="A17" s="118">
        <v>8</v>
      </c>
      <c r="B17" s="124"/>
      <c r="C17" s="124" t="s">
        <v>58</v>
      </c>
      <c r="D17" s="124" t="s">
        <v>59</v>
      </c>
      <c r="E17" s="88" t="s">
        <v>134</v>
      </c>
      <c r="F17" s="124" t="s">
        <v>126</v>
      </c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>
        <v>2</v>
      </c>
      <c r="R17" s="120">
        <f t="shared" si="0"/>
        <v>400160</v>
      </c>
      <c r="S17" s="126"/>
      <c r="T17" s="127">
        <f t="shared" si="1"/>
        <v>0</v>
      </c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23"/>
      <c r="AG17" s="124"/>
      <c r="AH17" s="124"/>
      <c r="AI17" s="124"/>
      <c r="AJ17" s="124"/>
      <c r="AK17" s="124"/>
      <c r="AL17" s="124"/>
      <c r="AM17" s="124"/>
      <c r="AN17" s="127"/>
      <c r="AO17" s="124"/>
      <c r="AP17" s="124"/>
      <c r="AQ17" s="124"/>
      <c r="AR17" s="127"/>
      <c r="AS17" s="128"/>
      <c r="AT17" s="124"/>
      <c r="AU17" s="128"/>
      <c r="AV17" s="124"/>
      <c r="AW17" s="90">
        <v>3</v>
      </c>
      <c r="AX17" s="127">
        <v>200080</v>
      </c>
      <c r="AY17" s="123">
        <f t="shared" si="3"/>
        <v>600240</v>
      </c>
    </row>
    <row r="18" spans="1:51" s="125" customFormat="1" ht="12.75" x14ac:dyDescent="0.2">
      <c r="A18" s="118">
        <v>9</v>
      </c>
      <c r="B18" s="124"/>
      <c r="C18" s="124" t="s">
        <v>58</v>
      </c>
      <c r="D18" s="124" t="s">
        <v>59</v>
      </c>
      <c r="E18" s="88" t="s">
        <v>67</v>
      </c>
      <c r="F18" s="124" t="s">
        <v>126</v>
      </c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>
        <v>5</v>
      </c>
      <c r="R18" s="120">
        <f t="shared" si="0"/>
        <v>1689800</v>
      </c>
      <c r="S18" s="126"/>
      <c r="T18" s="127">
        <f t="shared" si="1"/>
        <v>0</v>
      </c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23"/>
      <c r="AG18" s="124"/>
      <c r="AH18" s="124"/>
      <c r="AI18" s="124"/>
      <c r="AJ18" s="124"/>
      <c r="AK18" s="124"/>
      <c r="AL18" s="124"/>
      <c r="AM18" s="124"/>
      <c r="AN18" s="127"/>
      <c r="AO18" s="124"/>
      <c r="AP18" s="124"/>
      <c r="AQ18" s="124"/>
      <c r="AR18" s="127"/>
      <c r="AS18" s="128"/>
      <c r="AT18" s="124"/>
      <c r="AU18" s="128"/>
      <c r="AV18" s="124"/>
      <c r="AW18" s="90">
        <f>+AQ18+AO18+AM18+AK18+AI18+AG18+AE18+AC18+AA18+Y18+W18+U18+S18+Q18+O18+M18+K18+I18+AS18+G18+AU18</f>
        <v>5</v>
      </c>
      <c r="AX18" s="127">
        <v>337960</v>
      </c>
      <c r="AY18" s="123">
        <f t="shared" si="3"/>
        <v>1689800</v>
      </c>
    </row>
    <row r="19" spans="1:51" s="125" customFormat="1" ht="12.75" x14ac:dyDescent="0.2">
      <c r="A19" s="118">
        <v>10</v>
      </c>
      <c r="B19" s="124"/>
      <c r="C19" s="124" t="s">
        <v>58</v>
      </c>
      <c r="D19" s="124" t="s">
        <v>59</v>
      </c>
      <c r="E19" s="88" t="s">
        <v>68</v>
      </c>
      <c r="F19" s="124" t="s">
        <v>126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>
        <v>5</v>
      </c>
      <c r="R19" s="120">
        <f t="shared" si="0"/>
        <v>2461700</v>
      </c>
      <c r="S19" s="126"/>
      <c r="T19" s="127">
        <f t="shared" si="1"/>
        <v>0</v>
      </c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23"/>
      <c r="AG19" s="124"/>
      <c r="AH19" s="124"/>
      <c r="AI19" s="124"/>
      <c r="AJ19" s="124"/>
      <c r="AK19" s="124"/>
      <c r="AL19" s="124"/>
      <c r="AM19" s="124"/>
      <c r="AN19" s="127"/>
      <c r="AO19" s="124"/>
      <c r="AP19" s="124"/>
      <c r="AQ19" s="124"/>
      <c r="AR19" s="127"/>
      <c r="AS19" s="128"/>
      <c r="AT19" s="124"/>
      <c r="AU19" s="128"/>
      <c r="AV19" s="124"/>
      <c r="AW19" s="90">
        <f>+AQ19+AO19+AM19+AK19+AI19+AG19+AE19+AC19+AA19+Y19+W19+U19+S19+Q19+O19+M19+K19+I19+AS19+G19+AU19</f>
        <v>5</v>
      </c>
      <c r="AX19" s="127">
        <v>492340</v>
      </c>
      <c r="AY19" s="123">
        <f t="shared" si="3"/>
        <v>2461700</v>
      </c>
    </row>
    <row r="20" spans="1:51" s="125" customFormat="1" ht="12.75" x14ac:dyDescent="0.2">
      <c r="A20" s="118">
        <v>11</v>
      </c>
      <c r="B20" s="124"/>
      <c r="C20" s="124" t="s">
        <v>58</v>
      </c>
      <c r="D20" s="124" t="s">
        <v>59</v>
      </c>
      <c r="E20" s="88" t="s">
        <v>131</v>
      </c>
      <c r="F20" s="124" t="s">
        <v>126</v>
      </c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>
        <v>2</v>
      </c>
      <c r="R20" s="120">
        <f t="shared" si="0"/>
        <v>24700</v>
      </c>
      <c r="S20" s="126"/>
      <c r="T20" s="127">
        <f t="shared" si="1"/>
        <v>0</v>
      </c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23"/>
      <c r="AG20" s="124"/>
      <c r="AH20" s="124"/>
      <c r="AI20" s="124"/>
      <c r="AJ20" s="124"/>
      <c r="AK20" s="124"/>
      <c r="AL20" s="124"/>
      <c r="AM20" s="124"/>
      <c r="AN20" s="127"/>
      <c r="AO20" s="124"/>
      <c r="AP20" s="124"/>
      <c r="AQ20" s="124"/>
      <c r="AR20" s="127"/>
      <c r="AS20" s="128"/>
      <c r="AT20" s="124"/>
      <c r="AU20" s="128"/>
      <c r="AV20" s="124"/>
      <c r="AW20" s="90">
        <v>5</v>
      </c>
      <c r="AX20" s="127">
        <v>12350</v>
      </c>
      <c r="AY20" s="123">
        <f t="shared" si="3"/>
        <v>61750</v>
      </c>
    </row>
    <row r="21" spans="1:51" s="125" customFormat="1" ht="12.75" x14ac:dyDescent="0.2">
      <c r="A21" s="118">
        <v>12</v>
      </c>
      <c r="B21" s="124"/>
      <c r="C21" s="124" t="s">
        <v>58</v>
      </c>
      <c r="D21" s="124" t="s">
        <v>59</v>
      </c>
      <c r="E21" s="88" t="s">
        <v>69</v>
      </c>
      <c r="F21" s="124" t="s">
        <v>128</v>
      </c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>
        <v>10</v>
      </c>
      <c r="R21" s="120">
        <f t="shared" si="0"/>
        <v>3552631.5999999996</v>
      </c>
      <c r="S21" s="126"/>
      <c r="T21" s="127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23"/>
      <c r="AG21" s="124"/>
      <c r="AH21" s="124"/>
      <c r="AI21" s="124"/>
      <c r="AJ21" s="124"/>
      <c r="AK21" s="124"/>
      <c r="AL21" s="124"/>
      <c r="AM21" s="124"/>
      <c r="AN21" s="127"/>
      <c r="AO21" s="124"/>
      <c r="AP21" s="124"/>
      <c r="AQ21" s="124"/>
      <c r="AR21" s="127"/>
      <c r="AS21" s="128"/>
      <c r="AT21" s="124"/>
      <c r="AU21" s="128"/>
      <c r="AV21" s="124"/>
      <c r="AW21" s="90">
        <f>+AQ21+AO21+AM21+AK21+AI21+AG21+AE21+AC21+AA21+Y21+W21+U21+S21+Q21+O21+M21+K21+I21+AS21+G21+AU21</f>
        <v>10</v>
      </c>
      <c r="AX21" s="129">
        <v>355263.16</v>
      </c>
      <c r="AY21" s="123">
        <f t="shared" si="3"/>
        <v>3552631.5999999996</v>
      </c>
    </row>
    <row r="22" spans="1:51" s="125" customFormat="1" ht="12.75" x14ac:dyDescent="0.2">
      <c r="A22" s="118">
        <v>13</v>
      </c>
      <c r="B22" s="94"/>
      <c r="C22" s="124" t="s">
        <v>58</v>
      </c>
      <c r="D22" s="94" t="s">
        <v>59</v>
      </c>
      <c r="E22" s="88" t="s">
        <v>70</v>
      </c>
      <c r="F22" s="124" t="s">
        <v>128</v>
      </c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>
        <v>5</v>
      </c>
      <c r="R22" s="120">
        <f t="shared" si="0"/>
        <v>2157400</v>
      </c>
      <c r="S22" s="126"/>
      <c r="T22" s="127">
        <f>+S22*AX22</f>
        <v>0</v>
      </c>
      <c r="U22" s="124"/>
      <c r="V22" s="124"/>
      <c r="W22" s="124"/>
      <c r="X22" s="124"/>
      <c r="Y22" s="124"/>
      <c r="Z22" s="124"/>
      <c r="AA22" s="124"/>
      <c r="AB22" s="124"/>
      <c r="AC22" s="124"/>
      <c r="AD22" s="127">
        <f>+AC22*AX22</f>
        <v>0</v>
      </c>
      <c r="AE22" s="124"/>
      <c r="AF22" s="23"/>
      <c r="AG22" s="124"/>
      <c r="AH22" s="124"/>
      <c r="AI22" s="124"/>
      <c r="AJ22" s="124"/>
      <c r="AK22" s="124"/>
      <c r="AL22" s="124"/>
      <c r="AM22" s="124"/>
      <c r="AN22" s="127"/>
      <c r="AO22" s="124"/>
      <c r="AP22" s="124"/>
      <c r="AQ22" s="124"/>
      <c r="AR22" s="127"/>
      <c r="AS22" s="128"/>
      <c r="AT22" s="124"/>
      <c r="AU22" s="128"/>
      <c r="AV22" s="124"/>
      <c r="AW22" s="90">
        <f>+AQ22+AO22+AM22+AK22+AI22+AG22+AE22+AC22+AA22+Y22+W22+U22+S22+Q22+O22+M22+K22+I22+AS22+G22+AU22</f>
        <v>5</v>
      </c>
      <c r="AX22" s="127">
        <v>431480</v>
      </c>
      <c r="AY22" s="123">
        <f t="shared" si="3"/>
        <v>2157400</v>
      </c>
    </row>
    <row r="23" spans="1:51" s="125" customFormat="1" ht="15" customHeight="1" x14ac:dyDescent="0.2">
      <c r="A23" s="118">
        <v>14</v>
      </c>
      <c r="B23" s="124"/>
      <c r="C23" s="124" t="s">
        <v>58</v>
      </c>
      <c r="D23" s="124" t="s">
        <v>59</v>
      </c>
      <c r="E23" s="88" t="s">
        <v>132</v>
      </c>
      <c r="F23" s="124" t="s">
        <v>126</v>
      </c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>
        <v>2</v>
      </c>
      <c r="R23" s="120">
        <f t="shared" si="0"/>
        <v>500000</v>
      </c>
      <c r="S23" s="126"/>
      <c r="T23" s="127">
        <f>+S23*AX23</f>
        <v>0</v>
      </c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23"/>
      <c r="AG23" s="124"/>
      <c r="AH23" s="124"/>
      <c r="AI23" s="124"/>
      <c r="AJ23" s="124"/>
      <c r="AK23" s="124"/>
      <c r="AL23" s="124"/>
      <c r="AM23" s="124"/>
      <c r="AN23" s="127"/>
      <c r="AO23" s="124"/>
      <c r="AP23" s="124"/>
      <c r="AQ23" s="124"/>
      <c r="AR23" s="127"/>
      <c r="AS23" s="128"/>
      <c r="AT23" s="124"/>
      <c r="AU23" s="128"/>
      <c r="AV23" s="124"/>
      <c r="AW23" s="90">
        <f>+AQ23+AO23+AM23+AK23+AI23+AG23+AE23+AC23+AA23+Y23+W23+U23+S23+Q23+O23+M23+K23+I23+AS23+G23+AU23</f>
        <v>2</v>
      </c>
      <c r="AX23" s="127">
        <v>250000</v>
      </c>
      <c r="AY23" s="123">
        <f t="shared" si="3"/>
        <v>500000</v>
      </c>
    </row>
    <row r="24" spans="1:51" s="125" customFormat="1" ht="12.75" x14ac:dyDescent="0.2">
      <c r="A24" s="118">
        <v>15</v>
      </c>
      <c r="B24" s="124"/>
      <c r="C24" s="124" t="s">
        <v>58</v>
      </c>
      <c r="D24" s="124" t="s">
        <v>59</v>
      </c>
      <c r="E24" s="88" t="s">
        <v>133</v>
      </c>
      <c r="F24" s="124" t="s">
        <v>126</v>
      </c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>
        <v>2</v>
      </c>
      <c r="R24" s="120">
        <f t="shared" si="0"/>
        <v>915696</v>
      </c>
      <c r="S24" s="126"/>
      <c r="T24" s="127">
        <f>+S24*AX24</f>
        <v>0</v>
      </c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23"/>
      <c r="AG24" s="124"/>
      <c r="AH24" s="124"/>
      <c r="AI24" s="124"/>
      <c r="AJ24" s="124"/>
      <c r="AK24" s="124"/>
      <c r="AL24" s="124"/>
      <c r="AM24" s="124"/>
      <c r="AN24" s="127"/>
      <c r="AO24" s="124"/>
      <c r="AP24" s="124"/>
      <c r="AQ24" s="124"/>
      <c r="AR24" s="127"/>
      <c r="AS24" s="128"/>
      <c r="AT24" s="124"/>
      <c r="AU24" s="128"/>
      <c r="AV24" s="124"/>
      <c r="AW24" s="90">
        <f>+AQ24+AO24+AM24+AK24+AI24+AG24+AE24+AC24+AA24+Y24+W24+U24+S24+Q24+O24+M24+K24+I24+AS24+G24+AU24</f>
        <v>2</v>
      </c>
      <c r="AX24" s="127">
        <v>457848</v>
      </c>
      <c r="AY24" s="123">
        <f t="shared" si="3"/>
        <v>915696</v>
      </c>
    </row>
    <row r="25" spans="1:51" s="125" customFormat="1" ht="13.5" thickBot="1" x14ac:dyDescent="0.25">
      <c r="A25" s="118">
        <v>16</v>
      </c>
      <c r="B25" s="130"/>
      <c r="C25" s="130" t="s">
        <v>58</v>
      </c>
      <c r="D25" s="130" t="s">
        <v>59</v>
      </c>
      <c r="E25" s="93" t="s">
        <v>71</v>
      </c>
      <c r="F25" s="130" t="s">
        <v>64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>
        <v>5</v>
      </c>
      <c r="R25" s="131">
        <f t="shared" si="0"/>
        <v>813250</v>
      </c>
      <c r="S25" s="132"/>
      <c r="T25" s="133">
        <f>+S25*AX25</f>
        <v>0</v>
      </c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23"/>
      <c r="AG25" s="130"/>
      <c r="AH25" s="130"/>
      <c r="AI25" s="130"/>
      <c r="AJ25" s="130"/>
      <c r="AK25" s="130"/>
      <c r="AL25" s="130"/>
      <c r="AM25" s="130"/>
      <c r="AN25" s="133"/>
      <c r="AO25" s="130"/>
      <c r="AP25" s="130"/>
      <c r="AQ25" s="130"/>
      <c r="AR25" s="133"/>
      <c r="AS25" s="134"/>
      <c r="AT25" s="130"/>
      <c r="AU25" s="134"/>
      <c r="AV25" s="130"/>
      <c r="AW25" s="91">
        <f>+AQ25+AO25+AM25+AK25+AI25+AG25+AE25+AC25+AA25+Y25+W25+U25+S25+Q25+O25+M25+K25+I25+AS25+G25+AU25</f>
        <v>5</v>
      </c>
      <c r="AX25" s="133">
        <v>162650</v>
      </c>
      <c r="AY25" s="123">
        <f t="shared" si="3"/>
        <v>813250</v>
      </c>
    </row>
    <row r="26" spans="1:51" s="143" customFormat="1" ht="24.75" customHeight="1" thickBot="1" x14ac:dyDescent="0.25">
      <c r="A26" s="135"/>
      <c r="B26" s="136"/>
      <c r="C26" s="136"/>
      <c r="D26" s="136"/>
      <c r="E26" s="137" t="s">
        <v>72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8"/>
      <c r="T26" s="139">
        <f>+S26*AX26</f>
        <v>0</v>
      </c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24"/>
      <c r="AG26" s="136"/>
      <c r="AH26" s="136"/>
      <c r="AI26" s="136"/>
      <c r="AJ26" s="136"/>
      <c r="AK26" s="136"/>
      <c r="AL26" s="136"/>
      <c r="AM26" s="136"/>
      <c r="AN26" s="139"/>
      <c r="AO26" s="136"/>
      <c r="AP26" s="136"/>
      <c r="AQ26" s="136"/>
      <c r="AR26" s="139"/>
      <c r="AS26" s="140"/>
      <c r="AT26" s="136"/>
      <c r="AU26" s="140"/>
      <c r="AV26" s="136"/>
      <c r="AW26" s="141"/>
      <c r="AX26" s="139"/>
      <c r="AY26" s="142">
        <f>+SUM(AY10:AY25)</f>
        <v>15119182.6</v>
      </c>
    </row>
    <row r="27" spans="1:51" ht="15.75" thickBot="1" x14ac:dyDescent="0.3"/>
    <row r="28" spans="1:51" s="106" customFormat="1" ht="152.25" customHeight="1" x14ac:dyDescent="0.25">
      <c r="A28" s="113"/>
      <c r="B28" s="113"/>
      <c r="C28" s="72" t="s">
        <v>110</v>
      </c>
      <c r="D28" s="171" t="s">
        <v>111</v>
      </c>
      <c r="E28" s="172"/>
      <c r="F28" s="117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4"/>
      <c r="T28" s="115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5"/>
      <c r="AO28" s="113"/>
      <c r="AP28" s="113"/>
      <c r="AQ28" s="113"/>
      <c r="AR28" s="115"/>
      <c r="AS28" s="116"/>
      <c r="AT28" s="113"/>
      <c r="AU28" s="116"/>
      <c r="AV28" s="113"/>
      <c r="AW28" s="114"/>
      <c r="AX28" s="115"/>
      <c r="AY28" s="115"/>
    </row>
    <row r="29" spans="1:51" ht="38.25" customHeight="1" x14ac:dyDescent="0.25">
      <c r="C29" s="73"/>
      <c r="D29" s="74"/>
      <c r="E29" s="78"/>
    </row>
    <row r="30" spans="1:51" s="106" customFormat="1" ht="15" customHeight="1" x14ac:dyDescent="0.25">
      <c r="A30" s="113"/>
      <c r="B30" s="113"/>
      <c r="C30" s="75" t="s">
        <v>112</v>
      </c>
      <c r="D30" s="165" t="s">
        <v>125</v>
      </c>
      <c r="E30" s="166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4"/>
      <c r="T30" s="115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5"/>
      <c r="AO30" s="113"/>
      <c r="AP30" s="113"/>
      <c r="AQ30" s="113"/>
      <c r="AR30" s="115"/>
      <c r="AS30" s="116"/>
      <c r="AT30" s="113"/>
      <c r="AU30" s="116"/>
      <c r="AV30" s="113"/>
      <c r="AW30" s="114"/>
      <c r="AX30" s="115"/>
      <c r="AY30" s="115"/>
    </row>
    <row r="31" spans="1:51" x14ac:dyDescent="0.25">
      <c r="C31" s="75"/>
      <c r="D31" s="74"/>
      <c r="E31" s="78"/>
    </row>
    <row r="32" spans="1:51" s="106" customFormat="1" ht="27" customHeight="1" x14ac:dyDescent="0.25">
      <c r="A32" s="113"/>
      <c r="B32" s="113"/>
      <c r="C32" s="75" t="s">
        <v>113</v>
      </c>
      <c r="D32" s="165" t="s">
        <v>124</v>
      </c>
      <c r="E32" s="166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4"/>
      <c r="T32" s="115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5"/>
      <c r="AO32" s="113"/>
      <c r="AP32" s="113"/>
      <c r="AQ32" s="113"/>
      <c r="AR32" s="115"/>
      <c r="AS32" s="116"/>
      <c r="AT32" s="113"/>
      <c r="AU32" s="116"/>
      <c r="AV32" s="113"/>
      <c r="AW32" s="114"/>
      <c r="AX32" s="115"/>
      <c r="AY32" s="115"/>
    </row>
    <row r="33" spans="3:5" x14ac:dyDescent="0.25">
      <c r="C33" s="75"/>
      <c r="D33" s="74"/>
      <c r="E33" s="78"/>
    </row>
    <row r="34" spans="3:5" x14ac:dyDescent="0.25">
      <c r="C34" s="76" t="s">
        <v>114</v>
      </c>
      <c r="D34" s="79"/>
      <c r="E34" s="78"/>
    </row>
    <row r="35" spans="3:5" x14ac:dyDescent="0.25">
      <c r="C35" s="76"/>
      <c r="D35" s="79"/>
      <c r="E35" s="78"/>
    </row>
    <row r="36" spans="3:5" ht="15.75" customHeight="1" thickBot="1" x14ac:dyDescent="0.3">
      <c r="C36" s="77" t="s">
        <v>115</v>
      </c>
      <c r="D36" s="167" t="s">
        <v>116</v>
      </c>
      <c r="E36" s="168"/>
    </row>
  </sheetData>
  <mergeCells count="9">
    <mergeCell ref="D32:E32"/>
    <mergeCell ref="D36:E36"/>
    <mergeCell ref="A7:B7"/>
    <mergeCell ref="A6:B6"/>
    <mergeCell ref="B2:AX2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="90" zoomScaleNormal="90" workbookViewId="0">
      <selection activeCell="B37" sqref="B3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86" customWidth="1"/>
    <col min="11" max="11" width="15.5703125" customWidth="1"/>
    <col min="13" max="13" width="15.5703125" style="87" bestFit="1" customWidth="1"/>
  </cols>
  <sheetData>
    <row r="1" spans="1:13" s="106" customFormat="1" ht="30.75" thickBot="1" x14ac:dyDescent="0.3">
      <c r="A1" s="175" t="s">
        <v>73</v>
      </c>
      <c r="B1" s="175"/>
      <c r="C1" s="175"/>
      <c r="D1" s="175"/>
      <c r="E1" s="175"/>
      <c r="F1" s="175"/>
      <c r="G1" s="175"/>
      <c r="H1" s="175"/>
      <c r="I1" s="175"/>
      <c r="J1" s="144" t="s">
        <v>74</v>
      </c>
      <c r="K1" s="145" t="s">
        <v>117</v>
      </c>
      <c r="M1" s="146"/>
    </row>
    <row r="2" spans="1:13" s="106" customFormat="1" ht="16.5" thickBot="1" x14ac:dyDescent="0.3">
      <c r="A2" s="147"/>
      <c r="B2" s="148"/>
      <c r="C2" s="148"/>
      <c r="D2" s="149"/>
      <c r="E2" s="149"/>
      <c r="F2" s="149"/>
      <c r="G2" s="149"/>
      <c r="H2" s="149"/>
      <c r="I2" s="149"/>
      <c r="J2" s="150"/>
      <c r="K2" s="151"/>
      <c r="M2" s="146"/>
    </row>
    <row r="3" spans="1:13" s="106" customFormat="1" ht="16.5" thickBot="1" x14ac:dyDescent="0.3">
      <c r="A3" s="176" t="s">
        <v>75</v>
      </c>
      <c r="B3" s="176"/>
      <c r="C3" s="176"/>
      <c r="D3" s="174" t="str">
        <f>'SAF 011'!C4</f>
        <v>040 - MINISTERIO DE SALUD</v>
      </c>
      <c r="E3" s="174"/>
      <c r="F3" s="174"/>
      <c r="G3" s="174"/>
      <c r="H3" s="174"/>
      <c r="I3" s="174"/>
      <c r="J3" s="174"/>
      <c r="K3" s="174"/>
      <c r="M3" s="146"/>
    </row>
    <row r="4" spans="1:13" s="106" customFormat="1" ht="16.5" thickBot="1" x14ac:dyDescent="0.3">
      <c r="A4" s="173" t="s">
        <v>76</v>
      </c>
      <c r="B4" s="173"/>
      <c r="C4" s="173"/>
      <c r="D4" s="174" t="str">
        <f>'SAF 011'!C5</f>
        <v>011 - DIRECCION PROVINCIAL DE ADMINISTRACION - MINISTERIO DE SALUD</v>
      </c>
      <c r="E4" s="174"/>
      <c r="F4" s="174"/>
      <c r="G4" s="174"/>
      <c r="H4" s="174"/>
      <c r="I4" s="174"/>
      <c r="J4" s="174"/>
      <c r="K4" s="174"/>
      <c r="M4" s="146"/>
    </row>
    <row r="5" spans="1:13" s="106" customFormat="1" ht="16.5" thickBot="1" x14ac:dyDescent="0.3">
      <c r="A5" s="173" t="s">
        <v>77</v>
      </c>
      <c r="B5" s="173"/>
      <c r="C5" s="173"/>
      <c r="D5" s="174" t="s">
        <v>118</v>
      </c>
      <c r="E5" s="174"/>
      <c r="F5" s="174"/>
      <c r="G5" s="174"/>
      <c r="H5" s="174"/>
      <c r="I5" s="174"/>
      <c r="J5" s="174"/>
      <c r="K5" s="174"/>
      <c r="M5" s="146"/>
    </row>
    <row r="6" spans="1:13" s="106" customFormat="1" ht="16.5" thickBot="1" x14ac:dyDescent="0.3">
      <c r="A6" s="176" t="s">
        <v>78</v>
      </c>
      <c r="B6" s="176"/>
      <c r="C6" s="176"/>
      <c r="D6" s="174" t="s">
        <v>118</v>
      </c>
      <c r="E6" s="174"/>
      <c r="F6" s="174"/>
      <c r="G6" s="174"/>
      <c r="H6" s="174"/>
      <c r="I6" s="174"/>
      <c r="J6" s="174"/>
      <c r="K6" s="174"/>
      <c r="M6" s="146"/>
    </row>
    <row r="7" spans="1:13" s="106" customFormat="1" ht="16.5" thickBot="1" x14ac:dyDescent="0.3">
      <c r="A7" s="173" t="s">
        <v>79</v>
      </c>
      <c r="B7" s="173"/>
      <c r="C7" s="173"/>
      <c r="D7" s="174" t="s">
        <v>119</v>
      </c>
      <c r="E7" s="174"/>
      <c r="F7" s="174"/>
      <c r="G7" s="174"/>
      <c r="H7" s="174"/>
      <c r="I7" s="174"/>
      <c r="J7" s="174"/>
      <c r="K7" s="174"/>
      <c r="M7" s="146"/>
    </row>
    <row r="8" spans="1:13" s="106" customFormat="1" ht="16.5" thickBot="1" x14ac:dyDescent="0.3">
      <c r="A8" s="177" t="s">
        <v>80</v>
      </c>
      <c r="B8" s="177"/>
      <c r="C8" s="177"/>
      <c r="D8" s="178" t="s">
        <v>120</v>
      </c>
      <c r="E8" s="178"/>
      <c r="F8" s="178"/>
      <c r="G8" s="178"/>
      <c r="H8" s="178"/>
      <c r="I8" s="178"/>
      <c r="J8" s="178"/>
      <c r="K8" s="178"/>
      <c r="M8" s="146"/>
    </row>
    <row r="9" spans="1:13" ht="16.5" thickBot="1" x14ac:dyDescent="0.3">
      <c r="A9" s="30"/>
      <c r="B9" s="31"/>
      <c r="C9" s="31"/>
      <c r="D9" s="32"/>
      <c r="E9" s="32"/>
      <c r="F9" s="32"/>
      <c r="G9" s="32"/>
      <c r="H9" s="32"/>
      <c r="I9" s="32"/>
      <c r="J9" s="83"/>
      <c r="K9" s="33"/>
    </row>
    <row r="10" spans="1:13" ht="15.75" thickBot="1" x14ac:dyDescent="0.3">
      <c r="A10" s="180" t="s">
        <v>81</v>
      </c>
      <c r="B10" s="182" t="s">
        <v>82</v>
      </c>
      <c r="C10" s="182" t="s">
        <v>83</v>
      </c>
      <c r="D10" s="182"/>
      <c r="E10" s="182"/>
      <c r="F10" s="182"/>
      <c r="G10" s="182"/>
      <c r="H10" s="182" t="s">
        <v>84</v>
      </c>
      <c r="I10" s="182" t="s">
        <v>85</v>
      </c>
      <c r="J10" s="187" t="s">
        <v>86</v>
      </c>
      <c r="K10" s="184" t="s">
        <v>87</v>
      </c>
    </row>
    <row r="11" spans="1:13" ht="36" customHeight="1" thickBot="1" x14ac:dyDescent="0.3">
      <c r="A11" s="181"/>
      <c r="B11" s="183"/>
      <c r="C11" s="183"/>
      <c r="D11" s="183"/>
      <c r="E11" s="183"/>
      <c r="F11" s="183"/>
      <c r="G11" s="183"/>
      <c r="H11" s="183"/>
      <c r="I11" s="183"/>
      <c r="J11" s="188"/>
      <c r="K11" s="185"/>
    </row>
    <row r="12" spans="1:13" ht="15.75" x14ac:dyDescent="0.25">
      <c r="A12" s="34">
        <v>1</v>
      </c>
      <c r="B12" s="35"/>
      <c r="C12" s="186" t="str">
        <f>'SAF 011'!E10</f>
        <v xml:space="preserve">Acetato de goserelin  depot </v>
      </c>
      <c r="D12" s="186"/>
      <c r="E12" s="186"/>
      <c r="F12" s="186"/>
      <c r="G12" s="186"/>
      <c r="H12" s="95" t="s">
        <v>135</v>
      </c>
      <c r="I12" s="36" t="str">
        <f>+'SAF 011'!F10</f>
        <v>Jeringa Prellenada</v>
      </c>
      <c r="J12" s="84">
        <f>'SAF 011'!AX10</f>
        <v>33315</v>
      </c>
      <c r="K12" s="37">
        <f>+'SAF 011'!AW10</f>
        <v>10</v>
      </c>
      <c r="M12" s="87">
        <f>+J12*K12</f>
        <v>333150</v>
      </c>
    </row>
    <row r="13" spans="1:13" ht="16.5" customHeight="1" x14ac:dyDescent="0.25">
      <c r="A13" s="38">
        <v>2</v>
      </c>
      <c r="B13" s="39"/>
      <c r="C13" s="179" t="str">
        <f>'SAF 011'!E11</f>
        <v xml:space="preserve">Azacitidina 100 mg </v>
      </c>
      <c r="D13" s="179"/>
      <c r="E13" s="179"/>
      <c r="F13" s="179"/>
      <c r="G13" s="179"/>
      <c r="H13" s="152" t="s">
        <v>135</v>
      </c>
      <c r="I13" s="153" t="str">
        <f>+'SAF 011'!F11</f>
        <v>Frasco- ampolla</v>
      </c>
      <c r="J13" s="85">
        <f>'SAF 011'!AX11</f>
        <v>4340</v>
      </c>
      <c r="K13" s="154">
        <f>+'SAF 011'!AW11</f>
        <v>14</v>
      </c>
      <c r="M13" s="87">
        <f t="shared" ref="M13:M27" si="0">+J13*K13</f>
        <v>60760</v>
      </c>
    </row>
    <row r="14" spans="1:13" ht="16.5" customHeight="1" x14ac:dyDescent="0.25">
      <c r="A14" s="38">
        <v>3</v>
      </c>
      <c r="B14" s="39"/>
      <c r="C14" s="179" t="str">
        <f>'SAF 011'!E12</f>
        <v>Bevacizumab 100 mg</v>
      </c>
      <c r="D14" s="179"/>
      <c r="E14" s="179"/>
      <c r="F14" s="179"/>
      <c r="G14" s="179"/>
      <c r="H14" s="152" t="s">
        <v>135</v>
      </c>
      <c r="I14" s="153" t="str">
        <f>+'SAF 011'!F12</f>
        <v>Frasco -ampolla</v>
      </c>
      <c r="J14" s="85">
        <f>'SAF 011'!AX12</f>
        <v>51010</v>
      </c>
      <c r="K14" s="154">
        <f>+'SAF 011'!AW12</f>
        <v>8</v>
      </c>
      <c r="M14" s="87">
        <f t="shared" si="0"/>
        <v>408080</v>
      </c>
    </row>
    <row r="15" spans="1:13" ht="16.5" customHeight="1" x14ac:dyDescent="0.25">
      <c r="A15" s="38">
        <v>4</v>
      </c>
      <c r="B15" s="39"/>
      <c r="C15" s="179" t="str">
        <f>'SAF 011'!E13</f>
        <v>Bevacizumab 400 mg</v>
      </c>
      <c r="D15" s="179"/>
      <c r="E15" s="179"/>
      <c r="F15" s="179"/>
      <c r="G15" s="179"/>
      <c r="H15" s="152" t="s">
        <v>135</v>
      </c>
      <c r="I15" s="153" t="str">
        <f>+'SAF 011'!F13</f>
        <v>Frasco -ampolla</v>
      </c>
      <c r="J15" s="85">
        <f>'SAF 011'!AX13</f>
        <v>185810</v>
      </c>
      <c r="K15" s="154">
        <f>+'SAF 011'!AW13</f>
        <v>8</v>
      </c>
      <c r="M15" s="87">
        <f t="shared" si="0"/>
        <v>1486480</v>
      </c>
    </row>
    <row r="16" spans="1:13" ht="16.5" customHeight="1" x14ac:dyDescent="0.25">
      <c r="A16" s="38">
        <v>5</v>
      </c>
      <c r="B16" s="39"/>
      <c r="C16" s="179" t="str">
        <f>'SAF 011'!E14</f>
        <v>Fulvestrant 250 mg x 2 ampollas</v>
      </c>
      <c r="D16" s="179"/>
      <c r="E16" s="179"/>
      <c r="F16" s="179"/>
      <c r="G16" s="179"/>
      <c r="H16" s="152" t="s">
        <v>135</v>
      </c>
      <c r="I16" s="153" t="str">
        <f>+'SAF 011'!F14</f>
        <v>Frasco -ampolla</v>
      </c>
      <c r="J16" s="85">
        <f>'SAF 011'!AX14</f>
        <v>13515</v>
      </c>
      <c r="K16" s="154">
        <f>+'SAF 011'!AW14</f>
        <v>3</v>
      </c>
      <c r="M16" s="87">
        <f t="shared" si="0"/>
        <v>40545</v>
      </c>
    </row>
    <row r="17" spans="1:13" ht="16.5" customHeight="1" x14ac:dyDescent="0.25">
      <c r="A17" s="38">
        <v>6</v>
      </c>
      <c r="B17" s="39"/>
      <c r="C17" s="179" t="str">
        <f>'SAF 011'!E15</f>
        <v>imatinib 100 mg x 180 comp</v>
      </c>
      <c r="D17" s="179"/>
      <c r="E17" s="179"/>
      <c r="F17" s="179"/>
      <c r="G17" s="179"/>
      <c r="H17" s="152" t="s">
        <v>135</v>
      </c>
      <c r="I17" s="153" t="str">
        <f>+'SAF 011'!F15</f>
        <v>CAJA</v>
      </c>
      <c r="J17" s="85">
        <f>'SAF 011'!AX15</f>
        <v>3700</v>
      </c>
      <c r="K17" s="154">
        <f>+'SAF 011'!AW15</f>
        <v>5</v>
      </c>
      <c r="M17" s="87">
        <f t="shared" si="0"/>
        <v>18500</v>
      </c>
    </row>
    <row r="18" spans="1:13" ht="16.5" customHeight="1" x14ac:dyDescent="0.25">
      <c r="A18" s="38">
        <v>7</v>
      </c>
      <c r="B18" s="39"/>
      <c r="C18" s="179" t="str">
        <f>'SAF 011'!E16</f>
        <v>imatinib 400 mg x 30 comp</v>
      </c>
      <c r="D18" s="179"/>
      <c r="E18" s="179"/>
      <c r="F18" s="179"/>
      <c r="G18" s="179"/>
      <c r="H18" s="152" t="s">
        <v>135</v>
      </c>
      <c r="I18" s="153" t="str">
        <f>+'SAF 011'!F16</f>
        <v>CAJA</v>
      </c>
      <c r="J18" s="85">
        <f>'SAF 011'!AX16</f>
        <v>3840</v>
      </c>
      <c r="K18" s="154">
        <f>+'SAF 011'!AW16</f>
        <v>5</v>
      </c>
      <c r="M18" s="87">
        <f t="shared" si="0"/>
        <v>19200</v>
      </c>
    </row>
    <row r="19" spans="1:13" ht="16.5" customHeight="1" x14ac:dyDescent="0.25">
      <c r="A19" s="38">
        <v>8</v>
      </c>
      <c r="B19" s="39"/>
      <c r="C19" s="179" t="str">
        <f>'SAF 011'!E17</f>
        <v>Lenalidomida 25 mg  x 21 caps</v>
      </c>
      <c r="D19" s="179"/>
      <c r="E19" s="179"/>
      <c r="F19" s="179"/>
      <c r="G19" s="179"/>
      <c r="H19" s="152" t="s">
        <v>135</v>
      </c>
      <c r="I19" s="153" t="str">
        <f>+'SAF 011'!F17</f>
        <v>CAJA</v>
      </c>
      <c r="J19" s="85">
        <f>'SAF 011'!AX17</f>
        <v>200080</v>
      </c>
      <c r="K19" s="154">
        <f>+'SAF 011'!AW17</f>
        <v>3</v>
      </c>
      <c r="M19" s="87">
        <f t="shared" si="0"/>
        <v>600240</v>
      </c>
    </row>
    <row r="20" spans="1:13" ht="16.5" customHeight="1" x14ac:dyDescent="0.25">
      <c r="A20" s="38">
        <v>9</v>
      </c>
      <c r="B20" s="39"/>
      <c r="C20" s="179" t="str">
        <f>'SAF 011'!E18</f>
        <v>nilotinib 150 x 120 comp</v>
      </c>
      <c r="D20" s="179"/>
      <c r="E20" s="179"/>
      <c r="F20" s="179"/>
      <c r="G20" s="179"/>
      <c r="H20" s="152" t="s">
        <v>135</v>
      </c>
      <c r="I20" s="153" t="str">
        <f>+'SAF 011'!F18</f>
        <v>CAJA</v>
      </c>
      <c r="J20" s="85">
        <f>'SAF 011'!AX18</f>
        <v>337960</v>
      </c>
      <c r="K20" s="154">
        <f>+'SAF 011'!AW18</f>
        <v>5</v>
      </c>
      <c r="M20" s="87">
        <f t="shared" si="0"/>
        <v>1689800</v>
      </c>
    </row>
    <row r="21" spans="1:13" ht="16.5" customHeight="1" x14ac:dyDescent="0.25">
      <c r="A21" s="38">
        <v>10</v>
      </c>
      <c r="B21" s="39"/>
      <c r="C21" s="179" t="str">
        <f>'SAF 011'!E19</f>
        <v>nilotinib 200 x 120 comp</v>
      </c>
      <c r="D21" s="179"/>
      <c r="E21" s="179"/>
      <c r="F21" s="179"/>
      <c r="G21" s="179"/>
      <c r="H21" s="152" t="s">
        <v>135</v>
      </c>
      <c r="I21" s="153" t="str">
        <f>+'SAF 011'!F19</f>
        <v>CAJA</v>
      </c>
      <c r="J21" s="85">
        <f>'SAF 011'!AX19</f>
        <v>492340</v>
      </c>
      <c r="K21" s="154">
        <f>+'SAF 011'!AW19</f>
        <v>5</v>
      </c>
      <c r="M21" s="87">
        <f t="shared" si="0"/>
        <v>2461700</v>
      </c>
    </row>
    <row r="22" spans="1:13" ht="16.5" customHeight="1" x14ac:dyDescent="0.25">
      <c r="A22" s="38">
        <v>11</v>
      </c>
      <c r="B22" s="39"/>
      <c r="C22" s="179" t="str">
        <f>'SAF 011'!E20</f>
        <v>pazopanib 200 mg x 30 comp</v>
      </c>
      <c r="D22" s="179"/>
      <c r="E22" s="179"/>
      <c r="F22" s="179"/>
      <c r="G22" s="179"/>
      <c r="H22" s="152" t="s">
        <v>135</v>
      </c>
      <c r="I22" s="153" t="str">
        <f>+'SAF 011'!F20</f>
        <v>CAJA</v>
      </c>
      <c r="J22" s="85">
        <f>'SAF 011'!AX20</f>
        <v>12350</v>
      </c>
      <c r="K22" s="154">
        <f>+'SAF 011'!AW20</f>
        <v>5</v>
      </c>
      <c r="M22" s="87">
        <f t="shared" si="0"/>
        <v>61750</v>
      </c>
    </row>
    <row r="23" spans="1:13" ht="16.5" customHeight="1" x14ac:dyDescent="0.25">
      <c r="A23" s="38">
        <v>12</v>
      </c>
      <c r="B23" s="39"/>
      <c r="C23" s="179" t="str">
        <f>'SAF 011'!E21</f>
        <v xml:space="preserve">Pembrolizumab 100 mg </v>
      </c>
      <c r="D23" s="179"/>
      <c r="E23" s="179"/>
      <c r="F23" s="179"/>
      <c r="G23" s="179"/>
      <c r="H23" s="152" t="s">
        <v>135</v>
      </c>
      <c r="I23" s="153" t="str">
        <f>+'SAF 011'!F21</f>
        <v>Vial Inyectable</v>
      </c>
      <c r="J23" s="85">
        <f>'SAF 011'!AX21</f>
        <v>355263.16</v>
      </c>
      <c r="K23" s="154">
        <f>+'SAF 011'!AW21</f>
        <v>10</v>
      </c>
      <c r="M23" s="87">
        <f t="shared" si="0"/>
        <v>3552631.5999999996</v>
      </c>
    </row>
    <row r="24" spans="1:13" ht="16.5" customHeight="1" x14ac:dyDescent="0.25">
      <c r="A24" s="38">
        <v>13</v>
      </c>
      <c r="B24" s="39"/>
      <c r="C24" s="179" t="str">
        <f>'SAF 011'!E22</f>
        <v xml:space="preserve">pertuzumab 420 mg </v>
      </c>
      <c r="D24" s="179"/>
      <c r="E24" s="179"/>
      <c r="F24" s="179"/>
      <c r="G24" s="179"/>
      <c r="H24" s="152" t="s">
        <v>135</v>
      </c>
      <c r="I24" s="153" t="str">
        <f>+'SAF 011'!F22</f>
        <v>Vial Inyectable</v>
      </c>
      <c r="J24" s="85">
        <f>'SAF 011'!AX22</f>
        <v>431480</v>
      </c>
      <c r="K24" s="154">
        <f>+'SAF 011'!AW22</f>
        <v>5</v>
      </c>
      <c r="M24" s="87">
        <f t="shared" si="0"/>
        <v>2157400</v>
      </c>
    </row>
    <row r="25" spans="1:13" ht="16.5" customHeight="1" x14ac:dyDescent="0.25">
      <c r="A25" s="38">
        <v>14</v>
      </c>
      <c r="B25" s="39"/>
      <c r="C25" s="179" t="str">
        <f>'SAF 011'!E23</f>
        <v>Regorafenib 40 mg  tab.3 x 28 comp (84 comp)</v>
      </c>
      <c r="D25" s="179"/>
      <c r="E25" s="179"/>
      <c r="F25" s="179"/>
      <c r="G25" s="179"/>
      <c r="H25" s="152" t="s">
        <v>135</v>
      </c>
      <c r="I25" s="153" t="str">
        <f>+'SAF 011'!F23</f>
        <v>CAJA</v>
      </c>
      <c r="J25" s="85">
        <f>'SAF 011'!AX23</f>
        <v>250000</v>
      </c>
      <c r="K25" s="154">
        <f>+'SAF 011'!AW23</f>
        <v>2</v>
      </c>
      <c r="M25" s="87">
        <f t="shared" si="0"/>
        <v>500000</v>
      </c>
    </row>
    <row r="26" spans="1:13" ht="16.5" customHeight="1" x14ac:dyDescent="0.25">
      <c r="A26" s="38">
        <v>15</v>
      </c>
      <c r="B26" s="39"/>
      <c r="C26" s="179" t="str">
        <f>'SAF 011'!E24</f>
        <v>sunitinib 25 mg x 28 caps</v>
      </c>
      <c r="D26" s="179"/>
      <c r="E26" s="179"/>
      <c r="F26" s="179"/>
      <c r="G26" s="179"/>
      <c r="H26" s="152" t="s">
        <v>135</v>
      </c>
      <c r="I26" s="153" t="str">
        <f>+'SAF 011'!F24</f>
        <v>CAJA</v>
      </c>
      <c r="J26" s="85">
        <f>'SAF 011'!AX24</f>
        <v>457848</v>
      </c>
      <c r="K26" s="154">
        <f>+'SAF 011'!AW24</f>
        <v>2</v>
      </c>
      <c r="M26" s="87">
        <f t="shared" si="0"/>
        <v>915696</v>
      </c>
    </row>
    <row r="27" spans="1:13" ht="15.75" customHeight="1" x14ac:dyDescent="0.25">
      <c r="A27" s="38">
        <v>16</v>
      </c>
      <c r="B27" s="39"/>
      <c r="C27" s="179" t="str">
        <f>'SAF 011'!E25</f>
        <v>Trastuzumab 440MG.</v>
      </c>
      <c r="D27" s="179"/>
      <c r="E27" s="179"/>
      <c r="F27" s="179"/>
      <c r="G27" s="179"/>
      <c r="H27" s="152" t="s">
        <v>135</v>
      </c>
      <c r="I27" s="153" t="str">
        <f>+'SAF 011'!F25</f>
        <v>Frasco -ampolla</v>
      </c>
      <c r="J27" s="85">
        <f>'SAF 011'!AX25</f>
        <v>162650</v>
      </c>
      <c r="K27" s="154">
        <f>+'SAF 011'!AW25</f>
        <v>5</v>
      </c>
      <c r="M27" s="87">
        <f t="shared" si="0"/>
        <v>813250</v>
      </c>
    </row>
    <row r="28" spans="1:13" ht="16.5" thickBot="1" x14ac:dyDescent="0.3">
      <c r="A28" s="155"/>
      <c r="B28" s="156"/>
      <c r="C28" s="191"/>
      <c r="D28" s="191"/>
      <c r="E28" s="191"/>
      <c r="F28" s="191"/>
      <c r="G28" s="191"/>
      <c r="H28" s="157"/>
      <c r="I28" s="158"/>
      <c r="J28" s="159"/>
      <c r="K28" s="160"/>
    </row>
    <row r="29" spans="1:13" ht="36" customHeight="1" thickBot="1" x14ac:dyDescent="0.3">
      <c r="A29" s="189" t="s">
        <v>136</v>
      </c>
      <c r="B29" s="189"/>
      <c r="C29" s="189"/>
      <c r="D29" s="189"/>
      <c r="E29" s="189"/>
      <c r="F29" s="189"/>
      <c r="G29" s="189"/>
      <c r="H29" s="189"/>
      <c r="I29" s="189"/>
      <c r="J29" s="190">
        <f>+M29</f>
        <v>15119182.6</v>
      </c>
      <c r="K29" s="190"/>
      <c r="M29" s="87">
        <f>SUM(M12:M28)</f>
        <v>15119182.6</v>
      </c>
    </row>
  </sheetData>
  <mergeCells count="39">
    <mergeCell ref="C22:G22"/>
    <mergeCell ref="C17:G17"/>
    <mergeCell ref="C18:G18"/>
    <mergeCell ref="C19:G19"/>
    <mergeCell ref="C20:G20"/>
    <mergeCell ref="C21:G21"/>
    <mergeCell ref="A29:I29"/>
    <mergeCell ref="J29:K29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3" t="s">
        <v>5</v>
      </c>
      <c r="B1" s="193"/>
      <c r="C1" s="193"/>
      <c r="D1" s="194">
        <v>2022</v>
      </c>
      <c r="E1" s="194"/>
      <c r="F1" s="40"/>
      <c r="G1" s="40"/>
      <c r="H1" s="41"/>
      <c r="I1" s="41"/>
      <c r="J1" s="41"/>
      <c r="K1" s="41"/>
      <c r="L1" s="41"/>
      <c r="M1" s="41"/>
      <c r="N1" s="41"/>
      <c r="O1" s="42"/>
      <c r="P1" s="195" t="s">
        <v>88</v>
      </c>
      <c r="Q1" s="195"/>
    </row>
    <row r="2" spans="1:17" ht="15.75" thickBot="1" x14ac:dyDescent="0.3">
      <c r="A2" s="43"/>
      <c r="B2" s="44"/>
      <c r="C2" s="44"/>
      <c r="D2" s="44"/>
      <c r="E2" s="44"/>
      <c r="F2" s="44"/>
      <c r="G2" s="45"/>
      <c r="H2" s="46"/>
      <c r="I2" s="46"/>
      <c r="J2" s="46"/>
      <c r="K2" s="46"/>
      <c r="L2" s="46"/>
      <c r="M2" s="46"/>
      <c r="N2" s="46"/>
      <c r="O2" s="44"/>
      <c r="P2" s="195"/>
      <c r="Q2" s="195"/>
    </row>
    <row r="3" spans="1:17" ht="15.75" thickBot="1" x14ac:dyDescent="0.3">
      <c r="A3" s="43"/>
      <c r="B3" s="44"/>
      <c r="C3" s="44"/>
      <c r="D3" s="44"/>
      <c r="E3" s="44"/>
      <c r="F3" s="44"/>
      <c r="G3" s="45"/>
      <c r="H3" s="44"/>
      <c r="I3" s="44"/>
      <c r="J3" s="44"/>
      <c r="K3" s="44"/>
      <c r="L3" s="44"/>
      <c r="M3" s="44"/>
      <c r="N3" s="44"/>
      <c r="O3" s="44"/>
      <c r="P3" s="44"/>
      <c r="Q3" s="47"/>
    </row>
    <row r="4" spans="1:17" s="106" customFormat="1" ht="15.75" thickBot="1" x14ac:dyDescent="0.3">
      <c r="A4" s="196" t="s">
        <v>89</v>
      </c>
      <c r="B4" s="196"/>
      <c r="C4" s="196"/>
      <c r="D4" s="196"/>
      <c r="E4" s="196"/>
      <c r="F4" s="196"/>
      <c r="G4" s="197" t="str">
        <f>NP!D3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17" s="106" customFormat="1" ht="15.75" thickBot="1" x14ac:dyDescent="0.3">
      <c r="A5" s="198" t="s">
        <v>76</v>
      </c>
      <c r="B5" s="198"/>
      <c r="C5" s="198"/>
      <c r="D5" s="198"/>
      <c r="E5" s="198"/>
      <c r="F5" s="198"/>
      <c r="G5" s="197" t="str">
        <f>NP!D4</f>
        <v>011 - DIRECCION PROVINCIAL DE ADMINISTRACION - MINISTERIO DE SALUD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</row>
    <row r="6" spans="1:17" s="106" customFormat="1" ht="15.75" thickBot="1" x14ac:dyDescent="0.3">
      <c r="A6" s="198" t="s">
        <v>77</v>
      </c>
      <c r="B6" s="198"/>
      <c r="C6" s="198"/>
      <c r="D6" s="198"/>
      <c r="E6" s="198"/>
      <c r="F6" s="198"/>
      <c r="G6" s="197" t="str">
        <f>NP!D5</f>
        <v>DIRECCION PROVINCIAL DE CANCER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</row>
    <row r="7" spans="1:17" s="106" customFormat="1" ht="15.75" thickBot="1" x14ac:dyDescent="0.3">
      <c r="A7" s="198" t="s">
        <v>78</v>
      </c>
      <c r="B7" s="198"/>
      <c r="C7" s="198"/>
      <c r="D7" s="198"/>
      <c r="E7" s="198"/>
      <c r="F7" s="198"/>
      <c r="G7" s="197" t="str">
        <f>NP!D6</f>
        <v>DIRECCION PROVINCIAL DE CANCER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17" ht="15.75" thickBot="1" x14ac:dyDescent="0.3">
      <c r="A8" s="199" t="s">
        <v>90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</row>
    <row r="9" spans="1:17" ht="20.25" customHeight="1" x14ac:dyDescent="0.25">
      <c r="A9" s="192" t="s">
        <v>91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s="106" customFormat="1" ht="69" customHeight="1" x14ac:dyDescent="0.25">
      <c r="A10" s="201" t="s">
        <v>121</v>
      </c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</row>
    <row r="11" spans="1:17" ht="15.75" thickBot="1" x14ac:dyDescent="0.3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7" ht="15.75" thickBot="1" x14ac:dyDescent="0.3">
      <c r="A12" s="202" t="s">
        <v>92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</row>
    <row r="13" spans="1:17" ht="15.75" thickBot="1" x14ac:dyDescent="0.3">
      <c r="A13" s="203" t="s">
        <v>93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 t="s">
        <v>94</v>
      </c>
      <c r="P13" s="204"/>
      <c r="Q13" s="205" t="s">
        <v>95</v>
      </c>
    </row>
    <row r="14" spans="1:17" ht="15.75" thickBot="1" x14ac:dyDescent="0.3">
      <c r="A14" s="52" t="s">
        <v>96</v>
      </c>
      <c r="B14" s="53" t="s">
        <v>97</v>
      </c>
      <c r="C14" s="53" t="s">
        <v>98</v>
      </c>
      <c r="D14" s="53" t="s">
        <v>99</v>
      </c>
      <c r="E14" s="53" t="s">
        <v>100</v>
      </c>
      <c r="F14" s="53" t="s">
        <v>101</v>
      </c>
      <c r="G14" s="54" t="s">
        <v>102</v>
      </c>
      <c r="H14" s="53" t="s">
        <v>103</v>
      </c>
      <c r="I14" s="53" t="s">
        <v>104</v>
      </c>
      <c r="J14" s="53" t="s">
        <v>105</v>
      </c>
      <c r="K14" s="53" t="s">
        <v>105</v>
      </c>
      <c r="L14" s="53" t="s">
        <v>106</v>
      </c>
      <c r="M14" s="55" t="s">
        <v>107</v>
      </c>
      <c r="N14" s="56" t="s">
        <v>108</v>
      </c>
      <c r="O14" s="204"/>
      <c r="P14" s="204"/>
      <c r="Q14" s="205"/>
    </row>
    <row r="15" spans="1:17" s="106" customFormat="1" ht="35.25" customHeight="1" x14ac:dyDescent="0.25">
      <c r="A15" s="161">
        <v>44</v>
      </c>
      <c r="B15" s="162"/>
      <c r="C15" s="162"/>
      <c r="D15" s="162">
        <v>1</v>
      </c>
      <c r="E15" s="162"/>
      <c r="F15" s="162">
        <v>4901</v>
      </c>
      <c r="G15" s="162">
        <v>3</v>
      </c>
      <c r="H15" s="162">
        <v>1</v>
      </c>
      <c r="I15" s="162">
        <v>2</v>
      </c>
      <c r="J15" s="162">
        <v>5</v>
      </c>
      <c r="K15" s="162">
        <v>2</v>
      </c>
      <c r="L15" s="162"/>
      <c r="M15" s="163">
        <v>1</v>
      </c>
      <c r="N15" s="162" t="s">
        <v>122</v>
      </c>
      <c r="O15" s="206" t="s">
        <v>123</v>
      </c>
      <c r="P15" s="206"/>
      <c r="Q15" s="164">
        <f>NP!M29</f>
        <v>15119182.6</v>
      </c>
    </row>
    <row r="16" spans="1:17" x14ac:dyDescent="0.2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60"/>
      <c r="O16" s="207"/>
      <c r="P16" s="207"/>
      <c r="Q16" s="61"/>
    </row>
    <row r="17" spans="1:17" x14ac:dyDescent="0.2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60"/>
      <c r="O17" s="208"/>
      <c r="P17" s="208"/>
      <c r="Q17" s="61"/>
    </row>
    <row r="18" spans="1:17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60"/>
      <c r="O18" s="200"/>
      <c r="P18" s="200"/>
      <c r="Q18" s="61"/>
    </row>
    <row r="19" spans="1:17" x14ac:dyDescent="0.2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9"/>
      <c r="N19" s="60"/>
      <c r="O19" s="200"/>
      <c r="P19" s="200"/>
      <c r="Q19" s="61"/>
    </row>
    <row r="20" spans="1:17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60"/>
      <c r="O20" s="200"/>
      <c r="P20" s="200"/>
      <c r="Q20" s="61"/>
    </row>
    <row r="21" spans="1:17" x14ac:dyDescent="0.2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  <c r="N21" s="60"/>
      <c r="O21" s="200"/>
      <c r="P21" s="200"/>
      <c r="Q21" s="61"/>
    </row>
    <row r="22" spans="1:17" x14ac:dyDescent="0.25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9"/>
      <c r="N22" s="60"/>
      <c r="O22" s="200"/>
      <c r="P22" s="200"/>
      <c r="Q22" s="61"/>
    </row>
    <row r="23" spans="1:17" x14ac:dyDescent="0.25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9"/>
      <c r="N23" s="60"/>
      <c r="O23" s="200"/>
      <c r="P23" s="200"/>
      <c r="Q23" s="61"/>
    </row>
    <row r="24" spans="1:17" x14ac:dyDescent="0.25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60"/>
      <c r="O24" s="200"/>
      <c r="P24" s="200"/>
      <c r="Q24" s="61"/>
    </row>
    <row r="25" spans="1:17" x14ac:dyDescent="0.2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60"/>
      <c r="O25" s="200"/>
      <c r="P25" s="200"/>
      <c r="Q25" s="61"/>
    </row>
    <row r="26" spans="1:17" x14ac:dyDescent="0.2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60"/>
      <c r="O26" s="200"/>
      <c r="P26" s="200"/>
      <c r="Q26" s="61"/>
    </row>
    <row r="27" spans="1:17" x14ac:dyDescent="0.25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60"/>
      <c r="O27" s="200"/>
      <c r="P27" s="200"/>
      <c r="Q27" s="61"/>
    </row>
    <row r="28" spans="1:17" x14ac:dyDescent="0.2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60"/>
      <c r="O28" s="200"/>
      <c r="P28" s="200"/>
      <c r="Q28" s="61"/>
    </row>
    <row r="29" spans="1:17" x14ac:dyDescent="0.25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60"/>
      <c r="O29" s="200"/>
      <c r="P29" s="200"/>
      <c r="Q29" s="61"/>
    </row>
    <row r="30" spans="1:17" x14ac:dyDescent="0.25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60"/>
      <c r="O30" s="200"/>
      <c r="P30" s="200"/>
      <c r="Q30" s="61"/>
    </row>
    <row r="31" spans="1:17" x14ac:dyDescent="0.25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60"/>
      <c r="O31" s="200"/>
      <c r="P31" s="200"/>
      <c r="Q31" s="61"/>
    </row>
    <row r="32" spans="1:17" x14ac:dyDescent="0.25">
      <c r="A32" s="57"/>
      <c r="B32" s="58"/>
      <c r="C32" s="58"/>
      <c r="D32" s="58"/>
      <c r="E32" s="58"/>
      <c r="F32" s="60"/>
      <c r="G32" s="58"/>
      <c r="H32" s="58"/>
      <c r="I32" s="58"/>
      <c r="J32" s="58"/>
      <c r="K32" s="58"/>
      <c r="L32" s="58"/>
      <c r="M32" s="59"/>
      <c r="N32" s="60"/>
      <c r="O32" s="207"/>
      <c r="P32" s="207"/>
      <c r="Q32" s="61"/>
    </row>
    <row r="33" spans="1:17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60"/>
      <c r="O33" s="207"/>
      <c r="P33" s="207"/>
      <c r="Q33" s="61"/>
    </row>
    <row r="34" spans="1:17" x14ac:dyDescent="0.25">
      <c r="A34" s="57"/>
      <c r="B34" s="58"/>
      <c r="C34" s="58"/>
      <c r="D34" s="58"/>
      <c r="E34" s="58"/>
      <c r="F34" s="60"/>
      <c r="G34" s="58"/>
      <c r="H34" s="58"/>
      <c r="I34" s="58"/>
      <c r="J34" s="58"/>
      <c r="K34" s="58"/>
      <c r="L34" s="58"/>
      <c r="M34" s="59"/>
      <c r="N34" s="60"/>
      <c r="O34" s="207"/>
      <c r="P34" s="207"/>
      <c r="Q34" s="61"/>
    </row>
    <row r="35" spans="1:17" x14ac:dyDescent="0.25">
      <c r="A35" s="57"/>
      <c r="B35" s="58"/>
      <c r="C35" s="58"/>
      <c r="D35" s="58"/>
      <c r="E35" s="58"/>
      <c r="F35" s="60"/>
      <c r="G35" s="58"/>
      <c r="H35" s="58"/>
      <c r="I35" s="58"/>
      <c r="J35" s="58"/>
      <c r="K35" s="58"/>
      <c r="L35" s="58"/>
      <c r="M35" s="59"/>
      <c r="N35" s="60"/>
      <c r="O35" s="207"/>
      <c r="P35" s="207"/>
      <c r="Q35" s="61"/>
    </row>
    <row r="36" spans="1:17" x14ac:dyDescent="0.25">
      <c r="A36" s="62"/>
      <c r="B36" s="63"/>
      <c r="C36" s="63"/>
      <c r="D36" s="63"/>
      <c r="E36" s="63"/>
      <c r="F36" s="64"/>
      <c r="G36" s="63"/>
      <c r="H36" s="63"/>
      <c r="I36" s="63"/>
      <c r="J36" s="63"/>
      <c r="K36" s="63"/>
      <c r="L36" s="63"/>
      <c r="M36" s="65"/>
      <c r="N36" s="66"/>
      <c r="O36" s="212"/>
      <c r="P36" s="212"/>
      <c r="Q36" s="61"/>
    </row>
    <row r="37" spans="1:17" ht="15.75" thickBot="1" x14ac:dyDescent="0.3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9"/>
      <c r="N37" s="68"/>
      <c r="O37" s="213"/>
      <c r="P37" s="213"/>
      <c r="Q37" s="70"/>
    </row>
    <row r="38" spans="1:17" ht="33" customHeight="1" thickBot="1" x14ac:dyDescent="0.3">
      <c r="A38" s="214" t="s">
        <v>137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71">
        <f>SUM(Q15:Q37)</f>
        <v>15119182.6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109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s="106" customFormat="1" ht="15.75" thickBot="1" x14ac:dyDescent="0.3">
      <c r="A41" s="211" t="str">
        <f>NP!D8</f>
        <v>ADQUISICION DEL RUBRO MEDICAMENTOS ONCOLOGICOS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s="106" customFormat="1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dcterms:created xsi:type="dcterms:W3CDTF">2021-12-21T17:55:07Z</dcterms:created>
  <dcterms:modified xsi:type="dcterms:W3CDTF">2022-01-24T14:05:27Z</dcterms:modified>
</cp:coreProperties>
</file>