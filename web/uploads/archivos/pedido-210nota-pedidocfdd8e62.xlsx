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B832C12E-6493-42B1-AE93-6D352142ACED}" xr6:coauthVersionLast="46" xr6:coauthVersionMax="46" xr10:uidLastSave="{00000000-0000-0000-0000-000000000000}"/>
  <bookViews>
    <workbookView xWindow="-120" yWindow="-120" windowWidth="29040" windowHeight="15840" tabRatio="500" xr2:uid="{00000000-000D-0000-FFFF-FFFF00000000}"/>
  </bookViews>
  <sheets>
    <sheet name="Necesidades Trimestrales (2)" sheetId="3" r:id="rId1"/>
    <sheet name="NP" sheetId="5" r:id="rId2"/>
    <sheet name="APG" sheetId="4" r:id="rId3"/>
  </sheets>
  <definedNames>
    <definedName name="_xlnm._FilterDatabase" localSheetId="0" hidden="1">'Necesidades Trimestrales (2)'!$A$9:$AU$28</definedName>
  </definedNames>
  <calcPr calcId="181029"/>
</workbook>
</file>

<file path=xl/calcChain.xml><?xml version="1.0" encoding="utf-8"?>
<calcChain xmlns="http://schemas.openxmlformats.org/spreadsheetml/2006/main">
  <c r="J14" i="5" l="1"/>
  <c r="J15" i="5"/>
  <c r="J16" i="5"/>
  <c r="J17" i="5"/>
  <c r="J18" i="5"/>
  <c r="J19" i="5"/>
  <c r="J20" i="5"/>
  <c r="J21" i="5"/>
  <c r="J22" i="5"/>
  <c r="J23" i="5"/>
  <c r="J24" i="5"/>
  <c r="J25" i="5"/>
  <c r="J26" i="5"/>
  <c r="J27" i="5"/>
  <c r="J28" i="5"/>
  <c r="J29" i="5"/>
  <c r="J13" i="5"/>
  <c r="J12" i="5"/>
  <c r="C28" i="5"/>
  <c r="C29" i="5"/>
  <c r="C24" i="5"/>
  <c r="C25" i="5"/>
  <c r="C26" i="5"/>
  <c r="C27" i="5"/>
  <c r="C23" i="5"/>
  <c r="C14" i="5"/>
  <c r="C15" i="5"/>
  <c r="C16" i="5"/>
  <c r="C17" i="5"/>
  <c r="C18" i="5"/>
  <c r="C19" i="5"/>
  <c r="C20" i="5"/>
  <c r="C21" i="5"/>
  <c r="C22" i="5"/>
  <c r="C13" i="5"/>
  <c r="C12" i="5"/>
  <c r="T25" i="3"/>
  <c r="AS25" i="3"/>
  <c r="K27" i="5" s="1"/>
  <c r="T26" i="3"/>
  <c r="AS26" i="3"/>
  <c r="K28" i="5" s="1"/>
  <c r="AU26" i="3"/>
  <c r="T18" i="3"/>
  <c r="AS18" i="3"/>
  <c r="AU18" i="3" s="1"/>
  <c r="T13" i="3"/>
  <c r="AS13" i="3"/>
  <c r="K15" i="5" s="1"/>
  <c r="T14" i="3"/>
  <c r="AS14" i="3"/>
  <c r="K16" i="5" s="1"/>
  <c r="AU14" i="3"/>
  <c r="T10" i="3"/>
  <c r="AS10" i="3"/>
  <c r="AU10" i="3" s="1"/>
  <c r="T11" i="3"/>
  <c r="AS11" i="3"/>
  <c r="K13" i="5" s="1"/>
  <c r="AU11" i="3"/>
  <c r="AU13" i="3" l="1"/>
  <c r="AU25" i="3"/>
  <c r="L13" i="5"/>
  <c r="L28" i="5"/>
  <c r="L27" i="5"/>
  <c r="L16" i="5"/>
  <c r="L15" i="5"/>
  <c r="K20" i="5"/>
  <c r="L20" i="5" s="1"/>
  <c r="K12" i="5"/>
  <c r="L12" i="5" s="1"/>
  <c r="G4" i="4"/>
  <c r="G5" i="4"/>
  <c r="A26" i="4" l="1"/>
  <c r="G7" i="4"/>
  <c r="G6" i="4"/>
  <c r="I13" i="5"/>
  <c r="I14" i="5"/>
  <c r="I15" i="5"/>
  <c r="I16" i="5"/>
  <c r="I17" i="5"/>
  <c r="I18" i="5"/>
  <c r="I19" i="5"/>
  <c r="I20" i="5"/>
  <c r="I21" i="5"/>
  <c r="I22" i="5"/>
  <c r="I12" i="5"/>
  <c r="AS16" i="3" l="1"/>
  <c r="K18" i="5" s="1"/>
  <c r="L18" i="5" s="1"/>
  <c r="T16" i="3"/>
  <c r="AS19" i="3"/>
  <c r="K21" i="5" s="1"/>
  <c r="L21" i="5" s="1"/>
  <c r="T19" i="3"/>
  <c r="T17" i="3"/>
  <c r="AS17" i="3"/>
  <c r="K19" i="5" s="1"/>
  <c r="L19" i="5" s="1"/>
  <c r="AS20" i="3"/>
  <c r="K22" i="5" s="1"/>
  <c r="L22" i="5" s="1"/>
  <c r="T20" i="3"/>
  <c r="AS15" i="3"/>
  <c r="K17" i="5" s="1"/>
  <c r="L17" i="5" s="1"/>
  <c r="AS21" i="3"/>
  <c r="K23" i="5" s="1"/>
  <c r="L23" i="5" s="1"/>
  <c r="T21" i="3"/>
  <c r="AS23" i="3"/>
  <c r="K25" i="5" s="1"/>
  <c r="L25" i="5" s="1"/>
  <c r="T23" i="3"/>
  <c r="AS22" i="3"/>
  <c r="K24" i="5" s="1"/>
  <c r="L24" i="5" s="1"/>
  <c r="T22" i="3"/>
  <c r="AS12" i="3"/>
  <c r="K14" i="5" s="1"/>
  <c r="L14" i="5" s="1"/>
  <c r="T12" i="3"/>
  <c r="AS27" i="3"/>
  <c r="K29" i="5" s="1"/>
  <c r="L29" i="5" s="1"/>
  <c r="T27" i="3"/>
  <c r="AS24" i="3"/>
  <c r="K26" i="5" s="1"/>
  <c r="L26" i="5" s="1"/>
  <c r="T24" i="3"/>
  <c r="T15" i="3"/>
  <c r="J31" i="5" l="1"/>
  <c r="AU21" i="3"/>
  <c r="AU22" i="3"/>
  <c r="AU19" i="3"/>
  <c r="AU12" i="3"/>
  <c r="AU16" i="3"/>
  <c r="AU27" i="3"/>
  <c r="AU17" i="3"/>
  <c r="AU15" i="3"/>
  <c r="AU24" i="3"/>
  <c r="AU20" i="3"/>
  <c r="AU23" i="3"/>
  <c r="AU28" i="3" l="1"/>
  <c r="Q15" i="4" s="1"/>
  <c r="M16" i="5"/>
  <c r="M19" i="5"/>
  <c r="M14" i="5"/>
  <c r="M23" i="5"/>
  <c r="M20" i="5"/>
  <c r="M22" i="5"/>
  <c r="M17" i="5"/>
  <c r="M21" i="5"/>
  <c r="M15" i="5"/>
  <c r="M12" i="5"/>
  <c r="M18" i="5"/>
  <c r="M13" i="5"/>
  <c r="M24" i="5"/>
  <c r="M31" i="5" l="1"/>
  <c r="Q23" i="4" s="1"/>
</calcChain>
</file>

<file path=xl/sharedStrings.xml><?xml version="1.0" encoding="utf-8"?>
<sst xmlns="http://schemas.openxmlformats.org/spreadsheetml/2006/main" count="202" uniqueCount="135">
  <si>
    <t>JURISDICCION:</t>
  </si>
  <si>
    <t xml:space="preserve">SAF N°: </t>
  </si>
  <si>
    <t>EJERCICIO:</t>
  </si>
  <si>
    <t>TRIMESTRE:</t>
  </si>
  <si>
    <t>ID</t>
  </si>
  <si>
    <t>CODIGO ITEM</t>
  </si>
  <si>
    <t>RUBRO DE COMPRA</t>
  </si>
  <si>
    <t xml:space="preserve">I.P.P. </t>
  </si>
  <si>
    <t>DESCRIPCION</t>
  </si>
  <si>
    <t>UNIDAD DE MEDIDA</t>
  </si>
  <si>
    <t>PRECIO UNITARIO ESTIMADO</t>
  </si>
  <si>
    <t xml:space="preserve">IMPORTE TOTAL ESTIMADO </t>
  </si>
  <si>
    <t>UNIDAD</t>
  </si>
  <si>
    <t>40 - MINISTERIO DE SALUD</t>
  </si>
  <si>
    <t>Pedido de Necesidades Trimestrales</t>
  </si>
  <si>
    <t>CANTIDAD TOTAL</t>
  </si>
  <si>
    <t>DIR. LAB. CENTRAL</t>
  </si>
  <si>
    <t>TOTAL DE LAB CENTRAL</t>
  </si>
  <si>
    <t xml:space="preserve">BCO DE SANGRE </t>
  </si>
  <si>
    <t xml:space="preserve">TOTAL BANCO DE SANGRE </t>
  </si>
  <si>
    <t>ATENCION PRIMARIA</t>
  </si>
  <si>
    <t>TOTAL ATENCION PRI</t>
  </si>
  <si>
    <t xml:space="preserve">DIR DE CANCER </t>
  </si>
  <si>
    <t>TOTAL DE DIR DE CANCER</t>
  </si>
  <si>
    <t>FARMACIA</t>
  </si>
  <si>
    <t>TOTAL FARMACIA</t>
  </si>
  <si>
    <t>ODONTOLOGIA</t>
  </si>
  <si>
    <t>TOTAL DE ODONTOLOG</t>
  </si>
  <si>
    <t>SAME</t>
  </si>
  <si>
    <t>TOTAL DE SAME</t>
  </si>
  <si>
    <t>MALBRAN</t>
  </si>
  <si>
    <t>HOSPITAL MALBRAN</t>
  </si>
  <si>
    <t>maternidade e infancia</t>
  </si>
  <si>
    <t xml:space="preserve">total maternidad </t>
  </si>
  <si>
    <t>SEC DE ASIST EN SALUD PUB</t>
  </si>
  <si>
    <t>TOTAL SEC EN ASIS EN SAL</t>
  </si>
  <si>
    <t>SALUD Y MEDIO AMBIENTE</t>
  </si>
  <si>
    <t>TOTAL SALUD Y MEDIO AMBIENTE</t>
  </si>
  <si>
    <t>VECTORES Y ZOONOSIS</t>
  </si>
  <si>
    <t>TOTAL DE VECT Y ZOON</t>
  </si>
  <si>
    <t>SUMAR</t>
  </si>
  <si>
    <t xml:space="preserve">TOTAL SUMAR </t>
  </si>
  <si>
    <t>CUR</t>
  </si>
  <si>
    <t>TOTAL CUR</t>
  </si>
  <si>
    <t>PLANIFICACION</t>
  </si>
  <si>
    <t>TOTAL PLANIFICA</t>
  </si>
  <si>
    <t>SALUD MENTAL</t>
  </si>
  <si>
    <t>TOTAL SALUD MENTAL</t>
  </si>
  <si>
    <t>AREAS Y DPAS</t>
  </si>
  <si>
    <t>TOTAL DPAS</t>
  </si>
  <si>
    <t>PROD. MEDICO/FARMACEUTICOS/LAB</t>
  </si>
  <si>
    <t>DICLOFENAC SODICO 75 MG. COMPRIMIDO</t>
  </si>
  <si>
    <t xml:space="preserve">DICLOFENAC 75 MG. AMPOLLA </t>
  </si>
  <si>
    <t>NAPROXENO 500MG COMPRIMIDO</t>
  </si>
  <si>
    <t>SEVOFLUORANO X 250 ML TIPO ABBOTT</t>
  </si>
  <si>
    <t xml:space="preserve">BUPIVACAINA 5 MG / ML  HIBERBARICA  AMPOLLA DE 4 ML CON AGUJA 27 G X 3 1/2 CON INTRODUCTOR </t>
  </si>
  <si>
    <t>LIDOCAINA AEROSOL</t>
  </si>
  <si>
    <t>LIDOCAINA JALEA</t>
  </si>
  <si>
    <t>LIDOCAINA 2%SIN EPINEFRINA X 20 ML</t>
  </si>
  <si>
    <t>-</t>
  </si>
  <si>
    <t>DIPIRONA JARABE</t>
  </si>
  <si>
    <t xml:space="preserve">KETOROLAC 10 MG COMPRIMIDO </t>
  </si>
  <si>
    <t>KETOROLAC 30MG/ML AMPOLLA</t>
  </si>
  <si>
    <t>SEC PREV</t>
  </si>
  <si>
    <t>TOTAL SEC PREVEN</t>
  </si>
  <si>
    <t>DIR DE ADM</t>
  </si>
  <si>
    <t>TOTAL DIR ADM</t>
  </si>
  <si>
    <t>NOTA DE PEDIDO</t>
  </si>
  <si>
    <t>N°</t>
  </si>
  <si>
    <t xml:space="preserve">JURISDICCIÓN: </t>
  </si>
  <si>
    <t>040 - Ministerio de Salud</t>
  </si>
  <si>
    <t>SAF:</t>
  </si>
  <si>
    <t>011 - Direccion Provincial de Administración - Ministerio de Salud</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</si>
  <si>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</si>
  <si>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</si>
  <si>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</si>
  <si>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</si>
  <si>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</si>
  <si>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</si>
  <si>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</si>
  <si>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</si>
  <si>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</si>
  <si>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</si>
  <si>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</si>
  <si>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AUTORIZACION PARA GASTAR</t>
  </si>
  <si>
    <t>JURISDICCIÓN: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</si>
  <si>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</si>
  <si>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</si>
  <si>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</si>
  <si>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</si>
  <si>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</si>
  <si>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</si>
  <si>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</si>
  <si>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</si>
  <si>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</si>
  <si>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</si>
  <si>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</si>
  <si>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</si>
  <si>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</si>
  <si>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</si>
  <si>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</si>
  <si>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</si>
  <si>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</si>
  <si>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</si>
  <si>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</si>
  <si>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</si>
  <si>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Productos Farmacéuticos y Medicinales</t>
  </si>
  <si>
    <t>JUSTIFICACIÓN:</t>
  </si>
  <si>
    <t>DETALLE TECNICO Y ESPECIFICACIONES</t>
  </si>
  <si>
    <t>Plazos de entrega</t>
  </si>
  <si>
    <t>veinte (20) dias corridos</t>
  </si>
  <si>
    <t>Lugar de Entrega:</t>
  </si>
  <si>
    <t>Calidad Minima esperada</t>
  </si>
  <si>
    <t>Mantenimiento</t>
  </si>
  <si>
    <t>cuarenta y cinco (45) días</t>
  </si>
  <si>
    <t>11 - DIRECCION PROVINCIAL DE ADMINISTRACION - MINISTERIO DE SALUD</t>
  </si>
  <si>
    <t>DIR. PROV. DE FARMACIA E INSUMOS - CHACABUCO N° 169 - en el horario de 8:00hs a 12:00hs de lunes a viernes</t>
  </si>
  <si>
    <t>469 - DIRECCION PROVINCIAL DE FARMACIA E INSUMOS</t>
  </si>
  <si>
    <t>TERCER TRIMESTRE</t>
  </si>
  <si>
    <t>Autorizo la realización de los  trámites correspondientes, a fin de proveer a  este Organismo los bienes que se detallan en Nota de pedido y Entrega N° 35/2021,  afectando la erogación resultante a los créditos presupuestarios aprobados a favor de esta Unidad Ejecutora, conforme al siguiente detalle:</t>
  </si>
  <si>
    <t>3° TRIMESTRE 2021</t>
  </si>
  <si>
    <t>_35/21</t>
  </si>
  <si>
    <t>AMPICILINA 1G FCO AMPOLLA</t>
  </si>
  <si>
    <t>ACICLOVIR 800 MG COMPRIMIDO</t>
  </si>
  <si>
    <t>CIPROFLOXACINA 500 MG COMP</t>
  </si>
  <si>
    <t>CEFALOTINA 1 GR. AMP.</t>
  </si>
  <si>
    <t>INMUNOGLOBULINA HUMANA INESPECIFICA 10 GRS</t>
  </si>
  <si>
    <t xml:space="preserve">PERMETRINA LOCION </t>
  </si>
  <si>
    <t>PENICILINA BENZATINICA 2.400.000 FCO AMPOLLA</t>
  </si>
  <si>
    <t>Adquisicion del  RUBRO ANALGESICOS Y ANTIINFECCIONSA</t>
  </si>
  <si>
    <t>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                                                                               5- En el caso de Medicamentos cuya forma farmaceutica Oral sea Comprimidos , y / o capsulas la presentacion del envase primario es decir los blister deberan contener la minima cantidad de comprimidos para poder realizar la administracion a pacientes ambulatorios, de acuerdo al tratamiento prescripto y considerando que se deben administrar blister completos .Podra ser el envase secundario de mayor tamaño sin probl ema, es decir una caja puede tener 100 comprimidos en blister de 10 comprimidos.-Existe la excepcion de algunos medicamentos que solo tienen una presentacion , que por supuesto debe ser esa.</t>
  </si>
  <si>
    <t>TOTAL ANALGESICOS y ANTIINFECCIOSA</t>
  </si>
  <si>
    <t>Costo total estimado:ONCE MILLONESCUATROCIENTOS NOVENTA Y SIETE MIL DOSCIENTOS TREINTA con 00/100</t>
  </si>
  <si>
    <t>TOTAL DE PESOS:  ONCE MILLONESCUATROCIENTOS NOVENTA Y SIETE MIL DOSCIENTOS TREINTA con 00/100</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</si>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</sst>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 #,##0.00_-;\-&quot;$&quot;\ * #,##0.00_-;_-&quot;$&quot;\ * &quot;-&quot;??_-;_-@_-"/>
    <numFmt numFmtId="43" formatCode="_-* #,##0.00_-;\-* #,##0.00_-;_-* &quot;-&quot;??_-;_-@_-"/>
    <numFmt numFmtId="164" formatCode="_ &quot;$&quot;\ * #,##0.00_ ;_ &quot;$&quot;\ * \-#,##0.00_ ;_ &quot;$&quot;\ * &quot;-&quot;??_ ;_ @_ "/>
    <numFmt numFmtId="165" formatCode="_ * #,##0.00_ ;_ * \-#,##0.00_ ;_ * &quot;-&quot;??_ ;_ @_ "/>
    <numFmt numFmtId="166" formatCode="_-* #,##0.00&quot; €&quot;_-;\-* #,##0.00&quot; €&quot;_-;_-* \-??&quot; €&quot;_-;_-@_-"/>
    <numFmt numFmtId="167" formatCode="_-[$$-2C0A]\ * #,##0.00_-;\-[$$-2C0A]\ * #,##0.00_-;_-[$$-2C0A]\ * &quot;-&quot;??_-;_-@_-"/>
    <numFmt numFmtId="168" formatCode="[$$-2C0A]\ #,##0.00;[$$-2C0A]&quot; -&quot;#,##0.00"/>
    <numFmt numFmtId="169" formatCode="[$$-2C0A]\ #,##0.00"/>
    <numFmt numFmtId="170" formatCode="&quot;$&quot;\ #,##0.00"/>
    <numFmt numFmtId="171" formatCode="dd\-mm\-yy;@"/>
    <numFmt numFmtId="172" formatCode="_(\$* #,##0.00_);_(\$* \(#,##0.00\);_(\$* \-??_);_(@_)"/>
  </numFmts>
  <fonts count="37"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5"/>
      <color rgb="FF666699"/>
      <name val="Calibri"/>
      <family val="2"/>
      <charset val="1"/>
    </font>
    <font>
      <sz val="11"/>
      <color rgb="FF993300"/>
      <name val="Calibri"/>
      <family val="2"/>
      <charset val="1"/>
    </font>
    <font>
      <sz val="10"/>
      <name val="Arial"/>
      <family val="2"/>
    </font>
    <font>
      <sz val="10"/>
      <name val="Times New Roman"/>
      <family val="1"/>
    </font>
    <font>
      <b/>
      <sz val="11"/>
      <color rgb="FF000000"/>
      <name val="Times New Roman"/>
      <family val="1"/>
    </font>
    <font>
      <sz val="10"/>
      <color rgb="FF000000"/>
      <name val="Times New Roman"/>
      <family val="1"/>
    </font>
    <font>
      <b/>
      <sz val="10"/>
      <color rgb="FF000000"/>
      <name val="Times New Roman"/>
      <family val="1"/>
    </font>
    <font>
      <b/>
      <sz val="12"/>
      <color rgb="FF000000"/>
      <name val="Times New Roman"/>
      <family val="1"/>
    </font>
    <font>
      <sz val="10"/>
      <name val="Arial"/>
      <family val="2"/>
    </font>
    <font>
      <sz val="11"/>
      <name val="Arial"/>
      <family val="2"/>
    </font>
    <font>
      <b/>
      <sz val="20"/>
      <name val="Times New Roman"/>
      <family val="1"/>
    </font>
    <font>
      <sz val="11"/>
      <name val="Times New Roman"/>
      <family val="1"/>
    </font>
    <font>
      <sz val="11"/>
      <color rgb="FF000000"/>
      <name val="Times New Roman"/>
      <family val="1"/>
    </font>
    <font>
      <b/>
      <sz val="11"/>
      <color theme="1"/>
      <name val="Times New Roman"/>
      <family val="1"/>
    </font>
    <font>
      <sz val="11"/>
      <color theme="1"/>
      <name val="Times New Roman"/>
      <family val="1"/>
    </font>
    <font>
      <b/>
      <sz val="11"/>
      <name val="Times New Roman"/>
      <family val="1"/>
    </font>
    <font>
      <b/>
      <sz val="11"/>
      <color rgb="FFFF0000"/>
      <name val="Times New Roman"/>
      <family val="1"/>
    </font>
    <font>
      <sz val="11"/>
      <color rgb="FFFF0000"/>
      <name val="Times New Roman"/>
      <family val="1"/>
    </font>
    <font>
      <b/>
      <u/>
      <sz val="12"/>
      <name val="Times New Roman"/>
      <family val="1"/>
      <charset val="1"/>
    </font>
    <font>
      <b/>
      <sz val="12"/>
      <name val="Times New Roman"/>
      <family val="1"/>
      <charset val="1"/>
    </font>
    <font>
      <sz val="10"/>
      <color theme="0"/>
      <name val="Arial"/>
      <family val="2"/>
    </font>
    <font>
      <sz val="12"/>
      <name val="Times New Roman"/>
      <family val="1"/>
      <charset val="1"/>
    </font>
    <font>
      <b/>
      <sz val="11"/>
      <name val="Times New Roman"/>
      <family val="1"/>
      <charset val="1"/>
    </font>
    <font>
      <sz val="10"/>
      <name val="Times New Roman"/>
      <family val="1"/>
      <charset val="1"/>
    </font>
    <font>
      <sz val="10"/>
      <name val="Arial"/>
      <family val="2"/>
      <charset val="1"/>
    </font>
    <font>
      <sz val="11"/>
      <name val="Times New Roman"/>
      <family val="1"/>
      <charset val="1"/>
    </font>
    <font>
      <b/>
      <sz val="10"/>
      <name val="Arial"/>
      <family val="2"/>
    </font>
    <font>
      <b/>
      <sz val="10"/>
      <name val="Times New Roman"/>
      <family val="1"/>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s>
  <fills count="6">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
      <patternFill patternType="solid">
        <fgColor rgb="FFFFFF00"/>
        <bgColor indexed="64"/>
      </patternFill>
    </fill>
  </fills>
  <borders count="60">
    <border>
      <left/>
      <right/>
      <top/>
      <bottom/>
      <diagonal/>
    </border>
    <border>
      <left/>
      <right/>
      <top/>
      <bottom style="thick">
        <color rgb="FF33CCCC"/>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medium">
        <color indexed="64"/>
      </right>
      <top/>
      <bottom style="thin">
        <color auto="1"/>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style="thin">
        <color indexed="64"/>
      </left>
      <right/>
      <top style="thin">
        <color indexed="64"/>
      </top>
      <bottom style="thin">
        <color indexed="64"/>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3D3D3D"/>
      </left>
      <right/>
      <top style="medium">
        <color rgb="FF3D3D3D"/>
      </top>
      <bottom/>
      <diagonal/>
    </border>
    <border>
      <left style="medium">
        <color indexed="64"/>
      </left>
      <right style="medium">
        <color indexed="64"/>
      </right>
      <top style="medium">
        <color indexed="64"/>
      </top>
      <bottom style="medium">
        <color indexed="64"/>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rgb="FF3D3D3D"/>
      </left>
      <right/>
      <top style="medium">
        <color indexed="64"/>
      </top>
      <bottom style="medium">
        <color indexed="64"/>
      </bottom>
      <diagonal/>
    </border>
    <border>
      <left style="medium">
        <color auto="1"/>
      </left>
      <right style="medium">
        <color auto="1"/>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top style="medium">
        <color auto="1"/>
      </top>
      <bottom style="thin">
        <color auto="1"/>
      </bottom>
      <diagonal/>
    </border>
    <border>
      <left/>
      <right style="thin">
        <color indexed="64"/>
      </right>
      <top style="thin">
        <color indexed="64"/>
      </top>
      <bottom style="thin">
        <color indexed="64"/>
      </bottom>
      <diagonal/>
    </border>
  </borders>
  <cellStyleXfs count="26">
    <xf numFmtId="0" fontId="0" fillId="0" borderId="0"/>
    <xf numFmtId="166" fontId="6" fillId="0" borderId="0" applyBorder="0" applyProtection="0"/>
    <xf numFmtId="0" fontId="4" fillId="0" borderId="1" applyProtection="0"/>
    <xf numFmtId="0" fontId="5" fillId="2" borderId="0" applyBorder="0" applyProtection="0"/>
    <xf numFmtId="0" fontId="12" fillId="0" borderId="0"/>
    <xf numFmtId="164" fontId="12" fillId="0" borderId="0" applyBorder="0" applyAlignment="0" applyProtection="0"/>
    <xf numFmtId="0" fontId="12" fillId="0" borderId="0"/>
    <xf numFmtId="0" fontId="12" fillId="0" borderId="0"/>
    <xf numFmtId="0" fontId="12" fillId="0" borderId="0"/>
    <xf numFmtId="0" fontId="3" fillId="0" borderId="0"/>
    <xf numFmtId="0" fontId="6" fillId="0" borderId="0"/>
    <xf numFmtId="166" fontId="6" fillId="0" borderId="0" applyBorder="0" applyProtection="0"/>
    <xf numFmtId="0" fontId="4" fillId="0" borderId="1" applyProtection="0"/>
    <xf numFmtId="0" fontId="6" fillId="0" borderId="0"/>
    <xf numFmtId="164" fontId="6" fillId="0" borderId="0" applyBorder="0" applyAlignment="0" applyProtection="0"/>
    <xf numFmtId="0" fontId="6" fillId="0" borderId="0"/>
    <xf numFmtId="0" fontId="6" fillId="0" borderId="0"/>
    <xf numFmtId="0" fontId="6" fillId="0" borderId="0"/>
    <xf numFmtId="0" fontId="2" fillId="0" borderId="0"/>
    <xf numFmtId="43" fontId="2" fillId="0" borderId="0" applyFont="0" applyFill="0" applyBorder="0" applyAlignment="0" applyProtection="0"/>
    <xf numFmtId="0" fontId="2" fillId="0" borderId="0"/>
    <xf numFmtId="166" fontId="6" fillId="0" borderId="0" applyBorder="0" applyProtection="0"/>
    <xf numFmtId="0" fontId="2" fillId="0" borderId="0"/>
    <xf numFmtId="0" fontId="2" fillId="0" borderId="0"/>
    <xf numFmtId="0" fontId="1" fillId="0" borderId="0"/>
    <xf numFmtId="172" fontId="28" fillId="0" borderId="0" applyBorder="0" applyProtection="0"/>
  </cellStyleXfs>
  <cellXfs count="245">
    <xf numFmtId="0" fontId="0" fillId="0" borderId="0" xfId="0"/>
    <xf numFmtId="0" fontId="7" fillId="0" borderId="0" xfId="0" applyFont="1"/>
    <xf numFmtId="0" fontId="9" fillId="0" borderId="0" xfId="0" applyFont="1" applyAlignment="1">
      <alignment horizontal="center" wrapText="1"/>
    </xf>
    <xf numFmtId="0" fontId="7" fillId="0" borderId="0" xfId="0" applyFont="1" applyAlignment="1">
      <alignment horizontal="center"/>
    </xf>
    <xf numFmtId="3" fontId="13" fillId="4" borderId="2" xfId="0" applyNumberFormat="1" applyFont="1" applyFill="1" applyBorder="1" applyAlignment="1">
      <alignment horizontal="center" vertical="center" wrapText="1"/>
    </xf>
    <xf numFmtId="1" fontId="9" fillId="0" borderId="0" xfId="0" applyNumberFormat="1" applyFont="1" applyAlignment="1">
      <alignment horizontal="center" wrapText="1"/>
    </xf>
    <xf numFmtId="1" fontId="7" fillId="0" borderId="0" xfId="0" applyNumberFormat="1" applyFont="1" applyAlignment="1">
      <alignment horizontal="center"/>
    </xf>
    <xf numFmtId="170" fontId="7" fillId="0" borderId="0" xfId="0" applyNumberFormat="1" applyFont="1" applyAlignment="1">
      <alignment horizontal="center"/>
    </xf>
    <xf numFmtId="170" fontId="9" fillId="0" borderId="0" xfId="0" applyNumberFormat="1" applyFont="1" applyAlignment="1">
      <alignment horizontal="center" wrapText="1"/>
    </xf>
    <xf numFmtId="3" fontId="7" fillId="0" borderId="0" xfId="0" applyNumberFormat="1" applyFont="1" applyAlignment="1">
      <alignment horizontal="center"/>
    </xf>
    <xf numFmtId="3" fontId="9" fillId="0" borderId="0" xfId="0" applyNumberFormat="1" applyFont="1" applyAlignment="1">
      <alignment horizontal="center" wrapText="1"/>
    </xf>
    <xf numFmtId="3" fontId="7" fillId="0" borderId="0" xfId="0" applyNumberFormat="1" applyFont="1" applyAlignment="1">
      <alignment horizontal="center" vertical="center"/>
    </xf>
    <xf numFmtId="3" fontId="9" fillId="0" borderId="0" xfId="0" applyNumberFormat="1" applyFont="1" applyAlignment="1">
      <alignment horizontal="center" vertical="center" wrapText="1"/>
    </xf>
    <xf numFmtId="167" fontId="7" fillId="0" borderId="0" xfId="0" applyNumberFormat="1" applyFont="1" applyAlignment="1">
      <alignment vertical="center"/>
    </xf>
    <xf numFmtId="0" fontId="15" fillId="0" borderId="0" xfId="0" applyFont="1" applyAlignment="1">
      <alignment horizontal="center" wrapText="1"/>
    </xf>
    <xf numFmtId="0" fontId="7" fillId="0" borderId="0" xfId="0" applyFont="1" applyAlignment="1">
      <alignment horizontal="center" vertical="center"/>
    </xf>
    <xf numFmtId="0" fontId="16" fillId="0" borderId="0" xfId="0" applyFont="1" applyAlignment="1">
      <alignment horizontal="center" wrapText="1"/>
    </xf>
    <xf numFmtId="0" fontId="9" fillId="0" borderId="0" xfId="0" applyFont="1" applyAlignment="1">
      <alignment horizontal="center" vertical="center" wrapText="1"/>
    </xf>
    <xf numFmtId="0" fontId="7" fillId="0" borderId="0" xfId="0" applyFont="1" applyAlignment="1">
      <alignment horizontal="center" vertical="center" wrapText="1"/>
    </xf>
    <xf numFmtId="169" fontId="15" fillId="4" borderId="6" xfId="0" applyNumberFormat="1" applyFont="1" applyFill="1" applyBorder="1" applyAlignment="1">
      <alignment horizontal="center" vertical="center" wrapText="1"/>
    </xf>
    <xf numFmtId="169" fontId="7" fillId="0" borderId="0" xfId="0" applyNumberFormat="1" applyFont="1" applyAlignment="1">
      <alignment horizontal="center"/>
    </xf>
    <xf numFmtId="0" fontId="15" fillId="0" borderId="6" xfId="0" applyFont="1" applyBorder="1" applyAlignment="1">
      <alignment horizontal="center" vertical="center"/>
    </xf>
    <xf numFmtId="3" fontId="15" fillId="0" borderId="6" xfId="0" applyNumberFormat="1" applyFont="1" applyBorder="1" applyAlignment="1">
      <alignment horizontal="center" vertical="center"/>
    </xf>
    <xf numFmtId="167" fontId="15" fillId="0" borderId="6" xfId="0" applyNumberFormat="1" applyFont="1" applyBorder="1" applyAlignment="1">
      <alignment vertical="center"/>
    </xf>
    <xf numFmtId="3" fontId="15" fillId="4" borderId="6" xfId="0" applyNumberFormat="1" applyFont="1" applyFill="1" applyBorder="1" applyAlignment="1">
      <alignment horizontal="center" vertical="center"/>
    </xf>
    <xf numFmtId="0" fontId="18" fillId="4" borderId="6" xfId="0" applyFont="1" applyFill="1" applyBorder="1" applyAlignment="1">
      <alignment horizontal="left" vertical="center" wrapText="1"/>
    </xf>
    <xf numFmtId="0" fontId="15" fillId="4" borderId="6" xfId="0" applyFont="1" applyFill="1" applyBorder="1" applyAlignment="1">
      <alignment horizontal="left" vertical="center" wrapText="1"/>
    </xf>
    <xf numFmtId="167" fontId="20" fillId="0" borderId="6" xfId="0" applyNumberFormat="1" applyFont="1" applyBorder="1" applyAlignment="1">
      <alignment vertical="center"/>
    </xf>
    <xf numFmtId="3" fontId="20" fillId="0" borderId="6" xfId="0" applyNumberFormat="1" applyFont="1" applyBorder="1" applyAlignment="1">
      <alignment horizontal="center" vertical="center"/>
    </xf>
    <xf numFmtId="0" fontId="16" fillId="0" borderId="6" xfId="0" applyFont="1" applyBorder="1" applyAlignment="1">
      <alignment horizontal="center" vertical="center"/>
    </xf>
    <xf numFmtId="0" fontId="16" fillId="0" borderId="6" xfId="0" applyFont="1" applyBorder="1" applyAlignment="1">
      <alignment horizontal="center" vertical="center" wrapText="1"/>
    </xf>
    <xf numFmtId="1" fontId="16" fillId="0" borderId="6" xfId="0" applyNumberFormat="1" applyFont="1" applyBorder="1" applyAlignment="1">
      <alignment horizontal="center" vertical="center" wrapText="1"/>
    </xf>
    <xf numFmtId="170" fontId="16" fillId="0" borderId="6" xfId="0" applyNumberFormat="1" applyFont="1" applyBorder="1" applyAlignment="1">
      <alignment horizontal="center" vertical="center" wrapText="1"/>
    </xf>
    <xf numFmtId="3" fontId="16" fillId="0" borderId="6" xfId="0" applyNumberFormat="1" applyFont="1" applyBorder="1" applyAlignment="1">
      <alignment horizontal="center" vertical="center" wrapText="1"/>
    </xf>
    <xf numFmtId="3" fontId="16" fillId="5" borderId="6" xfId="0" applyNumberFormat="1" applyFont="1" applyFill="1" applyBorder="1" applyAlignment="1">
      <alignment horizontal="center" vertical="center" wrapText="1"/>
    </xf>
    <xf numFmtId="167" fontId="16" fillId="0" borderId="6" xfId="0" applyNumberFormat="1" applyFont="1" applyBorder="1" applyAlignment="1">
      <alignment vertical="center" wrapText="1"/>
    </xf>
    <xf numFmtId="0" fontId="16" fillId="4" borderId="6" xfId="0" applyFont="1" applyFill="1" applyBorder="1" applyAlignment="1">
      <alignment horizontal="center" vertical="center"/>
    </xf>
    <xf numFmtId="3" fontId="15" fillId="4" borderId="6" xfId="0" applyNumberFormat="1" applyFont="1" applyFill="1" applyBorder="1" applyAlignment="1">
      <alignment horizontal="center" vertical="center" wrapText="1"/>
    </xf>
    <xf numFmtId="0" fontId="21" fillId="0" borderId="6" xfId="0" applyFont="1" applyBorder="1" applyAlignment="1">
      <alignment horizontal="center" vertical="center"/>
    </xf>
    <xf numFmtId="0" fontId="16" fillId="4" borderId="6" xfId="0" applyFont="1" applyFill="1" applyBorder="1" applyAlignment="1">
      <alignment horizontal="left" vertical="center" wrapText="1"/>
    </xf>
    <xf numFmtId="170" fontId="16" fillId="5" borderId="6" xfId="0" applyNumberFormat="1" applyFont="1" applyFill="1" applyBorder="1" applyAlignment="1">
      <alignment horizontal="center" vertical="center" wrapText="1"/>
    </xf>
    <xf numFmtId="165" fontId="15" fillId="4" borderId="6" xfId="19" applyNumberFormat="1" applyFont="1" applyFill="1" applyBorder="1" applyAlignment="1">
      <alignment horizontal="left" vertical="center"/>
    </xf>
    <xf numFmtId="3" fontId="15" fillId="4" borderId="6" xfId="19" applyNumberFormat="1" applyFont="1" applyFill="1" applyBorder="1" applyAlignment="1">
      <alignment horizontal="center" vertical="center"/>
    </xf>
    <xf numFmtId="169" fontId="9" fillId="0" borderId="0" xfId="0" applyNumberFormat="1" applyFont="1" applyAlignment="1">
      <alignment horizontal="center" wrapText="1"/>
    </xf>
    <xf numFmtId="169" fontId="16" fillId="0" borderId="6" xfId="0" applyNumberFormat="1" applyFont="1" applyBorder="1" applyAlignment="1">
      <alignment horizontal="center" vertical="center" wrapText="1"/>
    </xf>
    <xf numFmtId="0" fontId="19" fillId="0" borderId="0" xfId="0" applyFont="1" applyAlignment="1">
      <alignment wrapText="1"/>
    </xf>
    <xf numFmtId="0" fontId="15" fillId="0" borderId="0" xfId="0" applyFont="1"/>
    <xf numFmtId="0" fontId="19" fillId="0" borderId="0" xfId="0" applyFont="1"/>
    <xf numFmtId="0" fontId="8" fillId="0" borderId="6" xfId="0" applyFont="1" applyBorder="1" applyAlignment="1">
      <alignment horizontal="center" vertical="center"/>
    </xf>
    <xf numFmtId="0" fontId="8" fillId="0" borderId="6" xfId="0" applyFont="1" applyBorder="1" applyAlignment="1">
      <alignment horizontal="center" vertical="center" wrapText="1"/>
    </xf>
    <xf numFmtId="1" fontId="8" fillId="0" borderId="6" xfId="0" applyNumberFormat="1" applyFont="1" applyBorder="1" applyAlignment="1">
      <alignment horizontal="center" vertical="center" wrapText="1"/>
    </xf>
    <xf numFmtId="170" fontId="8" fillId="0" borderId="6" xfId="0" applyNumberFormat="1" applyFont="1" applyBorder="1" applyAlignment="1">
      <alignment horizontal="center" vertical="center" wrapText="1"/>
    </xf>
    <xf numFmtId="3" fontId="8" fillId="0" borderId="6" xfId="0" applyNumberFormat="1" applyFont="1" applyBorder="1" applyAlignment="1">
      <alignment horizontal="center" vertical="center" wrapText="1"/>
    </xf>
    <xf numFmtId="169" fontId="8" fillId="0" borderId="6" xfId="0" applyNumberFormat="1" applyFont="1" applyBorder="1" applyAlignment="1">
      <alignment horizontal="center" vertical="center" wrapText="1"/>
    </xf>
    <xf numFmtId="3" fontId="8" fillId="5" borderId="6" xfId="0" applyNumberFormat="1" applyFont="1" applyFill="1" applyBorder="1" applyAlignment="1">
      <alignment horizontal="center" vertical="center" wrapText="1"/>
    </xf>
    <xf numFmtId="167" fontId="8" fillId="0" borderId="6" xfId="0" applyNumberFormat="1" applyFont="1" applyBorder="1" applyAlignment="1">
      <alignment vertical="center" wrapText="1"/>
    </xf>
    <xf numFmtId="0" fontId="11" fillId="0" borderId="0" xfId="0" applyFont="1" applyFill="1" applyAlignment="1">
      <alignment horizontal="left" vertical="center" wrapText="1"/>
    </xf>
    <xf numFmtId="0" fontId="10" fillId="0" borderId="0" xfId="0" applyFont="1" applyFill="1" applyAlignment="1">
      <alignment horizontal="left" vertical="center" wrapText="1"/>
    </xf>
    <xf numFmtId="0" fontId="22" fillId="0" borderId="9" xfId="13" applyFont="1" applyBorder="1" applyAlignment="1">
      <alignment horizontal="right" vertical="center"/>
    </xf>
    <xf numFmtId="17" fontId="23" fillId="3" borderId="10" xfId="13" applyNumberFormat="1" applyFont="1" applyFill="1" applyBorder="1" applyAlignment="1">
      <alignment horizontal="center" vertical="center"/>
    </xf>
    <xf numFmtId="167" fontId="24" fillId="0" borderId="0" xfId="0" applyNumberFormat="1" applyFont="1"/>
    <xf numFmtId="0" fontId="22" fillId="0" borderId="11" xfId="13" applyFont="1" applyBorder="1" applyAlignment="1">
      <alignment vertical="center"/>
    </xf>
    <xf numFmtId="0" fontId="22" fillId="0" borderId="0" xfId="13" applyFont="1" applyBorder="1" applyAlignment="1">
      <alignment vertical="center"/>
    </xf>
    <xf numFmtId="0" fontId="23" fillId="0" borderId="13" xfId="13" applyFont="1" applyBorder="1" applyAlignment="1">
      <alignment vertical="center"/>
    </xf>
    <xf numFmtId="0" fontId="23" fillId="0" borderId="14" xfId="13" applyFont="1" applyBorder="1" applyAlignment="1">
      <alignment vertical="center"/>
    </xf>
    <xf numFmtId="0" fontId="23" fillId="0" borderId="15" xfId="13" applyFont="1" applyBorder="1" applyAlignment="1">
      <alignment vertical="center"/>
    </xf>
    <xf numFmtId="0" fontId="23" fillId="0" borderId="14" xfId="13" applyFont="1" applyBorder="1" applyAlignment="1">
      <alignment vertical="center" wrapText="1"/>
    </xf>
    <xf numFmtId="0" fontId="23" fillId="0" borderId="15" xfId="13" applyFont="1" applyBorder="1" applyAlignment="1">
      <alignment vertical="center" wrapText="1"/>
    </xf>
    <xf numFmtId="0" fontId="25" fillId="0" borderId="0" xfId="13" applyFont="1" applyBorder="1" applyAlignment="1">
      <alignment horizontal="left" vertical="center"/>
    </xf>
    <xf numFmtId="0" fontId="23" fillId="0" borderId="0" xfId="13" applyFont="1" applyBorder="1" applyAlignment="1">
      <alignment horizontal="left" vertical="center" wrapText="1" indent="1"/>
    </xf>
    <xf numFmtId="3" fontId="6" fillId="4" borderId="22" xfId="13" applyNumberFormat="1" applyFont="1" applyFill="1" applyBorder="1" applyAlignment="1">
      <alignment horizontal="center" vertical="center"/>
    </xf>
    <xf numFmtId="0" fontId="6" fillId="4" borderId="24" xfId="13" applyFont="1" applyFill="1" applyBorder="1" applyAlignment="1">
      <alignment vertical="center"/>
    </xf>
    <xf numFmtId="0" fontId="6" fillId="4" borderId="7" xfId="13" applyFont="1" applyFill="1" applyBorder="1" applyAlignment="1">
      <alignment vertical="center"/>
    </xf>
    <xf numFmtId="0" fontId="6" fillId="4" borderId="5" xfId="13" applyFont="1" applyFill="1" applyBorder="1" applyAlignment="1">
      <alignment vertical="center"/>
    </xf>
    <xf numFmtId="0" fontId="6" fillId="4" borderId="7" xfId="13" applyFont="1" applyFill="1" applyBorder="1" applyAlignment="1">
      <alignment vertical="center" wrapText="1"/>
    </xf>
    <xf numFmtId="0" fontId="6" fillId="4" borderId="5" xfId="13" applyFont="1" applyFill="1" applyBorder="1" applyAlignment="1">
      <alignment vertical="center" wrapText="1"/>
    </xf>
    <xf numFmtId="3" fontId="32" fillId="0" borderId="0" xfId="13" applyNumberFormat="1" applyFont="1" applyBorder="1" applyAlignment="1"/>
    <xf numFmtId="171" fontId="6" fillId="0" borderId="0" xfId="13" applyNumberFormat="1" applyAlignment="1">
      <alignment horizontal="left"/>
    </xf>
    <xf numFmtId="0" fontId="6" fillId="0" borderId="0" xfId="13"/>
    <xf numFmtId="0" fontId="6" fillId="0" borderId="0" xfId="13" applyAlignment="1">
      <alignment horizontal="left"/>
    </xf>
    <xf numFmtId="0" fontId="34" fillId="4" borderId="12" xfId="13" applyFont="1" applyFill="1" applyBorder="1" applyAlignment="1">
      <alignment vertical="center"/>
    </xf>
    <xf numFmtId="0" fontId="34" fillId="4" borderId="25" xfId="13" applyFont="1" applyFill="1" applyBorder="1" applyAlignment="1">
      <alignment vertical="center"/>
    </xf>
    <xf numFmtId="0" fontId="34" fillId="4" borderId="26" xfId="13" applyFont="1" applyFill="1" applyBorder="1" applyAlignment="1">
      <alignment vertical="center"/>
    </xf>
    <xf numFmtId="0" fontId="6" fillId="0" borderId="0" xfId="13" applyBorder="1"/>
    <xf numFmtId="0" fontId="6" fillId="0" borderId="9" xfId="13" applyBorder="1"/>
    <xf numFmtId="0" fontId="6" fillId="0" borderId="28" xfId="13" applyBorder="1"/>
    <xf numFmtId="0" fontId="6" fillId="0" borderId="11" xfId="13" applyBorder="1"/>
    <xf numFmtId="0" fontId="6" fillId="0" borderId="11" xfId="13" applyBorder="1" applyAlignment="1">
      <alignment horizontal="left"/>
    </xf>
    <xf numFmtId="0" fontId="6" fillId="0" borderId="29" xfId="13" applyBorder="1"/>
    <xf numFmtId="0" fontId="36" fillId="0" borderId="32" xfId="13" applyFont="1" applyBorder="1" applyAlignment="1">
      <alignment horizontal="center" vertical="center"/>
    </xf>
    <xf numFmtId="0" fontId="36" fillId="0" borderId="33" xfId="13" applyFont="1" applyBorder="1" applyAlignment="1">
      <alignment horizontal="center" vertical="center"/>
    </xf>
    <xf numFmtId="0" fontId="36" fillId="0" borderId="33" xfId="13" applyFont="1" applyBorder="1" applyAlignment="1">
      <alignment horizontal="left" vertical="center"/>
    </xf>
    <xf numFmtId="0" fontId="36" fillId="0" borderId="34" xfId="13" applyFont="1" applyBorder="1" applyAlignment="1">
      <alignment horizontal="center" vertical="center"/>
    </xf>
    <xf numFmtId="0" fontId="36" fillId="0" borderId="35" xfId="13" applyFont="1" applyBorder="1" applyAlignment="1">
      <alignment horizontal="center" vertical="center"/>
    </xf>
    <xf numFmtId="0" fontId="6" fillId="3" borderId="36" xfId="13" applyFont="1" applyFill="1" applyBorder="1" applyAlignment="1">
      <alignment horizontal="center" vertical="center"/>
    </xf>
    <xf numFmtId="0" fontId="6" fillId="3" borderId="37" xfId="13" applyFont="1" applyFill="1" applyBorder="1" applyAlignment="1">
      <alignment horizontal="center" vertical="center"/>
    </xf>
    <xf numFmtId="0" fontId="6" fillId="0" borderId="37" xfId="13" applyFont="1" applyBorder="1" applyAlignment="1">
      <alignment horizontal="center" vertical="center"/>
    </xf>
    <xf numFmtId="0" fontId="6" fillId="3" borderId="38" xfId="13" applyFont="1" applyFill="1" applyBorder="1" applyAlignment="1">
      <alignment horizontal="center" vertical="center"/>
    </xf>
    <xf numFmtId="0" fontId="6" fillId="3" borderId="37" xfId="13" applyFill="1" applyBorder="1" applyAlignment="1">
      <alignment horizontal="center" vertical="center"/>
    </xf>
    <xf numFmtId="168" fontId="0" fillId="0" borderId="39" xfId="25" applyNumberFormat="1" applyFont="1" applyBorder="1" applyAlignment="1" applyProtection="1">
      <alignment horizontal="center" vertical="center"/>
    </xf>
    <xf numFmtId="0" fontId="6" fillId="0" borderId="40" xfId="13" applyFont="1" applyBorder="1" applyAlignment="1">
      <alignment horizontal="center" vertical="center"/>
    </xf>
    <xf numFmtId="0" fontId="6" fillId="0" borderId="41" xfId="13" applyFont="1" applyBorder="1" applyAlignment="1">
      <alignment horizontal="center" vertical="center"/>
    </xf>
    <xf numFmtId="0" fontId="6" fillId="0" borderId="42" xfId="13" applyFont="1" applyBorder="1" applyAlignment="1">
      <alignment horizontal="center" vertical="center"/>
    </xf>
    <xf numFmtId="0" fontId="6" fillId="0" borderId="43" xfId="13" applyFont="1" applyBorder="1" applyAlignment="1">
      <alignment horizontal="center" vertical="center"/>
    </xf>
    <xf numFmtId="168" fontId="0" fillId="0" borderId="44" xfId="25" applyNumberFormat="1" applyFont="1" applyBorder="1" applyAlignment="1" applyProtection="1">
      <alignment horizontal="center" vertical="center"/>
    </xf>
    <xf numFmtId="0" fontId="34" fillId="0" borderId="40" xfId="13" applyFont="1" applyBorder="1" applyAlignment="1">
      <alignment horizontal="center" vertical="center"/>
    </xf>
    <xf numFmtId="0" fontId="34" fillId="0" borderId="41" xfId="13" applyFont="1" applyBorder="1" applyAlignment="1">
      <alignment horizontal="center" vertical="center"/>
    </xf>
    <xf numFmtId="0" fontId="6" fillId="0" borderId="43" xfId="13" applyBorder="1" applyAlignment="1">
      <alignment horizontal="center" vertical="center"/>
    </xf>
    <xf numFmtId="0" fontId="34" fillId="0" borderId="42" xfId="13" applyFont="1" applyBorder="1" applyAlignment="1">
      <alignment horizontal="center" vertical="center"/>
    </xf>
    <xf numFmtId="0" fontId="34" fillId="0" borderId="43" xfId="13" applyFont="1" applyBorder="1" applyAlignment="1">
      <alignment horizontal="center" vertical="center"/>
    </xf>
    <xf numFmtId="0" fontId="6" fillId="0" borderId="45" xfId="13" applyBorder="1" applyAlignment="1">
      <alignment horizontal="center" vertical="center"/>
    </xf>
    <xf numFmtId="0" fontId="6" fillId="0" borderId="46" xfId="13" applyBorder="1" applyAlignment="1">
      <alignment horizontal="center" vertical="center"/>
    </xf>
    <xf numFmtId="0" fontId="6" fillId="0" borderId="47" xfId="13" applyBorder="1" applyAlignment="1">
      <alignment horizontal="center" vertical="center"/>
    </xf>
    <xf numFmtId="168" fontId="0" fillId="0" borderId="48" xfId="25" applyNumberFormat="1" applyFont="1" applyBorder="1" applyAlignment="1" applyProtection="1">
      <alignment horizontal="center" vertical="center"/>
    </xf>
    <xf numFmtId="168" fontId="36" fillId="0" borderId="49" xfId="13" applyNumberFormat="1" applyFont="1" applyBorder="1" applyAlignment="1">
      <alignment horizontal="center" vertical="center"/>
    </xf>
    <xf numFmtId="0" fontId="34" fillId="3" borderId="27" xfId="13" applyFont="1" applyFill="1" applyBorder="1" applyAlignment="1">
      <alignment vertical="center"/>
    </xf>
    <xf numFmtId="0" fontId="34" fillId="3" borderId="0" xfId="13" applyFont="1" applyFill="1" applyBorder="1" applyAlignment="1">
      <alignment vertical="center" wrapText="1"/>
    </xf>
    <xf numFmtId="0" fontId="34" fillId="3" borderId="9" xfId="13" applyFont="1" applyFill="1" applyBorder="1" applyAlignment="1">
      <alignment vertical="center" wrapText="1"/>
    </xf>
    <xf numFmtId="0" fontId="34" fillId="3" borderId="28" xfId="13" applyFont="1" applyFill="1" applyBorder="1" applyAlignment="1">
      <alignment vertical="center" wrapText="1"/>
    </xf>
    <xf numFmtId="0" fontId="34" fillId="3" borderId="11" xfId="13" applyFont="1" applyFill="1" applyBorder="1" applyAlignment="1">
      <alignment vertical="center" wrapText="1"/>
    </xf>
    <xf numFmtId="0" fontId="34" fillId="3" borderId="29" xfId="13" applyFont="1" applyFill="1" applyBorder="1" applyAlignment="1">
      <alignment vertical="center" wrapText="1"/>
    </xf>
    <xf numFmtId="167" fontId="13" fillId="0" borderId="0" xfId="1" applyNumberFormat="1" applyFont="1" applyAlignment="1">
      <alignment vertical="center"/>
    </xf>
    <xf numFmtId="167" fontId="19" fillId="0" borderId="6" xfId="1" applyNumberFormat="1" applyFont="1" applyBorder="1" applyAlignment="1">
      <alignment vertical="center" wrapText="1"/>
    </xf>
    <xf numFmtId="167" fontId="15" fillId="4" borderId="6" xfId="0" applyNumberFormat="1" applyFont="1" applyFill="1" applyBorder="1" applyAlignment="1">
      <alignment horizontal="center" vertical="center" wrapText="1"/>
    </xf>
    <xf numFmtId="167" fontId="15" fillId="0" borderId="6" xfId="1" applyNumberFormat="1" applyFont="1" applyBorder="1" applyAlignment="1">
      <alignment horizontal="center" vertical="center" wrapText="1"/>
    </xf>
    <xf numFmtId="167" fontId="20" fillId="0" borderId="6" xfId="1" applyNumberFormat="1" applyFont="1" applyBorder="1" applyAlignment="1">
      <alignment vertical="center"/>
    </xf>
    <xf numFmtId="0" fontId="15" fillId="0" borderId="53" xfId="13" applyFont="1" applyFill="1" applyBorder="1" applyAlignment="1">
      <alignment horizontal="center" wrapText="1"/>
    </xf>
    <xf numFmtId="0" fontId="7" fillId="0" borderId="0" xfId="13" applyFont="1" applyFill="1" applyBorder="1" applyAlignment="1">
      <alignment horizontal="left" vertical="center"/>
    </xf>
    <xf numFmtId="0" fontId="7" fillId="0" borderId="0" xfId="13" applyFont="1" applyFill="1" applyBorder="1" applyAlignment="1">
      <alignment horizontal="center"/>
    </xf>
    <xf numFmtId="0" fontId="7" fillId="0" borderId="0" xfId="13" applyFont="1" applyFill="1" applyBorder="1" applyAlignment="1">
      <alignment horizontal="center" vertical="center" wrapText="1"/>
    </xf>
    <xf numFmtId="0" fontId="7" fillId="0" borderId="54" xfId="13" applyFont="1" applyFill="1" applyBorder="1" applyAlignment="1">
      <alignment horizontal="center"/>
    </xf>
    <xf numFmtId="0" fontId="7" fillId="0" borderId="0" xfId="13" applyFont="1" applyFill="1" applyBorder="1" applyAlignment="1">
      <alignment horizontal="center" vertical="center"/>
    </xf>
    <xf numFmtId="0" fontId="15" fillId="0" borderId="53" xfId="13" applyFont="1" applyBorder="1" applyAlignment="1">
      <alignment horizontal="center" wrapText="1"/>
    </xf>
    <xf numFmtId="0" fontId="7" fillId="0" borderId="0" xfId="13" applyFont="1" applyBorder="1" applyAlignment="1">
      <alignment horizontal="center" vertical="center"/>
    </xf>
    <xf numFmtId="0" fontId="7" fillId="0" borderId="0" xfId="13" applyFont="1" applyBorder="1" applyAlignment="1">
      <alignment horizontal="center"/>
    </xf>
    <xf numFmtId="0" fontId="7" fillId="0" borderId="0" xfId="13" applyFont="1" applyBorder="1" applyAlignment="1">
      <alignment horizontal="center" vertical="center" wrapText="1"/>
    </xf>
    <xf numFmtId="0" fontId="7" fillId="0" borderId="54" xfId="13" applyFont="1" applyBorder="1" applyAlignment="1">
      <alignment horizontal="center"/>
    </xf>
    <xf numFmtId="0" fontId="15" fillId="0" borderId="55" xfId="13" applyFont="1" applyBorder="1" applyAlignment="1">
      <alignment horizontal="center" wrapText="1"/>
    </xf>
    <xf numFmtId="0" fontId="7" fillId="0" borderId="56" xfId="13" applyFont="1" applyBorder="1" applyAlignment="1">
      <alignment horizontal="left" vertical="center"/>
    </xf>
    <xf numFmtId="0" fontId="7" fillId="0" borderId="56" xfId="13" applyFont="1" applyBorder="1" applyAlignment="1">
      <alignment horizontal="center"/>
    </xf>
    <xf numFmtId="0" fontId="7" fillId="0" borderId="56" xfId="13" applyFont="1" applyBorder="1" applyAlignment="1">
      <alignment horizontal="center" vertical="center" wrapText="1"/>
    </xf>
    <xf numFmtId="0" fontId="7" fillId="0" borderId="57" xfId="13" applyFont="1" applyBorder="1" applyAlignment="1">
      <alignment horizontal="center"/>
    </xf>
    <xf numFmtId="0" fontId="15" fillId="0" borderId="50" xfId="13" applyFont="1" applyFill="1" applyBorder="1" applyAlignment="1">
      <alignment horizontal="center" vertical="center" wrapText="1"/>
    </xf>
    <xf numFmtId="0" fontId="15" fillId="0" borderId="6" xfId="0" applyFont="1" applyBorder="1" applyAlignment="1">
      <alignment horizontal="center" vertical="center" wrapText="1"/>
    </xf>
    <xf numFmtId="0" fontId="17" fillId="4" borderId="8" xfId="18" applyFont="1" applyFill="1" applyBorder="1" applyAlignment="1">
      <alignment horizontal="center" vertical="center" wrapText="1"/>
    </xf>
    <xf numFmtId="0" fontId="15" fillId="4" borderId="6" xfId="0" applyFont="1" applyFill="1" applyBorder="1" applyAlignment="1">
      <alignment horizontal="center" vertical="center"/>
    </xf>
    <xf numFmtId="1" fontId="15" fillId="4" borderId="6" xfId="0" applyNumberFormat="1" applyFont="1" applyFill="1" applyBorder="1" applyAlignment="1">
      <alignment horizontal="center" vertical="center"/>
    </xf>
    <xf numFmtId="170" fontId="15" fillId="4" borderId="6" xfId="0" applyNumberFormat="1" applyFont="1" applyFill="1" applyBorder="1" applyAlignment="1">
      <alignment horizontal="center" vertical="center"/>
    </xf>
    <xf numFmtId="0" fontId="17" fillId="4" borderId="6" xfId="18" applyFont="1" applyFill="1" applyBorder="1" applyAlignment="1">
      <alignment horizontal="center" vertical="center" wrapText="1"/>
    </xf>
    <xf numFmtId="3" fontId="15" fillId="5" borderId="6" xfId="0" applyNumberFormat="1" applyFont="1" applyFill="1" applyBorder="1" applyAlignment="1">
      <alignment horizontal="center" vertical="center"/>
    </xf>
    <xf numFmtId="169" fontId="15" fillId="5" borderId="6" xfId="0" applyNumberFormat="1" applyFont="1" applyFill="1" applyBorder="1" applyAlignment="1">
      <alignment horizontal="center" vertical="center"/>
    </xf>
    <xf numFmtId="0" fontId="15" fillId="4" borderId="6" xfId="0" applyFont="1" applyFill="1" applyBorder="1" applyAlignment="1">
      <alignment horizontal="left" vertical="center"/>
    </xf>
    <xf numFmtId="3" fontId="18" fillId="4" borderId="6" xfId="0" applyNumberFormat="1" applyFont="1" applyFill="1" applyBorder="1" applyAlignment="1">
      <alignment horizontal="center" vertical="center"/>
    </xf>
    <xf numFmtId="167" fontId="15" fillId="4" borderId="6" xfId="0" applyNumberFormat="1" applyFont="1" applyFill="1" applyBorder="1" applyAlignment="1">
      <alignment horizontal="center" vertical="center"/>
    </xf>
    <xf numFmtId="1" fontId="21" fillId="0" borderId="6" xfId="0" applyNumberFormat="1" applyFont="1" applyBorder="1" applyAlignment="1">
      <alignment horizontal="center" vertical="center"/>
    </xf>
    <xf numFmtId="170" fontId="21" fillId="0" borderId="6" xfId="0" applyNumberFormat="1" applyFont="1" applyBorder="1" applyAlignment="1">
      <alignment horizontal="center" vertical="center"/>
    </xf>
    <xf numFmtId="3" fontId="21" fillId="0" borderId="6" xfId="0" applyNumberFormat="1" applyFont="1" applyBorder="1" applyAlignment="1">
      <alignment horizontal="center" vertical="center"/>
    </xf>
    <xf numFmtId="169" fontId="20" fillId="0" borderId="6" xfId="0" applyNumberFormat="1" applyFont="1" applyBorder="1" applyAlignment="1">
      <alignment horizontal="center" vertical="center"/>
    </xf>
    <xf numFmtId="1" fontId="20" fillId="0" borderId="6" xfId="0" applyNumberFormat="1" applyFont="1" applyBorder="1" applyAlignment="1">
      <alignment horizontal="center" vertical="center"/>
    </xf>
    <xf numFmtId="0" fontId="20" fillId="0" borderId="6" xfId="0" applyFont="1" applyBorder="1" applyAlignment="1">
      <alignment horizontal="center" vertical="center"/>
    </xf>
    <xf numFmtId="0" fontId="6" fillId="4" borderId="22" xfId="13" applyFont="1" applyFill="1" applyBorder="1" applyAlignment="1">
      <alignment horizontal="center" vertical="center"/>
    </xf>
    <xf numFmtId="0" fontId="6" fillId="4" borderId="22" xfId="13" applyFont="1" applyFill="1" applyBorder="1" applyAlignment="1">
      <alignment horizontal="left" vertical="center"/>
    </xf>
    <xf numFmtId="0" fontId="6" fillId="4" borderId="58" xfId="13" applyFont="1" applyFill="1" applyBorder="1" applyAlignment="1">
      <alignment vertical="center"/>
    </xf>
    <xf numFmtId="0" fontId="6" fillId="4" borderId="0" xfId="13" applyFont="1" applyFill="1" applyBorder="1" applyAlignment="1">
      <alignment vertical="center"/>
    </xf>
    <xf numFmtId="0" fontId="6" fillId="3" borderId="23" xfId="13" applyFont="1" applyFill="1" applyBorder="1" applyAlignment="1">
      <alignment horizontal="center" vertical="center"/>
    </xf>
    <xf numFmtId="0" fontId="6" fillId="0" borderId="22" xfId="13" applyFont="1" applyBorder="1" applyAlignment="1">
      <alignment horizontal="center" vertical="center"/>
    </xf>
    <xf numFmtId="167" fontId="6" fillId="0" borderId="22" xfId="13" applyNumberFormat="1" applyFont="1" applyBorder="1" applyAlignment="1">
      <alignment horizontal="center" vertical="center"/>
    </xf>
    <xf numFmtId="0" fontId="13" fillId="4" borderId="3" xfId="13" applyFont="1" applyFill="1" applyBorder="1" applyAlignment="1">
      <alignment horizontal="left" vertical="center" wrapText="1"/>
    </xf>
    <xf numFmtId="0" fontId="13" fillId="4" borderId="4" xfId="13" applyFont="1" applyFill="1" applyBorder="1" applyAlignment="1">
      <alignment horizontal="left" vertical="center" wrapText="1"/>
    </xf>
    <xf numFmtId="0" fontId="24" fillId="0" borderId="0" xfId="0" applyFont="1"/>
    <xf numFmtId="0" fontId="15" fillId="0" borderId="6" xfId="0" applyFont="1" applyBorder="1" applyAlignment="1">
      <alignment horizontal="center"/>
    </xf>
    <xf numFmtId="3" fontId="15" fillId="0" borderId="6" xfId="0" applyNumberFormat="1" applyFont="1" applyBorder="1" applyAlignment="1">
      <alignment horizontal="center"/>
    </xf>
    <xf numFmtId="1" fontId="15" fillId="0" borderId="6" xfId="0" applyNumberFormat="1" applyFont="1" applyBorder="1" applyAlignment="1">
      <alignment horizontal="center"/>
    </xf>
    <xf numFmtId="169" fontId="15" fillId="0" borderId="6" xfId="0" applyNumberFormat="1" applyFont="1" applyBorder="1" applyAlignment="1">
      <alignment horizontal="center"/>
    </xf>
    <xf numFmtId="170" fontId="15" fillId="0" borderId="6" xfId="0" applyNumberFormat="1" applyFont="1" applyBorder="1" applyAlignment="1">
      <alignment horizontal="center"/>
    </xf>
    <xf numFmtId="0" fontId="15" fillId="4" borderId="6" xfId="0" applyFont="1" applyFill="1" applyBorder="1" applyAlignment="1">
      <alignment horizontal="center"/>
    </xf>
    <xf numFmtId="0" fontId="17" fillId="4" borderId="6" xfId="0" applyFont="1" applyFill="1" applyBorder="1" applyAlignment="1">
      <alignment horizontal="center" vertical="center" wrapText="1"/>
    </xf>
    <xf numFmtId="0" fontId="15" fillId="0" borderId="6" xfId="0" applyFont="1" applyBorder="1" applyAlignment="1">
      <alignment horizontal="center" wrapText="1"/>
    </xf>
    <xf numFmtId="167" fontId="15" fillId="4" borderId="6" xfId="0" applyNumberFormat="1" applyFont="1" applyFill="1" applyBorder="1" applyAlignment="1">
      <alignment horizontal="center"/>
    </xf>
    <xf numFmtId="3" fontId="18" fillId="4" borderId="6" xfId="0" applyNumberFormat="1" applyFont="1" applyFill="1" applyBorder="1" applyAlignment="1">
      <alignment horizontal="center"/>
    </xf>
    <xf numFmtId="0" fontId="15" fillId="4" borderId="6" xfId="0" applyFont="1" applyFill="1" applyBorder="1" applyAlignment="1">
      <alignment wrapText="1"/>
    </xf>
    <xf numFmtId="0" fontId="6" fillId="4" borderId="6" xfId="13" applyFont="1" applyFill="1" applyBorder="1" applyAlignment="1">
      <alignment horizontal="left" vertical="center"/>
    </xf>
    <xf numFmtId="0" fontId="6" fillId="0" borderId="6" xfId="13" applyFont="1" applyBorder="1" applyAlignment="1">
      <alignment horizontal="center" vertical="center"/>
    </xf>
    <xf numFmtId="0" fontId="29" fillId="0" borderId="6" xfId="13" applyFont="1" applyBorder="1" applyAlignment="1">
      <alignment horizontal="center" vertical="center"/>
    </xf>
    <xf numFmtId="0" fontId="29" fillId="0" borderId="6" xfId="13" applyFont="1" applyBorder="1" applyAlignment="1">
      <alignment horizontal="left" vertical="center"/>
    </xf>
    <xf numFmtId="0" fontId="27" fillId="0" borderId="6" xfId="13" applyFont="1" applyBorder="1" applyAlignment="1">
      <alignment horizontal="center" vertical="center"/>
    </xf>
    <xf numFmtId="0" fontId="27" fillId="0" borderId="6" xfId="13" applyFont="1" applyBorder="1" applyAlignment="1">
      <alignment horizontal="center" vertical="center" wrapText="1"/>
    </xf>
    <xf numFmtId="44" fontId="27" fillId="0" borderId="6" xfId="13" applyNumberFormat="1" applyFont="1" applyBorder="1" applyAlignment="1">
      <alignment horizontal="center" vertical="center" wrapText="1"/>
    </xf>
    <xf numFmtId="3" fontId="27" fillId="0" borderId="6" xfId="13" applyNumberFormat="1" applyFont="1" applyBorder="1" applyAlignment="1">
      <alignment horizontal="center" vertical="center"/>
    </xf>
    <xf numFmtId="0" fontId="6" fillId="4" borderId="59" xfId="13" applyFont="1" applyFill="1" applyBorder="1" applyAlignment="1">
      <alignment vertical="center"/>
    </xf>
    <xf numFmtId="0" fontId="6" fillId="0" borderId="22" xfId="13" applyNumberFormat="1" applyFont="1" applyBorder="1" applyAlignment="1">
      <alignment horizontal="center" vertical="center"/>
    </xf>
    <xf numFmtId="0" fontId="14" fillId="0" borderId="0" xfId="0" applyFont="1" applyBorder="1" applyAlignment="1">
      <alignment horizontal="center"/>
    </xf>
    <xf numFmtId="0" fontId="14" fillId="0" borderId="0" xfId="0" applyFont="1" applyBorder="1" applyAlignment="1">
      <alignment horizontal="center" vertical="center"/>
    </xf>
    <xf numFmtId="0" fontId="14" fillId="0" borderId="0" xfId="0" applyFont="1" applyBorder="1" applyAlignment="1">
      <alignment horizontal="right" vertical="center"/>
    </xf>
    <xf numFmtId="0" fontId="8" fillId="0" borderId="0" xfId="0" applyFont="1" applyBorder="1" applyAlignment="1">
      <alignment horizontal="left" vertical="center" wrapText="1"/>
    </xf>
    <xf numFmtId="0" fontId="11" fillId="0" borderId="0" xfId="0" applyFont="1" applyFill="1" applyBorder="1" applyAlignment="1">
      <alignment horizontal="left" vertical="center" wrapText="1"/>
    </xf>
    <xf numFmtId="0" fontId="7" fillId="0" borderId="51" xfId="13" applyFont="1" applyFill="1" applyBorder="1" applyAlignment="1">
      <alignment horizontal="left" vertical="center" wrapText="1"/>
    </xf>
    <xf numFmtId="0" fontId="7" fillId="0" borderId="52" xfId="13" applyFont="1" applyFill="1" applyBorder="1" applyAlignment="1">
      <alignment horizontal="left" vertical="center" wrapText="1"/>
    </xf>
    <xf numFmtId="0" fontId="7" fillId="0" borderId="0" xfId="13" applyFont="1" applyFill="1" applyBorder="1" applyAlignment="1">
      <alignment horizontal="left" vertical="center"/>
    </xf>
    <xf numFmtId="0" fontId="7" fillId="0" borderId="54" xfId="13" applyFont="1" applyFill="1" applyBorder="1" applyAlignment="1">
      <alignment horizontal="left" vertical="center"/>
    </xf>
    <xf numFmtId="0" fontId="25" fillId="0" borderId="16" xfId="13" applyFont="1" applyBorder="1" applyAlignment="1">
      <alignment horizontal="left" vertical="center" wrapText="1"/>
    </xf>
    <xf numFmtId="0" fontId="23" fillId="0" borderId="17" xfId="13" applyFont="1" applyBorder="1" applyAlignment="1">
      <alignment horizontal="left" vertical="center" wrapText="1" indent="1"/>
    </xf>
    <xf numFmtId="0" fontId="22" fillId="0" borderId="0" xfId="13" applyFont="1" applyBorder="1" applyAlignment="1">
      <alignment horizontal="center" vertical="center"/>
    </xf>
    <xf numFmtId="0" fontId="25" fillId="0" borderId="12" xfId="13" applyFont="1" applyBorder="1" applyAlignment="1">
      <alignment horizontal="left" vertical="center" wrapText="1"/>
    </xf>
    <xf numFmtId="0" fontId="6" fillId="4" borderId="8" xfId="13" applyFont="1" applyFill="1" applyBorder="1" applyAlignment="1">
      <alignment horizontal="center" vertical="center"/>
    </xf>
    <xf numFmtId="0" fontId="6" fillId="4" borderId="7" xfId="13" applyFont="1" applyFill="1" applyBorder="1" applyAlignment="1">
      <alignment horizontal="center" vertical="center"/>
    </xf>
    <xf numFmtId="0" fontId="6" fillId="4" borderId="59" xfId="13" applyFont="1" applyFill="1" applyBorder="1" applyAlignment="1">
      <alignment horizontal="center" vertical="center"/>
    </xf>
    <xf numFmtId="0" fontId="30" fillId="0" borderId="55" xfId="13" applyFont="1" applyBorder="1" applyAlignment="1">
      <alignment horizontal="left" vertical="center"/>
    </xf>
    <xf numFmtId="0" fontId="30" fillId="0" borderId="56" xfId="13" applyFont="1" applyBorder="1" applyAlignment="1">
      <alignment horizontal="left" vertical="center"/>
    </xf>
    <xf numFmtId="0" fontId="30" fillId="0" borderId="57" xfId="13" applyFont="1" applyBorder="1" applyAlignment="1">
      <alignment horizontal="left" vertical="center"/>
    </xf>
    <xf numFmtId="167" fontId="31" fillId="0" borderId="56" xfId="13" applyNumberFormat="1" applyFont="1" applyBorder="1" applyAlignment="1">
      <alignment horizontal="center" vertical="center" wrapText="1"/>
    </xf>
    <xf numFmtId="167" fontId="31" fillId="0" borderId="57" xfId="13" applyNumberFormat="1" applyFont="1" applyBorder="1" applyAlignment="1">
      <alignment horizontal="center" vertical="center" wrapText="1"/>
    </xf>
    <xf numFmtId="0" fontId="25" fillId="0" borderId="18" xfId="13" applyFont="1" applyBorder="1" applyAlignment="1">
      <alignment horizontal="left" vertical="center"/>
    </xf>
    <xf numFmtId="0" fontId="23" fillId="0" borderId="19" xfId="13" applyFont="1" applyBorder="1" applyAlignment="1">
      <alignment horizontal="left" vertical="center" wrapText="1" indent="1"/>
    </xf>
    <xf numFmtId="0" fontId="26" fillId="0" borderId="18" xfId="13" applyFont="1" applyBorder="1" applyAlignment="1">
      <alignment horizontal="center" vertical="center"/>
    </xf>
    <xf numFmtId="0" fontId="26" fillId="0" borderId="20" xfId="13" applyFont="1" applyBorder="1" applyAlignment="1">
      <alignment horizontal="center" vertical="center" wrapText="1"/>
    </xf>
    <xf numFmtId="0" fontId="26" fillId="0" borderId="21" xfId="13" applyFont="1" applyBorder="1" applyAlignment="1">
      <alignment horizontal="center" vertical="center" wrapText="1"/>
    </xf>
    <xf numFmtId="0" fontId="26" fillId="0" borderId="17" xfId="13" applyFont="1" applyBorder="1" applyAlignment="1">
      <alignment horizontal="center" vertical="center" wrapText="1"/>
    </xf>
    <xf numFmtId="0" fontId="27" fillId="0" borderId="12" xfId="13" applyFont="1" applyBorder="1" applyAlignment="1">
      <alignment horizontal="left" vertical="center" wrapText="1"/>
    </xf>
    <xf numFmtId="0" fontId="27" fillId="0" borderId="25" xfId="13" applyFont="1" applyBorder="1" applyAlignment="1">
      <alignment horizontal="left" vertical="center" wrapText="1"/>
    </xf>
    <xf numFmtId="0" fontId="27" fillId="0" borderId="26" xfId="13" applyFont="1" applyBorder="1" applyAlignment="1">
      <alignment horizontal="left" vertical="center" wrapText="1"/>
    </xf>
    <xf numFmtId="0" fontId="6" fillId="0" borderId="13" xfId="13" applyFont="1" applyBorder="1" applyAlignment="1">
      <alignment horizontal="center"/>
    </xf>
    <xf numFmtId="0" fontId="32" fillId="0" borderId="15" xfId="13" applyNumberFormat="1" applyFont="1" applyBorder="1" applyAlignment="1">
      <alignment horizontal="center"/>
    </xf>
    <xf numFmtId="0" fontId="33" fillId="0" borderId="10" xfId="13" applyFont="1" applyBorder="1" applyAlignment="1">
      <alignment horizontal="center" vertical="center" wrapText="1"/>
    </xf>
    <xf numFmtId="0" fontId="28" fillId="0" borderId="10" xfId="13" applyFont="1" applyBorder="1" applyAlignment="1">
      <alignment vertical="center"/>
    </xf>
    <xf numFmtId="0" fontId="6" fillId="0" borderId="43" xfId="13" applyFont="1" applyBorder="1" applyAlignment="1">
      <alignment horizontal="left" vertical="center"/>
    </xf>
    <xf numFmtId="0" fontId="35" fillId="0" borderId="10" xfId="13" applyFont="1" applyBorder="1" applyAlignment="1">
      <alignment horizontal="left" vertical="center"/>
    </xf>
    <xf numFmtId="0" fontId="34" fillId="0" borderId="27" xfId="13" applyFont="1" applyBorder="1"/>
    <xf numFmtId="0" fontId="34" fillId="4" borderId="27" xfId="13" applyNumberFormat="1" applyFont="1" applyFill="1" applyBorder="1" applyAlignment="1">
      <alignment horizontal="left" vertical="justify" wrapText="1" indent="1"/>
    </xf>
    <xf numFmtId="0" fontId="34" fillId="4" borderId="0" xfId="13" applyNumberFormat="1" applyFont="1" applyFill="1" applyBorder="1" applyAlignment="1">
      <alignment horizontal="left" vertical="justify" wrapText="1" indent="1"/>
    </xf>
    <xf numFmtId="0" fontId="34" fillId="4" borderId="9" xfId="13" applyNumberFormat="1" applyFont="1" applyFill="1" applyBorder="1" applyAlignment="1">
      <alignment horizontal="left" vertical="justify" wrapText="1" indent="1"/>
    </xf>
    <xf numFmtId="0" fontId="36" fillId="0" borderId="30" xfId="13" applyFont="1" applyBorder="1" applyAlignment="1">
      <alignment horizontal="center" vertical="center"/>
    </xf>
    <xf numFmtId="0" fontId="36" fillId="0" borderId="10" xfId="13" applyFont="1" applyBorder="1" applyAlignment="1">
      <alignment horizontal="center" vertical="center"/>
    </xf>
    <xf numFmtId="0" fontId="36" fillId="0" borderId="30" xfId="13" applyFont="1" applyBorder="1" applyAlignment="1">
      <alignment horizontal="center" vertical="center" wrapText="1"/>
    </xf>
    <xf numFmtId="0" fontId="36" fillId="0" borderId="31" xfId="13" applyFont="1" applyBorder="1" applyAlignment="1">
      <alignment horizontal="center" vertical="center"/>
    </xf>
    <xf numFmtId="0" fontId="6" fillId="0" borderId="37" xfId="13" applyBorder="1" applyAlignment="1">
      <alignment horizontal="left" vertical="center" wrapText="1"/>
    </xf>
    <xf numFmtId="0" fontId="6" fillId="0" borderId="37" xfId="13" applyFont="1" applyBorder="1" applyAlignment="1">
      <alignment horizontal="left" vertical="center" wrapText="1"/>
    </xf>
    <xf numFmtId="0" fontId="6" fillId="0" borderId="43" xfId="13" applyBorder="1" applyAlignment="1">
      <alignment horizontal="left" vertical="center"/>
    </xf>
    <xf numFmtId="0" fontId="6" fillId="0" borderId="46" xfId="13" applyBorder="1" applyAlignment="1">
      <alignment horizontal="left" vertical="center"/>
    </xf>
    <xf numFmtId="0" fontId="32" fillId="0" borderId="49" xfId="13" applyFont="1" applyBorder="1" applyAlignment="1">
      <alignment horizontal="left" vertical="center" wrapText="1"/>
    </xf>
    <xf numFmtId="0" fontId="6" fillId="0" borderId="30" xfId="13" applyBorder="1"/>
    <xf numFmtId="0" fontId="32" fillId="0" borderId="13" xfId="13" applyFont="1" applyBorder="1" applyAlignment="1">
      <alignment vertical="center" wrapText="1"/>
    </xf>
    <xf numFmtId="0" fontId="32" fillId="0" borderId="21" xfId="13" applyFont="1" applyBorder="1" applyAlignment="1">
      <alignment vertical="center" wrapText="1"/>
    </xf>
    <xf numFmtId="0" fontId="32" fillId="0" borderId="19" xfId="13" applyFont="1" applyBorder="1" applyAlignment="1">
      <alignment vertical="center" wrapText="1"/>
    </xf>
    <xf numFmtId="0" fontId="34" fillId="0" borderId="31" xfId="13" applyFont="1" applyBorder="1" applyAlignment="1">
      <alignment vertical="center" wrapText="1"/>
    </xf>
  </cellXfs>
  <cellStyles count="26">
    <cellStyle name="Encabezado 1" xfId="2" xr:uid="{00000000-0005-0000-0000-000000000000}"/>
    <cellStyle name="Encabezado 1 2" xfId="12" xr:uid="{00000000-0005-0000-0000-000001000000}"/>
    <cellStyle name="Millares 2" xfId="19" xr:uid="{00000000-0005-0000-0000-000002000000}"/>
    <cellStyle name="Moneda" xfId="1" builtinId="4"/>
    <cellStyle name="Moneda 2" xfId="5" xr:uid="{00000000-0005-0000-0000-000004000000}"/>
    <cellStyle name="Moneda 2 2" xfId="14" xr:uid="{00000000-0005-0000-0000-000005000000}"/>
    <cellStyle name="Moneda 3" xfId="11" xr:uid="{00000000-0005-0000-0000-000006000000}"/>
    <cellStyle name="Moneda 4" xfId="21" xr:uid="{00000000-0005-0000-0000-000007000000}"/>
    <cellStyle name="Moneda_AUTORIZACION Y NOTA DE PEDIDO" xfId="25" xr:uid="{00000000-0005-0000-0000-000008000000}"/>
    <cellStyle name="Neutral 1" xfId="3" xr:uid="{00000000-0005-0000-0000-000009000000}"/>
    <cellStyle name="Normal" xfId="0" builtinId="0"/>
    <cellStyle name="Normal 2" xfId="4" xr:uid="{00000000-0005-0000-0000-00000B000000}"/>
    <cellStyle name="Normal 2 2" xfId="13" xr:uid="{00000000-0005-0000-0000-00000C000000}"/>
    <cellStyle name="Normal 3" xfId="6" xr:uid="{00000000-0005-0000-0000-00000D000000}"/>
    <cellStyle name="Normal 3 2" xfId="7" xr:uid="{00000000-0005-0000-0000-00000E000000}"/>
    <cellStyle name="Normal 3 2 2" xfId="16" xr:uid="{00000000-0005-0000-0000-00000F000000}"/>
    <cellStyle name="Normal 3 3" xfId="15" xr:uid="{00000000-0005-0000-0000-000010000000}"/>
    <cellStyle name="Normal 3 4" xfId="22" xr:uid="{00000000-0005-0000-0000-000011000000}"/>
    <cellStyle name="Normal 4" xfId="8" xr:uid="{00000000-0005-0000-0000-000012000000}"/>
    <cellStyle name="Normal 4 2" xfId="17" xr:uid="{00000000-0005-0000-0000-000013000000}"/>
    <cellStyle name="Normal 4 3" xfId="23" xr:uid="{00000000-0005-0000-0000-000014000000}"/>
    <cellStyle name="Normal 5" xfId="9" xr:uid="{00000000-0005-0000-0000-000015000000}"/>
    <cellStyle name="Normal 5 2" xfId="20" xr:uid="{00000000-0005-0000-0000-000016000000}"/>
    <cellStyle name="Normal 5 3" xfId="24" xr:uid="{00000000-0005-0000-0000-000017000000}"/>
    <cellStyle name="Normal 6" xfId="10" xr:uid="{00000000-0005-0000-0000-000018000000}"/>
    <cellStyle name="Normal 7" xfId="18" xr:uid="{00000000-0005-0000-0000-000019000000}"/>
  </cellStyles>
  <dxfs count="47">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V37"/>
  <sheetViews>
    <sheetView tabSelected="1" zoomScale="80" zoomScaleNormal="80" workbookViewId="0">
      <selection activeCell="E21" sqref="E21"/>
    </sheetView>
  </sheetViews>
  <sheetFormatPr baseColWidth="10" defaultColWidth="10.85546875" defaultRowHeight="15" x14ac:dyDescent="0.25"/>
  <cols>
    <col min="1" max="1" width="9.140625" style="15" customWidth="1"/>
    <col min="2" max="2" width="12" style="14" customWidth="1"/>
    <col min="3" max="3" width="46.7109375" style="15" customWidth="1"/>
    <col min="4" max="4" width="8.42578125" style="3" customWidth="1"/>
    <col min="5" max="5" width="47.140625" style="18" customWidth="1"/>
    <col min="6" max="6" width="11" style="3" customWidth="1"/>
    <col min="7" max="7" width="11" style="3" hidden="1" customWidth="1"/>
    <col min="8" max="8" width="14.85546875" style="3" hidden="1" customWidth="1"/>
    <col min="9" max="9" width="11" style="3" hidden="1" customWidth="1"/>
    <col min="10" max="11" width="14.85546875" style="3" hidden="1" customWidth="1"/>
    <col min="12" max="12" width="24" style="3" hidden="1" customWidth="1"/>
    <col min="13" max="13" width="12.85546875" style="6" hidden="1" customWidth="1"/>
    <col min="14" max="14" width="18.85546875" style="7" hidden="1" customWidth="1"/>
    <col min="15" max="15" width="18.85546875" style="9" hidden="1" customWidth="1"/>
    <col min="16" max="16" width="28.5703125" style="3" hidden="1" customWidth="1"/>
    <col min="17" max="17" width="18.85546875" style="6" hidden="1" customWidth="1"/>
    <col min="18" max="18" width="18.85546875" style="3" hidden="1" customWidth="1"/>
    <col min="19" max="19" width="18.85546875" style="9" hidden="1" customWidth="1"/>
    <col min="20" max="20" width="18.85546875" style="20" hidden="1" customWidth="1"/>
    <col min="21" max="21" width="18.85546875" style="6" hidden="1" customWidth="1"/>
    <col min="22" max="22" width="18.85546875" style="3" hidden="1" customWidth="1"/>
    <col min="23" max="23" width="18.85546875" style="9" hidden="1" customWidth="1"/>
    <col min="24" max="24" width="18.85546875" style="3" hidden="1" customWidth="1"/>
    <col min="25" max="25" width="18.85546875" style="9" hidden="1" customWidth="1"/>
    <col min="26" max="26" width="18.85546875" style="3" hidden="1" customWidth="1"/>
    <col min="27" max="27" width="18.85546875" style="9" hidden="1" customWidth="1"/>
    <col min="28" max="28" width="18.85546875" style="3" hidden="1" customWidth="1"/>
    <col min="29" max="29" width="18.85546875" style="9" hidden="1" customWidth="1"/>
    <col min="30" max="30" width="18.85546875" style="3" hidden="1" customWidth="1"/>
    <col min="31" max="31" width="19.85546875" style="9" hidden="1" customWidth="1"/>
    <col min="32" max="32" width="19.85546875" style="3" hidden="1" customWidth="1"/>
    <col min="33" max="33" width="19.85546875" style="9" hidden="1" customWidth="1"/>
    <col min="34" max="34" width="19.85546875" style="3" hidden="1" customWidth="1"/>
    <col min="35" max="35" width="19.85546875" style="9" hidden="1" customWidth="1"/>
    <col min="36" max="36" width="19.85546875" style="3" hidden="1" customWidth="1"/>
    <col min="37" max="37" width="18.85546875" style="9" hidden="1" customWidth="1"/>
    <col min="38" max="38" width="18.85546875" style="3" hidden="1" customWidth="1"/>
    <col min="39" max="39" width="18.85546875" style="9" hidden="1" customWidth="1"/>
    <col min="40" max="40" width="18.85546875" style="3" hidden="1" customWidth="1"/>
    <col min="41" max="41" width="18.85546875" style="9" hidden="1" customWidth="1"/>
    <col min="42" max="42" width="18.85546875" style="3" hidden="1" customWidth="1"/>
    <col min="43" max="43" width="18.85546875" style="9" hidden="1" customWidth="1"/>
    <col min="44" max="44" width="18.85546875" style="3" hidden="1" customWidth="1"/>
    <col min="45" max="45" width="16.42578125" style="11" customWidth="1"/>
    <col min="46" max="46" width="16.5703125" style="121" bestFit="1" customWidth="1"/>
    <col min="47" max="47" width="22.5703125" style="13" customWidth="1"/>
    <col min="48" max="48" width="23.5703125" style="1" customWidth="1"/>
    <col min="49" max="16384" width="10.85546875" style="1"/>
  </cols>
  <sheetData>
    <row r="1" spans="1:48" x14ac:dyDescent="0.25">
      <c r="A1" s="4">
        <v>2021</v>
      </c>
    </row>
    <row r="2" spans="1:48" ht="25.5" x14ac:dyDescent="0.35">
      <c r="B2" s="191" t="s">
        <v>14</v>
      </c>
      <c r="C2" s="191"/>
      <c r="D2" s="191"/>
      <c r="E2" s="191"/>
      <c r="F2" s="191"/>
      <c r="G2" s="191"/>
      <c r="H2" s="191"/>
      <c r="I2" s="191"/>
      <c r="J2" s="191"/>
      <c r="K2" s="191"/>
      <c r="L2" s="191"/>
      <c r="M2" s="191"/>
      <c r="N2" s="191"/>
      <c r="O2" s="191"/>
      <c r="P2" s="191"/>
      <c r="Q2" s="191"/>
      <c r="R2" s="191"/>
      <c r="S2" s="191"/>
      <c r="T2" s="191"/>
      <c r="U2" s="191"/>
      <c r="V2" s="191"/>
      <c r="W2" s="191"/>
      <c r="X2" s="191"/>
      <c r="Y2" s="191"/>
      <c r="Z2" s="191"/>
      <c r="AA2" s="191"/>
      <c r="AB2" s="191"/>
      <c r="AC2" s="191"/>
      <c r="AD2" s="191"/>
      <c r="AE2" s="191"/>
      <c r="AF2" s="191"/>
      <c r="AG2" s="191"/>
      <c r="AH2" s="191"/>
      <c r="AI2" s="191"/>
      <c r="AJ2" s="191"/>
      <c r="AK2" s="191"/>
      <c r="AL2" s="191"/>
      <c r="AM2" s="191"/>
      <c r="AN2" s="191"/>
      <c r="AO2" s="191"/>
      <c r="AP2" s="191"/>
      <c r="AQ2" s="191"/>
      <c r="AR2" s="191"/>
      <c r="AS2" s="192"/>
      <c r="AT2" s="193"/>
    </row>
    <row r="4" spans="1:48" ht="18" customHeight="1" x14ac:dyDescent="0.2">
      <c r="A4" s="194" t="s">
        <v>0</v>
      </c>
      <c r="B4" s="194"/>
      <c r="C4" s="195" t="s">
        <v>13</v>
      </c>
      <c r="D4" s="195"/>
      <c r="E4" s="195"/>
      <c r="F4" s="2"/>
      <c r="G4" s="2"/>
      <c r="H4" s="2"/>
      <c r="I4" s="2"/>
      <c r="J4" s="2"/>
      <c r="K4" s="2"/>
      <c r="L4" s="2"/>
      <c r="M4" s="5"/>
      <c r="N4" s="8"/>
      <c r="O4" s="10"/>
      <c r="P4" s="2"/>
      <c r="Q4" s="5"/>
      <c r="R4" s="2"/>
      <c r="S4" s="10"/>
      <c r="T4" s="43"/>
      <c r="U4" s="5"/>
      <c r="V4" s="2"/>
      <c r="W4" s="10"/>
      <c r="X4" s="2"/>
      <c r="Y4" s="10"/>
      <c r="Z4" s="2"/>
      <c r="AA4" s="10"/>
      <c r="AB4" s="2"/>
      <c r="AC4" s="10"/>
      <c r="AD4" s="2"/>
      <c r="AE4" s="10"/>
      <c r="AF4" s="2"/>
      <c r="AG4" s="10"/>
      <c r="AH4" s="2"/>
      <c r="AI4" s="10"/>
      <c r="AJ4" s="2"/>
      <c r="AK4" s="10"/>
      <c r="AL4" s="2"/>
      <c r="AM4" s="10"/>
      <c r="AN4" s="2"/>
      <c r="AO4" s="10"/>
      <c r="AP4" s="2"/>
      <c r="AQ4" s="10"/>
      <c r="AR4" s="2"/>
      <c r="AS4" s="12"/>
    </row>
    <row r="5" spans="1:48" ht="18" customHeight="1" x14ac:dyDescent="0.2">
      <c r="A5" s="194" t="s">
        <v>1</v>
      </c>
      <c r="B5" s="194"/>
      <c r="C5" s="195" t="s">
        <v>115</v>
      </c>
      <c r="D5" s="195"/>
      <c r="E5" s="195"/>
      <c r="F5" s="2"/>
      <c r="G5" s="2"/>
      <c r="H5" s="2"/>
      <c r="I5" s="2"/>
      <c r="J5" s="2"/>
      <c r="K5" s="2"/>
      <c r="L5" s="2"/>
      <c r="M5" s="5"/>
      <c r="N5" s="8"/>
      <c r="O5" s="10"/>
      <c r="P5" s="2"/>
      <c r="Q5" s="5"/>
      <c r="R5" s="2"/>
      <c r="S5" s="10"/>
      <c r="T5" s="43"/>
      <c r="U5" s="5"/>
      <c r="V5" s="2"/>
      <c r="W5" s="10"/>
      <c r="X5" s="2"/>
      <c r="Y5" s="10"/>
      <c r="Z5" s="2"/>
      <c r="AA5" s="10"/>
      <c r="AB5" s="2"/>
      <c r="AC5" s="10"/>
      <c r="AD5" s="2"/>
      <c r="AE5" s="10"/>
      <c r="AF5" s="2"/>
      <c r="AG5" s="10"/>
      <c r="AH5" s="2"/>
      <c r="AI5" s="10"/>
      <c r="AJ5" s="2"/>
      <c r="AK5" s="10"/>
      <c r="AL5" s="2"/>
      <c r="AM5" s="10"/>
      <c r="AN5" s="2"/>
      <c r="AO5" s="10"/>
      <c r="AP5" s="2"/>
      <c r="AQ5" s="10"/>
      <c r="AR5" s="2"/>
      <c r="AS5" s="12"/>
    </row>
    <row r="6" spans="1:48" ht="16.5" customHeight="1" x14ac:dyDescent="0.2">
      <c r="A6" s="194" t="s">
        <v>2</v>
      </c>
      <c r="B6" s="194"/>
      <c r="C6" s="56">
        <v>2021</v>
      </c>
      <c r="D6" s="57"/>
      <c r="E6" s="57"/>
      <c r="F6" s="2"/>
      <c r="G6" s="2"/>
      <c r="H6" s="2"/>
      <c r="I6" s="2"/>
      <c r="J6" s="2"/>
      <c r="K6" s="2"/>
      <c r="L6" s="2"/>
      <c r="M6" s="5"/>
      <c r="N6" s="8"/>
      <c r="O6" s="10"/>
      <c r="P6" s="2"/>
      <c r="Q6" s="5"/>
      <c r="R6" s="2"/>
      <c r="S6" s="10"/>
      <c r="T6" s="43"/>
      <c r="U6" s="5"/>
      <c r="V6" s="2"/>
      <c r="W6" s="10"/>
      <c r="X6" s="2"/>
      <c r="Y6" s="10"/>
      <c r="Z6" s="2"/>
      <c r="AA6" s="10"/>
      <c r="AB6" s="2"/>
      <c r="AC6" s="10"/>
      <c r="AD6" s="2"/>
      <c r="AE6" s="10"/>
      <c r="AF6" s="2"/>
      <c r="AG6" s="10"/>
      <c r="AH6" s="2"/>
      <c r="AI6" s="10"/>
      <c r="AJ6" s="2"/>
      <c r="AK6" s="10"/>
      <c r="AL6" s="2"/>
      <c r="AM6" s="10"/>
      <c r="AN6" s="2"/>
      <c r="AO6" s="10"/>
      <c r="AP6" s="2"/>
      <c r="AQ6" s="10"/>
      <c r="AR6" s="2"/>
      <c r="AS6" s="12"/>
    </row>
    <row r="7" spans="1:48" ht="31.5" customHeight="1" x14ac:dyDescent="0.2">
      <c r="A7" s="194" t="s">
        <v>3</v>
      </c>
      <c r="B7" s="194"/>
      <c r="C7" s="56" t="s">
        <v>118</v>
      </c>
      <c r="D7" s="57"/>
      <c r="E7" s="57"/>
      <c r="F7" s="2"/>
      <c r="G7" s="2"/>
      <c r="H7" s="2"/>
      <c r="I7" s="2"/>
      <c r="J7" s="2"/>
      <c r="K7" s="2"/>
      <c r="L7" s="2"/>
      <c r="M7" s="5"/>
      <c r="N7" s="8"/>
      <c r="O7" s="10"/>
      <c r="P7" s="2"/>
      <c r="Q7" s="5"/>
      <c r="R7" s="2"/>
      <c r="S7" s="10"/>
      <c r="T7" s="43"/>
      <c r="U7" s="5"/>
      <c r="V7" s="2"/>
      <c r="W7" s="10"/>
      <c r="X7" s="2"/>
      <c r="Y7" s="10"/>
      <c r="Z7" s="2"/>
      <c r="AA7" s="10"/>
      <c r="AB7" s="2"/>
      <c r="AC7" s="10"/>
      <c r="AD7" s="2"/>
      <c r="AE7" s="10"/>
      <c r="AF7" s="2"/>
      <c r="AG7" s="10"/>
      <c r="AH7" s="2"/>
      <c r="AI7" s="10"/>
      <c r="AJ7" s="2"/>
      <c r="AK7" s="10"/>
      <c r="AL7" s="2"/>
      <c r="AM7" s="10"/>
      <c r="AN7" s="2"/>
      <c r="AO7" s="10"/>
      <c r="AP7" s="2"/>
      <c r="AQ7" s="10"/>
      <c r="AR7" s="2"/>
      <c r="AS7" s="12"/>
    </row>
    <row r="8" spans="1:48" ht="2.25" customHeight="1" x14ac:dyDescent="0.25">
      <c r="B8" s="16"/>
      <c r="C8" s="17"/>
      <c r="D8" s="2"/>
      <c r="E8" s="17"/>
      <c r="F8" s="2"/>
      <c r="G8" s="2"/>
      <c r="H8" s="2"/>
      <c r="I8" s="2"/>
      <c r="J8" s="2"/>
      <c r="K8" s="2"/>
      <c r="L8" s="2"/>
      <c r="M8" s="5"/>
      <c r="N8" s="8"/>
      <c r="O8" s="10"/>
      <c r="P8" s="2"/>
      <c r="Q8" s="5"/>
      <c r="R8" s="2"/>
      <c r="S8" s="10"/>
      <c r="T8" s="43"/>
      <c r="U8" s="5"/>
      <c r="V8" s="2"/>
      <c r="W8" s="10"/>
      <c r="X8" s="2"/>
      <c r="Y8" s="10"/>
      <c r="Z8" s="2"/>
      <c r="AA8" s="10"/>
      <c r="AB8" s="2"/>
      <c r="AC8" s="10"/>
      <c r="AD8" s="2"/>
      <c r="AE8" s="10"/>
      <c r="AF8" s="2"/>
      <c r="AG8" s="10"/>
      <c r="AH8" s="2"/>
      <c r="AI8" s="10"/>
      <c r="AJ8" s="2"/>
      <c r="AK8" s="10"/>
      <c r="AL8" s="2"/>
      <c r="AM8" s="10"/>
      <c r="AN8" s="2"/>
      <c r="AO8" s="10"/>
      <c r="AP8" s="2"/>
      <c r="AQ8" s="10"/>
      <c r="AR8" s="2"/>
      <c r="AS8" s="12"/>
    </row>
    <row r="9" spans="1:48" s="47" customFormat="1" ht="42.75" x14ac:dyDescent="0.2">
      <c r="A9" s="48" t="s">
        <v>4</v>
      </c>
      <c r="B9" s="48" t="s">
        <v>5</v>
      </c>
      <c r="C9" s="49" t="s">
        <v>6</v>
      </c>
      <c r="D9" s="48" t="s">
        <v>7</v>
      </c>
      <c r="E9" s="49" t="s">
        <v>8</v>
      </c>
      <c r="F9" s="49" t="s">
        <v>9</v>
      </c>
      <c r="G9" s="49" t="s">
        <v>65</v>
      </c>
      <c r="H9" s="49" t="s">
        <v>66</v>
      </c>
      <c r="I9" s="49" t="s">
        <v>63</v>
      </c>
      <c r="J9" s="49" t="s">
        <v>64</v>
      </c>
      <c r="K9" s="49" t="s">
        <v>16</v>
      </c>
      <c r="L9" s="49" t="s">
        <v>17</v>
      </c>
      <c r="M9" s="50" t="s">
        <v>18</v>
      </c>
      <c r="N9" s="51" t="s">
        <v>19</v>
      </c>
      <c r="O9" s="52" t="s">
        <v>20</v>
      </c>
      <c r="P9" s="49" t="s">
        <v>21</v>
      </c>
      <c r="Q9" s="50" t="s">
        <v>22</v>
      </c>
      <c r="R9" s="49" t="s">
        <v>23</v>
      </c>
      <c r="S9" s="52" t="s">
        <v>24</v>
      </c>
      <c r="T9" s="53" t="s">
        <v>25</v>
      </c>
      <c r="U9" s="50" t="s">
        <v>26</v>
      </c>
      <c r="V9" s="49" t="s">
        <v>27</v>
      </c>
      <c r="W9" s="52" t="s">
        <v>28</v>
      </c>
      <c r="X9" s="49" t="s">
        <v>29</v>
      </c>
      <c r="Y9" s="52" t="s">
        <v>30</v>
      </c>
      <c r="Z9" s="49" t="s">
        <v>31</v>
      </c>
      <c r="AA9" s="52" t="s">
        <v>32</v>
      </c>
      <c r="AB9" s="49" t="s">
        <v>33</v>
      </c>
      <c r="AC9" s="54" t="s">
        <v>34</v>
      </c>
      <c r="AD9" s="49" t="s">
        <v>35</v>
      </c>
      <c r="AE9" s="52" t="s">
        <v>36</v>
      </c>
      <c r="AF9" s="49" t="s">
        <v>37</v>
      </c>
      <c r="AG9" s="52" t="s">
        <v>38</v>
      </c>
      <c r="AH9" s="49" t="s">
        <v>39</v>
      </c>
      <c r="AI9" s="52" t="s">
        <v>40</v>
      </c>
      <c r="AJ9" s="49" t="s">
        <v>41</v>
      </c>
      <c r="AK9" s="52" t="s">
        <v>42</v>
      </c>
      <c r="AL9" s="49" t="s">
        <v>43</v>
      </c>
      <c r="AM9" s="54" t="s">
        <v>44</v>
      </c>
      <c r="AN9" s="49" t="s">
        <v>45</v>
      </c>
      <c r="AO9" s="52" t="s">
        <v>46</v>
      </c>
      <c r="AP9" s="49" t="s">
        <v>47</v>
      </c>
      <c r="AQ9" s="52" t="s">
        <v>48</v>
      </c>
      <c r="AR9" s="49" t="s">
        <v>49</v>
      </c>
      <c r="AS9" s="52" t="s">
        <v>15</v>
      </c>
      <c r="AT9" s="122" t="s">
        <v>10</v>
      </c>
      <c r="AU9" s="55" t="s">
        <v>11</v>
      </c>
      <c r="AV9" s="45"/>
    </row>
    <row r="10" spans="1:48" s="46" customFormat="1" x14ac:dyDescent="0.25">
      <c r="A10" s="21">
        <v>1</v>
      </c>
      <c r="B10" s="177"/>
      <c r="C10" s="176" t="s">
        <v>50</v>
      </c>
      <c r="D10" s="175">
        <v>252</v>
      </c>
      <c r="E10" s="180" t="s">
        <v>123</v>
      </c>
      <c r="F10" s="175" t="s">
        <v>12</v>
      </c>
      <c r="G10" s="170"/>
      <c r="H10" s="170"/>
      <c r="I10" s="170"/>
      <c r="J10" s="170"/>
      <c r="K10" s="170"/>
      <c r="L10" s="170"/>
      <c r="M10" s="172"/>
      <c r="N10" s="174"/>
      <c r="O10" s="171"/>
      <c r="P10" s="170"/>
      <c r="Q10" s="172"/>
      <c r="R10" s="170"/>
      <c r="S10" s="179">
        <v>200</v>
      </c>
      <c r="T10" s="173">
        <f>+S10*AT10</f>
        <v>13000</v>
      </c>
      <c r="U10" s="172"/>
      <c r="V10" s="170"/>
      <c r="W10" s="171"/>
      <c r="X10" s="170"/>
      <c r="Y10" s="171"/>
      <c r="Z10" s="170"/>
      <c r="AA10" s="171"/>
      <c r="AB10" s="170"/>
      <c r="AC10" s="171"/>
      <c r="AD10" s="170"/>
      <c r="AE10" s="171"/>
      <c r="AF10" s="170"/>
      <c r="AG10" s="171"/>
      <c r="AH10" s="170"/>
      <c r="AI10" s="171"/>
      <c r="AJ10" s="170"/>
      <c r="AK10" s="171"/>
      <c r="AL10" s="170"/>
      <c r="AM10" s="171"/>
      <c r="AN10" s="170"/>
      <c r="AO10" s="171"/>
      <c r="AP10" s="170"/>
      <c r="AQ10" s="171"/>
      <c r="AR10" s="170"/>
      <c r="AS10" s="22">
        <f>+S10</f>
        <v>200</v>
      </c>
      <c r="AT10" s="178">
        <v>65</v>
      </c>
      <c r="AU10" s="23">
        <f>+AT10*AS10</f>
        <v>13000</v>
      </c>
    </row>
    <row r="11" spans="1:48" s="46" customFormat="1" x14ac:dyDescent="0.25">
      <c r="A11" s="21">
        <v>2</v>
      </c>
      <c r="B11" s="177"/>
      <c r="C11" s="176" t="s">
        <v>50</v>
      </c>
      <c r="D11" s="175">
        <v>252</v>
      </c>
      <c r="E11" s="26" t="s">
        <v>122</v>
      </c>
      <c r="F11" s="175" t="s">
        <v>12</v>
      </c>
      <c r="G11" s="170"/>
      <c r="H11" s="170"/>
      <c r="I11" s="170"/>
      <c r="J11" s="170"/>
      <c r="K11" s="170"/>
      <c r="L11" s="170"/>
      <c r="M11" s="172"/>
      <c r="N11" s="174"/>
      <c r="O11" s="171"/>
      <c r="P11" s="170"/>
      <c r="Q11" s="172"/>
      <c r="R11" s="170"/>
      <c r="S11" s="24">
        <v>5000</v>
      </c>
      <c r="T11" s="173">
        <f>+S11*AT11</f>
        <v>637500</v>
      </c>
      <c r="U11" s="172"/>
      <c r="V11" s="170"/>
      <c r="W11" s="171"/>
      <c r="X11" s="170"/>
      <c r="Y11" s="171"/>
      <c r="Z11" s="170"/>
      <c r="AA11" s="171"/>
      <c r="AB11" s="170"/>
      <c r="AC11" s="171"/>
      <c r="AD11" s="170"/>
      <c r="AE11" s="171"/>
      <c r="AF11" s="170"/>
      <c r="AG11" s="171"/>
      <c r="AH11" s="170"/>
      <c r="AI11" s="171"/>
      <c r="AJ11" s="170"/>
      <c r="AK11" s="171"/>
      <c r="AL11" s="170"/>
      <c r="AM11" s="171"/>
      <c r="AN11" s="170"/>
      <c r="AO11" s="171"/>
      <c r="AP11" s="170"/>
      <c r="AQ11" s="171"/>
      <c r="AR11" s="170"/>
      <c r="AS11" s="22">
        <f>+S11</f>
        <v>5000</v>
      </c>
      <c r="AT11" s="123">
        <v>127.5</v>
      </c>
      <c r="AU11" s="23">
        <f>+AT11*AS11</f>
        <v>637500</v>
      </c>
    </row>
    <row r="12" spans="1:48" s="46" customFormat="1" ht="54" customHeight="1" x14ac:dyDescent="0.25">
      <c r="A12" s="21">
        <v>3</v>
      </c>
      <c r="B12" s="143"/>
      <c r="C12" s="144" t="s">
        <v>50</v>
      </c>
      <c r="D12" s="145">
        <v>252</v>
      </c>
      <c r="E12" s="26" t="s">
        <v>55</v>
      </c>
      <c r="F12" s="145" t="s">
        <v>12</v>
      </c>
      <c r="G12" s="145"/>
      <c r="H12" s="145"/>
      <c r="I12" s="145"/>
      <c r="J12" s="145"/>
      <c r="K12" s="145"/>
      <c r="L12" s="145"/>
      <c r="M12" s="146"/>
      <c r="N12" s="147"/>
      <c r="O12" s="24"/>
      <c r="P12" s="145"/>
      <c r="Q12" s="146"/>
      <c r="R12" s="145"/>
      <c r="S12" s="37">
        <v>200</v>
      </c>
      <c r="T12" s="19">
        <f t="shared" ref="T12:T27" si="0">+S12*AT12</f>
        <v>207600</v>
      </c>
      <c r="U12" s="146"/>
      <c r="V12" s="145"/>
      <c r="W12" s="24"/>
      <c r="X12" s="145"/>
      <c r="Y12" s="24"/>
      <c r="Z12" s="145"/>
      <c r="AA12" s="24"/>
      <c r="AB12" s="145"/>
      <c r="AC12" s="24"/>
      <c r="AD12" s="145"/>
      <c r="AE12" s="24"/>
      <c r="AF12" s="145"/>
      <c r="AG12" s="24"/>
      <c r="AH12" s="145"/>
      <c r="AI12" s="24"/>
      <c r="AJ12" s="145"/>
      <c r="AK12" s="24"/>
      <c r="AL12" s="145"/>
      <c r="AM12" s="24"/>
      <c r="AN12" s="145"/>
      <c r="AO12" s="24"/>
      <c r="AP12" s="145"/>
      <c r="AQ12" s="24"/>
      <c r="AR12" s="145"/>
      <c r="AS12" s="24">
        <f t="shared" ref="AS12:AS27" si="1">+S12</f>
        <v>200</v>
      </c>
      <c r="AT12" s="123">
        <v>1038</v>
      </c>
      <c r="AU12" s="23">
        <f t="shared" ref="AU12:AU27" si="2">+AT12*AS12</f>
        <v>207600</v>
      </c>
    </row>
    <row r="13" spans="1:48" s="46" customFormat="1" ht="33" customHeight="1" x14ac:dyDescent="0.25">
      <c r="A13" s="21">
        <v>4</v>
      </c>
      <c r="B13" s="177"/>
      <c r="C13" s="176" t="s">
        <v>50</v>
      </c>
      <c r="D13" s="175">
        <v>252</v>
      </c>
      <c r="E13" s="25" t="s">
        <v>125</v>
      </c>
      <c r="F13" s="175" t="s">
        <v>12</v>
      </c>
      <c r="G13" s="170"/>
      <c r="H13" s="170"/>
      <c r="I13" s="170"/>
      <c r="J13" s="170"/>
      <c r="K13" s="170"/>
      <c r="L13" s="170"/>
      <c r="M13" s="172"/>
      <c r="N13" s="174"/>
      <c r="O13" s="171"/>
      <c r="P13" s="170"/>
      <c r="Q13" s="172"/>
      <c r="R13" s="170"/>
      <c r="S13" s="152">
        <v>8000</v>
      </c>
      <c r="T13" s="173">
        <f>+S13*AT13</f>
        <v>1747200</v>
      </c>
      <c r="U13" s="172"/>
      <c r="V13" s="170"/>
      <c r="W13" s="171"/>
      <c r="X13" s="170"/>
      <c r="Y13" s="171"/>
      <c r="Z13" s="170"/>
      <c r="AA13" s="171"/>
      <c r="AB13" s="170"/>
      <c r="AC13" s="171"/>
      <c r="AD13" s="170"/>
      <c r="AE13" s="171"/>
      <c r="AF13" s="170"/>
      <c r="AG13" s="171"/>
      <c r="AH13" s="170"/>
      <c r="AI13" s="171"/>
      <c r="AJ13" s="170"/>
      <c r="AK13" s="171"/>
      <c r="AL13" s="170"/>
      <c r="AM13" s="171"/>
      <c r="AN13" s="170"/>
      <c r="AO13" s="171"/>
      <c r="AP13" s="170"/>
      <c r="AQ13" s="171"/>
      <c r="AR13" s="170"/>
      <c r="AS13" s="22">
        <f>+S13</f>
        <v>8000</v>
      </c>
      <c r="AT13" s="123">
        <v>218.4</v>
      </c>
      <c r="AU13" s="23">
        <f>+AT13*AS13</f>
        <v>1747200</v>
      </c>
    </row>
    <row r="14" spans="1:48" s="46" customFormat="1" ht="33" customHeight="1" x14ac:dyDescent="0.25">
      <c r="A14" s="21">
        <v>5</v>
      </c>
      <c r="B14" s="177"/>
      <c r="C14" s="176" t="s">
        <v>50</v>
      </c>
      <c r="D14" s="175">
        <v>252</v>
      </c>
      <c r="E14" s="26" t="s">
        <v>124</v>
      </c>
      <c r="F14" s="175" t="s">
        <v>12</v>
      </c>
      <c r="G14" s="170"/>
      <c r="H14" s="170"/>
      <c r="I14" s="170"/>
      <c r="J14" s="170"/>
      <c r="K14" s="170"/>
      <c r="L14" s="170"/>
      <c r="M14" s="172"/>
      <c r="N14" s="174"/>
      <c r="O14" s="171"/>
      <c r="P14" s="170"/>
      <c r="Q14" s="172"/>
      <c r="R14" s="170"/>
      <c r="S14" s="24">
        <v>50000</v>
      </c>
      <c r="T14" s="173">
        <f>+S14*AT14</f>
        <v>532500</v>
      </c>
      <c r="U14" s="172"/>
      <c r="V14" s="170"/>
      <c r="W14" s="171"/>
      <c r="X14" s="170"/>
      <c r="Y14" s="171"/>
      <c r="Z14" s="170"/>
      <c r="AA14" s="171"/>
      <c r="AB14" s="170"/>
      <c r="AC14" s="171"/>
      <c r="AD14" s="170"/>
      <c r="AE14" s="171"/>
      <c r="AF14" s="170"/>
      <c r="AG14" s="171"/>
      <c r="AH14" s="170"/>
      <c r="AI14" s="171"/>
      <c r="AJ14" s="170"/>
      <c r="AK14" s="171"/>
      <c r="AL14" s="170"/>
      <c r="AM14" s="171"/>
      <c r="AN14" s="170"/>
      <c r="AO14" s="171"/>
      <c r="AP14" s="170"/>
      <c r="AQ14" s="171"/>
      <c r="AR14" s="170"/>
      <c r="AS14" s="22">
        <f>+S14</f>
        <v>50000</v>
      </c>
      <c r="AT14" s="123">
        <v>10.65</v>
      </c>
      <c r="AU14" s="23">
        <f>+AT14*AS14</f>
        <v>532500</v>
      </c>
    </row>
    <row r="15" spans="1:48" s="46" customFormat="1" ht="22.5" customHeight="1" x14ac:dyDescent="0.25">
      <c r="A15" s="21">
        <v>6</v>
      </c>
      <c r="B15" s="143"/>
      <c r="C15" s="148" t="s">
        <v>50</v>
      </c>
      <c r="D15" s="145">
        <v>252</v>
      </c>
      <c r="E15" s="41" t="s">
        <v>52</v>
      </c>
      <c r="F15" s="145" t="s">
        <v>12</v>
      </c>
      <c r="G15" s="145"/>
      <c r="H15" s="145"/>
      <c r="I15" s="145"/>
      <c r="J15" s="145"/>
      <c r="K15" s="145"/>
      <c r="L15" s="145"/>
      <c r="M15" s="146"/>
      <c r="N15" s="147"/>
      <c r="O15" s="24"/>
      <c r="P15" s="145"/>
      <c r="Q15" s="146"/>
      <c r="R15" s="145"/>
      <c r="S15" s="42">
        <v>30700</v>
      </c>
      <c r="T15" s="19">
        <f t="shared" si="0"/>
        <v>1013100</v>
      </c>
      <c r="U15" s="146"/>
      <c r="V15" s="145"/>
      <c r="W15" s="149" t="s">
        <v>59</v>
      </c>
      <c r="X15" s="150" t="s">
        <v>59</v>
      </c>
      <c r="Y15" s="24"/>
      <c r="Z15" s="145"/>
      <c r="AA15" s="24"/>
      <c r="AB15" s="145"/>
      <c r="AC15" s="24"/>
      <c r="AD15" s="145"/>
      <c r="AE15" s="24"/>
      <c r="AF15" s="145"/>
      <c r="AG15" s="24"/>
      <c r="AH15" s="145"/>
      <c r="AI15" s="24"/>
      <c r="AJ15" s="145"/>
      <c r="AK15" s="24"/>
      <c r="AL15" s="145"/>
      <c r="AM15" s="24"/>
      <c r="AN15" s="145"/>
      <c r="AO15" s="24"/>
      <c r="AP15" s="145"/>
      <c r="AQ15" s="24"/>
      <c r="AR15" s="145"/>
      <c r="AS15" s="24">
        <f t="shared" si="1"/>
        <v>30700</v>
      </c>
      <c r="AT15" s="123">
        <v>33</v>
      </c>
      <c r="AU15" s="23">
        <f t="shared" si="2"/>
        <v>1013100</v>
      </c>
    </row>
    <row r="16" spans="1:48" s="46" customFormat="1" ht="22.5" customHeight="1" x14ac:dyDescent="0.25">
      <c r="A16" s="21">
        <v>7</v>
      </c>
      <c r="B16" s="29"/>
      <c r="C16" s="148" t="s">
        <v>50</v>
      </c>
      <c r="D16" s="36">
        <v>252</v>
      </c>
      <c r="E16" s="39" t="s">
        <v>51</v>
      </c>
      <c r="F16" s="30" t="s">
        <v>12</v>
      </c>
      <c r="G16" s="30"/>
      <c r="H16" s="30"/>
      <c r="I16" s="30"/>
      <c r="J16" s="30"/>
      <c r="K16" s="30"/>
      <c r="L16" s="30"/>
      <c r="M16" s="31"/>
      <c r="N16" s="32"/>
      <c r="O16" s="33"/>
      <c r="P16" s="30"/>
      <c r="Q16" s="31"/>
      <c r="R16" s="30"/>
      <c r="S16" s="33">
        <v>100000</v>
      </c>
      <c r="T16" s="44">
        <f t="shared" si="0"/>
        <v>490000.00000000006</v>
      </c>
      <c r="U16" s="31"/>
      <c r="V16" s="30"/>
      <c r="W16" s="34" t="s">
        <v>59</v>
      </c>
      <c r="X16" s="40" t="s">
        <v>59</v>
      </c>
      <c r="Y16" s="33"/>
      <c r="Z16" s="30"/>
      <c r="AA16" s="33"/>
      <c r="AB16" s="30"/>
      <c r="AC16" s="33"/>
      <c r="AD16" s="30"/>
      <c r="AE16" s="33"/>
      <c r="AF16" s="30"/>
      <c r="AG16" s="33"/>
      <c r="AH16" s="30"/>
      <c r="AI16" s="33"/>
      <c r="AJ16" s="30"/>
      <c r="AK16" s="33"/>
      <c r="AL16" s="30"/>
      <c r="AM16" s="33"/>
      <c r="AN16" s="30"/>
      <c r="AO16" s="33"/>
      <c r="AP16" s="30"/>
      <c r="AQ16" s="33"/>
      <c r="AR16" s="30"/>
      <c r="AS16" s="33">
        <f t="shared" si="1"/>
        <v>100000</v>
      </c>
      <c r="AT16" s="124">
        <v>4.9000000000000004</v>
      </c>
      <c r="AU16" s="35">
        <f t="shared" si="2"/>
        <v>490000.00000000006</v>
      </c>
    </row>
    <row r="17" spans="1:47" s="46" customFormat="1" ht="22.5" customHeight="1" x14ac:dyDescent="0.25">
      <c r="A17" s="21">
        <v>8</v>
      </c>
      <c r="B17" s="143"/>
      <c r="C17" s="148" t="s">
        <v>50</v>
      </c>
      <c r="D17" s="145">
        <v>252</v>
      </c>
      <c r="E17" s="41" t="s">
        <v>60</v>
      </c>
      <c r="F17" s="145" t="s">
        <v>12</v>
      </c>
      <c r="G17" s="145"/>
      <c r="H17" s="145"/>
      <c r="I17" s="145"/>
      <c r="J17" s="145"/>
      <c r="K17" s="145"/>
      <c r="L17" s="145"/>
      <c r="M17" s="146"/>
      <c r="N17" s="147"/>
      <c r="O17" s="24"/>
      <c r="P17" s="145"/>
      <c r="Q17" s="146"/>
      <c r="R17" s="145"/>
      <c r="S17" s="42">
        <v>5000</v>
      </c>
      <c r="T17" s="19">
        <f t="shared" si="0"/>
        <v>627200</v>
      </c>
      <c r="U17" s="146"/>
      <c r="V17" s="145"/>
      <c r="W17" s="149"/>
      <c r="X17" s="150"/>
      <c r="Y17" s="24"/>
      <c r="Z17" s="145"/>
      <c r="AA17" s="24"/>
      <c r="AB17" s="145"/>
      <c r="AC17" s="24"/>
      <c r="AD17" s="145"/>
      <c r="AE17" s="24"/>
      <c r="AF17" s="145"/>
      <c r="AG17" s="24"/>
      <c r="AH17" s="145"/>
      <c r="AI17" s="24"/>
      <c r="AJ17" s="145"/>
      <c r="AK17" s="24"/>
      <c r="AL17" s="145"/>
      <c r="AM17" s="24"/>
      <c r="AN17" s="145"/>
      <c r="AO17" s="24"/>
      <c r="AP17" s="145"/>
      <c r="AQ17" s="24"/>
      <c r="AR17" s="145"/>
      <c r="AS17" s="24">
        <f t="shared" si="1"/>
        <v>5000</v>
      </c>
      <c r="AT17" s="123">
        <v>125.44</v>
      </c>
      <c r="AU17" s="23">
        <f t="shared" si="2"/>
        <v>627200</v>
      </c>
    </row>
    <row r="18" spans="1:47" s="46" customFormat="1" ht="26.45" customHeight="1" x14ac:dyDescent="0.25">
      <c r="A18" s="21">
        <v>9</v>
      </c>
      <c r="B18" s="177"/>
      <c r="C18" s="176" t="s">
        <v>50</v>
      </c>
      <c r="D18" s="175">
        <v>252</v>
      </c>
      <c r="E18" s="26" t="s">
        <v>126</v>
      </c>
      <c r="F18" s="175" t="s">
        <v>12</v>
      </c>
      <c r="G18" s="170"/>
      <c r="H18" s="170"/>
      <c r="I18" s="170"/>
      <c r="J18" s="170"/>
      <c r="K18" s="170"/>
      <c r="L18" s="170"/>
      <c r="M18" s="172"/>
      <c r="N18" s="174"/>
      <c r="O18" s="171"/>
      <c r="P18" s="170"/>
      <c r="Q18" s="172"/>
      <c r="R18" s="170"/>
      <c r="S18" s="24">
        <v>5</v>
      </c>
      <c r="T18" s="173">
        <f>+S18*AT18</f>
        <v>445000</v>
      </c>
      <c r="U18" s="172"/>
      <c r="V18" s="170"/>
      <c r="W18" s="171"/>
      <c r="X18" s="170"/>
      <c r="Y18" s="171"/>
      <c r="Z18" s="170"/>
      <c r="AA18" s="171"/>
      <c r="AB18" s="170"/>
      <c r="AC18" s="171"/>
      <c r="AD18" s="170"/>
      <c r="AE18" s="171"/>
      <c r="AF18" s="170"/>
      <c r="AG18" s="171"/>
      <c r="AH18" s="170"/>
      <c r="AI18" s="171"/>
      <c r="AJ18" s="170"/>
      <c r="AK18" s="171"/>
      <c r="AL18" s="170"/>
      <c r="AM18" s="171"/>
      <c r="AN18" s="170"/>
      <c r="AO18" s="171"/>
      <c r="AP18" s="170"/>
      <c r="AQ18" s="171"/>
      <c r="AR18" s="170"/>
      <c r="AS18" s="22">
        <f>+S18</f>
        <v>5</v>
      </c>
      <c r="AT18" s="178">
        <v>89000</v>
      </c>
      <c r="AU18" s="23">
        <f>+AT18*AS18</f>
        <v>445000</v>
      </c>
    </row>
    <row r="19" spans="1:47" s="46" customFormat="1" ht="22.5" customHeight="1" x14ac:dyDescent="0.25">
      <c r="A19" s="21">
        <v>10</v>
      </c>
      <c r="B19" s="143"/>
      <c r="C19" s="148" t="s">
        <v>50</v>
      </c>
      <c r="D19" s="145">
        <v>252</v>
      </c>
      <c r="E19" s="151" t="s">
        <v>61</v>
      </c>
      <c r="F19" s="145" t="s">
        <v>12</v>
      </c>
      <c r="G19" s="145"/>
      <c r="H19" s="145"/>
      <c r="I19" s="145"/>
      <c r="J19" s="145"/>
      <c r="K19" s="145"/>
      <c r="L19" s="145"/>
      <c r="M19" s="146"/>
      <c r="N19" s="147"/>
      <c r="O19" s="24"/>
      <c r="P19" s="145"/>
      <c r="Q19" s="146"/>
      <c r="R19" s="145"/>
      <c r="S19" s="37">
        <v>10000</v>
      </c>
      <c r="T19" s="19">
        <f t="shared" si="0"/>
        <v>50000</v>
      </c>
      <c r="U19" s="146"/>
      <c r="V19" s="145"/>
      <c r="W19" s="24"/>
      <c r="X19" s="145"/>
      <c r="Y19" s="24"/>
      <c r="Z19" s="145"/>
      <c r="AA19" s="24"/>
      <c r="AB19" s="145"/>
      <c r="AC19" s="24"/>
      <c r="AD19" s="145"/>
      <c r="AE19" s="24"/>
      <c r="AF19" s="145"/>
      <c r="AG19" s="24"/>
      <c r="AH19" s="145"/>
      <c r="AI19" s="24"/>
      <c r="AJ19" s="145"/>
      <c r="AK19" s="24"/>
      <c r="AL19" s="145"/>
      <c r="AM19" s="24"/>
      <c r="AN19" s="145"/>
      <c r="AO19" s="24"/>
      <c r="AP19" s="145"/>
      <c r="AQ19" s="24"/>
      <c r="AR19" s="145"/>
      <c r="AS19" s="24">
        <f t="shared" si="1"/>
        <v>10000</v>
      </c>
      <c r="AT19" s="123">
        <v>5</v>
      </c>
      <c r="AU19" s="23">
        <f t="shared" si="2"/>
        <v>50000</v>
      </c>
    </row>
    <row r="20" spans="1:47" s="46" customFormat="1" ht="22.5" customHeight="1" x14ac:dyDescent="0.25">
      <c r="A20" s="21">
        <v>11</v>
      </c>
      <c r="B20" s="143"/>
      <c r="C20" s="148" t="s">
        <v>50</v>
      </c>
      <c r="D20" s="145">
        <v>252</v>
      </c>
      <c r="E20" s="151" t="s">
        <v>62</v>
      </c>
      <c r="F20" s="145" t="s">
        <v>12</v>
      </c>
      <c r="G20" s="145"/>
      <c r="H20" s="145"/>
      <c r="I20" s="145"/>
      <c r="J20" s="145"/>
      <c r="K20" s="145"/>
      <c r="L20" s="145"/>
      <c r="M20" s="146"/>
      <c r="N20" s="147"/>
      <c r="O20" s="24"/>
      <c r="P20" s="145"/>
      <c r="Q20" s="146"/>
      <c r="R20" s="145"/>
      <c r="S20" s="152">
        <v>10000</v>
      </c>
      <c r="T20" s="19">
        <f t="shared" si="0"/>
        <v>294000</v>
      </c>
      <c r="U20" s="146"/>
      <c r="V20" s="145"/>
      <c r="W20" s="24"/>
      <c r="X20" s="145"/>
      <c r="Y20" s="24"/>
      <c r="Z20" s="145"/>
      <c r="AA20" s="24"/>
      <c r="AB20" s="145"/>
      <c r="AC20" s="24"/>
      <c r="AD20" s="145"/>
      <c r="AE20" s="24"/>
      <c r="AF20" s="145"/>
      <c r="AG20" s="24"/>
      <c r="AH20" s="145"/>
      <c r="AI20" s="24"/>
      <c r="AJ20" s="145"/>
      <c r="AK20" s="24"/>
      <c r="AL20" s="145"/>
      <c r="AM20" s="24"/>
      <c r="AN20" s="145"/>
      <c r="AO20" s="24"/>
      <c r="AP20" s="145"/>
      <c r="AQ20" s="24"/>
      <c r="AR20" s="145"/>
      <c r="AS20" s="24">
        <f t="shared" si="1"/>
        <v>10000</v>
      </c>
      <c r="AT20" s="153">
        <v>29.4</v>
      </c>
      <c r="AU20" s="23">
        <f t="shared" si="2"/>
        <v>294000</v>
      </c>
    </row>
    <row r="21" spans="1:47" s="46" customFormat="1" ht="22.5" customHeight="1" x14ac:dyDescent="0.25">
      <c r="A21" s="21">
        <v>12</v>
      </c>
      <c r="B21" s="143"/>
      <c r="C21" s="148" t="s">
        <v>50</v>
      </c>
      <c r="D21" s="145">
        <v>252</v>
      </c>
      <c r="E21" s="151" t="s">
        <v>58</v>
      </c>
      <c r="F21" s="145" t="s">
        <v>12</v>
      </c>
      <c r="G21" s="145"/>
      <c r="H21" s="145"/>
      <c r="I21" s="145"/>
      <c r="J21" s="145"/>
      <c r="K21" s="145"/>
      <c r="L21" s="145"/>
      <c r="M21" s="146"/>
      <c r="N21" s="147"/>
      <c r="O21" s="24"/>
      <c r="P21" s="145"/>
      <c r="Q21" s="146"/>
      <c r="R21" s="145"/>
      <c r="S21" s="152">
        <v>6000</v>
      </c>
      <c r="T21" s="19">
        <f t="shared" si="0"/>
        <v>1980000</v>
      </c>
      <c r="U21" s="146"/>
      <c r="V21" s="145"/>
      <c r="W21" s="24"/>
      <c r="X21" s="145"/>
      <c r="Y21" s="24"/>
      <c r="Z21" s="145"/>
      <c r="AA21" s="24"/>
      <c r="AB21" s="145"/>
      <c r="AC21" s="24"/>
      <c r="AD21" s="145"/>
      <c r="AE21" s="24"/>
      <c r="AF21" s="145"/>
      <c r="AG21" s="24"/>
      <c r="AH21" s="145"/>
      <c r="AI21" s="24"/>
      <c r="AJ21" s="145"/>
      <c r="AK21" s="24"/>
      <c r="AL21" s="145"/>
      <c r="AM21" s="24"/>
      <c r="AN21" s="145"/>
      <c r="AO21" s="24"/>
      <c r="AP21" s="145"/>
      <c r="AQ21" s="24"/>
      <c r="AR21" s="145"/>
      <c r="AS21" s="24">
        <f t="shared" si="1"/>
        <v>6000</v>
      </c>
      <c r="AT21" s="153">
        <v>330</v>
      </c>
      <c r="AU21" s="23">
        <f t="shared" si="2"/>
        <v>1980000</v>
      </c>
    </row>
    <row r="22" spans="1:47" s="46" customFormat="1" ht="22.5" customHeight="1" x14ac:dyDescent="0.25">
      <c r="A22" s="21">
        <v>13</v>
      </c>
      <c r="B22" s="143"/>
      <c r="C22" s="148" t="s">
        <v>50</v>
      </c>
      <c r="D22" s="145">
        <v>252</v>
      </c>
      <c r="E22" s="151" t="s">
        <v>56</v>
      </c>
      <c r="F22" s="145" t="s">
        <v>12</v>
      </c>
      <c r="G22" s="145"/>
      <c r="H22" s="145"/>
      <c r="I22" s="145"/>
      <c r="J22" s="145"/>
      <c r="K22" s="145"/>
      <c r="L22" s="145"/>
      <c r="M22" s="146"/>
      <c r="N22" s="147"/>
      <c r="O22" s="24"/>
      <c r="P22" s="145"/>
      <c r="Q22" s="146"/>
      <c r="R22" s="145"/>
      <c r="S22" s="152">
        <v>50</v>
      </c>
      <c r="T22" s="19">
        <f t="shared" si="0"/>
        <v>19250</v>
      </c>
      <c r="U22" s="146"/>
      <c r="V22" s="145"/>
      <c r="W22" s="24"/>
      <c r="X22" s="145"/>
      <c r="Y22" s="24"/>
      <c r="Z22" s="145"/>
      <c r="AA22" s="24"/>
      <c r="AB22" s="145"/>
      <c r="AC22" s="24"/>
      <c r="AD22" s="145"/>
      <c r="AE22" s="24"/>
      <c r="AF22" s="145"/>
      <c r="AG22" s="24"/>
      <c r="AH22" s="145"/>
      <c r="AI22" s="24"/>
      <c r="AJ22" s="145"/>
      <c r="AK22" s="24"/>
      <c r="AL22" s="145"/>
      <c r="AM22" s="24"/>
      <c r="AN22" s="145"/>
      <c r="AO22" s="24"/>
      <c r="AP22" s="145"/>
      <c r="AQ22" s="24"/>
      <c r="AR22" s="145"/>
      <c r="AS22" s="24">
        <f t="shared" si="1"/>
        <v>50</v>
      </c>
      <c r="AT22" s="153">
        <v>385</v>
      </c>
      <c r="AU22" s="23">
        <f t="shared" si="2"/>
        <v>19250</v>
      </c>
    </row>
    <row r="23" spans="1:47" s="46" customFormat="1" ht="22.5" customHeight="1" x14ac:dyDescent="0.25">
      <c r="A23" s="21">
        <v>14</v>
      </c>
      <c r="B23" s="143"/>
      <c r="C23" s="148" t="s">
        <v>50</v>
      </c>
      <c r="D23" s="145">
        <v>252</v>
      </c>
      <c r="E23" s="151" t="s">
        <v>57</v>
      </c>
      <c r="F23" s="145" t="s">
        <v>12</v>
      </c>
      <c r="G23" s="145"/>
      <c r="H23" s="145"/>
      <c r="I23" s="145"/>
      <c r="J23" s="145"/>
      <c r="K23" s="145"/>
      <c r="L23" s="145"/>
      <c r="M23" s="146"/>
      <c r="N23" s="147"/>
      <c r="O23" s="24"/>
      <c r="P23" s="145"/>
      <c r="Q23" s="146"/>
      <c r="R23" s="145"/>
      <c r="S23" s="152">
        <v>300</v>
      </c>
      <c r="T23" s="19">
        <f t="shared" si="0"/>
        <v>39000</v>
      </c>
      <c r="U23" s="146"/>
      <c r="V23" s="145"/>
      <c r="W23" s="24"/>
      <c r="X23" s="145"/>
      <c r="Y23" s="24"/>
      <c r="Z23" s="145"/>
      <c r="AA23" s="24"/>
      <c r="AB23" s="145"/>
      <c r="AC23" s="24"/>
      <c r="AD23" s="145"/>
      <c r="AE23" s="24"/>
      <c r="AF23" s="145"/>
      <c r="AG23" s="24"/>
      <c r="AH23" s="145"/>
      <c r="AI23" s="24"/>
      <c r="AJ23" s="145"/>
      <c r="AK23" s="24"/>
      <c r="AL23" s="145"/>
      <c r="AM23" s="24"/>
      <c r="AN23" s="145"/>
      <c r="AO23" s="24"/>
      <c r="AP23" s="145"/>
      <c r="AQ23" s="24"/>
      <c r="AR23" s="145"/>
      <c r="AS23" s="24">
        <f t="shared" si="1"/>
        <v>300</v>
      </c>
      <c r="AT23" s="153">
        <v>130</v>
      </c>
      <c r="AU23" s="23">
        <f t="shared" si="2"/>
        <v>39000</v>
      </c>
    </row>
    <row r="24" spans="1:47" s="46" customFormat="1" ht="22.5" customHeight="1" x14ac:dyDescent="0.25">
      <c r="A24" s="21">
        <v>15</v>
      </c>
      <c r="B24" s="143"/>
      <c r="C24" s="148" t="s">
        <v>50</v>
      </c>
      <c r="D24" s="145">
        <v>252</v>
      </c>
      <c r="E24" s="151" t="s">
        <v>53</v>
      </c>
      <c r="F24" s="145" t="s">
        <v>12</v>
      </c>
      <c r="G24" s="145"/>
      <c r="H24" s="145"/>
      <c r="I24" s="145"/>
      <c r="J24" s="145"/>
      <c r="K24" s="145"/>
      <c r="L24" s="145"/>
      <c r="M24" s="146"/>
      <c r="N24" s="147"/>
      <c r="O24" s="24"/>
      <c r="P24" s="145"/>
      <c r="Q24" s="146"/>
      <c r="R24" s="145"/>
      <c r="S24" s="152">
        <v>10000</v>
      </c>
      <c r="T24" s="19">
        <f t="shared" si="0"/>
        <v>158000</v>
      </c>
      <c r="U24" s="146"/>
      <c r="V24" s="145"/>
      <c r="W24" s="24"/>
      <c r="X24" s="145"/>
      <c r="Y24" s="24"/>
      <c r="Z24" s="145"/>
      <c r="AA24" s="24"/>
      <c r="AB24" s="145"/>
      <c r="AC24" s="24"/>
      <c r="AD24" s="145"/>
      <c r="AE24" s="24"/>
      <c r="AF24" s="145"/>
      <c r="AG24" s="24"/>
      <c r="AH24" s="145"/>
      <c r="AI24" s="24"/>
      <c r="AJ24" s="145"/>
      <c r="AK24" s="24"/>
      <c r="AL24" s="145"/>
      <c r="AM24" s="24"/>
      <c r="AN24" s="145"/>
      <c r="AO24" s="24"/>
      <c r="AP24" s="145"/>
      <c r="AQ24" s="24"/>
      <c r="AR24" s="145"/>
      <c r="AS24" s="24">
        <f t="shared" si="1"/>
        <v>10000</v>
      </c>
      <c r="AT24" s="153">
        <v>15.8</v>
      </c>
      <c r="AU24" s="23">
        <f t="shared" si="2"/>
        <v>158000</v>
      </c>
    </row>
    <row r="25" spans="1:47" s="46" customFormat="1" ht="33.950000000000003" customHeight="1" x14ac:dyDescent="0.25">
      <c r="A25" s="21">
        <v>16</v>
      </c>
      <c r="B25" s="177"/>
      <c r="C25" s="176" t="s">
        <v>50</v>
      </c>
      <c r="D25" s="175">
        <v>252</v>
      </c>
      <c r="E25" s="26" t="s">
        <v>128</v>
      </c>
      <c r="F25" s="175" t="s">
        <v>12</v>
      </c>
      <c r="G25" s="170"/>
      <c r="H25" s="170"/>
      <c r="I25" s="170"/>
      <c r="J25" s="170"/>
      <c r="K25" s="170"/>
      <c r="L25" s="170"/>
      <c r="M25" s="172"/>
      <c r="N25" s="174"/>
      <c r="O25" s="171"/>
      <c r="P25" s="170"/>
      <c r="Q25" s="172"/>
      <c r="R25" s="170"/>
      <c r="S25" s="37">
        <v>10000</v>
      </c>
      <c r="T25" s="173">
        <f>+S25*AT25</f>
        <v>1600000</v>
      </c>
      <c r="U25" s="172"/>
      <c r="V25" s="170"/>
      <c r="W25" s="171"/>
      <c r="X25" s="170"/>
      <c r="Y25" s="171"/>
      <c r="Z25" s="170"/>
      <c r="AA25" s="171"/>
      <c r="AB25" s="170"/>
      <c r="AC25" s="171"/>
      <c r="AD25" s="170"/>
      <c r="AE25" s="171"/>
      <c r="AF25" s="170"/>
      <c r="AG25" s="171"/>
      <c r="AH25" s="170"/>
      <c r="AI25" s="171"/>
      <c r="AJ25" s="170"/>
      <c r="AK25" s="171"/>
      <c r="AL25" s="170"/>
      <c r="AM25" s="171"/>
      <c r="AN25" s="170"/>
      <c r="AO25" s="171"/>
      <c r="AP25" s="170"/>
      <c r="AQ25" s="171"/>
      <c r="AR25" s="170"/>
      <c r="AS25" s="22">
        <f>+S25</f>
        <v>10000</v>
      </c>
      <c r="AT25" s="123">
        <v>160</v>
      </c>
      <c r="AU25" s="23">
        <f>+AT25*AS25</f>
        <v>1600000</v>
      </c>
    </row>
    <row r="26" spans="1:47" s="46" customFormat="1" ht="22.5" customHeight="1" x14ac:dyDescent="0.25">
      <c r="A26" s="21">
        <v>17</v>
      </c>
      <c r="B26" s="177"/>
      <c r="C26" s="176" t="s">
        <v>50</v>
      </c>
      <c r="D26" s="175">
        <v>252</v>
      </c>
      <c r="E26" s="180" t="s">
        <v>127</v>
      </c>
      <c r="F26" s="175" t="s">
        <v>12</v>
      </c>
      <c r="G26" s="170"/>
      <c r="H26" s="170"/>
      <c r="I26" s="170"/>
      <c r="J26" s="170"/>
      <c r="K26" s="170"/>
      <c r="L26" s="170"/>
      <c r="M26" s="172"/>
      <c r="N26" s="174"/>
      <c r="O26" s="171"/>
      <c r="P26" s="170"/>
      <c r="Q26" s="172"/>
      <c r="R26" s="170"/>
      <c r="S26" s="179">
        <v>3000</v>
      </c>
      <c r="T26" s="173">
        <f>+S26*AT26</f>
        <v>1575000</v>
      </c>
      <c r="U26" s="172"/>
      <c r="V26" s="170"/>
      <c r="W26" s="171"/>
      <c r="X26" s="170"/>
      <c r="Y26" s="171"/>
      <c r="Z26" s="170"/>
      <c r="AA26" s="171"/>
      <c r="AB26" s="170"/>
      <c r="AC26" s="171"/>
      <c r="AD26" s="170"/>
      <c r="AE26" s="171"/>
      <c r="AF26" s="170"/>
      <c r="AG26" s="171"/>
      <c r="AH26" s="170"/>
      <c r="AI26" s="171"/>
      <c r="AJ26" s="170"/>
      <c r="AK26" s="171"/>
      <c r="AL26" s="170"/>
      <c r="AM26" s="171"/>
      <c r="AN26" s="170"/>
      <c r="AO26" s="171"/>
      <c r="AP26" s="170"/>
      <c r="AQ26" s="171"/>
      <c r="AR26" s="170"/>
      <c r="AS26" s="22">
        <f>+S26</f>
        <v>3000</v>
      </c>
      <c r="AT26" s="178">
        <v>525</v>
      </c>
      <c r="AU26" s="23">
        <f>+AT26*AS26</f>
        <v>1575000</v>
      </c>
    </row>
    <row r="27" spans="1:47" s="46" customFormat="1" ht="22.5" customHeight="1" x14ac:dyDescent="0.25">
      <c r="A27" s="21">
        <v>18</v>
      </c>
      <c r="B27" s="143"/>
      <c r="C27" s="148" t="s">
        <v>50</v>
      </c>
      <c r="D27" s="145">
        <v>252</v>
      </c>
      <c r="E27" s="26" t="s">
        <v>54</v>
      </c>
      <c r="F27" s="145" t="s">
        <v>12</v>
      </c>
      <c r="G27" s="145"/>
      <c r="H27" s="145"/>
      <c r="I27" s="145"/>
      <c r="J27" s="145"/>
      <c r="K27" s="145"/>
      <c r="L27" s="145"/>
      <c r="M27" s="146"/>
      <c r="N27" s="147"/>
      <c r="O27" s="24"/>
      <c r="P27" s="145"/>
      <c r="Q27" s="146"/>
      <c r="R27" s="145"/>
      <c r="S27" s="37">
        <v>10</v>
      </c>
      <c r="T27" s="19">
        <f t="shared" si="0"/>
        <v>68880</v>
      </c>
      <c r="U27" s="146"/>
      <c r="V27" s="145"/>
      <c r="W27" s="24"/>
      <c r="X27" s="145"/>
      <c r="Y27" s="24"/>
      <c r="Z27" s="145"/>
      <c r="AA27" s="24"/>
      <c r="AB27" s="145"/>
      <c r="AC27" s="24"/>
      <c r="AD27" s="145"/>
      <c r="AE27" s="24"/>
      <c r="AF27" s="145"/>
      <c r="AG27" s="24"/>
      <c r="AH27" s="145"/>
      <c r="AI27" s="24"/>
      <c r="AJ27" s="145"/>
      <c r="AK27" s="24"/>
      <c r="AL27" s="145"/>
      <c r="AM27" s="24"/>
      <c r="AN27" s="145"/>
      <c r="AO27" s="24"/>
      <c r="AP27" s="145"/>
      <c r="AQ27" s="24"/>
      <c r="AR27" s="145"/>
      <c r="AS27" s="24">
        <f t="shared" si="1"/>
        <v>10</v>
      </c>
      <c r="AT27" s="123">
        <v>6888</v>
      </c>
      <c r="AU27" s="23">
        <f t="shared" si="2"/>
        <v>68880</v>
      </c>
    </row>
    <row r="28" spans="1:47" s="46" customFormat="1" ht="22.5" customHeight="1" x14ac:dyDescent="0.25">
      <c r="A28" s="21"/>
      <c r="B28" s="143"/>
      <c r="C28" s="38"/>
      <c r="D28" s="38"/>
      <c r="E28" s="28" t="s">
        <v>131</v>
      </c>
      <c r="F28" s="38"/>
      <c r="G28" s="38"/>
      <c r="H28" s="38"/>
      <c r="I28" s="38"/>
      <c r="J28" s="38"/>
      <c r="K28" s="38"/>
      <c r="L28" s="38"/>
      <c r="M28" s="154"/>
      <c r="N28" s="155"/>
      <c r="O28" s="156"/>
      <c r="P28" s="38"/>
      <c r="Q28" s="154"/>
      <c r="R28" s="38"/>
      <c r="S28" s="156"/>
      <c r="T28" s="157"/>
      <c r="U28" s="158"/>
      <c r="V28" s="159"/>
      <c r="W28" s="28"/>
      <c r="X28" s="159"/>
      <c r="Y28" s="28"/>
      <c r="Z28" s="159"/>
      <c r="AA28" s="28"/>
      <c r="AB28" s="159"/>
      <c r="AC28" s="28"/>
      <c r="AD28" s="159"/>
      <c r="AE28" s="28"/>
      <c r="AF28" s="159"/>
      <c r="AG28" s="28"/>
      <c r="AH28" s="159"/>
      <c r="AI28" s="28"/>
      <c r="AJ28" s="159"/>
      <c r="AK28" s="28"/>
      <c r="AL28" s="159"/>
      <c r="AM28" s="28"/>
      <c r="AN28" s="159"/>
      <c r="AO28" s="28"/>
      <c r="AP28" s="159"/>
      <c r="AQ28" s="28"/>
      <c r="AR28" s="159"/>
      <c r="AS28" s="22"/>
      <c r="AT28" s="125"/>
      <c r="AU28" s="27">
        <f>SUM(AU10:AU27)</f>
        <v>11497230</v>
      </c>
    </row>
    <row r="29" spans="1:47" ht="15.75" thickBot="1" x14ac:dyDescent="0.3"/>
    <row r="30" spans="1:47" ht="172.5" customHeight="1" x14ac:dyDescent="0.2">
      <c r="B30" s="142" t="s">
        <v>108</v>
      </c>
      <c r="C30" s="196" t="s">
        <v>130</v>
      </c>
      <c r="D30" s="196"/>
      <c r="E30" s="196"/>
      <c r="F30" s="197"/>
    </row>
    <row r="31" spans="1:47" ht="30" x14ac:dyDescent="0.25">
      <c r="B31" s="126" t="s">
        <v>109</v>
      </c>
      <c r="C31" s="127" t="s">
        <v>110</v>
      </c>
      <c r="D31" s="128"/>
      <c r="E31" s="129"/>
      <c r="F31" s="130"/>
    </row>
    <row r="32" spans="1:47" x14ac:dyDescent="0.25">
      <c r="B32" s="126"/>
      <c r="C32" s="131"/>
      <c r="D32" s="128"/>
      <c r="E32" s="129"/>
      <c r="F32" s="130"/>
    </row>
    <row r="33" spans="2:6" ht="30" x14ac:dyDescent="0.25">
      <c r="B33" s="126" t="s">
        <v>111</v>
      </c>
      <c r="C33" s="198" t="s">
        <v>116</v>
      </c>
      <c r="D33" s="198"/>
      <c r="E33" s="198"/>
      <c r="F33" s="199"/>
    </row>
    <row r="34" spans="2:6" x14ac:dyDescent="0.25">
      <c r="B34" s="126"/>
      <c r="C34" s="198"/>
      <c r="D34" s="198"/>
      <c r="E34" s="198"/>
      <c r="F34" s="199"/>
    </row>
    <row r="35" spans="2:6" ht="45" x14ac:dyDescent="0.25">
      <c r="B35" s="132" t="s">
        <v>112</v>
      </c>
      <c r="C35" s="133"/>
      <c r="D35" s="134"/>
      <c r="E35" s="135"/>
      <c r="F35" s="136"/>
    </row>
    <row r="36" spans="2:6" x14ac:dyDescent="0.25">
      <c r="B36" s="132"/>
      <c r="C36" s="133"/>
      <c r="D36" s="134"/>
      <c r="E36" s="135"/>
      <c r="F36" s="136"/>
    </row>
    <row r="37" spans="2:6" ht="30.75" thickBot="1" x14ac:dyDescent="0.3">
      <c r="B37" s="137" t="s">
        <v>113</v>
      </c>
      <c r="C37" s="138" t="s">
        <v>114</v>
      </c>
      <c r="D37" s="139"/>
      <c r="E37" s="140"/>
      <c r="F37" s="141"/>
    </row>
  </sheetData>
  <sortState xmlns:xlrd2="http://schemas.microsoft.com/office/spreadsheetml/2017/richdata2" ref="A10:AV25">
    <sortCondition ref="E10"/>
  </sortState>
  <mergeCells count="10">
    <mergeCell ref="A7:B7"/>
    <mergeCell ref="C30:F30"/>
    <mergeCell ref="C33:F33"/>
    <mergeCell ref="C34:F34"/>
    <mergeCell ref="A6:B6"/>
    <mergeCell ref="B2:AT2"/>
    <mergeCell ref="A4:B4"/>
    <mergeCell ref="C4:E4"/>
    <mergeCell ref="A5:B5"/>
    <mergeCell ref="C5:E5"/>
  </mergeCells>
  <conditionalFormatting sqref="E21">
    <cfRule type="duplicateValues" dxfId="46" priority="124"/>
  </conditionalFormatting>
  <conditionalFormatting sqref="E21">
    <cfRule type="duplicateValues" dxfId="45" priority="125"/>
    <cfRule type="duplicateValues" dxfId="44" priority="126"/>
  </conditionalFormatting>
  <conditionalFormatting sqref="E21">
    <cfRule type="duplicateValues" dxfId="43" priority="127"/>
  </conditionalFormatting>
  <conditionalFormatting sqref="B28:B29 B1:B9 B38:B1048576">
    <cfRule type="duplicateValues" dxfId="42" priority="12834"/>
  </conditionalFormatting>
  <conditionalFormatting sqref="E29 E1:E9 E38:E1048576">
    <cfRule type="duplicateValues" dxfId="41" priority="12838"/>
  </conditionalFormatting>
  <conditionalFormatting sqref="E29 E38:E1048576">
    <cfRule type="duplicateValues" dxfId="40" priority="12852"/>
  </conditionalFormatting>
  <conditionalFormatting sqref="E29 E1:E9 E38:E1048576">
    <cfRule type="duplicateValues" dxfId="39" priority="12856"/>
    <cfRule type="duplicateValues" dxfId="38" priority="12857"/>
  </conditionalFormatting>
  <conditionalFormatting sqref="E35:E37 E31:E32">
    <cfRule type="duplicateValues" dxfId="37" priority="25"/>
  </conditionalFormatting>
  <conditionalFormatting sqref="E35:E37 B31:B37 E31:E32">
    <cfRule type="duplicateValues" dxfId="36" priority="24"/>
  </conditionalFormatting>
  <conditionalFormatting sqref="E35:E37">
    <cfRule type="duplicateValues" dxfId="35" priority="23"/>
  </conditionalFormatting>
  <conditionalFormatting sqref="E35:E37 E31:E32">
    <cfRule type="duplicateValues" dxfId="34" priority="21"/>
    <cfRule type="duplicateValues" dxfId="33" priority="22"/>
  </conditionalFormatting>
  <conditionalFormatting sqref="B31:B37">
    <cfRule type="duplicateValues" dxfId="32" priority="26"/>
  </conditionalFormatting>
  <conditionalFormatting sqref="E31:E37">
    <cfRule type="duplicateValues" dxfId="31" priority="27"/>
    <cfRule type="duplicateValues" dxfId="30" priority="28"/>
  </conditionalFormatting>
  <conditionalFormatting sqref="E31:E37">
    <cfRule type="duplicateValues" dxfId="29" priority="29"/>
  </conditionalFormatting>
  <conditionalFormatting sqref="E31:E37">
    <cfRule type="duplicateValues" dxfId="28" priority="30"/>
  </conditionalFormatting>
  <conditionalFormatting sqref="B31:B37 E31:E37">
    <cfRule type="duplicateValues" dxfId="27" priority="31"/>
  </conditionalFormatting>
  <conditionalFormatting sqref="B31:B37">
    <cfRule type="duplicateValues" dxfId="26" priority="32"/>
  </conditionalFormatting>
  <conditionalFormatting sqref="E29 B28:B29 B1:B9 E1:E9 B38:B1048576 E38:E1048576">
    <cfRule type="duplicateValues" dxfId="25" priority="12858"/>
  </conditionalFormatting>
  <conditionalFormatting sqref="B10:B11">
    <cfRule type="duplicateValues" dxfId="24" priority="16"/>
  </conditionalFormatting>
  <conditionalFormatting sqref="E10:E11">
    <cfRule type="duplicateValues" dxfId="23" priority="17"/>
  </conditionalFormatting>
  <conditionalFormatting sqref="E10:E11">
    <cfRule type="duplicateValues" dxfId="22" priority="18"/>
    <cfRule type="duplicateValues" dxfId="21" priority="19"/>
  </conditionalFormatting>
  <conditionalFormatting sqref="E10:E11 B10:B11">
    <cfRule type="duplicateValues" dxfId="20" priority="20"/>
  </conditionalFormatting>
  <conditionalFormatting sqref="B13:B14">
    <cfRule type="duplicateValues" dxfId="19" priority="11"/>
  </conditionalFormatting>
  <conditionalFormatting sqref="E13:E14">
    <cfRule type="duplicateValues" dxfId="18" priority="12"/>
  </conditionalFormatting>
  <conditionalFormatting sqref="E13:E14">
    <cfRule type="duplicateValues" dxfId="17" priority="13"/>
    <cfRule type="duplicateValues" dxfId="16" priority="14"/>
  </conditionalFormatting>
  <conditionalFormatting sqref="B13:B14 E13:E14">
    <cfRule type="duplicateValues" dxfId="15" priority="15"/>
  </conditionalFormatting>
  <conditionalFormatting sqref="B18">
    <cfRule type="duplicateValues" dxfId="14" priority="6"/>
  </conditionalFormatting>
  <conditionalFormatting sqref="E18">
    <cfRule type="duplicateValues" dxfId="13" priority="7"/>
  </conditionalFormatting>
  <conditionalFormatting sqref="E18">
    <cfRule type="duplicateValues" dxfId="12" priority="8"/>
    <cfRule type="duplicateValues" dxfId="11" priority="9"/>
  </conditionalFormatting>
  <conditionalFormatting sqref="B18 E18">
    <cfRule type="duplicateValues" dxfId="10" priority="10"/>
  </conditionalFormatting>
  <conditionalFormatting sqref="B25:B26">
    <cfRule type="duplicateValues" dxfId="9" priority="1"/>
  </conditionalFormatting>
  <conditionalFormatting sqref="E25:E26">
    <cfRule type="duplicateValues" dxfId="8" priority="2"/>
  </conditionalFormatting>
  <conditionalFormatting sqref="E25:E26">
    <cfRule type="duplicateValues" dxfId="7" priority="3"/>
    <cfRule type="duplicateValues" dxfId="6" priority="4"/>
  </conditionalFormatting>
  <conditionalFormatting sqref="B25:B26 E25:E26">
    <cfRule type="duplicateValues" dxfId="5" priority="5"/>
  </conditionalFormatting>
  <conditionalFormatting sqref="E22:E24 E12 E15:E17 E19:E20 E27">
    <cfRule type="duplicateValues" dxfId="4" priority="12861"/>
  </conditionalFormatting>
  <conditionalFormatting sqref="E22:E24 E12 E15:E17 E19:E20 E27">
    <cfRule type="duplicateValues" dxfId="3" priority="12866"/>
    <cfRule type="duplicateValues" dxfId="2" priority="12867"/>
  </conditionalFormatting>
  <conditionalFormatting sqref="E22:E24 B12 E12 E15:E17 B15:B17 B19:B24 E19:E20 B27 E27">
    <cfRule type="duplicateValues" dxfId="1" priority="12876"/>
  </conditionalFormatting>
  <conditionalFormatting sqref="B12 B15:B17 B19:B24 B27">
    <cfRule type="duplicateValues" dxfId="0" priority="12905"/>
  </conditionalFormatting>
  <pageMargins left="0.70866141732283472" right="0.70866141732283472" top="0.74803149606299213" bottom="0.74803149606299213" header="0.51181102362204722" footer="0.51181102362204722"/>
  <pageSetup paperSize="5" scale="8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31"/>
  <sheetViews>
    <sheetView workbookViewId="0">
      <selection activeCell="J32" sqref="J32"/>
    </sheetView>
  </sheetViews>
  <sheetFormatPr baseColWidth="10" defaultRowHeight="12.75" x14ac:dyDescent="0.2"/>
  <cols>
    <col min="1" max="1" width="5.5703125" customWidth="1"/>
    <col min="2" max="2" width="15.140625" customWidth="1"/>
    <col min="3" max="3" width="14.140625" customWidth="1"/>
    <col min="4" max="4" width="26" customWidth="1"/>
    <col min="5" max="5" width="8" customWidth="1"/>
    <col min="6" max="6" width="7.85546875" customWidth="1"/>
    <col min="7" max="7" width="37.42578125" customWidth="1"/>
    <col min="8" max="8" width="9.28515625" customWidth="1"/>
    <col min="9" max="9" width="14.5703125" customWidth="1"/>
    <col min="10" max="10" width="16" customWidth="1"/>
    <col min="11" max="11" width="15.5703125" customWidth="1"/>
    <col min="13" max="13" width="15.42578125" bestFit="1" customWidth="1"/>
  </cols>
  <sheetData>
    <row r="1" spans="1:13" ht="16.5" thickBot="1" x14ac:dyDescent="0.25">
      <c r="A1" s="202" t="s">
        <v>67</v>
      </c>
      <c r="B1" s="202"/>
      <c r="C1" s="202"/>
      <c r="D1" s="202"/>
      <c r="E1" s="202"/>
      <c r="F1" s="202"/>
      <c r="G1" s="202"/>
      <c r="H1" s="202"/>
      <c r="I1" s="202"/>
      <c r="J1" s="58" t="s">
        <v>68</v>
      </c>
      <c r="K1" s="59" t="s">
        <v>121</v>
      </c>
      <c r="M1" s="60"/>
    </row>
    <row r="2" spans="1:13" ht="16.5" thickBot="1" x14ac:dyDescent="0.25">
      <c r="A2" s="61"/>
      <c r="B2" s="61"/>
      <c r="C2" s="61"/>
      <c r="D2" s="62"/>
      <c r="E2" s="62"/>
      <c r="F2" s="62"/>
      <c r="G2" s="62"/>
      <c r="H2" s="62"/>
      <c r="I2" s="62"/>
      <c r="J2" s="62"/>
      <c r="K2" s="62"/>
      <c r="M2" s="60"/>
    </row>
    <row r="3" spans="1:13" ht="16.5" thickBot="1" x14ac:dyDescent="0.25">
      <c r="A3" s="203" t="s">
        <v>69</v>
      </c>
      <c r="B3" s="203"/>
      <c r="C3" s="203"/>
      <c r="D3" s="63" t="s">
        <v>70</v>
      </c>
      <c r="E3" s="64"/>
      <c r="F3" s="64"/>
      <c r="G3" s="64"/>
      <c r="H3" s="64"/>
      <c r="I3" s="64"/>
      <c r="J3" s="64"/>
      <c r="K3" s="65"/>
      <c r="M3" s="60"/>
    </row>
    <row r="4" spans="1:13" ht="16.5" thickBot="1" x14ac:dyDescent="0.25">
      <c r="A4" s="200" t="s">
        <v>71</v>
      </c>
      <c r="B4" s="200"/>
      <c r="C4" s="200"/>
      <c r="D4" s="63" t="s">
        <v>72</v>
      </c>
      <c r="E4" s="64"/>
      <c r="F4" s="64"/>
      <c r="G4" s="64"/>
      <c r="H4" s="64"/>
      <c r="I4" s="64"/>
      <c r="J4" s="64"/>
      <c r="K4" s="65"/>
      <c r="M4" s="60"/>
    </row>
    <row r="5" spans="1:13" ht="16.5" thickBot="1" x14ac:dyDescent="0.25">
      <c r="A5" s="200" t="s">
        <v>73</v>
      </c>
      <c r="B5" s="200"/>
      <c r="C5" s="200"/>
      <c r="D5" s="63" t="s">
        <v>117</v>
      </c>
      <c r="E5" s="66"/>
      <c r="F5" s="66"/>
      <c r="G5" s="66"/>
      <c r="H5" s="66"/>
      <c r="I5" s="66"/>
      <c r="J5" s="66"/>
      <c r="K5" s="67"/>
      <c r="M5" s="60"/>
    </row>
    <row r="6" spans="1:13" ht="16.5" thickBot="1" x14ac:dyDescent="0.25">
      <c r="A6" s="203" t="s">
        <v>74</v>
      </c>
      <c r="B6" s="203"/>
      <c r="C6" s="203"/>
      <c r="D6" s="63" t="s">
        <v>117</v>
      </c>
      <c r="E6" s="66"/>
      <c r="F6" s="66"/>
      <c r="G6" s="66"/>
      <c r="H6" s="66"/>
      <c r="I6" s="66"/>
      <c r="J6" s="66"/>
      <c r="K6" s="67"/>
      <c r="M6" s="60"/>
    </row>
    <row r="7" spans="1:13" ht="16.5" thickBot="1" x14ac:dyDescent="0.25">
      <c r="A7" s="200" t="s">
        <v>75</v>
      </c>
      <c r="B7" s="200"/>
      <c r="C7" s="200"/>
      <c r="D7" s="201" t="s">
        <v>120</v>
      </c>
      <c r="E7" s="201"/>
      <c r="F7" s="201"/>
      <c r="G7" s="201"/>
      <c r="H7" s="201"/>
      <c r="I7" s="201"/>
      <c r="J7" s="201"/>
      <c r="K7" s="201"/>
      <c r="M7" s="60"/>
    </row>
    <row r="8" spans="1:13" ht="16.5" thickBot="1" x14ac:dyDescent="0.25">
      <c r="A8" s="212" t="s">
        <v>76</v>
      </c>
      <c r="B8" s="212"/>
      <c r="C8" s="212"/>
      <c r="D8" s="213" t="s">
        <v>129</v>
      </c>
      <c r="E8" s="213"/>
      <c r="F8" s="213"/>
      <c r="G8" s="213"/>
      <c r="H8" s="213"/>
      <c r="I8" s="213"/>
      <c r="J8" s="213"/>
      <c r="K8" s="213"/>
      <c r="M8" s="60"/>
    </row>
    <row r="9" spans="1:13" ht="16.5" thickBot="1" x14ac:dyDescent="0.25">
      <c r="A9" s="68"/>
      <c r="B9" s="68"/>
      <c r="C9" s="68"/>
      <c r="D9" s="69"/>
      <c r="E9" s="69"/>
      <c r="F9" s="69"/>
      <c r="G9" s="69"/>
      <c r="H9" s="69"/>
      <c r="I9" s="69"/>
      <c r="J9" s="69"/>
      <c r="K9" s="69"/>
      <c r="M9" s="60"/>
    </row>
    <row r="10" spans="1:13" ht="13.5" thickBot="1" x14ac:dyDescent="0.25">
      <c r="A10" s="214" t="s">
        <v>77</v>
      </c>
      <c r="B10" s="215" t="s">
        <v>78</v>
      </c>
      <c r="C10" s="215" t="s">
        <v>79</v>
      </c>
      <c r="D10" s="215"/>
      <c r="E10" s="215"/>
      <c r="F10" s="215"/>
      <c r="G10" s="215"/>
      <c r="H10" s="216" t="s">
        <v>80</v>
      </c>
      <c r="I10" s="217" t="s">
        <v>81</v>
      </c>
      <c r="J10" s="217" t="s">
        <v>82</v>
      </c>
      <c r="K10" s="217" t="s">
        <v>83</v>
      </c>
      <c r="M10" s="60"/>
    </row>
    <row r="11" spans="1:13" ht="13.5" thickBot="1" x14ac:dyDescent="0.25">
      <c r="A11" s="214"/>
      <c r="B11" s="215"/>
      <c r="C11" s="215"/>
      <c r="D11" s="215"/>
      <c r="E11" s="215"/>
      <c r="F11" s="215"/>
      <c r="G11" s="215"/>
      <c r="H11" s="216"/>
      <c r="I11" s="217"/>
      <c r="J11" s="217"/>
      <c r="K11" s="217"/>
      <c r="M11" s="60"/>
    </row>
    <row r="12" spans="1:13" ht="15" customHeight="1" x14ac:dyDescent="0.2">
      <c r="A12" s="160">
        <v>1</v>
      </c>
      <c r="B12" s="161"/>
      <c r="C12" s="162" t="str">
        <f>+'Necesidades Trimestrales (2)'!E10</f>
        <v>ACICLOVIR 800 MG COMPRIMIDO</v>
      </c>
      <c r="D12" s="163"/>
      <c r="E12" s="163"/>
      <c r="F12" s="163"/>
      <c r="G12" s="163"/>
      <c r="H12" s="164" t="s">
        <v>134</v>
      </c>
      <c r="I12" s="165" t="str">
        <f>'Necesidades Trimestrales (2)'!F12</f>
        <v>UNIDAD</v>
      </c>
      <c r="J12" s="166">
        <f>+'Necesidades Trimestrales (2)'!AT10</f>
        <v>65</v>
      </c>
      <c r="K12" s="70">
        <f>+'Necesidades Trimestrales (2)'!AS10</f>
        <v>200</v>
      </c>
      <c r="L12" s="169">
        <f>+J12*K12</f>
        <v>13000</v>
      </c>
      <c r="M12" s="60">
        <f>+J12*K12</f>
        <v>13000</v>
      </c>
    </row>
    <row r="13" spans="1:13" ht="15" customHeight="1" thickBot="1" x14ac:dyDescent="0.25">
      <c r="A13" s="160">
        <v>2</v>
      </c>
      <c r="B13" s="161"/>
      <c r="C13" s="71" t="str">
        <f>+'Necesidades Trimestrales (2)'!E11</f>
        <v>AMPICILINA 1G FCO AMPOLLA</v>
      </c>
      <c r="D13" s="72"/>
      <c r="E13" s="72"/>
      <c r="F13" s="72"/>
      <c r="G13" s="73"/>
      <c r="H13" s="164" t="s">
        <v>134</v>
      </c>
      <c r="I13" s="165" t="str">
        <f>'Necesidades Trimestrales (2)'!F15</f>
        <v>UNIDAD</v>
      </c>
      <c r="J13" s="166">
        <f>+'Necesidades Trimestrales (2)'!AT11</f>
        <v>127.5</v>
      </c>
      <c r="K13" s="70">
        <f>+'Necesidades Trimestrales (2)'!AS11</f>
        <v>5000</v>
      </c>
      <c r="L13" s="169">
        <f t="shared" ref="L13:L29" si="0">+J13*K13</f>
        <v>637500</v>
      </c>
      <c r="M13" s="60">
        <f t="shared" ref="M13:M24" si="1">+J13*K13</f>
        <v>637500</v>
      </c>
    </row>
    <row r="14" spans="1:13" ht="15" customHeight="1" x14ac:dyDescent="0.2">
      <c r="A14" s="160">
        <v>3</v>
      </c>
      <c r="B14" s="161"/>
      <c r="C14" s="162" t="str">
        <f>+'Necesidades Trimestrales (2)'!E12</f>
        <v xml:space="preserve">BUPIVACAINA 5 MG / ML  HIBERBARICA  AMPOLLA DE 4 ML CON AGUJA 27 G X 3 1/2 CON INTRODUCTOR </v>
      </c>
      <c r="D14" s="72"/>
      <c r="E14" s="72"/>
      <c r="F14" s="72"/>
      <c r="G14" s="73"/>
      <c r="H14" s="164" t="s">
        <v>134</v>
      </c>
      <c r="I14" s="165" t="str">
        <f>'Necesidades Trimestrales (2)'!F16</f>
        <v>UNIDAD</v>
      </c>
      <c r="J14" s="166">
        <f>+'Necesidades Trimestrales (2)'!AT12</f>
        <v>1038</v>
      </c>
      <c r="K14" s="70">
        <f>+'Necesidades Trimestrales (2)'!AS12</f>
        <v>200</v>
      </c>
      <c r="L14" s="169">
        <f t="shared" si="0"/>
        <v>207600</v>
      </c>
      <c r="M14" s="60">
        <f t="shared" si="1"/>
        <v>207600</v>
      </c>
    </row>
    <row r="15" spans="1:13" ht="13.5" thickBot="1" x14ac:dyDescent="0.25">
      <c r="A15" s="160">
        <v>4</v>
      </c>
      <c r="B15" s="161"/>
      <c r="C15" s="71" t="str">
        <f>+'Necesidades Trimestrales (2)'!E13</f>
        <v>CEFALOTINA 1 GR. AMP.</v>
      </c>
      <c r="D15" s="74"/>
      <c r="E15" s="74"/>
      <c r="F15" s="74"/>
      <c r="G15" s="75"/>
      <c r="H15" s="164" t="s">
        <v>134</v>
      </c>
      <c r="I15" s="165" t="str">
        <f>'Necesidades Trimestrales (2)'!F17</f>
        <v>UNIDAD</v>
      </c>
      <c r="J15" s="166">
        <f>+'Necesidades Trimestrales (2)'!AT13</f>
        <v>218.4</v>
      </c>
      <c r="K15" s="70">
        <f>+'Necesidades Trimestrales (2)'!AS13</f>
        <v>8000</v>
      </c>
      <c r="L15" s="169">
        <f t="shared" si="0"/>
        <v>1747200</v>
      </c>
      <c r="M15" s="60">
        <f t="shared" si="1"/>
        <v>1747200</v>
      </c>
    </row>
    <row r="16" spans="1:13" ht="15" customHeight="1" x14ac:dyDescent="0.2">
      <c r="A16" s="160">
        <v>5</v>
      </c>
      <c r="B16" s="161"/>
      <c r="C16" s="162" t="str">
        <f>+'Necesidades Trimestrales (2)'!E14</f>
        <v>CIPROFLOXACINA 500 MG COMP</v>
      </c>
      <c r="D16" s="167"/>
      <c r="E16" s="167"/>
      <c r="F16" s="167"/>
      <c r="G16" s="168"/>
      <c r="H16" s="164" t="s">
        <v>134</v>
      </c>
      <c r="I16" s="165" t="str">
        <f>'Necesidades Trimestrales (2)'!F19</f>
        <v>UNIDAD</v>
      </c>
      <c r="J16" s="166">
        <f>+'Necesidades Trimestrales (2)'!AT14</f>
        <v>10.65</v>
      </c>
      <c r="K16" s="70">
        <f>+'Necesidades Trimestrales (2)'!AS14</f>
        <v>50000</v>
      </c>
      <c r="L16" s="169">
        <f t="shared" si="0"/>
        <v>532500</v>
      </c>
      <c r="M16" s="60">
        <f t="shared" si="1"/>
        <v>532500</v>
      </c>
    </row>
    <row r="17" spans="1:13" ht="15" customHeight="1" thickBot="1" x14ac:dyDescent="0.25">
      <c r="A17" s="160">
        <v>6</v>
      </c>
      <c r="B17" s="161"/>
      <c r="C17" s="71" t="str">
        <f>+'Necesidades Trimestrales (2)'!E15</f>
        <v xml:space="preserve">DICLOFENAC 75 MG. AMPOLLA </v>
      </c>
      <c r="D17" s="167"/>
      <c r="E17" s="167"/>
      <c r="F17" s="167"/>
      <c r="G17" s="168"/>
      <c r="H17" s="164" t="s">
        <v>134</v>
      </c>
      <c r="I17" s="165" t="str">
        <f>'Necesidades Trimestrales (2)'!F20</f>
        <v>UNIDAD</v>
      </c>
      <c r="J17" s="166">
        <f>+'Necesidades Trimestrales (2)'!AT15</f>
        <v>33</v>
      </c>
      <c r="K17" s="70">
        <f>+'Necesidades Trimestrales (2)'!AS15</f>
        <v>30700</v>
      </c>
      <c r="L17" s="169">
        <f t="shared" si="0"/>
        <v>1013100</v>
      </c>
      <c r="M17" s="60">
        <f t="shared" si="1"/>
        <v>1013100</v>
      </c>
    </row>
    <row r="18" spans="1:13" ht="15" customHeight="1" x14ac:dyDescent="0.2">
      <c r="A18" s="160">
        <v>7</v>
      </c>
      <c r="B18" s="161"/>
      <c r="C18" s="162" t="str">
        <f>+'Necesidades Trimestrales (2)'!E16</f>
        <v>DICLOFENAC SODICO 75 MG. COMPRIMIDO</v>
      </c>
      <c r="D18" s="167"/>
      <c r="E18" s="167"/>
      <c r="F18" s="167"/>
      <c r="G18" s="168"/>
      <c r="H18" s="164" t="s">
        <v>134</v>
      </c>
      <c r="I18" s="165" t="str">
        <f>'Necesidades Trimestrales (2)'!F21</f>
        <v>UNIDAD</v>
      </c>
      <c r="J18" s="166">
        <f>+'Necesidades Trimestrales (2)'!AT16</f>
        <v>4.9000000000000004</v>
      </c>
      <c r="K18" s="70">
        <f>+'Necesidades Trimestrales (2)'!AS16</f>
        <v>100000</v>
      </c>
      <c r="L18" s="169">
        <f t="shared" si="0"/>
        <v>490000.00000000006</v>
      </c>
      <c r="M18" s="60">
        <f t="shared" si="1"/>
        <v>490000.00000000006</v>
      </c>
    </row>
    <row r="19" spans="1:13" ht="15" customHeight="1" thickBot="1" x14ac:dyDescent="0.25">
      <c r="A19" s="160">
        <v>8</v>
      </c>
      <c r="B19" s="161"/>
      <c r="C19" s="71" t="str">
        <f>+'Necesidades Trimestrales (2)'!E17</f>
        <v>DIPIRONA JARABE</v>
      </c>
      <c r="D19" s="167"/>
      <c r="E19" s="167"/>
      <c r="F19" s="167"/>
      <c r="G19" s="168"/>
      <c r="H19" s="164" t="s">
        <v>134</v>
      </c>
      <c r="I19" s="165" t="str">
        <f>'Necesidades Trimestrales (2)'!F22</f>
        <v>UNIDAD</v>
      </c>
      <c r="J19" s="166">
        <f>+'Necesidades Trimestrales (2)'!AT17</f>
        <v>125.44</v>
      </c>
      <c r="K19" s="70">
        <f>+'Necesidades Trimestrales (2)'!AS17</f>
        <v>5000</v>
      </c>
      <c r="L19" s="169">
        <f t="shared" si="0"/>
        <v>627200</v>
      </c>
      <c r="M19" s="60">
        <f t="shared" si="1"/>
        <v>627200</v>
      </c>
    </row>
    <row r="20" spans="1:13" ht="15" customHeight="1" x14ac:dyDescent="0.2">
      <c r="A20" s="160">
        <v>9</v>
      </c>
      <c r="B20" s="161"/>
      <c r="C20" s="162" t="str">
        <f>+'Necesidades Trimestrales (2)'!E18</f>
        <v>INMUNOGLOBULINA HUMANA INESPECIFICA 10 GRS</v>
      </c>
      <c r="D20" s="167"/>
      <c r="E20" s="167"/>
      <c r="F20" s="167"/>
      <c r="G20" s="168"/>
      <c r="H20" s="164" t="s">
        <v>134</v>
      </c>
      <c r="I20" s="165" t="str">
        <f>'Necesidades Trimestrales (2)'!F23</f>
        <v>UNIDAD</v>
      </c>
      <c r="J20" s="166">
        <f>+'Necesidades Trimestrales (2)'!AT18</f>
        <v>89000</v>
      </c>
      <c r="K20" s="70">
        <f>+'Necesidades Trimestrales (2)'!AS18</f>
        <v>5</v>
      </c>
      <c r="L20" s="169">
        <f t="shared" si="0"/>
        <v>445000</v>
      </c>
      <c r="M20" s="60">
        <f t="shared" si="1"/>
        <v>445000</v>
      </c>
    </row>
    <row r="21" spans="1:13" ht="15" customHeight="1" thickBot="1" x14ac:dyDescent="0.25">
      <c r="A21" s="160">
        <v>10</v>
      </c>
      <c r="B21" s="161"/>
      <c r="C21" s="71" t="str">
        <f>+'Necesidades Trimestrales (2)'!E19</f>
        <v xml:space="preserve">KETOROLAC 10 MG COMPRIMIDO </v>
      </c>
      <c r="D21" s="167"/>
      <c r="E21" s="167"/>
      <c r="F21" s="167"/>
      <c r="G21" s="168"/>
      <c r="H21" s="164" t="s">
        <v>134</v>
      </c>
      <c r="I21" s="165" t="str">
        <f>'Necesidades Trimestrales (2)'!F24</f>
        <v>UNIDAD</v>
      </c>
      <c r="J21" s="166">
        <f>+'Necesidades Trimestrales (2)'!AT19</f>
        <v>5</v>
      </c>
      <c r="K21" s="70">
        <f>+'Necesidades Trimestrales (2)'!AS19</f>
        <v>10000</v>
      </c>
      <c r="L21" s="169">
        <f t="shared" si="0"/>
        <v>50000</v>
      </c>
      <c r="M21" s="60">
        <f t="shared" si="1"/>
        <v>50000</v>
      </c>
    </row>
    <row r="22" spans="1:13" ht="15" customHeight="1" thickBot="1" x14ac:dyDescent="0.25">
      <c r="A22" s="160">
        <v>11</v>
      </c>
      <c r="B22" s="161"/>
      <c r="C22" s="162" t="str">
        <f>+'Necesidades Trimestrales (2)'!E20</f>
        <v>KETOROLAC 30MG/ML AMPOLLA</v>
      </c>
      <c r="D22" s="167"/>
      <c r="E22" s="167"/>
      <c r="F22" s="167"/>
      <c r="G22" s="168"/>
      <c r="H22" s="164" t="s">
        <v>134</v>
      </c>
      <c r="I22" s="165" t="str">
        <f>'Necesidades Trimestrales (2)'!F27</f>
        <v>UNIDAD</v>
      </c>
      <c r="J22" s="166">
        <f>+'Necesidades Trimestrales (2)'!AT20</f>
        <v>29.4</v>
      </c>
      <c r="K22" s="70">
        <f>+'Necesidades Trimestrales (2)'!AS20</f>
        <v>10000</v>
      </c>
      <c r="L22" s="169">
        <f t="shared" si="0"/>
        <v>294000</v>
      </c>
      <c r="M22" s="60">
        <f t="shared" si="1"/>
        <v>294000</v>
      </c>
    </row>
    <row r="23" spans="1:13" ht="15" customHeight="1" x14ac:dyDescent="0.2">
      <c r="A23" s="160">
        <v>12</v>
      </c>
      <c r="B23" s="161"/>
      <c r="C23" s="162" t="str">
        <f>+'Necesidades Trimestrales (2)'!E21</f>
        <v>LIDOCAINA 2%SIN EPINEFRINA X 20 ML</v>
      </c>
      <c r="D23" s="167"/>
      <c r="E23" s="167"/>
      <c r="F23" s="167"/>
      <c r="G23" s="168"/>
      <c r="H23" s="164" t="s">
        <v>134</v>
      </c>
      <c r="I23" s="190" t="s">
        <v>12</v>
      </c>
      <c r="J23" s="166">
        <f>+'Necesidades Trimestrales (2)'!AT21</f>
        <v>330</v>
      </c>
      <c r="K23" s="70">
        <f>+'Necesidades Trimestrales (2)'!AS21</f>
        <v>6000</v>
      </c>
      <c r="L23" s="169">
        <f t="shared" si="0"/>
        <v>1980000</v>
      </c>
      <c r="M23" s="60">
        <f t="shared" si="1"/>
        <v>1980000</v>
      </c>
    </row>
    <row r="24" spans="1:13" ht="15" customHeight="1" thickBot="1" x14ac:dyDescent="0.25">
      <c r="A24" s="160">
        <v>13</v>
      </c>
      <c r="B24" s="181"/>
      <c r="C24" s="71" t="str">
        <f>+'Necesidades Trimestrales (2)'!E22</f>
        <v>LIDOCAINA AEROSOL</v>
      </c>
      <c r="D24" s="72"/>
      <c r="E24" s="72"/>
      <c r="F24" s="72"/>
      <c r="G24" s="189"/>
      <c r="H24" s="164" t="s">
        <v>134</v>
      </c>
      <c r="I24" s="190" t="s">
        <v>12</v>
      </c>
      <c r="J24" s="166">
        <f>+'Necesidades Trimestrales (2)'!AT22</f>
        <v>385</v>
      </c>
      <c r="K24" s="70">
        <f>+'Necesidades Trimestrales (2)'!AS22</f>
        <v>50</v>
      </c>
      <c r="L24" s="169">
        <f t="shared" si="0"/>
        <v>19250</v>
      </c>
      <c r="M24" s="60">
        <f t="shared" si="1"/>
        <v>19250</v>
      </c>
    </row>
    <row r="25" spans="1:13" ht="15" customHeight="1" thickBot="1" x14ac:dyDescent="0.25">
      <c r="A25" s="160">
        <v>14</v>
      </c>
      <c r="B25" s="181"/>
      <c r="C25" s="162" t="str">
        <f>+'Necesidades Trimestrales (2)'!E23</f>
        <v>LIDOCAINA JALEA</v>
      </c>
      <c r="D25" s="72"/>
      <c r="E25" s="72"/>
      <c r="F25" s="72"/>
      <c r="G25" s="189"/>
      <c r="H25" s="164" t="s">
        <v>134</v>
      </c>
      <c r="I25" s="182" t="s">
        <v>12</v>
      </c>
      <c r="J25" s="166">
        <f>+'Necesidades Trimestrales (2)'!AT23</f>
        <v>130</v>
      </c>
      <c r="K25" s="70">
        <f>+'Necesidades Trimestrales (2)'!AS23</f>
        <v>300</v>
      </c>
      <c r="L25" s="169">
        <f t="shared" si="0"/>
        <v>39000</v>
      </c>
      <c r="M25" s="60"/>
    </row>
    <row r="26" spans="1:13" ht="15" customHeight="1" x14ac:dyDescent="0.2">
      <c r="A26" s="160">
        <v>15</v>
      </c>
      <c r="B26" s="181"/>
      <c r="C26" s="162" t="str">
        <f>+'Necesidades Trimestrales (2)'!E24</f>
        <v>NAPROXENO 500MG COMPRIMIDO</v>
      </c>
      <c r="D26" s="72"/>
      <c r="E26" s="72"/>
      <c r="F26" s="72"/>
      <c r="G26" s="189"/>
      <c r="H26" s="164" t="s">
        <v>134</v>
      </c>
      <c r="I26" s="182" t="s">
        <v>12</v>
      </c>
      <c r="J26" s="166">
        <f>+'Necesidades Trimestrales (2)'!AT24</f>
        <v>15.8</v>
      </c>
      <c r="K26" s="70">
        <f>+'Necesidades Trimestrales (2)'!AS24</f>
        <v>10000</v>
      </c>
      <c r="L26" s="169">
        <f t="shared" si="0"/>
        <v>158000</v>
      </c>
      <c r="M26" s="60"/>
    </row>
    <row r="27" spans="1:13" ht="15" customHeight="1" thickBot="1" x14ac:dyDescent="0.25">
      <c r="A27" s="160">
        <v>16</v>
      </c>
      <c r="B27" s="181"/>
      <c r="C27" s="71" t="str">
        <f>+'Necesidades Trimestrales (2)'!E25</f>
        <v>PENICILINA BENZATINICA 2.400.000 FCO AMPOLLA</v>
      </c>
      <c r="D27" s="72"/>
      <c r="E27" s="72"/>
      <c r="F27" s="72"/>
      <c r="G27" s="189"/>
      <c r="H27" s="164" t="s">
        <v>134</v>
      </c>
      <c r="I27" s="182" t="s">
        <v>12</v>
      </c>
      <c r="J27" s="166">
        <f>+'Necesidades Trimestrales (2)'!AT25</f>
        <v>160</v>
      </c>
      <c r="K27" s="70">
        <f>+'Necesidades Trimestrales (2)'!AS25</f>
        <v>10000</v>
      </c>
      <c r="L27" s="169">
        <f t="shared" si="0"/>
        <v>1600000</v>
      </c>
      <c r="M27" s="60"/>
    </row>
    <row r="28" spans="1:13" ht="15" customHeight="1" thickBot="1" x14ac:dyDescent="0.25">
      <c r="A28" s="160">
        <v>17</v>
      </c>
      <c r="B28" s="181"/>
      <c r="C28" s="162" t="str">
        <f>+'Necesidades Trimestrales (2)'!E26</f>
        <v xml:space="preserve">PERMETRINA LOCION </v>
      </c>
      <c r="D28" s="72"/>
      <c r="E28" s="72"/>
      <c r="F28" s="72"/>
      <c r="G28" s="189"/>
      <c r="H28" s="164" t="s">
        <v>134</v>
      </c>
      <c r="I28" s="182" t="s">
        <v>12</v>
      </c>
      <c r="J28" s="166">
        <f>+'Necesidades Trimestrales (2)'!AT26</f>
        <v>525</v>
      </c>
      <c r="K28" s="70">
        <f>+'Necesidades Trimestrales (2)'!AS26</f>
        <v>3000</v>
      </c>
      <c r="L28" s="169">
        <f t="shared" si="0"/>
        <v>1575000</v>
      </c>
      <c r="M28" s="60"/>
    </row>
    <row r="29" spans="1:13" ht="15" customHeight="1" x14ac:dyDescent="0.2">
      <c r="A29" s="160">
        <v>18</v>
      </c>
      <c r="B29" s="181"/>
      <c r="C29" s="162" t="str">
        <f>+'Necesidades Trimestrales (2)'!E27</f>
        <v>SEVOFLUORANO X 250 ML TIPO ABBOTT</v>
      </c>
      <c r="D29" s="72"/>
      <c r="E29" s="72"/>
      <c r="F29" s="72"/>
      <c r="G29" s="189"/>
      <c r="H29" s="164" t="s">
        <v>134</v>
      </c>
      <c r="I29" s="182" t="s">
        <v>12</v>
      </c>
      <c r="J29" s="166">
        <f>+'Necesidades Trimestrales (2)'!AT27</f>
        <v>6888</v>
      </c>
      <c r="K29" s="70">
        <f>+'Necesidades Trimestrales (2)'!AS27</f>
        <v>10</v>
      </c>
      <c r="L29" s="169">
        <f t="shared" si="0"/>
        <v>68880</v>
      </c>
      <c r="M29" s="60"/>
    </row>
    <row r="30" spans="1:13" ht="15" x14ac:dyDescent="0.2">
      <c r="A30" s="183"/>
      <c r="B30" s="184"/>
      <c r="C30" s="204"/>
      <c r="D30" s="205"/>
      <c r="E30" s="205"/>
      <c r="F30" s="205"/>
      <c r="G30" s="206"/>
      <c r="H30" s="185"/>
      <c r="I30" s="186"/>
      <c r="J30" s="187"/>
      <c r="K30" s="188"/>
      <c r="M30" s="60"/>
    </row>
    <row r="31" spans="1:13" ht="13.5" thickBot="1" x14ac:dyDescent="0.25">
      <c r="A31" s="207" t="s">
        <v>132</v>
      </c>
      <c r="B31" s="208"/>
      <c r="C31" s="208"/>
      <c r="D31" s="208"/>
      <c r="E31" s="208"/>
      <c r="F31" s="208"/>
      <c r="G31" s="208"/>
      <c r="H31" s="208"/>
      <c r="I31" s="209"/>
      <c r="J31" s="210">
        <f>SUM(L12:L29)</f>
        <v>11497230</v>
      </c>
      <c r="K31" s="211"/>
      <c r="M31" s="60">
        <f>SUM(M12:M30)</f>
        <v>8056350</v>
      </c>
    </row>
  </sheetData>
  <mergeCells count="19">
    <mergeCell ref="C30:G30"/>
    <mergeCell ref="A31:I31"/>
    <mergeCell ref="J31:K31"/>
    <mergeCell ref="A8:C8"/>
    <mergeCell ref="D8:K8"/>
    <mergeCell ref="A10:A11"/>
    <mergeCell ref="B10:B11"/>
    <mergeCell ref="C10:G11"/>
    <mergeCell ref="H10:H11"/>
    <mergeCell ref="I10:I11"/>
    <mergeCell ref="J10:J11"/>
    <mergeCell ref="K10:K11"/>
    <mergeCell ref="A7:C7"/>
    <mergeCell ref="D7:K7"/>
    <mergeCell ref="A1:I1"/>
    <mergeCell ref="A3:C3"/>
    <mergeCell ref="A4:C4"/>
    <mergeCell ref="A5:C5"/>
    <mergeCell ref="A6:C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7"/>
  <sheetViews>
    <sheetView topLeftCell="A10" workbookViewId="0">
      <selection activeCell="Q15" sqref="Q15"/>
    </sheetView>
  </sheetViews>
  <sheetFormatPr baseColWidth="10" defaultRowHeight="12.75" x14ac:dyDescent="0.2"/>
  <cols>
    <col min="1" max="5" width="4.42578125" customWidth="1"/>
    <col min="6" max="6" width="5.5703125" customWidth="1"/>
    <col min="7" max="14" width="4.42578125" customWidth="1"/>
    <col min="15" max="16" width="14.85546875" customWidth="1"/>
    <col min="17" max="17" width="17.7109375" customWidth="1"/>
  </cols>
  <sheetData>
    <row r="1" spans="1:17" ht="18.75" customHeight="1" thickBot="1" x14ac:dyDescent="0.3">
      <c r="A1" s="221" t="s">
        <v>2</v>
      </c>
      <c r="B1" s="221"/>
      <c r="C1" s="221"/>
      <c r="D1" s="222">
        <v>2021</v>
      </c>
      <c r="E1" s="222"/>
      <c r="F1" s="76"/>
      <c r="G1" s="76"/>
      <c r="H1" s="77"/>
      <c r="I1" s="77"/>
      <c r="J1" s="77"/>
      <c r="K1" s="77"/>
      <c r="L1" s="77"/>
      <c r="M1" s="77"/>
      <c r="N1" s="77"/>
      <c r="O1" s="78"/>
      <c r="P1" s="223" t="s">
        <v>84</v>
      </c>
      <c r="Q1" s="223"/>
    </row>
    <row r="2" spans="1:17" ht="18.75" customHeight="1" thickBot="1" x14ac:dyDescent="0.25">
      <c r="A2" s="78"/>
      <c r="B2" s="78"/>
      <c r="C2" s="78"/>
      <c r="D2" s="78"/>
      <c r="E2" s="78"/>
      <c r="F2" s="78"/>
      <c r="G2" s="79"/>
      <c r="H2" s="77"/>
      <c r="I2" s="77"/>
      <c r="J2" s="77"/>
      <c r="K2" s="77"/>
      <c r="L2" s="77"/>
      <c r="M2" s="77"/>
      <c r="N2" s="77"/>
      <c r="O2" s="78"/>
      <c r="P2" s="223"/>
      <c r="Q2" s="223"/>
    </row>
    <row r="3" spans="1:17" ht="18.75" customHeight="1" thickBot="1" x14ac:dyDescent="0.25">
      <c r="A3" s="78"/>
      <c r="B3" s="78"/>
      <c r="C3" s="78"/>
      <c r="D3" s="78"/>
      <c r="E3" s="78"/>
      <c r="F3" s="78"/>
      <c r="G3" s="79"/>
      <c r="H3" s="78"/>
      <c r="I3" s="78"/>
      <c r="J3" s="78"/>
      <c r="K3" s="78"/>
      <c r="L3" s="78"/>
      <c r="M3" s="78"/>
      <c r="N3" s="78"/>
      <c r="O3" s="78"/>
      <c r="P3" s="78"/>
      <c r="Q3" s="78"/>
    </row>
    <row r="4" spans="1:17" ht="18.75" customHeight="1" thickBot="1" x14ac:dyDescent="0.25">
      <c r="A4" s="224" t="s">
        <v>85</v>
      </c>
      <c r="B4" s="224"/>
      <c r="C4" s="224"/>
      <c r="D4" s="224"/>
      <c r="E4" s="224"/>
      <c r="F4" s="224"/>
      <c r="G4" s="80" t="str">
        <f>NP!D3</f>
        <v>040 - Ministerio de Salud</v>
      </c>
      <c r="H4" s="81"/>
      <c r="I4" s="81"/>
      <c r="J4" s="81"/>
      <c r="K4" s="81"/>
      <c r="L4" s="81"/>
      <c r="M4" s="81"/>
      <c r="N4" s="81"/>
      <c r="O4" s="81"/>
      <c r="P4" s="81"/>
      <c r="Q4" s="82"/>
    </row>
    <row r="5" spans="1:17" ht="18.75" customHeight="1" thickBot="1" x14ac:dyDescent="0.25">
      <c r="A5" s="218" t="s">
        <v>71</v>
      </c>
      <c r="B5" s="219"/>
      <c r="C5" s="219"/>
      <c r="D5" s="219"/>
      <c r="E5" s="219"/>
      <c r="F5" s="220"/>
      <c r="G5" s="80" t="str">
        <f>NP!D4</f>
        <v>011 - Direccion Provincial de Administración - Ministerio de Salud</v>
      </c>
      <c r="H5" s="81"/>
      <c r="I5" s="81"/>
      <c r="J5" s="81"/>
      <c r="K5" s="81"/>
      <c r="L5" s="81"/>
      <c r="M5" s="81"/>
      <c r="N5" s="81"/>
      <c r="O5" s="81"/>
      <c r="P5" s="81"/>
      <c r="Q5" s="82"/>
    </row>
    <row r="6" spans="1:17" ht="18.75" customHeight="1" thickBot="1" x14ac:dyDescent="0.25">
      <c r="A6" s="218" t="s">
        <v>73</v>
      </c>
      <c r="B6" s="219"/>
      <c r="C6" s="219"/>
      <c r="D6" s="219"/>
      <c r="E6" s="219"/>
      <c r="F6" s="220"/>
      <c r="G6" s="80" t="str">
        <f>NP!D5</f>
        <v>469 - DIRECCION PROVINCIAL DE FARMACIA E INSUMOS</v>
      </c>
      <c r="H6" s="81"/>
      <c r="I6" s="81"/>
      <c r="J6" s="81"/>
      <c r="K6" s="81"/>
      <c r="L6" s="81"/>
      <c r="M6" s="81"/>
      <c r="N6" s="81"/>
      <c r="O6" s="81"/>
      <c r="P6" s="81"/>
      <c r="Q6" s="82"/>
    </row>
    <row r="7" spans="1:17" ht="18.75" customHeight="1" thickBot="1" x14ac:dyDescent="0.25">
      <c r="A7" s="218" t="s">
        <v>74</v>
      </c>
      <c r="B7" s="219"/>
      <c r="C7" s="219"/>
      <c r="D7" s="219"/>
      <c r="E7" s="219"/>
      <c r="F7" s="220"/>
      <c r="G7" s="80" t="str">
        <f>NP!D6</f>
        <v>469 - DIRECCION PROVINCIAL DE FARMACIA E INSUMOS</v>
      </c>
      <c r="H7" s="81"/>
      <c r="I7" s="81"/>
      <c r="J7" s="81"/>
      <c r="K7" s="81"/>
      <c r="L7" s="81"/>
      <c r="M7" s="81"/>
      <c r="N7" s="81"/>
      <c r="O7" s="81"/>
      <c r="P7" s="81"/>
      <c r="Q7" s="82"/>
    </row>
    <row r="8" spans="1:17" ht="18.75" customHeight="1" thickBot="1" x14ac:dyDescent="0.25">
      <c r="A8" s="226" t="s">
        <v>86</v>
      </c>
      <c r="B8" s="226"/>
      <c r="C8" s="226"/>
      <c r="D8" s="226"/>
      <c r="E8" s="226"/>
      <c r="F8" s="226"/>
      <c r="G8" s="226"/>
      <c r="H8" s="226"/>
      <c r="I8" s="226"/>
      <c r="J8" s="226"/>
      <c r="K8" s="226"/>
      <c r="L8" s="226"/>
      <c r="M8" s="226"/>
      <c r="N8" s="226"/>
      <c r="O8" s="226"/>
      <c r="P8" s="226"/>
      <c r="Q8" s="226"/>
    </row>
    <row r="9" spans="1:17" ht="18.75" customHeight="1" x14ac:dyDescent="0.2">
      <c r="A9" s="227" t="s">
        <v>87</v>
      </c>
      <c r="B9" s="227"/>
      <c r="C9" s="227"/>
      <c r="D9" s="227"/>
      <c r="E9" s="227"/>
      <c r="F9" s="227"/>
      <c r="G9" s="227"/>
      <c r="H9" s="227"/>
      <c r="I9" s="227"/>
      <c r="J9" s="227"/>
      <c r="K9" s="227"/>
      <c r="L9" s="227"/>
      <c r="M9" s="227"/>
      <c r="N9" s="227"/>
      <c r="O9" s="83"/>
      <c r="P9" s="83"/>
      <c r="Q9" s="84"/>
    </row>
    <row r="10" spans="1:17" ht="54" customHeight="1" x14ac:dyDescent="0.2">
      <c r="A10" s="228" t="s">
        <v>119</v>
      </c>
      <c r="B10" s="229"/>
      <c r="C10" s="229"/>
      <c r="D10" s="229"/>
      <c r="E10" s="229"/>
      <c r="F10" s="229"/>
      <c r="G10" s="229"/>
      <c r="H10" s="229"/>
      <c r="I10" s="229"/>
      <c r="J10" s="229"/>
      <c r="K10" s="229"/>
      <c r="L10" s="229"/>
      <c r="M10" s="229"/>
      <c r="N10" s="229"/>
      <c r="O10" s="229"/>
      <c r="P10" s="229"/>
      <c r="Q10" s="230"/>
    </row>
    <row r="11" spans="1:17" ht="18.75" customHeight="1" thickBot="1" x14ac:dyDescent="0.25">
      <c r="A11" s="85"/>
      <c r="B11" s="86"/>
      <c r="C11" s="86"/>
      <c r="D11" s="86"/>
      <c r="E11" s="86"/>
      <c r="F11" s="86"/>
      <c r="G11" s="87"/>
      <c r="H11" s="86"/>
      <c r="I11" s="86"/>
      <c r="J11" s="86"/>
      <c r="K11" s="86"/>
      <c r="L11" s="86"/>
      <c r="M11" s="86"/>
      <c r="N11" s="86"/>
      <c r="O11" s="86"/>
      <c r="P11" s="86"/>
      <c r="Q11" s="88"/>
    </row>
    <row r="12" spans="1:17" ht="18.75" customHeight="1" thickBot="1" x14ac:dyDescent="0.25">
      <c r="A12" s="231" t="s">
        <v>88</v>
      </c>
      <c r="B12" s="231"/>
      <c r="C12" s="231"/>
      <c r="D12" s="231"/>
      <c r="E12" s="231"/>
      <c r="F12" s="231"/>
      <c r="G12" s="231"/>
      <c r="H12" s="231"/>
      <c r="I12" s="231"/>
      <c r="J12" s="231"/>
      <c r="K12" s="231"/>
      <c r="L12" s="231"/>
      <c r="M12" s="231"/>
      <c r="N12" s="231"/>
      <c r="O12" s="231"/>
      <c r="P12" s="231"/>
      <c r="Q12" s="231"/>
    </row>
    <row r="13" spans="1:17" ht="18.75" customHeight="1" thickBot="1" x14ac:dyDescent="0.25">
      <c r="A13" s="232" t="s">
        <v>89</v>
      </c>
      <c r="B13" s="232"/>
      <c r="C13" s="232"/>
      <c r="D13" s="232"/>
      <c r="E13" s="232"/>
      <c r="F13" s="232"/>
      <c r="G13" s="232"/>
      <c r="H13" s="232"/>
      <c r="I13" s="232"/>
      <c r="J13" s="232"/>
      <c r="K13" s="232"/>
      <c r="L13" s="232"/>
      <c r="M13" s="232"/>
      <c r="N13" s="232"/>
      <c r="O13" s="233" t="s">
        <v>90</v>
      </c>
      <c r="P13" s="233"/>
      <c r="Q13" s="234" t="s">
        <v>91</v>
      </c>
    </row>
    <row r="14" spans="1:17" ht="18.75" customHeight="1" thickBot="1" x14ac:dyDescent="0.25">
      <c r="A14" s="89" t="s">
        <v>92</v>
      </c>
      <c r="B14" s="90" t="s">
        <v>93</v>
      </c>
      <c r="C14" s="90" t="s">
        <v>94</v>
      </c>
      <c r="D14" s="90" t="s">
        <v>95</v>
      </c>
      <c r="E14" s="90" t="s">
        <v>96</v>
      </c>
      <c r="F14" s="90" t="s">
        <v>97</v>
      </c>
      <c r="G14" s="91" t="s">
        <v>98</v>
      </c>
      <c r="H14" s="90" t="s">
        <v>99</v>
      </c>
      <c r="I14" s="90" t="s">
        <v>100</v>
      </c>
      <c r="J14" s="90" t="s">
        <v>101</v>
      </c>
      <c r="K14" s="90" t="s">
        <v>101</v>
      </c>
      <c r="L14" s="90" t="s">
        <v>102</v>
      </c>
      <c r="M14" s="92" t="s">
        <v>103</v>
      </c>
      <c r="N14" s="93" t="s">
        <v>104</v>
      </c>
      <c r="O14" s="233"/>
      <c r="P14" s="233"/>
      <c r="Q14" s="234"/>
    </row>
    <row r="15" spans="1:17" ht="37.5" customHeight="1" x14ac:dyDescent="0.2">
      <c r="A15" s="94">
        <v>30</v>
      </c>
      <c r="B15" s="95"/>
      <c r="C15" s="95"/>
      <c r="D15" s="95">
        <v>1</v>
      </c>
      <c r="E15" s="95"/>
      <c r="F15" s="95">
        <v>4901</v>
      </c>
      <c r="G15" s="95">
        <v>3</v>
      </c>
      <c r="H15" s="95">
        <v>1</v>
      </c>
      <c r="I15" s="96">
        <v>2</v>
      </c>
      <c r="J15" s="96">
        <v>5</v>
      </c>
      <c r="K15" s="96">
        <v>2</v>
      </c>
      <c r="L15" s="95"/>
      <c r="M15" s="97">
        <v>1</v>
      </c>
      <c r="N15" s="98" t="s">
        <v>105</v>
      </c>
      <c r="O15" s="235" t="s">
        <v>106</v>
      </c>
      <c r="P15" s="236"/>
      <c r="Q15" s="99">
        <f>+'Necesidades Trimestrales (2)'!AU28</f>
        <v>11497230</v>
      </c>
    </row>
    <row r="16" spans="1:17" ht="18.75" customHeight="1" x14ac:dyDescent="0.2">
      <c r="A16" s="100"/>
      <c r="B16" s="101"/>
      <c r="C16" s="101"/>
      <c r="D16" s="101"/>
      <c r="E16" s="101"/>
      <c r="F16" s="101"/>
      <c r="G16" s="101"/>
      <c r="H16" s="101"/>
      <c r="I16" s="101"/>
      <c r="J16" s="101"/>
      <c r="K16" s="101"/>
      <c r="L16" s="101"/>
      <c r="M16" s="102"/>
      <c r="N16" s="103"/>
      <c r="O16" s="237"/>
      <c r="P16" s="225"/>
      <c r="Q16" s="104"/>
    </row>
    <row r="17" spans="1:17" ht="18.75" customHeight="1" x14ac:dyDescent="0.2">
      <c r="A17" s="100"/>
      <c r="B17" s="101"/>
      <c r="C17" s="101"/>
      <c r="D17" s="101"/>
      <c r="E17" s="101"/>
      <c r="F17" s="103"/>
      <c r="G17" s="101"/>
      <c r="H17" s="101"/>
      <c r="I17" s="101"/>
      <c r="J17" s="101"/>
      <c r="K17" s="101"/>
      <c r="L17" s="101"/>
      <c r="M17" s="102"/>
      <c r="N17" s="103"/>
      <c r="O17" s="237"/>
      <c r="P17" s="225"/>
      <c r="Q17" s="104"/>
    </row>
    <row r="18" spans="1:17" ht="18.75" customHeight="1" x14ac:dyDescent="0.2">
      <c r="A18" s="100"/>
      <c r="B18" s="101"/>
      <c r="C18" s="101"/>
      <c r="D18" s="101"/>
      <c r="E18" s="101"/>
      <c r="F18" s="101"/>
      <c r="G18" s="101"/>
      <c r="H18" s="101"/>
      <c r="I18" s="101"/>
      <c r="J18" s="101"/>
      <c r="K18" s="101"/>
      <c r="L18" s="101"/>
      <c r="M18" s="102"/>
      <c r="N18" s="103"/>
      <c r="O18" s="225"/>
      <c r="P18" s="225"/>
      <c r="Q18" s="104"/>
    </row>
    <row r="19" spans="1:17" ht="18.75" customHeight="1" x14ac:dyDescent="0.2">
      <c r="A19" s="100"/>
      <c r="B19" s="101"/>
      <c r="C19" s="101"/>
      <c r="D19" s="101"/>
      <c r="E19" s="101"/>
      <c r="F19" s="103"/>
      <c r="G19" s="101"/>
      <c r="H19" s="101"/>
      <c r="I19" s="101"/>
      <c r="J19" s="101"/>
      <c r="K19" s="101"/>
      <c r="L19" s="101"/>
      <c r="M19" s="102"/>
      <c r="N19" s="103"/>
      <c r="O19" s="225"/>
      <c r="P19" s="225"/>
      <c r="Q19" s="104"/>
    </row>
    <row r="20" spans="1:17" ht="18.75" customHeight="1" x14ac:dyDescent="0.2">
      <c r="A20" s="100"/>
      <c r="B20" s="101"/>
      <c r="C20" s="101"/>
      <c r="D20" s="101"/>
      <c r="E20" s="101"/>
      <c r="F20" s="103"/>
      <c r="G20" s="101"/>
      <c r="H20" s="101"/>
      <c r="I20" s="101"/>
      <c r="J20" s="101"/>
      <c r="K20" s="101"/>
      <c r="L20" s="101"/>
      <c r="M20" s="102"/>
      <c r="N20" s="103"/>
      <c r="O20" s="225"/>
      <c r="P20" s="225"/>
      <c r="Q20" s="104"/>
    </row>
    <row r="21" spans="1:17" ht="18.75" customHeight="1" x14ac:dyDescent="0.2">
      <c r="A21" s="105"/>
      <c r="B21" s="106"/>
      <c r="C21" s="106"/>
      <c r="D21" s="106"/>
      <c r="E21" s="106"/>
      <c r="F21" s="107"/>
      <c r="G21" s="106"/>
      <c r="H21" s="106"/>
      <c r="I21" s="106"/>
      <c r="J21" s="106"/>
      <c r="K21" s="106"/>
      <c r="L21" s="106"/>
      <c r="M21" s="108"/>
      <c r="N21" s="109"/>
      <c r="O21" s="237"/>
      <c r="P21" s="237"/>
      <c r="Q21" s="104"/>
    </row>
    <row r="22" spans="1:17" ht="18.75" customHeight="1" thickBot="1" x14ac:dyDescent="0.25">
      <c r="A22" s="110"/>
      <c r="B22" s="111"/>
      <c r="C22" s="111"/>
      <c r="D22" s="111"/>
      <c r="E22" s="111"/>
      <c r="F22" s="111"/>
      <c r="G22" s="111"/>
      <c r="H22" s="111"/>
      <c r="I22" s="111"/>
      <c r="J22" s="111"/>
      <c r="K22" s="111"/>
      <c r="L22" s="111"/>
      <c r="M22" s="112"/>
      <c r="N22" s="111"/>
      <c r="O22" s="238"/>
      <c r="P22" s="238"/>
      <c r="Q22" s="113"/>
    </row>
    <row r="23" spans="1:17" ht="37.5" customHeight="1" thickBot="1" x14ac:dyDescent="0.25">
      <c r="A23" s="239" t="s">
        <v>133</v>
      </c>
      <c r="B23" s="239"/>
      <c r="C23" s="239"/>
      <c r="D23" s="239"/>
      <c r="E23" s="239"/>
      <c r="F23" s="239"/>
      <c r="G23" s="239"/>
      <c r="H23" s="239"/>
      <c r="I23" s="239"/>
      <c r="J23" s="239"/>
      <c r="K23" s="239"/>
      <c r="L23" s="239"/>
      <c r="M23" s="239"/>
      <c r="N23" s="239"/>
      <c r="O23" s="239"/>
      <c r="P23" s="239"/>
      <c r="Q23" s="114">
        <f>SUM(Q15:Q22)</f>
        <v>11497230</v>
      </c>
    </row>
    <row r="24" spans="1:17" ht="18.75" customHeight="1" thickBot="1" x14ac:dyDescent="0.25">
      <c r="A24" s="240"/>
      <c r="B24" s="240"/>
      <c r="C24" s="240"/>
      <c r="D24" s="240"/>
      <c r="E24" s="240"/>
      <c r="F24" s="240"/>
      <c r="G24" s="240"/>
      <c r="H24" s="240"/>
      <c r="I24" s="240"/>
      <c r="J24" s="240"/>
      <c r="K24" s="240"/>
      <c r="L24" s="240"/>
      <c r="M24" s="240"/>
      <c r="N24" s="240"/>
      <c r="O24" s="240"/>
      <c r="P24" s="240"/>
      <c r="Q24" s="240"/>
    </row>
    <row r="25" spans="1:17" ht="18.75" customHeight="1" thickBot="1" x14ac:dyDescent="0.25">
      <c r="A25" s="241" t="s">
        <v>107</v>
      </c>
      <c r="B25" s="242"/>
      <c r="C25" s="242"/>
      <c r="D25" s="242"/>
      <c r="E25" s="242"/>
      <c r="F25" s="243"/>
      <c r="G25" s="244"/>
      <c r="H25" s="244"/>
      <c r="I25" s="244"/>
      <c r="J25" s="244"/>
      <c r="K25" s="244"/>
      <c r="L25" s="244"/>
      <c r="M25" s="244"/>
      <c r="N25" s="244"/>
      <c r="O25" s="244"/>
      <c r="P25" s="244"/>
      <c r="Q25" s="244"/>
    </row>
    <row r="26" spans="1:17" ht="18.75" customHeight="1" x14ac:dyDescent="0.2">
      <c r="A26" s="115" t="str">
        <f>NP!D8</f>
        <v>Adquisicion del  RUBRO ANALGESICOS Y ANTIINFECCIONSA</v>
      </c>
      <c r="B26" s="116"/>
      <c r="C26" s="116"/>
      <c r="D26" s="116"/>
      <c r="E26" s="116"/>
      <c r="F26" s="116"/>
      <c r="G26" s="116"/>
      <c r="H26" s="116"/>
      <c r="I26" s="116"/>
      <c r="J26" s="116"/>
      <c r="K26" s="116"/>
      <c r="L26" s="116"/>
      <c r="M26" s="116"/>
      <c r="N26" s="116"/>
      <c r="O26" s="116"/>
      <c r="P26" s="116"/>
      <c r="Q26" s="117"/>
    </row>
    <row r="27" spans="1:17" ht="18.75" customHeight="1" thickBot="1" x14ac:dyDescent="0.25">
      <c r="A27" s="118"/>
      <c r="B27" s="119"/>
      <c r="C27" s="119"/>
      <c r="D27" s="119"/>
      <c r="E27" s="119"/>
      <c r="F27" s="119"/>
      <c r="G27" s="119"/>
      <c r="H27" s="119"/>
      <c r="I27" s="119"/>
      <c r="J27" s="119"/>
      <c r="K27" s="119"/>
      <c r="L27" s="119"/>
      <c r="M27" s="119"/>
      <c r="N27" s="119"/>
      <c r="O27" s="119"/>
      <c r="P27" s="119"/>
      <c r="Q27" s="120"/>
    </row>
  </sheetData>
  <mergeCells count="26">
    <mergeCell ref="O21:P21"/>
    <mergeCell ref="O22:P22"/>
    <mergeCell ref="A23:P23"/>
    <mergeCell ref="A24:Q24"/>
    <mergeCell ref="A25:F25"/>
    <mergeCell ref="G25:Q25"/>
    <mergeCell ref="O20:P20"/>
    <mergeCell ref="A7:F7"/>
    <mergeCell ref="A8:Q8"/>
    <mergeCell ref="A9:N9"/>
    <mergeCell ref="A10:Q10"/>
    <mergeCell ref="A12:Q12"/>
    <mergeCell ref="A13:N13"/>
    <mergeCell ref="O13:P14"/>
    <mergeCell ref="Q13:Q14"/>
    <mergeCell ref="O15:P15"/>
    <mergeCell ref="O16:P16"/>
    <mergeCell ref="O17:P17"/>
    <mergeCell ref="O18:P18"/>
    <mergeCell ref="O19:P19"/>
    <mergeCell ref="A6:F6"/>
    <mergeCell ref="A1:C1"/>
    <mergeCell ref="D1:E1"/>
    <mergeCell ref="P1:Q2"/>
    <mergeCell ref="A4:F4"/>
    <mergeCell ref="A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 (2)</vt:lpstr>
      <vt:lpstr>NP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cp:revision>2</cp:revision>
  <cp:lastPrinted>2021-02-22T15:06:37Z</cp:lastPrinted>
  <dcterms:created xsi:type="dcterms:W3CDTF">2020-07-17T23:44:49Z</dcterms:created>
  <dcterms:modified xsi:type="dcterms:W3CDTF">2021-08-12T16:37:21Z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