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B696505D-74D8-4457-B816-D58CCAD28375}" xr6:coauthVersionLast="46" xr6:coauthVersionMax="46" xr10:uidLastSave="{00000000-0000-0000-0000-000000000000}"/>
  <bookViews>
    <workbookView xWindow="-120" yWindow="-120" windowWidth="29040" windowHeight="15840" activeTab="2" xr2:uid="{00000000-000D-0000-FFFF-FFFF00000000}"/>
  </bookViews>
  <sheets>
    <sheet name="Necesidades Trimestrales " sheetId="2" r:id="rId1"/>
    <sheet name=" NotaPedido FARMACIA" sheetId="3" r:id="rId2"/>
    <sheet name="APG FARMACIA " sheetId="4" r:id="rId3"/>
  </sheets>
  <definedNames>
    <definedName name="_xlnm._FilterDatabase" localSheetId="0" hidden="1">'Necesidades Trimestrales '!$A$9:$I$9</definedName>
    <definedName name="_xlnm.Print_Area" localSheetId="1">' NotaPedido FARMACIA'!$A$1:$K$81</definedName>
    <definedName name="_xlnm.Print_Area" localSheetId="2">'APG FARMACIA '!$A$1:$Q$25</definedName>
  </definedNames>
  <calcPr calcId="181029"/>
  <extLst>
    <ext uri="GoogleSheetsCustomDataVersion1">
      <go:sheetsCustomData xmlns:go="http://customooxmlschemas.google.com/" r:id="" roundtripDataSignature="AMtx7mjr7MWC2i6U95H520c37h+LX2YoKw=="/>
    </ext>
  </extLst>
</workbook>
</file>

<file path=xl/calcChain.xml><?xml version="1.0" encoding="utf-8"?>
<calcChain xmlns="http://schemas.openxmlformats.org/spreadsheetml/2006/main">
  <c r="M13" i="3" l="1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12" i="3"/>
  <c r="J80" i="3" l="1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Q16" i="4" l="1"/>
  <c r="Q15" i="4"/>
  <c r="I10" i="2"/>
  <c r="I78" i="2" s="1"/>
  <c r="Q21" i="4" l="1"/>
</calcChain>
</file>

<file path=xl/sharedStrings.xml><?xml version="1.0" encoding="utf-8"?>
<sst xmlns="http://schemas.openxmlformats.org/spreadsheetml/2006/main" count="752" uniqueCount="151">
  <si>
    <t>UNIDAD</t>
  </si>
  <si>
    <t>ALCOHOL 70 % X 1000 ML</t>
  </si>
  <si>
    <t>ALCOHOL 70 % X 500 ML</t>
  </si>
  <si>
    <t>ALCOHOL EN GEL X 250 ML</t>
  </si>
  <si>
    <t>ALCOHOL EN GEL X 500 ML.</t>
  </si>
  <si>
    <t>AMONIO CUATERNARIO X 5 LITROS TIPO SURFANIOS</t>
  </si>
  <si>
    <t>BAJALENGUA X 100 UNIDADES</t>
  </si>
  <si>
    <t>BARBIJO HEMORREPELENTE QUIRURGICO TRIPLE CAPA</t>
  </si>
  <si>
    <t>BARBIJOS DE ALTA EFICIENCIA TIPO N95</t>
  </si>
  <si>
    <t>CAMISOLIN DESCARTABLE DE TELA SMS 50 GRAMOS CON MANGA Y PUÑOS DE 1,4 M DE LARGO</t>
  </si>
  <si>
    <t>CANULA NASAL PARA OXIGENOTERAPIA ADULTO</t>
  </si>
  <si>
    <t>CANULA NASAL PARA OXIGENOTERAPIA PEDIATRICO</t>
  </si>
  <si>
    <t>CANULA PARA TRAQUEOSTOMIA Nº 7 1/2</t>
  </si>
  <si>
    <t>CANULA PARA TRAQUEOSTOMIA Nº 8</t>
  </si>
  <si>
    <t>CANULA PARA TRAQUEOTOMIA N° 9</t>
  </si>
  <si>
    <t>CIRCUITO CERRADO P/ASPIRACION 14 FR</t>
  </si>
  <si>
    <t>CIRCUITO CERRADO P/ASPIRACION 16 FR</t>
  </si>
  <si>
    <t>CIRCUITO RESPIRADOR CON TRAMPA DE AGUA AUTOCLAVABLE ADULTO</t>
  </si>
  <si>
    <t>COFIAS PLIZADAS CON AJUSTE ELASTIZADO</t>
  </si>
  <si>
    <t xml:space="preserve">FILTRO HME ADULTO HIGROBAC INTERCAMBIADOR CALOR/HUMEDAD </t>
  </si>
  <si>
    <t>FILTRO HME BACTERIAL VIRAL PARA CIRCUITO RESPIRADOR</t>
  </si>
  <si>
    <t>GUANTES DE CIRUGIA ESTERIL Nº 7  PAR. ANATOMICOS . CAÑA LARGA SIN TALCO</t>
  </si>
  <si>
    <t>GUANTES DE CIRUGIA ESTERIL Nº 7 1/2 PAR.  ANATOMICOS . CAÑA LARGA SIN TALCO</t>
  </si>
  <si>
    <t>GUANTES DE CIRUGIA ESTERIL Nº 8 PAR.  ANATOMICOS . CAÑA LARGA SIN TALCO</t>
  </si>
  <si>
    <t>GUANTES DE CIRUGIA ESTERIL Nº 81/2 PAR. ANATOMICOS . CAÑA LARGA SIN TALCO</t>
  </si>
  <si>
    <t>GUANTES DE EXAMINACION TAMAÑO L X 100</t>
  </si>
  <si>
    <t>GUANTES DE EXAMINACION TAMAÑO M X 100</t>
  </si>
  <si>
    <t>GUANTES DE EXAMINACON TAMAÑO S X 100</t>
  </si>
  <si>
    <t>GUANTES DE VINILO TAMAÑO L X 100</t>
  </si>
  <si>
    <t>LLAVE DE TRES VIAS</t>
  </si>
  <si>
    <t>MAMELUCO LAMINADO TALLE L</t>
  </si>
  <si>
    <t>MAMELUCO LAMINADO TALLE M</t>
  </si>
  <si>
    <t>MAMELUCO LAMINADO TALLE XL</t>
  </si>
  <si>
    <t>MAMELUCO LAMINADO TALLE XXL</t>
  </si>
  <si>
    <t>MASCARA CON BOLSA RESERVORIO</t>
  </si>
  <si>
    <t>MASCARA DE OXIGENO CON REGULADORES</t>
  </si>
  <si>
    <t>MONOPERSUFATO DE POTASIO DESINFECTANTE DE SUPERFICIE SOBRE PARA PREPARAR UN LITRO DE SOLUCION TIPO LT8</t>
  </si>
  <si>
    <t>SET DE VIA CENTRAL DOBLE LUMEN 7 FRENCH TIPO ARROW</t>
  </si>
  <si>
    <t>SET DE VIA CENTRAL SIMPLE LUMEN 7 FRENCH TIPO ARROW</t>
  </si>
  <si>
    <t>SONDA PARA ASPIRACION MUCUS  K32P CON REGULADOR</t>
  </si>
  <si>
    <t>SONDA PARA ASPIRACION MUCUS K29P CON REGULADOR</t>
  </si>
  <si>
    <t>SONDA PARA ASPIRACION MUCUS K30P CON REGULADOR</t>
  </si>
  <si>
    <t>SONDA PARA ASPIRACION MUCUS K33P CON REGULADOR</t>
  </si>
  <si>
    <t>SONDA PARA ASPIRACION MUCUS K35P CON REGULADOR</t>
  </si>
  <si>
    <t>SONDA PARA MUESTRA DE SECRECION TRAQUEAL B-2941 TIPO TUBO DE LUKEN</t>
  </si>
  <si>
    <t>TERMOMETRO DIGITAL</t>
  </si>
  <si>
    <t>TUBO ENDOTRAQUEAL CON BALON Nº 7</t>
  </si>
  <si>
    <t>TUBO ENDOTRAQUEAL CON BALON Nº 71/2</t>
  </si>
  <si>
    <t>TUBO ENDOTRAQUEAL CON BALON Nº 8</t>
  </si>
  <si>
    <t>TUBO ENDOTRAQUEAL CON BALON Nº 81/2</t>
  </si>
  <si>
    <t xml:space="preserve">OXIMETRO DE PULSO </t>
  </si>
  <si>
    <t>CIRCUITO RESPIRADOR CON TRAMPA DE AGUA DESCARTABLE ADULTO</t>
  </si>
  <si>
    <t>CIRCUITO ANESTESIA EXTENSIBLE ADULTO DESCARTABLE</t>
  </si>
  <si>
    <t xml:space="preserve">CANULA NASAL PARA ALTO FLUJO TIPO GGM  ADULTO 6 mm 4826R1V TAMANO L </t>
  </si>
  <si>
    <t>KIT DESCARTABLE CAMISOLIN 50 GRS + COFIA + BOTAS PAR</t>
  </si>
  <si>
    <t>SONDA PARA ASPIRACION MUCUS  K32P SIN REGULADOR</t>
  </si>
  <si>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</si>
  <si>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</si>
  <si>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</si>
  <si>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</si>
  <si>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</si>
  <si>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</si>
  <si>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</si>
  <si>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SEGUNDO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</si>
  <si>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</si>
  <si>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</si>
  <si>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</si>
  <si>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</si>
  <si>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</si>
  <si>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</si>
  <si>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</si>
  <si>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</si>
  <si>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</si>
  <si>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PROD. MEDICO/FARMACEUTICOS/LAB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</si>
  <si>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</si>
  <si>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</si>
  <si>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</si>
  <si>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</si>
  <si>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</si>
  <si>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</si>
  <si>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</si>
  <si>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</si>
  <si>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</si>
  <si>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</si>
  <si>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</si>
  <si>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</si>
  <si>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</si>
  <si>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</si>
  <si>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</si>
  <si>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</si>
  <si>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</si>
  <si>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</si>
  <si>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</si>
  <si>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</si>
  <si>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</si>
  <si>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</si>
  <si>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</si>
  <si>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</si>
  <si>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</si>
  <si>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</si>
  <si>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</si>
  <si>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</si>
  <si>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</si>
  <si>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</si>
  <si>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</si>
  <si>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</si>
  <si>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</si>
  <si>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</si>
  <si>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</si>
  <si>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</si>
  <si>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</si>
  <si>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</si>
  <si>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</si>
  <si>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</si>
  <si>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</si>
  <si>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</si>
  <si>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</si>
  <si>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</si>
  <si>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</si>
  <si>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</si>
  <si>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</si>
  <si>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</si>
  <si>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</si>
  <si>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</si>
  <si>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Utiles Menores Medico, Quirurgico y de Laboratorio</t>
  </si>
  <si>
    <t>CANULA NASAL PARA ALTO FLUJO TIPO OPT844 / OPT 944 FISHER PAYKEL TAMAÑO L</t>
  </si>
  <si>
    <t>CIRCUITO PARA ALTO FLUJO TIPO  HUMIDOFLO 4823R1V ADULTO</t>
  </si>
  <si>
    <t>CIRCUITO PARA ALTO FLUJO TIPO  FISHER PAYKEL OPT.561 ADULTO  AIRVO</t>
  </si>
  <si>
    <t xml:space="preserve">SONDA K10 NASOGASTRICA </t>
  </si>
  <si>
    <t>TUBO MAYO GUEDEL N°5</t>
  </si>
  <si>
    <t>TOTAL</t>
  </si>
  <si>
    <t>Adquisicion de Descartables para atender pacientes de COVID-19</t>
  </si>
  <si>
    <t>DETALLE TECNICO Y ESPECIFICACIONES</t>
  </si>
  <si>
    <t>VEINTE (20) dias corridos</t>
  </si>
  <si>
    <t xml:space="preserve">TUBULADURA PVC 6X9 X50 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</si>
  <si>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5- Para productos médicos, el profesional a cargo de la evaluación de calidad podrá solicitar muestras</t>
  </si>
  <si>
    <t>MASCARA BUCONASAL CPAP CON VALVULA TAMAÑO L</t>
  </si>
  <si>
    <t>MASCARA BUCONASAL CPAP CON VALVULA TAMAÑO M</t>
  </si>
  <si>
    <t xml:space="preserve"> 30/2021</t>
  </si>
  <si>
    <t>Autorizo la realización de los  trámites correspondientes, a fin de proveer a  este Organismo los bienes que se detallan en Nota de pedido y Entrega N°30/2021,  afectando la erogación resultante a los créditos presupuestarios aprobados a favor de esta Unidad Ejecutora, conforme al siguiente detalle:</t>
  </si>
  <si>
    <t>CAJA</t>
  </si>
  <si>
    <t>KIT</t>
  </si>
  <si>
    <t>MASCARA PARA NEBULIZAR ADULTO COMPLETA (MASCARA+PIPETA+TUBULADURA)</t>
  </si>
  <si>
    <t xml:space="preserve">SONDA K11 NASOGASTRICA </t>
  </si>
  <si>
    <t>SONDA FOLEY Nº 22 TRIPLE VIA</t>
  </si>
  <si>
    <t>SONDA FOLEY Nº 20 TRIPLE VIA</t>
  </si>
  <si>
    <t>SONDA FOLEY Nº 18 DOBLE VIA</t>
  </si>
  <si>
    <t>BIDON</t>
  </si>
  <si>
    <t>TOTAL DE PESOS: CIENTO CUARENTA Y SEIS MILLONES TREINTA Y SIETE MIL SEISCIENTOS DOS CON 50/100</t>
  </si>
  <si>
    <t>Costo total estimado: CIENTO CUARENTA Y SEIS MILLONES TREINTA Y SIETE MIL SEISCIENTOS DOS CON 50/100</t>
  </si>
  <si>
    <t>Compuestos Quimicos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</si>
</sst>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&quot;$&quot;\ #,##0.00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69" formatCode="[$$-2C0A]\ #,##0.00"/>
    <numFmt numFmtId="170" formatCode="[$$-2C0A]#,##0.00"/>
    <numFmt numFmtId="171" formatCode="&quot;$&quot;#,##0.00"/>
    <numFmt numFmtId="172" formatCode="_(\$* #,##0.00_);_(\$* \(#,##0.00\);_(\$* \-??_);_(@_)"/>
    <numFmt numFmtId="173" formatCode="dd\-mm\-yy;@"/>
    <numFmt numFmtId="174" formatCode="[$$-2C0A]\ #,##0.00;[$$-2C0A]&quot; -&quot;#,##0.00"/>
    <numFmt numFmtId="175" formatCode="&quot;$&quot;#,##0.00;[Red]&quot;$&quot;#,##0.00"/>
  </numFmts>
  <fonts count="3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charset val="1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</borders>
  <cellStyleXfs count="24">
    <xf numFmtId="0" fontId="0" fillId="0" borderId="0"/>
    <xf numFmtId="0" fontId="5" fillId="0" borderId="1"/>
    <xf numFmtId="167" fontId="9" fillId="0" borderId="1" applyBorder="0" applyProtection="0"/>
    <xf numFmtId="0" fontId="17" fillId="0" borderId="4" applyProtection="0"/>
    <xf numFmtId="0" fontId="17" fillId="0" borderId="4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5" fontId="9" fillId="0" borderId="1" applyBorder="0" applyAlignment="0" applyProtection="0"/>
    <xf numFmtId="167" fontId="9" fillId="0" borderId="1" applyBorder="0" applyProtection="0"/>
    <xf numFmtId="167" fontId="9" fillId="0" borderId="1" applyBorder="0" applyProtection="0"/>
    <xf numFmtId="172" fontId="18" fillId="0" borderId="1" applyBorder="0" applyProtection="0"/>
    <xf numFmtId="0" fontId="19" fillId="3" borderId="1" applyBorder="0" applyProtection="0"/>
    <xf numFmtId="0" fontId="9" fillId="0" borderId="1"/>
    <xf numFmtId="0" fontId="9" fillId="0" borderId="1"/>
    <xf numFmtId="0" fontId="9" fillId="0" borderId="1"/>
    <xf numFmtId="0" fontId="9" fillId="0" borderId="1"/>
    <xf numFmtId="0" fontId="9" fillId="0" borderId="1"/>
    <xf numFmtId="0" fontId="1" fillId="0" borderId="1"/>
    <xf numFmtId="0" fontId="9" fillId="0" borderId="1"/>
    <xf numFmtId="0" fontId="9" fillId="0" borderId="1"/>
    <xf numFmtId="0" fontId="1" fillId="0" borderId="1"/>
    <xf numFmtId="0" fontId="1" fillId="0" borderId="1"/>
    <xf numFmtId="0" fontId="9" fillId="0" borderId="1"/>
    <xf numFmtId="0" fontId="1" fillId="0" borderId="1"/>
  </cellStyleXfs>
  <cellXfs count="172">
    <xf numFmtId="0" fontId="0" fillId="0" borderId="0" xfId="0" applyFont="1" applyAlignment="1"/>
    <xf numFmtId="3" fontId="6" fillId="2" borderId="2" xfId="1" applyNumberFormat="1" applyFont="1" applyFill="1" applyBorder="1" applyAlignment="1">
      <alignment horizontal="center" vertical="center" wrapText="1"/>
    </xf>
    <xf numFmtId="0" fontId="7" fillId="0" borderId="1" xfId="1" applyFont="1" applyAlignment="1">
      <alignment horizontal="center" wrapText="1"/>
    </xf>
    <xf numFmtId="0" fontId="8" fillId="0" borderId="1" xfId="1" applyFont="1" applyAlignment="1">
      <alignment horizontal="center" vertical="center"/>
    </xf>
    <xf numFmtId="0" fontId="8" fillId="0" borderId="1" xfId="1" applyFont="1" applyAlignment="1">
      <alignment horizontal="center"/>
    </xf>
    <xf numFmtId="0" fontId="8" fillId="0" borderId="1" xfId="1" applyFont="1" applyAlignment="1">
      <alignment horizontal="center" vertical="center" wrapText="1"/>
    </xf>
    <xf numFmtId="3" fontId="8" fillId="0" borderId="1" xfId="1" applyNumberFormat="1" applyFont="1" applyAlignment="1">
      <alignment horizontal="center" vertical="center"/>
    </xf>
    <xf numFmtId="166" fontId="6" fillId="0" borderId="1" xfId="2" applyNumberFormat="1" applyFont="1" applyAlignment="1">
      <alignment vertical="center"/>
    </xf>
    <xf numFmtId="168" fontId="8" fillId="0" borderId="1" xfId="1" applyNumberFormat="1" applyFont="1" applyAlignment="1">
      <alignment vertical="center"/>
    </xf>
    <xf numFmtId="0" fontId="8" fillId="0" borderId="1" xfId="1" applyFont="1"/>
    <xf numFmtId="0" fontId="13" fillId="0" borderId="1" xfId="1" applyFont="1" applyAlignment="1">
      <alignment horizontal="center" wrapText="1"/>
    </xf>
    <xf numFmtId="3" fontId="13" fillId="0" borderId="1" xfId="1" applyNumberFormat="1" applyFont="1" applyAlignment="1">
      <alignment horizontal="center" vertical="center" wrapText="1"/>
    </xf>
    <xf numFmtId="0" fontId="12" fillId="0" borderId="1" xfId="1" applyFont="1" applyFill="1" applyAlignment="1">
      <alignment horizontal="left" vertical="center" wrapText="1"/>
    </xf>
    <xf numFmtId="0" fontId="14" fillId="0" borderId="1" xfId="1" applyFont="1" applyFill="1" applyAlignment="1">
      <alignment horizontal="left" wrapText="1"/>
    </xf>
    <xf numFmtId="0" fontId="14" fillId="0" borderId="1" xfId="1" applyFont="1" applyFill="1" applyAlignment="1">
      <alignment horizontal="left" vertical="center" wrapText="1"/>
    </xf>
    <xf numFmtId="0" fontId="15" fillId="0" borderId="1" xfId="1" applyFont="1" applyAlignment="1">
      <alignment horizontal="center" wrapText="1"/>
    </xf>
    <xf numFmtId="0" fontId="13" fillId="0" borderId="1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 wrapText="1"/>
    </xf>
    <xf numFmtId="166" fontId="6" fillId="0" borderId="2" xfId="2" applyNumberFormat="1" applyFont="1" applyBorder="1" applyAlignment="1">
      <alignment vertical="center" wrapText="1"/>
    </xf>
    <xf numFmtId="168" fontId="3" fillId="0" borderId="2" xfId="1" applyNumberFormat="1" applyFont="1" applyBorder="1" applyAlignment="1">
      <alignment vertical="center" wrapText="1"/>
    </xf>
    <xf numFmtId="0" fontId="16" fillId="0" borderId="1" xfId="1" applyFont="1" applyAlignment="1">
      <alignment wrapText="1"/>
    </xf>
    <xf numFmtId="0" fontId="8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left" vertical="center" wrapText="1"/>
    </xf>
    <xf numFmtId="3" fontId="9" fillId="2" borderId="2" xfId="1" applyNumberFormat="1" applyFont="1" applyFill="1" applyBorder="1" applyAlignment="1">
      <alignment horizontal="center" vertical="center" wrapText="1"/>
    </xf>
    <xf numFmtId="169" fontId="9" fillId="2" borderId="2" xfId="1" applyNumberFormat="1" applyFont="1" applyFill="1" applyBorder="1" applyAlignment="1">
      <alignment horizontal="center" vertical="center" wrapText="1"/>
    </xf>
    <xf numFmtId="168" fontId="8" fillId="2" borderId="2" xfId="1" applyNumberFormat="1" applyFont="1" applyFill="1" applyBorder="1" applyAlignment="1">
      <alignment vertical="center"/>
    </xf>
    <xf numFmtId="170" fontId="8" fillId="2" borderId="1" xfId="1" applyNumberFormat="1" applyFont="1" applyFill="1"/>
    <xf numFmtId="0" fontId="8" fillId="2" borderId="1" xfId="1" applyFont="1" applyFill="1"/>
    <xf numFmtId="0" fontId="2" fillId="2" borderId="2" xfId="1" applyFont="1" applyFill="1" applyBorder="1" applyAlignment="1">
      <alignment horizontal="left" vertical="center" wrapText="1"/>
    </xf>
    <xf numFmtId="3" fontId="8" fillId="2" borderId="2" xfId="1" applyNumberFormat="1" applyFont="1" applyFill="1" applyBorder="1" applyAlignment="1">
      <alignment horizontal="center" vertical="center"/>
    </xf>
    <xf numFmtId="0" fontId="8" fillId="2" borderId="1" xfId="1" applyFont="1" applyFill="1" applyAlignment="1">
      <alignment horizontal="center" vertical="center"/>
    </xf>
    <xf numFmtId="0" fontId="8" fillId="2" borderId="1" xfId="1" applyFont="1" applyFill="1" applyAlignment="1">
      <alignment horizontal="center"/>
    </xf>
    <xf numFmtId="3" fontId="8" fillId="2" borderId="1" xfId="1" applyNumberFormat="1" applyFont="1" applyFill="1" applyAlignment="1">
      <alignment horizontal="center" vertical="center"/>
    </xf>
    <xf numFmtId="166" fontId="6" fillId="2" borderId="1" xfId="2" applyNumberFormat="1" applyFont="1" applyFill="1" applyAlignment="1">
      <alignment vertical="center"/>
    </xf>
    <xf numFmtId="168" fontId="8" fillId="2" borderId="1" xfId="1" applyNumberFormat="1" applyFont="1" applyFill="1" applyAlignment="1">
      <alignment vertical="center"/>
    </xf>
    <xf numFmtId="0" fontId="7" fillId="2" borderId="1" xfId="1" applyFont="1" applyFill="1" applyAlignment="1">
      <alignment horizontal="center" wrapText="1"/>
    </xf>
    <xf numFmtId="0" fontId="8" fillId="2" borderId="1" xfId="1" applyFont="1" applyFill="1" applyAlignment="1">
      <alignment horizontal="center" vertical="center" wrapText="1"/>
    </xf>
    <xf numFmtId="0" fontId="20" fillId="0" borderId="5" xfId="12" applyFont="1" applyBorder="1" applyAlignment="1">
      <alignment horizontal="right" vertical="center"/>
    </xf>
    <xf numFmtId="17" fontId="21" fillId="4" borderId="6" xfId="12" applyNumberFormat="1" applyFont="1" applyFill="1" applyBorder="1" applyAlignment="1">
      <alignment horizontal="center" vertical="center"/>
    </xf>
    <xf numFmtId="0" fontId="18" fillId="0" borderId="1" xfId="12" applyFont="1" applyBorder="1" applyAlignment="1">
      <alignment vertical="center"/>
    </xf>
    <xf numFmtId="0" fontId="20" fillId="0" borderId="7" xfId="12" applyFont="1" applyBorder="1" applyAlignment="1">
      <alignment vertical="center"/>
    </xf>
    <xf numFmtId="0" fontId="20" fillId="0" borderId="1" xfId="12" applyFont="1" applyBorder="1" applyAlignment="1">
      <alignment vertical="center"/>
    </xf>
    <xf numFmtId="0" fontId="22" fillId="0" borderId="1" xfId="12" applyFont="1" applyBorder="1" applyAlignment="1">
      <alignment horizontal="left" vertical="center"/>
    </xf>
    <xf numFmtId="0" fontId="21" fillId="0" borderId="1" xfId="12" applyFont="1" applyBorder="1" applyAlignment="1">
      <alignment horizontal="left" vertical="center" wrapText="1" indent="1"/>
    </xf>
    <xf numFmtId="0" fontId="24" fillId="2" borderId="14" xfId="12" applyFont="1" applyFill="1" applyBorder="1" applyAlignment="1">
      <alignment horizontal="center" vertical="center"/>
    </xf>
    <xf numFmtId="0" fontId="24" fillId="2" borderId="14" xfId="12" applyFont="1" applyFill="1" applyBorder="1" applyAlignment="1">
      <alignment horizontal="left" vertical="center"/>
    </xf>
    <xf numFmtId="0" fontId="24" fillId="4" borderId="14" xfId="12" applyFont="1" applyFill="1" applyBorder="1" applyAlignment="1">
      <alignment horizontal="center" vertical="center"/>
    </xf>
    <xf numFmtId="44" fontId="25" fillId="2" borderId="1" xfId="12" applyNumberFormat="1" applyFont="1" applyFill="1" applyBorder="1" applyAlignment="1">
      <alignment vertical="center"/>
    </xf>
    <xf numFmtId="0" fontId="24" fillId="2" borderId="18" xfId="12" applyFont="1" applyFill="1" applyBorder="1" applyAlignment="1">
      <alignment horizontal="center" vertical="center"/>
    </xf>
    <xf numFmtId="0" fontId="24" fillId="2" borderId="18" xfId="12" applyFont="1" applyFill="1" applyBorder="1" applyAlignment="1">
      <alignment horizontal="left" vertical="center"/>
    </xf>
    <xf numFmtId="44" fontId="18" fillId="0" borderId="1" xfId="12" applyNumberFormat="1" applyFont="1" applyBorder="1" applyAlignment="1">
      <alignment vertical="center"/>
    </xf>
    <xf numFmtId="0" fontId="9" fillId="0" borderId="1" xfId="12"/>
    <xf numFmtId="44" fontId="9" fillId="0" borderId="1" xfId="12" applyNumberFormat="1"/>
    <xf numFmtId="3" fontId="27" fillId="0" borderId="1" xfId="12" applyNumberFormat="1" applyFont="1" applyBorder="1" applyAlignment="1"/>
    <xf numFmtId="173" fontId="9" fillId="0" borderId="1" xfId="12" applyNumberFormat="1" applyAlignment="1">
      <alignment horizontal="left"/>
    </xf>
    <xf numFmtId="0" fontId="9" fillId="0" borderId="1" xfId="12" applyAlignment="1">
      <alignment horizontal="left"/>
    </xf>
    <xf numFmtId="0" fontId="18" fillId="0" borderId="1" xfId="12" applyFont="1"/>
    <xf numFmtId="0" fontId="9" fillId="0" borderId="1" xfId="12" applyBorder="1"/>
    <xf numFmtId="0" fontId="9" fillId="0" borderId="5" xfId="12" applyBorder="1"/>
    <xf numFmtId="0" fontId="9" fillId="0" borderId="28" xfId="12" applyBorder="1"/>
    <xf numFmtId="0" fontId="9" fillId="0" borderId="7" xfId="12" applyBorder="1"/>
    <xf numFmtId="0" fontId="9" fillId="0" borderId="7" xfId="12" applyBorder="1" applyAlignment="1">
      <alignment horizontal="left"/>
    </xf>
    <xf numFmtId="0" fontId="9" fillId="0" borderId="29" xfId="12" applyBorder="1"/>
    <xf numFmtId="0" fontId="31" fillId="0" borderId="32" xfId="12" applyFont="1" applyBorder="1" applyAlignment="1">
      <alignment horizontal="center" vertical="center"/>
    </xf>
    <xf numFmtId="0" fontId="31" fillId="0" borderId="33" xfId="12" applyFont="1" applyBorder="1" applyAlignment="1">
      <alignment horizontal="center" vertical="center"/>
    </xf>
    <xf numFmtId="0" fontId="31" fillId="0" borderId="33" xfId="12" applyFont="1" applyBorder="1" applyAlignment="1">
      <alignment horizontal="left" vertical="center"/>
    </xf>
    <xf numFmtId="0" fontId="31" fillId="0" borderId="34" xfId="12" applyFont="1" applyBorder="1" applyAlignment="1">
      <alignment horizontal="center" vertical="center"/>
    </xf>
    <xf numFmtId="0" fontId="31" fillId="0" borderId="35" xfId="12" applyFont="1" applyBorder="1" applyAlignment="1">
      <alignment horizontal="center" vertical="center"/>
    </xf>
    <xf numFmtId="0" fontId="9" fillId="0" borderId="36" xfId="12" applyFont="1" applyBorder="1" applyAlignment="1">
      <alignment horizontal="center" vertical="center"/>
    </xf>
    <xf numFmtId="0" fontId="9" fillId="0" borderId="37" xfId="12" applyFont="1" applyBorder="1" applyAlignment="1">
      <alignment horizontal="center" vertical="center"/>
    </xf>
    <xf numFmtId="0" fontId="9" fillId="0" borderId="38" xfId="12" applyFont="1" applyBorder="1" applyAlignment="1">
      <alignment horizontal="center" vertical="center"/>
    </xf>
    <xf numFmtId="0" fontId="9" fillId="0" borderId="39" xfId="12" applyFont="1" applyBorder="1" applyAlignment="1">
      <alignment horizontal="center" vertical="center"/>
    </xf>
    <xf numFmtId="174" fontId="0" fillId="0" borderId="40" xfId="10" applyNumberFormat="1" applyFont="1" applyBorder="1" applyAlignment="1" applyProtection="1">
      <alignment horizontal="center" vertical="center"/>
    </xf>
    <xf numFmtId="0" fontId="29" fillId="0" borderId="36" xfId="12" applyFont="1" applyBorder="1" applyAlignment="1">
      <alignment horizontal="center" vertical="center"/>
    </xf>
    <xf numFmtId="0" fontId="29" fillId="0" borderId="37" xfId="12" applyFont="1" applyBorder="1" applyAlignment="1">
      <alignment horizontal="center" vertical="center"/>
    </xf>
    <xf numFmtId="0" fontId="9" fillId="0" borderId="39" xfId="12" applyBorder="1" applyAlignment="1">
      <alignment horizontal="center" vertical="center"/>
    </xf>
    <xf numFmtId="0" fontId="29" fillId="0" borderId="38" xfId="12" applyFont="1" applyBorder="1" applyAlignment="1">
      <alignment horizontal="center" vertical="center"/>
    </xf>
    <xf numFmtId="0" fontId="29" fillId="0" borderId="39" xfId="12" applyFont="1" applyBorder="1" applyAlignment="1">
      <alignment horizontal="center" vertical="center"/>
    </xf>
    <xf numFmtId="0" fontId="9" fillId="0" borderId="41" xfId="12" applyBorder="1" applyAlignment="1">
      <alignment horizontal="center" vertical="center"/>
    </xf>
    <xf numFmtId="0" fontId="9" fillId="0" borderId="42" xfId="12" applyBorder="1" applyAlignment="1">
      <alignment horizontal="center" vertical="center"/>
    </xf>
    <xf numFmtId="0" fontId="9" fillId="0" borderId="43" xfId="12" applyBorder="1" applyAlignment="1">
      <alignment horizontal="center" vertical="center"/>
    </xf>
    <xf numFmtId="174" fontId="0" fillId="0" borderId="44" xfId="10" applyNumberFormat="1" applyFont="1" applyBorder="1" applyAlignment="1" applyProtection="1">
      <alignment horizontal="center" vertical="center"/>
    </xf>
    <xf numFmtId="174" fontId="31" fillId="0" borderId="45" xfId="12" applyNumberFormat="1" applyFont="1" applyBorder="1" applyAlignment="1">
      <alignment horizontal="center" vertical="center"/>
    </xf>
    <xf numFmtId="0" fontId="8" fillId="2" borderId="1" xfId="1" applyFont="1" applyFill="1" applyAlignment="1">
      <alignment horizontal="left" vertical="center"/>
    </xf>
    <xf numFmtId="0" fontId="8" fillId="0" borderId="1" xfId="1" applyFont="1" applyAlignment="1">
      <alignment horizontal="left" vertical="center"/>
    </xf>
    <xf numFmtId="175" fontId="2" fillId="0" borderId="2" xfId="0" applyNumberFormat="1" applyFont="1" applyBorder="1" applyAlignment="1">
      <alignment horizontal="center" vertical="center"/>
    </xf>
    <xf numFmtId="175" fontId="0" fillId="0" borderId="2" xfId="0" applyNumberFormat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left" vertical="center" wrapText="1"/>
    </xf>
    <xf numFmtId="175" fontId="2" fillId="2" borderId="2" xfId="0" applyNumberFormat="1" applyFont="1" applyFill="1" applyBorder="1" applyAlignment="1">
      <alignment horizontal="center" vertical="center"/>
    </xf>
    <xf numFmtId="166" fontId="9" fillId="2" borderId="2" xfId="2" applyNumberFormat="1" applyFont="1" applyFill="1" applyBorder="1" applyAlignment="1">
      <alignment horizontal="center" vertical="center"/>
    </xf>
    <xf numFmtId="168" fontId="32" fillId="2" borderId="2" xfId="1" applyNumberFormat="1" applyFont="1" applyFill="1" applyBorder="1" applyAlignment="1">
      <alignment horizontal="right" vertical="center"/>
    </xf>
    <xf numFmtId="0" fontId="9" fillId="0" borderId="2" xfId="12" applyFont="1" applyBorder="1" applyAlignment="1">
      <alignment horizontal="center" vertical="center"/>
    </xf>
    <xf numFmtId="170" fontId="33" fillId="2" borderId="1" xfId="1" applyNumberFormat="1" applyFont="1" applyFill="1"/>
    <xf numFmtId="175" fontId="0" fillId="2" borderId="2" xfId="0" applyNumberFormat="1" applyFont="1" applyFill="1" applyBorder="1" applyAlignment="1">
      <alignment horizontal="center" vertical="center"/>
    </xf>
    <xf numFmtId="171" fontId="0" fillId="2" borderId="2" xfId="0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8" fillId="0" borderId="1" xfId="1" applyFont="1" applyAlignment="1">
      <alignment horizontal="left" vertical="center"/>
    </xf>
    <xf numFmtId="0" fontId="10" fillId="0" borderId="1" xfId="1" applyFont="1" applyBorder="1" applyAlignment="1">
      <alignment horizont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right" vertical="center"/>
    </xf>
    <xf numFmtId="0" fontId="11" fillId="0" borderId="1" xfId="1" applyFont="1" applyBorder="1" applyAlignment="1">
      <alignment horizontal="left" vertical="center" wrapText="1"/>
    </xf>
    <xf numFmtId="0" fontId="12" fillId="0" borderId="1" xfId="1" applyFont="1" applyFill="1" applyBorder="1" applyAlignment="1">
      <alignment horizontal="left" wrapText="1"/>
    </xf>
    <xf numFmtId="0" fontId="8" fillId="2" borderId="1" xfId="1" applyFont="1" applyFill="1" applyAlignment="1">
      <alignment horizontal="left" vertical="center" wrapText="1"/>
    </xf>
    <xf numFmtId="0" fontId="8" fillId="2" borderId="1" xfId="1" applyFont="1" applyFill="1" applyAlignment="1">
      <alignment horizontal="left" vertical="center"/>
    </xf>
    <xf numFmtId="0" fontId="32" fillId="2" borderId="3" xfId="1" applyFont="1" applyFill="1" applyBorder="1" applyAlignment="1">
      <alignment horizontal="right" vertical="center"/>
    </xf>
    <xf numFmtId="0" fontId="32" fillId="2" borderId="20" xfId="1" applyFont="1" applyFill="1" applyBorder="1" applyAlignment="1">
      <alignment horizontal="right" vertical="center"/>
    </xf>
    <xf numFmtId="0" fontId="32" fillId="2" borderId="48" xfId="1" applyFont="1" applyFill="1" applyBorder="1" applyAlignment="1">
      <alignment horizontal="right" vertical="center"/>
    </xf>
    <xf numFmtId="0" fontId="7" fillId="2" borderId="49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vertical="center" wrapText="1"/>
    </xf>
    <xf numFmtId="0" fontId="9" fillId="2" borderId="20" xfId="1" applyFont="1" applyFill="1" applyBorder="1" applyAlignment="1">
      <alignment vertical="center" wrapText="1"/>
    </xf>
    <xf numFmtId="0" fontId="9" fillId="2" borderId="21" xfId="1" applyFont="1" applyFill="1" applyBorder="1" applyAlignment="1">
      <alignment vertical="center" wrapText="1"/>
    </xf>
    <xf numFmtId="44" fontId="16" fillId="0" borderId="23" xfId="12" applyNumberFormat="1" applyFont="1" applyBorder="1" applyAlignment="1">
      <alignment horizontal="center" vertical="center" wrapText="1"/>
    </xf>
    <xf numFmtId="164" fontId="16" fillId="0" borderId="24" xfId="12" applyNumberFormat="1" applyFont="1" applyBorder="1" applyAlignment="1">
      <alignment horizontal="center" vertical="center" wrapText="1"/>
    </xf>
    <xf numFmtId="0" fontId="21" fillId="0" borderId="1" xfId="12" applyFont="1" applyBorder="1" applyAlignment="1">
      <alignment horizontal="left" vertical="center" wrapText="1" indent="1"/>
    </xf>
    <xf numFmtId="169" fontId="22" fillId="0" borderId="1" xfId="12" applyNumberFormat="1" applyFont="1" applyBorder="1" applyAlignment="1">
      <alignment horizontal="center" vertical="center"/>
    </xf>
    <xf numFmtId="0" fontId="26" fillId="0" borderId="22" xfId="12" applyFont="1" applyBorder="1" applyAlignment="1">
      <alignment horizontal="left" vertical="center" wrapText="1"/>
    </xf>
    <xf numFmtId="0" fontId="26" fillId="0" borderId="23" xfId="12" applyFont="1" applyBorder="1" applyAlignment="1">
      <alignment horizontal="left" vertical="center" wrapText="1"/>
    </xf>
    <xf numFmtId="0" fontId="26" fillId="0" borderId="24" xfId="12" applyFont="1" applyBorder="1" applyAlignment="1">
      <alignment horizontal="left" vertical="center" wrapText="1"/>
    </xf>
    <xf numFmtId="0" fontId="5" fillId="2" borderId="19" xfId="1" applyFill="1" applyBorder="1" applyAlignment="1">
      <alignment wrapText="1"/>
    </xf>
    <xf numFmtId="0" fontId="5" fillId="2" borderId="20" xfId="1" applyFill="1" applyBorder="1" applyAlignment="1">
      <alignment wrapText="1"/>
    </xf>
    <xf numFmtId="0" fontId="5" fillId="2" borderId="21" xfId="1" applyFill="1" applyBorder="1" applyAlignment="1">
      <alignment wrapText="1"/>
    </xf>
    <xf numFmtId="0" fontId="2" fillId="2" borderId="19" xfId="1" applyFont="1" applyFill="1" applyBorder="1" applyAlignment="1">
      <alignment vertical="center" wrapText="1"/>
    </xf>
    <xf numFmtId="0" fontId="2" fillId="2" borderId="20" xfId="1" applyFont="1" applyFill="1" applyBorder="1" applyAlignment="1">
      <alignment vertical="center" wrapText="1"/>
    </xf>
    <xf numFmtId="0" fontId="2" fillId="2" borderId="21" xfId="1" applyFont="1" applyFill="1" applyBorder="1" applyAlignment="1">
      <alignment vertical="center" wrapText="1"/>
    </xf>
    <xf numFmtId="0" fontId="23" fillId="0" borderId="12" xfId="12" applyFont="1" applyBorder="1" applyAlignment="1">
      <alignment horizontal="center" vertical="center" wrapText="1"/>
    </xf>
    <xf numFmtId="0" fontId="9" fillId="2" borderId="15" xfId="1" applyFont="1" applyFill="1" applyBorder="1" applyAlignment="1">
      <alignment vertical="center" wrapText="1"/>
    </xf>
    <xf numFmtId="0" fontId="9" fillId="2" borderId="16" xfId="1" applyFont="1" applyFill="1" applyBorder="1" applyAlignment="1">
      <alignment vertical="center" wrapText="1"/>
    </xf>
    <xf numFmtId="0" fontId="9" fillId="2" borderId="17" xfId="1" applyFont="1" applyFill="1" applyBorder="1" applyAlignment="1">
      <alignment vertical="center" wrapText="1"/>
    </xf>
    <xf numFmtId="0" fontId="23" fillId="0" borderId="13" xfId="12" applyFont="1" applyBorder="1" applyAlignment="1">
      <alignment horizontal="center" vertical="center" wrapText="1"/>
    </xf>
    <xf numFmtId="0" fontId="23" fillId="0" borderId="11" xfId="12" applyFont="1" applyBorder="1" applyAlignment="1">
      <alignment horizontal="center" vertical="center"/>
    </xf>
    <xf numFmtId="0" fontId="23" fillId="2" borderId="13" xfId="12" applyFont="1" applyFill="1" applyBorder="1" applyAlignment="1">
      <alignment horizontal="left" vertical="center" wrapText="1"/>
    </xf>
    <xf numFmtId="0" fontId="22" fillId="0" borderId="8" xfId="12" applyFont="1" applyBorder="1" applyAlignment="1">
      <alignment horizontal="left" vertical="center" wrapText="1"/>
    </xf>
    <xf numFmtId="0" fontId="21" fillId="0" borderId="9" xfId="12" applyFont="1" applyBorder="1" applyAlignment="1">
      <alignment horizontal="left" vertical="center" wrapText="1" indent="1"/>
    </xf>
    <xf numFmtId="0" fontId="22" fillId="0" borderId="10" xfId="12" applyFont="1" applyBorder="1" applyAlignment="1">
      <alignment horizontal="left" vertical="center" wrapText="1"/>
    </xf>
    <xf numFmtId="0" fontId="22" fillId="0" borderId="11" xfId="12" applyFont="1" applyBorder="1" applyAlignment="1">
      <alignment horizontal="left" vertical="center"/>
    </xf>
    <xf numFmtId="0" fontId="21" fillId="0" borderId="12" xfId="12" applyFont="1" applyBorder="1" applyAlignment="1">
      <alignment horizontal="left" vertical="center" wrapText="1" indent="1"/>
    </xf>
    <xf numFmtId="0" fontId="20" fillId="0" borderId="1" xfId="12" applyFont="1" applyBorder="1" applyAlignment="1">
      <alignment horizontal="center" vertical="center"/>
    </xf>
    <xf numFmtId="0" fontId="27" fillId="0" borderId="45" xfId="12" applyFont="1" applyBorder="1" applyAlignment="1">
      <alignment horizontal="left" vertical="center" wrapText="1"/>
    </xf>
    <xf numFmtId="0" fontId="9" fillId="0" borderId="30" xfId="12" applyBorder="1"/>
    <xf numFmtId="0" fontId="27" fillId="0" borderId="22" xfId="12" applyFont="1" applyBorder="1" applyAlignment="1">
      <alignment vertical="center" wrapText="1"/>
    </xf>
    <xf numFmtId="0" fontId="27" fillId="0" borderId="46" xfId="12" applyFont="1" applyBorder="1" applyAlignment="1">
      <alignment vertical="center" wrapText="1"/>
    </xf>
    <xf numFmtId="0" fontId="27" fillId="0" borderId="12" xfId="12" applyFont="1" applyBorder="1" applyAlignment="1">
      <alignment vertical="center" wrapText="1"/>
    </xf>
    <xf numFmtId="0" fontId="29" fillId="0" borderId="31" xfId="12" applyFont="1" applyBorder="1" applyAlignment="1">
      <alignment vertical="center" wrapText="1"/>
    </xf>
    <xf numFmtId="0" fontId="29" fillId="4" borderId="45" xfId="12" applyFont="1" applyFill="1" applyBorder="1" applyAlignment="1">
      <alignment horizontal="left" vertical="center" wrapText="1" indent="1"/>
    </xf>
    <xf numFmtId="0" fontId="9" fillId="0" borderId="42" xfId="12" applyBorder="1" applyAlignment="1">
      <alignment horizontal="left" vertical="center"/>
    </xf>
    <xf numFmtId="0" fontId="29" fillId="2" borderId="27" xfId="12" applyNumberFormat="1" applyFont="1" applyFill="1" applyBorder="1" applyAlignment="1">
      <alignment horizontal="left" vertical="justify" wrapText="1" indent="1"/>
    </xf>
    <xf numFmtId="0" fontId="29" fillId="2" borderId="1" xfId="12" applyNumberFormat="1" applyFont="1" applyFill="1" applyBorder="1" applyAlignment="1">
      <alignment horizontal="left" vertical="justify" wrapText="1" indent="1"/>
    </xf>
    <xf numFmtId="0" fontId="29" fillId="2" borderId="5" xfId="12" applyNumberFormat="1" applyFont="1" applyFill="1" applyBorder="1" applyAlignment="1">
      <alignment horizontal="left" vertical="justify" wrapText="1" indent="1"/>
    </xf>
    <xf numFmtId="0" fontId="31" fillId="0" borderId="30" xfId="12" applyFont="1" applyBorder="1" applyAlignment="1">
      <alignment horizontal="center" vertical="center"/>
    </xf>
    <xf numFmtId="0" fontId="31" fillId="0" borderId="6" xfId="12" applyFont="1" applyBorder="1" applyAlignment="1">
      <alignment horizontal="center" vertical="center"/>
    </xf>
    <xf numFmtId="0" fontId="31" fillId="0" borderId="30" xfId="12" applyFont="1" applyBorder="1" applyAlignment="1">
      <alignment horizontal="center" vertical="center" wrapText="1"/>
    </xf>
    <xf numFmtId="0" fontId="31" fillId="0" borderId="31" xfId="12" applyFont="1" applyBorder="1" applyAlignment="1">
      <alignment horizontal="center" vertical="center"/>
    </xf>
    <xf numFmtId="0" fontId="9" fillId="0" borderId="50" xfId="12" applyBorder="1" applyAlignment="1">
      <alignment horizontal="left" vertical="center" wrapText="1"/>
    </xf>
    <xf numFmtId="0" fontId="9" fillId="0" borderId="47" xfId="12" applyFont="1" applyBorder="1" applyAlignment="1">
      <alignment horizontal="left" vertical="center" wrapText="1"/>
    </xf>
    <xf numFmtId="0" fontId="9" fillId="0" borderId="39" xfId="12" applyFont="1" applyBorder="1" applyAlignment="1">
      <alignment horizontal="left" vertical="center"/>
    </xf>
    <xf numFmtId="0" fontId="9" fillId="0" borderId="39" xfId="12" applyBorder="1" applyAlignment="1">
      <alignment horizontal="left" vertical="center"/>
    </xf>
    <xf numFmtId="0" fontId="29" fillId="0" borderId="27" xfId="12" applyFont="1" applyBorder="1"/>
    <xf numFmtId="0" fontId="9" fillId="0" borderId="22" xfId="12" applyFont="1" applyBorder="1" applyAlignment="1">
      <alignment horizontal="center"/>
    </xf>
    <xf numFmtId="0" fontId="27" fillId="0" borderId="24" xfId="12" applyNumberFormat="1" applyFont="1" applyBorder="1" applyAlignment="1">
      <alignment horizontal="center"/>
    </xf>
    <xf numFmtId="0" fontId="28" fillId="0" borderId="6" xfId="12" applyFont="1" applyBorder="1" applyAlignment="1">
      <alignment horizontal="center" vertical="center" wrapText="1"/>
    </xf>
    <xf numFmtId="0" fontId="18" fillId="0" borderId="6" xfId="12" applyFont="1" applyBorder="1"/>
    <xf numFmtId="0" fontId="29" fillId="0" borderId="6" xfId="12" applyFont="1" applyBorder="1" applyAlignment="1">
      <alignment horizontal="left" indent="1"/>
    </xf>
    <xf numFmtId="0" fontId="24" fillId="0" borderId="8" xfId="12" applyFont="1" applyBorder="1" applyAlignment="1">
      <alignment horizontal="left" vertical="center" wrapText="1"/>
    </xf>
    <xf numFmtId="0" fontId="24" fillId="0" borderId="25" xfId="12" applyFont="1" applyBorder="1" applyAlignment="1">
      <alignment horizontal="left" vertical="center" wrapText="1"/>
    </xf>
    <xf numFmtId="0" fontId="24" fillId="0" borderId="26" xfId="12" applyFont="1" applyBorder="1" applyAlignment="1">
      <alignment horizontal="left" vertical="center" wrapText="1"/>
    </xf>
    <xf numFmtId="0" fontId="30" fillId="0" borderId="6" xfId="12" applyFont="1" applyBorder="1" applyAlignment="1">
      <alignment horizontal="left"/>
    </xf>
  </cellXfs>
  <cellStyles count="24">
    <cellStyle name="Encabezado 1" xfId="3" xr:uid="{00000000-0005-0000-0000-000000000000}"/>
    <cellStyle name="Encabezado 1 2" xfId="4" xr:uid="{00000000-0005-0000-0000-000001000000}"/>
    <cellStyle name="Millares 2" xfId="5" xr:uid="{00000000-0005-0000-0000-000002000000}"/>
    <cellStyle name="Millares 2 2" xfId="6" xr:uid="{00000000-0005-0000-0000-000003000000}"/>
    <cellStyle name="Moneda 2" xfId="2" xr:uid="{00000000-0005-0000-0000-000004000000}"/>
    <cellStyle name="Moneda 2 2" xfId="7" xr:uid="{00000000-0005-0000-0000-000005000000}"/>
    <cellStyle name="Moneda 3" xfId="8" xr:uid="{00000000-0005-0000-0000-000006000000}"/>
    <cellStyle name="Moneda 4" xfId="9" xr:uid="{00000000-0005-0000-0000-000007000000}"/>
    <cellStyle name="Moneda_AUTORIZACION Y NOTA DE PEDIDO" xfId="10" xr:uid="{00000000-0005-0000-0000-000008000000}"/>
    <cellStyle name="Neutral 1" xfId="11" xr:uid="{00000000-0005-0000-0000-000009000000}"/>
    <cellStyle name="Normal" xfId="0" builtinId="0"/>
    <cellStyle name="Normal 2" xfId="1" xr:uid="{00000000-0005-0000-0000-00000B000000}"/>
    <cellStyle name="Normal 2 2" xfId="12" xr:uid="{00000000-0005-0000-0000-00000C000000}"/>
    <cellStyle name="Normal 3" xfId="13" xr:uid="{00000000-0005-0000-0000-00000D000000}"/>
    <cellStyle name="Normal 3 2" xfId="14" xr:uid="{00000000-0005-0000-0000-00000E000000}"/>
    <cellStyle name="Normal 3 2 2" xfId="15" xr:uid="{00000000-0005-0000-0000-00000F000000}"/>
    <cellStyle name="Normal 3 3" xfId="16" xr:uid="{00000000-0005-0000-0000-000010000000}"/>
    <cellStyle name="Normal 3 4" xfId="17" xr:uid="{00000000-0005-0000-0000-000011000000}"/>
    <cellStyle name="Normal 4" xfId="18" xr:uid="{00000000-0005-0000-0000-000012000000}"/>
    <cellStyle name="Normal 4 2" xfId="19" xr:uid="{00000000-0005-0000-0000-000013000000}"/>
    <cellStyle name="Normal 4 3" xfId="20" xr:uid="{00000000-0005-0000-0000-000014000000}"/>
    <cellStyle name="Normal 5" xfId="21" xr:uid="{00000000-0005-0000-0000-000015000000}"/>
    <cellStyle name="Normal 6" xfId="22" xr:uid="{00000000-0005-0000-0000-000016000000}"/>
    <cellStyle name="Normal 7" xfId="23" xr:uid="{00000000-0005-0000-0000-000017000000}"/>
  </cellStyles>
  <dxfs count="3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zoomScale="90" zoomScaleNormal="90" workbookViewId="0">
      <selection activeCell="A7" sqref="A7:B7"/>
    </sheetView>
  </sheetViews>
  <sheetFormatPr baseColWidth="10" defaultColWidth="11" defaultRowHeight="15" x14ac:dyDescent="0.25"/>
  <cols>
    <col min="1" max="1" width="6.42578125" style="3" customWidth="1"/>
    <col min="2" max="2" width="16" style="2" customWidth="1"/>
    <col min="3" max="3" width="36.85546875" style="3" customWidth="1"/>
    <col min="4" max="4" width="8.42578125" style="4" customWidth="1"/>
    <col min="5" max="5" width="39.5703125" style="5" customWidth="1"/>
    <col min="6" max="6" width="16.42578125" style="4" customWidth="1"/>
    <col min="7" max="7" width="16.42578125" style="6" customWidth="1"/>
    <col min="8" max="8" width="16.5703125" style="7" bestFit="1" customWidth="1"/>
    <col min="9" max="9" width="22.5703125" style="8" customWidth="1"/>
    <col min="10" max="10" width="23.5703125" style="9" customWidth="1"/>
    <col min="11" max="16384" width="11" style="9"/>
  </cols>
  <sheetData>
    <row r="1" spans="1:10" x14ac:dyDescent="0.25">
      <c r="A1" s="1">
        <v>2021</v>
      </c>
    </row>
    <row r="2" spans="1:10" ht="25.5" x14ac:dyDescent="0.35">
      <c r="B2" s="103" t="s">
        <v>56</v>
      </c>
      <c r="C2" s="103"/>
      <c r="D2" s="103"/>
      <c r="E2" s="103"/>
      <c r="F2" s="103"/>
      <c r="G2" s="104"/>
      <c r="H2" s="105"/>
    </row>
    <row r="4" spans="1:10" ht="18" customHeight="1" x14ac:dyDescent="0.25">
      <c r="A4" s="106" t="s">
        <v>57</v>
      </c>
      <c r="B4" s="106"/>
      <c r="C4" s="107" t="s">
        <v>58</v>
      </c>
      <c r="D4" s="107"/>
      <c r="E4" s="107"/>
      <c r="F4" s="10"/>
      <c r="G4" s="11"/>
    </row>
    <row r="5" spans="1:10" ht="18" customHeight="1" x14ac:dyDescent="0.25">
      <c r="A5" s="106" t="s">
        <v>59</v>
      </c>
      <c r="B5" s="106"/>
      <c r="C5" s="107" t="s">
        <v>60</v>
      </c>
      <c r="D5" s="107"/>
      <c r="E5" s="107"/>
      <c r="F5" s="10"/>
      <c r="G5" s="11"/>
    </row>
    <row r="6" spans="1:10" ht="16.5" customHeight="1" x14ac:dyDescent="0.2">
      <c r="A6" s="106" t="s">
        <v>61</v>
      </c>
      <c r="B6" s="106"/>
      <c r="C6" s="12">
        <v>2021</v>
      </c>
      <c r="D6" s="13"/>
      <c r="E6" s="14"/>
      <c r="F6" s="10"/>
      <c r="G6" s="11"/>
    </row>
    <row r="7" spans="1:10" ht="31.5" customHeight="1" x14ac:dyDescent="0.2">
      <c r="A7" s="106" t="s">
        <v>62</v>
      </c>
      <c r="B7" s="106"/>
      <c r="C7" s="12" t="s">
        <v>63</v>
      </c>
      <c r="D7" s="13"/>
      <c r="E7" s="14"/>
      <c r="F7" s="10"/>
      <c r="G7" s="11"/>
    </row>
    <row r="8" spans="1:10" ht="2.25" customHeight="1" x14ac:dyDescent="0.25">
      <c r="B8" s="15"/>
      <c r="C8" s="16"/>
      <c r="D8" s="10"/>
      <c r="E8" s="16"/>
      <c r="F8" s="10"/>
      <c r="G8" s="11"/>
    </row>
    <row r="9" spans="1:10" ht="42.75" x14ac:dyDescent="0.2">
      <c r="A9" s="17" t="s">
        <v>64</v>
      </c>
      <c r="B9" s="17" t="s">
        <v>65</v>
      </c>
      <c r="C9" s="18" t="s">
        <v>66</v>
      </c>
      <c r="D9" s="100" t="s">
        <v>67</v>
      </c>
      <c r="E9" s="101" t="s">
        <v>68</v>
      </c>
      <c r="F9" s="18" t="s">
        <v>69</v>
      </c>
      <c r="G9" s="19" t="s">
        <v>70</v>
      </c>
      <c r="H9" s="20" t="s">
        <v>71</v>
      </c>
      <c r="I9" s="21" t="s">
        <v>72</v>
      </c>
      <c r="J9" s="22"/>
    </row>
    <row r="10" spans="1:10" s="32" customFormat="1" x14ac:dyDescent="0.25">
      <c r="A10" s="23">
        <v>1</v>
      </c>
      <c r="B10" s="24"/>
      <c r="C10" s="25" t="s">
        <v>73</v>
      </c>
      <c r="D10" s="26">
        <v>251</v>
      </c>
      <c r="E10" s="27" t="s">
        <v>1</v>
      </c>
      <c r="F10" s="26" t="s">
        <v>0</v>
      </c>
      <c r="G10" s="28">
        <v>16000</v>
      </c>
      <c r="H10" s="90">
        <v>194</v>
      </c>
      <c r="I10" s="30">
        <f>+H10*G10</f>
        <v>3104000</v>
      </c>
      <c r="J10" s="31"/>
    </row>
    <row r="11" spans="1:10" s="32" customFormat="1" x14ac:dyDescent="0.25">
      <c r="A11" s="23">
        <v>2</v>
      </c>
      <c r="B11" s="24"/>
      <c r="C11" s="25" t="s">
        <v>73</v>
      </c>
      <c r="D11" s="26">
        <v>251</v>
      </c>
      <c r="E11" s="27" t="s">
        <v>2</v>
      </c>
      <c r="F11" s="26" t="s">
        <v>0</v>
      </c>
      <c r="G11" s="28">
        <v>20000</v>
      </c>
      <c r="H11" s="90">
        <v>90</v>
      </c>
      <c r="I11" s="30">
        <f t="shared" ref="I11:I73" si="0">+H11*G11</f>
        <v>1800000</v>
      </c>
      <c r="J11" s="31"/>
    </row>
    <row r="12" spans="1:10" s="32" customFormat="1" x14ac:dyDescent="0.25">
      <c r="A12" s="23">
        <v>3</v>
      </c>
      <c r="B12" s="24"/>
      <c r="C12" s="25" t="s">
        <v>73</v>
      </c>
      <c r="D12" s="26">
        <v>251</v>
      </c>
      <c r="E12" s="27" t="s">
        <v>3</v>
      </c>
      <c r="F12" s="26" t="s">
        <v>0</v>
      </c>
      <c r="G12" s="28">
        <v>4000</v>
      </c>
      <c r="H12" s="90">
        <v>95</v>
      </c>
      <c r="I12" s="30">
        <f t="shared" si="0"/>
        <v>380000</v>
      </c>
      <c r="J12" s="31"/>
    </row>
    <row r="13" spans="1:10" s="32" customFormat="1" x14ac:dyDescent="0.25">
      <c r="A13" s="23">
        <v>4</v>
      </c>
      <c r="B13" s="24"/>
      <c r="C13" s="25" t="s">
        <v>73</v>
      </c>
      <c r="D13" s="26">
        <v>251</v>
      </c>
      <c r="E13" s="27" t="s">
        <v>4</v>
      </c>
      <c r="F13" s="26" t="s">
        <v>0</v>
      </c>
      <c r="G13" s="28">
        <v>500</v>
      </c>
      <c r="H13" s="90">
        <v>145</v>
      </c>
      <c r="I13" s="30">
        <f t="shared" si="0"/>
        <v>72500</v>
      </c>
      <c r="J13" s="31"/>
    </row>
    <row r="14" spans="1:10" s="32" customFormat="1" ht="25.5" x14ac:dyDescent="0.25">
      <c r="A14" s="23">
        <v>5</v>
      </c>
      <c r="B14" s="24"/>
      <c r="C14" s="25" t="s">
        <v>73</v>
      </c>
      <c r="D14" s="26">
        <v>291</v>
      </c>
      <c r="E14" s="27" t="s">
        <v>5</v>
      </c>
      <c r="F14" s="26" t="s">
        <v>147</v>
      </c>
      <c r="G14" s="28">
        <v>100</v>
      </c>
      <c r="H14" s="90">
        <v>7919.45</v>
      </c>
      <c r="I14" s="30">
        <f t="shared" si="0"/>
        <v>791945</v>
      </c>
      <c r="J14" s="31"/>
    </row>
    <row r="15" spans="1:10" s="32" customFormat="1" x14ac:dyDescent="0.25">
      <c r="A15" s="23">
        <v>6</v>
      </c>
      <c r="B15" s="24"/>
      <c r="C15" s="25" t="s">
        <v>73</v>
      </c>
      <c r="D15" s="26">
        <v>295</v>
      </c>
      <c r="E15" s="27" t="s">
        <v>6</v>
      </c>
      <c r="F15" s="26" t="s">
        <v>140</v>
      </c>
      <c r="G15" s="28">
        <v>800</v>
      </c>
      <c r="H15" s="90">
        <v>149.72999999999999</v>
      </c>
      <c r="I15" s="30">
        <f t="shared" si="0"/>
        <v>119783.99999999999</v>
      </c>
      <c r="J15" s="31"/>
    </row>
    <row r="16" spans="1:10" s="32" customFormat="1" ht="25.5" x14ac:dyDescent="0.25">
      <c r="A16" s="23">
        <v>7</v>
      </c>
      <c r="B16" s="24"/>
      <c r="C16" s="25" t="s">
        <v>73</v>
      </c>
      <c r="D16" s="26">
        <v>295</v>
      </c>
      <c r="E16" s="27" t="s">
        <v>7</v>
      </c>
      <c r="F16" s="26" t="s">
        <v>0</v>
      </c>
      <c r="G16" s="28">
        <v>2000000</v>
      </c>
      <c r="H16" s="90">
        <v>12</v>
      </c>
      <c r="I16" s="30">
        <f t="shared" si="0"/>
        <v>24000000</v>
      </c>
      <c r="J16" s="31"/>
    </row>
    <row r="17" spans="1:10" s="32" customFormat="1" x14ac:dyDescent="0.25">
      <c r="A17" s="23">
        <v>8</v>
      </c>
      <c r="B17" s="24"/>
      <c r="C17" s="25" t="s">
        <v>73</v>
      </c>
      <c r="D17" s="26">
        <v>295</v>
      </c>
      <c r="E17" s="27" t="s">
        <v>8</v>
      </c>
      <c r="F17" s="26" t="s">
        <v>0</v>
      </c>
      <c r="G17" s="28">
        <v>15000</v>
      </c>
      <c r="H17" s="93">
        <v>145.19999999999999</v>
      </c>
      <c r="I17" s="30">
        <f t="shared" si="0"/>
        <v>2178000</v>
      </c>
      <c r="J17" s="31"/>
    </row>
    <row r="18" spans="1:10" s="32" customFormat="1" ht="38.25" x14ac:dyDescent="0.25">
      <c r="A18" s="23">
        <v>9</v>
      </c>
      <c r="B18" s="24"/>
      <c r="C18" s="25" t="s">
        <v>73</v>
      </c>
      <c r="D18" s="26">
        <v>295</v>
      </c>
      <c r="E18" s="27" t="s">
        <v>9</v>
      </c>
      <c r="F18" s="26" t="s">
        <v>0</v>
      </c>
      <c r="G18" s="28">
        <v>200000</v>
      </c>
      <c r="H18" s="90">
        <v>190</v>
      </c>
      <c r="I18" s="30">
        <f t="shared" si="0"/>
        <v>38000000</v>
      </c>
      <c r="J18" s="31"/>
    </row>
    <row r="19" spans="1:10" s="32" customFormat="1" ht="25.5" x14ac:dyDescent="0.25">
      <c r="A19" s="23">
        <v>10</v>
      </c>
      <c r="B19" s="24"/>
      <c r="C19" s="25" t="s">
        <v>73</v>
      </c>
      <c r="D19" s="26">
        <v>295</v>
      </c>
      <c r="E19" s="27" t="s">
        <v>53</v>
      </c>
      <c r="F19" s="26" t="s">
        <v>0</v>
      </c>
      <c r="G19" s="28">
        <v>50</v>
      </c>
      <c r="H19" s="91">
        <v>4200</v>
      </c>
      <c r="I19" s="30">
        <f t="shared" si="0"/>
        <v>210000</v>
      </c>
      <c r="J19" s="31"/>
    </row>
    <row r="20" spans="1:10" s="32" customFormat="1" ht="38.25" x14ac:dyDescent="0.25">
      <c r="A20" s="23">
        <v>11</v>
      </c>
      <c r="B20" s="24"/>
      <c r="C20" s="25" t="s">
        <v>73</v>
      </c>
      <c r="D20" s="26">
        <v>295</v>
      </c>
      <c r="E20" s="27" t="s">
        <v>125</v>
      </c>
      <c r="F20" s="26" t="s">
        <v>0</v>
      </c>
      <c r="G20" s="28">
        <v>100</v>
      </c>
      <c r="H20" s="91">
        <v>5750</v>
      </c>
      <c r="I20" s="30">
        <f t="shared" si="0"/>
        <v>575000</v>
      </c>
      <c r="J20" s="31"/>
    </row>
    <row r="21" spans="1:10" s="32" customFormat="1" ht="25.5" x14ac:dyDescent="0.25">
      <c r="A21" s="23">
        <v>12</v>
      </c>
      <c r="B21" s="24"/>
      <c r="C21" s="25" t="s">
        <v>73</v>
      </c>
      <c r="D21" s="26">
        <v>295</v>
      </c>
      <c r="E21" s="33" t="s">
        <v>10</v>
      </c>
      <c r="F21" s="26" t="s">
        <v>0</v>
      </c>
      <c r="G21" s="28">
        <v>2500</v>
      </c>
      <c r="H21" s="91">
        <v>109.8</v>
      </c>
      <c r="I21" s="30">
        <f t="shared" si="0"/>
        <v>274500</v>
      </c>
      <c r="J21" s="31"/>
    </row>
    <row r="22" spans="1:10" s="32" customFormat="1" ht="25.5" x14ac:dyDescent="0.25">
      <c r="A22" s="23">
        <v>13</v>
      </c>
      <c r="B22" s="24"/>
      <c r="C22" s="25" t="s">
        <v>73</v>
      </c>
      <c r="D22" s="26">
        <v>295</v>
      </c>
      <c r="E22" s="27" t="s">
        <v>11</v>
      </c>
      <c r="F22" s="26" t="s">
        <v>0</v>
      </c>
      <c r="G22" s="28">
        <v>100</v>
      </c>
      <c r="H22" s="90">
        <v>65.36</v>
      </c>
      <c r="I22" s="30">
        <f t="shared" si="0"/>
        <v>6536</v>
      </c>
      <c r="J22" s="31"/>
    </row>
    <row r="23" spans="1:10" s="32" customFormat="1" x14ac:dyDescent="0.25">
      <c r="A23" s="23">
        <v>14</v>
      </c>
      <c r="B23" s="24"/>
      <c r="C23" s="25" t="s">
        <v>73</v>
      </c>
      <c r="D23" s="26">
        <v>295</v>
      </c>
      <c r="E23" s="27" t="s">
        <v>12</v>
      </c>
      <c r="F23" s="26" t="s">
        <v>0</v>
      </c>
      <c r="G23" s="28">
        <v>200</v>
      </c>
      <c r="H23" s="90">
        <v>589.4</v>
      </c>
      <c r="I23" s="30">
        <f t="shared" si="0"/>
        <v>117880</v>
      </c>
      <c r="J23" s="31"/>
    </row>
    <row r="24" spans="1:10" s="32" customFormat="1" x14ac:dyDescent="0.25">
      <c r="A24" s="23">
        <v>15</v>
      </c>
      <c r="B24" s="24"/>
      <c r="C24" s="25" t="s">
        <v>73</v>
      </c>
      <c r="D24" s="26">
        <v>295</v>
      </c>
      <c r="E24" s="27" t="s">
        <v>13</v>
      </c>
      <c r="F24" s="26" t="s">
        <v>0</v>
      </c>
      <c r="G24" s="28">
        <v>400</v>
      </c>
      <c r="H24" s="90">
        <v>589.4</v>
      </c>
      <c r="I24" s="30">
        <f t="shared" si="0"/>
        <v>235760</v>
      </c>
      <c r="J24" s="31"/>
    </row>
    <row r="25" spans="1:10" s="32" customFormat="1" x14ac:dyDescent="0.25">
      <c r="A25" s="23">
        <v>16</v>
      </c>
      <c r="B25" s="24"/>
      <c r="C25" s="25" t="s">
        <v>73</v>
      </c>
      <c r="D25" s="26">
        <v>295</v>
      </c>
      <c r="E25" s="27" t="s">
        <v>14</v>
      </c>
      <c r="F25" s="26" t="s">
        <v>0</v>
      </c>
      <c r="G25" s="28">
        <v>50</v>
      </c>
      <c r="H25" s="90">
        <v>589.4</v>
      </c>
      <c r="I25" s="30">
        <f t="shared" si="0"/>
        <v>29470</v>
      </c>
      <c r="J25" s="31"/>
    </row>
    <row r="26" spans="1:10" s="32" customFormat="1" ht="25.5" x14ac:dyDescent="0.25">
      <c r="A26" s="23">
        <v>17</v>
      </c>
      <c r="B26" s="24"/>
      <c r="C26" s="25" t="s">
        <v>73</v>
      </c>
      <c r="D26" s="26">
        <v>295</v>
      </c>
      <c r="E26" s="27" t="s">
        <v>52</v>
      </c>
      <c r="F26" s="26" t="s">
        <v>0</v>
      </c>
      <c r="G26" s="28">
        <v>500</v>
      </c>
      <c r="H26" s="91">
        <v>510</v>
      </c>
      <c r="I26" s="30">
        <f t="shared" si="0"/>
        <v>255000</v>
      </c>
      <c r="J26" s="31"/>
    </row>
    <row r="27" spans="1:10" s="32" customFormat="1" x14ac:dyDescent="0.25">
      <c r="A27" s="23">
        <v>18</v>
      </c>
      <c r="B27" s="24"/>
      <c r="C27" s="25" t="s">
        <v>73</v>
      </c>
      <c r="D27" s="26">
        <v>295</v>
      </c>
      <c r="E27" s="27" t="s">
        <v>15</v>
      </c>
      <c r="F27" s="26" t="s">
        <v>0</v>
      </c>
      <c r="G27" s="28">
        <v>700</v>
      </c>
      <c r="H27" s="91">
        <v>1200</v>
      </c>
      <c r="I27" s="30">
        <f t="shared" si="0"/>
        <v>840000</v>
      </c>
      <c r="J27" s="31"/>
    </row>
    <row r="28" spans="1:10" s="32" customFormat="1" x14ac:dyDescent="0.25">
      <c r="A28" s="23">
        <v>19</v>
      </c>
      <c r="B28" s="24"/>
      <c r="C28" s="25" t="s">
        <v>73</v>
      </c>
      <c r="D28" s="26">
        <v>295</v>
      </c>
      <c r="E28" s="27" t="s">
        <v>16</v>
      </c>
      <c r="F28" s="26" t="s">
        <v>0</v>
      </c>
      <c r="G28" s="28">
        <v>300</v>
      </c>
      <c r="H28" s="91">
        <v>1200</v>
      </c>
      <c r="I28" s="30">
        <f t="shared" si="0"/>
        <v>360000</v>
      </c>
      <c r="J28" s="31"/>
    </row>
    <row r="29" spans="1:10" s="32" customFormat="1" ht="25.5" x14ac:dyDescent="0.25">
      <c r="A29" s="23">
        <v>20</v>
      </c>
      <c r="B29" s="24"/>
      <c r="C29" s="25" t="s">
        <v>73</v>
      </c>
      <c r="D29" s="26">
        <v>295</v>
      </c>
      <c r="E29" s="27" t="s">
        <v>127</v>
      </c>
      <c r="F29" s="26" t="s">
        <v>0</v>
      </c>
      <c r="G29" s="28">
        <v>50</v>
      </c>
      <c r="H29" s="91">
        <v>18750</v>
      </c>
      <c r="I29" s="30">
        <f t="shared" si="0"/>
        <v>937500</v>
      </c>
      <c r="J29" s="31"/>
    </row>
    <row r="30" spans="1:10" s="32" customFormat="1" ht="25.5" x14ac:dyDescent="0.25">
      <c r="A30" s="23">
        <v>21</v>
      </c>
      <c r="B30" s="24"/>
      <c r="C30" s="25" t="s">
        <v>73</v>
      </c>
      <c r="D30" s="26">
        <v>295</v>
      </c>
      <c r="E30" s="27" t="s">
        <v>126</v>
      </c>
      <c r="F30" s="26" t="s">
        <v>0</v>
      </c>
      <c r="G30" s="28">
        <v>100</v>
      </c>
      <c r="H30" s="91">
        <v>6700</v>
      </c>
      <c r="I30" s="30">
        <f t="shared" si="0"/>
        <v>670000</v>
      </c>
      <c r="J30" s="31"/>
    </row>
    <row r="31" spans="1:10" s="32" customFormat="1" ht="25.5" x14ac:dyDescent="0.25">
      <c r="A31" s="23">
        <v>22</v>
      </c>
      <c r="B31" s="24"/>
      <c r="C31" s="25" t="s">
        <v>73</v>
      </c>
      <c r="D31" s="26">
        <v>295</v>
      </c>
      <c r="E31" s="27" t="s">
        <v>17</v>
      </c>
      <c r="F31" s="26" t="s">
        <v>0</v>
      </c>
      <c r="G31" s="28">
        <v>20</v>
      </c>
      <c r="H31" s="91">
        <v>16100</v>
      </c>
      <c r="I31" s="30">
        <f t="shared" si="0"/>
        <v>322000</v>
      </c>
      <c r="J31" s="31"/>
    </row>
    <row r="32" spans="1:10" s="32" customFormat="1" ht="25.5" x14ac:dyDescent="0.25">
      <c r="A32" s="23">
        <v>23</v>
      </c>
      <c r="B32" s="24"/>
      <c r="C32" s="25" t="s">
        <v>73</v>
      </c>
      <c r="D32" s="26">
        <v>295</v>
      </c>
      <c r="E32" s="27" t="s">
        <v>51</v>
      </c>
      <c r="F32" s="26" t="s">
        <v>0</v>
      </c>
      <c r="G32" s="28">
        <v>500</v>
      </c>
      <c r="H32" s="91">
        <v>1870</v>
      </c>
      <c r="I32" s="30">
        <f t="shared" si="0"/>
        <v>935000</v>
      </c>
      <c r="J32" s="31"/>
    </row>
    <row r="33" spans="1:10" s="32" customFormat="1" ht="25.5" x14ac:dyDescent="0.25">
      <c r="A33" s="23">
        <v>24</v>
      </c>
      <c r="B33" s="24"/>
      <c r="C33" s="25" t="s">
        <v>73</v>
      </c>
      <c r="D33" s="26">
        <v>295</v>
      </c>
      <c r="E33" s="27" t="s">
        <v>18</v>
      </c>
      <c r="F33" s="26" t="s">
        <v>0</v>
      </c>
      <c r="G33" s="28">
        <v>50000</v>
      </c>
      <c r="H33" s="90">
        <v>7.55</v>
      </c>
      <c r="I33" s="30">
        <f t="shared" si="0"/>
        <v>377500</v>
      </c>
      <c r="J33" s="31"/>
    </row>
    <row r="34" spans="1:10" s="32" customFormat="1" ht="25.5" x14ac:dyDescent="0.25">
      <c r="A34" s="23">
        <v>25</v>
      </c>
      <c r="B34" s="24"/>
      <c r="C34" s="25" t="s">
        <v>73</v>
      </c>
      <c r="D34" s="26">
        <v>295</v>
      </c>
      <c r="E34" s="27" t="s">
        <v>19</v>
      </c>
      <c r="F34" s="26" t="s">
        <v>0</v>
      </c>
      <c r="G34" s="28">
        <v>1000</v>
      </c>
      <c r="H34" s="91">
        <v>180</v>
      </c>
      <c r="I34" s="30">
        <f t="shared" si="0"/>
        <v>180000</v>
      </c>
      <c r="J34" s="31"/>
    </row>
    <row r="35" spans="1:10" s="32" customFormat="1" ht="25.5" x14ac:dyDescent="0.25">
      <c r="A35" s="23">
        <v>26</v>
      </c>
      <c r="B35" s="24"/>
      <c r="C35" s="25" t="s">
        <v>73</v>
      </c>
      <c r="D35" s="26">
        <v>295</v>
      </c>
      <c r="E35" s="27" t="s">
        <v>20</v>
      </c>
      <c r="F35" s="26" t="s">
        <v>0</v>
      </c>
      <c r="G35" s="28">
        <v>500</v>
      </c>
      <c r="H35" s="91">
        <v>160</v>
      </c>
      <c r="I35" s="30">
        <f t="shared" si="0"/>
        <v>80000</v>
      </c>
      <c r="J35" s="31"/>
    </row>
    <row r="36" spans="1:10" s="32" customFormat="1" ht="25.5" x14ac:dyDescent="0.25">
      <c r="A36" s="23">
        <v>27</v>
      </c>
      <c r="B36" s="24"/>
      <c r="C36" s="25" t="s">
        <v>73</v>
      </c>
      <c r="D36" s="26">
        <v>295</v>
      </c>
      <c r="E36" s="27" t="s">
        <v>21</v>
      </c>
      <c r="F36" s="26" t="s">
        <v>0</v>
      </c>
      <c r="G36" s="28">
        <v>7000</v>
      </c>
      <c r="H36" s="90">
        <v>31</v>
      </c>
      <c r="I36" s="30">
        <f t="shared" si="0"/>
        <v>217000</v>
      </c>
      <c r="J36" s="31"/>
    </row>
    <row r="37" spans="1:10" s="32" customFormat="1" ht="38.25" x14ac:dyDescent="0.25">
      <c r="A37" s="23">
        <v>28</v>
      </c>
      <c r="B37" s="24"/>
      <c r="C37" s="25" t="s">
        <v>73</v>
      </c>
      <c r="D37" s="26">
        <v>295</v>
      </c>
      <c r="E37" s="27" t="s">
        <v>22</v>
      </c>
      <c r="F37" s="26" t="s">
        <v>0</v>
      </c>
      <c r="G37" s="28">
        <v>8000</v>
      </c>
      <c r="H37" s="90">
        <v>31</v>
      </c>
      <c r="I37" s="30">
        <f t="shared" si="0"/>
        <v>248000</v>
      </c>
      <c r="J37" s="31"/>
    </row>
    <row r="38" spans="1:10" s="32" customFormat="1" ht="25.5" x14ac:dyDescent="0.25">
      <c r="A38" s="23">
        <v>29</v>
      </c>
      <c r="B38" s="24"/>
      <c r="C38" s="25" t="s">
        <v>73</v>
      </c>
      <c r="D38" s="26">
        <v>295</v>
      </c>
      <c r="E38" s="27" t="s">
        <v>23</v>
      </c>
      <c r="F38" s="26" t="s">
        <v>0</v>
      </c>
      <c r="G38" s="28">
        <v>7500</v>
      </c>
      <c r="H38" s="90">
        <v>31</v>
      </c>
      <c r="I38" s="30">
        <f t="shared" si="0"/>
        <v>232500</v>
      </c>
      <c r="J38" s="31"/>
    </row>
    <row r="39" spans="1:10" s="32" customFormat="1" ht="38.25" x14ac:dyDescent="0.25">
      <c r="A39" s="23">
        <v>30</v>
      </c>
      <c r="B39" s="24"/>
      <c r="C39" s="25" t="s">
        <v>73</v>
      </c>
      <c r="D39" s="26">
        <v>295</v>
      </c>
      <c r="E39" s="27" t="s">
        <v>24</v>
      </c>
      <c r="F39" s="26" t="s">
        <v>0</v>
      </c>
      <c r="G39" s="28">
        <v>2500</v>
      </c>
      <c r="H39" s="90">
        <v>31</v>
      </c>
      <c r="I39" s="30">
        <f t="shared" si="0"/>
        <v>77500</v>
      </c>
      <c r="J39" s="31"/>
    </row>
    <row r="40" spans="1:10" s="32" customFormat="1" ht="25.5" x14ac:dyDescent="0.25">
      <c r="A40" s="23">
        <v>31</v>
      </c>
      <c r="B40" s="24"/>
      <c r="C40" s="25" t="s">
        <v>73</v>
      </c>
      <c r="D40" s="26">
        <v>295</v>
      </c>
      <c r="E40" s="27" t="s">
        <v>25</v>
      </c>
      <c r="F40" s="26" t="s">
        <v>140</v>
      </c>
      <c r="G40" s="28">
        <v>5000</v>
      </c>
      <c r="H40" s="90">
        <v>990</v>
      </c>
      <c r="I40" s="30">
        <f t="shared" si="0"/>
        <v>4950000</v>
      </c>
      <c r="J40" s="31"/>
    </row>
    <row r="41" spans="1:10" s="32" customFormat="1" ht="25.5" x14ac:dyDescent="0.25">
      <c r="A41" s="23">
        <v>32</v>
      </c>
      <c r="B41" s="24"/>
      <c r="C41" s="25" t="s">
        <v>73</v>
      </c>
      <c r="D41" s="26">
        <v>295</v>
      </c>
      <c r="E41" s="27" t="s">
        <v>26</v>
      </c>
      <c r="F41" s="26" t="s">
        <v>140</v>
      </c>
      <c r="G41" s="28">
        <v>12000</v>
      </c>
      <c r="H41" s="90">
        <v>990</v>
      </c>
      <c r="I41" s="30">
        <f t="shared" si="0"/>
        <v>11880000</v>
      </c>
      <c r="J41" s="31"/>
    </row>
    <row r="42" spans="1:10" s="32" customFormat="1" ht="25.5" x14ac:dyDescent="0.25">
      <c r="A42" s="23">
        <v>33</v>
      </c>
      <c r="B42" s="24"/>
      <c r="C42" s="25" t="s">
        <v>73</v>
      </c>
      <c r="D42" s="26">
        <v>295</v>
      </c>
      <c r="E42" s="27" t="s">
        <v>27</v>
      </c>
      <c r="F42" s="26" t="s">
        <v>140</v>
      </c>
      <c r="G42" s="28">
        <v>7000</v>
      </c>
      <c r="H42" s="90">
        <v>990</v>
      </c>
      <c r="I42" s="30">
        <f t="shared" si="0"/>
        <v>6930000</v>
      </c>
      <c r="J42" s="31"/>
    </row>
    <row r="43" spans="1:10" s="32" customFormat="1" x14ac:dyDescent="0.25">
      <c r="A43" s="23">
        <v>34</v>
      </c>
      <c r="B43" s="24"/>
      <c r="C43" s="25" t="s">
        <v>73</v>
      </c>
      <c r="D43" s="26">
        <v>295</v>
      </c>
      <c r="E43" s="27" t="s">
        <v>28</v>
      </c>
      <c r="F43" s="26" t="s">
        <v>140</v>
      </c>
      <c r="G43" s="28">
        <v>1000</v>
      </c>
      <c r="H43" s="93">
        <v>890</v>
      </c>
      <c r="I43" s="30">
        <f t="shared" si="0"/>
        <v>890000</v>
      </c>
      <c r="J43" s="97"/>
    </row>
    <row r="44" spans="1:10" s="32" customFormat="1" ht="25.5" x14ac:dyDescent="0.25">
      <c r="A44" s="23">
        <v>35</v>
      </c>
      <c r="B44" s="24"/>
      <c r="C44" s="25" t="s">
        <v>73</v>
      </c>
      <c r="D44" s="26">
        <v>295</v>
      </c>
      <c r="E44" s="27" t="s">
        <v>54</v>
      </c>
      <c r="F44" s="26" t="s">
        <v>141</v>
      </c>
      <c r="G44" s="28">
        <v>100000</v>
      </c>
      <c r="H44" s="91">
        <v>230</v>
      </c>
      <c r="I44" s="30">
        <f t="shared" si="0"/>
        <v>23000000</v>
      </c>
      <c r="J44" s="31"/>
    </row>
    <row r="45" spans="1:10" s="32" customFormat="1" x14ac:dyDescent="0.25">
      <c r="A45" s="23">
        <v>36</v>
      </c>
      <c r="B45" s="24"/>
      <c r="C45" s="25" t="s">
        <v>73</v>
      </c>
      <c r="D45" s="26">
        <v>295</v>
      </c>
      <c r="E45" s="27" t="s">
        <v>29</v>
      </c>
      <c r="F45" s="26" t="s">
        <v>0</v>
      </c>
      <c r="G45" s="28">
        <v>5000</v>
      </c>
      <c r="H45" s="91">
        <v>24.55</v>
      </c>
      <c r="I45" s="30">
        <f t="shared" si="0"/>
        <v>122750</v>
      </c>
      <c r="J45" s="31"/>
    </row>
    <row r="46" spans="1:10" s="32" customFormat="1" x14ac:dyDescent="0.25">
      <c r="A46" s="23">
        <v>37</v>
      </c>
      <c r="B46" s="24"/>
      <c r="C46" s="25" t="s">
        <v>73</v>
      </c>
      <c r="D46" s="26">
        <v>295</v>
      </c>
      <c r="E46" s="27" t="s">
        <v>30</v>
      </c>
      <c r="F46" s="26" t="s">
        <v>0</v>
      </c>
      <c r="G46" s="28">
        <v>2000</v>
      </c>
      <c r="H46" s="90">
        <v>1050</v>
      </c>
      <c r="I46" s="30">
        <f t="shared" si="0"/>
        <v>2100000</v>
      </c>
      <c r="J46" s="31"/>
    </row>
    <row r="47" spans="1:10" s="32" customFormat="1" x14ac:dyDescent="0.25">
      <c r="A47" s="23">
        <v>38</v>
      </c>
      <c r="B47" s="24"/>
      <c r="C47" s="25" t="s">
        <v>73</v>
      </c>
      <c r="D47" s="26">
        <v>295</v>
      </c>
      <c r="E47" s="27" t="s">
        <v>31</v>
      </c>
      <c r="F47" s="26" t="s">
        <v>0</v>
      </c>
      <c r="G47" s="28">
        <v>1000</v>
      </c>
      <c r="H47" s="90">
        <v>1050</v>
      </c>
      <c r="I47" s="30">
        <f t="shared" si="0"/>
        <v>1050000</v>
      </c>
      <c r="J47" s="31"/>
    </row>
    <row r="48" spans="1:10" s="32" customFormat="1" x14ac:dyDescent="0.25">
      <c r="A48" s="23">
        <v>39</v>
      </c>
      <c r="B48" s="24"/>
      <c r="C48" s="25" t="s">
        <v>73</v>
      </c>
      <c r="D48" s="26">
        <v>295</v>
      </c>
      <c r="E48" s="27" t="s">
        <v>32</v>
      </c>
      <c r="F48" s="26" t="s">
        <v>0</v>
      </c>
      <c r="G48" s="28">
        <v>1500</v>
      </c>
      <c r="H48" s="90">
        <v>1050</v>
      </c>
      <c r="I48" s="30">
        <f t="shared" si="0"/>
        <v>1575000</v>
      </c>
      <c r="J48" s="31"/>
    </row>
    <row r="49" spans="1:10" s="32" customFormat="1" x14ac:dyDescent="0.25">
      <c r="A49" s="23">
        <v>40</v>
      </c>
      <c r="B49" s="24"/>
      <c r="C49" s="25" t="s">
        <v>73</v>
      </c>
      <c r="D49" s="26">
        <v>295</v>
      </c>
      <c r="E49" s="27" t="s">
        <v>33</v>
      </c>
      <c r="F49" s="26" t="s">
        <v>0</v>
      </c>
      <c r="G49" s="28">
        <v>1500</v>
      </c>
      <c r="H49" s="90">
        <v>1050</v>
      </c>
      <c r="I49" s="30">
        <f t="shared" si="0"/>
        <v>1575000</v>
      </c>
      <c r="J49" s="31"/>
    </row>
    <row r="50" spans="1:10" s="32" customFormat="1" x14ac:dyDescent="0.25">
      <c r="A50" s="23">
        <v>41</v>
      </c>
      <c r="B50" s="24"/>
      <c r="C50" s="25" t="s">
        <v>73</v>
      </c>
      <c r="D50" s="26">
        <v>295</v>
      </c>
      <c r="E50" s="27" t="s">
        <v>34</v>
      </c>
      <c r="F50" s="26" t="s">
        <v>0</v>
      </c>
      <c r="G50" s="28">
        <v>4000</v>
      </c>
      <c r="H50" s="93">
        <v>357</v>
      </c>
      <c r="I50" s="30">
        <f t="shared" si="0"/>
        <v>1428000</v>
      </c>
      <c r="J50" s="31"/>
    </row>
    <row r="51" spans="1:10" s="32" customFormat="1" ht="25.5" x14ac:dyDescent="0.25">
      <c r="A51" s="23">
        <v>42</v>
      </c>
      <c r="B51" s="24"/>
      <c r="C51" s="25" t="s">
        <v>73</v>
      </c>
      <c r="D51" s="26">
        <v>295</v>
      </c>
      <c r="E51" s="27" t="s">
        <v>35</v>
      </c>
      <c r="F51" s="26" t="s">
        <v>0</v>
      </c>
      <c r="G51" s="28">
        <v>200</v>
      </c>
      <c r="H51" s="93">
        <v>187.2</v>
      </c>
      <c r="I51" s="30">
        <f t="shared" si="0"/>
        <v>37440</v>
      </c>
      <c r="J51" s="31"/>
    </row>
    <row r="52" spans="1:10" s="32" customFormat="1" ht="45.75" customHeight="1" x14ac:dyDescent="0.25">
      <c r="A52" s="23">
        <v>43</v>
      </c>
      <c r="B52" s="24"/>
      <c r="C52" s="25" t="s">
        <v>73</v>
      </c>
      <c r="D52" s="26">
        <v>295</v>
      </c>
      <c r="E52" s="27" t="s">
        <v>142</v>
      </c>
      <c r="F52" s="26" t="s">
        <v>0</v>
      </c>
      <c r="G52" s="28">
        <v>500</v>
      </c>
      <c r="H52" s="90">
        <v>325</v>
      </c>
      <c r="I52" s="30">
        <f t="shared" si="0"/>
        <v>162500</v>
      </c>
      <c r="J52" s="31"/>
    </row>
    <row r="53" spans="1:10" s="32" customFormat="1" ht="25.5" x14ac:dyDescent="0.25">
      <c r="A53" s="23">
        <v>44</v>
      </c>
      <c r="B53" s="24"/>
      <c r="C53" s="25" t="s">
        <v>73</v>
      </c>
      <c r="D53" s="26">
        <v>295</v>
      </c>
      <c r="E53" s="27" t="s">
        <v>136</v>
      </c>
      <c r="F53" s="26" t="s">
        <v>0</v>
      </c>
      <c r="G53" s="28">
        <v>40</v>
      </c>
      <c r="H53" s="90">
        <v>9760</v>
      </c>
      <c r="I53" s="30">
        <f t="shared" si="0"/>
        <v>390400</v>
      </c>
      <c r="J53" s="31"/>
    </row>
    <row r="54" spans="1:10" s="32" customFormat="1" ht="25.5" x14ac:dyDescent="0.25">
      <c r="A54" s="23">
        <v>45</v>
      </c>
      <c r="B54" s="24"/>
      <c r="C54" s="25" t="s">
        <v>73</v>
      </c>
      <c r="D54" s="26">
        <v>295</v>
      </c>
      <c r="E54" s="27" t="s">
        <v>137</v>
      </c>
      <c r="F54" s="26" t="s">
        <v>0</v>
      </c>
      <c r="G54" s="28">
        <v>10</v>
      </c>
      <c r="H54" s="90">
        <v>9760</v>
      </c>
      <c r="I54" s="30">
        <f t="shared" si="0"/>
        <v>97600</v>
      </c>
      <c r="J54" s="31"/>
    </row>
    <row r="55" spans="1:10" s="32" customFormat="1" ht="51" x14ac:dyDescent="0.25">
      <c r="A55" s="23">
        <v>46</v>
      </c>
      <c r="B55" s="24"/>
      <c r="C55" s="25" t="s">
        <v>73</v>
      </c>
      <c r="D55" s="26">
        <v>251</v>
      </c>
      <c r="E55" s="27" t="s">
        <v>36</v>
      </c>
      <c r="F55" s="26" t="s">
        <v>0</v>
      </c>
      <c r="G55" s="28">
        <v>200</v>
      </c>
      <c r="H55" s="93">
        <v>160</v>
      </c>
      <c r="I55" s="30">
        <f t="shared" si="0"/>
        <v>32000</v>
      </c>
      <c r="J55" s="31"/>
    </row>
    <row r="56" spans="1:10" s="32" customFormat="1" x14ac:dyDescent="0.25">
      <c r="A56" s="23">
        <v>47</v>
      </c>
      <c r="B56" s="24"/>
      <c r="C56" s="25" t="s">
        <v>73</v>
      </c>
      <c r="D56" s="26">
        <v>295</v>
      </c>
      <c r="E56" s="27" t="s">
        <v>50</v>
      </c>
      <c r="F56" s="26" t="s">
        <v>0</v>
      </c>
      <c r="G56" s="28">
        <v>2000</v>
      </c>
      <c r="H56" s="99">
        <v>2900</v>
      </c>
      <c r="I56" s="30">
        <f t="shared" si="0"/>
        <v>5800000</v>
      </c>
      <c r="J56" s="31"/>
    </row>
    <row r="57" spans="1:10" s="32" customFormat="1" ht="25.5" x14ac:dyDescent="0.25">
      <c r="A57" s="23">
        <v>48</v>
      </c>
      <c r="B57" s="24"/>
      <c r="C57" s="25" t="s">
        <v>73</v>
      </c>
      <c r="D57" s="26">
        <v>295</v>
      </c>
      <c r="E57" s="27" t="s">
        <v>37</v>
      </c>
      <c r="F57" s="26" t="s">
        <v>0</v>
      </c>
      <c r="G57" s="28">
        <v>200</v>
      </c>
      <c r="H57" s="98">
        <v>4556</v>
      </c>
      <c r="I57" s="30">
        <f t="shared" si="0"/>
        <v>911200</v>
      </c>
      <c r="J57" s="31"/>
    </row>
    <row r="58" spans="1:10" s="32" customFormat="1" ht="25.5" x14ac:dyDescent="0.25">
      <c r="A58" s="23">
        <v>49</v>
      </c>
      <c r="B58" s="24"/>
      <c r="C58" s="25" t="s">
        <v>73</v>
      </c>
      <c r="D58" s="26">
        <v>295</v>
      </c>
      <c r="E58" s="27" t="s">
        <v>38</v>
      </c>
      <c r="F58" s="26" t="s">
        <v>0</v>
      </c>
      <c r="G58" s="28">
        <v>1200</v>
      </c>
      <c r="H58" s="98">
        <v>2499</v>
      </c>
      <c r="I58" s="30">
        <f t="shared" si="0"/>
        <v>2998800</v>
      </c>
      <c r="J58" s="31"/>
    </row>
    <row r="59" spans="1:10" s="32" customFormat="1" x14ac:dyDescent="0.25">
      <c r="A59" s="23">
        <v>50</v>
      </c>
      <c r="B59" s="24"/>
      <c r="C59" s="25" t="s">
        <v>73</v>
      </c>
      <c r="D59" s="26">
        <v>295</v>
      </c>
      <c r="E59" s="27" t="s">
        <v>144</v>
      </c>
      <c r="F59" s="26" t="s">
        <v>0</v>
      </c>
      <c r="G59" s="28">
        <v>40</v>
      </c>
      <c r="H59" s="98">
        <v>190</v>
      </c>
      <c r="I59" s="30">
        <f t="shared" si="0"/>
        <v>7600</v>
      </c>
      <c r="J59" s="31"/>
    </row>
    <row r="60" spans="1:10" s="32" customFormat="1" x14ac:dyDescent="0.25">
      <c r="A60" s="23">
        <v>51</v>
      </c>
      <c r="B60" s="24"/>
      <c r="C60" s="25" t="s">
        <v>73</v>
      </c>
      <c r="D60" s="26">
        <v>295</v>
      </c>
      <c r="E60" s="27" t="s">
        <v>145</v>
      </c>
      <c r="F60" s="26" t="s">
        <v>0</v>
      </c>
      <c r="G60" s="28">
        <v>40</v>
      </c>
      <c r="H60" s="98">
        <v>190</v>
      </c>
      <c r="I60" s="30">
        <f t="shared" si="0"/>
        <v>7600</v>
      </c>
      <c r="J60" s="31"/>
    </row>
    <row r="61" spans="1:10" s="32" customFormat="1" x14ac:dyDescent="0.25">
      <c r="A61" s="23">
        <v>52</v>
      </c>
      <c r="B61" s="24"/>
      <c r="C61" s="25" t="s">
        <v>73</v>
      </c>
      <c r="D61" s="26">
        <v>295</v>
      </c>
      <c r="E61" s="27" t="s">
        <v>146</v>
      </c>
      <c r="F61" s="26" t="s">
        <v>0</v>
      </c>
      <c r="G61" s="28">
        <v>1000</v>
      </c>
      <c r="H61" s="98">
        <v>144</v>
      </c>
      <c r="I61" s="30">
        <f t="shared" si="0"/>
        <v>144000</v>
      </c>
      <c r="J61" s="31"/>
    </row>
    <row r="62" spans="1:10" s="32" customFormat="1" ht="25.5" x14ac:dyDescent="0.25">
      <c r="A62" s="23">
        <v>53</v>
      </c>
      <c r="B62" s="24"/>
      <c r="C62" s="25" t="s">
        <v>73</v>
      </c>
      <c r="D62" s="26">
        <v>295</v>
      </c>
      <c r="E62" s="27" t="s">
        <v>55</v>
      </c>
      <c r="F62" s="26" t="s">
        <v>0</v>
      </c>
      <c r="G62" s="28">
        <v>8000</v>
      </c>
      <c r="H62" s="29">
        <v>32</v>
      </c>
      <c r="I62" s="30">
        <f t="shared" si="0"/>
        <v>256000</v>
      </c>
      <c r="J62" s="31"/>
    </row>
    <row r="63" spans="1:10" s="32" customFormat="1" ht="25.5" x14ac:dyDescent="0.25">
      <c r="A63" s="23">
        <v>54</v>
      </c>
      <c r="B63" s="24"/>
      <c r="C63" s="25" t="s">
        <v>73</v>
      </c>
      <c r="D63" s="26">
        <v>295</v>
      </c>
      <c r="E63" s="27" t="s">
        <v>39</v>
      </c>
      <c r="F63" s="26" t="s">
        <v>0</v>
      </c>
      <c r="G63" s="28">
        <v>3000</v>
      </c>
      <c r="H63" s="93">
        <v>38</v>
      </c>
      <c r="I63" s="30">
        <f t="shared" si="0"/>
        <v>114000</v>
      </c>
      <c r="J63" s="31"/>
    </row>
    <row r="64" spans="1:10" s="32" customFormat="1" ht="25.5" x14ac:dyDescent="0.25">
      <c r="A64" s="23">
        <v>55</v>
      </c>
      <c r="B64" s="24"/>
      <c r="C64" s="25" t="s">
        <v>73</v>
      </c>
      <c r="D64" s="26">
        <v>295</v>
      </c>
      <c r="E64" s="27" t="s">
        <v>40</v>
      </c>
      <c r="F64" s="26" t="s">
        <v>0</v>
      </c>
      <c r="G64" s="28">
        <v>1500</v>
      </c>
      <c r="H64" s="90">
        <v>37.950000000000003</v>
      </c>
      <c r="I64" s="30">
        <f t="shared" si="0"/>
        <v>56925.000000000007</v>
      </c>
      <c r="J64" s="31"/>
    </row>
    <row r="65" spans="1:10" s="32" customFormat="1" ht="25.5" x14ac:dyDescent="0.25">
      <c r="A65" s="23">
        <v>56</v>
      </c>
      <c r="B65" s="24"/>
      <c r="C65" s="25" t="s">
        <v>73</v>
      </c>
      <c r="D65" s="26">
        <v>295</v>
      </c>
      <c r="E65" s="27" t="s">
        <v>41</v>
      </c>
      <c r="F65" s="26" t="s">
        <v>0</v>
      </c>
      <c r="G65" s="28">
        <v>1000</v>
      </c>
      <c r="H65" s="90">
        <v>33.67</v>
      </c>
      <c r="I65" s="30">
        <f t="shared" si="0"/>
        <v>33670</v>
      </c>
      <c r="J65" s="31"/>
    </row>
    <row r="66" spans="1:10" s="32" customFormat="1" ht="25.5" x14ac:dyDescent="0.25">
      <c r="A66" s="23">
        <v>57</v>
      </c>
      <c r="B66" s="24"/>
      <c r="C66" s="25" t="s">
        <v>73</v>
      </c>
      <c r="D66" s="26">
        <v>295</v>
      </c>
      <c r="E66" s="27" t="s">
        <v>42</v>
      </c>
      <c r="F66" s="26" t="s">
        <v>0</v>
      </c>
      <c r="G66" s="28">
        <v>500</v>
      </c>
      <c r="H66" s="90">
        <v>31.77</v>
      </c>
      <c r="I66" s="30">
        <f t="shared" si="0"/>
        <v>15885</v>
      </c>
      <c r="J66" s="31"/>
    </row>
    <row r="67" spans="1:10" s="32" customFormat="1" ht="25.5" x14ac:dyDescent="0.25">
      <c r="A67" s="23">
        <v>58</v>
      </c>
      <c r="B67" s="24"/>
      <c r="C67" s="25" t="s">
        <v>73</v>
      </c>
      <c r="D67" s="26">
        <v>295</v>
      </c>
      <c r="E67" s="27" t="s">
        <v>43</v>
      </c>
      <c r="F67" s="26" t="s">
        <v>0</v>
      </c>
      <c r="G67" s="28">
        <v>250</v>
      </c>
      <c r="H67" s="90">
        <v>35.43</v>
      </c>
      <c r="I67" s="30">
        <f t="shared" si="0"/>
        <v>8857.5</v>
      </c>
      <c r="J67" s="31"/>
    </row>
    <row r="68" spans="1:10" s="32" customFormat="1" ht="25.5" x14ac:dyDescent="0.25">
      <c r="A68" s="23">
        <v>59</v>
      </c>
      <c r="B68" s="24"/>
      <c r="C68" s="25" t="s">
        <v>73</v>
      </c>
      <c r="D68" s="26">
        <v>295</v>
      </c>
      <c r="E68" s="27" t="s">
        <v>44</v>
      </c>
      <c r="F68" s="26" t="s">
        <v>0</v>
      </c>
      <c r="G68" s="28">
        <v>2000</v>
      </c>
      <c r="H68" s="98">
        <v>734</v>
      </c>
      <c r="I68" s="30">
        <f t="shared" si="0"/>
        <v>1468000</v>
      </c>
      <c r="J68" s="31"/>
    </row>
    <row r="69" spans="1:10" s="32" customFormat="1" x14ac:dyDescent="0.25">
      <c r="A69" s="23">
        <v>60</v>
      </c>
      <c r="B69" s="24"/>
      <c r="C69" s="25" t="s">
        <v>73</v>
      </c>
      <c r="D69" s="26">
        <v>295</v>
      </c>
      <c r="E69" s="27" t="s">
        <v>128</v>
      </c>
      <c r="F69" s="26" t="s">
        <v>0</v>
      </c>
      <c r="G69" s="28">
        <v>3000</v>
      </c>
      <c r="H69" s="93">
        <v>35</v>
      </c>
      <c r="I69" s="30">
        <f t="shared" si="0"/>
        <v>105000</v>
      </c>
      <c r="J69" s="31"/>
    </row>
    <row r="70" spans="1:10" s="32" customFormat="1" x14ac:dyDescent="0.25">
      <c r="A70" s="23">
        <v>61</v>
      </c>
      <c r="B70" s="24"/>
      <c r="C70" s="25" t="s">
        <v>73</v>
      </c>
      <c r="D70" s="26">
        <v>295</v>
      </c>
      <c r="E70" s="27" t="s">
        <v>143</v>
      </c>
      <c r="F70" s="26" t="s">
        <v>0</v>
      </c>
      <c r="G70" s="28">
        <v>400</v>
      </c>
      <c r="H70" s="93">
        <v>35</v>
      </c>
      <c r="I70" s="30">
        <f t="shared" si="0"/>
        <v>14000</v>
      </c>
      <c r="J70" s="31"/>
    </row>
    <row r="71" spans="1:10" s="32" customFormat="1" x14ac:dyDescent="0.25">
      <c r="A71" s="23">
        <v>62</v>
      </c>
      <c r="B71" s="24"/>
      <c r="C71" s="25" t="s">
        <v>73</v>
      </c>
      <c r="D71" s="26">
        <v>295</v>
      </c>
      <c r="E71" s="27" t="s">
        <v>45</v>
      </c>
      <c r="F71" s="26" t="s">
        <v>0</v>
      </c>
      <c r="G71" s="28">
        <v>2000</v>
      </c>
      <c r="H71" s="93">
        <v>35</v>
      </c>
      <c r="I71" s="30">
        <f t="shared" si="0"/>
        <v>70000</v>
      </c>
      <c r="J71" s="31"/>
    </row>
    <row r="72" spans="1:10" s="32" customFormat="1" x14ac:dyDescent="0.25">
      <c r="A72" s="23">
        <v>63</v>
      </c>
      <c r="B72" s="24"/>
      <c r="C72" s="25" t="s">
        <v>73</v>
      </c>
      <c r="D72" s="26">
        <v>295</v>
      </c>
      <c r="E72" s="27" t="s">
        <v>46</v>
      </c>
      <c r="F72" s="26" t="s">
        <v>0</v>
      </c>
      <c r="G72" s="28">
        <v>100</v>
      </c>
      <c r="H72" s="93">
        <v>115</v>
      </c>
      <c r="I72" s="30">
        <f t="shared" si="0"/>
        <v>11500</v>
      </c>
      <c r="J72" s="31"/>
    </row>
    <row r="73" spans="1:10" s="32" customFormat="1" ht="25.5" x14ac:dyDescent="0.25">
      <c r="A73" s="23">
        <v>64</v>
      </c>
      <c r="B73" s="24"/>
      <c r="C73" s="25" t="s">
        <v>73</v>
      </c>
      <c r="D73" s="26">
        <v>295</v>
      </c>
      <c r="E73" s="27" t="s">
        <v>47</v>
      </c>
      <c r="F73" s="26" t="s">
        <v>0</v>
      </c>
      <c r="G73" s="28">
        <v>200</v>
      </c>
      <c r="H73" s="93">
        <v>115</v>
      </c>
      <c r="I73" s="30">
        <f t="shared" si="0"/>
        <v>23000</v>
      </c>
      <c r="J73" s="31"/>
    </row>
    <row r="74" spans="1:10" s="32" customFormat="1" x14ac:dyDescent="0.25">
      <c r="A74" s="23">
        <v>65</v>
      </c>
      <c r="B74" s="24"/>
      <c r="C74" s="25" t="s">
        <v>73</v>
      </c>
      <c r="D74" s="26">
        <v>295</v>
      </c>
      <c r="E74" s="27" t="s">
        <v>48</v>
      </c>
      <c r="F74" s="26" t="s">
        <v>0</v>
      </c>
      <c r="G74" s="28">
        <v>400</v>
      </c>
      <c r="H74" s="93">
        <v>115</v>
      </c>
      <c r="I74" s="30">
        <f t="shared" ref="I74:I77" si="1">+H74*G74</f>
        <v>46000</v>
      </c>
      <c r="J74" s="31"/>
    </row>
    <row r="75" spans="1:10" s="32" customFormat="1" ht="25.5" x14ac:dyDescent="0.25">
      <c r="A75" s="23">
        <v>66</v>
      </c>
      <c r="B75" s="24"/>
      <c r="C75" s="25" t="s">
        <v>73</v>
      </c>
      <c r="D75" s="26">
        <v>295</v>
      </c>
      <c r="E75" s="27" t="s">
        <v>49</v>
      </c>
      <c r="F75" s="26" t="s">
        <v>0</v>
      </c>
      <c r="G75" s="28">
        <v>400</v>
      </c>
      <c r="H75" s="93">
        <v>115</v>
      </c>
      <c r="I75" s="30">
        <f t="shared" si="1"/>
        <v>46000</v>
      </c>
      <c r="J75" s="31"/>
    </row>
    <row r="76" spans="1:10" s="32" customFormat="1" x14ac:dyDescent="0.25">
      <c r="A76" s="23">
        <v>67</v>
      </c>
      <c r="B76" s="24"/>
      <c r="C76" s="25" t="s">
        <v>73</v>
      </c>
      <c r="D76" s="26">
        <v>295</v>
      </c>
      <c r="E76" s="92" t="s">
        <v>129</v>
      </c>
      <c r="F76" s="26" t="s">
        <v>0</v>
      </c>
      <c r="G76" s="34">
        <v>500</v>
      </c>
      <c r="H76" s="94">
        <v>58</v>
      </c>
      <c r="I76" s="30">
        <f t="shared" si="1"/>
        <v>29000</v>
      </c>
      <c r="J76" s="31"/>
    </row>
    <row r="77" spans="1:10" s="32" customFormat="1" x14ac:dyDescent="0.25">
      <c r="A77" s="23">
        <v>68</v>
      </c>
      <c r="B77" s="24"/>
      <c r="C77" s="25" t="s">
        <v>73</v>
      </c>
      <c r="D77" s="26">
        <v>295</v>
      </c>
      <c r="E77" s="27" t="s">
        <v>134</v>
      </c>
      <c r="F77" s="26" t="s">
        <v>0</v>
      </c>
      <c r="G77" s="28">
        <v>15</v>
      </c>
      <c r="H77" s="93">
        <v>1500</v>
      </c>
      <c r="I77" s="30">
        <f t="shared" si="1"/>
        <v>22500</v>
      </c>
      <c r="J77" s="31"/>
    </row>
    <row r="78" spans="1:10" s="32" customFormat="1" ht="14.45" customHeight="1" x14ac:dyDescent="0.2">
      <c r="A78" s="110" t="s">
        <v>130</v>
      </c>
      <c r="B78" s="111"/>
      <c r="C78" s="111"/>
      <c r="D78" s="111"/>
      <c r="E78" s="111"/>
      <c r="F78" s="111"/>
      <c r="G78" s="111"/>
      <c r="H78" s="112"/>
      <c r="I78" s="95">
        <f>SUM(I10:I77)</f>
        <v>146037602.5</v>
      </c>
      <c r="J78" s="31"/>
    </row>
    <row r="79" spans="1:10" s="32" customFormat="1" ht="118.5" customHeight="1" x14ac:dyDescent="0.2">
      <c r="A79" s="113" t="s">
        <v>132</v>
      </c>
      <c r="B79" s="113"/>
      <c r="C79" s="108" t="s">
        <v>135</v>
      </c>
      <c r="D79" s="108"/>
      <c r="E79" s="108"/>
      <c r="F79" s="108"/>
      <c r="G79" s="37"/>
      <c r="H79" s="38"/>
      <c r="I79" s="39"/>
    </row>
    <row r="80" spans="1:10" s="32" customFormat="1" x14ac:dyDescent="0.25">
      <c r="A80" s="35"/>
      <c r="B80" s="40" t="s">
        <v>74</v>
      </c>
      <c r="C80" s="88" t="s">
        <v>133</v>
      </c>
      <c r="D80" s="36"/>
      <c r="E80" s="41"/>
      <c r="F80" s="36"/>
      <c r="G80" s="37"/>
      <c r="H80" s="38"/>
      <c r="I80" s="39"/>
    </row>
    <row r="81" spans="1:10" s="32" customFormat="1" x14ac:dyDescent="0.25">
      <c r="A81" s="35"/>
      <c r="B81" s="40"/>
      <c r="C81" s="35"/>
      <c r="D81" s="36"/>
      <c r="E81" s="41"/>
      <c r="F81" s="36"/>
      <c r="G81" s="37"/>
      <c r="H81" s="38"/>
      <c r="I81" s="39"/>
    </row>
    <row r="82" spans="1:10" s="32" customFormat="1" ht="30" x14ac:dyDescent="0.25">
      <c r="A82" s="35"/>
      <c r="B82" s="40" t="s">
        <v>75</v>
      </c>
      <c r="C82" s="109" t="s">
        <v>76</v>
      </c>
      <c r="D82" s="109"/>
      <c r="E82" s="109"/>
      <c r="F82" s="109"/>
      <c r="G82" s="37"/>
      <c r="H82" s="38"/>
      <c r="I82" s="39"/>
    </row>
    <row r="83" spans="1:10" x14ac:dyDescent="0.25">
      <c r="C83" s="102"/>
      <c r="D83" s="102"/>
      <c r="E83" s="102"/>
      <c r="F83" s="102"/>
    </row>
    <row r="84" spans="1:10" ht="30" x14ac:dyDescent="0.25">
      <c r="B84" s="2" t="s">
        <v>77</v>
      </c>
    </row>
    <row r="86" spans="1:10" s="4" customFormat="1" x14ac:dyDescent="0.25">
      <c r="A86" s="3"/>
      <c r="B86" s="2" t="s">
        <v>78</v>
      </c>
      <c r="C86" s="89" t="s">
        <v>79</v>
      </c>
      <c r="E86" s="41"/>
      <c r="F86" s="36"/>
      <c r="G86" s="37"/>
      <c r="H86" s="38"/>
      <c r="I86" s="39"/>
      <c r="J86" s="32"/>
    </row>
    <row r="87" spans="1:10" x14ac:dyDescent="0.25">
      <c r="E87" s="41"/>
      <c r="F87" s="36"/>
      <c r="G87" s="37"/>
      <c r="H87" s="38"/>
      <c r="I87" s="39"/>
      <c r="J87" s="32"/>
    </row>
    <row r="88" spans="1:10" x14ac:dyDescent="0.25">
      <c r="E88" s="41"/>
      <c r="F88" s="36"/>
      <c r="G88" s="37"/>
      <c r="H88" s="38"/>
      <c r="I88" s="39"/>
      <c r="J88" s="32"/>
    </row>
    <row r="89" spans="1:10" x14ac:dyDescent="0.25">
      <c r="E89" s="41"/>
    </row>
  </sheetData>
  <mergeCells count="12">
    <mergeCell ref="C83:F83"/>
    <mergeCell ref="B2:H2"/>
    <mergeCell ref="A4:B4"/>
    <mergeCell ref="C4:E4"/>
    <mergeCell ref="A5:B5"/>
    <mergeCell ref="C5:E5"/>
    <mergeCell ref="A6:B6"/>
    <mergeCell ref="A7:B7"/>
    <mergeCell ref="C79:F79"/>
    <mergeCell ref="C82:F82"/>
    <mergeCell ref="A78:H78"/>
    <mergeCell ref="A79:B79"/>
  </mergeCells>
  <conditionalFormatting sqref="B88:B1048576 B1:B69 B71:B77">
    <cfRule type="duplicateValues" dxfId="37" priority="29"/>
  </conditionalFormatting>
  <conditionalFormatting sqref="E89:E1048576 E71:E77 E1:E69">
    <cfRule type="duplicateValues" dxfId="36" priority="28"/>
  </conditionalFormatting>
  <conditionalFormatting sqref="E89:E1048576 E71:E77 E1:E69">
    <cfRule type="duplicateValues" dxfId="35" priority="30"/>
    <cfRule type="duplicateValues" dxfId="34" priority="31"/>
  </conditionalFormatting>
  <conditionalFormatting sqref="B88:B1048576 E89:E1048576 B1:B69 E71:E77 B71:B77 E1:E69">
    <cfRule type="duplicateValues" dxfId="33" priority="32"/>
  </conditionalFormatting>
  <conditionalFormatting sqref="B87">
    <cfRule type="duplicateValues" dxfId="32" priority="19"/>
  </conditionalFormatting>
  <conditionalFormatting sqref="E87:E88">
    <cfRule type="duplicateValues" dxfId="31" priority="18"/>
  </conditionalFormatting>
  <conditionalFormatting sqref="B87 E87:E88">
    <cfRule type="duplicateValues" dxfId="30" priority="20"/>
  </conditionalFormatting>
  <conditionalFormatting sqref="E87:E88">
    <cfRule type="duplicateValues" dxfId="29" priority="21"/>
    <cfRule type="duplicateValues" dxfId="28" priority="22"/>
  </conditionalFormatting>
  <conditionalFormatting sqref="E84:E86 E80:E81">
    <cfRule type="duplicateValues" dxfId="27" priority="11"/>
  </conditionalFormatting>
  <conditionalFormatting sqref="E84:E86 B80:B86 A79 E80:E81">
    <cfRule type="duplicateValues" dxfId="26" priority="10"/>
  </conditionalFormatting>
  <conditionalFormatting sqref="E84:E86 E80:E81">
    <cfRule type="duplicateValues" dxfId="25" priority="6"/>
    <cfRule type="duplicateValues" dxfId="24" priority="7"/>
  </conditionalFormatting>
  <conditionalFormatting sqref="B80:B86 A79">
    <cfRule type="duplicateValues" dxfId="23" priority="101"/>
  </conditionalFormatting>
  <conditionalFormatting sqref="E80:E86">
    <cfRule type="duplicateValues" dxfId="22" priority="104"/>
    <cfRule type="duplicateValues" dxfId="21" priority="105"/>
  </conditionalFormatting>
  <conditionalFormatting sqref="E80:E86">
    <cfRule type="duplicateValues" dxfId="20" priority="108"/>
  </conditionalFormatting>
  <conditionalFormatting sqref="E80:E86">
    <cfRule type="duplicateValues" dxfId="19" priority="110"/>
  </conditionalFormatting>
  <conditionalFormatting sqref="B80:B86 A79 E80:E86">
    <cfRule type="duplicateValues" dxfId="18" priority="112"/>
  </conditionalFormatting>
  <conditionalFormatting sqref="B80:B86 A79">
    <cfRule type="duplicateValues" dxfId="17" priority="117"/>
  </conditionalFormatting>
  <conditionalFormatting sqref="B70">
    <cfRule type="duplicateValues" dxfId="16" priority="2"/>
  </conditionalFormatting>
  <conditionalFormatting sqref="E70">
    <cfRule type="duplicateValues" dxfId="15" priority="1"/>
  </conditionalFormatting>
  <conditionalFormatting sqref="E70">
    <cfRule type="duplicateValues" dxfId="14" priority="3"/>
    <cfRule type="duplicateValues" dxfId="13" priority="4"/>
  </conditionalFormatting>
  <conditionalFormatting sqref="B70 E70">
    <cfRule type="duplicateValues" dxfId="12" priority="5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0"/>
  <sheetViews>
    <sheetView zoomScale="80" zoomScaleNormal="80" workbookViewId="0">
      <selection activeCell="J80" sqref="J80:K80"/>
    </sheetView>
  </sheetViews>
  <sheetFormatPr baseColWidth="10" defaultColWidth="9.140625" defaultRowHeight="12.75" x14ac:dyDescent="0.2"/>
  <cols>
    <col min="1" max="1" width="5.5703125" style="44" customWidth="1"/>
    <col min="2" max="2" width="15.140625" style="44" customWidth="1"/>
    <col min="3" max="3" width="14.140625" style="44" customWidth="1"/>
    <col min="4" max="4" width="26" style="44" customWidth="1"/>
    <col min="5" max="5" width="8" style="44" customWidth="1"/>
    <col min="6" max="6" width="7.85546875" style="44" customWidth="1"/>
    <col min="7" max="7" width="3.42578125" style="44" customWidth="1"/>
    <col min="8" max="8" width="9.28515625" style="44" customWidth="1"/>
    <col min="9" max="9" width="14.5703125" style="44" customWidth="1"/>
    <col min="10" max="10" width="16" style="44" customWidth="1"/>
    <col min="11" max="11" width="15.5703125" style="44" customWidth="1"/>
    <col min="12" max="12" width="5.85546875" style="44" customWidth="1"/>
    <col min="13" max="13" width="15.7109375" style="44" customWidth="1"/>
    <col min="14" max="14" width="5.85546875" style="44" customWidth="1"/>
    <col min="15" max="15" width="12.5703125" style="44" customWidth="1"/>
    <col min="16" max="1024" width="9.140625" style="44"/>
    <col min="1025" max="16384" width="9.140625" style="56"/>
  </cols>
  <sheetData>
    <row r="1" spans="1:13" ht="18" customHeight="1" thickBot="1" x14ac:dyDescent="0.25">
      <c r="A1" s="142" t="s">
        <v>80</v>
      </c>
      <c r="B1" s="142"/>
      <c r="C1" s="142"/>
      <c r="D1" s="142"/>
      <c r="E1" s="142"/>
      <c r="F1" s="142"/>
      <c r="G1" s="142"/>
      <c r="H1" s="142"/>
      <c r="I1" s="142"/>
      <c r="J1" s="42" t="s">
        <v>81</v>
      </c>
      <c r="K1" s="43" t="s">
        <v>138</v>
      </c>
    </row>
    <row r="2" spans="1:13" ht="18.75" customHeight="1" thickBot="1" x14ac:dyDescent="0.25">
      <c r="A2" s="45"/>
      <c r="B2" s="45"/>
      <c r="C2" s="45"/>
      <c r="D2" s="46"/>
      <c r="E2" s="46"/>
      <c r="F2" s="46"/>
      <c r="G2" s="46"/>
      <c r="H2" s="46"/>
      <c r="I2" s="46"/>
      <c r="J2" s="46"/>
      <c r="K2" s="46"/>
    </row>
    <row r="3" spans="1:13" ht="18.75" customHeight="1" thickBot="1" x14ac:dyDescent="0.25">
      <c r="A3" s="137" t="s">
        <v>82</v>
      </c>
      <c r="B3" s="137"/>
      <c r="C3" s="137"/>
      <c r="D3" s="138" t="s">
        <v>83</v>
      </c>
      <c r="E3" s="138"/>
      <c r="F3" s="138"/>
      <c r="G3" s="138"/>
      <c r="H3" s="138"/>
      <c r="I3" s="138"/>
      <c r="J3" s="138"/>
      <c r="K3" s="138"/>
    </row>
    <row r="4" spans="1:13" ht="18.75" customHeight="1" thickBot="1" x14ac:dyDescent="0.25">
      <c r="A4" s="139" t="s">
        <v>84</v>
      </c>
      <c r="B4" s="139"/>
      <c r="C4" s="139"/>
      <c r="D4" s="138" t="s">
        <v>85</v>
      </c>
      <c r="E4" s="138"/>
      <c r="F4" s="138"/>
      <c r="G4" s="138"/>
      <c r="H4" s="138"/>
      <c r="I4" s="138"/>
      <c r="J4" s="138"/>
      <c r="K4" s="138"/>
    </row>
    <row r="5" spans="1:13" ht="18.75" customHeight="1" thickBot="1" x14ac:dyDescent="0.25">
      <c r="A5" s="139" t="s">
        <v>86</v>
      </c>
      <c r="B5" s="139"/>
      <c r="C5" s="139"/>
      <c r="D5" s="138" t="s">
        <v>87</v>
      </c>
      <c r="E5" s="138"/>
      <c r="F5" s="138"/>
      <c r="G5" s="138"/>
      <c r="H5" s="138"/>
      <c r="I5" s="138"/>
      <c r="J5" s="138"/>
      <c r="K5" s="138"/>
    </row>
    <row r="6" spans="1:13" ht="16.5" customHeight="1" thickBot="1" x14ac:dyDescent="0.25">
      <c r="A6" s="137" t="s">
        <v>88</v>
      </c>
      <c r="B6" s="137"/>
      <c r="C6" s="137"/>
      <c r="D6" s="138" t="s">
        <v>87</v>
      </c>
      <c r="E6" s="138"/>
      <c r="F6" s="138"/>
      <c r="G6" s="138"/>
      <c r="H6" s="138"/>
      <c r="I6" s="138"/>
      <c r="J6" s="138"/>
      <c r="K6" s="138"/>
    </row>
    <row r="7" spans="1:13" ht="16.5" customHeight="1" thickBot="1" x14ac:dyDescent="0.25">
      <c r="A7" s="139" t="s">
        <v>89</v>
      </c>
      <c r="B7" s="139"/>
      <c r="C7" s="139"/>
      <c r="D7" s="138" t="s">
        <v>90</v>
      </c>
      <c r="E7" s="138"/>
      <c r="F7" s="138"/>
      <c r="G7" s="138"/>
      <c r="H7" s="138"/>
      <c r="I7" s="138"/>
      <c r="J7" s="138"/>
      <c r="K7" s="138"/>
    </row>
    <row r="8" spans="1:13" ht="36" customHeight="1" thickBot="1" x14ac:dyDescent="0.25">
      <c r="A8" s="140" t="s">
        <v>91</v>
      </c>
      <c r="B8" s="140"/>
      <c r="C8" s="140"/>
      <c r="D8" s="141" t="s">
        <v>131</v>
      </c>
      <c r="E8" s="141"/>
      <c r="F8" s="141"/>
      <c r="G8" s="141"/>
      <c r="H8" s="141"/>
      <c r="I8" s="141"/>
      <c r="J8" s="141"/>
      <c r="K8" s="141"/>
    </row>
    <row r="9" spans="1:13" ht="16.5" thickBot="1" x14ac:dyDescent="0.25">
      <c r="A9" s="47"/>
      <c r="B9" s="47"/>
      <c r="C9" s="47"/>
      <c r="D9" s="48"/>
      <c r="E9" s="48"/>
      <c r="F9" s="48"/>
      <c r="G9" s="48"/>
      <c r="H9" s="48"/>
      <c r="I9" s="48"/>
      <c r="J9" s="48"/>
      <c r="K9" s="48"/>
    </row>
    <row r="10" spans="1:13" ht="18.75" customHeight="1" thickBot="1" x14ac:dyDescent="0.25">
      <c r="A10" s="135" t="s">
        <v>92</v>
      </c>
      <c r="B10" s="134" t="s">
        <v>93</v>
      </c>
      <c r="C10" s="136" t="s">
        <v>94</v>
      </c>
      <c r="D10" s="136"/>
      <c r="E10" s="136"/>
      <c r="F10" s="136"/>
      <c r="G10" s="136"/>
      <c r="H10" s="134" t="s">
        <v>95</v>
      </c>
      <c r="I10" s="134" t="s">
        <v>96</v>
      </c>
      <c r="J10" s="134" t="s">
        <v>97</v>
      </c>
      <c r="K10" s="130" t="s">
        <v>98</v>
      </c>
    </row>
    <row r="11" spans="1:13" ht="24" customHeight="1" thickBot="1" x14ac:dyDescent="0.25">
      <c r="A11" s="135"/>
      <c r="B11" s="134"/>
      <c r="C11" s="136"/>
      <c r="D11" s="136"/>
      <c r="E11" s="136"/>
      <c r="F11" s="136"/>
      <c r="G11" s="136"/>
      <c r="H11" s="134"/>
      <c r="I11" s="134"/>
      <c r="J11" s="134"/>
      <c r="K11" s="130"/>
    </row>
    <row r="12" spans="1:13" s="44" customFormat="1" ht="32.25" customHeight="1" thickBot="1" x14ac:dyDescent="0.25">
      <c r="A12" s="49">
        <v>1</v>
      </c>
      <c r="B12" s="50"/>
      <c r="C12" s="131" t="s">
        <v>1</v>
      </c>
      <c r="D12" s="132" t="s">
        <v>1</v>
      </c>
      <c r="E12" s="132" t="s">
        <v>1</v>
      </c>
      <c r="F12" s="132" t="s">
        <v>1</v>
      </c>
      <c r="G12" s="133" t="s">
        <v>1</v>
      </c>
      <c r="H12" s="51" t="s">
        <v>99</v>
      </c>
      <c r="I12" s="26" t="s">
        <v>0</v>
      </c>
      <c r="J12" s="90">
        <v>194</v>
      </c>
      <c r="K12" s="28">
        <v>16000</v>
      </c>
      <c r="M12" s="52">
        <f>+K12*J12</f>
        <v>3104000</v>
      </c>
    </row>
    <row r="13" spans="1:13" s="44" customFormat="1" ht="32.25" customHeight="1" thickBot="1" x14ac:dyDescent="0.25">
      <c r="A13" s="53">
        <v>2</v>
      </c>
      <c r="B13" s="54"/>
      <c r="C13" s="114" t="s">
        <v>2</v>
      </c>
      <c r="D13" s="115" t="s">
        <v>2</v>
      </c>
      <c r="E13" s="115" t="s">
        <v>2</v>
      </c>
      <c r="F13" s="115" t="s">
        <v>2</v>
      </c>
      <c r="G13" s="116" t="s">
        <v>2</v>
      </c>
      <c r="H13" s="51" t="s">
        <v>99</v>
      </c>
      <c r="I13" s="26" t="s">
        <v>0</v>
      </c>
      <c r="J13" s="90">
        <v>90</v>
      </c>
      <c r="K13" s="28">
        <v>20000</v>
      </c>
      <c r="M13" s="52">
        <f t="shared" ref="M13:M76" si="0">+K13*J13</f>
        <v>1800000</v>
      </c>
    </row>
    <row r="14" spans="1:13" s="44" customFormat="1" ht="32.25" customHeight="1" thickBot="1" x14ac:dyDescent="0.25">
      <c r="A14" s="49">
        <v>3</v>
      </c>
      <c r="B14" s="54"/>
      <c r="C14" s="114" t="s">
        <v>3</v>
      </c>
      <c r="D14" s="115" t="s">
        <v>3</v>
      </c>
      <c r="E14" s="115" t="s">
        <v>3</v>
      </c>
      <c r="F14" s="115" t="s">
        <v>3</v>
      </c>
      <c r="G14" s="116" t="s">
        <v>3</v>
      </c>
      <c r="H14" s="51" t="s">
        <v>99</v>
      </c>
      <c r="I14" s="26" t="s">
        <v>0</v>
      </c>
      <c r="J14" s="90">
        <v>95</v>
      </c>
      <c r="K14" s="28">
        <v>4000</v>
      </c>
      <c r="M14" s="52">
        <f t="shared" si="0"/>
        <v>380000</v>
      </c>
    </row>
    <row r="15" spans="1:13" s="44" customFormat="1" ht="32.25" customHeight="1" thickBot="1" x14ac:dyDescent="0.25">
      <c r="A15" s="49">
        <v>4</v>
      </c>
      <c r="B15" s="54"/>
      <c r="C15" s="114" t="s">
        <v>4</v>
      </c>
      <c r="D15" s="115" t="s">
        <v>4</v>
      </c>
      <c r="E15" s="115" t="s">
        <v>4</v>
      </c>
      <c r="F15" s="115" t="s">
        <v>4</v>
      </c>
      <c r="G15" s="116" t="s">
        <v>4</v>
      </c>
      <c r="H15" s="51" t="s">
        <v>99</v>
      </c>
      <c r="I15" s="26" t="s">
        <v>0</v>
      </c>
      <c r="J15" s="90">
        <v>145</v>
      </c>
      <c r="K15" s="28">
        <v>500</v>
      </c>
      <c r="M15" s="52">
        <f t="shared" si="0"/>
        <v>72500</v>
      </c>
    </row>
    <row r="16" spans="1:13" s="44" customFormat="1" ht="32.25" customHeight="1" thickBot="1" x14ac:dyDescent="0.25">
      <c r="A16" s="53">
        <v>5</v>
      </c>
      <c r="B16" s="54"/>
      <c r="C16" s="114" t="s">
        <v>5</v>
      </c>
      <c r="D16" s="115" t="s">
        <v>5</v>
      </c>
      <c r="E16" s="115" t="s">
        <v>5</v>
      </c>
      <c r="F16" s="115" t="s">
        <v>5</v>
      </c>
      <c r="G16" s="116" t="s">
        <v>5</v>
      </c>
      <c r="H16" s="51" t="s">
        <v>99</v>
      </c>
      <c r="I16" s="26" t="s">
        <v>147</v>
      </c>
      <c r="J16" s="90">
        <v>7919.45</v>
      </c>
      <c r="K16" s="28">
        <v>100</v>
      </c>
      <c r="M16" s="52">
        <f t="shared" si="0"/>
        <v>791945</v>
      </c>
    </row>
    <row r="17" spans="1:13" s="44" customFormat="1" ht="32.25" customHeight="1" thickBot="1" x14ac:dyDescent="0.25">
      <c r="A17" s="49">
        <v>6</v>
      </c>
      <c r="B17" s="54"/>
      <c r="C17" s="114" t="s">
        <v>6</v>
      </c>
      <c r="D17" s="115" t="s">
        <v>6</v>
      </c>
      <c r="E17" s="115" t="s">
        <v>6</v>
      </c>
      <c r="F17" s="115" t="s">
        <v>6</v>
      </c>
      <c r="G17" s="116" t="s">
        <v>6</v>
      </c>
      <c r="H17" s="51" t="s">
        <v>99</v>
      </c>
      <c r="I17" s="26" t="s">
        <v>140</v>
      </c>
      <c r="J17" s="90">
        <v>149.72999999999999</v>
      </c>
      <c r="K17" s="28">
        <v>800</v>
      </c>
      <c r="M17" s="52">
        <f t="shared" si="0"/>
        <v>119783.99999999999</v>
      </c>
    </row>
    <row r="18" spans="1:13" s="44" customFormat="1" ht="32.25" customHeight="1" thickBot="1" x14ac:dyDescent="0.25">
      <c r="A18" s="49">
        <v>7</v>
      </c>
      <c r="B18" s="54"/>
      <c r="C18" s="114" t="s">
        <v>7</v>
      </c>
      <c r="D18" s="115" t="s">
        <v>7</v>
      </c>
      <c r="E18" s="115" t="s">
        <v>7</v>
      </c>
      <c r="F18" s="115" t="s">
        <v>7</v>
      </c>
      <c r="G18" s="116" t="s">
        <v>7</v>
      </c>
      <c r="H18" s="51" t="s">
        <v>99</v>
      </c>
      <c r="I18" s="26" t="s">
        <v>0</v>
      </c>
      <c r="J18" s="90">
        <v>12</v>
      </c>
      <c r="K18" s="28">
        <v>2000000</v>
      </c>
      <c r="M18" s="52">
        <f t="shared" si="0"/>
        <v>24000000</v>
      </c>
    </row>
    <row r="19" spans="1:13" s="44" customFormat="1" ht="32.25" customHeight="1" thickBot="1" x14ac:dyDescent="0.25">
      <c r="A19" s="53">
        <v>8</v>
      </c>
      <c r="B19" s="54"/>
      <c r="C19" s="114" t="s">
        <v>8</v>
      </c>
      <c r="D19" s="115" t="s">
        <v>8</v>
      </c>
      <c r="E19" s="115" t="s">
        <v>8</v>
      </c>
      <c r="F19" s="115" t="s">
        <v>8</v>
      </c>
      <c r="G19" s="116" t="s">
        <v>8</v>
      </c>
      <c r="H19" s="51" t="s">
        <v>99</v>
      </c>
      <c r="I19" s="26" t="s">
        <v>0</v>
      </c>
      <c r="J19" s="93">
        <v>145.19999999999999</v>
      </c>
      <c r="K19" s="28">
        <v>15000</v>
      </c>
      <c r="M19" s="52">
        <f t="shared" si="0"/>
        <v>2178000</v>
      </c>
    </row>
    <row r="20" spans="1:13" s="44" customFormat="1" ht="32.25" customHeight="1" thickBot="1" x14ac:dyDescent="0.25">
      <c r="A20" s="49">
        <v>9</v>
      </c>
      <c r="B20" s="54"/>
      <c r="C20" s="114" t="s">
        <v>9</v>
      </c>
      <c r="D20" s="115" t="s">
        <v>9</v>
      </c>
      <c r="E20" s="115" t="s">
        <v>9</v>
      </c>
      <c r="F20" s="115" t="s">
        <v>9</v>
      </c>
      <c r="G20" s="116" t="s">
        <v>9</v>
      </c>
      <c r="H20" s="51" t="s">
        <v>99</v>
      </c>
      <c r="I20" s="26" t="s">
        <v>0</v>
      </c>
      <c r="J20" s="90">
        <v>190</v>
      </c>
      <c r="K20" s="28">
        <v>200000</v>
      </c>
      <c r="M20" s="52">
        <f t="shared" si="0"/>
        <v>38000000</v>
      </c>
    </row>
    <row r="21" spans="1:13" s="44" customFormat="1" ht="32.25" customHeight="1" thickBot="1" x14ac:dyDescent="0.25">
      <c r="A21" s="49">
        <v>10</v>
      </c>
      <c r="B21" s="54"/>
      <c r="C21" s="114" t="s">
        <v>53</v>
      </c>
      <c r="D21" s="115" t="s">
        <v>53</v>
      </c>
      <c r="E21" s="115" t="s">
        <v>53</v>
      </c>
      <c r="F21" s="115" t="s">
        <v>53</v>
      </c>
      <c r="G21" s="116" t="s">
        <v>53</v>
      </c>
      <c r="H21" s="51" t="s">
        <v>99</v>
      </c>
      <c r="I21" s="26" t="s">
        <v>0</v>
      </c>
      <c r="J21" s="91">
        <v>4200</v>
      </c>
      <c r="K21" s="28">
        <v>50</v>
      </c>
      <c r="M21" s="52">
        <f t="shared" si="0"/>
        <v>210000</v>
      </c>
    </row>
    <row r="22" spans="1:13" s="44" customFormat="1" ht="32.25" customHeight="1" thickBot="1" x14ac:dyDescent="0.25">
      <c r="A22" s="53">
        <v>11</v>
      </c>
      <c r="B22" s="54"/>
      <c r="C22" s="114" t="s">
        <v>125</v>
      </c>
      <c r="D22" s="115" t="s">
        <v>125</v>
      </c>
      <c r="E22" s="115" t="s">
        <v>125</v>
      </c>
      <c r="F22" s="115" t="s">
        <v>125</v>
      </c>
      <c r="G22" s="116" t="s">
        <v>125</v>
      </c>
      <c r="H22" s="51" t="s">
        <v>99</v>
      </c>
      <c r="I22" s="26" t="s">
        <v>0</v>
      </c>
      <c r="J22" s="91">
        <v>5750</v>
      </c>
      <c r="K22" s="28">
        <v>100</v>
      </c>
      <c r="M22" s="52">
        <f t="shared" si="0"/>
        <v>575000</v>
      </c>
    </row>
    <row r="23" spans="1:13" s="44" customFormat="1" ht="32.25" customHeight="1" thickBot="1" x14ac:dyDescent="0.25">
      <c r="A23" s="49">
        <v>12</v>
      </c>
      <c r="B23" s="54"/>
      <c r="C23" s="114" t="s">
        <v>10</v>
      </c>
      <c r="D23" s="115" t="s">
        <v>10</v>
      </c>
      <c r="E23" s="115" t="s">
        <v>10</v>
      </c>
      <c r="F23" s="115" t="s">
        <v>10</v>
      </c>
      <c r="G23" s="116" t="s">
        <v>10</v>
      </c>
      <c r="H23" s="51" t="s">
        <v>99</v>
      </c>
      <c r="I23" s="26" t="s">
        <v>0</v>
      </c>
      <c r="J23" s="91">
        <v>109.8</v>
      </c>
      <c r="K23" s="28">
        <v>2500</v>
      </c>
      <c r="M23" s="52">
        <f t="shared" si="0"/>
        <v>274500</v>
      </c>
    </row>
    <row r="24" spans="1:13" s="44" customFormat="1" ht="32.25" customHeight="1" thickBot="1" x14ac:dyDescent="0.25">
      <c r="A24" s="49">
        <v>13</v>
      </c>
      <c r="B24" s="54"/>
      <c r="C24" s="114" t="s">
        <v>11</v>
      </c>
      <c r="D24" s="115" t="s">
        <v>11</v>
      </c>
      <c r="E24" s="115" t="s">
        <v>11</v>
      </c>
      <c r="F24" s="115" t="s">
        <v>11</v>
      </c>
      <c r="G24" s="116" t="s">
        <v>11</v>
      </c>
      <c r="H24" s="51" t="s">
        <v>99</v>
      </c>
      <c r="I24" s="26" t="s">
        <v>0</v>
      </c>
      <c r="J24" s="90">
        <v>65.36</v>
      </c>
      <c r="K24" s="28">
        <v>100</v>
      </c>
      <c r="M24" s="52">
        <f t="shared" si="0"/>
        <v>6536</v>
      </c>
    </row>
    <row r="25" spans="1:13" s="44" customFormat="1" ht="32.25" customHeight="1" thickBot="1" x14ac:dyDescent="0.25">
      <c r="A25" s="53">
        <v>14</v>
      </c>
      <c r="B25" s="54"/>
      <c r="C25" s="114" t="s">
        <v>12</v>
      </c>
      <c r="D25" s="115" t="s">
        <v>12</v>
      </c>
      <c r="E25" s="115" t="s">
        <v>12</v>
      </c>
      <c r="F25" s="115" t="s">
        <v>12</v>
      </c>
      <c r="G25" s="116" t="s">
        <v>12</v>
      </c>
      <c r="H25" s="51" t="s">
        <v>99</v>
      </c>
      <c r="I25" s="26" t="s">
        <v>0</v>
      </c>
      <c r="J25" s="90">
        <v>589.4</v>
      </c>
      <c r="K25" s="28">
        <v>200</v>
      </c>
      <c r="M25" s="52">
        <f t="shared" si="0"/>
        <v>117880</v>
      </c>
    </row>
    <row r="26" spans="1:13" s="44" customFormat="1" ht="32.25" customHeight="1" thickBot="1" x14ac:dyDescent="0.25">
      <c r="A26" s="49">
        <v>15</v>
      </c>
      <c r="B26" s="54"/>
      <c r="C26" s="114" t="s">
        <v>13</v>
      </c>
      <c r="D26" s="115" t="s">
        <v>13</v>
      </c>
      <c r="E26" s="115" t="s">
        <v>13</v>
      </c>
      <c r="F26" s="115" t="s">
        <v>13</v>
      </c>
      <c r="G26" s="116" t="s">
        <v>13</v>
      </c>
      <c r="H26" s="51" t="s">
        <v>99</v>
      </c>
      <c r="I26" s="26" t="s">
        <v>0</v>
      </c>
      <c r="J26" s="90">
        <v>589.4</v>
      </c>
      <c r="K26" s="28">
        <v>400</v>
      </c>
      <c r="M26" s="52">
        <f t="shared" si="0"/>
        <v>235760</v>
      </c>
    </row>
    <row r="27" spans="1:13" s="44" customFormat="1" ht="32.25" customHeight="1" thickBot="1" x14ac:dyDescent="0.25">
      <c r="A27" s="49">
        <v>16</v>
      </c>
      <c r="B27" s="54"/>
      <c r="C27" s="114" t="s">
        <v>14</v>
      </c>
      <c r="D27" s="115" t="s">
        <v>14</v>
      </c>
      <c r="E27" s="115" t="s">
        <v>14</v>
      </c>
      <c r="F27" s="115" t="s">
        <v>14</v>
      </c>
      <c r="G27" s="116" t="s">
        <v>14</v>
      </c>
      <c r="H27" s="51" t="s">
        <v>99</v>
      </c>
      <c r="I27" s="26" t="s">
        <v>0</v>
      </c>
      <c r="J27" s="90">
        <v>589.4</v>
      </c>
      <c r="K27" s="28">
        <v>50</v>
      </c>
      <c r="M27" s="52">
        <f t="shared" si="0"/>
        <v>29470</v>
      </c>
    </row>
    <row r="28" spans="1:13" s="44" customFormat="1" ht="32.25" customHeight="1" thickBot="1" x14ac:dyDescent="0.25">
      <c r="A28" s="53">
        <v>17</v>
      </c>
      <c r="B28" s="54"/>
      <c r="C28" s="114" t="s">
        <v>52</v>
      </c>
      <c r="D28" s="115" t="s">
        <v>52</v>
      </c>
      <c r="E28" s="115" t="s">
        <v>52</v>
      </c>
      <c r="F28" s="115" t="s">
        <v>52</v>
      </c>
      <c r="G28" s="116" t="s">
        <v>52</v>
      </c>
      <c r="H28" s="51" t="s">
        <v>99</v>
      </c>
      <c r="I28" s="26" t="s">
        <v>0</v>
      </c>
      <c r="J28" s="91">
        <v>510</v>
      </c>
      <c r="K28" s="28">
        <v>500</v>
      </c>
      <c r="M28" s="52">
        <f t="shared" si="0"/>
        <v>255000</v>
      </c>
    </row>
    <row r="29" spans="1:13" s="44" customFormat="1" ht="32.25" customHeight="1" thickBot="1" x14ac:dyDescent="0.25">
      <c r="A29" s="49">
        <v>18</v>
      </c>
      <c r="B29" s="54"/>
      <c r="C29" s="114" t="s">
        <v>15</v>
      </c>
      <c r="D29" s="115" t="s">
        <v>15</v>
      </c>
      <c r="E29" s="115" t="s">
        <v>15</v>
      </c>
      <c r="F29" s="115" t="s">
        <v>15</v>
      </c>
      <c r="G29" s="116" t="s">
        <v>15</v>
      </c>
      <c r="H29" s="51" t="s">
        <v>99</v>
      </c>
      <c r="I29" s="26" t="s">
        <v>0</v>
      </c>
      <c r="J29" s="91">
        <v>1200</v>
      </c>
      <c r="K29" s="28">
        <v>700</v>
      </c>
      <c r="M29" s="52">
        <f t="shared" si="0"/>
        <v>840000</v>
      </c>
    </row>
    <row r="30" spans="1:13" s="44" customFormat="1" ht="32.25" customHeight="1" thickBot="1" x14ac:dyDescent="0.25">
      <c r="A30" s="49">
        <v>19</v>
      </c>
      <c r="B30" s="54"/>
      <c r="C30" s="114" t="s">
        <v>16</v>
      </c>
      <c r="D30" s="115" t="s">
        <v>16</v>
      </c>
      <c r="E30" s="115" t="s">
        <v>16</v>
      </c>
      <c r="F30" s="115" t="s">
        <v>16</v>
      </c>
      <c r="G30" s="116" t="s">
        <v>16</v>
      </c>
      <c r="H30" s="51" t="s">
        <v>99</v>
      </c>
      <c r="I30" s="26" t="s">
        <v>0</v>
      </c>
      <c r="J30" s="91">
        <v>1200</v>
      </c>
      <c r="K30" s="28">
        <v>300</v>
      </c>
      <c r="M30" s="52">
        <f t="shared" si="0"/>
        <v>360000</v>
      </c>
    </row>
    <row r="31" spans="1:13" s="44" customFormat="1" ht="32.25" customHeight="1" thickBot="1" x14ac:dyDescent="0.25">
      <c r="A31" s="53">
        <v>20</v>
      </c>
      <c r="B31" s="54"/>
      <c r="C31" s="127" t="s">
        <v>127</v>
      </c>
      <c r="D31" s="128" t="s">
        <v>127</v>
      </c>
      <c r="E31" s="128" t="s">
        <v>127</v>
      </c>
      <c r="F31" s="128" t="s">
        <v>127</v>
      </c>
      <c r="G31" s="129" t="s">
        <v>127</v>
      </c>
      <c r="H31" s="51" t="s">
        <v>99</v>
      </c>
      <c r="I31" s="26" t="s">
        <v>0</v>
      </c>
      <c r="J31" s="91">
        <v>18750</v>
      </c>
      <c r="K31" s="28">
        <v>50</v>
      </c>
      <c r="M31" s="52">
        <f t="shared" si="0"/>
        <v>937500</v>
      </c>
    </row>
    <row r="32" spans="1:13" s="44" customFormat="1" ht="32.25" customHeight="1" thickBot="1" x14ac:dyDescent="0.25">
      <c r="A32" s="49">
        <v>21</v>
      </c>
      <c r="B32" s="54"/>
      <c r="C32" s="127" t="s">
        <v>126</v>
      </c>
      <c r="D32" s="128" t="s">
        <v>126</v>
      </c>
      <c r="E32" s="128" t="s">
        <v>126</v>
      </c>
      <c r="F32" s="128" t="s">
        <v>126</v>
      </c>
      <c r="G32" s="129" t="s">
        <v>126</v>
      </c>
      <c r="H32" s="51" t="s">
        <v>99</v>
      </c>
      <c r="I32" s="26" t="s">
        <v>0</v>
      </c>
      <c r="J32" s="91">
        <v>6700</v>
      </c>
      <c r="K32" s="28">
        <v>100</v>
      </c>
      <c r="M32" s="52">
        <f t="shared" si="0"/>
        <v>670000</v>
      </c>
    </row>
    <row r="33" spans="1:13" s="44" customFormat="1" ht="32.25" customHeight="1" thickBot="1" x14ac:dyDescent="0.25">
      <c r="A33" s="49">
        <v>22</v>
      </c>
      <c r="B33" s="54"/>
      <c r="C33" s="114" t="s">
        <v>17</v>
      </c>
      <c r="D33" s="115" t="s">
        <v>17</v>
      </c>
      <c r="E33" s="115" t="s">
        <v>17</v>
      </c>
      <c r="F33" s="115" t="s">
        <v>17</v>
      </c>
      <c r="G33" s="116" t="s">
        <v>17</v>
      </c>
      <c r="H33" s="51" t="s">
        <v>99</v>
      </c>
      <c r="I33" s="26" t="s">
        <v>0</v>
      </c>
      <c r="J33" s="91">
        <v>16100</v>
      </c>
      <c r="K33" s="28">
        <v>20</v>
      </c>
      <c r="M33" s="52">
        <f t="shared" si="0"/>
        <v>322000</v>
      </c>
    </row>
    <row r="34" spans="1:13" s="44" customFormat="1" ht="32.25" customHeight="1" thickBot="1" x14ac:dyDescent="0.25">
      <c r="A34" s="53">
        <v>23</v>
      </c>
      <c r="B34" s="54"/>
      <c r="C34" s="114" t="s">
        <v>51</v>
      </c>
      <c r="D34" s="115" t="s">
        <v>51</v>
      </c>
      <c r="E34" s="115" t="s">
        <v>51</v>
      </c>
      <c r="F34" s="115" t="s">
        <v>51</v>
      </c>
      <c r="G34" s="116" t="s">
        <v>51</v>
      </c>
      <c r="H34" s="51" t="s">
        <v>99</v>
      </c>
      <c r="I34" s="26" t="s">
        <v>0</v>
      </c>
      <c r="J34" s="91">
        <v>1870</v>
      </c>
      <c r="K34" s="28">
        <v>500</v>
      </c>
      <c r="M34" s="52">
        <f t="shared" si="0"/>
        <v>935000</v>
      </c>
    </row>
    <row r="35" spans="1:13" s="44" customFormat="1" ht="32.25" customHeight="1" thickBot="1" x14ac:dyDescent="0.25">
      <c r="A35" s="49">
        <v>24</v>
      </c>
      <c r="B35" s="54"/>
      <c r="C35" s="114" t="s">
        <v>18</v>
      </c>
      <c r="D35" s="115" t="s">
        <v>18</v>
      </c>
      <c r="E35" s="115" t="s">
        <v>18</v>
      </c>
      <c r="F35" s="115" t="s">
        <v>18</v>
      </c>
      <c r="G35" s="116" t="s">
        <v>18</v>
      </c>
      <c r="H35" s="51" t="s">
        <v>99</v>
      </c>
      <c r="I35" s="26" t="s">
        <v>0</v>
      </c>
      <c r="J35" s="90">
        <v>7.55</v>
      </c>
      <c r="K35" s="28">
        <v>50000</v>
      </c>
      <c r="M35" s="52">
        <f t="shared" si="0"/>
        <v>377500</v>
      </c>
    </row>
    <row r="36" spans="1:13" s="44" customFormat="1" ht="32.25" customHeight="1" thickBot="1" x14ac:dyDescent="0.25">
      <c r="A36" s="49">
        <v>25</v>
      </c>
      <c r="B36" s="54"/>
      <c r="C36" s="114" t="s">
        <v>19</v>
      </c>
      <c r="D36" s="115" t="s">
        <v>19</v>
      </c>
      <c r="E36" s="115" t="s">
        <v>19</v>
      </c>
      <c r="F36" s="115" t="s">
        <v>19</v>
      </c>
      <c r="G36" s="116" t="s">
        <v>19</v>
      </c>
      <c r="H36" s="51" t="s">
        <v>99</v>
      </c>
      <c r="I36" s="26" t="s">
        <v>0</v>
      </c>
      <c r="J36" s="91">
        <v>180</v>
      </c>
      <c r="K36" s="28">
        <v>1000</v>
      </c>
      <c r="M36" s="52">
        <f t="shared" si="0"/>
        <v>180000</v>
      </c>
    </row>
    <row r="37" spans="1:13" s="44" customFormat="1" ht="32.25" customHeight="1" thickBot="1" x14ac:dyDescent="0.25">
      <c r="A37" s="53">
        <v>26</v>
      </c>
      <c r="B37" s="54"/>
      <c r="C37" s="114" t="s">
        <v>20</v>
      </c>
      <c r="D37" s="115" t="s">
        <v>20</v>
      </c>
      <c r="E37" s="115" t="s">
        <v>20</v>
      </c>
      <c r="F37" s="115" t="s">
        <v>20</v>
      </c>
      <c r="G37" s="116" t="s">
        <v>20</v>
      </c>
      <c r="H37" s="51" t="s">
        <v>99</v>
      </c>
      <c r="I37" s="26" t="s">
        <v>0</v>
      </c>
      <c r="J37" s="91">
        <v>160</v>
      </c>
      <c r="K37" s="28">
        <v>500</v>
      </c>
      <c r="M37" s="52">
        <f t="shared" si="0"/>
        <v>80000</v>
      </c>
    </row>
    <row r="38" spans="1:13" s="44" customFormat="1" ht="32.25" customHeight="1" thickBot="1" x14ac:dyDescent="0.25">
      <c r="A38" s="49">
        <v>27</v>
      </c>
      <c r="B38" s="54"/>
      <c r="C38" s="114" t="s">
        <v>21</v>
      </c>
      <c r="D38" s="115" t="s">
        <v>21</v>
      </c>
      <c r="E38" s="115" t="s">
        <v>21</v>
      </c>
      <c r="F38" s="115" t="s">
        <v>21</v>
      </c>
      <c r="G38" s="116" t="s">
        <v>21</v>
      </c>
      <c r="H38" s="51" t="s">
        <v>99</v>
      </c>
      <c r="I38" s="26" t="s">
        <v>0</v>
      </c>
      <c r="J38" s="90">
        <v>31</v>
      </c>
      <c r="K38" s="28">
        <v>7000</v>
      </c>
      <c r="M38" s="52">
        <f t="shared" si="0"/>
        <v>217000</v>
      </c>
    </row>
    <row r="39" spans="1:13" s="44" customFormat="1" ht="32.25" customHeight="1" thickBot="1" x14ac:dyDescent="0.25">
      <c r="A39" s="49">
        <v>28</v>
      </c>
      <c r="B39" s="54"/>
      <c r="C39" s="114" t="s">
        <v>22</v>
      </c>
      <c r="D39" s="115" t="s">
        <v>22</v>
      </c>
      <c r="E39" s="115" t="s">
        <v>22</v>
      </c>
      <c r="F39" s="115" t="s">
        <v>22</v>
      </c>
      <c r="G39" s="116" t="s">
        <v>22</v>
      </c>
      <c r="H39" s="51" t="s">
        <v>99</v>
      </c>
      <c r="I39" s="26" t="s">
        <v>0</v>
      </c>
      <c r="J39" s="90">
        <v>31</v>
      </c>
      <c r="K39" s="28">
        <v>8000</v>
      </c>
      <c r="M39" s="52">
        <f t="shared" si="0"/>
        <v>248000</v>
      </c>
    </row>
    <row r="40" spans="1:13" s="44" customFormat="1" ht="32.25" customHeight="1" thickBot="1" x14ac:dyDescent="0.25">
      <c r="A40" s="53">
        <v>29</v>
      </c>
      <c r="B40" s="54"/>
      <c r="C40" s="124" t="s">
        <v>23</v>
      </c>
      <c r="D40" s="125" t="s">
        <v>23</v>
      </c>
      <c r="E40" s="125" t="s">
        <v>23</v>
      </c>
      <c r="F40" s="125" t="s">
        <v>23</v>
      </c>
      <c r="G40" s="126" t="s">
        <v>23</v>
      </c>
      <c r="H40" s="51" t="s">
        <v>99</v>
      </c>
      <c r="I40" s="26" t="s">
        <v>0</v>
      </c>
      <c r="J40" s="90">
        <v>31</v>
      </c>
      <c r="K40" s="28">
        <v>7500</v>
      </c>
      <c r="M40" s="52">
        <f t="shared" si="0"/>
        <v>232500</v>
      </c>
    </row>
    <row r="41" spans="1:13" s="44" customFormat="1" ht="32.25" customHeight="1" thickBot="1" x14ac:dyDescent="0.25">
      <c r="A41" s="49">
        <v>30</v>
      </c>
      <c r="B41" s="54"/>
      <c r="C41" s="124" t="s">
        <v>24</v>
      </c>
      <c r="D41" s="125" t="s">
        <v>24</v>
      </c>
      <c r="E41" s="125" t="s">
        <v>24</v>
      </c>
      <c r="F41" s="125" t="s">
        <v>24</v>
      </c>
      <c r="G41" s="126" t="s">
        <v>24</v>
      </c>
      <c r="H41" s="51" t="s">
        <v>99</v>
      </c>
      <c r="I41" s="26" t="s">
        <v>0</v>
      </c>
      <c r="J41" s="90">
        <v>31</v>
      </c>
      <c r="K41" s="28">
        <v>2500</v>
      </c>
      <c r="M41" s="52">
        <f t="shared" si="0"/>
        <v>77500</v>
      </c>
    </row>
    <row r="42" spans="1:13" s="44" customFormat="1" ht="32.25" customHeight="1" thickBot="1" x14ac:dyDescent="0.25">
      <c r="A42" s="49">
        <v>31</v>
      </c>
      <c r="B42" s="54"/>
      <c r="C42" s="127" t="s">
        <v>25</v>
      </c>
      <c r="D42" s="128" t="s">
        <v>25</v>
      </c>
      <c r="E42" s="128" t="s">
        <v>25</v>
      </c>
      <c r="F42" s="128" t="s">
        <v>25</v>
      </c>
      <c r="G42" s="129" t="s">
        <v>25</v>
      </c>
      <c r="H42" s="51" t="s">
        <v>99</v>
      </c>
      <c r="I42" s="26" t="s">
        <v>140</v>
      </c>
      <c r="J42" s="90">
        <v>990</v>
      </c>
      <c r="K42" s="28">
        <v>5000</v>
      </c>
      <c r="M42" s="52">
        <f t="shared" si="0"/>
        <v>4950000</v>
      </c>
    </row>
    <row r="43" spans="1:13" s="44" customFormat="1" ht="32.25" customHeight="1" thickBot="1" x14ac:dyDescent="0.25">
      <c r="A43" s="53">
        <v>32</v>
      </c>
      <c r="B43" s="54"/>
      <c r="C43" s="114" t="s">
        <v>26</v>
      </c>
      <c r="D43" s="115" t="s">
        <v>26</v>
      </c>
      <c r="E43" s="115" t="s">
        <v>26</v>
      </c>
      <c r="F43" s="115" t="s">
        <v>26</v>
      </c>
      <c r="G43" s="116" t="s">
        <v>26</v>
      </c>
      <c r="H43" s="51" t="s">
        <v>99</v>
      </c>
      <c r="I43" s="26" t="s">
        <v>140</v>
      </c>
      <c r="J43" s="90">
        <v>990</v>
      </c>
      <c r="K43" s="28">
        <v>12000</v>
      </c>
      <c r="M43" s="52">
        <f t="shared" si="0"/>
        <v>11880000</v>
      </c>
    </row>
    <row r="44" spans="1:13" s="44" customFormat="1" ht="32.25" customHeight="1" thickBot="1" x14ac:dyDescent="0.25">
      <c r="A44" s="49">
        <v>33</v>
      </c>
      <c r="B44" s="54"/>
      <c r="C44" s="114" t="s">
        <v>27</v>
      </c>
      <c r="D44" s="115" t="s">
        <v>27</v>
      </c>
      <c r="E44" s="115" t="s">
        <v>27</v>
      </c>
      <c r="F44" s="115" t="s">
        <v>27</v>
      </c>
      <c r="G44" s="116" t="s">
        <v>27</v>
      </c>
      <c r="H44" s="51" t="s">
        <v>99</v>
      </c>
      <c r="I44" s="26" t="s">
        <v>140</v>
      </c>
      <c r="J44" s="90">
        <v>990</v>
      </c>
      <c r="K44" s="28">
        <v>7000</v>
      </c>
      <c r="M44" s="52">
        <f t="shared" si="0"/>
        <v>6930000</v>
      </c>
    </row>
    <row r="45" spans="1:13" s="44" customFormat="1" ht="32.25" customHeight="1" thickBot="1" x14ac:dyDescent="0.25">
      <c r="A45" s="49">
        <v>34</v>
      </c>
      <c r="B45" s="54"/>
      <c r="C45" s="114" t="s">
        <v>28</v>
      </c>
      <c r="D45" s="115" t="s">
        <v>28</v>
      </c>
      <c r="E45" s="115" t="s">
        <v>28</v>
      </c>
      <c r="F45" s="115" t="s">
        <v>28</v>
      </c>
      <c r="G45" s="116" t="s">
        <v>28</v>
      </c>
      <c r="H45" s="51" t="s">
        <v>99</v>
      </c>
      <c r="I45" s="26" t="s">
        <v>140</v>
      </c>
      <c r="J45" s="93">
        <v>890</v>
      </c>
      <c r="K45" s="28">
        <v>1000</v>
      </c>
      <c r="M45" s="52">
        <f t="shared" si="0"/>
        <v>890000</v>
      </c>
    </row>
    <row r="46" spans="1:13" s="44" customFormat="1" ht="32.25" customHeight="1" thickBot="1" x14ac:dyDescent="0.25">
      <c r="A46" s="53">
        <v>35</v>
      </c>
      <c r="B46" s="54"/>
      <c r="C46" s="114" t="s">
        <v>54</v>
      </c>
      <c r="D46" s="115" t="s">
        <v>54</v>
      </c>
      <c r="E46" s="115" t="s">
        <v>54</v>
      </c>
      <c r="F46" s="115" t="s">
        <v>54</v>
      </c>
      <c r="G46" s="116" t="s">
        <v>54</v>
      </c>
      <c r="H46" s="51" t="s">
        <v>99</v>
      </c>
      <c r="I46" s="26" t="s">
        <v>141</v>
      </c>
      <c r="J46" s="91">
        <v>230</v>
      </c>
      <c r="K46" s="28">
        <v>100000</v>
      </c>
      <c r="M46" s="52">
        <f t="shared" si="0"/>
        <v>23000000</v>
      </c>
    </row>
    <row r="47" spans="1:13" s="44" customFormat="1" ht="32.25" customHeight="1" thickBot="1" x14ac:dyDescent="0.25">
      <c r="A47" s="49">
        <v>36</v>
      </c>
      <c r="B47" s="54"/>
      <c r="C47" s="114" t="s">
        <v>29</v>
      </c>
      <c r="D47" s="115" t="s">
        <v>29</v>
      </c>
      <c r="E47" s="115" t="s">
        <v>29</v>
      </c>
      <c r="F47" s="115" t="s">
        <v>29</v>
      </c>
      <c r="G47" s="116" t="s">
        <v>29</v>
      </c>
      <c r="H47" s="51" t="s">
        <v>99</v>
      </c>
      <c r="I47" s="26" t="s">
        <v>0</v>
      </c>
      <c r="J47" s="91">
        <v>24.55</v>
      </c>
      <c r="K47" s="28">
        <v>5000</v>
      </c>
      <c r="M47" s="52">
        <f t="shared" si="0"/>
        <v>122750</v>
      </c>
    </row>
    <row r="48" spans="1:13" s="44" customFormat="1" ht="32.25" customHeight="1" thickBot="1" x14ac:dyDescent="0.25">
      <c r="A48" s="49">
        <v>37</v>
      </c>
      <c r="B48" s="54"/>
      <c r="C48" s="114" t="s">
        <v>30</v>
      </c>
      <c r="D48" s="115" t="s">
        <v>30</v>
      </c>
      <c r="E48" s="115" t="s">
        <v>30</v>
      </c>
      <c r="F48" s="115" t="s">
        <v>30</v>
      </c>
      <c r="G48" s="116" t="s">
        <v>30</v>
      </c>
      <c r="H48" s="51" t="s">
        <v>99</v>
      </c>
      <c r="I48" s="26" t="s">
        <v>0</v>
      </c>
      <c r="J48" s="90">
        <v>1050</v>
      </c>
      <c r="K48" s="28">
        <v>2000</v>
      </c>
      <c r="M48" s="52">
        <f t="shared" si="0"/>
        <v>2100000</v>
      </c>
    </row>
    <row r="49" spans="1:13" s="44" customFormat="1" ht="32.25" customHeight="1" thickBot="1" x14ac:dyDescent="0.25">
      <c r="A49" s="53">
        <v>38</v>
      </c>
      <c r="B49" s="54"/>
      <c r="C49" s="114" t="s">
        <v>31</v>
      </c>
      <c r="D49" s="115" t="s">
        <v>31</v>
      </c>
      <c r="E49" s="115" t="s">
        <v>31</v>
      </c>
      <c r="F49" s="115" t="s">
        <v>31</v>
      </c>
      <c r="G49" s="116" t="s">
        <v>31</v>
      </c>
      <c r="H49" s="51" t="s">
        <v>99</v>
      </c>
      <c r="I49" s="26" t="s">
        <v>0</v>
      </c>
      <c r="J49" s="90">
        <v>1050</v>
      </c>
      <c r="K49" s="28">
        <v>1000</v>
      </c>
      <c r="M49" s="52">
        <f t="shared" si="0"/>
        <v>1050000</v>
      </c>
    </row>
    <row r="50" spans="1:13" s="44" customFormat="1" ht="32.25" customHeight="1" thickBot="1" x14ac:dyDescent="0.25">
      <c r="A50" s="49">
        <v>39</v>
      </c>
      <c r="B50" s="54"/>
      <c r="C50" s="114" t="s">
        <v>32</v>
      </c>
      <c r="D50" s="115" t="s">
        <v>32</v>
      </c>
      <c r="E50" s="115" t="s">
        <v>32</v>
      </c>
      <c r="F50" s="115" t="s">
        <v>32</v>
      </c>
      <c r="G50" s="116" t="s">
        <v>32</v>
      </c>
      <c r="H50" s="51" t="s">
        <v>99</v>
      </c>
      <c r="I50" s="26" t="s">
        <v>0</v>
      </c>
      <c r="J50" s="90">
        <v>1050</v>
      </c>
      <c r="K50" s="28">
        <v>1500</v>
      </c>
      <c r="M50" s="52">
        <f t="shared" si="0"/>
        <v>1575000</v>
      </c>
    </row>
    <row r="51" spans="1:13" s="44" customFormat="1" ht="32.25" customHeight="1" thickBot="1" x14ac:dyDescent="0.25">
      <c r="A51" s="49">
        <v>40</v>
      </c>
      <c r="B51" s="54"/>
      <c r="C51" s="114" t="s">
        <v>33</v>
      </c>
      <c r="D51" s="115" t="s">
        <v>33</v>
      </c>
      <c r="E51" s="115" t="s">
        <v>33</v>
      </c>
      <c r="F51" s="115" t="s">
        <v>33</v>
      </c>
      <c r="G51" s="116" t="s">
        <v>33</v>
      </c>
      <c r="H51" s="51" t="s">
        <v>99</v>
      </c>
      <c r="I51" s="26" t="s">
        <v>0</v>
      </c>
      <c r="J51" s="90">
        <v>1050</v>
      </c>
      <c r="K51" s="28">
        <v>1500</v>
      </c>
      <c r="M51" s="52">
        <f t="shared" si="0"/>
        <v>1575000</v>
      </c>
    </row>
    <row r="52" spans="1:13" s="44" customFormat="1" ht="32.25" customHeight="1" thickBot="1" x14ac:dyDescent="0.25">
      <c r="A52" s="53">
        <v>41</v>
      </c>
      <c r="B52" s="54"/>
      <c r="C52" s="114" t="s">
        <v>34</v>
      </c>
      <c r="D52" s="115" t="s">
        <v>34</v>
      </c>
      <c r="E52" s="115" t="s">
        <v>34</v>
      </c>
      <c r="F52" s="115" t="s">
        <v>34</v>
      </c>
      <c r="G52" s="116" t="s">
        <v>34</v>
      </c>
      <c r="H52" s="51" t="s">
        <v>99</v>
      </c>
      <c r="I52" s="26" t="s">
        <v>0</v>
      </c>
      <c r="J52" s="93">
        <v>357</v>
      </c>
      <c r="K52" s="28">
        <v>4000</v>
      </c>
      <c r="M52" s="52">
        <f t="shared" si="0"/>
        <v>1428000</v>
      </c>
    </row>
    <row r="53" spans="1:13" s="44" customFormat="1" ht="32.25" customHeight="1" thickBot="1" x14ac:dyDescent="0.25">
      <c r="A53" s="49">
        <v>42</v>
      </c>
      <c r="B53" s="54"/>
      <c r="C53" s="114" t="s">
        <v>35</v>
      </c>
      <c r="D53" s="115" t="s">
        <v>35</v>
      </c>
      <c r="E53" s="115" t="s">
        <v>35</v>
      </c>
      <c r="F53" s="115" t="s">
        <v>35</v>
      </c>
      <c r="G53" s="116" t="s">
        <v>35</v>
      </c>
      <c r="H53" s="51" t="s">
        <v>99</v>
      </c>
      <c r="I53" s="26" t="s">
        <v>0</v>
      </c>
      <c r="J53" s="93">
        <v>187.2</v>
      </c>
      <c r="K53" s="28">
        <v>200</v>
      </c>
      <c r="M53" s="52">
        <f t="shared" si="0"/>
        <v>37440</v>
      </c>
    </row>
    <row r="54" spans="1:13" s="44" customFormat="1" ht="32.25" customHeight="1" thickBot="1" x14ac:dyDescent="0.25">
      <c r="A54" s="49">
        <v>43</v>
      </c>
      <c r="B54" s="54"/>
      <c r="C54" s="114" t="s">
        <v>142</v>
      </c>
      <c r="D54" s="115" t="s">
        <v>142</v>
      </c>
      <c r="E54" s="115" t="s">
        <v>142</v>
      </c>
      <c r="F54" s="115" t="s">
        <v>142</v>
      </c>
      <c r="G54" s="116" t="s">
        <v>142</v>
      </c>
      <c r="H54" s="51" t="s">
        <v>99</v>
      </c>
      <c r="I54" s="26" t="s">
        <v>0</v>
      </c>
      <c r="J54" s="90">
        <v>325</v>
      </c>
      <c r="K54" s="28">
        <v>500</v>
      </c>
      <c r="M54" s="52">
        <f t="shared" si="0"/>
        <v>162500</v>
      </c>
    </row>
    <row r="55" spans="1:13" s="44" customFormat="1" ht="32.25" customHeight="1" thickBot="1" x14ac:dyDescent="0.25">
      <c r="A55" s="53">
        <v>44</v>
      </c>
      <c r="B55" s="54"/>
      <c r="C55" s="114" t="s">
        <v>136</v>
      </c>
      <c r="D55" s="115" t="s">
        <v>136</v>
      </c>
      <c r="E55" s="115" t="s">
        <v>136</v>
      </c>
      <c r="F55" s="115" t="s">
        <v>136</v>
      </c>
      <c r="G55" s="116" t="s">
        <v>136</v>
      </c>
      <c r="H55" s="51" t="s">
        <v>99</v>
      </c>
      <c r="I55" s="26" t="s">
        <v>0</v>
      </c>
      <c r="J55" s="90">
        <v>9760</v>
      </c>
      <c r="K55" s="28">
        <v>40</v>
      </c>
      <c r="M55" s="52">
        <f t="shared" si="0"/>
        <v>390400</v>
      </c>
    </row>
    <row r="56" spans="1:13" s="44" customFormat="1" ht="32.25" customHeight="1" thickBot="1" x14ac:dyDescent="0.25">
      <c r="A56" s="49">
        <v>45</v>
      </c>
      <c r="B56" s="54"/>
      <c r="C56" s="114" t="s">
        <v>137</v>
      </c>
      <c r="D56" s="115" t="s">
        <v>137</v>
      </c>
      <c r="E56" s="115" t="s">
        <v>137</v>
      </c>
      <c r="F56" s="115" t="s">
        <v>137</v>
      </c>
      <c r="G56" s="116" t="s">
        <v>137</v>
      </c>
      <c r="H56" s="51" t="s">
        <v>99</v>
      </c>
      <c r="I56" s="26" t="s">
        <v>0</v>
      </c>
      <c r="J56" s="90">
        <v>9760</v>
      </c>
      <c r="K56" s="28">
        <v>10</v>
      </c>
      <c r="M56" s="52">
        <f t="shared" si="0"/>
        <v>97600</v>
      </c>
    </row>
    <row r="57" spans="1:13" s="44" customFormat="1" ht="32.25" customHeight="1" thickBot="1" x14ac:dyDescent="0.25">
      <c r="A57" s="49">
        <v>46</v>
      </c>
      <c r="B57" s="54"/>
      <c r="C57" s="114" t="s">
        <v>36</v>
      </c>
      <c r="D57" s="115" t="s">
        <v>36</v>
      </c>
      <c r="E57" s="115" t="s">
        <v>36</v>
      </c>
      <c r="F57" s="115" t="s">
        <v>36</v>
      </c>
      <c r="G57" s="116" t="s">
        <v>36</v>
      </c>
      <c r="H57" s="51" t="s">
        <v>99</v>
      </c>
      <c r="I57" s="26" t="s">
        <v>0</v>
      </c>
      <c r="J57" s="93">
        <v>160</v>
      </c>
      <c r="K57" s="28">
        <v>200</v>
      </c>
      <c r="M57" s="52">
        <f t="shared" si="0"/>
        <v>32000</v>
      </c>
    </row>
    <row r="58" spans="1:13" s="44" customFormat="1" ht="32.25" customHeight="1" thickBot="1" x14ac:dyDescent="0.25">
      <c r="A58" s="53">
        <v>47</v>
      </c>
      <c r="B58" s="54"/>
      <c r="C58" s="114" t="s">
        <v>50</v>
      </c>
      <c r="D58" s="115" t="s">
        <v>50</v>
      </c>
      <c r="E58" s="115" t="s">
        <v>50</v>
      </c>
      <c r="F58" s="115" t="s">
        <v>50</v>
      </c>
      <c r="G58" s="116" t="s">
        <v>50</v>
      </c>
      <c r="H58" s="51" t="s">
        <v>99</v>
      </c>
      <c r="I58" s="26" t="s">
        <v>0</v>
      </c>
      <c r="J58" s="99">
        <v>2900</v>
      </c>
      <c r="K58" s="28">
        <v>2000</v>
      </c>
      <c r="M58" s="52">
        <f t="shared" si="0"/>
        <v>5800000</v>
      </c>
    </row>
    <row r="59" spans="1:13" s="44" customFormat="1" ht="32.25" customHeight="1" thickBot="1" x14ac:dyDescent="0.25">
      <c r="A59" s="49">
        <v>48</v>
      </c>
      <c r="B59" s="54"/>
      <c r="C59" s="114" t="s">
        <v>37</v>
      </c>
      <c r="D59" s="115" t="s">
        <v>37</v>
      </c>
      <c r="E59" s="115" t="s">
        <v>37</v>
      </c>
      <c r="F59" s="115" t="s">
        <v>37</v>
      </c>
      <c r="G59" s="116" t="s">
        <v>37</v>
      </c>
      <c r="H59" s="51" t="s">
        <v>99</v>
      </c>
      <c r="I59" s="26" t="s">
        <v>0</v>
      </c>
      <c r="J59" s="98">
        <v>4556</v>
      </c>
      <c r="K59" s="28">
        <v>200</v>
      </c>
      <c r="M59" s="52">
        <f t="shared" si="0"/>
        <v>911200</v>
      </c>
    </row>
    <row r="60" spans="1:13" s="44" customFormat="1" ht="32.25" customHeight="1" thickBot="1" x14ac:dyDescent="0.25">
      <c r="A60" s="49">
        <v>49</v>
      </c>
      <c r="B60" s="54"/>
      <c r="C60" s="114" t="s">
        <v>38</v>
      </c>
      <c r="D60" s="115" t="s">
        <v>38</v>
      </c>
      <c r="E60" s="115" t="s">
        <v>38</v>
      </c>
      <c r="F60" s="115" t="s">
        <v>38</v>
      </c>
      <c r="G60" s="116" t="s">
        <v>38</v>
      </c>
      <c r="H60" s="51" t="s">
        <v>99</v>
      </c>
      <c r="I60" s="26" t="s">
        <v>0</v>
      </c>
      <c r="J60" s="98">
        <v>2499</v>
      </c>
      <c r="K60" s="28">
        <v>1200</v>
      </c>
      <c r="M60" s="52">
        <f t="shared" si="0"/>
        <v>2998800</v>
      </c>
    </row>
    <row r="61" spans="1:13" s="44" customFormat="1" ht="32.25" customHeight="1" thickBot="1" x14ac:dyDescent="0.25">
      <c r="A61" s="53">
        <v>50</v>
      </c>
      <c r="B61" s="54"/>
      <c r="C61" s="114" t="s">
        <v>144</v>
      </c>
      <c r="D61" s="115" t="s">
        <v>144</v>
      </c>
      <c r="E61" s="115" t="s">
        <v>144</v>
      </c>
      <c r="F61" s="115" t="s">
        <v>144</v>
      </c>
      <c r="G61" s="116" t="s">
        <v>144</v>
      </c>
      <c r="H61" s="51" t="s">
        <v>99</v>
      </c>
      <c r="I61" s="26" t="s">
        <v>0</v>
      </c>
      <c r="J61" s="98">
        <v>190</v>
      </c>
      <c r="K61" s="28">
        <v>40</v>
      </c>
      <c r="M61" s="52">
        <f t="shared" si="0"/>
        <v>7600</v>
      </c>
    </row>
    <row r="62" spans="1:13" s="44" customFormat="1" ht="32.25" customHeight="1" thickBot="1" x14ac:dyDescent="0.25">
      <c r="A62" s="49">
        <v>51</v>
      </c>
      <c r="B62" s="54"/>
      <c r="C62" s="114" t="s">
        <v>145</v>
      </c>
      <c r="D62" s="115" t="s">
        <v>145</v>
      </c>
      <c r="E62" s="115" t="s">
        <v>145</v>
      </c>
      <c r="F62" s="115" t="s">
        <v>145</v>
      </c>
      <c r="G62" s="116" t="s">
        <v>145</v>
      </c>
      <c r="H62" s="51" t="s">
        <v>99</v>
      </c>
      <c r="I62" s="26" t="s">
        <v>0</v>
      </c>
      <c r="J62" s="98">
        <v>190</v>
      </c>
      <c r="K62" s="28">
        <v>40</v>
      </c>
      <c r="M62" s="52">
        <f t="shared" si="0"/>
        <v>7600</v>
      </c>
    </row>
    <row r="63" spans="1:13" s="44" customFormat="1" ht="32.25" customHeight="1" thickBot="1" x14ac:dyDescent="0.25">
      <c r="A63" s="49">
        <v>52</v>
      </c>
      <c r="B63" s="54"/>
      <c r="C63" s="114" t="s">
        <v>146</v>
      </c>
      <c r="D63" s="115" t="s">
        <v>146</v>
      </c>
      <c r="E63" s="115" t="s">
        <v>146</v>
      </c>
      <c r="F63" s="115" t="s">
        <v>146</v>
      </c>
      <c r="G63" s="116" t="s">
        <v>146</v>
      </c>
      <c r="H63" s="51" t="s">
        <v>99</v>
      </c>
      <c r="I63" s="26" t="s">
        <v>0</v>
      </c>
      <c r="J63" s="98">
        <v>144</v>
      </c>
      <c r="K63" s="28">
        <v>1000</v>
      </c>
      <c r="M63" s="52">
        <f t="shared" si="0"/>
        <v>144000</v>
      </c>
    </row>
    <row r="64" spans="1:13" s="44" customFormat="1" ht="32.25" customHeight="1" thickBot="1" x14ac:dyDescent="0.25">
      <c r="A64" s="53">
        <v>53</v>
      </c>
      <c r="B64" s="54"/>
      <c r="C64" s="114" t="s">
        <v>55</v>
      </c>
      <c r="D64" s="115" t="s">
        <v>55</v>
      </c>
      <c r="E64" s="115" t="s">
        <v>55</v>
      </c>
      <c r="F64" s="115" t="s">
        <v>55</v>
      </c>
      <c r="G64" s="116" t="s">
        <v>55</v>
      </c>
      <c r="H64" s="51" t="s">
        <v>99</v>
      </c>
      <c r="I64" s="26" t="s">
        <v>0</v>
      </c>
      <c r="J64" s="29">
        <v>32</v>
      </c>
      <c r="K64" s="28">
        <v>8000</v>
      </c>
      <c r="M64" s="52">
        <f t="shared" si="0"/>
        <v>256000</v>
      </c>
    </row>
    <row r="65" spans="1:13" s="44" customFormat="1" ht="32.25" customHeight="1" thickBot="1" x14ac:dyDescent="0.25">
      <c r="A65" s="49">
        <v>54</v>
      </c>
      <c r="B65" s="54"/>
      <c r="C65" s="114" t="s">
        <v>39</v>
      </c>
      <c r="D65" s="115" t="s">
        <v>39</v>
      </c>
      <c r="E65" s="115" t="s">
        <v>39</v>
      </c>
      <c r="F65" s="115" t="s">
        <v>39</v>
      </c>
      <c r="G65" s="116" t="s">
        <v>39</v>
      </c>
      <c r="H65" s="51" t="s">
        <v>99</v>
      </c>
      <c r="I65" s="26" t="s">
        <v>0</v>
      </c>
      <c r="J65" s="93">
        <v>38</v>
      </c>
      <c r="K65" s="28">
        <v>3000</v>
      </c>
      <c r="M65" s="52">
        <f t="shared" si="0"/>
        <v>114000</v>
      </c>
    </row>
    <row r="66" spans="1:13" s="44" customFormat="1" ht="32.25" customHeight="1" thickBot="1" x14ac:dyDescent="0.25">
      <c r="A66" s="49">
        <v>55</v>
      </c>
      <c r="B66" s="54"/>
      <c r="C66" s="114" t="s">
        <v>40</v>
      </c>
      <c r="D66" s="115" t="s">
        <v>40</v>
      </c>
      <c r="E66" s="115" t="s">
        <v>40</v>
      </c>
      <c r="F66" s="115" t="s">
        <v>40</v>
      </c>
      <c r="G66" s="116" t="s">
        <v>40</v>
      </c>
      <c r="H66" s="51" t="s">
        <v>99</v>
      </c>
      <c r="I66" s="26" t="s">
        <v>0</v>
      </c>
      <c r="J66" s="90">
        <v>37.950000000000003</v>
      </c>
      <c r="K66" s="28">
        <v>1500</v>
      </c>
      <c r="M66" s="52">
        <f t="shared" si="0"/>
        <v>56925.000000000007</v>
      </c>
    </row>
    <row r="67" spans="1:13" s="44" customFormat="1" ht="32.25" customHeight="1" thickBot="1" x14ac:dyDescent="0.25">
      <c r="A67" s="53">
        <v>56</v>
      </c>
      <c r="B67" s="54"/>
      <c r="C67" s="114" t="s">
        <v>41</v>
      </c>
      <c r="D67" s="115" t="s">
        <v>41</v>
      </c>
      <c r="E67" s="115" t="s">
        <v>41</v>
      </c>
      <c r="F67" s="115" t="s">
        <v>41</v>
      </c>
      <c r="G67" s="116" t="s">
        <v>41</v>
      </c>
      <c r="H67" s="51" t="s">
        <v>99</v>
      </c>
      <c r="I67" s="26" t="s">
        <v>0</v>
      </c>
      <c r="J67" s="90">
        <v>33.67</v>
      </c>
      <c r="K67" s="28">
        <v>1000</v>
      </c>
      <c r="M67" s="52">
        <f t="shared" si="0"/>
        <v>33670</v>
      </c>
    </row>
    <row r="68" spans="1:13" s="44" customFormat="1" ht="32.25" customHeight="1" thickBot="1" x14ac:dyDescent="0.25">
      <c r="A68" s="49">
        <v>57</v>
      </c>
      <c r="B68" s="54"/>
      <c r="C68" s="114" t="s">
        <v>42</v>
      </c>
      <c r="D68" s="115" t="s">
        <v>42</v>
      </c>
      <c r="E68" s="115" t="s">
        <v>42</v>
      </c>
      <c r="F68" s="115" t="s">
        <v>42</v>
      </c>
      <c r="G68" s="116" t="s">
        <v>42</v>
      </c>
      <c r="H68" s="51" t="s">
        <v>99</v>
      </c>
      <c r="I68" s="26" t="s">
        <v>0</v>
      </c>
      <c r="J68" s="90">
        <v>31.77</v>
      </c>
      <c r="K68" s="28">
        <v>500</v>
      </c>
      <c r="M68" s="52">
        <f t="shared" si="0"/>
        <v>15885</v>
      </c>
    </row>
    <row r="69" spans="1:13" s="44" customFormat="1" ht="32.25" customHeight="1" thickBot="1" x14ac:dyDescent="0.25">
      <c r="A69" s="49">
        <v>58</v>
      </c>
      <c r="B69" s="54"/>
      <c r="C69" s="114" t="s">
        <v>43</v>
      </c>
      <c r="D69" s="115" t="s">
        <v>43</v>
      </c>
      <c r="E69" s="115" t="s">
        <v>43</v>
      </c>
      <c r="F69" s="115" t="s">
        <v>43</v>
      </c>
      <c r="G69" s="116" t="s">
        <v>43</v>
      </c>
      <c r="H69" s="51" t="s">
        <v>99</v>
      </c>
      <c r="I69" s="26" t="s">
        <v>0</v>
      </c>
      <c r="J69" s="90">
        <v>35.43</v>
      </c>
      <c r="K69" s="28">
        <v>250</v>
      </c>
      <c r="M69" s="52">
        <f t="shared" si="0"/>
        <v>8857.5</v>
      </c>
    </row>
    <row r="70" spans="1:13" s="44" customFormat="1" ht="32.25" customHeight="1" thickBot="1" x14ac:dyDescent="0.25">
      <c r="A70" s="53">
        <v>59</v>
      </c>
      <c r="B70" s="54"/>
      <c r="C70" s="114" t="s">
        <v>44</v>
      </c>
      <c r="D70" s="115" t="s">
        <v>44</v>
      </c>
      <c r="E70" s="115" t="s">
        <v>44</v>
      </c>
      <c r="F70" s="115" t="s">
        <v>44</v>
      </c>
      <c r="G70" s="116" t="s">
        <v>44</v>
      </c>
      <c r="H70" s="51" t="s">
        <v>99</v>
      </c>
      <c r="I70" s="26" t="s">
        <v>0</v>
      </c>
      <c r="J70" s="98">
        <v>734</v>
      </c>
      <c r="K70" s="28">
        <v>2000</v>
      </c>
      <c r="M70" s="52">
        <f t="shared" si="0"/>
        <v>1468000</v>
      </c>
    </row>
    <row r="71" spans="1:13" s="44" customFormat="1" ht="32.25" customHeight="1" thickBot="1" x14ac:dyDescent="0.25">
      <c r="A71" s="49">
        <v>60</v>
      </c>
      <c r="B71" s="54"/>
      <c r="C71" s="114" t="s">
        <v>128</v>
      </c>
      <c r="D71" s="115" t="s">
        <v>128</v>
      </c>
      <c r="E71" s="115" t="s">
        <v>128</v>
      </c>
      <c r="F71" s="115" t="s">
        <v>128</v>
      </c>
      <c r="G71" s="116" t="s">
        <v>128</v>
      </c>
      <c r="H71" s="51" t="s">
        <v>99</v>
      </c>
      <c r="I71" s="26" t="s">
        <v>0</v>
      </c>
      <c r="J71" s="93">
        <v>35</v>
      </c>
      <c r="K71" s="28">
        <v>3000</v>
      </c>
      <c r="M71" s="52">
        <f t="shared" si="0"/>
        <v>105000</v>
      </c>
    </row>
    <row r="72" spans="1:13" s="44" customFormat="1" ht="32.25" customHeight="1" thickBot="1" x14ac:dyDescent="0.25">
      <c r="A72" s="49">
        <v>61</v>
      </c>
      <c r="B72" s="54"/>
      <c r="C72" s="114" t="s">
        <v>143</v>
      </c>
      <c r="D72" s="115" t="s">
        <v>143</v>
      </c>
      <c r="E72" s="115" t="s">
        <v>143</v>
      </c>
      <c r="F72" s="115" t="s">
        <v>143</v>
      </c>
      <c r="G72" s="116" t="s">
        <v>143</v>
      </c>
      <c r="H72" s="51" t="s">
        <v>99</v>
      </c>
      <c r="I72" s="26" t="s">
        <v>0</v>
      </c>
      <c r="J72" s="93">
        <v>35</v>
      </c>
      <c r="K72" s="28">
        <v>400</v>
      </c>
      <c r="M72" s="52">
        <f t="shared" si="0"/>
        <v>14000</v>
      </c>
    </row>
    <row r="73" spans="1:13" s="44" customFormat="1" ht="32.25" customHeight="1" thickBot="1" x14ac:dyDescent="0.25">
      <c r="A73" s="53">
        <v>62</v>
      </c>
      <c r="B73" s="54"/>
      <c r="C73" s="114" t="s">
        <v>45</v>
      </c>
      <c r="D73" s="115" t="s">
        <v>45</v>
      </c>
      <c r="E73" s="115" t="s">
        <v>45</v>
      </c>
      <c r="F73" s="115" t="s">
        <v>45</v>
      </c>
      <c r="G73" s="116" t="s">
        <v>45</v>
      </c>
      <c r="H73" s="51" t="s">
        <v>99</v>
      </c>
      <c r="I73" s="26" t="s">
        <v>0</v>
      </c>
      <c r="J73" s="93">
        <v>35</v>
      </c>
      <c r="K73" s="28">
        <v>2000</v>
      </c>
      <c r="M73" s="52">
        <f t="shared" si="0"/>
        <v>70000</v>
      </c>
    </row>
    <row r="74" spans="1:13" s="44" customFormat="1" ht="32.25" customHeight="1" thickBot="1" x14ac:dyDescent="0.25">
      <c r="A74" s="49">
        <v>63</v>
      </c>
      <c r="B74" s="54"/>
      <c r="C74" s="114" t="s">
        <v>46</v>
      </c>
      <c r="D74" s="115" t="s">
        <v>46</v>
      </c>
      <c r="E74" s="115" t="s">
        <v>46</v>
      </c>
      <c r="F74" s="115" t="s">
        <v>46</v>
      </c>
      <c r="G74" s="116" t="s">
        <v>46</v>
      </c>
      <c r="H74" s="51" t="s">
        <v>99</v>
      </c>
      <c r="I74" s="26" t="s">
        <v>0</v>
      </c>
      <c r="J74" s="93">
        <v>115</v>
      </c>
      <c r="K74" s="28">
        <v>100</v>
      </c>
      <c r="M74" s="52">
        <f t="shared" si="0"/>
        <v>11500</v>
      </c>
    </row>
    <row r="75" spans="1:13" s="44" customFormat="1" ht="32.25" customHeight="1" thickBot="1" x14ac:dyDescent="0.25">
      <c r="A75" s="49">
        <v>64</v>
      </c>
      <c r="B75" s="54"/>
      <c r="C75" s="114" t="s">
        <v>47</v>
      </c>
      <c r="D75" s="115"/>
      <c r="E75" s="115"/>
      <c r="F75" s="115"/>
      <c r="G75" s="116"/>
      <c r="H75" s="51" t="s">
        <v>99</v>
      </c>
      <c r="I75" s="26" t="s">
        <v>0</v>
      </c>
      <c r="J75" s="93">
        <v>115</v>
      </c>
      <c r="K75" s="28">
        <v>200</v>
      </c>
      <c r="M75" s="52">
        <f t="shared" si="0"/>
        <v>23000</v>
      </c>
    </row>
    <row r="76" spans="1:13" s="44" customFormat="1" ht="32.25" customHeight="1" thickBot="1" x14ac:dyDescent="0.25">
      <c r="A76" s="53">
        <v>65</v>
      </c>
      <c r="B76" s="54"/>
      <c r="C76" s="114" t="s">
        <v>48</v>
      </c>
      <c r="D76" s="115"/>
      <c r="E76" s="115"/>
      <c r="F76" s="115"/>
      <c r="G76" s="116"/>
      <c r="H76" s="51" t="s">
        <v>99</v>
      </c>
      <c r="I76" s="26" t="s">
        <v>0</v>
      </c>
      <c r="J76" s="93">
        <v>115</v>
      </c>
      <c r="K76" s="28">
        <v>400</v>
      </c>
      <c r="M76" s="52">
        <f t="shared" si="0"/>
        <v>46000</v>
      </c>
    </row>
    <row r="77" spans="1:13" s="44" customFormat="1" ht="32.25" customHeight="1" thickBot="1" x14ac:dyDescent="0.25">
      <c r="A77" s="49">
        <v>66</v>
      </c>
      <c r="B77" s="54"/>
      <c r="C77" s="114" t="s">
        <v>49</v>
      </c>
      <c r="D77" s="115"/>
      <c r="E77" s="115"/>
      <c r="F77" s="115"/>
      <c r="G77" s="116"/>
      <c r="H77" s="51" t="s">
        <v>99</v>
      </c>
      <c r="I77" s="26" t="s">
        <v>0</v>
      </c>
      <c r="J77" s="93">
        <v>115</v>
      </c>
      <c r="K77" s="28">
        <v>400</v>
      </c>
      <c r="M77" s="52">
        <f t="shared" ref="M77:M79" si="1">+K77*J77</f>
        <v>46000</v>
      </c>
    </row>
    <row r="78" spans="1:13" s="44" customFormat="1" ht="32.25" customHeight="1" thickBot="1" x14ac:dyDescent="0.25">
      <c r="A78" s="49">
        <v>67</v>
      </c>
      <c r="B78" s="54"/>
      <c r="C78" s="114" t="s">
        <v>129</v>
      </c>
      <c r="D78" s="115"/>
      <c r="E78" s="115"/>
      <c r="F78" s="115"/>
      <c r="G78" s="116"/>
      <c r="H78" s="51" t="s">
        <v>99</v>
      </c>
      <c r="I78" s="26" t="s">
        <v>0</v>
      </c>
      <c r="J78" s="94">
        <v>58</v>
      </c>
      <c r="K78" s="34">
        <v>500</v>
      </c>
      <c r="M78" s="52">
        <f t="shared" si="1"/>
        <v>29000</v>
      </c>
    </row>
    <row r="79" spans="1:13" s="44" customFormat="1" ht="32.25" customHeight="1" thickBot="1" x14ac:dyDescent="0.25">
      <c r="A79" s="53">
        <v>68</v>
      </c>
      <c r="B79" s="54"/>
      <c r="C79" s="114" t="s">
        <v>134</v>
      </c>
      <c r="D79" s="115" t="s">
        <v>134</v>
      </c>
      <c r="E79" s="115" t="s">
        <v>134</v>
      </c>
      <c r="F79" s="115" t="s">
        <v>134</v>
      </c>
      <c r="G79" s="116" t="s">
        <v>134</v>
      </c>
      <c r="H79" s="51" t="s">
        <v>99</v>
      </c>
      <c r="I79" s="26" t="s">
        <v>0</v>
      </c>
      <c r="J79" s="93">
        <v>1500</v>
      </c>
      <c r="K79" s="28">
        <v>15</v>
      </c>
      <c r="M79" s="52">
        <f t="shared" si="1"/>
        <v>22500</v>
      </c>
    </row>
    <row r="80" spans="1:13" s="44" customFormat="1" ht="30.75" customHeight="1" thickBot="1" x14ac:dyDescent="0.25">
      <c r="A80" s="121" t="s">
        <v>149</v>
      </c>
      <c r="B80" s="122"/>
      <c r="C80" s="122"/>
      <c r="D80" s="122"/>
      <c r="E80" s="122"/>
      <c r="F80" s="122"/>
      <c r="G80" s="122"/>
      <c r="H80" s="122"/>
      <c r="I80" s="123"/>
      <c r="J80" s="117">
        <f>SUM(M12:M79)</f>
        <v>146037602.5</v>
      </c>
      <c r="K80" s="118"/>
      <c r="M80" s="55"/>
    </row>
    <row r="81" spans="1:13" s="44" customFormat="1" ht="15.95" customHeight="1" x14ac:dyDescent="0.2">
      <c r="A81" s="119"/>
      <c r="B81" s="119"/>
      <c r="C81" s="119"/>
      <c r="D81" s="119"/>
      <c r="E81" s="119"/>
      <c r="F81" s="119"/>
      <c r="G81" s="119"/>
      <c r="H81" s="119"/>
      <c r="I81" s="119"/>
      <c r="J81" s="120"/>
      <c r="K81" s="120"/>
      <c r="M81" s="55"/>
    </row>
    <row r="82" spans="1:13" s="44" customFormat="1" ht="15.95" customHeight="1" x14ac:dyDescent="0.2">
      <c r="M82" s="55"/>
    </row>
    <row r="83" spans="1:13" s="44" customFormat="1" ht="15.95" customHeight="1" x14ac:dyDescent="0.2">
      <c r="M83" s="55"/>
    </row>
    <row r="84" spans="1:13" s="44" customFormat="1" ht="15.95" customHeight="1" x14ac:dyDescent="0.2">
      <c r="M84" s="55"/>
    </row>
    <row r="85" spans="1:13" s="44" customFormat="1" ht="15.95" customHeight="1" x14ac:dyDescent="0.2">
      <c r="M85" s="55"/>
    </row>
    <row r="86" spans="1:13" s="44" customFormat="1" ht="15.95" customHeight="1" x14ac:dyDescent="0.2">
      <c r="M86" s="55"/>
    </row>
    <row r="87" spans="1:13" s="44" customFormat="1" ht="15.95" customHeight="1" x14ac:dyDescent="0.2">
      <c r="M87" s="55"/>
    </row>
    <row r="88" spans="1:13" s="44" customFormat="1" ht="15.95" customHeight="1" x14ac:dyDescent="0.2">
      <c r="M88" s="55"/>
    </row>
    <row r="89" spans="1:13" s="44" customFormat="1" ht="15.95" customHeight="1" x14ac:dyDescent="0.2">
      <c r="M89" s="55"/>
    </row>
    <row r="90" spans="1:13" s="44" customFormat="1" ht="15.95" customHeight="1" x14ac:dyDescent="0.2">
      <c r="M90" s="55"/>
    </row>
    <row r="91" spans="1:13" s="44" customFormat="1" ht="15.95" customHeight="1" x14ac:dyDescent="0.2">
      <c r="M91" s="55"/>
    </row>
    <row r="92" spans="1:13" s="44" customFormat="1" ht="15.95" customHeight="1" x14ac:dyDescent="0.2">
      <c r="M92" s="55"/>
    </row>
    <row r="93" spans="1:13" s="44" customFormat="1" ht="15.95" customHeight="1" x14ac:dyDescent="0.2">
      <c r="M93" s="55"/>
    </row>
    <row r="94" spans="1:13" s="44" customFormat="1" ht="15.95" customHeight="1" x14ac:dyDescent="0.2">
      <c r="M94" s="55"/>
    </row>
    <row r="95" spans="1:13" s="44" customFormat="1" ht="15.95" customHeight="1" x14ac:dyDescent="0.2">
      <c r="M95" s="55"/>
    </row>
    <row r="96" spans="1:13" s="44" customFormat="1" ht="15.95" customHeight="1" x14ac:dyDescent="0.2">
      <c r="M96" s="55"/>
    </row>
    <row r="97" spans="13:13" s="44" customFormat="1" ht="15.95" customHeight="1" x14ac:dyDescent="0.2">
      <c r="M97" s="55"/>
    </row>
    <row r="98" spans="13:13" s="44" customFormat="1" ht="15.95" customHeight="1" x14ac:dyDescent="0.2">
      <c r="M98" s="55"/>
    </row>
    <row r="99" spans="13:13" s="44" customFormat="1" ht="15.95" customHeight="1" x14ac:dyDescent="0.2">
      <c r="M99" s="55"/>
    </row>
    <row r="100" spans="13:13" s="44" customFormat="1" ht="15.95" customHeight="1" x14ac:dyDescent="0.2">
      <c r="M100" s="55"/>
    </row>
    <row r="101" spans="13:13" s="44" customFormat="1" ht="15.95" customHeight="1" x14ac:dyDescent="0.2">
      <c r="M101" s="55"/>
    </row>
    <row r="102" spans="13:13" s="44" customFormat="1" ht="15.95" customHeight="1" x14ac:dyDescent="0.2">
      <c r="M102" s="55"/>
    </row>
    <row r="103" spans="13:13" s="44" customFormat="1" ht="15.95" customHeight="1" x14ac:dyDescent="0.2">
      <c r="M103" s="55"/>
    </row>
    <row r="104" spans="13:13" s="44" customFormat="1" ht="15.95" customHeight="1" x14ac:dyDescent="0.2">
      <c r="M104" s="55"/>
    </row>
    <row r="105" spans="13:13" s="44" customFormat="1" ht="15.95" customHeight="1" x14ac:dyDescent="0.2">
      <c r="M105" s="55"/>
    </row>
    <row r="106" spans="13:13" s="44" customFormat="1" ht="15.95" customHeight="1" x14ac:dyDescent="0.2">
      <c r="M106" s="55"/>
    </row>
    <row r="107" spans="13:13" s="44" customFormat="1" ht="15.95" customHeight="1" x14ac:dyDescent="0.2">
      <c r="M107" s="55"/>
    </row>
    <row r="108" spans="13:13" s="44" customFormat="1" ht="15.95" customHeight="1" x14ac:dyDescent="0.2">
      <c r="M108" s="55"/>
    </row>
    <row r="109" spans="13:13" s="44" customFormat="1" ht="15.95" customHeight="1" x14ac:dyDescent="0.2">
      <c r="M109" s="55"/>
    </row>
    <row r="110" spans="13:13" s="44" customFormat="1" ht="15.95" customHeight="1" x14ac:dyDescent="0.2">
      <c r="M110" s="55"/>
    </row>
    <row r="111" spans="13:13" s="44" customFormat="1" ht="15.95" customHeight="1" x14ac:dyDescent="0.2">
      <c r="M111" s="55"/>
    </row>
    <row r="112" spans="13:13" s="44" customFormat="1" ht="15.95" customHeight="1" x14ac:dyDescent="0.2">
      <c r="M112" s="55"/>
    </row>
    <row r="113" spans="12:1024" s="44" customFormat="1" ht="15.95" customHeight="1" x14ac:dyDescent="0.2">
      <c r="M113" s="55"/>
    </row>
    <row r="114" spans="12:1024" s="44" customFormat="1" ht="15.95" customHeight="1" x14ac:dyDescent="0.2">
      <c r="M114" s="55"/>
    </row>
    <row r="115" spans="12:1024" ht="15.95" customHeight="1" x14ac:dyDescent="0.2">
      <c r="M115" s="55"/>
    </row>
    <row r="116" spans="12:1024" ht="15.95" customHeight="1" x14ac:dyDescent="0.2">
      <c r="M116" s="55"/>
    </row>
    <row r="117" spans="12:1024" ht="15.95" customHeight="1" x14ac:dyDescent="0.2">
      <c r="M117" s="55"/>
    </row>
    <row r="118" spans="12:1024" ht="15.95" customHeight="1" x14ac:dyDescent="0.2">
      <c r="L118" s="56"/>
      <c r="M118" s="57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  <c r="CZ118" s="56"/>
      <c r="DA118" s="56"/>
      <c r="DB118" s="56"/>
      <c r="DC118" s="56"/>
      <c r="DD118" s="56"/>
      <c r="DE118" s="56"/>
      <c r="DF118" s="56"/>
      <c r="DG118" s="56"/>
      <c r="DH118" s="56"/>
      <c r="DI118" s="56"/>
      <c r="DJ118" s="56"/>
      <c r="DK118" s="56"/>
      <c r="DL118" s="56"/>
      <c r="DM118" s="56"/>
      <c r="DN118" s="56"/>
      <c r="DO118" s="56"/>
      <c r="DP118" s="56"/>
      <c r="DQ118" s="56"/>
      <c r="DR118" s="56"/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  <c r="EG118" s="56"/>
      <c r="EH118" s="56"/>
      <c r="EI118" s="56"/>
      <c r="EJ118" s="56"/>
      <c r="EK118" s="56"/>
      <c r="EL118" s="56"/>
      <c r="EM118" s="56"/>
      <c r="EN118" s="56"/>
      <c r="EO118" s="56"/>
      <c r="EP118" s="56"/>
      <c r="EQ118" s="56"/>
      <c r="ER118" s="56"/>
      <c r="ES118" s="56"/>
      <c r="ET118" s="56"/>
      <c r="EU118" s="56"/>
      <c r="EV118" s="56"/>
      <c r="EW118" s="56"/>
      <c r="EX118" s="56"/>
      <c r="EY118" s="56"/>
      <c r="EZ118" s="56"/>
      <c r="FA118" s="56"/>
      <c r="FB118" s="56"/>
      <c r="FC118" s="56"/>
      <c r="FD118" s="56"/>
      <c r="FE118" s="56"/>
      <c r="FF118" s="56"/>
      <c r="FG118" s="56"/>
      <c r="FH118" s="56"/>
      <c r="FI118" s="56"/>
      <c r="FJ118" s="56"/>
      <c r="FK118" s="56"/>
      <c r="FL118" s="56"/>
      <c r="FM118" s="56"/>
      <c r="FN118" s="56"/>
      <c r="FO118" s="56"/>
      <c r="FP118" s="56"/>
      <c r="FQ118" s="56"/>
      <c r="FR118" s="56"/>
      <c r="FS118" s="56"/>
      <c r="FT118" s="56"/>
      <c r="FU118" s="56"/>
      <c r="FV118" s="56"/>
      <c r="FW118" s="56"/>
      <c r="FX118" s="56"/>
      <c r="FY118" s="56"/>
      <c r="FZ118" s="56"/>
      <c r="GA118" s="56"/>
      <c r="GB118" s="56"/>
      <c r="GC118" s="56"/>
      <c r="GD118" s="56"/>
      <c r="GE118" s="56"/>
      <c r="GF118" s="56"/>
      <c r="GG118" s="56"/>
      <c r="GH118" s="56"/>
      <c r="GI118" s="56"/>
      <c r="GJ118" s="56"/>
      <c r="GK118" s="56"/>
      <c r="GL118" s="56"/>
      <c r="GM118" s="56"/>
      <c r="GN118" s="56"/>
      <c r="GO118" s="56"/>
      <c r="GP118" s="56"/>
      <c r="GQ118" s="56"/>
      <c r="GR118" s="56"/>
      <c r="GS118" s="56"/>
      <c r="GT118" s="56"/>
      <c r="GU118" s="56"/>
      <c r="GV118" s="56"/>
      <c r="GW118" s="56"/>
      <c r="GX118" s="56"/>
      <c r="GY118" s="56"/>
      <c r="GZ118" s="56"/>
      <c r="HA118" s="56"/>
      <c r="HB118" s="56"/>
      <c r="HC118" s="56"/>
      <c r="HD118" s="56"/>
      <c r="HE118" s="56"/>
      <c r="HF118" s="56"/>
      <c r="HG118" s="56"/>
      <c r="HH118" s="56"/>
      <c r="HI118" s="56"/>
      <c r="HJ118" s="56"/>
      <c r="HK118" s="56"/>
      <c r="HL118" s="56"/>
      <c r="HM118" s="56"/>
      <c r="HN118" s="56"/>
      <c r="HO118" s="56"/>
      <c r="HP118" s="56"/>
      <c r="HQ118" s="56"/>
      <c r="HR118" s="56"/>
      <c r="HS118" s="56"/>
      <c r="HT118" s="56"/>
      <c r="HU118" s="56"/>
      <c r="HV118" s="56"/>
      <c r="HW118" s="56"/>
      <c r="HX118" s="56"/>
      <c r="HY118" s="56"/>
      <c r="HZ118" s="56"/>
      <c r="IA118" s="56"/>
      <c r="IB118" s="56"/>
      <c r="IC118" s="56"/>
      <c r="ID118" s="56"/>
      <c r="IE118" s="56"/>
      <c r="IF118" s="56"/>
      <c r="IG118" s="56"/>
      <c r="IH118" s="56"/>
      <c r="II118" s="56"/>
      <c r="IJ118" s="56"/>
      <c r="IK118" s="56"/>
      <c r="IL118" s="56"/>
      <c r="IM118" s="56"/>
      <c r="IN118" s="56"/>
      <c r="IO118" s="56"/>
      <c r="IP118" s="56"/>
      <c r="IQ118" s="56"/>
      <c r="IR118" s="56"/>
      <c r="IS118" s="56"/>
      <c r="IT118" s="56"/>
      <c r="IU118" s="56"/>
      <c r="IV118" s="56"/>
      <c r="IW118" s="56"/>
      <c r="IX118" s="56"/>
      <c r="IY118" s="56"/>
      <c r="IZ118" s="56"/>
      <c r="JA118" s="56"/>
      <c r="JB118" s="56"/>
      <c r="JC118" s="56"/>
      <c r="JD118" s="56"/>
      <c r="JE118" s="56"/>
      <c r="JF118" s="56"/>
      <c r="JG118" s="56"/>
      <c r="JH118" s="56"/>
      <c r="JI118" s="56"/>
      <c r="JJ118" s="56"/>
      <c r="JK118" s="56"/>
      <c r="JL118" s="56"/>
      <c r="JM118" s="56"/>
      <c r="JN118" s="56"/>
      <c r="JO118" s="56"/>
      <c r="JP118" s="56"/>
      <c r="JQ118" s="56"/>
      <c r="JR118" s="56"/>
      <c r="JS118" s="56"/>
      <c r="JT118" s="56"/>
      <c r="JU118" s="56"/>
      <c r="JV118" s="56"/>
      <c r="JW118" s="56"/>
      <c r="JX118" s="56"/>
      <c r="JY118" s="56"/>
      <c r="JZ118" s="56"/>
      <c r="KA118" s="56"/>
      <c r="KB118" s="56"/>
      <c r="KC118" s="56"/>
      <c r="KD118" s="56"/>
      <c r="KE118" s="56"/>
      <c r="KF118" s="56"/>
      <c r="KG118" s="56"/>
      <c r="KH118" s="56"/>
      <c r="KI118" s="56"/>
      <c r="KJ118" s="56"/>
      <c r="KK118" s="56"/>
      <c r="KL118" s="56"/>
      <c r="KM118" s="56"/>
      <c r="KN118" s="56"/>
      <c r="KO118" s="56"/>
      <c r="KP118" s="56"/>
      <c r="KQ118" s="56"/>
      <c r="KR118" s="56"/>
      <c r="KS118" s="56"/>
      <c r="KT118" s="56"/>
      <c r="KU118" s="56"/>
      <c r="KV118" s="56"/>
      <c r="KW118" s="56"/>
      <c r="KX118" s="56"/>
      <c r="KY118" s="56"/>
      <c r="KZ118" s="56"/>
      <c r="LA118" s="56"/>
      <c r="LB118" s="56"/>
      <c r="LC118" s="56"/>
      <c r="LD118" s="56"/>
      <c r="LE118" s="56"/>
      <c r="LF118" s="56"/>
      <c r="LG118" s="56"/>
      <c r="LH118" s="56"/>
      <c r="LI118" s="56"/>
      <c r="LJ118" s="56"/>
      <c r="LK118" s="56"/>
      <c r="LL118" s="56"/>
      <c r="LM118" s="56"/>
      <c r="LN118" s="56"/>
      <c r="LO118" s="56"/>
      <c r="LP118" s="56"/>
      <c r="LQ118" s="56"/>
      <c r="LR118" s="56"/>
      <c r="LS118" s="56"/>
      <c r="LT118" s="56"/>
      <c r="LU118" s="56"/>
      <c r="LV118" s="56"/>
      <c r="LW118" s="56"/>
      <c r="LX118" s="56"/>
      <c r="LY118" s="56"/>
      <c r="LZ118" s="56"/>
      <c r="MA118" s="56"/>
      <c r="MB118" s="56"/>
      <c r="MC118" s="56"/>
      <c r="MD118" s="56"/>
      <c r="ME118" s="56"/>
      <c r="MF118" s="56"/>
      <c r="MG118" s="56"/>
      <c r="MH118" s="56"/>
      <c r="MI118" s="56"/>
      <c r="MJ118" s="56"/>
      <c r="MK118" s="56"/>
      <c r="ML118" s="56"/>
      <c r="MM118" s="56"/>
      <c r="MN118" s="56"/>
      <c r="MO118" s="56"/>
      <c r="MP118" s="56"/>
      <c r="MQ118" s="56"/>
      <c r="MR118" s="56"/>
      <c r="MS118" s="56"/>
      <c r="MT118" s="56"/>
      <c r="MU118" s="56"/>
      <c r="MV118" s="56"/>
      <c r="MW118" s="56"/>
      <c r="MX118" s="56"/>
      <c r="MY118" s="56"/>
      <c r="MZ118" s="56"/>
      <c r="NA118" s="56"/>
      <c r="NB118" s="56"/>
      <c r="NC118" s="56"/>
      <c r="ND118" s="56"/>
      <c r="NE118" s="56"/>
      <c r="NF118" s="56"/>
      <c r="NG118" s="56"/>
      <c r="NH118" s="56"/>
      <c r="NI118" s="56"/>
      <c r="NJ118" s="56"/>
      <c r="NK118" s="56"/>
      <c r="NL118" s="56"/>
      <c r="NM118" s="56"/>
      <c r="NN118" s="56"/>
      <c r="NO118" s="56"/>
      <c r="NP118" s="56"/>
      <c r="NQ118" s="56"/>
      <c r="NR118" s="56"/>
      <c r="NS118" s="56"/>
      <c r="NT118" s="56"/>
      <c r="NU118" s="56"/>
      <c r="NV118" s="56"/>
      <c r="NW118" s="56"/>
      <c r="NX118" s="56"/>
      <c r="NY118" s="56"/>
      <c r="NZ118" s="56"/>
      <c r="OA118" s="56"/>
      <c r="OB118" s="56"/>
      <c r="OC118" s="56"/>
      <c r="OD118" s="56"/>
      <c r="OE118" s="56"/>
      <c r="OF118" s="56"/>
      <c r="OG118" s="56"/>
      <c r="OH118" s="56"/>
      <c r="OI118" s="56"/>
      <c r="OJ118" s="56"/>
      <c r="OK118" s="56"/>
      <c r="OL118" s="56"/>
      <c r="OM118" s="56"/>
      <c r="ON118" s="56"/>
      <c r="OO118" s="56"/>
      <c r="OP118" s="56"/>
      <c r="OQ118" s="56"/>
      <c r="OR118" s="56"/>
      <c r="OS118" s="56"/>
      <c r="OT118" s="56"/>
      <c r="OU118" s="56"/>
      <c r="OV118" s="56"/>
      <c r="OW118" s="56"/>
      <c r="OX118" s="56"/>
      <c r="OY118" s="56"/>
      <c r="OZ118" s="56"/>
      <c r="PA118" s="56"/>
      <c r="PB118" s="56"/>
      <c r="PC118" s="56"/>
      <c r="PD118" s="56"/>
      <c r="PE118" s="56"/>
      <c r="PF118" s="56"/>
      <c r="PG118" s="56"/>
      <c r="PH118" s="56"/>
      <c r="PI118" s="56"/>
      <c r="PJ118" s="56"/>
      <c r="PK118" s="56"/>
      <c r="PL118" s="56"/>
      <c r="PM118" s="56"/>
      <c r="PN118" s="56"/>
      <c r="PO118" s="56"/>
      <c r="PP118" s="56"/>
      <c r="PQ118" s="56"/>
      <c r="PR118" s="56"/>
      <c r="PS118" s="56"/>
      <c r="PT118" s="56"/>
      <c r="PU118" s="56"/>
      <c r="PV118" s="56"/>
      <c r="PW118" s="56"/>
      <c r="PX118" s="56"/>
      <c r="PY118" s="56"/>
      <c r="PZ118" s="56"/>
      <c r="QA118" s="56"/>
      <c r="QB118" s="56"/>
      <c r="QC118" s="56"/>
      <c r="QD118" s="56"/>
      <c r="QE118" s="56"/>
      <c r="QF118" s="56"/>
      <c r="QG118" s="56"/>
      <c r="QH118" s="56"/>
      <c r="QI118" s="56"/>
      <c r="QJ118" s="56"/>
      <c r="QK118" s="56"/>
      <c r="QL118" s="56"/>
      <c r="QM118" s="56"/>
      <c r="QN118" s="56"/>
      <c r="QO118" s="56"/>
      <c r="QP118" s="56"/>
      <c r="QQ118" s="56"/>
      <c r="QR118" s="56"/>
      <c r="QS118" s="56"/>
      <c r="QT118" s="56"/>
      <c r="QU118" s="56"/>
      <c r="QV118" s="56"/>
      <c r="QW118" s="56"/>
      <c r="QX118" s="56"/>
      <c r="QY118" s="56"/>
      <c r="QZ118" s="56"/>
      <c r="RA118" s="56"/>
      <c r="RB118" s="56"/>
      <c r="RC118" s="56"/>
      <c r="RD118" s="56"/>
      <c r="RE118" s="56"/>
      <c r="RF118" s="56"/>
      <c r="RG118" s="56"/>
      <c r="RH118" s="56"/>
      <c r="RI118" s="56"/>
      <c r="RJ118" s="56"/>
      <c r="RK118" s="56"/>
      <c r="RL118" s="56"/>
      <c r="RM118" s="56"/>
      <c r="RN118" s="56"/>
      <c r="RO118" s="56"/>
      <c r="RP118" s="56"/>
      <c r="RQ118" s="56"/>
      <c r="RR118" s="56"/>
      <c r="RS118" s="56"/>
      <c r="RT118" s="56"/>
      <c r="RU118" s="56"/>
      <c r="RV118" s="56"/>
      <c r="RW118" s="56"/>
      <c r="RX118" s="56"/>
      <c r="RY118" s="56"/>
      <c r="RZ118" s="56"/>
      <c r="SA118" s="56"/>
      <c r="SB118" s="56"/>
      <c r="SC118" s="56"/>
      <c r="SD118" s="56"/>
      <c r="SE118" s="56"/>
      <c r="SF118" s="56"/>
      <c r="SG118" s="56"/>
      <c r="SH118" s="56"/>
      <c r="SI118" s="56"/>
      <c r="SJ118" s="56"/>
      <c r="SK118" s="56"/>
      <c r="SL118" s="56"/>
      <c r="SM118" s="56"/>
      <c r="SN118" s="56"/>
      <c r="SO118" s="56"/>
      <c r="SP118" s="56"/>
      <c r="SQ118" s="56"/>
      <c r="SR118" s="56"/>
      <c r="SS118" s="56"/>
      <c r="ST118" s="56"/>
      <c r="SU118" s="56"/>
      <c r="SV118" s="56"/>
      <c r="SW118" s="56"/>
      <c r="SX118" s="56"/>
      <c r="SY118" s="56"/>
      <c r="SZ118" s="56"/>
      <c r="TA118" s="56"/>
      <c r="TB118" s="56"/>
      <c r="TC118" s="56"/>
      <c r="TD118" s="56"/>
      <c r="TE118" s="56"/>
      <c r="TF118" s="56"/>
      <c r="TG118" s="56"/>
      <c r="TH118" s="56"/>
      <c r="TI118" s="56"/>
      <c r="TJ118" s="56"/>
      <c r="TK118" s="56"/>
      <c r="TL118" s="56"/>
      <c r="TM118" s="56"/>
      <c r="TN118" s="56"/>
      <c r="TO118" s="56"/>
      <c r="TP118" s="56"/>
      <c r="TQ118" s="56"/>
      <c r="TR118" s="56"/>
      <c r="TS118" s="56"/>
      <c r="TT118" s="56"/>
      <c r="TU118" s="56"/>
      <c r="TV118" s="56"/>
      <c r="TW118" s="56"/>
      <c r="TX118" s="56"/>
      <c r="TY118" s="56"/>
      <c r="TZ118" s="56"/>
      <c r="UA118" s="56"/>
      <c r="UB118" s="56"/>
      <c r="UC118" s="56"/>
      <c r="UD118" s="56"/>
      <c r="UE118" s="56"/>
      <c r="UF118" s="56"/>
      <c r="UG118" s="56"/>
      <c r="UH118" s="56"/>
      <c r="UI118" s="56"/>
      <c r="UJ118" s="56"/>
      <c r="UK118" s="56"/>
      <c r="UL118" s="56"/>
      <c r="UM118" s="56"/>
      <c r="UN118" s="56"/>
      <c r="UO118" s="56"/>
      <c r="UP118" s="56"/>
      <c r="UQ118" s="56"/>
      <c r="UR118" s="56"/>
      <c r="US118" s="56"/>
      <c r="UT118" s="56"/>
      <c r="UU118" s="56"/>
      <c r="UV118" s="56"/>
      <c r="UW118" s="56"/>
      <c r="UX118" s="56"/>
      <c r="UY118" s="56"/>
      <c r="UZ118" s="56"/>
      <c r="VA118" s="56"/>
      <c r="VB118" s="56"/>
      <c r="VC118" s="56"/>
      <c r="VD118" s="56"/>
      <c r="VE118" s="56"/>
      <c r="VF118" s="56"/>
      <c r="VG118" s="56"/>
      <c r="VH118" s="56"/>
      <c r="VI118" s="56"/>
      <c r="VJ118" s="56"/>
      <c r="VK118" s="56"/>
      <c r="VL118" s="56"/>
      <c r="VM118" s="56"/>
      <c r="VN118" s="56"/>
      <c r="VO118" s="56"/>
      <c r="VP118" s="56"/>
      <c r="VQ118" s="56"/>
      <c r="VR118" s="56"/>
      <c r="VS118" s="56"/>
      <c r="VT118" s="56"/>
      <c r="VU118" s="56"/>
      <c r="VV118" s="56"/>
      <c r="VW118" s="56"/>
      <c r="VX118" s="56"/>
      <c r="VY118" s="56"/>
      <c r="VZ118" s="56"/>
      <c r="WA118" s="56"/>
      <c r="WB118" s="56"/>
      <c r="WC118" s="56"/>
      <c r="WD118" s="56"/>
      <c r="WE118" s="56"/>
      <c r="WF118" s="56"/>
      <c r="WG118" s="56"/>
      <c r="WH118" s="56"/>
      <c r="WI118" s="56"/>
      <c r="WJ118" s="56"/>
      <c r="WK118" s="56"/>
      <c r="WL118" s="56"/>
      <c r="WM118" s="56"/>
      <c r="WN118" s="56"/>
      <c r="WO118" s="56"/>
      <c r="WP118" s="56"/>
      <c r="WQ118" s="56"/>
      <c r="WR118" s="56"/>
      <c r="WS118" s="56"/>
      <c r="WT118" s="56"/>
      <c r="WU118" s="56"/>
      <c r="WV118" s="56"/>
      <c r="WW118" s="56"/>
      <c r="WX118" s="56"/>
      <c r="WY118" s="56"/>
      <c r="WZ118" s="56"/>
      <c r="XA118" s="56"/>
      <c r="XB118" s="56"/>
      <c r="XC118" s="56"/>
      <c r="XD118" s="56"/>
      <c r="XE118" s="56"/>
      <c r="XF118" s="56"/>
      <c r="XG118" s="56"/>
      <c r="XH118" s="56"/>
      <c r="XI118" s="56"/>
      <c r="XJ118" s="56"/>
      <c r="XK118" s="56"/>
      <c r="XL118" s="56"/>
      <c r="XM118" s="56"/>
      <c r="XN118" s="56"/>
      <c r="XO118" s="56"/>
      <c r="XP118" s="56"/>
      <c r="XQ118" s="56"/>
      <c r="XR118" s="56"/>
      <c r="XS118" s="56"/>
      <c r="XT118" s="56"/>
      <c r="XU118" s="56"/>
      <c r="XV118" s="56"/>
      <c r="XW118" s="56"/>
      <c r="XX118" s="56"/>
      <c r="XY118" s="56"/>
      <c r="XZ118" s="56"/>
      <c r="YA118" s="56"/>
      <c r="YB118" s="56"/>
      <c r="YC118" s="56"/>
      <c r="YD118" s="56"/>
      <c r="YE118" s="56"/>
      <c r="YF118" s="56"/>
      <c r="YG118" s="56"/>
      <c r="YH118" s="56"/>
      <c r="YI118" s="56"/>
      <c r="YJ118" s="56"/>
      <c r="YK118" s="56"/>
      <c r="YL118" s="56"/>
      <c r="YM118" s="56"/>
      <c r="YN118" s="56"/>
      <c r="YO118" s="56"/>
      <c r="YP118" s="56"/>
      <c r="YQ118" s="56"/>
      <c r="YR118" s="56"/>
      <c r="YS118" s="56"/>
      <c r="YT118" s="56"/>
      <c r="YU118" s="56"/>
      <c r="YV118" s="56"/>
      <c r="YW118" s="56"/>
      <c r="YX118" s="56"/>
      <c r="YY118" s="56"/>
      <c r="YZ118" s="56"/>
      <c r="ZA118" s="56"/>
      <c r="ZB118" s="56"/>
      <c r="ZC118" s="56"/>
      <c r="ZD118" s="56"/>
      <c r="ZE118" s="56"/>
      <c r="ZF118" s="56"/>
      <c r="ZG118" s="56"/>
      <c r="ZH118" s="56"/>
      <c r="ZI118" s="56"/>
      <c r="ZJ118" s="56"/>
      <c r="ZK118" s="56"/>
      <c r="ZL118" s="56"/>
      <c r="ZM118" s="56"/>
      <c r="ZN118" s="56"/>
      <c r="ZO118" s="56"/>
      <c r="ZP118" s="56"/>
      <c r="ZQ118" s="56"/>
      <c r="ZR118" s="56"/>
      <c r="ZS118" s="56"/>
      <c r="ZT118" s="56"/>
      <c r="ZU118" s="56"/>
      <c r="ZV118" s="56"/>
      <c r="ZW118" s="56"/>
      <c r="ZX118" s="56"/>
      <c r="ZY118" s="56"/>
      <c r="ZZ118" s="56"/>
      <c r="AAA118" s="56"/>
      <c r="AAB118" s="56"/>
      <c r="AAC118" s="56"/>
      <c r="AAD118" s="56"/>
      <c r="AAE118" s="56"/>
      <c r="AAF118" s="56"/>
      <c r="AAG118" s="56"/>
      <c r="AAH118" s="56"/>
      <c r="AAI118" s="56"/>
      <c r="AAJ118" s="56"/>
      <c r="AAK118" s="56"/>
      <c r="AAL118" s="56"/>
      <c r="AAM118" s="56"/>
      <c r="AAN118" s="56"/>
      <c r="AAO118" s="56"/>
      <c r="AAP118" s="56"/>
      <c r="AAQ118" s="56"/>
      <c r="AAR118" s="56"/>
      <c r="AAS118" s="56"/>
      <c r="AAT118" s="56"/>
      <c r="AAU118" s="56"/>
      <c r="AAV118" s="56"/>
      <c r="AAW118" s="56"/>
      <c r="AAX118" s="56"/>
      <c r="AAY118" s="56"/>
      <c r="AAZ118" s="56"/>
      <c r="ABA118" s="56"/>
      <c r="ABB118" s="56"/>
      <c r="ABC118" s="56"/>
      <c r="ABD118" s="56"/>
      <c r="ABE118" s="56"/>
      <c r="ABF118" s="56"/>
      <c r="ABG118" s="56"/>
      <c r="ABH118" s="56"/>
      <c r="ABI118" s="56"/>
      <c r="ABJ118" s="56"/>
      <c r="ABK118" s="56"/>
      <c r="ABL118" s="56"/>
      <c r="ABM118" s="56"/>
      <c r="ABN118" s="56"/>
      <c r="ABO118" s="56"/>
      <c r="ABP118" s="56"/>
      <c r="ABQ118" s="56"/>
      <c r="ABR118" s="56"/>
      <c r="ABS118" s="56"/>
      <c r="ABT118" s="56"/>
      <c r="ABU118" s="56"/>
      <c r="ABV118" s="56"/>
      <c r="ABW118" s="56"/>
      <c r="ABX118" s="56"/>
      <c r="ABY118" s="56"/>
      <c r="ABZ118" s="56"/>
      <c r="ACA118" s="56"/>
      <c r="ACB118" s="56"/>
      <c r="ACC118" s="56"/>
      <c r="ACD118" s="56"/>
      <c r="ACE118" s="56"/>
      <c r="ACF118" s="56"/>
      <c r="ACG118" s="56"/>
      <c r="ACH118" s="56"/>
      <c r="ACI118" s="56"/>
      <c r="ACJ118" s="56"/>
      <c r="ACK118" s="56"/>
      <c r="ACL118" s="56"/>
      <c r="ACM118" s="56"/>
      <c r="ACN118" s="56"/>
      <c r="ACO118" s="56"/>
      <c r="ACP118" s="56"/>
      <c r="ACQ118" s="56"/>
      <c r="ACR118" s="56"/>
      <c r="ACS118" s="56"/>
      <c r="ACT118" s="56"/>
      <c r="ACU118" s="56"/>
      <c r="ACV118" s="56"/>
      <c r="ACW118" s="56"/>
      <c r="ACX118" s="56"/>
      <c r="ACY118" s="56"/>
      <c r="ACZ118" s="56"/>
      <c r="ADA118" s="56"/>
      <c r="ADB118" s="56"/>
      <c r="ADC118" s="56"/>
      <c r="ADD118" s="56"/>
      <c r="ADE118" s="56"/>
      <c r="ADF118" s="56"/>
      <c r="ADG118" s="56"/>
      <c r="ADH118" s="56"/>
      <c r="ADI118" s="56"/>
      <c r="ADJ118" s="56"/>
      <c r="ADK118" s="56"/>
      <c r="ADL118" s="56"/>
      <c r="ADM118" s="56"/>
      <c r="ADN118" s="56"/>
      <c r="ADO118" s="56"/>
      <c r="ADP118" s="56"/>
      <c r="ADQ118" s="56"/>
      <c r="ADR118" s="56"/>
      <c r="ADS118" s="56"/>
      <c r="ADT118" s="56"/>
      <c r="ADU118" s="56"/>
      <c r="ADV118" s="56"/>
      <c r="ADW118" s="56"/>
      <c r="ADX118" s="56"/>
      <c r="ADY118" s="56"/>
      <c r="ADZ118" s="56"/>
      <c r="AEA118" s="56"/>
      <c r="AEB118" s="56"/>
      <c r="AEC118" s="56"/>
      <c r="AED118" s="56"/>
      <c r="AEE118" s="56"/>
      <c r="AEF118" s="56"/>
      <c r="AEG118" s="56"/>
      <c r="AEH118" s="56"/>
      <c r="AEI118" s="56"/>
      <c r="AEJ118" s="56"/>
      <c r="AEK118" s="56"/>
      <c r="AEL118" s="56"/>
      <c r="AEM118" s="56"/>
      <c r="AEN118" s="56"/>
      <c r="AEO118" s="56"/>
      <c r="AEP118" s="56"/>
      <c r="AEQ118" s="56"/>
      <c r="AER118" s="56"/>
      <c r="AES118" s="56"/>
      <c r="AET118" s="56"/>
      <c r="AEU118" s="56"/>
      <c r="AEV118" s="56"/>
      <c r="AEW118" s="56"/>
      <c r="AEX118" s="56"/>
      <c r="AEY118" s="56"/>
      <c r="AEZ118" s="56"/>
      <c r="AFA118" s="56"/>
      <c r="AFB118" s="56"/>
      <c r="AFC118" s="56"/>
      <c r="AFD118" s="56"/>
      <c r="AFE118" s="56"/>
      <c r="AFF118" s="56"/>
      <c r="AFG118" s="56"/>
      <c r="AFH118" s="56"/>
      <c r="AFI118" s="56"/>
      <c r="AFJ118" s="56"/>
      <c r="AFK118" s="56"/>
      <c r="AFL118" s="56"/>
      <c r="AFM118" s="56"/>
      <c r="AFN118" s="56"/>
      <c r="AFO118" s="56"/>
      <c r="AFP118" s="56"/>
      <c r="AFQ118" s="56"/>
      <c r="AFR118" s="56"/>
      <c r="AFS118" s="56"/>
      <c r="AFT118" s="56"/>
      <c r="AFU118" s="56"/>
      <c r="AFV118" s="56"/>
      <c r="AFW118" s="56"/>
      <c r="AFX118" s="56"/>
      <c r="AFY118" s="56"/>
      <c r="AFZ118" s="56"/>
      <c r="AGA118" s="56"/>
      <c r="AGB118" s="56"/>
      <c r="AGC118" s="56"/>
      <c r="AGD118" s="56"/>
      <c r="AGE118" s="56"/>
      <c r="AGF118" s="56"/>
      <c r="AGG118" s="56"/>
      <c r="AGH118" s="56"/>
      <c r="AGI118" s="56"/>
      <c r="AGJ118" s="56"/>
      <c r="AGK118" s="56"/>
      <c r="AGL118" s="56"/>
      <c r="AGM118" s="56"/>
      <c r="AGN118" s="56"/>
      <c r="AGO118" s="56"/>
      <c r="AGP118" s="56"/>
      <c r="AGQ118" s="56"/>
      <c r="AGR118" s="56"/>
      <c r="AGS118" s="56"/>
      <c r="AGT118" s="56"/>
      <c r="AGU118" s="56"/>
      <c r="AGV118" s="56"/>
      <c r="AGW118" s="56"/>
      <c r="AGX118" s="56"/>
      <c r="AGY118" s="56"/>
      <c r="AGZ118" s="56"/>
      <c r="AHA118" s="56"/>
      <c r="AHB118" s="56"/>
      <c r="AHC118" s="56"/>
      <c r="AHD118" s="56"/>
      <c r="AHE118" s="56"/>
      <c r="AHF118" s="56"/>
      <c r="AHG118" s="56"/>
      <c r="AHH118" s="56"/>
      <c r="AHI118" s="56"/>
      <c r="AHJ118" s="56"/>
      <c r="AHK118" s="56"/>
      <c r="AHL118" s="56"/>
      <c r="AHM118" s="56"/>
      <c r="AHN118" s="56"/>
      <c r="AHO118" s="56"/>
      <c r="AHP118" s="56"/>
      <c r="AHQ118" s="56"/>
      <c r="AHR118" s="56"/>
      <c r="AHS118" s="56"/>
      <c r="AHT118" s="56"/>
      <c r="AHU118" s="56"/>
      <c r="AHV118" s="56"/>
      <c r="AHW118" s="56"/>
      <c r="AHX118" s="56"/>
      <c r="AHY118" s="56"/>
      <c r="AHZ118" s="56"/>
      <c r="AIA118" s="56"/>
      <c r="AIB118" s="56"/>
      <c r="AIC118" s="56"/>
      <c r="AID118" s="56"/>
      <c r="AIE118" s="56"/>
      <c r="AIF118" s="56"/>
      <c r="AIG118" s="56"/>
      <c r="AIH118" s="56"/>
      <c r="AII118" s="56"/>
      <c r="AIJ118" s="56"/>
      <c r="AIK118" s="56"/>
      <c r="AIL118" s="56"/>
      <c r="AIM118" s="56"/>
      <c r="AIN118" s="56"/>
      <c r="AIO118" s="56"/>
      <c r="AIP118" s="56"/>
      <c r="AIQ118" s="56"/>
      <c r="AIR118" s="56"/>
      <c r="AIS118" s="56"/>
      <c r="AIT118" s="56"/>
      <c r="AIU118" s="56"/>
      <c r="AIV118" s="56"/>
      <c r="AIW118" s="56"/>
      <c r="AIX118" s="56"/>
      <c r="AIY118" s="56"/>
      <c r="AIZ118" s="56"/>
      <c r="AJA118" s="56"/>
      <c r="AJB118" s="56"/>
      <c r="AJC118" s="56"/>
      <c r="AJD118" s="56"/>
      <c r="AJE118" s="56"/>
      <c r="AJF118" s="56"/>
      <c r="AJG118" s="56"/>
      <c r="AJH118" s="56"/>
      <c r="AJI118" s="56"/>
      <c r="AJJ118" s="56"/>
      <c r="AJK118" s="56"/>
      <c r="AJL118" s="56"/>
      <c r="AJM118" s="56"/>
      <c r="AJN118" s="56"/>
      <c r="AJO118" s="56"/>
      <c r="AJP118" s="56"/>
      <c r="AJQ118" s="56"/>
      <c r="AJR118" s="56"/>
      <c r="AJS118" s="56"/>
      <c r="AJT118" s="56"/>
      <c r="AJU118" s="56"/>
      <c r="AJV118" s="56"/>
      <c r="AJW118" s="56"/>
      <c r="AJX118" s="56"/>
      <c r="AJY118" s="56"/>
      <c r="AJZ118" s="56"/>
      <c r="AKA118" s="56"/>
      <c r="AKB118" s="56"/>
      <c r="AKC118" s="56"/>
      <c r="AKD118" s="56"/>
      <c r="AKE118" s="56"/>
      <c r="AKF118" s="56"/>
      <c r="AKG118" s="56"/>
      <c r="AKH118" s="56"/>
      <c r="AKI118" s="56"/>
      <c r="AKJ118" s="56"/>
      <c r="AKK118" s="56"/>
      <c r="AKL118" s="56"/>
      <c r="AKM118" s="56"/>
      <c r="AKN118" s="56"/>
      <c r="AKO118" s="56"/>
      <c r="AKP118" s="56"/>
      <c r="AKQ118" s="56"/>
      <c r="AKR118" s="56"/>
      <c r="AKS118" s="56"/>
      <c r="AKT118" s="56"/>
      <c r="AKU118" s="56"/>
      <c r="AKV118" s="56"/>
      <c r="AKW118" s="56"/>
      <c r="AKX118" s="56"/>
      <c r="AKY118" s="56"/>
      <c r="AKZ118" s="56"/>
      <c r="ALA118" s="56"/>
      <c r="ALB118" s="56"/>
      <c r="ALC118" s="56"/>
      <c r="ALD118" s="56"/>
      <c r="ALE118" s="56"/>
      <c r="ALF118" s="56"/>
      <c r="ALG118" s="56"/>
      <c r="ALH118" s="56"/>
      <c r="ALI118" s="56"/>
      <c r="ALJ118" s="56"/>
      <c r="ALK118" s="56"/>
      <c r="ALL118" s="56"/>
      <c r="ALM118" s="56"/>
      <c r="ALN118" s="56"/>
      <c r="ALO118" s="56"/>
      <c r="ALP118" s="56"/>
      <c r="ALQ118" s="56"/>
      <c r="ALR118" s="56"/>
      <c r="ALS118" s="56"/>
      <c r="ALT118" s="56"/>
      <c r="ALU118" s="56"/>
      <c r="ALV118" s="56"/>
      <c r="ALW118" s="56"/>
      <c r="ALX118" s="56"/>
      <c r="ALY118" s="56"/>
      <c r="ALZ118" s="56"/>
      <c r="AMA118" s="56"/>
      <c r="AMB118" s="56"/>
      <c r="AMC118" s="56"/>
      <c r="AMD118" s="56"/>
      <c r="AME118" s="56"/>
      <c r="AMF118" s="56"/>
      <c r="AMG118" s="56"/>
      <c r="AMH118" s="56"/>
      <c r="AMI118" s="56"/>
      <c r="AMJ118" s="56"/>
    </row>
    <row r="119" spans="12:1024" ht="15.95" customHeight="1" x14ac:dyDescent="0.2">
      <c r="L119" s="56"/>
      <c r="M119" s="57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  <c r="CZ119" s="56"/>
      <c r="DA119" s="56"/>
      <c r="DB119" s="56"/>
      <c r="DC119" s="56"/>
      <c r="DD119" s="56"/>
      <c r="DE119" s="56"/>
      <c r="DF119" s="56"/>
      <c r="DG119" s="56"/>
      <c r="DH119" s="56"/>
      <c r="DI119" s="56"/>
      <c r="DJ119" s="56"/>
      <c r="DK119" s="56"/>
      <c r="DL119" s="56"/>
      <c r="DM119" s="56"/>
      <c r="DN119" s="56"/>
      <c r="DO119" s="56"/>
      <c r="DP119" s="56"/>
      <c r="DQ119" s="56"/>
      <c r="DR119" s="56"/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  <c r="EG119" s="56"/>
      <c r="EH119" s="56"/>
      <c r="EI119" s="56"/>
      <c r="EJ119" s="56"/>
      <c r="EK119" s="56"/>
      <c r="EL119" s="56"/>
      <c r="EM119" s="56"/>
      <c r="EN119" s="56"/>
      <c r="EO119" s="56"/>
      <c r="EP119" s="56"/>
      <c r="EQ119" s="56"/>
      <c r="ER119" s="56"/>
      <c r="ES119" s="56"/>
      <c r="ET119" s="56"/>
      <c r="EU119" s="56"/>
      <c r="EV119" s="56"/>
      <c r="EW119" s="56"/>
      <c r="EX119" s="56"/>
      <c r="EY119" s="56"/>
      <c r="EZ119" s="56"/>
      <c r="FA119" s="56"/>
      <c r="FB119" s="56"/>
      <c r="FC119" s="56"/>
      <c r="FD119" s="56"/>
      <c r="FE119" s="56"/>
      <c r="FF119" s="56"/>
      <c r="FG119" s="56"/>
      <c r="FH119" s="56"/>
      <c r="FI119" s="56"/>
      <c r="FJ119" s="56"/>
      <c r="FK119" s="56"/>
      <c r="FL119" s="56"/>
      <c r="FM119" s="56"/>
      <c r="FN119" s="56"/>
      <c r="FO119" s="56"/>
      <c r="FP119" s="56"/>
      <c r="FQ119" s="56"/>
      <c r="FR119" s="56"/>
      <c r="FS119" s="56"/>
      <c r="FT119" s="56"/>
      <c r="FU119" s="56"/>
      <c r="FV119" s="56"/>
      <c r="FW119" s="56"/>
      <c r="FX119" s="56"/>
      <c r="FY119" s="56"/>
      <c r="FZ119" s="56"/>
      <c r="GA119" s="56"/>
      <c r="GB119" s="56"/>
      <c r="GC119" s="56"/>
      <c r="GD119" s="56"/>
      <c r="GE119" s="56"/>
      <c r="GF119" s="56"/>
      <c r="GG119" s="56"/>
      <c r="GH119" s="56"/>
      <c r="GI119" s="56"/>
      <c r="GJ119" s="56"/>
      <c r="GK119" s="56"/>
      <c r="GL119" s="56"/>
      <c r="GM119" s="56"/>
      <c r="GN119" s="56"/>
      <c r="GO119" s="56"/>
      <c r="GP119" s="56"/>
      <c r="GQ119" s="56"/>
      <c r="GR119" s="56"/>
      <c r="GS119" s="56"/>
      <c r="GT119" s="56"/>
      <c r="GU119" s="56"/>
      <c r="GV119" s="56"/>
      <c r="GW119" s="56"/>
      <c r="GX119" s="56"/>
      <c r="GY119" s="56"/>
      <c r="GZ119" s="56"/>
      <c r="HA119" s="56"/>
      <c r="HB119" s="56"/>
      <c r="HC119" s="56"/>
      <c r="HD119" s="56"/>
      <c r="HE119" s="56"/>
      <c r="HF119" s="56"/>
      <c r="HG119" s="56"/>
      <c r="HH119" s="56"/>
      <c r="HI119" s="56"/>
      <c r="HJ119" s="56"/>
      <c r="HK119" s="56"/>
      <c r="HL119" s="56"/>
      <c r="HM119" s="56"/>
      <c r="HN119" s="56"/>
      <c r="HO119" s="56"/>
      <c r="HP119" s="56"/>
      <c r="HQ119" s="56"/>
      <c r="HR119" s="56"/>
      <c r="HS119" s="56"/>
      <c r="HT119" s="56"/>
      <c r="HU119" s="56"/>
      <c r="HV119" s="56"/>
      <c r="HW119" s="56"/>
      <c r="HX119" s="56"/>
      <c r="HY119" s="56"/>
      <c r="HZ119" s="56"/>
      <c r="IA119" s="56"/>
      <c r="IB119" s="56"/>
      <c r="IC119" s="56"/>
      <c r="ID119" s="56"/>
      <c r="IE119" s="56"/>
      <c r="IF119" s="56"/>
      <c r="IG119" s="56"/>
      <c r="IH119" s="56"/>
      <c r="II119" s="56"/>
      <c r="IJ119" s="56"/>
      <c r="IK119" s="56"/>
      <c r="IL119" s="56"/>
      <c r="IM119" s="56"/>
      <c r="IN119" s="56"/>
      <c r="IO119" s="56"/>
      <c r="IP119" s="56"/>
      <c r="IQ119" s="56"/>
      <c r="IR119" s="56"/>
      <c r="IS119" s="56"/>
      <c r="IT119" s="56"/>
      <c r="IU119" s="56"/>
      <c r="IV119" s="56"/>
      <c r="IW119" s="56"/>
      <c r="IX119" s="56"/>
      <c r="IY119" s="56"/>
      <c r="IZ119" s="56"/>
      <c r="JA119" s="56"/>
      <c r="JB119" s="56"/>
      <c r="JC119" s="56"/>
      <c r="JD119" s="56"/>
      <c r="JE119" s="56"/>
      <c r="JF119" s="56"/>
      <c r="JG119" s="56"/>
      <c r="JH119" s="56"/>
      <c r="JI119" s="56"/>
      <c r="JJ119" s="56"/>
      <c r="JK119" s="56"/>
      <c r="JL119" s="56"/>
      <c r="JM119" s="56"/>
      <c r="JN119" s="56"/>
      <c r="JO119" s="56"/>
      <c r="JP119" s="56"/>
      <c r="JQ119" s="56"/>
      <c r="JR119" s="56"/>
      <c r="JS119" s="56"/>
      <c r="JT119" s="56"/>
      <c r="JU119" s="56"/>
      <c r="JV119" s="56"/>
      <c r="JW119" s="56"/>
      <c r="JX119" s="56"/>
      <c r="JY119" s="56"/>
      <c r="JZ119" s="56"/>
      <c r="KA119" s="56"/>
      <c r="KB119" s="56"/>
      <c r="KC119" s="56"/>
      <c r="KD119" s="56"/>
      <c r="KE119" s="56"/>
      <c r="KF119" s="56"/>
      <c r="KG119" s="56"/>
      <c r="KH119" s="56"/>
      <c r="KI119" s="56"/>
      <c r="KJ119" s="56"/>
      <c r="KK119" s="56"/>
      <c r="KL119" s="56"/>
      <c r="KM119" s="56"/>
      <c r="KN119" s="56"/>
      <c r="KO119" s="56"/>
      <c r="KP119" s="56"/>
      <c r="KQ119" s="56"/>
      <c r="KR119" s="56"/>
      <c r="KS119" s="56"/>
      <c r="KT119" s="56"/>
      <c r="KU119" s="56"/>
      <c r="KV119" s="56"/>
      <c r="KW119" s="56"/>
      <c r="KX119" s="56"/>
      <c r="KY119" s="56"/>
      <c r="KZ119" s="56"/>
      <c r="LA119" s="56"/>
      <c r="LB119" s="56"/>
      <c r="LC119" s="56"/>
      <c r="LD119" s="56"/>
      <c r="LE119" s="56"/>
      <c r="LF119" s="56"/>
      <c r="LG119" s="56"/>
      <c r="LH119" s="56"/>
      <c r="LI119" s="56"/>
      <c r="LJ119" s="56"/>
      <c r="LK119" s="56"/>
      <c r="LL119" s="56"/>
      <c r="LM119" s="56"/>
      <c r="LN119" s="56"/>
      <c r="LO119" s="56"/>
      <c r="LP119" s="56"/>
      <c r="LQ119" s="56"/>
      <c r="LR119" s="56"/>
      <c r="LS119" s="56"/>
      <c r="LT119" s="56"/>
      <c r="LU119" s="56"/>
      <c r="LV119" s="56"/>
      <c r="LW119" s="56"/>
      <c r="LX119" s="56"/>
      <c r="LY119" s="56"/>
      <c r="LZ119" s="56"/>
      <c r="MA119" s="56"/>
      <c r="MB119" s="56"/>
      <c r="MC119" s="56"/>
      <c r="MD119" s="56"/>
      <c r="ME119" s="56"/>
      <c r="MF119" s="56"/>
      <c r="MG119" s="56"/>
      <c r="MH119" s="56"/>
      <c r="MI119" s="56"/>
      <c r="MJ119" s="56"/>
      <c r="MK119" s="56"/>
      <c r="ML119" s="56"/>
      <c r="MM119" s="56"/>
      <c r="MN119" s="56"/>
      <c r="MO119" s="56"/>
      <c r="MP119" s="56"/>
      <c r="MQ119" s="56"/>
      <c r="MR119" s="56"/>
      <c r="MS119" s="56"/>
      <c r="MT119" s="56"/>
      <c r="MU119" s="56"/>
      <c r="MV119" s="56"/>
      <c r="MW119" s="56"/>
      <c r="MX119" s="56"/>
      <c r="MY119" s="56"/>
      <c r="MZ119" s="56"/>
      <c r="NA119" s="56"/>
      <c r="NB119" s="56"/>
      <c r="NC119" s="56"/>
      <c r="ND119" s="56"/>
      <c r="NE119" s="56"/>
      <c r="NF119" s="56"/>
      <c r="NG119" s="56"/>
      <c r="NH119" s="56"/>
      <c r="NI119" s="56"/>
      <c r="NJ119" s="56"/>
      <c r="NK119" s="56"/>
      <c r="NL119" s="56"/>
      <c r="NM119" s="56"/>
      <c r="NN119" s="56"/>
      <c r="NO119" s="56"/>
      <c r="NP119" s="56"/>
      <c r="NQ119" s="56"/>
      <c r="NR119" s="56"/>
      <c r="NS119" s="56"/>
      <c r="NT119" s="56"/>
      <c r="NU119" s="56"/>
      <c r="NV119" s="56"/>
      <c r="NW119" s="56"/>
      <c r="NX119" s="56"/>
      <c r="NY119" s="56"/>
      <c r="NZ119" s="56"/>
      <c r="OA119" s="56"/>
      <c r="OB119" s="56"/>
      <c r="OC119" s="56"/>
      <c r="OD119" s="56"/>
      <c r="OE119" s="56"/>
      <c r="OF119" s="56"/>
      <c r="OG119" s="56"/>
      <c r="OH119" s="56"/>
      <c r="OI119" s="56"/>
      <c r="OJ119" s="56"/>
      <c r="OK119" s="56"/>
      <c r="OL119" s="56"/>
      <c r="OM119" s="56"/>
      <c r="ON119" s="56"/>
      <c r="OO119" s="56"/>
      <c r="OP119" s="56"/>
      <c r="OQ119" s="56"/>
      <c r="OR119" s="56"/>
      <c r="OS119" s="56"/>
      <c r="OT119" s="56"/>
      <c r="OU119" s="56"/>
      <c r="OV119" s="56"/>
      <c r="OW119" s="56"/>
      <c r="OX119" s="56"/>
      <c r="OY119" s="56"/>
      <c r="OZ119" s="56"/>
      <c r="PA119" s="56"/>
      <c r="PB119" s="56"/>
      <c r="PC119" s="56"/>
      <c r="PD119" s="56"/>
      <c r="PE119" s="56"/>
      <c r="PF119" s="56"/>
      <c r="PG119" s="56"/>
      <c r="PH119" s="56"/>
      <c r="PI119" s="56"/>
      <c r="PJ119" s="56"/>
      <c r="PK119" s="56"/>
      <c r="PL119" s="56"/>
      <c r="PM119" s="56"/>
      <c r="PN119" s="56"/>
      <c r="PO119" s="56"/>
      <c r="PP119" s="56"/>
      <c r="PQ119" s="56"/>
      <c r="PR119" s="56"/>
      <c r="PS119" s="56"/>
      <c r="PT119" s="56"/>
      <c r="PU119" s="56"/>
      <c r="PV119" s="56"/>
      <c r="PW119" s="56"/>
      <c r="PX119" s="56"/>
      <c r="PY119" s="56"/>
      <c r="PZ119" s="56"/>
      <c r="QA119" s="56"/>
      <c r="QB119" s="56"/>
      <c r="QC119" s="56"/>
      <c r="QD119" s="56"/>
      <c r="QE119" s="56"/>
      <c r="QF119" s="56"/>
      <c r="QG119" s="56"/>
      <c r="QH119" s="56"/>
      <c r="QI119" s="56"/>
      <c r="QJ119" s="56"/>
      <c r="QK119" s="56"/>
      <c r="QL119" s="56"/>
      <c r="QM119" s="56"/>
      <c r="QN119" s="56"/>
      <c r="QO119" s="56"/>
      <c r="QP119" s="56"/>
      <c r="QQ119" s="56"/>
      <c r="QR119" s="56"/>
      <c r="QS119" s="56"/>
      <c r="QT119" s="56"/>
      <c r="QU119" s="56"/>
      <c r="QV119" s="56"/>
      <c r="QW119" s="56"/>
      <c r="QX119" s="56"/>
      <c r="QY119" s="56"/>
      <c r="QZ119" s="56"/>
      <c r="RA119" s="56"/>
      <c r="RB119" s="56"/>
      <c r="RC119" s="56"/>
      <c r="RD119" s="56"/>
      <c r="RE119" s="56"/>
      <c r="RF119" s="56"/>
      <c r="RG119" s="56"/>
      <c r="RH119" s="56"/>
      <c r="RI119" s="56"/>
      <c r="RJ119" s="56"/>
      <c r="RK119" s="56"/>
      <c r="RL119" s="56"/>
      <c r="RM119" s="56"/>
      <c r="RN119" s="56"/>
      <c r="RO119" s="56"/>
      <c r="RP119" s="56"/>
      <c r="RQ119" s="56"/>
      <c r="RR119" s="56"/>
      <c r="RS119" s="56"/>
      <c r="RT119" s="56"/>
      <c r="RU119" s="56"/>
      <c r="RV119" s="56"/>
      <c r="RW119" s="56"/>
      <c r="RX119" s="56"/>
      <c r="RY119" s="56"/>
      <c r="RZ119" s="56"/>
      <c r="SA119" s="56"/>
      <c r="SB119" s="56"/>
      <c r="SC119" s="56"/>
      <c r="SD119" s="56"/>
      <c r="SE119" s="56"/>
      <c r="SF119" s="56"/>
      <c r="SG119" s="56"/>
      <c r="SH119" s="56"/>
      <c r="SI119" s="56"/>
      <c r="SJ119" s="56"/>
      <c r="SK119" s="56"/>
      <c r="SL119" s="56"/>
      <c r="SM119" s="56"/>
      <c r="SN119" s="56"/>
      <c r="SO119" s="56"/>
      <c r="SP119" s="56"/>
      <c r="SQ119" s="56"/>
      <c r="SR119" s="56"/>
      <c r="SS119" s="56"/>
      <c r="ST119" s="56"/>
      <c r="SU119" s="56"/>
      <c r="SV119" s="56"/>
      <c r="SW119" s="56"/>
      <c r="SX119" s="56"/>
      <c r="SY119" s="56"/>
      <c r="SZ119" s="56"/>
      <c r="TA119" s="56"/>
      <c r="TB119" s="56"/>
      <c r="TC119" s="56"/>
      <c r="TD119" s="56"/>
      <c r="TE119" s="56"/>
      <c r="TF119" s="56"/>
      <c r="TG119" s="56"/>
      <c r="TH119" s="56"/>
      <c r="TI119" s="56"/>
      <c r="TJ119" s="56"/>
      <c r="TK119" s="56"/>
      <c r="TL119" s="56"/>
      <c r="TM119" s="56"/>
      <c r="TN119" s="56"/>
      <c r="TO119" s="56"/>
      <c r="TP119" s="56"/>
      <c r="TQ119" s="56"/>
      <c r="TR119" s="56"/>
      <c r="TS119" s="56"/>
      <c r="TT119" s="56"/>
      <c r="TU119" s="56"/>
      <c r="TV119" s="56"/>
      <c r="TW119" s="56"/>
      <c r="TX119" s="56"/>
      <c r="TY119" s="56"/>
      <c r="TZ119" s="56"/>
      <c r="UA119" s="56"/>
      <c r="UB119" s="56"/>
      <c r="UC119" s="56"/>
      <c r="UD119" s="56"/>
      <c r="UE119" s="56"/>
      <c r="UF119" s="56"/>
      <c r="UG119" s="56"/>
      <c r="UH119" s="56"/>
      <c r="UI119" s="56"/>
      <c r="UJ119" s="56"/>
      <c r="UK119" s="56"/>
      <c r="UL119" s="56"/>
      <c r="UM119" s="56"/>
      <c r="UN119" s="56"/>
      <c r="UO119" s="56"/>
      <c r="UP119" s="56"/>
      <c r="UQ119" s="56"/>
      <c r="UR119" s="56"/>
      <c r="US119" s="56"/>
      <c r="UT119" s="56"/>
      <c r="UU119" s="56"/>
      <c r="UV119" s="56"/>
      <c r="UW119" s="56"/>
      <c r="UX119" s="56"/>
      <c r="UY119" s="56"/>
      <c r="UZ119" s="56"/>
      <c r="VA119" s="56"/>
      <c r="VB119" s="56"/>
      <c r="VC119" s="56"/>
      <c r="VD119" s="56"/>
      <c r="VE119" s="56"/>
      <c r="VF119" s="56"/>
      <c r="VG119" s="56"/>
      <c r="VH119" s="56"/>
      <c r="VI119" s="56"/>
      <c r="VJ119" s="56"/>
      <c r="VK119" s="56"/>
      <c r="VL119" s="56"/>
      <c r="VM119" s="56"/>
      <c r="VN119" s="56"/>
      <c r="VO119" s="56"/>
      <c r="VP119" s="56"/>
      <c r="VQ119" s="56"/>
      <c r="VR119" s="56"/>
      <c r="VS119" s="56"/>
      <c r="VT119" s="56"/>
      <c r="VU119" s="56"/>
      <c r="VV119" s="56"/>
      <c r="VW119" s="56"/>
      <c r="VX119" s="56"/>
      <c r="VY119" s="56"/>
      <c r="VZ119" s="56"/>
      <c r="WA119" s="56"/>
      <c r="WB119" s="56"/>
      <c r="WC119" s="56"/>
      <c r="WD119" s="56"/>
      <c r="WE119" s="56"/>
      <c r="WF119" s="56"/>
      <c r="WG119" s="56"/>
      <c r="WH119" s="56"/>
      <c r="WI119" s="56"/>
      <c r="WJ119" s="56"/>
      <c r="WK119" s="56"/>
      <c r="WL119" s="56"/>
      <c r="WM119" s="56"/>
      <c r="WN119" s="56"/>
      <c r="WO119" s="56"/>
      <c r="WP119" s="56"/>
      <c r="WQ119" s="56"/>
      <c r="WR119" s="56"/>
      <c r="WS119" s="56"/>
      <c r="WT119" s="56"/>
      <c r="WU119" s="56"/>
      <c r="WV119" s="56"/>
      <c r="WW119" s="56"/>
      <c r="WX119" s="56"/>
      <c r="WY119" s="56"/>
      <c r="WZ119" s="56"/>
      <c r="XA119" s="56"/>
      <c r="XB119" s="56"/>
      <c r="XC119" s="56"/>
      <c r="XD119" s="56"/>
      <c r="XE119" s="56"/>
      <c r="XF119" s="56"/>
      <c r="XG119" s="56"/>
      <c r="XH119" s="56"/>
      <c r="XI119" s="56"/>
      <c r="XJ119" s="56"/>
      <c r="XK119" s="56"/>
      <c r="XL119" s="56"/>
      <c r="XM119" s="56"/>
      <c r="XN119" s="56"/>
      <c r="XO119" s="56"/>
      <c r="XP119" s="56"/>
      <c r="XQ119" s="56"/>
      <c r="XR119" s="56"/>
      <c r="XS119" s="56"/>
      <c r="XT119" s="56"/>
      <c r="XU119" s="56"/>
      <c r="XV119" s="56"/>
      <c r="XW119" s="56"/>
      <c r="XX119" s="56"/>
      <c r="XY119" s="56"/>
      <c r="XZ119" s="56"/>
      <c r="YA119" s="56"/>
      <c r="YB119" s="56"/>
      <c r="YC119" s="56"/>
      <c r="YD119" s="56"/>
      <c r="YE119" s="56"/>
      <c r="YF119" s="56"/>
      <c r="YG119" s="56"/>
      <c r="YH119" s="56"/>
      <c r="YI119" s="56"/>
      <c r="YJ119" s="56"/>
      <c r="YK119" s="56"/>
      <c r="YL119" s="56"/>
      <c r="YM119" s="56"/>
      <c r="YN119" s="56"/>
      <c r="YO119" s="56"/>
      <c r="YP119" s="56"/>
      <c r="YQ119" s="56"/>
      <c r="YR119" s="56"/>
      <c r="YS119" s="56"/>
      <c r="YT119" s="56"/>
      <c r="YU119" s="56"/>
      <c r="YV119" s="56"/>
      <c r="YW119" s="56"/>
      <c r="YX119" s="56"/>
      <c r="YY119" s="56"/>
      <c r="YZ119" s="56"/>
      <c r="ZA119" s="56"/>
      <c r="ZB119" s="56"/>
      <c r="ZC119" s="56"/>
      <c r="ZD119" s="56"/>
      <c r="ZE119" s="56"/>
      <c r="ZF119" s="56"/>
      <c r="ZG119" s="56"/>
      <c r="ZH119" s="56"/>
      <c r="ZI119" s="56"/>
      <c r="ZJ119" s="56"/>
      <c r="ZK119" s="56"/>
      <c r="ZL119" s="56"/>
      <c r="ZM119" s="56"/>
      <c r="ZN119" s="56"/>
      <c r="ZO119" s="56"/>
      <c r="ZP119" s="56"/>
      <c r="ZQ119" s="56"/>
      <c r="ZR119" s="56"/>
      <c r="ZS119" s="56"/>
      <c r="ZT119" s="56"/>
      <c r="ZU119" s="56"/>
      <c r="ZV119" s="56"/>
      <c r="ZW119" s="56"/>
      <c r="ZX119" s="56"/>
      <c r="ZY119" s="56"/>
      <c r="ZZ119" s="56"/>
      <c r="AAA119" s="56"/>
      <c r="AAB119" s="56"/>
      <c r="AAC119" s="56"/>
      <c r="AAD119" s="56"/>
      <c r="AAE119" s="56"/>
      <c r="AAF119" s="56"/>
      <c r="AAG119" s="56"/>
      <c r="AAH119" s="56"/>
      <c r="AAI119" s="56"/>
      <c r="AAJ119" s="56"/>
      <c r="AAK119" s="56"/>
      <c r="AAL119" s="56"/>
      <c r="AAM119" s="56"/>
      <c r="AAN119" s="56"/>
      <c r="AAO119" s="56"/>
      <c r="AAP119" s="56"/>
      <c r="AAQ119" s="56"/>
      <c r="AAR119" s="56"/>
      <c r="AAS119" s="56"/>
      <c r="AAT119" s="56"/>
      <c r="AAU119" s="56"/>
      <c r="AAV119" s="56"/>
      <c r="AAW119" s="56"/>
      <c r="AAX119" s="56"/>
      <c r="AAY119" s="56"/>
      <c r="AAZ119" s="56"/>
      <c r="ABA119" s="56"/>
      <c r="ABB119" s="56"/>
      <c r="ABC119" s="56"/>
      <c r="ABD119" s="56"/>
      <c r="ABE119" s="56"/>
      <c r="ABF119" s="56"/>
      <c r="ABG119" s="56"/>
      <c r="ABH119" s="56"/>
      <c r="ABI119" s="56"/>
      <c r="ABJ119" s="56"/>
      <c r="ABK119" s="56"/>
      <c r="ABL119" s="56"/>
      <c r="ABM119" s="56"/>
      <c r="ABN119" s="56"/>
      <c r="ABO119" s="56"/>
      <c r="ABP119" s="56"/>
      <c r="ABQ119" s="56"/>
      <c r="ABR119" s="56"/>
      <c r="ABS119" s="56"/>
      <c r="ABT119" s="56"/>
      <c r="ABU119" s="56"/>
      <c r="ABV119" s="56"/>
      <c r="ABW119" s="56"/>
      <c r="ABX119" s="56"/>
      <c r="ABY119" s="56"/>
      <c r="ABZ119" s="56"/>
      <c r="ACA119" s="56"/>
      <c r="ACB119" s="56"/>
      <c r="ACC119" s="56"/>
      <c r="ACD119" s="56"/>
      <c r="ACE119" s="56"/>
      <c r="ACF119" s="56"/>
      <c r="ACG119" s="56"/>
      <c r="ACH119" s="56"/>
      <c r="ACI119" s="56"/>
      <c r="ACJ119" s="56"/>
      <c r="ACK119" s="56"/>
      <c r="ACL119" s="56"/>
      <c r="ACM119" s="56"/>
      <c r="ACN119" s="56"/>
      <c r="ACO119" s="56"/>
      <c r="ACP119" s="56"/>
      <c r="ACQ119" s="56"/>
      <c r="ACR119" s="56"/>
      <c r="ACS119" s="56"/>
      <c r="ACT119" s="56"/>
      <c r="ACU119" s="56"/>
      <c r="ACV119" s="56"/>
      <c r="ACW119" s="56"/>
      <c r="ACX119" s="56"/>
      <c r="ACY119" s="56"/>
      <c r="ACZ119" s="56"/>
      <c r="ADA119" s="56"/>
      <c r="ADB119" s="56"/>
      <c r="ADC119" s="56"/>
      <c r="ADD119" s="56"/>
      <c r="ADE119" s="56"/>
      <c r="ADF119" s="56"/>
      <c r="ADG119" s="56"/>
      <c r="ADH119" s="56"/>
      <c r="ADI119" s="56"/>
      <c r="ADJ119" s="56"/>
      <c r="ADK119" s="56"/>
      <c r="ADL119" s="56"/>
      <c r="ADM119" s="56"/>
      <c r="ADN119" s="56"/>
      <c r="ADO119" s="56"/>
      <c r="ADP119" s="56"/>
      <c r="ADQ119" s="56"/>
      <c r="ADR119" s="56"/>
      <c r="ADS119" s="56"/>
      <c r="ADT119" s="56"/>
      <c r="ADU119" s="56"/>
      <c r="ADV119" s="56"/>
      <c r="ADW119" s="56"/>
      <c r="ADX119" s="56"/>
      <c r="ADY119" s="56"/>
      <c r="ADZ119" s="56"/>
      <c r="AEA119" s="56"/>
      <c r="AEB119" s="56"/>
      <c r="AEC119" s="56"/>
      <c r="AED119" s="56"/>
      <c r="AEE119" s="56"/>
      <c r="AEF119" s="56"/>
      <c r="AEG119" s="56"/>
      <c r="AEH119" s="56"/>
      <c r="AEI119" s="56"/>
      <c r="AEJ119" s="56"/>
      <c r="AEK119" s="56"/>
      <c r="AEL119" s="56"/>
      <c r="AEM119" s="56"/>
      <c r="AEN119" s="56"/>
      <c r="AEO119" s="56"/>
      <c r="AEP119" s="56"/>
      <c r="AEQ119" s="56"/>
      <c r="AER119" s="56"/>
      <c r="AES119" s="56"/>
      <c r="AET119" s="56"/>
      <c r="AEU119" s="56"/>
      <c r="AEV119" s="56"/>
      <c r="AEW119" s="56"/>
      <c r="AEX119" s="56"/>
      <c r="AEY119" s="56"/>
      <c r="AEZ119" s="56"/>
      <c r="AFA119" s="56"/>
      <c r="AFB119" s="56"/>
      <c r="AFC119" s="56"/>
      <c r="AFD119" s="56"/>
      <c r="AFE119" s="56"/>
      <c r="AFF119" s="56"/>
      <c r="AFG119" s="56"/>
      <c r="AFH119" s="56"/>
      <c r="AFI119" s="56"/>
      <c r="AFJ119" s="56"/>
      <c r="AFK119" s="56"/>
      <c r="AFL119" s="56"/>
      <c r="AFM119" s="56"/>
      <c r="AFN119" s="56"/>
      <c r="AFO119" s="56"/>
      <c r="AFP119" s="56"/>
      <c r="AFQ119" s="56"/>
      <c r="AFR119" s="56"/>
      <c r="AFS119" s="56"/>
      <c r="AFT119" s="56"/>
      <c r="AFU119" s="56"/>
      <c r="AFV119" s="56"/>
      <c r="AFW119" s="56"/>
      <c r="AFX119" s="56"/>
      <c r="AFY119" s="56"/>
      <c r="AFZ119" s="56"/>
      <c r="AGA119" s="56"/>
      <c r="AGB119" s="56"/>
      <c r="AGC119" s="56"/>
      <c r="AGD119" s="56"/>
      <c r="AGE119" s="56"/>
      <c r="AGF119" s="56"/>
      <c r="AGG119" s="56"/>
      <c r="AGH119" s="56"/>
      <c r="AGI119" s="56"/>
      <c r="AGJ119" s="56"/>
      <c r="AGK119" s="56"/>
      <c r="AGL119" s="56"/>
      <c r="AGM119" s="56"/>
      <c r="AGN119" s="56"/>
      <c r="AGO119" s="56"/>
      <c r="AGP119" s="56"/>
      <c r="AGQ119" s="56"/>
      <c r="AGR119" s="56"/>
      <c r="AGS119" s="56"/>
      <c r="AGT119" s="56"/>
      <c r="AGU119" s="56"/>
      <c r="AGV119" s="56"/>
      <c r="AGW119" s="56"/>
      <c r="AGX119" s="56"/>
      <c r="AGY119" s="56"/>
      <c r="AGZ119" s="56"/>
      <c r="AHA119" s="56"/>
      <c r="AHB119" s="56"/>
      <c r="AHC119" s="56"/>
      <c r="AHD119" s="56"/>
      <c r="AHE119" s="56"/>
      <c r="AHF119" s="56"/>
      <c r="AHG119" s="56"/>
      <c r="AHH119" s="56"/>
      <c r="AHI119" s="56"/>
      <c r="AHJ119" s="56"/>
      <c r="AHK119" s="56"/>
      <c r="AHL119" s="56"/>
      <c r="AHM119" s="56"/>
      <c r="AHN119" s="56"/>
      <c r="AHO119" s="56"/>
      <c r="AHP119" s="56"/>
      <c r="AHQ119" s="56"/>
      <c r="AHR119" s="56"/>
      <c r="AHS119" s="56"/>
      <c r="AHT119" s="56"/>
      <c r="AHU119" s="56"/>
      <c r="AHV119" s="56"/>
      <c r="AHW119" s="56"/>
      <c r="AHX119" s="56"/>
      <c r="AHY119" s="56"/>
      <c r="AHZ119" s="56"/>
      <c r="AIA119" s="56"/>
      <c r="AIB119" s="56"/>
      <c r="AIC119" s="56"/>
      <c r="AID119" s="56"/>
      <c r="AIE119" s="56"/>
      <c r="AIF119" s="56"/>
      <c r="AIG119" s="56"/>
      <c r="AIH119" s="56"/>
      <c r="AII119" s="56"/>
      <c r="AIJ119" s="56"/>
      <c r="AIK119" s="56"/>
      <c r="AIL119" s="56"/>
      <c r="AIM119" s="56"/>
      <c r="AIN119" s="56"/>
      <c r="AIO119" s="56"/>
      <c r="AIP119" s="56"/>
      <c r="AIQ119" s="56"/>
      <c r="AIR119" s="56"/>
      <c r="AIS119" s="56"/>
      <c r="AIT119" s="56"/>
      <c r="AIU119" s="56"/>
      <c r="AIV119" s="56"/>
      <c r="AIW119" s="56"/>
      <c r="AIX119" s="56"/>
      <c r="AIY119" s="56"/>
      <c r="AIZ119" s="56"/>
      <c r="AJA119" s="56"/>
      <c r="AJB119" s="56"/>
      <c r="AJC119" s="56"/>
      <c r="AJD119" s="56"/>
      <c r="AJE119" s="56"/>
      <c r="AJF119" s="56"/>
      <c r="AJG119" s="56"/>
      <c r="AJH119" s="56"/>
      <c r="AJI119" s="56"/>
      <c r="AJJ119" s="56"/>
      <c r="AJK119" s="56"/>
      <c r="AJL119" s="56"/>
      <c r="AJM119" s="56"/>
      <c r="AJN119" s="56"/>
      <c r="AJO119" s="56"/>
      <c r="AJP119" s="56"/>
      <c r="AJQ119" s="56"/>
      <c r="AJR119" s="56"/>
      <c r="AJS119" s="56"/>
      <c r="AJT119" s="56"/>
      <c r="AJU119" s="56"/>
      <c r="AJV119" s="56"/>
      <c r="AJW119" s="56"/>
      <c r="AJX119" s="56"/>
      <c r="AJY119" s="56"/>
      <c r="AJZ119" s="56"/>
      <c r="AKA119" s="56"/>
      <c r="AKB119" s="56"/>
      <c r="AKC119" s="56"/>
      <c r="AKD119" s="56"/>
      <c r="AKE119" s="56"/>
      <c r="AKF119" s="56"/>
      <c r="AKG119" s="56"/>
      <c r="AKH119" s="56"/>
      <c r="AKI119" s="56"/>
      <c r="AKJ119" s="56"/>
      <c r="AKK119" s="56"/>
      <c r="AKL119" s="56"/>
      <c r="AKM119" s="56"/>
      <c r="AKN119" s="56"/>
      <c r="AKO119" s="56"/>
      <c r="AKP119" s="56"/>
      <c r="AKQ119" s="56"/>
      <c r="AKR119" s="56"/>
      <c r="AKS119" s="56"/>
      <c r="AKT119" s="56"/>
      <c r="AKU119" s="56"/>
      <c r="AKV119" s="56"/>
      <c r="AKW119" s="56"/>
      <c r="AKX119" s="56"/>
      <c r="AKY119" s="56"/>
      <c r="AKZ119" s="56"/>
      <c r="ALA119" s="56"/>
      <c r="ALB119" s="56"/>
      <c r="ALC119" s="56"/>
      <c r="ALD119" s="56"/>
      <c r="ALE119" s="56"/>
      <c r="ALF119" s="56"/>
      <c r="ALG119" s="56"/>
      <c r="ALH119" s="56"/>
      <c r="ALI119" s="56"/>
      <c r="ALJ119" s="56"/>
      <c r="ALK119" s="56"/>
      <c r="ALL119" s="56"/>
      <c r="ALM119" s="56"/>
      <c r="ALN119" s="56"/>
      <c r="ALO119" s="56"/>
      <c r="ALP119" s="56"/>
      <c r="ALQ119" s="56"/>
      <c r="ALR119" s="56"/>
      <c r="ALS119" s="56"/>
      <c r="ALT119" s="56"/>
      <c r="ALU119" s="56"/>
      <c r="ALV119" s="56"/>
      <c r="ALW119" s="56"/>
      <c r="ALX119" s="56"/>
      <c r="ALY119" s="56"/>
      <c r="ALZ119" s="56"/>
      <c r="AMA119" s="56"/>
      <c r="AMB119" s="56"/>
      <c r="AMC119" s="56"/>
      <c r="AMD119" s="56"/>
      <c r="AME119" s="56"/>
      <c r="AMF119" s="56"/>
      <c r="AMG119" s="56"/>
      <c r="AMH119" s="56"/>
      <c r="AMI119" s="56"/>
      <c r="AMJ119" s="56"/>
    </row>
    <row r="120" spans="12:1024" ht="15.95" customHeight="1" x14ac:dyDescent="0.2">
      <c r="L120" s="56"/>
      <c r="M120" s="57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6"/>
      <c r="CV120" s="56"/>
      <c r="CW120" s="56"/>
      <c r="CX120" s="56"/>
      <c r="CY120" s="56"/>
      <c r="CZ120" s="56"/>
      <c r="DA120" s="56"/>
      <c r="DB120" s="56"/>
      <c r="DC120" s="56"/>
      <c r="DD120" s="56"/>
      <c r="DE120" s="56"/>
      <c r="DF120" s="56"/>
      <c r="DG120" s="56"/>
      <c r="DH120" s="56"/>
      <c r="DI120" s="56"/>
      <c r="DJ120" s="56"/>
      <c r="DK120" s="56"/>
      <c r="DL120" s="56"/>
      <c r="DM120" s="56"/>
      <c r="DN120" s="56"/>
      <c r="DO120" s="56"/>
      <c r="DP120" s="56"/>
      <c r="DQ120" s="56"/>
      <c r="DR120" s="56"/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  <c r="EG120" s="56"/>
      <c r="EH120" s="56"/>
      <c r="EI120" s="56"/>
      <c r="EJ120" s="56"/>
      <c r="EK120" s="56"/>
      <c r="EL120" s="56"/>
      <c r="EM120" s="56"/>
      <c r="EN120" s="56"/>
      <c r="EO120" s="56"/>
      <c r="EP120" s="56"/>
      <c r="EQ120" s="56"/>
      <c r="ER120" s="56"/>
      <c r="ES120" s="56"/>
      <c r="ET120" s="56"/>
      <c r="EU120" s="56"/>
      <c r="EV120" s="56"/>
      <c r="EW120" s="56"/>
      <c r="EX120" s="56"/>
      <c r="EY120" s="56"/>
      <c r="EZ120" s="56"/>
      <c r="FA120" s="56"/>
      <c r="FB120" s="56"/>
      <c r="FC120" s="56"/>
      <c r="FD120" s="56"/>
      <c r="FE120" s="56"/>
      <c r="FF120" s="56"/>
      <c r="FG120" s="56"/>
      <c r="FH120" s="56"/>
      <c r="FI120" s="56"/>
      <c r="FJ120" s="56"/>
      <c r="FK120" s="56"/>
      <c r="FL120" s="56"/>
      <c r="FM120" s="56"/>
      <c r="FN120" s="56"/>
      <c r="FO120" s="56"/>
      <c r="FP120" s="56"/>
      <c r="FQ120" s="56"/>
      <c r="FR120" s="56"/>
      <c r="FS120" s="56"/>
      <c r="FT120" s="56"/>
      <c r="FU120" s="56"/>
      <c r="FV120" s="56"/>
      <c r="FW120" s="56"/>
      <c r="FX120" s="56"/>
      <c r="FY120" s="56"/>
      <c r="FZ120" s="56"/>
      <c r="GA120" s="56"/>
      <c r="GB120" s="56"/>
      <c r="GC120" s="56"/>
      <c r="GD120" s="56"/>
      <c r="GE120" s="56"/>
      <c r="GF120" s="56"/>
      <c r="GG120" s="56"/>
      <c r="GH120" s="56"/>
      <c r="GI120" s="56"/>
      <c r="GJ120" s="56"/>
      <c r="GK120" s="56"/>
      <c r="GL120" s="56"/>
      <c r="GM120" s="56"/>
      <c r="GN120" s="56"/>
      <c r="GO120" s="56"/>
      <c r="GP120" s="56"/>
      <c r="GQ120" s="56"/>
      <c r="GR120" s="56"/>
      <c r="GS120" s="56"/>
      <c r="GT120" s="56"/>
      <c r="GU120" s="56"/>
      <c r="GV120" s="56"/>
      <c r="GW120" s="56"/>
      <c r="GX120" s="56"/>
      <c r="GY120" s="56"/>
      <c r="GZ120" s="56"/>
      <c r="HA120" s="56"/>
      <c r="HB120" s="56"/>
      <c r="HC120" s="56"/>
      <c r="HD120" s="56"/>
      <c r="HE120" s="56"/>
      <c r="HF120" s="56"/>
      <c r="HG120" s="56"/>
      <c r="HH120" s="56"/>
      <c r="HI120" s="56"/>
      <c r="HJ120" s="56"/>
      <c r="HK120" s="56"/>
      <c r="HL120" s="56"/>
      <c r="HM120" s="56"/>
      <c r="HN120" s="56"/>
      <c r="HO120" s="56"/>
      <c r="HP120" s="56"/>
      <c r="HQ120" s="56"/>
      <c r="HR120" s="56"/>
      <c r="HS120" s="56"/>
      <c r="HT120" s="56"/>
      <c r="HU120" s="56"/>
      <c r="HV120" s="56"/>
      <c r="HW120" s="56"/>
      <c r="HX120" s="56"/>
      <c r="HY120" s="56"/>
      <c r="HZ120" s="56"/>
      <c r="IA120" s="56"/>
      <c r="IB120" s="56"/>
      <c r="IC120" s="56"/>
      <c r="ID120" s="56"/>
      <c r="IE120" s="56"/>
      <c r="IF120" s="56"/>
      <c r="IG120" s="56"/>
      <c r="IH120" s="56"/>
      <c r="II120" s="56"/>
      <c r="IJ120" s="56"/>
      <c r="IK120" s="56"/>
      <c r="IL120" s="56"/>
      <c r="IM120" s="56"/>
      <c r="IN120" s="56"/>
      <c r="IO120" s="56"/>
      <c r="IP120" s="56"/>
      <c r="IQ120" s="56"/>
      <c r="IR120" s="56"/>
      <c r="IS120" s="56"/>
      <c r="IT120" s="56"/>
      <c r="IU120" s="56"/>
      <c r="IV120" s="56"/>
      <c r="IW120" s="56"/>
      <c r="IX120" s="56"/>
      <c r="IY120" s="56"/>
      <c r="IZ120" s="56"/>
      <c r="JA120" s="56"/>
      <c r="JB120" s="56"/>
      <c r="JC120" s="56"/>
      <c r="JD120" s="56"/>
      <c r="JE120" s="56"/>
      <c r="JF120" s="56"/>
      <c r="JG120" s="56"/>
      <c r="JH120" s="56"/>
      <c r="JI120" s="56"/>
      <c r="JJ120" s="56"/>
      <c r="JK120" s="56"/>
      <c r="JL120" s="56"/>
      <c r="JM120" s="56"/>
      <c r="JN120" s="56"/>
      <c r="JO120" s="56"/>
      <c r="JP120" s="56"/>
      <c r="JQ120" s="56"/>
      <c r="JR120" s="56"/>
      <c r="JS120" s="56"/>
      <c r="JT120" s="56"/>
      <c r="JU120" s="56"/>
      <c r="JV120" s="56"/>
      <c r="JW120" s="56"/>
      <c r="JX120" s="56"/>
      <c r="JY120" s="56"/>
      <c r="JZ120" s="56"/>
      <c r="KA120" s="56"/>
      <c r="KB120" s="56"/>
      <c r="KC120" s="56"/>
      <c r="KD120" s="56"/>
      <c r="KE120" s="56"/>
      <c r="KF120" s="56"/>
      <c r="KG120" s="56"/>
      <c r="KH120" s="56"/>
      <c r="KI120" s="56"/>
      <c r="KJ120" s="56"/>
      <c r="KK120" s="56"/>
      <c r="KL120" s="56"/>
      <c r="KM120" s="56"/>
      <c r="KN120" s="56"/>
      <c r="KO120" s="56"/>
      <c r="KP120" s="56"/>
      <c r="KQ120" s="56"/>
      <c r="KR120" s="56"/>
      <c r="KS120" s="56"/>
      <c r="KT120" s="56"/>
      <c r="KU120" s="56"/>
      <c r="KV120" s="56"/>
      <c r="KW120" s="56"/>
      <c r="KX120" s="56"/>
      <c r="KY120" s="56"/>
      <c r="KZ120" s="56"/>
      <c r="LA120" s="56"/>
      <c r="LB120" s="56"/>
      <c r="LC120" s="56"/>
      <c r="LD120" s="56"/>
      <c r="LE120" s="56"/>
      <c r="LF120" s="56"/>
      <c r="LG120" s="56"/>
      <c r="LH120" s="56"/>
      <c r="LI120" s="56"/>
      <c r="LJ120" s="56"/>
      <c r="LK120" s="56"/>
      <c r="LL120" s="56"/>
      <c r="LM120" s="56"/>
      <c r="LN120" s="56"/>
      <c r="LO120" s="56"/>
      <c r="LP120" s="56"/>
      <c r="LQ120" s="56"/>
      <c r="LR120" s="56"/>
      <c r="LS120" s="56"/>
      <c r="LT120" s="56"/>
      <c r="LU120" s="56"/>
      <c r="LV120" s="56"/>
      <c r="LW120" s="56"/>
      <c r="LX120" s="56"/>
      <c r="LY120" s="56"/>
      <c r="LZ120" s="56"/>
      <c r="MA120" s="56"/>
      <c r="MB120" s="56"/>
      <c r="MC120" s="56"/>
      <c r="MD120" s="56"/>
      <c r="ME120" s="56"/>
      <c r="MF120" s="56"/>
      <c r="MG120" s="56"/>
      <c r="MH120" s="56"/>
      <c r="MI120" s="56"/>
      <c r="MJ120" s="56"/>
      <c r="MK120" s="56"/>
      <c r="ML120" s="56"/>
      <c r="MM120" s="56"/>
      <c r="MN120" s="56"/>
      <c r="MO120" s="56"/>
      <c r="MP120" s="56"/>
      <c r="MQ120" s="56"/>
      <c r="MR120" s="56"/>
      <c r="MS120" s="56"/>
      <c r="MT120" s="56"/>
      <c r="MU120" s="56"/>
      <c r="MV120" s="56"/>
      <c r="MW120" s="56"/>
      <c r="MX120" s="56"/>
      <c r="MY120" s="56"/>
      <c r="MZ120" s="56"/>
      <c r="NA120" s="56"/>
      <c r="NB120" s="56"/>
      <c r="NC120" s="56"/>
      <c r="ND120" s="56"/>
      <c r="NE120" s="56"/>
      <c r="NF120" s="56"/>
      <c r="NG120" s="56"/>
      <c r="NH120" s="56"/>
      <c r="NI120" s="56"/>
      <c r="NJ120" s="56"/>
      <c r="NK120" s="56"/>
      <c r="NL120" s="56"/>
      <c r="NM120" s="56"/>
      <c r="NN120" s="56"/>
      <c r="NO120" s="56"/>
      <c r="NP120" s="56"/>
      <c r="NQ120" s="56"/>
      <c r="NR120" s="56"/>
      <c r="NS120" s="56"/>
      <c r="NT120" s="56"/>
      <c r="NU120" s="56"/>
      <c r="NV120" s="56"/>
      <c r="NW120" s="56"/>
      <c r="NX120" s="56"/>
      <c r="NY120" s="56"/>
      <c r="NZ120" s="56"/>
      <c r="OA120" s="56"/>
      <c r="OB120" s="56"/>
      <c r="OC120" s="56"/>
      <c r="OD120" s="56"/>
      <c r="OE120" s="56"/>
      <c r="OF120" s="56"/>
      <c r="OG120" s="56"/>
      <c r="OH120" s="56"/>
      <c r="OI120" s="56"/>
      <c r="OJ120" s="56"/>
      <c r="OK120" s="56"/>
      <c r="OL120" s="56"/>
      <c r="OM120" s="56"/>
      <c r="ON120" s="56"/>
      <c r="OO120" s="56"/>
      <c r="OP120" s="56"/>
      <c r="OQ120" s="56"/>
      <c r="OR120" s="56"/>
      <c r="OS120" s="56"/>
      <c r="OT120" s="56"/>
      <c r="OU120" s="56"/>
      <c r="OV120" s="56"/>
      <c r="OW120" s="56"/>
      <c r="OX120" s="56"/>
      <c r="OY120" s="56"/>
      <c r="OZ120" s="56"/>
      <c r="PA120" s="56"/>
      <c r="PB120" s="56"/>
      <c r="PC120" s="56"/>
      <c r="PD120" s="56"/>
      <c r="PE120" s="56"/>
      <c r="PF120" s="56"/>
      <c r="PG120" s="56"/>
      <c r="PH120" s="56"/>
      <c r="PI120" s="56"/>
      <c r="PJ120" s="56"/>
      <c r="PK120" s="56"/>
      <c r="PL120" s="56"/>
      <c r="PM120" s="56"/>
      <c r="PN120" s="56"/>
      <c r="PO120" s="56"/>
      <c r="PP120" s="56"/>
      <c r="PQ120" s="56"/>
      <c r="PR120" s="56"/>
      <c r="PS120" s="56"/>
      <c r="PT120" s="56"/>
      <c r="PU120" s="56"/>
      <c r="PV120" s="56"/>
      <c r="PW120" s="56"/>
      <c r="PX120" s="56"/>
      <c r="PY120" s="56"/>
      <c r="PZ120" s="56"/>
      <c r="QA120" s="56"/>
      <c r="QB120" s="56"/>
      <c r="QC120" s="56"/>
      <c r="QD120" s="56"/>
      <c r="QE120" s="56"/>
      <c r="QF120" s="56"/>
      <c r="QG120" s="56"/>
      <c r="QH120" s="56"/>
      <c r="QI120" s="56"/>
      <c r="QJ120" s="56"/>
      <c r="QK120" s="56"/>
      <c r="QL120" s="56"/>
      <c r="QM120" s="56"/>
      <c r="QN120" s="56"/>
      <c r="QO120" s="56"/>
      <c r="QP120" s="56"/>
      <c r="QQ120" s="56"/>
      <c r="QR120" s="56"/>
      <c r="QS120" s="56"/>
      <c r="QT120" s="56"/>
      <c r="QU120" s="56"/>
      <c r="QV120" s="56"/>
      <c r="QW120" s="56"/>
      <c r="QX120" s="56"/>
      <c r="QY120" s="56"/>
      <c r="QZ120" s="56"/>
      <c r="RA120" s="56"/>
      <c r="RB120" s="56"/>
      <c r="RC120" s="56"/>
      <c r="RD120" s="56"/>
      <c r="RE120" s="56"/>
      <c r="RF120" s="56"/>
      <c r="RG120" s="56"/>
      <c r="RH120" s="56"/>
      <c r="RI120" s="56"/>
      <c r="RJ120" s="56"/>
      <c r="RK120" s="56"/>
      <c r="RL120" s="56"/>
      <c r="RM120" s="56"/>
      <c r="RN120" s="56"/>
      <c r="RO120" s="56"/>
      <c r="RP120" s="56"/>
      <c r="RQ120" s="56"/>
      <c r="RR120" s="56"/>
      <c r="RS120" s="56"/>
      <c r="RT120" s="56"/>
      <c r="RU120" s="56"/>
      <c r="RV120" s="56"/>
      <c r="RW120" s="56"/>
      <c r="RX120" s="56"/>
      <c r="RY120" s="56"/>
      <c r="RZ120" s="56"/>
      <c r="SA120" s="56"/>
      <c r="SB120" s="56"/>
      <c r="SC120" s="56"/>
      <c r="SD120" s="56"/>
      <c r="SE120" s="56"/>
      <c r="SF120" s="56"/>
      <c r="SG120" s="56"/>
      <c r="SH120" s="56"/>
      <c r="SI120" s="56"/>
      <c r="SJ120" s="56"/>
      <c r="SK120" s="56"/>
      <c r="SL120" s="56"/>
      <c r="SM120" s="56"/>
      <c r="SN120" s="56"/>
      <c r="SO120" s="56"/>
      <c r="SP120" s="56"/>
      <c r="SQ120" s="56"/>
      <c r="SR120" s="56"/>
      <c r="SS120" s="56"/>
      <c r="ST120" s="56"/>
      <c r="SU120" s="56"/>
      <c r="SV120" s="56"/>
      <c r="SW120" s="56"/>
      <c r="SX120" s="56"/>
      <c r="SY120" s="56"/>
      <c r="SZ120" s="56"/>
      <c r="TA120" s="56"/>
      <c r="TB120" s="56"/>
      <c r="TC120" s="56"/>
      <c r="TD120" s="56"/>
      <c r="TE120" s="56"/>
      <c r="TF120" s="56"/>
      <c r="TG120" s="56"/>
      <c r="TH120" s="56"/>
      <c r="TI120" s="56"/>
      <c r="TJ120" s="56"/>
      <c r="TK120" s="56"/>
      <c r="TL120" s="56"/>
      <c r="TM120" s="56"/>
      <c r="TN120" s="56"/>
      <c r="TO120" s="56"/>
      <c r="TP120" s="56"/>
      <c r="TQ120" s="56"/>
      <c r="TR120" s="56"/>
      <c r="TS120" s="56"/>
      <c r="TT120" s="56"/>
      <c r="TU120" s="56"/>
      <c r="TV120" s="56"/>
      <c r="TW120" s="56"/>
      <c r="TX120" s="56"/>
      <c r="TY120" s="56"/>
      <c r="TZ120" s="56"/>
      <c r="UA120" s="56"/>
      <c r="UB120" s="56"/>
      <c r="UC120" s="56"/>
      <c r="UD120" s="56"/>
      <c r="UE120" s="56"/>
      <c r="UF120" s="56"/>
      <c r="UG120" s="56"/>
      <c r="UH120" s="56"/>
      <c r="UI120" s="56"/>
      <c r="UJ120" s="56"/>
      <c r="UK120" s="56"/>
      <c r="UL120" s="56"/>
      <c r="UM120" s="56"/>
      <c r="UN120" s="56"/>
      <c r="UO120" s="56"/>
      <c r="UP120" s="56"/>
      <c r="UQ120" s="56"/>
      <c r="UR120" s="56"/>
      <c r="US120" s="56"/>
      <c r="UT120" s="56"/>
      <c r="UU120" s="56"/>
      <c r="UV120" s="56"/>
      <c r="UW120" s="56"/>
      <c r="UX120" s="56"/>
      <c r="UY120" s="56"/>
      <c r="UZ120" s="56"/>
      <c r="VA120" s="56"/>
      <c r="VB120" s="56"/>
      <c r="VC120" s="56"/>
      <c r="VD120" s="56"/>
      <c r="VE120" s="56"/>
      <c r="VF120" s="56"/>
      <c r="VG120" s="56"/>
      <c r="VH120" s="56"/>
      <c r="VI120" s="56"/>
      <c r="VJ120" s="56"/>
      <c r="VK120" s="56"/>
      <c r="VL120" s="56"/>
      <c r="VM120" s="56"/>
      <c r="VN120" s="56"/>
      <c r="VO120" s="56"/>
      <c r="VP120" s="56"/>
      <c r="VQ120" s="56"/>
      <c r="VR120" s="56"/>
      <c r="VS120" s="56"/>
      <c r="VT120" s="56"/>
      <c r="VU120" s="56"/>
      <c r="VV120" s="56"/>
      <c r="VW120" s="56"/>
      <c r="VX120" s="56"/>
      <c r="VY120" s="56"/>
      <c r="VZ120" s="56"/>
      <c r="WA120" s="56"/>
      <c r="WB120" s="56"/>
      <c r="WC120" s="56"/>
      <c r="WD120" s="56"/>
      <c r="WE120" s="56"/>
      <c r="WF120" s="56"/>
      <c r="WG120" s="56"/>
      <c r="WH120" s="56"/>
      <c r="WI120" s="56"/>
      <c r="WJ120" s="56"/>
      <c r="WK120" s="56"/>
      <c r="WL120" s="56"/>
      <c r="WM120" s="56"/>
      <c r="WN120" s="56"/>
      <c r="WO120" s="56"/>
      <c r="WP120" s="56"/>
      <c r="WQ120" s="56"/>
      <c r="WR120" s="56"/>
      <c r="WS120" s="56"/>
      <c r="WT120" s="56"/>
      <c r="WU120" s="56"/>
      <c r="WV120" s="56"/>
      <c r="WW120" s="56"/>
      <c r="WX120" s="56"/>
      <c r="WY120" s="56"/>
      <c r="WZ120" s="56"/>
      <c r="XA120" s="56"/>
      <c r="XB120" s="56"/>
      <c r="XC120" s="56"/>
      <c r="XD120" s="56"/>
      <c r="XE120" s="56"/>
      <c r="XF120" s="56"/>
      <c r="XG120" s="56"/>
      <c r="XH120" s="56"/>
      <c r="XI120" s="56"/>
      <c r="XJ120" s="56"/>
      <c r="XK120" s="56"/>
      <c r="XL120" s="56"/>
      <c r="XM120" s="56"/>
      <c r="XN120" s="56"/>
      <c r="XO120" s="56"/>
      <c r="XP120" s="56"/>
      <c r="XQ120" s="56"/>
      <c r="XR120" s="56"/>
      <c r="XS120" s="56"/>
      <c r="XT120" s="56"/>
      <c r="XU120" s="56"/>
      <c r="XV120" s="56"/>
      <c r="XW120" s="56"/>
      <c r="XX120" s="56"/>
      <c r="XY120" s="56"/>
      <c r="XZ120" s="56"/>
      <c r="YA120" s="56"/>
      <c r="YB120" s="56"/>
      <c r="YC120" s="56"/>
      <c r="YD120" s="56"/>
      <c r="YE120" s="56"/>
      <c r="YF120" s="56"/>
      <c r="YG120" s="56"/>
      <c r="YH120" s="56"/>
      <c r="YI120" s="56"/>
      <c r="YJ120" s="56"/>
      <c r="YK120" s="56"/>
      <c r="YL120" s="56"/>
      <c r="YM120" s="56"/>
      <c r="YN120" s="56"/>
      <c r="YO120" s="56"/>
      <c r="YP120" s="56"/>
      <c r="YQ120" s="56"/>
      <c r="YR120" s="56"/>
      <c r="YS120" s="56"/>
      <c r="YT120" s="56"/>
      <c r="YU120" s="56"/>
      <c r="YV120" s="56"/>
      <c r="YW120" s="56"/>
      <c r="YX120" s="56"/>
      <c r="YY120" s="56"/>
      <c r="YZ120" s="56"/>
      <c r="ZA120" s="56"/>
      <c r="ZB120" s="56"/>
      <c r="ZC120" s="56"/>
      <c r="ZD120" s="56"/>
      <c r="ZE120" s="56"/>
      <c r="ZF120" s="56"/>
      <c r="ZG120" s="56"/>
      <c r="ZH120" s="56"/>
      <c r="ZI120" s="56"/>
      <c r="ZJ120" s="56"/>
      <c r="ZK120" s="56"/>
      <c r="ZL120" s="56"/>
      <c r="ZM120" s="56"/>
      <c r="ZN120" s="56"/>
      <c r="ZO120" s="56"/>
      <c r="ZP120" s="56"/>
      <c r="ZQ120" s="56"/>
      <c r="ZR120" s="56"/>
      <c r="ZS120" s="56"/>
      <c r="ZT120" s="56"/>
      <c r="ZU120" s="56"/>
      <c r="ZV120" s="56"/>
      <c r="ZW120" s="56"/>
      <c r="ZX120" s="56"/>
      <c r="ZY120" s="56"/>
      <c r="ZZ120" s="56"/>
      <c r="AAA120" s="56"/>
      <c r="AAB120" s="56"/>
      <c r="AAC120" s="56"/>
      <c r="AAD120" s="56"/>
      <c r="AAE120" s="56"/>
      <c r="AAF120" s="56"/>
      <c r="AAG120" s="56"/>
      <c r="AAH120" s="56"/>
      <c r="AAI120" s="56"/>
      <c r="AAJ120" s="56"/>
      <c r="AAK120" s="56"/>
      <c r="AAL120" s="56"/>
      <c r="AAM120" s="56"/>
      <c r="AAN120" s="56"/>
      <c r="AAO120" s="56"/>
      <c r="AAP120" s="56"/>
      <c r="AAQ120" s="56"/>
      <c r="AAR120" s="56"/>
      <c r="AAS120" s="56"/>
      <c r="AAT120" s="56"/>
      <c r="AAU120" s="56"/>
      <c r="AAV120" s="56"/>
      <c r="AAW120" s="56"/>
      <c r="AAX120" s="56"/>
      <c r="AAY120" s="56"/>
      <c r="AAZ120" s="56"/>
      <c r="ABA120" s="56"/>
      <c r="ABB120" s="56"/>
      <c r="ABC120" s="56"/>
      <c r="ABD120" s="56"/>
      <c r="ABE120" s="56"/>
      <c r="ABF120" s="56"/>
      <c r="ABG120" s="56"/>
      <c r="ABH120" s="56"/>
      <c r="ABI120" s="56"/>
      <c r="ABJ120" s="56"/>
      <c r="ABK120" s="56"/>
      <c r="ABL120" s="56"/>
      <c r="ABM120" s="56"/>
      <c r="ABN120" s="56"/>
      <c r="ABO120" s="56"/>
      <c r="ABP120" s="56"/>
      <c r="ABQ120" s="56"/>
      <c r="ABR120" s="56"/>
      <c r="ABS120" s="56"/>
      <c r="ABT120" s="56"/>
      <c r="ABU120" s="56"/>
      <c r="ABV120" s="56"/>
      <c r="ABW120" s="56"/>
      <c r="ABX120" s="56"/>
      <c r="ABY120" s="56"/>
      <c r="ABZ120" s="56"/>
      <c r="ACA120" s="56"/>
      <c r="ACB120" s="56"/>
      <c r="ACC120" s="56"/>
      <c r="ACD120" s="56"/>
      <c r="ACE120" s="56"/>
      <c r="ACF120" s="56"/>
      <c r="ACG120" s="56"/>
      <c r="ACH120" s="56"/>
      <c r="ACI120" s="56"/>
      <c r="ACJ120" s="56"/>
      <c r="ACK120" s="56"/>
      <c r="ACL120" s="56"/>
      <c r="ACM120" s="56"/>
      <c r="ACN120" s="56"/>
      <c r="ACO120" s="56"/>
      <c r="ACP120" s="56"/>
      <c r="ACQ120" s="56"/>
      <c r="ACR120" s="56"/>
      <c r="ACS120" s="56"/>
      <c r="ACT120" s="56"/>
      <c r="ACU120" s="56"/>
      <c r="ACV120" s="56"/>
      <c r="ACW120" s="56"/>
      <c r="ACX120" s="56"/>
      <c r="ACY120" s="56"/>
      <c r="ACZ120" s="56"/>
      <c r="ADA120" s="56"/>
      <c r="ADB120" s="56"/>
      <c r="ADC120" s="56"/>
      <c r="ADD120" s="56"/>
      <c r="ADE120" s="56"/>
      <c r="ADF120" s="56"/>
      <c r="ADG120" s="56"/>
      <c r="ADH120" s="56"/>
      <c r="ADI120" s="56"/>
      <c r="ADJ120" s="56"/>
      <c r="ADK120" s="56"/>
      <c r="ADL120" s="56"/>
      <c r="ADM120" s="56"/>
      <c r="ADN120" s="56"/>
      <c r="ADO120" s="56"/>
      <c r="ADP120" s="56"/>
      <c r="ADQ120" s="56"/>
      <c r="ADR120" s="56"/>
      <c r="ADS120" s="56"/>
      <c r="ADT120" s="56"/>
      <c r="ADU120" s="56"/>
      <c r="ADV120" s="56"/>
      <c r="ADW120" s="56"/>
      <c r="ADX120" s="56"/>
      <c r="ADY120" s="56"/>
      <c r="ADZ120" s="56"/>
      <c r="AEA120" s="56"/>
      <c r="AEB120" s="56"/>
      <c r="AEC120" s="56"/>
      <c r="AED120" s="56"/>
      <c r="AEE120" s="56"/>
      <c r="AEF120" s="56"/>
      <c r="AEG120" s="56"/>
      <c r="AEH120" s="56"/>
      <c r="AEI120" s="56"/>
      <c r="AEJ120" s="56"/>
      <c r="AEK120" s="56"/>
      <c r="AEL120" s="56"/>
      <c r="AEM120" s="56"/>
      <c r="AEN120" s="56"/>
      <c r="AEO120" s="56"/>
      <c r="AEP120" s="56"/>
      <c r="AEQ120" s="56"/>
      <c r="AER120" s="56"/>
      <c r="AES120" s="56"/>
      <c r="AET120" s="56"/>
      <c r="AEU120" s="56"/>
      <c r="AEV120" s="56"/>
      <c r="AEW120" s="56"/>
      <c r="AEX120" s="56"/>
      <c r="AEY120" s="56"/>
      <c r="AEZ120" s="56"/>
      <c r="AFA120" s="56"/>
      <c r="AFB120" s="56"/>
      <c r="AFC120" s="56"/>
      <c r="AFD120" s="56"/>
      <c r="AFE120" s="56"/>
      <c r="AFF120" s="56"/>
      <c r="AFG120" s="56"/>
      <c r="AFH120" s="56"/>
      <c r="AFI120" s="56"/>
      <c r="AFJ120" s="56"/>
      <c r="AFK120" s="56"/>
      <c r="AFL120" s="56"/>
      <c r="AFM120" s="56"/>
      <c r="AFN120" s="56"/>
      <c r="AFO120" s="56"/>
      <c r="AFP120" s="56"/>
      <c r="AFQ120" s="56"/>
      <c r="AFR120" s="56"/>
      <c r="AFS120" s="56"/>
      <c r="AFT120" s="56"/>
      <c r="AFU120" s="56"/>
      <c r="AFV120" s="56"/>
      <c r="AFW120" s="56"/>
      <c r="AFX120" s="56"/>
      <c r="AFY120" s="56"/>
      <c r="AFZ120" s="56"/>
      <c r="AGA120" s="56"/>
      <c r="AGB120" s="56"/>
      <c r="AGC120" s="56"/>
      <c r="AGD120" s="56"/>
      <c r="AGE120" s="56"/>
      <c r="AGF120" s="56"/>
      <c r="AGG120" s="56"/>
      <c r="AGH120" s="56"/>
      <c r="AGI120" s="56"/>
      <c r="AGJ120" s="56"/>
      <c r="AGK120" s="56"/>
      <c r="AGL120" s="56"/>
      <c r="AGM120" s="56"/>
      <c r="AGN120" s="56"/>
      <c r="AGO120" s="56"/>
      <c r="AGP120" s="56"/>
      <c r="AGQ120" s="56"/>
      <c r="AGR120" s="56"/>
      <c r="AGS120" s="56"/>
      <c r="AGT120" s="56"/>
      <c r="AGU120" s="56"/>
      <c r="AGV120" s="56"/>
      <c r="AGW120" s="56"/>
      <c r="AGX120" s="56"/>
      <c r="AGY120" s="56"/>
      <c r="AGZ120" s="56"/>
      <c r="AHA120" s="56"/>
      <c r="AHB120" s="56"/>
      <c r="AHC120" s="56"/>
      <c r="AHD120" s="56"/>
      <c r="AHE120" s="56"/>
      <c r="AHF120" s="56"/>
      <c r="AHG120" s="56"/>
      <c r="AHH120" s="56"/>
      <c r="AHI120" s="56"/>
      <c r="AHJ120" s="56"/>
      <c r="AHK120" s="56"/>
      <c r="AHL120" s="56"/>
      <c r="AHM120" s="56"/>
      <c r="AHN120" s="56"/>
      <c r="AHO120" s="56"/>
      <c r="AHP120" s="56"/>
      <c r="AHQ120" s="56"/>
      <c r="AHR120" s="56"/>
      <c r="AHS120" s="56"/>
      <c r="AHT120" s="56"/>
      <c r="AHU120" s="56"/>
      <c r="AHV120" s="56"/>
      <c r="AHW120" s="56"/>
      <c r="AHX120" s="56"/>
      <c r="AHY120" s="56"/>
      <c r="AHZ120" s="56"/>
      <c r="AIA120" s="56"/>
      <c r="AIB120" s="56"/>
      <c r="AIC120" s="56"/>
      <c r="AID120" s="56"/>
      <c r="AIE120" s="56"/>
      <c r="AIF120" s="56"/>
      <c r="AIG120" s="56"/>
      <c r="AIH120" s="56"/>
      <c r="AII120" s="56"/>
      <c r="AIJ120" s="56"/>
      <c r="AIK120" s="56"/>
      <c r="AIL120" s="56"/>
      <c r="AIM120" s="56"/>
      <c r="AIN120" s="56"/>
      <c r="AIO120" s="56"/>
      <c r="AIP120" s="56"/>
      <c r="AIQ120" s="56"/>
      <c r="AIR120" s="56"/>
      <c r="AIS120" s="56"/>
      <c r="AIT120" s="56"/>
      <c r="AIU120" s="56"/>
      <c r="AIV120" s="56"/>
      <c r="AIW120" s="56"/>
      <c r="AIX120" s="56"/>
      <c r="AIY120" s="56"/>
      <c r="AIZ120" s="56"/>
      <c r="AJA120" s="56"/>
      <c r="AJB120" s="56"/>
      <c r="AJC120" s="56"/>
      <c r="AJD120" s="56"/>
      <c r="AJE120" s="56"/>
      <c r="AJF120" s="56"/>
      <c r="AJG120" s="56"/>
      <c r="AJH120" s="56"/>
      <c r="AJI120" s="56"/>
      <c r="AJJ120" s="56"/>
      <c r="AJK120" s="56"/>
      <c r="AJL120" s="56"/>
      <c r="AJM120" s="56"/>
      <c r="AJN120" s="56"/>
      <c r="AJO120" s="56"/>
      <c r="AJP120" s="56"/>
      <c r="AJQ120" s="56"/>
      <c r="AJR120" s="56"/>
      <c r="AJS120" s="56"/>
      <c r="AJT120" s="56"/>
      <c r="AJU120" s="56"/>
      <c r="AJV120" s="56"/>
      <c r="AJW120" s="56"/>
      <c r="AJX120" s="56"/>
      <c r="AJY120" s="56"/>
      <c r="AJZ120" s="56"/>
      <c r="AKA120" s="56"/>
      <c r="AKB120" s="56"/>
      <c r="AKC120" s="56"/>
      <c r="AKD120" s="56"/>
      <c r="AKE120" s="56"/>
      <c r="AKF120" s="56"/>
      <c r="AKG120" s="56"/>
      <c r="AKH120" s="56"/>
      <c r="AKI120" s="56"/>
      <c r="AKJ120" s="56"/>
      <c r="AKK120" s="56"/>
      <c r="AKL120" s="56"/>
      <c r="AKM120" s="56"/>
      <c r="AKN120" s="56"/>
      <c r="AKO120" s="56"/>
      <c r="AKP120" s="56"/>
      <c r="AKQ120" s="56"/>
      <c r="AKR120" s="56"/>
      <c r="AKS120" s="56"/>
      <c r="AKT120" s="56"/>
      <c r="AKU120" s="56"/>
      <c r="AKV120" s="56"/>
      <c r="AKW120" s="56"/>
      <c r="AKX120" s="56"/>
      <c r="AKY120" s="56"/>
      <c r="AKZ120" s="56"/>
      <c r="ALA120" s="56"/>
      <c r="ALB120" s="56"/>
      <c r="ALC120" s="56"/>
      <c r="ALD120" s="56"/>
      <c r="ALE120" s="56"/>
      <c r="ALF120" s="56"/>
      <c r="ALG120" s="56"/>
      <c r="ALH120" s="56"/>
      <c r="ALI120" s="56"/>
      <c r="ALJ120" s="56"/>
      <c r="ALK120" s="56"/>
      <c r="ALL120" s="56"/>
      <c r="ALM120" s="56"/>
      <c r="ALN120" s="56"/>
      <c r="ALO120" s="56"/>
      <c r="ALP120" s="56"/>
      <c r="ALQ120" s="56"/>
      <c r="ALR120" s="56"/>
      <c r="ALS120" s="56"/>
      <c r="ALT120" s="56"/>
      <c r="ALU120" s="56"/>
      <c r="ALV120" s="56"/>
      <c r="ALW120" s="56"/>
      <c r="ALX120" s="56"/>
      <c r="ALY120" s="56"/>
      <c r="ALZ120" s="56"/>
      <c r="AMA120" s="56"/>
      <c r="AMB120" s="56"/>
      <c r="AMC120" s="56"/>
      <c r="AMD120" s="56"/>
      <c r="AME120" s="56"/>
      <c r="AMF120" s="56"/>
      <c r="AMG120" s="56"/>
      <c r="AMH120" s="56"/>
      <c r="AMI120" s="56"/>
      <c r="AMJ120" s="56"/>
    </row>
    <row r="121" spans="12:1024" ht="15.95" customHeight="1" x14ac:dyDescent="0.2">
      <c r="L121" s="56"/>
      <c r="M121" s="57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6"/>
      <c r="BR121" s="56"/>
      <c r="BS121" s="56"/>
      <c r="BT121" s="56"/>
      <c r="BU121" s="56"/>
      <c r="BV121" s="56"/>
      <c r="BW121" s="56"/>
      <c r="BX121" s="56"/>
      <c r="BY121" s="56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  <c r="CJ121" s="56"/>
      <c r="CK121" s="56"/>
      <c r="CL121" s="56"/>
      <c r="CM121" s="56"/>
      <c r="CN121" s="56"/>
      <c r="CO121" s="56"/>
      <c r="CP121" s="56"/>
      <c r="CQ121" s="56"/>
      <c r="CR121" s="56"/>
      <c r="CS121" s="56"/>
      <c r="CT121" s="56"/>
      <c r="CU121" s="56"/>
      <c r="CV121" s="56"/>
      <c r="CW121" s="56"/>
      <c r="CX121" s="56"/>
      <c r="CY121" s="56"/>
      <c r="CZ121" s="56"/>
      <c r="DA121" s="56"/>
      <c r="DB121" s="56"/>
      <c r="DC121" s="56"/>
      <c r="DD121" s="56"/>
      <c r="DE121" s="56"/>
      <c r="DF121" s="56"/>
      <c r="DG121" s="56"/>
      <c r="DH121" s="56"/>
      <c r="DI121" s="56"/>
      <c r="DJ121" s="56"/>
      <c r="DK121" s="56"/>
      <c r="DL121" s="56"/>
      <c r="DM121" s="56"/>
      <c r="DN121" s="56"/>
      <c r="DO121" s="56"/>
      <c r="DP121" s="56"/>
      <c r="DQ121" s="56"/>
      <c r="DR121" s="56"/>
      <c r="DS121" s="56"/>
      <c r="DT121" s="56"/>
      <c r="DU121" s="56"/>
      <c r="DV121" s="56"/>
      <c r="DW121" s="56"/>
      <c r="DX121" s="56"/>
      <c r="DY121" s="56"/>
      <c r="DZ121" s="56"/>
      <c r="EA121" s="56"/>
      <c r="EB121" s="56"/>
      <c r="EC121" s="56"/>
      <c r="ED121" s="56"/>
      <c r="EE121" s="56"/>
      <c r="EF121" s="56"/>
      <c r="EG121" s="56"/>
      <c r="EH121" s="56"/>
      <c r="EI121" s="56"/>
      <c r="EJ121" s="56"/>
      <c r="EK121" s="56"/>
      <c r="EL121" s="56"/>
      <c r="EM121" s="56"/>
      <c r="EN121" s="56"/>
      <c r="EO121" s="56"/>
      <c r="EP121" s="56"/>
      <c r="EQ121" s="56"/>
      <c r="ER121" s="56"/>
      <c r="ES121" s="56"/>
      <c r="ET121" s="56"/>
      <c r="EU121" s="56"/>
      <c r="EV121" s="56"/>
      <c r="EW121" s="56"/>
      <c r="EX121" s="56"/>
      <c r="EY121" s="56"/>
      <c r="EZ121" s="56"/>
      <c r="FA121" s="56"/>
      <c r="FB121" s="56"/>
      <c r="FC121" s="56"/>
      <c r="FD121" s="56"/>
      <c r="FE121" s="56"/>
      <c r="FF121" s="56"/>
      <c r="FG121" s="56"/>
      <c r="FH121" s="56"/>
      <c r="FI121" s="56"/>
      <c r="FJ121" s="56"/>
      <c r="FK121" s="56"/>
      <c r="FL121" s="56"/>
      <c r="FM121" s="56"/>
      <c r="FN121" s="56"/>
      <c r="FO121" s="56"/>
      <c r="FP121" s="56"/>
      <c r="FQ121" s="56"/>
      <c r="FR121" s="56"/>
      <c r="FS121" s="56"/>
      <c r="FT121" s="56"/>
      <c r="FU121" s="56"/>
      <c r="FV121" s="56"/>
      <c r="FW121" s="56"/>
      <c r="FX121" s="56"/>
      <c r="FY121" s="56"/>
      <c r="FZ121" s="56"/>
      <c r="GA121" s="56"/>
      <c r="GB121" s="56"/>
      <c r="GC121" s="56"/>
      <c r="GD121" s="56"/>
      <c r="GE121" s="56"/>
      <c r="GF121" s="56"/>
      <c r="GG121" s="56"/>
      <c r="GH121" s="56"/>
      <c r="GI121" s="56"/>
      <c r="GJ121" s="56"/>
      <c r="GK121" s="56"/>
      <c r="GL121" s="56"/>
      <c r="GM121" s="56"/>
      <c r="GN121" s="56"/>
      <c r="GO121" s="56"/>
      <c r="GP121" s="56"/>
      <c r="GQ121" s="56"/>
      <c r="GR121" s="56"/>
      <c r="GS121" s="56"/>
      <c r="GT121" s="56"/>
      <c r="GU121" s="56"/>
      <c r="GV121" s="56"/>
      <c r="GW121" s="56"/>
      <c r="GX121" s="56"/>
      <c r="GY121" s="56"/>
      <c r="GZ121" s="56"/>
      <c r="HA121" s="56"/>
      <c r="HB121" s="56"/>
      <c r="HC121" s="56"/>
      <c r="HD121" s="56"/>
      <c r="HE121" s="56"/>
      <c r="HF121" s="56"/>
      <c r="HG121" s="56"/>
      <c r="HH121" s="56"/>
      <c r="HI121" s="56"/>
      <c r="HJ121" s="56"/>
      <c r="HK121" s="56"/>
      <c r="HL121" s="56"/>
      <c r="HM121" s="56"/>
      <c r="HN121" s="56"/>
      <c r="HO121" s="56"/>
      <c r="HP121" s="56"/>
      <c r="HQ121" s="56"/>
      <c r="HR121" s="56"/>
      <c r="HS121" s="56"/>
      <c r="HT121" s="56"/>
      <c r="HU121" s="56"/>
      <c r="HV121" s="56"/>
      <c r="HW121" s="56"/>
      <c r="HX121" s="56"/>
      <c r="HY121" s="56"/>
      <c r="HZ121" s="56"/>
      <c r="IA121" s="56"/>
      <c r="IB121" s="56"/>
      <c r="IC121" s="56"/>
      <c r="ID121" s="56"/>
      <c r="IE121" s="56"/>
      <c r="IF121" s="56"/>
      <c r="IG121" s="56"/>
      <c r="IH121" s="56"/>
      <c r="II121" s="56"/>
      <c r="IJ121" s="56"/>
      <c r="IK121" s="56"/>
      <c r="IL121" s="56"/>
      <c r="IM121" s="56"/>
      <c r="IN121" s="56"/>
      <c r="IO121" s="56"/>
      <c r="IP121" s="56"/>
      <c r="IQ121" s="56"/>
      <c r="IR121" s="56"/>
      <c r="IS121" s="56"/>
      <c r="IT121" s="56"/>
      <c r="IU121" s="56"/>
      <c r="IV121" s="56"/>
      <c r="IW121" s="56"/>
      <c r="IX121" s="56"/>
      <c r="IY121" s="56"/>
      <c r="IZ121" s="56"/>
      <c r="JA121" s="56"/>
      <c r="JB121" s="56"/>
      <c r="JC121" s="56"/>
      <c r="JD121" s="56"/>
      <c r="JE121" s="56"/>
      <c r="JF121" s="56"/>
      <c r="JG121" s="56"/>
      <c r="JH121" s="56"/>
      <c r="JI121" s="56"/>
      <c r="JJ121" s="56"/>
      <c r="JK121" s="56"/>
      <c r="JL121" s="56"/>
      <c r="JM121" s="56"/>
      <c r="JN121" s="56"/>
      <c r="JO121" s="56"/>
      <c r="JP121" s="56"/>
      <c r="JQ121" s="56"/>
      <c r="JR121" s="56"/>
      <c r="JS121" s="56"/>
      <c r="JT121" s="56"/>
      <c r="JU121" s="56"/>
      <c r="JV121" s="56"/>
      <c r="JW121" s="56"/>
      <c r="JX121" s="56"/>
      <c r="JY121" s="56"/>
      <c r="JZ121" s="56"/>
      <c r="KA121" s="56"/>
      <c r="KB121" s="56"/>
      <c r="KC121" s="56"/>
      <c r="KD121" s="56"/>
      <c r="KE121" s="56"/>
      <c r="KF121" s="56"/>
      <c r="KG121" s="56"/>
      <c r="KH121" s="56"/>
      <c r="KI121" s="56"/>
      <c r="KJ121" s="56"/>
      <c r="KK121" s="56"/>
      <c r="KL121" s="56"/>
      <c r="KM121" s="56"/>
      <c r="KN121" s="56"/>
      <c r="KO121" s="56"/>
      <c r="KP121" s="56"/>
      <c r="KQ121" s="56"/>
      <c r="KR121" s="56"/>
      <c r="KS121" s="56"/>
      <c r="KT121" s="56"/>
      <c r="KU121" s="56"/>
      <c r="KV121" s="56"/>
      <c r="KW121" s="56"/>
      <c r="KX121" s="56"/>
      <c r="KY121" s="56"/>
      <c r="KZ121" s="56"/>
      <c r="LA121" s="56"/>
      <c r="LB121" s="56"/>
      <c r="LC121" s="56"/>
      <c r="LD121" s="56"/>
      <c r="LE121" s="56"/>
      <c r="LF121" s="56"/>
      <c r="LG121" s="56"/>
      <c r="LH121" s="56"/>
      <c r="LI121" s="56"/>
      <c r="LJ121" s="56"/>
      <c r="LK121" s="56"/>
      <c r="LL121" s="56"/>
      <c r="LM121" s="56"/>
      <c r="LN121" s="56"/>
      <c r="LO121" s="56"/>
      <c r="LP121" s="56"/>
      <c r="LQ121" s="56"/>
      <c r="LR121" s="56"/>
      <c r="LS121" s="56"/>
      <c r="LT121" s="56"/>
      <c r="LU121" s="56"/>
      <c r="LV121" s="56"/>
      <c r="LW121" s="56"/>
      <c r="LX121" s="56"/>
      <c r="LY121" s="56"/>
      <c r="LZ121" s="56"/>
      <c r="MA121" s="56"/>
      <c r="MB121" s="56"/>
      <c r="MC121" s="56"/>
      <c r="MD121" s="56"/>
      <c r="ME121" s="56"/>
      <c r="MF121" s="56"/>
      <c r="MG121" s="56"/>
      <c r="MH121" s="56"/>
      <c r="MI121" s="56"/>
      <c r="MJ121" s="56"/>
      <c r="MK121" s="56"/>
      <c r="ML121" s="56"/>
      <c r="MM121" s="56"/>
      <c r="MN121" s="56"/>
      <c r="MO121" s="56"/>
      <c r="MP121" s="56"/>
      <c r="MQ121" s="56"/>
      <c r="MR121" s="56"/>
      <c r="MS121" s="56"/>
      <c r="MT121" s="56"/>
      <c r="MU121" s="56"/>
      <c r="MV121" s="56"/>
      <c r="MW121" s="56"/>
      <c r="MX121" s="56"/>
      <c r="MY121" s="56"/>
      <c r="MZ121" s="56"/>
      <c r="NA121" s="56"/>
      <c r="NB121" s="56"/>
      <c r="NC121" s="56"/>
      <c r="ND121" s="56"/>
      <c r="NE121" s="56"/>
      <c r="NF121" s="56"/>
      <c r="NG121" s="56"/>
      <c r="NH121" s="56"/>
      <c r="NI121" s="56"/>
      <c r="NJ121" s="56"/>
      <c r="NK121" s="56"/>
      <c r="NL121" s="56"/>
      <c r="NM121" s="56"/>
      <c r="NN121" s="56"/>
      <c r="NO121" s="56"/>
      <c r="NP121" s="56"/>
      <c r="NQ121" s="56"/>
      <c r="NR121" s="56"/>
      <c r="NS121" s="56"/>
      <c r="NT121" s="56"/>
      <c r="NU121" s="56"/>
      <c r="NV121" s="56"/>
      <c r="NW121" s="56"/>
      <c r="NX121" s="56"/>
      <c r="NY121" s="56"/>
      <c r="NZ121" s="56"/>
      <c r="OA121" s="56"/>
      <c r="OB121" s="56"/>
      <c r="OC121" s="56"/>
      <c r="OD121" s="56"/>
      <c r="OE121" s="56"/>
      <c r="OF121" s="56"/>
      <c r="OG121" s="56"/>
      <c r="OH121" s="56"/>
      <c r="OI121" s="56"/>
      <c r="OJ121" s="56"/>
      <c r="OK121" s="56"/>
      <c r="OL121" s="56"/>
      <c r="OM121" s="56"/>
      <c r="ON121" s="56"/>
      <c r="OO121" s="56"/>
      <c r="OP121" s="56"/>
      <c r="OQ121" s="56"/>
      <c r="OR121" s="56"/>
      <c r="OS121" s="56"/>
      <c r="OT121" s="56"/>
      <c r="OU121" s="56"/>
      <c r="OV121" s="56"/>
      <c r="OW121" s="56"/>
      <c r="OX121" s="56"/>
      <c r="OY121" s="56"/>
      <c r="OZ121" s="56"/>
      <c r="PA121" s="56"/>
      <c r="PB121" s="56"/>
      <c r="PC121" s="56"/>
      <c r="PD121" s="56"/>
      <c r="PE121" s="56"/>
      <c r="PF121" s="56"/>
      <c r="PG121" s="56"/>
      <c r="PH121" s="56"/>
      <c r="PI121" s="56"/>
      <c r="PJ121" s="56"/>
      <c r="PK121" s="56"/>
      <c r="PL121" s="56"/>
      <c r="PM121" s="56"/>
      <c r="PN121" s="56"/>
      <c r="PO121" s="56"/>
      <c r="PP121" s="56"/>
      <c r="PQ121" s="56"/>
      <c r="PR121" s="56"/>
      <c r="PS121" s="56"/>
      <c r="PT121" s="56"/>
      <c r="PU121" s="56"/>
      <c r="PV121" s="56"/>
      <c r="PW121" s="56"/>
      <c r="PX121" s="56"/>
      <c r="PY121" s="56"/>
      <c r="PZ121" s="56"/>
      <c r="QA121" s="56"/>
      <c r="QB121" s="56"/>
      <c r="QC121" s="56"/>
      <c r="QD121" s="56"/>
      <c r="QE121" s="56"/>
      <c r="QF121" s="56"/>
      <c r="QG121" s="56"/>
      <c r="QH121" s="56"/>
      <c r="QI121" s="56"/>
      <c r="QJ121" s="56"/>
      <c r="QK121" s="56"/>
      <c r="QL121" s="56"/>
      <c r="QM121" s="56"/>
      <c r="QN121" s="56"/>
      <c r="QO121" s="56"/>
      <c r="QP121" s="56"/>
      <c r="QQ121" s="56"/>
      <c r="QR121" s="56"/>
      <c r="QS121" s="56"/>
      <c r="QT121" s="56"/>
      <c r="QU121" s="56"/>
      <c r="QV121" s="56"/>
      <c r="QW121" s="56"/>
      <c r="QX121" s="56"/>
      <c r="QY121" s="56"/>
      <c r="QZ121" s="56"/>
      <c r="RA121" s="56"/>
      <c r="RB121" s="56"/>
      <c r="RC121" s="56"/>
      <c r="RD121" s="56"/>
      <c r="RE121" s="56"/>
      <c r="RF121" s="56"/>
      <c r="RG121" s="56"/>
      <c r="RH121" s="56"/>
      <c r="RI121" s="56"/>
      <c r="RJ121" s="56"/>
      <c r="RK121" s="56"/>
      <c r="RL121" s="56"/>
      <c r="RM121" s="56"/>
      <c r="RN121" s="56"/>
      <c r="RO121" s="56"/>
      <c r="RP121" s="56"/>
      <c r="RQ121" s="56"/>
      <c r="RR121" s="56"/>
      <c r="RS121" s="56"/>
      <c r="RT121" s="56"/>
      <c r="RU121" s="56"/>
      <c r="RV121" s="56"/>
      <c r="RW121" s="56"/>
      <c r="RX121" s="56"/>
      <c r="RY121" s="56"/>
      <c r="RZ121" s="56"/>
      <c r="SA121" s="56"/>
      <c r="SB121" s="56"/>
      <c r="SC121" s="56"/>
      <c r="SD121" s="56"/>
      <c r="SE121" s="56"/>
      <c r="SF121" s="56"/>
      <c r="SG121" s="56"/>
      <c r="SH121" s="56"/>
      <c r="SI121" s="56"/>
      <c r="SJ121" s="56"/>
      <c r="SK121" s="56"/>
      <c r="SL121" s="56"/>
      <c r="SM121" s="56"/>
      <c r="SN121" s="56"/>
      <c r="SO121" s="56"/>
      <c r="SP121" s="56"/>
      <c r="SQ121" s="56"/>
      <c r="SR121" s="56"/>
      <c r="SS121" s="56"/>
      <c r="ST121" s="56"/>
      <c r="SU121" s="56"/>
      <c r="SV121" s="56"/>
      <c r="SW121" s="56"/>
      <c r="SX121" s="56"/>
      <c r="SY121" s="56"/>
      <c r="SZ121" s="56"/>
      <c r="TA121" s="56"/>
      <c r="TB121" s="56"/>
      <c r="TC121" s="56"/>
      <c r="TD121" s="56"/>
      <c r="TE121" s="56"/>
      <c r="TF121" s="56"/>
      <c r="TG121" s="56"/>
      <c r="TH121" s="56"/>
      <c r="TI121" s="56"/>
      <c r="TJ121" s="56"/>
      <c r="TK121" s="56"/>
      <c r="TL121" s="56"/>
      <c r="TM121" s="56"/>
      <c r="TN121" s="56"/>
      <c r="TO121" s="56"/>
      <c r="TP121" s="56"/>
      <c r="TQ121" s="56"/>
      <c r="TR121" s="56"/>
      <c r="TS121" s="56"/>
      <c r="TT121" s="56"/>
      <c r="TU121" s="56"/>
      <c r="TV121" s="56"/>
      <c r="TW121" s="56"/>
      <c r="TX121" s="56"/>
      <c r="TY121" s="56"/>
      <c r="TZ121" s="56"/>
      <c r="UA121" s="56"/>
      <c r="UB121" s="56"/>
      <c r="UC121" s="56"/>
      <c r="UD121" s="56"/>
      <c r="UE121" s="56"/>
      <c r="UF121" s="56"/>
      <c r="UG121" s="56"/>
      <c r="UH121" s="56"/>
      <c r="UI121" s="56"/>
      <c r="UJ121" s="56"/>
      <c r="UK121" s="56"/>
      <c r="UL121" s="56"/>
      <c r="UM121" s="56"/>
      <c r="UN121" s="56"/>
      <c r="UO121" s="56"/>
      <c r="UP121" s="56"/>
      <c r="UQ121" s="56"/>
      <c r="UR121" s="56"/>
      <c r="US121" s="56"/>
      <c r="UT121" s="56"/>
      <c r="UU121" s="56"/>
      <c r="UV121" s="56"/>
      <c r="UW121" s="56"/>
      <c r="UX121" s="56"/>
      <c r="UY121" s="56"/>
      <c r="UZ121" s="56"/>
      <c r="VA121" s="56"/>
      <c r="VB121" s="56"/>
      <c r="VC121" s="56"/>
      <c r="VD121" s="56"/>
      <c r="VE121" s="56"/>
      <c r="VF121" s="56"/>
      <c r="VG121" s="56"/>
      <c r="VH121" s="56"/>
      <c r="VI121" s="56"/>
      <c r="VJ121" s="56"/>
      <c r="VK121" s="56"/>
      <c r="VL121" s="56"/>
      <c r="VM121" s="56"/>
      <c r="VN121" s="56"/>
      <c r="VO121" s="56"/>
      <c r="VP121" s="56"/>
      <c r="VQ121" s="56"/>
      <c r="VR121" s="56"/>
      <c r="VS121" s="56"/>
      <c r="VT121" s="56"/>
      <c r="VU121" s="56"/>
      <c r="VV121" s="56"/>
      <c r="VW121" s="56"/>
      <c r="VX121" s="56"/>
      <c r="VY121" s="56"/>
      <c r="VZ121" s="56"/>
      <c r="WA121" s="56"/>
      <c r="WB121" s="56"/>
      <c r="WC121" s="56"/>
      <c r="WD121" s="56"/>
      <c r="WE121" s="56"/>
      <c r="WF121" s="56"/>
      <c r="WG121" s="56"/>
      <c r="WH121" s="56"/>
      <c r="WI121" s="56"/>
      <c r="WJ121" s="56"/>
      <c r="WK121" s="56"/>
      <c r="WL121" s="56"/>
      <c r="WM121" s="56"/>
      <c r="WN121" s="56"/>
      <c r="WO121" s="56"/>
      <c r="WP121" s="56"/>
      <c r="WQ121" s="56"/>
      <c r="WR121" s="56"/>
      <c r="WS121" s="56"/>
      <c r="WT121" s="56"/>
      <c r="WU121" s="56"/>
      <c r="WV121" s="56"/>
      <c r="WW121" s="56"/>
      <c r="WX121" s="56"/>
      <c r="WY121" s="56"/>
      <c r="WZ121" s="56"/>
      <c r="XA121" s="56"/>
      <c r="XB121" s="56"/>
      <c r="XC121" s="56"/>
      <c r="XD121" s="56"/>
      <c r="XE121" s="56"/>
      <c r="XF121" s="56"/>
      <c r="XG121" s="56"/>
      <c r="XH121" s="56"/>
      <c r="XI121" s="56"/>
      <c r="XJ121" s="56"/>
      <c r="XK121" s="56"/>
      <c r="XL121" s="56"/>
      <c r="XM121" s="56"/>
      <c r="XN121" s="56"/>
      <c r="XO121" s="56"/>
      <c r="XP121" s="56"/>
      <c r="XQ121" s="56"/>
      <c r="XR121" s="56"/>
      <c r="XS121" s="56"/>
      <c r="XT121" s="56"/>
      <c r="XU121" s="56"/>
      <c r="XV121" s="56"/>
      <c r="XW121" s="56"/>
      <c r="XX121" s="56"/>
      <c r="XY121" s="56"/>
      <c r="XZ121" s="56"/>
      <c r="YA121" s="56"/>
      <c r="YB121" s="56"/>
      <c r="YC121" s="56"/>
      <c r="YD121" s="56"/>
      <c r="YE121" s="56"/>
      <c r="YF121" s="56"/>
      <c r="YG121" s="56"/>
      <c r="YH121" s="56"/>
      <c r="YI121" s="56"/>
      <c r="YJ121" s="56"/>
      <c r="YK121" s="56"/>
      <c r="YL121" s="56"/>
      <c r="YM121" s="56"/>
      <c r="YN121" s="56"/>
      <c r="YO121" s="56"/>
      <c r="YP121" s="56"/>
      <c r="YQ121" s="56"/>
      <c r="YR121" s="56"/>
      <c r="YS121" s="56"/>
      <c r="YT121" s="56"/>
      <c r="YU121" s="56"/>
      <c r="YV121" s="56"/>
      <c r="YW121" s="56"/>
      <c r="YX121" s="56"/>
      <c r="YY121" s="56"/>
      <c r="YZ121" s="56"/>
      <c r="ZA121" s="56"/>
      <c r="ZB121" s="56"/>
      <c r="ZC121" s="56"/>
      <c r="ZD121" s="56"/>
      <c r="ZE121" s="56"/>
      <c r="ZF121" s="56"/>
      <c r="ZG121" s="56"/>
      <c r="ZH121" s="56"/>
      <c r="ZI121" s="56"/>
      <c r="ZJ121" s="56"/>
      <c r="ZK121" s="56"/>
      <c r="ZL121" s="56"/>
      <c r="ZM121" s="56"/>
      <c r="ZN121" s="56"/>
      <c r="ZO121" s="56"/>
      <c r="ZP121" s="56"/>
      <c r="ZQ121" s="56"/>
      <c r="ZR121" s="56"/>
      <c r="ZS121" s="56"/>
      <c r="ZT121" s="56"/>
      <c r="ZU121" s="56"/>
      <c r="ZV121" s="56"/>
      <c r="ZW121" s="56"/>
      <c r="ZX121" s="56"/>
      <c r="ZY121" s="56"/>
      <c r="ZZ121" s="56"/>
      <c r="AAA121" s="56"/>
      <c r="AAB121" s="56"/>
      <c r="AAC121" s="56"/>
      <c r="AAD121" s="56"/>
      <c r="AAE121" s="56"/>
      <c r="AAF121" s="56"/>
      <c r="AAG121" s="56"/>
      <c r="AAH121" s="56"/>
      <c r="AAI121" s="56"/>
      <c r="AAJ121" s="56"/>
      <c r="AAK121" s="56"/>
      <c r="AAL121" s="56"/>
      <c r="AAM121" s="56"/>
      <c r="AAN121" s="56"/>
      <c r="AAO121" s="56"/>
      <c r="AAP121" s="56"/>
      <c r="AAQ121" s="56"/>
      <c r="AAR121" s="56"/>
      <c r="AAS121" s="56"/>
      <c r="AAT121" s="56"/>
      <c r="AAU121" s="56"/>
      <c r="AAV121" s="56"/>
      <c r="AAW121" s="56"/>
      <c r="AAX121" s="56"/>
      <c r="AAY121" s="56"/>
      <c r="AAZ121" s="56"/>
      <c r="ABA121" s="56"/>
      <c r="ABB121" s="56"/>
      <c r="ABC121" s="56"/>
      <c r="ABD121" s="56"/>
      <c r="ABE121" s="56"/>
      <c r="ABF121" s="56"/>
      <c r="ABG121" s="56"/>
      <c r="ABH121" s="56"/>
      <c r="ABI121" s="56"/>
      <c r="ABJ121" s="56"/>
      <c r="ABK121" s="56"/>
      <c r="ABL121" s="56"/>
      <c r="ABM121" s="56"/>
      <c r="ABN121" s="56"/>
      <c r="ABO121" s="56"/>
      <c r="ABP121" s="56"/>
      <c r="ABQ121" s="56"/>
      <c r="ABR121" s="56"/>
      <c r="ABS121" s="56"/>
      <c r="ABT121" s="56"/>
      <c r="ABU121" s="56"/>
      <c r="ABV121" s="56"/>
      <c r="ABW121" s="56"/>
      <c r="ABX121" s="56"/>
      <c r="ABY121" s="56"/>
      <c r="ABZ121" s="56"/>
      <c r="ACA121" s="56"/>
      <c r="ACB121" s="56"/>
      <c r="ACC121" s="56"/>
      <c r="ACD121" s="56"/>
      <c r="ACE121" s="56"/>
      <c r="ACF121" s="56"/>
      <c r="ACG121" s="56"/>
      <c r="ACH121" s="56"/>
      <c r="ACI121" s="56"/>
      <c r="ACJ121" s="56"/>
      <c r="ACK121" s="56"/>
      <c r="ACL121" s="56"/>
      <c r="ACM121" s="56"/>
      <c r="ACN121" s="56"/>
      <c r="ACO121" s="56"/>
      <c r="ACP121" s="56"/>
      <c r="ACQ121" s="56"/>
      <c r="ACR121" s="56"/>
      <c r="ACS121" s="56"/>
      <c r="ACT121" s="56"/>
      <c r="ACU121" s="56"/>
      <c r="ACV121" s="56"/>
      <c r="ACW121" s="56"/>
      <c r="ACX121" s="56"/>
      <c r="ACY121" s="56"/>
      <c r="ACZ121" s="56"/>
      <c r="ADA121" s="56"/>
      <c r="ADB121" s="56"/>
      <c r="ADC121" s="56"/>
      <c r="ADD121" s="56"/>
      <c r="ADE121" s="56"/>
      <c r="ADF121" s="56"/>
      <c r="ADG121" s="56"/>
      <c r="ADH121" s="56"/>
      <c r="ADI121" s="56"/>
      <c r="ADJ121" s="56"/>
      <c r="ADK121" s="56"/>
      <c r="ADL121" s="56"/>
      <c r="ADM121" s="56"/>
      <c r="ADN121" s="56"/>
      <c r="ADO121" s="56"/>
      <c r="ADP121" s="56"/>
      <c r="ADQ121" s="56"/>
      <c r="ADR121" s="56"/>
      <c r="ADS121" s="56"/>
      <c r="ADT121" s="56"/>
      <c r="ADU121" s="56"/>
      <c r="ADV121" s="56"/>
      <c r="ADW121" s="56"/>
      <c r="ADX121" s="56"/>
      <c r="ADY121" s="56"/>
      <c r="ADZ121" s="56"/>
      <c r="AEA121" s="56"/>
      <c r="AEB121" s="56"/>
      <c r="AEC121" s="56"/>
      <c r="AED121" s="56"/>
      <c r="AEE121" s="56"/>
      <c r="AEF121" s="56"/>
      <c r="AEG121" s="56"/>
      <c r="AEH121" s="56"/>
      <c r="AEI121" s="56"/>
      <c r="AEJ121" s="56"/>
      <c r="AEK121" s="56"/>
      <c r="AEL121" s="56"/>
      <c r="AEM121" s="56"/>
      <c r="AEN121" s="56"/>
      <c r="AEO121" s="56"/>
      <c r="AEP121" s="56"/>
      <c r="AEQ121" s="56"/>
      <c r="AER121" s="56"/>
      <c r="AES121" s="56"/>
      <c r="AET121" s="56"/>
      <c r="AEU121" s="56"/>
      <c r="AEV121" s="56"/>
      <c r="AEW121" s="56"/>
      <c r="AEX121" s="56"/>
      <c r="AEY121" s="56"/>
      <c r="AEZ121" s="56"/>
      <c r="AFA121" s="56"/>
      <c r="AFB121" s="56"/>
      <c r="AFC121" s="56"/>
      <c r="AFD121" s="56"/>
      <c r="AFE121" s="56"/>
      <c r="AFF121" s="56"/>
      <c r="AFG121" s="56"/>
      <c r="AFH121" s="56"/>
      <c r="AFI121" s="56"/>
      <c r="AFJ121" s="56"/>
      <c r="AFK121" s="56"/>
      <c r="AFL121" s="56"/>
      <c r="AFM121" s="56"/>
      <c r="AFN121" s="56"/>
      <c r="AFO121" s="56"/>
      <c r="AFP121" s="56"/>
      <c r="AFQ121" s="56"/>
      <c r="AFR121" s="56"/>
      <c r="AFS121" s="56"/>
      <c r="AFT121" s="56"/>
      <c r="AFU121" s="56"/>
      <c r="AFV121" s="56"/>
      <c r="AFW121" s="56"/>
      <c r="AFX121" s="56"/>
      <c r="AFY121" s="56"/>
      <c r="AFZ121" s="56"/>
      <c r="AGA121" s="56"/>
      <c r="AGB121" s="56"/>
      <c r="AGC121" s="56"/>
      <c r="AGD121" s="56"/>
      <c r="AGE121" s="56"/>
      <c r="AGF121" s="56"/>
      <c r="AGG121" s="56"/>
      <c r="AGH121" s="56"/>
      <c r="AGI121" s="56"/>
      <c r="AGJ121" s="56"/>
      <c r="AGK121" s="56"/>
      <c r="AGL121" s="56"/>
      <c r="AGM121" s="56"/>
      <c r="AGN121" s="56"/>
      <c r="AGO121" s="56"/>
      <c r="AGP121" s="56"/>
      <c r="AGQ121" s="56"/>
      <c r="AGR121" s="56"/>
      <c r="AGS121" s="56"/>
      <c r="AGT121" s="56"/>
      <c r="AGU121" s="56"/>
      <c r="AGV121" s="56"/>
      <c r="AGW121" s="56"/>
      <c r="AGX121" s="56"/>
      <c r="AGY121" s="56"/>
      <c r="AGZ121" s="56"/>
      <c r="AHA121" s="56"/>
      <c r="AHB121" s="56"/>
      <c r="AHC121" s="56"/>
      <c r="AHD121" s="56"/>
      <c r="AHE121" s="56"/>
      <c r="AHF121" s="56"/>
      <c r="AHG121" s="56"/>
      <c r="AHH121" s="56"/>
      <c r="AHI121" s="56"/>
      <c r="AHJ121" s="56"/>
      <c r="AHK121" s="56"/>
      <c r="AHL121" s="56"/>
      <c r="AHM121" s="56"/>
      <c r="AHN121" s="56"/>
      <c r="AHO121" s="56"/>
      <c r="AHP121" s="56"/>
      <c r="AHQ121" s="56"/>
      <c r="AHR121" s="56"/>
      <c r="AHS121" s="56"/>
      <c r="AHT121" s="56"/>
      <c r="AHU121" s="56"/>
      <c r="AHV121" s="56"/>
      <c r="AHW121" s="56"/>
      <c r="AHX121" s="56"/>
      <c r="AHY121" s="56"/>
      <c r="AHZ121" s="56"/>
      <c r="AIA121" s="56"/>
      <c r="AIB121" s="56"/>
      <c r="AIC121" s="56"/>
      <c r="AID121" s="56"/>
      <c r="AIE121" s="56"/>
      <c r="AIF121" s="56"/>
      <c r="AIG121" s="56"/>
      <c r="AIH121" s="56"/>
      <c r="AII121" s="56"/>
      <c r="AIJ121" s="56"/>
      <c r="AIK121" s="56"/>
      <c r="AIL121" s="56"/>
      <c r="AIM121" s="56"/>
      <c r="AIN121" s="56"/>
      <c r="AIO121" s="56"/>
      <c r="AIP121" s="56"/>
      <c r="AIQ121" s="56"/>
      <c r="AIR121" s="56"/>
      <c r="AIS121" s="56"/>
      <c r="AIT121" s="56"/>
      <c r="AIU121" s="56"/>
      <c r="AIV121" s="56"/>
      <c r="AIW121" s="56"/>
      <c r="AIX121" s="56"/>
      <c r="AIY121" s="56"/>
      <c r="AIZ121" s="56"/>
      <c r="AJA121" s="56"/>
      <c r="AJB121" s="56"/>
      <c r="AJC121" s="56"/>
      <c r="AJD121" s="56"/>
      <c r="AJE121" s="56"/>
      <c r="AJF121" s="56"/>
      <c r="AJG121" s="56"/>
      <c r="AJH121" s="56"/>
      <c r="AJI121" s="56"/>
      <c r="AJJ121" s="56"/>
      <c r="AJK121" s="56"/>
      <c r="AJL121" s="56"/>
      <c r="AJM121" s="56"/>
      <c r="AJN121" s="56"/>
      <c r="AJO121" s="56"/>
      <c r="AJP121" s="56"/>
      <c r="AJQ121" s="56"/>
      <c r="AJR121" s="56"/>
      <c r="AJS121" s="56"/>
      <c r="AJT121" s="56"/>
      <c r="AJU121" s="56"/>
      <c r="AJV121" s="56"/>
      <c r="AJW121" s="56"/>
      <c r="AJX121" s="56"/>
      <c r="AJY121" s="56"/>
      <c r="AJZ121" s="56"/>
      <c r="AKA121" s="56"/>
      <c r="AKB121" s="56"/>
      <c r="AKC121" s="56"/>
      <c r="AKD121" s="56"/>
      <c r="AKE121" s="56"/>
      <c r="AKF121" s="56"/>
      <c r="AKG121" s="56"/>
      <c r="AKH121" s="56"/>
      <c r="AKI121" s="56"/>
      <c r="AKJ121" s="56"/>
      <c r="AKK121" s="56"/>
      <c r="AKL121" s="56"/>
      <c r="AKM121" s="56"/>
      <c r="AKN121" s="56"/>
      <c r="AKO121" s="56"/>
      <c r="AKP121" s="56"/>
      <c r="AKQ121" s="56"/>
      <c r="AKR121" s="56"/>
      <c r="AKS121" s="56"/>
      <c r="AKT121" s="56"/>
      <c r="AKU121" s="56"/>
      <c r="AKV121" s="56"/>
      <c r="AKW121" s="56"/>
      <c r="AKX121" s="56"/>
      <c r="AKY121" s="56"/>
      <c r="AKZ121" s="56"/>
      <c r="ALA121" s="56"/>
      <c r="ALB121" s="56"/>
      <c r="ALC121" s="56"/>
      <c r="ALD121" s="56"/>
      <c r="ALE121" s="56"/>
      <c r="ALF121" s="56"/>
      <c r="ALG121" s="56"/>
      <c r="ALH121" s="56"/>
      <c r="ALI121" s="56"/>
      <c r="ALJ121" s="56"/>
      <c r="ALK121" s="56"/>
      <c r="ALL121" s="56"/>
      <c r="ALM121" s="56"/>
      <c r="ALN121" s="56"/>
      <c r="ALO121" s="56"/>
      <c r="ALP121" s="56"/>
      <c r="ALQ121" s="56"/>
      <c r="ALR121" s="56"/>
      <c r="ALS121" s="56"/>
      <c r="ALT121" s="56"/>
      <c r="ALU121" s="56"/>
      <c r="ALV121" s="56"/>
      <c r="ALW121" s="56"/>
      <c r="ALX121" s="56"/>
      <c r="ALY121" s="56"/>
      <c r="ALZ121" s="56"/>
      <c r="AMA121" s="56"/>
      <c r="AMB121" s="56"/>
      <c r="AMC121" s="56"/>
      <c r="AMD121" s="56"/>
      <c r="AME121" s="56"/>
      <c r="AMF121" s="56"/>
      <c r="AMG121" s="56"/>
      <c r="AMH121" s="56"/>
      <c r="AMI121" s="56"/>
      <c r="AMJ121" s="56"/>
    </row>
    <row r="122" spans="12:1024" ht="15.95" customHeight="1" x14ac:dyDescent="0.2">
      <c r="L122" s="56"/>
      <c r="M122" s="57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6"/>
      <c r="CO122" s="56"/>
      <c r="CP122" s="56"/>
      <c r="CQ122" s="56"/>
      <c r="CR122" s="56"/>
      <c r="CS122" s="56"/>
      <c r="CT122" s="56"/>
      <c r="CU122" s="56"/>
      <c r="CV122" s="56"/>
      <c r="CW122" s="56"/>
      <c r="CX122" s="56"/>
      <c r="CY122" s="56"/>
      <c r="CZ122" s="56"/>
      <c r="DA122" s="56"/>
      <c r="DB122" s="56"/>
      <c r="DC122" s="56"/>
      <c r="DD122" s="56"/>
      <c r="DE122" s="56"/>
      <c r="DF122" s="56"/>
      <c r="DG122" s="56"/>
      <c r="DH122" s="56"/>
      <c r="DI122" s="56"/>
      <c r="DJ122" s="56"/>
      <c r="DK122" s="56"/>
      <c r="DL122" s="56"/>
      <c r="DM122" s="56"/>
      <c r="DN122" s="56"/>
      <c r="DO122" s="56"/>
      <c r="DP122" s="56"/>
      <c r="DQ122" s="56"/>
      <c r="DR122" s="56"/>
      <c r="DS122" s="56"/>
      <c r="DT122" s="56"/>
      <c r="DU122" s="56"/>
      <c r="DV122" s="56"/>
      <c r="DW122" s="56"/>
      <c r="DX122" s="56"/>
      <c r="DY122" s="56"/>
      <c r="DZ122" s="56"/>
      <c r="EA122" s="56"/>
      <c r="EB122" s="56"/>
      <c r="EC122" s="56"/>
      <c r="ED122" s="56"/>
      <c r="EE122" s="56"/>
      <c r="EF122" s="56"/>
      <c r="EG122" s="56"/>
      <c r="EH122" s="56"/>
      <c r="EI122" s="56"/>
      <c r="EJ122" s="56"/>
      <c r="EK122" s="56"/>
      <c r="EL122" s="56"/>
      <c r="EM122" s="56"/>
      <c r="EN122" s="56"/>
      <c r="EO122" s="56"/>
      <c r="EP122" s="56"/>
      <c r="EQ122" s="56"/>
      <c r="ER122" s="56"/>
      <c r="ES122" s="56"/>
      <c r="ET122" s="56"/>
      <c r="EU122" s="56"/>
      <c r="EV122" s="56"/>
      <c r="EW122" s="56"/>
      <c r="EX122" s="56"/>
      <c r="EY122" s="56"/>
      <c r="EZ122" s="56"/>
      <c r="FA122" s="56"/>
      <c r="FB122" s="56"/>
      <c r="FC122" s="56"/>
      <c r="FD122" s="56"/>
      <c r="FE122" s="56"/>
      <c r="FF122" s="56"/>
      <c r="FG122" s="56"/>
      <c r="FH122" s="56"/>
      <c r="FI122" s="56"/>
      <c r="FJ122" s="56"/>
      <c r="FK122" s="56"/>
      <c r="FL122" s="56"/>
      <c r="FM122" s="56"/>
      <c r="FN122" s="56"/>
      <c r="FO122" s="56"/>
      <c r="FP122" s="56"/>
      <c r="FQ122" s="56"/>
      <c r="FR122" s="56"/>
      <c r="FS122" s="56"/>
      <c r="FT122" s="56"/>
      <c r="FU122" s="56"/>
      <c r="FV122" s="56"/>
      <c r="FW122" s="56"/>
      <c r="FX122" s="56"/>
      <c r="FY122" s="56"/>
      <c r="FZ122" s="56"/>
      <c r="GA122" s="56"/>
      <c r="GB122" s="56"/>
      <c r="GC122" s="56"/>
      <c r="GD122" s="56"/>
      <c r="GE122" s="56"/>
      <c r="GF122" s="56"/>
      <c r="GG122" s="56"/>
      <c r="GH122" s="56"/>
      <c r="GI122" s="56"/>
      <c r="GJ122" s="56"/>
      <c r="GK122" s="56"/>
      <c r="GL122" s="56"/>
      <c r="GM122" s="56"/>
      <c r="GN122" s="56"/>
      <c r="GO122" s="56"/>
      <c r="GP122" s="56"/>
      <c r="GQ122" s="56"/>
      <c r="GR122" s="56"/>
      <c r="GS122" s="56"/>
      <c r="GT122" s="56"/>
      <c r="GU122" s="56"/>
      <c r="GV122" s="56"/>
      <c r="GW122" s="56"/>
      <c r="GX122" s="56"/>
      <c r="GY122" s="56"/>
      <c r="GZ122" s="56"/>
      <c r="HA122" s="56"/>
      <c r="HB122" s="56"/>
      <c r="HC122" s="56"/>
      <c r="HD122" s="56"/>
      <c r="HE122" s="56"/>
      <c r="HF122" s="56"/>
      <c r="HG122" s="56"/>
      <c r="HH122" s="56"/>
      <c r="HI122" s="56"/>
      <c r="HJ122" s="56"/>
      <c r="HK122" s="56"/>
      <c r="HL122" s="56"/>
      <c r="HM122" s="56"/>
      <c r="HN122" s="56"/>
      <c r="HO122" s="56"/>
      <c r="HP122" s="56"/>
      <c r="HQ122" s="56"/>
      <c r="HR122" s="56"/>
      <c r="HS122" s="56"/>
      <c r="HT122" s="56"/>
      <c r="HU122" s="56"/>
      <c r="HV122" s="56"/>
      <c r="HW122" s="56"/>
      <c r="HX122" s="56"/>
      <c r="HY122" s="56"/>
      <c r="HZ122" s="56"/>
      <c r="IA122" s="56"/>
      <c r="IB122" s="56"/>
      <c r="IC122" s="56"/>
      <c r="ID122" s="56"/>
      <c r="IE122" s="56"/>
      <c r="IF122" s="56"/>
      <c r="IG122" s="56"/>
      <c r="IH122" s="56"/>
      <c r="II122" s="56"/>
      <c r="IJ122" s="56"/>
      <c r="IK122" s="56"/>
      <c r="IL122" s="56"/>
      <c r="IM122" s="56"/>
      <c r="IN122" s="56"/>
      <c r="IO122" s="56"/>
      <c r="IP122" s="56"/>
      <c r="IQ122" s="56"/>
      <c r="IR122" s="56"/>
      <c r="IS122" s="56"/>
      <c r="IT122" s="56"/>
      <c r="IU122" s="56"/>
      <c r="IV122" s="56"/>
      <c r="IW122" s="56"/>
      <c r="IX122" s="56"/>
      <c r="IY122" s="56"/>
      <c r="IZ122" s="56"/>
      <c r="JA122" s="56"/>
      <c r="JB122" s="56"/>
      <c r="JC122" s="56"/>
      <c r="JD122" s="56"/>
      <c r="JE122" s="56"/>
      <c r="JF122" s="56"/>
      <c r="JG122" s="56"/>
      <c r="JH122" s="56"/>
      <c r="JI122" s="56"/>
      <c r="JJ122" s="56"/>
      <c r="JK122" s="56"/>
      <c r="JL122" s="56"/>
      <c r="JM122" s="56"/>
      <c r="JN122" s="56"/>
      <c r="JO122" s="56"/>
      <c r="JP122" s="56"/>
      <c r="JQ122" s="56"/>
      <c r="JR122" s="56"/>
      <c r="JS122" s="56"/>
      <c r="JT122" s="56"/>
      <c r="JU122" s="56"/>
      <c r="JV122" s="56"/>
      <c r="JW122" s="56"/>
      <c r="JX122" s="56"/>
      <c r="JY122" s="56"/>
      <c r="JZ122" s="56"/>
      <c r="KA122" s="56"/>
      <c r="KB122" s="56"/>
      <c r="KC122" s="56"/>
      <c r="KD122" s="56"/>
      <c r="KE122" s="56"/>
      <c r="KF122" s="56"/>
      <c r="KG122" s="56"/>
      <c r="KH122" s="56"/>
      <c r="KI122" s="56"/>
      <c r="KJ122" s="56"/>
      <c r="KK122" s="56"/>
      <c r="KL122" s="56"/>
      <c r="KM122" s="56"/>
      <c r="KN122" s="56"/>
      <c r="KO122" s="56"/>
      <c r="KP122" s="56"/>
      <c r="KQ122" s="56"/>
      <c r="KR122" s="56"/>
      <c r="KS122" s="56"/>
      <c r="KT122" s="56"/>
      <c r="KU122" s="56"/>
      <c r="KV122" s="56"/>
      <c r="KW122" s="56"/>
      <c r="KX122" s="56"/>
      <c r="KY122" s="56"/>
      <c r="KZ122" s="56"/>
      <c r="LA122" s="56"/>
      <c r="LB122" s="56"/>
      <c r="LC122" s="56"/>
      <c r="LD122" s="56"/>
      <c r="LE122" s="56"/>
      <c r="LF122" s="56"/>
      <c r="LG122" s="56"/>
      <c r="LH122" s="56"/>
      <c r="LI122" s="56"/>
      <c r="LJ122" s="56"/>
      <c r="LK122" s="56"/>
      <c r="LL122" s="56"/>
      <c r="LM122" s="56"/>
      <c r="LN122" s="56"/>
      <c r="LO122" s="56"/>
      <c r="LP122" s="56"/>
      <c r="LQ122" s="56"/>
      <c r="LR122" s="56"/>
      <c r="LS122" s="56"/>
      <c r="LT122" s="56"/>
      <c r="LU122" s="56"/>
      <c r="LV122" s="56"/>
      <c r="LW122" s="56"/>
      <c r="LX122" s="56"/>
      <c r="LY122" s="56"/>
      <c r="LZ122" s="56"/>
      <c r="MA122" s="56"/>
      <c r="MB122" s="56"/>
      <c r="MC122" s="56"/>
      <c r="MD122" s="56"/>
      <c r="ME122" s="56"/>
      <c r="MF122" s="56"/>
      <c r="MG122" s="56"/>
      <c r="MH122" s="56"/>
      <c r="MI122" s="56"/>
      <c r="MJ122" s="56"/>
      <c r="MK122" s="56"/>
      <c r="ML122" s="56"/>
      <c r="MM122" s="56"/>
      <c r="MN122" s="56"/>
      <c r="MO122" s="56"/>
      <c r="MP122" s="56"/>
      <c r="MQ122" s="56"/>
      <c r="MR122" s="56"/>
      <c r="MS122" s="56"/>
      <c r="MT122" s="56"/>
      <c r="MU122" s="56"/>
      <c r="MV122" s="56"/>
      <c r="MW122" s="56"/>
      <c r="MX122" s="56"/>
      <c r="MY122" s="56"/>
      <c r="MZ122" s="56"/>
      <c r="NA122" s="56"/>
      <c r="NB122" s="56"/>
      <c r="NC122" s="56"/>
      <c r="ND122" s="56"/>
      <c r="NE122" s="56"/>
      <c r="NF122" s="56"/>
      <c r="NG122" s="56"/>
      <c r="NH122" s="56"/>
      <c r="NI122" s="56"/>
      <c r="NJ122" s="56"/>
      <c r="NK122" s="56"/>
      <c r="NL122" s="56"/>
      <c r="NM122" s="56"/>
      <c r="NN122" s="56"/>
      <c r="NO122" s="56"/>
      <c r="NP122" s="56"/>
      <c r="NQ122" s="56"/>
      <c r="NR122" s="56"/>
      <c r="NS122" s="56"/>
      <c r="NT122" s="56"/>
      <c r="NU122" s="56"/>
      <c r="NV122" s="56"/>
      <c r="NW122" s="56"/>
      <c r="NX122" s="56"/>
      <c r="NY122" s="56"/>
      <c r="NZ122" s="56"/>
      <c r="OA122" s="56"/>
      <c r="OB122" s="56"/>
      <c r="OC122" s="56"/>
      <c r="OD122" s="56"/>
      <c r="OE122" s="56"/>
      <c r="OF122" s="56"/>
      <c r="OG122" s="56"/>
      <c r="OH122" s="56"/>
      <c r="OI122" s="56"/>
      <c r="OJ122" s="56"/>
      <c r="OK122" s="56"/>
      <c r="OL122" s="56"/>
      <c r="OM122" s="56"/>
      <c r="ON122" s="56"/>
      <c r="OO122" s="56"/>
      <c r="OP122" s="56"/>
      <c r="OQ122" s="56"/>
      <c r="OR122" s="56"/>
      <c r="OS122" s="56"/>
      <c r="OT122" s="56"/>
      <c r="OU122" s="56"/>
      <c r="OV122" s="56"/>
      <c r="OW122" s="56"/>
      <c r="OX122" s="56"/>
      <c r="OY122" s="56"/>
      <c r="OZ122" s="56"/>
      <c r="PA122" s="56"/>
      <c r="PB122" s="56"/>
      <c r="PC122" s="56"/>
      <c r="PD122" s="56"/>
      <c r="PE122" s="56"/>
      <c r="PF122" s="56"/>
      <c r="PG122" s="56"/>
      <c r="PH122" s="56"/>
      <c r="PI122" s="56"/>
      <c r="PJ122" s="56"/>
      <c r="PK122" s="56"/>
      <c r="PL122" s="56"/>
      <c r="PM122" s="56"/>
      <c r="PN122" s="56"/>
      <c r="PO122" s="56"/>
      <c r="PP122" s="56"/>
      <c r="PQ122" s="56"/>
      <c r="PR122" s="56"/>
      <c r="PS122" s="56"/>
      <c r="PT122" s="56"/>
      <c r="PU122" s="56"/>
      <c r="PV122" s="56"/>
      <c r="PW122" s="56"/>
      <c r="PX122" s="56"/>
      <c r="PY122" s="56"/>
      <c r="PZ122" s="56"/>
      <c r="QA122" s="56"/>
      <c r="QB122" s="56"/>
      <c r="QC122" s="56"/>
      <c r="QD122" s="56"/>
      <c r="QE122" s="56"/>
      <c r="QF122" s="56"/>
      <c r="QG122" s="56"/>
      <c r="QH122" s="56"/>
      <c r="QI122" s="56"/>
      <c r="QJ122" s="56"/>
      <c r="QK122" s="56"/>
      <c r="QL122" s="56"/>
      <c r="QM122" s="56"/>
      <c r="QN122" s="56"/>
      <c r="QO122" s="56"/>
      <c r="QP122" s="56"/>
      <c r="QQ122" s="56"/>
      <c r="QR122" s="56"/>
      <c r="QS122" s="56"/>
      <c r="QT122" s="56"/>
      <c r="QU122" s="56"/>
      <c r="QV122" s="56"/>
      <c r="QW122" s="56"/>
      <c r="QX122" s="56"/>
      <c r="QY122" s="56"/>
      <c r="QZ122" s="56"/>
      <c r="RA122" s="56"/>
      <c r="RB122" s="56"/>
      <c r="RC122" s="56"/>
      <c r="RD122" s="56"/>
      <c r="RE122" s="56"/>
      <c r="RF122" s="56"/>
      <c r="RG122" s="56"/>
      <c r="RH122" s="56"/>
      <c r="RI122" s="56"/>
      <c r="RJ122" s="56"/>
      <c r="RK122" s="56"/>
      <c r="RL122" s="56"/>
      <c r="RM122" s="56"/>
      <c r="RN122" s="56"/>
      <c r="RO122" s="56"/>
      <c r="RP122" s="56"/>
      <c r="RQ122" s="56"/>
      <c r="RR122" s="56"/>
      <c r="RS122" s="56"/>
      <c r="RT122" s="56"/>
      <c r="RU122" s="56"/>
      <c r="RV122" s="56"/>
      <c r="RW122" s="56"/>
      <c r="RX122" s="56"/>
      <c r="RY122" s="56"/>
      <c r="RZ122" s="56"/>
      <c r="SA122" s="56"/>
      <c r="SB122" s="56"/>
      <c r="SC122" s="56"/>
      <c r="SD122" s="56"/>
      <c r="SE122" s="56"/>
      <c r="SF122" s="56"/>
      <c r="SG122" s="56"/>
      <c r="SH122" s="56"/>
      <c r="SI122" s="56"/>
      <c r="SJ122" s="56"/>
      <c r="SK122" s="56"/>
      <c r="SL122" s="56"/>
      <c r="SM122" s="56"/>
      <c r="SN122" s="56"/>
      <c r="SO122" s="56"/>
      <c r="SP122" s="56"/>
      <c r="SQ122" s="56"/>
      <c r="SR122" s="56"/>
      <c r="SS122" s="56"/>
      <c r="ST122" s="56"/>
      <c r="SU122" s="56"/>
      <c r="SV122" s="56"/>
      <c r="SW122" s="56"/>
      <c r="SX122" s="56"/>
      <c r="SY122" s="56"/>
      <c r="SZ122" s="56"/>
      <c r="TA122" s="56"/>
      <c r="TB122" s="56"/>
      <c r="TC122" s="56"/>
      <c r="TD122" s="56"/>
      <c r="TE122" s="56"/>
      <c r="TF122" s="56"/>
      <c r="TG122" s="56"/>
      <c r="TH122" s="56"/>
      <c r="TI122" s="56"/>
      <c r="TJ122" s="56"/>
      <c r="TK122" s="56"/>
      <c r="TL122" s="56"/>
      <c r="TM122" s="56"/>
      <c r="TN122" s="56"/>
      <c r="TO122" s="56"/>
      <c r="TP122" s="56"/>
      <c r="TQ122" s="56"/>
      <c r="TR122" s="56"/>
      <c r="TS122" s="56"/>
      <c r="TT122" s="56"/>
      <c r="TU122" s="56"/>
      <c r="TV122" s="56"/>
      <c r="TW122" s="56"/>
      <c r="TX122" s="56"/>
      <c r="TY122" s="56"/>
      <c r="TZ122" s="56"/>
      <c r="UA122" s="56"/>
      <c r="UB122" s="56"/>
      <c r="UC122" s="56"/>
      <c r="UD122" s="56"/>
      <c r="UE122" s="56"/>
      <c r="UF122" s="56"/>
      <c r="UG122" s="56"/>
      <c r="UH122" s="56"/>
      <c r="UI122" s="56"/>
      <c r="UJ122" s="56"/>
      <c r="UK122" s="56"/>
      <c r="UL122" s="56"/>
      <c r="UM122" s="56"/>
      <c r="UN122" s="56"/>
      <c r="UO122" s="56"/>
      <c r="UP122" s="56"/>
      <c r="UQ122" s="56"/>
      <c r="UR122" s="56"/>
      <c r="US122" s="56"/>
      <c r="UT122" s="56"/>
      <c r="UU122" s="56"/>
      <c r="UV122" s="56"/>
      <c r="UW122" s="56"/>
      <c r="UX122" s="56"/>
      <c r="UY122" s="56"/>
      <c r="UZ122" s="56"/>
      <c r="VA122" s="56"/>
      <c r="VB122" s="56"/>
      <c r="VC122" s="56"/>
      <c r="VD122" s="56"/>
      <c r="VE122" s="56"/>
      <c r="VF122" s="56"/>
      <c r="VG122" s="56"/>
      <c r="VH122" s="56"/>
      <c r="VI122" s="56"/>
      <c r="VJ122" s="56"/>
      <c r="VK122" s="56"/>
      <c r="VL122" s="56"/>
      <c r="VM122" s="56"/>
      <c r="VN122" s="56"/>
      <c r="VO122" s="56"/>
      <c r="VP122" s="56"/>
      <c r="VQ122" s="56"/>
      <c r="VR122" s="56"/>
      <c r="VS122" s="56"/>
      <c r="VT122" s="56"/>
      <c r="VU122" s="56"/>
      <c r="VV122" s="56"/>
      <c r="VW122" s="56"/>
      <c r="VX122" s="56"/>
      <c r="VY122" s="56"/>
      <c r="VZ122" s="56"/>
      <c r="WA122" s="56"/>
      <c r="WB122" s="56"/>
      <c r="WC122" s="56"/>
      <c r="WD122" s="56"/>
      <c r="WE122" s="56"/>
      <c r="WF122" s="56"/>
      <c r="WG122" s="56"/>
      <c r="WH122" s="56"/>
      <c r="WI122" s="56"/>
      <c r="WJ122" s="56"/>
      <c r="WK122" s="56"/>
      <c r="WL122" s="56"/>
      <c r="WM122" s="56"/>
      <c r="WN122" s="56"/>
      <c r="WO122" s="56"/>
      <c r="WP122" s="56"/>
      <c r="WQ122" s="56"/>
      <c r="WR122" s="56"/>
      <c r="WS122" s="56"/>
      <c r="WT122" s="56"/>
      <c r="WU122" s="56"/>
      <c r="WV122" s="56"/>
      <c r="WW122" s="56"/>
      <c r="WX122" s="56"/>
      <c r="WY122" s="56"/>
      <c r="WZ122" s="56"/>
      <c r="XA122" s="56"/>
      <c r="XB122" s="56"/>
      <c r="XC122" s="56"/>
      <c r="XD122" s="56"/>
      <c r="XE122" s="56"/>
      <c r="XF122" s="56"/>
      <c r="XG122" s="56"/>
      <c r="XH122" s="56"/>
      <c r="XI122" s="56"/>
      <c r="XJ122" s="56"/>
      <c r="XK122" s="56"/>
      <c r="XL122" s="56"/>
      <c r="XM122" s="56"/>
      <c r="XN122" s="56"/>
      <c r="XO122" s="56"/>
      <c r="XP122" s="56"/>
      <c r="XQ122" s="56"/>
      <c r="XR122" s="56"/>
      <c r="XS122" s="56"/>
      <c r="XT122" s="56"/>
      <c r="XU122" s="56"/>
      <c r="XV122" s="56"/>
      <c r="XW122" s="56"/>
      <c r="XX122" s="56"/>
      <c r="XY122" s="56"/>
      <c r="XZ122" s="56"/>
      <c r="YA122" s="56"/>
      <c r="YB122" s="56"/>
      <c r="YC122" s="56"/>
      <c r="YD122" s="56"/>
      <c r="YE122" s="56"/>
      <c r="YF122" s="56"/>
      <c r="YG122" s="56"/>
      <c r="YH122" s="56"/>
      <c r="YI122" s="56"/>
      <c r="YJ122" s="56"/>
      <c r="YK122" s="56"/>
      <c r="YL122" s="56"/>
      <c r="YM122" s="56"/>
      <c r="YN122" s="56"/>
      <c r="YO122" s="56"/>
      <c r="YP122" s="56"/>
      <c r="YQ122" s="56"/>
      <c r="YR122" s="56"/>
      <c r="YS122" s="56"/>
      <c r="YT122" s="56"/>
      <c r="YU122" s="56"/>
      <c r="YV122" s="56"/>
      <c r="YW122" s="56"/>
      <c r="YX122" s="56"/>
      <c r="YY122" s="56"/>
      <c r="YZ122" s="56"/>
      <c r="ZA122" s="56"/>
      <c r="ZB122" s="56"/>
      <c r="ZC122" s="56"/>
      <c r="ZD122" s="56"/>
      <c r="ZE122" s="56"/>
      <c r="ZF122" s="56"/>
      <c r="ZG122" s="56"/>
      <c r="ZH122" s="56"/>
      <c r="ZI122" s="56"/>
      <c r="ZJ122" s="56"/>
      <c r="ZK122" s="56"/>
      <c r="ZL122" s="56"/>
      <c r="ZM122" s="56"/>
      <c r="ZN122" s="56"/>
      <c r="ZO122" s="56"/>
      <c r="ZP122" s="56"/>
      <c r="ZQ122" s="56"/>
      <c r="ZR122" s="56"/>
      <c r="ZS122" s="56"/>
      <c r="ZT122" s="56"/>
      <c r="ZU122" s="56"/>
      <c r="ZV122" s="56"/>
      <c r="ZW122" s="56"/>
      <c r="ZX122" s="56"/>
      <c r="ZY122" s="56"/>
      <c r="ZZ122" s="56"/>
      <c r="AAA122" s="56"/>
      <c r="AAB122" s="56"/>
      <c r="AAC122" s="56"/>
      <c r="AAD122" s="56"/>
      <c r="AAE122" s="56"/>
      <c r="AAF122" s="56"/>
      <c r="AAG122" s="56"/>
      <c r="AAH122" s="56"/>
      <c r="AAI122" s="56"/>
      <c r="AAJ122" s="56"/>
      <c r="AAK122" s="56"/>
      <c r="AAL122" s="56"/>
      <c r="AAM122" s="56"/>
      <c r="AAN122" s="56"/>
      <c r="AAO122" s="56"/>
      <c r="AAP122" s="56"/>
      <c r="AAQ122" s="56"/>
      <c r="AAR122" s="56"/>
      <c r="AAS122" s="56"/>
      <c r="AAT122" s="56"/>
      <c r="AAU122" s="56"/>
      <c r="AAV122" s="56"/>
      <c r="AAW122" s="56"/>
      <c r="AAX122" s="56"/>
      <c r="AAY122" s="56"/>
      <c r="AAZ122" s="56"/>
      <c r="ABA122" s="56"/>
      <c r="ABB122" s="56"/>
      <c r="ABC122" s="56"/>
      <c r="ABD122" s="56"/>
      <c r="ABE122" s="56"/>
      <c r="ABF122" s="56"/>
      <c r="ABG122" s="56"/>
      <c r="ABH122" s="56"/>
      <c r="ABI122" s="56"/>
      <c r="ABJ122" s="56"/>
      <c r="ABK122" s="56"/>
      <c r="ABL122" s="56"/>
      <c r="ABM122" s="56"/>
      <c r="ABN122" s="56"/>
      <c r="ABO122" s="56"/>
      <c r="ABP122" s="56"/>
      <c r="ABQ122" s="56"/>
      <c r="ABR122" s="56"/>
      <c r="ABS122" s="56"/>
      <c r="ABT122" s="56"/>
      <c r="ABU122" s="56"/>
      <c r="ABV122" s="56"/>
      <c r="ABW122" s="56"/>
      <c r="ABX122" s="56"/>
      <c r="ABY122" s="56"/>
      <c r="ABZ122" s="56"/>
      <c r="ACA122" s="56"/>
      <c r="ACB122" s="56"/>
      <c r="ACC122" s="56"/>
      <c r="ACD122" s="56"/>
      <c r="ACE122" s="56"/>
      <c r="ACF122" s="56"/>
      <c r="ACG122" s="56"/>
      <c r="ACH122" s="56"/>
      <c r="ACI122" s="56"/>
      <c r="ACJ122" s="56"/>
      <c r="ACK122" s="56"/>
      <c r="ACL122" s="56"/>
      <c r="ACM122" s="56"/>
      <c r="ACN122" s="56"/>
      <c r="ACO122" s="56"/>
      <c r="ACP122" s="56"/>
      <c r="ACQ122" s="56"/>
      <c r="ACR122" s="56"/>
      <c r="ACS122" s="56"/>
      <c r="ACT122" s="56"/>
      <c r="ACU122" s="56"/>
      <c r="ACV122" s="56"/>
      <c r="ACW122" s="56"/>
      <c r="ACX122" s="56"/>
      <c r="ACY122" s="56"/>
      <c r="ACZ122" s="56"/>
      <c r="ADA122" s="56"/>
      <c r="ADB122" s="56"/>
      <c r="ADC122" s="56"/>
      <c r="ADD122" s="56"/>
      <c r="ADE122" s="56"/>
      <c r="ADF122" s="56"/>
      <c r="ADG122" s="56"/>
      <c r="ADH122" s="56"/>
      <c r="ADI122" s="56"/>
      <c r="ADJ122" s="56"/>
      <c r="ADK122" s="56"/>
      <c r="ADL122" s="56"/>
      <c r="ADM122" s="56"/>
      <c r="ADN122" s="56"/>
      <c r="ADO122" s="56"/>
      <c r="ADP122" s="56"/>
      <c r="ADQ122" s="56"/>
      <c r="ADR122" s="56"/>
      <c r="ADS122" s="56"/>
      <c r="ADT122" s="56"/>
      <c r="ADU122" s="56"/>
      <c r="ADV122" s="56"/>
      <c r="ADW122" s="56"/>
      <c r="ADX122" s="56"/>
      <c r="ADY122" s="56"/>
      <c r="ADZ122" s="56"/>
      <c r="AEA122" s="56"/>
      <c r="AEB122" s="56"/>
      <c r="AEC122" s="56"/>
      <c r="AED122" s="56"/>
      <c r="AEE122" s="56"/>
      <c r="AEF122" s="56"/>
      <c r="AEG122" s="56"/>
      <c r="AEH122" s="56"/>
      <c r="AEI122" s="56"/>
      <c r="AEJ122" s="56"/>
      <c r="AEK122" s="56"/>
      <c r="AEL122" s="56"/>
      <c r="AEM122" s="56"/>
      <c r="AEN122" s="56"/>
      <c r="AEO122" s="56"/>
      <c r="AEP122" s="56"/>
      <c r="AEQ122" s="56"/>
      <c r="AER122" s="56"/>
      <c r="AES122" s="56"/>
      <c r="AET122" s="56"/>
      <c r="AEU122" s="56"/>
      <c r="AEV122" s="56"/>
      <c r="AEW122" s="56"/>
      <c r="AEX122" s="56"/>
      <c r="AEY122" s="56"/>
      <c r="AEZ122" s="56"/>
      <c r="AFA122" s="56"/>
      <c r="AFB122" s="56"/>
      <c r="AFC122" s="56"/>
      <c r="AFD122" s="56"/>
      <c r="AFE122" s="56"/>
      <c r="AFF122" s="56"/>
      <c r="AFG122" s="56"/>
      <c r="AFH122" s="56"/>
      <c r="AFI122" s="56"/>
      <c r="AFJ122" s="56"/>
      <c r="AFK122" s="56"/>
      <c r="AFL122" s="56"/>
      <c r="AFM122" s="56"/>
      <c r="AFN122" s="56"/>
      <c r="AFO122" s="56"/>
      <c r="AFP122" s="56"/>
      <c r="AFQ122" s="56"/>
      <c r="AFR122" s="56"/>
      <c r="AFS122" s="56"/>
      <c r="AFT122" s="56"/>
      <c r="AFU122" s="56"/>
      <c r="AFV122" s="56"/>
      <c r="AFW122" s="56"/>
      <c r="AFX122" s="56"/>
      <c r="AFY122" s="56"/>
      <c r="AFZ122" s="56"/>
      <c r="AGA122" s="56"/>
      <c r="AGB122" s="56"/>
      <c r="AGC122" s="56"/>
      <c r="AGD122" s="56"/>
      <c r="AGE122" s="56"/>
      <c r="AGF122" s="56"/>
      <c r="AGG122" s="56"/>
      <c r="AGH122" s="56"/>
      <c r="AGI122" s="56"/>
      <c r="AGJ122" s="56"/>
      <c r="AGK122" s="56"/>
      <c r="AGL122" s="56"/>
      <c r="AGM122" s="56"/>
      <c r="AGN122" s="56"/>
      <c r="AGO122" s="56"/>
      <c r="AGP122" s="56"/>
      <c r="AGQ122" s="56"/>
      <c r="AGR122" s="56"/>
      <c r="AGS122" s="56"/>
      <c r="AGT122" s="56"/>
      <c r="AGU122" s="56"/>
      <c r="AGV122" s="56"/>
      <c r="AGW122" s="56"/>
      <c r="AGX122" s="56"/>
      <c r="AGY122" s="56"/>
      <c r="AGZ122" s="56"/>
      <c r="AHA122" s="56"/>
      <c r="AHB122" s="56"/>
      <c r="AHC122" s="56"/>
      <c r="AHD122" s="56"/>
      <c r="AHE122" s="56"/>
      <c r="AHF122" s="56"/>
      <c r="AHG122" s="56"/>
      <c r="AHH122" s="56"/>
      <c r="AHI122" s="56"/>
      <c r="AHJ122" s="56"/>
      <c r="AHK122" s="56"/>
      <c r="AHL122" s="56"/>
      <c r="AHM122" s="56"/>
      <c r="AHN122" s="56"/>
      <c r="AHO122" s="56"/>
      <c r="AHP122" s="56"/>
      <c r="AHQ122" s="56"/>
      <c r="AHR122" s="56"/>
      <c r="AHS122" s="56"/>
      <c r="AHT122" s="56"/>
      <c r="AHU122" s="56"/>
      <c r="AHV122" s="56"/>
      <c r="AHW122" s="56"/>
      <c r="AHX122" s="56"/>
      <c r="AHY122" s="56"/>
      <c r="AHZ122" s="56"/>
      <c r="AIA122" s="56"/>
      <c r="AIB122" s="56"/>
      <c r="AIC122" s="56"/>
      <c r="AID122" s="56"/>
      <c r="AIE122" s="56"/>
      <c r="AIF122" s="56"/>
      <c r="AIG122" s="56"/>
      <c r="AIH122" s="56"/>
      <c r="AII122" s="56"/>
      <c r="AIJ122" s="56"/>
      <c r="AIK122" s="56"/>
      <c r="AIL122" s="56"/>
      <c r="AIM122" s="56"/>
      <c r="AIN122" s="56"/>
      <c r="AIO122" s="56"/>
      <c r="AIP122" s="56"/>
      <c r="AIQ122" s="56"/>
      <c r="AIR122" s="56"/>
      <c r="AIS122" s="56"/>
      <c r="AIT122" s="56"/>
      <c r="AIU122" s="56"/>
      <c r="AIV122" s="56"/>
      <c r="AIW122" s="56"/>
      <c r="AIX122" s="56"/>
      <c r="AIY122" s="56"/>
      <c r="AIZ122" s="56"/>
      <c r="AJA122" s="56"/>
      <c r="AJB122" s="56"/>
      <c r="AJC122" s="56"/>
      <c r="AJD122" s="56"/>
      <c r="AJE122" s="56"/>
      <c r="AJF122" s="56"/>
      <c r="AJG122" s="56"/>
      <c r="AJH122" s="56"/>
      <c r="AJI122" s="56"/>
      <c r="AJJ122" s="56"/>
      <c r="AJK122" s="56"/>
      <c r="AJL122" s="56"/>
      <c r="AJM122" s="56"/>
      <c r="AJN122" s="56"/>
      <c r="AJO122" s="56"/>
      <c r="AJP122" s="56"/>
      <c r="AJQ122" s="56"/>
      <c r="AJR122" s="56"/>
      <c r="AJS122" s="56"/>
      <c r="AJT122" s="56"/>
      <c r="AJU122" s="56"/>
      <c r="AJV122" s="56"/>
      <c r="AJW122" s="56"/>
      <c r="AJX122" s="56"/>
      <c r="AJY122" s="56"/>
      <c r="AJZ122" s="56"/>
      <c r="AKA122" s="56"/>
      <c r="AKB122" s="56"/>
      <c r="AKC122" s="56"/>
      <c r="AKD122" s="56"/>
      <c r="AKE122" s="56"/>
      <c r="AKF122" s="56"/>
      <c r="AKG122" s="56"/>
      <c r="AKH122" s="56"/>
      <c r="AKI122" s="56"/>
      <c r="AKJ122" s="56"/>
      <c r="AKK122" s="56"/>
      <c r="AKL122" s="56"/>
      <c r="AKM122" s="56"/>
      <c r="AKN122" s="56"/>
      <c r="AKO122" s="56"/>
      <c r="AKP122" s="56"/>
      <c r="AKQ122" s="56"/>
      <c r="AKR122" s="56"/>
      <c r="AKS122" s="56"/>
      <c r="AKT122" s="56"/>
      <c r="AKU122" s="56"/>
      <c r="AKV122" s="56"/>
      <c r="AKW122" s="56"/>
      <c r="AKX122" s="56"/>
      <c r="AKY122" s="56"/>
      <c r="AKZ122" s="56"/>
      <c r="ALA122" s="56"/>
      <c r="ALB122" s="56"/>
      <c r="ALC122" s="56"/>
      <c r="ALD122" s="56"/>
      <c r="ALE122" s="56"/>
      <c r="ALF122" s="56"/>
      <c r="ALG122" s="56"/>
      <c r="ALH122" s="56"/>
      <c r="ALI122" s="56"/>
      <c r="ALJ122" s="56"/>
      <c r="ALK122" s="56"/>
      <c r="ALL122" s="56"/>
      <c r="ALM122" s="56"/>
      <c r="ALN122" s="56"/>
      <c r="ALO122" s="56"/>
      <c r="ALP122" s="56"/>
      <c r="ALQ122" s="56"/>
      <c r="ALR122" s="56"/>
      <c r="ALS122" s="56"/>
      <c r="ALT122" s="56"/>
      <c r="ALU122" s="56"/>
      <c r="ALV122" s="56"/>
      <c r="ALW122" s="56"/>
      <c r="ALX122" s="56"/>
      <c r="ALY122" s="56"/>
      <c r="ALZ122" s="56"/>
      <c r="AMA122" s="56"/>
      <c r="AMB122" s="56"/>
      <c r="AMC122" s="56"/>
      <c r="AMD122" s="56"/>
      <c r="AME122" s="56"/>
      <c r="AMF122" s="56"/>
      <c r="AMG122" s="56"/>
      <c r="AMH122" s="56"/>
      <c r="AMI122" s="56"/>
      <c r="AMJ122" s="56"/>
    </row>
    <row r="123" spans="12:1024" ht="15.95" customHeight="1" x14ac:dyDescent="0.2">
      <c r="L123" s="56"/>
      <c r="M123" s="57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56"/>
      <c r="CR123" s="56"/>
      <c r="CS123" s="56"/>
      <c r="CT123" s="56"/>
      <c r="CU123" s="56"/>
      <c r="CV123" s="56"/>
      <c r="CW123" s="56"/>
      <c r="CX123" s="56"/>
      <c r="CY123" s="56"/>
      <c r="CZ123" s="56"/>
      <c r="DA123" s="56"/>
      <c r="DB123" s="56"/>
      <c r="DC123" s="56"/>
      <c r="DD123" s="56"/>
      <c r="DE123" s="56"/>
      <c r="DF123" s="56"/>
      <c r="DG123" s="56"/>
      <c r="DH123" s="56"/>
      <c r="DI123" s="56"/>
      <c r="DJ123" s="56"/>
      <c r="DK123" s="56"/>
      <c r="DL123" s="56"/>
      <c r="DM123" s="56"/>
      <c r="DN123" s="56"/>
      <c r="DO123" s="56"/>
      <c r="DP123" s="56"/>
      <c r="DQ123" s="56"/>
      <c r="DR123" s="56"/>
      <c r="DS123" s="56"/>
      <c r="DT123" s="56"/>
      <c r="DU123" s="56"/>
      <c r="DV123" s="56"/>
      <c r="DW123" s="56"/>
      <c r="DX123" s="56"/>
      <c r="DY123" s="56"/>
      <c r="DZ123" s="56"/>
      <c r="EA123" s="56"/>
      <c r="EB123" s="56"/>
      <c r="EC123" s="56"/>
      <c r="ED123" s="56"/>
      <c r="EE123" s="56"/>
      <c r="EF123" s="56"/>
      <c r="EG123" s="56"/>
      <c r="EH123" s="56"/>
      <c r="EI123" s="56"/>
      <c r="EJ123" s="56"/>
      <c r="EK123" s="56"/>
      <c r="EL123" s="56"/>
      <c r="EM123" s="56"/>
      <c r="EN123" s="56"/>
      <c r="EO123" s="56"/>
      <c r="EP123" s="56"/>
      <c r="EQ123" s="56"/>
      <c r="ER123" s="56"/>
      <c r="ES123" s="56"/>
      <c r="ET123" s="56"/>
      <c r="EU123" s="56"/>
      <c r="EV123" s="56"/>
      <c r="EW123" s="56"/>
      <c r="EX123" s="56"/>
      <c r="EY123" s="56"/>
      <c r="EZ123" s="56"/>
      <c r="FA123" s="56"/>
      <c r="FB123" s="56"/>
      <c r="FC123" s="56"/>
      <c r="FD123" s="56"/>
      <c r="FE123" s="56"/>
      <c r="FF123" s="56"/>
      <c r="FG123" s="56"/>
      <c r="FH123" s="56"/>
      <c r="FI123" s="56"/>
      <c r="FJ123" s="56"/>
      <c r="FK123" s="56"/>
      <c r="FL123" s="56"/>
      <c r="FM123" s="56"/>
      <c r="FN123" s="56"/>
      <c r="FO123" s="56"/>
      <c r="FP123" s="56"/>
      <c r="FQ123" s="56"/>
      <c r="FR123" s="56"/>
      <c r="FS123" s="56"/>
      <c r="FT123" s="56"/>
      <c r="FU123" s="56"/>
      <c r="FV123" s="56"/>
      <c r="FW123" s="56"/>
      <c r="FX123" s="56"/>
      <c r="FY123" s="56"/>
      <c r="FZ123" s="56"/>
      <c r="GA123" s="56"/>
      <c r="GB123" s="56"/>
      <c r="GC123" s="56"/>
      <c r="GD123" s="56"/>
      <c r="GE123" s="56"/>
      <c r="GF123" s="56"/>
      <c r="GG123" s="56"/>
      <c r="GH123" s="56"/>
      <c r="GI123" s="56"/>
      <c r="GJ123" s="56"/>
      <c r="GK123" s="56"/>
      <c r="GL123" s="56"/>
      <c r="GM123" s="56"/>
      <c r="GN123" s="56"/>
      <c r="GO123" s="56"/>
      <c r="GP123" s="56"/>
      <c r="GQ123" s="56"/>
      <c r="GR123" s="56"/>
      <c r="GS123" s="56"/>
      <c r="GT123" s="56"/>
      <c r="GU123" s="56"/>
      <c r="GV123" s="56"/>
      <c r="GW123" s="56"/>
      <c r="GX123" s="56"/>
      <c r="GY123" s="56"/>
      <c r="GZ123" s="56"/>
      <c r="HA123" s="56"/>
      <c r="HB123" s="56"/>
      <c r="HC123" s="56"/>
      <c r="HD123" s="56"/>
      <c r="HE123" s="56"/>
      <c r="HF123" s="56"/>
      <c r="HG123" s="56"/>
      <c r="HH123" s="56"/>
      <c r="HI123" s="56"/>
      <c r="HJ123" s="56"/>
      <c r="HK123" s="56"/>
      <c r="HL123" s="56"/>
      <c r="HM123" s="56"/>
      <c r="HN123" s="56"/>
      <c r="HO123" s="56"/>
      <c r="HP123" s="56"/>
      <c r="HQ123" s="56"/>
      <c r="HR123" s="56"/>
      <c r="HS123" s="56"/>
      <c r="HT123" s="56"/>
      <c r="HU123" s="56"/>
      <c r="HV123" s="56"/>
      <c r="HW123" s="56"/>
      <c r="HX123" s="56"/>
      <c r="HY123" s="56"/>
      <c r="HZ123" s="56"/>
      <c r="IA123" s="56"/>
      <c r="IB123" s="56"/>
      <c r="IC123" s="56"/>
      <c r="ID123" s="56"/>
      <c r="IE123" s="56"/>
      <c r="IF123" s="56"/>
      <c r="IG123" s="56"/>
      <c r="IH123" s="56"/>
      <c r="II123" s="56"/>
      <c r="IJ123" s="56"/>
      <c r="IK123" s="56"/>
      <c r="IL123" s="56"/>
      <c r="IM123" s="56"/>
      <c r="IN123" s="56"/>
      <c r="IO123" s="56"/>
      <c r="IP123" s="56"/>
      <c r="IQ123" s="56"/>
      <c r="IR123" s="56"/>
      <c r="IS123" s="56"/>
      <c r="IT123" s="56"/>
      <c r="IU123" s="56"/>
      <c r="IV123" s="56"/>
      <c r="IW123" s="56"/>
      <c r="IX123" s="56"/>
      <c r="IY123" s="56"/>
      <c r="IZ123" s="56"/>
      <c r="JA123" s="56"/>
      <c r="JB123" s="56"/>
      <c r="JC123" s="56"/>
      <c r="JD123" s="56"/>
      <c r="JE123" s="56"/>
      <c r="JF123" s="56"/>
      <c r="JG123" s="56"/>
      <c r="JH123" s="56"/>
      <c r="JI123" s="56"/>
      <c r="JJ123" s="56"/>
      <c r="JK123" s="56"/>
      <c r="JL123" s="56"/>
      <c r="JM123" s="56"/>
      <c r="JN123" s="56"/>
      <c r="JO123" s="56"/>
      <c r="JP123" s="56"/>
      <c r="JQ123" s="56"/>
      <c r="JR123" s="56"/>
      <c r="JS123" s="56"/>
      <c r="JT123" s="56"/>
      <c r="JU123" s="56"/>
      <c r="JV123" s="56"/>
      <c r="JW123" s="56"/>
      <c r="JX123" s="56"/>
      <c r="JY123" s="56"/>
      <c r="JZ123" s="56"/>
      <c r="KA123" s="56"/>
      <c r="KB123" s="56"/>
      <c r="KC123" s="56"/>
      <c r="KD123" s="56"/>
      <c r="KE123" s="56"/>
      <c r="KF123" s="56"/>
      <c r="KG123" s="56"/>
      <c r="KH123" s="56"/>
      <c r="KI123" s="56"/>
      <c r="KJ123" s="56"/>
      <c r="KK123" s="56"/>
      <c r="KL123" s="56"/>
      <c r="KM123" s="56"/>
      <c r="KN123" s="56"/>
      <c r="KO123" s="56"/>
      <c r="KP123" s="56"/>
      <c r="KQ123" s="56"/>
      <c r="KR123" s="56"/>
      <c r="KS123" s="56"/>
      <c r="KT123" s="56"/>
      <c r="KU123" s="56"/>
      <c r="KV123" s="56"/>
      <c r="KW123" s="56"/>
      <c r="KX123" s="56"/>
      <c r="KY123" s="56"/>
      <c r="KZ123" s="56"/>
      <c r="LA123" s="56"/>
      <c r="LB123" s="56"/>
      <c r="LC123" s="56"/>
      <c r="LD123" s="56"/>
      <c r="LE123" s="56"/>
      <c r="LF123" s="56"/>
      <c r="LG123" s="56"/>
      <c r="LH123" s="56"/>
      <c r="LI123" s="56"/>
      <c r="LJ123" s="56"/>
      <c r="LK123" s="56"/>
      <c r="LL123" s="56"/>
      <c r="LM123" s="56"/>
      <c r="LN123" s="56"/>
      <c r="LO123" s="56"/>
      <c r="LP123" s="56"/>
      <c r="LQ123" s="56"/>
      <c r="LR123" s="56"/>
      <c r="LS123" s="56"/>
      <c r="LT123" s="56"/>
      <c r="LU123" s="56"/>
      <c r="LV123" s="56"/>
      <c r="LW123" s="56"/>
      <c r="LX123" s="56"/>
      <c r="LY123" s="56"/>
      <c r="LZ123" s="56"/>
      <c r="MA123" s="56"/>
      <c r="MB123" s="56"/>
      <c r="MC123" s="56"/>
      <c r="MD123" s="56"/>
      <c r="ME123" s="56"/>
      <c r="MF123" s="56"/>
      <c r="MG123" s="56"/>
      <c r="MH123" s="56"/>
      <c r="MI123" s="56"/>
      <c r="MJ123" s="56"/>
      <c r="MK123" s="56"/>
      <c r="ML123" s="56"/>
      <c r="MM123" s="56"/>
      <c r="MN123" s="56"/>
      <c r="MO123" s="56"/>
      <c r="MP123" s="56"/>
      <c r="MQ123" s="56"/>
      <c r="MR123" s="56"/>
      <c r="MS123" s="56"/>
      <c r="MT123" s="56"/>
      <c r="MU123" s="56"/>
      <c r="MV123" s="56"/>
      <c r="MW123" s="56"/>
      <c r="MX123" s="56"/>
      <c r="MY123" s="56"/>
      <c r="MZ123" s="56"/>
      <c r="NA123" s="56"/>
      <c r="NB123" s="56"/>
      <c r="NC123" s="56"/>
      <c r="ND123" s="56"/>
      <c r="NE123" s="56"/>
      <c r="NF123" s="56"/>
      <c r="NG123" s="56"/>
      <c r="NH123" s="56"/>
      <c r="NI123" s="56"/>
      <c r="NJ123" s="56"/>
      <c r="NK123" s="56"/>
      <c r="NL123" s="56"/>
      <c r="NM123" s="56"/>
      <c r="NN123" s="56"/>
      <c r="NO123" s="56"/>
      <c r="NP123" s="56"/>
      <c r="NQ123" s="56"/>
      <c r="NR123" s="56"/>
      <c r="NS123" s="56"/>
      <c r="NT123" s="56"/>
      <c r="NU123" s="56"/>
      <c r="NV123" s="56"/>
      <c r="NW123" s="56"/>
      <c r="NX123" s="56"/>
      <c r="NY123" s="56"/>
      <c r="NZ123" s="56"/>
      <c r="OA123" s="56"/>
      <c r="OB123" s="56"/>
      <c r="OC123" s="56"/>
      <c r="OD123" s="56"/>
      <c r="OE123" s="56"/>
      <c r="OF123" s="56"/>
      <c r="OG123" s="56"/>
      <c r="OH123" s="56"/>
      <c r="OI123" s="56"/>
      <c r="OJ123" s="56"/>
      <c r="OK123" s="56"/>
      <c r="OL123" s="56"/>
      <c r="OM123" s="56"/>
      <c r="ON123" s="56"/>
      <c r="OO123" s="56"/>
      <c r="OP123" s="56"/>
      <c r="OQ123" s="56"/>
      <c r="OR123" s="56"/>
      <c r="OS123" s="56"/>
      <c r="OT123" s="56"/>
      <c r="OU123" s="56"/>
      <c r="OV123" s="56"/>
      <c r="OW123" s="56"/>
      <c r="OX123" s="56"/>
      <c r="OY123" s="56"/>
      <c r="OZ123" s="56"/>
      <c r="PA123" s="56"/>
      <c r="PB123" s="56"/>
      <c r="PC123" s="56"/>
      <c r="PD123" s="56"/>
      <c r="PE123" s="56"/>
      <c r="PF123" s="56"/>
      <c r="PG123" s="56"/>
      <c r="PH123" s="56"/>
      <c r="PI123" s="56"/>
      <c r="PJ123" s="56"/>
      <c r="PK123" s="56"/>
      <c r="PL123" s="56"/>
      <c r="PM123" s="56"/>
      <c r="PN123" s="56"/>
      <c r="PO123" s="56"/>
      <c r="PP123" s="56"/>
      <c r="PQ123" s="56"/>
      <c r="PR123" s="56"/>
      <c r="PS123" s="56"/>
      <c r="PT123" s="56"/>
      <c r="PU123" s="56"/>
      <c r="PV123" s="56"/>
      <c r="PW123" s="56"/>
      <c r="PX123" s="56"/>
      <c r="PY123" s="56"/>
      <c r="PZ123" s="56"/>
      <c r="QA123" s="56"/>
      <c r="QB123" s="56"/>
      <c r="QC123" s="56"/>
      <c r="QD123" s="56"/>
      <c r="QE123" s="56"/>
      <c r="QF123" s="56"/>
      <c r="QG123" s="56"/>
      <c r="QH123" s="56"/>
      <c r="QI123" s="56"/>
      <c r="QJ123" s="56"/>
      <c r="QK123" s="56"/>
      <c r="QL123" s="56"/>
      <c r="QM123" s="56"/>
      <c r="QN123" s="56"/>
      <c r="QO123" s="56"/>
      <c r="QP123" s="56"/>
      <c r="QQ123" s="56"/>
      <c r="QR123" s="56"/>
      <c r="QS123" s="56"/>
      <c r="QT123" s="56"/>
      <c r="QU123" s="56"/>
      <c r="QV123" s="56"/>
      <c r="QW123" s="56"/>
      <c r="QX123" s="56"/>
      <c r="QY123" s="56"/>
      <c r="QZ123" s="56"/>
      <c r="RA123" s="56"/>
      <c r="RB123" s="56"/>
      <c r="RC123" s="56"/>
      <c r="RD123" s="56"/>
      <c r="RE123" s="56"/>
      <c r="RF123" s="56"/>
      <c r="RG123" s="56"/>
      <c r="RH123" s="56"/>
      <c r="RI123" s="56"/>
      <c r="RJ123" s="56"/>
      <c r="RK123" s="56"/>
      <c r="RL123" s="56"/>
      <c r="RM123" s="56"/>
      <c r="RN123" s="56"/>
      <c r="RO123" s="56"/>
      <c r="RP123" s="56"/>
      <c r="RQ123" s="56"/>
      <c r="RR123" s="56"/>
      <c r="RS123" s="56"/>
      <c r="RT123" s="56"/>
      <c r="RU123" s="56"/>
      <c r="RV123" s="56"/>
      <c r="RW123" s="56"/>
      <c r="RX123" s="56"/>
      <c r="RY123" s="56"/>
      <c r="RZ123" s="56"/>
      <c r="SA123" s="56"/>
      <c r="SB123" s="56"/>
      <c r="SC123" s="56"/>
      <c r="SD123" s="56"/>
      <c r="SE123" s="56"/>
      <c r="SF123" s="56"/>
      <c r="SG123" s="56"/>
      <c r="SH123" s="56"/>
      <c r="SI123" s="56"/>
      <c r="SJ123" s="56"/>
      <c r="SK123" s="56"/>
      <c r="SL123" s="56"/>
      <c r="SM123" s="56"/>
      <c r="SN123" s="56"/>
      <c r="SO123" s="56"/>
      <c r="SP123" s="56"/>
      <c r="SQ123" s="56"/>
      <c r="SR123" s="56"/>
      <c r="SS123" s="56"/>
      <c r="ST123" s="56"/>
      <c r="SU123" s="56"/>
      <c r="SV123" s="56"/>
      <c r="SW123" s="56"/>
      <c r="SX123" s="56"/>
      <c r="SY123" s="56"/>
      <c r="SZ123" s="56"/>
      <c r="TA123" s="56"/>
      <c r="TB123" s="56"/>
      <c r="TC123" s="56"/>
      <c r="TD123" s="56"/>
      <c r="TE123" s="56"/>
      <c r="TF123" s="56"/>
      <c r="TG123" s="56"/>
      <c r="TH123" s="56"/>
      <c r="TI123" s="56"/>
      <c r="TJ123" s="56"/>
      <c r="TK123" s="56"/>
      <c r="TL123" s="56"/>
      <c r="TM123" s="56"/>
      <c r="TN123" s="56"/>
      <c r="TO123" s="56"/>
      <c r="TP123" s="56"/>
      <c r="TQ123" s="56"/>
      <c r="TR123" s="56"/>
      <c r="TS123" s="56"/>
      <c r="TT123" s="56"/>
      <c r="TU123" s="56"/>
      <c r="TV123" s="56"/>
      <c r="TW123" s="56"/>
      <c r="TX123" s="56"/>
      <c r="TY123" s="56"/>
      <c r="TZ123" s="56"/>
      <c r="UA123" s="56"/>
      <c r="UB123" s="56"/>
      <c r="UC123" s="56"/>
      <c r="UD123" s="56"/>
      <c r="UE123" s="56"/>
      <c r="UF123" s="56"/>
      <c r="UG123" s="56"/>
      <c r="UH123" s="56"/>
      <c r="UI123" s="56"/>
      <c r="UJ123" s="56"/>
      <c r="UK123" s="56"/>
      <c r="UL123" s="56"/>
      <c r="UM123" s="56"/>
      <c r="UN123" s="56"/>
      <c r="UO123" s="56"/>
      <c r="UP123" s="56"/>
      <c r="UQ123" s="56"/>
      <c r="UR123" s="56"/>
      <c r="US123" s="56"/>
      <c r="UT123" s="56"/>
      <c r="UU123" s="56"/>
      <c r="UV123" s="56"/>
      <c r="UW123" s="56"/>
      <c r="UX123" s="56"/>
      <c r="UY123" s="56"/>
      <c r="UZ123" s="56"/>
      <c r="VA123" s="56"/>
      <c r="VB123" s="56"/>
      <c r="VC123" s="56"/>
      <c r="VD123" s="56"/>
      <c r="VE123" s="56"/>
      <c r="VF123" s="56"/>
      <c r="VG123" s="56"/>
      <c r="VH123" s="56"/>
      <c r="VI123" s="56"/>
      <c r="VJ123" s="56"/>
      <c r="VK123" s="56"/>
      <c r="VL123" s="56"/>
      <c r="VM123" s="56"/>
      <c r="VN123" s="56"/>
      <c r="VO123" s="56"/>
      <c r="VP123" s="56"/>
      <c r="VQ123" s="56"/>
      <c r="VR123" s="56"/>
      <c r="VS123" s="56"/>
      <c r="VT123" s="56"/>
      <c r="VU123" s="56"/>
      <c r="VV123" s="56"/>
      <c r="VW123" s="56"/>
      <c r="VX123" s="56"/>
      <c r="VY123" s="56"/>
      <c r="VZ123" s="56"/>
      <c r="WA123" s="56"/>
      <c r="WB123" s="56"/>
      <c r="WC123" s="56"/>
      <c r="WD123" s="56"/>
      <c r="WE123" s="56"/>
      <c r="WF123" s="56"/>
      <c r="WG123" s="56"/>
      <c r="WH123" s="56"/>
      <c r="WI123" s="56"/>
      <c r="WJ123" s="56"/>
      <c r="WK123" s="56"/>
      <c r="WL123" s="56"/>
      <c r="WM123" s="56"/>
      <c r="WN123" s="56"/>
      <c r="WO123" s="56"/>
      <c r="WP123" s="56"/>
      <c r="WQ123" s="56"/>
      <c r="WR123" s="56"/>
      <c r="WS123" s="56"/>
      <c r="WT123" s="56"/>
      <c r="WU123" s="56"/>
      <c r="WV123" s="56"/>
      <c r="WW123" s="56"/>
      <c r="WX123" s="56"/>
      <c r="WY123" s="56"/>
      <c r="WZ123" s="56"/>
      <c r="XA123" s="56"/>
      <c r="XB123" s="56"/>
      <c r="XC123" s="56"/>
      <c r="XD123" s="56"/>
      <c r="XE123" s="56"/>
      <c r="XF123" s="56"/>
      <c r="XG123" s="56"/>
      <c r="XH123" s="56"/>
      <c r="XI123" s="56"/>
      <c r="XJ123" s="56"/>
      <c r="XK123" s="56"/>
      <c r="XL123" s="56"/>
      <c r="XM123" s="56"/>
      <c r="XN123" s="56"/>
      <c r="XO123" s="56"/>
      <c r="XP123" s="56"/>
      <c r="XQ123" s="56"/>
      <c r="XR123" s="56"/>
      <c r="XS123" s="56"/>
      <c r="XT123" s="56"/>
      <c r="XU123" s="56"/>
      <c r="XV123" s="56"/>
      <c r="XW123" s="56"/>
      <c r="XX123" s="56"/>
      <c r="XY123" s="56"/>
      <c r="XZ123" s="56"/>
      <c r="YA123" s="56"/>
      <c r="YB123" s="56"/>
      <c r="YC123" s="56"/>
      <c r="YD123" s="56"/>
      <c r="YE123" s="56"/>
      <c r="YF123" s="56"/>
      <c r="YG123" s="56"/>
      <c r="YH123" s="56"/>
      <c r="YI123" s="56"/>
      <c r="YJ123" s="56"/>
      <c r="YK123" s="56"/>
      <c r="YL123" s="56"/>
      <c r="YM123" s="56"/>
      <c r="YN123" s="56"/>
      <c r="YO123" s="56"/>
      <c r="YP123" s="56"/>
      <c r="YQ123" s="56"/>
      <c r="YR123" s="56"/>
      <c r="YS123" s="56"/>
      <c r="YT123" s="56"/>
      <c r="YU123" s="56"/>
      <c r="YV123" s="56"/>
      <c r="YW123" s="56"/>
      <c r="YX123" s="56"/>
      <c r="YY123" s="56"/>
      <c r="YZ123" s="56"/>
      <c r="ZA123" s="56"/>
      <c r="ZB123" s="56"/>
      <c r="ZC123" s="56"/>
      <c r="ZD123" s="56"/>
      <c r="ZE123" s="56"/>
      <c r="ZF123" s="56"/>
      <c r="ZG123" s="56"/>
      <c r="ZH123" s="56"/>
      <c r="ZI123" s="56"/>
      <c r="ZJ123" s="56"/>
      <c r="ZK123" s="56"/>
      <c r="ZL123" s="56"/>
      <c r="ZM123" s="56"/>
      <c r="ZN123" s="56"/>
      <c r="ZO123" s="56"/>
      <c r="ZP123" s="56"/>
      <c r="ZQ123" s="56"/>
      <c r="ZR123" s="56"/>
      <c r="ZS123" s="56"/>
      <c r="ZT123" s="56"/>
      <c r="ZU123" s="56"/>
      <c r="ZV123" s="56"/>
      <c r="ZW123" s="56"/>
      <c r="ZX123" s="56"/>
      <c r="ZY123" s="56"/>
      <c r="ZZ123" s="56"/>
      <c r="AAA123" s="56"/>
      <c r="AAB123" s="56"/>
      <c r="AAC123" s="56"/>
      <c r="AAD123" s="56"/>
      <c r="AAE123" s="56"/>
      <c r="AAF123" s="56"/>
      <c r="AAG123" s="56"/>
      <c r="AAH123" s="56"/>
      <c r="AAI123" s="56"/>
      <c r="AAJ123" s="56"/>
      <c r="AAK123" s="56"/>
      <c r="AAL123" s="56"/>
      <c r="AAM123" s="56"/>
      <c r="AAN123" s="56"/>
      <c r="AAO123" s="56"/>
      <c r="AAP123" s="56"/>
      <c r="AAQ123" s="56"/>
      <c r="AAR123" s="56"/>
      <c r="AAS123" s="56"/>
      <c r="AAT123" s="56"/>
      <c r="AAU123" s="56"/>
      <c r="AAV123" s="56"/>
      <c r="AAW123" s="56"/>
      <c r="AAX123" s="56"/>
      <c r="AAY123" s="56"/>
      <c r="AAZ123" s="56"/>
      <c r="ABA123" s="56"/>
      <c r="ABB123" s="56"/>
      <c r="ABC123" s="56"/>
      <c r="ABD123" s="56"/>
      <c r="ABE123" s="56"/>
      <c r="ABF123" s="56"/>
      <c r="ABG123" s="56"/>
      <c r="ABH123" s="56"/>
      <c r="ABI123" s="56"/>
      <c r="ABJ123" s="56"/>
      <c r="ABK123" s="56"/>
      <c r="ABL123" s="56"/>
      <c r="ABM123" s="56"/>
      <c r="ABN123" s="56"/>
      <c r="ABO123" s="56"/>
      <c r="ABP123" s="56"/>
      <c r="ABQ123" s="56"/>
      <c r="ABR123" s="56"/>
      <c r="ABS123" s="56"/>
      <c r="ABT123" s="56"/>
      <c r="ABU123" s="56"/>
      <c r="ABV123" s="56"/>
      <c r="ABW123" s="56"/>
      <c r="ABX123" s="56"/>
      <c r="ABY123" s="56"/>
      <c r="ABZ123" s="56"/>
      <c r="ACA123" s="56"/>
      <c r="ACB123" s="56"/>
      <c r="ACC123" s="56"/>
      <c r="ACD123" s="56"/>
      <c r="ACE123" s="56"/>
      <c r="ACF123" s="56"/>
      <c r="ACG123" s="56"/>
      <c r="ACH123" s="56"/>
      <c r="ACI123" s="56"/>
      <c r="ACJ123" s="56"/>
      <c r="ACK123" s="56"/>
      <c r="ACL123" s="56"/>
      <c r="ACM123" s="56"/>
      <c r="ACN123" s="56"/>
      <c r="ACO123" s="56"/>
      <c r="ACP123" s="56"/>
      <c r="ACQ123" s="56"/>
      <c r="ACR123" s="56"/>
      <c r="ACS123" s="56"/>
      <c r="ACT123" s="56"/>
      <c r="ACU123" s="56"/>
      <c r="ACV123" s="56"/>
      <c r="ACW123" s="56"/>
      <c r="ACX123" s="56"/>
      <c r="ACY123" s="56"/>
      <c r="ACZ123" s="56"/>
      <c r="ADA123" s="56"/>
      <c r="ADB123" s="56"/>
      <c r="ADC123" s="56"/>
      <c r="ADD123" s="56"/>
      <c r="ADE123" s="56"/>
      <c r="ADF123" s="56"/>
      <c r="ADG123" s="56"/>
      <c r="ADH123" s="56"/>
      <c r="ADI123" s="56"/>
      <c r="ADJ123" s="56"/>
      <c r="ADK123" s="56"/>
      <c r="ADL123" s="56"/>
      <c r="ADM123" s="56"/>
      <c r="ADN123" s="56"/>
      <c r="ADO123" s="56"/>
      <c r="ADP123" s="56"/>
      <c r="ADQ123" s="56"/>
      <c r="ADR123" s="56"/>
      <c r="ADS123" s="56"/>
      <c r="ADT123" s="56"/>
      <c r="ADU123" s="56"/>
      <c r="ADV123" s="56"/>
      <c r="ADW123" s="56"/>
      <c r="ADX123" s="56"/>
      <c r="ADY123" s="56"/>
      <c r="ADZ123" s="56"/>
      <c r="AEA123" s="56"/>
      <c r="AEB123" s="56"/>
      <c r="AEC123" s="56"/>
      <c r="AED123" s="56"/>
      <c r="AEE123" s="56"/>
      <c r="AEF123" s="56"/>
      <c r="AEG123" s="56"/>
      <c r="AEH123" s="56"/>
      <c r="AEI123" s="56"/>
      <c r="AEJ123" s="56"/>
      <c r="AEK123" s="56"/>
      <c r="AEL123" s="56"/>
      <c r="AEM123" s="56"/>
      <c r="AEN123" s="56"/>
      <c r="AEO123" s="56"/>
      <c r="AEP123" s="56"/>
      <c r="AEQ123" s="56"/>
      <c r="AER123" s="56"/>
      <c r="AES123" s="56"/>
      <c r="AET123" s="56"/>
      <c r="AEU123" s="56"/>
      <c r="AEV123" s="56"/>
      <c r="AEW123" s="56"/>
      <c r="AEX123" s="56"/>
      <c r="AEY123" s="56"/>
      <c r="AEZ123" s="56"/>
      <c r="AFA123" s="56"/>
      <c r="AFB123" s="56"/>
      <c r="AFC123" s="56"/>
      <c r="AFD123" s="56"/>
      <c r="AFE123" s="56"/>
      <c r="AFF123" s="56"/>
      <c r="AFG123" s="56"/>
      <c r="AFH123" s="56"/>
      <c r="AFI123" s="56"/>
      <c r="AFJ123" s="56"/>
      <c r="AFK123" s="56"/>
      <c r="AFL123" s="56"/>
      <c r="AFM123" s="56"/>
      <c r="AFN123" s="56"/>
      <c r="AFO123" s="56"/>
      <c r="AFP123" s="56"/>
      <c r="AFQ123" s="56"/>
      <c r="AFR123" s="56"/>
      <c r="AFS123" s="56"/>
      <c r="AFT123" s="56"/>
      <c r="AFU123" s="56"/>
      <c r="AFV123" s="56"/>
      <c r="AFW123" s="56"/>
      <c r="AFX123" s="56"/>
      <c r="AFY123" s="56"/>
      <c r="AFZ123" s="56"/>
      <c r="AGA123" s="56"/>
      <c r="AGB123" s="56"/>
      <c r="AGC123" s="56"/>
      <c r="AGD123" s="56"/>
      <c r="AGE123" s="56"/>
      <c r="AGF123" s="56"/>
      <c r="AGG123" s="56"/>
      <c r="AGH123" s="56"/>
      <c r="AGI123" s="56"/>
      <c r="AGJ123" s="56"/>
      <c r="AGK123" s="56"/>
      <c r="AGL123" s="56"/>
      <c r="AGM123" s="56"/>
      <c r="AGN123" s="56"/>
      <c r="AGO123" s="56"/>
      <c r="AGP123" s="56"/>
      <c r="AGQ123" s="56"/>
      <c r="AGR123" s="56"/>
      <c r="AGS123" s="56"/>
      <c r="AGT123" s="56"/>
      <c r="AGU123" s="56"/>
      <c r="AGV123" s="56"/>
      <c r="AGW123" s="56"/>
      <c r="AGX123" s="56"/>
      <c r="AGY123" s="56"/>
      <c r="AGZ123" s="56"/>
      <c r="AHA123" s="56"/>
      <c r="AHB123" s="56"/>
      <c r="AHC123" s="56"/>
      <c r="AHD123" s="56"/>
      <c r="AHE123" s="56"/>
      <c r="AHF123" s="56"/>
      <c r="AHG123" s="56"/>
      <c r="AHH123" s="56"/>
      <c r="AHI123" s="56"/>
      <c r="AHJ123" s="56"/>
      <c r="AHK123" s="56"/>
      <c r="AHL123" s="56"/>
      <c r="AHM123" s="56"/>
      <c r="AHN123" s="56"/>
      <c r="AHO123" s="56"/>
      <c r="AHP123" s="56"/>
      <c r="AHQ123" s="56"/>
      <c r="AHR123" s="56"/>
      <c r="AHS123" s="56"/>
      <c r="AHT123" s="56"/>
      <c r="AHU123" s="56"/>
      <c r="AHV123" s="56"/>
      <c r="AHW123" s="56"/>
      <c r="AHX123" s="56"/>
      <c r="AHY123" s="56"/>
      <c r="AHZ123" s="56"/>
      <c r="AIA123" s="56"/>
      <c r="AIB123" s="56"/>
      <c r="AIC123" s="56"/>
      <c r="AID123" s="56"/>
      <c r="AIE123" s="56"/>
      <c r="AIF123" s="56"/>
      <c r="AIG123" s="56"/>
      <c r="AIH123" s="56"/>
      <c r="AII123" s="56"/>
      <c r="AIJ123" s="56"/>
      <c r="AIK123" s="56"/>
      <c r="AIL123" s="56"/>
      <c r="AIM123" s="56"/>
      <c r="AIN123" s="56"/>
      <c r="AIO123" s="56"/>
      <c r="AIP123" s="56"/>
      <c r="AIQ123" s="56"/>
      <c r="AIR123" s="56"/>
      <c r="AIS123" s="56"/>
      <c r="AIT123" s="56"/>
      <c r="AIU123" s="56"/>
      <c r="AIV123" s="56"/>
      <c r="AIW123" s="56"/>
      <c r="AIX123" s="56"/>
      <c r="AIY123" s="56"/>
      <c r="AIZ123" s="56"/>
      <c r="AJA123" s="56"/>
      <c r="AJB123" s="56"/>
      <c r="AJC123" s="56"/>
      <c r="AJD123" s="56"/>
      <c r="AJE123" s="56"/>
      <c r="AJF123" s="56"/>
      <c r="AJG123" s="56"/>
      <c r="AJH123" s="56"/>
      <c r="AJI123" s="56"/>
      <c r="AJJ123" s="56"/>
      <c r="AJK123" s="56"/>
      <c r="AJL123" s="56"/>
      <c r="AJM123" s="56"/>
      <c r="AJN123" s="56"/>
      <c r="AJO123" s="56"/>
      <c r="AJP123" s="56"/>
      <c r="AJQ123" s="56"/>
      <c r="AJR123" s="56"/>
      <c r="AJS123" s="56"/>
      <c r="AJT123" s="56"/>
      <c r="AJU123" s="56"/>
      <c r="AJV123" s="56"/>
      <c r="AJW123" s="56"/>
      <c r="AJX123" s="56"/>
      <c r="AJY123" s="56"/>
      <c r="AJZ123" s="56"/>
      <c r="AKA123" s="56"/>
      <c r="AKB123" s="56"/>
      <c r="AKC123" s="56"/>
      <c r="AKD123" s="56"/>
      <c r="AKE123" s="56"/>
      <c r="AKF123" s="56"/>
      <c r="AKG123" s="56"/>
      <c r="AKH123" s="56"/>
      <c r="AKI123" s="56"/>
      <c r="AKJ123" s="56"/>
      <c r="AKK123" s="56"/>
      <c r="AKL123" s="56"/>
      <c r="AKM123" s="56"/>
      <c r="AKN123" s="56"/>
      <c r="AKO123" s="56"/>
      <c r="AKP123" s="56"/>
      <c r="AKQ123" s="56"/>
      <c r="AKR123" s="56"/>
      <c r="AKS123" s="56"/>
      <c r="AKT123" s="56"/>
      <c r="AKU123" s="56"/>
      <c r="AKV123" s="56"/>
      <c r="AKW123" s="56"/>
      <c r="AKX123" s="56"/>
      <c r="AKY123" s="56"/>
      <c r="AKZ123" s="56"/>
      <c r="ALA123" s="56"/>
      <c r="ALB123" s="56"/>
      <c r="ALC123" s="56"/>
      <c r="ALD123" s="56"/>
      <c r="ALE123" s="56"/>
      <c r="ALF123" s="56"/>
      <c r="ALG123" s="56"/>
      <c r="ALH123" s="56"/>
      <c r="ALI123" s="56"/>
      <c r="ALJ123" s="56"/>
      <c r="ALK123" s="56"/>
      <c r="ALL123" s="56"/>
      <c r="ALM123" s="56"/>
      <c r="ALN123" s="56"/>
      <c r="ALO123" s="56"/>
      <c r="ALP123" s="56"/>
      <c r="ALQ123" s="56"/>
      <c r="ALR123" s="56"/>
      <c r="ALS123" s="56"/>
      <c r="ALT123" s="56"/>
      <c r="ALU123" s="56"/>
      <c r="ALV123" s="56"/>
      <c r="ALW123" s="56"/>
      <c r="ALX123" s="56"/>
      <c r="ALY123" s="56"/>
      <c r="ALZ123" s="56"/>
      <c r="AMA123" s="56"/>
      <c r="AMB123" s="56"/>
      <c r="AMC123" s="56"/>
      <c r="AMD123" s="56"/>
      <c r="AME123" s="56"/>
      <c r="AMF123" s="56"/>
      <c r="AMG123" s="56"/>
      <c r="AMH123" s="56"/>
      <c r="AMI123" s="56"/>
      <c r="AMJ123" s="56"/>
    </row>
    <row r="124" spans="12:1024" ht="15.95" customHeight="1" x14ac:dyDescent="0.2">
      <c r="L124" s="56"/>
      <c r="M124" s="57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56"/>
      <c r="CP124" s="56"/>
      <c r="CQ124" s="56"/>
      <c r="CR124" s="56"/>
      <c r="CS124" s="56"/>
      <c r="CT124" s="56"/>
      <c r="CU124" s="56"/>
      <c r="CV124" s="56"/>
      <c r="CW124" s="56"/>
      <c r="CX124" s="56"/>
      <c r="CY124" s="56"/>
      <c r="CZ124" s="56"/>
      <c r="DA124" s="56"/>
      <c r="DB124" s="56"/>
      <c r="DC124" s="56"/>
      <c r="DD124" s="56"/>
      <c r="DE124" s="56"/>
      <c r="DF124" s="56"/>
      <c r="DG124" s="56"/>
      <c r="DH124" s="56"/>
      <c r="DI124" s="56"/>
      <c r="DJ124" s="56"/>
      <c r="DK124" s="56"/>
      <c r="DL124" s="56"/>
      <c r="DM124" s="56"/>
      <c r="DN124" s="56"/>
      <c r="DO124" s="56"/>
      <c r="DP124" s="56"/>
      <c r="DQ124" s="56"/>
      <c r="DR124" s="56"/>
      <c r="DS124" s="56"/>
      <c r="DT124" s="56"/>
      <c r="DU124" s="56"/>
      <c r="DV124" s="56"/>
      <c r="DW124" s="56"/>
      <c r="DX124" s="56"/>
      <c r="DY124" s="56"/>
      <c r="DZ124" s="56"/>
      <c r="EA124" s="56"/>
      <c r="EB124" s="56"/>
      <c r="EC124" s="56"/>
      <c r="ED124" s="56"/>
      <c r="EE124" s="56"/>
      <c r="EF124" s="56"/>
      <c r="EG124" s="56"/>
      <c r="EH124" s="56"/>
      <c r="EI124" s="56"/>
      <c r="EJ124" s="56"/>
      <c r="EK124" s="56"/>
      <c r="EL124" s="56"/>
      <c r="EM124" s="56"/>
      <c r="EN124" s="56"/>
      <c r="EO124" s="56"/>
      <c r="EP124" s="56"/>
      <c r="EQ124" s="56"/>
      <c r="ER124" s="56"/>
      <c r="ES124" s="56"/>
      <c r="ET124" s="56"/>
      <c r="EU124" s="56"/>
      <c r="EV124" s="56"/>
      <c r="EW124" s="56"/>
      <c r="EX124" s="56"/>
      <c r="EY124" s="56"/>
      <c r="EZ124" s="56"/>
      <c r="FA124" s="56"/>
      <c r="FB124" s="56"/>
      <c r="FC124" s="56"/>
      <c r="FD124" s="56"/>
      <c r="FE124" s="56"/>
      <c r="FF124" s="56"/>
      <c r="FG124" s="56"/>
      <c r="FH124" s="56"/>
      <c r="FI124" s="56"/>
      <c r="FJ124" s="56"/>
      <c r="FK124" s="56"/>
      <c r="FL124" s="56"/>
      <c r="FM124" s="56"/>
      <c r="FN124" s="56"/>
      <c r="FO124" s="56"/>
      <c r="FP124" s="56"/>
      <c r="FQ124" s="56"/>
      <c r="FR124" s="56"/>
      <c r="FS124" s="56"/>
      <c r="FT124" s="56"/>
      <c r="FU124" s="56"/>
      <c r="FV124" s="56"/>
      <c r="FW124" s="56"/>
      <c r="FX124" s="56"/>
      <c r="FY124" s="56"/>
      <c r="FZ124" s="56"/>
      <c r="GA124" s="56"/>
      <c r="GB124" s="56"/>
      <c r="GC124" s="56"/>
      <c r="GD124" s="56"/>
      <c r="GE124" s="56"/>
      <c r="GF124" s="56"/>
      <c r="GG124" s="56"/>
      <c r="GH124" s="56"/>
      <c r="GI124" s="56"/>
      <c r="GJ124" s="56"/>
      <c r="GK124" s="56"/>
      <c r="GL124" s="56"/>
      <c r="GM124" s="56"/>
      <c r="GN124" s="56"/>
      <c r="GO124" s="56"/>
      <c r="GP124" s="56"/>
      <c r="GQ124" s="56"/>
      <c r="GR124" s="56"/>
      <c r="GS124" s="56"/>
      <c r="GT124" s="56"/>
      <c r="GU124" s="56"/>
      <c r="GV124" s="56"/>
      <c r="GW124" s="56"/>
      <c r="GX124" s="56"/>
      <c r="GY124" s="56"/>
      <c r="GZ124" s="56"/>
      <c r="HA124" s="56"/>
      <c r="HB124" s="56"/>
      <c r="HC124" s="56"/>
      <c r="HD124" s="56"/>
      <c r="HE124" s="56"/>
      <c r="HF124" s="56"/>
      <c r="HG124" s="56"/>
      <c r="HH124" s="56"/>
      <c r="HI124" s="56"/>
      <c r="HJ124" s="56"/>
      <c r="HK124" s="56"/>
      <c r="HL124" s="56"/>
      <c r="HM124" s="56"/>
      <c r="HN124" s="56"/>
      <c r="HO124" s="56"/>
      <c r="HP124" s="56"/>
      <c r="HQ124" s="56"/>
      <c r="HR124" s="56"/>
      <c r="HS124" s="56"/>
      <c r="HT124" s="56"/>
      <c r="HU124" s="56"/>
      <c r="HV124" s="56"/>
      <c r="HW124" s="56"/>
      <c r="HX124" s="56"/>
      <c r="HY124" s="56"/>
      <c r="HZ124" s="56"/>
      <c r="IA124" s="56"/>
      <c r="IB124" s="56"/>
      <c r="IC124" s="56"/>
      <c r="ID124" s="56"/>
      <c r="IE124" s="56"/>
      <c r="IF124" s="56"/>
      <c r="IG124" s="56"/>
      <c r="IH124" s="56"/>
      <c r="II124" s="56"/>
      <c r="IJ124" s="56"/>
      <c r="IK124" s="56"/>
      <c r="IL124" s="56"/>
      <c r="IM124" s="56"/>
      <c r="IN124" s="56"/>
      <c r="IO124" s="56"/>
      <c r="IP124" s="56"/>
      <c r="IQ124" s="56"/>
      <c r="IR124" s="56"/>
      <c r="IS124" s="56"/>
      <c r="IT124" s="56"/>
      <c r="IU124" s="56"/>
      <c r="IV124" s="56"/>
      <c r="IW124" s="56"/>
      <c r="IX124" s="56"/>
      <c r="IY124" s="56"/>
      <c r="IZ124" s="56"/>
      <c r="JA124" s="56"/>
      <c r="JB124" s="56"/>
      <c r="JC124" s="56"/>
      <c r="JD124" s="56"/>
      <c r="JE124" s="56"/>
      <c r="JF124" s="56"/>
      <c r="JG124" s="56"/>
      <c r="JH124" s="56"/>
      <c r="JI124" s="56"/>
      <c r="JJ124" s="56"/>
      <c r="JK124" s="56"/>
      <c r="JL124" s="56"/>
      <c r="JM124" s="56"/>
      <c r="JN124" s="56"/>
      <c r="JO124" s="56"/>
      <c r="JP124" s="56"/>
      <c r="JQ124" s="56"/>
      <c r="JR124" s="56"/>
      <c r="JS124" s="56"/>
      <c r="JT124" s="56"/>
      <c r="JU124" s="56"/>
      <c r="JV124" s="56"/>
      <c r="JW124" s="56"/>
      <c r="JX124" s="56"/>
      <c r="JY124" s="56"/>
      <c r="JZ124" s="56"/>
      <c r="KA124" s="56"/>
      <c r="KB124" s="56"/>
      <c r="KC124" s="56"/>
      <c r="KD124" s="56"/>
      <c r="KE124" s="56"/>
      <c r="KF124" s="56"/>
      <c r="KG124" s="56"/>
      <c r="KH124" s="56"/>
      <c r="KI124" s="56"/>
      <c r="KJ124" s="56"/>
      <c r="KK124" s="56"/>
      <c r="KL124" s="56"/>
      <c r="KM124" s="56"/>
      <c r="KN124" s="56"/>
      <c r="KO124" s="56"/>
      <c r="KP124" s="56"/>
      <c r="KQ124" s="56"/>
      <c r="KR124" s="56"/>
      <c r="KS124" s="56"/>
      <c r="KT124" s="56"/>
      <c r="KU124" s="56"/>
      <c r="KV124" s="56"/>
      <c r="KW124" s="56"/>
      <c r="KX124" s="56"/>
      <c r="KY124" s="56"/>
      <c r="KZ124" s="56"/>
      <c r="LA124" s="56"/>
      <c r="LB124" s="56"/>
      <c r="LC124" s="56"/>
      <c r="LD124" s="56"/>
      <c r="LE124" s="56"/>
      <c r="LF124" s="56"/>
      <c r="LG124" s="56"/>
      <c r="LH124" s="56"/>
      <c r="LI124" s="56"/>
      <c r="LJ124" s="56"/>
      <c r="LK124" s="56"/>
      <c r="LL124" s="56"/>
      <c r="LM124" s="56"/>
      <c r="LN124" s="56"/>
      <c r="LO124" s="56"/>
      <c r="LP124" s="56"/>
      <c r="LQ124" s="56"/>
      <c r="LR124" s="56"/>
      <c r="LS124" s="56"/>
      <c r="LT124" s="56"/>
      <c r="LU124" s="56"/>
      <c r="LV124" s="56"/>
      <c r="LW124" s="56"/>
      <c r="LX124" s="56"/>
      <c r="LY124" s="56"/>
      <c r="LZ124" s="56"/>
      <c r="MA124" s="56"/>
      <c r="MB124" s="56"/>
      <c r="MC124" s="56"/>
      <c r="MD124" s="56"/>
      <c r="ME124" s="56"/>
      <c r="MF124" s="56"/>
      <c r="MG124" s="56"/>
      <c r="MH124" s="56"/>
      <c r="MI124" s="56"/>
      <c r="MJ124" s="56"/>
      <c r="MK124" s="56"/>
      <c r="ML124" s="56"/>
      <c r="MM124" s="56"/>
      <c r="MN124" s="56"/>
      <c r="MO124" s="56"/>
      <c r="MP124" s="56"/>
      <c r="MQ124" s="56"/>
      <c r="MR124" s="56"/>
      <c r="MS124" s="56"/>
      <c r="MT124" s="56"/>
      <c r="MU124" s="56"/>
      <c r="MV124" s="56"/>
      <c r="MW124" s="56"/>
      <c r="MX124" s="56"/>
      <c r="MY124" s="56"/>
      <c r="MZ124" s="56"/>
      <c r="NA124" s="56"/>
      <c r="NB124" s="56"/>
      <c r="NC124" s="56"/>
      <c r="ND124" s="56"/>
      <c r="NE124" s="56"/>
      <c r="NF124" s="56"/>
      <c r="NG124" s="56"/>
      <c r="NH124" s="56"/>
      <c r="NI124" s="56"/>
      <c r="NJ124" s="56"/>
      <c r="NK124" s="56"/>
      <c r="NL124" s="56"/>
      <c r="NM124" s="56"/>
      <c r="NN124" s="56"/>
      <c r="NO124" s="56"/>
      <c r="NP124" s="56"/>
      <c r="NQ124" s="56"/>
      <c r="NR124" s="56"/>
      <c r="NS124" s="56"/>
      <c r="NT124" s="56"/>
      <c r="NU124" s="56"/>
      <c r="NV124" s="56"/>
      <c r="NW124" s="56"/>
      <c r="NX124" s="56"/>
      <c r="NY124" s="56"/>
      <c r="NZ124" s="56"/>
      <c r="OA124" s="56"/>
      <c r="OB124" s="56"/>
      <c r="OC124" s="56"/>
      <c r="OD124" s="56"/>
      <c r="OE124" s="56"/>
      <c r="OF124" s="56"/>
      <c r="OG124" s="56"/>
      <c r="OH124" s="56"/>
      <c r="OI124" s="56"/>
      <c r="OJ124" s="56"/>
      <c r="OK124" s="56"/>
      <c r="OL124" s="56"/>
      <c r="OM124" s="56"/>
      <c r="ON124" s="56"/>
      <c r="OO124" s="56"/>
      <c r="OP124" s="56"/>
      <c r="OQ124" s="56"/>
      <c r="OR124" s="56"/>
      <c r="OS124" s="56"/>
      <c r="OT124" s="56"/>
      <c r="OU124" s="56"/>
      <c r="OV124" s="56"/>
      <c r="OW124" s="56"/>
      <c r="OX124" s="56"/>
      <c r="OY124" s="56"/>
      <c r="OZ124" s="56"/>
      <c r="PA124" s="56"/>
      <c r="PB124" s="56"/>
      <c r="PC124" s="56"/>
      <c r="PD124" s="56"/>
      <c r="PE124" s="56"/>
      <c r="PF124" s="56"/>
      <c r="PG124" s="56"/>
      <c r="PH124" s="56"/>
      <c r="PI124" s="56"/>
      <c r="PJ124" s="56"/>
      <c r="PK124" s="56"/>
      <c r="PL124" s="56"/>
      <c r="PM124" s="56"/>
      <c r="PN124" s="56"/>
      <c r="PO124" s="56"/>
      <c r="PP124" s="56"/>
      <c r="PQ124" s="56"/>
      <c r="PR124" s="56"/>
      <c r="PS124" s="56"/>
      <c r="PT124" s="56"/>
      <c r="PU124" s="56"/>
      <c r="PV124" s="56"/>
      <c r="PW124" s="56"/>
      <c r="PX124" s="56"/>
      <c r="PY124" s="56"/>
      <c r="PZ124" s="56"/>
      <c r="QA124" s="56"/>
      <c r="QB124" s="56"/>
      <c r="QC124" s="56"/>
      <c r="QD124" s="56"/>
      <c r="QE124" s="56"/>
      <c r="QF124" s="56"/>
      <c r="QG124" s="56"/>
      <c r="QH124" s="56"/>
      <c r="QI124" s="56"/>
      <c r="QJ124" s="56"/>
      <c r="QK124" s="56"/>
      <c r="QL124" s="56"/>
      <c r="QM124" s="56"/>
      <c r="QN124" s="56"/>
      <c r="QO124" s="56"/>
      <c r="QP124" s="56"/>
      <c r="QQ124" s="56"/>
      <c r="QR124" s="56"/>
      <c r="QS124" s="56"/>
      <c r="QT124" s="56"/>
      <c r="QU124" s="56"/>
      <c r="QV124" s="56"/>
      <c r="QW124" s="56"/>
      <c r="QX124" s="56"/>
      <c r="QY124" s="56"/>
      <c r="QZ124" s="56"/>
      <c r="RA124" s="56"/>
      <c r="RB124" s="56"/>
      <c r="RC124" s="56"/>
      <c r="RD124" s="56"/>
      <c r="RE124" s="56"/>
      <c r="RF124" s="56"/>
      <c r="RG124" s="56"/>
      <c r="RH124" s="56"/>
      <c r="RI124" s="56"/>
      <c r="RJ124" s="56"/>
      <c r="RK124" s="56"/>
      <c r="RL124" s="56"/>
      <c r="RM124" s="56"/>
      <c r="RN124" s="56"/>
      <c r="RO124" s="56"/>
      <c r="RP124" s="56"/>
      <c r="RQ124" s="56"/>
      <c r="RR124" s="56"/>
      <c r="RS124" s="56"/>
      <c r="RT124" s="56"/>
      <c r="RU124" s="56"/>
      <c r="RV124" s="56"/>
      <c r="RW124" s="56"/>
      <c r="RX124" s="56"/>
      <c r="RY124" s="56"/>
      <c r="RZ124" s="56"/>
      <c r="SA124" s="56"/>
      <c r="SB124" s="56"/>
      <c r="SC124" s="56"/>
      <c r="SD124" s="56"/>
      <c r="SE124" s="56"/>
      <c r="SF124" s="56"/>
      <c r="SG124" s="56"/>
      <c r="SH124" s="56"/>
      <c r="SI124" s="56"/>
      <c r="SJ124" s="56"/>
      <c r="SK124" s="56"/>
      <c r="SL124" s="56"/>
      <c r="SM124" s="56"/>
      <c r="SN124" s="56"/>
      <c r="SO124" s="56"/>
      <c r="SP124" s="56"/>
      <c r="SQ124" s="56"/>
      <c r="SR124" s="56"/>
      <c r="SS124" s="56"/>
      <c r="ST124" s="56"/>
      <c r="SU124" s="56"/>
      <c r="SV124" s="56"/>
      <c r="SW124" s="56"/>
      <c r="SX124" s="56"/>
      <c r="SY124" s="56"/>
      <c r="SZ124" s="56"/>
      <c r="TA124" s="56"/>
      <c r="TB124" s="56"/>
      <c r="TC124" s="56"/>
      <c r="TD124" s="56"/>
      <c r="TE124" s="56"/>
      <c r="TF124" s="56"/>
      <c r="TG124" s="56"/>
      <c r="TH124" s="56"/>
      <c r="TI124" s="56"/>
      <c r="TJ124" s="56"/>
      <c r="TK124" s="56"/>
      <c r="TL124" s="56"/>
      <c r="TM124" s="56"/>
      <c r="TN124" s="56"/>
      <c r="TO124" s="56"/>
      <c r="TP124" s="56"/>
      <c r="TQ124" s="56"/>
      <c r="TR124" s="56"/>
      <c r="TS124" s="56"/>
      <c r="TT124" s="56"/>
      <c r="TU124" s="56"/>
      <c r="TV124" s="56"/>
      <c r="TW124" s="56"/>
      <c r="TX124" s="56"/>
      <c r="TY124" s="56"/>
      <c r="TZ124" s="56"/>
      <c r="UA124" s="56"/>
      <c r="UB124" s="56"/>
      <c r="UC124" s="56"/>
      <c r="UD124" s="56"/>
      <c r="UE124" s="56"/>
      <c r="UF124" s="56"/>
      <c r="UG124" s="56"/>
      <c r="UH124" s="56"/>
      <c r="UI124" s="56"/>
      <c r="UJ124" s="56"/>
      <c r="UK124" s="56"/>
      <c r="UL124" s="56"/>
      <c r="UM124" s="56"/>
      <c r="UN124" s="56"/>
      <c r="UO124" s="56"/>
      <c r="UP124" s="56"/>
      <c r="UQ124" s="56"/>
      <c r="UR124" s="56"/>
      <c r="US124" s="56"/>
      <c r="UT124" s="56"/>
      <c r="UU124" s="56"/>
      <c r="UV124" s="56"/>
      <c r="UW124" s="56"/>
      <c r="UX124" s="56"/>
      <c r="UY124" s="56"/>
      <c r="UZ124" s="56"/>
      <c r="VA124" s="56"/>
      <c r="VB124" s="56"/>
      <c r="VC124" s="56"/>
      <c r="VD124" s="56"/>
      <c r="VE124" s="56"/>
      <c r="VF124" s="56"/>
      <c r="VG124" s="56"/>
      <c r="VH124" s="56"/>
      <c r="VI124" s="56"/>
      <c r="VJ124" s="56"/>
      <c r="VK124" s="56"/>
      <c r="VL124" s="56"/>
      <c r="VM124" s="56"/>
      <c r="VN124" s="56"/>
      <c r="VO124" s="56"/>
      <c r="VP124" s="56"/>
      <c r="VQ124" s="56"/>
      <c r="VR124" s="56"/>
      <c r="VS124" s="56"/>
      <c r="VT124" s="56"/>
      <c r="VU124" s="56"/>
      <c r="VV124" s="56"/>
      <c r="VW124" s="56"/>
      <c r="VX124" s="56"/>
      <c r="VY124" s="56"/>
      <c r="VZ124" s="56"/>
      <c r="WA124" s="56"/>
      <c r="WB124" s="56"/>
      <c r="WC124" s="56"/>
      <c r="WD124" s="56"/>
      <c r="WE124" s="56"/>
      <c r="WF124" s="56"/>
      <c r="WG124" s="56"/>
      <c r="WH124" s="56"/>
      <c r="WI124" s="56"/>
      <c r="WJ124" s="56"/>
      <c r="WK124" s="56"/>
      <c r="WL124" s="56"/>
      <c r="WM124" s="56"/>
      <c r="WN124" s="56"/>
      <c r="WO124" s="56"/>
      <c r="WP124" s="56"/>
      <c r="WQ124" s="56"/>
      <c r="WR124" s="56"/>
      <c r="WS124" s="56"/>
      <c r="WT124" s="56"/>
      <c r="WU124" s="56"/>
      <c r="WV124" s="56"/>
      <c r="WW124" s="56"/>
      <c r="WX124" s="56"/>
      <c r="WY124" s="56"/>
      <c r="WZ124" s="56"/>
      <c r="XA124" s="56"/>
      <c r="XB124" s="56"/>
      <c r="XC124" s="56"/>
      <c r="XD124" s="56"/>
      <c r="XE124" s="56"/>
      <c r="XF124" s="56"/>
      <c r="XG124" s="56"/>
      <c r="XH124" s="56"/>
      <c r="XI124" s="56"/>
      <c r="XJ124" s="56"/>
      <c r="XK124" s="56"/>
      <c r="XL124" s="56"/>
      <c r="XM124" s="56"/>
      <c r="XN124" s="56"/>
      <c r="XO124" s="56"/>
      <c r="XP124" s="56"/>
      <c r="XQ124" s="56"/>
      <c r="XR124" s="56"/>
      <c r="XS124" s="56"/>
      <c r="XT124" s="56"/>
      <c r="XU124" s="56"/>
      <c r="XV124" s="56"/>
      <c r="XW124" s="56"/>
      <c r="XX124" s="56"/>
      <c r="XY124" s="56"/>
      <c r="XZ124" s="56"/>
      <c r="YA124" s="56"/>
      <c r="YB124" s="56"/>
      <c r="YC124" s="56"/>
      <c r="YD124" s="56"/>
      <c r="YE124" s="56"/>
      <c r="YF124" s="56"/>
      <c r="YG124" s="56"/>
      <c r="YH124" s="56"/>
      <c r="YI124" s="56"/>
      <c r="YJ124" s="56"/>
      <c r="YK124" s="56"/>
      <c r="YL124" s="56"/>
      <c r="YM124" s="56"/>
      <c r="YN124" s="56"/>
      <c r="YO124" s="56"/>
      <c r="YP124" s="56"/>
      <c r="YQ124" s="56"/>
      <c r="YR124" s="56"/>
      <c r="YS124" s="56"/>
      <c r="YT124" s="56"/>
      <c r="YU124" s="56"/>
      <c r="YV124" s="56"/>
      <c r="YW124" s="56"/>
      <c r="YX124" s="56"/>
      <c r="YY124" s="56"/>
      <c r="YZ124" s="56"/>
      <c r="ZA124" s="56"/>
      <c r="ZB124" s="56"/>
      <c r="ZC124" s="56"/>
      <c r="ZD124" s="56"/>
      <c r="ZE124" s="56"/>
      <c r="ZF124" s="56"/>
      <c r="ZG124" s="56"/>
      <c r="ZH124" s="56"/>
      <c r="ZI124" s="56"/>
      <c r="ZJ124" s="56"/>
      <c r="ZK124" s="56"/>
      <c r="ZL124" s="56"/>
      <c r="ZM124" s="56"/>
      <c r="ZN124" s="56"/>
      <c r="ZO124" s="56"/>
      <c r="ZP124" s="56"/>
      <c r="ZQ124" s="56"/>
      <c r="ZR124" s="56"/>
      <c r="ZS124" s="56"/>
      <c r="ZT124" s="56"/>
      <c r="ZU124" s="56"/>
      <c r="ZV124" s="56"/>
      <c r="ZW124" s="56"/>
      <c r="ZX124" s="56"/>
      <c r="ZY124" s="56"/>
      <c r="ZZ124" s="56"/>
      <c r="AAA124" s="56"/>
      <c r="AAB124" s="56"/>
      <c r="AAC124" s="56"/>
      <c r="AAD124" s="56"/>
      <c r="AAE124" s="56"/>
      <c r="AAF124" s="56"/>
      <c r="AAG124" s="56"/>
      <c r="AAH124" s="56"/>
      <c r="AAI124" s="56"/>
      <c r="AAJ124" s="56"/>
      <c r="AAK124" s="56"/>
      <c r="AAL124" s="56"/>
      <c r="AAM124" s="56"/>
      <c r="AAN124" s="56"/>
      <c r="AAO124" s="56"/>
      <c r="AAP124" s="56"/>
      <c r="AAQ124" s="56"/>
      <c r="AAR124" s="56"/>
      <c r="AAS124" s="56"/>
      <c r="AAT124" s="56"/>
      <c r="AAU124" s="56"/>
      <c r="AAV124" s="56"/>
      <c r="AAW124" s="56"/>
      <c r="AAX124" s="56"/>
      <c r="AAY124" s="56"/>
      <c r="AAZ124" s="56"/>
      <c r="ABA124" s="56"/>
      <c r="ABB124" s="56"/>
      <c r="ABC124" s="56"/>
      <c r="ABD124" s="56"/>
      <c r="ABE124" s="56"/>
      <c r="ABF124" s="56"/>
      <c r="ABG124" s="56"/>
      <c r="ABH124" s="56"/>
      <c r="ABI124" s="56"/>
      <c r="ABJ124" s="56"/>
      <c r="ABK124" s="56"/>
      <c r="ABL124" s="56"/>
      <c r="ABM124" s="56"/>
      <c r="ABN124" s="56"/>
      <c r="ABO124" s="56"/>
      <c r="ABP124" s="56"/>
      <c r="ABQ124" s="56"/>
      <c r="ABR124" s="56"/>
      <c r="ABS124" s="56"/>
      <c r="ABT124" s="56"/>
      <c r="ABU124" s="56"/>
      <c r="ABV124" s="56"/>
      <c r="ABW124" s="56"/>
      <c r="ABX124" s="56"/>
      <c r="ABY124" s="56"/>
      <c r="ABZ124" s="56"/>
      <c r="ACA124" s="56"/>
      <c r="ACB124" s="56"/>
      <c r="ACC124" s="56"/>
      <c r="ACD124" s="56"/>
      <c r="ACE124" s="56"/>
      <c r="ACF124" s="56"/>
      <c r="ACG124" s="56"/>
      <c r="ACH124" s="56"/>
      <c r="ACI124" s="56"/>
      <c r="ACJ124" s="56"/>
      <c r="ACK124" s="56"/>
      <c r="ACL124" s="56"/>
      <c r="ACM124" s="56"/>
      <c r="ACN124" s="56"/>
      <c r="ACO124" s="56"/>
      <c r="ACP124" s="56"/>
      <c r="ACQ124" s="56"/>
      <c r="ACR124" s="56"/>
      <c r="ACS124" s="56"/>
      <c r="ACT124" s="56"/>
      <c r="ACU124" s="56"/>
      <c r="ACV124" s="56"/>
      <c r="ACW124" s="56"/>
      <c r="ACX124" s="56"/>
      <c r="ACY124" s="56"/>
      <c r="ACZ124" s="56"/>
      <c r="ADA124" s="56"/>
      <c r="ADB124" s="56"/>
      <c r="ADC124" s="56"/>
      <c r="ADD124" s="56"/>
      <c r="ADE124" s="56"/>
      <c r="ADF124" s="56"/>
      <c r="ADG124" s="56"/>
      <c r="ADH124" s="56"/>
      <c r="ADI124" s="56"/>
      <c r="ADJ124" s="56"/>
      <c r="ADK124" s="56"/>
      <c r="ADL124" s="56"/>
      <c r="ADM124" s="56"/>
      <c r="ADN124" s="56"/>
      <c r="ADO124" s="56"/>
      <c r="ADP124" s="56"/>
      <c r="ADQ124" s="56"/>
      <c r="ADR124" s="56"/>
      <c r="ADS124" s="56"/>
      <c r="ADT124" s="56"/>
      <c r="ADU124" s="56"/>
      <c r="ADV124" s="56"/>
      <c r="ADW124" s="56"/>
      <c r="ADX124" s="56"/>
      <c r="ADY124" s="56"/>
      <c r="ADZ124" s="56"/>
      <c r="AEA124" s="56"/>
      <c r="AEB124" s="56"/>
      <c r="AEC124" s="56"/>
      <c r="AED124" s="56"/>
      <c r="AEE124" s="56"/>
      <c r="AEF124" s="56"/>
      <c r="AEG124" s="56"/>
      <c r="AEH124" s="56"/>
      <c r="AEI124" s="56"/>
      <c r="AEJ124" s="56"/>
      <c r="AEK124" s="56"/>
      <c r="AEL124" s="56"/>
      <c r="AEM124" s="56"/>
      <c r="AEN124" s="56"/>
      <c r="AEO124" s="56"/>
      <c r="AEP124" s="56"/>
      <c r="AEQ124" s="56"/>
      <c r="AER124" s="56"/>
      <c r="AES124" s="56"/>
      <c r="AET124" s="56"/>
      <c r="AEU124" s="56"/>
      <c r="AEV124" s="56"/>
      <c r="AEW124" s="56"/>
      <c r="AEX124" s="56"/>
      <c r="AEY124" s="56"/>
      <c r="AEZ124" s="56"/>
      <c r="AFA124" s="56"/>
      <c r="AFB124" s="56"/>
      <c r="AFC124" s="56"/>
      <c r="AFD124" s="56"/>
      <c r="AFE124" s="56"/>
      <c r="AFF124" s="56"/>
      <c r="AFG124" s="56"/>
      <c r="AFH124" s="56"/>
      <c r="AFI124" s="56"/>
      <c r="AFJ124" s="56"/>
      <c r="AFK124" s="56"/>
      <c r="AFL124" s="56"/>
      <c r="AFM124" s="56"/>
      <c r="AFN124" s="56"/>
      <c r="AFO124" s="56"/>
      <c r="AFP124" s="56"/>
      <c r="AFQ124" s="56"/>
      <c r="AFR124" s="56"/>
      <c r="AFS124" s="56"/>
      <c r="AFT124" s="56"/>
      <c r="AFU124" s="56"/>
      <c r="AFV124" s="56"/>
      <c r="AFW124" s="56"/>
      <c r="AFX124" s="56"/>
      <c r="AFY124" s="56"/>
      <c r="AFZ124" s="56"/>
      <c r="AGA124" s="56"/>
      <c r="AGB124" s="56"/>
      <c r="AGC124" s="56"/>
      <c r="AGD124" s="56"/>
      <c r="AGE124" s="56"/>
      <c r="AGF124" s="56"/>
      <c r="AGG124" s="56"/>
      <c r="AGH124" s="56"/>
      <c r="AGI124" s="56"/>
      <c r="AGJ124" s="56"/>
      <c r="AGK124" s="56"/>
      <c r="AGL124" s="56"/>
      <c r="AGM124" s="56"/>
      <c r="AGN124" s="56"/>
      <c r="AGO124" s="56"/>
      <c r="AGP124" s="56"/>
      <c r="AGQ124" s="56"/>
      <c r="AGR124" s="56"/>
      <c r="AGS124" s="56"/>
      <c r="AGT124" s="56"/>
      <c r="AGU124" s="56"/>
      <c r="AGV124" s="56"/>
      <c r="AGW124" s="56"/>
      <c r="AGX124" s="56"/>
      <c r="AGY124" s="56"/>
      <c r="AGZ124" s="56"/>
      <c r="AHA124" s="56"/>
      <c r="AHB124" s="56"/>
      <c r="AHC124" s="56"/>
      <c r="AHD124" s="56"/>
      <c r="AHE124" s="56"/>
      <c r="AHF124" s="56"/>
      <c r="AHG124" s="56"/>
      <c r="AHH124" s="56"/>
      <c r="AHI124" s="56"/>
      <c r="AHJ124" s="56"/>
      <c r="AHK124" s="56"/>
      <c r="AHL124" s="56"/>
      <c r="AHM124" s="56"/>
      <c r="AHN124" s="56"/>
      <c r="AHO124" s="56"/>
      <c r="AHP124" s="56"/>
      <c r="AHQ124" s="56"/>
      <c r="AHR124" s="56"/>
      <c r="AHS124" s="56"/>
      <c r="AHT124" s="56"/>
      <c r="AHU124" s="56"/>
      <c r="AHV124" s="56"/>
      <c r="AHW124" s="56"/>
      <c r="AHX124" s="56"/>
      <c r="AHY124" s="56"/>
      <c r="AHZ124" s="56"/>
      <c r="AIA124" s="56"/>
      <c r="AIB124" s="56"/>
      <c r="AIC124" s="56"/>
      <c r="AID124" s="56"/>
      <c r="AIE124" s="56"/>
      <c r="AIF124" s="56"/>
      <c r="AIG124" s="56"/>
      <c r="AIH124" s="56"/>
      <c r="AII124" s="56"/>
      <c r="AIJ124" s="56"/>
      <c r="AIK124" s="56"/>
      <c r="AIL124" s="56"/>
      <c r="AIM124" s="56"/>
      <c r="AIN124" s="56"/>
      <c r="AIO124" s="56"/>
      <c r="AIP124" s="56"/>
      <c r="AIQ124" s="56"/>
      <c r="AIR124" s="56"/>
      <c r="AIS124" s="56"/>
      <c r="AIT124" s="56"/>
      <c r="AIU124" s="56"/>
      <c r="AIV124" s="56"/>
      <c r="AIW124" s="56"/>
      <c r="AIX124" s="56"/>
      <c r="AIY124" s="56"/>
      <c r="AIZ124" s="56"/>
      <c r="AJA124" s="56"/>
      <c r="AJB124" s="56"/>
      <c r="AJC124" s="56"/>
      <c r="AJD124" s="56"/>
      <c r="AJE124" s="56"/>
      <c r="AJF124" s="56"/>
      <c r="AJG124" s="56"/>
      <c r="AJH124" s="56"/>
      <c r="AJI124" s="56"/>
      <c r="AJJ124" s="56"/>
      <c r="AJK124" s="56"/>
      <c r="AJL124" s="56"/>
      <c r="AJM124" s="56"/>
      <c r="AJN124" s="56"/>
      <c r="AJO124" s="56"/>
      <c r="AJP124" s="56"/>
      <c r="AJQ124" s="56"/>
      <c r="AJR124" s="56"/>
      <c r="AJS124" s="56"/>
      <c r="AJT124" s="56"/>
      <c r="AJU124" s="56"/>
      <c r="AJV124" s="56"/>
      <c r="AJW124" s="56"/>
      <c r="AJX124" s="56"/>
      <c r="AJY124" s="56"/>
      <c r="AJZ124" s="56"/>
      <c r="AKA124" s="56"/>
      <c r="AKB124" s="56"/>
      <c r="AKC124" s="56"/>
      <c r="AKD124" s="56"/>
      <c r="AKE124" s="56"/>
      <c r="AKF124" s="56"/>
      <c r="AKG124" s="56"/>
      <c r="AKH124" s="56"/>
      <c r="AKI124" s="56"/>
      <c r="AKJ124" s="56"/>
      <c r="AKK124" s="56"/>
      <c r="AKL124" s="56"/>
      <c r="AKM124" s="56"/>
      <c r="AKN124" s="56"/>
      <c r="AKO124" s="56"/>
      <c r="AKP124" s="56"/>
      <c r="AKQ124" s="56"/>
      <c r="AKR124" s="56"/>
      <c r="AKS124" s="56"/>
      <c r="AKT124" s="56"/>
      <c r="AKU124" s="56"/>
      <c r="AKV124" s="56"/>
      <c r="AKW124" s="56"/>
      <c r="AKX124" s="56"/>
      <c r="AKY124" s="56"/>
      <c r="AKZ124" s="56"/>
      <c r="ALA124" s="56"/>
      <c r="ALB124" s="56"/>
      <c r="ALC124" s="56"/>
      <c r="ALD124" s="56"/>
      <c r="ALE124" s="56"/>
      <c r="ALF124" s="56"/>
      <c r="ALG124" s="56"/>
      <c r="ALH124" s="56"/>
      <c r="ALI124" s="56"/>
      <c r="ALJ124" s="56"/>
      <c r="ALK124" s="56"/>
      <c r="ALL124" s="56"/>
      <c r="ALM124" s="56"/>
      <c r="ALN124" s="56"/>
      <c r="ALO124" s="56"/>
      <c r="ALP124" s="56"/>
      <c r="ALQ124" s="56"/>
      <c r="ALR124" s="56"/>
      <c r="ALS124" s="56"/>
      <c r="ALT124" s="56"/>
      <c r="ALU124" s="56"/>
      <c r="ALV124" s="56"/>
      <c r="ALW124" s="56"/>
      <c r="ALX124" s="56"/>
      <c r="ALY124" s="56"/>
      <c r="ALZ124" s="56"/>
      <c r="AMA124" s="56"/>
      <c r="AMB124" s="56"/>
      <c r="AMC124" s="56"/>
      <c r="AMD124" s="56"/>
      <c r="AME124" s="56"/>
      <c r="AMF124" s="56"/>
      <c r="AMG124" s="56"/>
      <c r="AMH124" s="56"/>
      <c r="AMI124" s="56"/>
      <c r="AMJ124" s="56"/>
    </row>
    <row r="125" spans="12:1024" ht="15.95" customHeight="1" x14ac:dyDescent="0.2">
      <c r="L125" s="56"/>
      <c r="M125" s="57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  <c r="CS125" s="56"/>
      <c r="CT125" s="56"/>
      <c r="CU125" s="56"/>
      <c r="CV125" s="56"/>
      <c r="CW125" s="56"/>
      <c r="CX125" s="56"/>
      <c r="CY125" s="56"/>
      <c r="CZ125" s="56"/>
      <c r="DA125" s="56"/>
      <c r="DB125" s="56"/>
      <c r="DC125" s="56"/>
      <c r="DD125" s="56"/>
      <c r="DE125" s="56"/>
      <c r="DF125" s="56"/>
      <c r="DG125" s="56"/>
      <c r="DH125" s="56"/>
      <c r="DI125" s="56"/>
      <c r="DJ125" s="56"/>
      <c r="DK125" s="56"/>
      <c r="DL125" s="56"/>
      <c r="DM125" s="56"/>
      <c r="DN125" s="56"/>
      <c r="DO125" s="56"/>
      <c r="DP125" s="56"/>
      <c r="DQ125" s="56"/>
      <c r="DR125" s="56"/>
      <c r="DS125" s="56"/>
      <c r="DT125" s="56"/>
      <c r="DU125" s="56"/>
      <c r="DV125" s="56"/>
      <c r="DW125" s="56"/>
      <c r="DX125" s="56"/>
      <c r="DY125" s="56"/>
      <c r="DZ125" s="56"/>
      <c r="EA125" s="56"/>
      <c r="EB125" s="56"/>
      <c r="EC125" s="56"/>
      <c r="ED125" s="56"/>
      <c r="EE125" s="56"/>
      <c r="EF125" s="56"/>
      <c r="EG125" s="56"/>
      <c r="EH125" s="56"/>
      <c r="EI125" s="56"/>
      <c r="EJ125" s="56"/>
      <c r="EK125" s="56"/>
      <c r="EL125" s="56"/>
      <c r="EM125" s="56"/>
      <c r="EN125" s="56"/>
      <c r="EO125" s="56"/>
      <c r="EP125" s="56"/>
      <c r="EQ125" s="56"/>
      <c r="ER125" s="56"/>
      <c r="ES125" s="56"/>
      <c r="ET125" s="56"/>
      <c r="EU125" s="56"/>
      <c r="EV125" s="56"/>
      <c r="EW125" s="56"/>
      <c r="EX125" s="56"/>
      <c r="EY125" s="56"/>
      <c r="EZ125" s="56"/>
      <c r="FA125" s="56"/>
      <c r="FB125" s="56"/>
      <c r="FC125" s="56"/>
      <c r="FD125" s="56"/>
      <c r="FE125" s="56"/>
      <c r="FF125" s="56"/>
      <c r="FG125" s="56"/>
      <c r="FH125" s="56"/>
      <c r="FI125" s="56"/>
      <c r="FJ125" s="56"/>
      <c r="FK125" s="56"/>
      <c r="FL125" s="56"/>
      <c r="FM125" s="56"/>
      <c r="FN125" s="56"/>
      <c r="FO125" s="56"/>
      <c r="FP125" s="56"/>
      <c r="FQ125" s="56"/>
      <c r="FR125" s="56"/>
      <c r="FS125" s="56"/>
      <c r="FT125" s="56"/>
      <c r="FU125" s="56"/>
      <c r="FV125" s="56"/>
      <c r="FW125" s="56"/>
      <c r="FX125" s="56"/>
      <c r="FY125" s="56"/>
      <c r="FZ125" s="56"/>
      <c r="GA125" s="56"/>
      <c r="GB125" s="56"/>
      <c r="GC125" s="56"/>
      <c r="GD125" s="56"/>
      <c r="GE125" s="56"/>
      <c r="GF125" s="56"/>
      <c r="GG125" s="56"/>
      <c r="GH125" s="56"/>
      <c r="GI125" s="56"/>
      <c r="GJ125" s="56"/>
      <c r="GK125" s="56"/>
      <c r="GL125" s="56"/>
      <c r="GM125" s="56"/>
      <c r="GN125" s="56"/>
      <c r="GO125" s="56"/>
      <c r="GP125" s="56"/>
      <c r="GQ125" s="56"/>
      <c r="GR125" s="56"/>
      <c r="GS125" s="56"/>
      <c r="GT125" s="56"/>
      <c r="GU125" s="56"/>
      <c r="GV125" s="56"/>
      <c r="GW125" s="56"/>
      <c r="GX125" s="56"/>
      <c r="GY125" s="56"/>
      <c r="GZ125" s="56"/>
      <c r="HA125" s="56"/>
      <c r="HB125" s="56"/>
      <c r="HC125" s="56"/>
      <c r="HD125" s="56"/>
      <c r="HE125" s="56"/>
      <c r="HF125" s="56"/>
      <c r="HG125" s="56"/>
      <c r="HH125" s="56"/>
      <c r="HI125" s="56"/>
      <c r="HJ125" s="56"/>
      <c r="HK125" s="56"/>
      <c r="HL125" s="56"/>
      <c r="HM125" s="56"/>
      <c r="HN125" s="56"/>
      <c r="HO125" s="56"/>
      <c r="HP125" s="56"/>
      <c r="HQ125" s="56"/>
      <c r="HR125" s="56"/>
      <c r="HS125" s="56"/>
      <c r="HT125" s="56"/>
      <c r="HU125" s="56"/>
      <c r="HV125" s="56"/>
      <c r="HW125" s="56"/>
      <c r="HX125" s="56"/>
      <c r="HY125" s="56"/>
      <c r="HZ125" s="56"/>
      <c r="IA125" s="56"/>
      <c r="IB125" s="56"/>
      <c r="IC125" s="56"/>
      <c r="ID125" s="56"/>
      <c r="IE125" s="56"/>
      <c r="IF125" s="56"/>
      <c r="IG125" s="56"/>
      <c r="IH125" s="56"/>
      <c r="II125" s="56"/>
      <c r="IJ125" s="56"/>
      <c r="IK125" s="56"/>
      <c r="IL125" s="56"/>
      <c r="IM125" s="56"/>
      <c r="IN125" s="56"/>
      <c r="IO125" s="56"/>
      <c r="IP125" s="56"/>
      <c r="IQ125" s="56"/>
      <c r="IR125" s="56"/>
      <c r="IS125" s="56"/>
      <c r="IT125" s="56"/>
      <c r="IU125" s="56"/>
      <c r="IV125" s="56"/>
      <c r="IW125" s="56"/>
      <c r="IX125" s="56"/>
      <c r="IY125" s="56"/>
      <c r="IZ125" s="56"/>
      <c r="JA125" s="56"/>
      <c r="JB125" s="56"/>
      <c r="JC125" s="56"/>
      <c r="JD125" s="56"/>
      <c r="JE125" s="56"/>
      <c r="JF125" s="56"/>
      <c r="JG125" s="56"/>
      <c r="JH125" s="56"/>
      <c r="JI125" s="56"/>
      <c r="JJ125" s="56"/>
      <c r="JK125" s="56"/>
      <c r="JL125" s="56"/>
      <c r="JM125" s="56"/>
      <c r="JN125" s="56"/>
      <c r="JO125" s="56"/>
      <c r="JP125" s="56"/>
      <c r="JQ125" s="56"/>
      <c r="JR125" s="56"/>
      <c r="JS125" s="56"/>
      <c r="JT125" s="56"/>
      <c r="JU125" s="56"/>
      <c r="JV125" s="56"/>
      <c r="JW125" s="56"/>
      <c r="JX125" s="56"/>
      <c r="JY125" s="56"/>
      <c r="JZ125" s="56"/>
      <c r="KA125" s="56"/>
      <c r="KB125" s="56"/>
      <c r="KC125" s="56"/>
      <c r="KD125" s="56"/>
      <c r="KE125" s="56"/>
      <c r="KF125" s="56"/>
      <c r="KG125" s="56"/>
      <c r="KH125" s="56"/>
      <c r="KI125" s="56"/>
      <c r="KJ125" s="56"/>
      <c r="KK125" s="56"/>
      <c r="KL125" s="56"/>
      <c r="KM125" s="56"/>
      <c r="KN125" s="56"/>
      <c r="KO125" s="56"/>
      <c r="KP125" s="56"/>
      <c r="KQ125" s="56"/>
      <c r="KR125" s="56"/>
      <c r="KS125" s="56"/>
      <c r="KT125" s="56"/>
      <c r="KU125" s="56"/>
      <c r="KV125" s="56"/>
      <c r="KW125" s="56"/>
      <c r="KX125" s="56"/>
      <c r="KY125" s="56"/>
      <c r="KZ125" s="56"/>
      <c r="LA125" s="56"/>
      <c r="LB125" s="56"/>
      <c r="LC125" s="56"/>
      <c r="LD125" s="56"/>
      <c r="LE125" s="56"/>
      <c r="LF125" s="56"/>
      <c r="LG125" s="56"/>
      <c r="LH125" s="56"/>
      <c r="LI125" s="56"/>
      <c r="LJ125" s="56"/>
      <c r="LK125" s="56"/>
      <c r="LL125" s="56"/>
      <c r="LM125" s="56"/>
      <c r="LN125" s="56"/>
      <c r="LO125" s="56"/>
      <c r="LP125" s="56"/>
      <c r="LQ125" s="56"/>
      <c r="LR125" s="56"/>
      <c r="LS125" s="56"/>
      <c r="LT125" s="56"/>
      <c r="LU125" s="56"/>
      <c r="LV125" s="56"/>
      <c r="LW125" s="56"/>
      <c r="LX125" s="56"/>
      <c r="LY125" s="56"/>
      <c r="LZ125" s="56"/>
      <c r="MA125" s="56"/>
      <c r="MB125" s="56"/>
      <c r="MC125" s="56"/>
      <c r="MD125" s="56"/>
      <c r="ME125" s="56"/>
      <c r="MF125" s="56"/>
      <c r="MG125" s="56"/>
      <c r="MH125" s="56"/>
      <c r="MI125" s="56"/>
      <c r="MJ125" s="56"/>
      <c r="MK125" s="56"/>
      <c r="ML125" s="56"/>
      <c r="MM125" s="56"/>
      <c r="MN125" s="56"/>
      <c r="MO125" s="56"/>
      <c r="MP125" s="56"/>
      <c r="MQ125" s="56"/>
      <c r="MR125" s="56"/>
      <c r="MS125" s="56"/>
      <c r="MT125" s="56"/>
      <c r="MU125" s="56"/>
      <c r="MV125" s="56"/>
      <c r="MW125" s="56"/>
      <c r="MX125" s="56"/>
      <c r="MY125" s="56"/>
      <c r="MZ125" s="56"/>
      <c r="NA125" s="56"/>
      <c r="NB125" s="56"/>
      <c r="NC125" s="56"/>
      <c r="ND125" s="56"/>
      <c r="NE125" s="56"/>
      <c r="NF125" s="56"/>
      <c r="NG125" s="56"/>
      <c r="NH125" s="56"/>
      <c r="NI125" s="56"/>
      <c r="NJ125" s="56"/>
      <c r="NK125" s="56"/>
      <c r="NL125" s="56"/>
      <c r="NM125" s="56"/>
      <c r="NN125" s="56"/>
      <c r="NO125" s="56"/>
      <c r="NP125" s="56"/>
      <c r="NQ125" s="56"/>
      <c r="NR125" s="56"/>
      <c r="NS125" s="56"/>
      <c r="NT125" s="56"/>
      <c r="NU125" s="56"/>
      <c r="NV125" s="56"/>
      <c r="NW125" s="56"/>
      <c r="NX125" s="56"/>
      <c r="NY125" s="56"/>
      <c r="NZ125" s="56"/>
      <c r="OA125" s="56"/>
      <c r="OB125" s="56"/>
      <c r="OC125" s="56"/>
      <c r="OD125" s="56"/>
      <c r="OE125" s="56"/>
      <c r="OF125" s="56"/>
      <c r="OG125" s="56"/>
      <c r="OH125" s="56"/>
      <c r="OI125" s="56"/>
      <c r="OJ125" s="56"/>
      <c r="OK125" s="56"/>
      <c r="OL125" s="56"/>
      <c r="OM125" s="56"/>
      <c r="ON125" s="56"/>
      <c r="OO125" s="56"/>
      <c r="OP125" s="56"/>
      <c r="OQ125" s="56"/>
      <c r="OR125" s="56"/>
      <c r="OS125" s="56"/>
      <c r="OT125" s="56"/>
      <c r="OU125" s="56"/>
      <c r="OV125" s="56"/>
      <c r="OW125" s="56"/>
      <c r="OX125" s="56"/>
      <c r="OY125" s="56"/>
      <c r="OZ125" s="56"/>
      <c r="PA125" s="56"/>
      <c r="PB125" s="56"/>
      <c r="PC125" s="56"/>
      <c r="PD125" s="56"/>
      <c r="PE125" s="56"/>
      <c r="PF125" s="56"/>
      <c r="PG125" s="56"/>
      <c r="PH125" s="56"/>
      <c r="PI125" s="56"/>
      <c r="PJ125" s="56"/>
      <c r="PK125" s="56"/>
      <c r="PL125" s="56"/>
      <c r="PM125" s="56"/>
      <c r="PN125" s="56"/>
      <c r="PO125" s="56"/>
      <c r="PP125" s="56"/>
      <c r="PQ125" s="56"/>
      <c r="PR125" s="56"/>
      <c r="PS125" s="56"/>
      <c r="PT125" s="56"/>
      <c r="PU125" s="56"/>
      <c r="PV125" s="56"/>
      <c r="PW125" s="56"/>
      <c r="PX125" s="56"/>
      <c r="PY125" s="56"/>
      <c r="PZ125" s="56"/>
      <c r="QA125" s="56"/>
      <c r="QB125" s="56"/>
      <c r="QC125" s="56"/>
      <c r="QD125" s="56"/>
      <c r="QE125" s="56"/>
      <c r="QF125" s="56"/>
      <c r="QG125" s="56"/>
      <c r="QH125" s="56"/>
      <c r="QI125" s="56"/>
      <c r="QJ125" s="56"/>
      <c r="QK125" s="56"/>
      <c r="QL125" s="56"/>
      <c r="QM125" s="56"/>
      <c r="QN125" s="56"/>
      <c r="QO125" s="56"/>
      <c r="QP125" s="56"/>
      <c r="QQ125" s="56"/>
      <c r="QR125" s="56"/>
      <c r="QS125" s="56"/>
      <c r="QT125" s="56"/>
      <c r="QU125" s="56"/>
      <c r="QV125" s="56"/>
      <c r="QW125" s="56"/>
      <c r="QX125" s="56"/>
      <c r="QY125" s="56"/>
      <c r="QZ125" s="56"/>
      <c r="RA125" s="56"/>
      <c r="RB125" s="56"/>
      <c r="RC125" s="56"/>
      <c r="RD125" s="56"/>
      <c r="RE125" s="56"/>
      <c r="RF125" s="56"/>
      <c r="RG125" s="56"/>
      <c r="RH125" s="56"/>
      <c r="RI125" s="56"/>
      <c r="RJ125" s="56"/>
      <c r="RK125" s="56"/>
      <c r="RL125" s="56"/>
      <c r="RM125" s="56"/>
      <c r="RN125" s="56"/>
      <c r="RO125" s="56"/>
      <c r="RP125" s="56"/>
      <c r="RQ125" s="56"/>
      <c r="RR125" s="56"/>
      <c r="RS125" s="56"/>
      <c r="RT125" s="56"/>
      <c r="RU125" s="56"/>
      <c r="RV125" s="56"/>
      <c r="RW125" s="56"/>
      <c r="RX125" s="56"/>
      <c r="RY125" s="56"/>
      <c r="RZ125" s="56"/>
      <c r="SA125" s="56"/>
      <c r="SB125" s="56"/>
      <c r="SC125" s="56"/>
      <c r="SD125" s="56"/>
      <c r="SE125" s="56"/>
      <c r="SF125" s="56"/>
      <c r="SG125" s="56"/>
      <c r="SH125" s="56"/>
      <c r="SI125" s="56"/>
      <c r="SJ125" s="56"/>
      <c r="SK125" s="56"/>
      <c r="SL125" s="56"/>
      <c r="SM125" s="56"/>
      <c r="SN125" s="56"/>
      <c r="SO125" s="56"/>
      <c r="SP125" s="56"/>
      <c r="SQ125" s="56"/>
      <c r="SR125" s="56"/>
      <c r="SS125" s="56"/>
      <c r="ST125" s="56"/>
      <c r="SU125" s="56"/>
      <c r="SV125" s="56"/>
      <c r="SW125" s="56"/>
      <c r="SX125" s="56"/>
      <c r="SY125" s="56"/>
      <c r="SZ125" s="56"/>
      <c r="TA125" s="56"/>
      <c r="TB125" s="56"/>
      <c r="TC125" s="56"/>
      <c r="TD125" s="56"/>
      <c r="TE125" s="56"/>
      <c r="TF125" s="56"/>
      <c r="TG125" s="56"/>
      <c r="TH125" s="56"/>
      <c r="TI125" s="56"/>
      <c r="TJ125" s="56"/>
      <c r="TK125" s="56"/>
      <c r="TL125" s="56"/>
      <c r="TM125" s="56"/>
      <c r="TN125" s="56"/>
      <c r="TO125" s="56"/>
      <c r="TP125" s="56"/>
      <c r="TQ125" s="56"/>
      <c r="TR125" s="56"/>
      <c r="TS125" s="56"/>
      <c r="TT125" s="56"/>
      <c r="TU125" s="56"/>
      <c r="TV125" s="56"/>
      <c r="TW125" s="56"/>
      <c r="TX125" s="56"/>
      <c r="TY125" s="56"/>
      <c r="TZ125" s="56"/>
      <c r="UA125" s="56"/>
      <c r="UB125" s="56"/>
      <c r="UC125" s="56"/>
      <c r="UD125" s="56"/>
      <c r="UE125" s="56"/>
      <c r="UF125" s="56"/>
      <c r="UG125" s="56"/>
      <c r="UH125" s="56"/>
      <c r="UI125" s="56"/>
      <c r="UJ125" s="56"/>
      <c r="UK125" s="56"/>
      <c r="UL125" s="56"/>
      <c r="UM125" s="56"/>
      <c r="UN125" s="56"/>
      <c r="UO125" s="56"/>
      <c r="UP125" s="56"/>
      <c r="UQ125" s="56"/>
      <c r="UR125" s="56"/>
      <c r="US125" s="56"/>
      <c r="UT125" s="56"/>
      <c r="UU125" s="56"/>
      <c r="UV125" s="56"/>
      <c r="UW125" s="56"/>
      <c r="UX125" s="56"/>
      <c r="UY125" s="56"/>
      <c r="UZ125" s="56"/>
      <c r="VA125" s="56"/>
      <c r="VB125" s="56"/>
      <c r="VC125" s="56"/>
      <c r="VD125" s="56"/>
      <c r="VE125" s="56"/>
      <c r="VF125" s="56"/>
      <c r="VG125" s="56"/>
      <c r="VH125" s="56"/>
      <c r="VI125" s="56"/>
      <c r="VJ125" s="56"/>
      <c r="VK125" s="56"/>
      <c r="VL125" s="56"/>
      <c r="VM125" s="56"/>
      <c r="VN125" s="56"/>
      <c r="VO125" s="56"/>
      <c r="VP125" s="56"/>
      <c r="VQ125" s="56"/>
      <c r="VR125" s="56"/>
      <c r="VS125" s="56"/>
      <c r="VT125" s="56"/>
      <c r="VU125" s="56"/>
      <c r="VV125" s="56"/>
      <c r="VW125" s="56"/>
      <c r="VX125" s="56"/>
      <c r="VY125" s="56"/>
      <c r="VZ125" s="56"/>
      <c r="WA125" s="56"/>
      <c r="WB125" s="56"/>
      <c r="WC125" s="56"/>
      <c r="WD125" s="56"/>
      <c r="WE125" s="56"/>
      <c r="WF125" s="56"/>
      <c r="WG125" s="56"/>
      <c r="WH125" s="56"/>
      <c r="WI125" s="56"/>
      <c r="WJ125" s="56"/>
      <c r="WK125" s="56"/>
      <c r="WL125" s="56"/>
      <c r="WM125" s="56"/>
      <c r="WN125" s="56"/>
      <c r="WO125" s="56"/>
      <c r="WP125" s="56"/>
      <c r="WQ125" s="56"/>
      <c r="WR125" s="56"/>
      <c r="WS125" s="56"/>
      <c r="WT125" s="56"/>
      <c r="WU125" s="56"/>
      <c r="WV125" s="56"/>
      <c r="WW125" s="56"/>
      <c r="WX125" s="56"/>
      <c r="WY125" s="56"/>
      <c r="WZ125" s="56"/>
      <c r="XA125" s="56"/>
      <c r="XB125" s="56"/>
      <c r="XC125" s="56"/>
      <c r="XD125" s="56"/>
      <c r="XE125" s="56"/>
      <c r="XF125" s="56"/>
      <c r="XG125" s="56"/>
      <c r="XH125" s="56"/>
      <c r="XI125" s="56"/>
      <c r="XJ125" s="56"/>
      <c r="XK125" s="56"/>
      <c r="XL125" s="56"/>
      <c r="XM125" s="56"/>
      <c r="XN125" s="56"/>
      <c r="XO125" s="56"/>
      <c r="XP125" s="56"/>
      <c r="XQ125" s="56"/>
      <c r="XR125" s="56"/>
      <c r="XS125" s="56"/>
      <c r="XT125" s="56"/>
      <c r="XU125" s="56"/>
      <c r="XV125" s="56"/>
      <c r="XW125" s="56"/>
      <c r="XX125" s="56"/>
      <c r="XY125" s="56"/>
      <c r="XZ125" s="56"/>
      <c r="YA125" s="56"/>
      <c r="YB125" s="56"/>
      <c r="YC125" s="56"/>
      <c r="YD125" s="56"/>
      <c r="YE125" s="56"/>
      <c r="YF125" s="56"/>
      <c r="YG125" s="56"/>
      <c r="YH125" s="56"/>
      <c r="YI125" s="56"/>
      <c r="YJ125" s="56"/>
      <c r="YK125" s="56"/>
      <c r="YL125" s="56"/>
      <c r="YM125" s="56"/>
      <c r="YN125" s="56"/>
      <c r="YO125" s="56"/>
      <c r="YP125" s="56"/>
      <c r="YQ125" s="56"/>
      <c r="YR125" s="56"/>
      <c r="YS125" s="56"/>
      <c r="YT125" s="56"/>
      <c r="YU125" s="56"/>
      <c r="YV125" s="56"/>
      <c r="YW125" s="56"/>
      <c r="YX125" s="56"/>
      <c r="YY125" s="56"/>
      <c r="YZ125" s="56"/>
      <c r="ZA125" s="56"/>
      <c r="ZB125" s="56"/>
      <c r="ZC125" s="56"/>
      <c r="ZD125" s="56"/>
      <c r="ZE125" s="56"/>
      <c r="ZF125" s="56"/>
      <c r="ZG125" s="56"/>
      <c r="ZH125" s="56"/>
      <c r="ZI125" s="56"/>
      <c r="ZJ125" s="56"/>
      <c r="ZK125" s="56"/>
      <c r="ZL125" s="56"/>
      <c r="ZM125" s="56"/>
      <c r="ZN125" s="56"/>
      <c r="ZO125" s="56"/>
      <c r="ZP125" s="56"/>
      <c r="ZQ125" s="56"/>
      <c r="ZR125" s="56"/>
      <c r="ZS125" s="56"/>
      <c r="ZT125" s="56"/>
      <c r="ZU125" s="56"/>
      <c r="ZV125" s="56"/>
      <c r="ZW125" s="56"/>
      <c r="ZX125" s="56"/>
      <c r="ZY125" s="56"/>
      <c r="ZZ125" s="56"/>
      <c r="AAA125" s="56"/>
      <c r="AAB125" s="56"/>
      <c r="AAC125" s="56"/>
      <c r="AAD125" s="56"/>
      <c r="AAE125" s="56"/>
      <c r="AAF125" s="56"/>
      <c r="AAG125" s="56"/>
      <c r="AAH125" s="56"/>
      <c r="AAI125" s="56"/>
      <c r="AAJ125" s="56"/>
      <c r="AAK125" s="56"/>
      <c r="AAL125" s="56"/>
      <c r="AAM125" s="56"/>
      <c r="AAN125" s="56"/>
      <c r="AAO125" s="56"/>
      <c r="AAP125" s="56"/>
      <c r="AAQ125" s="56"/>
      <c r="AAR125" s="56"/>
      <c r="AAS125" s="56"/>
      <c r="AAT125" s="56"/>
      <c r="AAU125" s="56"/>
      <c r="AAV125" s="56"/>
      <c r="AAW125" s="56"/>
      <c r="AAX125" s="56"/>
      <c r="AAY125" s="56"/>
      <c r="AAZ125" s="56"/>
      <c r="ABA125" s="56"/>
      <c r="ABB125" s="56"/>
      <c r="ABC125" s="56"/>
      <c r="ABD125" s="56"/>
      <c r="ABE125" s="56"/>
      <c r="ABF125" s="56"/>
      <c r="ABG125" s="56"/>
      <c r="ABH125" s="56"/>
      <c r="ABI125" s="56"/>
      <c r="ABJ125" s="56"/>
      <c r="ABK125" s="56"/>
      <c r="ABL125" s="56"/>
      <c r="ABM125" s="56"/>
      <c r="ABN125" s="56"/>
      <c r="ABO125" s="56"/>
      <c r="ABP125" s="56"/>
      <c r="ABQ125" s="56"/>
      <c r="ABR125" s="56"/>
      <c r="ABS125" s="56"/>
      <c r="ABT125" s="56"/>
      <c r="ABU125" s="56"/>
      <c r="ABV125" s="56"/>
      <c r="ABW125" s="56"/>
      <c r="ABX125" s="56"/>
      <c r="ABY125" s="56"/>
      <c r="ABZ125" s="56"/>
      <c r="ACA125" s="56"/>
      <c r="ACB125" s="56"/>
      <c r="ACC125" s="56"/>
      <c r="ACD125" s="56"/>
      <c r="ACE125" s="56"/>
      <c r="ACF125" s="56"/>
      <c r="ACG125" s="56"/>
      <c r="ACH125" s="56"/>
      <c r="ACI125" s="56"/>
      <c r="ACJ125" s="56"/>
      <c r="ACK125" s="56"/>
      <c r="ACL125" s="56"/>
      <c r="ACM125" s="56"/>
      <c r="ACN125" s="56"/>
      <c r="ACO125" s="56"/>
      <c r="ACP125" s="56"/>
      <c r="ACQ125" s="56"/>
      <c r="ACR125" s="56"/>
      <c r="ACS125" s="56"/>
      <c r="ACT125" s="56"/>
      <c r="ACU125" s="56"/>
      <c r="ACV125" s="56"/>
      <c r="ACW125" s="56"/>
      <c r="ACX125" s="56"/>
      <c r="ACY125" s="56"/>
      <c r="ACZ125" s="56"/>
      <c r="ADA125" s="56"/>
      <c r="ADB125" s="56"/>
      <c r="ADC125" s="56"/>
      <c r="ADD125" s="56"/>
      <c r="ADE125" s="56"/>
      <c r="ADF125" s="56"/>
      <c r="ADG125" s="56"/>
      <c r="ADH125" s="56"/>
      <c r="ADI125" s="56"/>
      <c r="ADJ125" s="56"/>
      <c r="ADK125" s="56"/>
      <c r="ADL125" s="56"/>
      <c r="ADM125" s="56"/>
      <c r="ADN125" s="56"/>
      <c r="ADO125" s="56"/>
      <c r="ADP125" s="56"/>
      <c r="ADQ125" s="56"/>
      <c r="ADR125" s="56"/>
      <c r="ADS125" s="56"/>
      <c r="ADT125" s="56"/>
      <c r="ADU125" s="56"/>
      <c r="ADV125" s="56"/>
      <c r="ADW125" s="56"/>
      <c r="ADX125" s="56"/>
      <c r="ADY125" s="56"/>
      <c r="ADZ125" s="56"/>
      <c r="AEA125" s="56"/>
      <c r="AEB125" s="56"/>
      <c r="AEC125" s="56"/>
      <c r="AED125" s="56"/>
      <c r="AEE125" s="56"/>
      <c r="AEF125" s="56"/>
      <c r="AEG125" s="56"/>
      <c r="AEH125" s="56"/>
      <c r="AEI125" s="56"/>
      <c r="AEJ125" s="56"/>
      <c r="AEK125" s="56"/>
      <c r="AEL125" s="56"/>
      <c r="AEM125" s="56"/>
      <c r="AEN125" s="56"/>
      <c r="AEO125" s="56"/>
      <c r="AEP125" s="56"/>
      <c r="AEQ125" s="56"/>
      <c r="AER125" s="56"/>
      <c r="AES125" s="56"/>
      <c r="AET125" s="56"/>
      <c r="AEU125" s="56"/>
      <c r="AEV125" s="56"/>
      <c r="AEW125" s="56"/>
      <c r="AEX125" s="56"/>
      <c r="AEY125" s="56"/>
      <c r="AEZ125" s="56"/>
      <c r="AFA125" s="56"/>
      <c r="AFB125" s="56"/>
      <c r="AFC125" s="56"/>
      <c r="AFD125" s="56"/>
      <c r="AFE125" s="56"/>
      <c r="AFF125" s="56"/>
      <c r="AFG125" s="56"/>
      <c r="AFH125" s="56"/>
      <c r="AFI125" s="56"/>
      <c r="AFJ125" s="56"/>
      <c r="AFK125" s="56"/>
      <c r="AFL125" s="56"/>
      <c r="AFM125" s="56"/>
      <c r="AFN125" s="56"/>
      <c r="AFO125" s="56"/>
      <c r="AFP125" s="56"/>
      <c r="AFQ125" s="56"/>
      <c r="AFR125" s="56"/>
      <c r="AFS125" s="56"/>
      <c r="AFT125" s="56"/>
      <c r="AFU125" s="56"/>
      <c r="AFV125" s="56"/>
      <c r="AFW125" s="56"/>
      <c r="AFX125" s="56"/>
      <c r="AFY125" s="56"/>
      <c r="AFZ125" s="56"/>
      <c r="AGA125" s="56"/>
      <c r="AGB125" s="56"/>
      <c r="AGC125" s="56"/>
      <c r="AGD125" s="56"/>
      <c r="AGE125" s="56"/>
      <c r="AGF125" s="56"/>
      <c r="AGG125" s="56"/>
      <c r="AGH125" s="56"/>
      <c r="AGI125" s="56"/>
      <c r="AGJ125" s="56"/>
      <c r="AGK125" s="56"/>
      <c r="AGL125" s="56"/>
      <c r="AGM125" s="56"/>
      <c r="AGN125" s="56"/>
      <c r="AGO125" s="56"/>
      <c r="AGP125" s="56"/>
      <c r="AGQ125" s="56"/>
      <c r="AGR125" s="56"/>
      <c r="AGS125" s="56"/>
      <c r="AGT125" s="56"/>
      <c r="AGU125" s="56"/>
      <c r="AGV125" s="56"/>
      <c r="AGW125" s="56"/>
      <c r="AGX125" s="56"/>
      <c r="AGY125" s="56"/>
      <c r="AGZ125" s="56"/>
      <c r="AHA125" s="56"/>
      <c r="AHB125" s="56"/>
      <c r="AHC125" s="56"/>
      <c r="AHD125" s="56"/>
      <c r="AHE125" s="56"/>
      <c r="AHF125" s="56"/>
      <c r="AHG125" s="56"/>
      <c r="AHH125" s="56"/>
      <c r="AHI125" s="56"/>
      <c r="AHJ125" s="56"/>
      <c r="AHK125" s="56"/>
      <c r="AHL125" s="56"/>
      <c r="AHM125" s="56"/>
      <c r="AHN125" s="56"/>
      <c r="AHO125" s="56"/>
      <c r="AHP125" s="56"/>
      <c r="AHQ125" s="56"/>
      <c r="AHR125" s="56"/>
      <c r="AHS125" s="56"/>
      <c r="AHT125" s="56"/>
      <c r="AHU125" s="56"/>
      <c r="AHV125" s="56"/>
      <c r="AHW125" s="56"/>
      <c r="AHX125" s="56"/>
      <c r="AHY125" s="56"/>
      <c r="AHZ125" s="56"/>
      <c r="AIA125" s="56"/>
      <c r="AIB125" s="56"/>
      <c r="AIC125" s="56"/>
      <c r="AID125" s="56"/>
      <c r="AIE125" s="56"/>
      <c r="AIF125" s="56"/>
      <c r="AIG125" s="56"/>
      <c r="AIH125" s="56"/>
      <c r="AII125" s="56"/>
      <c r="AIJ125" s="56"/>
      <c r="AIK125" s="56"/>
      <c r="AIL125" s="56"/>
      <c r="AIM125" s="56"/>
      <c r="AIN125" s="56"/>
      <c r="AIO125" s="56"/>
      <c r="AIP125" s="56"/>
      <c r="AIQ125" s="56"/>
      <c r="AIR125" s="56"/>
      <c r="AIS125" s="56"/>
      <c r="AIT125" s="56"/>
      <c r="AIU125" s="56"/>
      <c r="AIV125" s="56"/>
      <c r="AIW125" s="56"/>
      <c r="AIX125" s="56"/>
      <c r="AIY125" s="56"/>
      <c r="AIZ125" s="56"/>
      <c r="AJA125" s="56"/>
      <c r="AJB125" s="56"/>
      <c r="AJC125" s="56"/>
      <c r="AJD125" s="56"/>
      <c r="AJE125" s="56"/>
      <c r="AJF125" s="56"/>
      <c r="AJG125" s="56"/>
      <c r="AJH125" s="56"/>
      <c r="AJI125" s="56"/>
      <c r="AJJ125" s="56"/>
      <c r="AJK125" s="56"/>
      <c r="AJL125" s="56"/>
      <c r="AJM125" s="56"/>
      <c r="AJN125" s="56"/>
      <c r="AJO125" s="56"/>
      <c r="AJP125" s="56"/>
      <c r="AJQ125" s="56"/>
      <c r="AJR125" s="56"/>
      <c r="AJS125" s="56"/>
      <c r="AJT125" s="56"/>
      <c r="AJU125" s="56"/>
      <c r="AJV125" s="56"/>
      <c r="AJW125" s="56"/>
      <c r="AJX125" s="56"/>
      <c r="AJY125" s="56"/>
      <c r="AJZ125" s="56"/>
      <c r="AKA125" s="56"/>
      <c r="AKB125" s="56"/>
      <c r="AKC125" s="56"/>
      <c r="AKD125" s="56"/>
      <c r="AKE125" s="56"/>
      <c r="AKF125" s="56"/>
      <c r="AKG125" s="56"/>
      <c r="AKH125" s="56"/>
      <c r="AKI125" s="56"/>
      <c r="AKJ125" s="56"/>
      <c r="AKK125" s="56"/>
      <c r="AKL125" s="56"/>
      <c r="AKM125" s="56"/>
      <c r="AKN125" s="56"/>
      <c r="AKO125" s="56"/>
      <c r="AKP125" s="56"/>
      <c r="AKQ125" s="56"/>
      <c r="AKR125" s="56"/>
      <c r="AKS125" s="56"/>
      <c r="AKT125" s="56"/>
      <c r="AKU125" s="56"/>
      <c r="AKV125" s="56"/>
      <c r="AKW125" s="56"/>
      <c r="AKX125" s="56"/>
      <c r="AKY125" s="56"/>
      <c r="AKZ125" s="56"/>
      <c r="ALA125" s="56"/>
      <c r="ALB125" s="56"/>
      <c r="ALC125" s="56"/>
      <c r="ALD125" s="56"/>
      <c r="ALE125" s="56"/>
      <c r="ALF125" s="56"/>
      <c r="ALG125" s="56"/>
      <c r="ALH125" s="56"/>
      <c r="ALI125" s="56"/>
      <c r="ALJ125" s="56"/>
      <c r="ALK125" s="56"/>
      <c r="ALL125" s="56"/>
      <c r="ALM125" s="56"/>
      <c r="ALN125" s="56"/>
      <c r="ALO125" s="56"/>
      <c r="ALP125" s="56"/>
      <c r="ALQ125" s="56"/>
      <c r="ALR125" s="56"/>
      <c r="ALS125" s="56"/>
      <c r="ALT125" s="56"/>
      <c r="ALU125" s="56"/>
      <c r="ALV125" s="56"/>
      <c r="ALW125" s="56"/>
      <c r="ALX125" s="56"/>
      <c r="ALY125" s="56"/>
      <c r="ALZ125" s="56"/>
      <c r="AMA125" s="56"/>
      <c r="AMB125" s="56"/>
      <c r="AMC125" s="56"/>
      <c r="AMD125" s="56"/>
      <c r="AME125" s="56"/>
      <c r="AMF125" s="56"/>
      <c r="AMG125" s="56"/>
      <c r="AMH125" s="56"/>
      <c r="AMI125" s="56"/>
      <c r="AMJ125" s="56"/>
    </row>
    <row r="126" spans="12:1024" ht="15.95" customHeight="1" x14ac:dyDescent="0.2">
      <c r="L126" s="56"/>
      <c r="M126" s="57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  <c r="CS126" s="56"/>
      <c r="CT126" s="56"/>
      <c r="CU126" s="56"/>
      <c r="CV126" s="56"/>
      <c r="CW126" s="56"/>
      <c r="CX126" s="56"/>
      <c r="CY126" s="56"/>
      <c r="CZ126" s="56"/>
      <c r="DA126" s="56"/>
      <c r="DB126" s="56"/>
      <c r="DC126" s="56"/>
      <c r="DD126" s="56"/>
      <c r="DE126" s="56"/>
      <c r="DF126" s="56"/>
      <c r="DG126" s="56"/>
      <c r="DH126" s="56"/>
      <c r="DI126" s="56"/>
      <c r="DJ126" s="56"/>
      <c r="DK126" s="56"/>
      <c r="DL126" s="56"/>
      <c r="DM126" s="56"/>
      <c r="DN126" s="56"/>
      <c r="DO126" s="56"/>
      <c r="DP126" s="56"/>
      <c r="DQ126" s="56"/>
      <c r="DR126" s="56"/>
      <c r="DS126" s="56"/>
      <c r="DT126" s="56"/>
      <c r="DU126" s="56"/>
      <c r="DV126" s="56"/>
      <c r="DW126" s="56"/>
      <c r="DX126" s="56"/>
      <c r="DY126" s="56"/>
      <c r="DZ126" s="56"/>
      <c r="EA126" s="56"/>
      <c r="EB126" s="56"/>
      <c r="EC126" s="56"/>
      <c r="ED126" s="56"/>
      <c r="EE126" s="56"/>
      <c r="EF126" s="56"/>
      <c r="EG126" s="56"/>
      <c r="EH126" s="56"/>
      <c r="EI126" s="56"/>
      <c r="EJ126" s="56"/>
      <c r="EK126" s="56"/>
      <c r="EL126" s="56"/>
      <c r="EM126" s="56"/>
      <c r="EN126" s="56"/>
      <c r="EO126" s="56"/>
      <c r="EP126" s="56"/>
      <c r="EQ126" s="56"/>
      <c r="ER126" s="56"/>
      <c r="ES126" s="56"/>
      <c r="ET126" s="56"/>
      <c r="EU126" s="56"/>
      <c r="EV126" s="56"/>
      <c r="EW126" s="56"/>
      <c r="EX126" s="56"/>
      <c r="EY126" s="56"/>
      <c r="EZ126" s="56"/>
      <c r="FA126" s="56"/>
      <c r="FB126" s="56"/>
      <c r="FC126" s="56"/>
      <c r="FD126" s="56"/>
      <c r="FE126" s="56"/>
      <c r="FF126" s="56"/>
      <c r="FG126" s="56"/>
      <c r="FH126" s="56"/>
      <c r="FI126" s="56"/>
      <c r="FJ126" s="56"/>
      <c r="FK126" s="56"/>
      <c r="FL126" s="56"/>
      <c r="FM126" s="56"/>
      <c r="FN126" s="56"/>
      <c r="FO126" s="56"/>
      <c r="FP126" s="56"/>
      <c r="FQ126" s="56"/>
      <c r="FR126" s="56"/>
      <c r="FS126" s="56"/>
      <c r="FT126" s="56"/>
      <c r="FU126" s="56"/>
      <c r="FV126" s="56"/>
      <c r="FW126" s="56"/>
      <c r="FX126" s="56"/>
      <c r="FY126" s="56"/>
      <c r="FZ126" s="56"/>
      <c r="GA126" s="56"/>
      <c r="GB126" s="56"/>
      <c r="GC126" s="56"/>
      <c r="GD126" s="56"/>
      <c r="GE126" s="56"/>
      <c r="GF126" s="56"/>
      <c r="GG126" s="56"/>
      <c r="GH126" s="56"/>
      <c r="GI126" s="56"/>
      <c r="GJ126" s="56"/>
      <c r="GK126" s="56"/>
      <c r="GL126" s="56"/>
      <c r="GM126" s="56"/>
      <c r="GN126" s="56"/>
      <c r="GO126" s="56"/>
      <c r="GP126" s="56"/>
      <c r="GQ126" s="56"/>
      <c r="GR126" s="56"/>
      <c r="GS126" s="56"/>
      <c r="GT126" s="56"/>
      <c r="GU126" s="56"/>
      <c r="GV126" s="56"/>
      <c r="GW126" s="56"/>
      <c r="GX126" s="56"/>
      <c r="GY126" s="56"/>
      <c r="GZ126" s="56"/>
      <c r="HA126" s="56"/>
      <c r="HB126" s="56"/>
      <c r="HC126" s="56"/>
      <c r="HD126" s="56"/>
      <c r="HE126" s="56"/>
      <c r="HF126" s="56"/>
      <c r="HG126" s="56"/>
      <c r="HH126" s="56"/>
      <c r="HI126" s="56"/>
      <c r="HJ126" s="56"/>
      <c r="HK126" s="56"/>
      <c r="HL126" s="56"/>
      <c r="HM126" s="56"/>
      <c r="HN126" s="56"/>
      <c r="HO126" s="56"/>
      <c r="HP126" s="56"/>
      <c r="HQ126" s="56"/>
      <c r="HR126" s="56"/>
      <c r="HS126" s="56"/>
      <c r="HT126" s="56"/>
      <c r="HU126" s="56"/>
      <c r="HV126" s="56"/>
      <c r="HW126" s="56"/>
      <c r="HX126" s="56"/>
      <c r="HY126" s="56"/>
      <c r="HZ126" s="56"/>
      <c r="IA126" s="56"/>
      <c r="IB126" s="56"/>
      <c r="IC126" s="56"/>
      <c r="ID126" s="56"/>
      <c r="IE126" s="56"/>
      <c r="IF126" s="56"/>
      <c r="IG126" s="56"/>
      <c r="IH126" s="56"/>
      <c r="II126" s="56"/>
      <c r="IJ126" s="56"/>
      <c r="IK126" s="56"/>
      <c r="IL126" s="56"/>
      <c r="IM126" s="56"/>
      <c r="IN126" s="56"/>
      <c r="IO126" s="56"/>
      <c r="IP126" s="56"/>
      <c r="IQ126" s="56"/>
      <c r="IR126" s="56"/>
      <c r="IS126" s="56"/>
      <c r="IT126" s="56"/>
      <c r="IU126" s="56"/>
      <c r="IV126" s="56"/>
      <c r="IW126" s="56"/>
      <c r="IX126" s="56"/>
      <c r="IY126" s="56"/>
      <c r="IZ126" s="56"/>
      <c r="JA126" s="56"/>
      <c r="JB126" s="56"/>
      <c r="JC126" s="56"/>
      <c r="JD126" s="56"/>
      <c r="JE126" s="56"/>
      <c r="JF126" s="56"/>
      <c r="JG126" s="56"/>
      <c r="JH126" s="56"/>
      <c r="JI126" s="56"/>
      <c r="JJ126" s="56"/>
      <c r="JK126" s="56"/>
      <c r="JL126" s="56"/>
      <c r="JM126" s="56"/>
      <c r="JN126" s="56"/>
      <c r="JO126" s="56"/>
      <c r="JP126" s="56"/>
      <c r="JQ126" s="56"/>
      <c r="JR126" s="56"/>
      <c r="JS126" s="56"/>
      <c r="JT126" s="56"/>
      <c r="JU126" s="56"/>
      <c r="JV126" s="56"/>
      <c r="JW126" s="56"/>
      <c r="JX126" s="56"/>
      <c r="JY126" s="56"/>
      <c r="JZ126" s="56"/>
      <c r="KA126" s="56"/>
      <c r="KB126" s="56"/>
      <c r="KC126" s="56"/>
      <c r="KD126" s="56"/>
      <c r="KE126" s="56"/>
      <c r="KF126" s="56"/>
      <c r="KG126" s="56"/>
      <c r="KH126" s="56"/>
      <c r="KI126" s="56"/>
      <c r="KJ126" s="56"/>
      <c r="KK126" s="56"/>
      <c r="KL126" s="56"/>
      <c r="KM126" s="56"/>
      <c r="KN126" s="56"/>
      <c r="KO126" s="56"/>
      <c r="KP126" s="56"/>
      <c r="KQ126" s="56"/>
      <c r="KR126" s="56"/>
      <c r="KS126" s="56"/>
      <c r="KT126" s="56"/>
      <c r="KU126" s="56"/>
      <c r="KV126" s="56"/>
      <c r="KW126" s="56"/>
      <c r="KX126" s="56"/>
      <c r="KY126" s="56"/>
      <c r="KZ126" s="56"/>
      <c r="LA126" s="56"/>
      <c r="LB126" s="56"/>
      <c r="LC126" s="56"/>
      <c r="LD126" s="56"/>
      <c r="LE126" s="56"/>
      <c r="LF126" s="56"/>
      <c r="LG126" s="56"/>
      <c r="LH126" s="56"/>
      <c r="LI126" s="56"/>
      <c r="LJ126" s="56"/>
      <c r="LK126" s="56"/>
      <c r="LL126" s="56"/>
      <c r="LM126" s="56"/>
      <c r="LN126" s="56"/>
      <c r="LO126" s="56"/>
      <c r="LP126" s="56"/>
      <c r="LQ126" s="56"/>
      <c r="LR126" s="56"/>
      <c r="LS126" s="56"/>
      <c r="LT126" s="56"/>
      <c r="LU126" s="56"/>
      <c r="LV126" s="56"/>
      <c r="LW126" s="56"/>
      <c r="LX126" s="56"/>
      <c r="LY126" s="56"/>
      <c r="LZ126" s="56"/>
      <c r="MA126" s="56"/>
      <c r="MB126" s="56"/>
      <c r="MC126" s="56"/>
      <c r="MD126" s="56"/>
      <c r="ME126" s="56"/>
      <c r="MF126" s="56"/>
      <c r="MG126" s="56"/>
      <c r="MH126" s="56"/>
      <c r="MI126" s="56"/>
      <c r="MJ126" s="56"/>
      <c r="MK126" s="56"/>
      <c r="ML126" s="56"/>
      <c r="MM126" s="56"/>
      <c r="MN126" s="56"/>
      <c r="MO126" s="56"/>
      <c r="MP126" s="56"/>
      <c r="MQ126" s="56"/>
      <c r="MR126" s="56"/>
      <c r="MS126" s="56"/>
      <c r="MT126" s="56"/>
      <c r="MU126" s="56"/>
      <c r="MV126" s="56"/>
      <c r="MW126" s="56"/>
      <c r="MX126" s="56"/>
      <c r="MY126" s="56"/>
      <c r="MZ126" s="56"/>
      <c r="NA126" s="56"/>
      <c r="NB126" s="56"/>
      <c r="NC126" s="56"/>
      <c r="ND126" s="56"/>
      <c r="NE126" s="56"/>
      <c r="NF126" s="56"/>
      <c r="NG126" s="56"/>
      <c r="NH126" s="56"/>
      <c r="NI126" s="56"/>
      <c r="NJ126" s="56"/>
      <c r="NK126" s="56"/>
      <c r="NL126" s="56"/>
      <c r="NM126" s="56"/>
      <c r="NN126" s="56"/>
      <c r="NO126" s="56"/>
      <c r="NP126" s="56"/>
      <c r="NQ126" s="56"/>
      <c r="NR126" s="56"/>
      <c r="NS126" s="56"/>
      <c r="NT126" s="56"/>
      <c r="NU126" s="56"/>
      <c r="NV126" s="56"/>
      <c r="NW126" s="56"/>
      <c r="NX126" s="56"/>
      <c r="NY126" s="56"/>
      <c r="NZ126" s="56"/>
      <c r="OA126" s="56"/>
      <c r="OB126" s="56"/>
      <c r="OC126" s="56"/>
      <c r="OD126" s="56"/>
      <c r="OE126" s="56"/>
      <c r="OF126" s="56"/>
      <c r="OG126" s="56"/>
      <c r="OH126" s="56"/>
      <c r="OI126" s="56"/>
      <c r="OJ126" s="56"/>
      <c r="OK126" s="56"/>
      <c r="OL126" s="56"/>
      <c r="OM126" s="56"/>
      <c r="ON126" s="56"/>
      <c r="OO126" s="56"/>
      <c r="OP126" s="56"/>
      <c r="OQ126" s="56"/>
      <c r="OR126" s="56"/>
      <c r="OS126" s="56"/>
      <c r="OT126" s="56"/>
      <c r="OU126" s="56"/>
      <c r="OV126" s="56"/>
      <c r="OW126" s="56"/>
      <c r="OX126" s="56"/>
      <c r="OY126" s="56"/>
      <c r="OZ126" s="56"/>
      <c r="PA126" s="56"/>
      <c r="PB126" s="56"/>
      <c r="PC126" s="56"/>
      <c r="PD126" s="56"/>
      <c r="PE126" s="56"/>
      <c r="PF126" s="56"/>
      <c r="PG126" s="56"/>
      <c r="PH126" s="56"/>
      <c r="PI126" s="56"/>
      <c r="PJ126" s="56"/>
      <c r="PK126" s="56"/>
      <c r="PL126" s="56"/>
      <c r="PM126" s="56"/>
      <c r="PN126" s="56"/>
      <c r="PO126" s="56"/>
      <c r="PP126" s="56"/>
      <c r="PQ126" s="56"/>
      <c r="PR126" s="56"/>
      <c r="PS126" s="56"/>
      <c r="PT126" s="56"/>
      <c r="PU126" s="56"/>
      <c r="PV126" s="56"/>
      <c r="PW126" s="56"/>
      <c r="PX126" s="56"/>
      <c r="PY126" s="56"/>
      <c r="PZ126" s="56"/>
      <c r="QA126" s="56"/>
      <c r="QB126" s="56"/>
      <c r="QC126" s="56"/>
      <c r="QD126" s="56"/>
      <c r="QE126" s="56"/>
      <c r="QF126" s="56"/>
      <c r="QG126" s="56"/>
      <c r="QH126" s="56"/>
      <c r="QI126" s="56"/>
      <c r="QJ126" s="56"/>
      <c r="QK126" s="56"/>
      <c r="QL126" s="56"/>
      <c r="QM126" s="56"/>
      <c r="QN126" s="56"/>
      <c r="QO126" s="56"/>
      <c r="QP126" s="56"/>
      <c r="QQ126" s="56"/>
      <c r="QR126" s="56"/>
      <c r="QS126" s="56"/>
      <c r="QT126" s="56"/>
      <c r="QU126" s="56"/>
      <c r="QV126" s="56"/>
      <c r="QW126" s="56"/>
      <c r="QX126" s="56"/>
      <c r="QY126" s="56"/>
      <c r="QZ126" s="56"/>
      <c r="RA126" s="56"/>
      <c r="RB126" s="56"/>
      <c r="RC126" s="56"/>
      <c r="RD126" s="56"/>
      <c r="RE126" s="56"/>
      <c r="RF126" s="56"/>
      <c r="RG126" s="56"/>
      <c r="RH126" s="56"/>
      <c r="RI126" s="56"/>
      <c r="RJ126" s="56"/>
      <c r="RK126" s="56"/>
      <c r="RL126" s="56"/>
      <c r="RM126" s="56"/>
      <c r="RN126" s="56"/>
      <c r="RO126" s="56"/>
      <c r="RP126" s="56"/>
      <c r="RQ126" s="56"/>
      <c r="RR126" s="56"/>
      <c r="RS126" s="56"/>
      <c r="RT126" s="56"/>
      <c r="RU126" s="56"/>
      <c r="RV126" s="56"/>
      <c r="RW126" s="56"/>
      <c r="RX126" s="56"/>
      <c r="RY126" s="56"/>
      <c r="RZ126" s="56"/>
      <c r="SA126" s="56"/>
      <c r="SB126" s="56"/>
      <c r="SC126" s="56"/>
      <c r="SD126" s="56"/>
      <c r="SE126" s="56"/>
      <c r="SF126" s="56"/>
      <c r="SG126" s="56"/>
      <c r="SH126" s="56"/>
      <c r="SI126" s="56"/>
      <c r="SJ126" s="56"/>
      <c r="SK126" s="56"/>
      <c r="SL126" s="56"/>
      <c r="SM126" s="56"/>
      <c r="SN126" s="56"/>
      <c r="SO126" s="56"/>
      <c r="SP126" s="56"/>
      <c r="SQ126" s="56"/>
      <c r="SR126" s="56"/>
      <c r="SS126" s="56"/>
      <c r="ST126" s="56"/>
      <c r="SU126" s="56"/>
      <c r="SV126" s="56"/>
      <c r="SW126" s="56"/>
      <c r="SX126" s="56"/>
      <c r="SY126" s="56"/>
      <c r="SZ126" s="56"/>
      <c r="TA126" s="56"/>
      <c r="TB126" s="56"/>
      <c r="TC126" s="56"/>
      <c r="TD126" s="56"/>
      <c r="TE126" s="56"/>
      <c r="TF126" s="56"/>
      <c r="TG126" s="56"/>
      <c r="TH126" s="56"/>
      <c r="TI126" s="56"/>
      <c r="TJ126" s="56"/>
      <c r="TK126" s="56"/>
      <c r="TL126" s="56"/>
      <c r="TM126" s="56"/>
      <c r="TN126" s="56"/>
      <c r="TO126" s="56"/>
      <c r="TP126" s="56"/>
      <c r="TQ126" s="56"/>
      <c r="TR126" s="56"/>
      <c r="TS126" s="56"/>
      <c r="TT126" s="56"/>
      <c r="TU126" s="56"/>
      <c r="TV126" s="56"/>
      <c r="TW126" s="56"/>
      <c r="TX126" s="56"/>
      <c r="TY126" s="56"/>
      <c r="TZ126" s="56"/>
      <c r="UA126" s="56"/>
      <c r="UB126" s="56"/>
      <c r="UC126" s="56"/>
      <c r="UD126" s="56"/>
      <c r="UE126" s="56"/>
      <c r="UF126" s="56"/>
      <c r="UG126" s="56"/>
      <c r="UH126" s="56"/>
      <c r="UI126" s="56"/>
      <c r="UJ126" s="56"/>
      <c r="UK126" s="56"/>
      <c r="UL126" s="56"/>
      <c r="UM126" s="56"/>
      <c r="UN126" s="56"/>
      <c r="UO126" s="56"/>
      <c r="UP126" s="56"/>
      <c r="UQ126" s="56"/>
      <c r="UR126" s="56"/>
      <c r="US126" s="56"/>
      <c r="UT126" s="56"/>
      <c r="UU126" s="56"/>
      <c r="UV126" s="56"/>
      <c r="UW126" s="56"/>
      <c r="UX126" s="56"/>
      <c r="UY126" s="56"/>
      <c r="UZ126" s="56"/>
      <c r="VA126" s="56"/>
      <c r="VB126" s="56"/>
      <c r="VC126" s="56"/>
      <c r="VD126" s="56"/>
      <c r="VE126" s="56"/>
      <c r="VF126" s="56"/>
      <c r="VG126" s="56"/>
      <c r="VH126" s="56"/>
      <c r="VI126" s="56"/>
      <c r="VJ126" s="56"/>
      <c r="VK126" s="56"/>
      <c r="VL126" s="56"/>
      <c r="VM126" s="56"/>
      <c r="VN126" s="56"/>
      <c r="VO126" s="56"/>
      <c r="VP126" s="56"/>
      <c r="VQ126" s="56"/>
      <c r="VR126" s="56"/>
      <c r="VS126" s="56"/>
      <c r="VT126" s="56"/>
      <c r="VU126" s="56"/>
      <c r="VV126" s="56"/>
      <c r="VW126" s="56"/>
      <c r="VX126" s="56"/>
      <c r="VY126" s="56"/>
      <c r="VZ126" s="56"/>
      <c r="WA126" s="56"/>
      <c r="WB126" s="56"/>
      <c r="WC126" s="56"/>
      <c r="WD126" s="56"/>
      <c r="WE126" s="56"/>
      <c r="WF126" s="56"/>
      <c r="WG126" s="56"/>
      <c r="WH126" s="56"/>
      <c r="WI126" s="56"/>
      <c r="WJ126" s="56"/>
      <c r="WK126" s="56"/>
      <c r="WL126" s="56"/>
      <c r="WM126" s="56"/>
      <c r="WN126" s="56"/>
      <c r="WO126" s="56"/>
      <c r="WP126" s="56"/>
      <c r="WQ126" s="56"/>
      <c r="WR126" s="56"/>
      <c r="WS126" s="56"/>
      <c r="WT126" s="56"/>
      <c r="WU126" s="56"/>
      <c r="WV126" s="56"/>
      <c r="WW126" s="56"/>
      <c r="WX126" s="56"/>
      <c r="WY126" s="56"/>
      <c r="WZ126" s="56"/>
      <c r="XA126" s="56"/>
      <c r="XB126" s="56"/>
      <c r="XC126" s="56"/>
      <c r="XD126" s="56"/>
      <c r="XE126" s="56"/>
      <c r="XF126" s="56"/>
      <c r="XG126" s="56"/>
      <c r="XH126" s="56"/>
      <c r="XI126" s="56"/>
      <c r="XJ126" s="56"/>
      <c r="XK126" s="56"/>
      <c r="XL126" s="56"/>
      <c r="XM126" s="56"/>
      <c r="XN126" s="56"/>
      <c r="XO126" s="56"/>
      <c r="XP126" s="56"/>
      <c r="XQ126" s="56"/>
      <c r="XR126" s="56"/>
      <c r="XS126" s="56"/>
      <c r="XT126" s="56"/>
      <c r="XU126" s="56"/>
      <c r="XV126" s="56"/>
      <c r="XW126" s="56"/>
      <c r="XX126" s="56"/>
      <c r="XY126" s="56"/>
      <c r="XZ126" s="56"/>
      <c r="YA126" s="56"/>
      <c r="YB126" s="56"/>
      <c r="YC126" s="56"/>
      <c r="YD126" s="56"/>
      <c r="YE126" s="56"/>
      <c r="YF126" s="56"/>
      <c r="YG126" s="56"/>
      <c r="YH126" s="56"/>
      <c r="YI126" s="56"/>
      <c r="YJ126" s="56"/>
      <c r="YK126" s="56"/>
      <c r="YL126" s="56"/>
      <c r="YM126" s="56"/>
      <c r="YN126" s="56"/>
      <c r="YO126" s="56"/>
      <c r="YP126" s="56"/>
      <c r="YQ126" s="56"/>
      <c r="YR126" s="56"/>
      <c r="YS126" s="56"/>
      <c r="YT126" s="56"/>
      <c r="YU126" s="56"/>
      <c r="YV126" s="56"/>
      <c r="YW126" s="56"/>
      <c r="YX126" s="56"/>
      <c r="YY126" s="56"/>
      <c r="YZ126" s="56"/>
      <c r="ZA126" s="56"/>
      <c r="ZB126" s="56"/>
      <c r="ZC126" s="56"/>
      <c r="ZD126" s="56"/>
      <c r="ZE126" s="56"/>
      <c r="ZF126" s="56"/>
      <c r="ZG126" s="56"/>
      <c r="ZH126" s="56"/>
      <c r="ZI126" s="56"/>
      <c r="ZJ126" s="56"/>
      <c r="ZK126" s="56"/>
      <c r="ZL126" s="56"/>
      <c r="ZM126" s="56"/>
      <c r="ZN126" s="56"/>
      <c r="ZO126" s="56"/>
      <c r="ZP126" s="56"/>
      <c r="ZQ126" s="56"/>
      <c r="ZR126" s="56"/>
      <c r="ZS126" s="56"/>
      <c r="ZT126" s="56"/>
      <c r="ZU126" s="56"/>
      <c r="ZV126" s="56"/>
      <c r="ZW126" s="56"/>
      <c r="ZX126" s="56"/>
      <c r="ZY126" s="56"/>
      <c r="ZZ126" s="56"/>
      <c r="AAA126" s="56"/>
      <c r="AAB126" s="56"/>
      <c r="AAC126" s="56"/>
      <c r="AAD126" s="56"/>
      <c r="AAE126" s="56"/>
      <c r="AAF126" s="56"/>
      <c r="AAG126" s="56"/>
      <c r="AAH126" s="56"/>
      <c r="AAI126" s="56"/>
      <c r="AAJ126" s="56"/>
      <c r="AAK126" s="56"/>
      <c r="AAL126" s="56"/>
      <c r="AAM126" s="56"/>
      <c r="AAN126" s="56"/>
      <c r="AAO126" s="56"/>
      <c r="AAP126" s="56"/>
      <c r="AAQ126" s="56"/>
      <c r="AAR126" s="56"/>
      <c r="AAS126" s="56"/>
      <c r="AAT126" s="56"/>
      <c r="AAU126" s="56"/>
      <c r="AAV126" s="56"/>
      <c r="AAW126" s="56"/>
      <c r="AAX126" s="56"/>
      <c r="AAY126" s="56"/>
      <c r="AAZ126" s="56"/>
      <c r="ABA126" s="56"/>
      <c r="ABB126" s="56"/>
      <c r="ABC126" s="56"/>
      <c r="ABD126" s="56"/>
      <c r="ABE126" s="56"/>
      <c r="ABF126" s="56"/>
      <c r="ABG126" s="56"/>
      <c r="ABH126" s="56"/>
      <c r="ABI126" s="56"/>
      <c r="ABJ126" s="56"/>
      <c r="ABK126" s="56"/>
      <c r="ABL126" s="56"/>
      <c r="ABM126" s="56"/>
      <c r="ABN126" s="56"/>
      <c r="ABO126" s="56"/>
      <c r="ABP126" s="56"/>
      <c r="ABQ126" s="56"/>
      <c r="ABR126" s="56"/>
      <c r="ABS126" s="56"/>
      <c r="ABT126" s="56"/>
      <c r="ABU126" s="56"/>
      <c r="ABV126" s="56"/>
      <c r="ABW126" s="56"/>
      <c r="ABX126" s="56"/>
      <c r="ABY126" s="56"/>
      <c r="ABZ126" s="56"/>
      <c r="ACA126" s="56"/>
      <c r="ACB126" s="56"/>
      <c r="ACC126" s="56"/>
      <c r="ACD126" s="56"/>
      <c r="ACE126" s="56"/>
      <c r="ACF126" s="56"/>
      <c r="ACG126" s="56"/>
      <c r="ACH126" s="56"/>
      <c r="ACI126" s="56"/>
      <c r="ACJ126" s="56"/>
      <c r="ACK126" s="56"/>
      <c r="ACL126" s="56"/>
      <c r="ACM126" s="56"/>
      <c r="ACN126" s="56"/>
      <c r="ACO126" s="56"/>
      <c r="ACP126" s="56"/>
      <c r="ACQ126" s="56"/>
      <c r="ACR126" s="56"/>
      <c r="ACS126" s="56"/>
      <c r="ACT126" s="56"/>
      <c r="ACU126" s="56"/>
      <c r="ACV126" s="56"/>
      <c r="ACW126" s="56"/>
      <c r="ACX126" s="56"/>
      <c r="ACY126" s="56"/>
      <c r="ACZ126" s="56"/>
      <c r="ADA126" s="56"/>
      <c r="ADB126" s="56"/>
      <c r="ADC126" s="56"/>
      <c r="ADD126" s="56"/>
      <c r="ADE126" s="56"/>
      <c r="ADF126" s="56"/>
      <c r="ADG126" s="56"/>
      <c r="ADH126" s="56"/>
      <c r="ADI126" s="56"/>
      <c r="ADJ126" s="56"/>
      <c r="ADK126" s="56"/>
      <c r="ADL126" s="56"/>
      <c r="ADM126" s="56"/>
      <c r="ADN126" s="56"/>
      <c r="ADO126" s="56"/>
      <c r="ADP126" s="56"/>
      <c r="ADQ126" s="56"/>
      <c r="ADR126" s="56"/>
      <c r="ADS126" s="56"/>
      <c r="ADT126" s="56"/>
      <c r="ADU126" s="56"/>
      <c r="ADV126" s="56"/>
      <c r="ADW126" s="56"/>
      <c r="ADX126" s="56"/>
      <c r="ADY126" s="56"/>
      <c r="ADZ126" s="56"/>
      <c r="AEA126" s="56"/>
      <c r="AEB126" s="56"/>
      <c r="AEC126" s="56"/>
      <c r="AED126" s="56"/>
      <c r="AEE126" s="56"/>
      <c r="AEF126" s="56"/>
      <c r="AEG126" s="56"/>
      <c r="AEH126" s="56"/>
      <c r="AEI126" s="56"/>
      <c r="AEJ126" s="56"/>
      <c r="AEK126" s="56"/>
      <c r="AEL126" s="56"/>
      <c r="AEM126" s="56"/>
      <c r="AEN126" s="56"/>
      <c r="AEO126" s="56"/>
      <c r="AEP126" s="56"/>
      <c r="AEQ126" s="56"/>
      <c r="AER126" s="56"/>
      <c r="AES126" s="56"/>
      <c r="AET126" s="56"/>
      <c r="AEU126" s="56"/>
      <c r="AEV126" s="56"/>
      <c r="AEW126" s="56"/>
      <c r="AEX126" s="56"/>
      <c r="AEY126" s="56"/>
      <c r="AEZ126" s="56"/>
      <c r="AFA126" s="56"/>
      <c r="AFB126" s="56"/>
      <c r="AFC126" s="56"/>
      <c r="AFD126" s="56"/>
      <c r="AFE126" s="56"/>
      <c r="AFF126" s="56"/>
      <c r="AFG126" s="56"/>
      <c r="AFH126" s="56"/>
      <c r="AFI126" s="56"/>
      <c r="AFJ126" s="56"/>
      <c r="AFK126" s="56"/>
      <c r="AFL126" s="56"/>
      <c r="AFM126" s="56"/>
      <c r="AFN126" s="56"/>
      <c r="AFO126" s="56"/>
      <c r="AFP126" s="56"/>
      <c r="AFQ126" s="56"/>
      <c r="AFR126" s="56"/>
      <c r="AFS126" s="56"/>
      <c r="AFT126" s="56"/>
      <c r="AFU126" s="56"/>
      <c r="AFV126" s="56"/>
      <c r="AFW126" s="56"/>
      <c r="AFX126" s="56"/>
      <c r="AFY126" s="56"/>
      <c r="AFZ126" s="56"/>
      <c r="AGA126" s="56"/>
      <c r="AGB126" s="56"/>
      <c r="AGC126" s="56"/>
      <c r="AGD126" s="56"/>
      <c r="AGE126" s="56"/>
      <c r="AGF126" s="56"/>
      <c r="AGG126" s="56"/>
      <c r="AGH126" s="56"/>
      <c r="AGI126" s="56"/>
      <c r="AGJ126" s="56"/>
      <c r="AGK126" s="56"/>
      <c r="AGL126" s="56"/>
      <c r="AGM126" s="56"/>
      <c r="AGN126" s="56"/>
      <c r="AGO126" s="56"/>
      <c r="AGP126" s="56"/>
      <c r="AGQ126" s="56"/>
      <c r="AGR126" s="56"/>
      <c r="AGS126" s="56"/>
      <c r="AGT126" s="56"/>
      <c r="AGU126" s="56"/>
      <c r="AGV126" s="56"/>
      <c r="AGW126" s="56"/>
      <c r="AGX126" s="56"/>
      <c r="AGY126" s="56"/>
      <c r="AGZ126" s="56"/>
      <c r="AHA126" s="56"/>
      <c r="AHB126" s="56"/>
      <c r="AHC126" s="56"/>
      <c r="AHD126" s="56"/>
      <c r="AHE126" s="56"/>
      <c r="AHF126" s="56"/>
      <c r="AHG126" s="56"/>
      <c r="AHH126" s="56"/>
      <c r="AHI126" s="56"/>
      <c r="AHJ126" s="56"/>
      <c r="AHK126" s="56"/>
      <c r="AHL126" s="56"/>
      <c r="AHM126" s="56"/>
      <c r="AHN126" s="56"/>
      <c r="AHO126" s="56"/>
      <c r="AHP126" s="56"/>
      <c r="AHQ126" s="56"/>
      <c r="AHR126" s="56"/>
      <c r="AHS126" s="56"/>
      <c r="AHT126" s="56"/>
      <c r="AHU126" s="56"/>
      <c r="AHV126" s="56"/>
      <c r="AHW126" s="56"/>
      <c r="AHX126" s="56"/>
      <c r="AHY126" s="56"/>
      <c r="AHZ126" s="56"/>
      <c r="AIA126" s="56"/>
      <c r="AIB126" s="56"/>
      <c r="AIC126" s="56"/>
      <c r="AID126" s="56"/>
      <c r="AIE126" s="56"/>
      <c r="AIF126" s="56"/>
      <c r="AIG126" s="56"/>
      <c r="AIH126" s="56"/>
      <c r="AII126" s="56"/>
      <c r="AIJ126" s="56"/>
      <c r="AIK126" s="56"/>
      <c r="AIL126" s="56"/>
      <c r="AIM126" s="56"/>
      <c r="AIN126" s="56"/>
      <c r="AIO126" s="56"/>
      <c r="AIP126" s="56"/>
      <c r="AIQ126" s="56"/>
      <c r="AIR126" s="56"/>
      <c r="AIS126" s="56"/>
      <c r="AIT126" s="56"/>
      <c r="AIU126" s="56"/>
      <c r="AIV126" s="56"/>
      <c r="AIW126" s="56"/>
      <c r="AIX126" s="56"/>
      <c r="AIY126" s="56"/>
      <c r="AIZ126" s="56"/>
      <c r="AJA126" s="56"/>
      <c r="AJB126" s="56"/>
      <c r="AJC126" s="56"/>
      <c r="AJD126" s="56"/>
      <c r="AJE126" s="56"/>
      <c r="AJF126" s="56"/>
      <c r="AJG126" s="56"/>
      <c r="AJH126" s="56"/>
      <c r="AJI126" s="56"/>
      <c r="AJJ126" s="56"/>
      <c r="AJK126" s="56"/>
      <c r="AJL126" s="56"/>
      <c r="AJM126" s="56"/>
      <c r="AJN126" s="56"/>
      <c r="AJO126" s="56"/>
      <c r="AJP126" s="56"/>
      <c r="AJQ126" s="56"/>
      <c r="AJR126" s="56"/>
      <c r="AJS126" s="56"/>
      <c r="AJT126" s="56"/>
      <c r="AJU126" s="56"/>
      <c r="AJV126" s="56"/>
      <c r="AJW126" s="56"/>
      <c r="AJX126" s="56"/>
      <c r="AJY126" s="56"/>
      <c r="AJZ126" s="56"/>
      <c r="AKA126" s="56"/>
      <c r="AKB126" s="56"/>
      <c r="AKC126" s="56"/>
      <c r="AKD126" s="56"/>
      <c r="AKE126" s="56"/>
      <c r="AKF126" s="56"/>
      <c r="AKG126" s="56"/>
      <c r="AKH126" s="56"/>
      <c r="AKI126" s="56"/>
      <c r="AKJ126" s="56"/>
      <c r="AKK126" s="56"/>
      <c r="AKL126" s="56"/>
      <c r="AKM126" s="56"/>
      <c r="AKN126" s="56"/>
      <c r="AKO126" s="56"/>
      <c r="AKP126" s="56"/>
      <c r="AKQ126" s="56"/>
      <c r="AKR126" s="56"/>
      <c r="AKS126" s="56"/>
      <c r="AKT126" s="56"/>
      <c r="AKU126" s="56"/>
      <c r="AKV126" s="56"/>
      <c r="AKW126" s="56"/>
      <c r="AKX126" s="56"/>
      <c r="AKY126" s="56"/>
      <c r="AKZ126" s="56"/>
      <c r="ALA126" s="56"/>
      <c r="ALB126" s="56"/>
      <c r="ALC126" s="56"/>
      <c r="ALD126" s="56"/>
      <c r="ALE126" s="56"/>
      <c r="ALF126" s="56"/>
      <c r="ALG126" s="56"/>
      <c r="ALH126" s="56"/>
      <c r="ALI126" s="56"/>
      <c r="ALJ126" s="56"/>
      <c r="ALK126" s="56"/>
      <c r="ALL126" s="56"/>
      <c r="ALM126" s="56"/>
      <c r="ALN126" s="56"/>
      <c r="ALO126" s="56"/>
      <c r="ALP126" s="56"/>
      <c r="ALQ126" s="56"/>
      <c r="ALR126" s="56"/>
      <c r="ALS126" s="56"/>
      <c r="ALT126" s="56"/>
      <c r="ALU126" s="56"/>
      <c r="ALV126" s="56"/>
      <c r="ALW126" s="56"/>
      <c r="ALX126" s="56"/>
      <c r="ALY126" s="56"/>
      <c r="ALZ126" s="56"/>
      <c r="AMA126" s="56"/>
      <c r="AMB126" s="56"/>
      <c r="AMC126" s="56"/>
      <c r="AMD126" s="56"/>
      <c r="AME126" s="56"/>
      <c r="AMF126" s="56"/>
      <c r="AMG126" s="56"/>
      <c r="AMH126" s="56"/>
      <c r="AMI126" s="56"/>
      <c r="AMJ126" s="56"/>
    </row>
    <row r="127" spans="12:1024" ht="15.95" customHeight="1" x14ac:dyDescent="0.2">
      <c r="L127" s="56"/>
      <c r="M127" s="57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56"/>
      <c r="CP127" s="56"/>
      <c r="CQ127" s="56"/>
      <c r="CR127" s="56"/>
      <c r="CS127" s="56"/>
      <c r="CT127" s="56"/>
      <c r="CU127" s="56"/>
      <c r="CV127" s="56"/>
      <c r="CW127" s="56"/>
      <c r="CX127" s="56"/>
      <c r="CY127" s="56"/>
      <c r="CZ127" s="56"/>
      <c r="DA127" s="56"/>
      <c r="DB127" s="56"/>
      <c r="DC127" s="56"/>
      <c r="DD127" s="56"/>
      <c r="DE127" s="56"/>
      <c r="DF127" s="56"/>
      <c r="DG127" s="56"/>
      <c r="DH127" s="56"/>
      <c r="DI127" s="56"/>
      <c r="DJ127" s="56"/>
      <c r="DK127" s="56"/>
      <c r="DL127" s="56"/>
      <c r="DM127" s="56"/>
      <c r="DN127" s="56"/>
      <c r="DO127" s="56"/>
      <c r="DP127" s="56"/>
      <c r="DQ127" s="56"/>
      <c r="DR127" s="56"/>
      <c r="DS127" s="56"/>
      <c r="DT127" s="56"/>
      <c r="DU127" s="56"/>
      <c r="DV127" s="56"/>
      <c r="DW127" s="56"/>
      <c r="DX127" s="56"/>
      <c r="DY127" s="56"/>
      <c r="DZ127" s="56"/>
      <c r="EA127" s="56"/>
      <c r="EB127" s="56"/>
      <c r="EC127" s="56"/>
      <c r="ED127" s="56"/>
      <c r="EE127" s="56"/>
      <c r="EF127" s="56"/>
      <c r="EG127" s="56"/>
      <c r="EH127" s="56"/>
      <c r="EI127" s="56"/>
      <c r="EJ127" s="56"/>
      <c r="EK127" s="56"/>
      <c r="EL127" s="56"/>
      <c r="EM127" s="56"/>
      <c r="EN127" s="56"/>
      <c r="EO127" s="56"/>
      <c r="EP127" s="56"/>
      <c r="EQ127" s="56"/>
      <c r="ER127" s="56"/>
      <c r="ES127" s="56"/>
      <c r="ET127" s="56"/>
      <c r="EU127" s="56"/>
      <c r="EV127" s="56"/>
      <c r="EW127" s="56"/>
      <c r="EX127" s="56"/>
      <c r="EY127" s="56"/>
      <c r="EZ127" s="56"/>
      <c r="FA127" s="56"/>
      <c r="FB127" s="56"/>
      <c r="FC127" s="56"/>
      <c r="FD127" s="56"/>
      <c r="FE127" s="56"/>
      <c r="FF127" s="56"/>
      <c r="FG127" s="56"/>
      <c r="FH127" s="56"/>
      <c r="FI127" s="56"/>
      <c r="FJ127" s="56"/>
      <c r="FK127" s="56"/>
      <c r="FL127" s="56"/>
      <c r="FM127" s="56"/>
      <c r="FN127" s="56"/>
      <c r="FO127" s="56"/>
      <c r="FP127" s="56"/>
      <c r="FQ127" s="56"/>
      <c r="FR127" s="56"/>
      <c r="FS127" s="56"/>
      <c r="FT127" s="56"/>
      <c r="FU127" s="56"/>
      <c r="FV127" s="56"/>
      <c r="FW127" s="56"/>
      <c r="FX127" s="56"/>
      <c r="FY127" s="56"/>
      <c r="FZ127" s="56"/>
      <c r="GA127" s="56"/>
      <c r="GB127" s="56"/>
      <c r="GC127" s="56"/>
      <c r="GD127" s="56"/>
      <c r="GE127" s="56"/>
      <c r="GF127" s="56"/>
      <c r="GG127" s="56"/>
      <c r="GH127" s="56"/>
      <c r="GI127" s="56"/>
      <c r="GJ127" s="56"/>
      <c r="GK127" s="56"/>
      <c r="GL127" s="56"/>
      <c r="GM127" s="56"/>
      <c r="GN127" s="56"/>
      <c r="GO127" s="56"/>
      <c r="GP127" s="56"/>
      <c r="GQ127" s="56"/>
      <c r="GR127" s="56"/>
      <c r="GS127" s="56"/>
      <c r="GT127" s="56"/>
      <c r="GU127" s="56"/>
      <c r="GV127" s="56"/>
      <c r="GW127" s="56"/>
      <c r="GX127" s="56"/>
      <c r="GY127" s="56"/>
      <c r="GZ127" s="56"/>
      <c r="HA127" s="56"/>
      <c r="HB127" s="56"/>
      <c r="HC127" s="56"/>
      <c r="HD127" s="56"/>
      <c r="HE127" s="56"/>
      <c r="HF127" s="56"/>
      <c r="HG127" s="56"/>
      <c r="HH127" s="56"/>
      <c r="HI127" s="56"/>
      <c r="HJ127" s="56"/>
      <c r="HK127" s="56"/>
      <c r="HL127" s="56"/>
      <c r="HM127" s="56"/>
      <c r="HN127" s="56"/>
      <c r="HO127" s="56"/>
      <c r="HP127" s="56"/>
      <c r="HQ127" s="56"/>
      <c r="HR127" s="56"/>
      <c r="HS127" s="56"/>
      <c r="HT127" s="56"/>
      <c r="HU127" s="56"/>
      <c r="HV127" s="56"/>
      <c r="HW127" s="56"/>
      <c r="HX127" s="56"/>
      <c r="HY127" s="56"/>
      <c r="HZ127" s="56"/>
      <c r="IA127" s="56"/>
      <c r="IB127" s="56"/>
      <c r="IC127" s="56"/>
      <c r="ID127" s="56"/>
      <c r="IE127" s="56"/>
      <c r="IF127" s="56"/>
      <c r="IG127" s="56"/>
      <c r="IH127" s="56"/>
      <c r="II127" s="56"/>
      <c r="IJ127" s="56"/>
      <c r="IK127" s="56"/>
      <c r="IL127" s="56"/>
      <c r="IM127" s="56"/>
      <c r="IN127" s="56"/>
      <c r="IO127" s="56"/>
      <c r="IP127" s="56"/>
      <c r="IQ127" s="56"/>
      <c r="IR127" s="56"/>
      <c r="IS127" s="56"/>
      <c r="IT127" s="56"/>
      <c r="IU127" s="56"/>
      <c r="IV127" s="56"/>
      <c r="IW127" s="56"/>
      <c r="IX127" s="56"/>
      <c r="IY127" s="56"/>
      <c r="IZ127" s="56"/>
      <c r="JA127" s="56"/>
      <c r="JB127" s="56"/>
      <c r="JC127" s="56"/>
      <c r="JD127" s="56"/>
      <c r="JE127" s="56"/>
      <c r="JF127" s="56"/>
      <c r="JG127" s="56"/>
      <c r="JH127" s="56"/>
      <c r="JI127" s="56"/>
      <c r="JJ127" s="56"/>
      <c r="JK127" s="56"/>
      <c r="JL127" s="56"/>
      <c r="JM127" s="56"/>
      <c r="JN127" s="56"/>
      <c r="JO127" s="56"/>
      <c r="JP127" s="56"/>
      <c r="JQ127" s="56"/>
      <c r="JR127" s="56"/>
      <c r="JS127" s="56"/>
      <c r="JT127" s="56"/>
      <c r="JU127" s="56"/>
      <c r="JV127" s="56"/>
      <c r="JW127" s="56"/>
      <c r="JX127" s="56"/>
      <c r="JY127" s="56"/>
      <c r="JZ127" s="56"/>
      <c r="KA127" s="56"/>
      <c r="KB127" s="56"/>
      <c r="KC127" s="56"/>
      <c r="KD127" s="56"/>
      <c r="KE127" s="56"/>
      <c r="KF127" s="56"/>
      <c r="KG127" s="56"/>
      <c r="KH127" s="56"/>
      <c r="KI127" s="56"/>
      <c r="KJ127" s="56"/>
      <c r="KK127" s="56"/>
      <c r="KL127" s="56"/>
      <c r="KM127" s="56"/>
      <c r="KN127" s="56"/>
      <c r="KO127" s="56"/>
      <c r="KP127" s="56"/>
      <c r="KQ127" s="56"/>
      <c r="KR127" s="56"/>
      <c r="KS127" s="56"/>
      <c r="KT127" s="56"/>
      <c r="KU127" s="56"/>
      <c r="KV127" s="56"/>
      <c r="KW127" s="56"/>
      <c r="KX127" s="56"/>
      <c r="KY127" s="56"/>
      <c r="KZ127" s="56"/>
      <c r="LA127" s="56"/>
      <c r="LB127" s="56"/>
      <c r="LC127" s="56"/>
      <c r="LD127" s="56"/>
      <c r="LE127" s="56"/>
      <c r="LF127" s="56"/>
      <c r="LG127" s="56"/>
      <c r="LH127" s="56"/>
      <c r="LI127" s="56"/>
      <c r="LJ127" s="56"/>
      <c r="LK127" s="56"/>
      <c r="LL127" s="56"/>
      <c r="LM127" s="56"/>
      <c r="LN127" s="56"/>
      <c r="LO127" s="56"/>
      <c r="LP127" s="56"/>
      <c r="LQ127" s="56"/>
      <c r="LR127" s="56"/>
      <c r="LS127" s="56"/>
      <c r="LT127" s="56"/>
      <c r="LU127" s="56"/>
      <c r="LV127" s="56"/>
      <c r="LW127" s="56"/>
      <c r="LX127" s="56"/>
      <c r="LY127" s="56"/>
      <c r="LZ127" s="56"/>
      <c r="MA127" s="56"/>
      <c r="MB127" s="56"/>
      <c r="MC127" s="56"/>
      <c r="MD127" s="56"/>
      <c r="ME127" s="56"/>
      <c r="MF127" s="56"/>
      <c r="MG127" s="56"/>
      <c r="MH127" s="56"/>
      <c r="MI127" s="56"/>
      <c r="MJ127" s="56"/>
      <c r="MK127" s="56"/>
      <c r="ML127" s="56"/>
      <c r="MM127" s="56"/>
      <c r="MN127" s="56"/>
      <c r="MO127" s="56"/>
      <c r="MP127" s="56"/>
      <c r="MQ127" s="56"/>
      <c r="MR127" s="56"/>
      <c r="MS127" s="56"/>
      <c r="MT127" s="56"/>
      <c r="MU127" s="56"/>
      <c r="MV127" s="56"/>
      <c r="MW127" s="56"/>
      <c r="MX127" s="56"/>
      <c r="MY127" s="56"/>
      <c r="MZ127" s="56"/>
      <c r="NA127" s="56"/>
      <c r="NB127" s="56"/>
      <c r="NC127" s="56"/>
      <c r="ND127" s="56"/>
      <c r="NE127" s="56"/>
      <c r="NF127" s="56"/>
      <c r="NG127" s="56"/>
      <c r="NH127" s="56"/>
      <c r="NI127" s="56"/>
      <c r="NJ127" s="56"/>
      <c r="NK127" s="56"/>
      <c r="NL127" s="56"/>
      <c r="NM127" s="56"/>
      <c r="NN127" s="56"/>
      <c r="NO127" s="56"/>
      <c r="NP127" s="56"/>
      <c r="NQ127" s="56"/>
      <c r="NR127" s="56"/>
      <c r="NS127" s="56"/>
      <c r="NT127" s="56"/>
      <c r="NU127" s="56"/>
      <c r="NV127" s="56"/>
      <c r="NW127" s="56"/>
      <c r="NX127" s="56"/>
      <c r="NY127" s="56"/>
      <c r="NZ127" s="56"/>
      <c r="OA127" s="56"/>
      <c r="OB127" s="56"/>
      <c r="OC127" s="56"/>
      <c r="OD127" s="56"/>
      <c r="OE127" s="56"/>
      <c r="OF127" s="56"/>
      <c r="OG127" s="56"/>
      <c r="OH127" s="56"/>
      <c r="OI127" s="56"/>
      <c r="OJ127" s="56"/>
      <c r="OK127" s="56"/>
      <c r="OL127" s="56"/>
      <c r="OM127" s="56"/>
      <c r="ON127" s="56"/>
      <c r="OO127" s="56"/>
      <c r="OP127" s="56"/>
      <c r="OQ127" s="56"/>
      <c r="OR127" s="56"/>
      <c r="OS127" s="56"/>
      <c r="OT127" s="56"/>
      <c r="OU127" s="56"/>
      <c r="OV127" s="56"/>
      <c r="OW127" s="56"/>
      <c r="OX127" s="56"/>
      <c r="OY127" s="56"/>
      <c r="OZ127" s="56"/>
      <c r="PA127" s="56"/>
      <c r="PB127" s="56"/>
      <c r="PC127" s="56"/>
      <c r="PD127" s="56"/>
      <c r="PE127" s="56"/>
      <c r="PF127" s="56"/>
      <c r="PG127" s="56"/>
      <c r="PH127" s="56"/>
      <c r="PI127" s="56"/>
      <c r="PJ127" s="56"/>
      <c r="PK127" s="56"/>
      <c r="PL127" s="56"/>
      <c r="PM127" s="56"/>
      <c r="PN127" s="56"/>
      <c r="PO127" s="56"/>
      <c r="PP127" s="56"/>
      <c r="PQ127" s="56"/>
      <c r="PR127" s="56"/>
      <c r="PS127" s="56"/>
      <c r="PT127" s="56"/>
      <c r="PU127" s="56"/>
      <c r="PV127" s="56"/>
      <c r="PW127" s="56"/>
      <c r="PX127" s="56"/>
      <c r="PY127" s="56"/>
      <c r="PZ127" s="56"/>
      <c r="QA127" s="56"/>
      <c r="QB127" s="56"/>
      <c r="QC127" s="56"/>
      <c r="QD127" s="56"/>
      <c r="QE127" s="56"/>
      <c r="QF127" s="56"/>
      <c r="QG127" s="56"/>
      <c r="QH127" s="56"/>
      <c r="QI127" s="56"/>
      <c r="QJ127" s="56"/>
      <c r="QK127" s="56"/>
      <c r="QL127" s="56"/>
      <c r="QM127" s="56"/>
      <c r="QN127" s="56"/>
      <c r="QO127" s="56"/>
      <c r="QP127" s="56"/>
      <c r="QQ127" s="56"/>
      <c r="QR127" s="56"/>
      <c r="QS127" s="56"/>
      <c r="QT127" s="56"/>
      <c r="QU127" s="56"/>
      <c r="QV127" s="56"/>
      <c r="QW127" s="56"/>
      <c r="QX127" s="56"/>
      <c r="QY127" s="56"/>
      <c r="QZ127" s="56"/>
      <c r="RA127" s="56"/>
      <c r="RB127" s="56"/>
      <c r="RC127" s="56"/>
      <c r="RD127" s="56"/>
      <c r="RE127" s="56"/>
      <c r="RF127" s="56"/>
      <c r="RG127" s="56"/>
      <c r="RH127" s="56"/>
      <c r="RI127" s="56"/>
      <c r="RJ127" s="56"/>
      <c r="RK127" s="56"/>
      <c r="RL127" s="56"/>
      <c r="RM127" s="56"/>
      <c r="RN127" s="56"/>
      <c r="RO127" s="56"/>
      <c r="RP127" s="56"/>
      <c r="RQ127" s="56"/>
      <c r="RR127" s="56"/>
      <c r="RS127" s="56"/>
      <c r="RT127" s="56"/>
      <c r="RU127" s="56"/>
      <c r="RV127" s="56"/>
      <c r="RW127" s="56"/>
      <c r="RX127" s="56"/>
      <c r="RY127" s="56"/>
      <c r="RZ127" s="56"/>
      <c r="SA127" s="56"/>
      <c r="SB127" s="56"/>
      <c r="SC127" s="56"/>
      <c r="SD127" s="56"/>
      <c r="SE127" s="56"/>
      <c r="SF127" s="56"/>
      <c r="SG127" s="56"/>
      <c r="SH127" s="56"/>
      <c r="SI127" s="56"/>
      <c r="SJ127" s="56"/>
      <c r="SK127" s="56"/>
      <c r="SL127" s="56"/>
      <c r="SM127" s="56"/>
      <c r="SN127" s="56"/>
      <c r="SO127" s="56"/>
      <c r="SP127" s="56"/>
      <c r="SQ127" s="56"/>
      <c r="SR127" s="56"/>
      <c r="SS127" s="56"/>
      <c r="ST127" s="56"/>
      <c r="SU127" s="56"/>
      <c r="SV127" s="56"/>
      <c r="SW127" s="56"/>
      <c r="SX127" s="56"/>
      <c r="SY127" s="56"/>
      <c r="SZ127" s="56"/>
      <c r="TA127" s="56"/>
      <c r="TB127" s="56"/>
      <c r="TC127" s="56"/>
      <c r="TD127" s="56"/>
      <c r="TE127" s="56"/>
      <c r="TF127" s="56"/>
      <c r="TG127" s="56"/>
      <c r="TH127" s="56"/>
      <c r="TI127" s="56"/>
      <c r="TJ127" s="56"/>
      <c r="TK127" s="56"/>
      <c r="TL127" s="56"/>
      <c r="TM127" s="56"/>
      <c r="TN127" s="56"/>
      <c r="TO127" s="56"/>
      <c r="TP127" s="56"/>
      <c r="TQ127" s="56"/>
      <c r="TR127" s="56"/>
      <c r="TS127" s="56"/>
      <c r="TT127" s="56"/>
      <c r="TU127" s="56"/>
      <c r="TV127" s="56"/>
      <c r="TW127" s="56"/>
      <c r="TX127" s="56"/>
      <c r="TY127" s="56"/>
      <c r="TZ127" s="56"/>
      <c r="UA127" s="56"/>
      <c r="UB127" s="56"/>
      <c r="UC127" s="56"/>
      <c r="UD127" s="56"/>
      <c r="UE127" s="56"/>
      <c r="UF127" s="56"/>
      <c r="UG127" s="56"/>
      <c r="UH127" s="56"/>
      <c r="UI127" s="56"/>
      <c r="UJ127" s="56"/>
      <c r="UK127" s="56"/>
      <c r="UL127" s="56"/>
      <c r="UM127" s="56"/>
      <c r="UN127" s="56"/>
      <c r="UO127" s="56"/>
      <c r="UP127" s="56"/>
      <c r="UQ127" s="56"/>
      <c r="UR127" s="56"/>
      <c r="US127" s="56"/>
      <c r="UT127" s="56"/>
      <c r="UU127" s="56"/>
      <c r="UV127" s="56"/>
      <c r="UW127" s="56"/>
      <c r="UX127" s="56"/>
      <c r="UY127" s="56"/>
      <c r="UZ127" s="56"/>
      <c r="VA127" s="56"/>
      <c r="VB127" s="56"/>
      <c r="VC127" s="56"/>
      <c r="VD127" s="56"/>
      <c r="VE127" s="56"/>
      <c r="VF127" s="56"/>
      <c r="VG127" s="56"/>
      <c r="VH127" s="56"/>
      <c r="VI127" s="56"/>
      <c r="VJ127" s="56"/>
      <c r="VK127" s="56"/>
      <c r="VL127" s="56"/>
      <c r="VM127" s="56"/>
      <c r="VN127" s="56"/>
      <c r="VO127" s="56"/>
      <c r="VP127" s="56"/>
      <c r="VQ127" s="56"/>
      <c r="VR127" s="56"/>
      <c r="VS127" s="56"/>
      <c r="VT127" s="56"/>
      <c r="VU127" s="56"/>
      <c r="VV127" s="56"/>
      <c r="VW127" s="56"/>
      <c r="VX127" s="56"/>
      <c r="VY127" s="56"/>
      <c r="VZ127" s="56"/>
      <c r="WA127" s="56"/>
      <c r="WB127" s="56"/>
      <c r="WC127" s="56"/>
      <c r="WD127" s="56"/>
      <c r="WE127" s="56"/>
      <c r="WF127" s="56"/>
      <c r="WG127" s="56"/>
      <c r="WH127" s="56"/>
      <c r="WI127" s="56"/>
      <c r="WJ127" s="56"/>
      <c r="WK127" s="56"/>
      <c r="WL127" s="56"/>
      <c r="WM127" s="56"/>
      <c r="WN127" s="56"/>
      <c r="WO127" s="56"/>
      <c r="WP127" s="56"/>
      <c r="WQ127" s="56"/>
      <c r="WR127" s="56"/>
      <c r="WS127" s="56"/>
      <c r="WT127" s="56"/>
      <c r="WU127" s="56"/>
      <c r="WV127" s="56"/>
      <c r="WW127" s="56"/>
      <c r="WX127" s="56"/>
      <c r="WY127" s="56"/>
      <c r="WZ127" s="56"/>
      <c r="XA127" s="56"/>
      <c r="XB127" s="56"/>
      <c r="XC127" s="56"/>
      <c r="XD127" s="56"/>
      <c r="XE127" s="56"/>
      <c r="XF127" s="56"/>
      <c r="XG127" s="56"/>
      <c r="XH127" s="56"/>
      <c r="XI127" s="56"/>
      <c r="XJ127" s="56"/>
      <c r="XK127" s="56"/>
      <c r="XL127" s="56"/>
      <c r="XM127" s="56"/>
      <c r="XN127" s="56"/>
      <c r="XO127" s="56"/>
      <c r="XP127" s="56"/>
      <c r="XQ127" s="56"/>
      <c r="XR127" s="56"/>
      <c r="XS127" s="56"/>
      <c r="XT127" s="56"/>
      <c r="XU127" s="56"/>
      <c r="XV127" s="56"/>
      <c r="XW127" s="56"/>
      <c r="XX127" s="56"/>
      <c r="XY127" s="56"/>
      <c r="XZ127" s="56"/>
      <c r="YA127" s="56"/>
      <c r="YB127" s="56"/>
      <c r="YC127" s="56"/>
      <c r="YD127" s="56"/>
      <c r="YE127" s="56"/>
      <c r="YF127" s="56"/>
      <c r="YG127" s="56"/>
      <c r="YH127" s="56"/>
      <c r="YI127" s="56"/>
      <c r="YJ127" s="56"/>
      <c r="YK127" s="56"/>
      <c r="YL127" s="56"/>
      <c r="YM127" s="56"/>
      <c r="YN127" s="56"/>
      <c r="YO127" s="56"/>
      <c r="YP127" s="56"/>
      <c r="YQ127" s="56"/>
      <c r="YR127" s="56"/>
      <c r="YS127" s="56"/>
      <c r="YT127" s="56"/>
      <c r="YU127" s="56"/>
      <c r="YV127" s="56"/>
      <c r="YW127" s="56"/>
      <c r="YX127" s="56"/>
      <c r="YY127" s="56"/>
      <c r="YZ127" s="56"/>
      <c r="ZA127" s="56"/>
      <c r="ZB127" s="56"/>
      <c r="ZC127" s="56"/>
      <c r="ZD127" s="56"/>
      <c r="ZE127" s="56"/>
      <c r="ZF127" s="56"/>
      <c r="ZG127" s="56"/>
      <c r="ZH127" s="56"/>
      <c r="ZI127" s="56"/>
      <c r="ZJ127" s="56"/>
      <c r="ZK127" s="56"/>
      <c r="ZL127" s="56"/>
      <c r="ZM127" s="56"/>
      <c r="ZN127" s="56"/>
      <c r="ZO127" s="56"/>
      <c r="ZP127" s="56"/>
      <c r="ZQ127" s="56"/>
      <c r="ZR127" s="56"/>
      <c r="ZS127" s="56"/>
      <c r="ZT127" s="56"/>
      <c r="ZU127" s="56"/>
      <c r="ZV127" s="56"/>
      <c r="ZW127" s="56"/>
      <c r="ZX127" s="56"/>
      <c r="ZY127" s="56"/>
      <c r="ZZ127" s="56"/>
      <c r="AAA127" s="56"/>
      <c r="AAB127" s="56"/>
      <c r="AAC127" s="56"/>
      <c r="AAD127" s="56"/>
      <c r="AAE127" s="56"/>
      <c r="AAF127" s="56"/>
      <c r="AAG127" s="56"/>
      <c r="AAH127" s="56"/>
      <c r="AAI127" s="56"/>
      <c r="AAJ127" s="56"/>
      <c r="AAK127" s="56"/>
      <c r="AAL127" s="56"/>
      <c r="AAM127" s="56"/>
      <c r="AAN127" s="56"/>
      <c r="AAO127" s="56"/>
      <c r="AAP127" s="56"/>
      <c r="AAQ127" s="56"/>
      <c r="AAR127" s="56"/>
      <c r="AAS127" s="56"/>
      <c r="AAT127" s="56"/>
      <c r="AAU127" s="56"/>
      <c r="AAV127" s="56"/>
      <c r="AAW127" s="56"/>
      <c r="AAX127" s="56"/>
      <c r="AAY127" s="56"/>
      <c r="AAZ127" s="56"/>
      <c r="ABA127" s="56"/>
      <c r="ABB127" s="56"/>
      <c r="ABC127" s="56"/>
      <c r="ABD127" s="56"/>
      <c r="ABE127" s="56"/>
      <c r="ABF127" s="56"/>
      <c r="ABG127" s="56"/>
      <c r="ABH127" s="56"/>
      <c r="ABI127" s="56"/>
      <c r="ABJ127" s="56"/>
      <c r="ABK127" s="56"/>
      <c r="ABL127" s="56"/>
      <c r="ABM127" s="56"/>
      <c r="ABN127" s="56"/>
      <c r="ABO127" s="56"/>
      <c r="ABP127" s="56"/>
      <c r="ABQ127" s="56"/>
      <c r="ABR127" s="56"/>
      <c r="ABS127" s="56"/>
      <c r="ABT127" s="56"/>
      <c r="ABU127" s="56"/>
      <c r="ABV127" s="56"/>
      <c r="ABW127" s="56"/>
      <c r="ABX127" s="56"/>
      <c r="ABY127" s="56"/>
      <c r="ABZ127" s="56"/>
      <c r="ACA127" s="56"/>
      <c r="ACB127" s="56"/>
      <c r="ACC127" s="56"/>
      <c r="ACD127" s="56"/>
      <c r="ACE127" s="56"/>
      <c r="ACF127" s="56"/>
      <c r="ACG127" s="56"/>
      <c r="ACH127" s="56"/>
      <c r="ACI127" s="56"/>
      <c r="ACJ127" s="56"/>
      <c r="ACK127" s="56"/>
      <c r="ACL127" s="56"/>
      <c r="ACM127" s="56"/>
      <c r="ACN127" s="56"/>
      <c r="ACO127" s="56"/>
      <c r="ACP127" s="56"/>
      <c r="ACQ127" s="56"/>
      <c r="ACR127" s="56"/>
      <c r="ACS127" s="56"/>
      <c r="ACT127" s="56"/>
      <c r="ACU127" s="56"/>
      <c r="ACV127" s="56"/>
      <c r="ACW127" s="56"/>
      <c r="ACX127" s="56"/>
      <c r="ACY127" s="56"/>
      <c r="ACZ127" s="56"/>
      <c r="ADA127" s="56"/>
      <c r="ADB127" s="56"/>
      <c r="ADC127" s="56"/>
      <c r="ADD127" s="56"/>
      <c r="ADE127" s="56"/>
      <c r="ADF127" s="56"/>
      <c r="ADG127" s="56"/>
      <c r="ADH127" s="56"/>
      <c r="ADI127" s="56"/>
      <c r="ADJ127" s="56"/>
      <c r="ADK127" s="56"/>
      <c r="ADL127" s="56"/>
      <c r="ADM127" s="56"/>
      <c r="ADN127" s="56"/>
      <c r="ADO127" s="56"/>
      <c r="ADP127" s="56"/>
      <c r="ADQ127" s="56"/>
      <c r="ADR127" s="56"/>
      <c r="ADS127" s="56"/>
      <c r="ADT127" s="56"/>
      <c r="ADU127" s="56"/>
      <c r="ADV127" s="56"/>
      <c r="ADW127" s="56"/>
      <c r="ADX127" s="56"/>
      <c r="ADY127" s="56"/>
      <c r="ADZ127" s="56"/>
      <c r="AEA127" s="56"/>
      <c r="AEB127" s="56"/>
      <c r="AEC127" s="56"/>
      <c r="AED127" s="56"/>
      <c r="AEE127" s="56"/>
      <c r="AEF127" s="56"/>
      <c r="AEG127" s="56"/>
      <c r="AEH127" s="56"/>
      <c r="AEI127" s="56"/>
      <c r="AEJ127" s="56"/>
      <c r="AEK127" s="56"/>
      <c r="AEL127" s="56"/>
      <c r="AEM127" s="56"/>
      <c r="AEN127" s="56"/>
      <c r="AEO127" s="56"/>
      <c r="AEP127" s="56"/>
      <c r="AEQ127" s="56"/>
      <c r="AER127" s="56"/>
      <c r="AES127" s="56"/>
      <c r="AET127" s="56"/>
      <c r="AEU127" s="56"/>
      <c r="AEV127" s="56"/>
      <c r="AEW127" s="56"/>
      <c r="AEX127" s="56"/>
      <c r="AEY127" s="56"/>
      <c r="AEZ127" s="56"/>
      <c r="AFA127" s="56"/>
      <c r="AFB127" s="56"/>
      <c r="AFC127" s="56"/>
      <c r="AFD127" s="56"/>
      <c r="AFE127" s="56"/>
      <c r="AFF127" s="56"/>
      <c r="AFG127" s="56"/>
      <c r="AFH127" s="56"/>
      <c r="AFI127" s="56"/>
      <c r="AFJ127" s="56"/>
      <c r="AFK127" s="56"/>
      <c r="AFL127" s="56"/>
      <c r="AFM127" s="56"/>
      <c r="AFN127" s="56"/>
      <c r="AFO127" s="56"/>
      <c r="AFP127" s="56"/>
      <c r="AFQ127" s="56"/>
      <c r="AFR127" s="56"/>
      <c r="AFS127" s="56"/>
      <c r="AFT127" s="56"/>
      <c r="AFU127" s="56"/>
      <c r="AFV127" s="56"/>
      <c r="AFW127" s="56"/>
      <c r="AFX127" s="56"/>
      <c r="AFY127" s="56"/>
      <c r="AFZ127" s="56"/>
      <c r="AGA127" s="56"/>
      <c r="AGB127" s="56"/>
      <c r="AGC127" s="56"/>
      <c r="AGD127" s="56"/>
      <c r="AGE127" s="56"/>
      <c r="AGF127" s="56"/>
      <c r="AGG127" s="56"/>
      <c r="AGH127" s="56"/>
      <c r="AGI127" s="56"/>
      <c r="AGJ127" s="56"/>
      <c r="AGK127" s="56"/>
      <c r="AGL127" s="56"/>
      <c r="AGM127" s="56"/>
      <c r="AGN127" s="56"/>
      <c r="AGO127" s="56"/>
      <c r="AGP127" s="56"/>
      <c r="AGQ127" s="56"/>
      <c r="AGR127" s="56"/>
      <c r="AGS127" s="56"/>
      <c r="AGT127" s="56"/>
      <c r="AGU127" s="56"/>
      <c r="AGV127" s="56"/>
      <c r="AGW127" s="56"/>
      <c r="AGX127" s="56"/>
      <c r="AGY127" s="56"/>
      <c r="AGZ127" s="56"/>
      <c r="AHA127" s="56"/>
      <c r="AHB127" s="56"/>
      <c r="AHC127" s="56"/>
      <c r="AHD127" s="56"/>
      <c r="AHE127" s="56"/>
      <c r="AHF127" s="56"/>
      <c r="AHG127" s="56"/>
      <c r="AHH127" s="56"/>
      <c r="AHI127" s="56"/>
      <c r="AHJ127" s="56"/>
      <c r="AHK127" s="56"/>
      <c r="AHL127" s="56"/>
      <c r="AHM127" s="56"/>
      <c r="AHN127" s="56"/>
      <c r="AHO127" s="56"/>
      <c r="AHP127" s="56"/>
      <c r="AHQ127" s="56"/>
      <c r="AHR127" s="56"/>
      <c r="AHS127" s="56"/>
      <c r="AHT127" s="56"/>
      <c r="AHU127" s="56"/>
      <c r="AHV127" s="56"/>
      <c r="AHW127" s="56"/>
      <c r="AHX127" s="56"/>
      <c r="AHY127" s="56"/>
      <c r="AHZ127" s="56"/>
      <c r="AIA127" s="56"/>
      <c r="AIB127" s="56"/>
      <c r="AIC127" s="56"/>
      <c r="AID127" s="56"/>
      <c r="AIE127" s="56"/>
      <c r="AIF127" s="56"/>
      <c r="AIG127" s="56"/>
      <c r="AIH127" s="56"/>
      <c r="AII127" s="56"/>
      <c r="AIJ127" s="56"/>
      <c r="AIK127" s="56"/>
      <c r="AIL127" s="56"/>
      <c r="AIM127" s="56"/>
      <c r="AIN127" s="56"/>
      <c r="AIO127" s="56"/>
      <c r="AIP127" s="56"/>
      <c r="AIQ127" s="56"/>
      <c r="AIR127" s="56"/>
      <c r="AIS127" s="56"/>
      <c r="AIT127" s="56"/>
      <c r="AIU127" s="56"/>
      <c r="AIV127" s="56"/>
      <c r="AIW127" s="56"/>
      <c r="AIX127" s="56"/>
      <c r="AIY127" s="56"/>
      <c r="AIZ127" s="56"/>
      <c r="AJA127" s="56"/>
      <c r="AJB127" s="56"/>
      <c r="AJC127" s="56"/>
      <c r="AJD127" s="56"/>
      <c r="AJE127" s="56"/>
      <c r="AJF127" s="56"/>
      <c r="AJG127" s="56"/>
      <c r="AJH127" s="56"/>
      <c r="AJI127" s="56"/>
      <c r="AJJ127" s="56"/>
      <c r="AJK127" s="56"/>
      <c r="AJL127" s="56"/>
      <c r="AJM127" s="56"/>
      <c r="AJN127" s="56"/>
      <c r="AJO127" s="56"/>
      <c r="AJP127" s="56"/>
      <c r="AJQ127" s="56"/>
      <c r="AJR127" s="56"/>
      <c r="AJS127" s="56"/>
      <c r="AJT127" s="56"/>
      <c r="AJU127" s="56"/>
      <c r="AJV127" s="56"/>
      <c r="AJW127" s="56"/>
      <c r="AJX127" s="56"/>
      <c r="AJY127" s="56"/>
      <c r="AJZ127" s="56"/>
      <c r="AKA127" s="56"/>
      <c r="AKB127" s="56"/>
      <c r="AKC127" s="56"/>
      <c r="AKD127" s="56"/>
      <c r="AKE127" s="56"/>
      <c r="AKF127" s="56"/>
      <c r="AKG127" s="56"/>
      <c r="AKH127" s="56"/>
      <c r="AKI127" s="56"/>
      <c r="AKJ127" s="56"/>
      <c r="AKK127" s="56"/>
      <c r="AKL127" s="56"/>
      <c r="AKM127" s="56"/>
      <c r="AKN127" s="56"/>
      <c r="AKO127" s="56"/>
      <c r="AKP127" s="56"/>
      <c r="AKQ127" s="56"/>
      <c r="AKR127" s="56"/>
      <c r="AKS127" s="56"/>
      <c r="AKT127" s="56"/>
      <c r="AKU127" s="56"/>
      <c r="AKV127" s="56"/>
      <c r="AKW127" s="56"/>
      <c r="AKX127" s="56"/>
      <c r="AKY127" s="56"/>
      <c r="AKZ127" s="56"/>
      <c r="ALA127" s="56"/>
      <c r="ALB127" s="56"/>
      <c r="ALC127" s="56"/>
      <c r="ALD127" s="56"/>
      <c r="ALE127" s="56"/>
      <c r="ALF127" s="56"/>
      <c r="ALG127" s="56"/>
      <c r="ALH127" s="56"/>
      <c r="ALI127" s="56"/>
      <c r="ALJ127" s="56"/>
      <c r="ALK127" s="56"/>
      <c r="ALL127" s="56"/>
      <c r="ALM127" s="56"/>
      <c r="ALN127" s="56"/>
      <c r="ALO127" s="56"/>
      <c r="ALP127" s="56"/>
      <c r="ALQ127" s="56"/>
      <c r="ALR127" s="56"/>
      <c r="ALS127" s="56"/>
      <c r="ALT127" s="56"/>
      <c r="ALU127" s="56"/>
      <c r="ALV127" s="56"/>
      <c r="ALW127" s="56"/>
      <c r="ALX127" s="56"/>
      <c r="ALY127" s="56"/>
      <c r="ALZ127" s="56"/>
      <c r="AMA127" s="56"/>
      <c r="AMB127" s="56"/>
      <c r="AMC127" s="56"/>
      <c r="AMD127" s="56"/>
      <c r="AME127" s="56"/>
      <c r="AMF127" s="56"/>
      <c r="AMG127" s="56"/>
      <c r="AMH127" s="56"/>
      <c r="AMI127" s="56"/>
      <c r="AMJ127" s="56"/>
    </row>
    <row r="128" spans="12:1024" ht="15.95" customHeight="1" x14ac:dyDescent="0.2">
      <c r="L128" s="56"/>
      <c r="M128" s="57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  <c r="CS128" s="56"/>
      <c r="CT128" s="56"/>
      <c r="CU128" s="56"/>
      <c r="CV128" s="56"/>
      <c r="CW128" s="56"/>
      <c r="CX128" s="56"/>
      <c r="CY128" s="56"/>
      <c r="CZ128" s="56"/>
      <c r="DA128" s="56"/>
      <c r="DB128" s="56"/>
      <c r="DC128" s="56"/>
      <c r="DD128" s="56"/>
      <c r="DE128" s="56"/>
      <c r="DF128" s="56"/>
      <c r="DG128" s="56"/>
      <c r="DH128" s="56"/>
      <c r="DI128" s="56"/>
      <c r="DJ128" s="56"/>
      <c r="DK128" s="56"/>
      <c r="DL128" s="56"/>
      <c r="DM128" s="56"/>
      <c r="DN128" s="56"/>
      <c r="DO128" s="56"/>
      <c r="DP128" s="56"/>
      <c r="DQ128" s="56"/>
      <c r="DR128" s="56"/>
      <c r="DS128" s="56"/>
      <c r="DT128" s="56"/>
      <c r="DU128" s="56"/>
      <c r="DV128" s="56"/>
      <c r="DW128" s="56"/>
      <c r="DX128" s="56"/>
      <c r="DY128" s="56"/>
      <c r="DZ128" s="56"/>
      <c r="EA128" s="56"/>
      <c r="EB128" s="56"/>
      <c r="EC128" s="56"/>
      <c r="ED128" s="56"/>
      <c r="EE128" s="56"/>
      <c r="EF128" s="56"/>
      <c r="EG128" s="56"/>
      <c r="EH128" s="56"/>
      <c r="EI128" s="56"/>
      <c r="EJ128" s="56"/>
      <c r="EK128" s="56"/>
      <c r="EL128" s="56"/>
      <c r="EM128" s="56"/>
      <c r="EN128" s="56"/>
      <c r="EO128" s="56"/>
      <c r="EP128" s="56"/>
      <c r="EQ128" s="56"/>
      <c r="ER128" s="56"/>
      <c r="ES128" s="56"/>
      <c r="ET128" s="56"/>
      <c r="EU128" s="56"/>
      <c r="EV128" s="56"/>
      <c r="EW128" s="56"/>
      <c r="EX128" s="56"/>
      <c r="EY128" s="56"/>
      <c r="EZ128" s="56"/>
      <c r="FA128" s="56"/>
      <c r="FB128" s="56"/>
      <c r="FC128" s="56"/>
      <c r="FD128" s="56"/>
      <c r="FE128" s="56"/>
      <c r="FF128" s="56"/>
      <c r="FG128" s="56"/>
      <c r="FH128" s="56"/>
      <c r="FI128" s="56"/>
      <c r="FJ128" s="56"/>
      <c r="FK128" s="56"/>
      <c r="FL128" s="56"/>
      <c r="FM128" s="56"/>
      <c r="FN128" s="56"/>
      <c r="FO128" s="56"/>
      <c r="FP128" s="56"/>
      <c r="FQ128" s="56"/>
      <c r="FR128" s="56"/>
      <c r="FS128" s="56"/>
      <c r="FT128" s="56"/>
      <c r="FU128" s="56"/>
      <c r="FV128" s="56"/>
      <c r="FW128" s="56"/>
      <c r="FX128" s="56"/>
      <c r="FY128" s="56"/>
      <c r="FZ128" s="56"/>
      <c r="GA128" s="56"/>
      <c r="GB128" s="56"/>
      <c r="GC128" s="56"/>
      <c r="GD128" s="56"/>
      <c r="GE128" s="56"/>
      <c r="GF128" s="56"/>
      <c r="GG128" s="56"/>
      <c r="GH128" s="56"/>
      <c r="GI128" s="56"/>
      <c r="GJ128" s="56"/>
      <c r="GK128" s="56"/>
      <c r="GL128" s="56"/>
      <c r="GM128" s="56"/>
      <c r="GN128" s="56"/>
      <c r="GO128" s="56"/>
      <c r="GP128" s="56"/>
      <c r="GQ128" s="56"/>
      <c r="GR128" s="56"/>
      <c r="GS128" s="56"/>
      <c r="GT128" s="56"/>
      <c r="GU128" s="56"/>
      <c r="GV128" s="56"/>
      <c r="GW128" s="56"/>
      <c r="GX128" s="56"/>
      <c r="GY128" s="56"/>
      <c r="GZ128" s="56"/>
      <c r="HA128" s="56"/>
      <c r="HB128" s="56"/>
      <c r="HC128" s="56"/>
      <c r="HD128" s="56"/>
      <c r="HE128" s="56"/>
      <c r="HF128" s="56"/>
      <c r="HG128" s="56"/>
      <c r="HH128" s="56"/>
      <c r="HI128" s="56"/>
      <c r="HJ128" s="56"/>
      <c r="HK128" s="56"/>
      <c r="HL128" s="56"/>
      <c r="HM128" s="56"/>
      <c r="HN128" s="56"/>
      <c r="HO128" s="56"/>
      <c r="HP128" s="56"/>
      <c r="HQ128" s="56"/>
      <c r="HR128" s="56"/>
      <c r="HS128" s="56"/>
      <c r="HT128" s="56"/>
      <c r="HU128" s="56"/>
      <c r="HV128" s="56"/>
      <c r="HW128" s="56"/>
      <c r="HX128" s="56"/>
      <c r="HY128" s="56"/>
      <c r="HZ128" s="56"/>
      <c r="IA128" s="56"/>
      <c r="IB128" s="56"/>
      <c r="IC128" s="56"/>
      <c r="ID128" s="56"/>
      <c r="IE128" s="56"/>
      <c r="IF128" s="56"/>
      <c r="IG128" s="56"/>
      <c r="IH128" s="56"/>
      <c r="II128" s="56"/>
      <c r="IJ128" s="56"/>
      <c r="IK128" s="56"/>
      <c r="IL128" s="56"/>
      <c r="IM128" s="56"/>
      <c r="IN128" s="56"/>
      <c r="IO128" s="56"/>
      <c r="IP128" s="56"/>
      <c r="IQ128" s="56"/>
      <c r="IR128" s="56"/>
      <c r="IS128" s="56"/>
      <c r="IT128" s="56"/>
      <c r="IU128" s="56"/>
      <c r="IV128" s="56"/>
      <c r="IW128" s="56"/>
      <c r="IX128" s="56"/>
      <c r="IY128" s="56"/>
      <c r="IZ128" s="56"/>
      <c r="JA128" s="56"/>
      <c r="JB128" s="56"/>
      <c r="JC128" s="56"/>
      <c r="JD128" s="56"/>
      <c r="JE128" s="56"/>
      <c r="JF128" s="56"/>
      <c r="JG128" s="56"/>
      <c r="JH128" s="56"/>
      <c r="JI128" s="56"/>
      <c r="JJ128" s="56"/>
      <c r="JK128" s="56"/>
      <c r="JL128" s="56"/>
      <c r="JM128" s="56"/>
      <c r="JN128" s="56"/>
      <c r="JO128" s="56"/>
      <c r="JP128" s="56"/>
      <c r="JQ128" s="56"/>
      <c r="JR128" s="56"/>
      <c r="JS128" s="56"/>
      <c r="JT128" s="56"/>
      <c r="JU128" s="56"/>
      <c r="JV128" s="56"/>
      <c r="JW128" s="56"/>
      <c r="JX128" s="56"/>
      <c r="JY128" s="56"/>
      <c r="JZ128" s="56"/>
      <c r="KA128" s="56"/>
      <c r="KB128" s="56"/>
      <c r="KC128" s="56"/>
      <c r="KD128" s="56"/>
      <c r="KE128" s="56"/>
      <c r="KF128" s="56"/>
      <c r="KG128" s="56"/>
      <c r="KH128" s="56"/>
      <c r="KI128" s="56"/>
      <c r="KJ128" s="56"/>
      <c r="KK128" s="56"/>
      <c r="KL128" s="56"/>
      <c r="KM128" s="56"/>
      <c r="KN128" s="56"/>
      <c r="KO128" s="56"/>
      <c r="KP128" s="56"/>
      <c r="KQ128" s="56"/>
      <c r="KR128" s="56"/>
      <c r="KS128" s="56"/>
      <c r="KT128" s="56"/>
      <c r="KU128" s="56"/>
      <c r="KV128" s="56"/>
      <c r="KW128" s="56"/>
      <c r="KX128" s="56"/>
      <c r="KY128" s="56"/>
      <c r="KZ128" s="56"/>
      <c r="LA128" s="56"/>
      <c r="LB128" s="56"/>
      <c r="LC128" s="56"/>
      <c r="LD128" s="56"/>
      <c r="LE128" s="56"/>
      <c r="LF128" s="56"/>
      <c r="LG128" s="56"/>
      <c r="LH128" s="56"/>
      <c r="LI128" s="56"/>
      <c r="LJ128" s="56"/>
      <c r="LK128" s="56"/>
      <c r="LL128" s="56"/>
      <c r="LM128" s="56"/>
      <c r="LN128" s="56"/>
      <c r="LO128" s="56"/>
      <c r="LP128" s="56"/>
      <c r="LQ128" s="56"/>
      <c r="LR128" s="56"/>
      <c r="LS128" s="56"/>
      <c r="LT128" s="56"/>
      <c r="LU128" s="56"/>
      <c r="LV128" s="56"/>
      <c r="LW128" s="56"/>
      <c r="LX128" s="56"/>
      <c r="LY128" s="56"/>
      <c r="LZ128" s="56"/>
      <c r="MA128" s="56"/>
      <c r="MB128" s="56"/>
      <c r="MC128" s="56"/>
      <c r="MD128" s="56"/>
      <c r="ME128" s="56"/>
      <c r="MF128" s="56"/>
      <c r="MG128" s="56"/>
      <c r="MH128" s="56"/>
      <c r="MI128" s="56"/>
      <c r="MJ128" s="56"/>
      <c r="MK128" s="56"/>
      <c r="ML128" s="56"/>
      <c r="MM128" s="56"/>
      <c r="MN128" s="56"/>
      <c r="MO128" s="56"/>
      <c r="MP128" s="56"/>
      <c r="MQ128" s="56"/>
      <c r="MR128" s="56"/>
      <c r="MS128" s="56"/>
      <c r="MT128" s="56"/>
      <c r="MU128" s="56"/>
      <c r="MV128" s="56"/>
      <c r="MW128" s="56"/>
      <c r="MX128" s="56"/>
      <c r="MY128" s="56"/>
      <c r="MZ128" s="56"/>
      <c r="NA128" s="56"/>
      <c r="NB128" s="56"/>
      <c r="NC128" s="56"/>
      <c r="ND128" s="56"/>
      <c r="NE128" s="56"/>
      <c r="NF128" s="56"/>
      <c r="NG128" s="56"/>
      <c r="NH128" s="56"/>
      <c r="NI128" s="56"/>
      <c r="NJ128" s="56"/>
      <c r="NK128" s="56"/>
      <c r="NL128" s="56"/>
      <c r="NM128" s="56"/>
      <c r="NN128" s="56"/>
      <c r="NO128" s="56"/>
      <c r="NP128" s="56"/>
      <c r="NQ128" s="56"/>
      <c r="NR128" s="56"/>
      <c r="NS128" s="56"/>
      <c r="NT128" s="56"/>
      <c r="NU128" s="56"/>
      <c r="NV128" s="56"/>
      <c r="NW128" s="56"/>
      <c r="NX128" s="56"/>
      <c r="NY128" s="56"/>
      <c r="NZ128" s="56"/>
      <c r="OA128" s="56"/>
      <c r="OB128" s="56"/>
      <c r="OC128" s="56"/>
      <c r="OD128" s="56"/>
      <c r="OE128" s="56"/>
      <c r="OF128" s="56"/>
      <c r="OG128" s="56"/>
      <c r="OH128" s="56"/>
      <c r="OI128" s="56"/>
      <c r="OJ128" s="56"/>
      <c r="OK128" s="56"/>
      <c r="OL128" s="56"/>
      <c r="OM128" s="56"/>
      <c r="ON128" s="56"/>
      <c r="OO128" s="56"/>
      <c r="OP128" s="56"/>
      <c r="OQ128" s="56"/>
      <c r="OR128" s="56"/>
      <c r="OS128" s="56"/>
      <c r="OT128" s="56"/>
      <c r="OU128" s="56"/>
      <c r="OV128" s="56"/>
      <c r="OW128" s="56"/>
      <c r="OX128" s="56"/>
      <c r="OY128" s="56"/>
      <c r="OZ128" s="56"/>
      <c r="PA128" s="56"/>
      <c r="PB128" s="56"/>
      <c r="PC128" s="56"/>
      <c r="PD128" s="56"/>
      <c r="PE128" s="56"/>
      <c r="PF128" s="56"/>
      <c r="PG128" s="56"/>
      <c r="PH128" s="56"/>
      <c r="PI128" s="56"/>
      <c r="PJ128" s="56"/>
      <c r="PK128" s="56"/>
      <c r="PL128" s="56"/>
      <c r="PM128" s="56"/>
      <c r="PN128" s="56"/>
      <c r="PO128" s="56"/>
      <c r="PP128" s="56"/>
      <c r="PQ128" s="56"/>
      <c r="PR128" s="56"/>
      <c r="PS128" s="56"/>
      <c r="PT128" s="56"/>
      <c r="PU128" s="56"/>
      <c r="PV128" s="56"/>
      <c r="PW128" s="56"/>
      <c r="PX128" s="56"/>
      <c r="PY128" s="56"/>
      <c r="PZ128" s="56"/>
      <c r="QA128" s="56"/>
      <c r="QB128" s="56"/>
      <c r="QC128" s="56"/>
      <c r="QD128" s="56"/>
      <c r="QE128" s="56"/>
      <c r="QF128" s="56"/>
      <c r="QG128" s="56"/>
      <c r="QH128" s="56"/>
      <c r="QI128" s="56"/>
      <c r="QJ128" s="56"/>
      <c r="QK128" s="56"/>
      <c r="QL128" s="56"/>
      <c r="QM128" s="56"/>
      <c r="QN128" s="56"/>
      <c r="QO128" s="56"/>
      <c r="QP128" s="56"/>
      <c r="QQ128" s="56"/>
      <c r="QR128" s="56"/>
      <c r="QS128" s="56"/>
      <c r="QT128" s="56"/>
      <c r="QU128" s="56"/>
      <c r="QV128" s="56"/>
      <c r="QW128" s="56"/>
      <c r="QX128" s="56"/>
      <c r="QY128" s="56"/>
      <c r="QZ128" s="56"/>
      <c r="RA128" s="56"/>
      <c r="RB128" s="56"/>
      <c r="RC128" s="56"/>
      <c r="RD128" s="56"/>
      <c r="RE128" s="56"/>
      <c r="RF128" s="56"/>
      <c r="RG128" s="56"/>
      <c r="RH128" s="56"/>
      <c r="RI128" s="56"/>
      <c r="RJ128" s="56"/>
      <c r="RK128" s="56"/>
      <c r="RL128" s="56"/>
      <c r="RM128" s="56"/>
      <c r="RN128" s="56"/>
      <c r="RO128" s="56"/>
      <c r="RP128" s="56"/>
      <c r="RQ128" s="56"/>
      <c r="RR128" s="56"/>
      <c r="RS128" s="56"/>
      <c r="RT128" s="56"/>
      <c r="RU128" s="56"/>
      <c r="RV128" s="56"/>
      <c r="RW128" s="56"/>
      <c r="RX128" s="56"/>
      <c r="RY128" s="56"/>
      <c r="RZ128" s="56"/>
      <c r="SA128" s="56"/>
      <c r="SB128" s="56"/>
      <c r="SC128" s="56"/>
      <c r="SD128" s="56"/>
      <c r="SE128" s="56"/>
      <c r="SF128" s="56"/>
      <c r="SG128" s="56"/>
      <c r="SH128" s="56"/>
      <c r="SI128" s="56"/>
      <c r="SJ128" s="56"/>
      <c r="SK128" s="56"/>
      <c r="SL128" s="56"/>
      <c r="SM128" s="56"/>
      <c r="SN128" s="56"/>
      <c r="SO128" s="56"/>
      <c r="SP128" s="56"/>
      <c r="SQ128" s="56"/>
      <c r="SR128" s="56"/>
      <c r="SS128" s="56"/>
      <c r="ST128" s="56"/>
      <c r="SU128" s="56"/>
      <c r="SV128" s="56"/>
      <c r="SW128" s="56"/>
      <c r="SX128" s="56"/>
      <c r="SY128" s="56"/>
      <c r="SZ128" s="56"/>
      <c r="TA128" s="56"/>
      <c r="TB128" s="56"/>
      <c r="TC128" s="56"/>
      <c r="TD128" s="56"/>
      <c r="TE128" s="56"/>
      <c r="TF128" s="56"/>
      <c r="TG128" s="56"/>
      <c r="TH128" s="56"/>
      <c r="TI128" s="56"/>
      <c r="TJ128" s="56"/>
      <c r="TK128" s="56"/>
      <c r="TL128" s="56"/>
      <c r="TM128" s="56"/>
      <c r="TN128" s="56"/>
      <c r="TO128" s="56"/>
      <c r="TP128" s="56"/>
      <c r="TQ128" s="56"/>
      <c r="TR128" s="56"/>
      <c r="TS128" s="56"/>
      <c r="TT128" s="56"/>
      <c r="TU128" s="56"/>
      <c r="TV128" s="56"/>
      <c r="TW128" s="56"/>
      <c r="TX128" s="56"/>
      <c r="TY128" s="56"/>
      <c r="TZ128" s="56"/>
      <c r="UA128" s="56"/>
      <c r="UB128" s="56"/>
      <c r="UC128" s="56"/>
      <c r="UD128" s="56"/>
      <c r="UE128" s="56"/>
      <c r="UF128" s="56"/>
      <c r="UG128" s="56"/>
      <c r="UH128" s="56"/>
      <c r="UI128" s="56"/>
      <c r="UJ128" s="56"/>
      <c r="UK128" s="56"/>
      <c r="UL128" s="56"/>
      <c r="UM128" s="56"/>
      <c r="UN128" s="56"/>
      <c r="UO128" s="56"/>
      <c r="UP128" s="56"/>
      <c r="UQ128" s="56"/>
      <c r="UR128" s="56"/>
      <c r="US128" s="56"/>
      <c r="UT128" s="56"/>
      <c r="UU128" s="56"/>
      <c r="UV128" s="56"/>
      <c r="UW128" s="56"/>
      <c r="UX128" s="56"/>
      <c r="UY128" s="56"/>
      <c r="UZ128" s="56"/>
      <c r="VA128" s="56"/>
      <c r="VB128" s="56"/>
      <c r="VC128" s="56"/>
      <c r="VD128" s="56"/>
      <c r="VE128" s="56"/>
      <c r="VF128" s="56"/>
      <c r="VG128" s="56"/>
      <c r="VH128" s="56"/>
      <c r="VI128" s="56"/>
      <c r="VJ128" s="56"/>
      <c r="VK128" s="56"/>
      <c r="VL128" s="56"/>
      <c r="VM128" s="56"/>
      <c r="VN128" s="56"/>
      <c r="VO128" s="56"/>
      <c r="VP128" s="56"/>
      <c r="VQ128" s="56"/>
      <c r="VR128" s="56"/>
      <c r="VS128" s="56"/>
      <c r="VT128" s="56"/>
      <c r="VU128" s="56"/>
      <c r="VV128" s="56"/>
      <c r="VW128" s="56"/>
      <c r="VX128" s="56"/>
      <c r="VY128" s="56"/>
      <c r="VZ128" s="56"/>
      <c r="WA128" s="56"/>
      <c r="WB128" s="56"/>
      <c r="WC128" s="56"/>
      <c r="WD128" s="56"/>
      <c r="WE128" s="56"/>
      <c r="WF128" s="56"/>
      <c r="WG128" s="56"/>
      <c r="WH128" s="56"/>
      <c r="WI128" s="56"/>
      <c r="WJ128" s="56"/>
      <c r="WK128" s="56"/>
      <c r="WL128" s="56"/>
      <c r="WM128" s="56"/>
      <c r="WN128" s="56"/>
      <c r="WO128" s="56"/>
      <c r="WP128" s="56"/>
      <c r="WQ128" s="56"/>
      <c r="WR128" s="56"/>
      <c r="WS128" s="56"/>
      <c r="WT128" s="56"/>
      <c r="WU128" s="56"/>
      <c r="WV128" s="56"/>
      <c r="WW128" s="56"/>
      <c r="WX128" s="56"/>
      <c r="WY128" s="56"/>
      <c r="WZ128" s="56"/>
      <c r="XA128" s="56"/>
      <c r="XB128" s="56"/>
      <c r="XC128" s="56"/>
      <c r="XD128" s="56"/>
      <c r="XE128" s="56"/>
      <c r="XF128" s="56"/>
      <c r="XG128" s="56"/>
      <c r="XH128" s="56"/>
      <c r="XI128" s="56"/>
      <c r="XJ128" s="56"/>
      <c r="XK128" s="56"/>
      <c r="XL128" s="56"/>
      <c r="XM128" s="56"/>
      <c r="XN128" s="56"/>
      <c r="XO128" s="56"/>
      <c r="XP128" s="56"/>
      <c r="XQ128" s="56"/>
      <c r="XR128" s="56"/>
      <c r="XS128" s="56"/>
      <c r="XT128" s="56"/>
      <c r="XU128" s="56"/>
      <c r="XV128" s="56"/>
      <c r="XW128" s="56"/>
      <c r="XX128" s="56"/>
      <c r="XY128" s="56"/>
      <c r="XZ128" s="56"/>
      <c r="YA128" s="56"/>
      <c r="YB128" s="56"/>
      <c r="YC128" s="56"/>
      <c r="YD128" s="56"/>
      <c r="YE128" s="56"/>
      <c r="YF128" s="56"/>
      <c r="YG128" s="56"/>
      <c r="YH128" s="56"/>
      <c r="YI128" s="56"/>
      <c r="YJ128" s="56"/>
      <c r="YK128" s="56"/>
      <c r="YL128" s="56"/>
      <c r="YM128" s="56"/>
      <c r="YN128" s="56"/>
      <c r="YO128" s="56"/>
      <c r="YP128" s="56"/>
      <c r="YQ128" s="56"/>
      <c r="YR128" s="56"/>
      <c r="YS128" s="56"/>
      <c r="YT128" s="56"/>
      <c r="YU128" s="56"/>
      <c r="YV128" s="56"/>
      <c r="YW128" s="56"/>
      <c r="YX128" s="56"/>
      <c r="YY128" s="56"/>
      <c r="YZ128" s="56"/>
      <c r="ZA128" s="56"/>
      <c r="ZB128" s="56"/>
      <c r="ZC128" s="56"/>
      <c r="ZD128" s="56"/>
      <c r="ZE128" s="56"/>
      <c r="ZF128" s="56"/>
      <c r="ZG128" s="56"/>
      <c r="ZH128" s="56"/>
      <c r="ZI128" s="56"/>
      <c r="ZJ128" s="56"/>
      <c r="ZK128" s="56"/>
      <c r="ZL128" s="56"/>
      <c r="ZM128" s="56"/>
      <c r="ZN128" s="56"/>
      <c r="ZO128" s="56"/>
      <c r="ZP128" s="56"/>
      <c r="ZQ128" s="56"/>
      <c r="ZR128" s="56"/>
      <c r="ZS128" s="56"/>
      <c r="ZT128" s="56"/>
      <c r="ZU128" s="56"/>
      <c r="ZV128" s="56"/>
      <c r="ZW128" s="56"/>
      <c r="ZX128" s="56"/>
      <c r="ZY128" s="56"/>
      <c r="ZZ128" s="56"/>
      <c r="AAA128" s="56"/>
      <c r="AAB128" s="56"/>
      <c r="AAC128" s="56"/>
      <c r="AAD128" s="56"/>
      <c r="AAE128" s="56"/>
      <c r="AAF128" s="56"/>
      <c r="AAG128" s="56"/>
      <c r="AAH128" s="56"/>
      <c r="AAI128" s="56"/>
      <c r="AAJ128" s="56"/>
      <c r="AAK128" s="56"/>
      <c r="AAL128" s="56"/>
      <c r="AAM128" s="56"/>
      <c r="AAN128" s="56"/>
      <c r="AAO128" s="56"/>
      <c r="AAP128" s="56"/>
      <c r="AAQ128" s="56"/>
      <c r="AAR128" s="56"/>
      <c r="AAS128" s="56"/>
      <c r="AAT128" s="56"/>
      <c r="AAU128" s="56"/>
      <c r="AAV128" s="56"/>
      <c r="AAW128" s="56"/>
      <c r="AAX128" s="56"/>
      <c r="AAY128" s="56"/>
      <c r="AAZ128" s="56"/>
      <c r="ABA128" s="56"/>
      <c r="ABB128" s="56"/>
      <c r="ABC128" s="56"/>
      <c r="ABD128" s="56"/>
      <c r="ABE128" s="56"/>
      <c r="ABF128" s="56"/>
      <c r="ABG128" s="56"/>
      <c r="ABH128" s="56"/>
      <c r="ABI128" s="56"/>
      <c r="ABJ128" s="56"/>
      <c r="ABK128" s="56"/>
      <c r="ABL128" s="56"/>
      <c r="ABM128" s="56"/>
      <c r="ABN128" s="56"/>
      <c r="ABO128" s="56"/>
      <c r="ABP128" s="56"/>
      <c r="ABQ128" s="56"/>
      <c r="ABR128" s="56"/>
      <c r="ABS128" s="56"/>
      <c r="ABT128" s="56"/>
      <c r="ABU128" s="56"/>
      <c r="ABV128" s="56"/>
      <c r="ABW128" s="56"/>
      <c r="ABX128" s="56"/>
      <c r="ABY128" s="56"/>
      <c r="ABZ128" s="56"/>
      <c r="ACA128" s="56"/>
      <c r="ACB128" s="56"/>
      <c r="ACC128" s="56"/>
      <c r="ACD128" s="56"/>
      <c r="ACE128" s="56"/>
      <c r="ACF128" s="56"/>
      <c r="ACG128" s="56"/>
      <c r="ACH128" s="56"/>
      <c r="ACI128" s="56"/>
      <c r="ACJ128" s="56"/>
      <c r="ACK128" s="56"/>
      <c r="ACL128" s="56"/>
      <c r="ACM128" s="56"/>
      <c r="ACN128" s="56"/>
      <c r="ACO128" s="56"/>
      <c r="ACP128" s="56"/>
      <c r="ACQ128" s="56"/>
      <c r="ACR128" s="56"/>
      <c r="ACS128" s="56"/>
      <c r="ACT128" s="56"/>
      <c r="ACU128" s="56"/>
      <c r="ACV128" s="56"/>
      <c r="ACW128" s="56"/>
      <c r="ACX128" s="56"/>
      <c r="ACY128" s="56"/>
      <c r="ACZ128" s="56"/>
      <c r="ADA128" s="56"/>
      <c r="ADB128" s="56"/>
      <c r="ADC128" s="56"/>
      <c r="ADD128" s="56"/>
      <c r="ADE128" s="56"/>
      <c r="ADF128" s="56"/>
      <c r="ADG128" s="56"/>
      <c r="ADH128" s="56"/>
      <c r="ADI128" s="56"/>
      <c r="ADJ128" s="56"/>
      <c r="ADK128" s="56"/>
      <c r="ADL128" s="56"/>
      <c r="ADM128" s="56"/>
      <c r="ADN128" s="56"/>
      <c r="ADO128" s="56"/>
      <c r="ADP128" s="56"/>
      <c r="ADQ128" s="56"/>
      <c r="ADR128" s="56"/>
      <c r="ADS128" s="56"/>
      <c r="ADT128" s="56"/>
      <c r="ADU128" s="56"/>
      <c r="ADV128" s="56"/>
      <c r="ADW128" s="56"/>
      <c r="ADX128" s="56"/>
      <c r="ADY128" s="56"/>
      <c r="ADZ128" s="56"/>
      <c r="AEA128" s="56"/>
      <c r="AEB128" s="56"/>
      <c r="AEC128" s="56"/>
      <c r="AED128" s="56"/>
      <c r="AEE128" s="56"/>
      <c r="AEF128" s="56"/>
      <c r="AEG128" s="56"/>
      <c r="AEH128" s="56"/>
      <c r="AEI128" s="56"/>
      <c r="AEJ128" s="56"/>
      <c r="AEK128" s="56"/>
      <c r="AEL128" s="56"/>
      <c r="AEM128" s="56"/>
      <c r="AEN128" s="56"/>
      <c r="AEO128" s="56"/>
      <c r="AEP128" s="56"/>
      <c r="AEQ128" s="56"/>
      <c r="AER128" s="56"/>
      <c r="AES128" s="56"/>
      <c r="AET128" s="56"/>
      <c r="AEU128" s="56"/>
      <c r="AEV128" s="56"/>
      <c r="AEW128" s="56"/>
      <c r="AEX128" s="56"/>
      <c r="AEY128" s="56"/>
      <c r="AEZ128" s="56"/>
      <c r="AFA128" s="56"/>
      <c r="AFB128" s="56"/>
      <c r="AFC128" s="56"/>
      <c r="AFD128" s="56"/>
      <c r="AFE128" s="56"/>
      <c r="AFF128" s="56"/>
      <c r="AFG128" s="56"/>
      <c r="AFH128" s="56"/>
      <c r="AFI128" s="56"/>
      <c r="AFJ128" s="56"/>
      <c r="AFK128" s="56"/>
      <c r="AFL128" s="56"/>
      <c r="AFM128" s="56"/>
      <c r="AFN128" s="56"/>
      <c r="AFO128" s="56"/>
      <c r="AFP128" s="56"/>
      <c r="AFQ128" s="56"/>
      <c r="AFR128" s="56"/>
      <c r="AFS128" s="56"/>
      <c r="AFT128" s="56"/>
      <c r="AFU128" s="56"/>
      <c r="AFV128" s="56"/>
      <c r="AFW128" s="56"/>
      <c r="AFX128" s="56"/>
      <c r="AFY128" s="56"/>
      <c r="AFZ128" s="56"/>
      <c r="AGA128" s="56"/>
      <c r="AGB128" s="56"/>
      <c r="AGC128" s="56"/>
      <c r="AGD128" s="56"/>
      <c r="AGE128" s="56"/>
      <c r="AGF128" s="56"/>
      <c r="AGG128" s="56"/>
      <c r="AGH128" s="56"/>
      <c r="AGI128" s="56"/>
      <c r="AGJ128" s="56"/>
      <c r="AGK128" s="56"/>
      <c r="AGL128" s="56"/>
      <c r="AGM128" s="56"/>
      <c r="AGN128" s="56"/>
      <c r="AGO128" s="56"/>
      <c r="AGP128" s="56"/>
      <c r="AGQ128" s="56"/>
      <c r="AGR128" s="56"/>
      <c r="AGS128" s="56"/>
      <c r="AGT128" s="56"/>
      <c r="AGU128" s="56"/>
      <c r="AGV128" s="56"/>
      <c r="AGW128" s="56"/>
      <c r="AGX128" s="56"/>
      <c r="AGY128" s="56"/>
      <c r="AGZ128" s="56"/>
      <c r="AHA128" s="56"/>
      <c r="AHB128" s="56"/>
      <c r="AHC128" s="56"/>
      <c r="AHD128" s="56"/>
      <c r="AHE128" s="56"/>
      <c r="AHF128" s="56"/>
      <c r="AHG128" s="56"/>
      <c r="AHH128" s="56"/>
      <c r="AHI128" s="56"/>
      <c r="AHJ128" s="56"/>
      <c r="AHK128" s="56"/>
      <c r="AHL128" s="56"/>
      <c r="AHM128" s="56"/>
      <c r="AHN128" s="56"/>
      <c r="AHO128" s="56"/>
      <c r="AHP128" s="56"/>
      <c r="AHQ128" s="56"/>
      <c r="AHR128" s="56"/>
      <c r="AHS128" s="56"/>
      <c r="AHT128" s="56"/>
      <c r="AHU128" s="56"/>
      <c r="AHV128" s="56"/>
      <c r="AHW128" s="56"/>
      <c r="AHX128" s="56"/>
      <c r="AHY128" s="56"/>
      <c r="AHZ128" s="56"/>
      <c r="AIA128" s="56"/>
      <c r="AIB128" s="56"/>
      <c r="AIC128" s="56"/>
      <c r="AID128" s="56"/>
      <c r="AIE128" s="56"/>
      <c r="AIF128" s="56"/>
      <c r="AIG128" s="56"/>
      <c r="AIH128" s="56"/>
      <c r="AII128" s="56"/>
      <c r="AIJ128" s="56"/>
      <c r="AIK128" s="56"/>
      <c r="AIL128" s="56"/>
      <c r="AIM128" s="56"/>
      <c r="AIN128" s="56"/>
      <c r="AIO128" s="56"/>
      <c r="AIP128" s="56"/>
      <c r="AIQ128" s="56"/>
      <c r="AIR128" s="56"/>
      <c r="AIS128" s="56"/>
      <c r="AIT128" s="56"/>
      <c r="AIU128" s="56"/>
      <c r="AIV128" s="56"/>
      <c r="AIW128" s="56"/>
      <c r="AIX128" s="56"/>
      <c r="AIY128" s="56"/>
      <c r="AIZ128" s="56"/>
      <c r="AJA128" s="56"/>
      <c r="AJB128" s="56"/>
      <c r="AJC128" s="56"/>
      <c r="AJD128" s="56"/>
      <c r="AJE128" s="56"/>
      <c r="AJF128" s="56"/>
      <c r="AJG128" s="56"/>
      <c r="AJH128" s="56"/>
      <c r="AJI128" s="56"/>
      <c r="AJJ128" s="56"/>
      <c r="AJK128" s="56"/>
      <c r="AJL128" s="56"/>
      <c r="AJM128" s="56"/>
      <c r="AJN128" s="56"/>
      <c r="AJO128" s="56"/>
      <c r="AJP128" s="56"/>
      <c r="AJQ128" s="56"/>
      <c r="AJR128" s="56"/>
      <c r="AJS128" s="56"/>
      <c r="AJT128" s="56"/>
      <c r="AJU128" s="56"/>
      <c r="AJV128" s="56"/>
      <c r="AJW128" s="56"/>
      <c r="AJX128" s="56"/>
      <c r="AJY128" s="56"/>
      <c r="AJZ128" s="56"/>
      <c r="AKA128" s="56"/>
      <c r="AKB128" s="56"/>
      <c r="AKC128" s="56"/>
      <c r="AKD128" s="56"/>
      <c r="AKE128" s="56"/>
      <c r="AKF128" s="56"/>
      <c r="AKG128" s="56"/>
      <c r="AKH128" s="56"/>
      <c r="AKI128" s="56"/>
      <c r="AKJ128" s="56"/>
      <c r="AKK128" s="56"/>
      <c r="AKL128" s="56"/>
      <c r="AKM128" s="56"/>
      <c r="AKN128" s="56"/>
      <c r="AKO128" s="56"/>
      <c r="AKP128" s="56"/>
      <c r="AKQ128" s="56"/>
      <c r="AKR128" s="56"/>
      <c r="AKS128" s="56"/>
      <c r="AKT128" s="56"/>
      <c r="AKU128" s="56"/>
      <c r="AKV128" s="56"/>
      <c r="AKW128" s="56"/>
      <c r="AKX128" s="56"/>
      <c r="AKY128" s="56"/>
      <c r="AKZ128" s="56"/>
      <c r="ALA128" s="56"/>
      <c r="ALB128" s="56"/>
      <c r="ALC128" s="56"/>
      <c r="ALD128" s="56"/>
      <c r="ALE128" s="56"/>
      <c r="ALF128" s="56"/>
      <c r="ALG128" s="56"/>
      <c r="ALH128" s="56"/>
      <c r="ALI128" s="56"/>
      <c r="ALJ128" s="56"/>
      <c r="ALK128" s="56"/>
      <c r="ALL128" s="56"/>
      <c r="ALM128" s="56"/>
      <c r="ALN128" s="56"/>
      <c r="ALO128" s="56"/>
      <c r="ALP128" s="56"/>
      <c r="ALQ128" s="56"/>
      <c r="ALR128" s="56"/>
      <c r="ALS128" s="56"/>
      <c r="ALT128" s="56"/>
      <c r="ALU128" s="56"/>
      <c r="ALV128" s="56"/>
      <c r="ALW128" s="56"/>
      <c r="ALX128" s="56"/>
      <c r="ALY128" s="56"/>
      <c r="ALZ128" s="56"/>
      <c r="AMA128" s="56"/>
      <c r="AMB128" s="56"/>
      <c r="AMC128" s="56"/>
      <c r="AMD128" s="56"/>
      <c r="AME128" s="56"/>
      <c r="AMF128" s="56"/>
      <c r="AMG128" s="56"/>
      <c r="AMH128" s="56"/>
      <c r="AMI128" s="56"/>
      <c r="AMJ128" s="56"/>
    </row>
    <row r="129" spans="12:1024" ht="15.95" customHeight="1" x14ac:dyDescent="0.2">
      <c r="L129" s="56"/>
      <c r="M129" s="57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56"/>
      <c r="CP129" s="56"/>
      <c r="CQ129" s="56"/>
      <c r="CR129" s="56"/>
      <c r="CS129" s="56"/>
      <c r="CT129" s="56"/>
      <c r="CU129" s="56"/>
      <c r="CV129" s="56"/>
      <c r="CW129" s="56"/>
      <c r="CX129" s="56"/>
      <c r="CY129" s="56"/>
      <c r="CZ129" s="56"/>
      <c r="DA129" s="56"/>
      <c r="DB129" s="56"/>
      <c r="DC129" s="56"/>
      <c r="DD129" s="56"/>
      <c r="DE129" s="56"/>
      <c r="DF129" s="56"/>
      <c r="DG129" s="56"/>
      <c r="DH129" s="56"/>
      <c r="DI129" s="56"/>
      <c r="DJ129" s="56"/>
      <c r="DK129" s="56"/>
      <c r="DL129" s="56"/>
      <c r="DM129" s="56"/>
      <c r="DN129" s="56"/>
      <c r="DO129" s="56"/>
      <c r="DP129" s="56"/>
      <c r="DQ129" s="56"/>
      <c r="DR129" s="56"/>
      <c r="DS129" s="56"/>
      <c r="DT129" s="56"/>
      <c r="DU129" s="56"/>
      <c r="DV129" s="56"/>
      <c r="DW129" s="56"/>
      <c r="DX129" s="56"/>
      <c r="DY129" s="56"/>
      <c r="DZ129" s="56"/>
      <c r="EA129" s="56"/>
      <c r="EB129" s="56"/>
      <c r="EC129" s="56"/>
      <c r="ED129" s="56"/>
      <c r="EE129" s="56"/>
      <c r="EF129" s="56"/>
      <c r="EG129" s="56"/>
      <c r="EH129" s="56"/>
      <c r="EI129" s="56"/>
      <c r="EJ129" s="56"/>
      <c r="EK129" s="56"/>
      <c r="EL129" s="56"/>
      <c r="EM129" s="56"/>
      <c r="EN129" s="56"/>
      <c r="EO129" s="56"/>
      <c r="EP129" s="56"/>
      <c r="EQ129" s="56"/>
      <c r="ER129" s="56"/>
      <c r="ES129" s="56"/>
      <c r="ET129" s="56"/>
      <c r="EU129" s="56"/>
      <c r="EV129" s="56"/>
      <c r="EW129" s="56"/>
      <c r="EX129" s="56"/>
      <c r="EY129" s="56"/>
      <c r="EZ129" s="56"/>
      <c r="FA129" s="56"/>
      <c r="FB129" s="56"/>
      <c r="FC129" s="56"/>
      <c r="FD129" s="56"/>
      <c r="FE129" s="56"/>
      <c r="FF129" s="56"/>
      <c r="FG129" s="56"/>
      <c r="FH129" s="56"/>
      <c r="FI129" s="56"/>
      <c r="FJ129" s="56"/>
      <c r="FK129" s="56"/>
      <c r="FL129" s="56"/>
      <c r="FM129" s="56"/>
      <c r="FN129" s="56"/>
      <c r="FO129" s="56"/>
      <c r="FP129" s="56"/>
      <c r="FQ129" s="56"/>
      <c r="FR129" s="56"/>
      <c r="FS129" s="56"/>
      <c r="FT129" s="56"/>
      <c r="FU129" s="56"/>
      <c r="FV129" s="56"/>
      <c r="FW129" s="56"/>
      <c r="FX129" s="56"/>
      <c r="FY129" s="56"/>
      <c r="FZ129" s="56"/>
      <c r="GA129" s="56"/>
      <c r="GB129" s="56"/>
      <c r="GC129" s="56"/>
      <c r="GD129" s="56"/>
      <c r="GE129" s="56"/>
      <c r="GF129" s="56"/>
      <c r="GG129" s="56"/>
      <c r="GH129" s="56"/>
      <c r="GI129" s="56"/>
      <c r="GJ129" s="56"/>
      <c r="GK129" s="56"/>
      <c r="GL129" s="56"/>
      <c r="GM129" s="56"/>
      <c r="GN129" s="56"/>
      <c r="GO129" s="56"/>
      <c r="GP129" s="56"/>
      <c r="GQ129" s="56"/>
      <c r="GR129" s="56"/>
      <c r="GS129" s="56"/>
      <c r="GT129" s="56"/>
      <c r="GU129" s="56"/>
      <c r="GV129" s="56"/>
      <c r="GW129" s="56"/>
      <c r="GX129" s="56"/>
      <c r="GY129" s="56"/>
      <c r="GZ129" s="56"/>
      <c r="HA129" s="56"/>
      <c r="HB129" s="56"/>
      <c r="HC129" s="56"/>
      <c r="HD129" s="56"/>
      <c r="HE129" s="56"/>
      <c r="HF129" s="56"/>
      <c r="HG129" s="56"/>
      <c r="HH129" s="56"/>
      <c r="HI129" s="56"/>
      <c r="HJ129" s="56"/>
      <c r="HK129" s="56"/>
      <c r="HL129" s="56"/>
      <c r="HM129" s="56"/>
      <c r="HN129" s="56"/>
      <c r="HO129" s="56"/>
      <c r="HP129" s="56"/>
      <c r="HQ129" s="56"/>
      <c r="HR129" s="56"/>
      <c r="HS129" s="56"/>
      <c r="HT129" s="56"/>
      <c r="HU129" s="56"/>
      <c r="HV129" s="56"/>
      <c r="HW129" s="56"/>
      <c r="HX129" s="56"/>
      <c r="HY129" s="56"/>
      <c r="HZ129" s="56"/>
      <c r="IA129" s="56"/>
      <c r="IB129" s="56"/>
      <c r="IC129" s="56"/>
      <c r="ID129" s="56"/>
      <c r="IE129" s="56"/>
      <c r="IF129" s="56"/>
      <c r="IG129" s="56"/>
      <c r="IH129" s="56"/>
      <c r="II129" s="56"/>
      <c r="IJ129" s="56"/>
      <c r="IK129" s="56"/>
      <c r="IL129" s="56"/>
      <c r="IM129" s="56"/>
      <c r="IN129" s="56"/>
      <c r="IO129" s="56"/>
      <c r="IP129" s="56"/>
      <c r="IQ129" s="56"/>
      <c r="IR129" s="56"/>
      <c r="IS129" s="56"/>
      <c r="IT129" s="56"/>
      <c r="IU129" s="56"/>
      <c r="IV129" s="56"/>
      <c r="IW129" s="56"/>
      <c r="IX129" s="56"/>
      <c r="IY129" s="56"/>
      <c r="IZ129" s="56"/>
      <c r="JA129" s="56"/>
      <c r="JB129" s="56"/>
      <c r="JC129" s="56"/>
      <c r="JD129" s="56"/>
      <c r="JE129" s="56"/>
      <c r="JF129" s="56"/>
      <c r="JG129" s="56"/>
      <c r="JH129" s="56"/>
      <c r="JI129" s="56"/>
      <c r="JJ129" s="56"/>
      <c r="JK129" s="56"/>
      <c r="JL129" s="56"/>
      <c r="JM129" s="56"/>
      <c r="JN129" s="56"/>
      <c r="JO129" s="56"/>
      <c r="JP129" s="56"/>
      <c r="JQ129" s="56"/>
      <c r="JR129" s="56"/>
      <c r="JS129" s="56"/>
      <c r="JT129" s="56"/>
      <c r="JU129" s="56"/>
      <c r="JV129" s="56"/>
      <c r="JW129" s="56"/>
      <c r="JX129" s="56"/>
      <c r="JY129" s="56"/>
      <c r="JZ129" s="56"/>
      <c r="KA129" s="56"/>
      <c r="KB129" s="56"/>
      <c r="KC129" s="56"/>
      <c r="KD129" s="56"/>
      <c r="KE129" s="56"/>
      <c r="KF129" s="56"/>
      <c r="KG129" s="56"/>
      <c r="KH129" s="56"/>
      <c r="KI129" s="56"/>
      <c r="KJ129" s="56"/>
      <c r="KK129" s="56"/>
      <c r="KL129" s="56"/>
      <c r="KM129" s="56"/>
      <c r="KN129" s="56"/>
      <c r="KO129" s="56"/>
      <c r="KP129" s="56"/>
      <c r="KQ129" s="56"/>
      <c r="KR129" s="56"/>
      <c r="KS129" s="56"/>
      <c r="KT129" s="56"/>
      <c r="KU129" s="56"/>
      <c r="KV129" s="56"/>
      <c r="KW129" s="56"/>
      <c r="KX129" s="56"/>
      <c r="KY129" s="56"/>
      <c r="KZ129" s="56"/>
      <c r="LA129" s="56"/>
      <c r="LB129" s="56"/>
      <c r="LC129" s="56"/>
      <c r="LD129" s="56"/>
      <c r="LE129" s="56"/>
      <c r="LF129" s="56"/>
      <c r="LG129" s="56"/>
      <c r="LH129" s="56"/>
      <c r="LI129" s="56"/>
      <c r="LJ129" s="56"/>
      <c r="LK129" s="56"/>
      <c r="LL129" s="56"/>
      <c r="LM129" s="56"/>
      <c r="LN129" s="56"/>
      <c r="LO129" s="56"/>
      <c r="LP129" s="56"/>
      <c r="LQ129" s="56"/>
      <c r="LR129" s="56"/>
      <c r="LS129" s="56"/>
      <c r="LT129" s="56"/>
      <c r="LU129" s="56"/>
      <c r="LV129" s="56"/>
      <c r="LW129" s="56"/>
      <c r="LX129" s="56"/>
      <c r="LY129" s="56"/>
      <c r="LZ129" s="56"/>
      <c r="MA129" s="56"/>
      <c r="MB129" s="56"/>
      <c r="MC129" s="56"/>
      <c r="MD129" s="56"/>
      <c r="ME129" s="56"/>
      <c r="MF129" s="56"/>
      <c r="MG129" s="56"/>
      <c r="MH129" s="56"/>
      <c r="MI129" s="56"/>
      <c r="MJ129" s="56"/>
      <c r="MK129" s="56"/>
      <c r="ML129" s="56"/>
      <c r="MM129" s="56"/>
      <c r="MN129" s="56"/>
      <c r="MO129" s="56"/>
      <c r="MP129" s="56"/>
      <c r="MQ129" s="56"/>
      <c r="MR129" s="56"/>
      <c r="MS129" s="56"/>
      <c r="MT129" s="56"/>
      <c r="MU129" s="56"/>
      <c r="MV129" s="56"/>
      <c r="MW129" s="56"/>
      <c r="MX129" s="56"/>
      <c r="MY129" s="56"/>
      <c r="MZ129" s="56"/>
      <c r="NA129" s="56"/>
      <c r="NB129" s="56"/>
      <c r="NC129" s="56"/>
      <c r="ND129" s="56"/>
      <c r="NE129" s="56"/>
      <c r="NF129" s="56"/>
      <c r="NG129" s="56"/>
      <c r="NH129" s="56"/>
      <c r="NI129" s="56"/>
      <c r="NJ129" s="56"/>
      <c r="NK129" s="56"/>
      <c r="NL129" s="56"/>
      <c r="NM129" s="56"/>
      <c r="NN129" s="56"/>
      <c r="NO129" s="56"/>
      <c r="NP129" s="56"/>
      <c r="NQ129" s="56"/>
      <c r="NR129" s="56"/>
      <c r="NS129" s="56"/>
      <c r="NT129" s="56"/>
      <c r="NU129" s="56"/>
      <c r="NV129" s="56"/>
      <c r="NW129" s="56"/>
      <c r="NX129" s="56"/>
      <c r="NY129" s="56"/>
      <c r="NZ129" s="56"/>
      <c r="OA129" s="56"/>
      <c r="OB129" s="56"/>
      <c r="OC129" s="56"/>
      <c r="OD129" s="56"/>
      <c r="OE129" s="56"/>
      <c r="OF129" s="56"/>
      <c r="OG129" s="56"/>
      <c r="OH129" s="56"/>
      <c r="OI129" s="56"/>
      <c r="OJ129" s="56"/>
      <c r="OK129" s="56"/>
      <c r="OL129" s="56"/>
      <c r="OM129" s="56"/>
      <c r="ON129" s="56"/>
      <c r="OO129" s="56"/>
      <c r="OP129" s="56"/>
      <c r="OQ129" s="56"/>
      <c r="OR129" s="56"/>
      <c r="OS129" s="56"/>
      <c r="OT129" s="56"/>
      <c r="OU129" s="56"/>
      <c r="OV129" s="56"/>
      <c r="OW129" s="56"/>
      <c r="OX129" s="56"/>
      <c r="OY129" s="56"/>
      <c r="OZ129" s="56"/>
      <c r="PA129" s="56"/>
      <c r="PB129" s="56"/>
      <c r="PC129" s="56"/>
      <c r="PD129" s="56"/>
      <c r="PE129" s="56"/>
      <c r="PF129" s="56"/>
      <c r="PG129" s="56"/>
      <c r="PH129" s="56"/>
      <c r="PI129" s="56"/>
      <c r="PJ129" s="56"/>
      <c r="PK129" s="56"/>
      <c r="PL129" s="56"/>
      <c r="PM129" s="56"/>
      <c r="PN129" s="56"/>
      <c r="PO129" s="56"/>
      <c r="PP129" s="56"/>
      <c r="PQ129" s="56"/>
      <c r="PR129" s="56"/>
      <c r="PS129" s="56"/>
      <c r="PT129" s="56"/>
      <c r="PU129" s="56"/>
      <c r="PV129" s="56"/>
      <c r="PW129" s="56"/>
      <c r="PX129" s="56"/>
      <c r="PY129" s="56"/>
      <c r="PZ129" s="56"/>
      <c r="QA129" s="56"/>
      <c r="QB129" s="56"/>
      <c r="QC129" s="56"/>
      <c r="QD129" s="56"/>
      <c r="QE129" s="56"/>
      <c r="QF129" s="56"/>
      <c r="QG129" s="56"/>
      <c r="QH129" s="56"/>
      <c r="QI129" s="56"/>
      <c r="QJ129" s="56"/>
      <c r="QK129" s="56"/>
      <c r="QL129" s="56"/>
      <c r="QM129" s="56"/>
      <c r="QN129" s="56"/>
      <c r="QO129" s="56"/>
      <c r="QP129" s="56"/>
      <c r="QQ129" s="56"/>
      <c r="QR129" s="56"/>
      <c r="QS129" s="56"/>
      <c r="QT129" s="56"/>
      <c r="QU129" s="56"/>
      <c r="QV129" s="56"/>
      <c r="QW129" s="56"/>
      <c r="QX129" s="56"/>
      <c r="QY129" s="56"/>
      <c r="QZ129" s="56"/>
      <c r="RA129" s="56"/>
      <c r="RB129" s="56"/>
      <c r="RC129" s="56"/>
      <c r="RD129" s="56"/>
      <c r="RE129" s="56"/>
      <c r="RF129" s="56"/>
      <c r="RG129" s="56"/>
      <c r="RH129" s="56"/>
      <c r="RI129" s="56"/>
      <c r="RJ129" s="56"/>
      <c r="RK129" s="56"/>
      <c r="RL129" s="56"/>
      <c r="RM129" s="56"/>
      <c r="RN129" s="56"/>
      <c r="RO129" s="56"/>
      <c r="RP129" s="56"/>
      <c r="RQ129" s="56"/>
      <c r="RR129" s="56"/>
      <c r="RS129" s="56"/>
      <c r="RT129" s="56"/>
      <c r="RU129" s="56"/>
      <c r="RV129" s="56"/>
      <c r="RW129" s="56"/>
      <c r="RX129" s="56"/>
      <c r="RY129" s="56"/>
      <c r="RZ129" s="56"/>
      <c r="SA129" s="56"/>
      <c r="SB129" s="56"/>
      <c r="SC129" s="56"/>
      <c r="SD129" s="56"/>
      <c r="SE129" s="56"/>
      <c r="SF129" s="56"/>
      <c r="SG129" s="56"/>
      <c r="SH129" s="56"/>
      <c r="SI129" s="56"/>
      <c r="SJ129" s="56"/>
      <c r="SK129" s="56"/>
      <c r="SL129" s="56"/>
      <c r="SM129" s="56"/>
      <c r="SN129" s="56"/>
      <c r="SO129" s="56"/>
      <c r="SP129" s="56"/>
      <c r="SQ129" s="56"/>
      <c r="SR129" s="56"/>
      <c r="SS129" s="56"/>
      <c r="ST129" s="56"/>
      <c r="SU129" s="56"/>
      <c r="SV129" s="56"/>
      <c r="SW129" s="56"/>
      <c r="SX129" s="56"/>
      <c r="SY129" s="56"/>
      <c r="SZ129" s="56"/>
      <c r="TA129" s="56"/>
      <c r="TB129" s="56"/>
      <c r="TC129" s="56"/>
      <c r="TD129" s="56"/>
      <c r="TE129" s="56"/>
      <c r="TF129" s="56"/>
      <c r="TG129" s="56"/>
      <c r="TH129" s="56"/>
      <c r="TI129" s="56"/>
      <c r="TJ129" s="56"/>
      <c r="TK129" s="56"/>
      <c r="TL129" s="56"/>
      <c r="TM129" s="56"/>
      <c r="TN129" s="56"/>
      <c r="TO129" s="56"/>
      <c r="TP129" s="56"/>
      <c r="TQ129" s="56"/>
      <c r="TR129" s="56"/>
      <c r="TS129" s="56"/>
      <c r="TT129" s="56"/>
      <c r="TU129" s="56"/>
      <c r="TV129" s="56"/>
      <c r="TW129" s="56"/>
      <c r="TX129" s="56"/>
      <c r="TY129" s="56"/>
      <c r="TZ129" s="56"/>
      <c r="UA129" s="56"/>
      <c r="UB129" s="56"/>
      <c r="UC129" s="56"/>
      <c r="UD129" s="56"/>
      <c r="UE129" s="56"/>
      <c r="UF129" s="56"/>
      <c r="UG129" s="56"/>
      <c r="UH129" s="56"/>
      <c r="UI129" s="56"/>
      <c r="UJ129" s="56"/>
      <c r="UK129" s="56"/>
      <c r="UL129" s="56"/>
      <c r="UM129" s="56"/>
      <c r="UN129" s="56"/>
      <c r="UO129" s="56"/>
      <c r="UP129" s="56"/>
      <c r="UQ129" s="56"/>
      <c r="UR129" s="56"/>
      <c r="US129" s="56"/>
      <c r="UT129" s="56"/>
      <c r="UU129" s="56"/>
      <c r="UV129" s="56"/>
      <c r="UW129" s="56"/>
      <c r="UX129" s="56"/>
      <c r="UY129" s="56"/>
      <c r="UZ129" s="56"/>
      <c r="VA129" s="56"/>
      <c r="VB129" s="56"/>
      <c r="VC129" s="56"/>
      <c r="VD129" s="56"/>
      <c r="VE129" s="56"/>
      <c r="VF129" s="56"/>
      <c r="VG129" s="56"/>
      <c r="VH129" s="56"/>
      <c r="VI129" s="56"/>
      <c r="VJ129" s="56"/>
      <c r="VK129" s="56"/>
      <c r="VL129" s="56"/>
      <c r="VM129" s="56"/>
      <c r="VN129" s="56"/>
      <c r="VO129" s="56"/>
      <c r="VP129" s="56"/>
      <c r="VQ129" s="56"/>
      <c r="VR129" s="56"/>
      <c r="VS129" s="56"/>
      <c r="VT129" s="56"/>
      <c r="VU129" s="56"/>
      <c r="VV129" s="56"/>
      <c r="VW129" s="56"/>
      <c r="VX129" s="56"/>
      <c r="VY129" s="56"/>
      <c r="VZ129" s="56"/>
      <c r="WA129" s="56"/>
      <c r="WB129" s="56"/>
      <c r="WC129" s="56"/>
      <c r="WD129" s="56"/>
      <c r="WE129" s="56"/>
      <c r="WF129" s="56"/>
      <c r="WG129" s="56"/>
      <c r="WH129" s="56"/>
      <c r="WI129" s="56"/>
      <c r="WJ129" s="56"/>
      <c r="WK129" s="56"/>
      <c r="WL129" s="56"/>
      <c r="WM129" s="56"/>
      <c r="WN129" s="56"/>
      <c r="WO129" s="56"/>
      <c r="WP129" s="56"/>
      <c r="WQ129" s="56"/>
      <c r="WR129" s="56"/>
      <c r="WS129" s="56"/>
      <c r="WT129" s="56"/>
      <c r="WU129" s="56"/>
      <c r="WV129" s="56"/>
      <c r="WW129" s="56"/>
      <c r="WX129" s="56"/>
      <c r="WY129" s="56"/>
      <c r="WZ129" s="56"/>
      <c r="XA129" s="56"/>
      <c r="XB129" s="56"/>
      <c r="XC129" s="56"/>
      <c r="XD129" s="56"/>
      <c r="XE129" s="56"/>
      <c r="XF129" s="56"/>
      <c r="XG129" s="56"/>
      <c r="XH129" s="56"/>
      <c r="XI129" s="56"/>
      <c r="XJ129" s="56"/>
      <c r="XK129" s="56"/>
      <c r="XL129" s="56"/>
      <c r="XM129" s="56"/>
      <c r="XN129" s="56"/>
      <c r="XO129" s="56"/>
      <c r="XP129" s="56"/>
      <c r="XQ129" s="56"/>
      <c r="XR129" s="56"/>
      <c r="XS129" s="56"/>
      <c r="XT129" s="56"/>
      <c r="XU129" s="56"/>
      <c r="XV129" s="56"/>
      <c r="XW129" s="56"/>
      <c r="XX129" s="56"/>
      <c r="XY129" s="56"/>
      <c r="XZ129" s="56"/>
      <c r="YA129" s="56"/>
      <c r="YB129" s="56"/>
      <c r="YC129" s="56"/>
      <c r="YD129" s="56"/>
      <c r="YE129" s="56"/>
      <c r="YF129" s="56"/>
      <c r="YG129" s="56"/>
      <c r="YH129" s="56"/>
      <c r="YI129" s="56"/>
      <c r="YJ129" s="56"/>
      <c r="YK129" s="56"/>
      <c r="YL129" s="56"/>
      <c r="YM129" s="56"/>
      <c r="YN129" s="56"/>
      <c r="YO129" s="56"/>
      <c r="YP129" s="56"/>
      <c r="YQ129" s="56"/>
      <c r="YR129" s="56"/>
      <c r="YS129" s="56"/>
      <c r="YT129" s="56"/>
      <c r="YU129" s="56"/>
      <c r="YV129" s="56"/>
      <c r="YW129" s="56"/>
      <c r="YX129" s="56"/>
      <c r="YY129" s="56"/>
      <c r="YZ129" s="56"/>
      <c r="ZA129" s="56"/>
      <c r="ZB129" s="56"/>
      <c r="ZC129" s="56"/>
      <c r="ZD129" s="56"/>
      <c r="ZE129" s="56"/>
      <c r="ZF129" s="56"/>
      <c r="ZG129" s="56"/>
      <c r="ZH129" s="56"/>
      <c r="ZI129" s="56"/>
      <c r="ZJ129" s="56"/>
      <c r="ZK129" s="56"/>
      <c r="ZL129" s="56"/>
      <c r="ZM129" s="56"/>
      <c r="ZN129" s="56"/>
      <c r="ZO129" s="56"/>
      <c r="ZP129" s="56"/>
      <c r="ZQ129" s="56"/>
      <c r="ZR129" s="56"/>
      <c r="ZS129" s="56"/>
      <c r="ZT129" s="56"/>
      <c r="ZU129" s="56"/>
      <c r="ZV129" s="56"/>
      <c r="ZW129" s="56"/>
      <c r="ZX129" s="56"/>
      <c r="ZY129" s="56"/>
      <c r="ZZ129" s="56"/>
      <c r="AAA129" s="56"/>
      <c r="AAB129" s="56"/>
      <c r="AAC129" s="56"/>
      <c r="AAD129" s="56"/>
      <c r="AAE129" s="56"/>
      <c r="AAF129" s="56"/>
      <c r="AAG129" s="56"/>
      <c r="AAH129" s="56"/>
      <c r="AAI129" s="56"/>
      <c r="AAJ129" s="56"/>
      <c r="AAK129" s="56"/>
      <c r="AAL129" s="56"/>
      <c r="AAM129" s="56"/>
      <c r="AAN129" s="56"/>
      <c r="AAO129" s="56"/>
      <c r="AAP129" s="56"/>
      <c r="AAQ129" s="56"/>
      <c r="AAR129" s="56"/>
      <c r="AAS129" s="56"/>
      <c r="AAT129" s="56"/>
      <c r="AAU129" s="56"/>
      <c r="AAV129" s="56"/>
      <c r="AAW129" s="56"/>
      <c r="AAX129" s="56"/>
      <c r="AAY129" s="56"/>
      <c r="AAZ129" s="56"/>
      <c r="ABA129" s="56"/>
      <c r="ABB129" s="56"/>
      <c r="ABC129" s="56"/>
      <c r="ABD129" s="56"/>
      <c r="ABE129" s="56"/>
      <c r="ABF129" s="56"/>
      <c r="ABG129" s="56"/>
      <c r="ABH129" s="56"/>
      <c r="ABI129" s="56"/>
      <c r="ABJ129" s="56"/>
      <c r="ABK129" s="56"/>
      <c r="ABL129" s="56"/>
      <c r="ABM129" s="56"/>
      <c r="ABN129" s="56"/>
      <c r="ABO129" s="56"/>
      <c r="ABP129" s="56"/>
      <c r="ABQ129" s="56"/>
      <c r="ABR129" s="56"/>
      <c r="ABS129" s="56"/>
      <c r="ABT129" s="56"/>
      <c r="ABU129" s="56"/>
      <c r="ABV129" s="56"/>
      <c r="ABW129" s="56"/>
      <c r="ABX129" s="56"/>
      <c r="ABY129" s="56"/>
      <c r="ABZ129" s="56"/>
      <c r="ACA129" s="56"/>
      <c r="ACB129" s="56"/>
      <c r="ACC129" s="56"/>
      <c r="ACD129" s="56"/>
      <c r="ACE129" s="56"/>
      <c r="ACF129" s="56"/>
      <c r="ACG129" s="56"/>
      <c r="ACH129" s="56"/>
      <c r="ACI129" s="56"/>
      <c r="ACJ129" s="56"/>
      <c r="ACK129" s="56"/>
      <c r="ACL129" s="56"/>
      <c r="ACM129" s="56"/>
      <c r="ACN129" s="56"/>
      <c r="ACO129" s="56"/>
      <c r="ACP129" s="56"/>
      <c r="ACQ129" s="56"/>
      <c r="ACR129" s="56"/>
      <c r="ACS129" s="56"/>
      <c r="ACT129" s="56"/>
      <c r="ACU129" s="56"/>
      <c r="ACV129" s="56"/>
      <c r="ACW129" s="56"/>
      <c r="ACX129" s="56"/>
      <c r="ACY129" s="56"/>
      <c r="ACZ129" s="56"/>
      <c r="ADA129" s="56"/>
      <c r="ADB129" s="56"/>
      <c r="ADC129" s="56"/>
      <c r="ADD129" s="56"/>
      <c r="ADE129" s="56"/>
      <c r="ADF129" s="56"/>
      <c r="ADG129" s="56"/>
      <c r="ADH129" s="56"/>
      <c r="ADI129" s="56"/>
      <c r="ADJ129" s="56"/>
      <c r="ADK129" s="56"/>
      <c r="ADL129" s="56"/>
      <c r="ADM129" s="56"/>
      <c r="ADN129" s="56"/>
      <c r="ADO129" s="56"/>
      <c r="ADP129" s="56"/>
      <c r="ADQ129" s="56"/>
      <c r="ADR129" s="56"/>
      <c r="ADS129" s="56"/>
      <c r="ADT129" s="56"/>
      <c r="ADU129" s="56"/>
      <c r="ADV129" s="56"/>
      <c r="ADW129" s="56"/>
      <c r="ADX129" s="56"/>
      <c r="ADY129" s="56"/>
      <c r="ADZ129" s="56"/>
      <c r="AEA129" s="56"/>
      <c r="AEB129" s="56"/>
      <c r="AEC129" s="56"/>
      <c r="AED129" s="56"/>
      <c r="AEE129" s="56"/>
      <c r="AEF129" s="56"/>
      <c r="AEG129" s="56"/>
      <c r="AEH129" s="56"/>
      <c r="AEI129" s="56"/>
      <c r="AEJ129" s="56"/>
      <c r="AEK129" s="56"/>
      <c r="AEL129" s="56"/>
      <c r="AEM129" s="56"/>
      <c r="AEN129" s="56"/>
      <c r="AEO129" s="56"/>
      <c r="AEP129" s="56"/>
      <c r="AEQ129" s="56"/>
      <c r="AER129" s="56"/>
      <c r="AES129" s="56"/>
      <c r="AET129" s="56"/>
      <c r="AEU129" s="56"/>
      <c r="AEV129" s="56"/>
      <c r="AEW129" s="56"/>
      <c r="AEX129" s="56"/>
      <c r="AEY129" s="56"/>
      <c r="AEZ129" s="56"/>
      <c r="AFA129" s="56"/>
      <c r="AFB129" s="56"/>
      <c r="AFC129" s="56"/>
      <c r="AFD129" s="56"/>
      <c r="AFE129" s="56"/>
      <c r="AFF129" s="56"/>
      <c r="AFG129" s="56"/>
      <c r="AFH129" s="56"/>
      <c r="AFI129" s="56"/>
      <c r="AFJ129" s="56"/>
      <c r="AFK129" s="56"/>
      <c r="AFL129" s="56"/>
      <c r="AFM129" s="56"/>
      <c r="AFN129" s="56"/>
      <c r="AFO129" s="56"/>
      <c r="AFP129" s="56"/>
      <c r="AFQ129" s="56"/>
      <c r="AFR129" s="56"/>
      <c r="AFS129" s="56"/>
      <c r="AFT129" s="56"/>
      <c r="AFU129" s="56"/>
      <c r="AFV129" s="56"/>
      <c r="AFW129" s="56"/>
      <c r="AFX129" s="56"/>
      <c r="AFY129" s="56"/>
      <c r="AFZ129" s="56"/>
      <c r="AGA129" s="56"/>
      <c r="AGB129" s="56"/>
      <c r="AGC129" s="56"/>
      <c r="AGD129" s="56"/>
      <c r="AGE129" s="56"/>
      <c r="AGF129" s="56"/>
      <c r="AGG129" s="56"/>
      <c r="AGH129" s="56"/>
      <c r="AGI129" s="56"/>
      <c r="AGJ129" s="56"/>
      <c r="AGK129" s="56"/>
      <c r="AGL129" s="56"/>
      <c r="AGM129" s="56"/>
      <c r="AGN129" s="56"/>
      <c r="AGO129" s="56"/>
      <c r="AGP129" s="56"/>
      <c r="AGQ129" s="56"/>
      <c r="AGR129" s="56"/>
      <c r="AGS129" s="56"/>
      <c r="AGT129" s="56"/>
      <c r="AGU129" s="56"/>
      <c r="AGV129" s="56"/>
      <c r="AGW129" s="56"/>
      <c r="AGX129" s="56"/>
      <c r="AGY129" s="56"/>
      <c r="AGZ129" s="56"/>
      <c r="AHA129" s="56"/>
      <c r="AHB129" s="56"/>
      <c r="AHC129" s="56"/>
      <c r="AHD129" s="56"/>
      <c r="AHE129" s="56"/>
      <c r="AHF129" s="56"/>
      <c r="AHG129" s="56"/>
      <c r="AHH129" s="56"/>
      <c r="AHI129" s="56"/>
      <c r="AHJ129" s="56"/>
      <c r="AHK129" s="56"/>
      <c r="AHL129" s="56"/>
      <c r="AHM129" s="56"/>
      <c r="AHN129" s="56"/>
      <c r="AHO129" s="56"/>
      <c r="AHP129" s="56"/>
      <c r="AHQ129" s="56"/>
      <c r="AHR129" s="56"/>
      <c r="AHS129" s="56"/>
      <c r="AHT129" s="56"/>
      <c r="AHU129" s="56"/>
      <c r="AHV129" s="56"/>
      <c r="AHW129" s="56"/>
      <c r="AHX129" s="56"/>
      <c r="AHY129" s="56"/>
      <c r="AHZ129" s="56"/>
      <c r="AIA129" s="56"/>
      <c r="AIB129" s="56"/>
      <c r="AIC129" s="56"/>
      <c r="AID129" s="56"/>
      <c r="AIE129" s="56"/>
      <c r="AIF129" s="56"/>
      <c r="AIG129" s="56"/>
      <c r="AIH129" s="56"/>
      <c r="AII129" s="56"/>
      <c r="AIJ129" s="56"/>
      <c r="AIK129" s="56"/>
      <c r="AIL129" s="56"/>
      <c r="AIM129" s="56"/>
      <c r="AIN129" s="56"/>
      <c r="AIO129" s="56"/>
      <c r="AIP129" s="56"/>
      <c r="AIQ129" s="56"/>
      <c r="AIR129" s="56"/>
      <c r="AIS129" s="56"/>
      <c r="AIT129" s="56"/>
      <c r="AIU129" s="56"/>
      <c r="AIV129" s="56"/>
      <c r="AIW129" s="56"/>
      <c r="AIX129" s="56"/>
      <c r="AIY129" s="56"/>
      <c r="AIZ129" s="56"/>
      <c r="AJA129" s="56"/>
      <c r="AJB129" s="56"/>
      <c r="AJC129" s="56"/>
      <c r="AJD129" s="56"/>
      <c r="AJE129" s="56"/>
      <c r="AJF129" s="56"/>
      <c r="AJG129" s="56"/>
      <c r="AJH129" s="56"/>
      <c r="AJI129" s="56"/>
      <c r="AJJ129" s="56"/>
      <c r="AJK129" s="56"/>
      <c r="AJL129" s="56"/>
      <c r="AJM129" s="56"/>
      <c r="AJN129" s="56"/>
      <c r="AJO129" s="56"/>
      <c r="AJP129" s="56"/>
      <c r="AJQ129" s="56"/>
      <c r="AJR129" s="56"/>
      <c r="AJS129" s="56"/>
      <c r="AJT129" s="56"/>
      <c r="AJU129" s="56"/>
      <c r="AJV129" s="56"/>
      <c r="AJW129" s="56"/>
      <c r="AJX129" s="56"/>
      <c r="AJY129" s="56"/>
      <c r="AJZ129" s="56"/>
      <c r="AKA129" s="56"/>
      <c r="AKB129" s="56"/>
      <c r="AKC129" s="56"/>
      <c r="AKD129" s="56"/>
      <c r="AKE129" s="56"/>
      <c r="AKF129" s="56"/>
      <c r="AKG129" s="56"/>
      <c r="AKH129" s="56"/>
      <c r="AKI129" s="56"/>
      <c r="AKJ129" s="56"/>
      <c r="AKK129" s="56"/>
      <c r="AKL129" s="56"/>
      <c r="AKM129" s="56"/>
      <c r="AKN129" s="56"/>
      <c r="AKO129" s="56"/>
      <c r="AKP129" s="56"/>
      <c r="AKQ129" s="56"/>
      <c r="AKR129" s="56"/>
      <c r="AKS129" s="56"/>
      <c r="AKT129" s="56"/>
      <c r="AKU129" s="56"/>
      <c r="AKV129" s="56"/>
      <c r="AKW129" s="56"/>
      <c r="AKX129" s="56"/>
      <c r="AKY129" s="56"/>
      <c r="AKZ129" s="56"/>
      <c r="ALA129" s="56"/>
      <c r="ALB129" s="56"/>
      <c r="ALC129" s="56"/>
      <c r="ALD129" s="56"/>
      <c r="ALE129" s="56"/>
      <c r="ALF129" s="56"/>
      <c r="ALG129" s="56"/>
      <c r="ALH129" s="56"/>
      <c r="ALI129" s="56"/>
      <c r="ALJ129" s="56"/>
      <c r="ALK129" s="56"/>
      <c r="ALL129" s="56"/>
      <c r="ALM129" s="56"/>
      <c r="ALN129" s="56"/>
      <c r="ALO129" s="56"/>
      <c r="ALP129" s="56"/>
      <c r="ALQ129" s="56"/>
      <c r="ALR129" s="56"/>
      <c r="ALS129" s="56"/>
      <c r="ALT129" s="56"/>
      <c r="ALU129" s="56"/>
      <c r="ALV129" s="56"/>
      <c r="ALW129" s="56"/>
      <c r="ALX129" s="56"/>
      <c r="ALY129" s="56"/>
      <c r="ALZ129" s="56"/>
      <c r="AMA129" s="56"/>
      <c r="AMB129" s="56"/>
      <c r="AMC129" s="56"/>
      <c r="AMD129" s="56"/>
      <c r="AME129" s="56"/>
      <c r="AMF129" s="56"/>
      <c r="AMG129" s="56"/>
      <c r="AMH129" s="56"/>
      <c r="AMI129" s="56"/>
      <c r="AMJ129" s="56"/>
    </row>
    <row r="130" spans="12:1024" ht="20.25" customHeight="1" x14ac:dyDescent="0.2">
      <c r="L130" s="56"/>
      <c r="M130" s="57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  <c r="CS130" s="56"/>
      <c r="CT130" s="56"/>
      <c r="CU130" s="56"/>
      <c r="CV130" s="56"/>
      <c r="CW130" s="56"/>
      <c r="CX130" s="56"/>
      <c r="CY130" s="56"/>
      <c r="CZ130" s="56"/>
      <c r="DA130" s="56"/>
      <c r="DB130" s="56"/>
      <c r="DC130" s="56"/>
      <c r="DD130" s="56"/>
      <c r="DE130" s="56"/>
      <c r="DF130" s="56"/>
      <c r="DG130" s="56"/>
      <c r="DH130" s="56"/>
      <c r="DI130" s="56"/>
      <c r="DJ130" s="56"/>
      <c r="DK130" s="56"/>
      <c r="DL130" s="56"/>
      <c r="DM130" s="56"/>
      <c r="DN130" s="56"/>
      <c r="DO130" s="56"/>
      <c r="DP130" s="56"/>
      <c r="DQ130" s="56"/>
      <c r="DR130" s="56"/>
      <c r="DS130" s="56"/>
      <c r="DT130" s="56"/>
      <c r="DU130" s="56"/>
      <c r="DV130" s="56"/>
      <c r="DW130" s="56"/>
      <c r="DX130" s="56"/>
      <c r="DY130" s="56"/>
      <c r="DZ130" s="56"/>
      <c r="EA130" s="56"/>
      <c r="EB130" s="56"/>
      <c r="EC130" s="56"/>
      <c r="ED130" s="56"/>
      <c r="EE130" s="56"/>
      <c r="EF130" s="56"/>
      <c r="EG130" s="56"/>
      <c r="EH130" s="56"/>
      <c r="EI130" s="56"/>
      <c r="EJ130" s="56"/>
      <c r="EK130" s="56"/>
      <c r="EL130" s="56"/>
      <c r="EM130" s="56"/>
      <c r="EN130" s="56"/>
      <c r="EO130" s="56"/>
      <c r="EP130" s="56"/>
      <c r="EQ130" s="56"/>
      <c r="ER130" s="56"/>
      <c r="ES130" s="56"/>
      <c r="ET130" s="56"/>
      <c r="EU130" s="56"/>
      <c r="EV130" s="56"/>
      <c r="EW130" s="56"/>
      <c r="EX130" s="56"/>
      <c r="EY130" s="56"/>
      <c r="EZ130" s="56"/>
      <c r="FA130" s="56"/>
      <c r="FB130" s="56"/>
      <c r="FC130" s="56"/>
      <c r="FD130" s="56"/>
      <c r="FE130" s="56"/>
      <c r="FF130" s="56"/>
      <c r="FG130" s="56"/>
      <c r="FH130" s="56"/>
      <c r="FI130" s="56"/>
      <c r="FJ130" s="56"/>
      <c r="FK130" s="56"/>
      <c r="FL130" s="56"/>
      <c r="FM130" s="56"/>
      <c r="FN130" s="56"/>
      <c r="FO130" s="56"/>
      <c r="FP130" s="56"/>
      <c r="FQ130" s="56"/>
      <c r="FR130" s="56"/>
      <c r="FS130" s="56"/>
      <c r="FT130" s="56"/>
      <c r="FU130" s="56"/>
      <c r="FV130" s="56"/>
      <c r="FW130" s="56"/>
      <c r="FX130" s="56"/>
      <c r="FY130" s="56"/>
      <c r="FZ130" s="56"/>
      <c r="GA130" s="56"/>
      <c r="GB130" s="56"/>
      <c r="GC130" s="56"/>
      <c r="GD130" s="56"/>
      <c r="GE130" s="56"/>
      <c r="GF130" s="56"/>
      <c r="GG130" s="56"/>
      <c r="GH130" s="56"/>
      <c r="GI130" s="56"/>
      <c r="GJ130" s="56"/>
      <c r="GK130" s="56"/>
      <c r="GL130" s="56"/>
      <c r="GM130" s="56"/>
      <c r="GN130" s="56"/>
      <c r="GO130" s="56"/>
      <c r="GP130" s="56"/>
      <c r="GQ130" s="56"/>
      <c r="GR130" s="56"/>
      <c r="GS130" s="56"/>
      <c r="GT130" s="56"/>
      <c r="GU130" s="56"/>
      <c r="GV130" s="56"/>
      <c r="GW130" s="56"/>
      <c r="GX130" s="56"/>
      <c r="GY130" s="56"/>
      <c r="GZ130" s="56"/>
      <c r="HA130" s="56"/>
      <c r="HB130" s="56"/>
      <c r="HC130" s="56"/>
      <c r="HD130" s="56"/>
      <c r="HE130" s="56"/>
      <c r="HF130" s="56"/>
      <c r="HG130" s="56"/>
      <c r="HH130" s="56"/>
      <c r="HI130" s="56"/>
      <c r="HJ130" s="56"/>
      <c r="HK130" s="56"/>
      <c r="HL130" s="56"/>
      <c r="HM130" s="56"/>
      <c r="HN130" s="56"/>
      <c r="HO130" s="56"/>
      <c r="HP130" s="56"/>
      <c r="HQ130" s="56"/>
      <c r="HR130" s="56"/>
      <c r="HS130" s="56"/>
      <c r="HT130" s="56"/>
      <c r="HU130" s="56"/>
      <c r="HV130" s="56"/>
      <c r="HW130" s="56"/>
      <c r="HX130" s="56"/>
      <c r="HY130" s="56"/>
      <c r="HZ130" s="56"/>
      <c r="IA130" s="56"/>
      <c r="IB130" s="56"/>
      <c r="IC130" s="56"/>
      <c r="ID130" s="56"/>
      <c r="IE130" s="56"/>
      <c r="IF130" s="56"/>
      <c r="IG130" s="56"/>
      <c r="IH130" s="56"/>
      <c r="II130" s="56"/>
      <c r="IJ130" s="56"/>
      <c r="IK130" s="56"/>
      <c r="IL130" s="56"/>
      <c r="IM130" s="56"/>
      <c r="IN130" s="56"/>
      <c r="IO130" s="56"/>
      <c r="IP130" s="56"/>
      <c r="IQ130" s="56"/>
      <c r="IR130" s="56"/>
      <c r="IS130" s="56"/>
      <c r="IT130" s="56"/>
      <c r="IU130" s="56"/>
      <c r="IV130" s="56"/>
      <c r="IW130" s="56"/>
      <c r="IX130" s="56"/>
      <c r="IY130" s="56"/>
      <c r="IZ130" s="56"/>
      <c r="JA130" s="56"/>
      <c r="JB130" s="56"/>
      <c r="JC130" s="56"/>
      <c r="JD130" s="56"/>
      <c r="JE130" s="56"/>
      <c r="JF130" s="56"/>
      <c r="JG130" s="56"/>
      <c r="JH130" s="56"/>
      <c r="JI130" s="56"/>
      <c r="JJ130" s="56"/>
      <c r="JK130" s="56"/>
      <c r="JL130" s="56"/>
      <c r="JM130" s="56"/>
      <c r="JN130" s="56"/>
      <c r="JO130" s="56"/>
      <c r="JP130" s="56"/>
      <c r="JQ130" s="56"/>
      <c r="JR130" s="56"/>
      <c r="JS130" s="56"/>
      <c r="JT130" s="56"/>
      <c r="JU130" s="56"/>
      <c r="JV130" s="56"/>
      <c r="JW130" s="56"/>
      <c r="JX130" s="56"/>
      <c r="JY130" s="56"/>
      <c r="JZ130" s="56"/>
      <c r="KA130" s="56"/>
      <c r="KB130" s="56"/>
      <c r="KC130" s="56"/>
      <c r="KD130" s="56"/>
      <c r="KE130" s="56"/>
      <c r="KF130" s="56"/>
      <c r="KG130" s="56"/>
      <c r="KH130" s="56"/>
      <c r="KI130" s="56"/>
      <c r="KJ130" s="56"/>
      <c r="KK130" s="56"/>
      <c r="KL130" s="56"/>
      <c r="KM130" s="56"/>
      <c r="KN130" s="56"/>
      <c r="KO130" s="56"/>
      <c r="KP130" s="56"/>
      <c r="KQ130" s="56"/>
      <c r="KR130" s="56"/>
      <c r="KS130" s="56"/>
      <c r="KT130" s="56"/>
      <c r="KU130" s="56"/>
      <c r="KV130" s="56"/>
      <c r="KW130" s="56"/>
      <c r="KX130" s="56"/>
      <c r="KY130" s="56"/>
      <c r="KZ130" s="56"/>
      <c r="LA130" s="56"/>
      <c r="LB130" s="56"/>
      <c r="LC130" s="56"/>
      <c r="LD130" s="56"/>
      <c r="LE130" s="56"/>
      <c r="LF130" s="56"/>
      <c r="LG130" s="56"/>
      <c r="LH130" s="56"/>
      <c r="LI130" s="56"/>
      <c r="LJ130" s="56"/>
      <c r="LK130" s="56"/>
      <c r="LL130" s="56"/>
      <c r="LM130" s="56"/>
      <c r="LN130" s="56"/>
      <c r="LO130" s="56"/>
      <c r="LP130" s="56"/>
      <c r="LQ130" s="56"/>
      <c r="LR130" s="56"/>
      <c r="LS130" s="56"/>
      <c r="LT130" s="56"/>
      <c r="LU130" s="56"/>
      <c r="LV130" s="56"/>
      <c r="LW130" s="56"/>
      <c r="LX130" s="56"/>
      <c r="LY130" s="56"/>
      <c r="LZ130" s="56"/>
      <c r="MA130" s="56"/>
      <c r="MB130" s="56"/>
      <c r="MC130" s="56"/>
      <c r="MD130" s="56"/>
      <c r="ME130" s="56"/>
      <c r="MF130" s="56"/>
      <c r="MG130" s="56"/>
      <c r="MH130" s="56"/>
      <c r="MI130" s="56"/>
      <c r="MJ130" s="56"/>
      <c r="MK130" s="56"/>
      <c r="ML130" s="56"/>
      <c r="MM130" s="56"/>
      <c r="MN130" s="56"/>
      <c r="MO130" s="56"/>
      <c r="MP130" s="56"/>
      <c r="MQ130" s="56"/>
      <c r="MR130" s="56"/>
      <c r="MS130" s="56"/>
      <c r="MT130" s="56"/>
      <c r="MU130" s="56"/>
      <c r="MV130" s="56"/>
      <c r="MW130" s="56"/>
      <c r="MX130" s="56"/>
      <c r="MY130" s="56"/>
      <c r="MZ130" s="56"/>
      <c r="NA130" s="56"/>
      <c r="NB130" s="56"/>
      <c r="NC130" s="56"/>
      <c r="ND130" s="56"/>
      <c r="NE130" s="56"/>
      <c r="NF130" s="56"/>
      <c r="NG130" s="56"/>
      <c r="NH130" s="56"/>
      <c r="NI130" s="56"/>
      <c r="NJ130" s="56"/>
      <c r="NK130" s="56"/>
      <c r="NL130" s="56"/>
      <c r="NM130" s="56"/>
      <c r="NN130" s="56"/>
      <c r="NO130" s="56"/>
      <c r="NP130" s="56"/>
      <c r="NQ130" s="56"/>
      <c r="NR130" s="56"/>
      <c r="NS130" s="56"/>
      <c r="NT130" s="56"/>
      <c r="NU130" s="56"/>
      <c r="NV130" s="56"/>
      <c r="NW130" s="56"/>
      <c r="NX130" s="56"/>
      <c r="NY130" s="56"/>
      <c r="NZ130" s="56"/>
      <c r="OA130" s="56"/>
      <c r="OB130" s="56"/>
      <c r="OC130" s="56"/>
      <c r="OD130" s="56"/>
      <c r="OE130" s="56"/>
      <c r="OF130" s="56"/>
      <c r="OG130" s="56"/>
      <c r="OH130" s="56"/>
      <c r="OI130" s="56"/>
      <c r="OJ130" s="56"/>
      <c r="OK130" s="56"/>
      <c r="OL130" s="56"/>
      <c r="OM130" s="56"/>
      <c r="ON130" s="56"/>
      <c r="OO130" s="56"/>
      <c r="OP130" s="56"/>
      <c r="OQ130" s="56"/>
      <c r="OR130" s="56"/>
      <c r="OS130" s="56"/>
      <c r="OT130" s="56"/>
      <c r="OU130" s="56"/>
      <c r="OV130" s="56"/>
      <c r="OW130" s="56"/>
      <c r="OX130" s="56"/>
      <c r="OY130" s="56"/>
      <c r="OZ130" s="56"/>
      <c r="PA130" s="56"/>
      <c r="PB130" s="56"/>
      <c r="PC130" s="56"/>
      <c r="PD130" s="56"/>
      <c r="PE130" s="56"/>
      <c r="PF130" s="56"/>
      <c r="PG130" s="56"/>
      <c r="PH130" s="56"/>
      <c r="PI130" s="56"/>
      <c r="PJ130" s="56"/>
      <c r="PK130" s="56"/>
      <c r="PL130" s="56"/>
      <c r="PM130" s="56"/>
      <c r="PN130" s="56"/>
      <c r="PO130" s="56"/>
      <c r="PP130" s="56"/>
      <c r="PQ130" s="56"/>
      <c r="PR130" s="56"/>
      <c r="PS130" s="56"/>
      <c r="PT130" s="56"/>
      <c r="PU130" s="56"/>
      <c r="PV130" s="56"/>
      <c r="PW130" s="56"/>
      <c r="PX130" s="56"/>
      <c r="PY130" s="56"/>
      <c r="PZ130" s="56"/>
      <c r="QA130" s="56"/>
      <c r="QB130" s="56"/>
      <c r="QC130" s="56"/>
      <c r="QD130" s="56"/>
      <c r="QE130" s="56"/>
      <c r="QF130" s="56"/>
      <c r="QG130" s="56"/>
      <c r="QH130" s="56"/>
      <c r="QI130" s="56"/>
      <c r="QJ130" s="56"/>
      <c r="QK130" s="56"/>
      <c r="QL130" s="56"/>
      <c r="QM130" s="56"/>
      <c r="QN130" s="56"/>
      <c r="QO130" s="56"/>
      <c r="QP130" s="56"/>
      <c r="QQ130" s="56"/>
      <c r="QR130" s="56"/>
      <c r="QS130" s="56"/>
      <c r="QT130" s="56"/>
      <c r="QU130" s="56"/>
      <c r="QV130" s="56"/>
      <c r="QW130" s="56"/>
      <c r="QX130" s="56"/>
      <c r="QY130" s="56"/>
      <c r="QZ130" s="56"/>
      <c r="RA130" s="56"/>
      <c r="RB130" s="56"/>
      <c r="RC130" s="56"/>
      <c r="RD130" s="56"/>
      <c r="RE130" s="56"/>
      <c r="RF130" s="56"/>
      <c r="RG130" s="56"/>
      <c r="RH130" s="56"/>
      <c r="RI130" s="56"/>
      <c r="RJ130" s="56"/>
      <c r="RK130" s="56"/>
      <c r="RL130" s="56"/>
      <c r="RM130" s="56"/>
      <c r="RN130" s="56"/>
      <c r="RO130" s="56"/>
      <c r="RP130" s="56"/>
      <c r="RQ130" s="56"/>
      <c r="RR130" s="56"/>
      <c r="RS130" s="56"/>
      <c r="RT130" s="56"/>
      <c r="RU130" s="56"/>
      <c r="RV130" s="56"/>
      <c r="RW130" s="56"/>
      <c r="RX130" s="56"/>
      <c r="RY130" s="56"/>
      <c r="RZ130" s="56"/>
      <c r="SA130" s="56"/>
      <c r="SB130" s="56"/>
      <c r="SC130" s="56"/>
      <c r="SD130" s="56"/>
      <c r="SE130" s="56"/>
      <c r="SF130" s="56"/>
      <c r="SG130" s="56"/>
      <c r="SH130" s="56"/>
      <c r="SI130" s="56"/>
      <c r="SJ130" s="56"/>
      <c r="SK130" s="56"/>
      <c r="SL130" s="56"/>
      <c r="SM130" s="56"/>
      <c r="SN130" s="56"/>
      <c r="SO130" s="56"/>
      <c r="SP130" s="56"/>
      <c r="SQ130" s="56"/>
      <c r="SR130" s="56"/>
      <c r="SS130" s="56"/>
      <c r="ST130" s="56"/>
      <c r="SU130" s="56"/>
      <c r="SV130" s="56"/>
      <c r="SW130" s="56"/>
      <c r="SX130" s="56"/>
      <c r="SY130" s="56"/>
      <c r="SZ130" s="56"/>
      <c r="TA130" s="56"/>
      <c r="TB130" s="56"/>
      <c r="TC130" s="56"/>
      <c r="TD130" s="56"/>
      <c r="TE130" s="56"/>
      <c r="TF130" s="56"/>
      <c r="TG130" s="56"/>
      <c r="TH130" s="56"/>
      <c r="TI130" s="56"/>
      <c r="TJ130" s="56"/>
      <c r="TK130" s="56"/>
      <c r="TL130" s="56"/>
      <c r="TM130" s="56"/>
      <c r="TN130" s="56"/>
      <c r="TO130" s="56"/>
      <c r="TP130" s="56"/>
      <c r="TQ130" s="56"/>
      <c r="TR130" s="56"/>
      <c r="TS130" s="56"/>
      <c r="TT130" s="56"/>
      <c r="TU130" s="56"/>
      <c r="TV130" s="56"/>
      <c r="TW130" s="56"/>
      <c r="TX130" s="56"/>
      <c r="TY130" s="56"/>
      <c r="TZ130" s="56"/>
      <c r="UA130" s="56"/>
      <c r="UB130" s="56"/>
      <c r="UC130" s="56"/>
      <c r="UD130" s="56"/>
      <c r="UE130" s="56"/>
      <c r="UF130" s="56"/>
      <c r="UG130" s="56"/>
      <c r="UH130" s="56"/>
      <c r="UI130" s="56"/>
      <c r="UJ130" s="56"/>
      <c r="UK130" s="56"/>
      <c r="UL130" s="56"/>
      <c r="UM130" s="56"/>
      <c r="UN130" s="56"/>
      <c r="UO130" s="56"/>
      <c r="UP130" s="56"/>
      <c r="UQ130" s="56"/>
      <c r="UR130" s="56"/>
      <c r="US130" s="56"/>
      <c r="UT130" s="56"/>
      <c r="UU130" s="56"/>
      <c r="UV130" s="56"/>
      <c r="UW130" s="56"/>
      <c r="UX130" s="56"/>
      <c r="UY130" s="56"/>
      <c r="UZ130" s="56"/>
      <c r="VA130" s="56"/>
      <c r="VB130" s="56"/>
      <c r="VC130" s="56"/>
      <c r="VD130" s="56"/>
      <c r="VE130" s="56"/>
      <c r="VF130" s="56"/>
      <c r="VG130" s="56"/>
      <c r="VH130" s="56"/>
      <c r="VI130" s="56"/>
      <c r="VJ130" s="56"/>
      <c r="VK130" s="56"/>
      <c r="VL130" s="56"/>
      <c r="VM130" s="56"/>
      <c r="VN130" s="56"/>
      <c r="VO130" s="56"/>
      <c r="VP130" s="56"/>
      <c r="VQ130" s="56"/>
      <c r="VR130" s="56"/>
      <c r="VS130" s="56"/>
      <c r="VT130" s="56"/>
      <c r="VU130" s="56"/>
      <c r="VV130" s="56"/>
      <c r="VW130" s="56"/>
      <c r="VX130" s="56"/>
      <c r="VY130" s="56"/>
      <c r="VZ130" s="56"/>
      <c r="WA130" s="56"/>
      <c r="WB130" s="56"/>
      <c r="WC130" s="56"/>
      <c r="WD130" s="56"/>
      <c r="WE130" s="56"/>
      <c r="WF130" s="56"/>
      <c r="WG130" s="56"/>
      <c r="WH130" s="56"/>
      <c r="WI130" s="56"/>
      <c r="WJ130" s="56"/>
      <c r="WK130" s="56"/>
      <c r="WL130" s="56"/>
      <c r="WM130" s="56"/>
      <c r="WN130" s="56"/>
      <c r="WO130" s="56"/>
      <c r="WP130" s="56"/>
      <c r="WQ130" s="56"/>
      <c r="WR130" s="56"/>
      <c r="WS130" s="56"/>
      <c r="WT130" s="56"/>
      <c r="WU130" s="56"/>
      <c r="WV130" s="56"/>
      <c r="WW130" s="56"/>
      <c r="WX130" s="56"/>
      <c r="WY130" s="56"/>
      <c r="WZ130" s="56"/>
      <c r="XA130" s="56"/>
      <c r="XB130" s="56"/>
      <c r="XC130" s="56"/>
      <c r="XD130" s="56"/>
      <c r="XE130" s="56"/>
      <c r="XF130" s="56"/>
      <c r="XG130" s="56"/>
      <c r="XH130" s="56"/>
      <c r="XI130" s="56"/>
      <c r="XJ130" s="56"/>
      <c r="XK130" s="56"/>
      <c r="XL130" s="56"/>
      <c r="XM130" s="56"/>
      <c r="XN130" s="56"/>
      <c r="XO130" s="56"/>
      <c r="XP130" s="56"/>
      <c r="XQ130" s="56"/>
      <c r="XR130" s="56"/>
      <c r="XS130" s="56"/>
      <c r="XT130" s="56"/>
      <c r="XU130" s="56"/>
      <c r="XV130" s="56"/>
      <c r="XW130" s="56"/>
      <c r="XX130" s="56"/>
      <c r="XY130" s="56"/>
      <c r="XZ130" s="56"/>
      <c r="YA130" s="56"/>
      <c r="YB130" s="56"/>
      <c r="YC130" s="56"/>
      <c r="YD130" s="56"/>
      <c r="YE130" s="56"/>
      <c r="YF130" s="56"/>
      <c r="YG130" s="56"/>
      <c r="YH130" s="56"/>
      <c r="YI130" s="56"/>
      <c r="YJ130" s="56"/>
      <c r="YK130" s="56"/>
      <c r="YL130" s="56"/>
      <c r="YM130" s="56"/>
      <c r="YN130" s="56"/>
      <c r="YO130" s="56"/>
      <c r="YP130" s="56"/>
      <c r="YQ130" s="56"/>
      <c r="YR130" s="56"/>
      <c r="YS130" s="56"/>
      <c r="YT130" s="56"/>
      <c r="YU130" s="56"/>
      <c r="YV130" s="56"/>
      <c r="YW130" s="56"/>
      <c r="YX130" s="56"/>
      <c r="YY130" s="56"/>
      <c r="YZ130" s="56"/>
      <c r="ZA130" s="56"/>
      <c r="ZB130" s="56"/>
      <c r="ZC130" s="56"/>
      <c r="ZD130" s="56"/>
      <c r="ZE130" s="56"/>
      <c r="ZF130" s="56"/>
      <c r="ZG130" s="56"/>
      <c r="ZH130" s="56"/>
      <c r="ZI130" s="56"/>
      <c r="ZJ130" s="56"/>
      <c r="ZK130" s="56"/>
      <c r="ZL130" s="56"/>
      <c r="ZM130" s="56"/>
      <c r="ZN130" s="56"/>
      <c r="ZO130" s="56"/>
      <c r="ZP130" s="56"/>
      <c r="ZQ130" s="56"/>
      <c r="ZR130" s="56"/>
      <c r="ZS130" s="56"/>
      <c r="ZT130" s="56"/>
      <c r="ZU130" s="56"/>
      <c r="ZV130" s="56"/>
      <c r="ZW130" s="56"/>
      <c r="ZX130" s="56"/>
      <c r="ZY130" s="56"/>
      <c r="ZZ130" s="56"/>
      <c r="AAA130" s="56"/>
      <c r="AAB130" s="56"/>
      <c r="AAC130" s="56"/>
      <c r="AAD130" s="56"/>
      <c r="AAE130" s="56"/>
      <c r="AAF130" s="56"/>
      <c r="AAG130" s="56"/>
      <c r="AAH130" s="56"/>
      <c r="AAI130" s="56"/>
      <c r="AAJ130" s="56"/>
      <c r="AAK130" s="56"/>
      <c r="AAL130" s="56"/>
      <c r="AAM130" s="56"/>
      <c r="AAN130" s="56"/>
      <c r="AAO130" s="56"/>
      <c r="AAP130" s="56"/>
      <c r="AAQ130" s="56"/>
      <c r="AAR130" s="56"/>
      <c r="AAS130" s="56"/>
      <c r="AAT130" s="56"/>
      <c r="AAU130" s="56"/>
      <c r="AAV130" s="56"/>
      <c r="AAW130" s="56"/>
      <c r="AAX130" s="56"/>
      <c r="AAY130" s="56"/>
      <c r="AAZ130" s="56"/>
      <c r="ABA130" s="56"/>
      <c r="ABB130" s="56"/>
      <c r="ABC130" s="56"/>
      <c r="ABD130" s="56"/>
      <c r="ABE130" s="56"/>
      <c r="ABF130" s="56"/>
      <c r="ABG130" s="56"/>
      <c r="ABH130" s="56"/>
      <c r="ABI130" s="56"/>
      <c r="ABJ130" s="56"/>
      <c r="ABK130" s="56"/>
      <c r="ABL130" s="56"/>
      <c r="ABM130" s="56"/>
      <c r="ABN130" s="56"/>
      <c r="ABO130" s="56"/>
      <c r="ABP130" s="56"/>
      <c r="ABQ130" s="56"/>
      <c r="ABR130" s="56"/>
      <c r="ABS130" s="56"/>
      <c r="ABT130" s="56"/>
      <c r="ABU130" s="56"/>
      <c r="ABV130" s="56"/>
      <c r="ABW130" s="56"/>
      <c r="ABX130" s="56"/>
      <c r="ABY130" s="56"/>
      <c r="ABZ130" s="56"/>
      <c r="ACA130" s="56"/>
      <c r="ACB130" s="56"/>
      <c r="ACC130" s="56"/>
      <c r="ACD130" s="56"/>
      <c r="ACE130" s="56"/>
      <c r="ACF130" s="56"/>
      <c r="ACG130" s="56"/>
      <c r="ACH130" s="56"/>
      <c r="ACI130" s="56"/>
      <c r="ACJ130" s="56"/>
      <c r="ACK130" s="56"/>
      <c r="ACL130" s="56"/>
      <c r="ACM130" s="56"/>
      <c r="ACN130" s="56"/>
      <c r="ACO130" s="56"/>
      <c r="ACP130" s="56"/>
      <c r="ACQ130" s="56"/>
      <c r="ACR130" s="56"/>
      <c r="ACS130" s="56"/>
      <c r="ACT130" s="56"/>
      <c r="ACU130" s="56"/>
      <c r="ACV130" s="56"/>
      <c r="ACW130" s="56"/>
      <c r="ACX130" s="56"/>
      <c r="ACY130" s="56"/>
      <c r="ACZ130" s="56"/>
      <c r="ADA130" s="56"/>
      <c r="ADB130" s="56"/>
      <c r="ADC130" s="56"/>
      <c r="ADD130" s="56"/>
      <c r="ADE130" s="56"/>
      <c r="ADF130" s="56"/>
      <c r="ADG130" s="56"/>
      <c r="ADH130" s="56"/>
      <c r="ADI130" s="56"/>
      <c r="ADJ130" s="56"/>
      <c r="ADK130" s="56"/>
      <c r="ADL130" s="56"/>
      <c r="ADM130" s="56"/>
      <c r="ADN130" s="56"/>
      <c r="ADO130" s="56"/>
      <c r="ADP130" s="56"/>
      <c r="ADQ130" s="56"/>
      <c r="ADR130" s="56"/>
      <c r="ADS130" s="56"/>
      <c r="ADT130" s="56"/>
      <c r="ADU130" s="56"/>
      <c r="ADV130" s="56"/>
      <c r="ADW130" s="56"/>
      <c r="ADX130" s="56"/>
      <c r="ADY130" s="56"/>
      <c r="ADZ130" s="56"/>
      <c r="AEA130" s="56"/>
      <c r="AEB130" s="56"/>
      <c r="AEC130" s="56"/>
      <c r="AED130" s="56"/>
      <c r="AEE130" s="56"/>
      <c r="AEF130" s="56"/>
      <c r="AEG130" s="56"/>
      <c r="AEH130" s="56"/>
      <c r="AEI130" s="56"/>
      <c r="AEJ130" s="56"/>
      <c r="AEK130" s="56"/>
      <c r="AEL130" s="56"/>
      <c r="AEM130" s="56"/>
      <c r="AEN130" s="56"/>
      <c r="AEO130" s="56"/>
      <c r="AEP130" s="56"/>
      <c r="AEQ130" s="56"/>
      <c r="AER130" s="56"/>
      <c r="AES130" s="56"/>
      <c r="AET130" s="56"/>
      <c r="AEU130" s="56"/>
      <c r="AEV130" s="56"/>
      <c r="AEW130" s="56"/>
      <c r="AEX130" s="56"/>
      <c r="AEY130" s="56"/>
      <c r="AEZ130" s="56"/>
      <c r="AFA130" s="56"/>
      <c r="AFB130" s="56"/>
      <c r="AFC130" s="56"/>
      <c r="AFD130" s="56"/>
      <c r="AFE130" s="56"/>
      <c r="AFF130" s="56"/>
      <c r="AFG130" s="56"/>
      <c r="AFH130" s="56"/>
      <c r="AFI130" s="56"/>
      <c r="AFJ130" s="56"/>
      <c r="AFK130" s="56"/>
      <c r="AFL130" s="56"/>
      <c r="AFM130" s="56"/>
      <c r="AFN130" s="56"/>
      <c r="AFO130" s="56"/>
      <c r="AFP130" s="56"/>
      <c r="AFQ130" s="56"/>
      <c r="AFR130" s="56"/>
      <c r="AFS130" s="56"/>
      <c r="AFT130" s="56"/>
      <c r="AFU130" s="56"/>
      <c r="AFV130" s="56"/>
      <c r="AFW130" s="56"/>
      <c r="AFX130" s="56"/>
      <c r="AFY130" s="56"/>
      <c r="AFZ130" s="56"/>
      <c r="AGA130" s="56"/>
      <c r="AGB130" s="56"/>
      <c r="AGC130" s="56"/>
      <c r="AGD130" s="56"/>
      <c r="AGE130" s="56"/>
      <c r="AGF130" s="56"/>
      <c r="AGG130" s="56"/>
      <c r="AGH130" s="56"/>
      <c r="AGI130" s="56"/>
      <c r="AGJ130" s="56"/>
      <c r="AGK130" s="56"/>
      <c r="AGL130" s="56"/>
      <c r="AGM130" s="56"/>
      <c r="AGN130" s="56"/>
      <c r="AGO130" s="56"/>
      <c r="AGP130" s="56"/>
      <c r="AGQ130" s="56"/>
      <c r="AGR130" s="56"/>
      <c r="AGS130" s="56"/>
      <c r="AGT130" s="56"/>
      <c r="AGU130" s="56"/>
      <c r="AGV130" s="56"/>
      <c r="AGW130" s="56"/>
      <c r="AGX130" s="56"/>
      <c r="AGY130" s="56"/>
      <c r="AGZ130" s="56"/>
      <c r="AHA130" s="56"/>
      <c r="AHB130" s="56"/>
      <c r="AHC130" s="56"/>
      <c r="AHD130" s="56"/>
      <c r="AHE130" s="56"/>
      <c r="AHF130" s="56"/>
      <c r="AHG130" s="56"/>
      <c r="AHH130" s="56"/>
      <c r="AHI130" s="56"/>
      <c r="AHJ130" s="56"/>
      <c r="AHK130" s="56"/>
      <c r="AHL130" s="56"/>
      <c r="AHM130" s="56"/>
      <c r="AHN130" s="56"/>
      <c r="AHO130" s="56"/>
      <c r="AHP130" s="56"/>
      <c r="AHQ130" s="56"/>
      <c r="AHR130" s="56"/>
      <c r="AHS130" s="56"/>
      <c r="AHT130" s="56"/>
      <c r="AHU130" s="56"/>
      <c r="AHV130" s="56"/>
      <c r="AHW130" s="56"/>
      <c r="AHX130" s="56"/>
      <c r="AHY130" s="56"/>
      <c r="AHZ130" s="56"/>
      <c r="AIA130" s="56"/>
      <c r="AIB130" s="56"/>
      <c r="AIC130" s="56"/>
      <c r="AID130" s="56"/>
      <c r="AIE130" s="56"/>
      <c r="AIF130" s="56"/>
      <c r="AIG130" s="56"/>
      <c r="AIH130" s="56"/>
      <c r="AII130" s="56"/>
      <c r="AIJ130" s="56"/>
      <c r="AIK130" s="56"/>
      <c r="AIL130" s="56"/>
      <c r="AIM130" s="56"/>
      <c r="AIN130" s="56"/>
      <c r="AIO130" s="56"/>
      <c r="AIP130" s="56"/>
      <c r="AIQ130" s="56"/>
      <c r="AIR130" s="56"/>
      <c r="AIS130" s="56"/>
      <c r="AIT130" s="56"/>
      <c r="AIU130" s="56"/>
      <c r="AIV130" s="56"/>
      <c r="AIW130" s="56"/>
      <c r="AIX130" s="56"/>
      <c r="AIY130" s="56"/>
      <c r="AIZ130" s="56"/>
      <c r="AJA130" s="56"/>
      <c r="AJB130" s="56"/>
      <c r="AJC130" s="56"/>
      <c r="AJD130" s="56"/>
      <c r="AJE130" s="56"/>
      <c r="AJF130" s="56"/>
      <c r="AJG130" s="56"/>
      <c r="AJH130" s="56"/>
      <c r="AJI130" s="56"/>
      <c r="AJJ130" s="56"/>
      <c r="AJK130" s="56"/>
      <c r="AJL130" s="56"/>
      <c r="AJM130" s="56"/>
      <c r="AJN130" s="56"/>
      <c r="AJO130" s="56"/>
      <c r="AJP130" s="56"/>
      <c r="AJQ130" s="56"/>
      <c r="AJR130" s="56"/>
      <c r="AJS130" s="56"/>
      <c r="AJT130" s="56"/>
      <c r="AJU130" s="56"/>
      <c r="AJV130" s="56"/>
      <c r="AJW130" s="56"/>
      <c r="AJX130" s="56"/>
      <c r="AJY130" s="56"/>
      <c r="AJZ130" s="56"/>
      <c r="AKA130" s="56"/>
      <c r="AKB130" s="56"/>
      <c r="AKC130" s="56"/>
      <c r="AKD130" s="56"/>
      <c r="AKE130" s="56"/>
      <c r="AKF130" s="56"/>
      <c r="AKG130" s="56"/>
      <c r="AKH130" s="56"/>
      <c r="AKI130" s="56"/>
      <c r="AKJ130" s="56"/>
      <c r="AKK130" s="56"/>
      <c r="AKL130" s="56"/>
      <c r="AKM130" s="56"/>
      <c r="AKN130" s="56"/>
      <c r="AKO130" s="56"/>
      <c r="AKP130" s="56"/>
      <c r="AKQ130" s="56"/>
      <c r="AKR130" s="56"/>
      <c r="AKS130" s="56"/>
      <c r="AKT130" s="56"/>
      <c r="AKU130" s="56"/>
      <c r="AKV130" s="56"/>
      <c r="AKW130" s="56"/>
      <c r="AKX130" s="56"/>
      <c r="AKY130" s="56"/>
      <c r="AKZ130" s="56"/>
      <c r="ALA130" s="56"/>
      <c r="ALB130" s="56"/>
      <c r="ALC130" s="56"/>
      <c r="ALD130" s="56"/>
      <c r="ALE130" s="56"/>
      <c r="ALF130" s="56"/>
      <c r="ALG130" s="56"/>
      <c r="ALH130" s="56"/>
      <c r="ALI130" s="56"/>
      <c r="ALJ130" s="56"/>
      <c r="ALK130" s="56"/>
      <c r="ALL130" s="56"/>
      <c r="ALM130" s="56"/>
      <c r="ALN130" s="56"/>
      <c r="ALO130" s="56"/>
      <c r="ALP130" s="56"/>
      <c r="ALQ130" s="56"/>
      <c r="ALR130" s="56"/>
      <c r="ALS130" s="56"/>
      <c r="ALT130" s="56"/>
      <c r="ALU130" s="56"/>
      <c r="ALV130" s="56"/>
      <c r="ALW130" s="56"/>
      <c r="ALX130" s="56"/>
      <c r="ALY130" s="56"/>
      <c r="ALZ130" s="56"/>
      <c r="AMA130" s="56"/>
      <c r="AMB130" s="56"/>
      <c r="AMC130" s="56"/>
      <c r="AMD130" s="56"/>
      <c r="AME130" s="56"/>
      <c r="AMF130" s="56"/>
      <c r="AMG130" s="56"/>
      <c r="AMH130" s="56"/>
      <c r="AMI130" s="56"/>
      <c r="AMJ130" s="56"/>
    </row>
  </sheetData>
  <mergeCells count="92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40:G40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J80:K80"/>
    <mergeCell ref="A81:I81"/>
    <mergeCell ref="J81:K81"/>
    <mergeCell ref="A80:I80"/>
    <mergeCell ref="C41:G41"/>
    <mergeCell ref="C42:G42"/>
    <mergeCell ref="C43:G43"/>
    <mergeCell ref="C44:G44"/>
    <mergeCell ref="C45:G45"/>
    <mergeCell ref="C46:G46"/>
    <mergeCell ref="C60:G60"/>
    <mergeCell ref="C68:G68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1:G61"/>
    <mergeCell ref="C62:G62"/>
    <mergeCell ref="C63:G63"/>
    <mergeCell ref="C64:G64"/>
    <mergeCell ref="C65:G65"/>
    <mergeCell ref="C66:G66"/>
    <mergeCell ref="C73:G73"/>
    <mergeCell ref="C74:G74"/>
    <mergeCell ref="C79:G79"/>
    <mergeCell ref="C67:G67"/>
    <mergeCell ref="C69:G69"/>
    <mergeCell ref="C70:G70"/>
    <mergeCell ref="C71:G71"/>
    <mergeCell ref="C72:G72"/>
    <mergeCell ref="C78:G78"/>
    <mergeCell ref="C77:G77"/>
    <mergeCell ref="C76:G76"/>
    <mergeCell ref="C75:G75"/>
  </mergeCells>
  <conditionalFormatting sqref="C12:C17">
    <cfRule type="duplicateValues" dxfId="11" priority="13"/>
  </conditionalFormatting>
  <conditionalFormatting sqref="C12:C17">
    <cfRule type="duplicateValues" dxfId="10" priority="14"/>
    <cfRule type="duplicateValues" dxfId="9" priority="15"/>
  </conditionalFormatting>
  <conditionalFormatting sqref="C12:C17">
    <cfRule type="duplicateValues" dxfId="8" priority="16"/>
  </conditionalFormatting>
  <conditionalFormatting sqref="C12:C79">
    <cfRule type="duplicateValues" dxfId="7" priority="113"/>
  </conditionalFormatting>
  <conditionalFormatting sqref="C12:C79">
    <cfRule type="duplicateValues" dxfId="6" priority="114"/>
  </conditionalFormatting>
  <conditionalFormatting sqref="C12:C79">
    <cfRule type="duplicateValues" dxfId="5" priority="115"/>
    <cfRule type="duplicateValues" dxfId="4" priority="116"/>
  </conditionalFormatting>
  <conditionalFormatting sqref="C12:C79">
    <cfRule type="duplicateValues" dxfId="3" priority="117"/>
  </conditionalFormatting>
  <conditionalFormatting sqref="C12:C79">
    <cfRule type="duplicateValues" dxfId="2" priority="118"/>
    <cfRule type="duplicateValues" dxfId="1" priority="119"/>
  </conditionalFormatting>
  <conditionalFormatting sqref="C12:C79">
    <cfRule type="duplicateValues" dxfId="0" priority="120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abSelected="1" topLeftCell="A7" workbookViewId="0">
      <selection activeCell="Q17" sqref="Q17"/>
    </sheetView>
  </sheetViews>
  <sheetFormatPr baseColWidth="10" defaultColWidth="11" defaultRowHeight="12.75" x14ac:dyDescent="0.2"/>
  <cols>
    <col min="1" max="5" width="4.42578125" style="56" customWidth="1"/>
    <col min="6" max="6" width="5.5703125" style="56" customWidth="1"/>
    <col min="7" max="7" width="4.42578125" style="60" customWidth="1"/>
    <col min="8" max="14" width="4.42578125" style="56" customWidth="1"/>
    <col min="15" max="16" width="14.85546875" style="56" customWidth="1"/>
    <col min="17" max="17" width="15.85546875" style="56" customWidth="1"/>
    <col min="18" max="16384" width="11" style="56"/>
  </cols>
  <sheetData>
    <row r="1" spans="1:17" ht="15.75" customHeight="1" thickBot="1" x14ac:dyDescent="0.3">
      <c r="A1" s="163" t="s">
        <v>61</v>
      </c>
      <c r="B1" s="163"/>
      <c r="C1" s="163"/>
      <c r="D1" s="164">
        <v>2021</v>
      </c>
      <c r="E1" s="164"/>
      <c r="F1" s="58"/>
      <c r="G1" s="58"/>
      <c r="H1" s="59"/>
      <c r="I1" s="59"/>
      <c r="J1" s="59"/>
      <c r="K1" s="59"/>
      <c r="L1" s="59"/>
      <c r="M1" s="59"/>
      <c r="N1" s="59"/>
      <c r="P1" s="165" t="s">
        <v>100</v>
      </c>
      <c r="Q1" s="165"/>
    </row>
    <row r="2" spans="1:17" ht="15.75" customHeight="1" thickBot="1" x14ac:dyDescent="0.25">
      <c r="H2" s="59"/>
      <c r="I2" s="59"/>
      <c r="J2" s="59"/>
      <c r="K2" s="59"/>
      <c r="L2" s="59"/>
      <c r="M2" s="59"/>
      <c r="N2" s="59"/>
      <c r="P2" s="165"/>
      <c r="Q2" s="165"/>
    </row>
    <row r="4" spans="1:17" s="61" customFormat="1" ht="18" customHeight="1" thickBot="1" x14ac:dyDescent="0.25">
      <c r="A4" s="166" t="s">
        <v>101</v>
      </c>
      <c r="B4" s="166"/>
      <c r="C4" s="166"/>
      <c r="D4" s="166"/>
      <c r="E4" s="166"/>
      <c r="F4" s="166"/>
      <c r="G4" s="167" t="s">
        <v>83</v>
      </c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s="61" customFormat="1" ht="18" customHeight="1" thickBot="1" x14ac:dyDescent="0.25">
      <c r="A5" s="168" t="s">
        <v>84</v>
      </c>
      <c r="B5" s="169"/>
      <c r="C5" s="169"/>
      <c r="D5" s="169"/>
      <c r="E5" s="169"/>
      <c r="F5" s="170"/>
      <c r="G5" s="167" t="s">
        <v>102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s="61" customFormat="1" ht="18" customHeight="1" thickBot="1" x14ac:dyDescent="0.25">
      <c r="A6" s="168" t="s">
        <v>86</v>
      </c>
      <c r="B6" s="169"/>
      <c r="C6" s="169"/>
      <c r="D6" s="169"/>
      <c r="E6" s="169"/>
      <c r="F6" s="170"/>
      <c r="G6" s="167" t="s">
        <v>87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</row>
    <row r="7" spans="1:17" s="61" customFormat="1" ht="18" customHeight="1" thickBot="1" x14ac:dyDescent="0.25">
      <c r="A7" s="168" t="s">
        <v>88</v>
      </c>
      <c r="B7" s="169"/>
      <c r="C7" s="169"/>
      <c r="D7" s="169"/>
      <c r="E7" s="169"/>
      <c r="F7" s="170"/>
      <c r="G7" s="167" t="s">
        <v>87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</row>
    <row r="8" spans="1:17" ht="18" customHeight="1" thickBot="1" x14ac:dyDescent="0.25">
      <c r="A8" s="171" t="s">
        <v>103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</row>
    <row r="9" spans="1:17" ht="18" customHeight="1" x14ac:dyDescent="0.2">
      <c r="A9" s="162" t="s">
        <v>104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62"/>
      <c r="P9" s="62"/>
      <c r="Q9" s="63"/>
    </row>
    <row r="10" spans="1:17" ht="57" customHeight="1" x14ac:dyDescent="0.2">
      <c r="A10" s="151" t="s">
        <v>139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3"/>
    </row>
    <row r="11" spans="1:17" ht="9" customHeight="1" thickBot="1" x14ac:dyDescent="0.25">
      <c r="A11" s="64"/>
      <c r="B11" s="65"/>
      <c r="C11" s="65"/>
      <c r="D11" s="65"/>
      <c r="E11" s="65"/>
      <c r="F11" s="65"/>
      <c r="G11" s="66"/>
      <c r="H11" s="65"/>
      <c r="I11" s="65"/>
      <c r="J11" s="65"/>
      <c r="K11" s="65"/>
      <c r="L11" s="65"/>
      <c r="M11" s="65"/>
      <c r="N11" s="65"/>
      <c r="O11" s="65"/>
      <c r="P11" s="65"/>
      <c r="Q11" s="67"/>
    </row>
    <row r="12" spans="1:17" ht="15.75" customHeight="1" thickBot="1" x14ac:dyDescent="0.25">
      <c r="A12" s="154" t="s">
        <v>105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</row>
    <row r="13" spans="1:17" ht="15.75" customHeight="1" thickBot="1" x14ac:dyDescent="0.25">
      <c r="A13" s="155" t="s">
        <v>106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6" t="s">
        <v>107</v>
      </c>
      <c r="P13" s="156"/>
      <c r="Q13" s="157" t="s">
        <v>108</v>
      </c>
    </row>
    <row r="14" spans="1:17" ht="15.75" customHeight="1" x14ac:dyDescent="0.2">
      <c r="A14" s="68" t="s">
        <v>109</v>
      </c>
      <c r="B14" s="69" t="s">
        <v>110</v>
      </c>
      <c r="C14" s="69" t="s">
        <v>111</v>
      </c>
      <c r="D14" s="69" t="s">
        <v>112</v>
      </c>
      <c r="E14" s="69" t="s">
        <v>113</v>
      </c>
      <c r="F14" s="69" t="s">
        <v>114</v>
      </c>
      <c r="G14" s="70" t="s">
        <v>115</v>
      </c>
      <c r="H14" s="69" t="s">
        <v>116</v>
      </c>
      <c r="I14" s="69" t="s">
        <v>117</v>
      </c>
      <c r="J14" s="69" t="s">
        <v>118</v>
      </c>
      <c r="K14" s="69" t="s">
        <v>118</v>
      </c>
      <c r="L14" s="69" t="s">
        <v>119</v>
      </c>
      <c r="M14" s="71" t="s">
        <v>120</v>
      </c>
      <c r="N14" s="72" t="s">
        <v>121</v>
      </c>
      <c r="O14" s="156"/>
      <c r="P14" s="156"/>
      <c r="Q14" s="157"/>
    </row>
    <row r="15" spans="1:17" ht="41.1" customHeight="1" x14ac:dyDescent="0.2">
      <c r="A15" s="96">
        <v>30</v>
      </c>
      <c r="B15" s="96"/>
      <c r="C15" s="96"/>
      <c r="D15" s="96">
        <v>1</v>
      </c>
      <c r="E15" s="96"/>
      <c r="F15" s="96">
        <v>4901</v>
      </c>
      <c r="G15" s="96">
        <v>3</v>
      </c>
      <c r="H15" s="96">
        <v>1</v>
      </c>
      <c r="I15" s="96">
        <v>2</v>
      </c>
      <c r="J15" s="96">
        <v>9</v>
      </c>
      <c r="K15" s="96">
        <v>5</v>
      </c>
      <c r="L15" s="96"/>
      <c r="M15" s="96">
        <v>1</v>
      </c>
      <c r="N15" s="96" t="s">
        <v>122</v>
      </c>
      <c r="O15" s="158" t="s">
        <v>124</v>
      </c>
      <c r="P15" s="159"/>
      <c r="Q15" s="77">
        <f>SUM('Necesidades Trimestrales '!I15:I77)-'Necesidades Trimestrales '!I55</f>
        <v>139857157.5</v>
      </c>
    </row>
    <row r="16" spans="1:17" ht="17.25" customHeight="1" x14ac:dyDescent="0.2">
      <c r="A16" s="96">
        <v>30</v>
      </c>
      <c r="B16" s="74"/>
      <c r="C16" s="74"/>
      <c r="D16" s="96">
        <v>1</v>
      </c>
      <c r="E16" s="74"/>
      <c r="F16" s="96">
        <v>4901</v>
      </c>
      <c r="G16" s="96">
        <v>3</v>
      </c>
      <c r="H16" s="96">
        <v>1</v>
      </c>
      <c r="I16" s="74">
        <v>2</v>
      </c>
      <c r="J16" s="74">
        <v>5</v>
      </c>
      <c r="K16" s="74">
        <v>1</v>
      </c>
      <c r="L16" s="74"/>
      <c r="M16" s="75">
        <v>1</v>
      </c>
      <c r="N16" s="74" t="s">
        <v>122</v>
      </c>
      <c r="O16" s="160" t="s">
        <v>150</v>
      </c>
      <c r="P16" s="160"/>
      <c r="Q16" s="77">
        <f>SUM('Necesidades Trimestrales '!I10:I14)+'Necesidades Trimestrales '!I55</f>
        <v>6180445</v>
      </c>
    </row>
    <row r="17" spans="1:18" ht="17.25" customHeight="1" x14ac:dyDescent="0.2">
      <c r="A17" s="73"/>
      <c r="B17" s="74"/>
      <c r="C17" s="74"/>
      <c r="D17" s="74"/>
      <c r="E17" s="74"/>
      <c r="F17" s="76"/>
      <c r="G17" s="74"/>
      <c r="H17" s="74"/>
      <c r="I17" s="74"/>
      <c r="J17" s="74"/>
      <c r="K17" s="74"/>
      <c r="L17" s="74"/>
      <c r="M17" s="75"/>
      <c r="N17" s="76"/>
      <c r="O17" s="160"/>
      <c r="P17" s="160"/>
      <c r="Q17" s="77"/>
    </row>
    <row r="18" spans="1:18" ht="17.25" customHeight="1" x14ac:dyDescent="0.2">
      <c r="A18" s="73"/>
      <c r="B18" s="74"/>
      <c r="C18" s="74"/>
      <c r="D18" s="74"/>
      <c r="E18" s="74"/>
      <c r="F18" s="76"/>
      <c r="G18" s="74"/>
      <c r="H18" s="74"/>
      <c r="I18" s="74"/>
      <c r="J18" s="74"/>
      <c r="K18" s="74"/>
      <c r="L18" s="74"/>
      <c r="M18" s="75"/>
      <c r="N18" s="76"/>
      <c r="O18" s="160"/>
      <c r="P18" s="160"/>
      <c r="Q18" s="77"/>
    </row>
    <row r="19" spans="1:18" ht="17.25" customHeight="1" x14ac:dyDescent="0.2">
      <c r="A19" s="78"/>
      <c r="B19" s="79"/>
      <c r="C19" s="79"/>
      <c r="D19" s="79"/>
      <c r="E19" s="79"/>
      <c r="F19" s="80"/>
      <c r="G19" s="79"/>
      <c r="H19" s="79"/>
      <c r="I19" s="79"/>
      <c r="J19" s="79"/>
      <c r="K19" s="79"/>
      <c r="L19" s="79"/>
      <c r="M19" s="81"/>
      <c r="N19" s="82"/>
      <c r="O19" s="161"/>
      <c r="P19" s="161"/>
      <c r="Q19" s="77"/>
      <c r="R19" s="62"/>
    </row>
    <row r="20" spans="1:18" ht="17.25" customHeight="1" thickBot="1" x14ac:dyDescent="0.25">
      <c r="A20" s="83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5"/>
      <c r="N20" s="84"/>
      <c r="O20" s="150"/>
      <c r="P20" s="150"/>
      <c r="Q20" s="86"/>
    </row>
    <row r="21" spans="1:18" ht="36" customHeight="1" thickBot="1" x14ac:dyDescent="0.25">
      <c r="A21" s="143" t="s">
        <v>148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87">
        <f>SUM(Q15:Q20)</f>
        <v>146037602.5</v>
      </c>
    </row>
    <row r="22" spans="1:18" ht="18" customHeight="1" thickBot="1" x14ac:dyDescent="0.25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</row>
    <row r="23" spans="1:18" ht="17.25" customHeight="1" thickBot="1" x14ac:dyDescent="0.25">
      <c r="A23" s="145" t="s">
        <v>123</v>
      </c>
      <c r="B23" s="146"/>
      <c r="C23" s="146"/>
      <c r="D23" s="146"/>
      <c r="E23" s="146"/>
      <c r="F23" s="147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</row>
    <row r="24" spans="1:18" ht="18" customHeight="1" thickBot="1" x14ac:dyDescent="0.25">
      <c r="A24" s="149" t="s">
        <v>131</v>
      </c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</row>
    <row r="25" spans="1:18" ht="28.5" customHeight="1" thickBot="1" x14ac:dyDescent="0.25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</row>
  </sheetData>
  <mergeCells count="29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1:P21"/>
    <mergeCell ref="A22:Q22"/>
    <mergeCell ref="A23:F23"/>
    <mergeCell ref="G23:Q23"/>
    <mergeCell ref="A24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COMPRAS</cp:lastModifiedBy>
  <dcterms:created xsi:type="dcterms:W3CDTF">2020-08-21T23:04:07Z</dcterms:created>
  <dcterms:modified xsi:type="dcterms:W3CDTF">2021-08-12T12:40:44Z</dcterms:modified>
</cp:coreProperties>
</file>