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66925"/>
  <mc:AlternateContent xmlns:mc="http://schemas.openxmlformats.org/markup-compatibility/2006">
    <mc:Choice Requires="x15">
      <x15ac:absPath xmlns:x15ac="http://schemas.microsoft.com/office/spreadsheetml/2010/11/ac" url="C:\Users\ELIAS QUINTAR\Downloads\"/>
    </mc:Choice>
  </mc:AlternateContent>
  <xr:revisionPtr revIDLastSave="0" documentId="8_{B88B5184-BE4D-4297-A7EC-20EC7FAFAAD6}"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APG" sheetId="2" r:id="rId2"/>
    <sheet name="NOTA PEDIDO" sheetId="3" r:id="rId3"/>
  </sheets>
  <definedNames>
    <definedName name="_xlnm._FilterDatabase" localSheetId="0" hidden="1">'Necesidades Trimestrales'!$A$9:$I$9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13" i="1" l="1"/>
  <c r="J11" i="1"/>
  <c r="J12" i="1"/>
  <c r="J10" i="1"/>
  <c r="L11" i="1"/>
  <c r="L12" i="1"/>
  <c r="L10" i="1"/>
  <c r="I12" i="1"/>
  <c r="I11" i="1"/>
  <c r="I10" i="1"/>
  <c r="I13" i="1" s="1"/>
  <c r="H11" i="3"/>
  <c r="G14" i="3" s="1"/>
  <c r="H12" i="3"/>
  <c r="H13" i="3"/>
  <c r="T18" i="2" l="1"/>
  <c r="Q21" i="2" l="1"/>
</calcChain>
</file>

<file path=xl/sharedStrings.xml><?xml version="1.0" encoding="utf-8"?>
<sst xmlns="http://schemas.openxmlformats.org/spreadsheetml/2006/main" count="128" uniqueCount="81">
  <si>
    <t>JURISDICCION:</t>
  </si>
  <si>
    <t xml:space="preserve">SAF N°: </t>
  </si>
  <si>
    <t>EJERCICIO:</t>
  </si>
  <si>
    <t>TRIMESTRE:</t>
  </si>
  <si>
    <t>ID</t>
  </si>
  <si>
    <t>Pedido de Necesidades Trimestrales</t>
  </si>
  <si>
    <t>CODIGO ITEM</t>
  </si>
  <si>
    <t>Descripción técnica</t>
  </si>
  <si>
    <t>Plazos y lugares de entrega</t>
  </si>
  <si>
    <t>Calidad Minima esperada</t>
  </si>
  <si>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</si>
  <si>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</si>
  <si>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</si>
  <si>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</si>
  <si>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</si>
  <si>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</si>
  <si>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</si>
  <si>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CANTIDAD</t>
  </si>
  <si>
    <t>PRECIO UNITARIO ESTIMADO</t>
  </si>
  <si>
    <t xml:space="preserve">IMPORTE TOTAL ESTIMADO </t>
  </si>
  <si>
    <t>4.3.5-202.6</t>
  </si>
  <si>
    <t>EQUIPO DE OFICINA Y MUEBLES</t>
  </si>
  <si>
    <t>PUPITRES Y SILLAS P/EDUCACION; ESTRUCTURA: CAÑO SAE 1010, LAMINADOS PLASTICOS: MELAMINICO TERCIADO 12 mm, MODELO: UNIPERSONAL C, MATERIAL ESTRUCTURA: CAÑO SAE 1010, LAMINADO: MELAMINICO TERCIADO 12 mm, LAMINADA EN: MELAMINICO TERCIADO 12 mm, MODELO EQUIPO: UNIPERSONAL C, TIPO: UNIPERSONAL C, TERMINACION: MELAMINICO TERCIADO 12 mm</t>
  </si>
  <si>
    <t>UNIDAD</t>
  </si>
  <si>
    <t>4.3.5</t>
  </si>
  <si>
    <t>AUTORIZACIÓN PARA GASTAR</t>
  </si>
  <si>
    <t>JURISDICCIÓN:</t>
  </si>
  <si>
    <t>SAF:</t>
  </si>
  <si>
    <t>UNIDAD EJECUTORA:</t>
  </si>
  <si>
    <t>MINISTERIO DE EDUCACIÓN</t>
  </si>
  <si>
    <t xml:space="preserve">DEPENDENCIA SOLICITANTE: </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</si>
  <si>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</si>
  <si>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</si>
  <si>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</si>
  <si>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</si>
  <si>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</si>
  <si>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</si>
  <si>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</si>
  <si>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</si>
  <si>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</si>
  <si>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</si>
  <si>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</si>
  <si>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</si>
  <si>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</si>
  <si>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</si>
  <si>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</si>
  <si>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</si>
  <si>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</si>
  <si>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</si>
  <si>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</si>
  <si>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</si>
  <si>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</si>
  <si>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NOTA DE PEDIDO</t>
  </si>
  <si>
    <t xml:space="preserve">JURISDICCIÓN: </t>
  </si>
  <si>
    <t>PERIODO UTILIZACIÓN:</t>
  </si>
  <si>
    <t>OBJETO:</t>
  </si>
  <si>
    <t>Adjunta Detalle Técnico</t>
  </si>
  <si>
    <t>SI</t>
  </si>
  <si>
    <t>Unidad</t>
  </si>
  <si>
    <t>N° 30 -2022</t>
  </si>
  <si>
    <r>
      <t xml:space="preserve">Autorizo la realización de los  trámites correspondientes, a fin de proveer a  este Organismo los bienes que se detallan en Nota  de Pedido N° </t>
    </r>
    <r>
      <rPr>
        <b/>
        <sz val="11"/>
        <rFont val="Times New Roman"/>
        <family val="1"/>
      </rPr>
      <t>30</t>
    </r>
    <r>
      <rPr>
        <b/>
        <sz val="11"/>
        <color theme="1" tint="4.9989318521683403E-2"/>
        <rFont val="Times New Roman"/>
        <family val="1"/>
      </rPr>
      <t>/22,</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</si>
  <si>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EQUIPO EDUCACIONAL Y RECREATIVO</t>
  </si>
  <si>
    <t>EQUIPO DE OFICINA Y MUEBLE</t>
  </si>
  <si>
    <t>ADQUISICIÓN DE PUPITRES, ESCRITORIOS, ARMARIOS</t>
  </si>
  <si>
    <t>4.3.7-40.1148</t>
  </si>
  <si>
    <t>4.3.7</t>
  </si>
  <si>
    <t>ESCRITORIOS; MATERIAL ESTRUCTURA: MADERA, TERMINACION: MELAMINA, DIM. DEL PLANO DE APOYO: 150 X 65 X 75 Cm, CANTIDAD DE CAJONES: 2</t>
  </si>
  <si>
    <t>Garantia</t>
  </si>
  <si>
    <t>Especificidades Item N° 2:</t>
  </si>
  <si>
    <t>Especificidades Item N° 1:</t>
  </si>
  <si>
    <t xml:space="preserve">Especificidades Item N° 3 </t>
  </si>
  <si>
    <r>
      <t>Mantenimiento:</t>
    </r>
    <r>
      <rPr>
        <sz val="10"/>
        <rFont val="Times New Roman"/>
        <family val="1"/>
      </rPr>
      <t xml:space="preserve"> 30 días corridos</t>
    </r>
  </si>
  <si>
    <t>4.3.7-35.55</t>
  </si>
  <si>
    <t>ARMARIOS; MATERIAL CUERPO: METALICO, ESTANTE: 3, PUERTAS: 2 BATIENTES C/CERRADURA, DESTINO: SIN VALOR, ANCHO: 90 Cm, PROFUNDIDAD: 65 Cm, ALTURA: 180 Cm, TERMINACION: PINTADO, CANTIDAD DE CAJONES: SIN VALOR, CAJONES: SIN VALOR, MATERIAL DEL CUERPO: METALICO, MATERIAL: METAL, DIM. APROX. (ANCHO/PROF/ALTO): 90 X 65 X 180 Cm</t>
  </si>
  <si>
    <t xml:space="preserve">Según Anexo </t>
  </si>
  <si>
    <t>Según Anexo.</t>
  </si>
  <si>
    <r>
      <rPr>
        <u/>
        <sz val="11"/>
        <rFont val="Times New Roman"/>
        <family val="1"/>
      </rPr>
      <t>Descripción técnica:</t>
    </r>
    <r>
      <rPr>
        <sz val="11"/>
        <rFont val="Times New Roman"/>
        <family val="1"/>
      </rPr>
      <t xml:space="preserve"> Según Anexo </t>
    </r>
  </si>
  <si>
    <t>TOTAL DE PESOS: VEINTIDOS MILLONES SEISCIENTOS CINCUENTA MIL CON 00/100</t>
  </si>
  <si>
    <t>Costo total estimado: PESOS VEINTIDOS MILLONES SEISCIENTOS CINCUENTA MIL CON 00/100</t>
  </si>
  <si>
    <t>SEGUNDO SEMESTRE</t>
  </si>
  <si>
    <t>ADQUISICIÓN DE PUPITRES, ESCRITORIOS Y ARMARIOS  DESTINADOS AL MINISTERIO DE EDUCACIÓN.-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</si>
</sst>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164" formatCode="[$$-2C0A]\ #,##0.00;[$$-2C0A]&quot; -&quot;#,##0.00"/>
    <numFmt numFmtId="165" formatCode="&quot;$&quot;\ #,##0.00"/>
    <numFmt numFmtId="166" formatCode="[$$-2C0A]\ #,##0.00"/>
    <numFmt numFmtId="167" formatCode="dd\-mm\-yy;@"/>
    <numFmt numFmtId="168" formatCode="_(\$* #,##0.00_);_(\$* \(#,##0.00\);_(\$* \-??_);_(@_)"/>
    <numFmt numFmtId="169" formatCode="_-* #,##0.00&quot; €&quot;_-;\-* #,##0.00&quot; €&quot;_-;_-* \-??&quot; €&quot;_-;_-@_-"/>
    <numFmt numFmtId="170" formatCode="_-[$$-2C0A]* #,##0.00_-;\-[$$-2C0A]* #,##0.00_-;_-[$$-2C0A]* &quot;-&quot;??_-;_-@_-"/>
  </numFmts>
  <fonts count="37" x14ac:knownFonts="1">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sz val="11"/>
      <color rgb="FF333333"/>
      <name val="Arial"/>
      <family val="2"/>
    </font>
    <font>
      <u/>
      <sz val="10"/>
      <color rgb="FFFF0000"/>
      <name val="Times New Roman"/>
      <family val="1"/>
    </font>
    <font>
      <sz val="10"/>
      <color rgb="FFFF0000"/>
      <name val="Times New Roman"/>
      <family val="1"/>
    </font>
    <font>
      <b/>
      <sz val="10"/>
      <name val="Century Gothic"/>
      <family val="2"/>
    </font>
    <font>
      <b/>
      <sz val="11"/>
      <color theme="1"/>
      <name val="Calibri"/>
      <family val="2"/>
      <scheme val="minor"/>
    </font>
    <font>
      <sz val="11"/>
      <color theme="0"/>
      <name val="Calibri"/>
      <family val="2"/>
      <scheme val="minor"/>
    </font>
    <font>
      <sz val="10"/>
      <name val="Arial"/>
      <family val="2"/>
    </font>
    <font>
      <b/>
      <sz val="11"/>
      <name val="Times New Roman"/>
      <family val="1"/>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b/>
      <sz val="9"/>
      <color theme="1"/>
      <name val="Times New Roman"/>
      <family val="1"/>
    </font>
    <font>
      <b/>
      <u/>
      <sz val="12"/>
      <name val="Times New Roman"/>
      <family val="1"/>
      <charset val="1"/>
    </font>
    <font>
      <b/>
      <u/>
      <sz val="11"/>
      <name val="Times New Roman"/>
      <family val="1"/>
      <charset val="1"/>
    </font>
    <font>
      <sz val="11"/>
      <name val="Times New Roman"/>
      <family val="1"/>
      <charset val="1"/>
    </font>
    <font>
      <b/>
      <sz val="11"/>
      <name val="Times New Roman"/>
      <family val="1"/>
      <charset val="1"/>
    </font>
    <font>
      <sz val="10"/>
      <name val="Arial"/>
      <family val="2"/>
    </font>
    <font>
      <b/>
      <u/>
      <sz val="10"/>
      <name val="Arial"/>
      <family val="2"/>
    </font>
    <font>
      <sz val="10"/>
      <color theme="1"/>
      <name val="Times New Roman"/>
      <family val="1"/>
    </font>
    <font>
      <u/>
      <sz val="11"/>
      <name val="Times New Roman"/>
      <family val="1"/>
    </font>
    <font>
      <sz val="9"/>
      <color rgb="FFFF0000"/>
      <name val="Times New Roman"/>
      <family val="1"/>
    </font>
    <font>
      <sz val="11"/>
      <color rgb="FFFF0000"/>
      <name val="Times New Roman"/>
      <family val="1"/>
    </font>
    <font>
      <b/>
      <sz val="9"/>
      <color rgb="FFFF0000"/>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0">
    <border>
      <left/>
      <right/>
      <top/>
      <bottom/>
      <diagonal/>
    </border>
    <border>
      <left style="thin">
        <color auto="1"/>
      </left>
      <right style="thin">
        <color auto="1"/>
      </right>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rgb="FFE5E5E5"/>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5">
    <xf numFmtId="0" fontId="0" fillId="0" borderId="0"/>
    <xf numFmtId="44" fontId="1" fillId="0" borderId="0" applyFont="0" applyFill="0" applyBorder="0" applyAlignment="0" applyProtection="0"/>
    <xf numFmtId="0" fontId="18" fillId="0" borderId="0"/>
    <xf numFmtId="168" fontId="24" fillId="0" borderId="0" applyBorder="0" applyProtection="0"/>
    <xf numFmtId="169" fontId="30" fillId="0" borderId="0" applyBorder="0" applyProtection="0"/>
  </cellStyleXfs>
  <cellXfs count="186">
    <xf numFmtId="0" fontId="0" fillId="0" borderId="0" xfId="0"/>
    <xf numFmtId="0" fontId="2" fillId="0" borderId="0" xfId="0" applyFont="1"/>
    <xf numFmtId="0" fontId="4" fillId="0" borderId="0" xfId="0" applyFont="1" applyAlignment="1">
      <alignment horizontal="center" vertical="center"/>
    </xf>
    <xf numFmtId="0" fontId="6" fillId="0" borderId="0" xfId="0" applyFont="1" applyAlignment="1">
      <alignment horizontal="left" wrapText="1"/>
    </xf>
    <xf numFmtId="0" fontId="7" fillId="2" borderId="0" xfId="0" applyFont="1" applyFill="1" applyAlignment="1">
      <alignment horizontal="center" vertical="center" wrapText="1"/>
    </xf>
    <xf numFmtId="0" fontId="8" fillId="0" borderId="3" xfId="0" applyFont="1" applyBorder="1"/>
    <xf numFmtId="0" fontId="2" fillId="0" borderId="4" xfId="0" applyFont="1" applyBorder="1"/>
    <xf numFmtId="0" fontId="8" fillId="0" borderId="4" xfId="0" applyFont="1" applyBorder="1" applyAlignment="1">
      <alignment horizontal="left" indent="3"/>
    </xf>
    <xf numFmtId="0" fontId="2" fillId="0" borderId="4" xfId="0" applyFont="1" applyBorder="1" applyAlignment="1">
      <alignment horizontal="left" indent="3"/>
    </xf>
    <xf numFmtId="0" fontId="9" fillId="2" borderId="0" xfId="0" applyFont="1" applyFill="1" applyAlignment="1">
      <alignment horizontal="left" wrapText="1" indent="1"/>
    </xf>
    <xf numFmtId="0" fontId="6" fillId="0" borderId="0" xfId="0" applyFont="1" applyAlignment="1">
      <alignment horizontal="center" wrapText="1"/>
    </xf>
    <xf numFmtId="0" fontId="0" fillId="0" borderId="0" xfId="0" applyAlignment="1">
      <alignment horizontal="center" vertical="center" wrapText="1"/>
    </xf>
    <xf numFmtId="0" fontId="2" fillId="0" borderId="2" xfId="0" applyFont="1" applyBorder="1"/>
    <xf numFmtId="0" fontId="2" fillId="0" borderId="0" xfId="0" applyFont="1" applyAlignment="1">
      <alignment horizontal="center" wrapText="1"/>
    </xf>
    <xf numFmtId="0" fontId="11" fillId="3" borderId="0" xfId="0" applyFont="1" applyFill="1" applyAlignment="1">
      <alignment horizontal="left" wrapText="1"/>
    </xf>
    <xf numFmtId="0" fontId="0" fillId="0" borderId="0" xfId="0" applyAlignment="1">
      <alignment horizontal="left" vertical="center" wrapText="1"/>
    </xf>
    <xf numFmtId="0" fontId="2" fillId="0" borderId="7" xfId="0" applyFont="1" applyBorder="1"/>
    <xf numFmtId="0" fontId="2" fillId="0" borderId="8" xfId="0" applyFont="1" applyBorder="1"/>
    <xf numFmtId="0" fontId="2" fillId="0" borderId="8" xfId="0" applyFont="1" applyBorder="1" applyAlignment="1">
      <alignment horizontal="center" wrapText="1"/>
    </xf>
    <xf numFmtId="164" fontId="4" fillId="2" borderId="0" xfId="1" applyNumberFormat="1" applyFont="1" applyFill="1" applyBorder="1" applyAlignment="1" applyProtection="1">
      <alignment horizontal="right" vertical="center"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3" fillId="0" borderId="0" xfId="0" applyFont="1" applyAlignment="1">
      <alignment horizontal="left" vertical="center" wrapText="1"/>
    </xf>
    <xf numFmtId="0" fontId="9" fillId="2" borderId="0" xfId="0" applyFont="1" applyFill="1" applyAlignment="1">
      <alignment horizontal="left" wrapText="1" indent="1"/>
    </xf>
    <xf numFmtId="166" fontId="0" fillId="0" borderId="0" xfId="0" applyNumberFormat="1"/>
    <xf numFmtId="0" fontId="0" fillId="0" borderId="0" xfId="0" applyAlignment="1">
      <alignment vertical="center" wrapText="1"/>
    </xf>
    <xf numFmtId="0" fontId="14" fillId="0" borderId="0" xfId="0" applyFont="1"/>
    <xf numFmtId="0" fontId="14" fillId="0" borderId="8" xfId="0" applyFont="1" applyBorder="1"/>
    <xf numFmtId="0" fontId="13" fillId="0" borderId="4" xfId="0" applyFont="1" applyBorder="1" applyAlignment="1">
      <alignment horizontal="left" indent="3"/>
    </xf>
    <xf numFmtId="0" fontId="14" fillId="0" borderId="4" xfId="0" applyFont="1" applyBorder="1" applyAlignment="1">
      <alignment horizontal="left" indent="3"/>
    </xf>
    <xf numFmtId="0" fontId="14" fillId="0" borderId="5" xfId="0" applyFont="1" applyBorder="1" applyAlignment="1">
      <alignment horizontal="left" indent="3"/>
    </xf>
    <xf numFmtId="0" fontId="14" fillId="0" borderId="6" xfId="0" applyFont="1" applyBorder="1"/>
    <xf numFmtId="0" fontId="14" fillId="0" borderId="9" xfId="0" applyFont="1" applyBorder="1"/>
    <xf numFmtId="0" fontId="12" fillId="0" borderId="10" xfId="0" applyFont="1" applyFill="1" applyBorder="1" applyAlignment="1">
      <alignment vertical="center" wrapText="1"/>
    </xf>
    <xf numFmtId="0" fontId="0" fillId="0" borderId="0" xfId="0" applyFill="1"/>
    <xf numFmtId="0" fontId="15" fillId="0" borderId="0" xfId="0" applyFont="1" applyFill="1" applyBorder="1" applyAlignment="1">
      <alignment horizontal="center" vertical="center" wrapText="1"/>
    </xf>
    <xf numFmtId="165" fontId="15" fillId="0" borderId="0" xfId="0" applyNumberFormat="1" applyFont="1" applyFill="1" applyBorder="1" applyAlignment="1">
      <alignment horizontal="center" vertical="center" wrapText="1"/>
    </xf>
    <xf numFmtId="3" fontId="19" fillId="0" borderId="2" xfId="2" applyNumberFormat="1" applyFont="1" applyBorder="1"/>
    <xf numFmtId="167" fontId="10" fillId="0" borderId="2" xfId="2" applyNumberFormat="1" applyFont="1" applyBorder="1" applyAlignment="1">
      <alignment horizontal="left"/>
    </xf>
    <xf numFmtId="0" fontId="10" fillId="0" borderId="2" xfId="2" applyFont="1" applyBorder="1"/>
    <xf numFmtId="0" fontId="18" fillId="0" borderId="0" xfId="2"/>
    <xf numFmtId="0" fontId="10" fillId="0" borderId="4" xfId="2" applyFont="1" applyBorder="1"/>
    <xf numFmtId="0" fontId="10" fillId="0" borderId="0" xfId="2" applyFont="1"/>
    <xf numFmtId="0" fontId="10" fillId="0" borderId="0" xfId="2" applyFont="1" applyAlignment="1">
      <alignment horizontal="left"/>
    </xf>
    <xf numFmtId="167" fontId="10" fillId="0" borderId="0" xfId="2" applyNumberFormat="1" applyFont="1" applyAlignment="1">
      <alignment horizontal="left"/>
    </xf>
    <xf numFmtId="0" fontId="10" fillId="0" borderId="8" xfId="2" applyFont="1" applyBorder="1"/>
    <xf numFmtId="0" fontId="10" fillId="0" borderId="21" xfId="2" applyFont="1" applyBorder="1"/>
    <xf numFmtId="0" fontId="10" fillId="0" borderId="22" xfId="2" applyFont="1" applyBorder="1"/>
    <xf numFmtId="0" fontId="10" fillId="0" borderId="22" xfId="2" applyFont="1" applyBorder="1" applyAlignment="1">
      <alignment horizontal="left"/>
    </xf>
    <xf numFmtId="0" fontId="10" fillId="0" borderId="23" xfId="2" applyFont="1" applyBorder="1"/>
    <xf numFmtId="0" fontId="23" fillId="0" borderId="26" xfId="2" applyFont="1" applyBorder="1" applyAlignment="1">
      <alignment vertical="center"/>
    </xf>
    <xf numFmtId="0" fontId="23" fillId="0" borderId="27" xfId="2" applyFont="1" applyBorder="1" applyAlignment="1">
      <alignment vertical="center"/>
    </xf>
    <xf numFmtId="0" fontId="23" fillId="0" borderId="28" xfId="2" applyFont="1" applyBorder="1" applyAlignment="1">
      <alignment vertical="center"/>
    </xf>
    <xf numFmtId="0" fontId="23" fillId="0" borderId="29" xfId="2" applyFont="1" applyBorder="1" applyAlignment="1">
      <alignment vertical="center"/>
    </xf>
    <xf numFmtId="0" fontId="4" fillId="0" borderId="30" xfId="2" applyFont="1" applyBorder="1" applyAlignment="1">
      <alignment horizontal="center" vertical="center"/>
    </xf>
    <xf numFmtId="0" fontId="4" fillId="0" borderId="31" xfId="2" applyFont="1" applyBorder="1" applyAlignment="1">
      <alignment horizontal="center" vertical="center"/>
    </xf>
    <xf numFmtId="0" fontId="4" fillId="0" borderId="32" xfId="2" applyFont="1" applyBorder="1" applyAlignment="1">
      <alignment horizontal="center" vertical="center"/>
    </xf>
    <xf numFmtId="0" fontId="10" fillId="0" borderId="35" xfId="2" applyFont="1" applyBorder="1" applyAlignment="1">
      <alignment horizontal="center" vertical="center"/>
    </xf>
    <xf numFmtId="0" fontId="10" fillId="0" borderId="36" xfId="2" applyFont="1" applyBorder="1" applyAlignment="1">
      <alignment horizontal="center" vertical="center"/>
    </xf>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0" fillId="0" borderId="42" xfId="2" applyFont="1" applyBorder="1" applyAlignment="1">
      <alignment horizontal="center" vertical="center"/>
    </xf>
    <xf numFmtId="0" fontId="10" fillId="0" borderId="43" xfId="2" applyFont="1" applyBorder="1" applyAlignment="1">
      <alignment horizontal="center" vertical="center"/>
    </xf>
    <xf numFmtId="0" fontId="10" fillId="0" borderId="44" xfId="2" applyFont="1" applyBorder="1" applyAlignment="1">
      <alignment horizontal="center" vertical="center"/>
    </xf>
    <xf numFmtId="0" fontId="19" fillId="0" borderId="48" xfId="2" applyFont="1" applyFill="1" applyBorder="1" applyAlignment="1">
      <alignment horizontal="left" vertical="center"/>
    </xf>
    <xf numFmtId="0" fontId="27" fillId="0" borderId="4" xfId="2" applyFont="1" applyBorder="1" applyAlignment="1">
      <alignment vertical="center"/>
    </xf>
    <xf numFmtId="0" fontId="27" fillId="0" borderId="0" xfId="2" applyFont="1" applyBorder="1" applyAlignment="1">
      <alignment vertical="center"/>
    </xf>
    <xf numFmtId="0" fontId="27" fillId="0" borderId="8" xfId="2" applyFont="1" applyBorder="1" applyAlignment="1">
      <alignment vertical="center"/>
    </xf>
    <xf numFmtId="0" fontId="30" fillId="0" borderId="0" xfId="2" applyFont="1"/>
    <xf numFmtId="166" fontId="17" fillId="0" borderId="0" xfId="2" applyNumberFormat="1" applyFont="1"/>
    <xf numFmtId="165" fontId="18" fillId="0" borderId="0" xfId="2" applyNumberFormat="1"/>
    <xf numFmtId="166" fontId="18" fillId="0" borderId="51" xfId="2" applyNumberFormat="1" applyBorder="1"/>
    <xf numFmtId="0" fontId="31" fillId="0" borderId="0" xfId="2" applyFont="1"/>
    <xf numFmtId="165" fontId="31" fillId="0" borderId="0" xfId="2" applyNumberFormat="1" applyFont="1"/>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29" fillId="0" borderId="53" xfId="2" applyFont="1" applyBorder="1" applyAlignment="1">
      <alignment horizontal="center" vertical="center" wrapText="1"/>
    </xf>
    <xf numFmtId="0" fontId="3" fillId="0" borderId="54" xfId="2" applyFont="1" applyBorder="1" applyAlignment="1">
      <alignment horizontal="center" vertical="center" wrapText="1"/>
    </xf>
    <xf numFmtId="0" fontId="6" fillId="2" borderId="51" xfId="0" applyFont="1" applyFill="1" applyBorder="1" applyAlignment="1">
      <alignment horizontal="center" vertical="center" wrapText="1"/>
    </xf>
    <xf numFmtId="0" fontId="2" fillId="0" borderId="50" xfId="2" applyFont="1" applyBorder="1" applyAlignment="1">
      <alignment horizontal="center" vertical="center"/>
    </xf>
    <xf numFmtId="0" fontId="6" fillId="2" borderId="1" xfId="2" applyFont="1" applyFill="1" applyBorder="1" applyAlignment="1">
      <alignment horizontal="center" vertical="center" wrapText="1"/>
    </xf>
    <xf numFmtId="164" fontId="2" fillId="2" borderId="1" xfId="1" applyNumberFormat="1" applyFont="1" applyFill="1" applyBorder="1" applyAlignment="1" applyProtection="1">
      <alignment horizontal="center" vertical="center" wrapText="1"/>
    </xf>
    <xf numFmtId="0" fontId="6" fillId="2" borderId="1" xfId="0" applyFont="1" applyFill="1" applyBorder="1" applyAlignment="1">
      <alignment horizontal="center" vertical="center" wrapText="1"/>
    </xf>
    <xf numFmtId="0" fontId="11" fillId="0" borderId="51" xfId="2" applyFont="1" applyBorder="1" applyAlignment="1">
      <alignment horizontal="center" vertical="center" wrapText="1"/>
    </xf>
    <xf numFmtId="0" fontId="32" fillId="0" borderId="1" xfId="0" applyFont="1" applyBorder="1" applyAlignment="1">
      <alignment horizontal="center" vertical="center"/>
    </xf>
    <xf numFmtId="0" fontId="2" fillId="0" borderId="1" xfId="2" applyFont="1" applyFill="1" applyBorder="1" applyAlignment="1">
      <alignment horizontal="center" vertical="center"/>
    </xf>
    <xf numFmtId="0" fontId="2" fillId="0" borderId="55" xfId="0" applyFont="1" applyBorder="1" applyAlignment="1">
      <alignment horizontal="center" vertical="center"/>
    </xf>
    <xf numFmtId="0" fontId="2" fillId="0" borderId="55" xfId="0" applyFont="1" applyBorder="1" applyAlignment="1">
      <alignment horizontal="center" vertical="center" wrapText="1"/>
    </xf>
    <xf numFmtId="170" fontId="32" fillId="0" borderId="55" xfId="1" applyNumberFormat="1" applyFont="1" applyBorder="1" applyAlignment="1">
      <alignment vertical="center"/>
    </xf>
    <xf numFmtId="3" fontId="2" fillId="0" borderId="56" xfId="0" applyNumberFormat="1" applyFont="1" applyBorder="1" applyAlignment="1">
      <alignment horizontal="center" vertical="center"/>
    </xf>
    <xf numFmtId="0" fontId="32" fillId="0" borderId="51" xfId="0" applyFont="1" applyFill="1" applyBorder="1" applyAlignment="1">
      <alignment horizontal="center" vertical="center" wrapText="1"/>
    </xf>
    <xf numFmtId="0" fontId="2" fillId="0" borderId="1" xfId="0" applyFont="1" applyBorder="1" applyAlignment="1">
      <alignment horizontal="justify" vertical="center" wrapText="1"/>
    </xf>
    <xf numFmtId="0" fontId="6" fillId="0" borderId="51" xfId="2" applyFont="1" applyBorder="1" applyAlignment="1">
      <alignment horizontal="justify" vertical="center" wrapText="1"/>
    </xf>
    <xf numFmtId="0" fontId="3" fillId="0" borderId="57" xfId="0" applyFont="1" applyBorder="1" applyAlignment="1">
      <alignment horizontal="center" vertical="center" wrapText="1"/>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51"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1" xfId="0" applyFont="1" applyBorder="1" applyAlignment="1">
      <alignment horizontal="center" vertical="center"/>
    </xf>
    <xf numFmtId="0" fontId="6" fillId="0" borderId="51" xfId="0" applyFont="1" applyFill="1" applyBorder="1" applyAlignment="1">
      <alignment horizontal="center" vertical="center" wrapText="1"/>
    </xf>
    <xf numFmtId="164" fontId="2" fillId="0" borderId="51" xfId="1" applyNumberFormat="1" applyFont="1" applyFill="1" applyBorder="1" applyAlignment="1" applyProtection="1">
      <alignment horizontal="center" vertical="center" wrapText="1"/>
    </xf>
    <xf numFmtId="170" fontId="2" fillId="0" borderId="51" xfId="1" applyNumberFormat="1" applyFont="1" applyBorder="1" applyAlignment="1">
      <alignment horizontal="center" vertical="center"/>
    </xf>
    <xf numFmtId="170" fontId="32" fillId="0" borderId="51" xfId="1" applyNumberFormat="1" applyFont="1" applyBorder="1" applyAlignment="1">
      <alignment horizontal="center" vertical="center"/>
    </xf>
    <xf numFmtId="0" fontId="32" fillId="0" borderId="51" xfId="0" applyFont="1" applyFill="1" applyBorder="1" applyAlignment="1">
      <alignment horizontal="center" vertical="center"/>
    </xf>
    <xf numFmtId="0" fontId="6" fillId="0" borderId="51" xfId="0" applyFont="1" applyBorder="1" applyAlignment="1">
      <alignment horizontal="justify" vertical="center" wrapText="1"/>
    </xf>
    <xf numFmtId="0" fontId="32" fillId="0" borderId="51" xfId="0" applyFont="1" applyFill="1" applyBorder="1" applyAlignment="1">
      <alignment horizontal="justify" vertical="center" wrapText="1"/>
    </xf>
    <xf numFmtId="0" fontId="2" fillId="0" borderId="0" xfId="0" applyFont="1" applyBorder="1"/>
    <xf numFmtId="0" fontId="2" fillId="0" borderId="0" xfId="0" applyFont="1" applyBorder="1" applyAlignment="1">
      <alignment horizontal="center" wrapText="1"/>
    </xf>
    <xf numFmtId="0" fontId="8" fillId="0" borderId="5" xfId="0" applyFont="1" applyBorder="1" applyAlignment="1">
      <alignment horizontal="left" indent="3"/>
    </xf>
    <xf numFmtId="0" fontId="2" fillId="0" borderId="6" xfId="0" applyFont="1" applyBorder="1"/>
    <xf numFmtId="0" fontId="2" fillId="0" borderId="9" xfId="0" applyFont="1" applyBorder="1"/>
    <xf numFmtId="0" fontId="2" fillId="0" borderId="0" xfId="0" applyFont="1" applyFill="1" applyBorder="1"/>
    <xf numFmtId="0" fontId="2" fillId="0" borderId="8" xfId="0" applyFont="1" applyFill="1" applyBorder="1"/>
    <xf numFmtId="0" fontId="2" fillId="0" borderId="5" xfId="0" applyFont="1" applyBorder="1" applyAlignment="1">
      <alignment horizontal="left" indent="3"/>
    </xf>
    <xf numFmtId="164" fontId="14" fillId="2" borderId="0" xfId="1" applyNumberFormat="1" applyFont="1" applyFill="1" applyBorder="1" applyAlignment="1" applyProtection="1">
      <alignment horizontal="right" vertical="center" wrapText="1"/>
    </xf>
    <xf numFmtId="164" fontId="34" fillId="0" borderId="34" xfId="3" applyNumberFormat="1" applyFont="1" applyBorder="1" applyAlignment="1" applyProtection="1">
      <alignment horizontal="center" vertical="center"/>
    </xf>
    <xf numFmtId="164" fontId="34" fillId="0" borderId="41" xfId="3" applyNumberFormat="1" applyFont="1" applyBorder="1" applyAlignment="1" applyProtection="1">
      <alignment horizontal="center" vertical="center"/>
    </xf>
    <xf numFmtId="164" fontId="35" fillId="0" borderId="41" xfId="3" applyNumberFormat="1" applyFont="1" applyBorder="1" applyAlignment="1" applyProtection="1">
      <alignment horizontal="center" vertical="center"/>
    </xf>
    <xf numFmtId="164" fontId="35" fillId="0" borderId="45" xfId="3" applyNumberFormat="1" applyFont="1" applyBorder="1" applyAlignment="1" applyProtection="1">
      <alignment horizontal="center" vertical="center"/>
    </xf>
    <xf numFmtId="164" fontId="36" fillId="0" borderId="47" xfId="2" applyNumberFormat="1" applyFont="1" applyBorder="1" applyAlignment="1">
      <alignment horizontal="center" vertical="center"/>
    </xf>
    <xf numFmtId="0" fontId="10" fillId="0" borderId="4" xfId="0" applyFont="1" applyBorder="1" applyAlignment="1">
      <alignment horizontal="left" vertical="top" wrapText="1"/>
    </xf>
    <xf numFmtId="0" fontId="0" fillId="0" borderId="0" xfId="0" applyFont="1" applyAlignment="1">
      <alignment horizontal="left"/>
    </xf>
    <xf numFmtId="0" fontId="0" fillId="0" borderId="8" xfId="0" applyFont="1" applyBorder="1" applyAlignment="1">
      <alignment horizontal="left"/>
    </xf>
    <xf numFmtId="0" fontId="10" fillId="2" borderId="0" xfId="0" applyFont="1" applyFill="1" applyBorder="1" applyAlignment="1">
      <alignment horizontal="left" wrapText="1"/>
    </xf>
    <xf numFmtId="0" fontId="10" fillId="2" borderId="8" xfId="0" applyFont="1" applyFill="1" applyBorder="1" applyAlignment="1">
      <alignment horizontal="left" wrapText="1"/>
    </xf>
    <xf numFmtId="0" fontId="5" fillId="0" borderId="0" xfId="0" applyFont="1" applyAlignment="1">
      <alignment horizontal="center"/>
    </xf>
    <xf numFmtId="0" fontId="3" fillId="0" borderId="0" xfId="0" applyFont="1" applyAlignment="1">
      <alignment horizontal="left" vertical="center" wrapText="1"/>
    </xf>
    <xf numFmtId="0" fontId="9" fillId="2" borderId="0" xfId="0" applyFont="1" applyFill="1" applyAlignment="1">
      <alignment horizontal="left" wrapText="1" indent="1"/>
    </xf>
    <xf numFmtId="0" fontId="14" fillId="2" borderId="0" xfId="0" applyFont="1" applyFill="1" applyAlignment="1">
      <alignment horizontal="left" wrapText="1"/>
    </xf>
    <xf numFmtId="0" fontId="14" fillId="2" borderId="8" xfId="0" applyFont="1" applyFill="1" applyBorder="1" applyAlignment="1">
      <alignment horizontal="left" wrapText="1"/>
    </xf>
    <xf numFmtId="0" fontId="14" fillId="2" borderId="0" xfId="0" applyFont="1" applyFill="1" applyAlignment="1">
      <alignment horizontal="left"/>
    </xf>
    <xf numFmtId="0" fontId="14" fillId="2" borderId="8" xfId="0" applyFont="1" applyFill="1" applyBorder="1" applyAlignment="1">
      <alignment horizontal="left"/>
    </xf>
    <xf numFmtId="0" fontId="10" fillId="2" borderId="0" xfId="0" applyFont="1" applyFill="1" applyAlignment="1">
      <alignment horizontal="left" wrapText="1"/>
    </xf>
    <xf numFmtId="0" fontId="2" fillId="2" borderId="0" xfId="0" applyFont="1" applyFill="1" applyAlignment="1">
      <alignment horizontal="left" wrapText="1"/>
    </xf>
    <xf numFmtId="0" fontId="2" fillId="2" borderId="8" xfId="0" applyFont="1" applyFill="1" applyBorder="1" applyAlignment="1">
      <alignment horizontal="left" wrapText="1"/>
    </xf>
    <xf numFmtId="0" fontId="10" fillId="0" borderId="14" xfId="2" applyFont="1" applyFill="1" applyBorder="1" applyAlignment="1">
      <alignment horizontal="left" vertical="center" wrapText="1"/>
    </xf>
    <xf numFmtId="0" fontId="10" fillId="0" borderId="15" xfId="2" applyFont="1" applyFill="1" applyBorder="1" applyAlignment="1"/>
    <xf numFmtId="0" fontId="10" fillId="0" borderId="11" xfId="2" applyFont="1" applyBorder="1" applyAlignment="1">
      <alignment horizontal="center"/>
    </xf>
    <xf numFmtId="0" fontId="19" fillId="0" borderId="12" xfId="2" applyFont="1" applyBorder="1" applyAlignment="1">
      <alignment horizontal="center"/>
    </xf>
    <xf numFmtId="0" fontId="19" fillId="0" borderId="13" xfId="2" applyFont="1" applyBorder="1" applyAlignment="1">
      <alignment horizontal="center" vertical="center" wrapText="1"/>
    </xf>
    <xf numFmtId="0" fontId="10" fillId="0" borderId="14" xfId="2" applyFont="1" applyFill="1" applyBorder="1"/>
    <xf numFmtId="0" fontId="4" fillId="0" borderId="32" xfId="2" applyFont="1" applyBorder="1" applyAlignment="1">
      <alignment horizontal="left" vertical="center" wrapText="1"/>
    </xf>
    <xf numFmtId="0" fontId="4" fillId="0" borderId="33" xfId="2" applyFont="1" applyBorder="1" applyAlignment="1">
      <alignment horizontal="left" vertical="center" wrapText="1"/>
    </xf>
    <xf numFmtId="0" fontId="10" fillId="3" borderId="16" xfId="2" applyFont="1" applyFill="1" applyBorder="1" applyAlignment="1">
      <alignment horizontal="left" vertical="center"/>
    </xf>
    <xf numFmtId="0" fontId="10" fillId="3" borderId="17" xfId="2" applyFont="1" applyFill="1" applyBorder="1" applyAlignment="1">
      <alignment horizontal="left" vertical="center"/>
    </xf>
    <xf numFmtId="0" fontId="10" fillId="3" borderId="18" xfId="2" applyFont="1" applyFill="1" applyBorder="1" applyAlignment="1">
      <alignment horizontal="left" vertical="center"/>
    </xf>
    <xf numFmtId="0" fontId="10" fillId="3" borderId="15" xfId="2" applyFont="1" applyFill="1" applyBorder="1" applyAlignment="1"/>
    <xf numFmtId="0" fontId="10" fillId="0" borderId="16" xfId="2" applyFont="1" applyBorder="1" applyAlignment="1">
      <alignment horizontal="left" vertical="center"/>
    </xf>
    <xf numFmtId="0" fontId="10" fillId="0" borderId="17" xfId="2" applyFont="1" applyBorder="1" applyAlignment="1">
      <alignment horizontal="left" vertical="center"/>
    </xf>
    <xf numFmtId="0" fontId="10" fillId="0" borderId="18" xfId="2" applyFont="1" applyBorder="1" applyAlignment="1">
      <alignment horizontal="left" vertical="center"/>
    </xf>
    <xf numFmtId="0" fontId="10" fillId="0" borderId="15" xfId="2" applyFont="1" applyBorder="1" applyAlignment="1"/>
    <xf numFmtId="0" fontId="20" fillId="0" borderId="19" xfId="2" applyFont="1" applyBorder="1" applyAlignment="1">
      <alignment horizontal="left"/>
    </xf>
    <xf numFmtId="0" fontId="10" fillId="0" borderId="20" xfId="2" applyFont="1" applyBorder="1" applyAlignment="1">
      <alignment horizontal="left"/>
    </xf>
    <xf numFmtId="0" fontId="10" fillId="0" borderId="4" xfId="2" applyNumberFormat="1" applyFont="1" applyBorder="1" applyAlignment="1">
      <alignment horizontal="justify" vertical="center" wrapText="1"/>
    </xf>
    <xf numFmtId="0" fontId="10" fillId="0" borderId="0" xfId="2" applyNumberFormat="1" applyFont="1" applyBorder="1" applyAlignment="1">
      <alignment horizontal="justify" vertical="center" wrapText="1"/>
    </xf>
    <xf numFmtId="0" fontId="10" fillId="0" borderId="8" xfId="2" applyNumberFormat="1" applyFont="1" applyBorder="1" applyAlignment="1">
      <alignment horizontal="justify" vertical="center" wrapText="1"/>
    </xf>
    <xf numFmtId="0" fontId="23" fillId="0" borderId="20" xfId="2" applyFont="1" applyBorder="1" applyAlignment="1">
      <alignment horizontal="center" vertical="center"/>
    </xf>
    <xf numFmtId="0" fontId="23" fillId="0" borderId="14" xfId="2" applyFont="1" applyBorder="1" applyAlignment="1">
      <alignment horizontal="center" vertical="center"/>
    </xf>
    <xf numFmtId="0" fontId="23" fillId="0" borderId="24" xfId="2" applyFont="1" applyBorder="1" applyAlignment="1">
      <alignment horizontal="center" vertical="center" wrapText="1"/>
    </xf>
    <xf numFmtId="0" fontId="23" fillId="0" borderId="25" xfId="2" applyFont="1" applyBorder="1" applyAlignment="1">
      <alignment horizontal="center" vertical="center"/>
    </xf>
    <xf numFmtId="0" fontId="4" fillId="0" borderId="20" xfId="2" applyFont="1" applyBorder="1"/>
    <xf numFmtId="0" fontId="23" fillId="0" borderId="48" xfId="2" applyFont="1" applyBorder="1" applyAlignment="1">
      <alignment vertical="center" wrapText="1"/>
    </xf>
    <xf numFmtId="0" fontId="4" fillId="0" borderId="25" xfId="2" applyFont="1" applyBorder="1" applyAlignment="1">
      <alignment vertical="center" wrapText="1"/>
    </xf>
    <xf numFmtId="0" fontId="4" fillId="0" borderId="49" xfId="2" applyFont="1" applyBorder="1" applyAlignment="1">
      <alignment horizontal="left" vertical="center" wrapText="1" indent="1"/>
    </xf>
    <xf numFmtId="0" fontId="4" fillId="0" borderId="39" xfId="2" applyFont="1" applyBorder="1" applyAlignment="1">
      <alignment horizontal="left" vertical="center" wrapText="1"/>
    </xf>
    <xf numFmtId="0" fontId="4" fillId="0" borderId="40" xfId="2" applyFont="1" applyBorder="1" applyAlignment="1">
      <alignment horizontal="left" vertical="center" wrapText="1"/>
    </xf>
    <xf numFmtId="0" fontId="10" fillId="0" borderId="38" xfId="2" applyFont="1" applyBorder="1" applyAlignment="1">
      <alignment horizontal="center"/>
    </xf>
    <xf numFmtId="0" fontId="10" fillId="0" borderId="38" xfId="2" applyFont="1" applyBorder="1" applyAlignment="1">
      <alignment horizontal="center" vertical="center"/>
    </xf>
    <xf numFmtId="0" fontId="10" fillId="0" borderId="43" xfId="2" applyFont="1" applyBorder="1" applyAlignment="1">
      <alignment horizontal="left" vertical="center"/>
    </xf>
    <xf numFmtId="0" fontId="25" fillId="0" borderId="46" xfId="2" applyFont="1" applyBorder="1" applyAlignment="1">
      <alignment horizontal="left" vertical="center" wrapText="1"/>
    </xf>
    <xf numFmtId="0" fontId="28" fillId="0" borderId="48" xfId="2" applyFont="1" applyFill="1" applyBorder="1" applyAlignment="1">
      <alignment horizontal="left" vertical="center" wrapText="1"/>
    </xf>
    <xf numFmtId="0" fontId="29" fillId="3" borderId="48" xfId="2" applyFont="1" applyFill="1" applyBorder="1" applyAlignment="1">
      <alignment horizontal="left" vertical="center" wrapText="1"/>
    </xf>
    <xf numFmtId="0" fontId="26" fillId="0" borderId="3" xfId="2" applyFont="1" applyBorder="1" applyAlignment="1">
      <alignment horizontal="center" vertical="center" wrapText="1"/>
    </xf>
    <xf numFmtId="0" fontId="26" fillId="0" borderId="2" xfId="2" applyFont="1" applyBorder="1" applyAlignment="1">
      <alignment horizontal="center" vertical="center" wrapText="1"/>
    </xf>
    <xf numFmtId="0" fontId="26" fillId="0" borderId="7" xfId="2" applyFont="1" applyBorder="1" applyAlignment="1">
      <alignment horizontal="center" vertical="center" wrapText="1"/>
    </xf>
    <xf numFmtId="0" fontId="29" fillId="0" borderId="48" xfId="2" applyFont="1" applyFill="1" applyBorder="1" applyAlignment="1">
      <alignment vertical="center" wrapText="1"/>
    </xf>
    <xf numFmtId="0" fontId="29" fillId="0" borderId="48" xfId="2" applyFont="1" applyFill="1" applyBorder="1" applyAlignment="1">
      <alignment horizontal="left" vertical="center" wrapText="1"/>
    </xf>
    <xf numFmtId="0" fontId="28" fillId="0" borderId="3" xfId="2" applyFont="1" applyBorder="1" applyAlignment="1">
      <alignment horizontal="left" vertical="center"/>
    </xf>
    <xf numFmtId="0" fontId="28" fillId="0" borderId="2" xfId="2" applyFont="1" applyBorder="1" applyAlignment="1">
      <alignment horizontal="left" vertical="center"/>
    </xf>
    <xf numFmtId="0" fontId="28" fillId="0" borderId="7" xfId="2" applyFont="1" applyBorder="1" applyAlignment="1">
      <alignment horizontal="left" vertical="center"/>
    </xf>
    <xf numFmtId="0" fontId="16" fillId="0" borderId="51" xfId="2" applyFont="1" applyBorder="1" applyAlignment="1">
      <alignment horizontal="left" vertical="top" wrapText="1"/>
    </xf>
    <xf numFmtId="0" fontId="29" fillId="0" borderId="48" xfId="2" applyFont="1" applyBorder="1" applyAlignment="1">
      <alignment horizontal="left" vertical="center" wrapText="1"/>
    </xf>
    <xf numFmtId="0" fontId="29" fillId="0" borderId="48" xfId="2" applyFont="1" applyBorder="1" applyAlignment="1">
      <alignment vertical="center" wrapText="1"/>
    </xf>
  </cellXfs>
  <cellStyles count="5">
    <cellStyle name="Moneda" xfId="1" builtinId="4"/>
    <cellStyle name="Moneda 2" xfId="4" xr:uid="{00000000-0005-0000-0000-000001000000}"/>
    <cellStyle name="Moneda_AUTORIZACION Y NOTA DE PEDIDO" xfId="3" xr:uid="{00000000-0005-0000-0000-000002000000}"/>
    <cellStyle name="Normal" xfId="0" builtinId="0"/>
    <cellStyle name="Normal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tabSelected="1" workbookViewId="0">
      <selection activeCell="H12" sqref="H12"/>
    </sheetView>
  </sheetViews>
  <sheetFormatPr baseColWidth="10" defaultRowHeight="15" x14ac:dyDescent="0.25"/>
  <cols>
    <col min="1" max="1" width="4.5703125" customWidth="1"/>
    <col min="2" max="2" width="14.5703125" customWidth="1"/>
    <col min="3" max="3" width="28" customWidth="1"/>
    <col min="4" max="4" width="8.42578125" customWidth="1"/>
    <col min="5" max="5" width="64.7109375" customWidth="1"/>
    <col min="7" max="7" width="12.7109375" customWidth="1"/>
    <col min="8" max="8" width="13.85546875" customWidth="1"/>
    <col min="9" max="9" width="17.5703125" customWidth="1"/>
    <col min="10" max="10" width="16.5703125" customWidth="1"/>
    <col min="12" max="12" width="11.85546875" bestFit="1" customWidth="1"/>
  </cols>
  <sheetData>
    <row r="1" spans="1:12" ht="27" x14ac:dyDescent="0.35">
      <c r="A1" s="1"/>
      <c r="B1" s="128" t="s">
        <v>5</v>
      </c>
      <c r="C1" s="128"/>
      <c r="D1" s="128"/>
      <c r="E1" s="128"/>
      <c r="F1" s="128"/>
      <c r="G1" s="128"/>
      <c r="H1" s="128"/>
      <c r="I1" s="1"/>
    </row>
    <row r="2" spans="1:12" x14ac:dyDescent="0.25">
      <c r="A2" s="1"/>
      <c r="B2" s="1"/>
      <c r="C2" s="1"/>
      <c r="D2" s="1"/>
      <c r="E2" s="1"/>
      <c r="F2" s="1"/>
      <c r="G2" s="1"/>
      <c r="H2" s="1"/>
      <c r="I2" s="1"/>
    </row>
    <row r="3" spans="1:12" ht="15.75" x14ac:dyDescent="0.25">
      <c r="A3" s="129" t="s">
        <v>0</v>
      </c>
      <c r="B3" s="129"/>
      <c r="C3" s="130" t="s">
        <v>10</v>
      </c>
      <c r="D3" s="130"/>
      <c r="E3" s="130"/>
      <c r="F3" s="3"/>
      <c r="G3" s="10"/>
      <c r="H3" s="3"/>
      <c r="I3" s="1"/>
    </row>
    <row r="4" spans="1:12" ht="15.75" x14ac:dyDescent="0.25">
      <c r="A4" s="129" t="s">
        <v>1</v>
      </c>
      <c r="B4" s="129"/>
      <c r="C4" s="130" t="s">
        <v>11</v>
      </c>
      <c r="D4" s="130"/>
      <c r="E4" s="130"/>
      <c r="F4" s="3"/>
      <c r="G4" s="10"/>
      <c r="H4" s="3"/>
      <c r="I4" s="1"/>
    </row>
    <row r="5" spans="1:12" ht="15.75" x14ac:dyDescent="0.25">
      <c r="A5" s="129" t="s">
        <v>2</v>
      </c>
      <c r="B5" s="129"/>
      <c r="C5" s="9">
        <v>2022</v>
      </c>
      <c r="D5" s="14"/>
      <c r="E5" s="14"/>
      <c r="F5" s="3"/>
      <c r="G5" s="10"/>
      <c r="H5" s="3"/>
      <c r="I5" s="1"/>
    </row>
    <row r="6" spans="1:12" ht="15.75" x14ac:dyDescent="0.25">
      <c r="A6" s="129" t="s">
        <v>3</v>
      </c>
      <c r="B6" s="129"/>
      <c r="C6" s="9">
        <v>2</v>
      </c>
      <c r="D6" s="14"/>
      <c r="E6" s="14"/>
      <c r="F6" s="3"/>
      <c r="G6" s="10"/>
      <c r="H6" s="3"/>
      <c r="I6" s="1"/>
    </row>
    <row r="7" spans="1:12" ht="15.75" x14ac:dyDescent="0.25">
      <c r="A7" s="23"/>
      <c r="B7" s="23"/>
      <c r="C7" s="24"/>
      <c r="D7" s="14"/>
      <c r="E7" s="14"/>
      <c r="F7" s="3"/>
      <c r="G7" s="10"/>
      <c r="H7" s="3"/>
      <c r="I7" s="1"/>
    </row>
    <row r="8" spans="1:12" ht="15.6" thickBot="1" x14ac:dyDescent="0.3">
      <c r="A8" s="1"/>
      <c r="B8" s="3"/>
      <c r="C8" s="10"/>
      <c r="D8" s="3"/>
      <c r="E8" s="3"/>
      <c r="F8" s="3"/>
      <c r="G8" s="10"/>
      <c r="H8" s="3"/>
      <c r="I8" s="1"/>
    </row>
    <row r="9" spans="1:12" ht="43.5" thickBot="1" x14ac:dyDescent="0.3">
      <c r="A9" s="94" t="s">
        <v>4</v>
      </c>
      <c r="B9" s="95" t="s">
        <v>6</v>
      </c>
      <c r="C9" s="95" t="s">
        <v>12</v>
      </c>
      <c r="D9" s="95" t="s">
        <v>14</v>
      </c>
      <c r="E9" s="95" t="s">
        <v>15</v>
      </c>
      <c r="F9" s="95" t="s">
        <v>16</v>
      </c>
      <c r="G9" s="95" t="s">
        <v>17</v>
      </c>
      <c r="H9" s="95" t="s">
        <v>18</v>
      </c>
      <c r="I9" s="96" t="s">
        <v>19</v>
      </c>
    </row>
    <row r="10" spans="1:12" ht="76.5" x14ac:dyDescent="0.25">
      <c r="A10" s="97">
        <v>1</v>
      </c>
      <c r="B10" s="85" t="s">
        <v>20</v>
      </c>
      <c r="C10" s="85" t="s">
        <v>21</v>
      </c>
      <c r="D10" s="98" t="s">
        <v>24</v>
      </c>
      <c r="E10" s="92" t="s">
        <v>22</v>
      </c>
      <c r="F10" s="83" t="s">
        <v>23</v>
      </c>
      <c r="G10" s="83">
        <v>1300</v>
      </c>
      <c r="H10" s="82">
        <v>15000</v>
      </c>
      <c r="I10" s="82">
        <f t="shared" ref="I10" si="0">G10*H10</f>
        <v>19500000</v>
      </c>
      <c r="J10" s="25">
        <f>G10*H10</f>
        <v>19500000</v>
      </c>
      <c r="K10" t="s">
        <v>22</v>
      </c>
      <c r="L10" t="b">
        <f>E10=K10</f>
        <v>1</v>
      </c>
    </row>
    <row r="11" spans="1:12" ht="76.5" x14ac:dyDescent="0.25">
      <c r="A11" s="99">
        <v>2</v>
      </c>
      <c r="B11" s="79" t="s">
        <v>72</v>
      </c>
      <c r="C11" s="99" t="s">
        <v>21</v>
      </c>
      <c r="D11" s="99" t="s">
        <v>65</v>
      </c>
      <c r="E11" s="107" t="s">
        <v>73</v>
      </c>
      <c r="F11" s="100" t="s">
        <v>58</v>
      </c>
      <c r="G11" s="101">
        <v>10</v>
      </c>
      <c r="H11" s="105">
        <v>60000</v>
      </c>
      <c r="I11" s="104">
        <f>G11*H11</f>
        <v>600000</v>
      </c>
      <c r="J11" s="25">
        <f t="shared" ref="J11:J12" si="1">G11*H11</f>
        <v>600000</v>
      </c>
      <c r="K11" t="s">
        <v>73</v>
      </c>
      <c r="L11" t="b">
        <f t="shared" ref="L11:L12" si="2">E11=K11</f>
        <v>1</v>
      </c>
    </row>
    <row r="12" spans="1:12" ht="67.150000000000006" customHeight="1" x14ac:dyDescent="0.25">
      <c r="A12" s="101">
        <v>3</v>
      </c>
      <c r="B12" s="106" t="s">
        <v>64</v>
      </c>
      <c r="C12" s="106" t="s">
        <v>21</v>
      </c>
      <c r="D12" s="102" t="s">
        <v>65</v>
      </c>
      <c r="E12" s="108" t="s">
        <v>66</v>
      </c>
      <c r="F12" s="102" t="s">
        <v>58</v>
      </c>
      <c r="G12" s="102">
        <v>150</v>
      </c>
      <c r="H12" s="103">
        <v>17000</v>
      </c>
      <c r="I12" s="103">
        <f>+G12*H12</f>
        <v>2550000</v>
      </c>
      <c r="J12" s="25">
        <f t="shared" si="1"/>
        <v>2550000</v>
      </c>
      <c r="K12" t="s">
        <v>66</v>
      </c>
      <c r="L12" t="b">
        <f t="shared" si="2"/>
        <v>1</v>
      </c>
    </row>
    <row r="13" spans="1:12" ht="15.75" thickBot="1" x14ac:dyDescent="0.3">
      <c r="A13" s="2"/>
      <c r="B13" s="22"/>
      <c r="C13" s="11"/>
      <c r="D13" s="21"/>
      <c r="E13" s="15"/>
      <c r="F13" s="4"/>
      <c r="G13" s="4"/>
      <c r="H13" s="19"/>
      <c r="I13" s="117">
        <f>SUM(I10:I12)</f>
        <v>22650000</v>
      </c>
      <c r="J13" s="25">
        <f>SUM(J10:J12)</f>
        <v>22650000</v>
      </c>
    </row>
    <row r="14" spans="1:12" x14ac:dyDescent="0.25">
      <c r="A14" s="1"/>
      <c r="B14" s="5" t="s">
        <v>69</v>
      </c>
      <c r="C14" s="12"/>
      <c r="D14" s="12"/>
      <c r="E14" s="16"/>
      <c r="F14" s="1"/>
      <c r="G14" s="1"/>
      <c r="H14" s="1"/>
      <c r="I14" s="1"/>
      <c r="J14" s="25"/>
    </row>
    <row r="15" spans="1:12" ht="14.85" x14ac:dyDescent="0.25">
      <c r="A15" s="1"/>
      <c r="B15" s="6"/>
      <c r="C15" s="1"/>
      <c r="D15" s="1"/>
      <c r="E15" s="17"/>
      <c r="F15" s="1"/>
      <c r="G15" s="1"/>
      <c r="H15" s="1"/>
      <c r="I15" s="1"/>
    </row>
    <row r="16" spans="1:12" x14ac:dyDescent="0.25">
      <c r="A16" s="1"/>
      <c r="B16" s="7" t="s">
        <v>7</v>
      </c>
      <c r="C16" s="1"/>
      <c r="D16" s="1"/>
      <c r="E16" s="17"/>
      <c r="F16" s="1"/>
      <c r="G16" s="1"/>
      <c r="H16" s="1"/>
      <c r="I16" s="1"/>
    </row>
    <row r="17" spans="1:13" ht="23.25" customHeight="1" thickBot="1" x14ac:dyDescent="0.3">
      <c r="A17" s="1"/>
      <c r="B17" s="7"/>
      <c r="C17" s="135" t="s">
        <v>74</v>
      </c>
      <c r="D17" s="136"/>
      <c r="E17" s="137"/>
      <c r="F17" s="1"/>
      <c r="G17" s="1"/>
      <c r="H17" s="1"/>
      <c r="I17" s="1"/>
    </row>
    <row r="18" spans="1:13" ht="14.85" x14ac:dyDescent="0.25">
      <c r="A18" s="1"/>
      <c r="B18" s="7" t="s">
        <v>8</v>
      </c>
      <c r="C18" s="1"/>
      <c r="D18" s="1"/>
      <c r="E18" s="17"/>
      <c r="F18" s="1"/>
      <c r="G18" s="34"/>
      <c r="H18" s="34"/>
      <c r="I18" s="34"/>
      <c r="J18" s="34"/>
      <c r="K18" s="35"/>
    </row>
    <row r="19" spans="1:13" x14ac:dyDescent="0.25">
      <c r="A19" s="1"/>
      <c r="B19" s="8"/>
      <c r="C19" s="135" t="s">
        <v>13</v>
      </c>
      <c r="D19" s="135"/>
      <c r="E19" s="127"/>
      <c r="F19" s="1"/>
      <c r="G19" s="1"/>
      <c r="H19" s="36"/>
      <c r="I19" s="36"/>
      <c r="J19" s="37"/>
    </row>
    <row r="20" spans="1:13" ht="63" customHeight="1" x14ac:dyDescent="0.25">
      <c r="A20" s="1"/>
      <c r="B20" s="8"/>
      <c r="C20" s="135"/>
      <c r="D20" s="135"/>
      <c r="E20" s="127"/>
      <c r="F20" s="1"/>
      <c r="G20" s="1"/>
      <c r="H20" s="1"/>
      <c r="I20" s="1"/>
      <c r="J20" s="1"/>
      <c r="K20" s="1"/>
      <c r="L20" s="1"/>
      <c r="M20" s="1"/>
    </row>
    <row r="21" spans="1:13" ht="15" customHeight="1" x14ac:dyDescent="0.25">
      <c r="A21" s="1"/>
      <c r="B21" s="7" t="s">
        <v>9</v>
      </c>
      <c r="C21" s="1"/>
      <c r="D21" s="1"/>
      <c r="E21" s="17"/>
      <c r="F21" s="1"/>
      <c r="G21" s="1"/>
      <c r="H21" s="1"/>
      <c r="I21" s="1"/>
      <c r="J21" s="1"/>
      <c r="K21" s="1"/>
      <c r="L21" s="1"/>
      <c r="M21" s="1"/>
    </row>
    <row r="22" spans="1:13" ht="15" customHeight="1" x14ac:dyDescent="0.25">
      <c r="A22" s="1"/>
      <c r="B22" s="8"/>
      <c r="C22" s="136"/>
      <c r="D22" s="136"/>
      <c r="E22" s="137"/>
      <c r="F22" s="1"/>
      <c r="G22" s="1"/>
      <c r="H22" s="1"/>
      <c r="I22" s="1"/>
      <c r="J22" s="1"/>
      <c r="K22" s="1"/>
      <c r="L22" s="1"/>
      <c r="M22" s="1"/>
    </row>
    <row r="23" spans="1:13" ht="15" customHeight="1" x14ac:dyDescent="0.25">
      <c r="A23" s="1"/>
      <c r="B23" s="7" t="s">
        <v>71</v>
      </c>
      <c r="C23" s="13"/>
      <c r="D23" s="13"/>
      <c r="E23" s="18"/>
      <c r="F23" s="1"/>
      <c r="G23" s="1"/>
      <c r="H23" s="1"/>
      <c r="I23" s="1"/>
      <c r="J23" s="1"/>
      <c r="K23" s="1"/>
      <c r="L23" s="1"/>
      <c r="M23" s="1"/>
    </row>
    <row r="24" spans="1:13" ht="9.1999999999999993" customHeight="1" x14ac:dyDescent="0.25">
      <c r="A24" s="1"/>
      <c r="B24" s="30"/>
      <c r="C24" s="131"/>
      <c r="D24" s="131"/>
      <c r="E24" s="132"/>
      <c r="F24" s="1"/>
      <c r="G24" s="1"/>
      <c r="H24" s="1"/>
      <c r="I24" s="1"/>
      <c r="J24" s="1"/>
      <c r="K24" s="1"/>
      <c r="L24" s="1"/>
      <c r="M24" s="1"/>
    </row>
    <row r="25" spans="1:13" ht="15" customHeight="1" x14ac:dyDescent="0.25">
      <c r="A25" s="1"/>
      <c r="B25" s="29"/>
      <c r="C25" s="27"/>
      <c r="D25" s="27"/>
      <c r="E25" s="28"/>
      <c r="F25" s="1"/>
      <c r="G25" s="1"/>
      <c r="H25" s="1"/>
      <c r="I25" s="1"/>
      <c r="J25" s="1"/>
      <c r="K25" s="1"/>
      <c r="L25" s="1"/>
      <c r="M25" s="1"/>
    </row>
    <row r="26" spans="1:13" ht="14.85" customHeight="1" x14ac:dyDescent="0.25">
      <c r="A26" s="1"/>
      <c r="B26" s="29"/>
      <c r="C26" s="131"/>
      <c r="D26" s="133"/>
      <c r="E26" s="134"/>
      <c r="F26" s="1"/>
      <c r="G26" s="1"/>
      <c r="H26" s="1"/>
      <c r="I26" s="1"/>
      <c r="J26" s="1"/>
      <c r="K26" s="1"/>
      <c r="L26" s="1"/>
      <c r="M26" s="1"/>
    </row>
    <row r="27" spans="1:13" ht="15.6" customHeight="1" thickBot="1" x14ac:dyDescent="0.3">
      <c r="A27" s="1"/>
      <c r="B27" s="31"/>
      <c r="C27" s="32"/>
      <c r="D27" s="32"/>
      <c r="E27" s="33"/>
      <c r="F27" s="1"/>
      <c r="G27" s="1"/>
      <c r="H27" s="1"/>
      <c r="I27" s="1"/>
      <c r="J27" s="1"/>
      <c r="K27" s="1"/>
      <c r="L27" s="1"/>
      <c r="M27" s="1"/>
    </row>
    <row r="28" spans="1:13" ht="15.6" thickBot="1" x14ac:dyDescent="0.3">
      <c r="A28" s="2"/>
      <c r="B28" s="22"/>
      <c r="C28" s="11"/>
      <c r="D28" s="20"/>
      <c r="E28" s="15"/>
      <c r="F28" s="4"/>
      <c r="G28" s="4"/>
      <c r="H28" s="19"/>
      <c r="I28" s="19"/>
    </row>
    <row r="29" spans="1:13" ht="22.15" customHeight="1" x14ac:dyDescent="0.25">
      <c r="B29" s="5" t="s">
        <v>68</v>
      </c>
      <c r="C29" s="12"/>
      <c r="D29" s="12"/>
      <c r="E29" s="16"/>
    </row>
    <row r="30" spans="1:13" ht="41.65" customHeight="1" x14ac:dyDescent="0.25">
      <c r="B30" s="123" t="s">
        <v>76</v>
      </c>
      <c r="C30" s="124"/>
      <c r="D30" s="124"/>
      <c r="E30" s="125"/>
    </row>
    <row r="31" spans="1:13" x14ac:dyDescent="0.25">
      <c r="B31" s="7" t="s">
        <v>8</v>
      </c>
      <c r="C31" s="109"/>
      <c r="D31" s="109"/>
      <c r="E31" s="17"/>
    </row>
    <row r="32" spans="1:13" x14ac:dyDescent="0.25">
      <c r="B32" s="8"/>
      <c r="C32" s="126" t="s">
        <v>13</v>
      </c>
      <c r="D32" s="126"/>
      <c r="E32" s="127"/>
    </row>
    <row r="33" spans="2:6" ht="67.150000000000006" customHeight="1" x14ac:dyDescent="0.25">
      <c r="B33" s="8"/>
      <c r="C33" s="126"/>
      <c r="D33" s="126"/>
      <c r="E33" s="127"/>
      <c r="F33" s="26"/>
    </row>
    <row r="34" spans="2:6" ht="28.9" customHeight="1" x14ac:dyDescent="0.25">
      <c r="B34" s="7" t="s">
        <v>9</v>
      </c>
      <c r="C34" s="109"/>
      <c r="D34" s="109"/>
      <c r="E34" s="17"/>
    </row>
    <row r="35" spans="2:6" ht="36.75" customHeight="1" x14ac:dyDescent="0.25">
      <c r="B35" s="7" t="s">
        <v>71</v>
      </c>
      <c r="C35" s="110"/>
      <c r="D35" s="110"/>
      <c r="E35" s="18"/>
    </row>
    <row r="36" spans="2:6" ht="33.200000000000003" customHeight="1" thickBot="1" x14ac:dyDescent="0.3">
      <c r="B36" s="111" t="s">
        <v>67</v>
      </c>
      <c r="C36" s="112"/>
      <c r="D36" s="112"/>
      <c r="E36" s="113"/>
    </row>
    <row r="37" spans="2:6" ht="15.75" thickBot="1" x14ac:dyDescent="0.3"/>
    <row r="38" spans="2:6" x14ac:dyDescent="0.25">
      <c r="B38" s="5" t="s">
        <v>70</v>
      </c>
      <c r="C38" s="12"/>
      <c r="D38" s="12"/>
      <c r="E38" s="16"/>
    </row>
    <row r="39" spans="2:6" x14ac:dyDescent="0.25">
      <c r="B39" s="7" t="s">
        <v>7</v>
      </c>
      <c r="C39" s="1"/>
      <c r="D39" s="1"/>
      <c r="E39" s="17"/>
    </row>
    <row r="40" spans="2:6" x14ac:dyDescent="0.25">
      <c r="B40" s="7"/>
      <c r="C40" s="114" t="s">
        <v>75</v>
      </c>
      <c r="D40" s="114"/>
      <c r="E40" s="115"/>
    </row>
    <row r="41" spans="2:6" x14ac:dyDescent="0.25">
      <c r="B41" s="7"/>
      <c r="C41" s="114"/>
      <c r="D41" s="114"/>
      <c r="E41" s="115"/>
    </row>
    <row r="42" spans="2:6" x14ac:dyDescent="0.25">
      <c r="B42" s="7" t="s">
        <v>8</v>
      </c>
      <c r="C42" s="1"/>
      <c r="D42" s="1"/>
      <c r="E42" s="17"/>
    </row>
    <row r="43" spans="2:6" x14ac:dyDescent="0.25">
      <c r="B43" s="8"/>
      <c r="C43" s="126" t="s">
        <v>13</v>
      </c>
      <c r="D43" s="126"/>
      <c r="E43" s="127"/>
    </row>
    <row r="44" spans="2:6" ht="67.900000000000006" customHeight="1" x14ac:dyDescent="0.25">
      <c r="B44" s="8"/>
      <c r="C44" s="126"/>
      <c r="D44" s="126"/>
      <c r="E44" s="127"/>
    </row>
    <row r="45" spans="2:6" ht="19.899999999999999" customHeight="1" x14ac:dyDescent="0.25">
      <c r="B45" s="7" t="s">
        <v>9</v>
      </c>
      <c r="C45" s="1"/>
      <c r="D45" s="1"/>
      <c r="E45" s="17"/>
    </row>
    <row r="46" spans="2:6" ht="24.75" customHeight="1" x14ac:dyDescent="0.25">
      <c r="B46" s="7" t="s">
        <v>71</v>
      </c>
      <c r="C46" s="13"/>
      <c r="D46" s="13"/>
      <c r="E46" s="18"/>
    </row>
    <row r="47" spans="2:6" ht="24" customHeight="1" x14ac:dyDescent="0.25">
      <c r="B47" s="7" t="s">
        <v>67</v>
      </c>
      <c r="C47" s="1"/>
      <c r="D47" s="1"/>
      <c r="E47" s="17"/>
    </row>
    <row r="48" spans="2:6" ht="15.75" thickBot="1" x14ac:dyDescent="0.3">
      <c r="B48" s="116"/>
      <c r="C48" s="112"/>
      <c r="D48" s="112"/>
      <c r="E48" s="113"/>
    </row>
  </sheetData>
  <mergeCells count="15">
    <mergeCell ref="B30:E30"/>
    <mergeCell ref="C32:E33"/>
    <mergeCell ref="C43:E44"/>
    <mergeCell ref="B1:H1"/>
    <mergeCell ref="A3:B3"/>
    <mergeCell ref="C3:E3"/>
    <mergeCell ref="A4:B4"/>
    <mergeCell ref="C4:E4"/>
    <mergeCell ref="C24:E24"/>
    <mergeCell ref="C26:E26"/>
    <mergeCell ref="A5:B5"/>
    <mergeCell ref="A6:B6"/>
    <mergeCell ref="C17:E17"/>
    <mergeCell ref="C19:E20"/>
    <mergeCell ref="C22:E22"/>
  </mergeCells>
  <pageMargins left="0.23622047244094491" right="0.23622047244094491" top="0.74803149606299213" bottom="0.74803149606299213" header="0.31496062992125984" footer="0.31496062992125984"/>
  <pageSetup paperSize="5"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
  <sheetViews>
    <sheetView workbookViewId="0">
      <selection activeCell="A24" sqref="A24:Q25"/>
    </sheetView>
  </sheetViews>
  <sheetFormatPr baseColWidth="10" defaultColWidth="11.42578125" defaultRowHeight="12.75" x14ac:dyDescent="0.2"/>
  <cols>
    <col min="1" max="1" width="3.140625" style="41" customWidth="1"/>
    <col min="2" max="2" width="3.42578125" style="41" customWidth="1"/>
    <col min="3" max="4" width="3.5703125" style="41" customWidth="1"/>
    <col min="5" max="5" width="3.42578125" style="41" customWidth="1"/>
    <col min="6" max="6" width="13.42578125" style="41" customWidth="1"/>
    <col min="7" max="8" width="3" style="41" customWidth="1"/>
    <col min="9" max="9" width="2.85546875" style="41" customWidth="1"/>
    <col min="10" max="10" width="3" style="41" customWidth="1"/>
    <col min="11" max="11" width="2.7109375" style="41" customWidth="1"/>
    <col min="12" max="12" width="3.140625" style="41" customWidth="1"/>
    <col min="13" max="13" width="2.7109375" style="41" customWidth="1"/>
    <col min="14" max="14" width="3.7109375" style="41" customWidth="1"/>
    <col min="15" max="15" width="14.42578125" style="41" customWidth="1"/>
    <col min="16" max="16" width="7.85546875" style="41" customWidth="1"/>
    <col min="17" max="17" width="13.28515625" style="41" customWidth="1"/>
    <col min="18" max="16384" width="11.42578125" style="41"/>
  </cols>
  <sheetData>
    <row r="1" spans="1:20" ht="15.75" thickBot="1" x14ac:dyDescent="0.3">
      <c r="A1" s="140" t="s">
        <v>2</v>
      </c>
      <c r="B1" s="140"/>
      <c r="C1" s="140"/>
      <c r="D1" s="141">
        <v>2022</v>
      </c>
      <c r="E1" s="141"/>
      <c r="F1" s="38"/>
      <c r="G1" s="38"/>
      <c r="H1" s="39"/>
      <c r="I1" s="39"/>
      <c r="J1" s="39"/>
      <c r="K1" s="39"/>
      <c r="L1" s="39"/>
      <c r="M1" s="39"/>
      <c r="N1" s="39"/>
      <c r="O1" s="40"/>
      <c r="P1" s="142" t="s">
        <v>25</v>
      </c>
      <c r="Q1" s="142"/>
    </row>
    <row r="2" spans="1:20" ht="15.75" thickBot="1" x14ac:dyDescent="0.3">
      <c r="A2" s="42"/>
      <c r="B2" s="43"/>
      <c r="C2" s="43"/>
      <c r="D2" s="43"/>
      <c r="E2" s="43"/>
      <c r="F2" s="43"/>
      <c r="G2" s="44"/>
      <c r="H2" s="45"/>
      <c r="I2" s="45"/>
      <c r="J2" s="45"/>
      <c r="K2" s="45"/>
      <c r="L2" s="45"/>
      <c r="M2" s="45"/>
      <c r="N2" s="45"/>
      <c r="O2" s="43"/>
      <c r="P2" s="142"/>
      <c r="Q2" s="142"/>
    </row>
    <row r="3" spans="1:20" ht="15.75" thickBot="1" x14ac:dyDescent="0.3">
      <c r="A3" s="42"/>
      <c r="B3" s="43"/>
      <c r="C3" s="43"/>
      <c r="D3" s="43"/>
      <c r="E3" s="43"/>
      <c r="F3" s="43"/>
      <c r="G3" s="44"/>
      <c r="H3" s="43"/>
      <c r="I3" s="43"/>
      <c r="J3" s="43"/>
      <c r="K3" s="43"/>
      <c r="L3" s="43"/>
      <c r="M3" s="43"/>
      <c r="N3" s="43"/>
      <c r="O3" s="43"/>
      <c r="P3" s="43"/>
      <c r="Q3" s="46"/>
    </row>
    <row r="4" spans="1:20" ht="15.75" thickBot="1" x14ac:dyDescent="0.3">
      <c r="A4" s="143" t="s">
        <v>26</v>
      </c>
      <c r="B4" s="143"/>
      <c r="C4" s="143"/>
      <c r="D4" s="143"/>
      <c r="E4" s="143"/>
      <c r="F4" s="143"/>
      <c r="G4" s="139" t="s">
        <v>10</v>
      </c>
      <c r="H4" s="139"/>
      <c r="I4" s="139"/>
      <c r="J4" s="139"/>
      <c r="K4" s="139"/>
      <c r="L4" s="139"/>
      <c r="M4" s="139"/>
      <c r="N4" s="139"/>
      <c r="O4" s="139"/>
      <c r="P4" s="139"/>
      <c r="Q4" s="139"/>
    </row>
    <row r="5" spans="1:20" ht="15.75" thickBot="1" x14ac:dyDescent="0.3">
      <c r="A5" s="138" t="s">
        <v>27</v>
      </c>
      <c r="B5" s="138"/>
      <c r="C5" s="138"/>
      <c r="D5" s="138"/>
      <c r="E5" s="138"/>
      <c r="F5" s="138"/>
      <c r="G5" s="139" t="s">
        <v>11</v>
      </c>
      <c r="H5" s="139"/>
      <c r="I5" s="139"/>
      <c r="J5" s="139"/>
      <c r="K5" s="139"/>
      <c r="L5" s="139"/>
      <c r="M5" s="139"/>
      <c r="N5" s="139"/>
      <c r="O5" s="139"/>
      <c r="P5" s="139"/>
      <c r="Q5" s="139"/>
    </row>
    <row r="6" spans="1:20" ht="15.75" thickBot="1" x14ac:dyDescent="0.3">
      <c r="A6" s="146" t="s">
        <v>28</v>
      </c>
      <c r="B6" s="147"/>
      <c r="C6" s="147"/>
      <c r="D6" s="147"/>
      <c r="E6" s="147"/>
      <c r="F6" s="148"/>
      <c r="G6" s="149" t="s">
        <v>29</v>
      </c>
      <c r="H6" s="149"/>
      <c r="I6" s="149"/>
      <c r="J6" s="149"/>
      <c r="K6" s="149"/>
      <c r="L6" s="149"/>
      <c r="M6" s="149"/>
      <c r="N6" s="149"/>
      <c r="O6" s="149"/>
      <c r="P6" s="149"/>
      <c r="Q6" s="149"/>
    </row>
    <row r="7" spans="1:20" ht="15.75" thickBot="1" x14ac:dyDescent="0.3">
      <c r="A7" s="150" t="s">
        <v>30</v>
      </c>
      <c r="B7" s="151"/>
      <c r="C7" s="151"/>
      <c r="D7" s="151"/>
      <c r="E7" s="151"/>
      <c r="F7" s="152"/>
      <c r="G7" s="153" t="s">
        <v>29</v>
      </c>
      <c r="H7" s="153"/>
      <c r="I7" s="153"/>
      <c r="J7" s="153"/>
      <c r="K7" s="153"/>
      <c r="L7" s="153"/>
      <c r="M7" s="153"/>
      <c r="N7" s="153"/>
      <c r="O7" s="153"/>
      <c r="P7" s="153"/>
      <c r="Q7" s="153"/>
    </row>
    <row r="8" spans="1:20" ht="15" thickBot="1" x14ac:dyDescent="0.25">
      <c r="A8" s="154" t="s">
        <v>31</v>
      </c>
      <c r="B8" s="154"/>
      <c r="C8" s="154"/>
      <c r="D8" s="154"/>
      <c r="E8" s="154"/>
      <c r="F8" s="154"/>
      <c r="G8" s="154"/>
      <c r="H8" s="154"/>
      <c r="I8" s="154"/>
      <c r="J8" s="154"/>
      <c r="K8" s="154"/>
      <c r="L8" s="154"/>
      <c r="M8" s="154"/>
      <c r="N8" s="154"/>
      <c r="O8" s="154"/>
      <c r="P8" s="154"/>
      <c r="Q8" s="154"/>
    </row>
    <row r="9" spans="1:20" ht="17.649999999999999" customHeight="1" x14ac:dyDescent="0.25">
      <c r="A9" s="155" t="s">
        <v>32</v>
      </c>
      <c r="B9" s="155"/>
      <c r="C9" s="155"/>
      <c r="D9" s="155"/>
      <c r="E9" s="155"/>
      <c r="F9" s="155"/>
      <c r="G9" s="155"/>
      <c r="H9" s="155"/>
      <c r="I9" s="155"/>
      <c r="J9" s="155"/>
      <c r="K9" s="155"/>
      <c r="L9" s="155"/>
      <c r="M9" s="155"/>
      <c r="N9" s="155"/>
      <c r="O9" s="155"/>
      <c r="P9" s="155"/>
      <c r="Q9" s="155"/>
    </row>
    <row r="10" spans="1:20" ht="48" customHeight="1" x14ac:dyDescent="0.2">
      <c r="A10" s="156" t="s">
        <v>60</v>
      </c>
      <c r="B10" s="157"/>
      <c r="C10" s="157"/>
      <c r="D10" s="157"/>
      <c r="E10" s="157"/>
      <c r="F10" s="157"/>
      <c r="G10" s="157"/>
      <c r="H10" s="157"/>
      <c r="I10" s="157"/>
      <c r="J10" s="157"/>
      <c r="K10" s="157"/>
      <c r="L10" s="157"/>
      <c r="M10" s="157"/>
      <c r="N10" s="157"/>
      <c r="O10" s="157"/>
      <c r="P10" s="157"/>
      <c r="Q10" s="158"/>
    </row>
    <row r="11" spans="1:20" ht="15.75" thickBot="1" x14ac:dyDescent="0.3">
      <c r="A11" s="47"/>
      <c r="B11" s="48"/>
      <c r="C11" s="48"/>
      <c r="D11" s="48"/>
      <c r="E11" s="48"/>
      <c r="F11" s="48"/>
      <c r="G11" s="49"/>
      <c r="H11" s="48"/>
      <c r="I11" s="48"/>
      <c r="J11" s="48"/>
      <c r="K11" s="48"/>
      <c r="L11" s="48"/>
      <c r="M11" s="48"/>
      <c r="N11" s="48"/>
      <c r="O11" s="48"/>
      <c r="P11" s="48"/>
      <c r="Q11" s="50"/>
    </row>
    <row r="12" spans="1:20" ht="13.5" thickBot="1" x14ac:dyDescent="0.25">
      <c r="A12" s="159" t="s">
        <v>33</v>
      </c>
      <c r="B12" s="159"/>
      <c r="C12" s="159"/>
      <c r="D12" s="159"/>
      <c r="E12" s="159"/>
      <c r="F12" s="159"/>
      <c r="G12" s="159"/>
      <c r="H12" s="159"/>
      <c r="I12" s="159"/>
      <c r="J12" s="159"/>
      <c r="K12" s="159"/>
      <c r="L12" s="159"/>
      <c r="M12" s="159"/>
      <c r="N12" s="159"/>
      <c r="O12" s="159"/>
      <c r="P12" s="159"/>
      <c r="Q12" s="159"/>
    </row>
    <row r="13" spans="1:20" ht="13.5" thickBot="1" x14ac:dyDescent="0.25">
      <c r="A13" s="160" t="s">
        <v>34</v>
      </c>
      <c r="B13" s="160"/>
      <c r="C13" s="160"/>
      <c r="D13" s="160"/>
      <c r="E13" s="160"/>
      <c r="F13" s="160"/>
      <c r="G13" s="160"/>
      <c r="H13" s="160"/>
      <c r="I13" s="160"/>
      <c r="J13" s="160"/>
      <c r="K13" s="160"/>
      <c r="L13" s="160"/>
      <c r="M13" s="160"/>
      <c r="N13" s="160"/>
      <c r="O13" s="161" t="s">
        <v>35</v>
      </c>
      <c r="P13" s="161"/>
      <c r="Q13" s="162" t="s">
        <v>36</v>
      </c>
    </row>
    <row r="14" spans="1:20" ht="26.1" customHeight="1" thickBot="1" x14ac:dyDescent="0.25">
      <c r="A14" s="51" t="s">
        <v>37</v>
      </c>
      <c r="B14" s="52" t="s">
        <v>38</v>
      </c>
      <c r="C14" s="52" t="s">
        <v>39</v>
      </c>
      <c r="D14" s="52" t="s">
        <v>40</v>
      </c>
      <c r="E14" s="52" t="s">
        <v>41</v>
      </c>
      <c r="F14" s="52" t="s">
        <v>42</v>
      </c>
      <c r="G14" s="52" t="s">
        <v>43</v>
      </c>
      <c r="H14" s="52" t="s">
        <v>44</v>
      </c>
      <c r="I14" s="52" t="s">
        <v>45</v>
      </c>
      <c r="J14" s="52" t="s">
        <v>46</v>
      </c>
      <c r="K14" s="52" t="s">
        <v>46</v>
      </c>
      <c r="L14" s="52" t="s">
        <v>47</v>
      </c>
      <c r="M14" s="53" t="s">
        <v>48</v>
      </c>
      <c r="N14" s="54" t="s">
        <v>49</v>
      </c>
      <c r="O14" s="161"/>
      <c r="P14" s="161"/>
      <c r="Q14" s="162"/>
    </row>
    <row r="15" spans="1:20" ht="25.7" customHeight="1" thickBot="1" x14ac:dyDescent="0.25">
      <c r="A15" s="55">
        <v>1</v>
      </c>
      <c r="B15" s="56">
        <v>0</v>
      </c>
      <c r="C15" s="56">
        <v>0</v>
      </c>
      <c r="D15" s="56">
        <v>1</v>
      </c>
      <c r="E15" s="56">
        <v>0</v>
      </c>
      <c r="F15" s="56">
        <v>4901</v>
      </c>
      <c r="G15" s="56">
        <v>3</v>
      </c>
      <c r="H15" s="56">
        <v>4</v>
      </c>
      <c r="I15" s="56">
        <v>4</v>
      </c>
      <c r="J15" s="56">
        <v>3</v>
      </c>
      <c r="K15" s="56">
        <v>5</v>
      </c>
      <c r="L15" s="56">
        <v>0</v>
      </c>
      <c r="M15" s="57">
        <v>1</v>
      </c>
      <c r="N15" s="56" t="s">
        <v>50</v>
      </c>
      <c r="O15" s="144" t="s">
        <v>61</v>
      </c>
      <c r="P15" s="145"/>
      <c r="Q15" s="118">
        <v>19500000</v>
      </c>
    </row>
    <row r="16" spans="1:20" ht="23.25" customHeight="1" x14ac:dyDescent="0.2">
      <c r="A16" s="55">
        <v>1</v>
      </c>
      <c r="B16" s="56">
        <v>0</v>
      </c>
      <c r="C16" s="56">
        <v>0</v>
      </c>
      <c r="D16" s="56">
        <v>1</v>
      </c>
      <c r="E16" s="56">
        <v>0</v>
      </c>
      <c r="F16" s="56">
        <v>4901</v>
      </c>
      <c r="G16" s="56">
        <v>3</v>
      </c>
      <c r="H16" s="56">
        <v>4</v>
      </c>
      <c r="I16" s="56">
        <v>4</v>
      </c>
      <c r="J16" s="56">
        <v>3</v>
      </c>
      <c r="K16" s="56">
        <v>7</v>
      </c>
      <c r="L16" s="56">
        <v>0</v>
      </c>
      <c r="M16" s="57">
        <v>1</v>
      </c>
      <c r="N16" s="56" t="s">
        <v>50</v>
      </c>
      <c r="O16" s="167" t="s">
        <v>62</v>
      </c>
      <c r="P16" s="168"/>
      <c r="Q16" s="119">
        <v>3150000</v>
      </c>
      <c r="T16" s="41">
        <v>2550000</v>
      </c>
    </row>
    <row r="17" spans="1:20" ht="15" x14ac:dyDescent="0.25">
      <c r="A17" s="58"/>
      <c r="B17" s="59"/>
      <c r="C17" s="59"/>
      <c r="D17" s="59"/>
      <c r="E17" s="59"/>
      <c r="F17" s="59"/>
      <c r="G17" s="59"/>
      <c r="H17" s="59"/>
      <c r="I17" s="59"/>
      <c r="J17" s="59"/>
      <c r="K17" s="59"/>
      <c r="L17" s="59"/>
      <c r="M17" s="60"/>
      <c r="N17" s="61"/>
      <c r="O17" s="169"/>
      <c r="P17" s="169"/>
      <c r="Q17" s="120"/>
      <c r="T17" s="41">
        <v>600000</v>
      </c>
    </row>
    <row r="18" spans="1:20" ht="15" x14ac:dyDescent="0.2">
      <c r="A18" s="58"/>
      <c r="B18" s="59"/>
      <c r="C18" s="59"/>
      <c r="D18" s="59"/>
      <c r="E18" s="59"/>
      <c r="F18" s="59"/>
      <c r="G18" s="59"/>
      <c r="H18" s="59"/>
      <c r="I18" s="59"/>
      <c r="J18" s="59"/>
      <c r="K18" s="59"/>
      <c r="L18" s="59"/>
      <c r="M18" s="60"/>
      <c r="N18" s="61"/>
      <c r="O18" s="170"/>
      <c r="P18" s="170"/>
      <c r="Q18" s="120"/>
      <c r="T18" s="41">
        <f>SUM(T16:T17)</f>
        <v>3150000</v>
      </c>
    </row>
    <row r="19" spans="1:20" ht="15" x14ac:dyDescent="0.2">
      <c r="A19" s="58"/>
      <c r="B19" s="59"/>
      <c r="C19" s="59"/>
      <c r="D19" s="59"/>
      <c r="E19" s="59"/>
      <c r="F19" s="59"/>
      <c r="G19" s="59"/>
      <c r="H19" s="59"/>
      <c r="I19" s="59"/>
      <c r="J19" s="59"/>
      <c r="K19" s="59"/>
      <c r="L19" s="59"/>
      <c r="M19" s="60"/>
      <c r="N19" s="61"/>
      <c r="O19" s="170"/>
      <c r="P19" s="170"/>
      <c r="Q19" s="120"/>
    </row>
    <row r="20" spans="1:20" ht="15.75" thickBot="1" x14ac:dyDescent="0.25">
      <c r="A20" s="62"/>
      <c r="B20" s="63"/>
      <c r="C20" s="63"/>
      <c r="D20" s="63"/>
      <c r="E20" s="63"/>
      <c r="F20" s="63"/>
      <c r="G20" s="63"/>
      <c r="H20" s="63"/>
      <c r="I20" s="63"/>
      <c r="J20" s="63"/>
      <c r="K20" s="63"/>
      <c r="L20" s="63"/>
      <c r="M20" s="64"/>
      <c r="N20" s="63"/>
      <c r="O20" s="171"/>
      <c r="P20" s="171"/>
      <c r="Q20" s="121"/>
    </row>
    <row r="21" spans="1:20" ht="19.7" customHeight="1" thickBot="1" x14ac:dyDescent="0.25">
      <c r="A21" s="172" t="s">
        <v>77</v>
      </c>
      <c r="B21" s="172"/>
      <c r="C21" s="172"/>
      <c r="D21" s="172"/>
      <c r="E21" s="172"/>
      <c r="F21" s="172"/>
      <c r="G21" s="172"/>
      <c r="H21" s="172"/>
      <c r="I21" s="172"/>
      <c r="J21" s="172"/>
      <c r="K21" s="172"/>
      <c r="L21" s="172"/>
      <c r="M21" s="172"/>
      <c r="N21" s="172"/>
      <c r="O21" s="172"/>
      <c r="P21" s="172"/>
      <c r="Q21" s="122">
        <f>SUM(Q15:Q20)</f>
        <v>22650000</v>
      </c>
    </row>
    <row r="22" spans="1:20" ht="13.5" thickBot="1" x14ac:dyDescent="0.25">
      <c r="A22" s="163"/>
      <c r="B22" s="163"/>
      <c r="C22" s="163"/>
      <c r="D22" s="163"/>
      <c r="E22" s="163"/>
      <c r="F22" s="163"/>
      <c r="G22" s="163"/>
      <c r="H22" s="163"/>
      <c r="I22" s="163"/>
      <c r="J22" s="163"/>
      <c r="K22" s="163"/>
      <c r="L22" s="163"/>
      <c r="M22" s="163"/>
      <c r="N22" s="163"/>
      <c r="O22" s="163"/>
      <c r="P22" s="163"/>
      <c r="Q22" s="163"/>
    </row>
    <row r="23" spans="1:20" ht="13.5" thickBot="1" x14ac:dyDescent="0.25">
      <c r="A23" s="164" t="s">
        <v>51</v>
      </c>
      <c r="B23" s="164"/>
      <c r="C23" s="164"/>
      <c r="D23" s="164"/>
      <c r="E23" s="164"/>
      <c r="F23" s="164"/>
      <c r="G23" s="165"/>
      <c r="H23" s="165"/>
      <c r="I23" s="165"/>
      <c r="J23" s="165"/>
      <c r="K23" s="165"/>
      <c r="L23" s="165"/>
      <c r="M23" s="165"/>
      <c r="N23" s="165"/>
      <c r="O23" s="165"/>
      <c r="P23" s="165"/>
      <c r="Q23" s="165"/>
    </row>
    <row r="24" spans="1:20" ht="13.5" thickBot="1" x14ac:dyDescent="0.25">
      <c r="A24" s="166" t="s">
        <v>80</v>
      </c>
      <c r="B24" s="166"/>
      <c r="C24" s="166"/>
      <c r="D24" s="166"/>
      <c r="E24" s="166"/>
      <c r="F24" s="166"/>
      <c r="G24" s="166"/>
      <c r="H24" s="166"/>
      <c r="I24" s="166"/>
      <c r="J24" s="166"/>
      <c r="K24" s="166"/>
      <c r="L24" s="166"/>
      <c r="M24" s="166"/>
      <c r="N24" s="166"/>
      <c r="O24" s="166"/>
      <c r="P24" s="166"/>
      <c r="Q24" s="166"/>
    </row>
    <row r="25" spans="1:20" ht="13.5" thickBot="1" x14ac:dyDescent="0.25">
      <c r="A25" s="166"/>
      <c r="B25" s="166"/>
      <c r="C25" s="166"/>
      <c r="D25" s="166"/>
      <c r="E25" s="166"/>
      <c r="F25" s="166"/>
      <c r="G25" s="166"/>
      <c r="H25" s="166"/>
      <c r="I25" s="166"/>
      <c r="J25" s="166"/>
      <c r="K25" s="166"/>
      <c r="L25" s="166"/>
      <c r="M25" s="166"/>
      <c r="N25" s="166"/>
      <c r="O25" s="166"/>
      <c r="P25" s="166"/>
      <c r="Q25" s="166"/>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workbookViewId="0">
      <selection activeCell="D11" sqref="D11"/>
    </sheetView>
  </sheetViews>
  <sheetFormatPr baseColWidth="10" defaultColWidth="11.42578125" defaultRowHeight="12.75" x14ac:dyDescent="0.2"/>
  <cols>
    <col min="1" max="1" width="4.5703125" style="41" customWidth="1"/>
    <col min="2" max="2" width="25.42578125" style="41" customWidth="1"/>
    <col min="3" max="3" width="39.140625" style="41" customWidth="1"/>
    <col min="4" max="4" width="15.5703125" style="41" customWidth="1"/>
    <col min="5" max="5" width="17.7109375" style="41" customWidth="1"/>
    <col min="6" max="6" width="13.85546875" style="41" customWidth="1"/>
    <col min="7" max="7" width="16.85546875" style="41" customWidth="1"/>
    <col min="8" max="9" width="13.140625" style="41" bestFit="1" customWidth="1"/>
    <col min="10" max="11" width="11.42578125" style="41"/>
    <col min="12" max="12" width="12.85546875" style="41" bestFit="1" customWidth="1"/>
    <col min="13" max="16384" width="11.42578125" style="41"/>
  </cols>
  <sheetData>
    <row r="1" spans="1:13" ht="16.5" thickBot="1" x14ac:dyDescent="0.25">
      <c r="A1" s="175" t="s">
        <v>52</v>
      </c>
      <c r="B1" s="176"/>
      <c r="C1" s="176"/>
      <c r="D1" s="176"/>
      <c r="E1" s="176"/>
      <c r="F1" s="177"/>
      <c r="G1" s="65" t="s">
        <v>59</v>
      </c>
    </row>
    <row r="2" spans="1:13" ht="15" thickBot="1" x14ac:dyDescent="0.25">
      <c r="A2" s="66"/>
      <c r="B2" s="67"/>
      <c r="C2" s="67"/>
      <c r="D2" s="67"/>
      <c r="E2" s="67"/>
      <c r="F2" s="67"/>
      <c r="G2" s="68"/>
    </row>
    <row r="3" spans="1:13" ht="15.75" thickBot="1" x14ac:dyDescent="0.25">
      <c r="A3" s="173" t="s">
        <v>53</v>
      </c>
      <c r="B3" s="173"/>
      <c r="C3" s="178" t="s">
        <v>10</v>
      </c>
      <c r="D3" s="178"/>
      <c r="E3" s="178"/>
      <c r="F3" s="178"/>
      <c r="G3" s="178"/>
    </row>
    <row r="4" spans="1:13" ht="15.75" thickBot="1" x14ac:dyDescent="0.25">
      <c r="A4" s="173" t="s">
        <v>27</v>
      </c>
      <c r="B4" s="173"/>
      <c r="C4" s="179" t="s">
        <v>11</v>
      </c>
      <c r="D4" s="179"/>
      <c r="E4" s="179"/>
      <c r="F4" s="179"/>
      <c r="G4" s="179"/>
    </row>
    <row r="5" spans="1:13" ht="15.75" thickBot="1" x14ac:dyDescent="0.25">
      <c r="A5" s="173" t="s">
        <v>28</v>
      </c>
      <c r="B5" s="173"/>
      <c r="C5" s="174" t="s">
        <v>29</v>
      </c>
      <c r="D5" s="174"/>
      <c r="E5" s="174"/>
      <c r="F5" s="174"/>
      <c r="G5" s="174"/>
    </row>
    <row r="6" spans="1:13" ht="15.75" thickBot="1" x14ac:dyDescent="0.25">
      <c r="A6" s="173" t="s">
        <v>30</v>
      </c>
      <c r="B6" s="173"/>
      <c r="C6" s="184" t="s">
        <v>29</v>
      </c>
      <c r="D6" s="184"/>
      <c r="E6" s="184"/>
      <c r="F6" s="184"/>
      <c r="G6" s="184"/>
    </row>
    <row r="7" spans="1:13" ht="15.75" thickBot="1" x14ac:dyDescent="0.25">
      <c r="A7" s="173" t="s">
        <v>54</v>
      </c>
      <c r="B7" s="173"/>
      <c r="C7" s="178" t="s">
        <v>79</v>
      </c>
      <c r="D7" s="178"/>
      <c r="E7" s="178"/>
      <c r="F7" s="178"/>
      <c r="G7" s="178"/>
    </row>
    <row r="8" spans="1:13" ht="15.75" thickBot="1" x14ac:dyDescent="0.25">
      <c r="A8" s="173" t="s">
        <v>55</v>
      </c>
      <c r="B8" s="173"/>
      <c r="C8" s="185" t="s">
        <v>63</v>
      </c>
      <c r="D8" s="185"/>
      <c r="E8" s="185"/>
      <c r="F8" s="185"/>
      <c r="G8" s="185"/>
    </row>
    <row r="9" spans="1:13" ht="15.75" thickBot="1" x14ac:dyDescent="0.25">
      <c r="A9" s="180"/>
      <c r="B9" s="181"/>
      <c r="C9" s="181"/>
      <c r="D9" s="181"/>
      <c r="E9" s="181"/>
      <c r="F9" s="181"/>
      <c r="G9" s="182"/>
    </row>
    <row r="10" spans="1:13" ht="43.5" thickBot="1" x14ac:dyDescent="0.25">
      <c r="A10" s="75" t="s">
        <v>4</v>
      </c>
      <c r="B10" s="76" t="s">
        <v>6</v>
      </c>
      <c r="C10" s="76" t="s">
        <v>15</v>
      </c>
      <c r="D10" s="77" t="s">
        <v>56</v>
      </c>
      <c r="E10" s="76" t="s">
        <v>16</v>
      </c>
      <c r="F10" s="76" t="s">
        <v>18</v>
      </c>
      <c r="G10" s="78" t="s">
        <v>17</v>
      </c>
      <c r="J10" s="69"/>
      <c r="K10" s="69"/>
      <c r="L10" s="69"/>
    </row>
    <row r="11" spans="1:13" ht="128.25" thickBot="1" x14ac:dyDescent="0.3">
      <c r="A11" s="80">
        <v>1</v>
      </c>
      <c r="B11" s="85" t="s">
        <v>20</v>
      </c>
      <c r="C11" s="92" t="s">
        <v>22</v>
      </c>
      <c r="D11" s="86" t="s">
        <v>57</v>
      </c>
      <c r="E11" s="81" t="s">
        <v>58</v>
      </c>
      <c r="F11" s="82">
        <v>15000</v>
      </c>
      <c r="G11" s="83">
        <v>1300</v>
      </c>
      <c r="H11" s="70">
        <f t="shared" ref="H11:H13" si="0">F11*G11</f>
        <v>19500000</v>
      </c>
      <c r="J11" s="69"/>
      <c r="K11" s="69"/>
      <c r="L11" s="69"/>
    </row>
    <row r="12" spans="1:13" ht="128.25" thickBot="1" x14ac:dyDescent="0.3">
      <c r="A12" s="84">
        <v>2</v>
      </c>
      <c r="B12" s="79" t="s">
        <v>72</v>
      </c>
      <c r="C12" s="93" t="s">
        <v>73</v>
      </c>
      <c r="D12" s="87" t="s">
        <v>57</v>
      </c>
      <c r="E12" s="88" t="s">
        <v>23</v>
      </c>
      <c r="F12" s="89">
        <v>60000</v>
      </c>
      <c r="G12" s="90">
        <v>10</v>
      </c>
      <c r="H12" s="70">
        <f t="shared" si="0"/>
        <v>600000</v>
      </c>
      <c r="J12" s="69"/>
      <c r="K12" s="69"/>
      <c r="L12" s="69"/>
    </row>
    <row r="13" spans="1:13" ht="51" x14ac:dyDescent="0.25">
      <c r="A13" s="80">
        <v>3</v>
      </c>
      <c r="B13" s="91" t="s">
        <v>64</v>
      </c>
      <c r="C13" s="92" t="s">
        <v>66</v>
      </c>
      <c r="D13" s="87" t="s">
        <v>57</v>
      </c>
      <c r="E13" s="88" t="s">
        <v>23</v>
      </c>
      <c r="F13" s="89">
        <v>17000</v>
      </c>
      <c r="G13" s="90">
        <v>150</v>
      </c>
      <c r="H13" s="70">
        <f t="shared" si="0"/>
        <v>2550000</v>
      </c>
      <c r="I13" s="71"/>
      <c r="M13" s="69"/>
    </row>
    <row r="14" spans="1:13" ht="15" x14ac:dyDescent="0.2">
      <c r="A14" s="183" t="s">
        <v>78</v>
      </c>
      <c r="B14" s="183"/>
      <c r="C14" s="183"/>
      <c r="D14" s="183"/>
      <c r="E14" s="183"/>
      <c r="F14" s="183"/>
      <c r="G14" s="72">
        <f>SUM(H11:H13)</f>
        <v>22650000</v>
      </c>
      <c r="K14" s="73"/>
      <c r="L14" s="74"/>
    </row>
  </sheetData>
  <mergeCells count="15">
    <mergeCell ref="A9:G9"/>
    <mergeCell ref="A14:F14"/>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APG</vt:lpstr>
      <vt:lpstr>NOTA PEDIDO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ELIAS QUINTAR</cp:lastModifiedBy>
  <cp:lastPrinted>2022-03-29T10:30:02Z</cp:lastPrinted>
  <dcterms:created xsi:type="dcterms:W3CDTF">2021-02-08T12:06:32Z</dcterms:created>
  <dcterms:modified xsi:type="dcterms:W3CDTF">2022-03-30T12:27:45Z</dcterms:modified>
</cp:coreProperties>
</file>