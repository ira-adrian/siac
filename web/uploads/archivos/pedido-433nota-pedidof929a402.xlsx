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"/>
    </mc:Choice>
  </mc:AlternateContent>
  <xr:revisionPtr revIDLastSave="0" documentId="8_{CA17749C-C582-4BD6-A177-4D740E8E8FE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4" r:id="rId2"/>
    <sheet name="Autor Gastar" sheetId="3" r:id="rId3"/>
  </sheets>
  <definedNames>
    <definedName name="_xlnm._FilterDatabase" localSheetId="0" hidden="1">'Necesidades Trimestrales'!$A$9:$I$48</definedName>
    <definedName name="_xlnm.Print_Area" localSheetId="1">' NotaPedido'!$A$1:$K$51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C21" i="4" l="1"/>
  <c r="Q23" i="3" l="1"/>
  <c r="D3" i="4" l="1"/>
  <c r="D4" i="4"/>
  <c r="D7" i="4"/>
  <c r="B12" i="4"/>
  <c r="C12" i="4"/>
  <c r="I12" i="4"/>
  <c r="J12" i="4"/>
  <c r="K12" i="4"/>
  <c r="B13" i="4"/>
  <c r="C13" i="4"/>
  <c r="I13" i="4"/>
  <c r="J13" i="4"/>
  <c r="K13" i="4"/>
  <c r="B14" i="4"/>
  <c r="C14" i="4"/>
  <c r="I14" i="4"/>
  <c r="J14" i="4"/>
  <c r="K14" i="4"/>
  <c r="B15" i="4"/>
  <c r="C15" i="4"/>
  <c r="I15" i="4"/>
  <c r="J15" i="4"/>
  <c r="K15" i="4"/>
  <c r="B16" i="4"/>
  <c r="C16" i="4"/>
  <c r="I16" i="4"/>
  <c r="J16" i="4"/>
  <c r="K16" i="4"/>
  <c r="B17" i="4"/>
  <c r="C17" i="4"/>
  <c r="I17" i="4"/>
  <c r="J17" i="4"/>
  <c r="K17" i="4"/>
  <c r="B18" i="4"/>
  <c r="C18" i="4"/>
  <c r="I18" i="4"/>
  <c r="J18" i="4"/>
  <c r="K18" i="4"/>
  <c r="B19" i="4"/>
  <c r="C19" i="4"/>
  <c r="I19" i="4"/>
  <c r="J19" i="4"/>
  <c r="K19" i="4"/>
  <c r="B20" i="4"/>
  <c r="C20" i="4"/>
  <c r="I20" i="4"/>
  <c r="J20" i="4"/>
  <c r="K20" i="4"/>
  <c r="B21" i="4"/>
  <c r="I21" i="4"/>
  <c r="J21" i="4"/>
  <c r="K21" i="4"/>
  <c r="B22" i="4"/>
  <c r="C22" i="4"/>
  <c r="I22" i="4"/>
  <c r="J22" i="4"/>
  <c r="K22" i="4"/>
  <c r="B23" i="4"/>
  <c r="C23" i="4"/>
  <c r="I23" i="4"/>
  <c r="J23" i="4"/>
  <c r="K23" i="4"/>
  <c r="B24" i="4"/>
  <c r="C24" i="4"/>
  <c r="I24" i="4"/>
  <c r="J24" i="4"/>
  <c r="K24" i="4"/>
  <c r="B25" i="4"/>
  <c r="C25" i="4"/>
  <c r="I25" i="4"/>
  <c r="J25" i="4"/>
  <c r="K25" i="4"/>
  <c r="B26" i="4"/>
  <c r="C26" i="4"/>
  <c r="I26" i="4"/>
  <c r="J26" i="4"/>
  <c r="K26" i="4"/>
  <c r="B27" i="4"/>
  <c r="C27" i="4"/>
  <c r="I27" i="4"/>
  <c r="J27" i="4"/>
  <c r="K27" i="4"/>
  <c r="B28" i="4"/>
  <c r="C28" i="4"/>
  <c r="I28" i="4"/>
  <c r="J28" i="4"/>
  <c r="K28" i="4"/>
  <c r="B29" i="4"/>
  <c r="C29" i="4"/>
  <c r="I29" i="4"/>
  <c r="J29" i="4"/>
  <c r="K29" i="4"/>
  <c r="B30" i="4"/>
  <c r="C30" i="4"/>
  <c r="I30" i="4"/>
  <c r="J30" i="4"/>
  <c r="K30" i="4"/>
  <c r="B31" i="4"/>
  <c r="C31" i="4"/>
  <c r="I31" i="4"/>
  <c r="J31" i="4"/>
  <c r="K31" i="4"/>
  <c r="B32" i="4"/>
  <c r="C32" i="4"/>
  <c r="I32" i="4"/>
  <c r="J32" i="4"/>
  <c r="K32" i="4"/>
  <c r="B33" i="4"/>
  <c r="C33" i="4"/>
  <c r="I33" i="4"/>
  <c r="J33" i="4"/>
  <c r="K33" i="4"/>
  <c r="B34" i="4"/>
  <c r="C34" i="4"/>
  <c r="I34" i="4"/>
  <c r="J34" i="4"/>
  <c r="K34" i="4"/>
  <c r="B35" i="4"/>
  <c r="C35" i="4"/>
  <c r="I35" i="4"/>
  <c r="J35" i="4"/>
  <c r="K35" i="4"/>
  <c r="B36" i="4"/>
  <c r="C36" i="4"/>
  <c r="I36" i="4"/>
  <c r="J36" i="4"/>
  <c r="K36" i="4"/>
  <c r="B37" i="4"/>
  <c r="C37" i="4"/>
  <c r="I37" i="4"/>
  <c r="J37" i="4"/>
  <c r="K37" i="4"/>
  <c r="B38" i="4"/>
  <c r="C38" i="4"/>
  <c r="I38" i="4"/>
  <c r="J38" i="4"/>
  <c r="K38" i="4"/>
  <c r="B39" i="4"/>
  <c r="C39" i="4"/>
  <c r="I39" i="4"/>
  <c r="J39" i="4"/>
  <c r="K39" i="4"/>
  <c r="B40" i="4"/>
  <c r="C40" i="4"/>
  <c r="I40" i="4"/>
  <c r="J40" i="4"/>
  <c r="K40" i="4"/>
  <c r="B41" i="4"/>
  <c r="C41" i="4"/>
  <c r="I41" i="4"/>
  <c r="J41" i="4"/>
  <c r="K41" i="4"/>
  <c r="B42" i="4"/>
  <c r="C42" i="4"/>
  <c r="I42" i="4"/>
  <c r="J42" i="4"/>
  <c r="K42" i="4"/>
  <c r="B43" i="4"/>
  <c r="C43" i="4"/>
  <c r="I43" i="4"/>
  <c r="J43" i="4"/>
  <c r="K43" i="4"/>
  <c r="B44" i="4"/>
  <c r="C44" i="4"/>
  <c r="I44" i="4"/>
  <c r="J44" i="4"/>
  <c r="K44" i="4"/>
  <c r="B45" i="4"/>
  <c r="C45" i="4"/>
  <c r="I45" i="4"/>
  <c r="J45" i="4"/>
  <c r="K45" i="4"/>
  <c r="B46" i="4"/>
  <c r="C46" i="4"/>
  <c r="I46" i="4"/>
  <c r="J46" i="4"/>
  <c r="K46" i="4"/>
  <c r="B47" i="4"/>
  <c r="C47" i="4"/>
  <c r="I47" i="4"/>
  <c r="J47" i="4"/>
  <c r="K47" i="4"/>
  <c r="B48" i="4"/>
  <c r="C48" i="4"/>
  <c r="I48" i="4"/>
  <c r="J48" i="4"/>
  <c r="K48" i="4"/>
  <c r="B49" i="4"/>
  <c r="C49" i="4"/>
  <c r="I49" i="4"/>
  <c r="J49" i="4"/>
  <c r="K49" i="4"/>
  <c r="B50" i="4"/>
  <c r="C50" i="4"/>
  <c r="I50" i="4"/>
  <c r="J50" i="4"/>
  <c r="K50" i="4"/>
  <c r="J51" i="4" l="1"/>
  <c r="I46" i="1"/>
  <c r="I47" i="1"/>
  <c r="I48" i="1"/>
  <c r="I43" i="1" l="1"/>
  <c r="I44" i="1"/>
  <c r="I45" i="1"/>
  <c r="I42" i="1"/>
  <c r="I41" i="1"/>
  <c r="I40" i="1"/>
  <c r="I3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G6" i="3" l="1"/>
  <c r="G7" i="3"/>
  <c r="G4" i="3"/>
  <c r="G5" i="3"/>
  <c r="A10" i="3" l="1"/>
  <c r="D1" i="3"/>
  <c r="I10" i="1"/>
  <c r="I15" i="3"/>
  <c r="K15" i="3" l="1"/>
  <c r="J15" i="3"/>
</calcChain>
</file>

<file path=xl/sharedStrings.xml><?xml version="1.0" encoding="utf-8"?>
<sst xmlns="http://schemas.openxmlformats.org/spreadsheetml/2006/main" count="277" uniqueCount="118">
  <si>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</si>
  <si>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</si>
  <si>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</si>
  <si>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</si>
  <si>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</si>
  <si>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</si>
  <si>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</si>
  <si>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</si>
  <si>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</si>
  <si>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</si>
  <si>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</si>
  <si>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</si>
  <si>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</si>
  <si>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</si>
  <si>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</si>
  <si>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</si>
  <si>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</si>
  <si>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</si>
  <si>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</si>
  <si>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</si>
  <si>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</si>
  <si>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</si>
  <si>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</si>
  <si>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</si>
  <si>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</si>
  <si>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</si>
  <si>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</si>
  <si>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</si>
  <si>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</si>
  <si>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</si>
  <si>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</si>
  <si>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</si>
  <si>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</si>
  <si>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</si>
  <si>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</si>
  <si>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</si>
  <si>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</si>
  <si>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</si>
  <si>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</si>
  <si>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</si>
  <si>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</si>
  <si>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</si>
  <si>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</si>
  <si>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</si>
  <si>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</si>
  <si>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</si>
  <si>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</si>
  <si>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</si>
  <si>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</si>
  <si>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</si>
  <si>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</si>
  <si>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</si>
  <si>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</si>
  <si>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</si>
  <si>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</si>
  <si>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</si>
  <si>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</si>
  <si>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</si>
  <si>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PRODUCTOS FARMACEUTICOS Y MEDICINALES</t>
  </si>
  <si>
    <t>2.5.2</t>
  </si>
  <si>
    <t>Polietilenglicol bidon x 4ltrs.</t>
  </si>
  <si>
    <t>NO</t>
  </si>
  <si>
    <t>40 - Ministerio de Salud</t>
  </si>
  <si>
    <t>23 - Hospital Interzonal San Juan Bautista</t>
  </si>
  <si>
    <t>168 - Direccion Asistencial</t>
  </si>
  <si>
    <t>Servicio de Farmacia</t>
  </si>
  <si>
    <t>10 dias - Servicio de Farmacia del HISJB</t>
  </si>
  <si>
    <t xml:space="preserve">45 dias habiles </t>
  </si>
  <si>
    <t xml:space="preserve">Prod. Farmac. Y Medicinales </t>
  </si>
  <si>
    <t>3.1</t>
  </si>
  <si>
    <t>1.1</t>
  </si>
  <si>
    <t>Ceftriaxona 1 grs.</t>
  </si>
  <si>
    <t>UNIDAD</t>
  </si>
  <si>
    <t>AMPOLLA</t>
  </si>
  <si>
    <t>COMPRIMIDO</t>
  </si>
  <si>
    <t>353/2020</t>
  </si>
  <si>
    <t>Adquisición de Medicamentos</t>
  </si>
  <si>
    <t>Para la adquisición de Medicamentos para el Servicio Farmacia.</t>
  </si>
  <si>
    <t xml:space="preserve">Divalproato de sodio 500 mg. </t>
  </si>
  <si>
    <t xml:space="preserve">Haloperidol decanoato 50 mg / 3ml </t>
  </si>
  <si>
    <t>Vasopresina- tipo  novopresina sistet. 20 UI/1ml</t>
  </si>
  <si>
    <t xml:space="preserve">Octeotrida 0,1 mg./1ml x 1 ml </t>
  </si>
  <si>
    <t xml:space="preserve">Acetozolamida tipo Hidroftal 250 mg. </t>
  </si>
  <si>
    <t>Ciclopentolato 1% x 5 ml gotas</t>
  </si>
  <si>
    <t xml:space="preserve">Ciprofloxacina+ Dexametasona gotas x 5 ml tipo Quidex </t>
  </si>
  <si>
    <t>Ofloxacina 0,3 % x 5 ml  gotas</t>
  </si>
  <si>
    <t>Prednisolona + Fenilefrina x 10 ml gotas tipo Prednefrin forte</t>
  </si>
  <si>
    <t xml:space="preserve">Proparacina 0,5% x 15 ml gotas tipo Anestalcon </t>
  </si>
  <si>
    <t>Tropicamida 1% x 5 ml gotas tipo Alcon mydril</t>
  </si>
  <si>
    <t xml:space="preserve">Tropicamida + fenilefrina x 5 ml gotas  tipo fotorretin </t>
  </si>
  <si>
    <t xml:space="preserve">Travoprost 0,04% x 2,5 ml gotas tipoTravatan </t>
  </si>
  <si>
    <t xml:space="preserve">Ondasentron 8mg x 4 ml </t>
  </si>
  <si>
    <t xml:space="preserve">Lidocaina al 2% x 5ml </t>
  </si>
  <si>
    <t>Solucion Fisiologica x 250ml sachet</t>
  </si>
  <si>
    <t xml:space="preserve">Eritropoyetina 4000UI /1ml </t>
  </si>
  <si>
    <t xml:space="preserve">Bromuro de Vecuronio 10mg </t>
  </si>
  <si>
    <t xml:space="preserve">Fentanilo 0,5 mg/ml </t>
  </si>
  <si>
    <t xml:space="preserve">Clorpromazina I.M. 25Mg X 5 ml </t>
  </si>
  <si>
    <t xml:space="preserve">Aciclovir 500 mg </t>
  </si>
  <si>
    <t xml:space="preserve">Lorazepam 2 Mg </t>
  </si>
  <si>
    <t xml:space="preserve">Lorazepam 2,5Mg </t>
  </si>
  <si>
    <t>Solucion Fisiologica AL 0,9% x 500ml sachet</t>
  </si>
  <si>
    <t>FRASCO AMPOLLA</t>
  </si>
  <si>
    <t xml:space="preserve">Butil Bromuro de Hioscina 20 mg /1 ml </t>
  </si>
  <si>
    <t xml:space="preserve">Olanzapina 10Mg </t>
  </si>
  <si>
    <t>Lidocaina 1 % c/ Epinefrina x 20 Ml.</t>
  </si>
  <si>
    <t>Costo total estimado: CUATRO MILLONES SESENTA MIL CON 53/100.----</t>
  </si>
  <si>
    <t>TOTAL DE PESOS: CUATRO MILLONES SESENTA MIL CON 53/100.--</t>
  </si>
  <si>
    <t>Filgrastrim 30 M.U. x 1ml</t>
  </si>
  <si>
    <t xml:space="preserve"> Bromfenac x 5 ml tipo Natax</t>
  </si>
  <si>
    <t>Nepafenac 0,1 % gotas tipo Nevanac</t>
  </si>
  <si>
    <t>Budesonide aerosol x 200 dosis</t>
  </si>
  <si>
    <t>Carbonato de Calcio x 1.250mg</t>
  </si>
  <si>
    <t xml:space="preserve">Noradrenalina 4 mg / 4 ml </t>
  </si>
  <si>
    <t>Heparina Sodica 5000UI x 5ml.</t>
  </si>
  <si>
    <t xml:space="preserve">Latanoprost 50 mcg/ ml de 2,5 ml colirio gotas tipo Louten </t>
  </si>
  <si>
    <t>Fluorescina 0,25 % x 5 ml gotas</t>
  </si>
  <si>
    <t xml:space="preserve">Nitrofurazona x 1Ltr.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</si>
</sst>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name val="Arial"/>
      <family val="2"/>
      <charset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15" fillId="5" borderId="0" xfId="0" applyFont="1" applyFill="1"/>
    <xf numFmtId="166" fontId="4" fillId="5" borderId="19" xfId="1" applyNumberFormat="1" applyFont="1" applyFill="1" applyBorder="1" applyAlignment="1" applyProtection="1">
      <alignment horizontal="right" vertical="center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5" fillId="5" borderId="49" xfId="0" applyFont="1" applyFill="1" applyBorder="1" applyAlignment="1">
      <alignment vertical="center" wrapText="1"/>
    </xf>
    <xf numFmtId="0" fontId="26" fillId="0" borderId="49" xfId="0" applyFont="1" applyBorder="1"/>
    <xf numFmtId="0" fontId="26" fillId="0" borderId="49" xfId="0" applyFont="1" applyFill="1" applyBorder="1"/>
    <xf numFmtId="0" fontId="25" fillId="0" borderId="49" xfId="0" applyFont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7" fillId="4" borderId="49" xfId="0" applyFont="1" applyFill="1" applyBorder="1" applyAlignment="1">
      <alignment horizontal="center" vertical="center" wrapText="1"/>
    </xf>
    <xf numFmtId="39" fontId="26" fillId="5" borderId="49" xfId="1" applyNumberFormat="1" applyFont="1" applyFill="1" applyBorder="1" applyAlignment="1">
      <alignment horizontal="center" vertical="center"/>
    </xf>
    <xf numFmtId="0" fontId="14" fillId="0" borderId="0" xfId="5"/>
    <xf numFmtId="0" fontId="2" fillId="0" borderId="0" xfId="5" applyFont="1" applyBorder="1" applyAlignment="1">
      <alignment vertical="center"/>
    </xf>
    <xf numFmtId="0" fontId="2" fillId="5" borderId="0" xfId="5" applyFont="1" applyFill="1" applyBorder="1" applyAlignment="1">
      <alignment vertical="center"/>
    </xf>
    <xf numFmtId="3" fontId="4" fillId="5" borderId="19" xfId="5" applyNumberFormat="1" applyFont="1" applyFill="1" applyBorder="1" applyAlignment="1">
      <alignment horizontal="center" vertical="center"/>
    </xf>
    <xf numFmtId="0" fontId="4" fillId="5" borderId="19" xfId="5" applyFont="1" applyFill="1" applyBorder="1" applyAlignment="1">
      <alignment horizontal="center" vertical="center" wrapText="1"/>
    </xf>
    <xf numFmtId="0" fontId="4" fillId="4" borderId="19" xfId="5" applyFont="1" applyFill="1" applyBorder="1" applyAlignment="1">
      <alignment horizontal="center" vertical="center"/>
    </xf>
    <xf numFmtId="0" fontId="4" fillId="5" borderId="19" xfId="5" applyFont="1" applyFill="1" applyBorder="1" applyAlignment="1">
      <alignment horizontal="left" vertical="center"/>
    </xf>
    <xf numFmtId="0" fontId="4" fillId="0" borderId="48" xfId="5" applyFont="1" applyBorder="1" applyAlignment="1">
      <alignment horizontal="center" vertical="center"/>
    </xf>
    <xf numFmtId="0" fontId="4" fillId="0" borderId="19" xfId="5" applyFont="1" applyBorder="1" applyAlignment="1">
      <alignment horizontal="center" vertical="center"/>
    </xf>
    <xf numFmtId="0" fontId="6" fillId="5" borderId="0" xfId="5" applyFont="1" applyFill="1" applyBorder="1" applyAlignment="1">
      <alignment horizontal="left" vertical="center" wrapText="1" indent="1"/>
    </xf>
    <xf numFmtId="0" fontId="6" fillId="0" borderId="0" xfId="5" applyFont="1" applyBorder="1" applyAlignment="1">
      <alignment horizontal="left" vertical="center" wrapText="1" indent="1"/>
    </xf>
    <xf numFmtId="0" fontId="7" fillId="0" borderId="0" xfId="5" applyFont="1" applyBorder="1" applyAlignment="1">
      <alignment horizontal="left" vertical="center"/>
    </xf>
    <xf numFmtId="0" fontId="5" fillId="5" borderId="0" xfId="5" applyFont="1" applyFill="1" applyBorder="1" applyAlignment="1">
      <alignment vertical="center"/>
    </xf>
    <xf numFmtId="0" fontId="5" fillId="0" borderId="0" xfId="5" applyFont="1" applyBorder="1" applyAlignment="1">
      <alignment vertical="center"/>
    </xf>
    <xf numFmtId="0" fontId="5" fillId="0" borderId="12" xfId="5" applyFont="1" applyBorder="1" applyAlignment="1">
      <alignment vertical="center"/>
    </xf>
    <xf numFmtId="0" fontId="6" fillId="4" borderId="11" xfId="5" applyFont="1" applyFill="1" applyBorder="1" applyAlignment="1">
      <alignment horizontal="center" vertical="center"/>
    </xf>
    <xf numFmtId="0" fontId="5" fillId="0" borderId="10" xfId="5" applyFont="1" applyBorder="1" applyAlignment="1">
      <alignment horizontal="right" vertical="center"/>
    </xf>
    <xf numFmtId="0" fontId="15" fillId="0" borderId="49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4" fillId="5" borderId="19" xfId="5" applyFont="1" applyFill="1" applyBorder="1" applyAlignment="1">
      <alignment horizontal="left" vertical="center" wrapText="1"/>
    </xf>
    <xf numFmtId="0" fontId="8" fillId="5" borderId="17" xfId="5" applyFont="1" applyFill="1" applyBorder="1" applyAlignment="1">
      <alignment horizontal="center" vertical="center" wrapText="1"/>
    </xf>
    <xf numFmtId="0" fontId="6" fillId="0" borderId="14" xfId="5" applyFont="1" applyBorder="1" applyAlignment="1">
      <alignment horizontal="left" vertical="center" wrapText="1" indent="1"/>
    </xf>
    <xf numFmtId="167" fontId="7" fillId="0" borderId="14" xfId="5" applyNumberFormat="1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 wrapText="1"/>
    </xf>
    <xf numFmtId="0" fontId="7" fillId="0" borderId="15" xfId="5" applyFont="1" applyBorder="1" applyAlignment="1">
      <alignment horizontal="left" vertical="center" wrapText="1"/>
    </xf>
    <xf numFmtId="0" fontId="6" fillId="5" borderId="14" xfId="5" applyFont="1" applyFill="1" applyBorder="1" applyAlignment="1">
      <alignment horizontal="left" vertical="center" wrapText="1" indent="1"/>
    </xf>
    <xf numFmtId="0" fontId="7" fillId="0" borderId="16" xfId="5" applyFont="1" applyBorder="1" applyAlignment="1">
      <alignment horizontal="left" vertical="center"/>
    </xf>
    <xf numFmtId="0" fontId="6" fillId="4" borderId="17" xfId="5" applyFont="1" applyFill="1" applyBorder="1" applyAlignment="1">
      <alignment horizontal="left" vertical="center" wrapText="1" indent="1"/>
    </xf>
    <xf numFmtId="0" fontId="5" fillId="0" borderId="0" xfId="5" applyFont="1" applyBorder="1" applyAlignment="1">
      <alignment horizontal="center" vertical="center"/>
    </xf>
    <xf numFmtId="0" fontId="7" fillId="0" borderId="13" xfId="5" applyFont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4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"/>
  <sheetViews>
    <sheetView tabSelected="1" topLeftCell="A16" zoomScale="85" zoomScaleNormal="85" workbookViewId="0">
      <selection activeCell="E42" sqref="E42"/>
    </sheetView>
  </sheetViews>
  <sheetFormatPr baseColWidth="10" defaultColWidth="11" defaultRowHeight="12.75" x14ac:dyDescent="0.2"/>
  <cols>
    <col min="1" max="1" width="4.5703125" style="32" customWidth="1"/>
    <col min="2" max="2" width="12.85546875" style="32" customWidth="1"/>
    <col min="3" max="3" width="32.42578125" style="32" customWidth="1"/>
    <col min="4" max="4" width="8.42578125" style="32" customWidth="1"/>
    <col min="5" max="5" width="79" style="32" customWidth="1"/>
    <col min="6" max="6" width="20.28515625" style="32" customWidth="1"/>
    <col min="7" max="7" width="12.710937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89" t="s">
        <v>0</v>
      </c>
      <c r="C2" s="89"/>
      <c r="D2" s="89"/>
      <c r="E2" s="89"/>
      <c r="F2" s="89"/>
      <c r="G2" s="89"/>
      <c r="H2" s="89"/>
    </row>
    <row r="4" spans="1:9" ht="18" customHeight="1" x14ac:dyDescent="0.25">
      <c r="A4" s="90" t="s">
        <v>1</v>
      </c>
      <c r="B4" s="90"/>
      <c r="C4" s="91" t="s">
        <v>62</v>
      </c>
      <c r="D4" s="91"/>
      <c r="E4" s="91"/>
      <c r="F4" s="33"/>
      <c r="G4" s="34"/>
      <c r="H4" s="33"/>
    </row>
    <row r="5" spans="1:9" ht="18" customHeight="1" x14ac:dyDescent="0.25">
      <c r="A5" s="90" t="s">
        <v>2</v>
      </c>
      <c r="B5" s="90"/>
      <c r="C5" s="91" t="s">
        <v>63</v>
      </c>
      <c r="D5" s="91"/>
      <c r="E5" s="91"/>
      <c r="F5" s="33"/>
      <c r="G5" s="34"/>
      <c r="H5" s="33"/>
    </row>
    <row r="6" spans="1:9" ht="16.5" customHeight="1" x14ac:dyDescent="0.25">
      <c r="A6" s="90" t="s">
        <v>3</v>
      </c>
      <c r="B6" s="90"/>
      <c r="C6" s="49">
        <v>2020</v>
      </c>
      <c r="D6" s="50"/>
      <c r="E6" s="50"/>
      <c r="F6" s="33"/>
      <c r="G6" s="34"/>
      <c r="H6" s="33"/>
    </row>
    <row r="7" spans="1:9" ht="16.5" customHeight="1" x14ac:dyDescent="0.25">
      <c r="A7" s="90" t="s">
        <v>4</v>
      </c>
      <c r="B7" s="90"/>
      <c r="C7" s="49">
        <v>4</v>
      </c>
      <c r="D7" s="50"/>
      <c r="E7" s="50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" thickBot="1" x14ac:dyDescent="0.25">
      <c r="A9" s="48" t="s">
        <v>5</v>
      </c>
      <c r="B9" s="48" t="s">
        <v>6</v>
      </c>
      <c r="C9" s="48" t="s">
        <v>7</v>
      </c>
      <c r="D9" s="48" t="s">
        <v>8</v>
      </c>
      <c r="E9" s="48" t="s">
        <v>9</v>
      </c>
      <c r="F9" s="48" t="s">
        <v>10</v>
      </c>
      <c r="G9" s="48" t="s">
        <v>11</v>
      </c>
      <c r="H9" s="48" t="s">
        <v>12</v>
      </c>
      <c r="I9" s="48" t="s">
        <v>13</v>
      </c>
    </row>
    <row r="10" spans="1:9" s="51" customFormat="1" ht="25.15" customHeight="1" thickBot="1" x14ac:dyDescent="0.25">
      <c r="A10" s="57">
        <v>1</v>
      </c>
      <c r="B10" s="58"/>
      <c r="C10" s="59" t="s">
        <v>58</v>
      </c>
      <c r="D10" s="60" t="s">
        <v>59</v>
      </c>
      <c r="E10" s="62" t="s">
        <v>78</v>
      </c>
      <c r="F10" s="65" t="s">
        <v>74</v>
      </c>
      <c r="G10" s="69">
        <v>2000</v>
      </c>
      <c r="H10" s="70">
        <v>32.840000000000003</v>
      </c>
      <c r="I10" s="61">
        <f>H10*G10</f>
        <v>65680</v>
      </c>
    </row>
    <row r="11" spans="1:9" s="51" customFormat="1" ht="25.15" customHeight="1" thickBot="1" x14ac:dyDescent="0.25">
      <c r="A11" s="57">
        <v>2</v>
      </c>
      <c r="B11" s="58"/>
      <c r="C11" s="59" t="s">
        <v>58</v>
      </c>
      <c r="D11" s="60" t="s">
        <v>59</v>
      </c>
      <c r="E11" s="62" t="s">
        <v>108</v>
      </c>
      <c r="F11" s="66" t="s">
        <v>102</v>
      </c>
      <c r="G11" s="69">
        <v>70</v>
      </c>
      <c r="H11" s="70">
        <v>727.8</v>
      </c>
      <c r="I11" s="61">
        <f t="shared" ref="I11:I38" si="0">H11*G11</f>
        <v>50946</v>
      </c>
    </row>
    <row r="12" spans="1:9" s="51" customFormat="1" ht="25.15" customHeight="1" thickBot="1" x14ac:dyDescent="0.25">
      <c r="A12" s="57">
        <v>3</v>
      </c>
      <c r="B12" s="58"/>
      <c r="C12" s="59" t="s">
        <v>58</v>
      </c>
      <c r="D12" s="60" t="s">
        <v>59</v>
      </c>
      <c r="E12" s="62" t="s">
        <v>79</v>
      </c>
      <c r="F12" s="65" t="s">
        <v>73</v>
      </c>
      <c r="G12" s="69">
        <v>10</v>
      </c>
      <c r="H12" s="70">
        <v>284.5</v>
      </c>
      <c r="I12" s="61">
        <f t="shared" si="0"/>
        <v>2845</v>
      </c>
    </row>
    <row r="13" spans="1:9" s="51" customFormat="1" ht="25.15" customHeight="1" thickBot="1" x14ac:dyDescent="0.25">
      <c r="A13" s="57">
        <v>4</v>
      </c>
      <c r="B13" s="58"/>
      <c r="C13" s="59" t="s">
        <v>58</v>
      </c>
      <c r="D13" s="60" t="s">
        <v>59</v>
      </c>
      <c r="E13" s="62" t="s">
        <v>80</v>
      </c>
      <c r="F13" s="65" t="s">
        <v>73</v>
      </c>
      <c r="G13" s="69">
        <v>10</v>
      </c>
      <c r="H13" s="70">
        <v>735</v>
      </c>
      <c r="I13" s="61">
        <f t="shared" si="0"/>
        <v>7350</v>
      </c>
    </row>
    <row r="14" spans="1:9" s="51" customFormat="1" ht="25.15" customHeight="1" thickBot="1" x14ac:dyDescent="0.25">
      <c r="A14" s="57">
        <v>5</v>
      </c>
      <c r="B14" s="58"/>
      <c r="C14" s="59" t="s">
        <v>58</v>
      </c>
      <c r="D14" s="60" t="s">
        <v>59</v>
      </c>
      <c r="E14" s="62" t="s">
        <v>81</v>
      </c>
      <c r="F14" s="67" t="s">
        <v>73</v>
      </c>
      <c r="G14" s="69">
        <v>30</v>
      </c>
      <c r="H14" s="70">
        <v>510</v>
      </c>
      <c r="I14" s="61">
        <f t="shared" si="0"/>
        <v>15300</v>
      </c>
    </row>
    <row r="15" spans="1:9" s="51" customFormat="1" ht="25.15" customHeight="1" thickBot="1" x14ac:dyDescent="0.25">
      <c r="A15" s="57">
        <v>6</v>
      </c>
      <c r="B15" s="58"/>
      <c r="C15" s="59" t="s">
        <v>58</v>
      </c>
      <c r="D15" s="60" t="s">
        <v>59</v>
      </c>
      <c r="E15" s="62" t="s">
        <v>82</v>
      </c>
      <c r="F15" s="67" t="s">
        <v>74</v>
      </c>
      <c r="G15" s="69">
        <v>200</v>
      </c>
      <c r="H15" s="70">
        <v>18.899999999999999</v>
      </c>
      <c r="I15" s="61">
        <f t="shared" si="0"/>
        <v>3779.9999999999995</v>
      </c>
    </row>
    <row r="16" spans="1:9" s="51" customFormat="1" ht="25.15" customHeight="1" thickBot="1" x14ac:dyDescent="0.25">
      <c r="A16" s="57">
        <v>7</v>
      </c>
      <c r="B16" s="58"/>
      <c r="C16" s="59" t="s">
        <v>58</v>
      </c>
      <c r="D16" s="60" t="s">
        <v>59</v>
      </c>
      <c r="E16" s="62" t="s">
        <v>83</v>
      </c>
      <c r="F16" s="66" t="s">
        <v>72</v>
      </c>
      <c r="G16" s="69">
        <v>5</v>
      </c>
      <c r="H16" s="70">
        <v>523.07000000000005</v>
      </c>
      <c r="I16" s="61">
        <f t="shared" si="0"/>
        <v>2615.3500000000004</v>
      </c>
    </row>
    <row r="17" spans="1:9" s="51" customFormat="1" ht="25.15" customHeight="1" thickBot="1" x14ac:dyDescent="0.25">
      <c r="A17" s="57">
        <v>8</v>
      </c>
      <c r="B17" s="58"/>
      <c r="C17" s="59" t="s">
        <v>58</v>
      </c>
      <c r="D17" s="60" t="s">
        <v>59</v>
      </c>
      <c r="E17" s="62" t="s">
        <v>84</v>
      </c>
      <c r="F17" s="66" t="s">
        <v>72</v>
      </c>
      <c r="G17" s="69">
        <v>20</v>
      </c>
      <c r="H17" s="70">
        <v>684</v>
      </c>
      <c r="I17" s="61">
        <f t="shared" si="0"/>
        <v>13680</v>
      </c>
    </row>
    <row r="18" spans="1:9" s="51" customFormat="1" ht="25.15" customHeight="1" thickBot="1" x14ac:dyDescent="0.25">
      <c r="A18" s="57">
        <v>9</v>
      </c>
      <c r="B18" s="58"/>
      <c r="C18" s="59" t="s">
        <v>58</v>
      </c>
      <c r="D18" s="60" t="s">
        <v>59</v>
      </c>
      <c r="E18" s="62" t="s">
        <v>116</v>
      </c>
      <c r="F18" s="66" t="s">
        <v>72</v>
      </c>
      <c r="G18" s="69">
        <v>5</v>
      </c>
      <c r="H18" s="70">
        <v>711.28</v>
      </c>
      <c r="I18" s="61">
        <f t="shared" si="0"/>
        <v>3556.3999999999996</v>
      </c>
    </row>
    <row r="19" spans="1:9" s="51" customFormat="1" ht="25.15" customHeight="1" thickBot="1" x14ac:dyDescent="0.25">
      <c r="A19" s="57">
        <v>10</v>
      </c>
      <c r="B19" s="58"/>
      <c r="C19" s="59" t="s">
        <v>58</v>
      </c>
      <c r="D19" s="60" t="s">
        <v>59</v>
      </c>
      <c r="E19" s="62" t="s">
        <v>115</v>
      </c>
      <c r="F19" s="66" t="s">
        <v>72</v>
      </c>
      <c r="G19" s="69">
        <v>15</v>
      </c>
      <c r="H19" s="70">
        <v>1107</v>
      </c>
      <c r="I19" s="61">
        <f t="shared" si="0"/>
        <v>16605</v>
      </c>
    </row>
    <row r="20" spans="1:9" s="51" customFormat="1" ht="25.15" customHeight="1" thickBot="1" x14ac:dyDescent="0.25">
      <c r="A20" s="57">
        <v>11</v>
      </c>
      <c r="B20" s="58"/>
      <c r="C20" s="59" t="s">
        <v>58</v>
      </c>
      <c r="D20" s="60" t="s">
        <v>59</v>
      </c>
      <c r="E20" s="62" t="s">
        <v>85</v>
      </c>
      <c r="F20" s="66" t="s">
        <v>72</v>
      </c>
      <c r="G20" s="69">
        <v>20</v>
      </c>
      <c r="H20" s="70">
        <v>679.38</v>
      </c>
      <c r="I20" s="61">
        <f t="shared" si="0"/>
        <v>13587.6</v>
      </c>
    </row>
    <row r="21" spans="1:9" s="51" customFormat="1" ht="25.15" customHeight="1" thickBot="1" x14ac:dyDescent="0.25">
      <c r="A21" s="57">
        <v>12</v>
      </c>
      <c r="B21" s="58"/>
      <c r="C21" s="59" t="s">
        <v>58</v>
      </c>
      <c r="D21" s="60" t="s">
        <v>59</v>
      </c>
      <c r="E21" s="62" t="s">
        <v>86</v>
      </c>
      <c r="F21" s="66" t="s">
        <v>72</v>
      </c>
      <c r="G21" s="69">
        <v>40</v>
      </c>
      <c r="H21" s="70">
        <v>804</v>
      </c>
      <c r="I21" s="61">
        <f t="shared" si="0"/>
        <v>32160</v>
      </c>
    </row>
    <row r="22" spans="1:9" s="51" customFormat="1" ht="25.15" customHeight="1" thickBot="1" x14ac:dyDescent="0.25">
      <c r="A22" s="57">
        <v>13</v>
      </c>
      <c r="B22" s="58"/>
      <c r="C22" s="59" t="s">
        <v>58</v>
      </c>
      <c r="D22" s="60" t="s">
        <v>59</v>
      </c>
      <c r="E22" s="62" t="s">
        <v>87</v>
      </c>
      <c r="F22" s="66" t="s">
        <v>72</v>
      </c>
      <c r="G22" s="69">
        <v>5</v>
      </c>
      <c r="H22" s="70">
        <v>493</v>
      </c>
      <c r="I22" s="61">
        <f t="shared" si="0"/>
        <v>2465</v>
      </c>
    </row>
    <row r="23" spans="1:9" s="51" customFormat="1" ht="25.15" customHeight="1" thickBot="1" x14ac:dyDescent="0.3">
      <c r="A23" s="57">
        <v>14</v>
      </c>
      <c r="B23" s="58"/>
      <c r="C23" s="59" t="s">
        <v>58</v>
      </c>
      <c r="D23" s="60" t="s">
        <v>59</v>
      </c>
      <c r="E23" s="62" t="s">
        <v>88</v>
      </c>
      <c r="F23" s="68" t="s">
        <v>72</v>
      </c>
      <c r="G23" s="69">
        <v>4</v>
      </c>
      <c r="H23" s="70">
        <v>480</v>
      </c>
      <c r="I23" s="61">
        <f t="shared" si="0"/>
        <v>1920</v>
      </c>
    </row>
    <row r="24" spans="1:9" s="51" customFormat="1" ht="25.15" customHeight="1" thickBot="1" x14ac:dyDescent="0.3">
      <c r="A24" s="57">
        <v>15</v>
      </c>
      <c r="B24" s="58"/>
      <c r="C24" s="59" t="s">
        <v>58</v>
      </c>
      <c r="D24" s="60" t="s">
        <v>59</v>
      </c>
      <c r="E24" s="62" t="s">
        <v>89</v>
      </c>
      <c r="F24" s="68" t="s">
        <v>72</v>
      </c>
      <c r="G24" s="69">
        <v>50</v>
      </c>
      <c r="H24" s="70">
        <v>493.35</v>
      </c>
      <c r="I24" s="61">
        <f t="shared" si="0"/>
        <v>24667.5</v>
      </c>
    </row>
    <row r="25" spans="1:9" s="51" customFormat="1" ht="25.15" customHeight="1" thickBot="1" x14ac:dyDescent="0.3">
      <c r="A25" s="57">
        <v>16</v>
      </c>
      <c r="B25" s="58"/>
      <c r="C25" s="59" t="s">
        <v>58</v>
      </c>
      <c r="D25" s="60" t="s">
        <v>59</v>
      </c>
      <c r="E25" s="62" t="s">
        <v>109</v>
      </c>
      <c r="F25" s="68" t="s">
        <v>72</v>
      </c>
      <c r="G25" s="69">
        <v>20</v>
      </c>
      <c r="H25" s="70">
        <v>1060.6300000000001</v>
      </c>
      <c r="I25" s="61">
        <f t="shared" si="0"/>
        <v>21212.600000000002</v>
      </c>
    </row>
    <row r="26" spans="1:9" s="51" customFormat="1" ht="25.15" customHeight="1" thickBot="1" x14ac:dyDescent="0.3">
      <c r="A26" s="57">
        <v>17</v>
      </c>
      <c r="B26" s="58"/>
      <c r="C26" s="59" t="s">
        <v>58</v>
      </c>
      <c r="D26" s="60" t="s">
        <v>59</v>
      </c>
      <c r="E26" s="62" t="s">
        <v>110</v>
      </c>
      <c r="F26" s="68" t="s">
        <v>72</v>
      </c>
      <c r="G26" s="69">
        <v>10</v>
      </c>
      <c r="H26" s="70">
        <v>1500.61</v>
      </c>
      <c r="I26" s="61">
        <f t="shared" si="0"/>
        <v>15006.099999999999</v>
      </c>
    </row>
    <row r="27" spans="1:9" s="51" customFormat="1" ht="25.15" customHeight="1" thickBot="1" x14ac:dyDescent="0.3">
      <c r="A27" s="57">
        <v>18</v>
      </c>
      <c r="B27" s="58"/>
      <c r="C27" s="59" t="s">
        <v>58</v>
      </c>
      <c r="D27" s="60" t="s">
        <v>59</v>
      </c>
      <c r="E27" s="62" t="s">
        <v>90</v>
      </c>
      <c r="F27" s="68" t="s">
        <v>72</v>
      </c>
      <c r="G27" s="69">
        <v>10</v>
      </c>
      <c r="H27" s="70">
        <v>1478.72</v>
      </c>
      <c r="I27" s="61">
        <f t="shared" si="0"/>
        <v>14787.2</v>
      </c>
    </row>
    <row r="28" spans="1:9" s="51" customFormat="1" ht="25.15" customHeight="1" thickBot="1" x14ac:dyDescent="0.3">
      <c r="A28" s="57">
        <v>19</v>
      </c>
      <c r="B28" s="58"/>
      <c r="C28" s="59" t="s">
        <v>58</v>
      </c>
      <c r="D28" s="60" t="s">
        <v>59</v>
      </c>
      <c r="E28" s="62" t="s">
        <v>60</v>
      </c>
      <c r="F28" s="68" t="s">
        <v>72</v>
      </c>
      <c r="G28" s="69">
        <v>4</v>
      </c>
      <c r="H28" s="70">
        <v>1305.72</v>
      </c>
      <c r="I28" s="61">
        <f t="shared" si="0"/>
        <v>5222.88</v>
      </c>
    </row>
    <row r="29" spans="1:9" s="51" customFormat="1" ht="25.15" customHeight="1" thickBot="1" x14ac:dyDescent="0.3">
      <c r="A29" s="57">
        <v>20</v>
      </c>
      <c r="B29" s="58"/>
      <c r="C29" s="59" t="s">
        <v>58</v>
      </c>
      <c r="D29" s="60" t="s">
        <v>59</v>
      </c>
      <c r="E29" s="62" t="s">
        <v>91</v>
      </c>
      <c r="F29" s="68" t="s">
        <v>73</v>
      </c>
      <c r="G29" s="69">
        <v>500</v>
      </c>
      <c r="H29" s="70">
        <v>18</v>
      </c>
      <c r="I29" s="61">
        <f t="shared" si="0"/>
        <v>9000</v>
      </c>
    </row>
    <row r="30" spans="1:9" s="51" customFormat="1" ht="25.15" customHeight="1" thickBot="1" x14ac:dyDescent="0.3">
      <c r="A30" s="57">
        <v>21</v>
      </c>
      <c r="B30" s="58"/>
      <c r="C30" s="59" t="s">
        <v>58</v>
      </c>
      <c r="D30" s="60" t="s">
        <v>59</v>
      </c>
      <c r="E30" s="62" t="s">
        <v>92</v>
      </c>
      <c r="F30" s="68" t="s">
        <v>73</v>
      </c>
      <c r="G30" s="69">
        <v>3000</v>
      </c>
      <c r="H30" s="70">
        <v>33</v>
      </c>
      <c r="I30" s="61">
        <f t="shared" si="0"/>
        <v>99000</v>
      </c>
    </row>
    <row r="31" spans="1:9" s="51" customFormat="1" ht="25.15" customHeight="1" thickBot="1" x14ac:dyDescent="0.3">
      <c r="A31" s="57">
        <v>22</v>
      </c>
      <c r="B31" s="58"/>
      <c r="C31" s="59" t="s">
        <v>58</v>
      </c>
      <c r="D31" s="60" t="s">
        <v>59</v>
      </c>
      <c r="E31" s="62" t="s">
        <v>71</v>
      </c>
      <c r="F31" s="68" t="s">
        <v>102</v>
      </c>
      <c r="G31" s="69">
        <v>1000</v>
      </c>
      <c r="H31" s="70">
        <v>138</v>
      </c>
      <c r="I31" s="61">
        <f t="shared" si="0"/>
        <v>138000</v>
      </c>
    </row>
    <row r="32" spans="1:9" s="51" customFormat="1" ht="25.15" customHeight="1" thickBot="1" x14ac:dyDescent="0.3">
      <c r="A32" s="57">
        <v>23</v>
      </c>
      <c r="B32" s="58"/>
      <c r="C32" s="59" t="s">
        <v>58</v>
      </c>
      <c r="D32" s="60" t="s">
        <v>59</v>
      </c>
      <c r="E32" s="62" t="s">
        <v>93</v>
      </c>
      <c r="F32" s="68" t="s">
        <v>72</v>
      </c>
      <c r="G32" s="69">
        <v>500</v>
      </c>
      <c r="H32" s="70">
        <v>64</v>
      </c>
      <c r="I32" s="61">
        <f t="shared" si="0"/>
        <v>32000</v>
      </c>
    </row>
    <row r="33" spans="1:9" s="51" customFormat="1" ht="25.15" customHeight="1" thickBot="1" x14ac:dyDescent="0.3">
      <c r="A33" s="57">
        <v>24</v>
      </c>
      <c r="B33" s="58"/>
      <c r="C33" s="59" t="s">
        <v>58</v>
      </c>
      <c r="D33" s="60" t="s">
        <v>59</v>
      </c>
      <c r="E33" s="62" t="s">
        <v>111</v>
      </c>
      <c r="F33" s="68" t="s">
        <v>72</v>
      </c>
      <c r="G33" s="69">
        <v>70</v>
      </c>
      <c r="H33" s="70">
        <v>458.67</v>
      </c>
      <c r="I33" s="61">
        <f t="shared" si="0"/>
        <v>32106.9</v>
      </c>
    </row>
    <row r="34" spans="1:9" s="51" customFormat="1" ht="25.15" customHeight="1" thickBot="1" x14ac:dyDescent="0.3">
      <c r="A34" s="57">
        <v>25</v>
      </c>
      <c r="B34" s="58"/>
      <c r="C34" s="59" t="s">
        <v>58</v>
      </c>
      <c r="D34" s="60" t="s">
        <v>59</v>
      </c>
      <c r="E34" s="62" t="s">
        <v>94</v>
      </c>
      <c r="F34" s="68" t="s">
        <v>102</v>
      </c>
      <c r="G34" s="69">
        <v>400</v>
      </c>
      <c r="H34" s="70">
        <v>164</v>
      </c>
      <c r="I34" s="61">
        <f t="shared" si="0"/>
        <v>65600</v>
      </c>
    </row>
    <row r="35" spans="1:9" s="51" customFormat="1" ht="25.15" customHeight="1" thickBot="1" x14ac:dyDescent="0.3">
      <c r="A35" s="57">
        <v>26</v>
      </c>
      <c r="B35" s="58"/>
      <c r="C35" s="59" t="s">
        <v>58</v>
      </c>
      <c r="D35" s="60" t="s">
        <v>59</v>
      </c>
      <c r="E35" s="62" t="s">
        <v>112</v>
      </c>
      <c r="F35" s="68" t="s">
        <v>74</v>
      </c>
      <c r="G35" s="69">
        <v>2000</v>
      </c>
      <c r="H35" s="70">
        <v>3.85</v>
      </c>
      <c r="I35" s="61">
        <f t="shared" si="0"/>
        <v>7700</v>
      </c>
    </row>
    <row r="36" spans="1:9" s="51" customFormat="1" ht="25.15" customHeight="1" thickBot="1" x14ac:dyDescent="0.3">
      <c r="A36" s="57">
        <v>27</v>
      </c>
      <c r="B36" s="58"/>
      <c r="C36" s="59" t="s">
        <v>58</v>
      </c>
      <c r="D36" s="60" t="s">
        <v>59</v>
      </c>
      <c r="E36" s="62" t="s">
        <v>95</v>
      </c>
      <c r="F36" s="68" t="s">
        <v>102</v>
      </c>
      <c r="G36" s="69">
        <v>200</v>
      </c>
      <c r="H36" s="70">
        <v>530</v>
      </c>
      <c r="I36" s="61">
        <f t="shared" si="0"/>
        <v>106000</v>
      </c>
    </row>
    <row r="37" spans="1:9" s="51" customFormat="1" ht="25.15" customHeight="1" thickBot="1" x14ac:dyDescent="0.3">
      <c r="A37" s="57">
        <v>28</v>
      </c>
      <c r="B37" s="58"/>
      <c r="C37" s="59" t="s">
        <v>58</v>
      </c>
      <c r="D37" s="60" t="s">
        <v>59</v>
      </c>
      <c r="E37" s="62" t="s">
        <v>96</v>
      </c>
      <c r="F37" s="68" t="s">
        <v>73</v>
      </c>
      <c r="G37" s="68">
        <v>3000</v>
      </c>
      <c r="H37" s="70">
        <v>95</v>
      </c>
      <c r="I37" s="61">
        <f t="shared" si="0"/>
        <v>285000</v>
      </c>
    </row>
    <row r="38" spans="1:9" s="51" customFormat="1" ht="25.15" customHeight="1" thickBot="1" x14ac:dyDescent="0.3">
      <c r="A38" s="57">
        <v>29</v>
      </c>
      <c r="B38" s="58"/>
      <c r="C38" s="59" t="s">
        <v>58</v>
      </c>
      <c r="D38" s="60" t="s">
        <v>59</v>
      </c>
      <c r="E38" s="63" t="s">
        <v>97</v>
      </c>
      <c r="F38" s="88" t="s">
        <v>73</v>
      </c>
      <c r="G38" s="68">
        <v>100</v>
      </c>
      <c r="H38" s="70">
        <v>83.83</v>
      </c>
      <c r="I38" s="61">
        <f t="shared" si="0"/>
        <v>8383</v>
      </c>
    </row>
    <row r="39" spans="1:9" s="51" customFormat="1" ht="25.15" customHeight="1" thickBot="1" x14ac:dyDescent="0.3">
      <c r="A39" s="57">
        <v>30</v>
      </c>
      <c r="B39" s="58"/>
      <c r="C39" s="59" t="s">
        <v>58</v>
      </c>
      <c r="D39" s="60" t="s">
        <v>59</v>
      </c>
      <c r="E39" s="63" t="s">
        <v>98</v>
      </c>
      <c r="F39" s="88" t="s">
        <v>102</v>
      </c>
      <c r="G39" s="68">
        <v>100</v>
      </c>
      <c r="H39" s="70">
        <v>1301.7</v>
      </c>
      <c r="I39" s="61">
        <f t="shared" ref="I39:I45" si="1">H39*G39</f>
        <v>130170</v>
      </c>
    </row>
    <row r="40" spans="1:9" s="51" customFormat="1" ht="25.15" customHeight="1" thickBot="1" x14ac:dyDescent="0.3">
      <c r="A40" s="57">
        <v>31</v>
      </c>
      <c r="B40" s="58"/>
      <c r="C40" s="59" t="s">
        <v>58</v>
      </c>
      <c r="D40" s="60" t="s">
        <v>59</v>
      </c>
      <c r="E40" s="63" t="s">
        <v>103</v>
      </c>
      <c r="F40" s="88" t="s">
        <v>73</v>
      </c>
      <c r="G40" s="68">
        <v>3000</v>
      </c>
      <c r="H40" s="70">
        <v>80.430000000000007</v>
      </c>
      <c r="I40" s="61">
        <f t="shared" si="1"/>
        <v>241290.00000000003</v>
      </c>
    </row>
    <row r="41" spans="1:9" s="51" customFormat="1" ht="25.15" customHeight="1" thickBot="1" x14ac:dyDescent="0.3">
      <c r="A41" s="57">
        <v>32</v>
      </c>
      <c r="B41" s="58"/>
      <c r="C41" s="59" t="s">
        <v>58</v>
      </c>
      <c r="D41" s="60" t="s">
        <v>59</v>
      </c>
      <c r="E41" s="63" t="s">
        <v>113</v>
      </c>
      <c r="F41" s="88" t="s">
        <v>73</v>
      </c>
      <c r="G41" s="68">
        <v>300</v>
      </c>
      <c r="H41" s="70">
        <v>83</v>
      </c>
      <c r="I41" s="61">
        <f t="shared" si="1"/>
        <v>24900</v>
      </c>
    </row>
    <row r="42" spans="1:9" s="51" customFormat="1" ht="25.15" customHeight="1" thickBot="1" x14ac:dyDescent="0.3">
      <c r="A42" s="57">
        <v>33</v>
      </c>
      <c r="B42" s="58"/>
      <c r="C42" s="59" t="s">
        <v>58</v>
      </c>
      <c r="D42" s="60" t="s">
        <v>59</v>
      </c>
      <c r="E42" s="63" t="s">
        <v>105</v>
      </c>
      <c r="F42" s="88" t="s">
        <v>102</v>
      </c>
      <c r="G42" s="68">
        <v>50</v>
      </c>
      <c r="H42" s="70">
        <v>300</v>
      </c>
      <c r="I42" s="61">
        <f t="shared" si="1"/>
        <v>15000</v>
      </c>
    </row>
    <row r="43" spans="1:9" s="51" customFormat="1" ht="25.15" customHeight="1" thickBot="1" x14ac:dyDescent="0.3">
      <c r="A43" s="57">
        <v>34</v>
      </c>
      <c r="B43" s="58"/>
      <c r="C43" s="59" t="s">
        <v>58</v>
      </c>
      <c r="D43" s="60" t="s">
        <v>59</v>
      </c>
      <c r="E43" s="63" t="s">
        <v>117</v>
      </c>
      <c r="F43" s="88" t="s">
        <v>72</v>
      </c>
      <c r="G43" s="68">
        <v>15</v>
      </c>
      <c r="H43" s="70">
        <v>540</v>
      </c>
      <c r="I43" s="61">
        <f t="shared" si="1"/>
        <v>8100</v>
      </c>
    </row>
    <row r="44" spans="1:9" s="51" customFormat="1" ht="25.15" customHeight="1" thickBot="1" x14ac:dyDescent="0.3">
      <c r="A44" s="57">
        <v>35</v>
      </c>
      <c r="B44" s="58"/>
      <c r="C44" s="59" t="s">
        <v>58</v>
      </c>
      <c r="D44" s="60" t="s">
        <v>59</v>
      </c>
      <c r="E44" s="63" t="s">
        <v>104</v>
      </c>
      <c r="F44" s="88" t="s">
        <v>74</v>
      </c>
      <c r="G44" s="68">
        <v>200</v>
      </c>
      <c r="H44" s="70">
        <v>202.6</v>
      </c>
      <c r="I44" s="61">
        <f t="shared" si="1"/>
        <v>40520</v>
      </c>
    </row>
    <row r="45" spans="1:9" s="51" customFormat="1" ht="25.15" customHeight="1" thickBot="1" x14ac:dyDescent="0.3">
      <c r="A45" s="57">
        <v>36</v>
      </c>
      <c r="B45" s="58"/>
      <c r="C45" s="59" t="s">
        <v>58</v>
      </c>
      <c r="D45" s="60" t="s">
        <v>59</v>
      </c>
      <c r="E45" s="63" t="s">
        <v>99</v>
      </c>
      <c r="F45" s="88" t="s">
        <v>74</v>
      </c>
      <c r="G45" s="68">
        <v>300</v>
      </c>
      <c r="H45" s="70">
        <v>7.48</v>
      </c>
      <c r="I45" s="61">
        <f t="shared" si="1"/>
        <v>2244</v>
      </c>
    </row>
    <row r="46" spans="1:9" s="51" customFormat="1" ht="25.15" customHeight="1" thickBot="1" x14ac:dyDescent="0.3">
      <c r="A46" s="57">
        <v>37</v>
      </c>
      <c r="B46" s="58"/>
      <c r="C46" s="59" t="s">
        <v>58</v>
      </c>
      <c r="D46" s="60" t="s">
        <v>59</v>
      </c>
      <c r="E46" s="63" t="s">
        <v>100</v>
      </c>
      <c r="F46" s="88" t="s">
        <v>74</v>
      </c>
      <c r="G46" s="68">
        <v>800</v>
      </c>
      <c r="H46" s="70">
        <v>2</v>
      </c>
      <c r="I46" s="61">
        <f t="shared" ref="I46:I48" si="2">H46*G46</f>
        <v>1600</v>
      </c>
    </row>
    <row r="47" spans="1:9" s="51" customFormat="1" ht="25.15" customHeight="1" thickBot="1" x14ac:dyDescent="0.3">
      <c r="A47" s="57">
        <v>38</v>
      </c>
      <c r="B47" s="58"/>
      <c r="C47" s="59" t="s">
        <v>58</v>
      </c>
      <c r="D47" s="60" t="s">
        <v>59</v>
      </c>
      <c r="E47" s="63" t="s">
        <v>114</v>
      </c>
      <c r="F47" s="88" t="s">
        <v>102</v>
      </c>
      <c r="G47" s="68">
        <v>1000</v>
      </c>
      <c r="H47" s="70">
        <v>720</v>
      </c>
      <c r="I47" s="61">
        <f t="shared" si="2"/>
        <v>720000</v>
      </c>
    </row>
    <row r="48" spans="1:9" s="51" customFormat="1" ht="25.15" customHeight="1" thickBot="1" x14ac:dyDescent="0.3">
      <c r="A48" s="57">
        <v>39</v>
      </c>
      <c r="B48" s="58"/>
      <c r="C48" s="59" t="s">
        <v>58</v>
      </c>
      <c r="D48" s="60" t="s">
        <v>59</v>
      </c>
      <c r="E48" s="64" t="s">
        <v>101</v>
      </c>
      <c r="F48" s="88" t="s">
        <v>72</v>
      </c>
      <c r="G48" s="68">
        <v>20000</v>
      </c>
      <c r="H48" s="70">
        <v>89</v>
      </c>
      <c r="I48" s="61">
        <f t="shared" si="2"/>
        <v>1780000</v>
      </c>
    </row>
    <row r="49" spans="2:5" ht="13.5" thickBot="1" x14ac:dyDescent="0.25"/>
    <row r="50" spans="2:5" x14ac:dyDescent="0.2">
      <c r="B50" s="35" t="s">
        <v>14</v>
      </c>
      <c r="C50" s="36"/>
      <c r="D50" s="36"/>
      <c r="E50" s="37"/>
    </row>
    <row r="51" spans="2:5" ht="5.25" customHeight="1" x14ac:dyDescent="0.2">
      <c r="B51" s="38"/>
      <c r="C51" s="39"/>
      <c r="D51" s="39"/>
      <c r="E51" s="40"/>
    </row>
    <row r="52" spans="2:5" x14ac:dyDescent="0.2">
      <c r="B52" s="41" t="s">
        <v>15</v>
      </c>
      <c r="C52" s="39"/>
      <c r="D52" s="39"/>
      <c r="E52" s="40"/>
    </row>
    <row r="53" spans="2:5" ht="41.25" customHeight="1" x14ac:dyDescent="0.2">
      <c r="B53" s="41"/>
      <c r="C53" s="92"/>
      <c r="D53" s="92"/>
      <c r="E53" s="92"/>
    </row>
    <row r="54" spans="2:5" x14ac:dyDescent="0.2">
      <c r="B54" s="41" t="s">
        <v>16</v>
      </c>
      <c r="C54" s="39"/>
      <c r="D54" s="39"/>
      <c r="E54" s="40"/>
    </row>
    <row r="55" spans="2:5" x14ac:dyDescent="0.2">
      <c r="B55" s="42"/>
      <c r="C55" s="93" t="s">
        <v>66</v>
      </c>
      <c r="D55" s="93"/>
      <c r="E55" s="93"/>
    </row>
    <row r="56" spans="2:5" x14ac:dyDescent="0.2">
      <c r="B56" s="42"/>
      <c r="C56" s="94"/>
      <c r="D56" s="94"/>
      <c r="E56" s="94"/>
    </row>
    <row r="57" spans="2:5" x14ac:dyDescent="0.2">
      <c r="B57" s="41" t="s">
        <v>17</v>
      </c>
      <c r="C57" s="39"/>
      <c r="D57" s="39"/>
      <c r="E57" s="40"/>
    </row>
    <row r="58" spans="2:5" ht="26.25" customHeight="1" x14ac:dyDescent="0.2">
      <c r="B58" s="42"/>
      <c r="C58" s="92"/>
      <c r="D58" s="92"/>
      <c r="E58" s="92"/>
    </row>
    <row r="59" spans="2:5" x14ac:dyDescent="0.2">
      <c r="B59" s="41" t="s">
        <v>18</v>
      </c>
      <c r="C59" s="43"/>
      <c r="D59" s="43"/>
      <c r="E59" s="44"/>
    </row>
    <row r="60" spans="2:5" ht="26.25" customHeight="1" x14ac:dyDescent="0.2">
      <c r="B60" s="42"/>
      <c r="C60" s="96" t="s">
        <v>67</v>
      </c>
      <c r="D60" s="96"/>
      <c r="E60" s="96"/>
    </row>
    <row r="61" spans="2:5" x14ac:dyDescent="0.2">
      <c r="B61" s="41" t="s">
        <v>19</v>
      </c>
      <c r="C61" s="39"/>
      <c r="D61" s="39"/>
      <c r="E61" s="40"/>
    </row>
    <row r="62" spans="2:5" ht="23.25" customHeight="1" x14ac:dyDescent="0.2">
      <c r="B62" s="41"/>
      <c r="C62" s="95"/>
      <c r="D62" s="95"/>
      <c r="E62" s="95"/>
    </row>
    <row r="63" spans="2:5" ht="13.5" thickBot="1" x14ac:dyDescent="0.25">
      <c r="B63" s="45"/>
      <c r="C63" s="46"/>
      <c r="D63" s="46"/>
      <c r="E63" s="47"/>
    </row>
    <row r="64" spans="2:5" ht="13.5" thickBot="1" x14ac:dyDescent="0.25"/>
    <row r="65" spans="2:5" x14ac:dyDescent="0.2">
      <c r="B65" s="35" t="s">
        <v>20</v>
      </c>
      <c r="C65" s="36"/>
      <c r="D65" s="36"/>
      <c r="E65" s="37"/>
    </row>
    <row r="66" spans="2:5" ht="7.5" customHeight="1" x14ac:dyDescent="0.2">
      <c r="B66" s="38"/>
      <c r="C66" s="39"/>
      <c r="D66" s="39"/>
      <c r="E66" s="40"/>
    </row>
    <row r="67" spans="2:5" x14ac:dyDescent="0.2">
      <c r="B67" s="41" t="s">
        <v>15</v>
      </c>
      <c r="C67" s="39"/>
      <c r="D67" s="39"/>
      <c r="E67" s="40"/>
    </row>
    <row r="68" spans="2:5" ht="39" customHeight="1" x14ac:dyDescent="0.2">
      <c r="B68" s="41"/>
      <c r="C68" s="92"/>
      <c r="D68" s="92"/>
      <c r="E68" s="92"/>
    </row>
    <row r="69" spans="2:5" x14ac:dyDescent="0.2">
      <c r="B69" s="41" t="s">
        <v>16</v>
      </c>
      <c r="C69" s="39"/>
      <c r="D69" s="39"/>
      <c r="E69" s="40"/>
    </row>
    <row r="70" spans="2:5" x14ac:dyDescent="0.2">
      <c r="B70" s="42"/>
      <c r="C70" s="95"/>
      <c r="D70" s="95"/>
      <c r="E70" s="95"/>
    </row>
    <row r="71" spans="2:5" x14ac:dyDescent="0.2">
      <c r="B71" s="42"/>
      <c r="C71" s="95"/>
      <c r="D71" s="95"/>
      <c r="E71" s="95"/>
    </row>
    <row r="72" spans="2:5" x14ac:dyDescent="0.2">
      <c r="B72" s="41" t="s">
        <v>17</v>
      </c>
      <c r="C72" s="39"/>
      <c r="D72" s="39"/>
      <c r="E72" s="40"/>
    </row>
    <row r="73" spans="2:5" x14ac:dyDescent="0.2">
      <c r="B73" s="42"/>
      <c r="C73" s="92"/>
      <c r="D73" s="92"/>
      <c r="E73" s="92"/>
    </row>
    <row r="74" spans="2:5" x14ac:dyDescent="0.2">
      <c r="B74" s="41" t="s">
        <v>18</v>
      </c>
      <c r="C74" s="43"/>
      <c r="D74" s="43"/>
      <c r="E74" s="44"/>
    </row>
    <row r="75" spans="2:5" x14ac:dyDescent="0.2">
      <c r="B75" s="42"/>
      <c r="C75" s="92"/>
      <c r="D75" s="92"/>
      <c r="E75" s="92"/>
    </row>
    <row r="76" spans="2:5" x14ac:dyDescent="0.2">
      <c r="B76" s="41" t="s">
        <v>19</v>
      </c>
      <c r="C76" s="39"/>
      <c r="D76" s="39"/>
      <c r="E76" s="40"/>
    </row>
    <row r="77" spans="2:5" x14ac:dyDescent="0.2">
      <c r="B77" s="41"/>
      <c r="C77" s="95"/>
      <c r="D77" s="95"/>
      <c r="E77" s="95"/>
    </row>
    <row r="78" spans="2:5" x14ac:dyDescent="0.2">
      <c r="B78" s="45"/>
      <c r="C78" s="46"/>
      <c r="D78" s="46"/>
      <c r="E78" s="47"/>
    </row>
  </sheetData>
  <autoFilter ref="A9:I48" xr:uid="{00000000-0009-0000-0000-000000000000}"/>
  <mergeCells count="19">
    <mergeCell ref="C71:E71"/>
    <mergeCell ref="C73:E73"/>
    <mergeCell ref="C75:E75"/>
    <mergeCell ref="C77:E77"/>
    <mergeCell ref="C58:E58"/>
    <mergeCell ref="C60:E60"/>
    <mergeCell ref="C62:E62"/>
    <mergeCell ref="C68:E68"/>
    <mergeCell ref="C70:E70"/>
    <mergeCell ref="A6:B6"/>
    <mergeCell ref="A7:B7"/>
    <mergeCell ref="C53:E53"/>
    <mergeCell ref="C55:E55"/>
    <mergeCell ref="C56:E56"/>
    <mergeCell ref="B2:H2"/>
    <mergeCell ref="A4:B4"/>
    <mergeCell ref="C4:E4"/>
    <mergeCell ref="A5:B5"/>
    <mergeCell ref="C5:E5"/>
  </mergeCells>
  <conditionalFormatting sqref="E14:E18">
    <cfRule type="cellIs" dxfId="6" priority="1" operator="equal">
      <formula>"duplicado"</formula>
    </cfRule>
  </conditionalFormatting>
  <conditionalFormatting sqref="E14">
    <cfRule type="duplicateValues" dxfId="5" priority="2"/>
    <cfRule type="duplicateValues" dxfId="4" priority="3"/>
    <cfRule type="cellIs" dxfId="3" priority="4" operator="equal">
      <formula>"calibra"</formula>
    </cfRule>
  </conditionalFormatting>
  <conditionalFormatting sqref="E14:E18">
    <cfRule type="duplicateValues" dxfId="2" priority="5"/>
    <cfRule type="duplicateValues" dxfId="1" priority="6"/>
    <cfRule type="cellIs" dxfId="0" priority="7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51"/>
  <sheetViews>
    <sheetView topLeftCell="A16" zoomScale="70" zoomScaleNormal="70" workbookViewId="0">
      <selection activeCell="C21" sqref="C21:G21"/>
    </sheetView>
  </sheetViews>
  <sheetFormatPr baseColWidth="10" defaultColWidth="9.140625" defaultRowHeight="12.75" x14ac:dyDescent="0.2"/>
  <cols>
    <col min="1" max="1" width="5.5703125" style="72" customWidth="1"/>
    <col min="2" max="2" width="15.1406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42" style="72" customWidth="1"/>
    <col min="8" max="8" width="9.28515625" style="72" customWidth="1"/>
    <col min="9" max="9" width="25.5703125" style="72" customWidth="1"/>
    <col min="10" max="10" width="14.7109375" style="72" customWidth="1"/>
    <col min="11" max="11" width="15.5703125" style="73" customWidth="1"/>
    <col min="12" max="14" width="5.85546875" style="72" customWidth="1"/>
    <col min="15" max="15" width="12.5703125" style="72" customWidth="1"/>
    <col min="16" max="1024" width="9.140625" style="72"/>
    <col min="1025" max="16384" width="9.140625" style="71"/>
  </cols>
  <sheetData>
    <row r="1" spans="1:11" ht="18" customHeight="1" thickBot="1" x14ac:dyDescent="0.25">
      <c r="A1" s="107" t="s">
        <v>21</v>
      </c>
      <c r="B1" s="107"/>
      <c r="C1" s="107"/>
      <c r="D1" s="107"/>
      <c r="E1" s="107"/>
      <c r="F1" s="107"/>
      <c r="G1" s="107"/>
      <c r="H1" s="107"/>
      <c r="I1" s="107"/>
      <c r="J1" s="87" t="s">
        <v>22</v>
      </c>
      <c r="K1" s="86" t="s">
        <v>75</v>
      </c>
    </row>
    <row r="2" spans="1:11" ht="18.75" customHeight="1" thickBot="1" x14ac:dyDescent="0.25">
      <c r="A2" s="85"/>
      <c r="B2" s="85"/>
      <c r="C2" s="85"/>
      <c r="D2" s="84"/>
      <c r="E2" s="84"/>
      <c r="F2" s="84"/>
      <c r="G2" s="84"/>
      <c r="H2" s="84"/>
      <c r="I2" s="84"/>
      <c r="J2" s="84"/>
      <c r="K2" s="83"/>
    </row>
    <row r="3" spans="1:11" ht="18.75" customHeight="1" thickBot="1" x14ac:dyDescent="0.25">
      <c r="A3" s="108" t="s">
        <v>55</v>
      </c>
      <c r="B3" s="108"/>
      <c r="C3" s="108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3" t="s">
        <v>56</v>
      </c>
      <c r="B4" s="103"/>
      <c r="C4" s="103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3" t="s">
        <v>34</v>
      </c>
      <c r="B5" s="103"/>
      <c r="C5" s="103"/>
      <c r="D5" s="104" t="s">
        <v>64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8" t="s">
        <v>57</v>
      </c>
      <c r="B6" s="108"/>
      <c r="C6" s="108"/>
      <c r="D6" s="104" t="s">
        <v>65</v>
      </c>
      <c r="E6" s="104"/>
      <c r="F6" s="104"/>
      <c r="G6" s="104"/>
      <c r="H6" s="104"/>
      <c r="I6" s="104"/>
      <c r="J6" s="104"/>
      <c r="K6" s="104"/>
    </row>
    <row r="7" spans="1:11" ht="16.5" customHeight="1" thickBot="1" x14ac:dyDescent="0.25">
      <c r="A7" s="103" t="s">
        <v>23</v>
      </c>
      <c r="B7" s="103"/>
      <c r="C7" s="103"/>
      <c r="D7" s="104" t="str">
        <f>'Necesidades Trimestrales'!C7 &amp; "° Trimestre - Año " &amp; 'Necesidades Trimestrales'!C6</f>
        <v>4° Trimestre - Año 2020</v>
      </c>
      <c r="E7" s="104"/>
      <c r="F7" s="104"/>
      <c r="G7" s="104"/>
      <c r="H7" s="104"/>
      <c r="I7" s="104"/>
      <c r="J7" s="104"/>
      <c r="K7" s="104"/>
    </row>
    <row r="8" spans="1:11" ht="16.5" customHeight="1" thickBot="1" x14ac:dyDescent="0.25">
      <c r="A8" s="105" t="s">
        <v>24</v>
      </c>
      <c r="B8" s="105"/>
      <c r="C8" s="105"/>
      <c r="D8" s="106" t="s">
        <v>76</v>
      </c>
      <c r="E8" s="106"/>
      <c r="F8" s="106"/>
      <c r="G8" s="106"/>
      <c r="H8" s="106"/>
      <c r="I8" s="106"/>
      <c r="J8" s="106"/>
      <c r="K8" s="106"/>
    </row>
    <row r="9" spans="1:11" ht="16.5" thickBot="1" x14ac:dyDescent="0.25">
      <c r="A9" s="82"/>
      <c r="B9" s="82"/>
      <c r="C9" s="82"/>
      <c r="D9" s="81"/>
      <c r="E9" s="81"/>
      <c r="F9" s="81"/>
      <c r="G9" s="81"/>
      <c r="H9" s="81"/>
      <c r="I9" s="81"/>
      <c r="J9" s="81"/>
      <c r="K9" s="80"/>
    </row>
    <row r="10" spans="1:11" ht="18.75" customHeight="1" thickBot="1" x14ac:dyDescent="0.25">
      <c r="A10" s="101" t="s">
        <v>25</v>
      </c>
      <c r="B10" s="102" t="s">
        <v>26</v>
      </c>
      <c r="C10" s="102" t="s">
        <v>27</v>
      </c>
      <c r="D10" s="102"/>
      <c r="E10" s="102"/>
      <c r="F10" s="102"/>
      <c r="G10" s="102"/>
      <c r="H10" s="102" t="s">
        <v>28</v>
      </c>
      <c r="I10" s="102" t="s">
        <v>29</v>
      </c>
      <c r="J10" s="102" t="s">
        <v>30</v>
      </c>
      <c r="K10" s="98" t="s">
        <v>31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98"/>
    </row>
    <row r="12" spans="1:11" ht="20.25" customHeight="1" thickBot="1" x14ac:dyDescent="0.25">
      <c r="A12" s="79">
        <v>1</v>
      </c>
      <c r="B12" s="77">
        <f>'Necesidades Trimestrales'!B10</f>
        <v>0</v>
      </c>
      <c r="C12" s="97" t="str">
        <f>'Necesidades Trimestrales'!E10</f>
        <v xml:space="preserve">Divalproato de sodio 500 mg. </v>
      </c>
      <c r="D12" s="97"/>
      <c r="E12" s="97"/>
      <c r="F12" s="97"/>
      <c r="G12" s="97"/>
      <c r="H12" s="76" t="s">
        <v>61</v>
      </c>
      <c r="I12" s="75" t="str">
        <f>'Necesidades Trimestrales'!F10</f>
        <v>COMPRIMIDO</v>
      </c>
      <c r="J12" s="52">
        <f>'Necesidades Trimestrales'!H10</f>
        <v>32.840000000000003</v>
      </c>
      <c r="K12" s="74">
        <f>'Necesidades Trimestrales'!G10</f>
        <v>2000</v>
      </c>
    </row>
    <row r="13" spans="1:11" ht="20.25" customHeight="1" thickBot="1" x14ac:dyDescent="0.25">
      <c r="A13" s="78">
        <v>2</v>
      </c>
      <c r="B13" s="77">
        <f>'Necesidades Trimestrales'!B11</f>
        <v>0</v>
      </c>
      <c r="C13" s="97" t="str">
        <f>'Necesidades Trimestrales'!E11</f>
        <v>Filgrastrim 30 M.U. x 1ml</v>
      </c>
      <c r="D13" s="97"/>
      <c r="E13" s="97"/>
      <c r="F13" s="97"/>
      <c r="G13" s="97"/>
      <c r="H13" s="76" t="s">
        <v>61</v>
      </c>
      <c r="I13" s="75" t="str">
        <f>'Necesidades Trimestrales'!F11</f>
        <v>FRASCO AMPOLLA</v>
      </c>
      <c r="J13" s="52">
        <f>'Necesidades Trimestrales'!H11</f>
        <v>727.8</v>
      </c>
      <c r="K13" s="74">
        <f>'Necesidades Trimestrales'!G11</f>
        <v>70</v>
      </c>
    </row>
    <row r="14" spans="1:11" ht="20.25" customHeight="1" thickBot="1" x14ac:dyDescent="0.25">
      <c r="A14" s="78">
        <v>3</v>
      </c>
      <c r="B14" s="77">
        <f>'Necesidades Trimestrales'!B12</f>
        <v>0</v>
      </c>
      <c r="C14" s="97" t="str">
        <f>'Necesidades Trimestrales'!E12</f>
        <v xml:space="preserve">Haloperidol decanoato 50 mg / 3ml </v>
      </c>
      <c r="D14" s="97"/>
      <c r="E14" s="97"/>
      <c r="F14" s="97"/>
      <c r="G14" s="97"/>
      <c r="H14" s="76" t="s">
        <v>61</v>
      </c>
      <c r="I14" s="75" t="str">
        <f>'Necesidades Trimestrales'!F12</f>
        <v>AMPOLLA</v>
      </c>
      <c r="J14" s="52">
        <f>'Necesidades Trimestrales'!H12</f>
        <v>284.5</v>
      </c>
      <c r="K14" s="74">
        <f>'Necesidades Trimestrales'!G12</f>
        <v>10</v>
      </c>
    </row>
    <row r="15" spans="1:11" ht="20.25" customHeight="1" thickBot="1" x14ac:dyDescent="0.25">
      <c r="A15" s="78">
        <v>4</v>
      </c>
      <c r="B15" s="77">
        <f>'Necesidades Trimestrales'!B13</f>
        <v>0</v>
      </c>
      <c r="C15" s="97" t="str">
        <f>'Necesidades Trimestrales'!E13</f>
        <v>Vasopresina- tipo  novopresina sistet. 20 UI/1ml</v>
      </c>
      <c r="D15" s="97"/>
      <c r="E15" s="97"/>
      <c r="F15" s="97"/>
      <c r="G15" s="97"/>
      <c r="H15" s="76" t="s">
        <v>61</v>
      </c>
      <c r="I15" s="75" t="str">
        <f>'Necesidades Trimestrales'!F13</f>
        <v>AMPOLLA</v>
      </c>
      <c r="J15" s="52">
        <f>'Necesidades Trimestrales'!H13</f>
        <v>735</v>
      </c>
      <c r="K15" s="74">
        <f>'Necesidades Trimestrales'!G13</f>
        <v>10</v>
      </c>
    </row>
    <row r="16" spans="1:11" ht="20.25" customHeight="1" thickBot="1" x14ac:dyDescent="0.25">
      <c r="A16" s="78">
        <v>5</v>
      </c>
      <c r="B16" s="77">
        <f>'Necesidades Trimestrales'!B14</f>
        <v>0</v>
      </c>
      <c r="C16" s="97" t="str">
        <f>'Necesidades Trimestrales'!E14</f>
        <v xml:space="preserve">Octeotrida 0,1 mg./1ml x 1 ml </v>
      </c>
      <c r="D16" s="97"/>
      <c r="E16" s="97"/>
      <c r="F16" s="97"/>
      <c r="G16" s="97"/>
      <c r="H16" s="76" t="s">
        <v>61</v>
      </c>
      <c r="I16" s="75" t="str">
        <f>'Necesidades Trimestrales'!F14</f>
        <v>AMPOLLA</v>
      </c>
      <c r="J16" s="52">
        <f>'Necesidades Trimestrales'!H14</f>
        <v>510</v>
      </c>
      <c r="K16" s="74">
        <f>'Necesidades Trimestrales'!G14</f>
        <v>30</v>
      </c>
    </row>
    <row r="17" spans="1:11" ht="20.25" customHeight="1" thickBot="1" x14ac:dyDescent="0.25">
      <c r="A17" s="78">
        <v>6</v>
      </c>
      <c r="B17" s="77">
        <f>'Necesidades Trimestrales'!B15</f>
        <v>0</v>
      </c>
      <c r="C17" s="97" t="str">
        <f>'Necesidades Trimestrales'!E15</f>
        <v xml:space="preserve">Acetozolamida tipo Hidroftal 250 mg. </v>
      </c>
      <c r="D17" s="97"/>
      <c r="E17" s="97"/>
      <c r="F17" s="97"/>
      <c r="G17" s="97"/>
      <c r="H17" s="76" t="s">
        <v>61</v>
      </c>
      <c r="I17" s="75" t="str">
        <f>'Necesidades Trimestrales'!F15</f>
        <v>COMPRIMIDO</v>
      </c>
      <c r="J17" s="52">
        <f>'Necesidades Trimestrales'!H15</f>
        <v>18.899999999999999</v>
      </c>
      <c r="K17" s="74">
        <f>'Necesidades Trimestrales'!G15</f>
        <v>200</v>
      </c>
    </row>
    <row r="18" spans="1:11" ht="20.25" customHeight="1" thickBot="1" x14ac:dyDescent="0.25">
      <c r="A18" s="78">
        <v>7</v>
      </c>
      <c r="B18" s="77">
        <f>'Necesidades Trimestrales'!B16</f>
        <v>0</v>
      </c>
      <c r="C18" s="97" t="str">
        <f>'Necesidades Trimestrales'!E16</f>
        <v>Ciclopentolato 1% x 5 ml gotas</v>
      </c>
      <c r="D18" s="97"/>
      <c r="E18" s="97"/>
      <c r="F18" s="97"/>
      <c r="G18" s="97"/>
      <c r="H18" s="76" t="s">
        <v>61</v>
      </c>
      <c r="I18" s="75" t="str">
        <f>'Necesidades Trimestrales'!F16</f>
        <v>UNIDAD</v>
      </c>
      <c r="J18" s="52">
        <f>'Necesidades Trimestrales'!H16</f>
        <v>523.07000000000005</v>
      </c>
      <c r="K18" s="74">
        <f>'Necesidades Trimestrales'!G16</f>
        <v>5</v>
      </c>
    </row>
    <row r="19" spans="1:11" ht="20.25" customHeight="1" thickBot="1" x14ac:dyDescent="0.25">
      <c r="A19" s="78">
        <v>8</v>
      </c>
      <c r="B19" s="77">
        <f>'Necesidades Trimestrales'!B17</f>
        <v>0</v>
      </c>
      <c r="C19" s="97" t="str">
        <f>'Necesidades Trimestrales'!E17</f>
        <v xml:space="preserve">Ciprofloxacina+ Dexametasona gotas x 5 ml tipo Quidex </v>
      </c>
      <c r="D19" s="97"/>
      <c r="E19" s="97"/>
      <c r="F19" s="97"/>
      <c r="G19" s="97"/>
      <c r="H19" s="76" t="s">
        <v>61</v>
      </c>
      <c r="I19" s="75" t="str">
        <f>'Necesidades Trimestrales'!F17</f>
        <v>UNIDAD</v>
      </c>
      <c r="J19" s="52">
        <f>'Necesidades Trimestrales'!H17</f>
        <v>684</v>
      </c>
      <c r="K19" s="74">
        <f>'Necesidades Trimestrales'!G17</f>
        <v>20</v>
      </c>
    </row>
    <row r="20" spans="1:11" ht="20.25" customHeight="1" thickBot="1" x14ac:dyDescent="0.25">
      <c r="A20" s="78">
        <v>9</v>
      </c>
      <c r="B20" s="77">
        <f>'Necesidades Trimestrales'!B18</f>
        <v>0</v>
      </c>
      <c r="C20" s="97" t="str">
        <f>'Necesidades Trimestrales'!E18</f>
        <v>Fluorescina 0,25 % x 5 ml gotas</v>
      </c>
      <c r="D20" s="97"/>
      <c r="E20" s="97"/>
      <c r="F20" s="97"/>
      <c r="G20" s="97"/>
      <c r="H20" s="76" t="s">
        <v>61</v>
      </c>
      <c r="I20" s="75" t="str">
        <f>'Necesidades Trimestrales'!F18</f>
        <v>UNIDAD</v>
      </c>
      <c r="J20" s="52">
        <f>'Necesidades Trimestrales'!H18</f>
        <v>711.28</v>
      </c>
      <c r="K20" s="74">
        <f>'Necesidades Trimestrales'!G18</f>
        <v>5</v>
      </c>
    </row>
    <row r="21" spans="1:11" ht="20.25" customHeight="1" thickBot="1" x14ac:dyDescent="0.25">
      <c r="A21" s="78">
        <v>10</v>
      </c>
      <c r="B21" s="77">
        <f>'Necesidades Trimestrales'!B19</f>
        <v>0</v>
      </c>
      <c r="C21" s="97" t="str">
        <f>'Necesidades Trimestrales'!E19</f>
        <v xml:space="preserve">Latanoprost 50 mcg/ ml de 2,5 ml colirio gotas tipo Louten </v>
      </c>
      <c r="D21" s="97"/>
      <c r="E21" s="97"/>
      <c r="F21" s="97"/>
      <c r="G21" s="97"/>
      <c r="H21" s="76" t="s">
        <v>61</v>
      </c>
      <c r="I21" s="75" t="str">
        <f>'Necesidades Trimestrales'!F19</f>
        <v>UNIDAD</v>
      </c>
      <c r="J21" s="52">
        <f>'Necesidades Trimestrales'!H19</f>
        <v>1107</v>
      </c>
      <c r="K21" s="74">
        <f>'Necesidades Trimestrales'!G19</f>
        <v>15</v>
      </c>
    </row>
    <row r="22" spans="1:11" ht="20.25" customHeight="1" thickBot="1" x14ac:dyDescent="0.25">
      <c r="A22" s="78">
        <v>11</v>
      </c>
      <c r="B22" s="77">
        <f>'Necesidades Trimestrales'!B20</f>
        <v>0</v>
      </c>
      <c r="C22" s="97" t="str">
        <f>'Necesidades Trimestrales'!E20</f>
        <v>Ofloxacina 0,3 % x 5 ml  gotas</v>
      </c>
      <c r="D22" s="97"/>
      <c r="E22" s="97"/>
      <c r="F22" s="97"/>
      <c r="G22" s="97"/>
      <c r="H22" s="76" t="s">
        <v>61</v>
      </c>
      <c r="I22" s="75" t="str">
        <f>'Necesidades Trimestrales'!F20</f>
        <v>UNIDAD</v>
      </c>
      <c r="J22" s="52">
        <f>'Necesidades Trimestrales'!H20</f>
        <v>679.38</v>
      </c>
      <c r="K22" s="74">
        <f>'Necesidades Trimestrales'!G20</f>
        <v>20</v>
      </c>
    </row>
    <row r="23" spans="1:11" ht="20.25" customHeight="1" thickBot="1" x14ac:dyDescent="0.25">
      <c r="A23" s="78">
        <v>12</v>
      </c>
      <c r="B23" s="77">
        <f>'Necesidades Trimestrales'!B21</f>
        <v>0</v>
      </c>
      <c r="C23" s="97" t="str">
        <f>'Necesidades Trimestrales'!E21</f>
        <v>Prednisolona + Fenilefrina x 10 ml gotas tipo Prednefrin forte</v>
      </c>
      <c r="D23" s="97"/>
      <c r="E23" s="97"/>
      <c r="F23" s="97"/>
      <c r="G23" s="97"/>
      <c r="H23" s="76" t="s">
        <v>61</v>
      </c>
      <c r="I23" s="75" t="str">
        <f>'Necesidades Trimestrales'!F21</f>
        <v>UNIDAD</v>
      </c>
      <c r="J23" s="52">
        <f>'Necesidades Trimestrales'!H21</f>
        <v>804</v>
      </c>
      <c r="K23" s="74">
        <f>'Necesidades Trimestrales'!G21</f>
        <v>40</v>
      </c>
    </row>
    <row r="24" spans="1:11" ht="20.25" customHeight="1" thickBot="1" x14ac:dyDescent="0.25">
      <c r="A24" s="78">
        <v>13</v>
      </c>
      <c r="B24" s="77">
        <f>'Necesidades Trimestrales'!B22</f>
        <v>0</v>
      </c>
      <c r="C24" s="97" t="str">
        <f>'Necesidades Trimestrales'!E22</f>
        <v xml:space="preserve">Proparacina 0,5% x 15 ml gotas tipo Anestalcon </v>
      </c>
      <c r="D24" s="97"/>
      <c r="E24" s="97"/>
      <c r="F24" s="97"/>
      <c r="G24" s="97"/>
      <c r="H24" s="76" t="s">
        <v>61</v>
      </c>
      <c r="I24" s="75" t="str">
        <f>'Necesidades Trimestrales'!F22</f>
        <v>UNIDAD</v>
      </c>
      <c r="J24" s="52">
        <f>'Necesidades Trimestrales'!H22</f>
        <v>493</v>
      </c>
      <c r="K24" s="74">
        <f>'Necesidades Trimestrales'!G22</f>
        <v>5</v>
      </c>
    </row>
    <row r="25" spans="1:11" ht="20.25" customHeight="1" thickBot="1" x14ac:dyDescent="0.25">
      <c r="A25" s="78">
        <v>14</v>
      </c>
      <c r="B25" s="77">
        <f>'Necesidades Trimestrales'!B23</f>
        <v>0</v>
      </c>
      <c r="C25" s="97" t="str">
        <f>'Necesidades Trimestrales'!E23</f>
        <v>Tropicamida 1% x 5 ml gotas tipo Alcon mydril</v>
      </c>
      <c r="D25" s="97"/>
      <c r="E25" s="97"/>
      <c r="F25" s="97"/>
      <c r="G25" s="97"/>
      <c r="H25" s="76" t="s">
        <v>61</v>
      </c>
      <c r="I25" s="75" t="str">
        <f>'Necesidades Trimestrales'!F23</f>
        <v>UNIDAD</v>
      </c>
      <c r="J25" s="52">
        <f>'Necesidades Trimestrales'!H23</f>
        <v>480</v>
      </c>
      <c r="K25" s="74">
        <f>'Necesidades Trimestrales'!G23</f>
        <v>4</v>
      </c>
    </row>
    <row r="26" spans="1:11" ht="20.25" customHeight="1" thickBot="1" x14ac:dyDescent="0.25">
      <c r="A26" s="78">
        <v>15</v>
      </c>
      <c r="B26" s="77">
        <f>'Necesidades Trimestrales'!B24</f>
        <v>0</v>
      </c>
      <c r="C26" s="97" t="str">
        <f>'Necesidades Trimestrales'!E24</f>
        <v xml:space="preserve">Tropicamida + fenilefrina x 5 ml gotas  tipo fotorretin </v>
      </c>
      <c r="D26" s="97"/>
      <c r="E26" s="97"/>
      <c r="F26" s="97"/>
      <c r="G26" s="97"/>
      <c r="H26" s="76" t="s">
        <v>61</v>
      </c>
      <c r="I26" s="75" t="str">
        <f>'Necesidades Trimestrales'!F24</f>
        <v>UNIDAD</v>
      </c>
      <c r="J26" s="52">
        <f>'Necesidades Trimestrales'!H24</f>
        <v>493.35</v>
      </c>
      <c r="K26" s="74">
        <f>'Necesidades Trimestrales'!G24</f>
        <v>50</v>
      </c>
    </row>
    <row r="27" spans="1:11" ht="20.25" customHeight="1" thickBot="1" x14ac:dyDescent="0.25">
      <c r="A27" s="78">
        <v>16</v>
      </c>
      <c r="B27" s="77">
        <f>'Necesidades Trimestrales'!B25</f>
        <v>0</v>
      </c>
      <c r="C27" s="97" t="str">
        <f>'Necesidades Trimestrales'!E25</f>
        <v xml:space="preserve"> Bromfenac x 5 ml tipo Natax</v>
      </c>
      <c r="D27" s="97"/>
      <c r="E27" s="97"/>
      <c r="F27" s="97"/>
      <c r="G27" s="97"/>
      <c r="H27" s="76" t="s">
        <v>61</v>
      </c>
      <c r="I27" s="75" t="str">
        <f>'Necesidades Trimestrales'!F25</f>
        <v>UNIDAD</v>
      </c>
      <c r="J27" s="52">
        <f>'Necesidades Trimestrales'!H25</f>
        <v>1060.6300000000001</v>
      </c>
      <c r="K27" s="74">
        <f>'Necesidades Trimestrales'!G25</f>
        <v>20</v>
      </c>
    </row>
    <row r="28" spans="1:11" ht="20.25" customHeight="1" thickBot="1" x14ac:dyDescent="0.25">
      <c r="A28" s="78">
        <v>17</v>
      </c>
      <c r="B28" s="77">
        <f>'Necesidades Trimestrales'!B26</f>
        <v>0</v>
      </c>
      <c r="C28" s="97" t="str">
        <f>'Necesidades Trimestrales'!E26</f>
        <v>Nepafenac 0,1 % gotas tipo Nevanac</v>
      </c>
      <c r="D28" s="97"/>
      <c r="E28" s="97"/>
      <c r="F28" s="97"/>
      <c r="G28" s="97"/>
      <c r="H28" s="76" t="s">
        <v>61</v>
      </c>
      <c r="I28" s="75" t="str">
        <f>'Necesidades Trimestrales'!F26</f>
        <v>UNIDAD</v>
      </c>
      <c r="J28" s="52">
        <f>'Necesidades Trimestrales'!H26</f>
        <v>1500.61</v>
      </c>
      <c r="K28" s="74">
        <f>'Necesidades Trimestrales'!G26</f>
        <v>10</v>
      </c>
    </row>
    <row r="29" spans="1:11" ht="20.25" customHeight="1" thickBot="1" x14ac:dyDescent="0.25">
      <c r="A29" s="78">
        <v>18</v>
      </c>
      <c r="B29" s="77">
        <f>'Necesidades Trimestrales'!B27</f>
        <v>0</v>
      </c>
      <c r="C29" s="97" t="str">
        <f>'Necesidades Trimestrales'!E27</f>
        <v xml:space="preserve">Travoprost 0,04% x 2,5 ml gotas tipoTravatan </v>
      </c>
      <c r="D29" s="97"/>
      <c r="E29" s="97"/>
      <c r="F29" s="97"/>
      <c r="G29" s="97"/>
      <c r="H29" s="76" t="s">
        <v>61</v>
      </c>
      <c r="I29" s="75" t="str">
        <f>'Necesidades Trimestrales'!F27</f>
        <v>UNIDAD</v>
      </c>
      <c r="J29" s="52">
        <f>'Necesidades Trimestrales'!H27</f>
        <v>1478.72</v>
      </c>
      <c r="K29" s="74">
        <f>'Necesidades Trimestrales'!G27</f>
        <v>10</v>
      </c>
    </row>
    <row r="30" spans="1:11" ht="20.25" customHeight="1" thickBot="1" x14ac:dyDescent="0.25">
      <c r="A30" s="78">
        <v>19</v>
      </c>
      <c r="B30" s="77">
        <f>'Necesidades Trimestrales'!B28</f>
        <v>0</v>
      </c>
      <c r="C30" s="97" t="str">
        <f>'Necesidades Trimestrales'!E28</f>
        <v>Polietilenglicol bidon x 4ltrs.</v>
      </c>
      <c r="D30" s="97"/>
      <c r="E30" s="97"/>
      <c r="F30" s="97"/>
      <c r="G30" s="97"/>
      <c r="H30" s="76" t="s">
        <v>61</v>
      </c>
      <c r="I30" s="75" t="str">
        <f>'Necesidades Trimestrales'!F28</f>
        <v>UNIDAD</v>
      </c>
      <c r="J30" s="52">
        <f>'Necesidades Trimestrales'!H28</f>
        <v>1305.72</v>
      </c>
      <c r="K30" s="74">
        <f>'Necesidades Trimestrales'!G28</f>
        <v>4</v>
      </c>
    </row>
    <row r="31" spans="1:11" ht="20.25" customHeight="1" thickBot="1" x14ac:dyDescent="0.25">
      <c r="A31" s="78">
        <v>20</v>
      </c>
      <c r="B31" s="77">
        <f>'Necesidades Trimestrales'!B29</f>
        <v>0</v>
      </c>
      <c r="C31" s="97" t="str">
        <f>'Necesidades Trimestrales'!E29</f>
        <v xml:space="preserve">Ondasentron 8mg x 4 ml </v>
      </c>
      <c r="D31" s="97"/>
      <c r="E31" s="97"/>
      <c r="F31" s="97"/>
      <c r="G31" s="97"/>
      <c r="H31" s="76" t="s">
        <v>61</v>
      </c>
      <c r="I31" s="75" t="str">
        <f>'Necesidades Trimestrales'!F29</f>
        <v>AMPOLLA</v>
      </c>
      <c r="J31" s="52">
        <f>'Necesidades Trimestrales'!H29</f>
        <v>18</v>
      </c>
      <c r="K31" s="74">
        <f>'Necesidades Trimestrales'!G29</f>
        <v>500</v>
      </c>
    </row>
    <row r="32" spans="1:11" ht="20.25" customHeight="1" thickBot="1" x14ac:dyDescent="0.25">
      <c r="A32" s="78">
        <v>21</v>
      </c>
      <c r="B32" s="77">
        <f>'Necesidades Trimestrales'!B30</f>
        <v>0</v>
      </c>
      <c r="C32" s="97" t="str">
        <f>'Necesidades Trimestrales'!E30</f>
        <v xml:space="preserve">Lidocaina al 2% x 5ml </v>
      </c>
      <c r="D32" s="97"/>
      <c r="E32" s="97"/>
      <c r="F32" s="97"/>
      <c r="G32" s="97"/>
      <c r="H32" s="76" t="s">
        <v>61</v>
      </c>
      <c r="I32" s="75" t="str">
        <f>'Necesidades Trimestrales'!F30</f>
        <v>AMPOLLA</v>
      </c>
      <c r="J32" s="52">
        <f>'Necesidades Trimestrales'!H30</f>
        <v>33</v>
      </c>
      <c r="K32" s="74">
        <f>'Necesidades Trimestrales'!G30</f>
        <v>3000</v>
      </c>
    </row>
    <row r="33" spans="1:1024" ht="20.25" customHeight="1" thickBot="1" x14ac:dyDescent="0.25">
      <c r="A33" s="78">
        <v>22</v>
      </c>
      <c r="B33" s="77">
        <f>'Necesidades Trimestrales'!B31</f>
        <v>0</v>
      </c>
      <c r="C33" s="97" t="str">
        <f>'Necesidades Trimestrales'!E31</f>
        <v>Ceftriaxona 1 grs.</v>
      </c>
      <c r="D33" s="97"/>
      <c r="E33" s="97"/>
      <c r="F33" s="97"/>
      <c r="G33" s="97"/>
      <c r="H33" s="76" t="s">
        <v>61</v>
      </c>
      <c r="I33" s="75" t="str">
        <f>'Necesidades Trimestrales'!F31</f>
        <v>FRASCO AMPOLLA</v>
      </c>
      <c r="J33" s="52">
        <f>'Necesidades Trimestrales'!H31</f>
        <v>138</v>
      </c>
      <c r="K33" s="74">
        <f>'Necesidades Trimestrales'!G31</f>
        <v>1000</v>
      </c>
    </row>
    <row r="34" spans="1:1024" ht="20.25" customHeight="1" thickBot="1" x14ac:dyDescent="0.25">
      <c r="A34" s="78">
        <v>23</v>
      </c>
      <c r="B34" s="77">
        <f>'Necesidades Trimestrales'!B32</f>
        <v>0</v>
      </c>
      <c r="C34" s="97" t="str">
        <f>'Necesidades Trimestrales'!E32</f>
        <v>Solucion Fisiologica x 250ml sachet</v>
      </c>
      <c r="D34" s="97"/>
      <c r="E34" s="97"/>
      <c r="F34" s="97"/>
      <c r="G34" s="97"/>
      <c r="H34" s="76" t="s">
        <v>61</v>
      </c>
      <c r="I34" s="75" t="str">
        <f>'Necesidades Trimestrales'!F32</f>
        <v>UNIDAD</v>
      </c>
      <c r="J34" s="52">
        <f>'Necesidades Trimestrales'!H32</f>
        <v>64</v>
      </c>
      <c r="K34" s="74">
        <f>'Necesidades Trimestrales'!G32</f>
        <v>500</v>
      </c>
    </row>
    <row r="35" spans="1:1024" ht="20.25" customHeight="1" thickBot="1" x14ac:dyDescent="0.25">
      <c r="A35" s="78">
        <v>24</v>
      </c>
      <c r="B35" s="77">
        <f>'Necesidades Trimestrales'!B33</f>
        <v>0</v>
      </c>
      <c r="C35" s="97" t="str">
        <f>'Necesidades Trimestrales'!E33</f>
        <v>Budesonide aerosol x 200 dosis</v>
      </c>
      <c r="D35" s="97"/>
      <c r="E35" s="97"/>
      <c r="F35" s="97"/>
      <c r="G35" s="97"/>
      <c r="H35" s="76" t="s">
        <v>61</v>
      </c>
      <c r="I35" s="75" t="str">
        <f>'Necesidades Trimestrales'!F33</f>
        <v>UNIDAD</v>
      </c>
      <c r="J35" s="52">
        <f>'Necesidades Trimestrales'!H33</f>
        <v>458.67</v>
      </c>
      <c r="K35" s="74">
        <f>'Necesidades Trimestrales'!G33</f>
        <v>70</v>
      </c>
    </row>
    <row r="36" spans="1:1024" ht="20.25" customHeight="1" thickBot="1" x14ac:dyDescent="0.25">
      <c r="A36" s="78">
        <v>25</v>
      </c>
      <c r="B36" s="77">
        <f>'Necesidades Trimestrales'!B34</f>
        <v>0</v>
      </c>
      <c r="C36" s="97" t="str">
        <f>'Necesidades Trimestrales'!E34</f>
        <v xml:space="preserve">Eritropoyetina 4000UI /1ml </v>
      </c>
      <c r="D36" s="97"/>
      <c r="E36" s="97"/>
      <c r="F36" s="97"/>
      <c r="G36" s="97"/>
      <c r="H36" s="76" t="s">
        <v>61</v>
      </c>
      <c r="I36" s="75" t="str">
        <f>'Necesidades Trimestrales'!F34</f>
        <v>FRASCO AMPOLLA</v>
      </c>
      <c r="J36" s="52">
        <f>'Necesidades Trimestrales'!H34</f>
        <v>164</v>
      </c>
      <c r="K36" s="74">
        <f>'Necesidades Trimestrales'!G34</f>
        <v>400</v>
      </c>
    </row>
    <row r="37" spans="1:1024" ht="20.25" customHeight="1" thickBot="1" x14ac:dyDescent="0.25">
      <c r="A37" s="78">
        <v>26</v>
      </c>
      <c r="B37" s="77">
        <f>'Necesidades Trimestrales'!B35</f>
        <v>0</v>
      </c>
      <c r="C37" s="97" t="str">
        <f>'Necesidades Trimestrales'!E35</f>
        <v>Carbonato de Calcio x 1.250mg</v>
      </c>
      <c r="D37" s="97"/>
      <c r="E37" s="97"/>
      <c r="F37" s="97"/>
      <c r="G37" s="97"/>
      <c r="H37" s="76" t="s">
        <v>61</v>
      </c>
      <c r="I37" s="75" t="str">
        <f>'Necesidades Trimestrales'!F35</f>
        <v>COMPRIMIDO</v>
      </c>
      <c r="J37" s="52">
        <f>'Necesidades Trimestrales'!H35</f>
        <v>3.85</v>
      </c>
      <c r="K37" s="74">
        <f>'Necesidades Trimestrales'!G35</f>
        <v>2000</v>
      </c>
    </row>
    <row r="38" spans="1:1024" ht="20.25" customHeight="1" thickBot="1" x14ac:dyDescent="0.25">
      <c r="A38" s="78">
        <v>27</v>
      </c>
      <c r="B38" s="77">
        <f>'Necesidades Trimestrales'!B36</f>
        <v>0</v>
      </c>
      <c r="C38" s="97" t="str">
        <f>'Necesidades Trimestrales'!E36</f>
        <v xml:space="preserve">Bromuro de Vecuronio 10mg </v>
      </c>
      <c r="D38" s="97"/>
      <c r="E38" s="97"/>
      <c r="F38" s="97"/>
      <c r="G38" s="97"/>
      <c r="H38" s="76" t="s">
        <v>61</v>
      </c>
      <c r="I38" s="75" t="str">
        <f>'Necesidades Trimestrales'!F36</f>
        <v>FRASCO AMPOLLA</v>
      </c>
      <c r="J38" s="52">
        <f>'Necesidades Trimestrales'!H36</f>
        <v>530</v>
      </c>
      <c r="K38" s="74">
        <f>'Necesidades Trimestrales'!G36</f>
        <v>200</v>
      </c>
    </row>
    <row r="39" spans="1:1024" ht="20.25" customHeight="1" thickBot="1" x14ac:dyDescent="0.25">
      <c r="A39" s="78">
        <v>28</v>
      </c>
      <c r="B39" s="77">
        <f>'Necesidades Trimestrales'!B37</f>
        <v>0</v>
      </c>
      <c r="C39" s="97" t="str">
        <f>'Necesidades Trimestrales'!E37</f>
        <v xml:space="preserve">Fentanilo 0,5 mg/ml </v>
      </c>
      <c r="D39" s="97"/>
      <c r="E39" s="97"/>
      <c r="F39" s="97"/>
      <c r="G39" s="97"/>
      <c r="H39" s="76" t="s">
        <v>61</v>
      </c>
      <c r="I39" s="75" t="str">
        <f>'Necesidades Trimestrales'!F37</f>
        <v>AMPOLLA</v>
      </c>
      <c r="J39" s="52">
        <f>'Necesidades Trimestrales'!H37</f>
        <v>95</v>
      </c>
      <c r="K39" s="74">
        <f>'Necesidades Trimestrales'!G37</f>
        <v>3000</v>
      </c>
    </row>
    <row r="40" spans="1:1024" ht="20.25" customHeight="1" thickBot="1" x14ac:dyDescent="0.25">
      <c r="A40" s="78">
        <v>29</v>
      </c>
      <c r="B40" s="77">
        <f>'Necesidades Trimestrales'!B38</f>
        <v>0</v>
      </c>
      <c r="C40" s="97" t="str">
        <f>'Necesidades Trimestrales'!E38</f>
        <v xml:space="preserve">Clorpromazina I.M. 25Mg X 5 ml </v>
      </c>
      <c r="D40" s="97"/>
      <c r="E40" s="97"/>
      <c r="F40" s="97"/>
      <c r="G40" s="97"/>
      <c r="H40" s="76" t="s">
        <v>61</v>
      </c>
      <c r="I40" s="75" t="str">
        <f>'Necesidades Trimestrales'!F38</f>
        <v>AMPOLLA</v>
      </c>
      <c r="J40" s="52">
        <f>'Necesidades Trimestrales'!H38</f>
        <v>83.83</v>
      </c>
      <c r="K40" s="74">
        <f>'Necesidades Trimestrales'!G38</f>
        <v>100</v>
      </c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  <c r="KA40" s="71"/>
      <c r="KB40" s="71"/>
      <c r="KC40" s="71"/>
      <c r="KD40" s="71"/>
      <c r="KE40" s="71"/>
      <c r="KF40" s="71"/>
      <c r="KG40" s="71"/>
      <c r="KH40" s="71"/>
      <c r="KI40" s="71"/>
      <c r="KJ40" s="71"/>
      <c r="KK40" s="71"/>
      <c r="KL40" s="71"/>
      <c r="KM40" s="71"/>
      <c r="KN40" s="71"/>
      <c r="KO40" s="71"/>
      <c r="KP40" s="71"/>
      <c r="KQ40" s="71"/>
      <c r="KR40" s="71"/>
      <c r="KS40" s="71"/>
      <c r="KT40" s="71"/>
      <c r="KU40" s="71"/>
      <c r="KV40" s="71"/>
      <c r="KW40" s="71"/>
      <c r="KX40" s="71"/>
      <c r="KY40" s="71"/>
      <c r="KZ40" s="71"/>
      <c r="LA40" s="71"/>
      <c r="LB40" s="71"/>
      <c r="LC40" s="71"/>
      <c r="LD40" s="71"/>
      <c r="LE40" s="71"/>
      <c r="LF40" s="71"/>
      <c r="LG40" s="71"/>
      <c r="LH40" s="71"/>
      <c r="LI40" s="71"/>
      <c r="LJ40" s="71"/>
      <c r="LK40" s="71"/>
      <c r="LL40" s="71"/>
      <c r="LM40" s="71"/>
      <c r="LN40" s="71"/>
      <c r="LO40" s="71"/>
      <c r="LP40" s="71"/>
      <c r="LQ40" s="71"/>
      <c r="LR40" s="71"/>
      <c r="LS40" s="71"/>
      <c r="LT40" s="71"/>
      <c r="LU40" s="71"/>
      <c r="LV40" s="71"/>
      <c r="LW40" s="71"/>
      <c r="LX40" s="71"/>
      <c r="LY40" s="71"/>
      <c r="LZ40" s="71"/>
      <c r="MA40" s="71"/>
      <c r="MB40" s="71"/>
      <c r="MC40" s="71"/>
      <c r="MD40" s="71"/>
      <c r="ME40" s="71"/>
      <c r="MF40" s="71"/>
      <c r="MG40" s="71"/>
      <c r="MH40" s="71"/>
      <c r="MI40" s="71"/>
      <c r="MJ40" s="71"/>
      <c r="MK40" s="71"/>
      <c r="ML40" s="71"/>
      <c r="MM40" s="71"/>
      <c r="MN40" s="71"/>
      <c r="MO40" s="71"/>
      <c r="MP40" s="71"/>
      <c r="MQ40" s="71"/>
      <c r="MR40" s="71"/>
      <c r="MS40" s="71"/>
      <c r="MT40" s="71"/>
      <c r="MU40" s="71"/>
      <c r="MV40" s="71"/>
      <c r="MW40" s="71"/>
      <c r="MX40" s="71"/>
      <c r="MY40" s="71"/>
      <c r="MZ40" s="71"/>
      <c r="NA40" s="71"/>
      <c r="NB40" s="71"/>
      <c r="NC40" s="71"/>
      <c r="ND40" s="71"/>
      <c r="NE40" s="71"/>
      <c r="NF40" s="71"/>
      <c r="NG40" s="71"/>
      <c r="NH40" s="71"/>
      <c r="NI40" s="71"/>
      <c r="NJ40" s="71"/>
      <c r="NK40" s="71"/>
      <c r="NL40" s="71"/>
      <c r="NM40" s="71"/>
      <c r="NN40" s="71"/>
      <c r="NO40" s="71"/>
      <c r="NP40" s="71"/>
      <c r="NQ40" s="71"/>
      <c r="NR40" s="71"/>
      <c r="NS40" s="71"/>
      <c r="NT40" s="71"/>
      <c r="NU40" s="71"/>
      <c r="NV40" s="71"/>
      <c r="NW40" s="71"/>
      <c r="NX40" s="71"/>
      <c r="NY40" s="71"/>
      <c r="NZ40" s="71"/>
      <c r="OA40" s="71"/>
      <c r="OB40" s="71"/>
      <c r="OC40" s="71"/>
      <c r="OD40" s="71"/>
      <c r="OE40" s="71"/>
      <c r="OF40" s="71"/>
      <c r="OG40" s="71"/>
      <c r="OH40" s="71"/>
      <c r="OI40" s="71"/>
      <c r="OJ40" s="71"/>
      <c r="OK40" s="71"/>
      <c r="OL40" s="71"/>
      <c r="OM40" s="71"/>
      <c r="ON40" s="71"/>
      <c r="OO40" s="71"/>
      <c r="OP40" s="71"/>
      <c r="OQ40" s="71"/>
      <c r="OR40" s="71"/>
      <c r="OS40" s="71"/>
      <c r="OT40" s="71"/>
      <c r="OU40" s="71"/>
      <c r="OV40" s="71"/>
      <c r="OW40" s="71"/>
      <c r="OX40" s="71"/>
      <c r="OY40" s="71"/>
      <c r="OZ40" s="71"/>
      <c r="PA40" s="71"/>
      <c r="PB40" s="71"/>
      <c r="PC40" s="71"/>
      <c r="PD40" s="71"/>
      <c r="PE40" s="71"/>
      <c r="PF40" s="71"/>
      <c r="PG40" s="71"/>
      <c r="PH40" s="71"/>
      <c r="PI40" s="71"/>
      <c r="PJ40" s="71"/>
      <c r="PK40" s="71"/>
      <c r="PL40" s="71"/>
      <c r="PM40" s="71"/>
      <c r="PN40" s="71"/>
      <c r="PO40" s="71"/>
      <c r="PP40" s="71"/>
      <c r="PQ40" s="71"/>
      <c r="PR40" s="71"/>
      <c r="PS40" s="71"/>
      <c r="PT40" s="71"/>
      <c r="PU40" s="71"/>
      <c r="PV40" s="71"/>
      <c r="PW40" s="71"/>
      <c r="PX40" s="71"/>
      <c r="PY40" s="71"/>
      <c r="PZ40" s="71"/>
      <c r="QA40" s="71"/>
      <c r="QB40" s="71"/>
      <c r="QC40" s="71"/>
      <c r="QD40" s="71"/>
      <c r="QE40" s="71"/>
      <c r="QF40" s="71"/>
      <c r="QG40" s="71"/>
      <c r="QH40" s="71"/>
      <c r="QI40" s="71"/>
      <c r="QJ40" s="71"/>
      <c r="QK40" s="71"/>
      <c r="QL40" s="71"/>
      <c r="QM40" s="71"/>
      <c r="QN40" s="71"/>
      <c r="QO40" s="71"/>
      <c r="QP40" s="71"/>
      <c r="QQ40" s="71"/>
      <c r="QR40" s="71"/>
      <c r="QS40" s="71"/>
      <c r="QT40" s="71"/>
      <c r="QU40" s="71"/>
      <c r="QV40" s="71"/>
      <c r="QW40" s="71"/>
      <c r="QX40" s="71"/>
      <c r="QY40" s="71"/>
      <c r="QZ40" s="71"/>
      <c r="RA40" s="71"/>
      <c r="RB40" s="71"/>
      <c r="RC40" s="71"/>
      <c r="RD40" s="71"/>
      <c r="RE40" s="71"/>
      <c r="RF40" s="71"/>
      <c r="RG40" s="71"/>
      <c r="RH40" s="71"/>
      <c r="RI40" s="71"/>
      <c r="RJ40" s="71"/>
      <c r="RK40" s="71"/>
      <c r="RL40" s="71"/>
      <c r="RM40" s="71"/>
      <c r="RN40" s="71"/>
      <c r="RO40" s="71"/>
      <c r="RP40" s="71"/>
      <c r="RQ40" s="71"/>
      <c r="RR40" s="71"/>
      <c r="RS40" s="71"/>
      <c r="RT40" s="71"/>
      <c r="RU40" s="71"/>
      <c r="RV40" s="71"/>
      <c r="RW40" s="71"/>
      <c r="RX40" s="71"/>
      <c r="RY40" s="71"/>
      <c r="RZ40" s="71"/>
      <c r="SA40" s="71"/>
      <c r="SB40" s="71"/>
      <c r="SC40" s="71"/>
      <c r="SD40" s="71"/>
      <c r="SE40" s="71"/>
      <c r="SF40" s="71"/>
      <c r="SG40" s="71"/>
      <c r="SH40" s="71"/>
      <c r="SI40" s="71"/>
      <c r="SJ40" s="71"/>
      <c r="SK40" s="71"/>
      <c r="SL40" s="71"/>
      <c r="SM40" s="71"/>
      <c r="SN40" s="71"/>
      <c r="SO40" s="71"/>
      <c r="SP40" s="71"/>
      <c r="SQ40" s="71"/>
      <c r="SR40" s="71"/>
      <c r="SS40" s="71"/>
      <c r="ST40" s="71"/>
      <c r="SU40" s="71"/>
      <c r="SV40" s="71"/>
      <c r="SW40" s="71"/>
      <c r="SX40" s="71"/>
      <c r="SY40" s="71"/>
      <c r="SZ40" s="71"/>
      <c r="TA40" s="71"/>
      <c r="TB40" s="71"/>
      <c r="TC40" s="71"/>
      <c r="TD40" s="71"/>
      <c r="TE40" s="71"/>
      <c r="TF40" s="71"/>
      <c r="TG40" s="71"/>
      <c r="TH40" s="71"/>
      <c r="TI40" s="71"/>
      <c r="TJ40" s="71"/>
      <c r="TK40" s="71"/>
      <c r="TL40" s="71"/>
      <c r="TM40" s="71"/>
      <c r="TN40" s="71"/>
      <c r="TO40" s="71"/>
      <c r="TP40" s="71"/>
      <c r="TQ40" s="71"/>
      <c r="TR40" s="71"/>
      <c r="TS40" s="71"/>
      <c r="TT40" s="71"/>
      <c r="TU40" s="71"/>
      <c r="TV40" s="71"/>
      <c r="TW40" s="71"/>
      <c r="TX40" s="71"/>
      <c r="TY40" s="71"/>
      <c r="TZ40" s="71"/>
      <c r="UA40" s="71"/>
      <c r="UB40" s="71"/>
      <c r="UC40" s="71"/>
      <c r="UD40" s="71"/>
      <c r="UE40" s="71"/>
      <c r="UF40" s="71"/>
      <c r="UG40" s="71"/>
      <c r="UH40" s="71"/>
      <c r="UI40" s="71"/>
      <c r="UJ40" s="71"/>
      <c r="UK40" s="71"/>
      <c r="UL40" s="71"/>
      <c r="UM40" s="71"/>
      <c r="UN40" s="71"/>
      <c r="UO40" s="71"/>
      <c r="UP40" s="71"/>
      <c r="UQ40" s="71"/>
      <c r="UR40" s="71"/>
      <c r="US40" s="71"/>
      <c r="UT40" s="71"/>
      <c r="UU40" s="71"/>
      <c r="UV40" s="71"/>
      <c r="UW40" s="71"/>
      <c r="UX40" s="71"/>
      <c r="UY40" s="71"/>
      <c r="UZ40" s="71"/>
      <c r="VA40" s="71"/>
      <c r="VB40" s="71"/>
      <c r="VC40" s="71"/>
      <c r="VD40" s="71"/>
      <c r="VE40" s="71"/>
      <c r="VF40" s="71"/>
      <c r="VG40" s="71"/>
      <c r="VH40" s="71"/>
      <c r="VI40" s="71"/>
      <c r="VJ40" s="71"/>
      <c r="VK40" s="71"/>
      <c r="VL40" s="71"/>
      <c r="VM40" s="71"/>
      <c r="VN40" s="71"/>
      <c r="VO40" s="71"/>
      <c r="VP40" s="71"/>
      <c r="VQ40" s="71"/>
      <c r="VR40" s="71"/>
      <c r="VS40" s="71"/>
      <c r="VT40" s="71"/>
      <c r="VU40" s="71"/>
      <c r="VV40" s="71"/>
      <c r="VW40" s="71"/>
      <c r="VX40" s="71"/>
      <c r="VY40" s="71"/>
      <c r="VZ40" s="71"/>
      <c r="WA40" s="71"/>
      <c r="WB40" s="71"/>
      <c r="WC40" s="71"/>
      <c r="WD40" s="71"/>
      <c r="WE40" s="71"/>
      <c r="WF40" s="71"/>
      <c r="WG40" s="71"/>
      <c r="WH40" s="71"/>
      <c r="WI40" s="71"/>
      <c r="WJ40" s="71"/>
      <c r="WK40" s="71"/>
      <c r="WL40" s="71"/>
      <c r="WM40" s="71"/>
      <c r="WN40" s="71"/>
      <c r="WO40" s="71"/>
      <c r="WP40" s="71"/>
      <c r="WQ40" s="71"/>
      <c r="WR40" s="71"/>
      <c r="WS40" s="71"/>
      <c r="WT40" s="71"/>
      <c r="WU40" s="71"/>
      <c r="WV40" s="71"/>
      <c r="WW40" s="71"/>
      <c r="WX40" s="71"/>
      <c r="WY40" s="71"/>
      <c r="WZ40" s="71"/>
      <c r="XA40" s="71"/>
      <c r="XB40" s="71"/>
      <c r="XC40" s="71"/>
      <c r="XD40" s="71"/>
      <c r="XE40" s="71"/>
      <c r="XF40" s="71"/>
      <c r="XG40" s="71"/>
      <c r="XH40" s="71"/>
      <c r="XI40" s="71"/>
      <c r="XJ40" s="71"/>
      <c r="XK40" s="71"/>
      <c r="XL40" s="71"/>
      <c r="XM40" s="71"/>
      <c r="XN40" s="71"/>
      <c r="XO40" s="71"/>
      <c r="XP40" s="71"/>
      <c r="XQ40" s="71"/>
      <c r="XR40" s="71"/>
      <c r="XS40" s="71"/>
      <c r="XT40" s="71"/>
      <c r="XU40" s="71"/>
      <c r="XV40" s="71"/>
      <c r="XW40" s="71"/>
      <c r="XX40" s="71"/>
      <c r="XY40" s="71"/>
      <c r="XZ40" s="71"/>
      <c r="YA40" s="71"/>
      <c r="YB40" s="71"/>
      <c r="YC40" s="71"/>
      <c r="YD40" s="71"/>
      <c r="YE40" s="71"/>
      <c r="YF40" s="71"/>
      <c r="YG40" s="71"/>
      <c r="YH40" s="71"/>
      <c r="YI40" s="71"/>
      <c r="YJ40" s="71"/>
      <c r="YK40" s="71"/>
      <c r="YL40" s="71"/>
      <c r="YM40" s="71"/>
      <c r="YN40" s="71"/>
      <c r="YO40" s="71"/>
      <c r="YP40" s="71"/>
      <c r="YQ40" s="71"/>
      <c r="YR40" s="71"/>
      <c r="YS40" s="71"/>
      <c r="YT40" s="71"/>
      <c r="YU40" s="71"/>
      <c r="YV40" s="71"/>
      <c r="YW40" s="71"/>
      <c r="YX40" s="71"/>
      <c r="YY40" s="71"/>
      <c r="YZ40" s="71"/>
      <c r="ZA40" s="71"/>
      <c r="ZB40" s="71"/>
      <c r="ZC40" s="71"/>
      <c r="ZD40" s="71"/>
      <c r="ZE40" s="71"/>
      <c r="ZF40" s="71"/>
      <c r="ZG40" s="71"/>
      <c r="ZH40" s="71"/>
      <c r="ZI40" s="71"/>
      <c r="ZJ40" s="71"/>
      <c r="ZK40" s="71"/>
      <c r="ZL40" s="71"/>
      <c r="ZM40" s="71"/>
      <c r="ZN40" s="71"/>
      <c r="ZO40" s="71"/>
      <c r="ZP40" s="71"/>
      <c r="ZQ40" s="71"/>
      <c r="ZR40" s="71"/>
      <c r="ZS40" s="71"/>
      <c r="ZT40" s="71"/>
      <c r="ZU40" s="71"/>
      <c r="ZV40" s="71"/>
      <c r="ZW40" s="71"/>
      <c r="ZX40" s="71"/>
      <c r="ZY40" s="71"/>
      <c r="ZZ40" s="71"/>
      <c r="AAA40" s="71"/>
      <c r="AAB40" s="71"/>
      <c r="AAC40" s="71"/>
      <c r="AAD40" s="71"/>
      <c r="AAE40" s="71"/>
      <c r="AAF40" s="71"/>
      <c r="AAG40" s="71"/>
      <c r="AAH40" s="71"/>
      <c r="AAI40" s="71"/>
      <c r="AAJ40" s="71"/>
      <c r="AAK40" s="71"/>
      <c r="AAL40" s="71"/>
      <c r="AAM40" s="71"/>
      <c r="AAN40" s="71"/>
      <c r="AAO40" s="71"/>
      <c r="AAP40" s="71"/>
      <c r="AAQ40" s="71"/>
      <c r="AAR40" s="71"/>
      <c r="AAS40" s="71"/>
      <c r="AAT40" s="71"/>
      <c r="AAU40" s="71"/>
      <c r="AAV40" s="71"/>
      <c r="AAW40" s="71"/>
      <c r="AAX40" s="71"/>
      <c r="AAY40" s="71"/>
      <c r="AAZ40" s="71"/>
      <c r="ABA40" s="71"/>
      <c r="ABB40" s="71"/>
      <c r="ABC40" s="71"/>
      <c r="ABD40" s="71"/>
      <c r="ABE40" s="71"/>
      <c r="ABF40" s="71"/>
      <c r="ABG40" s="71"/>
      <c r="ABH40" s="71"/>
      <c r="ABI40" s="71"/>
      <c r="ABJ40" s="71"/>
      <c r="ABK40" s="71"/>
      <c r="ABL40" s="71"/>
      <c r="ABM40" s="71"/>
      <c r="ABN40" s="71"/>
      <c r="ABO40" s="71"/>
      <c r="ABP40" s="71"/>
      <c r="ABQ40" s="71"/>
      <c r="ABR40" s="71"/>
      <c r="ABS40" s="71"/>
      <c r="ABT40" s="71"/>
      <c r="ABU40" s="71"/>
      <c r="ABV40" s="71"/>
      <c r="ABW40" s="71"/>
      <c r="ABX40" s="71"/>
      <c r="ABY40" s="71"/>
      <c r="ABZ40" s="71"/>
      <c r="ACA40" s="71"/>
      <c r="ACB40" s="71"/>
      <c r="ACC40" s="71"/>
      <c r="ACD40" s="71"/>
      <c r="ACE40" s="71"/>
      <c r="ACF40" s="71"/>
      <c r="ACG40" s="71"/>
      <c r="ACH40" s="71"/>
      <c r="ACI40" s="71"/>
      <c r="ACJ40" s="71"/>
      <c r="ACK40" s="71"/>
      <c r="ACL40" s="71"/>
      <c r="ACM40" s="71"/>
      <c r="ACN40" s="71"/>
      <c r="ACO40" s="71"/>
      <c r="ACP40" s="71"/>
      <c r="ACQ40" s="71"/>
      <c r="ACR40" s="71"/>
      <c r="ACS40" s="71"/>
      <c r="ACT40" s="71"/>
      <c r="ACU40" s="71"/>
      <c r="ACV40" s="71"/>
      <c r="ACW40" s="71"/>
      <c r="ACX40" s="71"/>
      <c r="ACY40" s="71"/>
      <c r="ACZ40" s="71"/>
      <c r="ADA40" s="71"/>
      <c r="ADB40" s="71"/>
      <c r="ADC40" s="71"/>
      <c r="ADD40" s="71"/>
      <c r="ADE40" s="71"/>
      <c r="ADF40" s="71"/>
      <c r="ADG40" s="71"/>
      <c r="ADH40" s="71"/>
      <c r="ADI40" s="71"/>
      <c r="ADJ40" s="71"/>
      <c r="ADK40" s="71"/>
      <c r="ADL40" s="71"/>
      <c r="ADM40" s="71"/>
      <c r="ADN40" s="71"/>
      <c r="ADO40" s="71"/>
      <c r="ADP40" s="71"/>
      <c r="ADQ40" s="71"/>
      <c r="ADR40" s="71"/>
      <c r="ADS40" s="71"/>
      <c r="ADT40" s="71"/>
      <c r="ADU40" s="71"/>
      <c r="ADV40" s="71"/>
      <c r="ADW40" s="71"/>
      <c r="ADX40" s="71"/>
      <c r="ADY40" s="71"/>
      <c r="ADZ40" s="71"/>
      <c r="AEA40" s="71"/>
      <c r="AEB40" s="71"/>
      <c r="AEC40" s="71"/>
      <c r="AED40" s="71"/>
      <c r="AEE40" s="71"/>
      <c r="AEF40" s="71"/>
      <c r="AEG40" s="71"/>
      <c r="AEH40" s="71"/>
      <c r="AEI40" s="71"/>
      <c r="AEJ40" s="71"/>
      <c r="AEK40" s="71"/>
      <c r="AEL40" s="71"/>
      <c r="AEM40" s="71"/>
      <c r="AEN40" s="71"/>
      <c r="AEO40" s="71"/>
      <c r="AEP40" s="71"/>
      <c r="AEQ40" s="71"/>
      <c r="AER40" s="71"/>
      <c r="AES40" s="71"/>
      <c r="AET40" s="71"/>
      <c r="AEU40" s="71"/>
      <c r="AEV40" s="71"/>
      <c r="AEW40" s="71"/>
      <c r="AEX40" s="71"/>
      <c r="AEY40" s="71"/>
      <c r="AEZ40" s="71"/>
      <c r="AFA40" s="71"/>
      <c r="AFB40" s="71"/>
      <c r="AFC40" s="71"/>
      <c r="AFD40" s="71"/>
      <c r="AFE40" s="71"/>
      <c r="AFF40" s="71"/>
      <c r="AFG40" s="71"/>
      <c r="AFH40" s="71"/>
      <c r="AFI40" s="71"/>
      <c r="AFJ40" s="71"/>
      <c r="AFK40" s="71"/>
      <c r="AFL40" s="71"/>
      <c r="AFM40" s="71"/>
      <c r="AFN40" s="71"/>
      <c r="AFO40" s="71"/>
      <c r="AFP40" s="71"/>
      <c r="AFQ40" s="71"/>
      <c r="AFR40" s="71"/>
      <c r="AFS40" s="71"/>
      <c r="AFT40" s="71"/>
      <c r="AFU40" s="71"/>
      <c r="AFV40" s="71"/>
      <c r="AFW40" s="71"/>
      <c r="AFX40" s="71"/>
      <c r="AFY40" s="71"/>
      <c r="AFZ40" s="71"/>
      <c r="AGA40" s="71"/>
      <c r="AGB40" s="71"/>
      <c r="AGC40" s="71"/>
      <c r="AGD40" s="71"/>
      <c r="AGE40" s="71"/>
      <c r="AGF40" s="71"/>
      <c r="AGG40" s="71"/>
      <c r="AGH40" s="71"/>
      <c r="AGI40" s="71"/>
      <c r="AGJ40" s="71"/>
      <c r="AGK40" s="71"/>
      <c r="AGL40" s="71"/>
      <c r="AGM40" s="71"/>
      <c r="AGN40" s="71"/>
      <c r="AGO40" s="71"/>
      <c r="AGP40" s="71"/>
      <c r="AGQ40" s="71"/>
      <c r="AGR40" s="71"/>
      <c r="AGS40" s="71"/>
      <c r="AGT40" s="71"/>
      <c r="AGU40" s="71"/>
      <c r="AGV40" s="71"/>
      <c r="AGW40" s="71"/>
      <c r="AGX40" s="71"/>
      <c r="AGY40" s="71"/>
      <c r="AGZ40" s="71"/>
      <c r="AHA40" s="71"/>
      <c r="AHB40" s="71"/>
      <c r="AHC40" s="71"/>
      <c r="AHD40" s="71"/>
      <c r="AHE40" s="71"/>
      <c r="AHF40" s="71"/>
      <c r="AHG40" s="71"/>
      <c r="AHH40" s="71"/>
      <c r="AHI40" s="71"/>
      <c r="AHJ40" s="71"/>
      <c r="AHK40" s="71"/>
      <c r="AHL40" s="71"/>
      <c r="AHM40" s="71"/>
      <c r="AHN40" s="71"/>
      <c r="AHO40" s="71"/>
      <c r="AHP40" s="71"/>
      <c r="AHQ40" s="71"/>
      <c r="AHR40" s="71"/>
      <c r="AHS40" s="71"/>
      <c r="AHT40" s="71"/>
      <c r="AHU40" s="71"/>
      <c r="AHV40" s="71"/>
      <c r="AHW40" s="71"/>
      <c r="AHX40" s="71"/>
      <c r="AHY40" s="71"/>
      <c r="AHZ40" s="71"/>
      <c r="AIA40" s="71"/>
      <c r="AIB40" s="71"/>
      <c r="AIC40" s="71"/>
      <c r="AID40" s="71"/>
      <c r="AIE40" s="71"/>
      <c r="AIF40" s="71"/>
      <c r="AIG40" s="71"/>
      <c r="AIH40" s="71"/>
      <c r="AII40" s="71"/>
      <c r="AIJ40" s="71"/>
      <c r="AIK40" s="71"/>
      <c r="AIL40" s="71"/>
      <c r="AIM40" s="71"/>
      <c r="AIN40" s="71"/>
      <c r="AIO40" s="71"/>
      <c r="AIP40" s="71"/>
      <c r="AIQ40" s="71"/>
      <c r="AIR40" s="71"/>
      <c r="AIS40" s="71"/>
      <c r="AIT40" s="71"/>
      <c r="AIU40" s="71"/>
      <c r="AIV40" s="71"/>
      <c r="AIW40" s="71"/>
      <c r="AIX40" s="71"/>
      <c r="AIY40" s="71"/>
      <c r="AIZ40" s="71"/>
      <c r="AJA40" s="71"/>
      <c r="AJB40" s="71"/>
      <c r="AJC40" s="71"/>
      <c r="AJD40" s="71"/>
      <c r="AJE40" s="71"/>
      <c r="AJF40" s="71"/>
      <c r="AJG40" s="71"/>
      <c r="AJH40" s="71"/>
      <c r="AJI40" s="71"/>
      <c r="AJJ40" s="71"/>
      <c r="AJK40" s="71"/>
      <c r="AJL40" s="71"/>
      <c r="AJM40" s="71"/>
      <c r="AJN40" s="71"/>
      <c r="AJO40" s="71"/>
      <c r="AJP40" s="71"/>
      <c r="AJQ40" s="71"/>
      <c r="AJR40" s="71"/>
      <c r="AJS40" s="71"/>
      <c r="AJT40" s="71"/>
      <c r="AJU40" s="71"/>
      <c r="AJV40" s="71"/>
      <c r="AJW40" s="71"/>
      <c r="AJX40" s="71"/>
      <c r="AJY40" s="71"/>
      <c r="AJZ40" s="71"/>
      <c r="AKA40" s="71"/>
      <c r="AKB40" s="71"/>
      <c r="AKC40" s="71"/>
      <c r="AKD40" s="71"/>
      <c r="AKE40" s="71"/>
      <c r="AKF40" s="71"/>
      <c r="AKG40" s="71"/>
      <c r="AKH40" s="71"/>
      <c r="AKI40" s="71"/>
      <c r="AKJ40" s="71"/>
      <c r="AKK40" s="71"/>
      <c r="AKL40" s="71"/>
      <c r="AKM40" s="71"/>
      <c r="AKN40" s="71"/>
      <c r="AKO40" s="71"/>
      <c r="AKP40" s="71"/>
      <c r="AKQ40" s="71"/>
      <c r="AKR40" s="71"/>
      <c r="AKS40" s="71"/>
      <c r="AKT40" s="71"/>
      <c r="AKU40" s="71"/>
      <c r="AKV40" s="71"/>
      <c r="AKW40" s="71"/>
      <c r="AKX40" s="71"/>
      <c r="AKY40" s="71"/>
      <c r="AKZ40" s="71"/>
      <c r="ALA40" s="71"/>
      <c r="ALB40" s="71"/>
      <c r="ALC40" s="71"/>
      <c r="ALD40" s="71"/>
      <c r="ALE40" s="71"/>
      <c r="ALF40" s="71"/>
      <c r="ALG40" s="71"/>
      <c r="ALH40" s="71"/>
      <c r="ALI40" s="71"/>
      <c r="ALJ40" s="71"/>
      <c r="ALK40" s="71"/>
      <c r="ALL40" s="71"/>
      <c r="ALM40" s="71"/>
      <c r="ALN40" s="71"/>
      <c r="ALO40" s="71"/>
      <c r="ALP40" s="71"/>
      <c r="ALQ40" s="71"/>
      <c r="ALR40" s="71"/>
      <c r="ALS40" s="71"/>
      <c r="ALT40" s="71"/>
      <c r="ALU40" s="71"/>
      <c r="ALV40" s="71"/>
      <c r="ALW40" s="71"/>
      <c r="ALX40" s="71"/>
      <c r="ALY40" s="71"/>
      <c r="ALZ40" s="71"/>
      <c r="AMA40" s="71"/>
      <c r="AMB40" s="71"/>
      <c r="AMC40" s="71"/>
      <c r="AMD40" s="71"/>
      <c r="AME40" s="71"/>
      <c r="AMF40" s="71"/>
      <c r="AMG40" s="71"/>
      <c r="AMH40" s="71"/>
      <c r="AMI40" s="71"/>
      <c r="AMJ40" s="71"/>
    </row>
    <row r="41" spans="1:1024" ht="20.25" customHeight="1" thickBot="1" x14ac:dyDescent="0.25">
      <c r="A41" s="78">
        <v>30</v>
      </c>
      <c r="B41" s="77">
        <f>'Necesidades Trimestrales'!B39</f>
        <v>0</v>
      </c>
      <c r="C41" s="97" t="str">
        <f>'Necesidades Trimestrales'!E39</f>
        <v xml:space="preserve">Aciclovir 500 mg </v>
      </c>
      <c r="D41" s="97"/>
      <c r="E41" s="97"/>
      <c r="F41" s="97"/>
      <c r="G41" s="97"/>
      <c r="H41" s="76" t="s">
        <v>61</v>
      </c>
      <c r="I41" s="75" t="str">
        <f>'Necesidades Trimestrales'!F39</f>
        <v>FRASCO AMPOLLA</v>
      </c>
      <c r="J41" s="52">
        <f>'Necesidades Trimestrales'!H39</f>
        <v>1301.7</v>
      </c>
      <c r="K41" s="74">
        <f>'Necesidades Trimestrales'!G39</f>
        <v>100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71"/>
      <c r="NK41" s="71"/>
      <c r="NL41" s="71"/>
      <c r="NM41" s="71"/>
      <c r="NN41" s="71"/>
      <c r="NO41" s="71"/>
      <c r="NP41" s="71"/>
      <c r="NQ41" s="71"/>
      <c r="NR41" s="71"/>
      <c r="NS41" s="71"/>
      <c r="NT41" s="71"/>
      <c r="NU41" s="71"/>
      <c r="NV41" s="71"/>
      <c r="NW41" s="71"/>
      <c r="NX41" s="71"/>
      <c r="NY41" s="71"/>
      <c r="NZ41" s="71"/>
      <c r="OA41" s="71"/>
      <c r="OB41" s="71"/>
      <c r="OC41" s="71"/>
      <c r="OD41" s="71"/>
      <c r="OE41" s="71"/>
      <c r="OF41" s="71"/>
      <c r="OG41" s="71"/>
      <c r="OH41" s="71"/>
      <c r="OI41" s="71"/>
      <c r="OJ41" s="71"/>
      <c r="OK41" s="71"/>
      <c r="OL41" s="71"/>
      <c r="OM41" s="71"/>
      <c r="ON41" s="71"/>
      <c r="OO41" s="71"/>
      <c r="OP41" s="71"/>
      <c r="OQ41" s="71"/>
      <c r="OR41" s="71"/>
      <c r="OS41" s="71"/>
      <c r="OT41" s="71"/>
      <c r="OU41" s="71"/>
      <c r="OV41" s="71"/>
      <c r="OW41" s="71"/>
      <c r="OX41" s="71"/>
      <c r="OY41" s="71"/>
      <c r="OZ41" s="71"/>
      <c r="PA41" s="71"/>
      <c r="PB41" s="71"/>
      <c r="PC41" s="71"/>
      <c r="PD41" s="71"/>
      <c r="PE41" s="71"/>
      <c r="PF41" s="71"/>
      <c r="PG41" s="71"/>
      <c r="PH41" s="71"/>
      <c r="PI41" s="71"/>
      <c r="PJ41" s="71"/>
      <c r="PK41" s="71"/>
      <c r="PL41" s="71"/>
      <c r="PM41" s="71"/>
      <c r="PN41" s="71"/>
      <c r="PO41" s="71"/>
      <c r="PP41" s="71"/>
      <c r="PQ41" s="71"/>
      <c r="PR41" s="71"/>
      <c r="PS41" s="71"/>
      <c r="PT41" s="71"/>
      <c r="PU41" s="71"/>
      <c r="PV41" s="71"/>
      <c r="PW41" s="71"/>
      <c r="PX41" s="71"/>
      <c r="PY41" s="71"/>
      <c r="PZ41" s="71"/>
      <c r="QA41" s="71"/>
      <c r="QB41" s="71"/>
      <c r="QC41" s="71"/>
      <c r="QD41" s="71"/>
      <c r="QE41" s="71"/>
      <c r="QF41" s="71"/>
      <c r="QG41" s="71"/>
      <c r="QH41" s="71"/>
      <c r="QI41" s="71"/>
      <c r="QJ41" s="71"/>
      <c r="QK41" s="71"/>
      <c r="QL41" s="71"/>
      <c r="QM41" s="71"/>
      <c r="QN41" s="71"/>
      <c r="QO41" s="71"/>
      <c r="QP41" s="71"/>
      <c r="QQ41" s="71"/>
      <c r="QR41" s="71"/>
      <c r="QS41" s="71"/>
      <c r="QT41" s="71"/>
      <c r="QU41" s="71"/>
      <c r="QV41" s="71"/>
      <c r="QW41" s="71"/>
      <c r="QX41" s="71"/>
      <c r="QY41" s="71"/>
      <c r="QZ41" s="71"/>
      <c r="RA41" s="71"/>
      <c r="RB41" s="71"/>
      <c r="RC41" s="71"/>
      <c r="RD41" s="71"/>
      <c r="RE41" s="71"/>
      <c r="RF41" s="71"/>
      <c r="RG41" s="71"/>
      <c r="RH41" s="71"/>
      <c r="RI41" s="71"/>
      <c r="RJ41" s="71"/>
      <c r="RK41" s="71"/>
      <c r="RL41" s="71"/>
      <c r="RM41" s="71"/>
      <c r="RN41" s="71"/>
      <c r="RO41" s="71"/>
      <c r="RP41" s="71"/>
      <c r="RQ41" s="71"/>
      <c r="RR41" s="71"/>
      <c r="RS41" s="71"/>
      <c r="RT41" s="71"/>
      <c r="RU41" s="71"/>
      <c r="RV41" s="71"/>
      <c r="RW41" s="71"/>
      <c r="RX41" s="71"/>
      <c r="RY41" s="71"/>
      <c r="RZ41" s="71"/>
      <c r="SA41" s="71"/>
      <c r="SB41" s="71"/>
      <c r="SC41" s="71"/>
      <c r="SD41" s="71"/>
      <c r="SE41" s="71"/>
      <c r="SF41" s="71"/>
      <c r="SG41" s="71"/>
      <c r="SH41" s="71"/>
      <c r="SI41" s="71"/>
      <c r="SJ41" s="71"/>
      <c r="SK41" s="71"/>
      <c r="SL41" s="71"/>
      <c r="SM41" s="71"/>
      <c r="SN41" s="71"/>
      <c r="SO41" s="71"/>
      <c r="SP41" s="71"/>
      <c r="SQ41" s="71"/>
      <c r="SR41" s="71"/>
      <c r="SS41" s="71"/>
      <c r="ST41" s="71"/>
      <c r="SU41" s="71"/>
      <c r="SV41" s="71"/>
      <c r="SW41" s="71"/>
      <c r="SX41" s="71"/>
      <c r="SY41" s="71"/>
      <c r="SZ41" s="71"/>
      <c r="TA41" s="71"/>
      <c r="TB41" s="71"/>
      <c r="TC41" s="71"/>
      <c r="TD41" s="71"/>
      <c r="TE41" s="71"/>
      <c r="TF41" s="71"/>
      <c r="TG41" s="71"/>
      <c r="TH41" s="71"/>
      <c r="TI41" s="71"/>
      <c r="TJ41" s="71"/>
      <c r="TK41" s="71"/>
      <c r="TL41" s="71"/>
      <c r="TM41" s="71"/>
      <c r="TN41" s="71"/>
      <c r="TO41" s="71"/>
      <c r="TP41" s="71"/>
      <c r="TQ41" s="71"/>
      <c r="TR41" s="71"/>
      <c r="TS41" s="71"/>
      <c r="TT41" s="71"/>
      <c r="TU41" s="71"/>
      <c r="TV41" s="71"/>
      <c r="TW41" s="71"/>
      <c r="TX41" s="71"/>
      <c r="TY41" s="71"/>
      <c r="TZ41" s="71"/>
      <c r="UA41" s="71"/>
      <c r="UB41" s="71"/>
      <c r="UC41" s="71"/>
      <c r="UD41" s="71"/>
      <c r="UE41" s="71"/>
      <c r="UF41" s="71"/>
      <c r="UG41" s="71"/>
      <c r="UH41" s="71"/>
      <c r="UI41" s="71"/>
      <c r="UJ41" s="71"/>
      <c r="UK41" s="71"/>
      <c r="UL41" s="71"/>
      <c r="UM41" s="71"/>
      <c r="UN41" s="71"/>
      <c r="UO41" s="71"/>
      <c r="UP41" s="71"/>
      <c r="UQ41" s="71"/>
      <c r="UR41" s="71"/>
      <c r="US41" s="71"/>
      <c r="UT41" s="71"/>
      <c r="UU41" s="71"/>
      <c r="UV41" s="71"/>
      <c r="UW41" s="71"/>
      <c r="UX41" s="71"/>
      <c r="UY41" s="71"/>
      <c r="UZ41" s="71"/>
      <c r="VA41" s="71"/>
      <c r="VB41" s="71"/>
      <c r="VC41" s="71"/>
      <c r="VD41" s="71"/>
      <c r="VE41" s="71"/>
      <c r="VF41" s="71"/>
      <c r="VG41" s="71"/>
      <c r="VH41" s="71"/>
      <c r="VI41" s="71"/>
      <c r="VJ41" s="71"/>
      <c r="VK41" s="71"/>
      <c r="VL41" s="71"/>
      <c r="VM41" s="71"/>
      <c r="VN41" s="71"/>
      <c r="VO41" s="71"/>
      <c r="VP41" s="71"/>
      <c r="VQ41" s="71"/>
      <c r="VR41" s="71"/>
      <c r="VS41" s="71"/>
      <c r="VT41" s="71"/>
      <c r="VU41" s="71"/>
      <c r="VV41" s="71"/>
      <c r="VW41" s="71"/>
      <c r="VX41" s="71"/>
      <c r="VY41" s="71"/>
      <c r="VZ41" s="71"/>
      <c r="WA41" s="71"/>
      <c r="WB41" s="71"/>
      <c r="WC41" s="71"/>
      <c r="WD41" s="71"/>
      <c r="WE41" s="71"/>
      <c r="WF41" s="71"/>
      <c r="WG41" s="71"/>
      <c r="WH41" s="71"/>
      <c r="WI41" s="71"/>
      <c r="WJ41" s="71"/>
      <c r="WK41" s="71"/>
      <c r="WL41" s="71"/>
      <c r="WM41" s="71"/>
      <c r="WN41" s="71"/>
      <c r="WO41" s="71"/>
      <c r="WP41" s="71"/>
      <c r="WQ41" s="71"/>
      <c r="WR41" s="71"/>
      <c r="WS41" s="71"/>
      <c r="WT41" s="71"/>
      <c r="WU41" s="71"/>
      <c r="WV41" s="71"/>
      <c r="WW41" s="71"/>
      <c r="WX41" s="71"/>
      <c r="WY41" s="71"/>
      <c r="WZ41" s="71"/>
      <c r="XA41" s="71"/>
      <c r="XB41" s="71"/>
      <c r="XC41" s="71"/>
      <c r="XD41" s="71"/>
      <c r="XE41" s="71"/>
      <c r="XF41" s="71"/>
      <c r="XG41" s="71"/>
      <c r="XH41" s="71"/>
      <c r="XI41" s="71"/>
      <c r="XJ41" s="71"/>
      <c r="XK41" s="71"/>
      <c r="XL41" s="71"/>
      <c r="XM41" s="71"/>
      <c r="XN41" s="71"/>
      <c r="XO41" s="71"/>
      <c r="XP41" s="71"/>
      <c r="XQ41" s="71"/>
      <c r="XR41" s="71"/>
      <c r="XS41" s="71"/>
      <c r="XT41" s="71"/>
      <c r="XU41" s="71"/>
      <c r="XV41" s="71"/>
      <c r="XW41" s="71"/>
      <c r="XX41" s="71"/>
      <c r="XY41" s="71"/>
      <c r="XZ41" s="71"/>
      <c r="YA41" s="71"/>
      <c r="YB41" s="71"/>
      <c r="YC41" s="71"/>
      <c r="YD41" s="71"/>
      <c r="YE41" s="71"/>
      <c r="YF41" s="71"/>
      <c r="YG41" s="71"/>
      <c r="YH41" s="71"/>
      <c r="YI41" s="71"/>
      <c r="YJ41" s="71"/>
      <c r="YK41" s="71"/>
      <c r="YL41" s="71"/>
      <c r="YM41" s="71"/>
      <c r="YN41" s="71"/>
      <c r="YO41" s="71"/>
      <c r="YP41" s="71"/>
      <c r="YQ41" s="71"/>
      <c r="YR41" s="71"/>
      <c r="YS41" s="71"/>
      <c r="YT41" s="71"/>
      <c r="YU41" s="71"/>
      <c r="YV41" s="71"/>
      <c r="YW41" s="71"/>
      <c r="YX41" s="71"/>
      <c r="YY41" s="71"/>
      <c r="YZ41" s="71"/>
      <c r="ZA41" s="71"/>
      <c r="ZB41" s="71"/>
      <c r="ZC41" s="71"/>
      <c r="ZD41" s="71"/>
      <c r="ZE41" s="71"/>
      <c r="ZF41" s="71"/>
      <c r="ZG41" s="71"/>
      <c r="ZH41" s="71"/>
      <c r="ZI41" s="71"/>
      <c r="ZJ41" s="71"/>
      <c r="ZK41" s="71"/>
      <c r="ZL41" s="71"/>
      <c r="ZM41" s="71"/>
      <c r="ZN41" s="71"/>
      <c r="ZO41" s="71"/>
      <c r="ZP41" s="71"/>
      <c r="ZQ41" s="71"/>
      <c r="ZR41" s="71"/>
      <c r="ZS41" s="71"/>
      <c r="ZT41" s="71"/>
      <c r="ZU41" s="71"/>
      <c r="ZV41" s="71"/>
      <c r="ZW41" s="71"/>
      <c r="ZX41" s="71"/>
      <c r="ZY41" s="71"/>
      <c r="ZZ41" s="71"/>
      <c r="AAA41" s="71"/>
      <c r="AAB41" s="71"/>
      <c r="AAC41" s="71"/>
      <c r="AAD41" s="71"/>
      <c r="AAE41" s="71"/>
      <c r="AAF41" s="71"/>
      <c r="AAG41" s="71"/>
      <c r="AAH41" s="71"/>
      <c r="AAI41" s="71"/>
      <c r="AAJ41" s="71"/>
      <c r="AAK41" s="71"/>
      <c r="AAL41" s="71"/>
      <c r="AAM41" s="71"/>
      <c r="AAN41" s="71"/>
      <c r="AAO41" s="71"/>
      <c r="AAP41" s="71"/>
      <c r="AAQ41" s="71"/>
      <c r="AAR41" s="71"/>
      <c r="AAS41" s="71"/>
      <c r="AAT41" s="71"/>
      <c r="AAU41" s="71"/>
      <c r="AAV41" s="71"/>
      <c r="AAW41" s="71"/>
      <c r="AAX41" s="71"/>
      <c r="AAY41" s="71"/>
      <c r="AAZ41" s="71"/>
      <c r="ABA41" s="71"/>
      <c r="ABB41" s="71"/>
      <c r="ABC41" s="71"/>
      <c r="ABD41" s="71"/>
      <c r="ABE41" s="71"/>
      <c r="ABF41" s="71"/>
      <c r="ABG41" s="71"/>
      <c r="ABH41" s="71"/>
      <c r="ABI41" s="71"/>
      <c r="ABJ41" s="71"/>
      <c r="ABK41" s="71"/>
      <c r="ABL41" s="71"/>
      <c r="ABM41" s="71"/>
      <c r="ABN41" s="71"/>
      <c r="ABO41" s="71"/>
      <c r="ABP41" s="71"/>
      <c r="ABQ41" s="71"/>
      <c r="ABR41" s="71"/>
      <c r="ABS41" s="71"/>
      <c r="ABT41" s="71"/>
      <c r="ABU41" s="71"/>
      <c r="ABV41" s="71"/>
      <c r="ABW41" s="71"/>
      <c r="ABX41" s="71"/>
      <c r="ABY41" s="71"/>
      <c r="ABZ41" s="71"/>
      <c r="ACA41" s="71"/>
      <c r="ACB41" s="71"/>
      <c r="ACC41" s="71"/>
      <c r="ACD41" s="71"/>
      <c r="ACE41" s="71"/>
      <c r="ACF41" s="71"/>
      <c r="ACG41" s="71"/>
      <c r="ACH41" s="71"/>
      <c r="ACI41" s="71"/>
      <c r="ACJ41" s="71"/>
      <c r="ACK41" s="71"/>
      <c r="ACL41" s="71"/>
      <c r="ACM41" s="71"/>
      <c r="ACN41" s="71"/>
      <c r="ACO41" s="71"/>
      <c r="ACP41" s="71"/>
      <c r="ACQ41" s="71"/>
      <c r="ACR41" s="71"/>
      <c r="ACS41" s="71"/>
      <c r="ACT41" s="71"/>
      <c r="ACU41" s="71"/>
      <c r="ACV41" s="71"/>
      <c r="ACW41" s="71"/>
      <c r="ACX41" s="71"/>
      <c r="ACY41" s="71"/>
      <c r="ACZ41" s="71"/>
      <c r="ADA41" s="71"/>
      <c r="ADB41" s="71"/>
      <c r="ADC41" s="71"/>
      <c r="ADD41" s="71"/>
      <c r="ADE41" s="71"/>
      <c r="ADF41" s="71"/>
      <c r="ADG41" s="71"/>
      <c r="ADH41" s="71"/>
      <c r="ADI41" s="71"/>
      <c r="ADJ41" s="71"/>
      <c r="ADK41" s="71"/>
      <c r="ADL41" s="71"/>
      <c r="ADM41" s="71"/>
      <c r="ADN41" s="71"/>
      <c r="ADO41" s="71"/>
      <c r="ADP41" s="71"/>
      <c r="ADQ41" s="71"/>
      <c r="ADR41" s="71"/>
      <c r="ADS41" s="71"/>
      <c r="ADT41" s="71"/>
      <c r="ADU41" s="71"/>
      <c r="ADV41" s="71"/>
      <c r="ADW41" s="71"/>
      <c r="ADX41" s="71"/>
      <c r="ADY41" s="71"/>
      <c r="ADZ41" s="71"/>
      <c r="AEA41" s="71"/>
      <c r="AEB41" s="71"/>
      <c r="AEC41" s="71"/>
      <c r="AED41" s="71"/>
      <c r="AEE41" s="71"/>
      <c r="AEF41" s="71"/>
      <c r="AEG41" s="71"/>
      <c r="AEH41" s="71"/>
      <c r="AEI41" s="71"/>
      <c r="AEJ41" s="71"/>
      <c r="AEK41" s="71"/>
      <c r="AEL41" s="71"/>
      <c r="AEM41" s="71"/>
      <c r="AEN41" s="71"/>
      <c r="AEO41" s="71"/>
      <c r="AEP41" s="71"/>
      <c r="AEQ41" s="71"/>
      <c r="AER41" s="71"/>
      <c r="AES41" s="71"/>
      <c r="AET41" s="71"/>
      <c r="AEU41" s="71"/>
      <c r="AEV41" s="71"/>
      <c r="AEW41" s="71"/>
      <c r="AEX41" s="71"/>
      <c r="AEY41" s="71"/>
      <c r="AEZ41" s="71"/>
      <c r="AFA41" s="71"/>
      <c r="AFB41" s="71"/>
      <c r="AFC41" s="71"/>
      <c r="AFD41" s="71"/>
      <c r="AFE41" s="71"/>
      <c r="AFF41" s="71"/>
      <c r="AFG41" s="71"/>
      <c r="AFH41" s="71"/>
      <c r="AFI41" s="71"/>
      <c r="AFJ41" s="71"/>
      <c r="AFK41" s="71"/>
      <c r="AFL41" s="71"/>
      <c r="AFM41" s="71"/>
      <c r="AFN41" s="71"/>
      <c r="AFO41" s="71"/>
      <c r="AFP41" s="71"/>
      <c r="AFQ41" s="71"/>
      <c r="AFR41" s="71"/>
      <c r="AFS41" s="71"/>
      <c r="AFT41" s="71"/>
      <c r="AFU41" s="71"/>
      <c r="AFV41" s="71"/>
      <c r="AFW41" s="71"/>
      <c r="AFX41" s="71"/>
      <c r="AFY41" s="71"/>
      <c r="AFZ41" s="71"/>
      <c r="AGA41" s="71"/>
      <c r="AGB41" s="71"/>
      <c r="AGC41" s="71"/>
      <c r="AGD41" s="71"/>
      <c r="AGE41" s="71"/>
      <c r="AGF41" s="71"/>
      <c r="AGG41" s="71"/>
      <c r="AGH41" s="71"/>
      <c r="AGI41" s="71"/>
      <c r="AGJ41" s="71"/>
      <c r="AGK41" s="71"/>
      <c r="AGL41" s="71"/>
      <c r="AGM41" s="71"/>
      <c r="AGN41" s="71"/>
      <c r="AGO41" s="71"/>
      <c r="AGP41" s="71"/>
      <c r="AGQ41" s="71"/>
      <c r="AGR41" s="71"/>
      <c r="AGS41" s="71"/>
      <c r="AGT41" s="71"/>
      <c r="AGU41" s="71"/>
      <c r="AGV41" s="71"/>
      <c r="AGW41" s="71"/>
      <c r="AGX41" s="71"/>
      <c r="AGY41" s="71"/>
      <c r="AGZ41" s="71"/>
      <c r="AHA41" s="71"/>
      <c r="AHB41" s="71"/>
      <c r="AHC41" s="71"/>
      <c r="AHD41" s="71"/>
      <c r="AHE41" s="71"/>
      <c r="AHF41" s="71"/>
      <c r="AHG41" s="71"/>
      <c r="AHH41" s="71"/>
      <c r="AHI41" s="71"/>
      <c r="AHJ41" s="71"/>
      <c r="AHK41" s="71"/>
      <c r="AHL41" s="71"/>
      <c r="AHM41" s="71"/>
      <c r="AHN41" s="71"/>
      <c r="AHO41" s="71"/>
      <c r="AHP41" s="71"/>
      <c r="AHQ41" s="71"/>
      <c r="AHR41" s="71"/>
      <c r="AHS41" s="71"/>
      <c r="AHT41" s="71"/>
      <c r="AHU41" s="71"/>
      <c r="AHV41" s="71"/>
      <c r="AHW41" s="71"/>
      <c r="AHX41" s="71"/>
      <c r="AHY41" s="71"/>
      <c r="AHZ41" s="71"/>
      <c r="AIA41" s="71"/>
      <c r="AIB41" s="71"/>
      <c r="AIC41" s="71"/>
      <c r="AID41" s="71"/>
      <c r="AIE41" s="71"/>
      <c r="AIF41" s="71"/>
      <c r="AIG41" s="71"/>
      <c r="AIH41" s="71"/>
      <c r="AII41" s="71"/>
      <c r="AIJ41" s="71"/>
      <c r="AIK41" s="71"/>
      <c r="AIL41" s="71"/>
      <c r="AIM41" s="71"/>
      <c r="AIN41" s="71"/>
      <c r="AIO41" s="71"/>
      <c r="AIP41" s="71"/>
      <c r="AIQ41" s="71"/>
      <c r="AIR41" s="71"/>
      <c r="AIS41" s="71"/>
      <c r="AIT41" s="71"/>
      <c r="AIU41" s="71"/>
      <c r="AIV41" s="71"/>
      <c r="AIW41" s="71"/>
      <c r="AIX41" s="71"/>
      <c r="AIY41" s="71"/>
      <c r="AIZ41" s="71"/>
      <c r="AJA41" s="71"/>
      <c r="AJB41" s="71"/>
      <c r="AJC41" s="71"/>
      <c r="AJD41" s="71"/>
      <c r="AJE41" s="71"/>
      <c r="AJF41" s="71"/>
      <c r="AJG41" s="71"/>
      <c r="AJH41" s="71"/>
      <c r="AJI41" s="71"/>
      <c r="AJJ41" s="71"/>
      <c r="AJK41" s="71"/>
      <c r="AJL41" s="71"/>
      <c r="AJM41" s="71"/>
      <c r="AJN41" s="71"/>
      <c r="AJO41" s="71"/>
      <c r="AJP41" s="71"/>
      <c r="AJQ41" s="71"/>
      <c r="AJR41" s="71"/>
      <c r="AJS41" s="71"/>
      <c r="AJT41" s="71"/>
      <c r="AJU41" s="71"/>
      <c r="AJV41" s="71"/>
      <c r="AJW41" s="71"/>
      <c r="AJX41" s="71"/>
      <c r="AJY41" s="71"/>
      <c r="AJZ41" s="71"/>
      <c r="AKA41" s="71"/>
      <c r="AKB41" s="71"/>
      <c r="AKC41" s="71"/>
      <c r="AKD41" s="71"/>
      <c r="AKE41" s="71"/>
      <c r="AKF41" s="71"/>
      <c r="AKG41" s="71"/>
      <c r="AKH41" s="71"/>
      <c r="AKI41" s="71"/>
      <c r="AKJ41" s="71"/>
      <c r="AKK41" s="71"/>
      <c r="AKL41" s="71"/>
      <c r="AKM41" s="71"/>
      <c r="AKN41" s="71"/>
      <c r="AKO41" s="71"/>
      <c r="AKP41" s="71"/>
      <c r="AKQ41" s="71"/>
      <c r="AKR41" s="71"/>
      <c r="AKS41" s="71"/>
      <c r="AKT41" s="71"/>
      <c r="AKU41" s="71"/>
      <c r="AKV41" s="71"/>
      <c r="AKW41" s="71"/>
      <c r="AKX41" s="71"/>
      <c r="AKY41" s="71"/>
      <c r="AKZ41" s="71"/>
      <c r="ALA41" s="71"/>
      <c r="ALB41" s="71"/>
      <c r="ALC41" s="71"/>
      <c r="ALD41" s="71"/>
      <c r="ALE41" s="71"/>
      <c r="ALF41" s="71"/>
      <c r="ALG41" s="71"/>
      <c r="ALH41" s="71"/>
      <c r="ALI41" s="71"/>
      <c r="ALJ41" s="71"/>
      <c r="ALK41" s="71"/>
      <c r="ALL41" s="71"/>
      <c r="ALM41" s="71"/>
      <c r="ALN41" s="71"/>
      <c r="ALO41" s="71"/>
      <c r="ALP41" s="71"/>
      <c r="ALQ41" s="71"/>
      <c r="ALR41" s="71"/>
      <c r="ALS41" s="71"/>
      <c r="ALT41" s="71"/>
      <c r="ALU41" s="71"/>
      <c r="ALV41" s="71"/>
      <c r="ALW41" s="71"/>
      <c r="ALX41" s="71"/>
      <c r="ALY41" s="71"/>
      <c r="ALZ41" s="71"/>
      <c r="AMA41" s="71"/>
      <c r="AMB41" s="71"/>
      <c r="AMC41" s="71"/>
      <c r="AMD41" s="71"/>
      <c r="AME41" s="71"/>
      <c r="AMF41" s="71"/>
      <c r="AMG41" s="71"/>
      <c r="AMH41" s="71"/>
      <c r="AMI41" s="71"/>
      <c r="AMJ41" s="71"/>
    </row>
    <row r="42" spans="1:1024" ht="20.25" customHeight="1" thickBot="1" x14ac:dyDescent="0.25">
      <c r="A42" s="78">
        <v>31</v>
      </c>
      <c r="B42" s="77">
        <f>'Necesidades Trimestrales'!B40</f>
        <v>0</v>
      </c>
      <c r="C42" s="97" t="str">
        <f>'Necesidades Trimestrales'!E40</f>
        <v xml:space="preserve">Butil Bromuro de Hioscina 20 mg /1 ml </v>
      </c>
      <c r="D42" s="97"/>
      <c r="E42" s="97"/>
      <c r="F42" s="97"/>
      <c r="G42" s="97"/>
      <c r="H42" s="76" t="s">
        <v>61</v>
      </c>
      <c r="I42" s="75" t="str">
        <f>'Necesidades Trimestrales'!F40</f>
        <v>AMPOLLA</v>
      </c>
      <c r="J42" s="52">
        <f>'Necesidades Trimestrales'!H40</f>
        <v>80.430000000000007</v>
      </c>
      <c r="K42" s="74">
        <f>'Necesidades Trimestrales'!G40</f>
        <v>3000</v>
      </c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71"/>
      <c r="NK42" s="71"/>
      <c r="NL42" s="71"/>
      <c r="NM42" s="71"/>
      <c r="NN42" s="71"/>
      <c r="NO42" s="71"/>
      <c r="NP42" s="71"/>
      <c r="NQ42" s="71"/>
      <c r="NR42" s="71"/>
      <c r="NS42" s="71"/>
      <c r="NT42" s="71"/>
      <c r="NU42" s="71"/>
      <c r="NV42" s="71"/>
      <c r="NW42" s="71"/>
      <c r="NX42" s="71"/>
      <c r="NY42" s="71"/>
      <c r="NZ42" s="71"/>
      <c r="OA42" s="71"/>
      <c r="OB42" s="71"/>
      <c r="OC42" s="71"/>
      <c r="OD42" s="71"/>
      <c r="OE42" s="71"/>
      <c r="OF42" s="71"/>
      <c r="OG42" s="71"/>
      <c r="OH42" s="71"/>
      <c r="OI42" s="71"/>
      <c r="OJ42" s="71"/>
      <c r="OK42" s="71"/>
      <c r="OL42" s="71"/>
      <c r="OM42" s="71"/>
      <c r="ON42" s="71"/>
      <c r="OO42" s="71"/>
      <c r="OP42" s="71"/>
      <c r="OQ42" s="71"/>
      <c r="OR42" s="71"/>
      <c r="OS42" s="71"/>
      <c r="OT42" s="71"/>
      <c r="OU42" s="71"/>
      <c r="OV42" s="71"/>
      <c r="OW42" s="71"/>
      <c r="OX42" s="71"/>
      <c r="OY42" s="71"/>
      <c r="OZ42" s="71"/>
      <c r="PA42" s="71"/>
      <c r="PB42" s="71"/>
      <c r="PC42" s="71"/>
      <c r="PD42" s="71"/>
      <c r="PE42" s="71"/>
      <c r="PF42" s="71"/>
      <c r="PG42" s="71"/>
      <c r="PH42" s="71"/>
      <c r="PI42" s="71"/>
      <c r="PJ42" s="71"/>
      <c r="PK42" s="71"/>
      <c r="PL42" s="71"/>
      <c r="PM42" s="71"/>
      <c r="PN42" s="71"/>
      <c r="PO42" s="71"/>
      <c r="PP42" s="71"/>
      <c r="PQ42" s="71"/>
      <c r="PR42" s="71"/>
      <c r="PS42" s="71"/>
      <c r="PT42" s="71"/>
      <c r="PU42" s="71"/>
      <c r="PV42" s="71"/>
      <c r="PW42" s="71"/>
      <c r="PX42" s="71"/>
      <c r="PY42" s="71"/>
      <c r="PZ42" s="71"/>
      <c r="QA42" s="71"/>
      <c r="QB42" s="71"/>
      <c r="QC42" s="71"/>
      <c r="QD42" s="71"/>
      <c r="QE42" s="71"/>
      <c r="QF42" s="71"/>
      <c r="QG42" s="71"/>
      <c r="QH42" s="71"/>
      <c r="QI42" s="71"/>
      <c r="QJ42" s="71"/>
      <c r="QK42" s="71"/>
      <c r="QL42" s="71"/>
      <c r="QM42" s="71"/>
      <c r="QN42" s="71"/>
      <c r="QO42" s="71"/>
      <c r="QP42" s="71"/>
      <c r="QQ42" s="71"/>
      <c r="QR42" s="71"/>
      <c r="QS42" s="71"/>
      <c r="QT42" s="71"/>
      <c r="QU42" s="71"/>
      <c r="QV42" s="71"/>
      <c r="QW42" s="71"/>
      <c r="QX42" s="71"/>
      <c r="QY42" s="71"/>
      <c r="QZ42" s="71"/>
      <c r="RA42" s="71"/>
      <c r="RB42" s="71"/>
      <c r="RC42" s="71"/>
      <c r="RD42" s="71"/>
      <c r="RE42" s="71"/>
      <c r="RF42" s="71"/>
      <c r="RG42" s="71"/>
      <c r="RH42" s="71"/>
      <c r="RI42" s="71"/>
      <c r="RJ42" s="71"/>
      <c r="RK42" s="71"/>
      <c r="RL42" s="71"/>
      <c r="RM42" s="71"/>
      <c r="RN42" s="71"/>
      <c r="RO42" s="71"/>
      <c r="RP42" s="71"/>
      <c r="RQ42" s="71"/>
      <c r="RR42" s="71"/>
      <c r="RS42" s="71"/>
      <c r="RT42" s="71"/>
      <c r="RU42" s="71"/>
      <c r="RV42" s="71"/>
      <c r="RW42" s="71"/>
      <c r="RX42" s="71"/>
      <c r="RY42" s="71"/>
      <c r="RZ42" s="71"/>
      <c r="SA42" s="71"/>
      <c r="SB42" s="71"/>
      <c r="SC42" s="71"/>
      <c r="SD42" s="71"/>
      <c r="SE42" s="71"/>
      <c r="SF42" s="71"/>
      <c r="SG42" s="71"/>
      <c r="SH42" s="71"/>
      <c r="SI42" s="71"/>
      <c r="SJ42" s="71"/>
      <c r="SK42" s="71"/>
      <c r="SL42" s="71"/>
      <c r="SM42" s="71"/>
      <c r="SN42" s="71"/>
      <c r="SO42" s="71"/>
      <c r="SP42" s="71"/>
      <c r="SQ42" s="71"/>
      <c r="SR42" s="71"/>
      <c r="SS42" s="71"/>
      <c r="ST42" s="71"/>
      <c r="SU42" s="71"/>
      <c r="SV42" s="71"/>
      <c r="SW42" s="71"/>
      <c r="SX42" s="71"/>
      <c r="SY42" s="71"/>
      <c r="SZ42" s="71"/>
      <c r="TA42" s="71"/>
      <c r="TB42" s="71"/>
      <c r="TC42" s="71"/>
      <c r="TD42" s="71"/>
      <c r="TE42" s="71"/>
      <c r="TF42" s="71"/>
      <c r="TG42" s="71"/>
      <c r="TH42" s="71"/>
      <c r="TI42" s="71"/>
      <c r="TJ42" s="71"/>
      <c r="TK42" s="71"/>
      <c r="TL42" s="71"/>
      <c r="TM42" s="71"/>
      <c r="TN42" s="71"/>
      <c r="TO42" s="71"/>
      <c r="TP42" s="71"/>
      <c r="TQ42" s="71"/>
      <c r="TR42" s="71"/>
      <c r="TS42" s="71"/>
      <c r="TT42" s="71"/>
      <c r="TU42" s="71"/>
      <c r="TV42" s="71"/>
      <c r="TW42" s="71"/>
      <c r="TX42" s="71"/>
      <c r="TY42" s="71"/>
      <c r="TZ42" s="71"/>
      <c r="UA42" s="71"/>
      <c r="UB42" s="71"/>
      <c r="UC42" s="71"/>
      <c r="UD42" s="71"/>
      <c r="UE42" s="71"/>
      <c r="UF42" s="71"/>
      <c r="UG42" s="71"/>
      <c r="UH42" s="71"/>
      <c r="UI42" s="71"/>
      <c r="UJ42" s="71"/>
      <c r="UK42" s="71"/>
      <c r="UL42" s="71"/>
      <c r="UM42" s="71"/>
      <c r="UN42" s="71"/>
      <c r="UO42" s="71"/>
      <c r="UP42" s="71"/>
      <c r="UQ42" s="71"/>
      <c r="UR42" s="71"/>
      <c r="US42" s="71"/>
      <c r="UT42" s="71"/>
      <c r="UU42" s="71"/>
      <c r="UV42" s="71"/>
      <c r="UW42" s="71"/>
      <c r="UX42" s="71"/>
      <c r="UY42" s="71"/>
      <c r="UZ42" s="71"/>
      <c r="VA42" s="71"/>
      <c r="VB42" s="71"/>
      <c r="VC42" s="71"/>
      <c r="VD42" s="71"/>
      <c r="VE42" s="71"/>
      <c r="VF42" s="71"/>
      <c r="VG42" s="71"/>
      <c r="VH42" s="71"/>
      <c r="VI42" s="71"/>
      <c r="VJ42" s="71"/>
      <c r="VK42" s="71"/>
      <c r="VL42" s="71"/>
      <c r="VM42" s="71"/>
      <c r="VN42" s="71"/>
      <c r="VO42" s="71"/>
      <c r="VP42" s="71"/>
      <c r="VQ42" s="71"/>
      <c r="VR42" s="71"/>
      <c r="VS42" s="71"/>
      <c r="VT42" s="71"/>
      <c r="VU42" s="71"/>
      <c r="VV42" s="71"/>
      <c r="VW42" s="71"/>
      <c r="VX42" s="71"/>
      <c r="VY42" s="71"/>
      <c r="VZ42" s="71"/>
      <c r="WA42" s="71"/>
      <c r="WB42" s="71"/>
      <c r="WC42" s="71"/>
      <c r="WD42" s="71"/>
      <c r="WE42" s="71"/>
      <c r="WF42" s="71"/>
      <c r="WG42" s="71"/>
      <c r="WH42" s="71"/>
      <c r="WI42" s="71"/>
      <c r="WJ42" s="71"/>
      <c r="WK42" s="71"/>
      <c r="WL42" s="71"/>
      <c r="WM42" s="71"/>
      <c r="WN42" s="71"/>
      <c r="WO42" s="71"/>
      <c r="WP42" s="71"/>
      <c r="WQ42" s="71"/>
      <c r="WR42" s="71"/>
      <c r="WS42" s="71"/>
      <c r="WT42" s="71"/>
      <c r="WU42" s="71"/>
      <c r="WV42" s="71"/>
      <c r="WW42" s="71"/>
      <c r="WX42" s="71"/>
      <c r="WY42" s="71"/>
      <c r="WZ42" s="71"/>
      <c r="XA42" s="71"/>
      <c r="XB42" s="71"/>
      <c r="XC42" s="71"/>
      <c r="XD42" s="71"/>
      <c r="XE42" s="71"/>
      <c r="XF42" s="71"/>
      <c r="XG42" s="71"/>
      <c r="XH42" s="71"/>
      <c r="XI42" s="71"/>
      <c r="XJ42" s="71"/>
      <c r="XK42" s="71"/>
      <c r="XL42" s="71"/>
      <c r="XM42" s="71"/>
      <c r="XN42" s="71"/>
      <c r="XO42" s="71"/>
      <c r="XP42" s="71"/>
      <c r="XQ42" s="71"/>
      <c r="XR42" s="71"/>
      <c r="XS42" s="71"/>
      <c r="XT42" s="71"/>
      <c r="XU42" s="71"/>
      <c r="XV42" s="71"/>
      <c r="XW42" s="71"/>
      <c r="XX42" s="71"/>
      <c r="XY42" s="71"/>
      <c r="XZ42" s="71"/>
      <c r="YA42" s="71"/>
      <c r="YB42" s="71"/>
      <c r="YC42" s="71"/>
      <c r="YD42" s="71"/>
      <c r="YE42" s="71"/>
      <c r="YF42" s="71"/>
      <c r="YG42" s="71"/>
      <c r="YH42" s="71"/>
      <c r="YI42" s="71"/>
      <c r="YJ42" s="71"/>
      <c r="YK42" s="71"/>
      <c r="YL42" s="71"/>
      <c r="YM42" s="71"/>
      <c r="YN42" s="71"/>
      <c r="YO42" s="71"/>
      <c r="YP42" s="71"/>
      <c r="YQ42" s="71"/>
      <c r="YR42" s="71"/>
      <c r="YS42" s="71"/>
      <c r="YT42" s="71"/>
      <c r="YU42" s="71"/>
      <c r="YV42" s="71"/>
      <c r="YW42" s="71"/>
      <c r="YX42" s="71"/>
      <c r="YY42" s="71"/>
      <c r="YZ42" s="71"/>
      <c r="ZA42" s="71"/>
      <c r="ZB42" s="71"/>
      <c r="ZC42" s="71"/>
      <c r="ZD42" s="71"/>
      <c r="ZE42" s="71"/>
      <c r="ZF42" s="71"/>
      <c r="ZG42" s="71"/>
      <c r="ZH42" s="71"/>
      <c r="ZI42" s="71"/>
      <c r="ZJ42" s="71"/>
      <c r="ZK42" s="71"/>
      <c r="ZL42" s="71"/>
      <c r="ZM42" s="71"/>
      <c r="ZN42" s="71"/>
      <c r="ZO42" s="71"/>
      <c r="ZP42" s="71"/>
      <c r="ZQ42" s="71"/>
      <c r="ZR42" s="71"/>
      <c r="ZS42" s="71"/>
      <c r="ZT42" s="71"/>
      <c r="ZU42" s="71"/>
      <c r="ZV42" s="71"/>
      <c r="ZW42" s="71"/>
      <c r="ZX42" s="71"/>
      <c r="ZY42" s="71"/>
      <c r="ZZ42" s="71"/>
      <c r="AAA42" s="71"/>
      <c r="AAB42" s="71"/>
      <c r="AAC42" s="71"/>
      <c r="AAD42" s="71"/>
      <c r="AAE42" s="71"/>
      <c r="AAF42" s="71"/>
      <c r="AAG42" s="71"/>
      <c r="AAH42" s="71"/>
      <c r="AAI42" s="71"/>
      <c r="AAJ42" s="71"/>
      <c r="AAK42" s="71"/>
      <c r="AAL42" s="71"/>
      <c r="AAM42" s="71"/>
      <c r="AAN42" s="71"/>
      <c r="AAO42" s="71"/>
      <c r="AAP42" s="71"/>
      <c r="AAQ42" s="71"/>
      <c r="AAR42" s="71"/>
      <c r="AAS42" s="71"/>
      <c r="AAT42" s="71"/>
      <c r="AAU42" s="71"/>
      <c r="AAV42" s="71"/>
      <c r="AAW42" s="71"/>
      <c r="AAX42" s="71"/>
      <c r="AAY42" s="71"/>
      <c r="AAZ42" s="71"/>
      <c r="ABA42" s="71"/>
      <c r="ABB42" s="71"/>
      <c r="ABC42" s="71"/>
      <c r="ABD42" s="71"/>
      <c r="ABE42" s="71"/>
      <c r="ABF42" s="71"/>
      <c r="ABG42" s="71"/>
      <c r="ABH42" s="71"/>
      <c r="ABI42" s="71"/>
      <c r="ABJ42" s="71"/>
      <c r="ABK42" s="71"/>
      <c r="ABL42" s="71"/>
      <c r="ABM42" s="71"/>
      <c r="ABN42" s="71"/>
      <c r="ABO42" s="71"/>
      <c r="ABP42" s="71"/>
      <c r="ABQ42" s="71"/>
      <c r="ABR42" s="71"/>
      <c r="ABS42" s="71"/>
      <c r="ABT42" s="71"/>
      <c r="ABU42" s="71"/>
      <c r="ABV42" s="71"/>
      <c r="ABW42" s="71"/>
      <c r="ABX42" s="71"/>
      <c r="ABY42" s="71"/>
      <c r="ABZ42" s="71"/>
      <c r="ACA42" s="71"/>
      <c r="ACB42" s="71"/>
      <c r="ACC42" s="71"/>
      <c r="ACD42" s="71"/>
      <c r="ACE42" s="71"/>
      <c r="ACF42" s="71"/>
      <c r="ACG42" s="71"/>
      <c r="ACH42" s="71"/>
      <c r="ACI42" s="71"/>
      <c r="ACJ42" s="71"/>
      <c r="ACK42" s="71"/>
      <c r="ACL42" s="71"/>
      <c r="ACM42" s="71"/>
      <c r="ACN42" s="71"/>
      <c r="ACO42" s="71"/>
      <c r="ACP42" s="71"/>
      <c r="ACQ42" s="71"/>
      <c r="ACR42" s="71"/>
      <c r="ACS42" s="71"/>
      <c r="ACT42" s="71"/>
      <c r="ACU42" s="71"/>
      <c r="ACV42" s="71"/>
      <c r="ACW42" s="71"/>
      <c r="ACX42" s="71"/>
      <c r="ACY42" s="71"/>
      <c r="ACZ42" s="71"/>
      <c r="ADA42" s="71"/>
      <c r="ADB42" s="71"/>
      <c r="ADC42" s="71"/>
      <c r="ADD42" s="71"/>
      <c r="ADE42" s="71"/>
      <c r="ADF42" s="71"/>
      <c r="ADG42" s="71"/>
      <c r="ADH42" s="71"/>
      <c r="ADI42" s="71"/>
      <c r="ADJ42" s="71"/>
      <c r="ADK42" s="71"/>
      <c r="ADL42" s="71"/>
      <c r="ADM42" s="71"/>
      <c r="ADN42" s="71"/>
      <c r="ADO42" s="71"/>
      <c r="ADP42" s="71"/>
      <c r="ADQ42" s="71"/>
      <c r="ADR42" s="71"/>
      <c r="ADS42" s="71"/>
      <c r="ADT42" s="71"/>
      <c r="ADU42" s="71"/>
      <c r="ADV42" s="71"/>
      <c r="ADW42" s="71"/>
      <c r="ADX42" s="71"/>
      <c r="ADY42" s="71"/>
      <c r="ADZ42" s="71"/>
      <c r="AEA42" s="71"/>
      <c r="AEB42" s="71"/>
      <c r="AEC42" s="71"/>
      <c r="AED42" s="71"/>
      <c r="AEE42" s="71"/>
      <c r="AEF42" s="71"/>
      <c r="AEG42" s="71"/>
      <c r="AEH42" s="71"/>
      <c r="AEI42" s="71"/>
      <c r="AEJ42" s="71"/>
      <c r="AEK42" s="71"/>
      <c r="AEL42" s="71"/>
      <c r="AEM42" s="71"/>
      <c r="AEN42" s="71"/>
      <c r="AEO42" s="71"/>
      <c r="AEP42" s="71"/>
      <c r="AEQ42" s="71"/>
      <c r="AER42" s="71"/>
      <c r="AES42" s="71"/>
      <c r="AET42" s="71"/>
      <c r="AEU42" s="71"/>
      <c r="AEV42" s="71"/>
      <c r="AEW42" s="71"/>
      <c r="AEX42" s="71"/>
      <c r="AEY42" s="71"/>
      <c r="AEZ42" s="71"/>
      <c r="AFA42" s="71"/>
      <c r="AFB42" s="71"/>
      <c r="AFC42" s="71"/>
      <c r="AFD42" s="71"/>
      <c r="AFE42" s="71"/>
      <c r="AFF42" s="71"/>
      <c r="AFG42" s="71"/>
      <c r="AFH42" s="71"/>
      <c r="AFI42" s="71"/>
      <c r="AFJ42" s="71"/>
      <c r="AFK42" s="71"/>
      <c r="AFL42" s="71"/>
      <c r="AFM42" s="71"/>
      <c r="AFN42" s="71"/>
      <c r="AFO42" s="71"/>
      <c r="AFP42" s="71"/>
      <c r="AFQ42" s="71"/>
      <c r="AFR42" s="71"/>
      <c r="AFS42" s="71"/>
      <c r="AFT42" s="71"/>
      <c r="AFU42" s="71"/>
      <c r="AFV42" s="71"/>
      <c r="AFW42" s="71"/>
      <c r="AFX42" s="71"/>
      <c r="AFY42" s="71"/>
      <c r="AFZ42" s="71"/>
      <c r="AGA42" s="71"/>
      <c r="AGB42" s="71"/>
      <c r="AGC42" s="71"/>
      <c r="AGD42" s="71"/>
      <c r="AGE42" s="71"/>
      <c r="AGF42" s="71"/>
      <c r="AGG42" s="71"/>
      <c r="AGH42" s="71"/>
      <c r="AGI42" s="71"/>
      <c r="AGJ42" s="71"/>
      <c r="AGK42" s="71"/>
      <c r="AGL42" s="71"/>
      <c r="AGM42" s="71"/>
      <c r="AGN42" s="71"/>
      <c r="AGO42" s="71"/>
      <c r="AGP42" s="71"/>
      <c r="AGQ42" s="71"/>
      <c r="AGR42" s="71"/>
      <c r="AGS42" s="71"/>
      <c r="AGT42" s="71"/>
      <c r="AGU42" s="71"/>
      <c r="AGV42" s="71"/>
      <c r="AGW42" s="71"/>
      <c r="AGX42" s="71"/>
      <c r="AGY42" s="71"/>
      <c r="AGZ42" s="71"/>
      <c r="AHA42" s="71"/>
      <c r="AHB42" s="71"/>
      <c r="AHC42" s="71"/>
      <c r="AHD42" s="71"/>
      <c r="AHE42" s="71"/>
      <c r="AHF42" s="71"/>
      <c r="AHG42" s="71"/>
      <c r="AHH42" s="71"/>
      <c r="AHI42" s="71"/>
      <c r="AHJ42" s="71"/>
      <c r="AHK42" s="71"/>
      <c r="AHL42" s="71"/>
      <c r="AHM42" s="71"/>
      <c r="AHN42" s="71"/>
      <c r="AHO42" s="71"/>
      <c r="AHP42" s="71"/>
      <c r="AHQ42" s="71"/>
      <c r="AHR42" s="71"/>
      <c r="AHS42" s="71"/>
      <c r="AHT42" s="71"/>
      <c r="AHU42" s="71"/>
      <c r="AHV42" s="71"/>
      <c r="AHW42" s="71"/>
      <c r="AHX42" s="71"/>
      <c r="AHY42" s="71"/>
      <c r="AHZ42" s="71"/>
      <c r="AIA42" s="71"/>
      <c r="AIB42" s="71"/>
      <c r="AIC42" s="71"/>
      <c r="AID42" s="71"/>
      <c r="AIE42" s="71"/>
      <c r="AIF42" s="71"/>
      <c r="AIG42" s="71"/>
      <c r="AIH42" s="71"/>
      <c r="AII42" s="71"/>
      <c r="AIJ42" s="71"/>
      <c r="AIK42" s="71"/>
      <c r="AIL42" s="71"/>
      <c r="AIM42" s="71"/>
      <c r="AIN42" s="71"/>
      <c r="AIO42" s="71"/>
      <c r="AIP42" s="71"/>
      <c r="AIQ42" s="71"/>
      <c r="AIR42" s="71"/>
      <c r="AIS42" s="71"/>
      <c r="AIT42" s="71"/>
      <c r="AIU42" s="71"/>
      <c r="AIV42" s="71"/>
      <c r="AIW42" s="71"/>
      <c r="AIX42" s="71"/>
      <c r="AIY42" s="71"/>
      <c r="AIZ42" s="71"/>
      <c r="AJA42" s="71"/>
      <c r="AJB42" s="71"/>
      <c r="AJC42" s="71"/>
      <c r="AJD42" s="71"/>
      <c r="AJE42" s="71"/>
      <c r="AJF42" s="71"/>
      <c r="AJG42" s="71"/>
      <c r="AJH42" s="71"/>
      <c r="AJI42" s="71"/>
      <c r="AJJ42" s="71"/>
      <c r="AJK42" s="71"/>
      <c r="AJL42" s="71"/>
      <c r="AJM42" s="71"/>
      <c r="AJN42" s="71"/>
      <c r="AJO42" s="71"/>
      <c r="AJP42" s="71"/>
      <c r="AJQ42" s="71"/>
      <c r="AJR42" s="71"/>
      <c r="AJS42" s="71"/>
      <c r="AJT42" s="71"/>
      <c r="AJU42" s="71"/>
      <c r="AJV42" s="71"/>
      <c r="AJW42" s="71"/>
      <c r="AJX42" s="71"/>
      <c r="AJY42" s="71"/>
      <c r="AJZ42" s="71"/>
      <c r="AKA42" s="71"/>
      <c r="AKB42" s="71"/>
      <c r="AKC42" s="71"/>
      <c r="AKD42" s="71"/>
      <c r="AKE42" s="71"/>
      <c r="AKF42" s="71"/>
      <c r="AKG42" s="71"/>
      <c r="AKH42" s="71"/>
      <c r="AKI42" s="71"/>
      <c r="AKJ42" s="71"/>
      <c r="AKK42" s="71"/>
      <c r="AKL42" s="71"/>
      <c r="AKM42" s="71"/>
      <c r="AKN42" s="71"/>
      <c r="AKO42" s="71"/>
      <c r="AKP42" s="71"/>
      <c r="AKQ42" s="71"/>
      <c r="AKR42" s="71"/>
      <c r="AKS42" s="71"/>
      <c r="AKT42" s="71"/>
      <c r="AKU42" s="71"/>
      <c r="AKV42" s="71"/>
      <c r="AKW42" s="71"/>
      <c r="AKX42" s="71"/>
      <c r="AKY42" s="71"/>
      <c r="AKZ42" s="71"/>
      <c r="ALA42" s="71"/>
      <c r="ALB42" s="71"/>
      <c r="ALC42" s="71"/>
      <c r="ALD42" s="71"/>
      <c r="ALE42" s="71"/>
      <c r="ALF42" s="71"/>
      <c r="ALG42" s="71"/>
      <c r="ALH42" s="71"/>
      <c r="ALI42" s="71"/>
      <c r="ALJ42" s="71"/>
      <c r="ALK42" s="71"/>
      <c r="ALL42" s="71"/>
      <c r="ALM42" s="71"/>
      <c r="ALN42" s="71"/>
      <c r="ALO42" s="71"/>
      <c r="ALP42" s="71"/>
      <c r="ALQ42" s="71"/>
      <c r="ALR42" s="71"/>
      <c r="ALS42" s="71"/>
      <c r="ALT42" s="71"/>
      <c r="ALU42" s="71"/>
      <c r="ALV42" s="71"/>
      <c r="ALW42" s="71"/>
      <c r="ALX42" s="71"/>
      <c r="ALY42" s="71"/>
      <c r="ALZ42" s="71"/>
      <c r="AMA42" s="71"/>
      <c r="AMB42" s="71"/>
      <c r="AMC42" s="71"/>
      <c r="AMD42" s="71"/>
      <c r="AME42" s="71"/>
      <c r="AMF42" s="71"/>
      <c r="AMG42" s="71"/>
      <c r="AMH42" s="71"/>
      <c r="AMI42" s="71"/>
      <c r="AMJ42" s="71"/>
    </row>
    <row r="43" spans="1:1024" ht="20.25" customHeight="1" thickBot="1" x14ac:dyDescent="0.25">
      <c r="A43" s="78">
        <v>32</v>
      </c>
      <c r="B43" s="77">
        <f>'Necesidades Trimestrales'!B41</f>
        <v>0</v>
      </c>
      <c r="C43" s="97" t="str">
        <f>'Necesidades Trimestrales'!E41</f>
        <v xml:space="preserve">Noradrenalina 4 mg / 4 ml </v>
      </c>
      <c r="D43" s="97"/>
      <c r="E43" s="97"/>
      <c r="F43" s="97"/>
      <c r="G43" s="97"/>
      <c r="H43" s="76" t="s">
        <v>61</v>
      </c>
      <c r="I43" s="75" t="str">
        <f>'Necesidades Trimestrales'!F41</f>
        <v>AMPOLLA</v>
      </c>
      <c r="J43" s="52">
        <f>'Necesidades Trimestrales'!H41</f>
        <v>83</v>
      </c>
      <c r="K43" s="74">
        <f>'Necesidades Trimestrales'!G41</f>
        <v>300</v>
      </c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71"/>
      <c r="NK43" s="71"/>
      <c r="NL43" s="71"/>
      <c r="NM43" s="71"/>
      <c r="NN43" s="71"/>
      <c r="NO43" s="71"/>
      <c r="NP43" s="71"/>
      <c r="NQ43" s="71"/>
      <c r="NR43" s="71"/>
      <c r="NS43" s="71"/>
      <c r="NT43" s="71"/>
      <c r="NU43" s="71"/>
      <c r="NV43" s="71"/>
      <c r="NW43" s="71"/>
      <c r="NX43" s="71"/>
      <c r="NY43" s="71"/>
      <c r="NZ43" s="71"/>
      <c r="OA43" s="71"/>
      <c r="OB43" s="71"/>
      <c r="OC43" s="71"/>
      <c r="OD43" s="71"/>
      <c r="OE43" s="71"/>
      <c r="OF43" s="71"/>
      <c r="OG43" s="71"/>
      <c r="OH43" s="71"/>
      <c r="OI43" s="71"/>
      <c r="OJ43" s="71"/>
      <c r="OK43" s="71"/>
      <c r="OL43" s="71"/>
      <c r="OM43" s="71"/>
      <c r="ON43" s="71"/>
      <c r="OO43" s="71"/>
      <c r="OP43" s="71"/>
      <c r="OQ43" s="71"/>
      <c r="OR43" s="71"/>
      <c r="OS43" s="71"/>
      <c r="OT43" s="71"/>
      <c r="OU43" s="71"/>
      <c r="OV43" s="71"/>
      <c r="OW43" s="71"/>
      <c r="OX43" s="71"/>
      <c r="OY43" s="71"/>
      <c r="OZ43" s="71"/>
      <c r="PA43" s="71"/>
      <c r="PB43" s="71"/>
      <c r="PC43" s="71"/>
      <c r="PD43" s="71"/>
      <c r="PE43" s="71"/>
      <c r="PF43" s="71"/>
      <c r="PG43" s="71"/>
      <c r="PH43" s="71"/>
      <c r="PI43" s="71"/>
      <c r="PJ43" s="71"/>
      <c r="PK43" s="71"/>
      <c r="PL43" s="71"/>
      <c r="PM43" s="71"/>
      <c r="PN43" s="71"/>
      <c r="PO43" s="71"/>
      <c r="PP43" s="71"/>
      <c r="PQ43" s="71"/>
      <c r="PR43" s="71"/>
      <c r="PS43" s="71"/>
      <c r="PT43" s="71"/>
      <c r="PU43" s="71"/>
      <c r="PV43" s="71"/>
      <c r="PW43" s="71"/>
      <c r="PX43" s="71"/>
      <c r="PY43" s="71"/>
      <c r="PZ43" s="71"/>
      <c r="QA43" s="71"/>
      <c r="QB43" s="71"/>
      <c r="QC43" s="71"/>
      <c r="QD43" s="71"/>
      <c r="QE43" s="71"/>
      <c r="QF43" s="71"/>
      <c r="QG43" s="71"/>
      <c r="QH43" s="71"/>
      <c r="QI43" s="71"/>
      <c r="QJ43" s="71"/>
      <c r="QK43" s="71"/>
      <c r="QL43" s="71"/>
      <c r="QM43" s="71"/>
      <c r="QN43" s="71"/>
      <c r="QO43" s="71"/>
      <c r="QP43" s="71"/>
      <c r="QQ43" s="71"/>
      <c r="QR43" s="71"/>
      <c r="QS43" s="71"/>
      <c r="QT43" s="71"/>
      <c r="QU43" s="71"/>
      <c r="QV43" s="71"/>
      <c r="QW43" s="71"/>
      <c r="QX43" s="71"/>
      <c r="QY43" s="71"/>
      <c r="QZ43" s="71"/>
      <c r="RA43" s="71"/>
      <c r="RB43" s="71"/>
      <c r="RC43" s="71"/>
      <c r="RD43" s="71"/>
      <c r="RE43" s="71"/>
      <c r="RF43" s="71"/>
      <c r="RG43" s="71"/>
      <c r="RH43" s="71"/>
      <c r="RI43" s="71"/>
      <c r="RJ43" s="71"/>
      <c r="RK43" s="71"/>
      <c r="RL43" s="71"/>
      <c r="RM43" s="71"/>
      <c r="RN43" s="71"/>
      <c r="RO43" s="71"/>
      <c r="RP43" s="71"/>
      <c r="RQ43" s="71"/>
      <c r="RR43" s="71"/>
      <c r="RS43" s="71"/>
      <c r="RT43" s="71"/>
      <c r="RU43" s="71"/>
      <c r="RV43" s="71"/>
      <c r="RW43" s="71"/>
      <c r="RX43" s="71"/>
      <c r="RY43" s="71"/>
      <c r="RZ43" s="71"/>
      <c r="SA43" s="71"/>
      <c r="SB43" s="71"/>
      <c r="SC43" s="71"/>
      <c r="SD43" s="71"/>
      <c r="SE43" s="71"/>
      <c r="SF43" s="71"/>
      <c r="SG43" s="71"/>
      <c r="SH43" s="71"/>
      <c r="SI43" s="71"/>
      <c r="SJ43" s="71"/>
      <c r="SK43" s="71"/>
      <c r="SL43" s="71"/>
      <c r="SM43" s="71"/>
      <c r="SN43" s="71"/>
      <c r="SO43" s="71"/>
      <c r="SP43" s="71"/>
      <c r="SQ43" s="71"/>
      <c r="SR43" s="71"/>
      <c r="SS43" s="71"/>
      <c r="ST43" s="71"/>
      <c r="SU43" s="71"/>
      <c r="SV43" s="71"/>
      <c r="SW43" s="71"/>
      <c r="SX43" s="71"/>
      <c r="SY43" s="71"/>
      <c r="SZ43" s="71"/>
      <c r="TA43" s="71"/>
      <c r="TB43" s="71"/>
      <c r="TC43" s="71"/>
      <c r="TD43" s="71"/>
      <c r="TE43" s="71"/>
      <c r="TF43" s="71"/>
      <c r="TG43" s="71"/>
      <c r="TH43" s="71"/>
      <c r="TI43" s="71"/>
      <c r="TJ43" s="71"/>
      <c r="TK43" s="71"/>
      <c r="TL43" s="71"/>
      <c r="TM43" s="71"/>
      <c r="TN43" s="71"/>
      <c r="TO43" s="71"/>
      <c r="TP43" s="71"/>
      <c r="TQ43" s="71"/>
      <c r="TR43" s="71"/>
      <c r="TS43" s="71"/>
      <c r="TT43" s="71"/>
      <c r="TU43" s="71"/>
      <c r="TV43" s="71"/>
      <c r="TW43" s="71"/>
      <c r="TX43" s="71"/>
      <c r="TY43" s="71"/>
      <c r="TZ43" s="71"/>
      <c r="UA43" s="71"/>
      <c r="UB43" s="71"/>
      <c r="UC43" s="71"/>
      <c r="UD43" s="71"/>
      <c r="UE43" s="71"/>
      <c r="UF43" s="71"/>
      <c r="UG43" s="71"/>
      <c r="UH43" s="71"/>
      <c r="UI43" s="71"/>
      <c r="UJ43" s="71"/>
      <c r="UK43" s="71"/>
      <c r="UL43" s="71"/>
      <c r="UM43" s="71"/>
      <c r="UN43" s="71"/>
      <c r="UO43" s="71"/>
      <c r="UP43" s="71"/>
      <c r="UQ43" s="71"/>
      <c r="UR43" s="71"/>
      <c r="US43" s="71"/>
      <c r="UT43" s="71"/>
      <c r="UU43" s="71"/>
      <c r="UV43" s="71"/>
      <c r="UW43" s="71"/>
      <c r="UX43" s="71"/>
      <c r="UY43" s="71"/>
      <c r="UZ43" s="71"/>
      <c r="VA43" s="71"/>
      <c r="VB43" s="71"/>
      <c r="VC43" s="71"/>
      <c r="VD43" s="71"/>
      <c r="VE43" s="71"/>
      <c r="VF43" s="71"/>
      <c r="VG43" s="71"/>
      <c r="VH43" s="71"/>
      <c r="VI43" s="71"/>
      <c r="VJ43" s="71"/>
      <c r="VK43" s="71"/>
      <c r="VL43" s="71"/>
      <c r="VM43" s="71"/>
      <c r="VN43" s="71"/>
      <c r="VO43" s="71"/>
      <c r="VP43" s="71"/>
      <c r="VQ43" s="71"/>
      <c r="VR43" s="71"/>
      <c r="VS43" s="71"/>
      <c r="VT43" s="71"/>
      <c r="VU43" s="71"/>
      <c r="VV43" s="71"/>
      <c r="VW43" s="71"/>
      <c r="VX43" s="71"/>
      <c r="VY43" s="71"/>
      <c r="VZ43" s="71"/>
      <c r="WA43" s="71"/>
      <c r="WB43" s="71"/>
      <c r="WC43" s="71"/>
      <c r="WD43" s="71"/>
      <c r="WE43" s="71"/>
      <c r="WF43" s="71"/>
      <c r="WG43" s="71"/>
      <c r="WH43" s="71"/>
      <c r="WI43" s="71"/>
      <c r="WJ43" s="71"/>
      <c r="WK43" s="71"/>
      <c r="WL43" s="71"/>
      <c r="WM43" s="71"/>
      <c r="WN43" s="71"/>
      <c r="WO43" s="71"/>
      <c r="WP43" s="71"/>
      <c r="WQ43" s="71"/>
      <c r="WR43" s="71"/>
      <c r="WS43" s="71"/>
      <c r="WT43" s="71"/>
      <c r="WU43" s="71"/>
      <c r="WV43" s="71"/>
      <c r="WW43" s="71"/>
      <c r="WX43" s="71"/>
      <c r="WY43" s="71"/>
      <c r="WZ43" s="71"/>
      <c r="XA43" s="71"/>
      <c r="XB43" s="71"/>
      <c r="XC43" s="71"/>
      <c r="XD43" s="71"/>
      <c r="XE43" s="71"/>
      <c r="XF43" s="71"/>
      <c r="XG43" s="71"/>
      <c r="XH43" s="71"/>
      <c r="XI43" s="71"/>
      <c r="XJ43" s="71"/>
      <c r="XK43" s="71"/>
      <c r="XL43" s="71"/>
      <c r="XM43" s="71"/>
      <c r="XN43" s="71"/>
      <c r="XO43" s="71"/>
      <c r="XP43" s="71"/>
      <c r="XQ43" s="71"/>
      <c r="XR43" s="71"/>
      <c r="XS43" s="71"/>
      <c r="XT43" s="71"/>
      <c r="XU43" s="71"/>
      <c r="XV43" s="71"/>
      <c r="XW43" s="71"/>
      <c r="XX43" s="71"/>
      <c r="XY43" s="71"/>
      <c r="XZ43" s="71"/>
      <c r="YA43" s="71"/>
      <c r="YB43" s="71"/>
      <c r="YC43" s="71"/>
      <c r="YD43" s="71"/>
      <c r="YE43" s="71"/>
      <c r="YF43" s="71"/>
      <c r="YG43" s="71"/>
      <c r="YH43" s="71"/>
      <c r="YI43" s="71"/>
      <c r="YJ43" s="71"/>
      <c r="YK43" s="71"/>
      <c r="YL43" s="71"/>
      <c r="YM43" s="71"/>
      <c r="YN43" s="71"/>
      <c r="YO43" s="71"/>
      <c r="YP43" s="71"/>
      <c r="YQ43" s="71"/>
      <c r="YR43" s="71"/>
      <c r="YS43" s="71"/>
      <c r="YT43" s="71"/>
      <c r="YU43" s="71"/>
      <c r="YV43" s="71"/>
      <c r="YW43" s="71"/>
      <c r="YX43" s="71"/>
      <c r="YY43" s="71"/>
      <c r="YZ43" s="71"/>
      <c r="ZA43" s="71"/>
      <c r="ZB43" s="71"/>
      <c r="ZC43" s="71"/>
      <c r="ZD43" s="71"/>
      <c r="ZE43" s="71"/>
      <c r="ZF43" s="71"/>
      <c r="ZG43" s="71"/>
      <c r="ZH43" s="71"/>
      <c r="ZI43" s="71"/>
      <c r="ZJ43" s="71"/>
      <c r="ZK43" s="71"/>
      <c r="ZL43" s="71"/>
      <c r="ZM43" s="71"/>
      <c r="ZN43" s="71"/>
      <c r="ZO43" s="71"/>
      <c r="ZP43" s="71"/>
      <c r="ZQ43" s="71"/>
      <c r="ZR43" s="71"/>
      <c r="ZS43" s="71"/>
      <c r="ZT43" s="71"/>
      <c r="ZU43" s="71"/>
      <c r="ZV43" s="71"/>
      <c r="ZW43" s="71"/>
      <c r="ZX43" s="71"/>
      <c r="ZY43" s="71"/>
      <c r="ZZ43" s="71"/>
      <c r="AAA43" s="71"/>
      <c r="AAB43" s="71"/>
      <c r="AAC43" s="71"/>
      <c r="AAD43" s="71"/>
      <c r="AAE43" s="71"/>
      <c r="AAF43" s="71"/>
      <c r="AAG43" s="71"/>
      <c r="AAH43" s="71"/>
      <c r="AAI43" s="71"/>
      <c r="AAJ43" s="71"/>
      <c r="AAK43" s="71"/>
      <c r="AAL43" s="71"/>
      <c r="AAM43" s="71"/>
      <c r="AAN43" s="71"/>
      <c r="AAO43" s="71"/>
      <c r="AAP43" s="71"/>
      <c r="AAQ43" s="71"/>
      <c r="AAR43" s="71"/>
      <c r="AAS43" s="71"/>
      <c r="AAT43" s="71"/>
      <c r="AAU43" s="71"/>
      <c r="AAV43" s="71"/>
      <c r="AAW43" s="71"/>
      <c r="AAX43" s="71"/>
      <c r="AAY43" s="71"/>
      <c r="AAZ43" s="71"/>
      <c r="ABA43" s="71"/>
      <c r="ABB43" s="71"/>
      <c r="ABC43" s="71"/>
      <c r="ABD43" s="71"/>
      <c r="ABE43" s="71"/>
      <c r="ABF43" s="71"/>
      <c r="ABG43" s="71"/>
      <c r="ABH43" s="71"/>
      <c r="ABI43" s="71"/>
      <c r="ABJ43" s="71"/>
      <c r="ABK43" s="71"/>
      <c r="ABL43" s="71"/>
      <c r="ABM43" s="71"/>
      <c r="ABN43" s="71"/>
      <c r="ABO43" s="71"/>
      <c r="ABP43" s="71"/>
      <c r="ABQ43" s="71"/>
      <c r="ABR43" s="71"/>
      <c r="ABS43" s="71"/>
      <c r="ABT43" s="71"/>
      <c r="ABU43" s="71"/>
      <c r="ABV43" s="71"/>
      <c r="ABW43" s="71"/>
      <c r="ABX43" s="71"/>
      <c r="ABY43" s="71"/>
      <c r="ABZ43" s="71"/>
      <c r="ACA43" s="71"/>
      <c r="ACB43" s="71"/>
      <c r="ACC43" s="71"/>
      <c r="ACD43" s="71"/>
      <c r="ACE43" s="71"/>
      <c r="ACF43" s="71"/>
      <c r="ACG43" s="71"/>
      <c r="ACH43" s="71"/>
      <c r="ACI43" s="71"/>
      <c r="ACJ43" s="71"/>
      <c r="ACK43" s="71"/>
      <c r="ACL43" s="71"/>
      <c r="ACM43" s="71"/>
      <c r="ACN43" s="71"/>
      <c r="ACO43" s="71"/>
      <c r="ACP43" s="71"/>
      <c r="ACQ43" s="71"/>
      <c r="ACR43" s="71"/>
      <c r="ACS43" s="71"/>
      <c r="ACT43" s="71"/>
      <c r="ACU43" s="71"/>
      <c r="ACV43" s="71"/>
      <c r="ACW43" s="71"/>
      <c r="ACX43" s="71"/>
      <c r="ACY43" s="71"/>
      <c r="ACZ43" s="71"/>
      <c r="ADA43" s="71"/>
      <c r="ADB43" s="71"/>
      <c r="ADC43" s="71"/>
      <c r="ADD43" s="71"/>
      <c r="ADE43" s="71"/>
      <c r="ADF43" s="71"/>
      <c r="ADG43" s="71"/>
      <c r="ADH43" s="71"/>
      <c r="ADI43" s="71"/>
      <c r="ADJ43" s="71"/>
      <c r="ADK43" s="71"/>
      <c r="ADL43" s="71"/>
      <c r="ADM43" s="71"/>
      <c r="ADN43" s="71"/>
      <c r="ADO43" s="71"/>
      <c r="ADP43" s="71"/>
      <c r="ADQ43" s="71"/>
      <c r="ADR43" s="71"/>
      <c r="ADS43" s="71"/>
      <c r="ADT43" s="71"/>
      <c r="ADU43" s="71"/>
      <c r="ADV43" s="71"/>
      <c r="ADW43" s="71"/>
      <c r="ADX43" s="71"/>
      <c r="ADY43" s="71"/>
      <c r="ADZ43" s="71"/>
      <c r="AEA43" s="71"/>
      <c r="AEB43" s="71"/>
      <c r="AEC43" s="71"/>
      <c r="AED43" s="71"/>
      <c r="AEE43" s="71"/>
      <c r="AEF43" s="71"/>
      <c r="AEG43" s="71"/>
      <c r="AEH43" s="71"/>
      <c r="AEI43" s="71"/>
      <c r="AEJ43" s="71"/>
      <c r="AEK43" s="71"/>
      <c r="AEL43" s="71"/>
      <c r="AEM43" s="71"/>
      <c r="AEN43" s="71"/>
      <c r="AEO43" s="71"/>
      <c r="AEP43" s="71"/>
      <c r="AEQ43" s="71"/>
      <c r="AER43" s="71"/>
      <c r="AES43" s="71"/>
      <c r="AET43" s="71"/>
      <c r="AEU43" s="71"/>
      <c r="AEV43" s="71"/>
      <c r="AEW43" s="71"/>
      <c r="AEX43" s="71"/>
      <c r="AEY43" s="71"/>
      <c r="AEZ43" s="71"/>
      <c r="AFA43" s="71"/>
      <c r="AFB43" s="71"/>
      <c r="AFC43" s="71"/>
      <c r="AFD43" s="71"/>
      <c r="AFE43" s="71"/>
      <c r="AFF43" s="71"/>
      <c r="AFG43" s="71"/>
      <c r="AFH43" s="71"/>
      <c r="AFI43" s="71"/>
      <c r="AFJ43" s="71"/>
      <c r="AFK43" s="71"/>
      <c r="AFL43" s="71"/>
      <c r="AFM43" s="71"/>
      <c r="AFN43" s="71"/>
      <c r="AFO43" s="71"/>
      <c r="AFP43" s="71"/>
      <c r="AFQ43" s="71"/>
      <c r="AFR43" s="71"/>
      <c r="AFS43" s="71"/>
      <c r="AFT43" s="71"/>
      <c r="AFU43" s="71"/>
      <c r="AFV43" s="71"/>
      <c r="AFW43" s="71"/>
      <c r="AFX43" s="71"/>
      <c r="AFY43" s="71"/>
      <c r="AFZ43" s="71"/>
      <c r="AGA43" s="71"/>
      <c r="AGB43" s="71"/>
      <c r="AGC43" s="71"/>
      <c r="AGD43" s="71"/>
      <c r="AGE43" s="71"/>
      <c r="AGF43" s="71"/>
      <c r="AGG43" s="71"/>
      <c r="AGH43" s="71"/>
      <c r="AGI43" s="71"/>
      <c r="AGJ43" s="71"/>
      <c r="AGK43" s="71"/>
      <c r="AGL43" s="71"/>
      <c r="AGM43" s="71"/>
      <c r="AGN43" s="71"/>
      <c r="AGO43" s="71"/>
      <c r="AGP43" s="71"/>
      <c r="AGQ43" s="71"/>
      <c r="AGR43" s="71"/>
      <c r="AGS43" s="71"/>
      <c r="AGT43" s="71"/>
      <c r="AGU43" s="71"/>
      <c r="AGV43" s="71"/>
      <c r="AGW43" s="71"/>
      <c r="AGX43" s="71"/>
      <c r="AGY43" s="71"/>
      <c r="AGZ43" s="71"/>
      <c r="AHA43" s="71"/>
      <c r="AHB43" s="71"/>
      <c r="AHC43" s="71"/>
      <c r="AHD43" s="71"/>
      <c r="AHE43" s="71"/>
      <c r="AHF43" s="71"/>
      <c r="AHG43" s="71"/>
      <c r="AHH43" s="71"/>
      <c r="AHI43" s="71"/>
      <c r="AHJ43" s="71"/>
      <c r="AHK43" s="71"/>
      <c r="AHL43" s="71"/>
      <c r="AHM43" s="71"/>
      <c r="AHN43" s="71"/>
      <c r="AHO43" s="71"/>
      <c r="AHP43" s="71"/>
      <c r="AHQ43" s="71"/>
      <c r="AHR43" s="71"/>
      <c r="AHS43" s="71"/>
      <c r="AHT43" s="71"/>
      <c r="AHU43" s="71"/>
      <c r="AHV43" s="71"/>
      <c r="AHW43" s="71"/>
      <c r="AHX43" s="71"/>
      <c r="AHY43" s="71"/>
      <c r="AHZ43" s="71"/>
      <c r="AIA43" s="71"/>
      <c r="AIB43" s="71"/>
      <c r="AIC43" s="71"/>
      <c r="AID43" s="71"/>
      <c r="AIE43" s="71"/>
      <c r="AIF43" s="71"/>
      <c r="AIG43" s="71"/>
      <c r="AIH43" s="71"/>
      <c r="AII43" s="71"/>
      <c r="AIJ43" s="71"/>
      <c r="AIK43" s="71"/>
      <c r="AIL43" s="71"/>
      <c r="AIM43" s="71"/>
      <c r="AIN43" s="71"/>
      <c r="AIO43" s="71"/>
      <c r="AIP43" s="71"/>
      <c r="AIQ43" s="71"/>
      <c r="AIR43" s="71"/>
      <c r="AIS43" s="71"/>
      <c r="AIT43" s="71"/>
      <c r="AIU43" s="71"/>
      <c r="AIV43" s="71"/>
      <c r="AIW43" s="71"/>
      <c r="AIX43" s="71"/>
      <c r="AIY43" s="71"/>
      <c r="AIZ43" s="71"/>
      <c r="AJA43" s="71"/>
      <c r="AJB43" s="71"/>
      <c r="AJC43" s="71"/>
      <c r="AJD43" s="71"/>
      <c r="AJE43" s="71"/>
      <c r="AJF43" s="71"/>
      <c r="AJG43" s="71"/>
      <c r="AJH43" s="71"/>
      <c r="AJI43" s="71"/>
      <c r="AJJ43" s="71"/>
      <c r="AJK43" s="71"/>
      <c r="AJL43" s="71"/>
      <c r="AJM43" s="71"/>
      <c r="AJN43" s="71"/>
      <c r="AJO43" s="71"/>
      <c r="AJP43" s="71"/>
      <c r="AJQ43" s="71"/>
      <c r="AJR43" s="71"/>
      <c r="AJS43" s="71"/>
      <c r="AJT43" s="71"/>
      <c r="AJU43" s="71"/>
      <c r="AJV43" s="71"/>
      <c r="AJW43" s="71"/>
      <c r="AJX43" s="71"/>
      <c r="AJY43" s="71"/>
      <c r="AJZ43" s="71"/>
      <c r="AKA43" s="71"/>
      <c r="AKB43" s="71"/>
      <c r="AKC43" s="71"/>
      <c r="AKD43" s="71"/>
      <c r="AKE43" s="71"/>
      <c r="AKF43" s="71"/>
      <c r="AKG43" s="71"/>
      <c r="AKH43" s="71"/>
      <c r="AKI43" s="71"/>
      <c r="AKJ43" s="71"/>
      <c r="AKK43" s="71"/>
      <c r="AKL43" s="71"/>
      <c r="AKM43" s="71"/>
      <c r="AKN43" s="71"/>
      <c r="AKO43" s="71"/>
      <c r="AKP43" s="71"/>
      <c r="AKQ43" s="71"/>
      <c r="AKR43" s="71"/>
      <c r="AKS43" s="71"/>
      <c r="AKT43" s="71"/>
      <c r="AKU43" s="71"/>
      <c r="AKV43" s="71"/>
      <c r="AKW43" s="71"/>
      <c r="AKX43" s="71"/>
      <c r="AKY43" s="71"/>
      <c r="AKZ43" s="71"/>
      <c r="ALA43" s="71"/>
      <c r="ALB43" s="71"/>
      <c r="ALC43" s="71"/>
      <c r="ALD43" s="71"/>
      <c r="ALE43" s="71"/>
      <c r="ALF43" s="71"/>
      <c r="ALG43" s="71"/>
      <c r="ALH43" s="71"/>
      <c r="ALI43" s="71"/>
      <c r="ALJ43" s="71"/>
      <c r="ALK43" s="71"/>
      <c r="ALL43" s="71"/>
      <c r="ALM43" s="71"/>
      <c r="ALN43" s="71"/>
      <c r="ALO43" s="71"/>
      <c r="ALP43" s="71"/>
      <c r="ALQ43" s="71"/>
      <c r="ALR43" s="71"/>
      <c r="ALS43" s="71"/>
      <c r="ALT43" s="71"/>
      <c r="ALU43" s="71"/>
      <c r="ALV43" s="71"/>
      <c r="ALW43" s="71"/>
      <c r="ALX43" s="71"/>
      <c r="ALY43" s="71"/>
      <c r="ALZ43" s="71"/>
      <c r="AMA43" s="71"/>
      <c r="AMB43" s="71"/>
      <c r="AMC43" s="71"/>
      <c r="AMD43" s="71"/>
      <c r="AME43" s="71"/>
      <c r="AMF43" s="71"/>
      <c r="AMG43" s="71"/>
      <c r="AMH43" s="71"/>
      <c r="AMI43" s="71"/>
      <c r="AMJ43" s="71"/>
    </row>
    <row r="44" spans="1:1024" ht="20.25" customHeight="1" thickBot="1" x14ac:dyDescent="0.25">
      <c r="A44" s="78">
        <v>33</v>
      </c>
      <c r="B44" s="77">
        <f>'Necesidades Trimestrales'!B42</f>
        <v>0</v>
      </c>
      <c r="C44" s="97" t="str">
        <f>'Necesidades Trimestrales'!E42</f>
        <v>Lidocaina 1 % c/ Epinefrina x 20 Ml.</v>
      </c>
      <c r="D44" s="97"/>
      <c r="E44" s="97"/>
      <c r="F44" s="97"/>
      <c r="G44" s="97"/>
      <c r="H44" s="76" t="s">
        <v>61</v>
      </c>
      <c r="I44" s="75" t="str">
        <f>'Necesidades Trimestrales'!F42</f>
        <v>FRASCO AMPOLLA</v>
      </c>
      <c r="J44" s="52">
        <f>'Necesidades Trimestrales'!H42</f>
        <v>300</v>
      </c>
      <c r="K44" s="74">
        <f>'Necesidades Trimestrales'!G42</f>
        <v>50</v>
      </c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1"/>
      <c r="NO44" s="71"/>
      <c r="NP44" s="71"/>
      <c r="NQ44" s="71"/>
      <c r="NR44" s="71"/>
      <c r="NS44" s="71"/>
      <c r="NT44" s="71"/>
      <c r="NU44" s="71"/>
      <c r="NV44" s="71"/>
      <c r="NW44" s="71"/>
      <c r="NX44" s="71"/>
      <c r="NY44" s="71"/>
      <c r="NZ44" s="71"/>
      <c r="OA44" s="71"/>
      <c r="OB44" s="71"/>
      <c r="OC44" s="71"/>
      <c r="OD44" s="71"/>
      <c r="OE44" s="71"/>
      <c r="OF44" s="71"/>
      <c r="OG44" s="71"/>
      <c r="OH44" s="71"/>
      <c r="OI44" s="71"/>
      <c r="OJ44" s="71"/>
      <c r="OK44" s="71"/>
      <c r="OL44" s="71"/>
      <c r="OM44" s="71"/>
      <c r="ON44" s="71"/>
      <c r="OO44" s="71"/>
      <c r="OP44" s="71"/>
      <c r="OQ44" s="71"/>
      <c r="OR44" s="71"/>
      <c r="OS44" s="71"/>
      <c r="OT44" s="71"/>
      <c r="OU44" s="71"/>
      <c r="OV44" s="71"/>
      <c r="OW44" s="71"/>
      <c r="OX44" s="71"/>
      <c r="OY44" s="71"/>
      <c r="OZ44" s="71"/>
      <c r="PA44" s="71"/>
      <c r="PB44" s="71"/>
      <c r="PC44" s="71"/>
      <c r="PD44" s="71"/>
      <c r="PE44" s="71"/>
      <c r="PF44" s="71"/>
      <c r="PG44" s="71"/>
      <c r="PH44" s="71"/>
      <c r="PI44" s="71"/>
      <c r="PJ44" s="71"/>
      <c r="PK44" s="71"/>
      <c r="PL44" s="71"/>
      <c r="PM44" s="71"/>
      <c r="PN44" s="71"/>
      <c r="PO44" s="71"/>
      <c r="PP44" s="71"/>
      <c r="PQ44" s="71"/>
      <c r="PR44" s="71"/>
      <c r="PS44" s="71"/>
      <c r="PT44" s="71"/>
      <c r="PU44" s="71"/>
      <c r="PV44" s="71"/>
      <c r="PW44" s="71"/>
      <c r="PX44" s="71"/>
      <c r="PY44" s="71"/>
      <c r="PZ44" s="71"/>
      <c r="QA44" s="71"/>
      <c r="QB44" s="71"/>
      <c r="QC44" s="71"/>
      <c r="QD44" s="71"/>
      <c r="QE44" s="71"/>
      <c r="QF44" s="71"/>
      <c r="QG44" s="71"/>
      <c r="QH44" s="71"/>
      <c r="QI44" s="71"/>
      <c r="QJ44" s="71"/>
      <c r="QK44" s="71"/>
      <c r="QL44" s="71"/>
      <c r="QM44" s="71"/>
      <c r="QN44" s="71"/>
      <c r="QO44" s="71"/>
      <c r="QP44" s="71"/>
      <c r="QQ44" s="71"/>
      <c r="QR44" s="71"/>
      <c r="QS44" s="71"/>
      <c r="QT44" s="71"/>
      <c r="QU44" s="71"/>
      <c r="QV44" s="71"/>
      <c r="QW44" s="71"/>
      <c r="QX44" s="71"/>
      <c r="QY44" s="71"/>
      <c r="QZ44" s="71"/>
      <c r="RA44" s="71"/>
      <c r="RB44" s="71"/>
      <c r="RC44" s="71"/>
      <c r="RD44" s="71"/>
      <c r="RE44" s="71"/>
      <c r="RF44" s="71"/>
      <c r="RG44" s="71"/>
      <c r="RH44" s="71"/>
      <c r="RI44" s="71"/>
      <c r="RJ44" s="71"/>
      <c r="RK44" s="71"/>
      <c r="RL44" s="71"/>
      <c r="RM44" s="71"/>
      <c r="RN44" s="71"/>
      <c r="RO44" s="71"/>
      <c r="RP44" s="71"/>
      <c r="RQ44" s="71"/>
      <c r="RR44" s="71"/>
      <c r="RS44" s="71"/>
      <c r="RT44" s="71"/>
      <c r="RU44" s="71"/>
      <c r="RV44" s="71"/>
      <c r="RW44" s="71"/>
      <c r="RX44" s="71"/>
      <c r="RY44" s="71"/>
      <c r="RZ44" s="71"/>
      <c r="SA44" s="71"/>
      <c r="SB44" s="71"/>
      <c r="SC44" s="71"/>
      <c r="SD44" s="71"/>
      <c r="SE44" s="71"/>
      <c r="SF44" s="71"/>
      <c r="SG44" s="71"/>
      <c r="SH44" s="71"/>
      <c r="SI44" s="71"/>
      <c r="SJ44" s="71"/>
      <c r="SK44" s="71"/>
      <c r="SL44" s="71"/>
      <c r="SM44" s="71"/>
      <c r="SN44" s="71"/>
      <c r="SO44" s="71"/>
      <c r="SP44" s="71"/>
      <c r="SQ44" s="71"/>
      <c r="SR44" s="71"/>
      <c r="SS44" s="71"/>
      <c r="ST44" s="71"/>
      <c r="SU44" s="71"/>
      <c r="SV44" s="71"/>
      <c r="SW44" s="71"/>
      <c r="SX44" s="71"/>
      <c r="SY44" s="71"/>
      <c r="SZ44" s="71"/>
      <c r="TA44" s="71"/>
      <c r="TB44" s="71"/>
      <c r="TC44" s="71"/>
      <c r="TD44" s="71"/>
      <c r="TE44" s="71"/>
      <c r="TF44" s="71"/>
      <c r="TG44" s="71"/>
      <c r="TH44" s="71"/>
      <c r="TI44" s="71"/>
      <c r="TJ44" s="71"/>
      <c r="TK44" s="71"/>
      <c r="TL44" s="71"/>
      <c r="TM44" s="71"/>
      <c r="TN44" s="71"/>
      <c r="TO44" s="71"/>
      <c r="TP44" s="71"/>
      <c r="TQ44" s="71"/>
      <c r="TR44" s="71"/>
      <c r="TS44" s="71"/>
      <c r="TT44" s="71"/>
      <c r="TU44" s="71"/>
      <c r="TV44" s="71"/>
      <c r="TW44" s="71"/>
      <c r="TX44" s="71"/>
      <c r="TY44" s="71"/>
      <c r="TZ44" s="71"/>
      <c r="UA44" s="71"/>
      <c r="UB44" s="71"/>
      <c r="UC44" s="71"/>
      <c r="UD44" s="71"/>
      <c r="UE44" s="71"/>
      <c r="UF44" s="71"/>
      <c r="UG44" s="71"/>
      <c r="UH44" s="71"/>
      <c r="UI44" s="71"/>
      <c r="UJ44" s="71"/>
      <c r="UK44" s="71"/>
      <c r="UL44" s="71"/>
      <c r="UM44" s="71"/>
      <c r="UN44" s="71"/>
      <c r="UO44" s="71"/>
      <c r="UP44" s="71"/>
      <c r="UQ44" s="71"/>
      <c r="UR44" s="71"/>
      <c r="US44" s="71"/>
      <c r="UT44" s="71"/>
      <c r="UU44" s="71"/>
      <c r="UV44" s="71"/>
      <c r="UW44" s="71"/>
      <c r="UX44" s="71"/>
      <c r="UY44" s="71"/>
      <c r="UZ44" s="71"/>
      <c r="VA44" s="71"/>
      <c r="VB44" s="71"/>
      <c r="VC44" s="71"/>
      <c r="VD44" s="71"/>
      <c r="VE44" s="71"/>
      <c r="VF44" s="71"/>
      <c r="VG44" s="71"/>
      <c r="VH44" s="71"/>
      <c r="VI44" s="71"/>
      <c r="VJ44" s="71"/>
      <c r="VK44" s="71"/>
      <c r="VL44" s="71"/>
      <c r="VM44" s="71"/>
      <c r="VN44" s="71"/>
      <c r="VO44" s="71"/>
      <c r="VP44" s="71"/>
      <c r="VQ44" s="71"/>
      <c r="VR44" s="71"/>
      <c r="VS44" s="71"/>
      <c r="VT44" s="71"/>
      <c r="VU44" s="71"/>
      <c r="VV44" s="71"/>
      <c r="VW44" s="71"/>
      <c r="VX44" s="71"/>
      <c r="VY44" s="71"/>
      <c r="VZ44" s="71"/>
      <c r="WA44" s="71"/>
      <c r="WB44" s="71"/>
      <c r="WC44" s="71"/>
      <c r="WD44" s="71"/>
      <c r="WE44" s="71"/>
      <c r="WF44" s="71"/>
      <c r="WG44" s="71"/>
      <c r="WH44" s="71"/>
      <c r="WI44" s="71"/>
      <c r="WJ44" s="71"/>
      <c r="WK44" s="71"/>
      <c r="WL44" s="71"/>
      <c r="WM44" s="71"/>
      <c r="WN44" s="71"/>
      <c r="WO44" s="71"/>
      <c r="WP44" s="71"/>
      <c r="WQ44" s="71"/>
      <c r="WR44" s="71"/>
      <c r="WS44" s="71"/>
      <c r="WT44" s="71"/>
      <c r="WU44" s="71"/>
      <c r="WV44" s="71"/>
      <c r="WW44" s="71"/>
      <c r="WX44" s="71"/>
      <c r="WY44" s="71"/>
      <c r="WZ44" s="71"/>
      <c r="XA44" s="71"/>
      <c r="XB44" s="71"/>
      <c r="XC44" s="71"/>
      <c r="XD44" s="71"/>
      <c r="XE44" s="71"/>
      <c r="XF44" s="71"/>
      <c r="XG44" s="71"/>
      <c r="XH44" s="71"/>
      <c r="XI44" s="71"/>
      <c r="XJ44" s="71"/>
      <c r="XK44" s="71"/>
      <c r="XL44" s="71"/>
      <c r="XM44" s="71"/>
      <c r="XN44" s="71"/>
      <c r="XO44" s="71"/>
      <c r="XP44" s="71"/>
      <c r="XQ44" s="71"/>
      <c r="XR44" s="71"/>
      <c r="XS44" s="71"/>
      <c r="XT44" s="71"/>
      <c r="XU44" s="71"/>
      <c r="XV44" s="71"/>
      <c r="XW44" s="71"/>
      <c r="XX44" s="71"/>
      <c r="XY44" s="71"/>
      <c r="XZ44" s="71"/>
      <c r="YA44" s="71"/>
      <c r="YB44" s="71"/>
      <c r="YC44" s="71"/>
      <c r="YD44" s="71"/>
      <c r="YE44" s="71"/>
      <c r="YF44" s="71"/>
      <c r="YG44" s="71"/>
      <c r="YH44" s="71"/>
      <c r="YI44" s="71"/>
      <c r="YJ44" s="71"/>
      <c r="YK44" s="71"/>
      <c r="YL44" s="71"/>
      <c r="YM44" s="71"/>
      <c r="YN44" s="71"/>
      <c r="YO44" s="71"/>
      <c r="YP44" s="71"/>
      <c r="YQ44" s="71"/>
      <c r="YR44" s="71"/>
      <c r="YS44" s="71"/>
      <c r="YT44" s="71"/>
      <c r="YU44" s="71"/>
      <c r="YV44" s="71"/>
      <c r="YW44" s="71"/>
      <c r="YX44" s="71"/>
      <c r="YY44" s="71"/>
      <c r="YZ44" s="71"/>
      <c r="ZA44" s="71"/>
      <c r="ZB44" s="71"/>
      <c r="ZC44" s="71"/>
      <c r="ZD44" s="71"/>
      <c r="ZE44" s="71"/>
      <c r="ZF44" s="71"/>
      <c r="ZG44" s="71"/>
      <c r="ZH44" s="71"/>
      <c r="ZI44" s="71"/>
      <c r="ZJ44" s="71"/>
      <c r="ZK44" s="71"/>
      <c r="ZL44" s="71"/>
      <c r="ZM44" s="71"/>
      <c r="ZN44" s="71"/>
      <c r="ZO44" s="71"/>
      <c r="ZP44" s="71"/>
      <c r="ZQ44" s="71"/>
      <c r="ZR44" s="71"/>
      <c r="ZS44" s="71"/>
      <c r="ZT44" s="71"/>
      <c r="ZU44" s="71"/>
      <c r="ZV44" s="71"/>
      <c r="ZW44" s="71"/>
      <c r="ZX44" s="71"/>
      <c r="ZY44" s="71"/>
      <c r="ZZ44" s="71"/>
      <c r="AAA44" s="71"/>
      <c r="AAB44" s="71"/>
      <c r="AAC44" s="71"/>
      <c r="AAD44" s="71"/>
      <c r="AAE44" s="71"/>
      <c r="AAF44" s="71"/>
      <c r="AAG44" s="71"/>
      <c r="AAH44" s="71"/>
      <c r="AAI44" s="71"/>
      <c r="AAJ44" s="71"/>
      <c r="AAK44" s="71"/>
      <c r="AAL44" s="71"/>
      <c r="AAM44" s="71"/>
      <c r="AAN44" s="71"/>
      <c r="AAO44" s="71"/>
      <c r="AAP44" s="71"/>
      <c r="AAQ44" s="71"/>
      <c r="AAR44" s="71"/>
      <c r="AAS44" s="71"/>
      <c r="AAT44" s="71"/>
      <c r="AAU44" s="71"/>
      <c r="AAV44" s="71"/>
      <c r="AAW44" s="71"/>
      <c r="AAX44" s="71"/>
      <c r="AAY44" s="71"/>
      <c r="AAZ44" s="71"/>
      <c r="ABA44" s="71"/>
      <c r="ABB44" s="71"/>
      <c r="ABC44" s="71"/>
      <c r="ABD44" s="71"/>
      <c r="ABE44" s="71"/>
      <c r="ABF44" s="71"/>
      <c r="ABG44" s="71"/>
      <c r="ABH44" s="71"/>
      <c r="ABI44" s="71"/>
      <c r="ABJ44" s="71"/>
      <c r="ABK44" s="71"/>
      <c r="ABL44" s="71"/>
      <c r="ABM44" s="71"/>
      <c r="ABN44" s="71"/>
      <c r="ABO44" s="71"/>
      <c r="ABP44" s="71"/>
      <c r="ABQ44" s="71"/>
      <c r="ABR44" s="71"/>
      <c r="ABS44" s="71"/>
      <c r="ABT44" s="71"/>
      <c r="ABU44" s="71"/>
      <c r="ABV44" s="71"/>
      <c r="ABW44" s="71"/>
      <c r="ABX44" s="71"/>
      <c r="ABY44" s="71"/>
      <c r="ABZ44" s="71"/>
      <c r="ACA44" s="71"/>
      <c r="ACB44" s="71"/>
      <c r="ACC44" s="71"/>
      <c r="ACD44" s="71"/>
      <c r="ACE44" s="71"/>
      <c r="ACF44" s="71"/>
      <c r="ACG44" s="71"/>
      <c r="ACH44" s="71"/>
      <c r="ACI44" s="71"/>
      <c r="ACJ44" s="71"/>
      <c r="ACK44" s="71"/>
      <c r="ACL44" s="71"/>
      <c r="ACM44" s="71"/>
      <c r="ACN44" s="71"/>
      <c r="ACO44" s="71"/>
      <c r="ACP44" s="71"/>
      <c r="ACQ44" s="71"/>
      <c r="ACR44" s="71"/>
      <c r="ACS44" s="71"/>
      <c r="ACT44" s="71"/>
      <c r="ACU44" s="71"/>
      <c r="ACV44" s="71"/>
      <c r="ACW44" s="71"/>
      <c r="ACX44" s="71"/>
      <c r="ACY44" s="71"/>
      <c r="ACZ44" s="71"/>
      <c r="ADA44" s="71"/>
      <c r="ADB44" s="71"/>
      <c r="ADC44" s="71"/>
      <c r="ADD44" s="71"/>
      <c r="ADE44" s="71"/>
      <c r="ADF44" s="71"/>
      <c r="ADG44" s="71"/>
      <c r="ADH44" s="71"/>
      <c r="ADI44" s="71"/>
      <c r="ADJ44" s="71"/>
      <c r="ADK44" s="71"/>
      <c r="ADL44" s="71"/>
      <c r="ADM44" s="71"/>
      <c r="ADN44" s="71"/>
      <c r="ADO44" s="71"/>
      <c r="ADP44" s="71"/>
      <c r="ADQ44" s="71"/>
      <c r="ADR44" s="71"/>
      <c r="ADS44" s="71"/>
      <c r="ADT44" s="71"/>
      <c r="ADU44" s="71"/>
      <c r="ADV44" s="71"/>
      <c r="ADW44" s="71"/>
      <c r="ADX44" s="71"/>
      <c r="ADY44" s="71"/>
      <c r="ADZ44" s="71"/>
      <c r="AEA44" s="71"/>
      <c r="AEB44" s="71"/>
      <c r="AEC44" s="71"/>
      <c r="AED44" s="71"/>
      <c r="AEE44" s="71"/>
      <c r="AEF44" s="71"/>
      <c r="AEG44" s="71"/>
      <c r="AEH44" s="71"/>
      <c r="AEI44" s="71"/>
      <c r="AEJ44" s="71"/>
      <c r="AEK44" s="71"/>
      <c r="AEL44" s="71"/>
      <c r="AEM44" s="71"/>
      <c r="AEN44" s="71"/>
      <c r="AEO44" s="71"/>
      <c r="AEP44" s="71"/>
      <c r="AEQ44" s="71"/>
      <c r="AER44" s="71"/>
      <c r="AES44" s="71"/>
      <c r="AET44" s="71"/>
      <c r="AEU44" s="71"/>
      <c r="AEV44" s="71"/>
      <c r="AEW44" s="71"/>
      <c r="AEX44" s="71"/>
      <c r="AEY44" s="71"/>
      <c r="AEZ44" s="71"/>
      <c r="AFA44" s="71"/>
      <c r="AFB44" s="71"/>
      <c r="AFC44" s="71"/>
      <c r="AFD44" s="71"/>
      <c r="AFE44" s="71"/>
      <c r="AFF44" s="71"/>
      <c r="AFG44" s="71"/>
      <c r="AFH44" s="71"/>
      <c r="AFI44" s="71"/>
      <c r="AFJ44" s="71"/>
      <c r="AFK44" s="71"/>
      <c r="AFL44" s="71"/>
      <c r="AFM44" s="71"/>
      <c r="AFN44" s="71"/>
      <c r="AFO44" s="71"/>
      <c r="AFP44" s="71"/>
      <c r="AFQ44" s="71"/>
      <c r="AFR44" s="71"/>
      <c r="AFS44" s="71"/>
      <c r="AFT44" s="71"/>
      <c r="AFU44" s="71"/>
      <c r="AFV44" s="71"/>
      <c r="AFW44" s="71"/>
      <c r="AFX44" s="71"/>
      <c r="AFY44" s="71"/>
      <c r="AFZ44" s="71"/>
      <c r="AGA44" s="71"/>
      <c r="AGB44" s="71"/>
      <c r="AGC44" s="71"/>
      <c r="AGD44" s="71"/>
      <c r="AGE44" s="71"/>
      <c r="AGF44" s="71"/>
      <c r="AGG44" s="71"/>
      <c r="AGH44" s="71"/>
      <c r="AGI44" s="71"/>
      <c r="AGJ44" s="71"/>
      <c r="AGK44" s="71"/>
      <c r="AGL44" s="71"/>
      <c r="AGM44" s="71"/>
      <c r="AGN44" s="71"/>
      <c r="AGO44" s="71"/>
      <c r="AGP44" s="71"/>
      <c r="AGQ44" s="71"/>
      <c r="AGR44" s="71"/>
      <c r="AGS44" s="71"/>
      <c r="AGT44" s="71"/>
      <c r="AGU44" s="71"/>
      <c r="AGV44" s="71"/>
      <c r="AGW44" s="71"/>
      <c r="AGX44" s="71"/>
      <c r="AGY44" s="71"/>
      <c r="AGZ44" s="71"/>
      <c r="AHA44" s="71"/>
      <c r="AHB44" s="71"/>
      <c r="AHC44" s="71"/>
      <c r="AHD44" s="71"/>
      <c r="AHE44" s="71"/>
      <c r="AHF44" s="71"/>
      <c r="AHG44" s="71"/>
      <c r="AHH44" s="71"/>
      <c r="AHI44" s="71"/>
      <c r="AHJ44" s="71"/>
      <c r="AHK44" s="71"/>
      <c r="AHL44" s="71"/>
      <c r="AHM44" s="71"/>
      <c r="AHN44" s="71"/>
      <c r="AHO44" s="71"/>
      <c r="AHP44" s="71"/>
      <c r="AHQ44" s="71"/>
      <c r="AHR44" s="71"/>
      <c r="AHS44" s="71"/>
      <c r="AHT44" s="71"/>
      <c r="AHU44" s="71"/>
      <c r="AHV44" s="71"/>
      <c r="AHW44" s="71"/>
      <c r="AHX44" s="71"/>
      <c r="AHY44" s="71"/>
      <c r="AHZ44" s="71"/>
      <c r="AIA44" s="71"/>
      <c r="AIB44" s="71"/>
      <c r="AIC44" s="71"/>
      <c r="AID44" s="71"/>
      <c r="AIE44" s="71"/>
      <c r="AIF44" s="71"/>
      <c r="AIG44" s="71"/>
      <c r="AIH44" s="71"/>
      <c r="AII44" s="71"/>
      <c r="AIJ44" s="71"/>
      <c r="AIK44" s="71"/>
      <c r="AIL44" s="71"/>
      <c r="AIM44" s="71"/>
      <c r="AIN44" s="71"/>
      <c r="AIO44" s="71"/>
      <c r="AIP44" s="71"/>
      <c r="AIQ44" s="71"/>
      <c r="AIR44" s="71"/>
      <c r="AIS44" s="71"/>
      <c r="AIT44" s="71"/>
      <c r="AIU44" s="71"/>
      <c r="AIV44" s="71"/>
      <c r="AIW44" s="71"/>
      <c r="AIX44" s="71"/>
      <c r="AIY44" s="71"/>
      <c r="AIZ44" s="71"/>
      <c r="AJA44" s="71"/>
      <c r="AJB44" s="71"/>
      <c r="AJC44" s="71"/>
      <c r="AJD44" s="71"/>
      <c r="AJE44" s="71"/>
      <c r="AJF44" s="71"/>
      <c r="AJG44" s="71"/>
      <c r="AJH44" s="71"/>
      <c r="AJI44" s="71"/>
      <c r="AJJ44" s="71"/>
      <c r="AJK44" s="71"/>
      <c r="AJL44" s="71"/>
      <c r="AJM44" s="71"/>
      <c r="AJN44" s="71"/>
      <c r="AJO44" s="71"/>
      <c r="AJP44" s="71"/>
      <c r="AJQ44" s="71"/>
      <c r="AJR44" s="71"/>
      <c r="AJS44" s="71"/>
      <c r="AJT44" s="71"/>
      <c r="AJU44" s="71"/>
      <c r="AJV44" s="71"/>
      <c r="AJW44" s="71"/>
      <c r="AJX44" s="71"/>
      <c r="AJY44" s="71"/>
      <c r="AJZ44" s="71"/>
      <c r="AKA44" s="71"/>
      <c r="AKB44" s="71"/>
      <c r="AKC44" s="71"/>
      <c r="AKD44" s="71"/>
      <c r="AKE44" s="71"/>
      <c r="AKF44" s="71"/>
      <c r="AKG44" s="71"/>
      <c r="AKH44" s="71"/>
      <c r="AKI44" s="71"/>
      <c r="AKJ44" s="71"/>
      <c r="AKK44" s="71"/>
      <c r="AKL44" s="71"/>
      <c r="AKM44" s="71"/>
      <c r="AKN44" s="71"/>
      <c r="AKO44" s="71"/>
      <c r="AKP44" s="71"/>
      <c r="AKQ44" s="71"/>
      <c r="AKR44" s="71"/>
      <c r="AKS44" s="71"/>
      <c r="AKT44" s="71"/>
      <c r="AKU44" s="71"/>
      <c r="AKV44" s="71"/>
      <c r="AKW44" s="71"/>
      <c r="AKX44" s="71"/>
      <c r="AKY44" s="71"/>
      <c r="AKZ44" s="71"/>
      <c r="ALA44" s="71"/>
      <c r="ALB44" s="71"/>
      <c r="ALC44" s="71"/>
      <c r="ALD44" s="71"/>
      <c r="ALE44" s="71"/>
      <c r="ALF44" s="71"/>
      <c r="ALG44" s="71"/>
      <c r="ALH44" s="71"/>
      <c r="ALI44" s="71"/>
      <c r="ALJ44" s="71"/>
      <c r="ALK44" s="71"/>
      <c r="ALL44" s="71"/>
      <c r="ALM44" s="71"/>
      <c r="ALN44" s="71"/>
      <c r="ALO44" s="71"/>
      <c r="ALP44" s="71"/>
      <c r="ALQ44" s="71"/>
      <c r="ALR44" s="71"/>
      <c r="ALS44" s="71"/>
      <c r="ALT44" s="71"/>
      <c r="ALU44" s="71"/>
      <c r="ALV44" s="71"/>
      <c r="ALW44" s="71"/>
      <c r="ALX44" s="71"/>
      <c r="ALY44" s="71"/>
      <c r="ALZ44" s="71"/>
      <c r="AMA44" s="71"/>
      <c r="AMB44" s="71"/>
      <c r="AMC44" s="71"/>
      <c r="AMD44" s="71"/>
      <c r="AME44" s="71"/>
      <c r="AMF44" s="71"/>
      <c r="AMG44" s="71"/>
      <c r="AMH44" s="71"/>
      <c r="AMI44" s="71"/>
      <c r="AMJ44" s="71"/>
    </row>
    <row r="45" spans="1:1024" ht="20.25" customHeight="1" thickBot="1" x14ac:dyDescent="0.25">
      <c r="A45" s="78">
        <v>34</v>
      </c>
      <c r="B45" s="77">
        <f>'Necesidades Trimestrales'!B43</f>
        <v>0</v>
      </c>
      <c r="C45" s="97" t="str">
        <f>'Necesidades Trimestrales'!E43</f>
        <v xml:space="preserve">Nitrofurazona x 1Ltr. </v>
      </c>
      <c r="D45" s="97"/>
      <c r="E45" s="97"/>
      <c r="F45" s="97"/>
      <c r="G45" s="97"/>
      <c r="H45" s="76" t="s">
        <v>61</v>
      </c>
      <c r="I45" s="75" t="str">
        <f>'Necesidades Trimestrales'!F43</f>
        <v>UNIDAD</v>
      </c>
      <c r="J45" s="52">
        <f>'Necesidades Trimestrales'!H43</f>
        <v>540</v>
      </c>
      <c r="K45" s="74">
        <f>'Necesidades Trimestrales'!G43</f>
        <v>15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1"/>
      <c r="NO45" s="71"/>
      <c r="NP45" s="71"/>
      <c r="NQ45" s="71"/>
      <c r="NR45" s="71"/>
      <c r="NS45" s="71"/>
      <c r="NT45" s="71"/>
      <c r="NU45" s="71"/>
      <c r="NV45" s="71"/>
      <c r="NW45" s="71"/>
      <c r="NX45" s="71"/>
      <c r="NY45" s="71"/>
      <c r="NZ45" s="71"/>
      <c r="OA45" s="71"/>
      <c r="OB45" s="71"/>
      <c r="OC45" s="71"/>
      <c r="OD45" s="71"/>
      <c r="OE45" s="71"/>
      <c r="OF45" s="71"/>
      <c r="OG45" s="71"/>
      <c r="OH45" s="71"/>
      <c r="OI45" s="71"/>
      <c r="OJ45" s="71"/>
      <c r="OK45" s="71"/>
      <c r="OL45" s="71"/>
      <c r="OM45" s="71"/>
      <c r="ON45" s="71"/>
      <c r="OO45" s="71"/>
      <c r="OP45" s="71"/>
      <c r="OQ45" s="71"/>
      <c r="OR45" s="71"/>
      <c r="OS45" s="71"/>
      <c r="OT45" s="71"/>
      <c r="OU45" s="71"/>
      <c r="OV45" s="71"/>
      <c r="OW45" s="71"/>
      <c r="OX45" s="71"/>
      <c r="OY45" s="71"/>
      <c r="OZ45" s="71"/>
      <c r="PA45" s="71"/>
      <c r="PB45" s="71"/>
      <c r="PC45" s="71"/>
      <c r="PD45" s="71"/>
      <c r="PE45" s="71"/>
      <c r="PF45" s="71"/>
      <c r="PG45" s="71"/>
      <c r="PH45" s="71"/>
      <c r="PI45" s="71"/>
      <c r="PJ45" s="71"/>
      <c r="PK45" s="71"/>
      <c r="PL45" s="71"/>
      <c r="PM45" s="71"/>
      <c r="PN45" s="71"/>
      <c r="PO45" s="71"/>
      <c r="PP45" s="71"/>
      <c r="PQ45" s="71"/>
      <c r="PR45" s="71"/>
      <c r="PS45" s="71"/>
      <c r="PT45" s="71"/>
      <c r="PU45" s="71"/>
      <c r="PV45" s="71"/>
      <c r="PW45" s="71"/>
      <c r="PX45" s="71"/>
      <c r="PY45" s="71"/>
      <c r="PZ45" s="71"/>
      <c r="QA45" s="71"/>
      <c r="QB45" s="71"/>
      <c r="QC45" s="71"/>
      <c r="QD45" s="71"/>
      <c r="QE45" s="71"/>
      <c r="QF45" s="71"/>
      <c r="QG45" s="71"/>
      <c r="QH45" s="71"/>
      <c r="QI45" s="71"/>
      <c r="QJ45" s="71"/>
      <c r="QK45" s="71"/>
      <c r="QL45" s="71"/>
      <c r="QM45" s="71"/>
      <c r="QN45" s="71"/>
      <c r="QO45" s="71"/>
      <c r="QP45" s="71"/>
      <c r="QQ45" s="71"/>
      <c r="QR45" s="71"/>
      <c r="QS45" s="71"/>
      <c r="QT45" s="71"/>
      <c r="QU45" s="71"/>
      <c r="QV45" s="71"/>
      <c r="QW45" s="71"/>
      <c r="QX45" s="71"/>
      <c r="QY45" s="71"/>
      <c r="QZ45" s="71"/>
      <c r="RA45" s="71"/>
      <c r="RB45" s="71"/>
      <c r="RC45" s="71"/>
      <c r="RD45" s="71"/>
      <c r="RE45" s="71"/>
      <c r="RF45" s="71"/>
      <c r="RG45" s="71"/>
      <c r="RH45" s="71"/>
      <c r="RI45" s="71"/>
      <c r="RJ45" s="71"/>
      <c r="RK45" s="71"/>
      <c r="RL45" s="71"/>
      <c r="RM45" s="71"/>
      <c r="RN45" s="71"/>
      <c r="RO45" s="71"/>
      <c r="RP45" s="71"/>
      <c r="RQ45" s="71"/>
      <c r="RR45" s="71"/>
      <c r="RS45" s="71"/>
      <c r="RT45" s="71"/>
      <c r="RU45" s="71"/>
      <c r="RV45" s="71"/>
      <c r="RW45" s="71"/>
      <c r="RX45" s="71"/>
      <c r="RY45" s="71"/>
      <c r="RZ45" s="71"/>
      <c r="SA45" s="71"/>
      <c r="SB45" s="71"/>
      <c r="SC45" s="71"/>
      <c r="SD45" s="71"/>
      <c r="SE45" s="71"/>
      <c r="SF45" s="71"/>
      <c r="SG45" s="71"/>
      <c r="SH45" s="71"/>
      <c r="SI45" s="71"/>
      <c r="SJ45" s="71"/>
      <c r="SK45" s="71"/>
      <c r="SL45" s="71"/>
      <c r="SM45" s="71"/>
      <c r="SN45" s="71"/>
      <c r="SO45" s="71"/>
      <c r="SP45" s="71"/>
      <c r="SQ45" s="71"/>
      <c r="SR45" s="71"/>
      <c r="SS45" s="71"/>
      <c r="ST45" s="71"/>
      <c r="SU45" s="71"/>
      <c r="SV45" s="71"/>
      <c r="SW45" s="71"/>
      <c r="SX45" s="71"/>
      <c r="SY45" s="71"/>
      <c r="SZ45" s="71"/>
      <c r="TA45" s="71"/>
      <c r="TB45" s="71"/>
      <c r="TC45" s="71"/>
      <c r="TD45" s="71"/>
      <c r="TE45" s="71"/>
      <c r="TF45" s="71"/>
      <c r="TG45" s="71"/>
      <c r="TH45" s="71"/>
      <c r="TI45" s="71"/>
      <c r="TJ45" s="71"/>
      <c r="TK45" s="71"/>
      <c r="TL45" s="71"/>
      <c r="TM45" s="71"/>
      <c r="TN45" s="71"/>
      <c r="TO45" s="71"/>
      <c r="TP45" s="71"/>
      <c r="TQ45" s="71"/>
      <c r="TR45" s="71"/>
      <c r="TS45" s="71"/>
      <c r="TT45" s="71"/>
      <c r="TU45" s="71"/>
      <c r="TV45" s="71"/>
      <c r="TW45" s="71"/>
      <c r="TX45" s="71"/>
      <c r="TY45" s="71"/>
      <c r="TZ45" s="71"/>
      <c r="UA45" s="71"/>
      <c r="UB45" s="71"/>
      <c r="UC45" s="71"/>
      <c r="UD45" s="71"/>
      <c r="UE45" s="71"/>
      <c r="UF45" s="71"/>
      <c r="UG45" s="71"/>
      <c r="UH45" s="71"/>
      <c r="UI45" s="71"/>
      <c r="UJ45" s="71"/>
      <c r="UK45" s="71"/>
      <c r="UL45" s="71"/>
      <c r="UM45" s="71"/>
      <c r="UN45" s="71"/>
      <c r="UO45" s="71"/>
      <c r="UP45" s="71"/>
      <c r="UQ45" s="71"/>
      <c r="UR45" s="71"/>
      <c r="US45" s="71"/>
      <c r="UT45" s="71"/>
      <c r="UU45" s="71"/>
      <c r="UV45" s="71"/>
      <c r="UW45" s="71"/>
      <c r="UX45" s="71"/>
      <c r="UY45" s="71"/>
      <c r="UZ45" s="71"/>
      <c r="VA45" s="71"/>
      <c r="VB45" s="71"/>
      <c r="VC45" s="71"/>
      <c r="VD45" s="71"/>
      <c r="VE45" s="71"/>
      <c r="VF45" s="71"/>
      <c r="VG45" s="71"/>
      <c r="VH45" s="71"/>
      <c r="VI45" s="71"/>
      <c r="VJ45" s="71"/>
      <c r="VK45" s="71"/>
      <c r="VL45" s="71"/>
      <c r="VM45" s="71"/>
      <c r="VN45" s="71"/>
      <c r="VO45" s="71"/>
      <c r="VP45" s="71"/>
      <c r="VQ45" s="71"/>
      <c r="VR45" s="71"/>
      <c r="VS45" s="71"/>
      <c r="VT45" s="71"/>
      <c r="VU45" s="71"/>
      <c r="VV45" s="71"/>
      <c r="VW45" s="71"/>
      <c r="VX45" s="71"/>
      <c r="VY45" s="71"/>
      <c r="VZ45" s="71"/>
      <c r="WA45" s="71"/>
      <c r="WB45" s="71"/>
      <c r="WC45" s="71"/>
      <c r="WD45" s="71"/>
      <c r="WE45" s="71"/>
      <c r="WF45" s="71"/>
      <c r="WG45" s="71"/>
      <c r="WH45" s="71"/>
      <c r="WI45" s="71"/>
      <c r="WJ45" s="71"/>
      <c r="WK45" s="71"/>
      <c r="WL45" s="71"/>
      <c r="WM45" s="71"/>
      <c r="WN45" s="71"/>
      <c r="WO45" s="71"/>
      <c r="WP45" s="71"/>
      <c r="WQ45" s="71"/>
      <c r="WR45" s="71"/>
      <c r="WS45" s="71"/>
      <c r="WT45" s="71"/>
      <c r="WU45" s="71"/>
      <c r="WV45" s="71"/>
      <c r="WW45" s="71"/>
      <c r="WX45" s="71"/>
      <c r="WY45" s="71"/>
      <c r="WZ45" s="71"/>
      <c r="XA45" s="71"/>
      <c r="XB45" s="71"/>
      <c r="XC45" s="71"/>
      <c r="XD45" s="71"/>
      <c r="XE45" s="71"/>
      <c r="XF45" s="71"/>
      <c r="XG45" s="71"/>
      <c r="XH45" s="71"/>
      <c r="XI45" s="71"/>
      <c r="XJ45" s="71"/>
      <c r="XK45" s="71"/>
      <c r="XL45" s="71"/>
      <c r="XM45" s="71"/>
      <c r="XN45" s="71"/>
      <c r="XO45" s="71"/>
      <c r="XP45" s="71"/>
      <c r="XQ45" s="71"/>
      <c r="XR45" s="71"/>
      <c r="XS45" s="71"/>
      <c r="XT45" s="71"/>
      <c r="XU45" s="71"/>
      <c r="XV45" s="71"/>
      <c r="XW45" s="71"/>
      <c r="XX45" s="71"/>
      <c r="XY45" s="71"/>
      <c r="XZ45" s="71"/>
      <c r="YA45" s="71"/>
      <c r="YB45" s="71"/>
      <c r="YC45" s="71"/>
      <c r="YD45" s="71"/>
      <c r="YE45" s="71"/>
      <c r="YF45" s="71"/>
      <c r="YG45" s="71"/>
      <c r="YH45" s="71"/>
      <c r="YI45" s="71"/>
      <c r="YJ45" s="71"/>
      <c r="YK45" s="71"/>
      <c r="YL45" s="71"/>
      <c r="YM45" s="71"/>
      <c r="YN45" s="71"/>
      <c r="YO45" s="71"/>
      <c r="YP45" s="71"/>
      <c r="YQ45" s="71"/>
      <c r="YR45" s="71"/>
      <c r="YS45" s="71"/>
      <c r="YT45" s="71"/>
      <c r="YU45" s="71"/>
      <c r="YV45" s="71"/>
      <c r="YW45" s="71"/>
      <c r="YX45" s="71"/>
      <c r="YY45" s="71"/>
      <c r="YZ45" s="71"/>
      <c r="ZA45" s="71"/>
      <c r="ZB45" s="71"/>
      <c r="ZC45" s="71"/>
      <c r="ZD45" s="71"/>
      <c r="ZE45" s="71"/>
      <c r="ZF45" s="71"/>
      <c r="ZG45" s="71"/>
      <c r="ZH45" s="71"/>
      <c r="ZI45" s="71"/>
      <c r="ZJ45" s="71"/>
      <c r="ZK45" s="71"/>
      <c r="ZL45" s="71"/>
      <c r="ZM45" s="71"/>
      <c r="ZN45" s="71"/>
      <c r="ZO45" s="71"/>
      <c r="ZP45" s="71"/>
      <c r="ZQ45" s="71"/>
      <c r="ZR45" s="71"/>
      <c r="ZS45" s="71"/>
      <c r="ZT45" s="71"/>
      <c r="ZU45" s="71"/>
      <c r="ZV45" s="71"/>
      <c r="ZW45" s="71"/>
      <c r="ZX45" s="71"/>
      <c r="ZY45" s="71"/>
      <c r="ZZ45" s="71"/>
      <c r="AAA45" s="71"/>
      <c r="AAB45" s="71"/>
      <c r="AAC45" s="71"/>
      <c r="AAD45" s="71"/>
      <c r="AAE45" s="71"/>
      <c r="AAF45" s="71"/>
      <c r="AAG45" s="71"/>
      <c r="AAH45" s="71"/>
      <c r="AAI45" s="71"/>
      <c r="AAJ45" s="71"/>
      <c r="AAK45" s="71"/>
      <c r="AAL45" s="71"/>
      <c r="AAM45" s="71"/>
      <c r="AAN45" s="71"/>
      <c r="AAO45" s="71"/>
      <c r="AAP45" s="71"/>
      <c r="AAQ45" s="71"/>
      <c r="AAR45" s="71"/>
      <c r="AAS45" s="71"/>
      <c r="AAT45" s="71"/>
      <c r="AAU45" s="71"/>
      <c r="AAV45" s="71"/>
      <c r="AAW45" s="71"/>
      <c r="AAX45" s="71"/>
      <c r="AAY45" s="71"/>
      <c r="AAZ45" s="71"/>
      <c r="ABA45" s="71"/>
      <c r="ABB45" s="71"/>
      <c r="ABC45" s="71"/>
      <c r="ABD45" s="71"/>
      <c r="ABE45" s="71"/>
      <c r="ABF45" s="71"/>
      <c r="ABG45" s="71"/>
      <c r="ABH45" s="71"/>
      <c r="ABI45" s="71"/>
      <c r="ABJ45" s="71"/>
      <c r="ABK45" s="71"/>
      <c r="ABL45" s="71"/>
      <c r="ABM45" s="71"/>
      <c r="ABN45" s="71"/>
      <c r="ABO45" s="71"/>
      <c r="ABP45" s="71"/>
      <c r="ABQ45" s="71"/>
      <c r="ABR45" s="71"/>
      <c r="ABS45" s="71"/>
      <c r="ABT45" s="71"/>
      <c r="ABU45" s="71"/>
      <c r="ABV45" s="71"/>
      <c r="ABW45" s="71"/>
      <c r="ABX45" s="71"/>
      <c r="ABY45" s="71"/>
      <c r="ABZ45" s="71"/>
      <c r="ACA45" s="71"/>
      <c r="ACB45" s="71"/>
      <c r="ACC45" s="71"/>
      <c r="ACD45" s="71"/>
      <c r="ACE45" s="71"/>
      <c r="ACF45" s="71"/>
      <c r="ACG45" s="71"/>
      <c r="ACH45" s="71"/>
      <c r="ACI45" s="71"/>
      <c r="ACJ45" s="71"/>
      <c r="ACK45" s="71"/>
      <c r="ACL45" s="71"/>
      <c r="ACM45" s="71"/>
      <c r="ACN45" s="71"/>
      <c r="ACO45" s="71"/>
      <c r="ACP45" s="71"/>
      <c r="ACQ45" s="71"/>
      <c r="ACR45" s="71"/>
      <c r="ACS45" s="71"/>
      <c r="ACT45" s="71"/>
      <c r="ACU45" s="71"/>
      <c r="ACV45" s="71"/>
      <c r="ACW45" s="71"/>
      <c r="ACX45" s="71"/>
      <c r="ACY45" s="71"/>
      <c r="ACZ45" s="71"/>
      <c r="ADA45" s="71"/>
      <c r="ADB45" s="71"/>
      <c r="ADC45" s="71"/>
      <c r="ADD45" s="71"/>
      <c r="ADE45" s="71"/>
      <c r="ADF45" s="71"/>
      <c r="ADG45" s="71"/>
      <c r="ADH45" s="71"/>
      <c r="ADI45" s="71"/>
      <c r="ADJ45" s="71"/>
      <c r="ADK45" s="71"/>
      <c r="ADL45" s="71"/>
      <c r="ADM45" s="71"/>
      <c r="ADN45" s="71"/>
      <c r="ADO45" s="71"/>
      <c r="ADP45" s="71"/>
      <c r="ADQ45" s="71"/>
      <c r="ADR45" s="71"/>
      <c r="ADS45" s="71"/>
      <c r="ADT45" s="71"/>
      <c r="ADU45" s="71"/>
      <c r="ADV45" s="71"/>
      <c r="ADW45" s="71"/>
      <c r="ADX45" s="71"/>
      <c r="ADY45" s="71"/>
      <c r="ADZ45" s="71"/>
      <c r="AEA45" s="71"/>
      <c r="AEB45" s="71"/>
      <c r="AEC45" s="71"/>
      <c r="AED45" s="71"/>
      <c r="AEE45" s="71"/>
      <c r="AEF45" s="71"/>
      <c r="AEG45" s="71"/>
      <c r="AEH45" s="71"/>
      <c r="AEI45" s="71"/>
      <c r="AEJ45" s="71"/>
      <c r="AEK45" s="71"/>
      <c r="AEL45" s="71"/>
      <c r="AEM45" s="71"/>
      <c r="AEN45" s="71"/>
      <c r="AEO45" s="71"/>
      <c r="AEP45" s="71"/>
      <c r="AEQ45" s="71"/>
      <c r="AER45" s="71"/>
      <c r="AES45" s="71"/>
      <c r="AET45" s="71"/>
      <c r="AEU45" s="71"/>
      <c r="AEV45" s="71"/>
      <c r="AEW45" s="71"/>
      <c r="AEX45" s="71"/>
      <c r="AEY45" s="71"/>
      <c r="AEZ45" s="71"/>
      <c r="AFA45" s="71"/>
      <c r="AFB45" s="71"/>
      <c r="AFC45" s="71"/>
      <c r="AFD45" s="71"/>
      <c r="AFE45" s="71"/>
      <c r="AFF45" s="71"/>
      <c r="AFG45" s="71"/>
      <c r="AFH45" s="71"/>
      <c r="AFI45" s="71"/>
      <c r="AFJ45" s="71"/>
      <c r="AFK45" s="71"/>
      <c r="AFL45" s="71"/>
      <c r="AFM45" s="71"/>
      <c r="AFN45" s="71"/>
      <c r="AFO45" s="71"/>
      <c r="AFP45" s="71"/>
      <c r="AFQ45" s="71"/>
      <c r="AFR45" s="71"/>
      <c r="AFS45" s="71"/>
      <c r="AFT45" s="71"/>
      <c r="AFU45" s="71"/>
      <c r="AFV45" s="71"/>
      <c r="AFW45" s="71"/>
      <c r="AFX45" s="71"/>
      <c r="AFY45" s="71"/>
      <c r="AFZ45" s="71"/>
      <c r="AGA45" s="71"/>
      <c r="AGB45" s="71"/>
      <c r="AGC45" s="71"/>
      <c r="AGD45" s="71"/>
      <c r="AGE45" s="71"/>
      <c r="AGF45" s="71"/>
      <c r="AGG45" s="71"/>
      <c r="AGH45" s="71"/>
      <c r="AGI45" s="71"/>
      <c r="AGJ45" s="71"/>
      <c r="AGK45" s="71"/>
      <c r="AGL45" s="71"/>
      <c r="AGM45" s="71"/>
      <c r="AGN45" s="71"/>
      <c r="AGO45" s="71"/>
      <c r="AGP45" s="71"/>
      <c r="AGQ45" s="71"/>
      <c r="AGR45" s="71"/>
      <c r="AGS45" s="71"/>
      <c r="AGT45" s="71"/>
      <c r="AGU45" s="71"/>
      <c r="AGV45" s="71"/>
      <c r="AGW45" s="71"/>
      <c r="AGX45" s="71"/>
      <c r="AGY45" s="71"/>
      <c r="AGZ45" s="71"/>
      <c r="AHA45" s="71"/>
      <c r="AHB45" s="71"/>
      <c r="AHC45" s="71"/>
      <c r="AHD45" s="71"/>
      <c r="AHE45" s="71"/>
      <c r="AHF45" s="71"/>
      <c r="AHG45" s="71"/>
      <c r="AHH45" s="71"/>
      <c r="AHI45" s="71"/>
      <c r="AHJ45" s="71"/>
      <c r="AHK45" s="71"/>
      <c r="AHL45" s="71"/>
      <c r="AHM45" s="71"/>
      <c r="AHN45" s="71"/>
      <c r="AHO45" s="71"/>
      <c r="AHP45" s="71"/>
      <c r="AHQ45" s="71"/>
      <c r="AHR45" s="71"/>
      <c r="AHS45" s="71"/>
      <c r="AHT45" s="71"/>
      <c r="AHU45" s="71"/>
      <c r="AHV45" s="71"/>
      <c r="AHW45" s="71"/>
      <c r="AHX45" s="71"/>
      <c r="AHY45" s="71"/>
      <c r="AHZ45" s="71"/>
      <c r="AIA45" s="71"/>
      <c r="AIB45" s="71"/>
      <c r="AIC45" s="71"/>
      <c r="AID45" s="71"/>
      <c r="AIE45" s="71"/>
      <c r="AIF45" s="71"/>
      <c r="AIG45" s="71"/>
      <c r="AIH45" s="71"/>
      <c r="AII45" s="71"/>
      <c r="AIJ45" s="71"/>
      <c r="AIK45" s="71"/>
      <c r="AIL45" s="71"/>
      <c r="AIM45" s="71"/>
      <c r="AIN45" s="71"/>
      <c r="AIO45" s="71"/>
      <c r="AIP45" s="71"/>
      <c r="AIQ45" s="71"/>
      <c r="AIR45" s="71"/>
      <c r="AIS45" s="71"/>
      <c r="AIT45" s="71"/>
      <c r="AIU45" s="71"/>
      <c r="AIV45" s="71"/>
      <c r="AIW45" s="71"/>
      <c r="AIX45" s="71"/>
      <c r="AIY45" s="71"/>
      <c r="AIZ45" s="71"/>
      <c r="AJA45" s="71"/>
      <c r="AJB45" s="71"/>
      <c r="AJC45" s="71"/>
      <c r="AJD45" s="71"/>
      <c r="AJE45" s="71"/>
      <c r="AJF45" s="71"/>
      <c r="AJG45" s="71"/>
      <c r="AJH45" s="71"/>
      <c r="AJI45" s="71"/>
      <c r="AJJ45" s="71"/>
      <c r="AJK45" s="71"/>
      <c r="AJL45" s="71"/>
      <c r="AJM45" s="71"/>
      <c r="AJN45" s="71"/>
      <c r="AJO45" s="71"/>
      <c r="AJP45" s="71"/>
      <c r="AJQ45" s="71"/>
      <c r="AJR45" s="71"/>
      <c r="AJS45" s="71"/>
      <c r="AJT45" s="71"/>
      <c r="AJU45" s="71"/>
      <c r="AJV45" s="71"/>
      <c r="AJW45" s="71"/>
      <c r="AJX45" s="71"/>
      <c r="AJY45" s="71"/>
      <c r="AJZ45" s="71"/>
      <c r="AKA45" s="71"/>
      <c r="AKB45" s="71"/>
      <c r="AKC45" s="71"/>
      <c r="AKD45" s="71"/>
      <c r="AKE45" s="71"/>
      <c r="AKF45" s="71"/>
      <c r="AKG45" s="71"/>
      <c r="AKH45" s="71"/>
      <c r="AKI45" s="71"/>
      <c r="AKJ45" s="71"/>
      <c r="AKK45" s="71"/>
      <c r="AKL45" s="71"/>
      <c r="AKM45" s="71"/>
      <c r="AKN45" s="71"/>
      <c r="AKO45" s="71"/>
      <c r="AKP45" s="71"/>
      <c r="AKQ45" s="71"/>
      <c r="AKR45" s="71"/>
      <c r="AKS45" s="71"/>
      <c r="AKT45" s="71"/>
      <c r="AKU45" s="71"/>
      <c r="AKV45" s="71"/>
      <c r="AKW45" s="71"/>
      <c r="AKX45" s="71"/>
      <c r="AKY45" s="71"/>
      <c r="AKZ45" s="71"/>
      <c r="ALA45" s="71"/>
      <c r="ALB45" s="71"/>
      <c r="ALC45" s="71"/>
      <c r="ALD45" s="71"/>
      <c r="ALE45" s="71"/>
      <c r="ALF45" s="71"/>
      <c r="ALG45" s="71"/>
      <c r="ALH45" s="71"/>
      <c r="ALI45" s="71"/>
      <c r="ALJ45" s="71"/>
      <c r="ALK45" s="71"/>
      <c r="ALL45" s="71"/>
      <c r="ALM45" s="71"/>
      <c r="ALN45" s="71"/>
      <c r="ALO45" s="71"/>
      <c r="ALP45" s="71"/>
      <c r="ALQ45" s="71"/>
      <c r="ALR45" s="71"/>
      <c r="ALS45" s="71"/>
      <c r="ALT45" s="71"/>
      <c r="ALU45" s="71"/>
      <c r="ALV45" s="71"/>
      <c r="ALW45" s="71"/>
      <c r="ALX45" s="71"/>
      <c r="ALY45" s="71"/>
      <c r="ALZ45" s="71"/>
      <c r="AMA45" s="71"/>
      <c r="AMB45" s="71"/>
      <c r="AMC45" s="71"/>
      <c r="AMD45" s="71"/>
      <c r="AME45" s="71"/>
      <c r="AMF45" s="71"/>
      <c r="AMG45" s="71"/>
      <c r="AMH45" s="71"/>
      <c r="AMI45" s="71"/>
      <c r="AMJ45" s="71"/>
    </row>
    <row r="46" spans="1:1024" ht="20.25" customHeight="1" thickBot="1" x14ac:dyDescent="0.25">
      <c r="A46" s="78">
        <v>35</v>
      </c>
      <c r="B46" s="77">
        <f>'Necesidades Trimestrales'!B44</f>
        <v>0</v>
      </c>
      <c r="C46" s="97" t="str">
        <f>'Necesidades Trimestrales'!E44</f>
        <v xml:space="preserve">Olanzapina 10Mg </v>
      </c>
      <c r="D46" s="97"/>
      <c r="E46" s="97"/>
      <c r="F46" s="97"/>
      <c r="G46" s="97"/>
      <c r="H46" s="76" t="s">
        <v>61</v>
      </c>
      <c r="I46" s="75" t="str">
        <f>'Necesidades Trimestrales'!F44</f>
        <v>COMPRIMIDO</v>
      </c>
      <c r="J46" s="52">
        <f>'Necesidades Trimestrales'!H44</f>
        <v>202.6</v>
      </c>
      <c r="K46" s="74">
        <f>'Necesidades Trimestrales'!G44</f>
        <v>200</v>
      </c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1"/>
      <c r="NO46" s="71"/>
      <c r="NP46" s="71"/>
      <c r="NQ46" s="71"/>
      <c r="NR46" s="71"/>
      <c r="NS46" s="71"/>
      <c r="NT46" s="71"/>
      <c r="NU46" s="71"/>
      <c r="NV46" s="71"/>
      <c r="NW46" s="71"/>
      <c r="NX46" s="71"/>
      <c r="NY46" s="71"/>
      <c r="NZ46" s="71"/>
      <c r="OA46" s="71"/>
      <c r="OB46" s="71"/>
      <c r="OC46" s="71"/>
      <c r="OD46" s="71"/>
      <c r="OE46" s="71"/>
      <c r="OF46" s="71"/>
      <c r="OG46" s="71"/>
      <c r="OH46" s="71"/>
      <c r="OI46" s="71"/>
      <c r="OJ46" s="71"/>
      <c r="OK46" s="71"/>
      <c r="OL46" s="71"/>
      <c r="OM46" s="71"/>
      <c r="ON46" s="71"/>
      <c r="OO46" s="71"/>
      <c r="OP46" s="71"/>
      <c r="OQ46" s="71"/>
      <c r="OR46" s="71"/>
      <c r="OS46" s="71"/>
      <c r="OT46" s="71"/>
      <c r="OU46" s="71"/>
      <c r="OV46" s="71"/>
      <c r="OW46" s="71"/>
      <c r="OX46" s="71"/>
      <c r="OY46" s="71"/>
      <c r="OZ46" s="71"/>
      <c r="PA46" s="71"/>
      <c r="PB46" s="71"/>
      <c r="PC46" s="71"/>
      <c r="PD46" s="71"/>
      <c r="PE46" s="71"/>
      <c r="PF46" s="71"/>
      <c r="PG46" s="71"/>
      <c r="PH46" s="71"/>
      <c r="PI46" s="71"/>
      <c r="PJ46" s="71"/>
      <c r="PK46" s="71"/>
      <c r="PL46" s="71"/>
      <c r="PM46" s="71"/>
      <c r="PN46" s="71"/>
      <c r="PO46" s="71"/>
      <c r="PP46" s="71"/>
      <c r="PQ46" s="71"/>
      <c r="PR46" s="71"/>
      <c r="PS46" s="71"/>
      <c r="PT46" s="71"/>
      <c r="PU46" s="71"/>
      <c r="PV46" s="71"/>
      <c r="PW46" s="71"/>
      <c r="PX46" s="71"/>
      <c r="PY46" s="71"/>
      <c r="PZ46" s="71"/>
      <c r="QA46" s="71"/>
      <c r="QB46" s="71"/>
      <c r="QC46" s="71"/>
      <c r="QD46" s="71"/>
      <c r="QE46" s="71"/>
      <c r="QF46" s="71"/>
      <c r="QG46" s="71"/>
      <c r="QH46" s="71"/>
      <c r="QI46" s="71"/>
      <c r="QJ46" s="71"/>
      <c r="QK46" s="71"/>
      <c r="QL46" s="71"/>
      <c r="QM46" s="71"/>
      <c r="QN46" s="71"/>
      <c r="QO46" s="71"/>
      <c r="QP46" s="71"/>
      <c r="QQ46" s="71"/>
      <c r="QR46" s="71"/>
      <c r="QS46" s="71"/>
      <c r="QT46" s="71"/>
      <c r="QU46" s="71"/>
      <c r="QV46" s="71"/>
      <c r="QW46" s="71"/>
      <c r="QX46" s="71"/>
      <c r="QY46" s="71"/>
      <c r="QZ46" s="71"/>
      <c r="RA46" s="71"/>
      <c r="RB46" s="71"/>
      <c r="RC46" s="71"/>
      <c r="RD46" s="71"/>
      <c r="RE46" s="71"/>
      <c r="RF46" s="71"/>
      <c r="RG46" s="71"/>
      <c r="RH46" s="71"/>
      <c r="RI46" s="71"/>
      <c r="RJ46" s="71"/>
      <c r="RK46" s="71"/>
      <c r="RL46" s="71"/>
      <c r="RM46" s="71"/>
      <c r="RN46" s="71"/>
      <c r="RO46" s="71"/>
      <c r="RP46" s="71"/>
      <c r="RQ46" s="71"/>
      <c r="RR46" s="71"/>
      <c r="RS46" s="71"/>
      <c r="RT46" s="71"/>
      <c r="RU46" s="71"/>
      <c r="RV46" s="71"/>
      <c r="RW46" s="71"/>
      <c r="RX46" s="71"/>
      <c r="RY46" s="71"/>
      <c r="RZ46" s="71"/>
      <c r="SA46" s="71"/>
      <c r="SB46" s="71"/>
      <c r="SC46" s="71"/>
      <c r="SD46" s="71"/>
      <c r="SE46" s="71"/>
      <c r="SF46" s="71"/>
      <c r="SG46" s="71"/>
      <c r="SH46" s="71"/>
      <c r="SI46" s="71"/>
      <c r="SJ46" s="71"/>
      <c r="SK46" s="71"/>
      <c r="SL46" s="71"/>
      <c r="SM46" s="71"/>
      <c r="SN46" s="71"/>
      <c r="SO46" s="71"/>
      <c r="SP46" s="71"/>
      <c r="SQ46" s="71"/>
      <c r="SR46" s="71"/>
      <c r="SS46" s="71"/>
      <c r="ST46" s="71"/>
      <c r="SU46" s="71"/>
      <c r="SV46" s="71"/>
      <c r="SW46" s="71"/>
      <c r="SX46" s="71"/>
      <c r="SY46" s="71"/>
      <c r="SZ46" s="71"/>
      <c r="TA46" s="71"/>
      <c r="TB46" s="71"/>
      <c r="TC46" s="71"/>
      <c r="TD46" s="71"/>
      <c r="TE46" s="71"/>
      <c r="TF46" s="71"/>
      <c r="TG46" s="71"/>
      <c r="TH46" s="71"/>
      <c r="TI46" s="71"/>
      <c r="TJ46" s="71"/>
      <c r="TK46" s="71"/>
      <c r="TL46" s="71"/>
      <c r="TM46" s="71"/>
      <c r="TN46" s="71"/>
      <c r="TO46" s="71"/>
      <c r="TP46" s="71"/>
      <c r="TQ46" s="71"/>
      <c r="TR46" s="71"/>
      <c r="TS46" s="71"/>
      <c r="TT46" s="71"/>
      <c r="TU46" s="71"/>
      <c r="TV46" s="71"/>
      <c r="TW46" s="71"/>
      <c r="TX46" s="71"/>
      <c r="TY46" s="71"/>
      <c r="TZ46" s="71"/>
      <c r="UA46" s="71"/>
      <c r="UB46" s="71"/>
      <c r="UC46" s="71"/>
      <c r="UD46" s="71"/>
      <c r="UE46" s="71"/>
      <c r="UF46" s="71"/>
      <c r="UG46" s="71"/>
      <c r="UH46" s="71"/>
      <c r="UI46" s="71"/>
      <c r="UJ46" s="71"/>
      <c r="UK46" s="71"/>
      <c r="UL46" s="71"/>
      <c r="UM46" s="71"/>
      <c r="UN46" s="71"/>
      <c r="UO46" s="71"/>
      <c r="UP46" s="71"/>
      <c r="UQ46" s="71"/>
      <c r="UR46" s="71"/>
      <c r="US46" s="71"/>
      <c r="UT46" s="71"/>
      <c r="UU46" s="71"/>
      <c r="UV46" s="71"/>
      <c r="UW46" s="71"/>
      <c r="UX46" s="71"/>
      <c r="UY46" s="71"/>
      <c r="UZ46" s="71"/>
      <c r="VA46" s="71"/>
      <c r="VB46" s="71"/>
      <c r="VC46" s="71"/>
      <c r="VD46" s="71"/>
      <c r="VE46" s="71"/>
      <c r="VF46" s="71"/>
      <c r="VG46" s="71"/>
      <c r="VH46" s="71"/>
      <c r="VI46" s="71"/>
      <c r="VJ46" s="71"/>
      <c r="VK46" s="71"/>
      <c r="VL46" s="71"/>
      <c r="VM46" s="71"/>
      <c r="VN46" s="71"/>
      <c r="VO46" s="71"/>
      <c r="VP46" s="71"/>
      <c r="VQ46" s="71"/>
      <c r="VR46" s="71"/>
      <c r="VS46" s="71"/>
      <c r="VT46" s="71"/>
      <c r="VU46" s="71"/>
      <c r="VV46" s="71"/>
      <c r="VW46" s="71"/>
      <c r="VX46" s="71"/>
      <c r="VY46" s="71"/>
      <c r="VZ46" s="71"/>
      <c r="WA46" s="71"/>
      <c r="WB46" s="71"/>
      <c r="WC46" s="71"/>
      <c r="WD46" s="71"/>
      <c r="WE46" s="71"/>
      <c r="WF46" s="71"/>
      <c r="WG46" s="71"/>
      <c r="WH46" s="71"/>
      <c r="WI46" s="71"/>
      <c r="WJ46" s="71"/>
      <c r="WK46" s="71"/>
      <c r="WL46" s="71"/>
      <c r="WM46" s="71"/>
      <c r="WN46" s="71"/>
      <c r="WO46" s="71"/>
      <c r="WP46" s="71"/>
      <c r="WQ46" s="71"/>
      <c r="WR46" s="71"/>
      <c r="WS46" s="71"/>
      <c r="WT46" s="71"/>
      <c r="WU46" s="71"/>
      <c r="WV46" s="71"/>
      <c r="WW46" s="71"/>
      <c r="WX46" s="71"/>
      <c r="WY46" s="71"/>
      <c r="WZ46" s="71"/>
      <c r="XA46" s="71"/>
      <c r="XB46" s="71"/>
      <c r="XC46" s="71"/>
      <c r="XD46" s="71"/>
      <c r="XE46" s="71"/>
      <c r="XF46" s="71"/>
      <c r="XG46" s="71"/>
      <c r="XH46" s="71"/>
      <c r="XI46" s="71"/>
      <c r="XJ46" s="71"/>
      <c r="XK46" s="71"/>
      <c r="XL46" s="71"/>
      <c r="XM46" s="71"/>
      <c r="XN46" s="71"/>
      <c r="XO46" s="71"/>
      <c r="XP46" s="71"/>
      <c r="XQ46" s="71"/>
      <c r="XR46" s="71"/>
      <c r="XS46" s="71"/>
      <c r="XT46" s="71"/>
      <c r="XU46" s="71"/>
      <c r="XV46" s="71"/>
      <c r="XW46" s="71"/>
      <c r="XX46" s="71"/>
      <c r="XY46" s="71"/>
      <c r="XZ46" s="71"/>
      <c r="YA46" s="71"/>
      <c r="YB46" s="71"/>
      <c r="YC46" s="71"/>
      <c r="YD46" s="71"/>
      <c r="YE46" s="71"/>
      <c r="YF46" s="71"/>
      <c r="YG46" s="71"/>
      <c r="YH46" s="71"/>
      <c r="YI46" s="71"/>
      <c r="YJ46" s="71"/>
      <c r="YK46" s="71"/>
      <c r="YL46" s="71"/>
      <c r="YM46" s="71"/>
      <c r="YN46" s="71"/>
      <c r="YO46" s="71"/>
      <c r="YP46" s="71"/>
      <c r="YQ46" s="71"/>
      <c r="YR46" s="71"/>
      <c r="YS46" s="71"/>
      <c r="YT46" s="71"/>
      <c r="YU46" s="71"/>
      <c r="YV46" s="71"/>
      <c r="YW46" s="71"/>
      <c r="YX46" s="71"/>
      <c r="YY46" s="71"/>
      <c r="YZ46" s="71"/>
      <c r="ZA46" s="71"/>
      <c r="ZB46" s="71"/>
      <c r="ZC46" s="71"/>
      <c r="ZD46" s="71"/>
      <c r="ZE46" s="71"/>
      <c r="ZF46" s="71"/>
      <c r="ZG46" s="71"/>
      <c r="ZH46" s="71"/>
      <c r="ZI46" s="71"/>
      <c r="ZJ46" s="71"/>
      <c r="ZK46" s="71"/>
      <c r="ZL46" s="71"/>
      <c r="ZM46" s="71"/>
      <c r="ZN46" s="71"/>
      <c r="ZO46" s="71"/>
      <c r="ZP46" s="71"/>
      <c r="ZQ46" s="71"/>
      <c r="ZR46" s="71"/>
      <c r="ZS46" s="71"/>
      <c r="ZT46" s="71"/>
      <c r="ZU46" s="71"/>
      <c r="ZV46" s="71"/>
      <c r="ZW46" s="71"/>
      <c r="ZX46" s="71"/>
      <c r="ZY46" s="71"/>
      <c r="ZZ46" s="71"/>
      <c r="AAA46" s="71"/>
      <c r="AAB46" s="71"/>
      <c r="AAC46" s="71"/>
      <c r="AAD46" s="71"/>
      <c r="AAE46" s="71"/>
      <c r="AAF46" s="71"/>
      <c r="AAG46" s="71"/>
      <c r="AAH46" s="71"/>
      <c r="AAI46" s="71"/>
      <c r="AAJ46" s="71"/>
      <c r="AAK46" s="71"/>
      <c r="AAL46" s="71"/>
      <c r="AAM46" s="71"/>
      <c r="AAN46" s="71"/>
      <c r="AAO46" s="71"/>
      <c r="AAP46" s="71"/>
      <c r="AAQ46" s="71"/>
      <c r="AAR46" s="71"/>
      <c r="AAS46" s="71"/>
      <c r="AAT46" s="71"/>
      <c r="AAU46" s="71"/>
      <c r="AAV46" s="71"/>
      <c r="AAW46" s="71"/>
      <c r="AAX46" s="71"/>
      <c r="AAY46" s="71"/>
      <c r="AAZ46" s="71"/>
      <c r="ABA46" s="71"/>
      <c r="ABB46" s="71"/>
      <c r="ABC46" s="71"/>
      <c r="ABD46" s="71"/>
      <c r="ABE46" s="71"/>
      <c r="ABF46" s="71"/>
      <c r="ABG46" s="71"/>
      <c r="ABH46" s="71"/>
      <c r="ABI46" s="71"/>
      <c r="ABJ46" s="71"/>
      <c r="ABK46" s="71"/>
      <c r="ABL46" s="71"/>
      <c r="ABM46" s="71"/>
      <c r="ABN46" s="71"/>
      <c r="ABO46" s="71"/>
      <c r="ABP46" s="71"/>
      <c r="ABQ46" s="71"/>
      <c r="ABR46" s="71"/>
      <c r="ABS46" s="71"/>
      <c r="ABT46" s="71"/>
      <c r="ABU46" s="71"/>
      <c r="ABV46" s="71"/>
      <c r="ABW46" s="71"/>
      <c r="ABX46" s="71"/>
      <c r="ABY46" s="71"/>
      <c r="ABZ46" s="71"/>
      <c r="ACA46" s="71"/>
      <c r="ACB46" s="71"/>
      <c r="ACC46" s="71"/>
      <c r="ACD46" s="71"/>
      <c r="ACE46" s="71"/>
      <c r="ACF46" s="71"/>
      <c r="ACG46" s="71"/>
      <c r="ACH46" s="71"/>
      <c r="ACI46" s="71"/>
      <c r="ACJ46" s="71"/>
      <c r="ACK46" s="71"/>
      <c r="ACL46" s="71"/>
      <c r="ACM46" s="71"/>
      <c r="ACN46" s="71"/>
      <c r="ACO46" s="71"/>
      <c r="ACP46" s="71"/>
      <c r="ACQ46" s="71"/>
      <c r="ACR46" s="71"/>
      <c r="ACS46" s="71"/>
      <c r="ACT46" s="71"/>
      <c r="ACU46" s="71"/>
      <c r="ACV46" s="71"/>
      <c r="ACW46" s="71"/>
      <c r="ACX46" s="71"/>
      <c r="ACY46" s="71"/>
      <c r="ACZ46" s="71"/>
      <c r="ADA46" s="71"/>
      <c r="ADB46" s="71"/>
      <c r="ADC46" s="71"/>
      <c r="ADD46" s="71"/>
      <c r="ADE46" s="71"/>
      <c r="ADF46" s="71"/>
      <c r="ADG46" s="71"/>
      <c r="ADH46" s="71"/>
      <c r="ADI46" s="71"/>
      <c r="ADJ46" s="71"/>
      <c r="ADK46" s="71"/>
      <c r="ADL46" s="71"/>
      <c r="ADM46" s="71"/>
      <c r="ADN46" s="71"/>
      <c r="ADO46" s="71"/>
      <c r="ADP46" s="71"/>
      <c r="ADQ46" s="71"/>
      <c r="ADR46" s="71"/>
      <c r="ADS46" s="71"/>
      <c r="ADT46" s="71"/>
      <c r="ADU46" s="71"/>
      <c r="ADV46" s="71"/>
      <c r="ADW46" s="71"/>
      <c r="ADX46" s="71"/>
      <c r="ADY46" s="71"/>
      <c r="ADZ46" s="71"/>
      <c r="AEA46" s="71"/>
      <c r="AEB46" s="71"/>
      <c r="AEC46" s="71"/>
      <c r="AED46" s="71"/>
      <c r="AEE46" s="71"/>
      <c r="AEF46" s="71"/>
      <c r="AEG46" s="71"/>
      <c r="AEH46" s="71"/>
      <c r="AEI46" s="71"/>
      <c r="AEJ46" s="71"/>
      <c r="AEK46" s="71"/>
      <c r="AEL46" s="71"/>
      <c r="AEM46" s="71"/>
      <c r="AEN46" s="71"/>
      <c r="AEO46" s="71"/>
      <c r="AEP46" s="71"/>
      <c r="AEQ46" s="71"/>
      <c r="AER46" s="71"/>
      <c r="AES46" s="71"/>
      <c r="AET46" s="71"/>
      <c r="AEU46" s="71"/>
      <c r="AEV46" s="71"/>
      <c r="AEW46" s="71"/>
      <c r="AEX46" s="71"/>
      <c r="AEY46" s="71"/>
      <c r="AEZ46" s="71"/>
      <c r="AFA46" s="71"/>
      <c r="AFB46" s="71"/>
      <c r="AFC46" s="71"/>
      <c r="AFD46" s="71"/>
      <c r="AFE46" s="71"/>
      <c r="AFF46" s="71"/>
      <c r="AFG46" s="71"/>
      <c r="AFH46" s="71"/>
      <c r="AFI46" s="71"/>
      <c r="AFJ46" s="71"/>
      <c r="AFK46" s="71"/>
      <c r="AFL46" s="71"/>
      <c r="AFM46" s="71"/>
      <c r="AFN46" s="71"/>
      <c r="AFO46" s="71"/>
      <c r="AFP46" s="71"/>
      <c r="AFQ46" s="71"/>
      <c r="AFR46" s="71"/>
      <c r="AFS46" s="71"/>
      <c r="AFT46" s="71"/>
      <c r="AFU46" s="71"/>
      <c r="AFV46" s="71"/>
      <c r="AFW46" s="71"/>
      <c r="AFX46" s="71"/>
      <c r="AFY46" s="71"/>
      <c r="AFZ46" s="71"/>
      <c r="AGA46" s="71"/>
      <c r="AGB46" s="71"/>
      <c r="AGC46" s="71"/>
      <c r="AGD46" s="71"/>
      <c r="AGE46" s="71"/>
      <c r="AGF46" s="71"/>
      <c r="AGG46" s="71"/>
      <c r="AGH46" s="71"/>
      <c r="AGI46" s="71"/>
      <c r="AGJ46" s="71"/>
      <c r="AGK46" s="71"/>
      <c r="AGL46" s="71"/>
      <c r="AGM46" s="71"/>
      <c r="AGN46" s="71"/>
      <c r="AGO46" s="71"/>
      <c r="AGP46" s="71"/>
      <c r="AGQ46" s="71"/>
      <c r="AGR46" s="71"/>
      <c r="AGS46" s="71"/>
      <c r="AGT46" s="71"/>
      <c r="AGU46" s="71"/>
      <c r="AGV46" s="71"/>
      <c r="AGW46" s="71"/>
      <c r="AGX46" s="71"/>
      <c r="AGY46" s="71"/>
      <c r="AGZ46" s="71"/>
      <c r="AHA46" s="71"/>
      <c r="AHB46" s="71"/>
      <c r="AHC46" s="71"/>
      <c r="AHD46" s="71"/>
      <c r="AHE46" s="71"/>
      <c r="AHF46" s="71"/>
      <c r="AHG46" s="71"/>
      <c r="AHH46" s="71"/>
      <c r="AHI46" s="71"/>
      <c r="AHJ46" s="71"/>
      <c r="AHK46" s="71"/>
      <c r="AHL46" s="71"/>
      <c r="AHM46" s="71"/>
      <c r="AHN46" s="71"/>
      <c r="AHO46" s="71"/>
      <c r="AHP46" s="71"/>
      <c r="AHQ46" s="71"/>
      <c r="AHR46" s="71"/>
      <c r="AHS46" s="71"/>
      <c r="AHT46" s="71"/>
      <c r="AHU46" s="71"/>
      <c r="AHV46" s="71"/>
      <c r="AHW46" s="71"/>
      <c r="AHX46" s="71"/>
      <c r="AHY46" s="71"/>
      <c r="AHZ46" s="71"/>
      <c r="AIA46" s="71"/>
      <c r="AIB46" s="71"/>
      <c r="AIC46" s="71"/>
      <c r="AID46" s="71"/>
      <c r="AIE46" s="71"/>
      <c r="AIF46" s="71"/>
      <c r="AIG46" s="71"/>
      <c r="AIH46" s="71"/>
      <c r="AII46" s="71"/>
      <c r="AIJ46" s="71"/>
      <c r="AIK46" s="71"/>
      <c r="AIL46" s="71"/>
      <c r="AIM46" s="71"/>
      <c r="AIN46" s="71"/>
      <c r="AIO46" s="71"/>
      <c r="AIP46" s="71"/>
      <c r="AIQ46" s="71"/>
      <c r="AIR46" s="71"/>
      <c r="AIS46" s="71"/>
      <c r="AIT46" s="71"/>
      <c r="AIU46" s="71"/>
      <c r="AIV46" s="71"/>
      <c r="AIW46" s="71"/>
      <c r="AIX46" s="71"/>
      <c r="AIY46" s="71"/>
      <c r="AIZ46" s="71"/>
      <c r="AJA46" s="71"/>
      <c r="AJB46" s="71"/>
      <c r="AJC46" s="71"/>
      <c r="AJD46" s="71"/>
      <c r="AJE46" s="71"/>
      <c r="AJF46" s="71"/>
      <c r="AJG46" s="71"/>
      <c r="AJH46" s="71"/>
      <c r="AJI46" s="71"/>
      <c r="AJJ46" s="71"/>
      <c r="AJK46" s="71"/>
      <c r="AJL46" s="71"/>
      <c r="AJM46" s="71"/>
      <c r="AJN46" s="71"/>
      <c r="AJO46" s="71"/>
      <c r="AJP46" s="71"/>
      <c r="AJQ46" s="71"/>
      <c r="AJR46" s="71"/>
      <c r="AJS46" s="71"/>
      <c r="AJT46" s="71"/>
      <c r="AJU46" s="71"/>
      <c r="AJV46" s="71"/>
      <c r="AJW46" s="71"/>
      <c r="AJX46" s="71"/>
      <c r="AJY46" s="71"/>
      <c r="AJZ46" s="71"/>
      <c r="AKA46" s="71"/>
      <c r="AKB46" s="71"/>
      <c r="AKC46" s="71"/>
      <c r="AKD46" s="71"/>
      <c r="AKE46" s="71"/>
      <c r="AKF46" s="71"/>
      <c r="AKG46" s="71"/>
      <c r="AKH46" s="71"/>
      <c r="AKI46" s="71"/>
      <c r="AKJ46" s="71"/>
      <c r="AKK46" s="71"/>
      <c r="AKL46" s="71"/>
      <c r="AKM46" s="71"/>
      <c r="AKN46" s="71"/>
      <c r="AKO46" s="71"/>
      <c r="AKP46" s="71"/>
      <c r="AKQ46" s="71"/>
      <c r="AKR46" s="71"/>
      <c r="AKS46" s="71"/>
      <c r="AKT46" s="71"/>
      <c r="AKU46" s="71"/>
      <c r="AKV46" s="71"/>
      <c r="AKW46" s="71"/>
      <c r="AKX46" s="71"/>
      <c r="AKY46" s="71"/>
      <c r="AKZ46" s="71"/>
      <c r="ALA46" s="71"/>
      <c r="ALB46" s="71"/>
      <c r="ALC46" s="71"/>
      <c r="ALD46" s="71"/>
      <c r="ALE46" s="71"/>
      <c r="ALF46" s="71"/>
      <c r="ALG46" s="71"/>
      <c r="ALH46" s="71"/>
      <c r="ALI46" s="71"/>
      <c r="ALJ46" s="71"/>
      <c r="ALK46" s="71"/>
      <c r="ALL46" s="71"/>
      <c r="ALM46" s="71"/>
      <c r="ALN46" s="71"/>
      <c r="ALO46" s="71"/>
      <c r="ALP46" s="71"/>
      <c r="ALQ46" s="71"/>
      <c r="ALR46" s="71"/>
      <c r="ALS46" s="71"/>
      <c r="ALT46" s="71"/>
      <c r="ALU46" s="71"/>
      <c r="ALV46" s="71"/>
      <c r="ALW46" s="71"/>
      <c r="ALX46" s="71"/>
      <c r="ALY46" s="71"/>
      <c r="ALZ46" s="71"/>
      <c r="AMA46" s="71"/>
      <c r="AMB46" s="71"/>
      <c r="AMC46" s="71"/>
      <c r="AMD46" s="71"/>
      <c r="AME46" s="71"/>
      <c r="AMF46" s="71"/>
      <c r="AMG46" s="71"/>
      <c r="AMH46" s="71"/>
      <c r="AMI46" s="71"/>
      <c r="AMJ46" s="71"/>
    </row>
    <row r="47" spans="1:1024" ht="20.25" customHeight="1" thickBot="1" x14ac:dyDescent="0.25">
      <c r="A47" s="78">
        <v>36</v>
      </c>
      <c r="B47" s="77">
        <f>'Necesidades Trimestrales'!B45</f>
        <v>0</v>
      </c>
      <c r="C47" s="97" t="str">
        <f>'Necesidades Trimestrales'!E45</f>
        <v xml:space="preserve">Lorazepam 2 Mg </v>
      </c>
      <c r="D47" s="97"/>
      <c r="E47" s="97"/>
      <c r="F47" s="97"/>
      <c r="G47" s="97"/>
      <c r="H47" s="76" t="s">
        <v>61</v>
      </c>
      <c r="I47" s="75" t="str">
        <f>'Necesidades Trimestrales'!F45</f>
        <v>COMPRIMIDO</v>
      </c>
      <c r="J47" s="52">
        <f>'Necesidades Trimestrales'!H45</f>
        <v>7.48</v>
      </c>
      <c r="K47" s="74">
        <f>'Necesidades Trimestrales'!G45</f>
        <v>300</v>
      </c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71"/>
      <c r="NK47" s="71"/>
      <c r="NL47" s="71"/>
      <c r="NM47" s="71"/>
      <c r="NN47" s="71"/>
      <c r="NO47" s="71"/>
      <c r="NP47" s="71"/>
      <c r="NQ47" s="71"/>
      <c r="NR47" s="71"/>
      <c r="NS47" s="71"/>
      <c r="NT47" s="71"/>
      <c r="NU47" s="71"/>
      <c r="NV47" s="71"/>
      <c r="NW47" s="71"/>
      <c r="NX47" s="71"/>
      <c r="NY47" s="71"/>
      <c r="NZ47" s="71"/>
      <c r="OA47" s="71"/>
      <c r="OB47" s="71"/>
      <c r="OC47" s="71"/>
      <c r="OD47" s="71"/>
      <c r="OE47" s="71"/>
      <c r="OF47" s="71"/>
      <c r="OG47" s="71"/>
      <c r="OH47" s="71"/>
      <c r="OI47" s="71"/>
      <c r="OJ47" s="71"/>
      <c r="OK47" s="71"/>
      <c r="OL47" s="71"/>
      <c r="OM47" s="71"/>
      <c r="ON47" s="71"/>
      <c r="OO47" s="71"/>
      <c r="OP47" s="71"/>
      <c r="OQ47" s="71"/>
      <c r="OR47" s="71"/>
      <c r="OS47" s="71"/>
      <c r="OT47" s="71"/>
      <c r="OU47" s="71"/>
      <c r="OV47" s="71"/>
      <c r="OW47" s="71"/>
      <c r="OX47" s="71"/>
      <c r="OY47" s="71"/>
      <c r="OZ47" s="71"/>
      <c r="PA47" s="71"/>
      <c r="PB47" s="71"/>
      <c r="PC47" s="71"/>
      <c r="PD47" s="71"/>
      <c r="PE47" s="71"/>
      <c r="PF47" s="71"/>
      <c r="PG47" s="71"/>
      <c r="PH47" s="71"/>
      <c r="PI47" s="71"/>
      <c r="PJ47" s="71"/>
      <c r="PK47" s="71"/>
      <c r="PL47" s="71"/>
      <c r="PM47" s="71"/>
      <c r="PN47" s="71"/>
      <c r="PO47" s="71"/>
      <c r="PP47" s="71"/>
      <c r="PQ47" s="71"/>
      <c r="PR47" s="71"/>
      <c r="PS47" s="71"/>
      <c r="PT47" s="71"/>
      <c r="PU47" s="71"/>
      <c r="PV47" s="71"/>
      <c r="PW47" s="71"/>
      <c r="PX47" s="71"/>
      <c r="PY47" s="71"/>
      <c r="PZ47" s="71"/>
      <c r="QA47" s="71"/>
      <c r="QB47" s="71"/>
      <c r="QC47" s="71"/>
      <c r="QD47" s="71"/>
      <c r="QE47" s="71"/>
      <c r="QF47" s="71"/>
      <c r="QG47" s="71"/>
      <c r="QH47" s="71"/>
      <c r="QI47" s="71"/>
      <c r="QJ47" s="71"/>
      <c r="QK47" s="71"/>
      <c r="QL47" s="71"/>
      <c r="QM47" s="71"/>
      <c r="QN47" s="71"/>
      <c r="QO47" s="71"/>
      <c r="QP47" s="71"/>
      <c r="QQ47" s="71"/>
      <c r="QR47" s="71"/>
      <c r="QS47" s="71"/>
      <c r="QT47" s="71"/>
      <c r="QU47" s="71"/>
      <c r="QV47" s="71"/>
      <c r="QW47" s="71"/>
      <c r="QX47" s="71"/>
      <c r="QY47" s="71"/>
      <c r="QZ47" s="71"/>
      <c r="RA47" s="71"/>
      <c r="RB47" s="71"/>
      <c r="RC47" s="71"/>
      <c r="RD47" s="71"/>
      <c r="RE47" s="71"/>
      <c r="RF47" s="71"/>
      <c r="RG47" s="71"/>
      <c r="RH47" s="71"/>
      <c r="RI47" s="71"/>
      <c r="RJ47" s="71"/>
      <c r="RK47" s="71"/>
      <c r="RL47" s="71"/>
      <c r="RM47" s="71"/>
      <c r="RN47" s="71"/>
      <c r="RO47" s="71"/>
      <c r="RP47" s="71"/>
      <c r="RQ47" s="71"/>
      <c r="RR47" s="71"/>
      <c r="RS47" s="71"/>
      <c r="RT47" s="71"/>
      <c r="RU47" s="71"/>
      <c r="RV47" s="71"/>
      <c r="RW47" s="71"/>
      <c r="RX47" s="71"/>
      <c r="RY47" s="71"/>
      <c r="RZ47" s="71"/>
      <c r="SA47" s="71"/>
      <c r="SB47" s="71"/>
      <c r="SC47" s="71"/>
      <c r="SD47" s="71"/>
      <c r="SE47" s="71"/>
      <c r="SF47" s="71"/>
      <c r="SG47" s="71"/>
      <c r="SH47" s="71"/>
      <c r="SI47" s="71"/>
      <c r="SJ47" s="71"/>
      <c r="SK47" s="71"/>
      <c r="SL47" s="71"/>
      <c r="SM47" s="71"/>
      <c r="SN47" s="71"/>
      <c r="SO47" s="71"/>
      <c r="SP47" s="71"/>
      <c r="SQ47" s="71"/>
      <c r="SR47" s="71"/>
      <c r="SS47" s="71"/>
      <c r="ST47" s="71"/>
      <c r="SU47" s="71"/>
      <c r="SV47" s="71"/>
      <c r="SW47" s="71"/>
      <c r="SX47" s="71"/>
      <c r="SY47" s="71"/>
      <c r="SZ47" s="71"/>
      <c r="TA47" s="71"/>
      <c r="TB47" s="71"/>
      <c r="TC47" s="71"/>
      <c r="TD47" s="71"/>
      <c r="TE47" s="71"/>
      <c r="TF47" s="71"/>
      <c r="TG47" s="71"/>
      <c r="TH47" s="71"/>
      <c r="TI47" s="71"/>
      <c r="TJ47" s="71"/>
      <c r="TK47" s="71"/>
      <c r="TL47" s="71"/>
      <c r="TM47" s="71"/>
      <c r="TN47" s="71"/>
      <c r="TO47" s="71"/>
      <c r="TP47" s="71"/>
      <c r="TQ47" s="71"/>
      <c r="TR47" s="71"/>
      <c r="TS47" s="71"/>
      <c r="TT47" s="71"/>
      <c r="TU47" s="71"/>
      <c r="TV47" s="71"/>
      <c r="TW47" s="71"/>
      <c r="TX47" s="71"/>
      <c r="TY47" s="71"/>
      <c r="TZ47" s="71"/>
      <c r="UA47" s="71"/>
      <c r="UB47" s="71"/>
      <c r="UC47" s="71"/>
      <c r="UD47" s="71"/>
      <c r="UE47" s="71"/>
      <c r="UF47" s="71"/>
      <c r="UG47" s="71"/>
      <c r="UH47" s="71"/>
      <c r="UI47" s="71"/>
      <c r="UJ47" s="71"/>
      <c r="UK47" s="71"/>
      <c r="UL47" s="71"/>
      <c r="UM47" s="71"/>
      <c r="UN47" s="71"/>
      <c r="UO47" s="71"/>
      <c r="UP47" s="71"/>
      <c r="UQ47" s="71"/>
      <c r="UR47" s="71"/>
      <c r="US47" s="71"/>
      <c r="UT47" s="71"/>
      <c r="UU47" s="71"/>
      <c r="UV47" s="71"/>
      <c r="UW47" s="71"/>
      <c r="UX47" s="71"/>
      <c r="UY47" s="71"/>
      <c r="UZ47" s="71"/>
      <c r="VA47" s="71"/>
      <c r="VB47" s="71"/>
      <c r="VC47" s="71"/>
      <c r="VD47" s="71"/>
      <c r="VE47" s="71"/>
      <c r="VF47" s="71"/>
      <c r="VG47" s="71"/>
      <c r="VH47" s="71"/>
      <c r="VI47" s="71"/>
      <c r="VJ47" s="71"/>
      <c r="VK47" s="71"/>
      <c r="VL47" s="71"/>
      <c r="VM47" s="71"/>
      <c r="VN47" s="71"/>
      <c r="VO47" s="71"/>
      <c r="VP47" s="71"/>
      <c r="VQ47" s="71"/>
      <c r="VR47" s="71"/>
      <c r="VS47" s="71"/>
      <c r="VT47" s="71"/>
      <c r="VU47" s="71"/>
      <c r="VV47" s="71"/>
      <c r="VW47" s="71"/>
      <c r="VX47" s="71"/>
      <c r="VY47" s="71"/>
      <c r="VZ47" s="71"/>
      <c r="WA47" s="71"/>
      <c r="WB47" s="71"/>
      <c r="WC47" s="71"/>
      <c r="WD47" s="71"/>
      <c r="WE47" s="71"/>
      <c r="WF47" s="71"/>
      <c r="WG47" s="71"/>
      <c r="WH47" s="71"/>
      <c r="WI47" s="71"/>
      <c r="WJ47" s="71"/>
      <c r="WK47" s="71"/>
      <c r="WL47" s="71"/>
      <c r="WM47" s="71"/>
      <c r="WN47" s="71"/>
      <c r="WO47" s="71"/>
      <c r="WP47" s="71"/>
      <c r="WQ47" s="71"/>
      <c r="WR47" s="71"/>
      <c r="WS47" s="71"/>
      <c r="WT47" s="71"/>
      <c r="WU47" s="71"/>
      <c r="WV47" s="71"/>
      <c r="WW47" s="71"/>
      <c r="WX47" s="71"/>
      <c r="WY47" s="71"/>
      <c r="WZ47" s="71"/>
      <c r="XA47" s="71"/>
      <c r="XB47" s="71"/>
      <c r="XC47" s="71"/>
      <c r="XD47" s="71"/>
      <c r="XE47" s="71"/>
      <c r="XF47" s="71"/>
      <c r="XG47" s="71"/>
      <c r="XH47" s="71"/>
      <c r="XI47" s="71"/>
      <c r="XJ47" s="71"/>
      <c r="XK47" s="71"/>
      <c r="XL47" s="71"/>
      <c r="XM47" s="71"/>
      <c r="XN47" s="71"/>
      <c r="XO47" s="71"/>
      <c r="XP47" s="71"/>
      <c r="XQ47" s="71"/>
      <c r="XR47" s="71"/>
      <c r="XS47" s="71"/>
      <c r="XT47" s="71"/>
      <c r="XU47" s="71"/>
      <c r="XV47" s="71"/>
      <c r="XW47" s="71"/>
      <c r="XX47" s="71"/>
      <c r="XY47" s="71"/>
      <c r="XZ47" s="71"/>
      <c r="YA47" s="71"/>
      <c r="YB47" s="71"/>
      <c r="YC47" s="71"/>
      <c r="YD47" s="71"/>
      <c r="YE47" s="71"/>
      <c r="YF47" s="71"/>
      <c r="YG47" s="71"/>
      <c r="YH47" s="71"/>
      <c r="YI47" s="71"/>
      <c r="YJ47" s="71"/>
      <c r="YK47" s="71"/>
      <c r="YL47" s="71"/>
      <c r="YM47" s="71"/>
      <c r="YN47" s="71"/>
      <c r="YO47" s="71"/>
      <c r="YP47" s="71"/>
      <c r="YQ47" s="71"/>
      <c r="YR47" s="71"/>
      <c r="YS47" s="71"/>
      <c r="YT47" s="71"/>
      <c r="YU47" s="71"/>
      <c r="YV47" s="71"/>
      <c r="YW47" s="71"/>
      <c r="YX47" s="71"/>
      <c r="YY47" s="71"/>
      <c r="YZ47" s="71"/>
      <c r="ZA47" s="71"/>
      <c r="ZB47" s="71"/>
      <c r="ZC47" s="71"/>
      <c r="ZD47" s="71"/>
      <c r="ZE47" s="71"/>
      <c r="ZF47" s="71"/>
      <c r="ZG47" s="71"/>
      <c r="ZH47" s="71"/>
      <c r="ZI47" s="71"/>
      <c r="ZJ47" s="71"/>
      <c r="ZK47" s="71"/>
      <c r="ZL47" s="71"/>
      <c r="ZM47" s="71"/>
      <c r="ZN47" s="71"/>
      <c r="ZO47" s="71"/>
      <c r="ZP47" s="71"/>
      <c r="ZQ47" s="71"/>
      <c r="ZR47" s="71"/>
      <c r="ZS47" s="71"/>
      <c r="ZT47" s="71"/>
      <c r="ZU47" s="71"/>
      <c r="ZV47" s="71"/>
      <c r="ZW47" s="71"/>
      <c r="ZX47" s="71"/>
      <c r="ZY47" s="71"/>
      <c r="ZZ47" s="71"/>
      <c r="AAA47" s="71"/>
      <c r="AAB47" s="71"/>
      <c r="AAC47" s="71"/>
      <c r="AAD47" s="71"/>
      <c r="AAE47" s="71"/>
      <c r="AAF47" s="71"/>
      <c r="AAG47" s="71"/>
      <c r="AAH47" s="71"/>
      <c r="AAI47" s="71"/>
      <c r="AAJ47" s="71"/>
      <c r="AAK47" s="71"/>
      <c r="AAL47" s="71"/>
      <c r="AAM47" s="71"/>
      <c r="AAN47" s="71"/>
      <c r="AAO47" s="71"/>
      <c r="AAP47" s="71"/>
      <c r="AAQ47" s="71"/>
      <c r="AAR47" s="71"/>
      <c r="AAS47" s="71"/>
      <c r="AAT47" s="71"/>
      <c r="AAU47" s="71"/>
      <c r="AAV47" s="71"/>
      <c r="AAW47" s="71"/>
      <c r="AAX47" s="71"/>
      <c r="AAY47" s="71"/>
      <c r="AAZ47" s="71"/>
      <c r="ABA47" s="71"/>
      <c r="ABB47" s="71"/>
      <c r="ABC47" s="71"/>
      <c r="ABD47" s="71"/>
      <c r="ABE47" s="71"/>
      <c r="ABF47" s="71"/>
      <c r="ABG47" s="71"/>
      <c r="ABH47" s="71"/>
      <c r="ABI47" s="71"/>
      <c r="ABJ47" s="71"/>
      <c r="ABK47" s="71"/>
      <c r="ABL47" s="71"/>
      <c r="ABM47" s="71"/>
      <c r="ABN47" s="71"/>
      <c r="ABO47" s="71"/>
      <c r="ABP47" s="71"/>
      <c r="ABQ47" s="71"/>
      <c r="ABR47" s="71"/>
      <c r="ABS47" s="71"/>
      <c r="ABT47" s="71"/>
      <c r="ABU47" s="71"/>
      <c r="ABV47" s="71"/>
      <c r="ABW47" s="71"/>
      <c r="ABX47" s="71"/>
      <c r="ABY47" s="71"/>
      <c r="ABZ47" s="71"/>
      <c r="ACA47" s="71"/>
      <c r="ACB47" s="71"/>
      <c r="ACC47" s="71"/>
      <c r="ACD47" s="71"/>
      <c r="ACE47" s="71"/>
      <c r="ACF47" s="71"/>
      <c r="ACG47" s="71"/>
      <c r="ACH47" s="71"/>
      <c r="ACI47" s="71"/>
      <c r="ACJ47" s="71"/>
      <c r="ACK47" s="71"/>
      <c r="ACL47" s="71"/>
      <c r="ACM47" s="71"/>
      <c r="ACN47" s="71"/>
      <c r="ACO47" s="71"/>
      <c r="ACP47" s="71"/>
      <c r="ACQ47" s="71"/>
      <c r="ACR47" s="71"/>
      <c r="ACS47" s="71"/>
      <c r="ACT47" s="71"/>
      <c r="ACU47" s="71"/>
      <c r="ACV47" s="71"/>
      <c r="ACW47" s="71"/>
      <c r="ACX47" s="71"/>
      <c r="ACY47" s="71"/>
      <c r="ACZ47" s="71"/>
      <c r="ADA47" s="71"/>
      <c r="ADB47" s="71"/>
      <c r="ADC47" s="71"/>
      <c r="ADD47" s="71"/>
      <c r="ADE47" s="71"/>
      <c r="ADF47" s="71"/>
      <c r="ADG47" s="71"/>
      <c r="ADH47" s="71"/>
      <c r="ADI47" s="71"/>
      <c r="ADJ47" s="71"/>
      <c r="ADK47" s="71"/>
      <c r="ADL47" s="71"/>
      <c r="ADM47" s="71"/>
      <c r="ADN47" s="71"/>
      <c r="ADO47" s="71"/>
      <c r="ADP47" s="71"/>
      <c r="ADQ47" s="71"/>
      <c r="ADR47" s="71"/>
      <c r="ADS47" s="71"/>
      <c r="ADT47" s="71"/>
      <c r="ADU47" s="71"/>
      <c r="ADV47" s="71"/>
      <c r="ADW47" s="71"/>
      <c r="ADX47" s="71"/>
      <c r="ADY47" s="71"/>
      <c r="ADZ47" s="71"/>
      <c r="AEA47" s="71"/>
      <c r="AEB47" s="71"/>
      <c r="AEC47" s="71"/>
      <c r="AED47" s="71"/>
      <c r="AEE47" s="71"/>
      <c r="AEF47" s="71"/>
      <c r="AEG47" s="71"/>
      <c r="AEH47" s="71"/>
      <c r="AEI47" s="71"/>
      <c r="AEJ47" s="71"/>
      <c r="AEK47" s="71"/>
      <c r="AEL47" s="71"/>
      <c r="AEM47" s="71"/>
      <c r="AEN47" s="71"/>
      <c r="AEO47" s="71"/>
      <c r="AEP47" s="71"/>
      <c r="AEQ47" s="71"/>
      <c r="AER47" s="71"/>
      <c r="AES47" s="71"/>
      <c r="AET47" s="71"/>
      <c r="AEU47" s="71"/>
      <c r="AEV47" s="71"/>
      <c r="AEW47" s="71"/>
      <c r="AEX47" s="71"/>
      <c r="AEY47" s="71"/>
      <c r="AEZ47" s="71"/>
      <c r="AFA47" s="71"/>
      <c r="AFB47" s="71"/>
      <c r="AFC47" s="71"/>
      <c r="AFD47" s="71"/>
      <c r="AFE47" s="71"/>
      <c r="AFF47" s="71"/>
      <c r="AFG47" s="71"/>
      <c r="AFH47" s="71"/>
      <c r="AFI47" s="71"/>
      <c r="AFJ47" s="71"/>
      <c r="AFK47" s="71"/>
      <c r="AFL47" s="71"/>
      <c r="AFM47" s="71"/>
      <c r="AFN47" s="71"/>
      <c r="AFO47" s="71"/>
      <c r="AFP47" s="71"/>
      <c r="AFQ47" s="71"/>
      <c r="AFR47" s="71"/>
      <c r="AFS47" s="71"/>
      <c r="AFT47" s="71"/>
      <c r="AFU47" s="71"/>
      <c r="AFV47" s="71"/>
      <c r="AFW47" s="71"/>
      <c r="AFX47" s="71"/>
      <c r="AFY47" s="71"/>
      <c r="AFZ47" s="71"/>
      <c r="AGA47" s="71"/>
      <c r="AGB47" s="71"/>
      <c r="AGC47" s="71"/>
      <c r="AGD47" s="71"/>
      <c r="AGE47" s="71"/>
      <c r="AGF47" s="71"/>
      <c r="AGG47" s="71"/>
      <c r="AGH47" s="71"/>
      <c r="AGI47" s="71"/>
      <c r="AGJ47" s="71"/>
      <c r="AGK47" s="71"/>
      <c r="AGL47" s="71"/>
      <c r="AGM47" s="71"/>
      <c r="AGN47" s="71"/>
      <c r="AGO47" s="71"/>
      <c r="AGP47" s="71"/>
      <c r="AGQ47" s="71"/>
      <c r="AGR47" s="71"/>
      <c r="AGS47" s="71"/>
      <c r="AGT47" s="71"/>
      <c r="AGU47" s="71"/>
      <c r="AGV47" s="71"/>
      <c r="AGW47" s="71"/>
      <c r="AGX47" s="71"/>
      <c r="AGY47" s="71"/>
      <c r="AGZ47" s="71"/>
      <c r="AHA47" s="71"/>
      <c r="AHB47" s="71"/>
      <c r="AHC47" s="71"/>
      <c r="AHD47" s="71"/>
      <c r="AHE47" s="71"/>
      <c r="AHF47" s="71"/>
      <c r="AHG47" s="71"/>
      <c r="AHH47" s="71"/>
      <c r="AHI47" s="71"/>
      <c r="AHJ47" s="71"/>
      <c r="AHK47" s="71"/>
      <c r="AHL47" s="71"/>
      <c r="AHM47" s="71"/>
      <c r="AHN47" s="71"/>
      <c r="AHO47" s="71"/>
      <c r="AHP47" s="71"/>
      <c r="AHQ47" s="71"/>
      <c r="AHR47" s="71"/>
      <c r="AHS47" s="71"/>
      <c r="AHT47" s="71"/>
      <c r="AHU47" s="71"/>
      <c r="AHV47" s="71"/>
      <c r="AHW47" s="71"/>
      <c r="AHX47" s="71"/>
      <c r="AHY47" s="71"/>
      <c r="AHZ47" s="71"/>
      <c r="AIA47" s="71"/>
      <c r="AIB47" s="71"/>
      <c r="AIC47" s="71"/>
      <c r="AID47" s="71"/>
      <c r="AIE47" s="71"/>
      <c r="AIF47" s="71"/>
      <c r="AIG47" s="71"/>
      <c r="AIH47" s="71"/>
      <c r="AII47" s="71"/>
      <c r="AIJ47" s="71"/>
      <c r="AIK47" s="71"/>
      <c r="AIL47" s="71"/>
      <c r="AIM47" s="71"/>
      <c r="AIN47" s="71"/>
      <c r="AIO47" s="71"/>
      <c r="AIP47" s="71"/>
      <c r="AIQ47" s="71"/>
      <c r="AIR47" s="71"/>
      <c r="AIS47" s="71"/>
      <c r="AIT47" s="71"/>
      <c r="AIU47" s="71"/>
      <c r="AIV47" s="71"/>
      <c r="AIW47" s="71"/>
      <c r="AIX47" s="71"/>
      <c r="AIY47" s="71"/>
      <c r="AIZ47" s="71"/>
      <c r="AJA47" s="71"/>
      <c r="AJB47" s="71"/>
      <c r="AJC47" s="71"/>
      <c r="AJD47" s="71"/>
      <c r="AJE47" s="71"/>
      <c r="AJF47" s="71"/>
      <c r="AJG47" s="71"/>
      <c r="AJH47" s="71"/>
      <c r="AJI47" s="71"/>
      <c r="AJJ47" s="71"/>
      <c r="AJK47" s="71"/>
      <c r="AJL47" s="71"/>
      <c r="AJM47" s="71"/>
      <c r="AJN47" s="71"/>
      <c r="AJO47" s="71"/>
      <c r="AJP47" s="71"/>
      <c r="AJQ47" s="71"/>
      <c r="AJR47" s="71"/>
      <c r="AJS47" s="71"/>
      <c r="AJT47" s="71"/>
      <c r="AJU47" s="71"/>
      <c r="AJV47" s="71"/>
      <c r="AJW47" s="71"/>
      <c r="AJX47" s="71"/>
      <c r="AJY47" s="71"/>
      <c r="AJZ47" s="71"/>
      <c r="AKA47" s="71"/>
      <c r="AKB47" s="71"/>
      <c r="AKC47" s="71"/>
      <c r="AKD47" s="71"/>
      <c r="AKE47" s="71"/>
      <c r="AKF47" s="71"/>
      <c r="AKG47" s="71"/>
      <c r="AKH47" s="71"/>
      <c r="AKI47" s="71"/>
      <c r="AKJ47" s="71"/>
      <c r="AKK47" s="71"/>
      <c r="AKL47" s="71"/>
      <c r="AKM47" s="71"/>
      <c r="AKN47" s="71"/>
      <c r="AKO47" s="71"/>
      <c r="AKP47" s="71"/>
      <c r="AKQ47" s="71"/>
      <c r="AKR47" s="71"/>
      <c r="AKS47" s="71"/>
      <c r="AKT47" s="71"/>
      <c r="AKU47" s="71"/>
      <c r="AKV47" s="71"/>
      <c r="AKW47" s="71"/>
      <c r="AKX47" s="71"/>
      <c r="AKY47" s="71"/>
      <c r="AKZ47" s="71"/>
      <c r="ALA47" s="71"/>
      <c r="ALB47" s="71"/>
      <c r="ALC47" s="71"/>
      <c r="ALD47" s="71"/>
      <c r="ALE47" s="71"/>
      <c r="ALF47" s="71"/>
      <c r="ALG47" s="71"/>
      <c r="ALH47" s="71"/>
      <c r="ALI47" s="71"/>
      <c r="ALJ47" s="71"/>
      <c r="ALK47" s="71"/>
      <c r="ALL47" s="71"/>
      <c r="ALM47" s="71"/>
      <c r="ALN47" s="71"/>
      <c r="ALO47" s="71"/>
      <c r="ALP47" s="71"/>
      <c r="ALQ47" s="71"/>
      <c r="ALR47" s="71"/>
      <c r="ALS47" s="71"/>
      <c r="ALT47" s="71"/>
      <c r="ALU47" s="71"/>
      <c r="ALV47" s="71"/>
      <c r="ALW47" s="71"/>
      <c r="ALX47" s="71"/>
      <c r="ALY47" s="71"/>
      <c r="ALZ47" s="71"/>
      <c r="AMA47" s="71"/>
      <c r="AMB47" s="71"/>
      <c r="AMC47" s="71"/>
      <c r="AMD47" s="71"/>
      <c r="AME47" s="71"/>
      <c r="AMF47" s="71"/>
      <c r="AMG47" s="71"/>
      <c r="AMH47" s="71"/>
      <c r="AMI47" s="71"/>
      <c r="AMJ47" s="71"/>
    </row>
    <row r="48" spans="1:1024" ht="19.5" customHeight="1" thickBot="1" x14ac:dyDescent="0.25">
      <c r="A48" s="78">
        <v>37</v>
      </c>
      <c r="B48" s="77">
        <f>'Necesidades Trimestrales'!B46</f>
        <v>0</v>
      </c>
      <c r="C48" s="97" t="str">
        <f>'Necesidades Trimestrales'!E46</f>
        <v xml:space="preserve">Lorazepam 2,5Mg </v>
      </c>
      <c r="D48" s="97"/>
      <c r="E48" s="97"/>
      <c r="F48" s="97"/>
      <c r="G48" s="97"/>
      <c r="H48" s="76" t="s">
        <v>61</v>
      </c>
      <c r="I48" s="75" t="str">
        <f>'Necesidades Trimestrales'!F46</f>
        <v>COMPRIMIDO</v>
      </c>
      <c r="J48" s="52">
        <f>'Necesidades Trimestrales'!H46</f>
        <v>2</v>
      </c>
      <c r="K48" s="74">
        <f>'Necesidades Trimestrales'!G46</f>
        <v>800</v>
      </c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71"/>
      <c r="NK48" s="71"/>
      <c r="NL48" s="71"/>
      <c r="NM48" s="71"/>
      <c r="NN48" s="71"/>
      <c r="NO48" s="71"/>
      <c r="NP48" s="71"/>
      <c r="NQ48" s="71"/>
      <c r="NR48" s="71"/>
      <c r="NS48" s="71"/>
      <c r="NT48" s="71"/>
      <c r="NU48" s="71"/>
      <c r="NV48" s="71"/>
      <c r="NW48" s="71"/>
      <c r="NX48" s="71"/>
      <c r="NY48" s="71"/>
      <c r="NZ48" s="71"/>
      <c r="OA48" s="71"/>
      <c r="OB48" s="71"/>
      <c r="OC48" s="71"/>
      <c r="OD48" s="71"/>
      <c r="OE48" s="71"/>
      <c r="OF48" s="71"/>
      <c r="OG48" s="71"/>
      <c r="OH48" s="71"/>
      <c r="OI48" s="71"/>
      <c r="OJ48" s="71"/>
      <c r="OK48" s="71"/>
      <c r="OL48" s="71"/>
      <c r="OM48" s="71"/>
      <c r="ON48" s="71"/>
      <c r="OO48" s="71"/>
      <c r="OP48" s="71"/>
      <c r="OQ48" s="71"/>
      <c r="OR48" s="71"/>
      <c r="OS48" s="71"/>
      <c r="OT48" s="71"/>
      <c r="OU48" s="71"/>
      <c r="OV48" s="71"/>
      <c r="OW48" s="71"/>
      <c r="OX48" s="71"/>
      <c r="OY48" s="71"/>
      <c r="OZ48" s="71"/>
      <c r="PA48" s="71"/>
      <c r="PB48" s="71"/>
      <c r="PC48" s="71"/>
      <c r="PD48" s="71"/>
      <c r="PE48" s="71"/>
      <c r="PF48" s="71"/>
      <c r="PG48" s="71"/>
      <c r="PH48" s="71"/>
      <c r="PI48" s="71"/>
      <c r="PJ48" s="71"/>
      <c r="PK48" s="71"/>
      <c r="PL48" s="71"/>
      <c r="PM48" s="71"/>
      <c r="PN48" s="71"/>
      <c r="PO48" s="71"/>
      <c r="PP48" s="71"/>
      <c r="PQ48" s="71"/>
      <c r="PR48" s="71"/>
      <c r="PS48" s="71"/>
      <c r="PT48" s="71"/>
      <c r="PU48" s="71"/>
      <c r="PV48" s="71"/>
      <c r="PW48" s="71"/>
      <c r="PX48" s="71"/>
      <c r="PY48" s="71"/>
      <c r="PZ48" s="71"/>
      <c r="QA48" s="71"/>
      <c r="QB48" s="71"/>
      <c r="QC48" s="71"/>
      <c r="QD48" s="71"/>
      <c r="QE48" s="71"/>
      <c r="QF48" s="71"/>
      <c r="QG48" s="71"/>
      <c r="QH48" s="71"/>
      <c r="QI48" s="71"/>
      <c r="QJ48" s="71"/>
      <c r="QK48" s="71"/>
      <c r="QL48" s="71"/>
      <c r="QM48" s="71"/>
      <c r="QN48" s="71"/>
      <c r="QO48" s="71"/>
      <c r="QP48" s="71"/>
      <c r="QQ48" s="71"/>
      <c r="QR48" s="71"/>
      <c r="QS48" s="71"/>
      <c r="QT48" s="71"/>
      <c r="QU48" s="71"/>
      <c r="QV48" s="71"/>
      <c r="QW48" s="71"/>
      <c r="QX48" s="71"/>
      <c r="QY48" s="71"/>
      <c r="QZ48" s="71"/>
      <c r="RA48" s="71"/>
      <c r="RB48" s="71"/>
      <c r="RC48" s="71"/>
      <c r="RD48" s="71"/>
      <c r="RE48" s="71"/>
      <c r="RF48" s="71"/>
      <c r="RG48" s="71"/>
      <c r="RH48" s="71"/>
      <c r="RI48" s="71"/>
      <c r="RJ48" s="71"/>
      <c r="RK48" s="71"/>
      <c r="RL48" s="71"/>
      <c r="RM48" s="71"/>
      <c r="RN48" s="71"/>
      <c r="RO48" s="71"/>
      <c r="RP48" s="71"/>
      <c r="RQ48" s="71"/>
      <c r="RR48" s="71"/>
      <c r="RS48" s="71"/>
      <c r="RT48" s="71"/>
      <c r="RU48" s="71"/>
      <c r="RV48" s="71"/>
      <c r="RW48" s="71"/>
      <c r="RX48" s="71"/>
      <c r="RY48" s="71"/>
      <c r="RZ48" s="71"/>
      <c r="SA48" s="71"/>
      <c r="SB48" s="71"/>
      <c r="SC48" s="71"/>
      <c r="SD48" s="71"/>
      <c r="SE48" s="71"/>
      <c r="SF48" s="71"/>
      <c r="SG48" s="71"/>
      <c r="SH48" s="71"/>
      <c r="SI48" s="71"/>
      <c r="SJ48" s="71"/>
      <c r="SK48" s="71"/>
      <c r="SL48" s="71"/>
      <c r="SM48" s="71"/>
      <c r="SN48" s="71"/>
      <c r="SO48" s="71"/>
      <c r="SP48" s="71"/>
      <c r="SQ48" s="71"/>
      <c r="SR48" s="71"/>
      <c r="SS48" s="71"/>
      <c r="ST48" s="71"/>
      <c r="SU48" s="71"/>
      <c r="SV48" s="71"/>
      <c r="SW48" s="71"/>
      <c r="SX48" s="71"/>
      <c r="SY48" s="71"/>
      <c r="SZ48" s="71"/>
      <c r="TA48" s="71"/>
      <c r="TB48" s="71"/>
      <c r="TC48" s="71"/>
      <c r="TD48" s="71"/>
      <c r="TE48" s="71"/>
      <c r="TF48" s="71"/>
      <c r="TG48" s="71"/>
      <c r="TH48" s="71"/>
      <c r="TI48" s="71"/>
      <c r="TJ48" s="71"/>
      <c r="TK48" s="71"/>
      <c r="TL48" s="71"/>
      <c r="TM48" s="71"/>
      <c r="TN48" s="71"/>
      <c r="TO48" s="71"/>
      <c r="TP48" s="71"/>
      <c r="TQ48" s="71"/>
      <c r="TR48" s="71"/>
      <c r="TS48" s="71"/>
      <c r="TT48" s="71"/>
      <c r="TU48" s="71"/>
      <c r="TV48" s="71"/>
      <c r="TW48" s="71"/>
      <c r="TX48" s="71"/>
      <c r="TY48" s="71"/>
      <c r="TZ48" s="71"/>
      <c r="UA48" s="71"/>
      <c r="UB48" s="71"/>
      <c r="UC48" s="71"/>
      <c r="UD48" s="71"/>
      <c r="UE48" s="71"/>
      <c r="UF48" s="71"/>
      <c r="UG48" s="71"/>
      <c r="UH48" s="71"/>
      <c r="UI48" s="71"/>
      <c r="UJ48" s="71"/>
      <c r="UK48" s="71"/>
      <c r="UL48" s="71"/>
      <c r="UM48" s="71"/>
      <c r="UN48" s="71"/>
      <c r="UO48" s="71"/>
      <c r="UP48" s="71"/>
      <c r="UQ48" s="71"/>
      <c r="UR48" s="71"/>
      <c r="US48" s="71"/>
      <c r="UT48" s="71"/>
      <c r="UU48" s="71"/>
      <c r="UV48" s="71"/>
      <c r="UW48" s="71"/>
      <c r="UX48" s="71"/>
      <c r="UY48" s="71"/>
      <c r="UZ48" s="71"/>
      <c r="VA48" s="71"/>
      <c r="VB48" s="71"/>
      <c r="VC48" s="71"/>
      <c r="VD48" s="71"/>
      <c r="VE48" s="71"/>
      <c r="VF48" s="71"/>
      <c r="VG48" s="71"/>
      <c r="VH48" s="71"/>
      <c r="VI48" s="71"/>
      <c r="VJ48" s="71"/>
      <c r="VK48" s="71"/>
      <c r="VL48" s="71"/>
      <c r="VM48" s="71"/>
      <c r="VN48" s="71"/>
      <c r="VO48" s="71"/>
      <c r="VP48" s="71"/>
      <c r="VQ48" s="71"/>
      <c r="VR48" s="71"/>
      <c r="VS48" s="71"/>
      <c r="VT48" s="71"/>
      <c r="VU48" s="71"/>
      <c r="VV48" s="71"/>
      <c r="VW48" s="71"/>
      <c r="VX48" s="71"/>
      <c r="VY48" s="71"/>
      <c r="VZ48" s="71"/>
      <c r="WA48" s="71"/>
      <c r="WB48" s="71"/>
      <c r="WC48" s="71"/>
      <c r="WD48" s="71"/>
      <c r="WE48" s="71"/>
      <c r="WF48" s="71"/>
      <c r="WG48" s="71"/>
      <c r="WH48" s="71"/>
      <c r="WI48" s="71"/>
      <c r="WJ48" s="71"/>
      <c r="WK48" s="71"/>
      <c r="WL48" s="71"/>
      <c r="WM48" s="71"/>
      <c r="WN48" s="71"/>
      <c r="WO48" s="71"/>
      <c r="WP48" s="71"/>
      <c r="WQ48" s="71"/>
      <c r="WR48" s="71"/>
      <c r="WS48" s="71"/>
      <c r="WT48" s="71"/>
      <c r="WU48" s="71"/>
      <c r="WV48" s="71"/>
      <c r="WW48" s="71"/>
      <c r="WX48" s="71"/>
      <c r="WY48" s="71"/>
      <c r="WZ48" s="71"/>
      <c r="XA48" s="71"/>
      <c r="XB48" s="71"/>
      <c r="XC48" s="71"/>
      <c r="XD48" s="71"/>
      <c r="XE48" s="71"/>
      <c r="XF48" s="71"/>
      <c r="XG48" s="71"/>
      <c r="XH48" s="71"/>
      <c r="XI48" s="71"/>
      <c r="XJ48" s="71"/>
      <c r="XK48" s="71"/>
      <c r="XL48" s="71"/>
      <c r="XM48" s="71"/>
      <c r="XN48" s="71"/>
      <c r="XO48" s="71"/>
      <c r="XP48" s="71"/>
      <c r="XQ48" s="71"/>
      <c r="XR48" s="71"/>
      <c r="XS48" s="71"/>
      <c r="XT48" s="71"/>
      <c r="XU48" s="71"/>
      <c r="XV48" s="71"/>
      <c r="XW48" s="71"/>
      <c r="XX48" s="71"/>
      <c r="XY48" s="71"/>
      <c r="XZ48" s="71"/>
      <c r="YA48" s="71"/>
      <c r="YB48" s="71"/>
      <c r="YC48" s="71"/>
      <c r="YD48" s="71"/>
      <c r="YE48" s="71"/>
      <c r="YF48" s="71"/>
      <c r="YG48" s="71"/>
      <c r="YH48" s="71"/>
      <c r="YI48" s="71"/>
      <c r="YJ48" s="71"/>
      <c r="YK48" s="71"/>
      <c r="YL48" s="71"/>
      <c r="YM48" s="71"/>
      <c r="YN48" s="71"/>
      <c r="YO48" s="71"/>
      <c r="YP48" s="71"/>
      <c r="YQ48" s="71"/>
      <c r="YR48" s="71"/>
      <c r="YS48" s="71"/>
      <c r="YT48" s="71"/>
      <c r="YU48" s="71"/>
      <c r="YV48" s="71"/>
      <c r="YW48" s="71"/>
      <c r="YX48" s="71"/>
      <c r="YY48" s="71"/>
      <c r="YZ48" s="71"/>
      <c r="ZA48" s="71"/>
      <c r="ZB48" s="71"/>
      <c r="ZC48" s="71"/>
      <c r="ZD48" s="71"/>
      <c r="ZE48" s="71"/>
      <c r="ZF48" s="71"/>
      <c r="ZG48" s="71"/>
      <c r="ZH48" s="71"/>
      <c r="ZI48" s="71"/>
      <c r="ZJ48" s="71"/>
      <c r="ZK48" s="71"/>
      <c r="ZL48" s="71"/>
      <c r="ZM48" s="71"/>
      <c r="ZN48" s="71"/>
      <c r="ZO48" s="71"/>
      <c r="ZP48" s="71"/>
      <c r="ZQ48" s="71"/>
      <c r="ZR48" s="71"/>
      <c r="ZS48" s="71"/>
      <c r="ZT48" s="71"/>
      <c r="ZU48" s="71"/>
      <c r="ZV48" s="71"/>
      <c r="ZW48" s="71"/>
      <c r="ZX48" s="71"/>
      <c r="ZY48" s="71"/>
      <c r="ZZ48" s="71"/>
      <c r="AAA48" s="71"/>
      <c r="AAB48" s="71"/>
      <c r="AAC48" s="71"/>
      <c r="AAD48" s="71"/>
      <c r="AAE48" s="71"/>
      <c r="AAF48" s="71"/>
      <c r="AAG48" s="71"/>
      <c r="AAH48" s="71"/>
      <c r="AAI48" s="71"/>
      <c r="AAJ48" s="71"/>
      <c r="AAK48" s="71"/>
      <c r="AAL48" s="71"/>
      <c r="AAM48" s="71"/>
      <c r="AAN48" s="71"/>
      <c r="AAO48" s="71"/>
      <c r="AAP48" s="71"/>
      <c r="AAQ48" s="71"/>
      <c r="AAR48" s="71"/>
      <c r="AAS48" s="71"/>
      <c r="AAT48" s="71"/>
      <c r="AAU48" s="71"/>
      <c r="AAV48" s="71"/>
      <c r="AAW48" s="71"/>
      <c r="AAX48" s="71"/>
      <c r="AAY48" s="71"/>
      <c r="AAZ48" s="71"/>
      <c r="ABA48" s="71"/>
      <c r="ABB48" s="71"/>
      <c r="ABC48" s="71"/>
      <c r="ABD48" s="71"/>
      <c r="ABE48" s="71"/>
      <c r="ABF48" s="71"/>
      <c r="ABG48" s="71"/>
      <c r="ABH48" s="71"/>
      <c r="ABI48" s="71"/>
      <c r="ABJ48" s="71"/>
      <c r="ABK48" s="71"/>
      <c r="ABL48" s="71"/>
      <c r="ABM48" s="71"/>
      <c r="ABN48" s="71"/>
      <c r="ABO48" s="71"/>
      <c r="ABP48" s="71"/>
      <c r="ABQ48" s="71"/>
      <c r="ABR48" s="71"/>
      <c r="ABS48" s="71"/>
      <c r="ABT48" s="71"/>
      <c r="ABU48" s="71"/>
      <c r="ABV48" s="71"/>
      <c r="ABW48" s="71"/>
      <c r="ABX48" s="71"/>
      <c r="ABY48" s="71"/>
      <c r="ABZ48" s="71"/>
      <c r="ACA48" s="71"/>
      <c r="ACB48" s="71"/>
      <c r="ACC48" s="71"/>
      <c r="ACD48" s="71"/>
      <c r="ACE48" s="71"/>
      <c r="ACF48" s="71"/>
      <c r="ACG48" s="71"/>
      <c r="ACH48" s="71"/>
      <c r="ACI48" s="71"/>
      <c r="ACJ48" s="71"/>
      <c r="ACK48" s="71"/>
      <c r="ACL48" s="71"/>
      <c r="ACM48" s="71"/>
      <c r="ACN48" s="71"/>
      <c r="ACO48" s="71"/>
      <c r="ACP48" s="71"/>
      <c r="ACQ48" s="71"/>
      <c r="ACR48" s="71"/>
      <c r="ACS48" s="71"/>
      <c r="ACT48" s="71"/>
      <c r="ACU48" s="71"/>
      <c r="ACV48" s="71"/>
      <c r="ACW48" s="71"/>
      <c r="ACX48" s="71"/>
      <c r="ACY48" s="71"/>
      <c r="ACZ48" s="71"/>
      <c r="ADA48" s="71"/>
      <c r="ADB48" s="71"/>
      <c r="ADC48" s="71"/>
      <c r="ADD48" s="71"/>
      <c r="ADE48" s="71"/>
      <c r="ADF48" s="71"/>
      <c r="ADG48" s="71"/>
      <c r="ADH48" s="71"/>
      <c r="ADI48" s="71"/>
      <c r="ADJ48" s="71"/>
      <c r="ADK48" s="71"/>
      <c r="ADL48" s="71"/>
      <c r="ADM48" s="71"/>
      <c r="ADN48" s="71"/>
      <c r="ADO48" s="71"/>
      <c r="ADP48" s="71"/>
      <c r="ADQ48" s="71"/>
      <c r="ADR48" s="71"/>
      <c r="ADS48" s="71"/>
      <c r="ADT48" s="71"/>
      <c r="ADU48" s="71"/>
      <c r="ADV48" s="71"/>
      <c r="ADW48" s="71"/>
      <c r="ADX48" s="71"/>
      <c r="ADY48" s="71"/>
      <c r="ADZ48" s="71"/>
      <c r="AEA48" s="71"/>
      <c r="AEB48" s="71"/>
      <c r="AEC48" s="71"/>
      <c r="AED48" s="71"/>
      <c r="AEE48" s="71"/>
      <c r="AEF48" s="71"/>
      <c r="AEG48" s="71"/>
      <c r="AEH48" s="71"/>
      <c r="AEI48" s="71"/>
      <c r="AEJ48" s="71"/>
      <c r="AEK48" s="71"/>
      <c r="AEL48" s="71"/>
      <c r="AEM48" s="71"/>
      <c r="AEN48" s="71"/>
      <c r="AEO48" s="71"/>
      <c r="AEP48" s="71"/>
      <c r="AEQ48" s="71"/>
      <c r="AER48" s="71"/>
      <c r="AES48" s="71"/>
      <c r="AET48" s="71"/>
      <c r="AEU48" s="71"/>
      <c r="AEV48" s="71"/>
      <c r="AEW48" s="71"/>
      <c r="AEX48" s="71"/>
      <c r="AEY48" s="71"/>
      <c r="AEZ48" s="71"/>
      <c r="AFA48" s="71"/>
      <c r="AFB48" s="71"/>
      <c r="AFC48" s="71"/>
      <c r="AFD48" s="71"/>
      <c r="AFE48" s="71"/>
      <c r="AFF48" s="71"/>
      <c r="AFG48" s="71"/>
      <c r="AFH48" s="71"/>
      <c r="AFI48" s="71"/>
      <c r="AFJ48" s="71"/>
      <c r="AFK48" s="71"/>
      <c r="AFL48" s="71"/>
      <c r="AFM48" s="71"/>
      <c r="AFN48" s="71"/>
      <c r="AFO48" s="71"/>
      <c r="AFP48" s="71"/>
      <c r="AFQ48" s="71"/>
      <c r="AFR48" s="71"/>
      <c r="AFS48" s="71"/>
      <c r="AFT48" s="71"/>
      <c r="AFU48" s="71"/>
      <c r="AFV48" s="71"/>
      <c r="AFW48" s="71"/>
      <c r="AFX48" s="71"/>
      <c r="AFY48" s="71"/>
      <c r="AFZ48" s="71"/>
      <c r="AGA48" s="71"/>
      <c r="AGB48" s="71"/>
      <c r="AGC48" s="71"/>
      <c r="AGD48" s="71"/>
      <c r="AGE48" s="71"/>
      <c r="AGF48" s="71"/>
      <c r="AGG48" s="71"/>
      <c r="AGH48" s="71"/>
      <c r="AGI48" s="71"/>
      <c r="AGJ48" s="71"/>
      <c r="AGK48" s="71"/>
      <c r="AGL48" s="71"/>
      <c r="AGM48" s="71"/>
      <c r="AGN48" s="71"/>
      <c r="AGO48" s="71"/>
      <c r="AGP48" s="71"/>
      <c r="AGQ48" s="71"/>
      <c r="AGR48" s="71"/>
      <c r="AGS48" s="71"/>
      <c r="AGT48" s="71"/>
      <c r="AGU48" s="71"/>
      <c r="AGV48" s="71"/>
      <c r="AGW48" s="71"/>
      <c r="AGX48" s="71"/>
      <c r="AGY48" s="71"/>
      <c r="AGZ48" s="71"/>
      <c r="AHA48" s="71"/>
      <c r="AHB48" s="71"/>
      <c r="AHC48" s="71"/>
      <c r="AHD48" s="71"/>
      <c r="AHE48" s="71"/>
      <c r="AHF48" s="71"/>
      <c r="AHG48" s="71"/>
      <c r="AHH48" s="71"/>
      <c r="AHI48" s="71"/>
      <c r="AHJ48" s="71"/>
      <c r="AHK48" s="71"/>
      <c r="AHL48" s="71"/>
      <c r="AHM48" s="71"/>
      <c r="AHN48" s="71"/>
      <c r="AHO48" s="71"/>
      <c r="AHP48" s="71"/>
      <c r="AHQ48" s="71"/>
      <c r="AHR48" s="71"/>
      <c r="AHS48" s="71"/>
      <c r="AHT48" s="71"/>
      <c r="AHU48" s="71"/>
      <c r="AHV48" s="71"/>
      <c r="AHW48" s="71"/>
      <c r="AHX48" s="71"/>
      <c r="AHY48" s="71"/>
      <c r="AHZ48" s="71"/>
      <c r="AIA48" s="71"/>
      <c r="AIB48" s="71"/>
      <c r="AIC48" s="71"/>
      <c r="AID48" s="71"/>
      <c r="AIE48" s="71"/>
      <c r="AIF48" s="71"/>
      <c r="AIG48" s="71"/>
      <c r="AIH48" s="71"/>
      <c r="AII48" s="71"/>
      <c r="AIJ48" s="71"/>
      <c r="AIK48" s="71"/>
      <c r="AIL48" s="71"/>
      <c r="AIM48" s="71"/>
      <c r="AIN48" s="71"/>
      <c r="AIO48" s="71"/>
      <c r="AIP48" s="71"/>
      <c r="AIQ48" s="71"/>
      <c r="AIR48" s="71"/>
      <c r="AIS48" s="71"/>
      <c r="AIT48" s="71"/>
      <c r="AIU48" s="71"/>
      <c r="AIV48" s="71"/>
      <c r="AIW48" s="71"/>
      <c r="AIX48" s="71"/>
      <c r="AIY48" s="71"/>
      <c r="AIZ48" s="71"/>
      <c r="AJA48" s="71"/>
      <c r="AJB48" s="71"/>
      <c r="AJC48" s="71"/>
      <c r="AJD48" s="71"/>
      <c r="AJE48" s="71"/>
      <c r="AJF48" s="71"/>
      <c r="AJG48" s="71"/>
      <c r="AJH48" s="71"/>
      <c r="AJI48" s="71"/>
      <c r="AJJ48" s="71"/>
      <c r="AJK48" s="71"/>
      <c r="AJL48" s="71"/>
      <c r="AJM48" s="71"/>
      <c r="AJN48" s="71"/>
      <c r="AJO48" s="71"/>
      <c r="AJP48" s="71"/>
      <c r="AJQ48" s="71"/>
      <c r="AJR48" s="71"/>
      <c r="AJS48" s="71"/>
      <c r="AJT48" s="71"/>
      <c r="AJU48" s="71"/>
      <c r="AJV48" s="71"/>
      <c r="AJW48" s="71"/>
      <c r="AJX48" s="71"/>
      <c r="AJY48" s="71"/>
      <c r="AJZ48" s="71"/>
      <c r="AKA48" s="71"/>
      <c r="AKB48" s="71"/>
      <c r="AKC48" s="71"/>
      <c r="AKD48" s="71"/>
      <c r="AKE48" s="71"/>
      <c r="AKF48" s="71"/>
      <c r="AKG48" s="71"/>
      <c r="AKH48" s="71"/>
      <c r="AKI48" s="71"/>
      <c r="AKJ48" s="71"/>
      <c r="AKK48" s="71"/>
      <c r="AKL48" s="71"/>
      <c r="AKM48" s="71"/>
      <c r="AKN48" s="71"/>
      <c r="AKO48" s="71"/>
      <c r="AKP48" s="71"/>
      <c r="AKQ48" s="71"/>
      <c r="AKR48" s="71"/>
      <c r="AKS48" s="71"/>
      <c r="AKT48" s="71"/>
      <c r="AKU48" s="71"/>
      <c r="AKV48" s="71"/>
      <c r="AKW48" s="71"/>
      <c r="AKX48" s="71"/>
      <c r="AKY48" s="71"/>
      <c r="AKZ48" s="71"/>
      <c r="ALA48" s="71"/>
      <c r="ALB48" s="71"/>
      <c r="ALC48" s="71"/>
      <c r="ALD48" s="71"/>
      <c r="ALE48" s="71"/>
      <c r="ALF48" s="71"/>
      <c r="ALG48" s="71"/>
      <c r="ALH48" s="71"/>
      <c r="ALI48" s="71"/>
      <c r="ALJ48" s="71"/>
      <c r="ALK48" s="71"/>
      <c r="ALL48" s="71"/>
      <c r="ALM48" s="71"/>
      <c r="ALN48" s="71"/>
      <c r="ALO48" s="71"/>
      <c r="ALP48" s="71"/>
      <c r="ALQ48" s="71"/>
      <c r="ALR48" s="71"/>
      <c r="ALS48" s="71"/>
      <c r="ALT48" s="71"/>
      <c r="ALU48" s="71"/>
      <c r="ALV48" s="71"/>
      <c r="ALW48" s="71"/>
      <c r="ALX48" s="71"/>
      <c r="ALY48" s="71"/>
      <c r="ALZ48" s="71"/>
      <c r="AMA48" s="71"/>
      <c r="AMB48" s="71"/>
      <c r="AMC48" s="71"/>
      <c r="AMD48" s="71"/>
      <c r="AME48" s="71"/>
      <c r="AMF48" s="71"/>
      <c r="AMG48" s="71"/>
      <c r="AMH48" s="71"/>
      <c r="AMI48" s="71"/>
      <c r="AMJ48" s="71"/>
    </row>
    <row r="49" spans="1:1024" ht="19.5" customHeight="1" thickBot="1" x14ac:dyDescent="0.25">
      <c r="A49" s="78">
        <v>38</v>
      </c>
      <c r="B49" s="77">
        <f>'Necesidades Trimestrales'!B47</f>
        <v>0</v>
      </c>
      <c r="C49" s="97" t="str">
        <f>'Necesidades Trimestrales'!E47</f>
        <v>Heparina Sodica 5000UI x 5ml.</v>
      </c>
      <c r="D49" s="97"/>
      <c r="E49" s="97"/>
      <c r="F49" s="97"/>
      <c r="G49" s="97"/>
      <c r="H49" s="76" t="s">
        <v>61</v>
      </c>
      <c r="I49" s="75" t="str">
        <f>'Necesidades Trimestrales'!F47</f>
        <v>FRASCO AMPOLLA</v>
      </c>
      <c r="J49" s="52">
        <f>'Necesidades Trimestrales'!H47</f>
        <v>720</v>
      </c>
      <c r="K49" s="74">
        <f>'Necesidades Trimestrales'!G47</f>
        <v>1000</v>
      </c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71"/>
      <c r="NK49" s="71"/>
      <c r="NL49" s="71"/>
      <c r="NM49" s="71"/>
      <c r="NN49" s="71"/>
      <c r="NO49" s="71"/>
      <c r="NP49" s="71"/>
      <c r="NQ49" s="71"/>
      <c r="NR49" s="71"/>
      <c r="NS49" s="71"/>
      <c r="NT49" s="71"/>
      <c r="NU49" s="71"/>
      <c r="NV49" s="71"/>
      <c r="NW49" s="71"/>
      <c r="NX49" s="71"/>
      <c r="NY49" s="71"/>
      <c r="NZ49" s="71"/>
      <c r="OA49" s="71"/>
      <c r="OB49" s="71"/>
      <c r="OC49" s="71"/>
      <c r="OD49" s="71"/>
      <c r="OE49" s="71"/>
      <c r="OF49" s="71"/>
      <c r="OG49" s="71"/>
      <c r="OH49" s="71"/>
      <c r="OI49" s="71"/>
      <c r="OJ49" s="71"/>
      <c r="OK49" s="71"/>
      <c r="OL49" s="71"/>
      <c r="OM49" s="71"/>
      <c r="ON49" s="71"/>
      <c r="OO49" s="71"/>
      <c r="OP49" s="71"/>
      <c r="OQ49" s="71"/>
      <c r="OR49" s="71"/>
      <c r="OS49" s="71"/>
      <c r="OT49" s="71"/>
      <c r="OU49" s="71"/>
      <c r="OV49" s="71"/>
      <c r="OW49" s="71"/>
      <c r="OX49" s="71"/>
      <c r="OY49" s="71"/>
      <c r="OZ49" s="71"/>
      <c r="PA49" s="71"/>
      <c r="PB49" s="71"/>
      <c r="PC49" s="71"/>
      <c r="PD49" s="71"/>
      <c r="PE49" s="71"/>
      <c r="PF49" s="71"/>
      <c r="PG49" s="71"/>
      <c r="PH49" s="71"/>
      <c r="PI49" s="71"/>
      <c r="PJ49" s="71"/>
      <c r="PK49" s="71"/>
      <c r="PL49" s="71"/>
      <c r="PM49" s="71"/>
      <c r="PN49" s="71"/>
      <c r="PO49" s="71"/>
      <c r="PP49" s="71"/>
      <c r="PQ49" s="71"/>
      <c r="PR49" s="71"/>
      <c r="PS49" s="71"/>
      <c r="PT49" s="71"/>
      <c r="PU49" s="71"/>
      <c r="PV49" s="71"/>
      <c r="PW49" s="71"/>
      <c r="PX49" s="71"/>
      <c r="PY49" s="71"/>
      <c r="PZ49" s="71"/>
      <c r="QA49" s="71"/>
      <c r="QB49" s="71"/>
      <c r="QC49" s="71"/>
      <c r="QD49" s="71"/>
      <c r="QE49" s="71"/>
      <c r="QF49" s="71"/>
      <c r="QG49" s="71"/>
      <c r="QH49" s="71"/>
      <c r="QI49" s="71"/>
      <c r="QJ49" s="71"/>
      <c r="QK49" s="71"/>
      <c r="QL49" s="71"/>
      <c r="QM49" s="71"/>
      <c r="QN49" s="71"/>
      <c r="QO49" s="71"/>
      <c r="QP49" s="71"/>
      <c r="QQ49" s="71"/>
      <c r="QR49" s="71"/>
      <c r="QS49" s="71"/>
      <c r="QT49" s="71"/>
      <c r="QU49" s="71"/>
      <c r="QV49" s="71"/>
      <c r="QW49" s="71"/>
      <c r="QX49" s="71"/>
      <c r="QY49" s="71"/>
      <c r="QZ49" s="71"/>
      <c r="RA49" s="71"/>
      <c r="RB49" s="71"/>
      <c r="RC49" s="71"/>
      <c r="RD49" s="71"/>
      <c r="RE49" s="71"/>
      <c r="RF49" s="71"/>
      <c r="RG49" s="71"/>
      <c r="RH49" s="71"/>
      <c r="RI49" s="71"/>
      <c r="RJ49" s="71"/>
      <c r="RK49" s="71"/>
      <c r="RL49" s="71"/>
      <c r="RM49" s="71"/>
      <c r="RN49" s="71"/>
      <c r="RO49" s="71"/>
      <c r="RP49" s="71"/>
      <c r="RQ49" s="71"/>
      <c r="RR49" s="71"/>
      <c r="RS49" s="71"/>
      <c r="RT49" s="71"/>
      <c r="RU49" s="71"/>
      <c r="RV49" s="71"/>
      <c r="RW49" s="71"/>
      <c r="RX49" s="71"/>
      <c r="RY49" s="71"/>
      <c r="RZ49" s="71"/>
      <c r="SA49" s="71"/>
      <c r="SB49" s="71"/>
      <c r="SC49" s="71"/>
      <c r="SD49" s="71"/>
      <c r="SE49" s="71"/>
      <c r="SF49" s="71"/>
      <c r="SG49" s="71"/>
      <c r="SH49" s="71"/>
      <c r="SI49" s="71"/>
      <c r="SJ49" s="71"/>
      <c r="SK49" s="71"/>
      <c r="SL49" s="71"/>
      <c r="SM49" s="71"/>
      <c r="SN49" s="71"/>
      <c r="SO49" s="71"/>
      <c r="SP49" s="71"/>
      <c r="SQ49" s="71"/>
      <c r="SR49" s="71"/>
      <c r="SS49" s="71"/>
      <c r="ST49" s="71"/>
      <c r="SU49" s="71"/>
      <c r="SV49" s="71"/>
      <c r="SW49" s="71"/>
      <c r="SX49" s="71"/>
      <c r="SY49" s="71"/>
      <c r="SZ49" s="71"/>
      <c r="TA49" s="71"/>
      <c r="TB49" s="71"/>
      <c r="TC49" s="71"/>
      <c r="TD49" s="71"/>
      <c r="TE49" s="71"/>
      <c r="TF49" s="71"/>
      <c r="TG49" s="71"/>
      <c r="TH49" s="71"/>
      <c r="TI49" s="71"/>
      <c r="TJ49" s="71"/>
      <c r="TK49" s="71"/>
      <c r="TL49" s="71"/>
      <c r="TM49" s="71"/>
      <c r="TN49" s="71"/>
      <c r="TO49" s="71"/>
      <c r="TP49" s="71"/>
      <c r="TQ49" s="71"/>
      <c r="TR49" s="71"/>
      <c r="TS49" s="71"/>
      <c r="TT49" s="71"/>
      <c r="TU49" s="71"/>
      <c r="TV49" s="71"/>
      <c r="TW49" s="71"/>
      <c r="TX49" s="71"/>
      <c r="TY49" s="71"/>
      <c r="TZ49" s="71"/>
      <c r="UA49" s="71"/>
      <c r="UB49" s="71"/>
      <c r="UC49" s="71"/>
      <c r="UD49" s="71"/>
      <c r="UE49" s="71"/>
      <c r="UF49" s="71"/>
      <c r="UG49" s="71"/>
      <c r="UH49" s="71"/>
      <c r="UI49" s="71"/>
      <c r="UJ49" s="71"/>
      <c r="UK49" s="71"/>
      <c r="UL49" s="71"/>
      <c r="UM49" s="71"/>
      <c r="UN49" s="71"/>
      <c r="UO49" s="71"/>
      <c r="UP49" s="71"/>
      <c r="UQ49" s="71"/>
      <c r="UR49" s="71"/>
      <c r="US49" s="71"/>
      <c r="UT49" s="71"/>
      <c r="UU49" s="71"/>
      <c r="UV49" s="71"/>
      <c r="UW49" s="71"/>
      <c r="UX49" s="71"/>
      <c r="UY49" s="71"/>
      <c r="UZ49" s="71"/>
      <c r="VA49" s="71"/>
      <c r="VB49" s="71"/>
      <c r="VC49" s="71"/>
      <c r="VD49" s="71"/>
      <c r="VE49" s="71"/>
      <c r="VF49" s="71"/>
      <c r="VG49" s="71"/>
      <c r="VH49" s="71"/>
      <c r="VI49" s="71"/>
      <c r="VJ49" s="71"/>
      <c r="VK49" s="71"/>
      <c r="VL49" s="71"/>
      <c r="VM49" s="71"/>
      <c r="VN49" s="71"/>
      <c r="VO49" s="71"/>
      <c r="VP49" s="71"/>
      <c r="VQ49" s="71"/>
      <c r="VR49" s="71"/>
      <c r="VS49" s="71"/>
      <c r="VT49" s="71"/>
      <c r="VU49" s="71"/>
      <c r="VV49" s="71"/>
      <c r="VW49" s="71"/>
      <c r="VX49" s="71"/>
      <c r="VY49" s="71"/>
      <c r="VZ49" s="71"/>
      <c r="WA49" s="71"/>
      <c r="WB49" s="71"/>
      <c r="WC49" s="71"/>
      <c r="WD49" s="71"/>
      <c r="WE49" s="71"/>
      <c r="WF49" s="71"/>
      <c r="WG49" s="71"/>
      <c r="WH49" s="71"/>
      <c r="WI49" s="71"/>
      <c r="WJ49" s="71"/>
      <c r="WK49" s="71"/>
      <c r="WL49" s="71"/>
      <c r="WM49" s="71"/>
      <c r="WN49" s="71"/>
      <c r="WO49" s="71"/>
      <c r="WP49" s="71"/>
      <c r="WQ49" s="71"/>
      <c r="WR49" s="71"/>
      <c r="WS49" s="71"/>
      <c r="WT49" s="71"/>
      <c r="WU49" s="71"/>
      <c r="WV49" s="71"/>
      <c r="WW49" s="71"/>
      <c r="WX49" s="71"/>
      <c r="WY49" s="71"/>
      <c r="WZ49" s="71"/>
      <c r="XA49" s="71"/>
      <c r="XB49" s="71"/>
      <c r="XC49" s="71"/>
      <c r="XD49" s="71"/>
      <c r="XE49" s="71"/>
      <c r="XF49" s="71"/>
      <c r="XG49" s="71"/>
      <c r="XH49" s="71"/>
      <c r="XI49" s="71"/>
      <c r="XJ49" s="71"/>
      <c r="XK49" s="71"/>
      <c r="XL49" s="71"/>
      <c r="XM49" s="71"/>
      <c r="XN49" s="71"/>
      <c r="XO49" s="71"/>
      <c r="XP49" s="71"/>
      <c r="XQ49" s="71"/>
      <c r="XR49" s="71"/>
      <c r="XS49" s="71"/>
      <c r="XT49" s="71"/>
      <c r="XU49" s="71"/>
      <c r="XV49" s="71"/>
      <c r="XW49" s="71"/>
      <c r="XX49" s="71"/>
      <c r="XY49" s="71"/>
      <c r="XZ49" s="71"/>
      <c r="YA49" s="71"/>
      <c r="YB49" s="71"/>
      <c r="YC49" s="71"/>
      <c r="YD49" s="71"/>
      <c r="YE49" s="71"/>
      <c r="YF49" s="71"/>
      <c r="YG49" s="71"/>
      <c r="YH49" s="71"/>
      <c r="YI49" s="71"/>
      <c r="YJ49" s="71"/>
      <c r="YK49" s="71"/>
      <c r="YL49" s="71"/>
      <c r="YM49" s="71"/>
      <c r="YN49" s="71"/>
      <c r="YO49" s="71"/>
      <c r="YP49" s="71"/>
      <c r="YQ49" s="71"/>
      <c r="YR49" s="71"/>
      <c r="YS49" s="71"/>
      <c r="YT49" s="71"/>
      <c r="YU49" s="71"/>
      <c r="YV49" s="71"/>
      <c r="YW49" s="71"/>
      <c r="YX49" s="71"/>
      <c r="YY49" s="71"/>
      <c r="YZ49" s="71"/>
      <c r="ZA49" s="71"/>
      <c r="ZB49" s="71"/>
      <c r="ZC49" s="71"/>
      <c r="ZD49" s="71"/>
      <c r="ZE49" s="71"/>
      <c r="ZF49" s="71"/>
      <c r="ZG49" s="71"/>
      <c r="ZH49" s="71"/>
      <c r="ZI49" s="71"/>
      <c r="ZJ49" s="71"/>
      <c r="ZK49" s="71"/>
      <c r="ZL49" s="71"/>
      <c r="ZM49" s="71"/>
      <c r="ZN49" s="71"/>
      <c r="ZO49" s="71"/>
      <c r="ZP49" s="71"/>
      <c r="ZQ49" s="71"/>
      <c r="ZR49" s="71"/>
      <c r="ZS49" s="71"/>
      <c r="ZT49" s="71"/>
      <c r="ZU49" s="71"/>
      <c r="ZV49" s="71"/>
      <c r="ZW49" s="71"/>
      <c r="ZX49" s="71"/>
      <c r="ZY49" s="71"/>
      <c r="ZZ49" s="71"/>
      <c r="AAA49" s="71"/>
      <c r="AAB49" s="71"/>
      <c r="AAC49" s="71"/>
      <c r="AAD49" s="71"/>
      <c r="AAE49" s="71"/>
      <c r="AAF49" s="71"/>
      <c r="AAG49" s="71"/>
      <c r="AAH49" s="71"/>
      <c r="AAI49" s="71"/>
      <c r="AAJ49" s="71"/>
      <c r="AAK49" s="71"/>
      <c r="AAL49" s="71"/>
      <c r="AAM49" s="71"/>
      <c r="AAN49" s="71"/>
      <c r="AAO49" s="71"/>
      <c r="AAP49" s="71"/>
      <c r="AAQ49" s="71"/>
      <c r="AAR49" s="71"/>
      <c r="AAS49" s="71"/>
      <c r="AAT49" s="71"/>
      <c r="AAU49" s="71"/>
      <c r="AAV49" s="71"/>
      <c r="AAW49" s="71"/>
      <c r="AAX49" s="71"/>
      <c r="AAY49" s="71"/>
      <c r="AAZ49" s="71"/>
      <c r="ABA49" s="71"/>
      <c r="ABB49" s="71"/>
      <c r="ABC49" s="71"/>
      <c r="ABD49" s="71"/>
      <c r="ABE49" s="71"/>
      <c r="ABF49" s="71"/>
      <c r="ABG49" s="71"/>
      <c r="ABH49" s="71"/>
      <c r="ABI49" s="71"/>
      <c r="ABJ49" s="71"/>
      <c r="ABK49" s="71"/>
      <c r="ABL49" s="71"/>
      <c r="ABM49" s="71"/>
      <c r="ABN49" s="71"/>
      <c r="ABO49" s="71"/>
      <c r="ABP49" s="71"/>
      <c r="ABQ49" s="71"/>
      <c r="ABR49" s="71"/>
      <c r="ABS49" s="71"/>
      <c r="ABT49" s="71"/>
      <c r="ABU49" s="71"/>
      <c r="ABV49" s="71"/>
      <c r="ABW49" s="71"/>
      <c r="ABX49" s="71"/>
      <c r="ABY49" s="71"/>
      <c r="ABZ49" s="71"/>
      <c r="ACA49" s="71"/>
      <c r="ACB49" s="71"/>
      <c r="ACC49" s="71"/>
      <c r="ACD49" s="71"/>
      <c r="ACE49" s="71"/>
      <c r="ACF49" s="71"/>
      <c r="ACG49" s="71"/>
      <c r="ACH49" s="71"/>
      <c r="ACI49" s="71"/>
      <c r="ACJ49" s="71"/>
      <c r="ACK49" s="71"/>
      <c r="ACL49" s="71"/>
      <c r="ACM49" s="71"/>
      <c r="ACN49" s="71"/>
      <c r="ACO49" s="71"/>
      <c r="ACP49" s="71"/>
      <c r="ACQ49" s="71"/>
      <c r="ACR49" s="71"/>
      <c r="ACS49" s="71"/>
      <c r="ACT49" s="71"/>
      <c r="ACU49" s="71"/>
      <c r="ACV49" s="71"/>
      <c r="ACW49" s="71"/>
      <c r="ACX49" s="71"/>
      <c r="ACY49" s="71"/>
      <c r="ACZ49" s="71"/>
      <c r="ADA49" s="71"/>
      <c r="ADB49" s="71"/>
      <c r="ADC49" s="71"/>
      <c r="ADD49" s="71"/>
      <c r="ADE49" s="71"/>
      <c r="ADF49" s="71"/>
      <c r="ADG49" s="71"/>
      <c r="ADH49" s="71"/>
      <c r="ADI49" s="71"/>
      <c r="ADJ49" s="71"/>
      <c r="ADK49" s="71"/>
      <c r="ADL49" s="71"/>
      <c r="ADM49" s="71"/>
      <c r="ADN49" s="71"/>
      <c r="ADO49" s="71"/>
      <c r="ADP49" s="71"/>
      <c r="ADQ49" s="71"/>
      <c r="ADR49" s="71"/>
      <c r="ADS49" s="71"/>
      <c r="ADT49" s="71"/>
      <c r="ADU49" s="71"/>
      <c r="ADV49" s="71"/>
      <c r="ADW49" s="71"/>
      <c r="ADX49" s="71"/>
      <c r="ADY49" s="71"/>
      <c r="ADZ49" s="71"/>
      <c r="AEA49" s="71"/>
      <c r="AEB49" s="71"/>
      <c r="AEC49" s="71"/>
      <c r="AED49" s="71"/>
      <c r="AEE49" s="71"/>
      <c r="AEF49" s="71"/>
      <c r="AEG49" s="71"/>
      <c r="AEH49" s="71"/>
      <c r="AEI49" s="71"/>
      <c r="AEJ49" s="71"/>
      <c r="AEK49" s="71"/>
      <c r="AEL49" s="71"/>
      <c r="AEM49" s="71"/>
      <c r="AEN49" s="71"/>
      <c r="AEO49" s="71"/>
      <c r="AEP49" s="71"/>
      <c r="AEQ49" s="71"/>
      <c r="AER49" s="71"/>
      <c r="AES49" s="71"/>
      <c r="AET49" s="71"/>
      <c r="AEU49" s="71"/>
      <c r="AEV49" s="71"/>
      <c r="AEW49" s="71"/>
      <c r="AEX49" s="71"/>
      <c r="AEY49" s="71"/>
      <c r="AEZ49" s="71"/>
      <c r="AFA49" s="71"/>
      <c r="AFB49" s="71"/>
      <c r="AFC49" s="71"/>
      <c r="AFD49" s="71"/>
      <c r="AFE49" s="71"/>
      <c r="AFF49" s="71"/>
      <c r="AFG49" s="71"/>
      <c r="AFH49" s="71"/>
      <c r="AFI49" s="71"/>
      <c r="AFJ49" s="71"/>
      <c r="AFK49" s="71"/>
      <c r="AFL49" s="71"/>
      <c r="AFM49" s="71"/>
      <c r="AFN49" s="71"/>
      <c r="AFO49" s="71"/>
      <c r="AFP49" s="71"/>
      <c r="AFQ49" s="71"/>
      <c r="AFR49" s="71"/>
      <c r="AFS49" s="71"/>
      <c r="AFT49" s="71"/>
      <c r="AFU49" s="71"/>
      <c r="AFV49" s="71"/>
      <c r="AFW49" s="71"/>
      <c r="AFX49" s="71"/>
      <c r="AFY49" s="71"/>
      <c r="AFZ49" s="71"/>
      <c r="AGA49" s="71"/>
      <c r="AGB49" s="71"/>
      <c r="AGC49" s="71"/>
      <c r="AGD49" s="71"/>
      <c r="AGE49" s="71"/>
      <c r="AGF49" s="71"/>
      <c r="AGG49" s="71"/>
      <c r="AGH49" s="71"/>
      <c r="AGI49" s="71"/>
      <c r="AGJ49" s="71"/>
      <c r="AGK49" s="71"/>
      <c r="AGL49" s="71"/>
      <c r="AGM49" s="71"/>
      <c r="AGN49" s="71"/>
      <c r="AGO49" s="71"/>
      <c r="AGP49" s="71"/>
      <c r="AGQ49" s="71"/>
      <c r="AGR49" s="71"/>
      <c r="AGS49" s="71"/>
      <c r="AGT49" s="71"/>
      <c r="AGU49" s="71"/>
      <c r="AGV49" s="71"/>
      <c r="AGW49" s="71"/>
      <c r="AGX49" s="71"/>
      <c r="AGY49" s="71"/>
      <c r="AGZ49" s="71"/>
      <c r="AHA49" s="71"/>
      <c r="AHB49" s="71"/>
      <c r="AHC49" s="71"/>
      <c r="AHD49" s="71"/>
      <c r="AHE49" s="71"/>
      <c r="AHF49" s="71"/>
      <c r="AHG49" s="71"/>
      <c r="AHH49" s="71"/>
      <c r="AHI49" s="71"/>
      <c r="AHJ49" s="71"/>
      <c r="AHK49" s="71"/>
      <c r="AHL49" s="71"/>
      <c r="AHM49" s="71"/>
      <c r="AHN49" s="71"/>
      <c r="AHO49" s="71"/>
      <c r="AHP49" s="71"/>
      <c r="AHQ49" s="71"/>
      <c r="AHR49" s="71"/>
      <c r="AHS49" s="71"/>
      <c r="AHT49" s="71"/>
      <c r="AHU49" s="71"/>
      <c r="AHV49" s="71"/>
      <c r="AHW49" s="71"/>
      <c r="AHX49" s="71"/>
      <c r="AHY49" s="71"/>
      <c r="AHZ49" s="71"/>
      <c r="AIA49" s="71"/>
      <c r="AIB49" s="71"/>
      <c r="AIC49" s="71"/>
      <c r="AID49" s="71"/>
      <c r="AIE49" s="71"/>
      <c r="AIF49" s="71"/>
      <c r="AIG49" s="71"/>
      <c r="AIH49" s="71"/>
      <c r="AII49" s="71"/>
      <c r="AIJ49" s="71"/>
      <c r="AIK49" s="71"/>
      <c r="AIL49" s="71"/>
      <c r="AIM49" s="71"/>
      <c r="AIN49" s="71"/>
      <c r="AIO49" s="71"/>
      <c r="AIP49" s="71"/>
      <c r="AIQ49" s="71"/>
      <c r="AIR49" s="71"/>
      <c r="AIS49" s="71"/>
      <c r="AIT49" s="71"/>
      <c r="AIU49" s="71"/>
      <c r="AIV49" s="71"/>
      <c r="AIW49" s="71"/>
      <c r="AIX49" s="71"/>
      <c r="AIY49" s="71"/>
      <c r="AIZ49" s="71"/>
      <c r="AJA49" s="71"/>
      <c r="AJB49" s="71"/>
      <c r="AJC49" s="71"/>
      <c r="AJD49" s="71"/>
      <c r="AJE49" s="71"/>
      <c r="AJF49" s="71"/>
      <c r="AJG49" s="71"/>
      <c r="AJH49" s="71"/>
      <c r="AJI49" s="71"/>
      <c r="AJJ49" s="71"/>
      <c r="AJK49" s="71"/>
      <c r="AJL49" s="71"/>
      <c r="AJM49" s="71"/>
      <c r="AJN49" s="71"/>
      <c r="AJO49" s="71"/>
      <c r="AJP49" s="71"/>
      <c r="AJQ49" s="71"/>
      <c r="AJR49" s="71"/>
      <c r="AJS49" s="71"/>
      <c r="AJT49" s="71"/>
      <c r="AJU49" s="71"/>
      <c r="AJV49" s="71"/>
      <c r="AJW49" s="71"/>
      <c r="AJX49" s="71"/>
      <c r="AJY49" s="71"/>
      <c r="AJZ49" s="71"/>
      <c r="AKA49" s="71"/>
      <c r="AKB49" s="71"/>
      <c r="AKC49" s="71"/>
      <c r="AKD49" s="71"/>
      <c r="AKE49" s="71"/>
      <c r="AKF49" s="71"/>
      <c r="AKG49" s="71"/>
      <c r="AKH49" s="71"/>
      <c r="AKI49" s="71"/>
      <c r="AKJ49" s="71"/>
      <c r="AKK49" s="71"/>
      <c r="AKL49" s="71"/>
      <c r="AKM49" s="71"/>
      <c r="AKN49" s="71"/>
      <c r="AKO49" s="71"/>
      <c r="AKP49" s="71"/>
      <c r="AKQ49" s="71"/>
      <c r="AKR49" s="71"/>
      <c r="AKS49" s="71"/>
      <c r="AKT49" s="71"/>
      <c r="AKU49" s="71"/>
      <c r="AKV49" s="71"/>
      <c r="AKW49" s="71"/>
      <c r="AKX49" s="71"/>
      <c r="AKY49" s="71"/>
      <c r="AKZ49" s="71"/>
      <c r="ALA49" s="71"/>
      <c r="ALB49" s="71"/>
      <c r="ALC49" s="71"/>
      <c r="ALD49" s="71"/>
      <c r="ALE49" s="71"/>
      <c r="ALF49" s="71"/>
      <c r="ALG49" s="71"/>
      <c r="ALH49" s="71"/>
      <c r="ALI49" s="71"/>
      <c r="ALJ49" s="71"/>
      <c r="ALK49" s="71"/>
      <c r="ALL49" s="71"/>
      <c r="ALM49" s="71"/>
      <c r="ALN49" s="71"/>
      <c r="ALO49" s="71"/>
      <c r="ALP49" s="71"/>
      <c r="ALQ49" s="71"/>
      <c r="ALR49" s="71"/>
      <c r="ALS49" s="71"/>
      <c r="ALT49" s="71"/>
      <c r="ALU49" s="71"/>
      <c r="ALV49" s="71"/>
      <c r="ALW49" s="71"/>
      <c r="ALX49" s="71"/>
      <c r="ALY49" s="71"/>
      <c r="ALZ49" s="71"/>
      <c r="AMA49" s="71"/>
      <c r="AMB49" s="71"/>
      <c r="AMC49" s="71"/>
      <c r="AMD49" s="71"/>
      <c r="AME49" s="71"/>
      <c r="AMF49" s="71"/>
      <c r="AMG49" s="71"/>
      <c r="AMH49" s="71"/>
      <c r="AMI49" s="71"/>
      <c r="AMJ49" s="71"/>
    </row>
    <row r="50" spans="1:1024" ht="19.5" customHeight="1" thickBot="1" x14ac:dyDescent="0.25">
      <c r="A50" s="78">
        <v>39</v>
      </c>
      <c r="B50" s="77">
        <f>'Necesidades Trimestrales'!B48</f>
        <v>0</v>
      </c>
      <c r="C50" s="97" t="str">
        <f>'Necesidades Trimestrales'!E48</f>
        <v>Solucion Fisiologica AL 0,9% x 500ml sachet</v>
      </c>
      <c r="D50" s="97"/>
      <c r="E50" s="97"/>
      <c r="F50" s="97"/>
      <c r="G50" s="97"/>
      <c r="H50" s="76" t="s">
        <v>61</v>
      </c>
      <c r="I50" s="75" t="str">
        <f>'Necesidades Trimestrales'!F48</f>
        <v>UNIDAD</v>
      </c>
      <c r="J50" s="52">
        <f>'Necesidades Trimestrales'!H48</f>
        <v>89</v>
      </c>
      <c r="K50" s="74">
        <f>'Necesidades Trimestrales'!G48</f>
        <v>20000</v>
      </c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71"/>
      <c r="NK50" s="71"/>
      <c r="NL50" s="71"/>
      <c r="NM50" s="71"/>
      <c r="NN50" s="71"/>
      <c r="NO50" s="71"/>
      <c r="NP50" s="71"/>
      <c r="NQ50" s="71"/>
      <c r="NR50" s="71"/>
      <c r="NS50" s="71"/>
      <c r="NT50" s="71"/>
      <c r="NU50" s="71"/>
      <c r="NV50" s="71"/>
      <c r="NW50" s="71"/>
      <c r="NX50" s="71"/>
      <c r="NY50" s="71"/>
      <c r="NZ50" s="71"/>
      <c r="OA50" s="71"/>
      <c r="OB50" s="71"/>
      <c r="OC50" s="71"/>
      <c r="OD50" s="71"/>
      <c r="OE50" s="71"/>
      <c r="OF50" s="71"/>
      <c r="OG50" s="71"/>
      <c r="OH50" s="71"/>
      <c r="OI50" s="71"/>
      <c r="OJ50" s="71"/>
      <c r="OK50" s="71"/>
      <c r="OL50" s="71"/>
      <c r="OM50" s="71"/>
      <c r="ON50" s="71"/>
      <c r="OO50" s="71"/>
      <c r="OP50" s="71"/>
      <c r="OQ50" s="71"/>
      <c r="OR50" s="71"/>
      <c r="OS50" s="71"/>
      <c r="OT50" s="71"/>
      <c r="OU50" s="71"/>
      <c r="OV50" s="71"/>
      <c r="OW50" s="71"/>
      <c r="OX50" s="71"/>
      <c r="OY50" s="71"/>
      <c r="OZ50" s="71"/>
      <c r="PA50" s="71"/>
      <c r="PB50" s="71"/>
      <c r="PC50" s="71"/>
      <c r="PD50" s="71"/>
      <c r="PE50" s="71"/>
      <c r="PF50" s="71"/>
      <c r="PG50" s="71"/>
      <c r="PH50" s="71"/>
      <c r="PI50" s="71"/>
      <c r="PJ50" s="71"/>
      <c r="PK50" s="71"/>
      <c r="PL50" s="71"/>
      <c r="PM50" s="71"/>
      <c r="PN50" s="71"/>
      <c r="PO50" s="71"/>
      <c r="PP50" s="71"/>
      <c r="PQ50" s="71"/>
      <c r="PR50" s="71"/>
      <c r="PS50" s="71"/>
      <c r="PT50" s="71"/>
      <c r="PU50" s="71"/>
      <c r="PV50" s="71"/>
      <c r="PW50" s="71"/>
      <c r="PX50" s="71"/>
      <c r="PY50" s="71"/>
      <c r="PZ50" s="71"/>
      <c r="QA50" s="71"/>
      <c r="QB50" s="71"/>
      <c r="QC50" s="71"/>
      <c r="QD50" s="71"/>
      <c r="QE50" s="71"/>
      <c r="QF50" s="71"/>
      <c r="QG50" s="71"/>
      <c r="QH50" s="71"/>
      <c r="QI50" s="71"/>
      <c r="QJ50" s="71"/>
      <c r="QK50" s="71"/>
      <c r="QL50" s="71"/>
      <c r="QM50" s="71"/>
      <c r="QN50" s="71"/>
      <c r="QO50" s="71"/>
      <c r="QP50" s="71"/>
      <c r="QQ50" s="71"/>
      <c r="QR50" s="71"/>
      <c r="QS50" s="71"/>
      <c r="QT50" s="71"/>
      <c r="QU50" s="71"/>
      <c r="QV50" s="71"/>
      <c r="QW50" s="71"/>
      <c r="QX50" s="71"/>
      <c r="QY50" s="71"/>
      <c r="QZ50" s="71"/>
      <c r="RA50" s="71"/>
      <c r="RB50" s="71"/>
      <c r="RC50" s="71"/>
      <c r="RD50" s="71"/>
      <c r="RE50" s="71"/>
      <c r="RF50" s="71"/>
      <c r="RG50" s="71"/>
      <c r="RH50" s="71"/>
      <c r="RI50" s="71"/>
      <c r="RJ50" s="71"/>
      <c r="RK50" s="71"/>
      <c r="RL50" s="71"/>
      <c r="RM50" s="71"/>
      <c r="RN50" s="71"/>
      <c r="RO50" s="71"/>
      <c r="RP50" s="71"/>
      <c r="RQ50" s="71"/>
      <c r="RR50" s="71"/>
      <c r="RS50" s="71"/>
      <c r="RT50" s="71"/>
      <c r="RU50" s="71"/>
      <c r="RV50" s="71"/>
      <c r="RW50" s="71"/>
      <c r="RX50" s="71"/>
      <c r="RY50" s="71"/>
      <c r="RZ50" s="71"/>
      <c r="SA50" s="71"/>
      <c r="SB50" s="71"/>
      <c r="SC50" s="71"/>
      <c r="SD50" s="71"/>
      <c r="SE50" s="71"/>
      <c r="SF50" s="71"/>
      <c r="SG50" s="71"/>
      <c r="SH50" s="71"/>
      <c r="SI50" s="71"/>
      <c r="SJ50" s="71"/>
      <c r="SK50" s="71"/>
      <c r="SL50" s="71"/>
      <c r="SM50" s="71"/>
      <c r="SN50" s="71"/>
      <c r="SO50" s="71"/>
      <c r="SP50" s="71"/>
      <c r="SQ50" s="71"/>
      <c r="SR50" s="71"/>
      <c r="SS50" s="71"/>
      <c r="ST50" s="71"/>
      <c r="SU50" s="71"/>
      <c r="SV50" s="71"/>
      <c r="SW50" s="71"/>
      <c r="SX50" s="71"/>
      <c r="SY50" s="71"/>
      <c r="SZ50" s="71"/>
      <c r="TA50" s="71"/>
      <c r="TB50" s="71"/>
      <c r="TC50" s="71"/>
      <c r="TD50" s="71"/>
      <c r="TE50" s="71"/>
      <c r="TF50" s="71"/>
      <c r="TG50" s="71"/>
      <c r="TH50" s="71"/>
      <c r="TI50" s="71"/>
      <c r="TJ50" s="71"/>
      <c r="TK50" s="71"/>
      <c r="TL50" s="71"/>
      <c r="TM50" s="71"/>
      <c r="TN50" s="71"/>
      <c r="TO50" s="71"/>
      <c r="TP50" s="71"/>
      <c r="TQ50" s="71"/>
      <c r="TR50" s="71"/>
      <c r="TS50" s="71"/>
      <c r="TT50" s="71"/>
      <c r="TU50" s="71"/>
      <c r="TV50" s="71"/>
      <c r="TW50" s="71"/>
      <c r="TX50" s="71"/>
      <c r="TY50" s="71"/>
      <c r="TZ50" s="71"/>
      <c r="UA50" s="71"/>
      <c r="UB50" s="71"/>
      <c r="UC50" s="71"/>
      <c r="UD50" s="71"/>
      <c r="UE50" s="71"/>
      <c r="UF50" s="71"/>
      <c r="UG50" s="71"/>
      <c r="UH50" s="71"/>
      <c r="UI50" s="71"/>
      <c r="UJ50" s="71"/>
      <c r="UK50" s="71"/>
      <c r="UL50" s="71"/>
      <c r="UM50" s="71"/>
      <c r="UN50" s="71"/>
      <c r="UO50" s="71"/>
      <c r="UP50" s="71"/>
      <c r="UQ50" s="71"/>
      <c r="UR50" s="71"/>
      <c r="US50" s="71"/>
      <c r="UT50" s="71"/>
      <c r="UU50" s="71"/>
      <c r="UV50" s="71"/>
      <c r="UW50" s="71"/>
      <c r="UX50" s="71"/>
      <c r="UY50" s="71"/>
      <c r="UZ50" s="71"/>
      <c r="VA50" s="71"/>
      <c r="VB50" s="71"/>
      <c r="VC50" s="71"/>
      <c r="VD50" s="71"/>
      <c r="VE50" s="71"/>
      <c r="VF50" s="71"/>
      <c r="VG50" s="71"/>
      <c r="VH50" s="71"/>
      <c r="VI50" s="71"/>
      <c r="VJ50" s="71"/>
      <c r="VK50" s="71"/>
      <c r="VL50" s="71"/>
      <c r="VM50" s="71"/>
      <c r="VN50" s="71"/>
      <c r="VO50" s="71"/>
      <c r="VP50" s="71"/>
      <c r="VQ50" s="71"/>
      <c r="VR50" s="71"/>
      <c r="VS50" s="71"/>
      <c r="VT50" s="71"/>
      <c r="VU50" s="71"/>
      <c r="VV50" s="71"/>
      <c r="VW50" s="71"/>
      <c r="VX50" s="71"/>
      <c r="VY50" s="71"/>
      <c r="VZ50" s="71"/>
      <c r="WA50" s="71"/>
      <c r="WB50" s="71"/>
      <c r="WC50" s="71"/>
      <c r="WD50" s="71"/>
      <c r="WE50" s="71"/>
      <c r="WF50" s="71"/>
      <c r="WG50" s="71"/>
      <c r="WH50" s="71"/>
      <c r="WI50" s="71"/>
      <c r="WJ50" s="71"/>
      <c r="WK50" s="71"/>
      <c r="WL50" s="71"/>
      <c r="WM50" s="71"/>
      <c r="WN50" s="71"/>
      <c r="WO50" s="71"/>
      <c r="WP50" s="71"/>
      <c r="WQ50" s="71"/>
      <c r="WR50" s="71"/>
      <c r="WS50" s="71"/>
      <c r="WT50" s="71"/>
      <c r="WU50" s="71"/>
      <c r="WV50" s="71"/>
      <c r="WW50" s="71"/>
      <c r="WX50" s="71"/>
      <c r="WY50" s="71"/>
      <c r="WZ50" s="71"/>
      <c r="XA50" s="71"/>
      <c r="XB50" s="71"/>
      <c r="XC50" s="71"/>
      <c r="XD50" s="71"/>
      <c r="XE50" s="71"/>
      <c r="XF50" s="71"/>
      <c r="XG50" s="71"/>
      <c r="XH50" s="71"/>
      <c r="XI50" s="71"/>
      <c r="XJ50" s="71"/>
      <c r="XK50" s="71"/>
      <c r="XL50" s="71"/>
      <c r="XM50" s="71"/>
      <c r="XN50" s="71"/>
      <c r="XO50" s="71"/>
      <c r="XP50" s="71"/>
      <c r="XQ50" s="71"/>
      <c r="XR50" s="71"/>
      <c r="XS50" s="71"/>
      <c r="XT50" s="71"/>
      <c r="XU50" s="71"/>
      <c r="XV50" s="71"/>
      <c r="XW50" s="71"/>
      <c r="XX50" s="71"/>
      <c r="XY50" s="71"/>
      <c r="XZ50" s="71"/>
      <c r="YA50" s="71"/>
      <c r="YB50" s="71"/>
      <c r="YC50" s="71"/>
      <c r="YD50" s="71"/>
      <c r="YE50" s="71"/>
      <c r="YF50" s="71"/>
      <c r="YG50" s="71"/>
      <c r="YH50" s="71"/>
      <c r="YI50" s="71"/>
      <c r="YJ50" s="71"/>
      <c r="YK50" s="71"/>
      <c r="YL50" s="71"/>
      <c r="YM50" s="71"/>
      <c r="YN50" s="71"/>
      <c r="YO50" s="71"/>
      <c r="YP50" s="71"/>
      <c r="YQ50" s="71"/>
      <c r="YR50" s="71"/>
      <c r="YS50" s="71"/>
      <c r="YT50" s="71"/>
      <c r="YU50" s="71"/>
      <c r="YV50" s="71"/>
      <c r="YW50" s="71"/>
      <c r="YX50" s="71"/>
      <c r="YY50" s="71"/>
      <c r="YZ50" s="71"/>
      <c r="ZA50" s="71"/>
      <c r="ZB50" s="71"/>
      <c r="ZC50" s="71"/>
      <c r="ZD50" s="71"/>
      <c r="ZE50" s="71"/>
      <c r="ZF50" s="71"/>
      <c r="ZG50" s="71"/>
      <c r="ZH50" s="71"/>
      <c r="ZI50" s="71"/>
      <c r="ZJ50" s="71"/>
      <c r="ZK50" s="71"/>
      <c r="ZL50" s="71"/>
      <c r="ZM50" s="71"/>
      <c r="ZN50" s="71"/>
      <c r="ZO50" s="71"/>
      <c r="ZP50" s="71"/>
      <c r="ZQ50" s="71"/>
      <c r="ZR50" s="71"/>
      <c r="ZS50" s="71"/>
      <c r="ZT50" s="71"/>
      <c r="ZU50" s="71"/>
      <c r="ZV50" s="71"/>
      <c r="ZW50" s="71"/>
      <c r="ZX50" s="71"/>
      <c r="ZY50" s="71"/>
      <c r="ZZ50" s="71"/>
      <c r="AAA50" s="71"/>
      <c r="AAB50" s="71"/>
      <c r="AAC50" s="71"/>
      <c r="AAD50" s="71"/>
      <c r="AAE50" s="71"/>
      <c r="AAF50" s="71"/>
      <c r="AAG50" s="71"/>
      <c r="AAH50" s="71"/>
      <c r="AAI50" s="71"/>
      <c r="AAJ50" s="71"/>
      <c r="AAK50" s="71"/>
      <c r="AAL50" s="71"/>
      <c r="AAM50" s="71"/>
      <c r="AAN50" s="71"/>
      <c r="AAO50" s="71"/>
      <c r="AAP50" s="71"/>
      <c r="AAQ50" s="71"/>
      <c r="AAR50" s="71"/>
      <c r="AAS50" s="71"/>
      <c r="AAT50" s="71"/>
      <c r="AAU50" s="71"/>
      <c r="AAV50" s="71"/>
      <c r="AAW50" s="71"/>
      <c r="AAX50" s="71"/>
      <c r="AAY50" s="71"/>
      <c r="AAZ50" s="71"/>
      <c r="ABA50" s="71"/>
      <c r="ABB50" s="71"/>
      <c r="ABC50" s="71"/>
      <c r="ABD50" s="71"/>
      <c r="ABE50" s="71"/>
      <c r="ABF50" s="71"/>
      <c r="ABG50" s="71"/>
      <c r="ABH50" s="71"/>
      <c r="ABI50" s="71"/>
      <c r="ABJ50" s="71"/>
      <c r="ABK50" s="71"/>
      <c r="ABL50" s="71"/>
      <c r="ABM50" s="71"/>
      <c r="ABN50" s="71"/>
      <c r="ABO50" s="71"/>
      <c r="ABP50" s="71"/>
      <c r="ABQ50" s="71"/>
      <c r="ABR50" s="71"/>
      <c r="ABS50" s="71"/>
      <c r="ABT50" s="71"/>
      <c r="ABU50" s="71"/>
      <c r="ABV50" s="71"/>
      <c r="ABW50" s="71"/>
      <c r="ABX50" s="71"/>
      <c r="ABY50" s="71"/>
      <c r="ABZ50" s="71"/>
      <c r="ACA50" s="71"/>
      <c r="ACB50" s="71"/>
      <c r="ACC50" s="71"/>
      <c r="ACD50" s="71"/>
      <c r="ACE50" s="71"/>
      <c r="ACF50" s="71"/>
      <c r="ACG50" s="71"/>
      <c r="ACH50" s="71"/>
      <c r="ACI50" s="71"/>
      <c r="ACJ50" s="71"/>
      <c r="ACK50" s="71"/>
      <c r="ACL50" s="71"/>
      <c r="ACM50" s="71"/>
      <c r="ACN50" s="71"/>
      <c r="ACO50" s="71"/>
      <c r="ACP50" s="71"/>
      <c r="ACQ50" s="71"/>
      <c r="ACR50" s="71"/>
      <c r="ACS50" s="71"/>
      <c r="ACT50" s="71"/>
      <c r="ACU50" s="71"/>
      <c r="ACV50" s="71"/>
      <c r="ACW50" s="71"/>
      <c r="ACX50" s="71"/>
      <c r="ACY50" s="71"/>
      <c r="ACZ50" s="71"/>
      <c r="ADA50" s="71"/>
      <c r="ADB50" s="71"/>
      <c r="ADC50" s="71"/>
      <c r="ADD50" s="71"/>
      <c r="ADE50" s="71"/>
      <c r="ADF50" s="71"/>
      <c r="ADG50" s="71"/>
      <c r="ADH50" s="71"/>
      <c r="ADI50" s="71"/>
      <c r="ADJ50" s="71"/>
      <c r="ADK50" s="71"/>
      <c r="ADL50" s="71"/>
      <c r="ADM50" s="71"/>
      <c r="ADN50" s="71"/>
      <c r="ADO50" s="71"/>
      <c r="ADP50" s="71"/>
      <c r="ADQ50" s="71"/>
      <c r="ADR50" s="71"/>
      <c r="ADS50" s="71"/>
      <c r="ADT50" s="71"/>
      <c r="ADU50" s="71"/>
      <c r="ADV50" s="71"/>
      <c r="ADW50" s="71"/>
      <c r="ADX50" s="71"/>
      <c r="ADY50" s="71"/>
      <c r="ADZ50" s="71"/>
      <c r="AEA50" s="71"/>
      <c r="AEB50" s="71"/>
      <c r="AEC50" s="71"/>
      <c r="AED50" s="71"/>
      <c r="AEE50" s="71"/>
      <c r="AEF50" s="71"/>
      <c r="AEG50" s="71"/>
      <c r="AEH50" s="71"/>
      <c r="AEI50" s="71"/>
      <c r="AEJ50" s="71"/>
      <c r="AEK50" s="71"/>
      <c r="AEL50" s="71"/>
      <c r="AEM50" s="71"/>
      <c r="AEN50" s="71"/>
      <c r="AEO50" s="71"/>
      <c r="AEP50" s="71"/>
      <c r="AEQ50" s="71"/>
      <c r="AER50" s="71"/>
      <c r="AES50" s="71"/>
      <c r="AET50" s="71"/>
      <c r="AEU50" s="71"/>
      <c r="AEV50" s="71"/>
      <c r="AEW50" s="71"/>
      <c r="AEX50" s="71"/>
      <c r="AEY50" s="71"/>
      <c r="AEZ50" s="71"/>
      <c r="AFA50" s="71"/>
      <c r="AFB50" s="71"/>
      <c r="AFC50" s="71"/>
      <c r="AFD50" s="71"/>
      <c r="AFE50" s="71"/>
      <c r="AFF50" s="71"/>
      <c r="AFG50" s="71"/>
      <c r="AFH50" s="71"/>
      <c r="AFI50" s="71"/>
      <c r="AFJ50" s="71"/>
      <c r="AFK50" s="71"/>
      <c r="AFL50" s="71"/>
      <c r="AFM50" s="71"/>
      <c r="AFN50" s="71"/>
      <c r="AFO50" s="71"/>
      <c r="AFP50" s="71"/>
      <c r="AFQ50" s="71"/>
      <c r="AFR50" s="71"/>
      <c r="AFS50" s="71"/>
      <c r="AFT50" s="71"/>
      <c r="AFU50" s="71"/>
      <c r="AFV50" s="71"/>
      <c r="AFW50" s="71"/>
      <c r="AFX50" s="71"/>
      <c r="AFY50" s="71"/>
      <c r="AFZ50" s="71"/>
      <c r="AGA50" s="71"/>
      <c r="AGB50" s="71"/>
      <c r="AGC50" s="71"/>
      <c r="AGD50" s="71"/>
      <c r="AGE50" s="71"/>
      <c r="AGF50" s="71"/>
      <c r="AGG50" s="71"/>
      <c r="AGH50" s="71"/>
      <c r="AGI50" s="71"/>
      <c r="AGJ50" s="71"/>
      <c r="AGK50" s="71"/>
      <c r="AGL50" s="71"/>
      <c r="AGM50" s="71"/>
      <c r="AGN50" s="71"/>
      <c r="AGO50" s="71"/>
      <c r="AGP50" s="71"/>
      <c r="AGQ50" s="71"/>
      <c r="AGR50" s="71"/>
      <c r="AGS50" s="71"/>
      <c r="AGT50" s="71"/>
      <c r="AGU50" s="71"/>
      <c r="AGV50" s="71"/>
      <c r="AGW50" s="71"/>
      <c r="AGX50" s="71"/>
      <c r="AGY50" s="71"/>
      <c r="AGZ50" s="71"/>
      <c r="AHA50" s="71"/>
      <c r="AHB50" s="71"/>
      <c r="AHC50" s="71"/>
      <c r="AHD50" s="71"/>
      <c r="AHE50" s="71"/>
      <c r="AHF50" s="71"/>
      <c r="AHG50" s="71"/>
      <c r="AHH50" s="71"/>
      <c r="AHI50" s="71"/>
      <c r="AHJ50" s="71"/>
      <c r="AHK50" s="71"/>
      <c r="AHL50" s="71"/>
      <c r="AHM50" s="71"/>
      <c r="AHN50" s="71"/>
      <c r="AHO50" s="71"/>
      <c r="AHP50" s="71"/>
      <c r="AHQ50" s="71"/>
      <c r="AHR50" s="71"/>
      <c r="AHS50" s="71"/>
      <c r="AHT50" s="71"/>
      <c r="AHU50" s="71"/>
      <c r="AHV50" s="71"/>
      <c r="AHW50" s="71"/>
      <c r="AHX50" s="71"/>
      <c r="AHY50" s="71"/>
      <c r="AHZ50" s="71"/>
      <c r="AIA50" s="71"/>
      <c r="AIB50" s="71"/>
      <c r="AIC50" s="71"/>
      <c r="AID50" s="71"/>
      <c r="AIE50" s="71"/>
      <c r="AIF50" s="71"/>
      <c r="AIG50" s="71"/>
      <c r="AIH50" s="71"/>
      <c r="AII50" s="71"/>
      <c r="AIJ50" s="71"/>
      <c r="AIK50" s="71"/>
      <c r="AIL50" s="71"/>
      <c r="AIM50" s="71"/>
      <c r="AIN50" s="71"/>
      <c r="AIO50" s="71"/>
      <c r="AIP50" s="71"/>
      <c r="AIQ50" s="71"/>
      <c r="AIR50" s="71"/>
      <c r="AIS50" s="71"/>
      <c r="AIT50" s="71"/>
      <c r="AIU50" s="71"/>
      <c r="AIV50" s="71"/>
      <c r="AIW50" s="71"/>
      <c r="AIX50" s="71"/>
      <c r="AIY50" s="71"/>
      <c r="AIZ50" s="71"/>
      <c r="AJA50" s="71"/>
      <c r="AJB50" s="71"/>
      <c r="AJC50" s="71"/>
      <c r="AJD50" s="71"/>
      <c r="AJE50" s="71"/>
      <c r="AJF50" s="71"/>
      <c r="AJG50" s="71"/>
      <c r="AJH50" s="71"/>
      <c r="AJI50" s="71"/>
      <c r="AJJ50" s="71"/>
      <c r="AJK50" s="71"/>
      <c r="AJL50" s="71"/>
      <c r="AJM50" s="71"/>
      <c r="AJN50" s="71"/>
      <c r="AJO50" s="71"/>
      <c r="AJP50" s="71"/>
      <c r="AJQ50" s="71"/>
      <c r="AJR50" s="71"/>
      <c r="AJS50" s="71"/>
      <c r="AJT50" s="71"/>
      <c r="AJU50" s="71"/>
      <c r="AJV50" s="71"/>
      <c r="AJW50" s="71"/>
      <c r="AJX50" s="71"/>
      <c r="AJY50" s="71"/>
      <c r="AJZ50" s="71"/>
      <c r="AKA50" s="71"/>
      <c r="AKB50" s="71"/>
      <c r="AKC50" s="71"/>
      <c r="AKD50" s="71"/>
      <c r="AKE50" s="71"/>
      <c r="AKF50" s="71"/>
      <c r="AKG50" s="71"/>
      <c r="AKH50" s="71"/>
      <c r="AKI50" s="71"/>
      <c r="AKJ50" s="71"/>
      <c r="AKK50" s="71"/>
      <c r="AKL50" s="71"/>
      <c r="AKM50" s="71"/>
      <c r="AKN50" s="71"/>
      <c r="AKO50" s="71"/>
      <c r="AKP50" s="71"/>
      <c r="AKQ50" s="71"/>
      <c r="AKR50" s="71"/>
      <c r="AKS50" s="71"/>
      <c r="AKT50" s="71"/>
      <c r="AKU50" s="71"/>
      <c r="AKV50" s="71"/>
      <c r="AKW50" s="71"/>
      <c r="AKX50" s="71"/>
      <c r="AKY50" s="71"/>
      <c r="AKZ50" s="71"/>
      <c r="ALA50" s="71"/>
      <c r="ALB50" s="71"/>
      <c r="ALC50" s="71"/>
      <c r="ALD50" s="71"/>
      <c r="ALE50" s="71"/>
      <c r="ALF50" s="71"/>
      <c r="ALG50" s="71"/>
      <c r="ALH50" s="71"/>
      <c r="ALI50" s="71"/>
      <c r="ALJ50" s="71"/>
      <c r="ALK50" s="71"/>
      <c r="ALL50" s="71"/>
      <c r="ALM50" s="71"/>
      <c r="ALN50" s="71"/>
      <c r="ALO50" s="71"/>
      <c r="ALP50" s="71"/>
      <c r="ALQ50" s="71"/>
      <c r="ALR50" s="71"/>
      <c r="ALS50" s="71"/>
      <c r="ALT50" s="71"/>
      <c r="ALU50" s="71"/>
      <c r="ALV50" s="71"/>
      <c r="ALW50" s="71"/>
      <c r="ALX50" s="71"/>
      <c r="ALY50" s="71"/>
      <c r="ALZ50" s="71"/>
      <c r="AMA50" s="71"/>
      <c r="AMB50" s="71"/>
      <c r="AMC50" s="71"/>
      <c r="AMD50" s="71"/>
      <c r="AME50" s="71"/>
      <c r="AMF50" s="71"/>
      <c r="AMG50" s="71"/>
      <c r="AMH50" s="71"/>
      <c r="AMI50" s="71"/>
      <c r="AMJ50" s="71"/>
    </row>
    <row r="51" spans="1:1024" ht="20.25" customHeight="1" thickBot="1" x14ac:dyDescent="0.25">
      <c r="A51" s="99" t="s">
        <v>106</v>
      </c>
      <c r="B51" s="99"/>
      <c r="C51" s="99"/>
      <c r="D51" s="99"/>
      <c r="E51" s="99"/>
      <c r="F51" s="99"/>
      <c r="G51" s="99"/>
      <c r="H51" s="99"/>
      <c r="I51" s="99"/>
      <c r="J51" s="100">
        <f>SUMPRODUCT(J12:J50,K12:K50)</f>
        <v>4060000.5300000003</v>
      </c>
      <c r="K51" s="100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71"/>
      <c r="NK51" s="71"/>
      <c r="NL51" s="71"/>
      <c r="NM51" s="71"/>
      <c r="NN51" s="71"/>
      <c r="NO51" s="71"/>
      <c r="NP51" s="71"/>
      <c r="NQ51" s="71"/>
      <c r="NR51" s="71"/>
      <c r="NS51" s="71"/>
      <c r="NT51" s="71"/>
      <c r="NU51" s="71"/>
      <c r="NV51" s="71"/>
      <c r="NW51" s="71"/>
      <c r="NX51" s="71"/>
      <c r="NY51" s="71"/>
      <c r="NZ51" s="71"/>
      <c r="OA51" s="71"/>
      <c r="OB51" s="71"/>
      <c r="OC51" s="71"/>
      <c r="OD51" s="71"/>
      <c r="OE51" s="71"/>
      <c r="OF51" s="71"/>
      <c r="OG51" s="71"/>
      <c r="OH51" s="71"/>
      <c r="OI51" s="71"/>
      <c r="OJ51" s="71"/>
      <c r="OK51" s="71"/>
      <c r="OL51" s="71"/>
      <c r="OM51" s="71"/>
      <c r="ON51" s="71"/>
      <c r="OO51" s="71"/>
      <c r="OP51" s="71"/>
      <c r="OQ51" s="71"/>
      <c r="OR51" s="71"/>
      <c r="OS51" s="71"/>
      <c r="OT51" s="71"/>
      <c r="OU51" s="71"/>
      <c r="OV51" s="71"/>
      <c r="OW51" s="71"/>
      <c r="OX51" s="71"/>
      <c r="OY51" s="71"/>
      <c r="OZ51" s="71"/>
      <c r="PA51" s="71"/>
      <c r="PB51" s="71"/>
      <c r="PC51" s="71"/>
      <c r="PD51" s="71"/>
      <c r="PE51" s="71"/>
      <c r="PF51" s="71"/>
      <c r="PG51" s="71"/>
      <c r="PH51" s="71"/>
      <c r="PI51" s="71"/>
      <c r="PJ51" s="71"/>
      <c r="PK51" s="71"/>
      <c r="PL51" s="71"/>
      <c r="PM51" s="71"/>
      <c r="PN51" s="71"/>
      <c r="PO51" s="71"/>
      <c r="PP51" s="71"/>
      <c r="PQ51" s="71"/>
      <c r="PR51" s="71"/>
      <c r="PS51" s="71"/>
      <c r="PT51" s="71"/>
      <c r="PU51" s="71"/>
      <c r="PV51" s="71"/>
      <c r="PW51" s="71"/>
      <c r="PX51" s="71"/>
      <c r="PY51" s="71"/>
      <c r="PZ51" s="71"/>
      <c r="QA51" s="71"/>
      <c r="QB51" s="71"/>
      <c r="QC51" s="71"/>
      <c r="QD51" s="71"/>
      <c r="QE51" s="71"/>
      <c r="QF51" s="71"/>
      <c r="QG51" s="71"/>
      <c r="QH51" s="71"/>
      <c r="QI51" s="71"/>
      <c r="QJ51" s="71"/>
      <c r="QK51" s="71"/>
      <c r="QL51" s="71"/>
      <c r="QM51" s="71"/>
      <c r="QN51" s="71"/>
      <c r="QO51" s="71"/>
      <c r="QP51" s="71"/>
      <c r="QQ51" s="71"/>
      <c r="QR51" s="71"/>
      <c r="QS51" s="71"/>
      <c r="QT51" s="71"/>
      <c r="QU51" s="71"/>
      <c r="QV51" s="71"/>
      <c r="QW51" s="71"/>
      <c r="QX51" s="71"/>
      <c r="QY51" s="71"/>
      <c r="QZ51" s="71"/>
      <c r="RA51" s="71"/>
      <c r="RB51" s="71"/>
      <c r="RC51" s="71"/>
      <c r="RD51" s="71"/>
      <c r="RE51" s="71"/>
      <c r="RF51" s="71"/>
      <c r="RG51" s="71"/>
      <c r="RH51" s="71"/>
      <c r="RI51" s="71"/>
      <c r="RJ51" s="71"/>
      <c r="RK51" s="71"/>
      <c r="RL51" s="71"/>
      <c r="RM51" s="71"/>
      <c r="RN51" s="71"/>
      <c r="RO51" s="71"/>
      <c r="RP51" s="71"/>
      <c r="RQ51" s="71"/>
      <c r="RR51" s="71"/>
      <c r="RS51" s="71"/>
      <c r="RT51" s="71"/>
      <c r="RU51" s="71"/>
      <c r="RV51" s="71"/>
      <c r="RW51" s="71"/>
      <c r="RX51" s="71"/>
      <c r="RY51" s="71"/>
      <c r="RZ51" s="71"/>
      <c r="SA51" s="71"/>
      <c r="SB51" s="71"/>
      <c r="SC51" s="71"/>
      <c r="SD51" s="71"/>
      <c r="SE51" s="71"/>
      <c r="SF51" s="71"/>
      <c r="SG51" s="71"/>
      <c r="SH51" s="71"/>
      <c r="SI51" s="71"/>
      <c r="SJ51" s="71"/>
      <c r="SK51" s="71"/>
      <c r="SL51" s="71"/>
      <c r="SM51" s="71"/>
      <c r="SN51" s="71"/>
      <c r="SO51" s="71"/>
      <c r="SP51" s="71"/>
      <c r="SQ51" s="71"/>
      <c r="SR51" s="71"/>
      <c r="SS51" s="71"/>
      <c r="ST51" s="71"/>
      <c r="SU51" s="71"/>
      <c r="SV51" s="71"/>
      <c r="SW51" s="71"/>
      <c r="SX51" s="71"/>
      <c r="SY51" s="71"/>
      <c r="SZ51" s="71"/>
      <c r="TA51" s="71"/>
      <c r="TB51" s="71"/>
      <c r="TC51" s="71"/>
      <c r="TD51" s="71"/>
      <c r="TE51" s="71"/>
      <c r="TF51" s="71"/>
      <c r="TG51" s="71"/>
      <c r="TH51" s="71"/>
      <c r="TI51" s="71"/>
      <c r="TJ51" s="71"/>
      <c r="TK51" s="71"/>
      <c r="TL51" s="71"/>
      <c r="TM51" s="71"/>
      <c r="TN51" s="71"/>
      <c r="TO51" s="71"/>
      <c r="TP51" s="71"/>
      <c r="TQ51" s="71"/>
      <c r="TR51" s="71"/>
      <c r="TS51" s="71"/>
      <c r="TT51" s="71"/>
      <c r="TU51" s="71"/>
      <c r="TV51" s="71"/>
      <c r="TW51" s="71"/>
      <c r="TX51" s="71"/>
      <c r="TY51" s="71"/>
      <c r="TZ51" s="71"/>
      <c r="UA51" s="71"/>
      <c r="UB51" s="71"/>
      <c r="UC51" s="71"/>
      <c r="UD51" s="71"/>
      <c r="UE51" s="71"/>
      <c r="UF51" s="71"/>
      <c r="UG51" s="71"/>
      <c r="UH51" s="71"/>
      <c r="UI51" s="71"/>
      <c r="UJ51" s="71"/>
      <c r="UK51" s="71"/>
      <c r="UL51" s="71"/>
      <c r="UM51" s="71"/>
      <c r="UN51" s="71"/>
      <c r="UO51" s="71"/>
      <c r="UP51" s="71"/>
      <c r="UQ51" s="71"/>
      <c r="UR51" s="71"/>
      <c r="US51" s="71"/>
      <c r="UT51" s="71"/>
      <c r="UU51" s="71"/>
      <c r="UV51" s="71"/>
      <c r="UW51" s="71"/>
      <c r="UX51" s="71"/>
      <c r="UY51" s="71"/>
      <c r="UZ51" s="71"/>
      <c r="VA51" s="71"/>
      <c r="VB51" s="71"/>
      <c r="VC51" s="71"/>
      <c r="VD51" s="71"/>
      <c r="VE51" s="71"/>
      <c r="VF51" s="71"/>
      <c r="VG51" s="71"/>
      <c r="VH51" s="71"/>
      <c r="VI51" s="71"/>
      <c r="VJ51" s="71"/>
      <c r="VK51" s="71"/>
      <c r="VL51" s="71"/>
      <c r="VM51" s="71"/>
      <c r="VN51" s="71"/>
      <c r="VO51" s="71"/>
      <c r="VP51" s="71"/>
      <c r="VQ51" s="71"/>
      <c r="VR51" s="71"/>
      <c r="VS51" s="71"/>
      <c r="VT51" s="71"/>
      <c r="VU51" s="71"/>
      <c r="VV51" s="71"/>
      <c r="VW51" s="71"/>
      <c r="VX51" s="71"/>
      <c r="VY51" s="71"/>
      <c r="VZ51" s="71"/>
      <c r="WA51" s="71"/>
      <c r="WB51" s="71"/>
      <c r="WC51" s="71"/>
      <c r="WD51" s="71"/>
      <c r="WE51" s="71"/>
      <c r="WF51" s="71"/>
      <c r="WG51" s="71"/>
      <c r="WH51" s="71"/>
      <c r="WI51" s="71"/>
      <c r="WJ51" s="71"/>
      <c r="WK51" s="71"/>
      <c r="WL51" s="71"/>
      <c r="WM51" s="71"/>
      <c r="WN51" s="71"/>
      <c r="WO51" s="71"/>
      <c r="WP51" s="71"/>
      <c r="WQ51" s="71"/>
      <c r="WR51" s="71"/>
      <c r="WS51" s="71"/>
      <c r="WT51" s="71"/>
      <c r="WU51" s="71"/>
      <c r="WV51" s="71"/>
      <c r="WW51" s="71"/>
      <c r="WX51" s="71"/>
      <c r="WY51" s="71"/>
      <c r="WZ51" s="71"/>
      <c r="XA51" s="71"/>
      <c r="XB51" s="71"/>
      <c r="XC51" s="71"/>
      <c r="XD51" s="71"/>
      <c r="XE51" s="71"/>
      <c r="XF51" s="71"/>
      <c r="XG51" s="71"/>
      <c r="XH51" s="71"/>
      <c r="XI51" s="71"/>
      <c r="XJ51" s="71"/>
      <c r="XK51" s="71"/>
      <c r="XL51" s="71"/>
      <c r="XM51" s="71"/>
      <c r="XN51" s="71"/>
      <c r="XO51" s="71"/>
      <c r="XP51" s="71"/>
      <c r="XQ51" s="71"/>
      <c r="XR51" s="71"/>
      <c r="XS51" s="71"/>
      <c r="XT51" s="71"/>
      <c r="XU51" s="71"/>
      <c r="XV51" s="71"/>
      <c r="XW51" s="71"/>
      <c r="XX51" s="71"/>
      <c r="XY51" s="71"/>
      <c r="XZ51" s="71"/>
      <c r="YA51" s="71"/>
      <c r="YB51" s="71"/>
      <c r="YC51" s="71"/>
      <c r="YD51" s="71"/>
      <c r="YE51" s="71"/>
      <c r="YF51" s="71"/>
      <c r="YG51" s="71"/>
      <c r="YH51" s="71"/>
      <c r="YI51" s="71"/>
      <c r="YJ51" s="71"/>
      <c r="YK51" s="71"/>
      <c r="YL51" s="71"/>
      <c r="YM51" s="71"/>
      <c r="YN51" s="71"/>
      <c r="YO51" s="71"/>
      <c r="YP51" s="71"/>
      <c r="YQ51" s="71"/>
      <c r="YR51" s="71"/>
      <c r="YS51" s="71"/>
      <c r="YT51" s="71"/>
      <c r="YU51" s="71"/>
      <c r="YV51" s="71"/>
      <c r="YW51" s="71"/>
      <c r="YX51" s="71"/>
      <c r="YY51" s="71"/>
      <c r="YZ51" s="71"/>
      <c r="ZA51" s="71"/>
      <c r="ZB51" s="71"/>
      <c r="ZC51" s="71"/>
      <c r="ZD51" s="71"/>
      <c r="ZE51" s="71"/>
      <c r="ZF51" s="71"/>
      <c r="ZG51" s="71"/>
      <c r="ZH51" s="71"/>
      <c r="ZI51" s="71"/>
      <c r="ZJ51" s="71"/>
      <c r="ZK51" s="71"/>
      <c r="ZL51" s="71"/>
      <c r="ZM51" s="71"/>
      <c r="ZN51" s="71"/>
      <c r="ZO51" s="71"/>
      <c r="ZP51" s="71"/>
      <c r="ZQ51" s="71"/>
      <c r="ZR51" s="71"/>
      <c r="ZS51" s="71"/>
      <c r="ZT51" s="71"/>
      <c r="ZU51" s="71"/>
      <c r="ZV51" s="71"/>
      <c r="ZW51" s="71"/>
      <c r="ZX51" s="71"/>
      <c r="ZY51" s="71"/>
      <c r="ZZ51" s="71"/>
      <c r="AAA51" s="71"/>
      <c r="AAB51" s="71"/>
      <c r="AAC51" s="71"/>
      <c r="AAD51" s="71"/>
      <c r="AAE51" s="71"/>
      <c r="AAF51" s="71"/>
      <c r="AAG51" s="71"/>
      <c r="AAH51" s="71"/>
      <c r="AAI51" s="71"/>
      <c r="AAJ51" s="71"/>
      <c r="AAK51" s="71"/>
      <c r="AAL51" s="71"/>
      <c r="AAM51" s="71"/>
      <c r="AAN51" s="71"/>
      <c r="AAO51" s="71"/>
      <c r="AAP51" s="71"/>
      <c r="AAQ51" s="71"/>
      <c r="AAR51" s="71"/>
      <c r="AAS51" s="71"/>
      <c r="AAT51" s="71"/>
      <c r="AAU51" s="71"/>
      <c r="AAV51" s="71"/>
      <c r="AAW51" s="71"/>
      <c r="AAX51" s="71"/>
      <c r="AAY51" s="71"/>
      <c r="AAZ51" s="71"/>
      <c r="ABA51" s="71"/>
      <c r="ABB51" s="71"/>
      <c r="ABC51" s="71"/>
      <c r="ABD51" s="71"/>
      <c r="ABE51" s="71"/>
      <c r="ABF51" s="71"/>
      <c r="ABG51" s="71"/>
      <c r="ABH51" s="71"/>
      <c r="ABI51" s="71"/>
      <c r="ABJ51" s="71"/>
      <c r="ABK51" s="71"/>
      <c r="ABL51" s="71"/>
      <c r="ABM51" s="71"/>
      <c r="ABN51" s="71"/>
      <c r="ABO51" s="71"/>
      <c r="ABP51" s="71"/>
      <c r="ABQ51" s="71"/>
      <c r="ABR51" s="71"/>
      <c r="ABS51" s="71"/>
      <c r="ABT51" s="71"/>
      <c r="ABU51" s="71"/>
      <c r="ABV51" s="71"/>
      <c r="ABW51" s="71"/>
      <c r="ABX51" s="71"/>
      <c r="ABY51" s="71"/>
      <c r="ABZ51" s="71"/>
      <c r="ACA51" s="71"/>
      <c r="ACB51" s="71"/>
      <c r="ACC51" s="71"/>
      <c r="ACD51" s="71"/>
      <c r="ACE51" s="71"/>
      <c r="ACF51" s="71"/>
      <c r="ACG51" s="71"/>
      <c r="ACH51" s="71"/>
      <c r="ACI51" s="71"/>
      <c r="ACJ51" s="71"/>
      <c r="ACK51" s="71"/>
      <c r="ACL51" s="71"/>
      <c r="ACM51" s="71"/>
      <c r="ACN51" s="71"/>
      <c r="ACO51" s="71"/>
      <c r="ACP51" s="71"/>
      <c r="ACQ51" s="71"/>
      <c r="ACR51" s="71"/>
      <c r="ACS51" s="71"/>
      <c r="ACT51" s="71"/>
      <c r="ACU51" s="71"/>
      <c r="ACV51" s="71"/>
      <c r="ACW51" s="71"/>
      <c r="ACX51" s="71"/>
      <c r="ACY51" s="71"/>
      <c r="ACZ51" s="71"/>
      <c r="ADA51" s="71"/>
      <c r="ADB51" s="71"/>
      <c r="ADC51" s="71"/>
      <c r="ADD51" s="71"/>
      <c r="ADE51" s="71"/>
      <c r="ADF51" s="71"/>
      <c r="ADG51" s="71"/>
      <c r="ADH51" s="71"/>
      <c r="ADI51" s="71"/>
      <c r="ADJ51" s="71"/>
      <c r="ADK51" s="71"/>
      <c r="ADL51" s="71"/>
      <c r="ADM51" s="71"/>
      <c r="ADN51" s="71"/>
      <c r="ADO51" s="71"/>
      <c r="ADP51" s="71"/>
      <c r="ADQ51" s="71"/>
      <c r="ADR51" s="71"/>
      <c r="ADS51" s="71"/>
      <c r="ADT51" s="71"/>
      <c r="ADU51" s="71"/>
      <c r="ADV51" s="71"/>
      <c r="ADW51" s="71"/>
      <c r="ADX51" s="71"/>
      <c r="ADY51" s="71"/>
      <c r="ADZ51" s="71"/>
      <c r="AEA51" s="71"/>
      <c r="AEB51" s="71"/>
      <c r="AEC51" s="71"/>
      <c r="AED51" s="71"/>
      <c r="AEE51" s="71"/>
      <c r="AEF51" s="71"/>
      <c r="AEG51" s="71"/>
      <c r="AEH51" s="71"/>
      <c r="AEI51" s="71"/>
      <c r="AEJ51" s="71"/>
      <c r="AEK51" s="71"/>
      <c r="AEL51" s="71"/>
      <c r="AEM51" s="71"/>
      <c r="AEN51" s="71"/>
      <c r="AEO51" s="71"/>
      <c r="AEP51" s="71"/>
      <c r="AEQ51" s="71"/>
      <c r="AER51" s="71"/>
      <c r="AES51" s="71"/>
      <c r="AET51" s="71"/>
      <c r="AEU51" s="71"/>
      <c r="AEV51" s="71"/>
      <c r="AEW51" s="71"/>
      <c r="AEX51" s="71"/>
      <c r="AEY51" s="71"/>
      <c r="AEZ51" s="71"/>
      <c r="AFA51" s="71"/>
      <c r="AFB51" s="71"/>
      <c r="AFC51" s="71"/>
      <c r="AFD51" s="71"/>
      <c r="AFE51" s="71"/>
      <c r="AFF51" s="71"/>
      <c r="AFG51" s="71"/>
      <c r="AFH51" s="71"/>
      <c r="AFI51" s="71"/>
      <c r="AFJ51" s="71"/>
      <c r="AFK51" s="71"/>
      <c r="AFL51" s="71"/>
      <c r="AFM51" s="71"/>
      <c r="AFN51" s="71"/>
      <c r="AFO51" s="71"/>
      <c r="AFP51" s="71"/>
      <c r="AFQ51" s="71"/>
      <c r="AFR51" s="71"/>
      <c r="AFS51" s="71"/>
      <c r="AFT51" s="71"/>
      <c r="AFU51" s="71"/>
      <c r="AFV51" s="71"/>
      <c r="AFW51" s="71"/>
      <c r="AFX51" s="71"/>
      <c r="AFY51" s="71"/>
      <c r="AFZ51" s="71"/>
      <c r="AGA51" s="71"/>
      <c r="AGB51" s="71"/>
      <c r="AGC51" s="71"/>
      <c r="AGD51" s="71"/>
      <c r="AGE51" s="71"/>
      <c r="AGF51" s="71"/>
      <c r="AGG51" s="71"/>
      <c r="AGH51" s="71"/>
      <c r="AGI51" s="71"/>
      <c r="AGJ51" s="71"/>
      <c r="AGK51" s="71"/>
      <c r="AGL51" s="71"/>
      <c r="AGM51" s="71"/>
      <c r="AGN51" s="71"/>
      <c r="AGO51" s="71"/>
      <c r="AGP51" s="71"/>
      <c r="AGQ51" s="71"/>
      <c r="AGR51" s="71"/>
      <c r="AGS51" s="71"/>
      <c r="AGT51" s="71"/>
      <c r="AGU51" s="71"/>
      <c r="AGV51" s="71"/>
      <c r="AGW51" s="71"/>
      <c r="AGX51" s="71"/>
      <c r="AGY51" s="71"/>
      <c r="AGZ51" s="71"/>
      <c r="AHA51" s="71"/>
      <c r="AHB51" s="71"/>
      <c r="AHC51" s="71"/>
      <c r="AHD51" s="71"/>
      <c r="AHE51" s="71"/>
      <c r="AHF51" s="71"/>
      <c r="AHG51" s="71"/>
      <c r="AHH51" s="71"/>
      <c r="AHI51" s="71"/>
      <c r="AHJ51" s="71"/>
      <c r="AHK51" s="71"/>
      <c r="AHL51" s="71"/>
      <c r="AHM51" s="71"/>
      <c r="AHN51" s="71"/>
      <c r="AHO51" s="71"/>
      <c r="AHP51" s="71"/>
      <c r="AHQ51" s="71"/>
      <c r="AHR51" s="71"/>
      <c r="AHS51" s="71"/>
      <c r="AHT51" s="71"/>
      <c r="AHU51" s="71"/>
      <c r="AHV51" s="71"/>
      <c r="AHW51" s="71"/>
      <c r="AHX51" s="71"/>
      <c r="AHY51" s="71"/>
      <c r="AHZ51" s="71"/>
      <c r="AIA51" s="71"/>
      <c r="AIB51" s="71"/>
      <c r="AIC51" s="71"/>
      <c r="AID51" s="71"/>
      <c r="AIE51" s="71"/>
      <c r="AIF51" s="71"/>
      <c r="AIG51" s="71"/>
      <c r="AIH51" s="71"/>
      <c r="AII51" s="71"/>
      <c r="AIJ51" s="71"/>
      <c r="AIK51" s="71"/>
      <c r="AIL51" s="71"/>
      <c r="AIM51" s="71"/>
      <c r="AIN51" s="71"/>
      <c r="AIO51" s="71"/>
      <c r="AIP51" s="71"/>
      <c r="AIQ51" s="71"/>
      <c r="AIR51" s="71"/>
      <c r="AIS51" s="71"/>
      <c r="AIT51" s="71"/>
      <c r="AIU51" s="71"/>
      <c r="AIV51" s="71"/>
      <c r="AIW51" s="71"/>
      <c r="AIX51" s="71"/>
      <c r="AIY51" s="71"/>
      <c r="AIZ51" s="71"/>
      <c r="AJA51" s="71"/>
      <c r="AJB51" s="71"/>
      <c r="AJC51" s="71"/>
      <c r="AJD51" s="71"/>
      <c r="AJE51" s="71"/>
      <c r="AJF51" s="71"/>
      <c r="AJG51" s="71"/>
      <c r="AJH51" s="71"/>
      <c r="AJI51" s="71"/>
      <c r="AJJ51" s="71"/>
      <c r="AJK51" s="71"/>
      <c r="AJL51" s="71"/>
      <c r="AJM51" s="71"/>
      <c r="AJN51" s="71"/>
      <c r="AJO51" s="71"/>
      <c r="AJP51" s="71"/>
      <c r="AJQ51" s="71"/>
      <c r="AJR51" s="71"/>
      <c r="AJS51" s="71"/>
      <c r="AJT51" s="71"/>
      <c r="AJU51" s="71"/>
      <c r="AJV51" s="71"/>
      <c r="AJW51" s="71"/>
      <c r="AJX51" s="71"/>
      <c r="AJY51" s="71"/>
      <c r="AJZ51" s="71"/>
      <c r="AKA51" s="71"/>
      <c r="AKB51" s="71"/>
      <c r="AKC51" s="71"/>
      <c r="AKD51" s="71"/>
      <c r="AKE51" s="71"/>
      <c r="AKF51" s="71"/>
      <c r="AKG51" s="71"/>
      <c r="AKH51" s="71"/>
      <c r="AKI51" s="71"/>
      <c r="AKJ51" s="71"/>
      <c r="AKK51" s="71"/>
      <c r="AKL51" s="71"/>
      <c r="AKM51" s="71"/>
      <c r="AKN51" s="71"/>
      <c r="AKO51" s="71"/>
      <c r="AKP51" s="71"/>
      <c r="AKQ51" s="71"/>
      <c r="AKR51" s="71"/>
      <c r="AKS51" s="71"/>
      <c r="AKT51" s="71"/>
      <c r="AKU51" s="71"/>
      <c r="AKV51" s="71"/>
      <c r="AKW51" s="71"/>
      <c r="AKX51" s="71"/>
      <c r="AKY51" s="71"/>
      <c r="AKZ51" s="71"/>
      <c r="ALA51" s="71"/>
      <c r="ALB51" s="71"/>
      <c r="ALC51" s="71"/>
      <c r="ALD51" s="71"/>
      <c r="ALE51" s="71"/>
      <c r="ALF51" s="71"/>
      <c r="ALG51" s="71"/>
      <c r="ALH51" s="71"/>
      <c r="ALI51" s="71"/>
      <c r="ALJ51" s="71"/>
      <c r="ALK51" s="71"/>
      <c r="ALL51" s="71"/>
      <c r="ALM51" s="71"/>
      <c r="ALN51" s="71"/>
      <c r="ALO51" s="71"/>
      <c r="ALP51" s="71"/>
      <c r="ALQ51" s="71"/>
      <c r="ALR51" s="71"/>
      <c r="ALS51" s="71"/>
      <c r="ALT51" s="71"/>
      <c r="ALU51" s="71"/>
      <c r="ALV51" s="71"/>
      <c r="ALW51" s="71"/>
      <c r="ALX51" s="71"/>
      <c r="ALY51" s="71"/>
      <c r="ALZ51" s="71"/>
      <c r="AMA51" s="71"/>
      <c r="AMB51" s="71"/>
      <c r="AMC51" s="71"/>
      <c r="AMD51" s="71"/>
      <c r="AME51" s="71"/>
      <c r="AMF51" s="71"/>
      <c r="AMG51" s="71"/>
      <c r="AMH51" s="71"/>
      <c r="AMI51" s="71"/>
      <c r="AMJ51" s="71"/>
    </row>
  </sheetData>
  <mergeCells count="61">
    <mergeCell ref="C50:G50"/>
    <mergeCell ref="C46:G46"/>
    <mergeCell ref="C47:G47"/>
    <mergeCell ref="A1:I1"/>
    <mergeCell ref="A6:C6"/>
    <mergeCell ref="D6:K6"/>
    <mergeCell ref="A7:C7"/>
    <mergeCell ref="D7:K7"/>
    <mergeCell ref="A3:C3"/>
    <mergeCell ref="D3:K3"/>
    <mergeCell ref="C38:G38"/>
    <mergeCell ref="C39:G39"/>
    <mergeCell ref="C40:G40"/>
    <mergeCell ref="C45:G45"/>
    <mergeCell ref="C48:G48"/>
    <mergeCell ref="C49:G49"/>
    <mergeCell ref="A4:C4"/>
    <mergeCell ref="D4:K4"/>
    <mergeCell ref="A5:C5"/>
    <mergeCell ref="D5:K5"/>
    <mergeCell ref="A8:C8"/>
    <mergeCell ref="D8:K8"/>
    <mergeCell ref="K10:K11"/>
    <mergeCell ref="C44:G44"/>
    <mergeCell ref="A51:I51"/>
    <mergeCell ref="J51:K51"/>
    <mergeCell ref="C12:G12"/>
    <mergeCell ref="C13:G13"/>
    <mergeCell ref="C14:G14"/>
    <mergeCell ref="C15:G15"/>
    <mergeCell ref="C16:G16"/>
    <mergeCell ref="C17:G17"/>
    <mergeCell ref="A10:A11"/>
    <mergeCell ref="B10:B11"/>
    <mergeCell ref="C10:G11"/>
    <mergeCell ref="H10:H11"/>
    <mergeCell ref="I10:I11"/>
    <mergeCell ref="J10:J11"/>
    <mergeCell ref="C18:G18"/>
    <mergeCell ref="C19:G19"/>
    <mergeCell ref="C22:G22"/>
    <mergeCell ref="C23:G23"/>
    <mergeCell ref="C24:G24"/>
    <mergeCell ref="C43:G43"/>
    <mergeCell ref="C32:G32"/>
    <mergeCell ref="C33:G33"/>
    <mergeCell ref="C34:G34"/>
    <mergeCell ref="C35:G35"/>
    <mergeCell ref="C26:G26"/>
    <mergeCell ref="C20:G20"/>
    <mergeCell ref="C21:G21"/>
    <mergeCell ref="C41:G41"/>
    <mergeCell ref="C42:G42"/>
    <mergeCell ref="C25:G25"/>
    <mergeCell ref="C37:G37"/>
    <mergeCell ref="C36:G36"/>
    <mergeCell ref="C27:G27"/>
    <mergeCell ref="C28:G28"/>
    <mergeCell ref="C29:G29"/>
    <mergeCell ref="C30:G30"/>
    <mergeCell ref="C31:G31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95" firstPageNumber="0" fitToHeight="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7"/>
  <sheetViews>
    <sheetView zoomScale="120" zoomScaleNormal="120" workbookViewId="0">
      <selection sqref="A1:Q27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9" t="s">
        <v>3</v>
      </c>
      <c r="B1" s="109"/>
      <c r="C1" s="109"/>
      <c r="D1" s="110">
        <f>'Necesidades Trimestrales'!C6</f>
        <v>2020</v>
      </c>
      <c r="E1" s="110"/>
      <c r="F1" s="3"/>
      <c r="G1" s="3"/>
      <c r="H1" s="4"/>
      <c r="I1" s="4"/>
      <c r="J1" s="4"/>
      <c r="K1" s="4"/>
      <c r="L1" s="4"/>
      <c r="M1" s="4"/>
      <c r="N1" s="4"/>
      <c r="P1" s="111" t="s">
        <v>32</v>
      </c>
      <c r="Q1" s="11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1"/>
      <c r="Q2" s="111"/>
    </row>
    <row r="4" spans="1:17" s="5" customFormat="1" ht="18" customHeight="1" thickBot="1" x14ac:dyDescent="0.25">
      <c r="A4" s="112" t="s">
        <v>33</v>
      </c>
      <c r="B4" s="112"/>
      <c r="C4" s="112"/>
      <c r="D4" s="112"/>
      <c r="E4" s="112"/>
      <c r="F4" s="112"/>
      <c r="G4" s="113" t="str">
        <f>' NotaPedido'!D3</f>
        <v>40 - Ministerio de Salud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5" customFormat="1" ht="18" customHeight="1" thickBot="1" x14ac:dyDescent="0.25">
      <c r="A5" s="114" t="s">
        <v>56</v>
      </c>
      <c r="B5" s="115"/>
      <c r="C5" s="115"/>
      <c r="D5" s="115"/>
      <c r="E5" s="115"/>
      <c r="F5" s="116"/>
      <c r="G5" s="113" t="str">
        <f>' NotaPedido'!D4</f>
        <v>23 - Hospital Interzonal San Juan Bautista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5" customFormat="1" ht="18" customHeight="1" thickBot="1" x14ac:dyDescent="0.25">
      <c r="A6" s="114" t="s">
        <v>34</v>
      </c>
      <c r="B6" s="115"/>
      <c r="C6" s="115"/>
      <c r="D6" s="115"/>
      <c r="E6" s="115"/>
      <c r="F6" s="116"/>
      <c r="G6" s="113" t="str">
        <f>' NotaPedido'!D5</f>
        <v>168 - Direccion Asistencial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5" customFormat="1" ht="18" customHeight="1" thickBot="1" x14ac:dyDescent="0.25">
      <c r="A7" s="114" t="s">
        <v>57</v>
      </c>
      <c r="B7" s="115"/>
      <c r="C7" s="115"/>
      <c r="D7" s="115"/>
      <c r="E7" s="115"/>
      <c r="F7" s="116"/>
      <c r="G7" s="113" t="str">
        <f>' NotaPedido'!D6</f>
        <v>Servicio de Farmacia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35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36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6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353/2020,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0" t="s">
        <v>37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38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39</v>
      </c>
      <c r="P13" s="122"/>
      <c r="Q13" s="123" t="s">
        <v>40</v>
      </c>
    </row>
    <row r="14" spans="1:17" ht="15.75" customHeight="1" x14ac:dyDescent="0.2">
      <c r="A14" s="11" t="s">
        <v>41</v>
      </c>
      <c r="B14" s="12" t="s">
        <v>42</v>
      </c>
      <c r="C14" s="12" t="s">
        <v>43</v>
      </c>
      <c r="D14" s="12" t="s">
        <v>44</v>
      </c>
      <c r="E14" s="12" t="s">
        <v>45</v>
      </c>
      <c r="F14" s="12" t="s">
        <v>46</v>
      </c>
      <c r="G14" s="13" t="s">
        <v>47</v>
      </c>
      <c r="H14" s="12" t="s">
        <v>48</v>
      </c>
      <c r="I14" s="12" t="s">
        <v>49</v>
      </c>
      <c r="J14" s="12" t="s">
        <v>50</v>
      </c>
      <c r="K14" s="12" t="s">
        <v>50</v>
      </c>
      <c r="L14" s="12" t="s">
        <v>51</v>
      </c>
      <c r="M14" s="14" t="s">
        <v>52</v>
      </c>
      <c r="N14" s="15" t="s">
        <v>53</v>
      </c>
      <c r="O14" s="122"/>
      <c r="P14" s="122"/>
      <c r="Q14" s="123"/>
    </row>
    <row r="15" spans="1:17" ht="17.25" customHeight="1" x14ac:dyDescent="0.2">
      <c r="A15" s="53">
        <v>33</v>
      </c>
      <c r="B15" s="54"/>
      <c r="C15" s="54"/>
      <c r="D15" s="54">
        <v>2</v>
      </c>
      <c r="E15" s="54"/>
      <c r="F15" s="54">
        <v>4901</v>
      </c>
      <c r="G15" s="54">
        <v>3</v>
      </c>
      <c r="H15" s="54" t="s">
        <v>69</v>
      </c>
      <c r="I15" s="55" t="str">
        <f>LEFT('Necesidades Trimestrales'!D10,1)</f>
        <v>2</v>
      </c>
      <c r="J15" s="55" t="str">
        <f>MID('Necesidades Trimestrales'!D10,3,1)</f>
        <v>5</v>
      </c>
      <c r="K15" s="55" t="str">
        <f>RIGHT('Necesidades Trimestrales'!D10,1)</f>
        <v>2</v>
      </c>
      <c r="L15" s="54"/>
      <c r="M15" s="56">
        <v>1</v>
      </c>
      <c r="N15" s="54" t="s">
        <v>70</v>
      </c>
      <c r="O15" s="124" t="s">
        <v>68</v>
      </c>
      <c r="P15" s="125"/>
      <c r="Q15" s="16">
        <v>4060000.53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6"/>
      <c r="P16" s="127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7"/>
      <c r="P17" s="12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7"/>
      <c r="P18" s="127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7"/>
      <c r="P19" s="127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7"/>
      <c r="P20" s="127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3"/>
      <c r="P21" s="133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4"/>
      <c r="P22" s="134"/>
      <c r="Q22" s="30"/>
    </row>
    <row r="23" spans="1:18" ht="27" customHeight="1" x14ac:dyDescent="0.2">
      <c r="A23" s="135" t="s">
        <v>107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31">
        <f>SUM(Q15:Q22)</f>
        <v>4060000.53</v>
      </c>
    </row>
    <row r="24" spans="1:18" ht="18" customHeight="1" thickBot="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17.25" customHeight="1" thickBot="1" x14ac:dyDescent="0.25">
      <c r="A25" s="128" t="s">
        <v>54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8" ht="18" customHeight="1" thickBot="1" x14ac:dyDescent="0.25">
      <c r="A26" s="132" t="s">
        <v>77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8" ht="15" customHeight="1" x14ac:dyDescent="0.2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3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SILVINA ATENCIO</cp:lastModifiedBy>
  <cp:revision>2</cp:revision>
  <cp:lastPrinted>2020-12-15T16:44:11Z</cp:lastPrinted>
  <dcterms:created xsi:type="dcterms:W3CDTF">2020-07-17T23:44:49Z</dcterms:created>
  <dcterms:modified xsi:type="dcterms:W3CDTF">2021-08-17T14:35:50Z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