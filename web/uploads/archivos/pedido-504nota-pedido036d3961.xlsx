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05" yWindow="735" windowWidth="20640" windowHeight="10920" tabRatio="500"/>
  </bookViews>
  <sheets>
    <sheet name="Fomulario Nec. Trime" sheetId="5" r:id="rId1"/>
    <sheet name="Autor Gastar" sheetId="3" r:id="rId2"/>
  </sheets>
  <definedNames>
    <definedName name="_xlnm.Print_Area" localSheetId="1">'Autor Gastar'!$A$1:$Q$20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6" i="3" l="1"/>
  <c r="Q15" i="3"/>
  <c r="I10" i="5"/>
  <c r="I9" i="5"/>
  <c r="I11" i="5" s="1"/>
  <c r="D1" i="3" l="1"/>
</calcChain>
</file>

<file path=xl/sharedStrings.xml><?xml version="1.0" encoding="utf-8"?>
<sst xmlns="http://schemas.openxmlformats.org/spreadsheetml/2006/main" count="78" uniqueCount="70">
  <si>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</si>
  <si>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</si>
  <si>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</si>
  <si>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</si>
  <si>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</si>
  <si>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</si>
  <si>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</si>
  <si>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</si>
  <si>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</si>
  <si>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</si>
  <si>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</si>
  <si>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</si>
  <si>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</si>
  <si>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</si>
  <si>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 Item N° 1:</t>
  </si>
  <si>
    <t>Descripción técnica</t>
  </si>
  <si>
    <t>Plazos y lugares de entrega</t>
  </si>
  <si>
    <t>Calidad Minima esperada</t>
  </si>
  <si>
    <t>Mantenimiento</t>
  </si>
  <si>
    <t>Garantia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</si>
  <si>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</si>
  <si>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</si>
  <si>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</si>
  <si>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</si>
  <si>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</si>
  <si>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</si>
  <si>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</si>
  <si>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</si>
  <si>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</si>
  <si>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</si>
  <si>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</si>
  <si>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</si>
  <si>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</si>
  <si>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</si>
  <si>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</si>
  <si>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</si>
  <si>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</si>
  <si>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</si>
  <si>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</si>
  <si>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</si>
  <si>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</si>
  <si>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</si>
  <si>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</si>
  <si>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SAF:</t>
  </si>
  <si>
    <t xml:space="preserve">DEPENDENCIA SOLICITANTE: </t>
  </si>
  <si>
    <t>1.1</t>
  </si>
  <si>
    <t>090 - MINISTERIO DE SEGURIDAD</t>
  </si>
  <si>
    <t>SAF 19 - DIRECCION PROVINCIAL DE ADM. Y RR.HH. DEL MIISTERIO DE SEGURIDAD</t>
  </si>
  <si>
    <t xml:space="preserve">Primera Calidad </t>
  </si>
  <si>
    <t>Treinta (30) Dias</t>
  </si>
  <si>
    <t>UNIDAD</t>
  </si>
  <si>
    <t>Especificidades Item N° 2:</t>
  </si>
  <si>
    <t>MINISTERIO DE SEGURIDAD</t>
  </si>
  <si>
    <t>SAF 19 - DIRECCION PROVINCIAL DE ADM. Y RR.HH. DEL MINISTERIO DE SEGURIDAD</t>
  </si>
  <si>
    <t>EQUIPO MILITAR Y DE SEGURIDAD</t>
  </si>
  <si>
    <t>4.4.0-1735.21</t>
  </si>
  <si>
    <t>CHALECOS ANTIBALA; PROTECCION: FRONTAL Y POSTERIOR, NIVEL: RB3, TALLE: EXTRALARGE</t>
  </si>
  <si>
    <t>4.4.0-1735.20</t>
  </si>
  <si>
    <t>4.4.0</t>
  </si>
  <si>
    <t>CHALECOS ANTIBALA; NIVEL: RB3, TALLE: LARGE, PROTECCION: FRONTAL Y POSTERIOR</t>
  </si>
  <si>
    <t>POLICIA DE CATAMARCA</t>
  </si>
  <si>
    <t>Con destino al personal Policial de la Policia de Catamarca</t>
  </si>
  <si>
    <t>Autorizo la realización de los  trámites correspondientes, a fin de proveer a  este Organismo los bienes y/o servicios que se detallan en la Nesecidad Trimestral para el 4° Trimestre,  afectando la erogación resultante a los créditos presupuestarios aprobados a favor de esta Unidad Ejecutora, conforme al siguiente detalle:</t>
  </si>
  <si>
    <r>
      <t xml:space="preserve">a) </t>
    </r>
    <r>
      <rPr>
        <b/>
        <sz val="10"/>
        <rFont val="Arial"/>
        <family val="2"/>
      </rPr>
      <t>LUGAR DE ENTREGA: División Armamento y Municiones dependiente del Departamento Logística (D-4) sito en calle Chacabuco N° 809, Jefatura de Policia</t>
    </r>
    <r>
      <rPr>
        <sz val="10"/>
        <rFont val="Arial"/>
        <family val="2"/>
      </rPr>
      <t>. En el horario de 07:30 a 13:30.
b)</t>
    </r>
    <r>
      <rPr>
        <b/>
        <sz val="10"/>
        <rFont val="Arial"/>
        <family val="2"/>
      </rPr>
      <t xml:space="preserve"> FORMA DE LA ENTREGA</t>
    </r>
    <r>
      <rPr>
        <sz val="10"/>
        <rFont val="Arial"/>
        <family val="2"/>
      </rPr>
      <t xml:space="preserve">: Libre de flete, acarreo y embalaje, como así también, de todo riesgo de pérdida o destrucción total o parcial, por causas ajenas a la Institución.
c)  </t>
    </r>
    <r>
      <rPr>
        <b/>
        <sz val="10"/>
        <rFont val="Arial"/>
        <family val="2"/>
      </rPr>
      <t>PLAZO DE ENTREGA</t>
    </r>
    <r>
      <rPr>
        <sz val="10"/>
        <rFont val="Arial"/>
        <family val="2"/>
      </rPr>
      <t>: El Oferente deberá establecer plazo de entrega de los elementos cotizados, debiendo ser expresado en días hábiles; que no podrá ser superior a Quince (15) días hábiles, contados a partir de la recepción de la comunicación prevista en el Reglamento Parcial N° 2 de la ley 4938.</t>
    </r>
  </si>
  <si>
    <t>SEGÚN DETALLE DE ANEXO I</t>
  </si>
  <si>
    <t>Ademas se solicita que en la factura se consigne como destinatario de los mismos a la Policía de la Provincia de Catamarca, N°de Leg.Usuario colectivo 4-9162000</t>
  </si>
  <si>
    <t>Caracteristicas: Chaleco Multiamenaza Masculino, Nivel RB3, Masculino. TALLE "XL". Color Negro, Sin logo, Nuevos sin uso.VER ANEXO I.</t>
  </si>
  <si>
    <t xml:space="preserve">Caracteristicas: Chaleco Multiamenaza Masculino, Nivel RB3, Masculino. TALLE "L". Color Negro, Sin logo, Nuevos sin uso. VER ANEXO I. </t>
  </si>
  <si>
    <t>TOTAL DE PESOS:  CUARENTA Y SEIS MILLONES TRESCIENTOS NOVENTA Y OCHO  MIL OCHOCIENTOS SESENTA Y DOS CON 50/100.-</t>
  </si>
  <si>
    <t>TOTAL PESOS: CUARENTA Y SEIS MILLONES TRESCIENTOS NOVENTA Y OCHO MIL OCHOCIENTOS SESENTA Y DOS CON 50/100.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</si>
</sst>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dd\-mm\-yy;@"/>
    <numFmt numFmtId="168" formatCode="&quot;$&quot;\ #,##0.00;[Red]&quot;$&quot;\ #,##0.00"/>
    <numFmt numFmtId="169" formatCode="&quot;$&quot;\ #,##0.00"/>
  </numFmts>
  <fonts count="2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1"/>
      <name val="Century Gothic"/>
      <family val="2"/>
    </font>
    <font>
      <b/>
      <sz val="10"/>
      <color rgb="FF000000"/>
      <name val="Arial"/>
      <family val="2"/>
    </font>
    <font>
      <b/>
      <sz val="10"/>
      <name val="Arial"/>
      <family val="2"/>
    </font>
    <font>
      <b/>
      <sz val="22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u/>
      <sz val="10"/>
      <name val="Arial"/>
      <family val="2"/>
    </font>
    <font>
      <sz val="9"/>
      <name val="Arial"/>
      <family val="2"/>
      <charset val="1"/>
    </font>
    <font>
      <sz val="10.5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 style="medium">
        <color indexed="64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indexed="64"/>
      </top>
      <bottom style="thin">
        <color rgb="FF3D3D3D"/>
      </bottom>
      <diagonal/>
    </border>
    <border>
      <left style="thin">
        <color rgb="FF3D3D3D"/>
      </left>
      <right/>
      <top style="medium">
        <color indexed="64"/>
      </top>
      <bottom style="thin">
        <color rgb="FF3D3D3D"/>
      </bottom>
      <diagonal/>
    </border>
    <border>
      <left style="thin">
        <color rgb="FF3D3D3D"/>
      </left>
      <right style="medium">
        <color indexed="64"/>
      </right>
      <top style="medium">
        <color indexed="64"/>
      </top>
      <bottom style="thin">
        <color rgb="FF3D3D3D"/>
      </bottom>
      <diagonal/>
    </border>
    <border>
      <left/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rgb="FF3D3D3D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3D3D3D"/>
      </top>
      <bottom style="medium">
        <color rgb="FF3D3D3D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165" fontId="9" fillId="0" borderId="0" applyBorder="0" applyProtection="0"/>
    <xf numFmtId="0" fontId="1" fillId="0" borderId="1" applyProtection="0"/>
    <xf numFmtId="164" fontId="2" fillId="0" borderId="0" applyBorder="0" applyProtection="0"/>
    <xf numFmtId="0" fontId="3" fillId="2" borderId="0" applyBorder="0" applyProtection="0"/>
  </cellStyleXfs>
  <cellXfs count="138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4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2" fillId="0" borderId="0" xfId="0" applyFont="1"/>
    <xf numFmtId="0" fontId="0" fillId="0" borderId="10" xfId="0" applyBorder="1"/>
    <xf numFmtId="0" fontId="0" fillId="0" borderId="20" xfId="0" applyBorder="1"/>
    <xf numFmtId="0" fontId="0" fillId="0" borderId="12" xfId="0" applyBorder="1"/>
    <xf numFmtId="0" fontId="0" fillId="0" borderId="12" xfId="0" applyBorder="1" applyAlignment="1">
      <alignment horizontal="left"/>
    </xf>
    <xf numFmtId="0" fontId="0" fillId="0" borderId="21" xfId="0" applyBorder="1"/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10" fillId="0" borderId="0" xfId="0" applyFont="1"/>
    <xf numFmtId="0" fontId="10" fillId="0" borderId="0" xfId="0" applyFont="1" applyFill="1"/>
    <xf numFmtId="0" fontId="10" fillId="0" borderId="0" xfId="0" applyFont="1" applyAlignment="1">
      <alignment horizontal="left" vertical="center"/>
    </xf>
    <xf numFmtId="168" fontId="10" fillId="0" borderId="0" xfId="0" applyNumberFormat="1" applyFont="1" applyAlignment="1">
      <alignment horizontal="left" vertical="center"/>
    </xf>
    <xf numFmtId="0" fontId="12" fillId="0" borderId="0" xfId="0" applyFont="1" applyAlignment="1">
      <alignment horizontal="justify" vertical="center"/>
    </xf>
    <xf numFmtId="166" fontId="0" fillId="0" borderId="0" xfId="0" applyNumberFormat="1"/>
    <xf numFmtId="166" fontId="10" fillId="0" borderId="0" xfId="0" applyNumberFormat="1" applyFont="1"/>
    <xf numFmtId="0" fontId="14" fillId="0" borderId="0" xfId="0" applyFont="1"/>
    <xf numFmtId="0" fontId="9" fillId="0" borderId="0" xfId="0" applyFont="1"/>
    <xf numFmtId="0" fontId="18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  <xf numFmtId="0" fontId="17" fillId="0" borderId="0" xfId="0" applyFont="1" applyFill="1" applyAlignment="1">
      <alignment horizontal="left" wrapText="1" indent="1"/>
    </xf>
    <xf numFmtId="0" fontId="13" fillId="0" borderId="0" xfId="0" applyFont="1" applyAlignment="1">
      <alignment horizontal="left" wrapText="1"/>
    </xf>
    <xf numFmtId="0" fontId="1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5" xfId="0" applyFont="1" applyBorder="1"/>
    <xf numFmtId="0" fontId="9" fillId="0" borderId="0" xfId="0" applyFont="1" applyBorder="1"/>
    <xf numFmtId="0" fontId="9" fillId="0" borderId="6" xfId="0" applyFont="1" applyBorder="1"/>
    <xf numFmtId="0" fontId="19" fillId="0" borderId="5" xfId="0" applyFont="1" applyBorder="1" applyAlignment="1">
      <alignment horizontal="left" indent="3"/>
    </xf>
    <xf numFmtId="0" fontId="9" fillId="0" borderId="0" xfId="0" applyFont="1" applyFill="1" applyBorder="1" applyAlignment="1">
      <alignment horizontal="center" vertical="center" wrapText="1"/>
    </xf>
    <xf numFmtId="0" fontId="19" fillId="0" borderId="5" xfId="0" applyFont="1" applyBorder="1" applyAlignment="1">
      <alignment vertical="center"/>
    </xf>
    <xf numFmtId="0" fontId="9" fillId="0" borderId="0" xfId="0" applyFont="1" applyFill="1" applyBorder="1"/>
    <xf numFmtId="0" fontId="9" fillId="0" borderId="6" xfId="0" applyFont="1" applyFill="1" applyBorder="1"/>
    <xf numFmtId="0" fontId="9" fillId="0" borderId="5" xfId="0" applyFont="1" applyBorder="1" applyAlignment="1">
      <alignment horizontal="left" indent="3"/>
    </xf>
    <xf numFmtId="0" fontId="19" fillId="0" borderId="5" xfId="0" applyFont="1" applyBorder="1" applyAlignment="1"/>
    <xf numFmtId="0" fontId="9" fillId="0" borderId="0" xfId="0" applyFont="1" applyAlignment="1"/>
    <xf numFmtId="0" fontId="9" fillId="0" borderId="5" xfId="0" applyFont="1" applyBorder="1" applyAlignment="1"/>
    <xf numFmtId="0" fontId="9" fillId="0" borderId="7" xfId="0" applyFont="1" applyBorder="1" applyAlignment="1">
      <alignment horizontal="left" indent="3"/>
    </xf>
    <xf numFmtId="0" fontId="9" fillId="0" borderId="8" xfId="0" applyFont="1" applyFill="1" applyBorder="1"/>
    <xf numFmtId="0" fontId="9" fillId="0" borderId="9" xfId="0" applyFont="1" applyFill="1" applyBorder="1"/>
    <xf numFmtId="0" fontId="2" fillId="0" borderId="29" xfId="0" applyFont="1" applyFill="1" applyBorder="1" applyAlignment="1">
      <alignment horizontal="center" vertical="center"/>
    </xf>
    <xf numFmtId="0" fontId="2" fillId="0" borderId="30" xfId="0" applyFont="1" applyFill="1" applyBorder="1" applyAlignment="1">
      <alignment horizontal="center" vertical="center"/>
    </xf>
    <xf numFmtId="0" fontId="2" fillId="0" borderId="31" xfId="0" applyFont="1" applyFill="1" applyBorder="1" applyAlignment="1">
      <alignment horizontal="center" vertical="center"/>
    </xf>
    <xf numFmtId="0" fontId="2" fillId="0" borderId="32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 wrapText="1"/>
    </xf>
    <xf numFmtId="166" fontId="2" fillId="0" borderId="33" xfId="3" applyNumberFormat="1" applyFont="1" applyFill="1" applyBorder="1" applyAlignment="1" applyProtection="1">
      <alignment horizontal="right" vertical="center"/>
    </xf>
    <xf numFmtId="0" fontId="20" fillId="0" borderId="15" xfId="0" applyFont="1" applyBorder="1" applyAlignment="1">
      <alignment vertical="center"/>
    </xf>
    <xf numFmtId="0" fontId="21" fillId="0" borderId="0" xfId="0" applyFont="1"/>
    <xf numFmtId="0" fontId="2" fillId="0" borderId="0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vertical="center" wrapText="1"/>
    </xf>
    <xf numFmtId="0" fontId="2" fillId="0" borderId="20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vertical="center" wrapText="1"/>
    </xf>
    <xf numFmtId="0" fontId="2" fillId="0" borderId="21" xfId="0" applyFont="1" applyFill="1" applyBorder="1" applyAlignment="1">
      <alignment vertical="center" wrapText="1"/>
    </xf>
    <xf numFmtId="0" fontId="19" fillId="0" borderId="7" xfId="0" applyFont="1" applyBorder="1" applyAlignment="1">
      <alignment horizontal="left" indent="3"/>
    </xf>
    <xf numFmtId="0" fontId="9" fillId="0" borderId="3" xfId="0" applyFont="1" applyFill="1" applyBorder="1" applyAlignment="1">
      <alignment horizontal="center" vertical="center" wrapText="1"/>
    </xf>
    <xf numFmtId="0" fontId="9" fillId="0" borderId="4" xfId="0" applyFont="1" applyFill="1" applyBorder="1" applyAlignment="1">
      <alignment horizontal="center" vertical="center" wrapText="1"/>
    </xf>
    <xf numFmtId="0" fontId="9" fillId="0" borderId="8" xfId="0" applyFont="1" applyBorder="1" applyAlignment="1">
      <alignment vertical="center"/>
    </xf>
    <xf numFmtId="0" fontId="9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19" fillId="0" borderId="15" xfId="0" applyFont="1" applyBorder="1" applyAlignment="1">
      <alignment horizontal="left" indent="3"/>
    </xf>
    <xf numFmtId="0" fontId="9" fillId="0" borderId="6" xfId="0" applyFont="1" applyFill="1" applyBorder="1" applyAlignment="1">
      <alignment horizontal="center" vertical="center" wrapText="1"/>
    </xf>
    <xf numFmtId="169" fontId="9" fillId="0" borderId="0" xfId="0" applyNumberFormat="1" applyFont="1"/>
    <xf numFmtId="0" fontId="22" fillId="4" borderId="50" xfId="0" applyFont="1" applyFill="1" applyBorder="1" applyAlignment="1">
      <alignment horizontal="center" vertical="center" wrapText="1"/>
    </xf>
    <xf numFmtId="0" fontId="22" fillId="4" borderId="51" xfId="0" applyFont="1" applyFill="1" applyBorder="1" applyAlignment="1">
      <alignment horizontal="center" vertical="center" wrapText="1"/>
    </xf>
    <xf numFmtId="0" fontId="22" fillId="4" borderId="52" xfId="0" applyFont="1" applyFill="1" applyBorder="1" applyAlignment="1">
      <alignment horizontal="center" vertical="center" wrapText="1"/>
    </xf>
    <xf numFmtId="0" fontId="22" fillId="4" borderId="13" xfId="0" applyFont="1" applyFill="1" applyBorder="1" applyAlignment="1">
      <alignment horizontal="center" vertical="center" wrapText="1"/>
    </xf>
    <xf numFmtId="0" fontId="22" fillId="4" borderId="53" xfId="0" applyFont="1" applyFill="1" applyBorder="1" applyAlignment="1">
      <alignment horizontal="center" vertical="center" wrapText="1"/>
    </xf>
    <xf numFmtId="0" fontId="0" fillId="0" borderId="54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left" vertical="center" wrapText="1"/>
    </xf>
    <xf numFmtId="0" fontId="0" fillId="0" borderId="57" xfId="0" applyBorder="1" applyAlignment="1">
      <alignment horizontal="center" vertical="center"/>
    </xf>
    <xf numFmtId="4" fontId="0" fillId="0" borderId="55" xfId="1" applyNumberFormat="1" applyFont="1" applyBorder="1" applyAlignment="1">
      <alignment horizontal="center" vertical="center"/>
    </xf>
    <xf numFmtId="4" fontId="0" fillId="0" borderId="56" xfId="1" applyNumberFormat="1" applyFont="1" applyBorder="1" applyAlignment="1">
      <alignment horizontal="center" vertical="center"/>
    </xf>
    <xf numFmtId="4" fontId="0" fillId="0" borderId="35" xfId="1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62" xfId="0" applyBorder="1" applyAlignment="1">
      <alignment horizontal="left" vertical="center" wrapText="1"/>
    </xf>
    <xf numFmtId="0" fontId="0" fillId="0" borderId="63" xfId="0" applyBorder="1" applyAlignment="1">
      <alignment horizontal="center" vertical="center"/>
    </xf>
    <xf numFmtId="4" fontId="0" fillId="0" borderId="61" xfId="1" applyNumberFormat="1" applyFont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4" fillId="0" borderId="58" xfId="0" applyFont="1" applyBorder="1" applyAlignment="1">
      <alignment horizontal="left" wrapText="1"/>
    </xf>
    <xf numFmtId="0" fontId="14" fillId="0" borderId="34" xfId="0" applyFont="1" applyBorder="1" applyAlignment="1">
      <alignment horizontal="left" wrapText="1"/>
    </xf>
    <xf numFmtId="0" fontId="16" fillId="0" borderId="0" xfId="0" applyFont="1" applyBorder="1" applyAlignment="1">
      <alignment horizontal="left" vertical="center" wrapText="1"/>
    </xf>
    <xf numFmtId="0" fontId="9" fillId="0" borderId="8" xfId="0" applyFon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left" vertical="center" wrapText="1"/>
    </xf>
    <xf numFmtId="0" fontId="15" fillId="0" borderId="0" xfId="0" applyFont="1" applyBorder="1" applyAlignment="1">
      <alignment horizontal="center"/>
    </xf>
    <xf numFmtId="0" fontId="17" fillId="0" borderId="0" xfId="0" applyFont="1" applyFill="1" applyBorder="1" applyAlignment="1">
      <alignment horizontal="left" wrapText="1" indent="1"/>
    </xf>
    <xf numFmtId="0" fontId="17" fillId="0" borderId="0" xfId="0" applyFont="1" applyFill="1" applyBorder="1" applyAlignment="1">
      <alignment horizontal="left" wrapText="1"/>
    </xf>
    <xf numFmtId="0" fontId="0" fillId="0" borderId="15" xfId="0" applyFont="1" applyBorder="1" applyAlignment="1">
      <alignment horizontal="center"/>
    </xf>
    <xf numFmtId="3" fontId="4" fillId="0" borderId="16" xfId="0" applyNumberFormat="1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9" fillId="0" borderId="38" xfId="0" applyFont="1" applyBorder="1"/>
    <xf numFmtId="0" fontId="9" fillId="0" borderId="39" xfId="0" applyFont="1" applyBorder="1"/>
    <xf numFmtId="0" fontId="9" fillId="0" borderId="40" xfId="0" applyFont="1" applyBorder="1"/>
    <xf numFmtId="0" fontId="13" fillId="0" borderId="41" xfId="0" applyFont="1" applyFill="1" applyBorder="1" applyAlignment="1">
      <alignment horizontal="left" wrapText="1"/>
    </xf>
    <xf numFmtId="0" fontId="13" fillId="0" borderId="42" xfId="0" applyFont="1" applyFill="1" applyBorder="1" applyAlignment="1">
      <alignment horizontal="left" wrapText="1"/>
    </xf>
    <xf numFmtId="0" fontId="9" fillId="0" borderId="43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/>
    </xf>
    <xf numFmtId="0" fontId="9" fillId="0" borderId="44" xfId="0" applyFont="1" applyBorder="1" applyAlignment="1">
      <alignment horizontal="left"/>
    </xf>
    <xf numFmtId="0" fontId="7" fillId="0" borderId="45" xfId="0" applyFont="1" applyBorder="1" applyAlignment="1">
      <alignment horizontal="left"/>
    </xf>
    <xf numFmtId="0" fontId="7" fillId="0" borderId="46" xfId="0" applyFont="1" applyBorder="1" applyAlignment="1">
      <alignment horizontal="left"/>
    </xf>
    <xf numFmtId="0" fontId="7" fillId="0" borderId="47" xfId="0" applyFont="1" applyBorder="1" applyAlignment="1">
      <alignment horizontal="left"/>
    </xf>
    <xf numFmtId="0" fontId="7" fillId="0" borderId="48" xfId="0" applyFont="1" applyBorder="1" applyAlignment="1">
      <alignment horizontal="left"/>
    </xf>
    <xf numFmtId="0" fontId="9" fillId="3" borderId="37" xfId="0" applyFont="1" applyFill="1" applyBorder="1" applyAlignment="1">
      <alignment horizontal="left" indent="1"/>
    </xf>
    <xf numFmtId="0" fontId="9" fillId="3" borderId="44" xfId="0" applyFont="1" applyFill="1" applyBorder="1" applyAlignment="1">
      <alignment horizontal="left" indent="1"/>
    </xf>
    <xf numFmtId="0" fontId="6" fillId="0" borderId="18" xfId="0" applyFont="1" applyBorder="1"/>
    <xf numFmtId="0" fontId="9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8" fillId="0" borderId="17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11" fillId="0" borderId="0" xfId="0" applyFont="1" applyFill="1" applyBorder="1" applyAlignment="1">
      <alignment horizontal="center" wrapText="1"/>
    </xf>
    <xf numFmtId="0" fontId="8" fillId="0" borderId="15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2" fillId="0" borderId="22" xfId="0" applyFont="1" applyBorder="1" applyAlignment="1">
      <alignment vertical="center" wrapText="1"/>
    </xf>
    <xf numFmtId="0" fontId="8" fillId="0" borderId="26" xfId="0" applyFont="1" applyBorder="1" applyAlignment="1">
      <alignment horizontal="left" vertical="center" wrapText="1"/>
    </xf>
    <xf numFmtId="0" fontId="2" fillId="0" borderId="17" xfId="0" applyFont="1" applyBorder="1"/>
    <xf numFmtId="0" fontId="14" fillId="0" borderId="64" xfId="0" applyFont="1" applyBorder="1" applyAlignment="1">
      <alignment horizontal="left" wrapText="1"/>
    </xf>
    <xf numFmtId="4" fontId="22" fillId="0" borderId="13" xfId="1" applyNumberFormat="1" applyFont="1" applyFill="1" applyBorder="1" applyAlignment="1">
      <alignment horizontal="center"/>
    </xf>
  </cellXfs>
  <cellStyles count="5">
    <cellStyle name="Encabezado 1" xfId="2"/>
    <cellStyle name="Moneda" xfId="1" builtinId="4"/>
    <cellStyle name="Moneda_AUTORIZACION Y NOTA DE PEDIDO" xfId="3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tabSelected="1" topLeftCell="A13" zoomScale="90" zoomScaleNormal="90" workbookViewId="0">
      <selection activeCell="E14" sqref="E14"/>
    </sheetView>
  </sheetViews>
  <sheetFormatPr baseColWidth="10" defaultColWidth="11" defaultRowHeight="12.75" x14ac:dyDescent="0.2"/>
  <cols>
    <col min="1" max="1" width="4.5703125" style="16" customWidth="1"/>
    <col min="2" max="2" width="12.85546875" style="16" customWidth="1"/>
    <col min="3" max="3" width="36.42578125" style="16" customWidth="1"/>
    <col min="4" max="4" width="8.42578125" style="16" customWidth="1"/>
    <col min="5" max="5" width="79" style="16" customWidth="1"/>
    <col min="6" max="6" width="11.7109375" style="16" customWidth="1"/>
    <col min="7" max="7" width="12.7109375" style="16" customWidth="1"/>
    <col min="8" max="8" width="13.85546875" style="16" customWidth="1"/>
    <col min="9" max="9" width="18.5703125" style="16" customWidth="1"/>
    <col min="10" max="10" width="15.85546875" style="19" bestFit="1" customWidth="1"/>
    <col min="11" max="11" width="18.5703125" style="18" customWidth="1"/>
    <col min="12" max="14" width="11" style="18"/>
    <col min="15" max="16384" width="11" style="16"/>
  </cols>
  <sheetData>
    <row r="2" spans="1:14" ht="27.75" x14ac:dyDescent="0.4">
      <c r="A2" s="24"/>
      <c r="B2" s="100" t="s">
        <v>0</v>
      </c>
      <c r="C2" s="100"/>
      <c r="D2" s="100"/>
      <c r="E2" s="100"/>
      <c r="F2" s="100"/>
      <c r="G2" s="100"/>
      <c r="H2" s="100"/>
      <c r="L2" s="16"/>
      <c r="M2" s="16"/>
      <c r="N2" s="16"/>
    </row>
    <row r="3" spans="1:14" x14ac:dyDescent="0.2">
      <c r="A3" s="24"/>
      <c r="B3" s="24"/>
      <c r="C3" s="24"/>
      <c r="D3" s="24"/>
      <c r="E3" s="24"/>
      <c r="F3" s="24"/>
      <c r="G3" s="24"/>
      <c r="H3" s="24"/>
      <c r="L3" s="16"/>
      <c r="M3" s="16"/>
      <c r="N3" s="16"/>
    </row>
    <row r="4" spans="1:14" ht="15.75" x14ac:dyDescent="0.25">
      <c r="A4" s="93" t="s">
        <v>1</v>
      </c>
      <c r="B4" s="93"/>
      <c r="C4" s="101" t="s">
        <v>46</v>
      </c>
      <c r="D4" s="101"/>
      <c r="E4" s="101"/>
      <c r="F4" s="25"/>
      <c r="G4" s="26"/>
      <c r="H4" s="25"/>
      <c r="L4" s="16"/>
      <c r="M4" s="16"/>
      <c r="N4" s="16"/>
    </row>
    <row r="5" spans="1:14" ht="15.75" x14ac:dyDescent="0.25">
      <c r="A5" s="93" t="s">
        <v>2</v>
      </c>
      <c r="B5" s="93"/>
      <c r="C5" s="102" t="s">
        <v>53</v>
      </c>
      <c r="D5" s="102"/>
      <c r="E5" s="102"/>
      <c r="F5" s="25"/>
      <c r="G5" s="26"/>
      <c r="H5" s="25"/>
      <c r="L5" s="16"/>
      <c r="M5" s="16"/>
      <c r="N5" s="16"/>
    </row>
    <row r="6" spans="1:14" ht="15.75" x14ac:dyDescent="0.25">
      <c r="A6" s="93" t="s">
        <v>3</v>
      </c>
      <c r="B6" s="93"/>
      <c r="C6" s="27">
        <v>2022</v>
      </c>
      <c r="D6" s="28"/>
      <c r="E6" s="28"/>
      <c r="F6" s="25"/>
      <c r="G6" s="26"/>
      <c r="H6" s="25"/>
      <c r="L6" s="16"/>
      <c r="M6" s="16"/>
      <c r="N6" s="16"/>
    </row>
    <row r="7" spans="1:14" ht="16.5" thickBot="1" x14ac:dyDescent="0.3">
      <c r="A7" s="93" t="s">
        <v>4</v>
      </c>
      <c r="B7" s="93"/>
      <c r="C7" s="27">
        <v>4</v>
      </c>
      <c r="D7" s="28"/>
      <c r="E7" s="28"/>
      <c r="F7" s="25"/>
      <c r="G7" s="26"/>
      <c r="H7" s="25"/>
      <c r="L7" s="16"/>
      <c r="M7" s="16"/>
      <c r="N7" s="16"/>
    </row>
    <row r="8" spans="1:14" ht="45.75" thickBot="1" x14ac:dyDescent="0.25">
      <c r="A8" s="69" t="s">
        <v>5</v>
      </c>
      <c r="B8" s="70" t="s">
        <v>6</v>
      </c>
      <c r="C8" s="70" t="s">
        <v>7</v>
      </c>
      <c r="D8" s="71" t="s">
        <v>8</v>
      </c>
      <c r="E8" s="72" t="s">
        <v>9</v>
      </c>
      <c r="F8" s="73" t="s">
        <v>10</v>
      </c>
      <c r="G8" s="70" t="s">
        <v>11</v>
      </c>
      <c r="H8" s="71" t="s">
        <v>12</v>
      </c>
      <c r="I8" s="72" t="s">
        <v>13</v>
      </c>
      <c r="L8" s="16"/>
      <c r="M8" s="16"/>
      <c r="N8" s="16"/>
    </row>
    <row r="9" spans="1:14" ht="25.5" x14ac:dyDescent="0.2">
      <c r="A9" s="74">
        <v>1</v>
      </c>
      <c r="B9" s="75" t="s">
        <v>57</v>
      </c>
      <c r="C9" s="75" t="s">
        <v>54</v>
      </c>
      <c r="D9" s="76" t="s">
        <v>58</v>
      </c>
      <c r="E9" s="77" t="s">
        <v>59</v>
      </c>
      <c r="F9" s="78" t="s">
        <v>50</v>
      </c>
      <c r="G9" s="75">
        <v>150</v>
      </c>
      <c r="H9" s="79">
        <v>152511.29</v>
      </c>
      <c r="I9" s="80">
        <f>G9*H9</f>
        <v>22876693.5</v>
      </c>
      <c r="L9" s="16"/>
      <c r="M9" s="16"/>
      <c r="N9" s="16"/>
    </row>
    <row r="10" spans="1:14" ht="26.25" thickBot="1" x14ac:dyDescent="0.25">
      <c r="A10" s="82">
        <v>2</v>
      </c>
      <c r="B10" s="83" t="s">
        <v>55</v>
      </c>
      <c r="C10" s="83" t="s">
        <v>54</v>
      </c>
      <c r="D10" s="84" t="s">
        <v>58</v>
      </c>
      <c r="E10" s="85" t="s">
        <v>56</v>
      </c>
      <c r="F10" s="86" t="s">
        <v>50</v>
      </c>
      <c r="G10" s="83">
        <v>150</v>
      </c>
      <c r="H10" s="87">
        <v>156814.46</v>
      </c>
      <c r="I10" s="81">
        <f>G10*H10</f>
        <v>23522169</v>
      </c>
      <c r="L10" s="16"/>
      <c r="M10" s="16"/>
      <c r="N10" s="16"/>
    </row>
    <row r="11" spans="1:14" ht="20.25" customHeight="1" thickBot="1" x14ac:dyDescent="0.3">
      <c r="A11" s="91" t="s">
        <v>69</v>
      </c>
      <c r="B11" s="92"/>
      <c r="C11" s="92"/>
      <c r="D11" s="92"/>
      <c r="E11" s="92"/>
      <c r="F11" s="92"/>
      <c r="G11" s="92"/>
      <c r="H11" s="136"/>
      <c r="I11" s="137">
        <f>SUM(I9:I10)</f>
        <v>46398862.5</v>
      </c>
      <c r="L11" s="16"/>
      <c r="M11" s="16"/>
      <c r="N11" s="16"/>
    </row>
    <row r="12" spans="1:14" ht="13.5" thickBot="1" x14ac:dyDescent="0.25">
      <c r="A12" s="24"/>
      <c r="B12" s="24"/>
      <c r="C12" s="24"/>
      <c r="D12" s="24"/>
      <c r="E12" s="24"/>
      <c r="F12" s="24"/>
      <c r="G12" s="24"/>
      <c r="H12" s="24"/>
      <c r="I12" s="22"/>
      <c r="L12" s="16"/>
      <c r="M12" s="16"/>
      <c r="N12" s="16"/>
    </row>
    <row r="13" spans="1:14" ht="17.25" customHeight="1" x14ac:dyDescent="0.2">
      <c r="A13" s="24"/>
      <c r="B13" s="29" t="s">
        <v>14</v>
      </c>
      <c r="C13" s="30"/>
      <c r="D13" s="30"/>
      <c r="E13" s="31"/>
      <c r="F13" s="24"/>
      <c r="G13" s="24"/>
      <c r="H13" s="24"/>
      <c r="L13" s="16"/>
      <c r="M13" s="16"/>
      <c r="N13" s="16"/>
    </row>
    <row r="14" spans="1:14" x14ac:dyDescent="0.2">
      <c r="A14" s="24"/>
      <c r="B14" s="32"/>
      <c r="C14" s="33"/>
      <c r="D14" s="33"/>
      <c r="E14" s="34"/>
      <c r="F14" s="24"/>
      <c r="G14" s="24"/>
      <c r="H14" s="24"/>
      <c r="L14" s="16"/>
      <c r="M14" s="16"/>
      <c r="N14" s="16"/>
    </row>
    <row r="15" spans="1:14" x14ac:dyDescent="0.2">
      <c r="A15" s="24"/>
      <c r="B15" s="35" t="s">
        <v>15</v>
      </c>
      <c r="C15" s="33"/>
      <c r="D15" s="33"/>
      <c r="E15" s="34"/>
      <c r="F15" s="24"/>
      <c r="G15" s="24"/>
      <c r="H15" s="24"/>
      <c r="L15" s="16"/>
      <c r="M15" s="16"/>
      <c r="N15" s="16"/>
    </row>
    <row r="16" spans="1:14" ht="23.25" customHeight="1" thickBot="1" x14ac:dyDescent="0.25">
      <c r="A16" s="24"/>
      <c r="B16" s="60"/>
      <c r="C16" s="94" t="s">
        <v>67</v>
      </c>
      <c r="D16" s="94"/>
      <c r="E16" s="95"/>
      <c r="F16" s="24"/>
      <c r="G16" s="24"/>
      <c r="H16" s="24"/>
      <c r="I16" s="22"/>
      <c r="J16" s="16"/>
      <c r="K16" s="16"/>
      <c r="L16" s="16"/>
      <c r="M16" s="16"/>
      <c r="N16" s="16"/>
    </row>
    <row r="17" spans="1:14" ht="18.75" customHeight="1" x14ac:dyDescent="0.2">
      <c r="A17" s="24"/>
      <c r="B17" s="29" t="s">
        <v>51</v>
      </c>
      <c r="C17" s="30"/>
      <c r="D17" s="61"/>
      <c r="E17" s="62"/>
      <c r="F17" s="24"/>
      <c r="G17" s="24"/>
      <c r="H17" s="24"/>
      <c r="J17" s="16"/>
      <c r="K17" s="16"/>
      <c r="L17" s="16"/>
      <c r="M17" s="16"/>
      <c r="N17" s="16"/>
    </row>
    <row r="18" spans="1:14" x14ac:dyDescent="0.2">
      <c r="A18" s="24"/>
      <c r="B18" s="35" t="s">
        <v>15</v>
      </c>
      <c r="C18" s="36"/>
      <c r="D18" s="36"/>
      <c r="E18" s="67"/>
      <c r="F18" s="24"/>
      <c r="G18" s="24"/>
      <c r="H18" s="24"/>
      <c r="J18" s="16"/>
      <c r="K18" s="16"/>
      <c r="L18" s="16"/>
      <c r="M18" s="16"/>
      <c r="N18" s="16"/>
    </row>
    <row r="19" spans="1:14" ht="22.5" customHeight="1" thickBot="1" x14ac:dyDescent="0.25">
      <c r="A19" s="24"/>
      <c r="B19" s="60"/>
      <c r="C19" s="63" t="s">
        <v>66</v>
      </c>
      <c r="D19" s="64"/>
      <c r="E19" s="65"/>
      <c r="F19" s="24"/>
      <c r="G19" s="24"/>
      <c r="H19" s="68"/>
      <c r="J19" s="16"/>
      <c r="K19" s="16"/>
      <c r="L19" s="16"/>
      <c r="M19" s="16"/>
      <c r="N19" s="16"/>
    </row>
    <row r="20" spans="1:14" ht="36.75" customHeight="1" thickBot="1" x14ac:dyDescent="0.25">
      <c r="A20" s="24"/>
      <c r="B20" s="66"/>
      <c r="C20" s="96" t="s">
        <v>65</v>
      </c>
      <c r="D20" s="96"/>
      <c r="E20" s="97"/>
      <c r="F20" s="24"/>
      <c r="G20" s="24"/>
      <c r="H20" s="24"/>
      <c r="J20" s="16"/>
      <c r="K20" s="16"/>
      <c r="L20" s="16"/>
      <c r="M20" s="16"/>
      <c r="N20" s="16"/>
    </row>
    <row r="21" spans="1:14" x14ac:dyDescent="0.2">
      <c r="A21" s="24"/>
      <c r="B21" s="37" t="s">
        <v>16</v>
      </c>
      <c r="C21" s="38"/>
      <c r="D21" s="38"/>
      <c r="E21" s="39"/>
      <c r="F21" s="24"/>
      <c r="G21" s="24"/>
      <c r="H21" s="24"/>
      <c r="J21" s="16"/>
      <c r="K21" s="16"/>
      <c r="L21" s="16"/>
      <c r="M21" s="16"/>
      <c r="N21" s="16"/>
    </row>
    <row r="22" spans="1:14" ht="99.75" customHeight="1" x14ac:dyDescent="0.2">
      <c r="A22" s="24"/>
      <c r="B22" s="40"/>
      <c r="C22" s="98" t="s">
        <v>63</v>
      </c>
      <c r="D22" s="98"/>
      <c r="E22" s="99"/>
      <c r="F22" s="24"/>
      <c r="G22" s="24"/>
      <c r="H22" s="24"/>
      <c r="J22" s="16"/>
      <c r="K22" s="16"/>
      <c r="L22" s="16"/>
      <c r="M22" s="16"/>
      <c r="N22" s="16"/>
    </row>
    <row r="23" spans="1:14" x14ac:dyDescent="0.2">
      <c r="A23" s="24"/>
      <c r="B23" s="41" t="s">
        <v>17</v>
      </c>
      <c r="C23" s="38"/>
      <c r="D23" s="38"/>
      <c r="E23" s="39"/>
      <c r="F23" s="24"/>
      <c r="G23" s="42"/>
      <c r="H23" s="24"/>
      <c r="J23" s="16"/>
      <c r="K23" s="16"/>
      <c r="L23" s="16"/>
      <c r="M23" s="16"/>
      <c r="N23" s="16"/>
    </row>
    <row r="24" spans="1:14" x14ac:dyDescent="0.2">
      <c r="A24" s="24"/>
      <c r="B24" s="43"/>
      <c r="C24" s="88" t="s">
        <v>48</v>
      </c>
      <c r="D24" s="88"/>
      <c r="E24" s="88"/>
      <c r="F24" s="24"/>
      <c r="G24" s="24"/>
      <c r="H24" s="24"/>
      <c r="J24" s="16"/>
      <c r="K24" s="16"/>
      <c r="L24" s="16"/>
      <c r="M24" s="16"/>
      <c r="N24" s="16"/>
    </row>
    <row r="25" spans="1:14" x14ac:dyDescent="0.2">
      <c r="A25" s="24"/>
      <c r="B25" s="41" t="s">
        <v>18</v>
      </c>
      <c r="C25" s="36"/>
      <c r="D25" s="36"/>
      <c r="E25" s="67"/>
      <c r="F25" s="24"/>
      <c r="G25" s="24"/>
      <c r="H25" s="24"/>
      <c r="J25" s="16"/>
      <c r="K25" s="16"/>
      <c r="L25" s="16"/>
      <c r="M25" s="16"/>
      <c r="N25" s="16"/>
    </row>
    <row r="26" spans="1:14" x14ac:dyDescent="0.2">
      <c r="A26" s="24"/>
      <c r="B26" s="43"/>
      <c r="C26" s="88" t="s">
        <v>49</v>
      </c>
      <c r="D26" s="88"/>
      <c r="E26" s="88"/>
      <c r="F26" s="24"/>
      <c r="G26" s="24"/>
      <c r="H26" s="24"/>
      <c r="J26" s="16"/>
      <c r="K26" s="16"/>
      <c r="L26" s="16"/>
      <c r="M26" s="16"/>
      <c r="N26" s="16"/>
    </row>
    <row r="27" spans="1:14" x14ac:dyDescent="0.2">
      <c r="A27" s="24"/>
      <c r="B27" s="41" t="s">
        <v>19</v>
      </c>
      <c r="C27" s="89" t="s">
        <v>64</v>
      </c>
      <c r="D27" s="89"/>
      <c r="E27" s="90"/>
      <c r="F27" s="24"/>
      <c r="G27" s="24"/>
      <c r="H27" s="24"/>
      <c r="J27" s="16"/>
      <c r="K27" s="16"/>
      <c r="L27" s="16"/>
      <c r="M27" s="16"/>
      <c r="N27" s="16"/>
    </row>
    <row r="28" spans="1:14" x14ac:dyDescent="0.2">
      <c r="A28" s="24"/>
      <c r="B28" s="35"/>
      <c r="C28" s="89"/>
      <c r="D28" s="89"/>
      <c r="E28" s="90"/>
      <c r="F28" s="24"/>
      <c r="G28" s="24"/>
      <c r="H28" s="24"/>
      <c r="J28" s="16"/>
      <c r="K28" s="16"/>
      <c r="L28" s="16"/>
      <c r="M28" s="16"/>
      <c r="N28" s="16"/>
    </row>
    <row r="29" spans="1:14" ht="13.5" thickBot="1" x14ac:dyDescent="0.25">
      <c r="A29" s="24"/>
      <c r="B29" s="44"/>
      <c r="C29" s="45"/>
      <c r="D29" s="45"/>
      <c r="E29" s="46"/>
      <c r="F29" s="24"/>
      <c r="G29" s="24"/>
      <c r="H29" s="24"/>
      <c r="J29" s="16"/>
      <c r="K29" s="16"/>
      <c r="L29" s="16"/>
      <c r="M29" s="16"/>
      <c r="N29" s="16"/>
    </row>
    <row r="30" spans="1:14" x14ac:dyDescent="0.2">
      <c r="C30" s="17"/>
      <c r="D30" s="17"/>
      <c r="E30" s="17"/>
      <c r="J30" s="16"/>
      <c r="K30" s="16"/>
      <c r="L30" s="16"/>
      <c r="M30" s="16"/>
      <c r="N30" s="16"/>
    </row>
    <row r="31" spans="1:14" x14ac:dyDescent="0.2">
      <c r="B31"/>
      <c r="C31"/>
      <c r="D31"/>
      <c r="E31" s="23"/>
      <c r="F31"/>
      <c r="J31" s="16"/>
      <c r="K31" s="16"/>
      <c r="L31" s="16"/>
      <c r="M31" s="16"/>
      <c r="N31" s="16"/>
    </row>
    <row r="35" spans="5:14" ht="16.5" x14ac:dyDescent="0.2">
      <c r="E35" s="20"/>
      <c r="J35" s="16"/>
      <c r="K35" s="16"/>
      <c r="L35" s="16"/>
      <c r="M35" s="16"/>
      <c r="N35" s="16"/>
    </row>
    <row r="36" spans="5:14" ht="16.5" x14ac:dyDescent="0.2">
      <c r="E36" s="20"/>
      <c r="J36" s="16"/>
      <c r="K36" s="16"/>
      <c r="L36" s="16"/>
      <c r="M36" s="16"/>
      <c r="N36" s="16"/>
    </row>
  </sheetData>
  <mergeCells count="14">
    <mergeCell ref="A6:B6"/>
    <mergeCell ref="B2:H2"/>
    <mergeCell ref="A4:B4"/>
    <mergeCell ref="C4:E4"/>
    <mergeCell ref="A5:B5"/>
    <mergeCell ref="C5:E5"/>
    <mergeCell ref="C26:E26"/>
    <mergeCell ref="C27:E28"/>
    <mergeCell ref="A11:H11"/>
    <mergeCell ref="A7:B7"/>
    <mergeCell ref="C16:E16"/>
    <mergeCell ref="C20:E20"/>
    <mergeCell ref="C22:E22"/>
    <mergeCell ref="C24:E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"/>
  <sheetViews>
    <sheetView topLeftCell="A7" zoomScale="130" zoomScaleNormal="130" workbookViewId="0">
      <selection activeCell="A12" sqref="A12:Q16"/>
    </sheetView>
  </sheetViews>
  <sheetFormatPr baseColWidth="10" defaultColWidth="11" defaultRowHeight="12.75" x14ac:dyDescent="0.2"/>
  <cols>
    <col min="1" max="5" width="4.42578125" customWidth="1"/>
    <col min="6" max="6" width="6.14062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8" max="18" width="11" customWidth="1"/>
    <col min="19" max="19" width="11.7109375" bestFit="1" customWidth="1"/>
  </cols>
  <sheetData>
    <row r="1" spans="1:19" ht="15.75" customHeight="1" x14ac:dyDescent="0.25">
      <c r="A1" s="103" t="s">
        <v>3</v>
      </c>
      <c r="B1" s="103"/>
      <c r="C1" s="103"/>
      <c r="D1" s="104" t="e">
        <f>#REF!</f>
        <v>#REF!</v>
      </c>
      <c r="E1" s="104"/>
      <c r="F1" s="3"/>
      <c r="G1" s="3"/>
      <c r="H1" s="4"/>
      <c r="I1" s="4"/>
      <c r="J1" s="4"/>
      <c r="K1" s="4"/>
      <c r="L1" s="4"/>
      <c r="M1" s="4"/>
      <c r="N1" s="4"/>
      <c r="P1" s="105" t="s">
        <v>20</v>
      </c>
      <c r="Q1" s="105"/>
    </row>
    <row r="2" spans="1:19" ht="15.75" customHeight="1" x14ac:dyDescent="0.2">
      <c r="H2" s="4"/>
      <c r="I2" s="4"/>
      <c r="J2" s="4"/>
      <c r="K2" s="4"/>
      <c r="L2" s="4"/>
      <c r="M2" s="4"/>
      <c r="N2" s="4"/>
      <c r="P2" s="105"/>
      <c r="Q2" s="105"/>
    </row>
    <row r="3" spans="1:19" ht="13.5" thickBot="1" x14ac:dyDescent="0.25"/>
    <row r="4" spans="1:19" s="5" customFormat="1" ht="18" customHeight="1" thickBot="1" x14ac:dyDescent="0.25">
      <c r="A4" s="106" t="s">
        <v>21</v>
      </c>
      <c r="B4" s="107"/>
      <c r="C4" s="107"/>
      <c r="D4" s="107"/>
      <c r="E4" s="107"/>
      <c r="F4" s="108"/>
      <c r="G4" s="109" t="s">
        <v>46</v>
      </c>
      <c r="H4" s="109"/>
      <c r="I4" s="109"/>
      <c r="J4" s="109"/>
      <c r="K4" s="109"/>
      <c r="L4" s="109"/>
      <c r="M4" s="109"/>
      <c r="N4" s="109"/>
      <c r="O4" s="109"/>
      <c r="P4" s="109"/>
      <c r="Q4" s="110"/>
    </row>
    <row r="5" spans="1:19" s="5" customFormat="1" ht="18" customHeight="1" thickBot="1" x14ac:dyDescent="0.25">
      <c r="A5" s="111" t="s">
        <v>43</v>
      </c>
      <c r="B5" s="112"/>
      <c r="C5" s="112"/>
      <c r="D5" s="112"/>
      <c r="E5" s="112"/>
      <c r="F5" s="112"/>
      <c r="G5" s="113" t="s">
        <v>47</v>
      </c>
      <c r="H5" s="113"/>
      <c r="I5" s="113"/>
      <c r="J5" s="113"/>
      <c r="K5" s="113"/>
      <c r="L5" s="113"/>
      <c r="M5" s="113"/>
      <c r="N5" s="113"/>
      <c r="O5" s="113"/>
      <c r="P5" s="113"/>
      <c r="Q5" s="114"/>
    </row>
    <row r="6" spans="1:19" s="5" customFormat="1" ht="18" customHeight="1" thickBot="1" x14ac:dyDescent="0.25">
      <c r="A6" s="111" t="s">
        <v>22</v>
      </c>
      <c r="B6" s="112"/>
      <c r="C6" s="112"/>
      <c r="D6" s="112"/>
      <c r="E6" s="112"/>
      <c r="F6" s="112"/>
      <c r="G6" s="119" t="s">
        <v>52</v>
      </c>
      <c r="H6" s="119"/>
      <c r="I6" s="119"/>
      <c r="J6" s="119"/>
      <c r="K6" s="119"/>
      <c r="L6" s="119"/>
      <c r="M6" s="119"/>
      <c r="N6" s="119"/>
      <c r="O6" s="119"/>
      <c r="P6" s="119"/>
      <c r="Q6" s="120"/>
    </row>
    <row r="7" spans="1:19" s="5" customFormat="1" ht="18" customHeight="1" thickBot="1" x14ac:dyDescent="0.25">
      <c r="A7" s="111" t="s">
        <v>44</v>
      </c>
      <c r="B7" s="112"/>
      <c r="C7" s="112"/>
      <c r="D7" s="112"/>
      <c r="E7" s="112"/>
      <c r="F7" s="112"/>
      <c r="G7" s="119" t="s">
        <v>60</v>
      </c>
      <c r="H7" s="119"/>
      <c r="I7" s="119"/>
      <c r="J7" s="119"/>
      <c r="K7" s="119"/>
      <c r="L7" s="119"/>
      <c r="M7" s="119"/>
      <c r="N7" s="119"/>
      <c r="O7" s="119"/>
      <c r="P7" s="119"/>
      <c r="Q7" s="120"/>
    </row>
    <row r="8" spans="1:19" ht="18" customHeight="1" thickBot="1" x14ac:dyDescent="0.25">
      <c r="A8" s="115" t="s">
        <v>23</v>
      </c>
      <c r="B8" s="116"/>
      <c r="C8" s="116"/>
      <c r="D8" s="116"/>
      <c r="E8" s="116"/>
      <c r="F8" s="116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8"/>
    </row>
    <row r="9" spans="1:19" ht="18" customHeight="1" x14ac:dyDescent="0.2">
      <c r="A9" s="121" t="s">
        <v>24</v>
      </c>
      <c r="B9" s="121"/>
      <c r="C9" s="121"/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"/>
      <c r="P9" s="1"/>
      <c r="Q9" s="6"/>
    </row>
    <row r="10" spans="1:19" ht="54.75" customHeight="1" x14ac:dyDescent="0.2">
      <c r="A10" s="122" t="s">
        <v>62</v>
      </c>
      <c r="B10" s="123"/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4"/>
    </row>
    <row r="11" spans="1:19" ht="9" customHeight="1" thickBo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">
      <c r="A12" s="125" t="s">
        <v>25</v>
      </c>
      <c r="B12" s="125"/>
      <c r="C12" s="125"/>
      <c r="D12" s="125"/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</row>
    <row r="13" spans="1:19" ht="15.75" customHeight="1" thickBot="1" x14ac:dyDescent="0.25">
      <c r="A13" s="126" t="s">
        <v>26</v>
      </c>
      <c r="B13" s="126"/>
      <c r="C13" s="126"/>
      <c r="D13" s="126"/>
      <c r="E13" s="126"/>
      <c r="F13" s="126"/>
      <c r="G13" s="126"/>
      <c r="H13" s="126"/>
      <c r="I13" s="126"/>
      <c r="J13" s="126"/>
      <c r="K13" s="126"/>
      <c r="L13" s="126"/>
      <c r="M13" s="126"/>
      <c r="N13" s="126"/>
      <c r="O13" s="127" t="s">
        <v>27</v>
      </c>
      <c r="P13" s="127"/>
      <c r="Q13" s="128" t="s">
        <v>28</v>
      </c>
    </row>
    <row r="14" spans="1:19" ht="15.75" customHeight="1" thickBot="1" x14ac:dyDescent="0.25">
      <c r="A14" s="11" t="s">
        <v>29</v>
      </c>
      <c r="B14" s="12" t="s">
        <v>30</v>
      </c>
      <c r="C14" s="12" t="s">
        <v>31</v>
      </c>
      <c r="D14" s="12" t="s">
        <v>32</v>
      </c>
      <c r="E14" s="12" t="s">
        <v>33</v>
      </c>
      <c r="F14" s="12" t="s">
        <v>34</v>
      </c>
      <c r="G14" s="13" t="s">
        <v>35</v>
      </c>
      <c r="H14" s="12" t="s">
        <v>36</v>
      </c>
      <c r="I14" s="12" t="s">
        <v>37</v>
      </c>
      <c r="J14" s="12" t="s">
        <v>38</v>
      </c>
      <c r="K14" s="12" t="s">
        <v>38</v>
      </c>
      <c r="L14" s="12" t="s">
        <v>39</v>
      </c>
      <c r="M14" s="14" t="s">
        <v>40</v>
      </c>
      <c r="N14" s="15" t="s">
        <v>41</v>
      </c>
      <c r="O14" s="127"/>
      <c r="P14" s="127"/>
      <c r="Q14" s="128"/>
    </row>
    <row r="15" spans="1:19" ht="27.75" customHeight="1" thickBot="1" x14ac:dyDescent="0.25">
      <c r="A15" s="47">
        <v>1</v>
      </c>
      <c r="B15" s="48">
        <v>0</v>
      </c>
      <c r="C15" s="48">
        <v>0</v>
      </c>
      <c r="D15" s="48">
        <v>1</v>
      </c>
      <c r="E15" s="48">
        <v>0</v>
      </c>
      <c r="F15" s="48">
        <v>4901</v>
      </c>
      <c r="G15" s="48">
        <v>2</v>
      </c>
      <c r="H15" s="48">
        <v>1</v>
      </c>
      <c r="I15" s="48">
        <v>4</v>
      </c>
      <c r="J15" s="48">
        <v>4</v>
      </c>
      <c r="K15" s="48">
        <v>0</v>
      </c>
      <c r="L15" s="48">
        <v>0</v>
      </c>
      <c r="M15" s="49">
        <v>1</v>
      </c>
      <c r="N15" s="50" t="s">
        <v>45</v>
      </c>
      <c r="O15" s="53" t="s">
        <v>54</v>
      </c>
      <c r="P15" s="51"/>
      <c r="Q15" s="52">
        <f>+'Fomulario Nec. Trime'!I11</f>
        <v>46398862.5</v>
      </c>
      <c r="S15" s="21"/>
    </row>
    <row r="16" spans="1:19" ht="30.75" customHeight="1" thickBot="1" x14ac:dyDescent="0.25">
      <c r="A16" s="134" t="s">
        <v>68</v>
      </c>
      <c r="B16" s="134"/>
      <c r="C16" s="134"/>
      <c r="D16" s="134"/>
      <c r="E16" s="134"/>
      <c r="F16" s="134"/>
      <c r="G16" s="134"/>
      <c r="H16" s="134"/>
      <c r="I16" s="134"/>
      <c r="J16" s="134"/>
      <c r="K16" s="134"/>
      <c r="L16" s="134"/>
      <c r="M16" s="134"/>
      <c r="N16" s="134"/>
      <c r="O16" s="134"/>
      <c r="P16" s="134"/>
      <c r="Q16" s="52">
        <f>+Q15</f>
        <v>46398862.5</v>
      </c>
    </row>
    <row r="17" spans="1:17" ht="18" customHeight="1" thickBot="1" x14ac:dyDescent="0.25">
      <c r="A17" s="135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</row>
    <row r="18" spans="1:17" ht="17.25" customHeight="1" thickBot="1" x14ac:dyDescent="0.25">
      <c r="A18" s="130" t="s">
        <v>42</v>
      </c>
      <c r="B18" s="131"/>
      <c r="C18" s="131"/>
      <c r="D18" s="131"/>
      <c r="E18" s="131"/>
      <c r="F18" s="132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</row>
    <row r="19" spans="1:17" ht="18" customHeight="1" x14ac:dyDescent="0.2">
      <c r="A19" s="54" t="s">
        <v>61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6"/>
    </row>
    <row r="20" spans="1:17" ht="15" customHeight="1" thickBot="1" x14ac:dyDescent="0.25">
      <c r="A20" s="57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9"/>
    </row>
    <row r="23" spans="1:17" ht="12.75" customHeight="1" x14ac:dyDescent="0.2">
      <c r="B23" s="129"/>
      <c r="C23" s="129"/>
      <c r="D23" s="129"/>
    </row>
  </sheetData>
  <mergeCells count="23">
    <mergeCell ref="B23:D23"/>
    <mergeCell ref="A18:F18"/>
    <mergeCell ref="G18:Q18"/>
    <mergeCell ref="A16:P16"/>
    <mergeCell ref="A17:Q17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Fomulario Nec. Trime</vt:lpstr>
      <vt:lpstr>Autor Gastar</vt:lpstr>
      <vt:lpstr>'Autor Gastar'!Área_de_impresión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</dc:creator>
  <cp:lastModifiedBy>Karen</cp:lastModifiedBy>
  <cp:revision>2</cp:revision>
  <cp:lastPrinted>2020-07-17T22:18:48Z</cp:lastPrinted>
  <dcterms:created xsi:type="dcterms:W3CDTF">2020-07-17T23:44:49Z</dcterms:created>
  <dcterms:modified xsi:type="dcterms:W3CDTF">2022-10-12T14:33:32Z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