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255" windowWidth="20640" windowHeight="114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A13" i="2"/>
  <c r="B12" i="2"/>
  <c r="C12" i="2"/>
  <c r="I12" i="2" l="1"/>
  <c r="I10" i="1" l="1"/>
  <c r="D10" i="1" l="1"/>
  <c r="J13" i="2" l="1"/>
  <c r="G6" i="3"/>
  <c r="G4" i="3"/>
  <c r="G5" i="3"/>
  <c r="D1" i="3" l="1"/>
  <c r="Q17" i="3"/>
</calcChain>
</file>

<file path=xl/sharedStrings.xml><?xml version="1.0" encoding="utf-8"?>
<sst xmlns="http://schemas.openxmlformats.org/spreadsheetml/2006/main" count="83" uniqueCount="76">
  <si>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</si>
  <si>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</si>
  <si>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</si>
  <si>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</si>
  <si>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</si>
  <si>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</si>
  <si>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</si>
  <si>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</si>
  <si>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</si>
  <si>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</si>
  <si>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</si>
  <si>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</si>
  <si>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</si>
  <si>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</si>
  <si>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</si>
  <si>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</si>
  <si>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</si>
  <si>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</si>
  <si>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</si>
  <si>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</si>
  <si>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</si>
  <si>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</si>
  <si>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</si>
  <si>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</si>
  <si>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</si>
  <si>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</si>
  <si>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</si>
  <si>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</si>
  <si>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</si>
  <si>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</si>
  <si>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</si>
  <si>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</si>
  <si>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</si>
  <si>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</si>
  <si>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</si>
  <si>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</si>
  <si>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</si>
  <si>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</si>
  <si>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</si>
  <si>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</si>
  <si>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</si>
  <si>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</si>
  <si>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</si>
  <si>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</si>
  <si>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</si>
  <si>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</si>
  <si>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</si>
  <si>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</si>
  <si>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</si>
  <si>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</si>
  <si>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</si>
  <si>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</si>
  <si>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</si>
  <si>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</si>
  <si>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</si>
  <si>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</si>
  <si>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</si>
  <si>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090 - MINISTERIO DE SEGURIDAD</t>
  </si>
  <si>
    <t>90 - MINISTERIO DE SEGURIDAD</t>
  </si>
  <si>
    <t>DIRECCIOM DE ADMINISTRACION Y RR.HH.</t>
  </si>
  <si>
    <t>COMBUSTIBLES Y LUBRICANTES</t>
  </si>
  <si>
    <t xml:space="preserve">COMBUSTIBLES Y LUBRICANTES </t>
  </si>
  <si>
    <t xml:space="preserve">Primera Calidad </t>
  </si>
  <si>
    <t>MINISTERIO DE SEGUIRIDAD</t>
  </si>
  <si>
    <t>SAF 19 - DIRECCION PROVINCIAL DE ADM. Y RR.HH. DEL MINISTERIO DE SEGURIDAD</t>
  </si>
  <si>
    <t>La adquisición de Combustibles con destino a la flota de vehiculos dependientes del Ministerio de Seguridad.</t>
  </si>
  <si>
    <t>Treinta (30) Dias</t>
  </si>
  <si>
    <t>Adquisicion de Combustible con destino a las unidades moviles del Ministerio.</t>
  </si>
  <si>
    <t>LITROS EN VALES</t>
  </si>
  <si>
    <t>DIRECCION DE ADM. Y RR.HH. MINISTERIO DE SEGURIDAD</t>
  </si>
  <si>
    <t>NO</t>
  </si>
  <si>
    <t>2.5.6-793.31</t>
  </si>
  <si>
    <t>GAS OIL; PRESENTACION: POR LITRO, USO: MOTORES DIESEL, COMERCIALIZACION: GRADO 3, DESTINO: DPTO. S.F.V. DE CATAMARCA</t>
  </si>
  <si>
    <t xml:space="preserve">2° TRIMESTRE </t>
  </si>
  <si>
    <r>
      <t xml:space="preserve">TOTAL DE PESOS: </t>
    </r>
    <r>
      <rPr>
        <sz val="11"/>
        <rFont val="Arial"/>
        <family val="2"/>
      </rPr>
      <t>Dos Millones Novecientos Noventa y Nueve  Mil  Novecientos Cinco con 00/100.</t>
    </r>
  </si>
  <si>
    <r>
      <t xml:space="preserve">Plazo de entrega tres 3 días hábiles. Periodo de utilización  60 dias. </t>
    </r>
    <r>
      <rPr>
        <b/>
        <sz val="10"/>
        <rFont val="Times New Roman"/>
        <family val="1"/>
      </rPr>
      <t>ENTREGA EN VALES DE 5, 10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</si>
</sst>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13" fillId="0" borderId="3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19" fillId="0" borderId="0" xfId="0" applyFont="1" applyAlignment="1">
      <alignment horizontal="left" wrapTex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left" wrapText="1" indent="1"/>
    </xf>
    <xf numFmtId="0" fontId="15" fillId="0" borderId="0" xfId="0" applyFont="1" applyFill="1" applyBorder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9" xfId="0" applyFont="1" applyFill="1" applyBorder="1"/>
    <xf numFmtId="0" fontId="15" fillId="0" borderId="10" xfId="0" applyFont="1" applyFill="1" applyBorder="1"/>
    <xf numFmtId="0" fontId="15" fillId="0" borderId="0" xfId="0" applyFont="1" applyFill="1"/>
    <xf numFmtId="0" fontId="15" fillId="0" borderId="0" xfId="0" applyFont="1" applyAlignment="1"/>
    <xf numFmtId="0" fontId="15" fillId="0" borderId="0" xfId="0" applyFont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6" fontId="0" fillId="0" borderId="47" xfId="3" applyNumberFormat="1" applyFont="1" applyFill="1" applyBorder="1" applyAlignment="1" applyProtection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166" fontId="20" fillId="0" borderId="15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0" fillId="0" borderId="15" xfId="0" applyBorder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5" fillId="0" borderId="57" xfId="0" applyFont="1" applyBorder="1" applyAlignment="1">
      <alignment vertical="center"/>
    </xf>
    <xf numFmtId="0" fontId="18" fillId="0" borderId="15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20" fillId="0" borderId="59" xfId="0" applyFont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 wrapText="1"/>
    </xf>
    <xf numFmtId="166" fontId="20" fillId="3" borderId="15" xfId="1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6" fillId="3" borderId="15" xfId="0" applyFont="1" applyFill="1" applyBorder="1" applyAlignment="1">
      <alignment horizontal="left" vertical="center" wrapText="1" indent="1"/>
    </xf>
    <xf numFmtId="0" fontId="6" fillId="0" borderId="40" xfId="0" applyFont="1" applyBorder="1" applyAlignment="1">
      <alignment horizontal="left" vertical="center" wrapText="1" indent="1"/>
    </xf>
    <xf numFmtId="167" fontId="7" fillId="0" borderId="4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inden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11" fillId="3" borderId="12" xfId="0" applyFont="1" applyFill="1" applyBorder="1" applyAlignment="1">
      <alignment horizontal="left" inden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41" xfId="0" applyFont="1" applyFill="1" applyBorder="1" applyAlignment="1">
      <alignment horizontal="left" vertical="center" wrapText="1"/>
    </xf>
    <xf numFmtId="0" fontId="0" fillId="0" borderId="44" xfId="0" applyFont="1" applyFill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6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4" xfId="0" applyFont="1" applyFill="1" applyBorder="1" applyAlignment="1">
      <alignment horizontal="left" vertical="center" wrapText="1" indent="1"/>
    </xf>
    <xf numFmtId="0" fontId="9" fillId="3" borderId="34" xfId="0" applyFont="1" applyFill="1" applyBorder="1" applyAlignment="1">
      <alignment horizontal="left" vertical="center" wrapText="1"/>
    </xf>
    <xf numFmtId="0" fontId="0" fillId="0" borderId="23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zoomScale="80" zoomScaleNormal="80" workbookViewId="0">
      <selection activeCell="C19" sqref="C19"/>
    </sheetView>
  </sheetViews>
  <sheetFormatPr baseColWidth="10" defaultColWidth="11" defaultRowHeight="12.75" x14ac:dyDescent="0.2"/>
  <cols>
    <col min="1" max="1" width="4.5703125" style="25" customWidth="1"/>
    <col min="2" max="2" width="12.85546875" style="25" customWidth="1"/>
    <col min="3" max="3" width="32.42578125" style="25" customWidth="1"/>
    <col min="4" max="4" width="8.42578125" style="25" customWidth="1"/>
    <col min="5" max="5" width="79" style="25" customWidth="1"/>
    <col min="6" max="6" width="11.7109375" style="25" customWidth="1"/>
    <col min="7" max="7" width="12.7109375" style="25" customWidth="1"/>
    <col min="8" max="8" width="13.85546875" style="25" customWidth="1"/>
    <col min="9" max="9" width="18.5703125" style="25" customWidth="1"/>
    <col min="10" max="10" width="11" style="54"/>
    <col min="11" max="14" width="11" style="52"/>
    <col min="15" max="16384" width="11" style="25"/>
  </cols>
  <sheetData>
    <row r="2" spans="1:9" ht="27" x14ac:dyDescent="0.35">
      <c r="B2" s="82" t="s">
        <v>0</v>
      </c>
      <c r="C2" s="82"/>
      <c r="D2" s="82"/>
      <c r="E2" s="82"/>
      <c r="F2" s="82"/>
      <c r="G2" s="82"/>
      <c r="H2" s="82"/>
    </row>
    <row r="4" spans="1:9" ht="18" customHeight="1" x14ac:dyDescent="0.25">
      <c r="A4" s="83" t="s">
        <v>1</v>
      </c>
      <c r="B4" s="83"/>
      <c r="C4" s="84" t="s">
        <v>57</v>
      </c>
      <c r="D4" s="84"/>
      <c r="E4" s="84"/>
      <c r="F4" s="26"/>
      <c r="G4" s="27"/>
      <c r="H4" s="26"/>
    </row>
    <row r="5" spans="1:9" ht="18" customHeight="1" x14ac:dyDescent="0.25">
      <c r="A5" s="83" t="s">
        <v>2</v>
      </c>
      <c r="B5" s="83"/>
      <c r="C5" s="84" t="s">
        <v>64</v>
      </c>
      <c r="D5" s="84"/>
      <c r="E5" s="84"/>
      <c r="F5" s="26"/>
      <c r="G5" s="27"/>
      <c r="H5" s="26"/>
    </row>
    <row r="6" spans="1:9" ht="16.5" customHeight="1" x14ac:dyDescent="0.25">
      <c r="A6" s="83" t="s">
        <v>3</v>
      </c>
      <c r="B6" s="83"/>
      <c r="C6" s="43">
        <v>2022</v>
      </c>
      <c r="D6" s="38"/>
      <c r="E6" s="38"/>
      <c r="F6" s="26"/>
      <c r="G6" s="27"/>
      <c r="H6" s="26"/>
    </row>
    <row r="7" spans="1:9" ht="16.5" customHeight="1" x14ac:dyDescent="0.25">
      <c r="A7" s="83" t="s">
        <v>4</v>
      </c>
      <c r="B7" s="83"/>
      <c r="C7" s="43">
        <v>2</v>
      </c>
      <c r="D7" s="38"/>
      <c r="E7" s="38"/>
      <c r="F7" s="26"/>
      <c r="G7" s="27"/>
      <c r="H7" s="26"/>
    </row>
    <row r="8" spans="1:9" ht="13.5" thickBot="1" x14ac:dyDescent="0.25">
      <c r="B8" s="26"/>
      <c r="C8" s="27"/>
      <c r="D8" s="26"/>
      <c r="E8" s="26"/>
      <c r="F8" s="26"/>
      <c r="G8" s="27"/>
      <c r="H8" s="26"/>
    </row>
    <row r="9" spans="1:9" ht="39.75" thickTop="1" thickBot="1" x14ac:dyDescent="0.25">
      <c r="A9" s="64" t="s">
        <v>5</v>
      </c>
      <c r="B9" s="70" t="s">
        <v>6</v>
      </c>
      <c r="C9" s="71" t="s">
        <v>7</v>
      </c>
      <c r="D9" s="72" t="s">
        <v>8</v>
      </c>
      <c r="E9" s="73" t="s">
        <v>9</v>
      </c>
      <c r="F9" s="65" t="s">
        <v>10</v>
      </c>
      <c r="G9" s="28" t="s">
        <v>11</v>
      </c>
      <c r="H9" s="28" t="s">
        <v>12</v>
      </c>
      <c r="I9" s="28" t="s">
        <v>13</v>
      </c>
    </row>
    <row r="10" spans="1:9" ht="42.75" customHeight="1" thickBot="1" x14ac:dyDescent="0.25">
      <c r="A10" s="78">
        <v>1</v>
      </c>
      <c r="B10" s="69" t="s">
        <v>71</v>
      </c>
      <c r="C10" s="74" t="s">
        <v>60</v>
      </c>
      <c r="D10" s="76" t="str">
        <f t="shared" ref="D10" si="0">LEFT(B10,5)</f>
        <v>2.5.6</v>
      </c>
      <c r="E10" s="77" t="s">
        <v>72</v>
      </c>
      <c r="F10" s="75" t="s">
        <v>68</v>
      </c>
      <c r="G10" s="79">
        <v>24650</v>
      </c>
      <c r="H10" s="80">
        <v>121.7</v>
      </c>
      <c r="I10" s="66">
        <f>H10*G10</f>
        <v>2999905</v>
      </c>
    </row>
    <row r="13" spans="1:9" x14ac:dyDescent="0.2">
      <c r="B13" s="29" t="s">
        <v>14</v>
      </c>
      <c r="C13" s="30"/>
      <c r="D13" s="30"/>
      <c r="E13" s="31"/>
    </row>
    <row r="14" spans="1:9" ht="5.25" customHeight="1" x14ac:dyDescent="0.2">
      <c r="B14" s="32"/>
      <c r="C14" s="33"/>
      <c r="D14" s="33"/>
      <c r="E14" s="34"/>
    </row>
    <row r="15" spans="1:9" x14ac:dyDescent="0.2">
      <c r="B15" s="35" t="s">
        <v>15</v>
      </c>
      <c r="C15" s="33"/>
      <c r="D15" s="33"/>
      <c r="E15" s="34"/>
    </row>
    <row r="16" spans="1:9" ht="35.25" customHeight="1" x14ac:dyDescent="0.2">
      <c r="B16" s="35"/>
      <c r="C16" s="87" t="s">
        <v>72</v>
      </c>
      <c r="D16" s="87"/>
      <c r="E16" s="88"/>
    </row>
    <row r="17" spans="2:13" x14ac:dyDescent="0.2">
      <c r="B17" s="35" t="s">
        <v>16</v>
      </c>
      <c r="C17" s="44"/>
      <c r="D17" s="44"/>
      <c r="E17" s="45"/>
    </row>
    <row r="18" spans="2:13" ht="53.25" customHeight="1" x14ac:dyDescent="0.2">
      <c r="B18" s="36"/>
      <c r="C18" s="89" t="s">
        <v>75</v>
      </c>
      <c r="D18" s="89"/>
      <c r="E18" s="90"/>
      <c r="I18" s="81"/>
      <c r="J18" s="81"/>
      <c r="K18" s="81"/>
      <c r="L18" s="81"/>
      <c r="M18" s="81"/>
    </row>
    <row r="19" spans="2:13" x14ac:dyDescent="0.2">
      <c r="B19" s="35" t="s">
        <v>17</v>
      </c>
      <c r="C19" s="44"/>
      <c r="D19" s="44"/>
      <c r="E19" s="45"/>
      <c r="G19" s="51"/>
    </row>
    <row r="20" spans="2:13" x14ac:dyDescent="0.2">
      <c r="B20" s="36"/>
      <c r="C20" s="85" t="s">
        <v>62</v>
      </c>
      <c r="D20" s="85"/>
      <c r="E20" s="85"/>
    </row>
    <row r="21" spans="2:13" x14ac:dyDescent="0.2">
      <c r="B21" s="35" t="s">
        <v>18</v>
      </c>
      <c r="C21" s="46"/>
      <c r="D21" s="46"/>
      <c r="E21" s="47"/>
    </row>
    <row r="22" spans="2:13" x14ac:dyDescent="0.2">
      <c r="B22" s="36"/>
      <c r="C22" s="85" t="s">
        <v>66</v>
      </c>
      <c r="D22" s="85"/>
      <c r="E22" s="85"/>
    </row>
    <row r="23" spans="2:13" x14ac:dyDescent="0.2">
      <c r="B23" s="35" t="s">
        <v>19</v>
      </c>
      <c r="C23" s="44"/>
      <c r="D23" s="44"/>
      <c r="E23" s="45"/>
    </row>
    <row r="24" spans="2:13" x14ac:dyDescent="0.2">
      <c r="B24" s="35"/>
      <c r="C24" s="86"/>
      <c r="D24" s="86"/>
      <c r="E24" s="86"/>
    </row>
    <row r="25" spans="2:13" ht="13.5" thickBot="1" x14ac:dyDescent="0.25">
      <c r="B25" s="37"/>
      <c r="C25" s="48"/>
      <c r="D25" s="48"/>
      <c r="E25" s="49"/>
    </row>
    <row r="26" spans="2:13" x14ac:dyDescent="0.2">
      <c r="C26" s="50"/>
      <c r="D26" s="50"/>
      <c r="E26" s="50"/>
    </row>
    <row r="27" spans="2:13" x14ac:dyDescent="0.2">
      <c r="C27" s="50"/>
      <c r="D27" s="50"/>
      <c r="E27" s="50"/>
    </row>
    <row r="29" spans="2:13" x14ac:dyDescent="0.2">
      <c r="B29"/>
      <c r="C29"/>
      <c r="D29"/>
    </row>
    <row r="30" spans="2:13" ht="16.5" x14ac:dyDescent="0.2">
      <c r="E30" s="67"/>
    </row>
    <row r="31" spans="2:13" ht="16.5" x14ac:dyDescent="0.2">
      <c r="E31" s="68"/>
    </row>
    <row r="32" spans="2:13" ht="16.5" x14ac:dyDescent="0.2">
      <c r="E32" s="68"/>
    </row>
  </sheetData>
  <mergeCells count="13">
    <mergeCell ref="C20:E20"/>
    <mergeCell ref="C22:E22"/>
    <mergeCell ref="C24:E24"/>
    <mergeCell ref="A6:B6"/>
    <mergeCell ref="A7:B7"/>
    <mergeCell ref="C16:E16"/>
    <mergeCell ref="C18:E18"/>
    <mergeCell ref="I18:M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110" zoomScaleNormal="110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91" t="s">
        <v>20</v>
      </c>
      <c r="B1" s="91"/>
      <c r="C1" s="91"/>
      <c r="D1" s="91"/>
      <c r="E1" s="91"/>
      <c r="F1" s="91"/>
      <c r="G1" s="91"/>
      <c r="H1" s="91"/>
      <c r="I1" s="91"/>
      <c r="J1" s="3"/>
      <c r="K1" s="53"/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92" t="s">
        <v>53</v>
      </c>
      <c r="B3" s="92"/>
      <c r="C3" s="92"/>
      <c r="D3" s="94" t="s">
        <v>58</v>
      </c>
      <c r="E3" s="94"/>
      <c r="F3" s="94"/>
      <c r="G3" s="94"/>
      <c r="H3" s="94"/>
      <c r="I3" s="94"/>
      <c r="J3" s="94"/>
      <c r="K3" s="94"/>
    </row>
    <row r="4" spans="1:14" ht="18.75" customHeight="1" thickBot="1" x14ac:dyDescent="0.25">
      <c r="A4" s="93" t="s">
        <v>54</v>
      </c>
      <c r="B4" s="93"/>
      <c r="C4" s="93"/>
      <c r="D4" s="94" t="s">
        <v>64</v>
      </c>
      <c r="E4" s="94"/>
      <c r="F4" s="94"/>
      <c r="G4" s="94"/>
      <c r="H4" s="94"/>
      <c r="I4" s="94"/>
      <c r="J4" s="94"/>
      <c r="K4" s="94"/>
    </row>
    <row r="5" spans="1:14" ht="18.75" customHeight="1" thickBot="1" x14ac:dyDescent="0.25">
      <c r="A5" s="93" t="s">
        <v>32</v>
      </c>
      <c r="B5" s="93"/>
      <c r="C5" s="93"/>
      <c r="D5" s="95" t="s">
        <v>63</v>
      </c>
      <c r="E5" s="95"/>
      <c r="F5" s="95"/>
      <c r="G5" s="95"/>
      <c r="H5" s="95"/>
      <c r="I5" s="95"/>
      <c r="J5" s="95"/>
      <c r="K5" s="95"/>
    </row>
    <row r="6" spans="1:14" ht="16.5" customHeight="1" thickBot="1" x14ac:dyDescent="0.25">
      <c r="A6" s="92" t="s">
        <v>55</v>
      </c>
      <c r="B6" s="92"/>
      <c r="C6" s="92"/>
      <c r="D6" s="101" t="s">
        <v>69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</row>
    <row r="7" spans="1:14" ht="16.5" customHeight="1" thickBot="1" x14ac:dyDescent="0.25">
      <c r="A7" s="93" t="s">
        <v>21</v>
      </c>
      <c r="B7" s="93"/>
      <c r="C7" s="93"/>
      <c r="D7" s="94" t="s">
        <v>73</v>
      </c>
      <c r="E7" s="94"/>
      <c r="F7" s="94"/>
      <c r="G7" s="94"/>
      <c r="H7" s="94"/>
      <c r="I7" s="94"/>
      <c r="J7" s="94"/>
      <c r="K7" s="94"/>
    </row>
    <row r="8" spans="1:14" ht="16.5" customHeight="1" thickBot="1" x14ac:dyDescent="0.25">
      <c r="A8" s="102" t="s">
        <v>22</v>
      </c>
      <c r="B8" s="102"/>
      <c r="C8" s="102"/>
      <c r="D8" s="103" t="s">
        <v>67</v>
      </c>
      <c r="E8" s="103"/>
      <c r="F8" s="103"/>
      <c r="G8" s="103"/>
      <c r="H8" s="103"/>
      <c r="I8" s="103"/>
      <c r="J8" s="103"/>
      <c r="K8" s="103"/>
    </row>
    <row r="9" spans="1:14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thickBot="1" x14ac:dyDescent="0.25">
      <c r="A10" s="104" t="s">
        <v>23</v>
      </c>
      <c r="B10" s="106" t="s">
        <v>24</v>
      </c>
      <c r="C10" s="107" t="s">
        <v>25</v>
      </c>
      <c r="D10" s="108"/>
      <c r="E10" s="108"/>
      <c r="F10" s="108"/>
      <c r="G10" s="109"/>
      <c r="H10" s="110" t="s">
        <v>26</v>
      </c>
      <c r="I10" s="108" t="s">
        <v>27</v>
      </c>
      <c r="J10" s="108" t="s">
        <v>28</v>
      </c>
      <c r="K10" s="109" t="s">
        <v>29</v>
      </c>
    </row>
    <row r="11" spans="1:14" ht="24" customHeight="1" thickBot="1" x14ac:dyDescent="0.25">
      <c r="A11" s="105"/>
      <c r="B11" s="106"/>
      <c r="C11" s="107"/>
      <c r="D11" s="108"/>
      <c r="E11" s="108"/>
      <c r="F11" s="108"/>
      <c r="G11" s="109"/>
      <c r="H11" s="111"/>
      <c r="I11" s="112"/>
      <c r="J11" s="112"/>
      <c r="K11" s="113"/>
    </row>
    <row r="12" spans="1:14" ht="36.75" customHeight="1" thickBot="1" x14ac:dyDescent="0.25">
      <c r="A12" s="39">
        <v>1</v>
      </c>
      <c r="B12" s="69" t="str">
        <f>+'Necesidades Trimestrales'!B10</f>
        <v>2.5.6-793.31</v>
      </c>
      <c r="C12" s="98" t="str">
        <f>+'Necesidades Trimestrales'!E10</f>
        <v>GAS OIL; PRESENTACION: POR LITRO, USO: MOTORES DIESEL, COMERCIALIZACION: GRADO 3, DESTINO: DPTO. S.F.V. DE CATAMARCA</v>
      </c>
      <c r="D12" s="99"/>
      <c r="E12" s="99"/>
      <c r="F12" s="99"/>
      <c r="G12" s="100"/>
      <c r="H12" s="39" t="s">
        <v>70</v>
      </c>
      <c r="I12" s="40" t="str">
        <f>'Necesidades Trimestrales'!F10</f>
        <v>LITROS EN VALES</v>
      </c>
      <c r="J12" s="42">
        <v>121.7</v>
      </c>
      <c r="K12" s="41">
        <v>24650</v>
      </c>
    </row>
    <row r="13" spans="1:14" ht="20.25" customHeight="1" thickBot="1" x14ac:dyDescent="0.25">
      <c r="A13" s="96" t="str">
        <f>+'Autor Gastar'!A17:P17</f>
        <v>TOTAL DE PESOS: Dos Millones Novecientos Noventa y Nueve  Mil  Novecientos Cinco con 00/100.</v>
      </c>
      <c r="B13" s="96"/>
      <c r="C13" s="96"/>
      <c r="D13" s="96"/>
      <c r="E13" s="96"/>
      <c r="F13" s="96"/>
      <c r="G13" s="96"/>
      <c r="H13" s="96"/>
      <c r="I13" s="96"/>
      <c r="J13" s="97">
        <f>SUMPRODUCT(J12:J12,K12:K12)</f>
        <v>2999905</v>
      </c>
      <c r="K13" s="97"/>
    </row>
    <row r="16" spans="1:14" x14ac:dyDescent="0.2">
      <c r="C16"/>
      <c r="D16"/>
    </row>
  </sheetData>
  <mergeCells count="23">
    <mergeCell ref="A13:I13"/>
    <mergeCell ref="J13:K13"/>
    <mergeCell ref="C12:G12"/>
    <mergeCell ref="D6:N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zoomScale="130" zoomScaleNormal="130"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1" width="4.42578125" customWidth="1"/>
    <col min="12" max="12" width="4.710937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4" t="s">
        <v>3</v>
      </c>
      <c r="B1" s="114"/>
      <c r="C1" s="114"/>
      <c r="D1" s="115">
        <f>'Necesidades Trimestrales'!C6</f>
        <v>2022</v>
      </c>
      <c r="E1" s="115"/>
      <c r="F1" s="9"/>
      <c r="G1" s="9"/>
      <c r="H1" s="10"/>
      <c r="I1" s="10"/>
      <c r="J1" s="10"/>
      <c r="K1" s="10"/>
      <c r="L1" s="10"/>
      <c r="M1" s="10"/>
      <c r="N1" s="10"/>
      <c r="P1" s="116" t="s">
        <v>30</v>
      </c>
      <c r="Q1" s="11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6"/>
      <c r="Q2" s="116"/>
    </row>
    <row r="4" spans="1:17" s="11" customFormat="1" ht="18" customHeight="1" thickBot="1" x14ac:dyDescent="0.25">
      <c r="A4" s="117" t="s">
        <v>31</v>
      </c>
      <c r="B4" s="117"/>
      <c r="C4" s="117"/>
      <c r="D4" s="117"/>
      <c r="E4" s="117"/>
      <c r="F4" s="117"/>
      <c r="G4" s="118" t="str">
        <f>' NotaPedido'!D3</f>
        <v>90 - MINISTERIO DE SEGURIDAD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11" customFormat="1" ht="18" customHeight="1" thickBot="1" x14ac:dyDescent="0.25">
      <c r="A5" s="119" t="s">
        <v>54</v>
      </c>
      <c r="B5" s="120"/>
      <c r="C5" s="120"/>
      <c r="D5" s="120"/>
      <c r="E5" s="120"/>
      <c r="F5" s="121"/>
      <c r="G5" s="122" t="str">
        <f>' NotaPedido'!D4</f>
        <v>SAF 19 - DIRECCION PROVINCIAL DE ADM. Y RR.HH. DEL MINISTERIO DE SEGURIDAD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1" customFormat="1" ht="18" customHeight="1" thickBot="1" x14ac:dyDescent="0.25">
      <c r="A6" s="119" t="s">
        <v>32</v>
      </c>
      <c r="B6" s="120"/>
      <c r="C6" s="120"/>
      <c r="D6" s="120"/>
      <c r="E6" s="120"/>
      <c r="F6" s="121"/>
      <c r="G6" s="124" t="str">
        <f>' NotaPedido'!D5</f>
        <v>MINISTERIO DE SEGUIRIDAD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11" customFormat="1" ht="18" customHeight="1" thickBot="1" x14ac:dyDescent="0.25">
      <c r="A7" s="119" t="s">
        <v>55</v>
      </c>
      <c r="B7" s="120"/>
      <c r="C7" s="120"/>
      <c r="D7" s="120"/>
      <c r="E7" s="120"/>
      <c r="F7" s="121"/>
      <c r="G7" s="124" t="s">
        <v>59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3" t="s">
        <v>33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25" t="s">
        <v>34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12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Segundo Trimestre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Segundo Trimestre 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7" t="s">
        <v>35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36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37</v>
      </c>
      <c r="P13" s="129"/>
      <c r="Q13" s="130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29"/>
      <c r="P14" s="129"/>
      <c r="Q14" s="130"/>
    </row>
    <row r="15" spans="1:17" ht="28.5" customHeight="1" x14ac:dyDescent="0.2">
      <c r="A15" s="55">
        <v>1</v>
      </c>
      <c r="B15" s="56">
        <v>0</v>
      </c>
      <c r="C15" s="56">
        <v>0</v>
      </c>
      <c r="D15" s="57">
        <v>1</v>
      </c>
      <c r="E15" s="56">
        <v>0</v>
      </c>
      <c r="F15" s="56">
        <v>4901</v>
      </c>
      <c r="G15" s="56">
        <v>2</v>
      </c>
      <c r="H15" s="57">
        <v>1</v>
      </c>
      <c r="I15" s="56">
        <v>2</v>
      </c>
      <c r="J15" s="56">
        <v>5</v>
      </c>
      <c r="K15" s="56">
        <v>6</v>
      </c>
      <c r="L15" s="56">
        <v>0</v>
      </c>
      <c r="M15" s="58">
        <v>1</v>
      </c>
      <c r="N15" s="59" t="s">
        <v>56</v>
      </c>
      <c r="O15" s="131" t="s">
        <v>61</v>
      </c>
      <c r="P15" s="132"/>
      <c r="Q15" s="62">
        <v>2999905</v>
      </c>
    </row>
    <row r="16" spans="1:17" ht="17.25" customHeight="1" x14ac:dyDescent="0.2">
      <c r="A16" s="60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61"/>
      <c r="O16" s="133"/>
      <c r="P16" s="134"/>
      <c r="Q16" s="63"/>
    </row>
    <row r="17" spans="1:17" ht="30.75" customHeight="1" thickBot="1" x14ac:dyDescent="0.25">
      <c r="A17" s="140" t="s">
        <v>74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24">
        <f>SUM(Q15:Q16)</f>
        <v>2999905</v>
      </c>
    </row>
    <row r="18" spans="1:17" ht="18" customHeight="1" thickBot="1" x14ac:dyDescent="0.25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</row>
    <row r="19" spans="1:17" ht="17.25" customHeight="1" thickBot="1" x14ac:dyDescent="0.25">
      <c r="A19" s="135" t="s">
        <v>52</v>
      </c>
      <c r="B19" s="136"/>
      <c r="C19" s="136"/>
      <c r="D19" s="136"/>
      <c r="E19" s="136"/>
      <c r="F19" s="137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1:17" ht="18" customHeight="1" thickBot="1" x14ac:dyDescent="0.25">
      <c r="A20" s="139" t="s">
        <v>65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</row>
    <row r="21" spans="1:17" ht="15" customHeight="1" x14ac:dyDescent="0.2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</sheetData>
  <mergeCells count="25">
    <mergeCell ref="O15:P15"/>
    <mergeCell ref="O16:P16"/>
    <mergeCell ref="A19:F19"/>
    <mergeCell ref="G19:Q19"/>
    <mergeCell ref="A20:Q21"/>
    <mergeCell ref="A17:P17"/>
    <mergeCell ref="A18:Q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Secretaria1</cp:lastModifiedBy>
  <cp:revision>2</cp:revision>
  <cp:lastPrinted>2020-07-17T22:18:48Z</cp:lastPrinted>
  <dcterms:created xsi:type="dcterms:W3CDTF">2020-07-17T23:44:49Z</dcterms:created>
  <dcterms:modified xsi:type="dcterms:W3CDTF">2022-03-09T15:34:22Z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