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05" yWindow="-45" windowWidth="16605" windowHeight="9435" tabRatio="500"/>
  </bookViews>
  <sheets>
    <sheet name="Necesidades Trimestrales" sheetId="1" r:id="rId1"/>
    <sheet name=" NotaPedido" sheetId="2" state="hidden" r:id="rId2"/>
    <sheet name="Autor Gastar" sheetId="3" state="hidden" r:id="rId3"/>
  </sheets>
  <definedNames>
    <definedName name="_xlnm.Print_Area" localSheetId="1">' NotaPedido'!$A$1:$K$15</definedName>
    <definedName name="_xlnm.Print_Area" localSheetId="2">'Autor Gastar'!$A$1:$Q$20</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1" l="1"/>
  <c r="I10" i="1"/>
  <c r="I13" i="1"/>
  <c r="I14" i="1" l="1"/>
  <c r="I12" i="1"/>
  <c r="D12" i="1"/>
  <c r="I13" i="2"/>
  <c r="J13" i="2"/>
  <c r="K13" i="2"/>
  <c r="I14" i="2"/>
  <c r="J14" i="2"/>
  <c r="K14" i="2"/>
  <c r="C13" i="2"/>
  <c r="C14" i="2"/>
  <c r="B13" i="2"/>
  <c r="B14" i="2"/>
  <c r="K12" i="2"/>
  <c r="I12" i="2"/>
  <c r="J12" i="2"/>
  <c r="C12" i="2"/>
  <c r="B12" i="2"/>
  <c r="I15" i="1" l="1"/>
  <c r="O15" i="3"/>
  <c r="A19" i="3"/>
  <c r="A10" i="3"/>
  <c r="J15" i="2" l="1"/>
  <c r="Q15" i="3" l="1"/>
  <c r="Q16" i="3" s="1"/>
  <c r="G6" i="3" l="1"/>
  <c r="G7" i="3"/>
  <c r="D3" i="2"/>
  <c r="G4" i="3" s="1"/>
  <c r="D4" i="2"/>
  <c r="G5" i="3" s="1"/>
  <c r="D1" i="3" l="1"/>
</calcChain>
</file>

<file path=xl/sharedStrings.xml><?xml version="1.0" encoding="utf-8"?>
<sst xmlns="http://schemas.openxmlformats.org/spreadsheetml/2006/main" count="112" uniqueCount="94">
  <si>
    <t>Pedido de Necesidades Trimestrales</t>
  </si>
  <si>
    <t>JURISDICCION:</t>
  </si>
  <si>
    <t>90 - Ministerio de Seguridad</t>
  </si>
  <si>
    <t xml:space="preserve">SAF N°: </t>
  </si>
  <si>
    <t>7- Dirección Provincial de Administración de la Policía de la Provincia de Catamarca</t>
  </si>
  <si>
    <t>EJERCICIO:</t>
  </si>
  <si>
    <t>TRIMESTRE:</t>
  </si>
  <si>
    <t>ID</t>
  </si>
  <si>
    <t>CODIGO ITEM</t>
  </si>
  <si>
    <t>RUBRO DE COMPRA</t>
  </si>
  <si>
    <t xml:space="preserve">I.P.P. </t>
  </si>
  <si>
    <t>DESCRIPCION</t>
  </si>
  <si>
    <t>UNIDAD DE MEDIDA</t>
  </si>
  <si>
    <t>CANTIDAD</t>
  </si>
  <si>
    <t>PRECIO UNITARIO ESTIMADO</t>
  </si>
  <si>
    <t xml:space="preserve">IMPORTE TOTAL ESTIMADO </t>
  </si>
  <si>
    <t>2.1.2-2875.20</t>
  </si>
  <si>
    <t>ALIMENTOS</t>
  </si>
  <si>
    <t>2.1.2</t>
  </si>
  <si>
    <t>ALIMENTOS P/PERROS; PRESENTACION: BOLSA X 25 KG, SABOR: POLLO-PESCADO-CARNE, TIPO: PERRO ADULTO</t>
  </si>
  <si>
    <t>UNIDAD</t>
  </si>
  <si>
    <t>2.1.2-2875.19</t>
  </si>
  <si>
    <t>ALIMENTOS P/PERROS; PRESENTACION: BOLSA X 15 Kg, SABOR: CARNE-POLLO-VEGETALES, TIPO: PERRO CACHORRO</t>
  </si>
  <si>
    <t>2.1.2-2888.34</t>
  </si>
  <si>
    <t>ALIMENTOS Y FORRAJES; TIPO: ALFALFA, PRESENTACION: A GRANEL, USO: GANADO EQUINO</t>
  </si>
  <si>
    <t>2.1.2-2888.16</t>
  </si>
  <si>
    <t xml:space="preserve">ALIMENTOS </t>
  </si>
  <si>
    <t>ALIMENTOS Y FORRAJES; TIPO: MAIZ, PRESENTACION: GRANEL, CAPACIDAD: SIN VALOR, DESTINATARIO: GANADO EQUINO, USO: GANADO EQUINO</t>
  </si>
  <si>
    <t>2.1.2-2888.40</t>
  </si>
  <si>
    <t>ALIMENTOS P/GANADO ; TIPO: AVENA FORRAJERA, PRESENTACION: A GRANEL, USO: GANADO EQUINO</t>
  </si>
  <si>
    <t>Especificidades:</t>
  </si>
  <si>
    <t>Descripción técnica Item 1</t>
  </si>
  <si>
    <t xml:space="preserve"> Alimento para canes: Deberá contener: Proteína bruta (Min) 30%, estrato etero (Min) 20%, fibra cruda (Max) 3%, Minerales totales (Max) 7%, Humedad (Max.) 10%, Calcio (Min) 1,20%, Calcio (Max) 1,30%, Fosforo (min)0,90% (max) 1,10%, Vitamina A 20.000 ui/Kg, Vitamina D 2500 ui/Kg, vitamina E 250 mg/kg, Vitamina C 150 mg/kg, Omega 3 (Min) 0,40%, Omega 6 (Min) 2,40%, Glucosamina 280 mg/kg, Condroitin sulfato 250 mg/kg, Betaina 500 mg/kg y Energía metabolizable 4.380 Kcal/Kg.</t>
  </si>
  <si>
    <t>Descripción técnica Item 2</t>
  </si>
  <si>
    <t>Alimento para canes: Deberá contener: Proteína bruta (Min) 30%, estrato etero (Min) 18%, fibra cruda (Max) 3%, Minerales totales (Max) 7%, Humedad (Max.) 10%,Calcio (Max) 1,10%, , Fosforo  (max) 1,5%,  Energía metabolizable 4.050 Kcal/Kg.</t>
  </si>
  <si>
    <t xml:space="preserve">Descripción técnica Item 3 </t>
  </si>
  <si>
    <t>PRESENTACION: FARDOS DE 28 A 30 KG</t>
  </si>
  <si>
    <t xml:space="preserve"> maríz quebrado envasado en bolsas de 30 kg.</t>
  </si>
  <si>
    <t>Descripción técnica Item 4</t>
  </si>
  <si>
    <t xml:space="preserve">AVENA VENTILADA. BOLSAS POR 30 KG. </t>
  </si>
  <si>
    <t>Plazos y lugares de entrega</t>
  </si>
  <si>
    <r>
      <t xml:space="preserve">a) </t>
    </r>
    <r>
      <rPr>
        <b/>
        <sz val="10"/>
        <rFont val="Century Gothic"/>
        <family val="2"/>
      </rPr>
      <t>LUGAR DE ENTREGA: Departamento Logística, sito en Av. Felix Avellaneda RP N° 33  KM 2</t>
    </r>
    <r>
      <rPr>
        <sz val="10"/>
        <rFont val="Century Gothic"/>
        <family val="2"/>
      </rPr>
      <t>., SUMALAO - VALLE VIEJO. De 08 a 12 horas. 
b)</t>
    </r>
    <r>
      <rPr>
        <b/>
        <sz val="10"/>
        <rFont val="Century Gothic"/>
        <family val="2"/>
      </rPr>
      <t xml:space="preserve"> FORMA DE LA ENTREGA</t>
    </r>
    <r>
      <rPr>
        <sz val="10"/>
        <rFont val="Century Gothic"/>
        <family val="2"/>
      </rPr>
      <t xml:space="preserve">: Libre de flete, acarreo y embalaje, como así también, de todo riesgo de pérdida o destrucción total o parcial, por causas ajenas a la Institución.
c)  </t>
    </r>
    <r>
      <rPr>
        <b/>
        <sz val="10"/>
        <rFont val="Century Gothic"/>
        <family val="2"/>
      </rPr>
      <t>PLAZO DE ENTREGA</t>
    </r>
    <r>
      <rPr>
        <sz val="10"/>
        <rFont val="Century Gothic"/>
        <family val="2"/>
      </rPr>
      <t>: El Oferente deberá establecer plazo de entrega de los elementos cotizados, debiendo ser expresado en días hábiles; que no podrá ser superior a cinco (5) días hábiles, contados a partir de la recepción de la comunicación prevista en el Artículo 80° de del Reglamento Parcial N° 2 de la ley 4938.</t>
    </r>
  </si>
  <si>
    <t>Calidad Minima esperada</t>
  </si>
  <si>
    <t>Que Cumpla con lo Solicitado de Forma Integra. La fecha de vencimiento de los productos adjudicados debe ser mayor a 6 (seis)meses al momento de ser bajada en el lugar de entrega. Presentar Muestras para todos los  ítems, en su empaque original, en el cual puedan observase en forma clara la marca del mismo y sus características. 
c.1) La recepción de las muestras se realizará en el Departamento Logística (D-4) de la Policía de Catamarca, hasta momentos antes de la apertura, sito en Ruta Provincial Nº 33, Sumalao - Valle Viejo. Provincia de Catamarca.
c.2) Debidamente rotuladas por ítems e identificando claramente el oferente cotizante. No se aceptaran muestras distintas a lo cotizado.</t>
  </si>
  <si>
    <t>Mantenimiento:</t>
  </si>
  <si>
    <t>30 DIAS</t>
  </si>
  <si>
    <t>Garantia:</t>
  </si>
  <si>
    <t>*</t>
  </si>
  <si>
    <t>NOTA DE PEDIDO</t>
  </si>
  <si>
    <t>N°</t>
  </si>
  <si>
    <t>81/2021</t>
  </si>
  <si>
    <t xml:space="preserve">JURISDICCIÓN: </t>
  </si>
  <si>
    <t>SAF:</t>
  </si>
  <si>
    <t>UNIDAD EJECUTORA:</t>
  </si>
  <si>
    <t>Policía de la Provincia de Catamarca</t>
  </si>
  <si>
    <t xml:space="preserve">DEPENDENCIA SOLICITANTE: </t>
  </si>
  <si>
    <t>División Intendencia, Departamento Logística</t>
  </si>
  <si>
    <t>PERIODO UTILIZACIÓN:</t>
  </si>
  <si>
    <t>3er trimestre Año 2021.-</t>
  </si>
  <si>
    <t>OBJETO:</t>
  </si>
  <si>
    <t>Adquisición de Uniformes de Fajina para el personal policial.</t>
  </si>
  <si>
    <t>Ítem</t>
  </si>
  <si>
    <t>Codigo Item</t>
  </si>
  <si>
    <t>DESCRIPCIÓN</t>
  </si>
  <si>
    <t>Adjunta Detalle Técnico</t>
  </si>
  <si>
    <t>Unidad Medida</t>
  </si>
  <si>
    <t>Precio Unitario Estimado</t>
  </si>
  <si>
    <t>Cantidad Solicitada</t>
  </si>
  <si>
    <t>SI</t>
  </si>
  <si>
    <t>Costo total estimado: Pesos Cinco Millones Doscientos Mil con 00/100.-</t>
  </si>
  <si>
    <t>AUTORIZACION PARA GASTAR</t>
  </si>
  <si>
    <t>JURISDICCIÓN:</t>
  </si>
  <si>
    <r>
      <t>AUTORIZACIÓN</t>
    </r>
    <r>
      <rPr>
        <b/>
        <sz val="10"/>
        <rFont val="Century Gothic"/>
        <family val="2"/>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</si>
  <si>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</si>
  <si>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</si>
  <si>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</si>
  <si>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</si>
  <si>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</si>
  <si>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</si>
  <si>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</si>
  <si>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</si>
  <si>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</si>
  <si>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</si>
  <si>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</si>
  <si>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</si>
  <si>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</si>
  <si>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</si>
  <si>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</si>
  <si>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</si>
  <si>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</si>
  <si>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</si>
  <si>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</si>
  <si>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TOTAL DE PESOS:   Treinta y Cuatro Mil Novecientos Cincuenta con 00/100.-</t>
  </si>
  <si>
    <t>JUSTIFICACIÓN: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</si>
</sst>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 &quot;$&quot;\ * #,##0.00_ ;_ &quot;$&quot;\ * \-#,##0.00_ ;_ &quot;$&quot;\ * &quot;-&quot;??_ ;_ @_ "/>
    <numFmt numFmtId="165" formatCode="_(\$* #,##0.00_);_(\$* \(#,##0.00\);_(\$* \-??_);_(@_)"/>
    <numFmt numFmtId="166" formatCode="_-* #,##0.00&quot; €&quot;_-;\-* #,##0.00&quot; €&quot;_-;_-* \-??&quot; €&quot;_-;_-@_-"/>
    <numFmt numFmtId="167" formatCode="[$$-2C0A]\ #,##0.00;[$$-2C0A]&quot; -&quot;#,##0.00"/>
    <numFmt numFmtId="168" formatCode="[$$-2C0A]\ #,##0.00"/>
    <numFmt numFmtId="169" formatCode="dd\-mm\-yy;@"/>
    <numFmt numFmtId="170" formatCode="_ [$$-2C0A]\ * #,##0.00_ ;_ [$$-2C0A]\ * \-#,##0.00_ ;_ [$$-2C0A]\ * &quot;-&quot;??_ ;_ @_ "/>
    <numFmt numFmtId="171" formatCode="&quot;$&quot;\ #,##0.00"/>
  </numFmts>
  <fonts count="22"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Arial"/>
      <family val="2"/>
    </font>
    <font>
      <sz val="10"/>
      <name val="Century Gothic"/>
      <family val="2"/>
    </font>
    <font>
      <b/>
      <sz val="10"/>
      <name val="Century Gothic"/>
      <family val="2"/>
    </font>
    <font>
      <b/>
      <sz val="10"/>
      <color rgb="FF000000"/>
      <name val="Century Gothic"/>
      <family val="2"/>
    </font>
    <font>
      <sz val="10"/>
      <color rgb="FF000000"/>
      <name val="Century Gothic"/>
      <family val="2"/>
    </font>
    <font>
      <u/>
      <sz val="10"/>
      <name val="Century Gothic"/>
      <family val="2"/>
    </font>
    <font>
      <b/>
      <u/>
      <sz val="10"/>
      <name val="Century Gothic"/>
      <family val="2"/>
    </font>
    <font>
      <b/>
      <u/>
      <sz val="12"/>
      <name val="Century Gothic"/>
      <family val="2"/>
    </font>
    <font>
      <b/>
      <sz val="12"/>
      <name val="Century Gothic"/>
      <family val="2"/>
    </font>
    <font>
      <sz val="12"/>
      <name val="Century Gothic"/>
      <family val="2"/>
    </font>
    <font>
      <b/>
      <sz val="11"/>
      <name val="Century Gothic"/>
      <family val="2"/>
    </font>
    <font>
      <sz val="9"/>
      <name val="Century Gothic"/>
      <family val="2"/>
    </font>
    <font>
      <sz val="11"/>
      <name val="Century Gothic"/>
      <family val="2"/>
    </font>
    <font>
      <b/>
      <sz val="11"/>
      <color rgb="FF000000"/>
      <name val="Century Gothic"/>
      <family val="2"/>
    </font>
    <font>
      <b/>
      <sz val="22"/>
      <name val="Century Gothic"/>
      <family val="2"/>
    </font>
    <font>
      <b/>
      <sz val="12"/>
      <color rgb="FF000000"/>
      <name val="Century Gothic"/>
      <family val="2"/>
    </font>
    <font>
      <b/>
      <sz val="11"/>
      <name val="Times New Roman"/>
      <family val="1"/>
      <charset val="1"/>
    </font>
    <font>
      <sz val="10"/>
      <color theme="1"/>
      <name val="Century Gothic"/>
      <family val="2"/>
    </font>
  </fonts>
  <fills count="6">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
      <patternFill patternType="solid">
        <fgColor rgb="FFFFFFFF"/>
        <bgColor rgb="FF000000"/>
      </patternFill>
    </fill>
  </fills>
  <borders count="57">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style="medium">
        <color auto="1"/>
      </right>
      <top/>
      <bottom style="medium">
        <color auto="1"/>
      </bottom>
      <diagonal/>
    </border>
    <border>
      <left/>
      <right style="thin">
        <color rgb="FF3D3D3D"/>
      </right>
      <top style="medium">
        <color rgb="FF3D3D3D"/>
      </top>
      <bottom style="thin">
        <color rgb="FF3D3D3D"/>
      </bottom>
      <diagonal/>
    </border>
    <border>
      <left/>
      <right/>
      <top style="medium">
        <color rgb="FF3D3D3D"/>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ck">
        <color auto="1"/>
      </right>
      <top style="thick">
        <color auto="1"/>
      </top>
      <bottom/>
      <diagonal/>
    </border>
    <border>
      <left/>
      <right/>
      <top style="medium">
        <color auto="1"/>
      </top>
      <bottom style="medium">
        <color auto="1"/>
      </bottom>
      <diagonal/>
    </border>
    <border>
      <left style="thin">
        <color auto="1"/>
      </left>
      <right/>
      <top style="medium">
        <color indexed="64"/>
      </top>
      <bottom style="thin">
        <color auto="1"/>
      </bottom>
      <diagonal/>
    </border>
    <border>
      <left style="medium">
        <color auto="1"/>
      </left>
      <right style="medium">
        <color rgb="FF3D3D3D"/>
      </right>
      <top style="medium">
        <color auto="1"/>
      </top>
      <bottom/>
      <diagonal/>
    </border>
    <border>
      <left/>
      <right style="medium">
        <color rgb="FF3D3D3D"/>
      </right>
      <top style="medium">
        <color auto="1"/>
      </top>
      <bottom/>
      <diagonal/>
    </border>
    <border>
      <left/>
      <right style="medium">
        <color rgb="FF3D3D3D"/>
      </right>
      <top style="medium">
        <color auto="1"/>
      </top>
      <bottom style="medium">
        <color auto="1"/>
      </bottom>
      <diagonal/>
    </border>
    <border>
      <left/>
      <right style="thin">
        <color auto="1"/>
      </right>
      <top style="medium">
        <color auto="1"/>
      </top>
      <bottom style="thin">
        <color auto="1"/>
      </bottom>
      <diagonal/>
    </border>
    <border>
      <left style="thick">
        <color auto="1"/>
      </left>
      <right/>
      <top style="thick">
        <color auto="1"/>
      </top>
      <bottom/>
      <diagonal/>
    </border>
    <border>
      <left/>
      <right style="thick">
        <color auto="1"/>
      </right>
      <top style="thick">
        <color auto="1"/>
      </top>
      <bottom/>
      <diagonal/>
    </border>
    <border>
      <left style="medium">
        <color indexed="64"/>
      </left>
      <right style="thin">
        <color auto="1"/>
      </right>
      <top style="medium">
        <color indexed="64"/>
      </top>
      <bottom style="medium">
        <color indexed="64"/>
      </bottom>
      <diagonal/>
    </border>
    <border>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s>
  <cellStyleXfs count="6">
    <xf numFmtId="0" fontId="0" fillId="0" borderId="0"/>
    <xf numFmtId="166" fontId="4" fillId="0" borderId="0" applyBorder="0" applyProtection="0"/>
    <xf numFmtId="0" fontId="1" fillId="0" borderId="1" applyProtection="0"/>
    <xf numFmtId="165" fontId="2" fillId="0" borderId="0" applyBorder="0" applyProtection="0"/>
    <xf numFmtId="0" fontId="3" fillId="2" borderId="0" applyBorder="0" applyProtection="0"/>
    <xf numFmtId="0" fontId="4" fillId="0" borderId="0"/>
  </cellStyleXfs>
  <cellXfs count="152">
    <xf numFmtId="0" fontId="0" fillId="0" borderId="0" xfId="0"/>
    <xf numFmtId="0" fontId="5" fillId="3" borderId="0" xfId="0" applyFont="1" applyFill="1"/>
    <xf numFmtId="0" fontId="8" fillId="3" borderId="0" xfId="0" applyFont="1" applyFill="1" applyAlignment="1">
      <alignment horizontal="left" wrapText="1"/>
    </xf>
    <xf numFmtId="0" fontId="7" fillId="3" borderId="43" xfId="0" applyFont="1" applyFill="1" applyBorder="1" applyAlignment="1">
      <alignment horizontal="center" vertical="center" wrapText="1"/>
    </xf>
    <xf numFmtId="0" fontId="5" fillId="3" borderId="0" xfId="0" applyFont="1" applyFill="1" applyBorder="1"/>
    <xf numFmtId="0" fontId="5" fillId="3" borderId="0" xfId="0" applyFont="1" applyFill="1" applyAlignment="1">
      <alignment horizontal="left"/>
    </xf>
    <xf numFmtId="0" fontId="8" fillId="3" borderId="0" xfId="0" applyFont="1" applyFill="1" applyAlignment="1">
      <alignment horizontal="center" wrapText="1"/>
    </xf>
    <xf numFmtId="0" fontId="19" fillId="4" borderId="0" xfId="0" applyFont="1" applyFill="1" applyAlignment="1">
      <alignment horizontal="left" wrapText="1" indent="1"/>
    </xf>
    <xf numFmtId="0" fontId="7" fillId="3" borderId="0" xfId="0" applyFont="1" applyFill="1" applyAlignment="1">
      <alignment horizontal="left" wrapText="1"/>
    </xf>
    <xf numFmtId="171" fontId="6" fillId="3" borderId="38" xfId="0" applyNumberFormat="1" applyFont="1" applyFill="1" applyBorder="1"/>
    <xf numFmtId="3" fontId="14" fillId="3" borderId="0" xfId="0" applyNumberFormat="1" applyFont="1" applyFill="1" applyBorder="1" applyAlignment="1"/>
    <xf numFmtId="169" fontId="5" fillId="3" borderId="0" xfId="0" applyNumberFormat="1" applyFont="1" applyFill="1" applyAlignment="1">
      <alignment horizontal="left"/>
    </xf>
    <xf numFmtId="0" fontId="5" fillId="3" borderId="10" xfId="0" applyFont="1" applyFill="1" applyBorder="1"/>
    <xf numFmtId="0" fontId="5" fillId="3" borderId="24" xfId="0" applyFont="1" applyFill="1" applyBorder="1"/>
    <xf numFmtId="0" fontId="5" fillId="3" borderId="12" xfId="0" applyFont="1" applyFill="1" applyBorder="1"/>
    <xf numFmtId="0" fontId="5" fillId="3" borderId="12" xfId="0" applyFont="1" applyFill="1" applyBorder="1" applyAlignment="1">
      <alignment horizontal="left"/>
    </xf>
    <xf numFmtId="0" fontId="5" fillId="3" borderId="25" xfId="0" applyFont="1" applyFill="1" applyBorder="1"/>
    <xf numFmtId="0" fontId="6" fillId="3" borderId="27" xfId="0" applyFont="1" applyFill="1" applyBorder="1" applyAlignment="1">
      <alignment horizontal="center" vertical="center"/>
    </xf>
    <xf numFmtId="0" fontId="6" fillId="3" borderId="28" xfId="0" applyFont="1" applyFill="1" applyBorder="1" applyAlignment="1">
      <alignment horizontal="center" vertical="center"/>
    </xf>
    <xf numFmtId="0" fontId="6" fillId="3" borderId="28" xfId="0" applyFont="1" applyFill="1" applyBorder="1" applyAlignment="1">
      <alignment horizontal="left" vertical="center"/>
    </xf>
    <xf numFmtId="0" fontId="6" fillId="3" borderId="29" xfId="0" applyFont="1" applyFill="1" applyBorder="1" applyAlignment="1">
      <alignment horizontal="center" vertical="center"/>
    </xf>
    <xf numFmtId="0" fontId="6" fillId="3" borderId="23" xfId="0" applyFont="1" applyFill="1" applyBorder="1" applyAlignment="1">
      <alignment horizontal="center" vertical="center"/>
    </xf>
    <xf numFmtId="0" fontId="5" fillId="3" borderId="30" xfId="0" applyFont="1" applyFill="1" applyBorder="1" applyAlignment="1">
      <alignment horizontal="center" vertical="center"/>
    </xf>
    <xf numFmtId="0" fontId="5" fillId="3" borderId="31" xfId="0" applyFont="1" applyFill="1" applyBorder="1" applyAlignment="1">
      <alignment horizontal="center" vertical="center"/>
    </xf>
    <xf numFmtId="0" fontId="5" fillId="3" borderId="32" xfId="0" applyFont="1" applyFill="1" applyBorder="1" applyAlignment="1">
      <alignment horizontal="center" vertical="center"/>
    </xf>
    <xf numFmtId="167" fontId="5" fillId="3" borderId="33" xfId="3" applyNumberFormat="1" applyFont="1" applyFill="1" applyBorder="1" applyAlignment="1" applyProtection="1">
      <alignment horizontal="center" vertical="center"/>
    </xf>
    <xf numFmtId="167" fontId="6" fillId="3" borderId="34" xfId="0" applyNumberFormat="1" applyFont="1" applyFill="1" applyBorder="1" applyAlignment="1">
      <alignment horizontal="center" vertical="center"/>
    </xf>
    <xf numFmtId="0" fontId="11" fillId="3" borderId="10" xfId="0" applyFont="1" applyFill="1" applyBorder="1" applyAlignment="1">
      <alignment horizontal="right" vertical="center"/>
    </xf>
    <xf numFmtId="0" fontId="12" fillId="3" borderId="11" xfId="0" applyFont="1" applyFill="1" applyBorder="1" applyAlignment="1">
      <alignment horizontal="center" vertical="center"/>
    </xf>
    <xf numFmtId="0" fontId="5" fillId="3" borderId="0" xfId="0" applyFont="1" applyFill="1" applyBorder="1" applyAlignment="1">
      <alignment vertical="center"/>
    </xf>
    <xf numFmtId="0" fontId="11" fillId="3" borderId="12" xfId="0" applyFont="1" applyFill="1" applyBorder="1" applyAlignment="1">
      <alignment vertical="center"/>
    </xf>
    <xf numFmtId="0" fontId="11" fillId="3" borderId="0" xfId="0" applyFont="1" applyFill="1" applyBorder="1" applyAlignment="1">
      <alignment vertical="center"/>
    </xf>
    <xf numFmtId="0" fontId="13" fillId="3" borderId="0" xfId="0" applyFont="1" applyFill="1" applyBorder="1" applyAlignment="1">
      <alignment horizontal="left" vertical="center"/>
    </xf>
    <xf numFmtId="0" fontId="12" fillId="3" borderId="0" xfId="0" applyFont="1" applyFill="1" applyBorder="1" applyAlignment="1">
      <alignment horizontal="left" vertical="center" wrapText="1" indent="1"/>
    </xf>
    <xf numFmtId="0" fontId="5" fillId="3" borderId="41" xfId="0" applyFont="1" applyFill="1" applyBorder="1" applyAlignment="1">
      <alignment horizontal="center" vertical="center" wrapText="1"/>
    </xf>
    <xf numFmtId="0" fontId="5" fillId="3" borderId="42" xfId="0" applyFont="1" applyFill="1" applyBorder="1" applyAlignment="1">
      <alignment horizontal="center" vertical="center"/>
    </xf>
    <xf numFmtId="0" fontId="5" fillId="3" borderId="42" xfId="0" applyFont="1" applyFill="1" applyBorder="1" applyAlignment="1">
      <alignment horizontal="center" vertical="center" wrapText="1"/>
    </xf>
    <xf numFmtId="170" fontId="5" fillId="3" borderId="42" xfId="1" applyNumberFormat="1" applyFont="1" applyFill="1" applyBorder="1" applyAlignment="1" applyProtection="1">
      <alignment horizontal="center" vertical="center"/>
    </xf>
    <xf numFmtId="3" fontId="5" fillId="3" borderId="42" xfId="0" applyNumberFormat="1" applyFont="1" applyFill="1" applyBorder="1" applyAlignment="1">
      <alignment horizontal="center" vertical="center"/>
    </xf>
    <xf numFmtId="170" fontId="5" fillId="3" borderId="0" xfId="0" applyNumberFormat="1" applyFont="1" applyFill="1" applyBorder="1" applyAlignment="1">
      <alignment vertical="center"/>
    </xf>
    <xf numFmtId="0" fontId="9" fillId="5" borderId="2" xfId="0" applyFont="1" applyFill="1" applyBorder="1" applyAlignment="1">
      <alignment horizontal="left"/>
    </xf>
    <xf numFmtId="0" fontId="5" fillId="5" borderId="3" xfId="0" applyFont="1" applyFill="1" applyBorder="1"/>
    <xf numFmtId="0" fontId="5" fillId="5" borderId="4" xfId="0" applyFont="1" applyFill="1" applyBorder="1"/>
    <xf numFmtId="0" fontId="5" fillId="5" borderId="0" xfId="0" applyFont="1" applyFill="1" applyBorder="1"/>
    <xf numFmtId="0" fontId="5" fillId="5" borderId="6" xfId="0" applyFont="1" applyFill="1" applyBorder="1"/>
    <xf numFmtId="0" fontId="9" fillId="5" borderId="7" xfId="0" applyFont="1" applyFill="1" applyBorder="1" applyAlignment="1"/>
    <xf numFmtId="0" fontId="9" fillId="5" borderId="0" xfId="0" applyFont="1" applyFill="1" applyBorder="1" applyAlignment="1"/>
    <xf numFmtId="0" fontId="10" fillId="5" borderId="2" xfId="0" applyFont="1" applyFill="1" applyBorder="1" applyAlignment="1">
      <alignment horizontal="left" vertical="center"/>
    </xf>
    <xf numFmtId="0" fontId="5" fillId="5" borderId="3" xfId="0" applyFont="1" applyFill="1" applyBorder="1" applyAlignment="1">
      <alignment horizontal="center" vertical="center"/>
    </xf>
    <xf numFmtId="0" fontId="5" fillId="5" borderId="4" xfId="0" applyFont="1" applyFill="1" applyBorder="1" applyAlignment="1">
      <alignment horizontal="left"/>
    </xf>
    <xf numFmtId="0" fontId="5" fillId="5" borderId="5" xfId="0" applyFont="1" applyFill="1" applyBorder="1" applyAlignment="1">
      <alignment horizontal="center" vertical="center"/>
    </xf>
    <xf numFmtId="0" fontId="10" fillId="5" borderId="5" xfId="0" applyFont="1" applyFill="1" applyBorder="1" applyAlignment="1">
      <alignment horizontal="left" vertical="center"/>
    </xf>
    <xf numFmtId="0" fontId="5" fillId="5" borderId="0" xfId="0" applyFont="1" applyFill="1" applyBorder="1" applyAlignment="1">
      <alignment horizontal="center" vertical="center"/>
    </xf>
    <xf numFmtId="0" fontId="5" fillId="5" borderId="7" xfId="0" applyFont="1" applyFill="1" applyBorder="1"/>
    <xf numFmtId="0" fontId="5" fillId="5" borderId="8" xfId="0" applyFont="1" applyFill="1" applyBorder="1"/>
    <xf numFmtId="0" fontId="5" fillId="5" borderId="9" xfId="0" applyFont="1" applyFill="1" applyBorder="1"/>
    <xf numFmtId="0" fontId="5" fillId="5" borderId="3" xfId="0" applyFont="1" applyFill="1" applyBorder="1" applyAlignment="1">
      <alignment horizontal="center" wrapText="1"/>
    </xf>
    <xf numFmtId="0" fontId="5" fillId="5" borderId="4" xfId="0" applyFont="1" applyFill="1" applyBorder="1" applyAlignment="1">
      <alignment horizontal="center" wrapText="1"/>
    </xf>
    <xf numFmtId="0" fontId="5" fillId="5" borderId="5" xfId="0" applyFont="1" applyFill="1" applyBorder="1" applyAlignment="1">
      <alignment horizontal="left" indent="3"/>
    </xf>
    <xf numFmtId="0" fontId="10" fillId="5" borderId="5" xfId="0" applyFont="1" applyFill="1" applyBorder="1" applyAlignment="1"/>
    <xf numFmtId="0" fontId="9" fillId="5" borderId="5" xfId="0" applyFont="1" applyFill="1" applyBorder="1" applyAlignment="1">
      <alignment horizontal="left" indent="3"/>
    </xf>
    <xf numFmtId="0" fontId="5" fillId="5" borderId="7" xfId="0" applyFont="1" applyFill="1" applyBorder="1" applyAlignment="1">
      <alignment horizontal="left" indent="3"/>
    </xf>
    <xf numFmtId="0" fontId="7" fillId="3" borderId="50" xfId="0" applyFont="1" applyFill="1" applyBorder="1" applyAlignment="1">
      <alignment horizontal="center" vertical="center" wrapText="1"/>
    </xf>
    <xf numFmtId="0" fontId="7" fillId="3" borderId="51"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20" fillId="0" borderId="0" xfId="0" applyFont="1" applyBorder="1" applyAlignment="1">
      <alignment vertical="center" wrapText="1"/>
    </xf>
    <xf numFmtId="0" fontId="21" fillId="0" borderId="52" xfId="0" applyFont="1" applyBorder="1" applyAlignment="1">
      <alignment horizontal="center" vertical="center"/>
    </xf>
    <xf numFmtId="49" fontId="5" fillId="0" borderId="54" xfId="0" applyNumberFormat="1" applyFont="1" applyBorder="1" applyAlignment="1">
      <alignment vertical="center"/>
    </xf>
    <xf numFmtId="49" fontId="21" fillId="0" borderId="54" xfId="0" applyNumberFormat="1" applyFont="1" applyBorder="1" applyAlignment="1">
      <alignment vertical="center" wrapText="1"/>
    </xf>
    <xf numFmtId="0" fontId="8" fillId="3" borderId="54" xfId="0" applyFont="1" applyFill="1" applyBorder="1" applyAlignment="1">
      <alignment horizontal="center" vertical="center" wrapText="1"/>
    </xf>
    <xf numFmtId="49" fontId="21" fillId="0" borderId="54" xfId="0" applyNumberFormat="1" applyFont="1" applyBorder="1" applyAlignment="1">
      <alignment vertical="top" wrapText="1"/>
    </xf>
    <xf numFmtId="0" fontId="21" fillId="0" borderId="54" xfId="0" applyFont="1" applyBorder="1" applyAlignment="1">
      <alignment horizontal="center" vertical="center" wrapText="1"/>
    </xf>
    <xf numFmtId="49" fontId="5" fillId="3" borderId="55" xfId="0" applyNumberFormat="1" applyFont="1" applyFill="1" applyBorder="1"/>
    <xf numFmtId="0" fontId="5" fillId="5" borderId="8" xfId="0" applyFont="1" applyFill="1" applyBorder="1" applyAlignment="1">
      <alignment vertical="center" wrapText="1"/>
    </xf>
    <xf numFmtId="164" fontId="21" fillId="0" borderId="56" xfId="1" applyNumberFormat="1" applyFont="1" applyBorder="1" applyAlignment="1">
      <alignment horizontal="center" vertical="center"/>
    </xf>
    <xf numFmtId="167" fontId="5" fillId="3" borderId="56" xfId="1" applyNumberFormat="1" applyFont="1" applyFill="1" applyBorder="1" applyAlignment="1" applyProtection="1">
      <alignment horizontal="right" vertical="center" wrapText="1"/>
    </xf>
    <xf numFmtId="0" fontId="9" fillId="5" borderId="5" xfId="0" applyFont="1" applyFill="1" applyBorder="1" applyAlignment="1"/>
    <xf numFmtId="0" fontId="5" fillId="5" borderId="0" xfId="0" applyFont="1" applyFill="1" applyBorder="1" applyAlignment="1">
      <alignment vertical="center" wrapText="1"/>
    </xf>
    <xf numFmtId="4" fontId="5" fillId="3" borderId="0" xfId="0" applyNumberFormat="1" applyFont="1" applyFill="1"/>
    <xf numFmtId="0" fontId="5" fillId="5" borderId="3" xfId="0" applyFont="1" applyFill="1" applyBorder="1" applyAlignment="1">
      <alignment horizontal="left" wrapText="1"/>
    </xf>
    <xf numFmtId="0" fontId="5" fillId="5" borderId="0" xfId="0" applyFont="1" applyFill="1" applyBorder="1" applyAlignment="1">
      <alignment horizontal="left" vertical="center" wrapText="1"/>
    </xf>
    <xf numFmtId="0" fontId="5" fillId="5" borderId="6" xfId="0" applyFont="1" applyFill="1" applyBorder="1" applyAlignment="1">
      <alignment horizontal="left"/>
    </xf>
    <xf numFmtId="0" fontId="9" fillId="5" borderId="0" xfId="0" applyFont="1" applyFill="1" applyBorder="1" applyAlignment="1">
      <alignment horizontal="right"/>
    </xf>
    <xf numFmtId="0" fontId="9" fillId="5" borderId="5" xfId="0" applyFont="1" applyFill="1" applyBorder="1" applyAlignment="1">
      <alignment horizontal="left"/>
    </xf>
    <xf numFmtId="0" fontId="5" fillId="5" borderId="0" xfId="0" applyFont="1" applyFill="1" applyBorder="1" applyAlignment="1">
      <alignment horizontal="left" vertical="center" wrapText="1"/>
    </xf>
    <xf numFmtId="0" fontId="5" fillId="5" borderId="6" xfId="0" applyFont="1" applyFill="1" applyBorder="1" applyAlignment="1">
      <alignment horizontal="left" vertical="center" wrapText="1"/>
    </xf>
    <xf numFmtId="0" fontId="5" fillId="5" borderId="6" xfId="0" applyFont="1" applyFill="1" applyBorder="1" applyAlignment="1">
      <alignment horizontal="center"/>
    </xf>
    <xf numFmtId="0" fontId="5" fillId="5" borderId="0" xfId="0" applyFont="1" applyFill="1" applyBorder="1" applyAlignment="1">
      <alignment horizontal="left" wrapText="1"/>
    </xf>
    <xf numFmtId="0" fontId="5" fillId="5" borderId="6" xfId="0" applyFont="1" applyFill="1" applyBorder="1" applyAlignment="1">
      <alignment horizontal="left" wrapText="1"/>
    </xf>
    <xf numFmtId="0" fontId="5" fillId="5" borderId="0" xfId="0" applyFont="1" applyFill="1" applyBorder="1" applyAlignment="1">
      <alignment horizontal="left"/>
    </xf>
    <xf numFmtId="0" fontId="5" fillId="5" borderId="6" xfId="0" applyFont="1" applyFill="1" applyBorder="1" applyAlignment="1">
      <alignment horizontal="left"/>
    </xf>
    <xf numFmtId="0" fontId="18" fillId="3" borderId="0" xfId="0" applyFont="1" applyFill="1" applyBorder="1" applyAlignment="1">
      <alignment horizontal="center"/>
    </xf>
    <xf numFmtId="0" fontId="17" fillId="3" borderId="0" xfId="0" applyFont="1" applyFill="1" applyBorder="1" applyAlignment="1">
      <alignment horizontal="left" vertical="center" wrapText="1"/>
    </xf>
    <xf numFmtId="0" fontId="19" fillId="4" borderId="0" xfId="0" applyFont="1" applyFill="1" applyBorder="1" applyAlignment="1">
      <alignment horizontal="left" wrapText="1" indent="1"/>
    </xf>
    <xf numFmtId="0" fontId="9" fillId="5" borderId="5" xfId="0" applyFont="1" applyFill="1" applyBorder="1" applyAlignment="1">
      <alignment horizontal="right"/>
    </xf>
    <xf numFmtId="0" fontId="9" fillId="5" borderId="0" xfId="0" applyFont="1" applyFill="1" applyBorder="1" applyAlignment="1">
      <alignment horizontal="right"/>
    </xf>
    <xf numFmtId="0" fontId="5" fillId="5" borderId="8" xfId="0" applyFont="1" applyFill="1" applyBorder="1" applyAlignment="1">
      <alignment horizontal="left" wrapText="1"/>
    </xf>
    <xf numFmtId="0" fontId="5" fillId="5" borderId="9" xfId="0" applyFont="1" applyFill="1" applyBorder="1" applyAlignment="1">
      <alignment horizontal="left" wrapText="1"/>
    </xf>
    <xf numFmtId="0" fontId="9" fillId="5" borderId="5" xfId="0" applyFont="1" applyFill="1" applyBorder="1" applyAlignment="1">
      <alignment horizontal="left"/>
    </xf>
    <xf numFmtId="0" fontId="9" fillId="5" borderId="0" xfId="0" applyFont="1" applyFill="1" applyBorder="1" applyAlignment="1">
      <alignment horizontal="left"/>
    </xf>
    <xf numFmtId="0" fontId="12" fillId="3" borderId="38" xfId="0" applyFont="1" applyFill="1" applyBorder="1" applyAlignment="1">
      <alignment horizontal="left" vertical="center" wrapText="1" indent="1"/>
    </xf>
    <xf numFmtId="168" fontId="12" fillId="3" borderId="38" xfId="0" applyNumberFormat="1" applyFont="1" applyFill="1" applyBorder="1" applyAlignment="1">
      <alignment horizontal="center" vertical="center"/>
    </xf>
    <xf numFmtId="0" fontId="12" fillId="3" borderId="35" xfId="0" applyFont="1" applyFill="1" applyBorder="1" applyAlignment="1">
      <alignment horizontal="left" vertical="center" wrapText="1" indent="1"/>
    </xf>
    <xf numFmtId="0" fontId="12" fillId="3" borderId="44" xfId="0" applyFont="1" applyFill="1" applyBorder="1" applyAlignment="1">
      <alignment horizontal="left" vertical="center" wrapText="1" indent="1"/>
    </xf>
    <xf numFmtId="0" fontId="12" fillId="3" borderId="20" xfId="0" applyFont="1" applyFill="1" applyBorder="1" applyAlignment="1">
      <alignment horizontal="left" vertical="center" wrapText="1" indent="1"/>
    </xf>
    <xf numFmtId="0" fontId="14" fillId="3" borderId="19" xfId="0" applyFont="1" applyFill="1" applyBorder="1" applyAlignment="1">
      <alignment horizontal="center" vertical="center"/>
    </xf>
    <xf numFmtId="0" fontId="20" fillId="0" borderId="14" xfId="0" applyFont="1" applyBorder="1" applyAlignment="1">
      <alignment horizontal="center" vertical="center" wrapText="1"/>
    </xf>
    <xf numFmtId="0" fontId="14" fillId="3" borderId="16"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14" fillId="3" borderId="48" xfId="0" applyFont="1" applyFill="1" applyBorder="1" applyAlignment="1">
      <alignment horizontal="center" vertical="center" wrapText="1"/>
    </xf>
    <xf numFmtId="0" fontId="13" fillId="3" borderId="16" xfId="0" applyFont="1" applyFill="1" applyBorder="1" applyAlignment="1">
      <alignment horizontal="left" vertical="center"/>
    </xf>
    <xf numFmtId="49" fontId="15" fillId="3" borderId="45" xfId="0" applyNumberFormat="1" applyFont="1" applyFill="1" applyBorder="1" applyAlignment="1">
      <alignment horizontal="left" vertical="center" wrapText="1"/>
    </xf>
    <xf numFmtId="0" fontId="15" fillId="3" borderId="53" xfId="0" applyFont="1" applyFill="1" applyBorder="1" applyAlignment="1">
      <alignment horizontal="left" vertical="center" wrapText="1"/>
    </xf>
    <xf numFmtId="0" fontId="15" fillId="3" borderId="49" xfId="0" applyFont="1" applyFill="1" applyBorder="1" applyAlignment="1">
      <alignment horizontal="left" vertical="center" wrapText="1"/>
    </xf>
    <xf numFmtId="0" fontId="11" fillId="3" borderId="0" xfId="0" applyFont="1" applyFill="1" applyBorder="1" applyAlignment="1">
      <alignment horizontal="center" vertical="center"/>
    </xf>
    <xf numFmtId="0" fontId="13" fillId="3" borderId="13" xfId="0" applyFont="1" applyFill="1" applyBorder="1" applyAlignment="1">
      <alignment horizontal="left" vertical="center" wrapText="1"/>
    </xf>
    <xf numFmtId="0" fontId="12" fillId="3" borderId="19" xfId="0" applyFont="1" applyFill="1" applyBorder="1" applyAlignment="1">
      <alignment horizontal="left" vertical="center" wrapText="1" indent="1"/>
    </xf>
    <xf numFmtId="0" fontId="13" fillId="3" borderId="15" xfId="0" applyFont="1" applyFill="1" applyBorder="1" applyAlignment="1">
      <alignment horizontal="left" vertical="center" wrapText="1"/>
    </xf>
    <xf numFmtId="0" fontId="12" fillId="3" borderId="14" xfId="0" applyFont="1" applyFill="1" applyBorder="1" applyAlignment="1">
      <alignment horizontal="left" vertical="center" wrapText="1" indent="1"/>
    </xf>
    <xf numFmtId="0" fontId="5" fillId="3" borderId="32" xfId="0" applyFont="1" applyFill="1" applyBorder="1" applyAlignment="1">
      <alignment horizontal="left" vertical="center" wrapText="1"/>
    </xf>
    <xf numFmtId="0" fontId="5" fillId="3" borderId="39" xfId="0" applyFont="1" applyFill="1" applyBorder="1" applyAlignment="1">
      <alignment horizontal="left" vertical="center" wrapText="1"/>
    </xf>
    <xf numFmtId="0" fontId="14" fillId="3" borderId="19" xfId="0" applyFont="1" applyFill="1" applyBorder="1" applyAlignment="1">
      <alignment vertical="center" wrapText="1"/>
    </xf>
    <xf numFmtId="0" fontId="14" fillId="3" borderId="35" xfId="0" applyFont="1" applyFill="1" applyBorder="1" applyAlignment="1">
      <alignment vertical="center" wrapText="1"/>
    </xf>
    <xf numFmtId="0" fontId="14" fillId="3" borderId="17" xfId="0" applyFont="1" applyFill="1" applyBorder="1" applyAlignment="1">
      <alignment vertical="center" wrapText="1"/>
    </xf>
    <xf numFmtId="0" fontId="16" fillId="3" borderId="46" xfId="0" applyFont="1" applyFill="1" applyBorder="1" applyAlignment="1">
      <alignment vertical="center" wrapText="1"/>
    </xf>
    <xf numFmtId="0" fontId="16" fillId="3" borderId="47" xfId="0" applyFont="1" applyFill="1" applyBorder="1" applyAlignment="1">
      <alignment vertical="center" wrapText="1"/>
    </xf>
    <xf numFmtId="0" fontId="16" fillId="3" borderId="22" xfId="0" applyFont="1" applyFill="1" applyBorder="1" applyAlignment="1">
      <alignment horizontal="left" vertical="center" wrapText="1"/>
    </xf>
    <xf numFmtId="0" fontId="16" fillId="3" borderId="0" xfId="0" applyFont="1" applyFill="1" applyBorder="1" applyAlignment="1">
      <alignment horizontal="left" vertical="center" wrapText="1"/>
    </xf>
    <xf numFmtId="0" fontId="16" fillId="3" borderId="10" xfId="0" applyFont="1" applyFill="1" applyBorder="1" applyAlignment="1">
      <alignment horizontal="left" vertical="center" wrapText="1"/>
    </xf>
    <xf numFmtId="0" fontId="16" fillId="3" borderId="24"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6" fillId="3" borderId="25" xfId="0" applyFont="1" applyFill="1" applyBorder="1" applyAlignment="1">
      <alignment horizontal="left" vertical="center" wrapText="1"/>
    </xf>
    <xf numFmtId="0" fontId="14" fillId="3" borderId="34" xfId="0" applyFont="1" applyFill="1" applyBorder="1" applyAlignment="1">
      <alignment horizontal="left" vertical="center" wrapText="1"/>
    </xf>
    <xf numFmtId="0" fontId="6" fillId="3" borderId="15" xfId="0" applyFont="1" applyFill="1" applyBorder="1" applyAlignment="1">
      <alignment vertical="center"/>
    </xf>
    <xf numFmtId="0" fontId="6" fillId="3" borderId="40" xfId="0" applyFont="1" applyFill="1" applyBorder="1" applyAlignment="1">
      <alignment vertical="center"/>
    </xf>
    <xf numFmtId="0" fontId="6" fillId="3" borderId="26" xfId="0" applyFont="1" applyFill="1" applyBorder="1" applyAlignment="1">
      <alignment vertical="center"/>
    </xf>
    <xf numFmtId="0" fontId="16" fillId="3" borderId="22" xfId="0" applyFont="1" applyFill="1" applyBorder="1" applyAlignment="1"/>
    <xf numFmtId="0" fontId="16" fillId="3" borderId="23" xfId="0" applyFont="1" applyFill="1" applyBorder="1" applyAlignment="1">
      <alignment horizontal="left" vertical="center" wrapText="1" indent="1"/>
    </xf>
    <xf numFmtId="0" fontId="6" fillId="3" borderId="21"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21" xfId="0" applyFont="1" applyFill="1" applyBorder="1" applyAlignment="1">
      <alignment horizontal="center" vertical="center" wrapText="1"/>
    </xf>
    <xf numFmtId="0" fontId="6" fillId="3" borderId="26" xfId="0" applyFont="1" applyFill="1" applyBorder="1" applyAlignment="1">
      <alignment horizontal="center" vertical="center"/>
    </xf>
    <xf numFmtId="0" fontId="5" fillId="3" borderId="13" xfId="0" applyFont="1" applyFill="1" applyBorder="1" applyAlignment="1">
      <alignment horizontal="left" vertical="center" wrapText="1"/>
    </xf>
    <xf numFmtId="0" fontId="5" fillId="3" borderId="36" xfId="0" applyFont="1" applyFill="1" applyBorder="1" applyAlignment="1">
      <alignment horizontal="left" vertical="center" wrapText="1"/>
    </xf>
    <xf numFmtId="0" fontId="5" fillId="3" borderId="37" xfId="0" applyFont="1" applyFill="1" applyBorder="1" applyAlignment="1">
      <alignment horizontal="left" vertical="center" wrapText="1"/>
    </xf>
    <xf numFmtId="0" fontId="16" fillId="3" borderId="11" xfId="0" applyFont="1" applyFill="1" applyBorder="1" applyAlignment="1">
      <alignment horizontal="left" indent="1"/>
    </xf>
    <xf numFmtId="0" fontId="10" fillId="3" borderId="11" xfId="0" applyFont="1" applyFill="1" applyBorder="1" applyAlignment="1">
      <alignment horizontal="left"/>
    </xf>
    <xf numFmtId="0" fontId="5" fillId="3" borderId="19" xfId="0" applyFont="1" applyFill="1" applyBorder="1" applyAlignment="1">
      <alignment horizontal="center"/>
    </xf>
    <xf numFmtId="3" fontId="14" fillId="3" borderId="20" xfId="0" applyNumberFormat="1" applyFont="1" applyFill="1" applyBorder="1" applyAlignment="1">
      <alignment horizontal="center"/>
    </xf>
    <xf numFmtId="0" fontId="12" fillId="3" borderId="11" xfId="0" applyFont="1" applyFill="1" applyBorder="1" applyAlignment="1">
      <alignment horizontal="center" vertical="center" wrapText="1"/>
    </xf>
    <xf numFmtId="0" fontId="5" fillId="3" borderId="11" xfId="0" applyFont="1" applyFill="1" applyBorder="1" applyAlignment="1"/>
  </cellXfs>
  <cellStyles count="6">
    <cellStyle name="Encabezado 1" xfId="2"/>
    <cellStyle name="Moneda" xfId="1" builtinId="4"/>
    <cellStyle name="Moneda_AUTORIZACION Y NOTA DE PEDIDO" xfId="3"/>
    <cellStyle name="Neutral 1" xfId="4"/>
    <cellStyle name="Normal" xfId="0" builtinId="0"/>
    <cellStyle name="Normal 8" xf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xmlns=""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xmlns=""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xmlns=""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xmlns=""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9"/>
  <sheetViews>
    <sheetView tabSelected="1" zoomScale="80" zoomScaleNormal="80" workbookViewId="0">
      <selection activeCell="D20" sqref="D20:E20"/>
    </sheetView>
  </sheetViews>
  <sheetFormatPr baseColWidth="10" defaultColWidth="11" defaultRowHeight="13.5" x14ac:dyDescent="0.25"/>
  <cols>
    <col min="1" max="1" width="4.5703125" style="1" customWidth="1"/>
    <col min="2" max="2" width="17.140625" style="1" customWidth="1"/>
    <col min="3" max="3" width="27.42578125" style="1" customWidth="1"/>
    <col min="4" max="4" width="8.42578125" style="1" customWidth="1"/>
    <col min="5" max="5" width="94.28515625" style="1" customWidth="1"/>
    <col min="6" max="6" width="11" style="1"/>
    <col min="7" max="7" width="12.7109375" style="1" customWidth="1"/>
    <col min="8" max="8" width="14.5703125" style="1" customWidth="1"/>
    <col min="9" max="9" width="19.85546875" style="1" customWidth="1"/>
    <col min="10" max="16384" width="11" style="1"/>
  </cols>
  <sheetData>
    <row r="2" spans="1:9" ht="28.5" x14ac:dyDescent="0.4">
      <c r="B2" s="91" t="s">
        <v>0</v>
      </c>
      <c r="C2" s="91"/>
      <c r="D2" s="91"/>
      <c r="E2" s="91"/>
      <c r="F2" s="91"/>
      <c r="G2" s="91"/>
      <c r="H2" s="91"/>
    </row>
    <row r="4" spans="1:9" ht="18" customHeight="1" x14ac:dyDescent="0.25">
      <c r="A4" s="92" t="s">
        <v>1</v>
      </c>
      <c r="B4" s="92"/>
      <c r="C4" s="93" t="s">
        <v>2</v>
      </c>
      <c r="D4" s="93"/>
      <c r="E4" s="93"/>
      <c r="F4" s="2"/>
      <c r="G4" s="6"/>
      <c r="H4" s="2"/>
    </row>
    <row r="5" spans="1:9" ht="18" customHeight="1" x14ac:dyDescent="0.25">
      <c r="A5" s="92" t="s">
        <v>3</v>
      </c>
      <c r="B5" s="92"/>
      <c r="C5" s="93" t="s">
        <v>4</v>
      </c>
      <c r="D5" s="93"/>
      <c r="E5" s="93"/>
      <c r="F5" s="2"/>
      <c r="G5" s="6"/>
      <c r="H5" s="2"/>
    </row>
    <row r="6" spans="1:9" ht="16.5" customHeight="1" x14ac:dyDescent="0.25">
      <c r="A6" s="92" t="s">
        <v>5</v>
      </c>
      <c r="B6" s="92"/>
      <c r="C6" s="7">
        <v>2022</v>
      </c>
      <c r="D6" s="8"/>
      <c r="E6" s="8"/>
      <c r="F6" s="2"/>
      <c r="G6" s="6"/>
      <c r="H6" s="2"/>
    </row>
    <row r="7" spans="1:9" ht="16.5" customHeight="1" x14ac:dyDescent="0.25">
      <c r="A7" s="92" t="s">
        <v>6</v>
      </c>
      <c r="B7" s="92"/>
      <c r="C7" s="7">
        <v>4</v>
      </c>
      <c r="D7" s="8"/>
      <c r="E7" s="8"/>
      <c r="F7" s="2"/>
      <c r="G7" s="6"/>
      <c r="H7" s="2"/>
    </row>
    <row r="8" spans="1:9" ht="14.25" thickBot="1" x14ac:dyDescent="0.3">
      <c r="B8" s="2"/>
      <c r="C8" s="6"/>
      <c r="D8" s="2"/>
      <c r="E8" s="2"/>
      <c r="F8" s="2"/>
      <c r="G8" s="6"/>
      <c r="H8" s="2"/>
    </row>
    <row r="9" spans="1:9" ht="39.75" thickTop="1" thickBot="1" x14ac:dyDescent="0.3">
      <c r="A9" s="62" t="s">
        <v>7</v>
      </c>
      <c r="B9" s="64" t="s">
        <v>8</v>
      </c>
      <c r="C9" s="63" t="s">
        <v>9</v>
      </c>
      <c r="D9" s="3" t="s">
        <v>10</v>
      </c>
      <c r="E9" s="3" t="s">
        <v>11</v>
      </c>
      <c r="F9" s="3" t="s">
        <v>12</v>
      </c>
      <c r="G9" s="3" t="s">
        <v>13</v>
      </c>
      <c r="H9" s="3" t="s">
        <v>14</v>
      </c>
      <c r="I9" s="3" t="s">
        <v>15</v>
      </c>
    </row>
    <row r="10" spans="1:9" ht="28.5" customHeight="1" thickBot="1" x14ac:dyDescent="0.3">
      <c r="A10" s="66">
        <v>1</v>
      </c>
      <c r="B10" s="67" t="s">
        <v>16</v>
      </c>
      <c r="C10" s="68" t="s">
        <v>17</v>
      </c>
      <c r="D10" s="69" t="s">
        <v>18</v>
      </c>
      <c r="E10" s="70" t="s">
        <v>19</v>
      </c>
      <c r="F10" s="69" t="s">
        <v>20</v>
      </c>
      <c r="G10" s="71">
        <v>100</v>
      </c>
      <c r="H10" s="74">
        <v>12389.99</v>
      </c>
      <c r="I10" s="75">
        <f>G10*H10</f>
        <v>1238999</v>
      </c>
    </row>
    <row r="11" spans="1:9" ht="28.5" customHeight="1" thickBot="1" x14ac:dyDescent="0.3">
      <c r="A11" s="66">
        <v>2</v>
      </c>
      <c r="B11" s="67" t="s">
        <v>21</v>
      </c>
      <c r="C11" s="68" t="s">
        <v>17</v>
      </c>
      <c r="D11" s="69" t="s">
        <v>18</v>
      </c>
      <c r="E11" s="70" t="s">
        <v>22</v>
      </c>
      <c r="F11" s="69" t="s">
        <v>20</v>
      </c>
      <c r="G11" s="71">
        <v>120</v>
      </c>
      <c r="H11" s="74">
        <v>11000</v>
      </c>
      <c r="I11" s="75">
        <f>G11*H11</f>
        <v>1320000</v>
      </c>
    </row>
    <row r="12" spans="1:9" ht="29.25" customHeight="1" thickBot="1" x14ac:dyDescent="0.3">
      <c r="A12" s="66">
        <v>3</v>
      </c>
      <c r="B12" s="67" t="s">
        <v>23</v>
      </c>
      <c r="C12" s="68" t="s">
        <v>17</v>
      </c>
      <c r="D12" s="69" t="str">
        <f>LEFT(B12,5)</f>
        <v>2.1.2</v>
      </c>
      <c r="E12" s="68" t="s">
        <v>24</v>
      </c>
      <c r="F12" s="69" t="s">
        <v>20</v>
      </c>
      <c r="G12" s="71">
        <v>2100</v>
      </c>
      <c r="H12" s="74">
        <v>800</v>
      </c>
      <c r="I12" s="75">
        <f>G12*H12</f>
        <v>1680000</v>
      </c>
    </row>
    <row r="13" spans="1:9" ht="29.25" customHeight="1" thickBot="1" x14ac:dyDescent="0.3">
      <c r="A13" s="66">
        <v>4</v>
      </c>
      <c r="B13" s="67" t="s">
        <v>25</v>
      </c>
      <c r="C13" s="68" t="s">
        <v>26</v>
      </c>
      <c r="D13" s="69" t="s">
        <v>18</v>
      </c>
      <c r="E13" s="70" t="s">
        <v>27</v>
      </c>
      <c r="F13" s="69" t="s">
        <v>20</v>
      </c>
      <c r="G13" s="71">
        <v>130</v>
      </c>
      <c r="H13" s="74">
        <v>1780</v>
      </c>
      <c r="I13" s="75">
        <f>G13*H13</f>
        <v>231400</v>
      </c>
    </row>
    <row r="14" spans="1:9" ht="29.25" customHeight="1" thickBot="1" x14ac:dyDescent="0.3">
      <c r="A14" s="66">
        <v>5</v>
      </c>
      <c r="B14" s="67" t="s">
        <v>28</v>
      </c>
      <c r="C14" s="68" t="s">
        <v>26</v>
      </c>
      <c r="D14" s="69" t="s">
        <v>18</v>
      </c>
      <c r="E14" s="70" t="s">
        <v>29</v>
      </c>
      <c r="F14" s="69" t="s">
        <v>20</v>
      </c>
      <c r="G14" s="71">
        <v>130</v>
      </c>
      <c r="H14" s="74">
        <v>4000</v>
      </c>
      <c r="I14" s="75">
        <f>G14*H14</f>
        <v>520000</v>
      </c>
    </row>
    <row r="15" spans="1:9" ht="18.75" customHeight="1" thickBot="1" x14ac:dyDescent="0.3">
      <c r="B15" s="65"/>
      <c r="I15" s="9">
        <f>SUM(I10:I14)</f>
        <v>4990399</v>
      </c>
    </row>
    <row r="16" spans="1:9" x14ac:dyDescent="0.25">
      <c r="B16" s="40" t="s">
        <v>30</v>
      </c>
      <c r="C16" s="41"/>
      <c r="D16" s="41"/>
      <c r="E16" s="42"/>
    </row>
    <row r="17" spans="2:9" x14ac:dyDescent="0.25">
      <c r="B17" s="83"/>
      <c r="C17" s="82" t="s">
        <v>31</v>
      </c>
      <c r="D17" s="43"/>
      <c r="E17" s="44"/>
      <c r="I17" s="78"/>
    </row>
    <row r="18" spans="2:9" ht="69.75" customHeight="1" x14ac:dyDescent="0.25">
      <c r="B18" s="83"/>
      <c r="C18" s="43"/>
      <c r="D18" s="87" t="s">
        <v>32</v>
      </c>
      <c r="E18" s="88"/>
    </row>
    <row r="19" spans="2:9" ht="21" customHeight="1" x14ac:dyDescent="0.25">
      <c r="B19" s="83"/>
      <c r="C19" s="82" t="s">
        <v>33</v>
      </c>
      <c r="D19" s="43"/>
      <c r="E19" s="44"/>
    </row>
    <row r="20" spans="2:9" ht="46.5" customHeight="1" x14ac:dyDescent="0.25">
      <c r="B20" s="83"/>
      <c r="C20" s="43"/>
      <c r="D20" s="87" t="s">
        <v>34</v>
      </c>
      <c r="E20" s="88"/>
    </row>
    <row r="21" spans="2:9" ht="18" customHeight="1" x14ac:dyDescent="0.25">
      <c r="B21" s="83"/>
      <c r="C21" s="98" t="s">
        <v>35</v>
      </c>
      <c r="D21" s="99"/>
      <c r="E21" s="43"/>
      <c r="F21" s="44"/>
    </row>
    <row r="22" spans="2:9" ht="18" customHeight="1" x14ac:dyDescent="0.25">
      <c r="B22" s="83"/>
      <c r="C22" s="76"/>
      <c r="D22" s="87" t="s">
        <v>36</v>
      </c>
      <c r="E22" s="87"/>
      <c r="F22" s="88"/>
    </row>
    <row r="23" spans="2:9" ht="19.5" customHeight="1" x14ac:dyDescent="0.25">
      <c r="B23" s="94" t="s">
        <v>35</v>
      </c>
      <c r="C23" s="95"/>
      <c r="D23" s="43"/>
      <c r="E23" s="44"/>
    </row>
    <row r="24" spans="2:9" ht="18.75" customHeight="1" x14ac:dyDescent="0.25">
      <c r="B24" s="76"/>
      <c r="C24" s="77"/>
      <c r="D24" s="87" t="s">
        <v>37</v>
      </c>
      <c r="E24" s="88"/>
    </row>
    <row r="25" spans="2:9" x14ac:dyDescent="0.25">
      <c r="B25" s="94" t="s">
        <v>38</v>
      </c>
      <c r="C25" s="95"/>
      <c r="D25" s="43"/>
      <c r="E25" s="44"/>
    </row>
    <row r="26" spans="2:9" ht="18.75" customHeight="1" thickBot="1" x14ac:dyDescent="0.3">
      <c r="B26" s="45"/>
      <c r="C26" s="73"/>
      <c r="D26" s="96" t="s">
        <v>39</v>
      </c>
      <c r="E26" s="97"/>
    </row>
    <row r="27" spans="2:9" ht="14.25" thickBot="1" x14ac:dyDescent="0.3">
      <c r="B27" s="46"/>
      <c r="C27" s="80"/>
      <c r="D27" s="80"/>
      <c r="E27" s="80"/>
    </row>
    <row r="28" spans="2:9" x14ac:dyDescent="0.25">
      <c r="B28" s="47" t="s">
        <v>40</v>
      </c>
      <c r="C28" s="48"/>
      <c r="D28" s="41"/>
      <c r="E28" s="49"/>
    </row>
    <row r="29" spans="2:9" ht="85.5" customHeight="1" x14ac:dyDescent="0.25">
      <c r="B29" s="50"/>
      <c r="C29" s="84" t="s">
        <v>41</v>
      </c>
      <c r="D29" s="84"/>
      <c r="E29" s="85"/>
    </row>
    <row r="30" spans="2:9" x14ac:dyDescent="0.25">
      <c r="B30" s="50"/>
      <c r="C30" s="86"/>
      <c r="D30" s="86"/>
      <c r="E30" s="86"/>
    </row>
    <row r="31" spans="2:9" x14ac:dyDescent="0.25">
      <c r="B31" s="51" t="s">
        <v>42</v>
      </c>
      <c r="C31" s="52"/>
      <c r="D31" s="43"/>
      <c r="E31" s="81"/>
    </row>
    <row r="32" spans="2:9" ht="101.25" customHeight="1" x14ac:dyDescent="0.25">
      <c r="B32" s="50"/>
      <c r="C32" s="84" t="s">
        <v>43</v>
      </c>
      <c r="D32" s="84"/>
      <c r="E32" s="85"/>
    </row>
    <row r="33" spans="2:5" ht="15.75" customHeight="1" thickBot="1" x14ac:dyDescent="0.3">
      <c r="B33" s="53"/>
      <c r="C33" s="54"/>
      <c r="D33" s="54"/>
      <c r="E33" s="55"/>
    </row>
    <row r="34" spans="2:5" ht="14.25" thickBot="1" x14ac:dyDescent="0.3">
      <c r="B34" s="43"/>
      <c r="C34" s="43"/>
      <c r="D34" s="43"/>
      <c r="E34" s="43"/>
    </row>
    <row r="35" spans="2:5" x14ac:dyDescent="0.25">
      <c r="B35" s="47" t="s">
        <v>44</v>
      </c>
      <c r="C35" s="79" t="s">
        <v>45</v>
      </c>
      <c r="D35" s="56"/>
      <c r="E35" s="57"/>
    </row>
    <row r="36" spans="2:5" x14ac:dyDescent="0.25">
      <c r="B36" s="58"/>
      <c r="C36" s="87"/>
      <c r="D36" s="87"/>
      <c r="E36" s="88"/>
    </row>
    <row r="37" spans="2:5" x14ac:dyDescent="0.25">
      <c r="B37" s="59" t="s">
        <v>46</v>
      </c>
      <c r="C37" s="43" t="s">
        <v>47</v>
      </c>
      <c r="D37" s="43"/>
      <c r="E37" s="44"/>
    </row>
    <row r="38" spans="2:5" x14ac:dyDescent="0.25">
      <c r="B38" s="60"/>
      <c r="C38" s="89"/>
      <c r="D38" s="89"/>
      <c r="E38" s="90"/>
    </row>
    <row r="39" spans="2:5" ht="14.25" thickBot="1" x14ac:dyDescent="0.3">
      <c r="B39" s="61"/>
      <c r="C39" s="54"/>
      <c r="D39" s="54"/>
      <c r="E39" s="55"/>
    </row>
  </sheetData>
  <mergeCells count="20">
    <mergeCell ref="B25:C25"/>
    <mergeCell ref="D18:E18"/>
    <mergeCell ref="D26:E26"/>
    <mergeCell ref="A6:B6"/>
    <mergeCell ref="A7:B7"/>
    <mergeCell ref="D20:E20"/>
    <mergeCell ref="B23:C23"/>
    <mergeCell ref="D24:E24"/>
    <mergeCell ref="C21:D21"/>
    <mergeCell ref="D22:F22"/>
    <mergeCell ref="B2:H2"/>
    <mergeCell ref="A4:B4"/>
    <mergeCell ref="C4:E4"/>
    <mergeCell ref="A5:B5"/>
    <mergeCell ref="C5:E5"/>
    <mergeCell ref="C29:E29"/>
    <mergeCell ref="C30:E30"/>
    <mergeCell ref="C32:E32"/>
    <mergeCell ref="C36:E36"/>
    <mergeCell ref="C38:E38"/>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6"/>
  <sheetViews>
    <sheetView zoomScale="85" zoomScaleNormal="85" workbookViewId="0">
      <selection activeCell="K2" sqref="K2"/>
    </sheetView>
  </sheetViews>
  <sheetFormatPr baseColWidth="10" defaultColWidth="9.140625" defaultRowHeight="13.5" x14ac:dyDescent="0.25"/>
  <cols>
    <col min="1" max="1" width="5.42578125" style="29" customWidth="1"/>
    <col min="2" max="2" width="12.28515625" style="29" customWidth="1"/>
    <col min="3" max="3" width="14.140625" style="29" customWidth="1"/>
    <col min="4" max="4" width="26" style="29" customWidth="1"/>
    <col min="5" max="5" width="8" style="29" customWidth="1"/>
    <col min="6" max="6" width="7.85546875" style="29" customWidth="1"/>
    <col min="7" max="7" width="77.42578125" style="29" customWidth="1"/>
    <col min="8" max="8" width="8.42578125" style="29" customWidth="1"/>
    <col min="9" max="9" width="12" style="29" customWidth="1"/>
    <col min="10" max="10" width="11.42578125" style="29" customWidth="1"/>
    <col min="11" max="11" width="10.85546875" style="29" customWidth="1"/>
    <col min="12" max="14" width="5.85546875" style="29" customWidth="1"/>
    <col min="15" max="15" width="12.5703125" style="29" customWidth="1"/>
    <col min="16" max="1024" width="9.140625" style="29"/>
    <col min="1025" max="16384" width="9.140625" style="1"/>
  </cols>
  <sheetData>
    <row r="1" spans="1:1024" ht="18" customHeight="1" x14ac:dyDescent="0.25">
      <c r="A1" s="115" t="s">
        <v>48</v>
      </c>
      <c r="B1" s="115"/>
      <c r="C1" s="115"/>
      <c r="D1" s="115"/>
      <c r="E1" s="115"/>
      <c r="F1" s="115"/>
      <c r="G1" s="115"/>
      <c r="H1" s="115"/>
      <c r="I1" s="115"/>
      <c r="J1" s="27" t="s">
        <v>49</v>
      </c>
      <c r="K1" s="28" t="s">
        <v>50</v>
      </c>
    </row>
    <row r="2" spans="1:1024" ht="18.75" customHeight="1" thickBot="1" x14ac:dyDescent="0.3">
      <c r="A2" s="30"/>
      <c r="B2" s="30"/>
      <c r="C2" s="30"/>
      <c r="D2" s="31"/>
      <c r="E2" s="31"/>
      <c r="F2" s="31"/>
      <c r="G2" s="31"/>
      <c r="H2" s="31"/>
      <c r="I2" s="31"/>
      <c r="J2" s="31"/>
      <c r="K2" s="31"/>
    </row>
    <row r="3" spans="1:1024" ht="18.75" customHeight="1" thickBot="1" x14ac:dyDescent="0.3">
      <c r="A3" s="116" t="s">
        <v>51</v>
      </c>
      <c r="B3" s="116"/>
      <c r="C3" s="116"/>
      <c r="D3" s="119" t="str">
        <f>'Necesidades Trimestrales'!C4</f>
        <v>90 - Ministerio de Seguridad</v>
      </c>
      <c r="E3" s="119"/>
      <c r="F3" s="119"/>
      <c r="G3" s="119"/>
      <c r="H3" s="119"/>
      <c r="I3" s="119"/>
      <c r="J3" s="119"/>
      <c r="K3" s="119"/>
    </row>
    <row r="4" spans="1:1024" ht="18.75" customHeight="1" thickBot="1" x14ac:dyDescent="0.3">
      <c r="A4" s="118" t="s">
        <v>52</v>
      </c>
      <c r="B4" s="118"/>
      <c r="C4" s="118"/>
      <c r="D4" s="119" t="str">
        <f>'Necesidades Trimestrales'!C5</f>
        <v>7- Dirección Provincial de Administración de la Policía de la Provincia de Catamarca</v>
      </c>
      <c r="E4" s="119"/>
      <c r="F4" s="119"/>
      <c r="G4" s="119"/>
      <c r="H4" s="119"/>
      <c r="I4" s="119"/>
      <c r="J4" s="119"/>
      <c r="K4" s="119"/>
    </row>
    <row r="5" spans="1:1024" ht="18.75" customHeight="1" thickBot="1" x14ac:dyDescent="0.3">
      <c r="A5" s="118" t="s">
        <v>53</v>
      </c>
      <c r="B5" s="118"/>
      <c r="C5" s="118"/>
      <c r="D5" s="119" t="s">
        <v>54</v>
      </c>
      <c r="E5" s="119"/>
      <c r="F5" s="119"/>
      <c r="G5" s="119"/>
      <c r="H5" s="119"/>
      <c r="I5" s="119"/>
      <c r="J5" s="119"/>
      <c r="K5" s="119"/>
    </row>
    <row r="6" spans="1:1024" ht="16.5" customHeight="1" thickBot="1" x14ac:dyDescent="0.3">
      <c r="A6" s="116" t="s">
        <v>55</v>
      </c>
      <c r="B6" s="116"/>
      <c r="C6" s="116"/>
      <c r="D6" s="117" t="s">
        <v>56</v>
      </c>
      <c r="E6" s="103"/>
      <c r="F6" s="103"/>
      <c r="G6" s="103"/>
      <c r="H6" s="103"/>
      <c r="I6" s="103"/>
      <c r="J6" s="103"/>
      <c r="K6" s="104"/>
    </row>
    <row r="7" spans="1:1024" ht="16.5" customHeight="1" thickBot="1" x14ac:dyDescent="0.3">
      <c r="A7" s="118" t="s">
        <v>57</v>
      </c>
      <c r="B7" s="118"/>
      <c r="C7" s="118"/>
      <c r="D7" s="119" t="s">
        <v>58</v>
      </c>
      <c r="E7" s="119"/>
      <c r="F7" s="119"/>
      <c r="G7" s="119"/>
      <c r="H7" s="119"/>
      <c r="I7" s="119"/>
      <c r="J7" s="119"/>
      <c r="K7" s="119"/>
    </row>
    <row r="8" spans="1:1024" ht="16.5" customHeight="1" thickBot="1" x14ac:dyDescent="0.3">
      <c r="A8" s="111" t="s">
        <v>59</v>
      </c>
      <c r="B8" s="111"/>
      <c r="C8" s="111"/>
      <c r="D8" s="102" t="s">
        <v>60</v>
      </c>
      <c r="E8" s="103"/>
      <c r="F8" s="103"/>
      <c r="G8" s="103"/>
      <c r="H8" s="103"/>
      <c r="I8" s="103"/>
      <c r="J8" s="103"/>
      <c r="K8" s="104"/>
    </row>
    <row r="9" spans="1:1024" ht="18" thickBot="1" x14ac:dyDescent="0.3">
      <c r="A9" s="32"/>
      <c r="B9" s="32"/>
      <c r="C9" s="32"/>
      <c r="D9" s="33"/>
      <c r="E9" s="33"/>
      <c r="F9" s="33"/>
      <c r="G9" s="33"/>
      <c r="H9" s="33"/>
      <c r="I9" s="33"/>
      <c r="J9" s="33"/>
      <c r="K9" s="33"/>
    </row>
    <row r="10" spans="1:1024" ht="14.25" customHeight="1" thickBot="1" x14ac:dyDescent="0.3">
      <c r="A10" s="105" t="s">
        <v>61</v>
      </c>
      <c r="B10" s="106" t="s">
        <v>62</v>
      </c>
      <c r="C10" s="107" t="s">
        <v>63</v>
      </c>
      <c r="D10" s="108"/>
      <c r="E10" s="108"/>
      <c r="F10" s="108"/>
      <c r="G10" s="109"/>
      <c r="H10" s="110" t="s">
        <v>64</v>
      </c>
      <c r="I10" s="108" t="s">
        <v>65</v>
      </c>
      <c r="J10" s="108" t="s">
        <v>66</v>
      </c>
      <c r="K10" s="109" t="s">
        <v>67</v>
      </c>
    </row>
    <row r="11" spans="1:1024" ht="14.25" customHeight="1" thickBot="1" x14ac:dyDescent="0.3">
      <c r="A11" s="105"/>
      <c r="B11" s="106"/>
      <c r="C11" s="107"/>
      <c r="D11" s="108"/>
      <c r="E11" s="108"/>
      <c r="F11" s="108"/>
      <c r="G11" s="109"/>
      <c r="H11" s="110"/>
      <c r="I11" s="108"/>
      <c r="J11" s="108"/>
      <c r="K11" s="109"/>
    </row>
    <row r="12" spans="1:1024" ht="22.5" customHeight="1" thickBot="1" x14ac:dyDescent="0.3">
      <c r="A12" s="34">
        <v>1</v>
      </c>
      <c r="B12" s="72" t="e">
        <f>'Necesidades Trimestrales'!#REF!</f>
        <v>#REF!</v>
      </c>
      <c r="C12" s="112" t="e">
        <f>'Necesidades Trimestrales'!#REF!</f>
        <v>#REF!</v>
      </c>
      <c r="D12" s="113"/>
      <c r="E12" s="113"/>
      <c r="F12" s="113"/>
      <c r="G12" s="114"/>
      <c r="H12" s="35" t="s">
        <v>68</v>
      </c>
      <c r="I12" s="36" t="e">
        <f>'Necesidades Trimestrales'!#REF!</f>
        <v>#REF!</v>
      </c>
      <c r="J12" s="37" t="e">
        <f>'Necesidades Trimestrales'!#REF!</f>
        <v>#REF!</v>
      </c>
      <c r="K12" s="38" t="e">
        <f>'Necesidades Trimestrales'!#REF!</f>
        <v>#REF!</v>
      </c>
    </row>
    <row r="13" spans="1:1024" ht="22.5" customHeight="1" thickBot="1" x14ac:dyDescent="0.3">
      <c r="A13" s="34"/>
      <c r="B13" s="72" t="e">
        <f>'Necesidades Trimestrales'!#REF!</f>
        <v>#REF!</v>
      </c>
      <c r="C13" s="112" t="e">
        <f>'Necesidades Trimestrales'!#REF!</f>
        <v>#REF!</v>
      </c>
      <c r="D13" s="113"/>
      <c r="E13" s="113"/>
      <c r="F13" s="113"/>
      <c r="G13" s="114"/>
      <c r="H13" s="35" t="s">
        <v>68</v>
      </c>
      <c r="I13" s="36" t="e">
        <f>'Necesidades Trimestrales'!#REF!</f>
        <v>#REF!</v>
      </c>
      <c r="J13" s="37" t="e">
        <f>'Necesidades Trimestrales'!#REF!</f>
        <v>#REF!</v>
      </c>
      <c r="K13" s="38" t="e">
        <f>'Necesidades Trimestrales'!#REF!</f>
        <v>#REF!</v>
      </c>
    </row>
    <row r="14" spans="1:1024" ht="19.5" customHeight="1" x14ac:dyDescent="0.25">
      <c r="A14" s="34">
        <v>3</v>
      </c>
      <c r="B14" s="72" t="e">
        <f>'Necesidades Trimestrales'!#REF!</f>
        <v>#REF!</v>
      </c>
      <c r="C14" s="112" t="e">
        <f>'Necesidades Trimestrales'!#REF!</f>
        <v>#REF!</v>
      </c>
      <c r="D14" s="113"/>
      <c r="E14" s="113"/>
      <c r="F14" s="113"/>
      <c r="G14" s="114"/>
      <c r="H14" s="35" t="s">
        <v>68</v>
      </c>
      <c r="I14" s="36" t="e">
        <f>'Necesidades Trimestrales'!#REF!</f>
        <v>#REF!</v>
      </c>
      <c r="J14" s="37" t="e">
        <f>'Necesidades Trimestrales'!#REF!</f>
        <v>#REF!</v>
      </c>
      <c r="K14" s="38" t="e">
        <f>'Necesidades Trimestrales'!#REF!</f>
        <v>#REF!</v>
      </c>
    </row>
    <row r="15" spans="1:1024" ht="15.75" thickBot="1" x14ac:dyDescent="0.3">
      <c r="A15" s="100" t="s">
        <v>69</v>
      </c>
      <c r="B15" s="100"/>
      <c r="C15" s="100"/>
      <c r="D15" s="100"/>
      <c r="E15" s="100"/>
      <c r="F15" s="100"/>
      <c r="G15" s="100"/>
      <c r="H15" s="100"/>
      <c r="I15" s="100"/>
      <c r="J15" s="101">
        <f>'Necesidades Trimestrales'!I15</f>
        <v>4990399</v>
      </c>
      <c r="K15" s="10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row>
    <row r="16" spans="1:1024" x14ac:dyDescent="0.25">
      <c r="J16" s="39"/>
    </row>
  </sheetData>
  <mergeCells count="25">
    <mergeCell ref="A1:I1"/>
    <mergeCell ref="A6:C6"/>
    <mergeCell ref="D6:K6"/>
    <mergeCell ref="A7:C7"/>
    <mergeCell ref="D7:K7"/>
    <mergeCell ref="A3:C3"/>
    <mergeCell ref="D3:K3"/>
    <mergeCell ref="A4:C4"/>
    <mergeCell ref="D4:K4"/>
    <mergeCell ref="A5:C5"/>
    <mergeCell ref="D5:K5"/>
    <mergeCell ref="A15:I15"/>
    <mergeCell ref="J15:K15"/>
    <mergeCell ref="D8:K8"/>
    <mergeCell ref="A10:A11"/>
    <mergeCell ref="B10:B11"/>
    <mergeCell ref="C10:G11"/>
    <mergeCell ref="H10:H11"/>
    <mergeCell ref="I10:I11"/>
    <mergeCell ref="J10:J11"/>
    <mergeCell ref="K10:K11"/>
    <mergeCell ref="A8:C8"/>
    <mergeCell ref="C14:G14"/>
    <mergeCell ref="C12:G12"/>
    <mergeCell ref="C13:G13"/>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
  <sheetViews>
    <sheetView topLeftCell="A7" workbookViewId="0">
      <selection activeCell="O15" sqref="O15:P15"/>
    </sheetView>
  </sheetViews>
  <sheetFormatPr baseColWidth="10" defaultColWidth="11" defaultRowHeight="13.5" x14ac:dyDescent="0.25"/>
  <cols>
    <col min="1" max="6" width="4.42578125" style="1" customWidth="1"/>
    <col min="7" max="7" width="4.42578125" style="5" customWidth="1"/>
    <col min="8" max="14" width="4.42578125" style="1" customWidth="1"/>
    <col min="15" max="16" width="14.85546875" style="1" customWidth="1"/>
    <col min="17" max="17" width="26.42578125" style="1" customWidth="1"/>
    <col min="18" max="16384" width="11" style="1"/>
  </cols>
  <sheetData>
    <row r="1" spans="1:17" ht="15.75" customHeight="1" x14ac:dyDescent="0.25">
      <c r="A1" s="148" t="s">
        <v>5</v>
      </c>
      <c r="B1" s="148"/>
      <c r="C1" s="148"/>
      <c r="D1" s="149">
        <f>'Necesidades Trimestrales'!C6</f>
        <v>2022</v>
      </c>
      <c r="E1" s="149"/>
      <c r="F1" s="10"/>
      <c r="G1" s="10"/>
      <c r="H1" s="11"/>
      <c r="I1" s="11"/>
      <c r="J1" s="11"/>
      <c r="K1" s="11"/>
      <c r="L1" s="11"/>
      <c r="M1" s="11"/>
      <c r="N1" s="11"/>
      <c r="P1" s="150" t="s">
        <v>70</v>
      </c>
      <c r="Q1" s="150"/>
    </row>
    <row r="2" spans="1:17" ht="15.75" customHeight="1" x14ac:dyDescent="0.25">
      <c r="H2" s="11"/>
      <c r="I2" s="11"/>
      <c r="J2" s="11"/>
      <c r="K2" s="11"/>
      <c r="L2" s="11"/>
      <c r="M2" s="11"/>
      <c r="N2" s="11"/>
      <c r="P2" s="150"/>
      <c r="Q2" s="150"/>
    </row>
    <row r="4" spans="1:17" ht="18" customHeight="1" thickBot="1" x14ac:dyDescent="0.35">
      <c r="A4" s="151" t="s">
        <v>71</v>
      </c>
      <c r="B4" s="151"/>
      <c r="C4" s="151"/>
      <c r="D4" s="151"/>
      <c r="E4" s="151"/>
      <c r="F4" s="151"/>
      <c r="G4" s="146" t="str">
        <f>' NotaPedido'!D3</f>
        <v>90 - Ministerio de Seguridad</v>
      </c>
      <c r="H4" s="146"/>
      <c r="I4" s="146"/>
      <c r="J4" s="146"/>
      <c r="K4" s="146"/>
      <c r="L4" s="146"/>
      <c r="M4" s="146"/>
      <c r="N4" s="146"/>
      <c r="O4" s="146"/>
      <c r="P4" s="146"/>
      <c r="Q4" s="146"/>
    </row>
    <row r="5" spans="1:17" ht="18" customHeight="1" thickBot="1" x14ac:dyDescent="0.35">
      <c r="A5" s="143" t="s">
        <v>52</v>
      </c>
      <c r="B5" s="144"/>
      <c r="C5" s="144"/>
      <c r="D5" s="144"/>
      <c r="E5" s="144"/>
      <c r="F5" s="145"/>
      <c r="G5" s="146" t="str">
        <f>' NotaPedido'!D4</f>
        <v>7- Dirección Provincial de Administración de la Policía de la Provincia de Catamarca</v>
      </c>
      <c r="H5" s="146"/>
      <c r="I5" s="146"/>
      <c r="J5" s="146"/>
      <c r="K5" s="146"/>
      <c r="L5" s="146"/>
      <c r="M5" s="146"/>
      <c r="N5" s="146"/>
      <c r="O5" s="146"/>
      <c r="P5" s="146"/>
      <c r="Q5" s="146"/>
    </row>
    <row r="6" spans="1:17" ht="18" customHeight="1" thickBot="1" x14ac:dyDescent="0.35">
      <c r="A6" s="143" t="s">
        <v>53</v>
      </c>
      <c r="B6" s="144"/>
      <c r="C6" s="144"/>
      <c r="D6" s="144"/>
      <c r="E6" s="144"/>
      <c r="F6" s="145"/>
      <c r="G6" s="146" t="str">
        <f>' NotaPedido'!D5</f>
        <v>Policía de la Provincia de Catamarca</v>
      </c>
      <c r="H6" s="146"/>
      <c r="I6" s="146"/>
      <c r="J6" s="146"/>
      <c r="K6" s="146"/>
      <c r="L6" s="146"/>
      <c r="M6" s="146"/>
      <c r="N6" s="146"/>
      <c r="O6" s="146"/>
      <c r="P6" s="146"/>
      <c r="Q6" s="146"/>
    </row>
    <row r="7" spans="1:17" ht="18" customHeight="1" thickBot="1" x14ac:dyDescent="0.35">
      <c r="A7" s="143" t="s">
        <v>55</v>
      </c>
      <c r="B7" s="144"/>
      <c r="C7" s="144"/>
      <c r="D7" s="144"/>
      <c r="E7" s="144"/>
      <c r="F7" s="145"/>
      <c r="G7" s="146" t="str">
        <f>' NotaPedido'!D6</f>
        <v>División Intendencia, Departamento Logística</v>
      </c>
      <c r="H7" s="146"/>
      <c r="I7" s="146"/>
      <c r="J7" s="146"/>
      <c r="K7" s="146"/>
      <c r="L7" s="146"/>
      <c r="M7" s="146"/>
      <c r="N7" s="146"/>
      <c r="O7" s="146"/>
      <c r="P7" s="146"/>
      <c r="Q7" s="146"/>
    </row>
    <row r="8" spans="1:17" ht="18" customHeight="1" thickBot="1" x14ac:dyDescent="0.3">
      <c r="A8" s="147" t="s">
        <v>72</v>
      </c>
      <c r="B8" s="147"/>
      <c r="C8" s="147"/>
      <c r="D8" s="147"/>
      <c r="E8" s="147"/>
      <c r="F8" s="147"/>
      <c r="G8" s="147"/>
      <c r="H8" s="147"/>
      <c r="I8" s="147"/>
      <c r="J8" s="147"/>
      <c r="K8" s="147"/>
      <c r="L8" s="147"/>
      <c r="M8" s="147"/>
      <c r="N8" s="147"/>
      <c r="O8" s="147"/>
      <c r="P8" s="147"/>
      <c r="Q8" s="147"/>
    </row>
    <row r="9" spans="1:17" ht="18" customHeight="1" x14ac:dyDescent="0.3">
      <c r="A9" s="137" t="s">
        <v>73</v>
      </c>
      <c r="B9" s="137"/>
      <c r="C9" s="137"/>
      <c r="D9" s="137"/>
      <c r="E9" s="137"/>
      <c r="F9" s="137"/>
      <c r="G9" s="137"/>
      <c r="H9" s="137"/>
      <c r="I9" s="137"/>
      <c r="J9" s="137"/>
      <c r="K9" s="137"/>
      <c r="L9" s="137"/>
      <c r="M9" s="137"/>
      <c r="N9" s="137"/>
      <c r="O9" s="4"/>
      <c r="P9" s="4"/>
      <c r="Q9" s="12"/>
    </row>
    <row r="10" spans="1:17" ht="66.75" customHeight="1" x14ac:dyDescent="0.25">
      <c r="A10" s="138" t="str">
        <f>"Autorizo la realización de los  trámites correspondientes, a fin de proveer a  este Organismo los bienes y/o servicios que se detallan en Nota  de Pedido N° " &amp;'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81/2021,  afectando la erogación resultante a los créditos presupuestarios aprobados a favor de esta Unidad Ejecutora, conforme al siguiente detalle:</v>
      </c>
      <c r="B10" s="138"/>
      <c r="C10" s="138"/>
      <c r="D10" s="138"/>
      <c r="E10" s="138"/>
      <c r="F10" s="138"/>
      <c r="G10" s="138"/>
      <c r="H10" s="138"/>
      <c r="I10" s="138"/>
      <c r="J10" s="138"/>
      <c r="K10" s="138"/>
      <c r="L10" s="138"/>
      <c r="M10" s="138"/>
      <c r="N10" s="138"/>
      <c r="O10" s="138"/>
      <c r="P10" s="138"/>
      <c r="Q10" s="138"/>
    </row>
    <row r="11" spans="1:17" ht="9" customHeight="1" x14ac:dyDescent="0.25">
      <c r="A11" s="13"/>
      <c r="B11" s="14"/>
      <c r="C11" s="14"/>
      <c r="D11" s="14"/>
      <c r="E11" s="14"/>
      <c r="F11" s="14"/>
      <c r="G11" s="15"/>
      <c r="H11" s="14"/>
      <c r="I11" s="14"/>
      <c r="J11" s="14"/>
      <c r="K11" s="14"/>
      <c r="L11" s="14"/>
      <c r="M11" s="14"/>
      <c r="N11" s="14"/>
      <c r="O11" s="14"/>
      <c r="P11" s="14"/>
      <c r="Q11" s="16"/>
    </row>
    <row r="12" spans="1:17" ht="15.75" customHeight="1" x14ac:dyDescent="0.25">
      <c r="A12" s="139" t="s">
        <v>74</v>
      </c>
      <c r="B12" s="139"/>
      <c r="C12" s="139"/>
      <c r="D12" s="139"/>
      <c r="E12" s="139"/>
      <c r="F12" s="139"/>
      <c r="G12" s="139"/>
      <c r="H12" s="139"/>
      <c r="I12" s="139"/>
      <c r="J12" s="139"/>
      <c r="K12" s="139"/>
      <c r="L12" s="139"/>
      <c r="M12" s="139"/>
      <c r="N12" s="139"/>
      <c r="O12" s="139"/>
      <c r="P12" s="139"/>
      <c r="Q12" s="139"/>
    </row>
    <row r="13" spans="1:17" ht="15.75" customHeight="1" x14ac:dyDescent="0.25">
      <c r="A13" s="140" t="s">
        <v>75</v>
      </c>
      <c r="B13" s="140"/>
      <c r="C13" s="140"/>
      <c r="D13" s="140"/>
      <c r="E13" s="140"/>
      <c r="F13" s="140"/>
      <c r="G13" s="140"/>
      <c r="H13" s="140"/>
      <c r="I13" s="140"/>
      <c r="J13" s="140"/>
      <c r="K13" s="140"/>
      <c r="L13" s="140"/>
      <c r="M13" s="140"/>
      <c r="N13" s="140"/>
      <c r="O13" s="141" t="s">
        <v>76</v>
      </c>
      <c r="P13" s="141"/>
      <c r="Q13" s="142" t="s">
        <v>77</v>
      </c>
    </row>
    <row r="14" spans="1:17" ht="15.75" customHeight="1" thickBot="1" x14ac:dyDescent="0.3">
      <c r="A14" s="17" t="s">
        <v>78</v>
      </c>
      <c r="B14" s="18" t="s">
        <v>79</v>
      </c>
      <c r="C14" s="18" t="s">
        <v>80</v>
      </c>
      <c r="D14" s="18" t="s">
        <v>81</v>
      </c>
      <c r="E14" s="18" t="s">
        <v>82</v>
      </c>
      <c r="F14" s="18" t="s">
        <v>83</v>
      </c>
      <c r="G14" s="19" t="s">
        <v>84</v>
      </c>
      <c r="H14" s="18" t="s">
        <v>85</v>
      </c>
      <c r="I14" s="18" t="s">
        <v>86</v>
      </c>
      <c r="J14" s="18" t="s">
        <v>87</v>
      </c>
      <c r="K14" s="18" t="s">
        <v>87</v>
      </c>
      <c r="L14" s="18" t="s">
        <v>88</v>
      </c>
      <c r="M14" s="20" t="s">
        <v>89</v>
      </c>
      <c r="N14" s="21" t="s">
        <v>90</v>
      </c>
      <c r="O14" s="141"/>
      <c r="P14" s="141"/>
      <c r="Q14" s="142"/>
    </row>
    <row r="15" spans="1:17" ht="26.25" customHeight="1" x14ac:dyDescent="0.25">
      <c r="A15" s="22">
        <v>16</v>
      </c>
      <c r="B15" s="23">
        <v>0</v>
      </c>
      <c r="C15" s="23">
        <v>0</v>
      </c>
      <c r="D15" s="23">
        <v>1</v>
      </c>
      <c r="E15" s="23">
        <v>0</v>
      </c>
      <c r="F15" s="23">
        <v>10</v>
      </c>
      <c r="G15" s="23">
        <v>2</v>
      </c>
      <c r="H15" s="23">
        <v>210</v>
      </c>
      <c r="I15" s="23">
        <v>2</v>
      </c>
      <c r="J15" s="23">
        <v>9</v>
      </c>
      <c r="K15" s="23">
        <v>1</v>
      </c>
      <c r="L15" s="23">
        <v>0</v>
      </c>
      <c r="M15" s="24">
        <v>1</v>
      </c>
      <c r="N15" s="23" t="s">
        <v>91</v>
      </c>
      <c r="O15" s="120" t="e">
        <f>'Necesidades Trimestrales'!#REF!</f>
        <v>#REF!</v>
      </c>
      <c r="P15" s="121"/>
      <c r="Q15" s="25">
        <f>' NotaPedido'!J15</f>
        <v>4990399</v>
      </c>
    </row>
    <row r="16" spans="1:17" ht="33" customHeight="1" thickBot="1" x14ac:dyDescent="0.3">
      <c r="A16" s="133" t="s">
        <v>92</v>
      </c>
      <c r="B16" s="133"/>
      <c r="C16" s="133"/>
      <c r="D16" s="133"/>
      <c r="E16" s="133"/>
      <c r="F16" s="133"/>
      <c r="G16" s="133"/>
      <c r="H16" s="133"/>
      <c r="I16" s="133"/>
      <c r="J16" s="133"/>
      <c r="K16" s="133"/>
      <c r="L16" s="133"/>
      <c r="M16" s="133"/>
      <c r="N16" s="133"/>
      <c r="O16" s="133"/>
      <c r="P16" s="133"/>
      <c r="Q16" s="26">
        <f>Q15</f>
        <v>4990399</v>
      </c>
    </row>
    <row r="17" spans="1:17" ht="18" customHeight="1" thickBot="1" x14ac:dyDescent="0.3">
      <c r="A17" s="134"/>
      <c r="B17" s="135"/>
      <c r="C17" s="135"/>
      <c r="D17" s="135"/>
      <c r="E17" s="135"/>
      <c r="F17" s="135"/>
      <c r="G17" s="135"/>
      <c r="H17" s="135"/>
      <c r="I17" s="135"/>
      <c r="J17" s="135"/>
      <c r="K17" s="135"/>
      <c r="L17" s="135"/>
      <c r="M17" s="135"/>
      <c r="N17" s="135"/>
      <c r="O17" s="135"/>
      <c r="P17" s="135"/>
      <c r="Q17" s="136"/>
    </row>
    <row r="18" spans="1:17" ht="17.25" customHeight="1" thickBot="1" x14ac:dyDescent="0.3">
      <c r="A18" s="122" t="s">
        <v>93</v>
      </c>
      <c r="B18" s="123"/>
      <c r="C18" s="123"/>
      <c r="D18" s="123"/>
      <c r="E18" s="123"/>
      <c r="F18" s="124"/>
      <c r="G18" s="125"/>
      <c r="H18" s="126"/>
      <c r="I18" s="126"/>
      <c r="J18" s="126"/>
      <c r="K18" s="126"/>
      <c r="L18" s="126"/>
      <c r="M18" s="126"/>
      <c r="N18" s="126"/>
      <c r="O18" s="126"/>
      <c r="P18" s="126"/>
      <c r="Q18" s="126"/>
    </row>
    <row r="19" spans="1:17" ht="18" customHeight="1" x14ac:dyDescent="0.25">
      <c r="A19" s="127" t="str">
        <f>' NotaPedido'!D8</f>
        <v>Adquisición de Uniformes de Fajina para el personal policial.</v>
      </c>
      <c r="B19" s="128"/>
      <c r="C19" s="128"/>
      <c r="D19" s="128"/>
      <c r="E19" s="128"/>
      <c r="F19" s="128"/>
      <c r="G19" s="128"/>
      <c r="H19" s="128"/>
      <c r="I19" s="128"/>
      <c r="J19" s="128"/>
      <c r="K19" s="128"/>
      <c r="L19" s="128"/>
      <c r="M19" s="128"/>
      <c r="N19" s="128"/>
      <c r="O19" s="128"/>
      <c r="P19" s="128"/>
      <c r="Q19" s="129"/>
    </row>
    <row r="20" spans="1:17" ht="15" customHeight="1" thickBot="1" x14ac:dyDescent="0.3">
      <c r="A20" s="130"/>
      <c r="B20" s="131"/>
      <c r="C20" s="131"/>
      <c r="D20" s="131"/>
      <c r="E20" s="131"/>
      <c r="F20" s="131"/>
      <c r="G20" s="131"/>
      <c r="H20" s="131"/>
      <c r="I20" s="131"/>
      <c r="J20" s="131"/>
      <c r="K20" s="131"/>
      <c r="L20" s="131"/>
      <c r="M20" s="131"/>
      <c r="N20" s="131"/>
      <c r="O20" s="131"/>
      <c r="P20" s="131"/>
      <c r="Q20" s="132"/>
    </row>
  </sheetData>
  <mergeCells count="24">
    <mergeCell ref="A1:C1"/>
    <mergeCell ref="D1:E1"/>
    <mergeCell ref="P1:Q2"/>
    <mergeCell ref="A4:F4"/>
    <mergeCell ref="G4:Q4"/>
    <mergeCell ref="A5:F5"/>
    <mergeCell ref="G5:Q5"/>
    <mergeCell ref="A8:Q8"/>
    <mergeCell ref="A6:F6"/>
    <mergeCell ref="G6:Q6"/>
    <mergeCell ref="A7:F7"/>
    <mergeCell ref="G7:Q7"/>
    <mergeCell ref="A9:N9"/>
    <mergeCell ref="A10:Q10"/>
    <mergeCell ref="A12:Q12"/>
    <mergeCell ref="A13:N13"/>
    <mergeCell ref="O13:P14"/>
    <mergeCell ref="Q13:Q14"/>
    <mergeCell ref="O15:P15"/>
    <mergeCell ref="A18:F18"/>
    <mergeCell ref="G18:Q18"/>
    <mergeCell ref="A19:Q20"/>
    <mergeCell ref="A16:P16"/>
    <mergeCell ref="A17:Q17"/>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Policia</dc:creator>
  <cp:keywords/>
  <dc:description/>
  <cp:lastModifiedBy>Contaduria</cp:lastModifiedBy>
  <cp:revision>2</cp:revision>
  <dcterms:created xsi:type="dcterms:W3CDTF">2020-07-17T23:44:49Z</dcterms:created>
  <dcterms:modified xsi:type="dcterms:W3CDTF">2022-10-27T13:43:30Z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