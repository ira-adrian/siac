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63E8E47-4F28-4924-A238-096F72DCB1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  <sheet name="RR.HH." sheetId="5" r:id="rId4"/>
  </sheets>
  <definedNames>
    <definedName name="_xlnm._FilterDatabase" localSheetId="0" hidden="1">'SAF 011'!$A$9:$AU$157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2" i="5" l="1"/>
  <c r="B232" i="5"/>
  <c r="G212" i="5"/>
  <c r="E212" i="5"/>
  <c r="K12" i="2" l="1"/>
  <c r="AS11" i="1"/>
  <c r="AS12" i="1"/>
  <c r="AU12" i="1" s="1"/>
  <c r="AS13" i="1"/>
  <c r="AU13" i="1" s="1"/>
  <c r="AZ13" i="1" s="1"/>
  <c r="AS14" i="1"/>
  <c r="AU14" i="1" s="1"/>
  <c r="AZ14" i="1" s="1"/>
  <c r="AS15" i="1"/>
  <c r="AS16" i="1"/>
  <c r="AS17" i="1"/>
  <c r="AU17" i="1" s="1"/>
  <c r="AZ17" i="1" s="1"/>
  <c r="AS18" i="1"/>
  <c r="AS19" i="1"/>
  <c r="AS20" i="1"/>
  <c r="AS21" i="1"/>
  <c r="AU21" i="1" s="1"/>
  <c r="AS22" i="1"/>
  <c r="AU22" i="1" s="1"/>
  <c r="AS23" i="1"/>
  <c r="AS24" i="1"/>
  <c r="AU24" i="1" s="1"/>
  <c r="AZ24" i="1" s="1"/>
  <c r="AS25" i="1"/>
  <c r="AU25" i="1" s="1"/>
  <c r="AZ25" i="1" s="1"/>
  <c r="AS26" i="1"/>
  <c r="AU26" i="1" s="1"/>
  <c r="AZ26" i="1" s="1"/>
  <c r="AS27" i="1"/>
  <c r="AS28" i="1"/>
  <c r="AU28" i="1" s="1"/>
  <c r="AS29" i="1"/>
  <c r="AS30" i="1"/>
  <c r="AU30" i="1" s="1"/>
  <c r="AS31" i="1"/>
  <c r="AS32" i="1"/>
  <c r="AS33" i="1"/>
  <c r="AS34" i="1"/>
  <c r="AU34" i="1" s="1"/>
  <c r="AS35" i="1"/>
  <c r="AS36" i="1"/>
  <c r="AU36" i="1" s="1"/>
  <c r="AZ36" i="1" s="1"/>
  <c r="AS37" i="1"/>
  <c r="AU37" i="1" s="1"/>
  <c r="AZ37" i="1" s="1"/>
  <c r="AS38" i="1"/>
  <c r="AU38" i="1" s="1"/>
  <c r="AZ38" i="1" s="1"/>
  <c r="AS39" i="1"/>
  <c r="AS40" i="1"/>
  <c r="AU40" i="1" s="1"/>
  <c r="AZ40" i="1" s="1"/>
  <c r="AS41" i="1"/>
  <c r="AU41" i="1" s="1"/>
  <c r="AZ41" i="1" s="1"/>
  <c r="AS42" i="1"/>
  <c r="AS43" i="1"/>
  <c r="AS44" i="1"/>
  <c r="AS45" i="1"/>
  <c r="AU45" i="1" s="1"/>
  <c r="AZ45" i="1" s="1"/>
  <c r="AS46" i="1"/>
  <c r="AU46" i="1" s="1"/>
  <c r="AZ46" i="1" s="1"/>
  <c r="AS47" i="1"/>
  <c r="AS48" i="1"/>
  <c r="AS49" i="1"/>
  <c r="AU49" i="1" s="1"/>
  <c r="AZ49" i="1" s="1"/>
  <c r="AS50" i="1"/>
  <c r="AU50" i="1" s="1"/>
  <c r="AS51" i="1"/>
  <c r="AS52" i="1"/>
  <c r="AS53" i="1"/>
  <c r="AU53" i="1" s="1"/>
  <c r="AZ53" i="1" s="1"/>
  <c r="AS54" i="1"/>
  <c r="AU54" i="1" s="1"/>
  <c r="AZ54" i="1" s="1"/>
  <c r="AS55" i="1"/>
  <c r="AS56" i="1"/>
  <c r="AU56" i="1" s="1"/>
  <c r="AZ56" i="1" s="1"/>
  <c r="AS57" i="1"/>
  <c r="AU57" i="1" s="1"/>
  <c r="AZ57" i="1" s="1"/>
  <c r="AS58" i="1"/>
  <c r="AS59" i="1"/>
  <c r="AS60" i="1"/>
  <c r="AS61" i="1"/>
  <c r="AU61" i="1" s="1"/>
  <c r="AZ61" i="1" s="1"/>
  <c r="AS62" i="1"/>
  <c r="AU62" i="1" s="1"/>
  <c r="AZ62" i="1" s="1"/>
  <c r="AS63" i="1"/>
  <c r="AS64" i="1"/>
  <c r="AU64" i="1" s="1"/>
  <c r="AZ64" i="1" s="1"/>
  <c r="AS65" i="1"/>
  <c r="AU65" i="1" s="1"/>
  <c r="AZ65" i="1" s="1"/>
  <c r="AS66" i="1"/>
  <c r="AU66" i="1" s="1"/>
  <c r="AZ66" i="1" s="1"/>
  <c r="AS67" i="1"/>
  <c r="AS68" i="1"/>
  <c r="AU68" i="1" s="1"/>
  <c r="AZ68" i="1" s="1"/>
  <c r="AS69" i="1"/>
  <c r="AU69" i="1" s="1"/>
  <c r="AZ69" i="1" s="1"/>
  <c r="AS70" i="1"/>
  <c r="AU70" i="1" s="1"/>
  <c r="AZ70" i="1" s="1"/>
  <c r="AS71" i="1"/>
  <c r="AS72" i="1"/>
  <c r="AU72" i="1" s="1"/>
  <c r="AZ72" i="1" s="1"/>
  <c r="AS73" i="1"/>
  <c r="AU73" i="1" s="1"/>
  <c r="AZ73" i="1" s="1"/>
  <c r="AS74" i="1"/>
  <c r="AU74" i="1" s="1"/>
  <c r="AZ74" i="1" s="1"/>
  <c r="AS75" i="1"/>
  <c r="AS76" i="1"/>
  <c r="AS77" i="1"/>
  <c r="AU77" i="1" s="1"/>
  <c r="AZ77" i="1" s="1"/>
  <c r="AS78" i="1"/>
  <c r="AS79" i="1"/>
  <c r="AS80" i="1"/>
  <c r="AS81" i="1"/>
  <c r="AU81" i="1" s="1"/>
  <c r="AZ81" i="1" s="1"/>
  <c r="AS82" i="1"/>
  <c r="AU82" i="1" s="1"/>
  <c r="AZ82" i="1" s="1"/>
  <c r="AS83" i="1"/>
  <c r="AS84" i="1"/>
  <c r="AU84" i="1" s="1"/>
  <c r="AZ84" i="1" s="1"/>
  <c r="AS85" i="1"/>
  <c r="AU85" i="1" s="1"/>
  <c r="AZ85" i="1" s="1"/>
  <c r="AS86" i="1"/>
  <c r="AU86" i="1" s="1"/>
  <c r="AZ86" i="1" s="1"/>
  <c r="AS87" i="1"/>
  <c r="AS88" i="1"/>
  <c r="AU88" i="1" s="1"/>
  <c r="AZ88" i="1" s="1"/>
  <c r="AS89" i="1"/>
  <c r="AU89" i="1" s="1"/>
  <c r="AZ89" i="1" s="1"/>
  <c r="AS90" i="1"/>
  <c r="AU90" i="1" s="1"/>
  <c r="AZ90" i="1" s="1"/>
  <c r="AS91" i="1"/>
  <c r="AS92" i="1"/>
  <c r="AU92" i="1" s="1"/>
  <c r="AZ92" i="1" s="1"/>
  <c r="AS93" i="1"/>
  <c r="AU93" i="1" s="1"/>
  <c r="AZ93" i="1" s="1"/>
  <c r="AS94" i="1"/>
  <c r="AU94" i="1" s="1"/>
  <c r="AZ94" i="1" s="1"/>
  <c r="AS95" i="1"/>
  <c r="AS96" i="1"/>
  <c r="AS97" i="1"/>
  <c r="AU97" i="1" s="1"/>
  <c r="AZ97" i="1" s="1"/>
  <c r="AS98" i="1"/>
  <c r="AU98" i="1" s="1"/>
  <c r="AZ98" i="1" s="1"/>
  <c r="AS99" i="1"/>
  <c r="AS100" i="1"/>
  <c r="AU100" i="1" s="1"/>
  <c r="AS101" i="1"/>
  <c r="AS102" i="1"/>
  <c r="AU102" i="1" s="1"/>
  <c r="AZ102" i="1" s="1"/>
  <c r="AS103" i="1"/>
  <c r="AS104" i="1"/>
  <c r="AS105" i="1"/>
  <c r="AU105" i="1" s="1"/>
  <c r="AZ105" i="1" s="1"/>
  <c r="AS106" i="1"/>
  <c r="AU106" i="1" s="1"/>
  <c r="AZ106" i="1" s="1"/>
  <c r="AS107" i="1"/>
  <c r="AS108" i="1"/>
  <c r="AS109" i="1"/>
  <c r="AU109" i="1" s="1"/>
  <c r="AZ109" i="1" s="1"/>
  <c r="AS110" i="1"/>
  <c r="AU110" i="1" s="1"/>
  <c r="AZ110" i="1" s="1"/>
  <c r="AS111" i="1"/>
  <c r="AS112" i="1"/>
  <c r="AS113" i="1"/>
  <c r="AU113" i="1" s="1"/>
  <c r="AZ113" i="1" s="1"/>
  <c r="AS114" i="1"/>
  <c r="AU114" i="1" s="1"/>
  <c r="AZ114" i="1" s="1"/>
  <c r="AS115" i="1"/>
  <c r="AS116" i="1"/>
  <c r="AU116" i="1" s="1"/>
  <c r="AZ116" i="1" s="1"/>
  <c r="AS117" i="1"/>
  <c r="AU117" i="1" s="1"/>
  <c r="AZ117" i="1" s="1"/>
  <c r="AS118" i="1"/>
  <c r="AU118" i="1" s="1"/>
  <c r="AZ118" i="1" s="1"/>
  <c r="AS119" i="1"/>
  <c r="AS120" i="1"/>
  <c r="AS121" i="1"/>
  <c r="AU121" i="1" s="1"/>
  <c r="AZ121" i="1" s="1"/>
  <c r="AS122" i="1"/>
  <c r="AU122" i="1" s="1"/>
  <c r="AZ122" i="1" s="1"/>
  <c r="AS123" i="1"/>
  <c r="AS124" i="1"/>
  <c r="AS125" i="1"/>
  <c r="AU125" i="1" s="1"/>
  <c r="AZ125" i="1" s="1"/>
  <c r="AS126" i="1"/>
  <c r="AU126" i="1" s="1"/>
  <c r="AZ126" i="1" s="1"/>
  <c r="AS127" i="1"/>
  <c r="AS128" i="1"/>
  <c r="AS129" i="1"/>
  <c r="AU129" i="1" s="1"/>
  <c r="AZ129" i="1" s="1"/>
  <c r="AS130" i="1"/>
  <c r="AU130" i="1" s="1"/>
  <c r="AZ130" i="1" s="1"/>
  <c r="AS131" i="1"/>
  <c r="AS132" i="1"/>
  <c r="AS133" i="1"/>
  <c r="AU133" i="1" s="1"/>
  <c r="AZ133" i="1" s="1"/>
  <c r="AS134" i="1"/>
  <c r="AU134" i="1" s="1"/>
  <c r="AZ134" i="1" s="1"/>
  <c r="AS135" i="1"/>
  <c r="AS136" i="1"/>
  <c r="AU136" i="1" s="1"/>
  <c r="AZ136" i="1" s="1"/>
  <c r="AS137" i="1"/>
  <c r="AS138" i="1"/>
  <c r="AU138" i="1" s="1"/>
  <c r="AZ138" i="1" s="1"/>
  <c r="AS139" i="1"/>
  <c r="AS140" i="1"/>
  <c r="AS141" i="1"/>
  <c r="AU141" i="1" s="1"/>
  <c r="AZ141" i="1" s="1"/>
  <c r="AS142" i="1"/>
  <c r="AU142" i="1" s="1"/>
  <c r="AZ142" i="1" s="1"/>
  <c r="AS143" i="1"/>
  <c r="AS144" i="1"/>
  <c r="AS145" i="1"/>
  <c r="AU145" i="1" s="1"/>
  <c r="AZ145" i="1" s="1"/>
  <c r="AS146" i="1"/>
  <c r="AU146" i="1" s="1"/>
  <c r="AS147" i="1"/>
  <c r="AS148" i="1"/>
  <c r="AS149" i="1"/>
  <c r="AU149" i="1" s="1"/>
  <c r="AZ149" i="1" s="1"/>
  <c r="AS150" i="1"/>
  <c r="AU150" i="1" s="1"/>
  <c r="AZ150" i="1" s="1"/>
  <c r="AS151" i="1"/>
  <c r="AS152" i="1"/>
  <c r="AU152" i="1" s="1"/>
  <c r="AZ152" i="1" s="1"/>
  <c r="AS153" i="1"/>
  <c r="AU153" i="1" s="1"/>
  <c r="AS154" i="1"/>
  <c r="AS155" i="1"/>
  <c r="AS156" i="1"/>
  <c r="AS157" i="1"/>
  <c r="AU157" i="1" s="1"/>
  <c r="AU42" i="1"/>
  <c r="AZ42" i="1" s="1"/>
  <c r="AU75" i="1"/>
  <c r="AZ75" i="1" s="1"/>
  <c r="AU79" i="1"/>
  <c r="AZ79" i="1" s="1"/>
  <c r="AU83" i="1"/>
  <c r="AZ83" i="1" s="1"/>
  <c r="AU91" i="1"/>
  <c r="AZ91" i="1" s="1"/>
  <c r="AU95" i="1"/>
  <c r="AZ95" i="1" s="1"/>
  <c r="AU101" i="1"/>
  <c r="AU115" i="1"/>
  <c r="AZ115" i="1" s="1"/>
  <c r="AU123" i="1"/>
  <c r="AZ123" i="1" s="1"/>
  <c r="AU127" i="1"/>
  <c r="AZ127" i="1" s="1"/>
  <c r="AU132" i="1"/>
  <c r="AZ132" i="1" s="1"/>
  <c r="AU143" i="1"/>
  <c r="AZ143" i="1" s="1"/>
  <c r="AU147" i="1"/>
  <c r="AZ147" i="1" s="1"/>
  <c r="AU18" i="1"/>
  <c r="AZ18" i="1" s="1"/>
  <c r="AU29" i="1"/>
  <c r="AU58" i="1"/>
  <c r="AZ58" i="1" s="1"/>
  <c r="AU137" i="1"/>
  <c r="AZ137" i="1" s="1"/>
  <c r="AS10" i="1"/>
  <c r="AU15" i="1"/>
  <c r="AZ15" i="1" s="1"/>
  <c r="AU19" i="1"/>
  <c r="AZ19" i="1" s="1"/>
  <c r="AU23" i="1"/>
  <c r="AZ23" i="1" s="1"/>
  <c r="AU27" i="1"/>
  <c r="AZ27" i="1" s="1"/>
  <c r="AU31" i="1"/>
  <c r="AZ31" i="1" s="1"/>
  <c r="AU35" i="1"/>
  <c r="AU39" i="1"/>
  <c r="AZ39" i="1" s="1"/>
  <c r="AU43" i="1"/>
  <c r="AZ43" i="1" s="1"/>
  <c r="AU48" i="1"/>
  <c r="AZ48" i="1" s="1"/>
  <c r="AU52" i="1"/>
  <c r="AZ52" i="1" s="1"/>
  <c r="AU55" i="1"/>
  <c r="AZ55" i="1" s="1"/>
  <c r="AU60" i="1"/>
  <c r="AZ60" i="1" s="1"/>
  <c r="AU63" i="1"/>
  <c r="AZ63" i="1" s="1"/>
  <c r="AU76" i="1"/>
  <c r="AZ76" i="1" s="1"/>
  <c r="AU80" i="1"/>
  <c r="AZ80" i="1" s="1"/>
  <c r="AU96" i="1"/>
  <c r="AZ96" i="1" s="1"/>
  <c r="AU99" i="1"/>
  <c r="AZ99" i="1" s="1"/>
  <c r="AU103" i="1"/>
  <c r="AZ103" i="1" s="1"/>
  <c r="AU104" i="1"/>
  <c r="AZ104" i="1" s="1"/>
  <c r="AU112" i="1"/>
  <c r="AZ112" i="1" s="1"/>
  <c r="AU119" i="1"/>
  <c r="AZ119" i="1" s="1"/>
  <c r="AU120" i="1"/>
  <c r="AZ120" i="1" s="1"/>
  <c r="AU124" i="1"/>
  <c r="AZ124" i="1" s="1"/>
  <c r="AU140" i="1"/>
  <c r="AZ140" i="1" s="1"/>
  <c r="AU148" i="1"/>
  <c r="AZ148" i="1" s="1"/>
  <c r="AU108" i="1"/>
  <c r="AZ108" i="1" s="1"/>
  <c r="AU128" i="1"/>
  <c r="AZ128" i="1" s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2" i="2"/>
  <c r="AU11" i="1"/>
  <c r="AU16" i="1"/>
  <c r="AZ16" i="1" s="1"/>
  <c r="AU20" i="1"/>
  <c r="AU32" i="1"/>
  <c r="AU33" i="1"/>
  <c r="AU44" i="1"/>
  <c r="AZ44" i="1" s="1"/>
  <c r="AU47" i="1"/>
  <c r="AZ47" i="1" s="1"/>
  <c r="AU51" i="1"/>
  <c r="AZ51" i="1" s="1"/>
  <c r="AU59" i="1"/>
  <c r="AZ59" i="1" s="1"/>
  <c r="AU67" i="1"/>
  <c r="AZ67" i="1" s="1"/>
  <c r="AU71" i="1"/>
  <c r="AZ71" i="1" s="1"/>
  <c r="AU78" i="1"/>
  <c r="AZ78" i="1" s="1"/>
  <c r="AU87" i="1"/>
  <c r="AZ87" i="1" s="1"/>
  <c r="AU107" i="1"/>
  <c r="AZ107" i="1" s="1"/>
  <c r="AU111" i="1"/>
  <c r="AZ111" i="1" s="1"/>
  <c r="AU131" i="1"/>
  <c r="AZ131" i="1" s="1"/>
  <c r="AU135" i="1"/>
  <c r="AZ135" i="1" s="1"/>
  <c r="AU139" i="1"/>
  <c r="AZ139" i="1" s="1"/>
  <c r="AU144" i="1"/>
  <c r="AU151" i="1"/>
  <c r="AZ151" i="1" s="1"/>
  <c r="AU154" i="1"/>
  <c r="AZ154" i="1" s="1"/>
  <c r="AU155" i="1"/>
  <c r="AZ155" i="1" s="1"/>
  <c r="AU156" i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M51" i="2" s="1"/>
  <c r="J52" i="2"/>
  <c r="J53" i="2"/>
  <c r="J54" i="2"/>
  <c r="J55" i="2"/>
  <c r="J56" i="2"/>
  <c r="J57" i="2"/>
  <c r="J58" i="2"/>
  <c r="J59" i="2"/>
  <c r="M59" i="2" s="1"/>
  <c r="J60" i="2"/>
  <c r="J61" i="2"/>
  <c r="J62" i="2"/>
  <c r="J63" i="2"/>
  <c r="M63" i="2" s="1"/>
  <c r="J64" i="2"/>
  <c r="J65" i="2"/>
  <c r="J66" i="2"/>
  <c r="J67" i="2"/>
  <c r="M67" i="2" s="1"/>
  <c r="J68" i="2"/>
  <c r="J69" i="2"/>
  <c r="J70" i="2"/>
  <c r="J71" i="2"/>
  <c r="J72" i="2"/>
  <c r="J73" i="2"/>
  <c r="J74" i="2"/>
  <c r="J75" i="2"/>
  <c r="M75" i="2" s="1"/>
  <c r="J76" i="2"/>
  <c r="J77" i="2"/>
  <c r="J78" i="2"/>
  <c r="J79" i="2"/>
  <c r="M79" i="2" s="1"/>
  <c r="J80" i="2"/>
  <c r="J81" i="2"/>
  <c r="J82" i="2"/>
  <c r="J83" i="2"/>
  <c r="M83" i="2" s="1"/>
  <c r="J84" i="2"/>
  <c r="J85" i="2"/>
  <c r="J86" i="2"/>
  <c r="J87" i="2"/>
  <c r="J88" i="2"/>
  <c r="J89" i="2"/>
  <c r="J90" i="2"/>
  <c r="J91" i="2"/>
  <c r="M91" i="2" s="1"/>
  <c r="J92" i="2"/>
  <c r="J93" i="2"/>
  <c r="J94" i="2"/>
  <c r="J95" i="2"/>
  <c r="M95" i="2" s="1"/>
  <c r="J96" i="2"/>
  <c r="J97" i="2"/>
  <c r="J98" i="2"/>
  <c r="J99" i="2"/>
  <c r="M99" i="2" s="1"/>
  <c r="J100" i="2"/>
  <c r="J101" i="2"/>
  <c r="J102" i="2"/>
  <c r="J103" i="2"/>
  <c r="J104" i="2"/>
  <c r="J105" i="2"/>
  <c r="J106" i="2"/>
  <c r="J107" i="2"/>
  <c r="M107" i="2" s="1"/>
  <c r="J108" i="2"/>
  <c r="J109" i="2"/>
  <c r="J110" i="2"/>
  <c r="J111" i="2"/>
  <c r="M111" i="2" s="1"/>
  <c r="J112" i="2"/>
  <c r="J113" i="2"/>
  <c r="J114" i="2"/>
  <c r="J115" i="2"/>
  <c r="M115" i="2" s="1"/>
  <c r="J116" i="2"/>
  <c r="J117" i="2"/>
  <c r="J118" i="2"/>
  <c r="J119" i="2"/>
  <c r="J120" i="2"/>
  <c r="J121" i="2"/>
  <c r="J122" i="2"/>
  <c r="J123" i="2"/>
  <c r="M123" i="2" s="1"/>
  <c r="J124" i="2"/>
  <c r="J125" i="2"/>
  <c r="J126" i="2"/>
  <c r="J127" i="2"/>
  <c r="M127" i="2" s="1"/>
  <c r="J128" i="2"/>
  <c r="J129" i="2"/>
  <c r="J130" i="2"/>
  <c r="J131" i="2"/>
  <c r="M131" i="2" s="1"/>
  <c r="J132" i="2"/>
  <c r="J133" i="2"/>
  <c r="J134" i="2"/>
  <c r="M134" i="2" s="1"/>
  <c r="J135" i="2"/>
  <c r="J136" i="2"/>
  <c r="J137" i="2"/>
  <c r="J138" i="2"/>
  <c r="M138" i="2" s="1"/>
  <c r="J139" i="2"/>
  <c r="J140" i="2"/>
  <c r="J141" i="2"/>
  <c r="J142" i="2"/>
  <c r="M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2" i="2"/>
  <c r="M55" i="2"/>
  <c r="M71" i="2"/>
  <c r="M87" i="2"/>
  <c r="M103" i="2"/>
  <c r="M119" i="2"/>
  <c r="M160" i="2"/>
  <c r="K13" i="2"/>
  <c r="M13" i="2" s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M49" i="2" s="1"/>
  <c r="K50" i="2"/>
  <c r="K51" i="2"/>
  <c r="K52" i="2"/>
  <c r="M52" i="2" s="1"/>
  <c r="K53" i="2"/>
  <c r="K54" i="2"/>
  <c r="K55" i="2"/>
  <c r="K56" i="2"/>
  <c r="M56" i="2" s="1"/>
  <c r="K57" i="2"/>
  <c r="K58" i="2"/>
  <c r="K59" i="2"/>
  <c r="K60" i="2"/>
  <c r="M60" i="2" s="1"/>
  <c r="K61" i="2"/>
  <c r="K62" i="2"/>
  <c r="K63" i="2"/>
  <c r="K64" i="2"/>
  <c r="M64" i="2" s="1"/>
  <c r="K65" i="2"/>
  <c r="K66" i="2"/>
  <c r="K67" i="2"/>
  <c r="K68" i="2"/>
  <c r="M68" i="2" s="1"/>
  <c r="K69" i="2"/>
  <c r="K70" i="2"/>
  <c r="K71" i="2"/>
  <c r="K72" i="2"/>
  <c r="M72" i="2" s="1"/>
  <c r="K73" i="2"/>
  <c r="K74" i="2"/>
  <c r="K75" i="2"/>
  <c r="K76" i="2"/>
  <c r="M76" i="2" s="1"/>
  <c r="K77" i="2"/>
  <c r="K78" i="2"/>
  <c r="K79" i="2"/>
  <c r="K80" i="2"/>
  <c r="M80" i="2" s="1"/>
  <c r="K81" i="2"/>
  <c r="K82" i="2"/>
  <c r="K83" i="2"/>
  <c r="K84" i="2"/>
  <c r="M84" i="2" s="1"/>
  <c r="K85" i="2"/>
  <c r="K86" i="2"/>
  <c r="K87" i="2"/>
  <c r="K88" i="2"/>
  <c r="M88" i="2" s="1"/>
  <c r="K89" i="2"/>
  <c r="K90" i="2"/>
  <c r="K91" i="2"/>
  <c r="K92" i="2"/>
  <c r="M92" i="2" s="1"/>
  <c r="K93" i="2"/>
  <c r="K94" i="2"/>
  <c r="K95" i="2"/>
  <c r="K96" i="2"/>
  <c r="M96" i="2" s="1"/>
  <c r="K97" i="2"/>
  <c r="K98" i="2"/>
  <c r="K99" i="2"/>
  <c r="K100" i="2"/>
  <c r="M100" i="2" s="1"/>
  <c r="K101" i="2"/>
  <c r="K102" i="2"/>
  <c r="K103" i="2"/>
  <c r="K104" i="2"/>
  <c r="M104" i="2" s="1"/>
  <c r="K105" i="2"/>
  <c r="K106" i="2"/>
  <c r="K107" i="2"/>
  <c r="K108" i="2"/>
  <c r="M108" i="2" s="1"/>
  <c r="K109" i="2"/>
  <c r="K110" i="2"/>
  <c r="K111" i="2"/>
  <c r="K112" i="2"/>
  <c r="M112" i="2" s="1"/>
  <c r="K113" i="2"/>
  <c r="K114" i="2"/>
  <c r="K115" i="2"/>
  <c r="K116" i="2"/>
  <c r="M116" i="2" s="1"/>
  <c r="K117" i="2"/>
  <c r="K118" i="2"/>
  <c r="K119" i="2"/>
  <c r="K120" i="2"/>
  <c r="M120" i="2" s="1"/>
  <c r="K121" i="2"/>
  <c r="K122" i="2"/>
  <c r="K123" i="2"/>
  <c r="K124" i="2"/>
  <c r="M124" i="2" s="1"/>
  <c r="K125" i="2"/>
  <c r="K126" i="2"/>
  <c r="K127" i="2"/>
  <c r="K128" i="2"/>
  <c r="M128" i="2" s="1"/>
  <c r="K129" i="2"/>
  <c r="K130" i="2"/>
  <c r="K131" i="2"/>
  <c r="K132" i="2"/>
  <c r="M132" i="2" s="1"/>
  <c r="K133" i="2"/>
  <c r="M133" i="2" s="1"/>
  <c r="K134" i="2"/>
  <c r="K135" i="2"/>
  <c r="K136" i="2"/>
  <c r="M136" i="2" s="1"/>
  <c r="K137" i="2"/>
  <c r="K138" i="2"/>
  <c r="K139" i="2"/>
  <c r="K140" i="2"/>
  <c r="M140" i="2" s="1"/>
  <c r="K141" i="2"/>
  <c r="K142" i="2"/>
  <c r="K143" i="2"/>
  <c r="K144" i="2"/>
  <c r="M144" i="2" s="1"/>
  <c r="K145" i="2"/>
  <c r="M145" i="2" s="1"/>
  <c r="K146" i="2"/>
  <c r="K147" i="2"/>
  <c r="K148" i="2"/>
  <c r="M148" i="2" s="1"/>
  <c r="K149" i="2"/>
  <c r="M149" i="2" s="1"/>
  <c r="K150" i="2"/>
  <c r="K151" i="2"/>
  <c r="K152" i="2"/>
  <c r="M152" i="2" s="1"/>
  <c r="K153" i="2"/>
  <c r="M153" i="2" s="1"/>
  <c r="K154" i="2"/>
  <c r="K155" i="2"/>
  <c r="K156" i="2"/>
  <c r="M156" i="2" s="1"/>
  <c r="K157" i="2"/>
  <c r="K158" i="2"/>
  <c r="K159" i="2"/>
  <c r="M159" i="2" l="1"/>
  <c r="M155" i="2"/>
  <c r="M151" i="2"/>
  <c r="M147" i="2"/>
  <c r="M143" i="2"/>
  <c r="M139" i="2"/>
  <c r="M135" i="2"/>
  <c r="M47" i="2"/>
  <c r="M43" i="2"/>
  <c r="M39" i="2"/>
  <c r="M35" i="2"/>
  <c r="M31" i="2"/>
  <c r="M27" i="2"/>
  <c r="M23" i="2"/>
  <c r="M19" i="2"/>
  <c r="M15" i="2"/>
  <c r="M157" i="2"/>
  <c r="M141" i="2"/>
  <c r="M137" i="2"/>
  <c r="M129" i="2"/>
  <c r="M125" i="2"/>
  <c r="M121" i="2"/>
  <c r="M117" i="2"/>
  <c r="M113" i="2"/>
  <c r="M109" i="2"/>
  <c r="M105" i="2"/>
  <c r="M101" i="2"/>
  <c r="M97" i="2"/>
  <c r="M93" i="2"/>
  <c r="M89" i="2"/>
  <c r="M85" i="2"/>
  <c r="M81" i="2"/>
  <c r="M77" i="2"/>
  <c r="M73" i="2"/>
  <c r="M69" i="2"/>
  <c r="M65" i="2"/>
  <c r="M61" i="2"/>
  <c r="M57" i="2"/>
  <c r="M53" i="2"/>
  <c r="M45" i="2"/>
  <c r="M41" i="2"/>
  <c r="M37" i="2"/>
  <c r="M33" i="2"/>
  <c r="M29" i="2"/>
  <c r="M25" i="2"/>
  <c r="M21" i="2"/>
  <c r="M17" i="2"/>
  <c r="M158" i="2"/>
  <c r="M154" i="2"/>
  <c r="M150" i="2"/>
  <c r="M146" i="2"/>
  <c r="M130" i="2"/>
  <c r="M126" i="2"/>
  <c r="M122" i="2"/>
  <c r="M118" i="2"/>
  <c r="M114" i="2"/>
  <c r="M110" i="2"/>
  <c r="M106" i="2"/>
  <c r="M102" i="2"/>
  <c r="M98" i="2"/>
  <c r="M94" i="2"/>
  <c r="M90" i="2"/>
  <c r="M86" i="2"/>
  <c r="M82" i="2"/>
  <c r="M78" i="2"/>
  <c r="M74" i="2"/>
  <c r="M70" i="2"/>
  <c r="M66" i="2"/>
  <c r="M62" i="2"/>
  <c r="M58" i="2"/>
  <c r="M54" i="2"/>
  <c r="M50" i="2"/>
  <c r="M46" i="2"/>
  <c r="M42" i="2"/>
  <c r="M38" i="2"/>
  <c r="M34" i="2"/>
  <c r="M30" i="2"/>
  <c r="M26" i="2"/>
  <c r="M22" i="2"/>
  <c r="M18" i="2"/>
  <c r="M14" i="2"/>
  <c r="M48" i="2"/>
  <c r="M44" i="2"/>
  <c r="M40" i="2"/>
  <c r="M36" i="2"/>
  <c r="M32" i="2"/>
  <c r="M28" i="2"/>
  <c r="M24" i="2"/>
  <c r="M20" i="2"/>
  <c r="M16" i="2"/>
  <c r="F26" i="3"/>
  <c r="A29" i="3"/>
  <c r="G5" i="3"/>
  <c r="G6" i="3"/>
  <c r="G7" i="3"/>
  <c r="G4" i="3"/>
  <c r="AY158" i="1"/>
  <c r="Q15" i="3" s="1"/>
  <c r="AZ158" i="1"/>
  <c r="BA158" i="1"/>
  <c r="Q18" i="3" s="1"/>
  <c r="BB158" i="1"/>
  <c r="Q17" i="3" s="1"/>
  <c r="M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2" i="2"/>
  <c r="M161" i="2" l="1"/>
  <c r="Q19" i="3"/>
  <c r="AZ165" i="1"/>
  <c r="J161" i="2"/>
  <c r="AU10" i="1"/>
  <c r="V157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AU158" i="1" l="1"/>
  <c r="AX10" i="1"/>
  <c r="AX158" i="1" s="1"/>
  <c r="V158" i="1"/>
  <c r="BC158" i="1" l="1"/>
  <c r="Q16" i="3"/>
  <c r="Q26" i="3" s="1"/>
  <c r="AL158" i="1"/>
</calcChain>
</file>

<file path=xl/sharedStrings.xml><?xml version="1.0" encoding="utf-8"?>
<sst xmlns="http://schemas.openxmlformats.org/spreadsheetml/2006/main" count="1474" uniqueCount="618">
  <si>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</si>
  <si>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</si>
  <si>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</si>
  <si>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</si>
  <si>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</si>
  <si>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</si>
  <si>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</si>
  <si>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</si>
  <si>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</si>
  <si>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</si>
  <si>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</si>
  <si>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DIR. LAB. CENTRAL</t>
  </si>
  <si>
    <t>TOTAL DE LAB CENTRAL</t>
  </si>
  <si>
    <t xml:space="preserve">BCO DE SANGRE </t>
  </si>
  <si>
    <t xml:space="preserve">TOTAL BANCO DE SANGRE 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</si>
  <si>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</si>
  <si>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</si>
  <si>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</si>
  <si>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</si>
  <si>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</si>
  <si>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</si>
  <si>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</si>
  <si>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</si>
  <si>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</si>
  <si>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</si>
  <si>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</si>
  <si>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</si>
  <si>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</si>
  <si>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</si>
  <si>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</si>
  <si>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</si>
  <si>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</si>
  <si>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</si>
  <si>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</si>
  <si>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</si>
  <si>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</si>
  <si>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</si>
  <si>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</si>
  <si>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PROD. MEDICO/FARMACEUTICOS/LAB</t>
  </si>
  <si>
    <t>CAJA</t>
  </si>
  <si>
    <t>UNIDAD</t>
  </si>
  <si>
    <t>BOLSA</t>
  </si>
  <si>
    <t>011 - DIRECCION PROVINCIAL DE ADMINISTRACION - MINISTERIO DE SALUD</t>
  </si>
  <si>
    <t>040 - MINISTERIO DE SALUD</t>
  </si>
  <si>
    <t>TOTAL S.A.</t>
  </si>
  <si>
    <t>SMPyPS</t>
  </si>
  <si>
    <t>TOTAL SMPyPS</t>
  </si>
  <si>
    <t>TOTAL A.P.S.</t>
  </si>
  <si>
    <t>HPTAL MALBRAN</t>
  </si>
  <si>
    <t>TOTAL HPTAL MALBRAN</t>
  </si>
  <si>
    <t>MATERNIDAD E INFANCIA</t>
  </si>
  <si>
    <t>TOTAL MATERNIDAD E INFANCIA</t>
  </si>
  <si>
    <t>APS</t>
  </si>
  <si>
    <t>SASP</t>
  </si>
  <si>
    <t>TOTAL SASP</t>
  </si>
  <si>
    <t>SPyGS</t>
  </si>
  <si>
    <t>TOTAL SPyGS</t>
  </si>
  <si>
    <t>SECRETARIA DE ADMINISTRACION</t>
  </si>
  <si>
    <t>2.5.2</t>
  </si>
  <si>
    <t>ACIDO GRABADOR ODONTOLOG.; ESTADO: GEL, PRESENTACION: JERINGA X 12 GR</t>
  </si>
  <si>
    <t>ADHESIVOS P/ODONTOLOGIA; TIPO: ADHESIVO+PRIMER, USO: ODONTOLOGICO, PRESENTACION: FRASCO X 4,5 mm</t>
  </si>
  <si>
    <t>ANTISEPTICOS LOCALES P/PERSONA; TIPO: ANTISEPTICO, DROGA GENERICA: EUGENOL, FORMA FARMACEUTICA: LIQUIDO, PRESENTACION: FRASCO X 10 mL</t>
  </si>
  <si>
    <t>ANTISEPTICOS LOCALES P/PERSONA; TIPO: MONODROGA, DROGA GENERICA: IODOFORMO, FORMA FARMACEUTICA: POLVO, PRESENTACION: FRASCO X 20 GR</t>
  </si>
  <si>
    <t>CEMENTOS QUIRURGICOS; TIPO: GROSSMAN, USO: ODONTOLOGIA, PRESENTACION: ENVASE X 20 GR</t>
  </si>
  <si>
    <t>CEMENTOS QUIRURGICOS; TIPO: OXIDO DE ZINC Y EUGENOL REFORZ, USO: ODONTOLOGICO, PRESENTACION: AVIO 38 GRS/15 ML</t>
  </si>
  <si>
    <t>COMPOSITE TIPO ULTRAFILL; COLOR: A2, POLIMERIZACION: FOTOPOLIMERIZACION, TAMAÑO PARTICULA: HIBRIDO, FORMA DE PRESENTACION: JERINGA, PRESENTACION: ENVASE X 4 GR</t>
  </si>
  <si>
    <t>COMPOSITE TIPO ULTRAFILL; COLOR: A3, POLIMERIZACION: FOTOPOLIMERIZACION, TAMAÑO PARTICULA: HIBRIDO, FORMA DE PRESENTACION: JERINGA, PRESENTACION: ENVASE X 4 GR</t>
  </si>
  <si>
    <t>COMPOSITE TIPO ULTRAFILL; COLOR: A3,5, POLIMERIZACION: FOTOPOLIMERIZACION, TAMAÑO PARTICULA: HIBRIDO, FORMA DE PRESENTACION: JERINGA, PRESENTACION: ENVASE X 4 GR</t>
  </si>
  <si>
    <t>IONOMEROS VITREOS; USO: AUTOCURADO, ESTADO: POLVO - LIQUIDO, FORMA DE PRESENTACION: POLVO - LIQUIDO, PRESENTACION: AVIO 10 GRS/ 10 ML</t>
  </si>
  <si>
    <t>IONOMEROS VITREOS; USO: FOTOCURADO, FORMA DE PRESENTACION: POLVO - LIQUIDO, PRESENTACION: AVIO 5 GRS/ 3 ML</t>
  </si>
  <si>
    <t>TOPICOS ODONTOLOGICOS; DROGA GENERICA: FORMOCRESOL, ESTADO: LIQUIDO, PRESENTACION: FRASCO X 20 mL</t>
  </si>
  <si>
    <t>COMBUSTIBLES Y LUBRICANTES</t>
  </si>
  <si>
    <t>2.5.9</t>
  </si>
  <si>
    <t>CERAS ROSAS P/ODONTOLOGIA; MATERIAL: UTILITY EN LAMINA, USO: ODONTOLOGICO, PRESENTACION: ENVASE X 1 Kg</t>
  </si>
  <si>
    <t>FIJADORES P/RADIOLOGIA; SENSIBILIDAD: AL VERDE, PROCESO: MANUAL, PROCESO DE UTILIZACION: MANUAL, PRESENTACION: BOTELLA, CAPACIDAD: 480 mL</t>
  </si>
  <si>
    <t>BOTELLA</t>
  </si>
  <si>
    <t>REVELADORES P/RADIOLOGIA; SENSIBILIDAD: AL VERDE, PROCESO: MANUAL, PROCESO DE UTILIZACION: MANUAL, PRESENTACION: BOTELLA, CAPACIDAD: 480 Ml</t>
  </si>
  <si>
    <t>PLACAS RADIOGRAFICAS; SENSIBILIDAD: AL VERDE, DIMENSION: P/ODONTOLOGIA, PRESENTACION: ENVASE X 150 UNIDADES</t>
  </si>
  <si>
    <t>MATERIALES DE CONSTRUCCION</t>
  </si>
  <si>
    <t>2.6.5</t>
  </si>
  <si>
    <t>YESO EN POLVO; USO: ODONTOLOGICO, TIPO: PIEDRA, PRESENTACION: BOLSA, PESO: 25 Kg</t>
  </si>
  <si>
    <t>YESO EN POLVO; USO: ODONTOLOGICO, TIPO: TALLER, PRESENTACION: BOLSA, PESO: 25 Kg</t>
  </si>
  <si>
    <t>2.9.5</t>
  </si>
  <si>
    <t>AGUJAS QUIRURGICAS; TIPO: ODONTOLOGICA, ESPECIFICACION: CORTA DE 21 mm, PRESENTACION: ENVASE X 100 UN</t>
  </si>
  <si>
    <t>ALAMBRE DE ACERO D. 0,7 MM, DESCARTABLE: SI, PRESENTACION: ROLLO X 500 GR</t>
  </si>
  <si>
    <t>ALAMBRE DE ACERO D. 0,8 MM; DESCARTABLE: SI, PRESENTACION: ROLLO X 100 GR</t>
  </si>
  <si>
    <t>ALAMBRE DE ACERO D. 0,9 MM, DESCARTABLE: SI, PRESENTACION: ROLLO X 500 GR</t>
  </si>
  <si>
    <t>ALAMBRE DE ACERO D.1 MM, DESCARTABLE: SI, PRESENTACION: ROLLO X 50 GR</t>
  </si>
  <si>
    <t>ALGODONES; TIPO: ROLLO P/ODONTOLOGIA, PRESENTACION: ENVASE X 500 UN</t>
  </si>
  <si>
    <t>ALICATE UNIVERSAL, DESCARTABLE: NO, PRESENTACION: UNIDAD</t>
  </si>
  <si>
    <t>ATACADOR P/CONOS GUTA-PERCHA, PRESENTACION: UNIDAD, DESCARTABLE: NO</t>
  </si>
  <si>
    <t>BANDEJA METALICA PARA EL INSTRUMENTAL, DESCARTABLE: NO, PRESENTACION: UNIDAD</t>
  </si>
  <si>
    <t>BARRA ALTO BRILLO P/PULIR, DESCARTABLE: NO, PRESENTACION: UNIDAD</t>
  </si>
  <si>
    <t>BROCHITA P/ LIMPIEZA, DESCARTABLE: SI, PRESENTACION: UNIDAD</t>
  </si>
  <si>
    <t>CADENAS P/BABEROS; MATERIAL : 147 dBV/mPa , USO: ODONTOLOGIA, MATERIAL: METAL</t>
  </si>
  <si>
    <t>CEPILLO LIMPIAFRESA, DESCARTABLE: NO, PRESENTACION: UNIDAD</t>
  </si>
  <si>
    <t>COMPRESA P/PLATINA AZUL, DESCARTABLE: SI, PRESENTACION: CAJA X 500 UN</t>
  </si>
  <si>
    <t>CONO DE FIELTRO Nº 4, DESCARTABLE: SI, PRESENTACION: UNIDAD</t>
  </si>
  <si>
    <t>CONO GUTAPERCHA 1ªSERIE, DESCARTABLE: SI, PRESENTACION: CAJA X 100</t>
  </si>
  <si>
    <t>CONO GUTAPERCHA 2ªSERIE, DESCARTABLE: SI, PRESENTACION: CAJA X 100</t>
  </si>
  <si>
    <t>CUCHARITAS DE BLACK DOBLES, DESCARTABLE: NO, PRESENTACION: UNIDAD</t>
  </si>
  <si>
    <t>CURETA DE GRACEY, DESCARTABLE: NO, PRESENTACION: UNIDAD</t>
  </si>
  <si>
    <t>DISCO P/ PULIR, DESCARTABLE: NO, PRESENTACION: UNIDAD</t>
  </si>
  <si>
    <t>DISCO P/PULIR COMPOSITE, DESCARTABLE: NO, PRESENTACION: ENVASE X 50 UN</t>
  </si>
  <si>
    <t>ESPACIADOR P/CONOS GUTA-PERCHA, DESCARTABLE: NO, PRESENTACION: CAJA X 6</t>
  </si>
  <si>
    <t>ESPATULA P/CEMENTO DOBLE, DESCARTABLE: NO, PRESENTACION: UNIDAD</t>
  </si>
  <si>
    <t>ESPATULA PARA GUTTA, DESCARTABLE: NO, PRESENTACION: UNIDAD</t>
  </si>
  <si>
    <t>ESPEJOS BUCALES; PRESENTACION: ENVASE X 12 UN</t>
  </si>
  <si>
    <t>ELEMENTOS DE LIMPIEZA</t>
  </si>
  <si>
    <t>ESPONJAS; MATERIAL: POLIESTER, USO: ODONTOLOGICO, ADITAMENTO: CON, FORMA: REDONDA, LARGO X ANCHO X ESP: DIAMETRO 4 Cm, PRESENTACION: UNIDAD</t>
  </si>
  <si>
    <t>EXPLORADOR CURVO P/EXAMEN BUCA; DESCARTABLE: NO, PRESENTACION: UNIDAD</t>
  </si>
  <si>
    <t>FRESAS P/ODONTOLOGIA; MATERIAL: ACERO INOXIDABLE, Nº: 6991, LARGO: CHICA, TIPO: TRONCOCONICA, NUMERO: 6991</t>
  </si>
  <si>
    <t>FRESAS P/ODONTOLOGIA; MATERIAL: ACERO INOXIDABLE, Nº: 701L, LARGO: MEDIANA, TIPO: TRONCOCONICA, NUMERO: 701L</t>
  </si>
  <si>
    <t>FRESAS P/ODONTOLOGIA; MATERIAL: ACERO INOXIDABLE, Nº: 703, LARGO: GRANDE, TIPO: TRONCOCONICA, NUMERO: 703</t>
  </si>
  <si>
    <t>FRESAS P/ODONTOLOGIA; MATERIAL: ACERO INOXIDABLE, NUMERO: 1, LARGO: 32 mm, TIPO: GATES</t>
  </si>
  <si>
    <t>FRESAS P/ODONTOLOGIA; MATERIAL: ACERO INOXIDABLE, NUMERO: 1, LARGO: 32 mm, TIPO: PEESO</t>
  </si>
  <si>
    <t>FRESAS P/ODONTOLOGIA; MATERIAL: ACERO INOXIDABLE, NUMERO: 2, LARGO: 32 mm, TIPO: GATES</t>
  </si>
  <si>
    <t>FRESAS P/ODONTOLOGIA; MATERIAL: ACERO INOXIDABLE, NUMERO: 2, LARGO: 32 mm, TIPO: PEESO</t>
  </si>
  <si>
    <t>FRESAS P/ODONTOLOGIA; MATERIAL: ACERO INOXIDABLE, NUMERO: 3, LARGO: 32 mm, TIPO: GATES</t>
  </si>
  <si>
    <t>FRESAS P/ODONTOLOGIA; MATERIAL: ACERO INOXIDABLE, NUMERO: 3, LARGO: 32 mm, TIPO: PEESO</t>
  </si>
  <si>
    <t>FRESAS P/ODONTOLOGIA; MATERIAL: ACERO INOXIDABLE, NUMERO: 4, LARGO: 22 mm, TIPO: CIRUGIA P/EXTRACCIONES</t>
  </si>
  <si>
    <t>FRESAS P/ODONTOLOGIA; MATERIAL: ACERO INOXIDABLE, NUMERO: 4, LARGO: 32 mm, TIPO: GATES</t>
  </si>
  <si>
    <t>FRESAS P/ODONTOLOGIA; MATERIAL: ACERO INOXIDABLE, NUMERO: 6, LARGO: 25 mm, TIPO: CIRUGIA FG MD</t>
  </si>
  <si>
    <t>FRESAS P/ODONTOLOGIA; MATERIAL: ACERO INOXIDABLE, NUMERO: SIN, LARGO: LARGA, TIPO: PIMPOLLA P/TURBINA</t>
  </si>
  <si>
    <t>FRESAS P/ODONTOLOGIA; MATERIAL: CARBURO DE TUNGSTENO, NUMERO: 1, LARGO: STANDAR, TIPO: REDONDA CONTRAANGULO</t>
  </si>
  <si>
    <t>FRESAS P/ODONTOLOGIA; MATERIAL: CARBURO DE TUNGSTENO, NUMERO: 2, LARGO: STANDAR, TIPO: REDONDA CONTRAANGULO</t>
  </si>
  <si>
    <t>FRESAS P/ODONTOLOGIA; MATERIAL: CARBURO DE TUNGSTENO, NUMERO: 3, LARGO: STANDAR, TIPO: REDONDA CONTRAANGULO</t>
  </si>
  <si>
    <t>FRESAS P/ODONTOLOGIA; MATERIAL: CARBURO DE TUNGSTENO, NUMERO: 4, LARGO: STANDAR, TIPO: REDONDA CONTRAANGULO</t>
  </si>
  <si>
    <t>FRESAS P/ODONTOLOGIA; MATERIAL: CARBURO DE TUNGSTENO, NUMERO: 5, LARGO: STANDAR, TIPO: REDONDA CONTRAANGULO</t>
  </si>
  <si>
    <t>FRESAS P/ODONTOLOGIA; MATERIAL: CARBURO DE TUNGSTENO, NUMERO: 6, LARGO: STANDAR, TIPO: REDONDA CONTRAANGULO</t>
  </si>
  <si>
    <t>FRESAS P/ODONTOLOGIA; MATERIAL: CARBURO DE TUNGSTENO, NUMERO: 7, LARGO: STANDAR, TIPO: REDONDA CONTRAANGULO</t>
  </si>
  <si>
    <t>FRESAS P/ODONTOLOGIA; MATERIAL: CARBURO DE TUNGSTENO, NUMERO: 8, LARGO: STANDAR, TIPO: REDONDA CONTRAANGULO</t>
  </si>
  <si>
    <t>FRESAS P/ODONTOLOGIA; MATERIAL: CARBURO DE TUNGSTENO, NUMERO: 801, LARGO: 19 mm, TIPO: REDONDA MEDIANA</t>
  </si>
  <si>
    <t>FRESAS P/ODONTOLOGIA; MATERIAL: CARBURO DE TUNGSTENO, NUMERO: FG 2-1-331, LARGO: 19 mm, TIPO: CILINDRICA</t>
  </si>
  <si>
    <t>FRESAS P/ODONTOLOGIA; MATERIAL: CARBURO DE TUNGSTENO, NUMERO: SIN, LARGO: EXTRA LARGA, TIPO: CILINDRICA FG P/ CIRUGIA</t>
  </si>
  <si>
    <t>FRESAS P/ODONTOLOGIA; MATERIAL: CARBURO TUNGSTENO, NUMERO: 8, LARGO: EXTRA LARGA, TIPO: REDONDA CONTRAANGULO P/CIRUGIA</t>
  </si>
  <si>
    <t>FRESAS P/ODONTOLOGIA; MATERIAL: CARBURO, NUMERO: 120 X 157, LARGO: EXTRA LARGA, TIPO: CILINDRICA</t>
  </si>
  <si>
    <t>FRESAS P/ODONTOLOGIA; MATERIAL: PIEDRA DE DIAMANTE, NUMERO: 1, LARGO: STANDAR, TIPO: REDONDA FG</t>
  </si>
  <si>
    <t>FRESAS P/ODONTOLOGIA; MATERIAL: PIEDRA DE DIAMANTE, NUMERO: 1/2, LARGO: STANDAR, TIPO: REDONDA FG</t>
  </si>
  <si>
    <t>FRESAS P/ODONTOLOGIA; MATERIAL: PIEDRA DE DIAMANTE, NUMERO: 1/4, LARGO: STANDAR, TIPO: REDONDA FG</t>
  </si>
  <si>
    <t>FRESAS P/ODONTOLOGIA; MATERIAL: PIEDRA DE DIAMANTE, NUMERO: 170, LARGO: STANDAR, TIPO: TRONCOCONICA FG</t>
  </si>
  <si>
    <t>FRESAS P/ODONTOLOGIA; MATERIAL: PIEDRA DE DIAMANTE, NUMERO: 171 L, LARGO: STANDAR, TIPO: TRONCOCONICA FG</t>
  </si>
  <si>
    <t>FRESAS P/ODONTOLOGIA; MATERIAL: PIEDRA DE DIAMANTE, NUMERO: 171, LARGO: STANDAR, TIPO: TRONCOCONICA FG</t>
  </si>
  <si>
    <t>FRESAS P/ODONTOLOGIA; MATERIAL: PIEDRA DE DIAMANTE, NUMERO: 2, LARGO: STANDAR, TIPO: REDONDA FG</t>
  </si>
  <si>
    <t>FRESAS P/ODONTOLOGIA; MATERIAL: PIEDRA DE DIAMANTE, NUMERO: 3, LARGO: STANDAR, TIPO: REDONDA FG</t>
  </si>
  <si>
    <t>FRESAS P/ODONTOLOGIA; MATERIAL: PIEDRA DE DIAMANTE, NUMERO: 34, LARGO: STANDAR, TIPO: CONO INVERTIDO FG</t>
  </si>
  <si>
    <t>FRESAS P/ODONTOLOGIA; MATERIAL: PIEDRA DE DIAMANTE, NUMERO: 35, LARGO: STANDAR, TIPO: CONO INVERTIDO FG</t>
  </si>
  <si>
    <t>FRESAS P/ODONTOLOGIA; MATERIAL: PIEDRA DE DIAMANTE, NUMERO: 4, LARGO: STANDAR, TIPO: REDONDA FG</t>
  </si>
  <si>
    <t>FRESAS P/ODONTOLOGIA; MATERIAL: PIEDRA DE DIAMANTE, NUMERO: 5, LARGO: STANDAR, TIPO: REDONDA FG</t>
  </si>
  <si>
    <t>FRESAS P/ODONTOLOGIA; MATERIAL: PIEDRA DE DIAMANTE, NUMERO: 6, LARGO: STANDAR, TIPO: REDONDA FG</t>
  </si>
  <si>
    <t>FRESAS P/ODONTOLOGIA; MATERIAL: PIEDRA DE DIAMANTE, NUMERO: 8, LARGO: STANDAR, TIPO: REDONDA FG</t>
  </si>
  <si>
    <t>FRESAS P/ODONTOLOGIA; MATERIAL: PIEDRA DE DIAMANTE, NUMERO: SIN, LARGO: STANDAR, TIPO: AGUJA GRANO FINO FG</t>
  </si>
  <si>
    <t>FRESAS P/ODONTOLOGIA; MATERIAL: PIEDRA DE DIAMANTE, NUMERO: SIN, LARGO: STANDAR, TIPO: AGUJA GRANO ULTRA FINO FG</t>
  </si>
  <si>
    <t>FRESAS P/ODONTOLOGIA; MATERIAL: PIEDRA DE DIAMANTE, NUMERO: SIN, LARGO: STANDAR, TIPO: CILINDRICA FG</t>
  </si>
  <si>
    <t>FRESAS P/ODONTOLOGIA; MATERIAL: PIEDRA DE DIAMANTE, NUMERO: SIN, LARGO: STANDAR, TIPO: TRONCOC CORTA GR ULTRA FINO FG</t>
  </si>
  <si>
    <t>FRESAS P/ODONTOLOGIA; MATERIAL: PIEDRA DE DIAMANTE, NUMERO: SIN, LARGO: STANDAR, TIPO: TRONCOC LARGA GR ULTRA FINO FG</t>
  </si>
  <si>
    <t>FRESAS P/ODONTOLOGIA; MATERIAL: PIEDRA DE DIAMANTE, NUMERO: SIN, LARGO: STANDAR, TIPO: TRONCOCON LARG GRUES FG</t>
  </si>
  <si>
    <t>FRESERO P/ODONTOLOGIA, DESCARTABLE: NO, PRESENTACION: UNIDAD</t>
  </si>
  <si>
    <t>GOMAS BLANCAS P/PULIDO, DESCARTABLE: NO, PRESENTACION: UNIDAD</t>
  </si>
  <si>
    <t>HOJA DE SIERRA PLANA; DESCARTABLE: SI, PRESENTACION: UNIDAD</t>
  </si>
  <si>
    <t>JERINGAS DESCARTABLES CON AGUJA; CAPACIDAD: 20 CM3, USO: ODONTOLOGIA, PRESENTACION: ENVASE X 50 UNIDADES</t>
  </si>
  <si>
    <t>JERINGAS TIPO CARPULE, DESCARTABLE: NO, PRESENTACION: UNIDAD</t>
  </si>
  <si>
    <t>JERINGAS TRIPLES METALICAS, DESCARTABLE: NO, PRESENTACION: UNIDAD</t>
  </si>
  <si>
    <t>JUEGO DE FORCEPS ADULTO P/MICROCIRUGIAS; USO: ODONTOLOGIA, TIPO: EXTRACCION, MATERIAL: ACERO QUIRURGICO, PRESENTACION: ESTUCHE X 10 UNIDADES</t>
  </si>
  <si>
    <t>ESTUCHE</t>
  </si>
  <si>
    <t>LIMAS P/ODONTOLOGIA; MATERIAL: ACERO FLEXIBLE, NUMERO: 15 AL 40, LARGO: 31 mm, TIPO: LISA, PRESENTACION: ENVASE X 6 UNIDADES</t>
  </si>
  <si>
    <t>BLISTER</t>
  </si>
  <si>
    <t>LIMAS P/ODONTOLOGIA; MATERIAL: ACERO INOXIDABLE, NUMERO: 010, LARGO: 25 mm, TIPO: K, PRESENTACION: ENVASE X 6 UNIDADES</t>
  </si>
  <si>
    <t>LIMAS P/ODONTOLOGIA; MATERIAL: ACERO INOXIDABLE, NUMERO: 015, LARGO: 25 mm, TIPO: K, PRESENTACION: ENVASE X 6 UNIDADES</t>
  </si>
  <si>
    <t>LIMAS P/ODONTOLOGIA; MATERIAL: ACERO INOXIDABLE, NUMERO: 020, LARGO: 25 mm, TIPO: K, PRESENTACION: ENVASE X 6 UNIDADES</t>
  </si>
  <si>
    <t>LIMAS P/ODONTOLOGIA; MATERIAL: ACERO INOXIDABLE, NUMERO: 025, LARGO: 25 mm, TIPO: K, PRESENTACION: ENVASE X 6 UNIDADES</t>
  </si>
  <si>
    <t>LIMAS P/ODONTOLOGIA; MATERIAL: ACERO INOXIDABLE, NUMERO: 030, LARGO: 25 mm, TIPO: K, PRESENTACION: ENVASE X 6 UNIDADES</t>
  </si>
  <si>
    <t>LIMAS P/ODONTOLOGIA; MATERIAL: ACERO INOXIDABLE, NUMERO: 035, LARGO: 25 mm, TIPO: K, PRESENTACION: ENVASE X 6 UNIDADES</t>
  </si>
  <si>
    <t>LIMAS P/ODONTOLOGIA; MATERIAL: ACERO INOXIDABLE, NUMERO: 040, LARGO: 25 mm, TIPO: K, PRESENTACION: ENVASE X 6 UNIDADES</t>
  </si>
  <si>
    <t>LIMAS P/ODONTOLOGIA; MATERIAL: ACERO INOXIDABLE, NUMERO: 045, LARGO: 25 mm, TIPO: K, PRESENTACION: ENVASE X 6 UNIDADES</t>
  </si>
  <si>
    <t>LIMAS P/ODONTOLOGIA; MATERIAL: ACERO INOXIDABLE, NUMERO: 15 AL 40, LARGO: 21 mm, TIPO: HEDSTROEM, PRESENTACION: ENVASE X 6 UNIDADES</t>
  </si>
  <si>
    <t>LIMAS P/ODONTOLOGIA; MATERIAL: ACERO INOXIDABLE, NUMERO: 15 AL 40, LARGO: 21 mm, TIPO: K, PRESENTACION: ENVASE X 6 UNIDADES</t>
  </si>
  <si>
    <t>LIMAS P/ODONTOLOGIA; MATERIAL: ACERO INOXIDABLE, NUMERO: 15 AL 40, LARGO: 25 mm, TIPO: HEDSTROEM, PRESENTACION: ENVASE X 6 UNIDADES</t>
  </si>
  <si>
    <t>LIMAS P/ODONTOLOGIA; MATERIAL: ACERO INOXIDABLE, NUMERO: 15 AL 40, LARGO: 25 mm, TIPO: K, PRESENTACION: ENVASE X 6 UNIDADES</t>
  </si>
  <si>
    <t>LIMAS P/ODONTOLOGIA; MATERIAL: ACERO INOXIDABLE, NUMERO: 15 AL 40, LARGO: 31 mm, TIPO: K, PRESENTACION: ENVASE X 6 UNIDADES</t>
  </si>
  <si>
    <t>LIMAS P/ODONTOLOGIA; MATERIAL: ACERO INOXIDABLE, NUMERO: 45 AL 80, LARGO: 21 mm, TIPO: HEDSTROEM, PRESENTACION: ENVASE X 6 UNIDADES</t>
  </si>
  <si>
    <t>LIMAS P/ODONTOLOGIA; MATERIAL: ACERO INOXIDABLE, NUMERO: 45 AL 80, LARGO: 21 mm, TIPO: K, PRESENTACION: ENVASE X 6 UNIDADES</t>
  </si>
  <si>
    <t>LIMAS P/ODONTOLOGIA; MATERIAL: ACERO INOXIDABLE, NUMERO: 45 AL 80, LARGO: 25 mm, TIPO: HEDSTROEM, PRESENTACION: ENVASE X 6 UNIDADES</t>
  </si>
  <si>
    <t>LIMAS P/ODONTOLOGIA; MATERIAL: ACERO INOXIDABLE, NUMERO: 45 AL 80, LARGO: 25 mm, TIPO: K, PRESENTACION: ENVASE X 6 UNIDADES</t>
  </si>
  <si>
    <t>LIMAS P/ODONTOLOGIA; MATERIAL: CARBURO DE TUNGSTENO, NUMERO: 15/40, LARGO: 31 mm, TIPO: K, PRESENTACION: ENVASE X 6 UNIDADES</t>
  </si>
  <si>
    <t>LIMAS P/ODONTOLOGIA; MATERIAL: CARBURO DE TUNGSTENO, NUMERO: 45/80, LARGO: 25 mm, TIPO: K, PRESENTACION: ENVASE X 6 UNIDADES</t>
  </si>
  <si>
    <t>MANGO PARA ESPEJO BUCAL, DESCARTABLE: NO, PRESENTACION: UNIDAD</t>
  </si>
  <si>
    <t>MANGOS DE BISTURI; TIPO: MANGO DE BISTURI, USO: ODONTOLOGICO, CUERPO: 147 dBV/mPa , CAMBIAR HOJAS: SI, NUMERO: 15, MATERIAL DEL CUERPO: 147 dBV/mPa , MATERIAL: METAL</t>
  </si>
  <si>
    <t>MATRIZ METALICA, DESCARTABLE: NO, PRESENTACION: UNIDAD</t>
  </si>
  <si>
    <t>MECHA FLAMEADOR, DESCARTABLE: SI, PRESENTACION: UNIDAD</t>
  </si>
  <si>
    <t>MICROBRUSH, DESCARTABLE: SI, PRESENTACION: ENVASE X 100 UN</t>
  </si>
  <si>
    <t>MICROMOTOR, DESCARTABLE: NO, PRESENTACION: UNIDAD</t>
  </si>
  <si>
    <t>PALILLOS P/ODONTOLOGIA; MATERIAL : MADERA, USO: RECONSTRUCCIONES DENTARIAS, PRESENTACION: ENVASE X 100 UNIDADES</t>
  </si>
  <si>
    <t>PAPEL DE ARTICULAR, PRESENTACION: ENVASE X 12 BLOCKS, DESCARTABLE: SI</t>
  </si>
  <si>
    <t>PASTAS P/ODONTOLOGIA; USO: OBTURACION, TIPO: GUTAPERCHA, PRESENTACION: ENVASE X 40 GR</t>
  </si>
  <si>
    <t>PASTAS P/ODONTOLOGIA; USO: SELLADOR, TIPO: COMPOMERO, PRESENTACION: JERINGA X 2 GR</t>
  </si>
  <si>
    <t>PINZA DE ALGODON, DESCARTABLE: NO, PRESENTACION: UNIDAD</t>
  </si>
  <si>
    <t>PINZA P/ CONO DE GUTAPERCHA, DESCARTABLE: NO, PRESENTACION: UNIDAD</t>
  </si>
  <si>
    <t>PINZAS DE CIRUGIA; TIPO: DISECCION SIN DIENTE, MEDIDA: 13 Cm</t>
  </si>
  <si>
    <t>PINZAS P/MEDICINA; USO: ODONTOLOGICO, TIPO: GUBIA, MEDIDA: 20 Cm</t>
  </si>
  <si>
    <t>PINZAS P/MEDICINA; USO: ODONTOLOGICO, TIPO: PORTA CLAMPS, MEDIDA: 20 Cm</t>
  </si>
  <si>
    <t>PINZAS/FORCEPS DE EXODONCIA DE 1° MOLARES INFERIOR; TIPO: ODONTOLOGIA, MEDIDA: 15 Cm</t>
  </si>
  <si>
    <t>PLACA BASE INFERIOR, PRESENTACION: ENVASE X 100</t>
  </si>
  <si>
    <t>PLACA BASE SUPERIOR, PRESENTACION: ENVASE X 100</t>
  </si>
  <si>
    <t>PORTA ALGODÓN, DESCARTABLE: NO, PRESENTACION: UNIDAD</t>
  </si>
  <si>
    <t>SACABANDAS P/MOLARES; DESCARTABLE: NO, PRESENTACION: UNIDAD</t>
  </si>
  <si>
    <t>SEPARADOR DE YESO ROSA, DESCARTABLE: SI, PRESENTACION: ENVASE X 1 L</t>
  </si>
  <si>
    <t>SEPARADORES DE CIRUGIA, DESCARTABLE: NO, PRESENTACION: UNIDAD</t>
  </si>
  <si>
    <t>TIJERAS P/MEDICINA; TIPO: SPENCER, MEDIDA: 11 Cm, USO: SUTURA</t>
  </si>
  <si>
    <t>TIRA P/PULIR COMPOSITE, DESCARTABLE: NO, PRESENTACION: ENVASE X 100 UN</t>
  </si>
  <si>
    <t>TOALLITAS P/ODONTOLOGIA; TIPO: DESCONTAMINANTE DE SUPERFICIE, PRESENTACION: ENVASE X 170 UN</t>
  </si>
  <si>
    <t>TUBO</t>
  </si>
  <si>
    <t>TURBINA DE ALTA PRECISION, DESCARTABLE: NO, PRESENTACION: UNIDAD</t>
  </si>
  <si>
    <t>VASOS, DESCARTABLE: SI, PRESENTACION: CAJA X 3500 UN</t>
  </si>
  <si>
    <t>TOTAL RUBRO INSUMOS PARA ODONTOLOGIA</t>
  </si>
  <si>
    <t>2.5.6</t>
  </si>
  <si>
    <t>ESPECIFICACION TECNICA</t>
  </si>
  <si>
    <t xml:space="preserve">CUARTO </t>
  </si>
  <si>
    <t>ANESTESICOS LOCALES; TIPO: ANESTESIA ODONTOLOGICA, DROGA GENERICA: CLORHIDRATO DE CARTICAINA 4%, FORMA FARMACEUTICA: ANESTUBOS, PRESENTACION: ENVASE X 50 ANESTUBOS</t>
  </si>
  <si>
    <t>CEMENTOS QUIRURGICOS; TIPO: HIDROXIDO DE CALCIO FRAGUABLE, USO: ODONTOLOGIA, PRESENTACION: AVIO 13 GRS/11 GRS HIDCAL</t>
  </si>
  <si>
    <t>ACEITES LUBRICANTES; USO: TURBINA ODONTOLOGICA, PRESENTACION: SPRAY X 250 mL, NORMA: SAE 30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</si>
  <si>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</si>
  <si>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</si>
  <si>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</si>
  <si>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</si>
  <si>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</si>
  <si>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</si>
  <si>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 xml:space="preserve">DEPENDENCIA SOLICITANTE: </t>
  </si>
  <si>
    <t>PERIODO UTILIZACIÓN:</t>
  </si>
  <si>
    <t>4TO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</si>
  <si>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</si>
  <si>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</si>
  <si>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</si>
  <si>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</si>
  <si>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</si>
  <si>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</si>
  <si>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</si>
  <si>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</si>
  <si>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Costo total estimado: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</si>
  <si>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</si>
  <si>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</si>
  <si>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</si>
  <si>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</si>
  <si>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</si>
  <si>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</si>
  <si>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</si>
  <si>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</si>
  <si>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</si>
  <si>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</si>
  <si>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</si>
  <si>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</si>
  <si>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</si>
  <si>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</si>
  <si>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</si>
  <si>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</si>
  <si>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</si>
  <si>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</si>
  <si>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</si>
  <si>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</si>
  <si>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</si>
  <si>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</si>
  <si>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FARMACEUTICOS Y MEDICINALES</t>
  </si>
  <si>
    <t xml:space="preserve">TOTAL DE PESOS: </t>
  </si>
  <si>
    <t>JUSTIFICACIÓN:</t>
  </si>
  <si>
    <t>470 - DIRECCION PROVINCIAL DE ODONTOLOGIA</t>
  </si>
  <si>
    <t>ADQ. DEL RUBRO INSUMOS PARA ODONTOLOGIA</t>
  </si>
  <si>
    <t>NO</t>
  </si>
  <si>
    <t>OTROS N.E.P</t>
  </si>
  <si>
    <t>CEMENTO, CAL Y YESO</t>
  </si>
  <si>
    <t>UTILES MENORES MEDIDOS, QUIRURGICOS Y DE LABORATORIO</t>
  </si>
  <si>
    <t>DIEZ MILLONES TRESCIENTOS SETENTA Y OCHO MIL NOVECIENTOS NOVENTA Y CUATRO CON 50/100.-</t>
  </si>
  <si>
    <t xml:space="preserve"> 16/2021</t>
  </si>
  <si>
    <t>Autorizo la realización de los  trámites correspondientes, a fin de proveer a  este Organismo los bienes que se detallan en Nota  de Pedido N° 16/2021 afectando la erogación resultante a los créditos presupuestarios aprobados a favor de esta Unidad Ejecutora, conforme al siguiente detalle:</t>
  </si>
  <si>
    <t>Especificidades: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</si>
  <si>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</si>
  <si>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Descripcion Tecnica:</t>
  </si>
  <si>
    <t>Plazos de entrega:</t>
  </si>
  <si>
    <t>veinte (20) dias corridos</t>
  </si>
  <si>
    <t>Lugar de Entrega:</t>
  </si>
  <si>
    <t>DIR. PROV. DE ODONTOLOGIA - CHACABUCO N° 169 - en el horario de 8:00hs a 12:00hs de lunes a viernes</t>
  </si>
  <si>
    <t>Calidad Minima esperada:</t>
  </si>
  <si>
    <t>Mantenimiento:</t>
  </si>
  <si>
    <t>cuarenta y cinco (45) días</t>
  </si>
  <si>
    <t xml:space="preserve">DIRECCION PROVINCIAL DE ODONTOLOGIA </t>
  </si>
  <si>
    <t>CAPS / HOSPITALES</t>
  </si>
  <si>
    <t>PROFESIONALES</t>
  </si>
  <si>
    <t>HORARIOS</t>
  </si>
  <si>
    <t>PRESTACIONES</t>
  </si>
  <si>
    <t>SILLONES</t>
  </si>
  <si>
    <t>ESTADO</t>
  </si>
  <si>
    <t>APA. DE RAYO</t>
  </si>
  <si>
    <t>OBSERVACIONES</t>
  </si>
  <si>
    <t xml:space="preserve">CAPS JESUS DE NAZARET </t>
  </si>
  <si>
    <t>VALLICA ANABELLA</t>
  </si>
  <si>
    <t>TM</t>
  </si>
  <si>
    <t>OPERATORIA</t>
  </si>
  <si>
    <t>BLANCO ADRIANA</t>
  </si>
  <si>
    <t>TT</t>
  </si>
  <si>
    <t xml:space="preserve">CAPS APOLO </t>
  </si>
  <si>
    <t>ROBLES MARIA GIMENA</t>
  </si>
  <si>
    <t>ODONTOLOGIA GRAL.</t>
  </si>
  <si>
    <t>VILLAFAÑEZ EMILIO</t>
  </si>
  <si>
    <t>MESA LILIANA</t>
  </si>
  <si>
    <t xml:space="preserve">CAPS SAN JOSE OBRERO </t>
  </si>
  <si>
    <t>TAPIA SERGIO</t>
  </si>
  <si>
    <t>SECO AGUSTIN</t>
  </si>
  <si>
    <t xml:space="preserve">CAPS EVA PERON </t>
  </si>
  <si>
    <t>MOYANO  DANIEL</t>
  </si>
  <si>
    <t>AREVALO JULIA</t>
  </si>
  <si>
    <t xml:space="preserve">CAPS 500 VIVIENDAS </t>
  </si>
  <si>
    <t>LOBOS ALEJANDRO</t>
  </si>
  <si>
    <t>CAROSELLA ANTONELA</t>
  </si>
  <si>
    <t>FADEL MARIA SOLEDAD</t>
  </si>
  <si>
    <t>CAPS TERESA DE CALCUTA</t>
  </si>
  <si>
    <t>MORENO FERNANDO</t>
  </si>
  <si>
    <t>CAPS QUE PASA A LA MUNICIPALIDAD</t>
  </si>
  <si>
    <t>PASARIA AL EDGARDO ACUÑA</t>
  </si>
  <si>
    <t>EQUIPAMIENTO MUNICIPAL</t>
  </si>
  <si>
    <t>HOGAR ESCUELA</t>
  </si>
  <si>
    <t>EQUPAMIENTO DE EDUCACION</t>
  </si>
  <si>
    <t>ESCUELA 271 PROV. STGO. DEL ESTERO PASO AL EDGARDO ACUÑA</t>
  </si>
  <si>
    <t>MIRANDA RUTH</t>
  </si>
  <si>
    <t>CAPS LA CRUZ NEGRA</t>
  </si>
  <si>
    <t>OVEJERO ANA GABRIELA</t>
  </si>
  <si>
    <t>BURGOS LUCIANA</t>
  </si>
  <si>
    <t>CAPS BANDA DE VALERA</t>
  </si>
  <si>
    <t>VALVERDI GIMENA</t>
  </si>
  <si>
    <t>DINARO ALDO</t>
  </si>
  <si>
    <t>CAPS NUEVA CONETA</t>
  </si>
  <si>
    <t>UNZAGA MARIANO</t>
  </si>
  <si>
    <t>CIRUGIA</t>
  </si>
  <si>
    <t>MARTINEZ JAVIER</t>
  </si>
  <si>
    <t>TM L,M,V</t>
  </si>
  <si>
    <t>CAPS LIBERTADOR ll</t>
  </si>
  <si>
    <t>ZURITA VIRGINIA</t>
  </si>
  <si>
    <t>AVALOS BERRONDO GABRIEL</t>
  </si>
  <si>
    <t>EXODONCIA</t>
  </si>
  <si>
    <t>NAVARRO LOSSO SILVINA</t>
  </si>
  <si>
    <t>FERNANDEZ CINTIA</t>
  </si>
  <si>
    <t>CAPS ALEM</t>
  </si>
  <si>
    <t>ALSINA LUCIA</t>
  </si>
  <si>
    <t>GOMEZ PAOLA</t>
  </si>
  <si>
    <t>CAPS SAN MARTIN</t>
  </si>
  <si>
    <t>PERDIGON ELENA</t>
  </si>
  <si>
    <t>APARICIO GONZALO</t>
  </si>
  <si>
    <t>CAPS CARLOS BRAVO</t>
  </si>
  <si>
    <t>SOLA MARIANA</t>
  </si>
  <si>
    <t>ODONTOPEDIATRIA</t>
  </si>
  <si>
    <t>2 NO FUNCIONAN</t>
  </si>
  <si>
    <t>MORETA LEANDRO</t>
  </si>
  <si>
    <t xml:space="preserve">1 FUNCIONA </t>
  </si>
  <si>
    <t>MACEDO IGNACIO</t>
  </si>
  <si>
    <t>1 CON VARIOS DESPERFECTOS</t>
  </si>
  <si>
    <t>CARO HORACIO</t>
  </si>
  <si>
    <t>CAPS EDGARDO ACUÑA</t>
  </si>
  <si>
    <t>GARRIGA GUSTAVO</t>
  </si>
  <si>
    <t>SILLON MUNICIPAL</t>
  </si>
  <si>
    <t>OLMOS PABLO</t>
  </si>
  <si>
    <t xml:space="preserve"> 3 CON VARIOS DESPERFECTOS</t>
  </si>
  <si>
    <t>RX PROVINCIA</t>
  </si>
  <si>
    <t>CAPS 920</t>
  </si>
  <si>
    <t>PEÑARANDA KAREN</t>
  </si>
  <si>
    <t>DE MARCO MARIA INES</t>
  </si>
  <si>
    <t>TT( ART.25)</t>
  </si>
  <si>
    <t>LARGO TRAMIENTO POR HIJO CON C.A.</t>
  </si>
  <si>
    <t>LAS PIEDRAS BLANCAS</t>
  </si>
  <si>
    <t>FADEL SOLEDAD</t>
  </si>
  <si>
    <t>EL RODEO</t>
  </si>
  <si>
    <t>L TM y Mi TT</t>
  </si>
  <si>
    <t>LAS JUNTAS</t>
  </si>
  <si>
    <t>Mi TM</t>
  </si>
  <si>
    <t>HULLAPIMA</t>
  </si>
  <si>
    <t>PERNAS MAGALI</t>
  </si>
  <si>
    <t>COLONIA DEL VALLE</t>
  </si>
  <si>
    <t>BRANDAN JORGE</t>
  </si>
  <si>
    <t>CONCEPCION</t>
  </si>
  <si>
    <t>PERNA MAGALI</t>
  </si>
  <si>
    <t>LOS ANGELES</t>
  </si>
  <si>
    <t>MOLAS SANTIAGO</t>
  </si>
  <si>
    <t>MIRAFLORES</t>
  </si>
  <si>
    <t>Mar y Ju TM</t>
  </si>
  <si>
    <t>DISCAPACIDAD</t>
  </si>
  <si>
    <t>HERRERA MARIA JOSE</t>
  </si>
  <si>
    <t>GIL  KARINA</t>
  </si>
  <si>
    <t>SERVICIO PENITENCIARIO</t>
  </si>
  <si>
    <t>LOYOLA DAVID</t>
  </si>
  <si>
    <t>SUTIN MIRIAM</t>
  </si>
  <si>
    <t>C.I.S.</t>
  </si>
  <si>
    <t>GUILLAMONDEGUI PAT.</t>
  </si>
  <si>
    <t>OPERATORIA/EXODONCIA</t>
  </si>
  <si>
    <t>AVALOS BERRONDO ANA</t>
  </si>
  <si>
    <t>MATERNIDAD</t>
  </si>
  <si>
    <t>FERNANDEZ CECILIA</t>
  </si>
  <si>
    <t>LOBO HERRERA CRISTINA</t>
  </si>
  <si>
    <t>CAULA ALEJANDRA</t>
  </si>
  <si>
    <t>C.I.O.</t>
  </si>
  <si>
    <t>AGOSTINELLI CARLOS</t>
  </si>
  <si>
    <t>JEFE DE PROTESIS</t>
  </si>
  <si>
    <t>COLIVA IVANA</t>
  </si>
  <si>
    <t>CONSULTAS</t>
  </si>
  <si>
    <t>LUNA CARLOS</t>
  </si>
  <si>
    <t>SORIA MARIO</t>
  </si>
  <si>
    <t>GOMEZ GABRIEL</t>
  </si>
  <si>
    <t xml:space="preserve"> JEFE DE CIRUGIA</t>
  </si>
  <si>
    <t>CLAVERO LUIS</t>
  </si>
  <si>
    <t>RENTIN MARCELA</t>
  </si>
  <si>
    <t>FIGUEROA MARTHA</t>
  </si>
  <si>
    <t>DIRECTORA DEL CIO/ ENDOCONCIA</t>
  </si>
  <si>
    <t>DUARTE ALICIA</t>
  </si>
  <si>
    <t>PERIODONCIA</t>
  </si>
  <si>
    <t>MERCADO ELSA</t>
  </si>
  <si>
    <t>ENDODONCIA</t>
  </si>
  <si>
    <t>ROBLES ANA LAURA</t>
  </si>
  <si>
    <t>BOSIO CAROLINA</t>
  </si>
  <si>
    <t>ENDOCONCIA</t>
  </si>
  <si>
    <t>DIAZ GALVEZ ALEJANDRO</t>
  </si>
  <si>
    <t xml:space="preserve">MONRROY SILVIA </t>
  </si>
  <si>
    <t>HANSEN MATIAS</t>
  </si>
  <si>
    <t>PROTESIS</t>
  </si>
  <si>
    <t>RIZO GUSTAVO</t>
  </si>
  <si>
    <t>CATALDO MONICA</t>
  </si>
  <si>
    <t>ANTONI VIRGINIA</t>
  </si>
  <si>
    <t>RODRIGUEZ JORGE</t>
  </si>
  <si>
    <t>HERRERA MARIA DE LOS ANGELES</t>
  </si>
  <si>
    <t>ESTOMATOLOGIA</t>
  </si>
  <si>
    <t>BARRIONUEVO GUILLERMO</t>
  </si>
  <si>
    <t>JEFE DE EMERGENCIAS</t>
  </si>
  <si>
    <t>SORIA FERMINATT</t>
  </si>
  <si>
    <t>H. DE NIÑOS E. PERON</t>
  </si>
  <si>
    <t>MAZUCHELLI CECILIA</t>
  </si>
  <si>
    <t>DIRECTORA</t>
  </si>
  <si>
    <t>JIMENEZ CECILIA</t>
  </si>
  <si>
    <t>TM/T</t>
  </si>
  <si>
    <t>GLERIA MARCELO</t>
  </si>
  <si>
    <t>TOLEDO VICTOR</t>
  </si>
  <si>
    <t>ROMERO PERNA CANDELARIA</t>
  </si>
  <si>
    <t>ANDRADA CANDELARIA</t>
  </si>
  <si>
    <t>FLORIT MARCELA</t>
  </si>
  <si>
    <t>HOSPITAL VILLA DOLORES</t>
  </si>
  <si>
    <t>FADEL EDUARDO</t>
  </si>
  <si>
    <t>FADEL HORACIO</t>
  </si>
  <si>
    <t>SORIA CELESTE</t>
  </si>
  <si>
    <t>FIGUEROA MARTIN</t>
  </si>
  <si>
    <t>GOMEZ MARIANGELES</t>
  </si>
  <si>
    <t>BALVERDI GERMAN</t>
  </si>
  <si>
    <t>YEDRO GUSTAVO</t>
  </si>
  <si>
    <t>JIMENEZ JOSE MARIA</t>
  </si>
  <si>
    <t>BARRIONUEVO NATALIA</t>
  </si>
  <si>
    <t>FADEL MARIA LAURA</t>
  </si>
  <si>
    <t>CORONEL NATALIA</t>
  </si>
  <si>
    <t>LA PUERTA</t>
  </si>
  <si>
    <t>RODRIGUEZ YANINA</t>
  </si>
  <si>
    <t>COLLAGASTA</t>
  </si>
  <si>
    <t>PARRA FEDERICO</t>
  </si>
  <si>
    <t>LA CARRERA</t>
  </si>
  <si>
    <t>BARRIONUEVO FRANCO</t>
  </si>
  <si>
    <t>PERNA CANDELA</t>
  </si>
  <si>
    <t>LOS VARELAS</t>
  </si>
  <si>
    <t>EL PORTEZUELA</t>
  </si>
  <si>
    <t>LAS PIRQUITAS</t>
  </si>
  <si>
    <t>SAN ISIDRO</t>
  </si>
  <si>
    <t>NIEVA SILVIA</t>
  </si>
  <si>
    <t>LEGUIZAMON SUSANA</t>
  </si>
  <si>
    <t>LAS ESQUINAS</t>
  </si>
  <si>
    <t>RUIZ AGUSTINA</t>
  </si>
  <si>
    <t>SAN JOSE DE PIEDRA BLANCA</t>
  </si>
  <si>
    <t>PARRA EVANGELINA</t>
  </si>
  <si>
    <t>MALDONADO GLADYS</t>
  </si>
  <si>
    <t>NOBLEGA SUSANA</t>
  </si>
  <si>
    <t>OVEJERO EMILIA</t>
  </si>
  <si>
    <t>PONCE DARDO FELIX</t>
  </si>
  <si>
    <t>POZO DEL MISTOL</t>
  </si>
  <si>
    <t>SINGIL</t>
  </si>
  <si>
    <t>????</t>
  </si>
  <si>
    <t>LA TERCENA</t>
  </si>
  <si>
    <t>SAN ANTONIO F.M.ESQUIU</t>
  </si>
  <si>
    <t>CORONEL FERNANDO</t>
  </si>
  <si>
    <t>SAN ANTONIO DE PACLIN</t>
  </si>
  <si>
    <t>CUNEO KARINA</t>
  </si>
  <si>
    <t>HOSP. DE BALCOZNA</t>
  </si>
  <si>
    <t>GIMENEZ VICTOR</t>
  </si>
  <si>
    <t>HOSPITAL DE LA MERCED</t>
  </si>
  <si>
    <t>SAVIO LOURDES</t>
  </si>
  <si>
    <t>HOSPITAL DE CHUMBICHA</t>
  </si>
  <si>
    <t>CUELLO ERIKA</t>
  </si>
  <si>
    <t>SORIA JOSE LUIS</t>
  </si>
  <si>
    <t>DE SAN MARTIN</t>
  </si>
  <si>
    <t>SAN PEDRO</t>
  </si>
  <si>
    <t>CAPAYAN</t>
  </si>
  <si>
    <t>H. DE POMAN</t>
  </si>
  <si>
    <t>NAVARRO SONIA</t>
  </si>
  <si>
    <t>PAJONAL</t>
  </si>
  <si>
    <t>NIEVA RUBEN</t>
  </si>
  <si>
    <t>SAN MIGUEL</t>
  </si>
  <si>
    <t>ROMERO JORGE</t>
  </si>
  <si>
    <t>ROSARIO DE COLANA</t>
  </si>
  <si>
    <t>COLPES</t>
  </si>
  <si>
    <t>HOSP. MUTQUIN</t>
  </si>
  <si>
    <t>RINCON</t>
  </si>
  <si>
    <t>SIJAN</t>
  </si>
  <si>
    <t>MOYA PATRICIA</t>
  </si>
  <si>
    <t>HOSP. SAUJIL</t>
  </si>
  <si>
    <t>JAIS ROSA</t>
  </si>
  <si>
    <t>H. LOS ALTOS</t>
  </si>
  <si>
    <t>DEL PERO PAOLA</t>
  </si>
  <si>
    <t>H. DE ALIJILAN</t>
  </si>
  <si>
    <t>MEDINA WALTER</t>
  </si>
  <si>
    <t>H. LAVALLE</t>
  </si>
  <si>
    <t>H. DE BAÑADO DE OVANTA</t>
  </si>
  <si>
    <t>DIAZ JULIO</t>
  </si>
  <si>
    <t>HOSP. DE ICAÑO</t>
  </si>
  <si>
    <t>OLIVERA MARIELA</t>
  </si>
  <si>
    <t>HOSP. QUIROS</t>
  </si>
  <si>
    <t>CENA IVANA</t>
  </si>
  <si>
    <t>LA MAJADA</t>
  </si>
  <si>
    <t>ATALAH SERGIO</t>
  </si>
  <si>
    <t>HOSP. DE ANCASTI</t>
  </si>
  <si>
    <t>HOSP. SAN ANTONIO</t>
  </si>
  <si>
    <t>CAMPOS MARIELA</t>
  </si>
  <si>
    <t>H. DE RECREO</t>
  </si>
  <si>
    <t>AGUILAR FATIMA</t>
  </si>
  <si>
    <t xml:space="preserve">CAVAGNA MARIA </t>
  </si>
  <si>
    <t>AHUMADA LUIS</t>
  </si>
  <si>
    <t>ESQUIU</t>
  </si>
  <si>
    <t>MOYANO VIVIANA</t>
  </si>
  <si>
    <t>CASA DE PIEDRA</t>
  </si>
  <si>
    <t>DIAZ GABRIELA</t>
  </si>
  <si>
    <t>LA GUARDIA</t>
  </si>
  <si>
    <t>H. DE ANDALGALA</t>
  </si>
  <si>
    <t>HADDAD MARCELA</t>
  </si>
  <si>
    <t>AGÜERO KARINA</t>
  </si>
  <si>
    <t>NOBLEGA ANA LAURA</t>
  </si>
  <si>
    <t>FIGUEROA MONJES LUIS</t>
  </si>
  <si>
    <t>ROJANO CLAUDIA</t>
  </si>
  <si>
    <t>HUACO</t>
  </si>
  <si>
    <t>MALLI</t>
  </si>
  <si>
    <t>CHAQUIAGO</t>
  </si>
  <si>
    <t>HOSP. ACONQUIJA</t>
  </si>
  <si>
    <t>PEREA M. DE LOS ANGELES</t>
  </si>
  <si>
    <t>H. DE TINOGASTA</t>
  </si>
  <si>
    <t>MENDOZA NELSON</t>
  </si>
  <si>
    <t>ROJAS SERVENT</t>
  </si>
  <si>
    <t>ARCE NATALIA</t>
  </si>
  <si>
    <t>LAGARRALDE PEDRO</t>
  </si>
  <si>
    <t>H. DE FIAMBALA</t>
  </si>
  <si>
    <t>QUINTAR EDUARDO</t>
  </si>
  <si>
    <t>QUINTAR SIMON</t>
  </si>
  <si>
    <t>H. PALO BLANCO</t>
  </si>
  <si>
    <t>H. EL SALADO</t>
  </si>
  <si>
    <t>H. MEDANITO</t>
  </si>
  <si>
    <t>H. COPACABANA</t>
  </si>
  <si>
    <t xml:space="preserve">Bº LA PAZ </t>
  </si>
  <si>
    <t>SIERRALTA SERGIO</t>
  </si>
  <si>
    <t>EL PUSTO</t>
  </si>
  <si>
    <t>H. DE BELEN</t>
  </si>
  <si>
    <t>SANTAMARINA FEDERICO</t>
  </si>
  <si>
    <t>BAEZ LUCIANA</t>
  </si>
  <si>
    <t>TEME DANTE (Planta)</t>
  </si>
  <si>
    <t>H. DE LONDRE</t>
  </si>
  <si>
    <t>ARIAS ALBERTO</t>
  </si>
  <si>
    <t>H. CORRAL QUEMADO</t>
  </si>
  <si>
    <t>CARDOZO ALEJANDRA</t>
  </si>
  <si>
    <t>H. PUERTA DE CORRAL QUEMADO</t>
  </si>
  <si>
    <t>H. HUALFIN</t>
  </si>
  <si>
    <t>H. VILLA VIL</t>
  </si>
  <si>
    <t>PAEZ MARIA</t>
  </si>
  <si>
    <t>TEMES DANTE (comunitario)</t>
  </si>
  <si>
    <t>H. POZO DE PIEDRA</t>
  </si>
  <si>
    <t>PAEZ DANTE</t>
  </si>
  <si>
    <t>H. LA CIENEGA</t>
  </si>
  <si>
    <t>H. SAN FERNANDO</t>
  </si>
  <si>
    <t>H. DE SANTA MARIA</t>
  </si>
  <si>
    <t>QUIROZ GRACIELA</t>
  </si>
  <si>
    <t xml:space="preserve">MATURANO ROXANA </t>
  </si>
  <si>
    <t>AYALA ANALIA</t>
  </si>
  <si>
    <t>CHAÑAR PUNCO</t>
  </si>
  <si>
    <t>CONTRERAS HIPOLITO</t>
  </si>
  <si>
    <t>LORO HUASI</t>
  </si>
  <si>
    <t>SAN ANTONIO DEL CAJON</t>
  </si>
  <si>
    <t>H. SAN JOSE</t>
  </si>
  <si>
    <t>PALACIOS JULIA</t>
  </si>
  <si>
    <t>LAGORIA DANIEL</t>
  </si>
  <si>
    <t>HOSP. EL ALTO</t>
  </si>
  <si>
    <t>BLANCO ROLANDO</t>
  </si>
  <si>
    <t>VILISMAN</t>
  </si>
  <si>
    <t>GUAYAMBA</t>
  </si>
  <si>
    <t>COLONIA DE ACHALCO</t>
  </si>
  <si>
    <t>VITAR NOEMI</t>
  </si>
  <si>
    <t>H. DE ANTOFAGASTA DE LA SIERRA</t>
  </si>
  <si>
    <t>DE LA RICA PAULA</t>
  </si>
  <si>
    <t>EL PEÑON</t>
  </si>
  <si>
    <t>CIO</t>
  </si>
  <si>
    <t>SUBTOTALES</t>
  </si>
  <si>
    <t>CARLOS BRAVO</t>
  </si>
  <si>
    <t>MUNICIPALIDAD</t>
  </si>
  <si>
    <t>H.I.N.E.P.</t>
  </si>
  <si>
    <t>EDGARDO ACUÑA</t>
  </si>
  <si>
    <t>TERESA DE CALCUTA</t>
  </si>
  <si>
    <t xml:space="preserve">DISCPACIDAD </t>
  </si>
  <si>
    <t>MINIST. DE EDUCACION</t>
  </si>
  <si>
    <t>SERV. PENITENCIARIO</t>
  </si>
  <si>
    <t>AREA PROGRAMATICA Nº 1</t>
  </si>
  <si>
    <t>TOTAL DE EQUIPOS</t>
  </si>
  <si>
    <t>50 RX</t>
  </si>
  <si>
    <t>AREA PROGRAMATICA Nº 2</t>
  </si>
  <si>
    <t>AREA PROGRAMATICA Nº 3</t>
  </si>
  <si>
    <t>AREA PROGRAMATICA Nº 4</t>
  </si>
  <si>
    <t>AREA PROGRAMATICA Nº 5</t>
  </si>
  <si>
    <t>AREA PROGRAMATICA Nº 6</t>
  </si>
  <si>
    <t>AREA PROGRAMATICA Nº 7</t>
  </si>
  <si>
    <t>AREA PROGRAMATICA Nº 8</t>
  </si>
  <si>
    <t>AREA PROGRAMATICA Nº 9</t>
  </si>
  <si>
    <t>AREA PROGRAMATICA Nº 10</t>
  </si>
  <si>
    <t>AREA PROGRAMATICA Nº 11</t>
  </si>
  <si>
    <t>AREA PROGRAMATICA Nº 12</t>
  </si>
  <si>
    <t>AREA PROGRAMATICA Nº 13</t>
  </si>
  <si>
    <t>AREA PROGRAMATICA Nº 14</t>
  </si>
  <si>
    <t>TOTAL PROFESIONALES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</si>
</sst>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&quot;$&quot;\ #,##0.00"/>
    <numFmt numFmtId="165" formatCode="[$$-2C0A]\ #,##0.00"/>
    <numFmt numFmtId="166" formatCode="_-[$$-2C0A]\ * #,##0.00_-;\-[$$-2C0A]\ * #,##0.00_-;_-[$$-2C0A]\ * &quot;-&quot;??_-;_-@_-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0"/>
      <name val="Calibri"/>
      <family val="2"/>
      <scheme val="minor"/>
    </font>
    <font>
      <b/>
      <sz val="14"/>
      <name val="Times New Roman"/>
      <family val="1"/>
    </font>
    <font>
      <sz val="11"/>
      <name val="Times New Roman"/>
      <family val="1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7" fontId="3" fillId="0" borderId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23" fillId="0" borderId="0" applyBorder="0" applyProtection="0"/>
  </cellStyleXfs>
  <cellXfs count="35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6" fontId="0" fillId="0" borderId="0" xfId="0" applyNumberFormat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66" fontId="10" fillId="0" borderId="7" xfId="1" applyNumberFormat="1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Fill="1" applyBorder="1" applyAlignment="1">
      <alignment horizontal="center" vertical="center"/>
    </xf>
    <xf numFmtId="166" fontId="9" fillId="0" borderId="9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 wrapText="1"/>
    </xf>
    <xf numFmtId="166" fontId="9" fillId="0" borderId="1" xfId="1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Fill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0" fontId="9" fillId="0" borderId="1" xfId="0" applyFont="1" applyBorder="1"/>
    <xf numFmtId="0" fontId="9" fillId="0" borderId="5" xfId="0" applyFont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6" fontId="9" fillId="0" borderId="0" xfId="0" applyNumberFormat="1" applyFon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6" fontId="13" fillId="0" borderId="11" xfId="0" applyNumberFormat="1" applyFont="1" applyBorder="1" applyAlignment="1">
      <alignment horizontal="right" vertical="center"/>
    </xf>
    <xf numFmtId="0" fontId="14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66" fontId="13" fillId="0" borderId="0" xfId="0" applyNumberFormat="1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5" fillId="0" borderId="21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 indent="1"/>
    </xf>
    <xf numFmtId="166" fontId="14" fillId="0" borderId="0" xfId="0" applyNumberFormat="1" applyFont="1" applyBorder="1" applyAlignment="1">
      <alignment horizontal="left" vertical="center" wrapText="1" indent="1"/>
    </xf>
    <xf numFmtId="0" fontId="14" fillId="0" borderId="15" xfId="0" applyFont="1" applyBorder="1" applyAlignment="1">
      <alignment horizontal="left" vertical="center" wrapText="1" indent="1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/>
    </xf>
    <xf numFmtId="0" fontId="18" fillId="0" borderId="26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166" fontId="18" fillId="0" borderId="26" xfId="0" applyNumberFormat="1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 vertical="center" wrapText="1"/>
    </xf>
    <xf numFmtId="3" fontId="18" fillId="0" borderId="32" xfId="0" applyNumberFormat="1" applyFont="1" applyBorder="1" applyAlignment="1">
      <alignment horizontal="center" vertical="center"/>
    </xf>
    <xf numFmtId="3" fontId="21" fillId="0" borderId="39" xfId="0" applyNumberFormat="1" applyFont="1" applyBorder="1" applyAlignment="1"/>
    <xf numFmtId="168" fontId="0" fillId="0" borderId="39" xfId="0" applyNumberFormat="1" applyBorder="1" applyAlignment="1">
      <alignment horizontal="left"/>
    </xf>
    <xf numFmtId="0" fontId="0" fillId="0" borderId="39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45" xfId="0" applyBorder="1"/>
    <xf numFmtId="0" fontId="26" fillId="0" borderId="48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58" xfId="0" applyFont="1" applyBorder="1" applyAlignment="1">
      <alignment horizontal="center" vertical="center"/>
    </xf>
    <xf numFmtId="0" fontId="0" fillId="0" borderId="59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66" fontId="11" fillId="0" borderId="0" xfId="0" applyNumberFormat="1" applyFont="1"/>
    <xf numFmtId="166" fontId="0" fillId="0" borderId="55" xfId="8" applyNumberFormat="1" applyFont="1" applyBorder="1" applyAlignment="1" applyProtection="1">
      <alignment horizontal="center" vertical="center"/>
    </xf>
    <xf numFmtId="166" fontId="0" fillId="0" borderId="60" xfId="8" applyNumberFormat="1" applyFont="1" applyBorder="1" applyAlignment="1" applyProtection="1">
      <alignment horizontal="center" vertical="center"/>
    </xf>
    <xf numFmtId="166" fontId="0" fillId="0" borderId="64" xfId="8" applyNumberFormat="1" applyFont="1" applyBorder="1" applyAlignment="1" applyProtection="1">
      <alignment horizontal="center" vertical="center"/>
    </xf>
    <xf numFmtId="166" fontId="26" fillId="0" borderId="67" xfId="0" applyNumberFormat="1" applyFont="1" applyBorder="1" applyAlignment="1">
      <alignment horizontal="center" vertical="center"/>
    </xf>
    <xf numFmtId="0" fontId="11" fillId="0" borderId="0" xfId="0" applyFont="1"/>
    <xf numFmtId="166" fontId="27" fillId="0" borderId="0" xfId="0" applyNumberFormat="1" applyFont="1"/>
    <xf numFmtId="0" fontId="27" fillId="0" borderId="0" xfId="0" applyFont="1"/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9" fillId="0" borderId="10" xfId="5" applyFont="1" applyFill="1" applyBorder="1" applyAlignment="1">
      <alignment horizontal="center" vertical="center" wrapText="1"/>
    </xf>
    <xf numFmtId="0" fontId="29" fillId="0" borderId="21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" fillId="0" borderId="15" xfId="5" applyFont="1" applyFill="1" applyBorder="1" applyAlignment="1">
      <alignment horizontal="left" vertical="center" wrapText="1"/>
    </xf>
    <xf numFmtId="0" fontId="29" fillId="0" borderId="21" xfId="5" applyFont="1" applyFill="1" applyBorder="1" applyAlignment="1">
      <alignment horizontal="center" wrapText="1"/>
    </xf>
    <xf numFmtId="0" fontId="2" fillId="0" borderId="0" xfId="5" applyFont="1" applyFill="1" applyBorder="1" applyAlignment="1">
      <alignment horizontal="left" vertical="center"/>
    </xf>
    <xf numFmtId="0" fontId="2" fillId="0" borderId="0" xfId="5" applyFont="1" applyFill="1" applyBorder="1" applyAlignment="1">
      <alignment horizontal="center"/>
    </xf>
    <xf numFmtId="0" fontId="2" fillId="0" borderId="0" xfId="5" applyFont="1" applyFill="1" applyBorder="1" applyAlignment="1">
      <alignment horizontal="center" vertical="center" wrapText="1"/>
    </xf>
    <xf numFmtId="0" fontId="2" fillId="0" borderId="15" xfId="5" applyFont="1" applyFill="1" applyBorder="1" applyAlignment="1">
      <alignment horizontal="center"/>
    </xf>
    <xf numFmtId="0" fontId="2" fillId="0" borderId="0" xfId="5" applyFont="1" applyFill="1" applyBorder="1" applyAlignment="1">
      <alignment horizontal="center" vertical="center"/>
    </xf>
    <xf numFmtId="0" fontId="29" fillId="0" borderId="21" xfId="5" applyFont="1" applyBorder="1" applyAlignment="1">
      <alignment horizontal="center" wrapText="1"/>
    </xf>
    <xf numFmtId="0" fontId="2" fillId="0" borderId="0" xfId="5" applyFont="1" applyBorder="1" applyAlignment="1">
      <alignment horizontal="center" vertical="center"/>
    </xf>
    <xf numFmtId="0" fontId="2" fillId="0" borderId="0" xfId="5" applyFont="1" applyBorder="1" applyAlignment="1">
      <alignment horizontal="center"/>
    </xf>
    <xf numFmtId="0" fontId="2" fillId="0" borderId="0" xfId="5" applyFont="1" applyBorder="1" applyAlignment="1">
      <alignment horizontal="center" vertical="center" wrapText="1"/>
    </xf>
    <xf numFmtId="0" fontId="2" fillId="0" borderId="15" xfId="5" applyFont="1" applyBorder="1" applyAlignment="1">
      <alignment horizontal="center"/>
    </xf>
    <xf numFmtId="0" fontId="29" fillId="0" borderId="71" xfId="5" applyFont="1" applyBorder="1" applyAlignment="1">
      <alignment horizontal="center" wrapText="1"/>
    </xf>
    <xf numFmtId="0" fontId="2" fillId="0" borderId="72" xfId="5" applyFont="1" applyBorder="1" applyAlignment="1">
      <alignment horizontal="left" vertical="center"/>
    </xf>
    <xf numFmtId="0" fontId="2" fillId="0" borderId="72" xfId="5" applyFont="1" applyBorder="1" applyAlignment="1">
      <alignment horizontal="center"/>
    </xf>
    <xf numFmtId="0" fontId="2" fillId="0" borderId="72" xfId="5" applyFont="1" applyBorder="1" applyAlignment="1">
      <alignment horizontal="center" vertical="center" wrapText="1"/>
    </xf>
    <xf numFmtId="0" fontId="2" fillId="0" borderId="73" xfId="5" applyFont="1" applyBorder="1" applyAlignment="1">
      <alignment horizontal="center"/>
    </xf>
    <xf numFmtId="0" fontId="30" fillId="0" borderId="0" xfId="0" applyFont="1"/>
    <xf numFmtId="0" fontId="0" fillId="0" borderId="0" xfId="0" applyAlignment="1">
      <alignment horizontal="center"/>
    </xf>
    <xf numFmtId="0" fontId="31" fillId="0" borderId="7" xfId="0" applyFont="1" applyBorder="1" applyAlignment="1">
      <alignment vertical="center"/>
    </xf>
    <xf numFmtId="0" fontId="31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0" fillId="0" borderId="26" xfId="0" applyFill="1" applyBorder="1" applyAlignment="1">
      <alignment vertical="center"/>
    </xf>
    <xf numFmtId="0" fontId="0" fillId="0" borderId="26" xfId="0" applyFill="1" applyBorder="1" applyAlignment="1">
      <alignment horizontal="center" vertical="center"/>
    </xf>
    <xf numFmtId="0" fontId="0" fillId="0" borderId="74" xfId="0" applyBorder="1"/>
    <xf numFmtId="0" fontId="0" fillId="0" borderId="76" xfId="0" applyFill="1" applyBorder="1" applyAlignment="1">
      <alignment vertical="center"/>
    </xf>
    <xf numFmtId="0" fontId="0" fillId="0" borderId="76" xfId="0" applyFill="1" applyBorder="1" applyAlignment="1">
      <alignment horizontal="center" vertical="center"/>
    </xf>
    <xf numFmtId="0" fontId="0" fillId="0" borderId="44" xfId="0" applyBorder="1"/>
    <xf numFmtId="0" fontId="0" fillId="0" borderId="27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84" xfId="0" applyFill="1" applyBorder="1" applyAlignment="1">
      <alignment horizontal="center" vertical="center"/>
    </xf>
    <xf numFmtId="0" fontId="0" fillId="0" borderId="79" xfId="0" applyFill="1" applyBorder="1" applyAlignment="1">
      <alignment horizontal="center" vertical="center"/>
    </xf>
    <xf numFmtId="0" fontId="0" fillId="0" borderId="78" xfId="0" applyFill="1" applyBorder="1" applyAlignment="1">
      <alignment horizontal="left" vertical="center"/>
    </xf>
    <xf numFmtId="0" fontId="0" fillId="0" borderId="79" xfId="0" applyFill="1" applyBorder="1" applyAlignment="1">
      <alignment vertical="center"/>
    </xf>
    <xf numFmtId="0" fontId="0" fillId="0" borderId="79" xfId="0" applyFill="1" applyBorder="1" applyAlignment="1">
      <alignment horizontal="center" vertical="center" wrapText="1"/>
    </xf>
    <xf numFmtId="0" fontId="0" fillId="0" borderId="85" xfId="0" applyFill="1" applyBorder="1" applyAlignment="1">
      <alignment horizontal="center" vertical="center" wrapText="1"/>
    </xf>
    <xf numFmtId="0" fontId="0" fillId="0" borderId="74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 wrapText="1"/>
    </xf>
    <xf numFmtId="0" fontId="0" fillId="0" borderId="77" xfId="0" applyFill="1" applyBorder="1" applyAlignment="1">
      <alignment horizontal="center" vertical="center" wrapText="1"/>
    </xf>
    <xf numFmtId="0" fontId="0" fillId="0" borderId="36" xfId="0" applyBorder="1"/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86" xfId="0" applyFill="1" applyBorder="1" applyAlignment="1">
      <alignment horizontal="center" vertical="center" wrapText="1"/>
    </xf>
    <xf numFmtId="0" fontId="0" fillId="0" borderId="85" xfId="0" applyFill="1" applyBorder="1" applyAlignment="1">
      <alignment horizontal="center" vertical="center"/>
    </xf>
    <xf numFmtId="0" fontId="0" fillId="0" borderId="83" xfId="0" applyFill="1" applyBorder="1" applyAlignment="1">
      <alignment vertical="center"/>
    </xf>
    <xf numFmtId="0" fontId="0" fillId="0" borderId="83" xfId="0" applyFill="1" applyBorder="1" applyAlignment="1">
      <alignment horizontal="center" vertical="center"/>
    </xf>
    <xf numFmtId="0" fontId="0" fillId="0" borderId="87" xfId="0" applyFill="1" applyBorder="1" applyAlignment="1">
      <alignment horizontal="center" vertical="center"/>
    </xf>
    <xf numFmtId="0" fontId="0" fillId="0" borderId="26" xfId="0" applyFill="1" applyBorder="1"/>
    <xf numFmtId="0" fontId="0" fillId="0" borderId="26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76" xfId="0" applyFill="1" applyBorder="1"/>
    <xf numFmtId="0" fontId="0" fillId="0" borderId="76" xfId="0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79" xfId="0" applyFill="1" applyBorder="1" applyAlignment="1">
      <alignment horizontal="left" vertical="center"/>
    </xf>
    <xf numFmtId="0" fontId="0" fillId="0" borderId="74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81" xfId="0" applyFill="1" applyBorder="1" applyAlignment="1">
      <alignment horizontal="center" vertical="center"/>
    </xf>
    <xf numFmtId="0" fontId="0" fillId="0" borderId="44" xfId="0" applyFill="1" applyBorder="1" applyAlignment="1">
      <alignment horizontal="left" vertical="center"/>
    </xf>
    <xf numFmtId="0" fontId="0" fillId="0" borderId="76" xfId="0" applyFill="1" applyBorder="1" applyAlignment="1">
      <alignment horizontal="left" vertical="center"/>
    </xf>
    <xf numFmtId="0" fontId="0" fillId="0" borderId="76" xfId="0" applyFill="1" applyBorder="1" applyAlignment="1">
      <alignment horizontal="center" wrapText="1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/>
    <xf numFmtId="0" fontId="0" fillId="0" borderId="7" xfId="0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6" xfId="0" applyFill="1" applyBorder="1" applyAlignment="1">
      <alignment horizontal="center" vertical="center"/>
    </xf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6" xfId="0" applyFill="1" applyBorder="1"/>
    <xf numFmtId="0" fontId="0" fillId="0" borderId="86" xfId="0" applyFill="1" applyBorder="1"/>
    <xf numFmtId="0" fontId="0" fillId="0" borderId="27" xfId="0" applyFill="1" applyBorder="1"/>
    <xf numFmtId="0" fontId="0" fillId="0" borderId="4" xfId="0" applyFill="1" applyBorder="1"/>
    <xf numFmtId="0" fontId="0" fillId="0" borderId="77" xfId="0" applyFill="1" applyBorder="1"/>
    <xf numFmtId="0" fontId="0" fillId="0" borderId="81" xfId="0" applyFill="1" applyBorder="1"/>
    <xf numFmtId="0" fontId="0" fillId="0" borderId="81" xfId="0" applyFill="1" applyBorder="1" applyAlignment="1">
      <alignment horizontal="center"/>
    </xf>
    <xf numFmtId="0" fontId="0" fillId="0" borderId="88" xfId="0" applyFill="1" applyBorder="1"/>
    <xf numFmtId="0" fontId="0" fillId="0" borderId="83" xfId="0" applyFill="1" applyBorder="1" applyAlignment="1">
      <alignment horizontal="center"/>
    </xf>
    <xf numFmtId="0" fontId="0" fillId="0" borderId="91" xfId="0" applyFill="1" applyBorder="1" applyAlignment="1">
      <alignment horizontal="left" vertical="center"/>
    </xf>
    <xf numFmtId="0" fontId="0" fillId="0" borderId="79" xfId="0" applyFill="1" applyBorder="1"/>
    <xf numFmtId="0" fontId="0" fillId="0" borderId="79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92" xfId="0" applyFill="1" applyBorder="1"/>
    <xf numFmtId="0" fontId="0" fillId="0" borderId="83" xfId="0" applyFill="1" applyBorder="1"/>
    <xf numFmtId="0" fontId="0" fillId="0" borderId="6" xfId="0" applyFill="1" applyBorder="1" applyAlignment="1">
      <alignment vertical="center"/>
    </xf>
    <xf numFmtId="0" fontId="0" fillId="0" borderId="86" xfId="0" applyFill="1" applyBorder="1" applyAlignment="1">
      <alignment horizontal="center"/>
    </xf>
    <xf numFmtId="0" fontId="0" fillId="0" borderId="3" xfId="0" applyFill="1" applyBorder="1" applyAlignment="1">
      <alignment horizontal="left" vertical="center"/>
    </xf>
    <xf numFmtId="0" fontId="0" fillId="0" borderId="81" xfId="0" applyFill="1" applyBorder="1" applyAlignment="1">
      <alignment horizontal="left" vertical="center"/>
    </xf>
    <xf numFmtId="0" fontId="0" fillId="0" borderId="88" xfId="0" applyFill="1" applyBorder="1" applyAlignment="1">
      <alignment horizontal="center" vertical="center"/>
    </xf>
    <xf numFmtId="0" fontId="0" fillId="0" borderId="82" xfId="0" applyFill="1" applyBorder="1" applyAlignment="1">
      <alignment horizontal="left" vertical="center"/>
    </xf>
    <xf numFmtId="0" fontId="0" fillId="0" borderId="7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6" xfId="0" applyFill="1" applyBorder="1" applyAlignment="1">
      <alignment wrapText="1"/>
    </xf>
    <xf numFmtId="0" fontId="0" fillId="0" borderId="86" xfId="0" applyBorder="1" applyAlignment="1">
      <alignment horizontal="center"/>
    </xf>
    <xf numFmtId="0" fontId="0" fillId="0" borderId="86" xfId="0" applyBorder="1"/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2" fillId="0" borderId="39" xfId="5" applyFont="1" applyFill="1" applyBorder="1" applyAlignment="1">
      <alignment horizontal="left" vertical="center" wrapText="1"/>
    </xf>
    <xf numFmtId="0" fontId="2" fillId="0" borderId="70" xfId="5" applyFont="1" applyFill="1" applyBorder="1" applyAlignment="1">
      <alignment horizontal="left" vertical="center" wrapText="1"/>
    </xf>
    <xf numFmtId="0" fontId="2" fillId="0" borderId="0" xfId="5" applyFont="1" applyFill="1" applyBorder="1" applyAlignment="1">
      <alignment horizontal="left" vertical="center"/>
    </xf>
    <xf numFmtId="0" fontId="2" fillId="0" borderId="15" xfId="5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165" fontId="20" fillId="0" borderId="36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 indent="1"/>
    </xf>
    <xf numFmtId="0" fontId="15" fillId="0" borderId="18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166" fontId="16" fillId="0" borderId="23" xfId="0" applyNumberFormat="1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 wrapText="1" indent="1"/>
    </xf>
    <xf numFmtId="0" fontId="0" fillId="0" borderId="43" xfId="0" applyBorder="1"/>
    <xf numFmtId="0" fontId="21" fillId="0" borderId="17" xfId="0" applyFont="1" applyBorder="1" applyAlignment="1">
      <alignment vertical="center" wrapText="1"/>
    </xf>
    <xf numFmtId="0" fontId="24" fillId="0" borderId="47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 indent="1"/>
    </xf>
    <xf numFmtId="0" fontId="0" fillId="0" borderId="62" xfId="0" applyBorder="1" applyAlignment="1">
      <alignment horizontal="left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 wrapText="1"/>
    </xf>
    <xf numFmtId="0" fontId="21" fillId="0" borderId="65" xfId="0" applyFont="1" applyBorder="1" applyAlignment="1">
      <alignment horizontal="left" vertical="center" wrapText="1"/>
    </xf>
    <xf numFmtId="0" fontId="21" fillId="0" borderId="66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center" vertical="center"/>
    </xf>
    <xf numFmtId="0" fontId="0" fillId="0" borderId="59" xfId="0" applyFont="1" applyBorder="1" applyAlignment="1">
      <alignment horizontal="left" vertical="center"/>
    </xf>
    <xf numFmtId="0" fontId="0" fillId="0" borderId="68" xfId="0" applyBorder="1" applyAlignment="1">
      <alignment horizontal="left"/>
    </xf>
    <xf numFmtId="0" fontId="0" fillId="0" borderId="69" xfId="0" applyBorder="1" applyAlignment="1">
      <alignment horizontal="left"/>
    </xf>
    <xf numFmtId="0" fontId="0" fillId="0" borderId="68" xfId="0" applyFont="1" applyBorder="1" applyAlignment="1">
      <alignment horizontal="left" vertical="center"/>
    </xf>
    <xf numFmtId="0" fontId="0" fillId="0" borderId="69" xfId="0" applyFont="1" applyBorder="1" applyAlignment="1">
      <alignment horizontal="left" vertical="center"/>
    </xf>
    <xf numFmtId="0" fontId="0" fillId="0" borderId="68" xfId="0" applyFont="1" applyBorder="1" applyAlignment="1">
      <alignment horizontal="left" vertical="center" wrapText="1"/>
    </xf>
    <xf numFmtId="0" fontId="0" fillId="0" borderId="69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24" fillId="0" borderId="41" xfId="0" applyFont="1" applyBorder="1" applyAlignment="1">
      <alignment horizontal="left" indent="1"/>
    </xf>
    <xf numFmtId="0" fontId="25" fillId="0" borderId="42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49" fontId="24" fillId="0" borderId="44" xfId="0" applyNumberFormat="1" applyFont="1" applyBorder="1" applyAlignment="1">
      <alignment horizontal="justify" vertical="center" wrapText="1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/>
    </xf>
    <xf numFmtId="3" fontId="21" fillId="0" borderId="38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3" fillId="0" borderId="40" xfId="0" applyFont="1" applyBorder="1"/>
    <xf numFmtId="0" fontId="0" fillId="0" borderId="25" xfId="0" applyFill="1" applyBorder="1" applyAlignment="1">
      <alignment horizontal="left" vertical="center"/>
    </xf>
    <xf numFmtId="0" fontId="0" fillId="0" borderId="75" xfId="0" applyFill="1" applyBorder="1" applyAlignment="1">
      <alignment horizontal="left" vertical="center"/>
    </xf>
    <xf numFmtId="0" fontId="0" fillId="0" borderId="79" xfId="0" applyFill="1" applyBorder="1" applyAlignment="1">
      <alignment horizontal="center" vertical="center"/>
    </xf>
    <xf numFmtId="0" fontId="0" fillId="0" borderId="83" xfId="0" applyFill="1" applyBorder="1" applyAlignment="1">
      <alignment horizontal="center" vertical="center"/>
    </xf>
    <xf numFmtId="0" fontId="0" fillId="0" borderId="30" xfId="0" applyFill="1" applyBorder="1" applyAlignment="1">
      <alignment horizontal="left" vertical="center"/>
    </xf>
    <xf numFmtId="0" fontId="0" fillId="0" borderId="2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78" xfId="0" applyFill="1" applyBorder="1" applyAlignment="1">
      <alignment horizontal="left" vertical="center"/>
    </xf>
    <xf numFmtId="0" fontId="0" fillId="0" borderId="80" xfId="0" applyFill="1" applyBorder="1" applyAlignment="1">
      <alignment horizontal="left" vertical="center"/>
    </xf>
    <xf numFmtId="0" fontId="0" fillId="0" borderId="82" xfId="0" applyFill="1" applyBorder="1" applyAlignment="1">
      <alignment horizontal="left" vertical="center"/>
    </xf>
    <xf numFmtId="0" fontId="0" fillId="0" borderId="81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7" xfId="0" applyFill="1" applyBorder="1" applyAlignment="1">
      <alignment horizontal="center"/>
    </xf>
    <xf numFmtId="0" fontId="0" fillId="0" borderId="89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84" xfId="0" applyFill="1" applyBorder="1" applyAlignment="1">
      <alignment horizontal="center" vertical="center"/>
    </xf>
    <xf numFmtId="0" fontId="0" fillId="0" borderId="90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8" xfId="0" applyFill="1" applyBorder="1" applyAlignment="1">
      <alignment horizontal="center" vertical="center"/>
    </xf>
  </cellXfs>
  <cellStyles count="9">
    <cellStyle name="Moneda" xfId="1" builtinId="4"/>
    <cellStyle name="Moneda 2" xfId="3" xr:uid="{00000000-0005-0000-0000-000001000000}"/>
    <cellStyle name="Moneda_AUTORIZACION Y NOTA DE PEDIDO" xfId="8" xr:uid="{00000000-0005-0000-0000-000002000000}"/>
    <cellStyle name="Normal" xfId="0" builtinId="0"/>
    <cellStyle name="Normal 2" xfId="2" xr:uid="{00000000-0005-0000-0000-000004000000}"/>
    <cellStyle name="Normal 2 2" xfId="5" xr:uid="{00000000-0005-0000-0000-000005000000}"/>
    <cellStyle name="Normal 3" xfId="7" xr:uid="{00000000-0005-0000-0000-000006000000}"/>
    <cellStyle name="Normal 4" xfId="6" xr:uid="{00000000-0005-0000-0000-000007000000}"/>
    <cellStyle name="Normal 5" xfId="4" xr:uid="{00000000-0005-0000-0000-000008000000}"/>
  </cellStyles>
  <dxfs count="25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75"/>
  <sheetViews>
    <sheetView tabSelected="1" topLeftCell="A145" zoomScaleNormal="100" workbookViewId="0">
      <selection activeCell="AX156" sqref="AX156"/>
    </sheetView>
  </sheetViews>
  <sheetFormatPr baseColWidth="10" defaultRowHeight="15" x14ac:dyDescent="0.25"/>
  <cols>
    <col min="1" max="1" width="4.85546875" style="140" bestFit="1" customWidth="1"/>
    <col min="2" max="2" width="13" style="23" bestFit="1" customWidth="1"/>
    <col min="3" max="3" width="30.28515625" style="23" bestFit="1" customWidth="1"/>
    <col min="4" max="4" width="5.5703125" style="23" bestFit="1" customWidth="1"/>
    <col min="5" max="5" width="90" style="32" customWidth="1"/>
    <col min="6" max="6" width="10.5703125" style="23" bestFit="1" customWidth="1"/>
    <col min="7" max="7" width="17.140625" style="23" hidden="1" customWidth="1"/>
    <col min="8" max="8" width="10.85546875" style="23" hidden="1" customWidth="1"/>
    <col min="9" max="9" width="8" style="23" hidden="1" customWidth="1"/>
    <col min="10" max="10" width="14.5703125" style="23" hidden="1" customWidth="1"/>
    <col min="11" max="11" width="9.42578125" style="23" hidden="1" customWidth="1"/>
    <col min="12" max="12" width="14" style="23" hidden="1" customWidth="1"/>
    <col min="13" max="13" width="8.28515625" style="23" hidden="1" customWidth="1"/>
    <col min="14" max="14" width="14.140625" style="23" hidden="1" customWidth="1"/>
    <col min="15" max="15" width="4.5703125" style="23" hidden="1" customWidth="1"/>
    <col min="16" max="16" width="12.42578125" style="23" hidden="1" customWidth="1"/>
    <col min="17" max="17" width="14.7109375" style="23" hidden="1" customWidth="1"/>
    <col min="18" max="18" width="13.42578125" style="23" hidden="1" customWidth="1"/>
    <col min="19" max="20" width="10.5703125" style="23" hidden="1" customWidth="1"/>
    <col min="21" max="21" width="14.7109375" style="23" hidden="1" customWidth="1"/>
    <col min="22" max="22" width="13.7109375" style="23" hidden="1" customWidth="1"/>
    <col min="23" max="23" width="6" style="23" hidden="1" customWidth="1"/>
    <col min="24" max="24" width="9.85546875" style="23" hidden="1" customWidth="1"/>
    <col min="25" max="25" width="10.140625" style="23" hidden="1" customWidth="1"/>
    <col min="26" max="26" width="13.5703125" style="23" hidden="1" customWidth="1"/>
    <col min="27" max="28" width="14.42578125" style="23" hidden="1" customWidth="1"/>
    <col min="29" max="29" width="5.7109375" style="23" hidden="1" customWidth="1"/>
    <col min="30" max="30" width="12.28515625" style="23" hidden="1" customWidth="1"/>
    <col min="31" max="31" width="10.140625" style="23" hidden="1" customWidth="1"/>
    <col min="32" max="32" width="13.5703125" style="23" hidden="1" customWidth="1"/>
    <col min="33" max="33" width="12.140625" style="23" hidden="1" customWidth="1"/>
    <col min="34" max="34" width="13" style="23" hidden="1" customWidth="1"/>
    <col min="35" max="35" width="7.42578125" style="23" hidden="1" customWidth="1"/>
    <col min="36" max="36" width="14" style="23" hidden="1" customWidth="1"/>
    <col min="37" max="37" width="4.7109375" style="23" hidden="1" customWidth="1"/>
    <col min="38" max="38" width="11.28515625" style="23" hidden="1" customWidth="1"/>
    <col min="39" max="39" width="6.5703125" style="23" hidden="1" customWidth="1"/>
    <col min="40" max="40" width="13.140625" style="23" hidden="1" customWidth="1"/>
    <col min="41" max="41" width="14.85546875" style="23" hidden="1" customWidth="1"/>
    <col min="42" max="42" width="13.5703125" style="23" hidden="1" customWidth="1"/>
    <col min="43" max="43" width="13.85546875" style="23" hidden="1" customWidth="1"/>
    <col min="44" max="44" width="12.42578125" style="23" hidden="1" customWidth="1"/>
    <col min="45" max="45" width="17.140625" style="76" bestFit="1" customWidth="1"/>
    <col min="46" max="46" width="11.42578125" style="27" bestFit="1" customWidth="1"/>
    <col min="47" max="47" width="16.28515625" style="27" bestFit="1" customWidth="1"/>
    <col min="48" max="48" width="23.7109375" bestFit="1" customWidth="1"/>
    <col min="49" max="49" width="11.42578125" style="132"/>
    <col min="50" max="50" width="12" style="132" bestFit="1" customWidth="1"/>
    <col min="51" max="52" width="14.5703125" style="132" bestFit="1" customWidth="1"/>
    <col min="53" max="54" width="13" style="132" bestFit="1" customWidth="1"/>
    <col min="55" max="55" width="15.5703125" style="132" bestFit="1" customWidth="1"/>
    <col min="56" max="56" width="14.7109375" style="132" bestFit="1" customWidth="1"/>
  </cols>
  <sheetData>
    <row r="1" spans="1:56" x14ac:dyDescent="0.25">
      <c r="A1" s="135">
        <v>2021</v>
      </c>
      <c r="B1" s="2"/>
      <c r="C1" s="1"/>
      <c r="D1" s="1"/>
      <c r="E1" s="24"/>
      <c r="F1" s="1"/>
      <c r="G1" s="1"/>
      <c r="H1" s="1"/>
      <c r="I1" s="1"/>
      <c r="J1" s="1"/>
      <c r="K1" s="1"/>
      <c r="L1" s="1"/>
      <c r="M1" s="14"/>
      <c r="N1" s="15"/>
      <c r="O1" s="3"/>
      <c r="P1" s="1"/>
      <c r="Q1" s="14"/>
      <c r="R1" s="1"/>
      <c r="S1" s="3"/>
      <c r="T1" s="16"/>
      <c r="U1" s="14"/>
      <c r="V1" s="1"/>
      <c r="W1" s="3"/>
      <c r="X1" s="1"/>
      <c r="Y1" s="3"/>
      <c r="Z1" s="1"/>
      <c r="AA1" s="3"/>
      <c r="AB1" s="1"/>
      <c r="AC1" s="3"/>
      <c r="AD1" s="1"/>
      <c r="AE1" s="3"/>
      <c r="AF1" s="1"/>
      <c r="AG1" s="3"/>
      <c r="AH1" s="1"/>
      <c r="AI1" s="3"/>
      <c r="AJ1" s="1"/>
      <c r="AK1" s="3"/>
      <c r="AL1" s="1"/>
      <c r="AM1" s="3"/>
      <c r="AN1" s="1"/>
      <c r="AO1" s="3"/>
      <c r="AP1" s="1"/>
      <c r="AQ1" s="3"/>
      <c r="AR1" s="1"/>
      <c r="AS1" s="3"/>
      <c r="AT1" s="20"/>
      <c r="AU1" s="29"/>
    </row>
    <row r="2" spans="1:56" ht="18.75" x14ac:dyDescent="0.25">
      <c r="A2" s="136"/>
      <c r="B2" s="269" t="s">
        <v>0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269"/>
      <c r="AR2" s="269"/>
      <c r="AS2" s="269"/>
      <c r="AT2" s="269"/>
      <c r="AU2" s="29"/>
    </row>
    <row r="3" spans="1:56" x14ac:dyDescent="0.25">
      <c r="A3" s="136"/>
      <c r="B3" s="2"/>
      <c r="C3" s="1"/>
      <c r="D3" s="1"/>
      <c r="E3" s="24"/>
      <c r="F3" s="1"/>
      <c r="G3" s="1"/>
      <c r="H3" s="1"/>
      <c r="I3" s="1"/>
      <c r="J3" s="1"/>
      <c r="K3" s="1"/>
      <c r="L3" s="1"/>
      <c r="M3" s="14"/>
      <c r="N3" s="15"/>
      <c r="O3" s="3"/>
      <c r="P3" s="1"/>
      <c r="Q3" s="14"/>
      <c r="R3" s="1"/>
      <c r="S3" s="3"/>
      <c r="T3" s="16"/>
      <c r="U3" s="14"/>
      <c r="V3" s="1"/>
      <c r="W3" s="3"/>
      <c r="X3" s="1"/>
      <c r="Y3" s="3"/>
      <c r="Z3" s="1"/>
      <c r="AA3" s="3"/>
      <c r="AB3" s="1"/>
      <c r="AC3" s="3"/>
      <c r="AD3" s="1"/>
      <c r="AE3" s="3"/>
      <c r="AF3" s="1"/>
      <c r="AG3" s="3"/>
      <c r="AH3" s="1"/>
      <c r="AI3" s="3"/>
      <c r="AJ3" s="1"/>
      <c r="AK3" s="3"/>
      <c r="AL3" s="1"/>
      <c r="AM3" s="3"/>
      <c r="AN3" s="1"/>
      <c r="AO3" s="3"/>
      <c r="AP3" s="1"/>
      <c r="AQ3" s="3"/>
      <c r="AR3" s="1"/>
      <c r="AS3" s="3"/>
      <c r="AT3" s="20"/>
      <c r="AU3" s="29"/>
    </row>
    <row r="4" spans="1:56" x14ac:dyDescent="0.25">
      <c r="A4" s="268" t="s">
        <v>1</v>
      </c>
      <c r="B4" s="268"/>
      <c r="C4" s="270" t="s">
        <v>43</v>
      </c>
      <c r="D4" s="270"/>
      <c r="E4" s="270"/>
      <c r="F4" s="6"/>
      <c r="G4" s="6"/>
      <c r="H4" s="6"/>
      <c r="I4" s="6"/>
      <c r="J4" s="6"/>
      <c r="K4" s="6"/>
      <c r="L4" s="6"/>
      <c r="M4" s="17"/>
      <c r="N4" s="18"/>
      <c r="O4" s="4"/>
      <c r="P4" s="6"/>
      <c r="Q4" s="17"/>
      <c r="R4" s="6"/>
      <c r="S4" s="4"/>
      <c r="T4" s="19"/>
      <c r="U4" s="17"/>
      <c r="V4" s="6"/>
      <c r="W4" s="4"/>
      <c r="X4" s="6"/>
      <c r="Y4" s="4"/>
      <c r="Z4" s="6"/>
      <c r="AA4" s="4"/>
      <c r="AB4" s="6"/>
      <c r="AC4" s="4"/>
      <c r="AD4" s="6"/>
      <c r="AE4" s="4"/>
      <c r="AF4" s="6"/>
      <c r="AG4" s="4"/>
      <c r="AH4" s="6"/>
      <c r="AI4" s="4"/>
      <c r="AJ4" s="6"/>
      <c r="AK4" s="4"/>
      <c r="AL4" s="6"/>
      <c r="AM4" s="4"/>
      <c r="AN4" s="6"/>
      <c r="AO4" s="4"/>
      <c r="AP4" s="6"/>
      <c r="AQ4" s="4"/>
      <c r="AR4" s="6"/>
      <c r="AS4" s="4"/>
      <c r="AT4" s="20"/>
      <c r="AU4" s="29"/>
    </row>
    <row r="5" spans="1:56" x14ac:dyDescent="0.25">
      <c r="A5" s="268" t="s">
        <v>2</v>
      </c>
      <c r="B5" s="268"/>
      <c r="C5" s="271" t="s">
        <v>42</v>
      </c>
      <c r="D5" s="271"/>
      <c r="E5" s="271"/>
      <c r="F5" s="6"/>
      <c r="G5" s="6"/>
      <c r="H5" s="6"/>
      <c r="I5" s="6"/>
      <c r="J5" s="6"/>
      <c r="K5" s="6"/>
      <c r="L5" s="6"/>
      <c r="M5" s="17"/>
      <c r="N5" s="18"/>
      <c r="O5" s="4"/>
      <c r="P5" s="6"/>
      <c r="Q5" s="17"/>
      <c r="R5" s="6"/>
      <c r="S5" s="4"/>
      <c r="T5" s="19"/>
      <c r="U5" s="17"/>
      <c r="V5" s="6"/>
      <c r="W5" s="4"/>
      <c r="X5" s="6"/>
      <c r="Y5" s="4"/>
      <c r="Z5" s="6"/>
      <c r="AA5" s="4"/>
      <c r="AB5" s="6"/>
      <c r="AC5" s="4"/>
      <c r="AD5" s="6"/>
      <c r="AE5" s="4"/>
      <c r="AF5" s="6"/>
      <c r="AG5" s="4"/>
      <c r="AH5" s="6"/>
      <c r="AI5" s="4"/>
      <c r="AJ5" s="6"/>
      <c r="AK5" s="4"/>
      <c r="AL5" s="6"/>
      <c r="AM5" s="4"/>
      <c r="AN5" s="6"/>
      <c r="AO5" s="4"/>
      <c r="AP5" s="6"/>
      <c r="AQ5" s="4"/>
      <c r="AR5" s="6"/>
      <c r="AS5" s="4"/>
      <c r="AT5" s="20"/>
      <c r="AU5" s="29"/>
    </row>
    <row r="6" spans="1:56" x14ac:dyDescent="0.25">
      <c r="A6" s="268" t="s">
        <v>3</v>
      </c>
      <c r="B6" s="268"/>
      <c r="C6" s="5">
        <v>2021</v>
      </c>
      <c r="D6" s="21"/>
      <c r="E6" s="5"/>
      <c r="F6" s="6"/>
      <c r="G6" s="6"/>
      <c r="H6" s="6"/>
      <c r="I6" s="6"/>
      <c r="J6" s="6"/>
      <c r="K6" s="6"/>
      <c r="L6" s="6"/>
      <c r="M6" s="17"/>
      <c r="N6" s="18"/>
      <c r="O6" s="4"/>
      <c r="P6" s="6"/>
      <c r="Q6" s="17"/>
      <c r="R6" s="6"/>
      <c r="S6" s="4"/>
      <c r="T6" s="19"/>
      <c r="U6" s="17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  <c r="AL6" s="6"/>
      <c r="AM6" s="4"/>
      <c r="AN6" s="6"/>
      <c r="AO6" s="4"/>
      <c r="AP6" s="6"/>
      <c r="AQ6" s="4"/>
      <c r="AR6" s="6"/>
      <c r="AS6" s="4"/>
      <c r="AT6" s="20"/>
      <c r="AU6" s="29"/>
    </row>
    <row r="7" spans="1:56" x14ac:dyDescent="0.25">
      <c r="A7" s="268" t="s">
        <v>4</v>
      </c>
      <c r="B7" s="268"/>
      <c r="C7" s="5" t="s">
        <v>217</v>
      </c>
      <c r="D7" s="21"/>
      <c r="E7" s="5"/>
      <c r="F7" s="6"/>
      <c r="G7" s="6"/>
      <c r="H7" s="6"/>
      <c r="I7" s="6"/>
      <c r="J7" s="6"/>
      <c r="K7" s="6"/>
      <c r="L7" s="6"/>
      <c r="M7" s="17"/>
      <c r="N7" s="18"/>
      <c r="O7" s="4"/>
      <c r="P7" s="6"/>
      <c r="Q7" s="17"/>
      <c r="R7" s="6"/>
      <c r="S7" s="4"/>
      <c r="T7" s="19"/>
      <c r="U7" s="17"/>
      <c r="V7" s="6"/>
      <c r="W7" s="4"/>
      <c r="X7" s="6"/>
      <c r="Y7" s="4"/>
      <c r="Z7" s="6"/>
      <c r="AA7" s="4"/>
      <c r="AB7" s="6"/>
      <c r="AC7" s="4"/>
      <c r="AD7" s="6"/>
      <c r="AE7" s="4"/>
      <c r="AF7" s="6"/>
      <c r="AG7" s="4"/>
      <c r="AH7" s="6"/>
      <c r="AI7" s="4"/>
      <c r="AJ7" s="6"/>
      <c r="AK7" s="4"/>
      <c r="AL7" s="6"/>
      <c r="AM7" s="4"/>
      <c r="AN7" s="6"/>
      <c r="AO7" s="4"/>
      <c r="AP7" s="6"/>
      <c r="AQ7" s="4"/>
      <c r="AR7" s="6"/>
      <c r="AS7" s="4"/>
      <c r="AT7" s="20"/>
      <c r="AU7" s="29"/>
    </row>
    <row r="8" spans="1:56" x14ac:dyDescent="0.25">
      <c r="A8" s="136"/>
      <c r="B8" s="6"/>
      <c r="C8" s="6"/>
      <c r="D8" s="6"/>
      <c r="E8" s="25"/>
      <c r="F8" s="6"/>
      <c r="G8" s="6"/>
      <c r="H8" s="6"/>
      <c r="I8" s="6"/>
      <c r="J8" s="6"/>
      <c r="K8" s="6"/>
      <c r="L8" s="6"/>
      <c r="M8" s="17"/>
      <c r="N8" s="18"/>
      <c r="O8" s="4"/>
      <c r="P8" s="6"/>
      <c r="Q8" s="17"/>
      <c r="R8" s="6"/>
      <c r="S8" s="4"/>
      <c r="T8" s="19"/>
      <c r="U8" s="17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  <c r="AL8" s="6"/>
      <c r="AM8" s="4"/>
      <c r="AN8" s="6"/>
      <c r="AO8" s="4"/>
      <c r="AP8" s="6"/>
      <c r="AQ8" s="4"/>
      <c r="AR8" s="6"/>
      <c r="AS8" s="4"/>
      <c r="AT8" s="20"/>
      <c r="AU8" s="29"/>
    </row>
    <row r="9" spans="1:56" ht="38.25" x14ac:dyDescent="0.25">
      <c r="A9" s="137" t="s">
        <v>5</v>
      </c>
      <c r="B9" s="7" t="s">
        <v>6</v>
      </c>
      <c r="C9" s="8" t="s">
        <v>7</v>
      </c>
      <c r="D9" s="7" t="s">
        <v>8</v>
      </c>
      <c r="E9" s="26" t="s">
        <v>9</v>
      </c>
      <c r="F9" s="8" t="s">
        <v>10</v>
      </c>
      <c r="G9" s="8" t="s">
        <v>57</v>
      </c>
      <c r="H9" s="8" t="s">
        <v>44</v>
      </c>
      <c r="I9" s="8" t="s">
        <v>45</v>
      </c>
      <c r="J9" s="8" t="s">
        <v>46</v>
      </c>
      <c r="K9" s="8" t="s">
        <v>11</v>
      </c>
      <c r="L9" s="8" t="s">
        <v>12</v>
      </c>
      <c r="M9" s="9" t="s">
        <v>13</v>
      </c>
      <c r="N9" s="10" t="s">
        <v>14</v>
      </c>
      <c r="O9" s="11" t="s">
        <v>52</v>
      </c>
      <c r="P9" s="8" t="s">
        <v>47</v>
      </c>
      <c r="Q9" s="9" t="s">
        <v>15</v>
      </c>
      <c r="R9" s="8" t="s">
        <v>16</v>
      </c>
      <c r="S9" s="11" t="s">
        <v>17</v>
      </c>
      <c r="T9" s="12" t="s">
        <v>18</v>
      </c>
      <c r="U9" s="9" t="s">
        <v>19</v>
      </c>
      <c r="V9" s="8" t="s">
        <v>20</v>
      </c>
      <c r="W9" s="11" t="s">
        <v>21</v>
      </c>
      <c r="X9" s="8" t="s">
        <v>22</v>
      </c>
      <c r="Y9" s="11" t="s">
        <v>48</v>
      </c>
      <c r="Z9" s="8" t="s">
        <v>49</v>
      </c>
      <c r="AA9" s="11" t="s">
        <v>50</v>
      </c>
      <c r="AB9" s="8" t="s">
        <v>51</v>
      </c>
      <c r="AC9" s="13" t="s">
        <v>53</v>
      </c>
      <c r="AD9" s="8" t="s">
        <v>54</v>
      </c>
      <c r="AE9" s="11" t="s">
        <v>23</v>
      </c>
      <c r="AF9" s="8" t="s">
        <v>24</v>
      </c>
      <c r="AG9" s="11" t="s">
        <v>25</v>
      </c>
      <c r="AH9" s="8" t="s">
        <v>26</v>
      </c>
      <c r="AI9" s="11" t="s">
        <v>27</v>
      </c>
      <c r="AJ9" s="8" t="s">
        <v>28</v>
      </c>
      <c r="AK9" s="11" t="s">
        <v>29</v>
      </c>
      <c r="AL9" s="8" t="s">
        <v>30</v>
      </c>
      <c r="AM9" s="13" t="s">
        <v>55</v>
      </c>
      <c r="AN9" s="8" t="s">
        <v>56</v>
      </c>
      <c r="AO9" s="11" t="s">
        <v>31</v>
      </c>
      <c r="AP9" s="8" t="s">
        <v>32</v>
      </c>
      <c r="AQ9" s="11" t="s">
        <v>33</v>
      </c>
      <c r="AR9" s="8" t="s">
        <v>34</v>
      </c>
      <c r="AS9" s="11" t="s">
        <v>35</v>
      </c>
      <c r="AT9" s="22" t="s">
        <v>36</v>
      </c>
      <c r="AU9" s="28" t="s">
        <v>37</v>
      </c>
      <c r="AV9" s="30" t="s">
        <v>216</v>
      </c>
      <c r="AX9" s="132">
        <v>256</v>
      </c>
      <c r="AY9" s="132">
        <v>252</v>
      </c>
      <c r="AZ9" s="132">
        <v>295</v>
      </c>
      <c r="BA9" s="132">
        <v>265</v>
      </c>
      <c r="BB9" s="132">
        <v>259</v>
      </c>
    </row>
    <row r="10" spans="1:56" ht="25.5" customHeight="1" x14ac:dyDescent="0.25">
      <c r="A10" s="42">
        <v>1</v>
      </c>
      <c r="B10" s="43"/>
      <c r="C10" s="43" t="s">
        <v>71</v>
      </c>
      <c r="D10" s="43" t="s">
        <v>215</v>
      </c>
      <c r="E10" s="44" t="s">
        <v>220</v>
      </c>
      <c r="F10" s="42" t="s">
        <v>40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2">
        <v>15</v>
      </c>
      <c r="V10" s="46">
        <f t="shared" ref="V10:V41" si="0">+U10*AT10</f>
        <v>22500</v>
      </c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72">
        <f t="shared" ref="AS10:AS73" si="1">+G10+I10+K10+M10+O10+Q10+S10+U10+W10+Y10++AA10+AC10+AE10+AG10+AI10+AK10+AM10+AO10+AQ10</f>
        <v>15</v>
      </c>
      <c r="AT10" s="47">
        <v>1500</v>
      </c>
      <c r="AU10" s="48">
        <f t="shared" ref="AU10:AU73" si="2">+AS10*AT10</f>
        <v>22500</v>
      </c>
      <c r="AV10" s="66"/>
      <c r="AX10" s="127">
        <f>+AU10</f>
        <v>22500</v>
      </c>
      <c r="AY10" s="127"/>
      <c r="AZ10" s="127"/>
      <c r="BA10" s="127"/>
      <c r="BB10" s="127"/>
      <c r="BC10" s="127"/>
      <c r="BD10" s="127"/>
    </row>
    <row r="11" spans="1:56" ht="25.5" customHeight="1" x14ac:dyDescent="0.25">
      <c r="A11" s="49">
        <v>2</v>
      </c>
      <c r="B11" s="50"/>
      <c r="C11" s="50" t="s">
        <v>38</v>
      </c>
      <c r="D11" s="50" t="s">
        <v>58</v>
      </c>
      <c r="E11" s="51" t="s">
        <v>59</v>
      </c>
      <c r="F11" s="49" t="s">
        <v>40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49">
        <v>30</v>
      </c>
      <c r="V11" s="53">
        <f t="shared" si="0"/>
        <v>26550</v>
      </c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72">
        <f t="shared" si="1"/>
        <v>30</v>
      </c>
      <c r="AT11" s="54">
        <v>885</v>
      </c>
      <c r="AU11" s="48">
        <f t="shared" si="2"/>
        <v>26550</v>
      </c>
      <c r="AV11" s="66"/>
      <c r="AX11" s="127"/>
      <c r="AY11" s="127">
        <v>26550</v>
      </c>
      <c r="AZ11" s="127"/>
      <c r="BA11" s="127"/>
      <c r="BB11" s="127"/>
      <c r="BC11" s="127"/>
      <c r="BD11" s="127"/>
    </row>
    <row r="12" spans="1:56" ht="25.5" customHeight="1" x14ac:dyDescent="0.25">
      <c r="A12" s="49">
        <v>3</v>
      </c>
      <c r="B12" s="50"/>
      <c r="C12" s="50" t="s">
        <v>38</v>
      </c>
      <c r="D12" s="50" t="s">
        <v>58</v>
      </c>
      <c r="E12" s="51" t="s">
        <v>60</v>
      </c>
      <c r="F12" s="49" t="s">
        <v>40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49">
        <v>10</v>
      </c>
      <c r="V12" s="53">
        <f t="shared" si="0"/>
        <v>14900</v>
      </c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72">
        <f t="shared" si="1"/>
        <v>10</v>
      </c>
      <c r="AT12" s="54">
        <v>1490</v>
      </c>
      <c r="AU12" s="48">
        <f t="shared" si="2"/>
        <v>14900</v>
      </c>
      <c r="AV12" s="66"/>
      <c r="AX12" s="127"/>
      <c r="AY12" s="127">
        <v>14900</v>
      </c>
      <c r="AZ12" s="127"/>
      <c r="BA12" s="127"/>
      <c r="BB12" s="127"/>
      <c r="BC12" s="127"/>
      <c r="BD12" s="127"/>
    </row>
    <row r="13" spans="1:56" ht="25.5" customHeight="1" x14ac:dyDescent="0.25">
      <c r="A13" s="49">
        <v>4</v>
      </c>
      <c r="B13" s="50"/>
      <c r="C13" s="50" t="s">
        <v>38</v>
      </c>
      <c r="D13" s="50" t="s">
        <v>82</v>
      </c>
      <c r="E13" s="51" t="s">
        <v>83</v>
      </c>
      <c r="F13" s="49" t="s">
        <v>39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49">
        <v>1</v>
      </c>
      <c r="V13" s="53">
        <f t="shared" si="0"/>
        <v>930</v>
      </c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72">
        <f t="shared" si="1"/>
        <v>1</v>
      </c>
      <c r="AT13" s="54">
        <v>930</v>
      </c>
      <c r="AU13" s="48">
        <f t="shared" si="2"/>
        <v>930</v>
      </c>
      <c r="AV13" s="66"/>
      <c r="AX13" s="127"/>
      <c r="AY13" s="127"/>
      <c r="AZ13" s="127">
        <f t="shared" ref="AZ13:AZ74" si="3">+AU13</f>
        <v>930</v>
      </c>
      <c r="BA13" s="127"/>
      <c r="BB13" s="127"/>
      <c r="BC13" s="127"/>
      <c r="BD13" s="127"/>
    </row>
    <row r="14" spans="1:56" ht="25.5" customHeight="1" x14ac:dyDescent="0.25">
      <c r="A14" s="49">
        <v>5</v>
      </c>
      <c r="B14" s="50"/>
      <c r="C14" s="50" t="s">
        <v>38</v>
      </c>
      <c r="D14" s="50" t="s">
        <v>82</v>
      </c>
      <c r="E14" s="51" t="s">
        <v>84</v>
      </c>
      <c r="F14" s="49" t="s">
        <v>40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49">
        <v>5</v>
      </c>
      <c r="V14" s="53">
        <f t="shared" si="0"/>
        <v>37250</v>
      </c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72">
        <f t="shared" si="1"/>
        <v>5</v>
      </c>
      <c r="AT14" s="54">
        <v>7450</v>
      </c>
      <c r="AU14" s="48">
        <f t="shared" si="2"/>
        <v>37250</v>
      </c>
      <c r="AV14" s="66"/>
      <c r="AX14" s="127"/>
      <c r="AY14" s="127"/>
      <c r="AZ14" s="127">
        <f t="shared" si="3"/>
        <v>37250</v>
      </c>
      <c r="BA14" s="127"/>
      <c r="BB14" s="127"/>
      <c r="BC14" s="127"/>
      <c r="BD14" s="127"/>
    </row>
    <row r="15" spans="1:56" ht="25.5" customHeight="1" x14ac:dyDescent="0.25">
      <c r="A15" s="49">
        <v>6</v>
      </c>
      <c r="B15" s="50"/>
      <c r="C15" s="50" t="s">
        <v>38</v>
      </c>
      <c r="D15" s="50" t="s">
        <v>82</v>
      </c>
      <c r="E15" s="51" t="s">
        <v>85</v>
      </c>
      <c r="F15" s="49" t="s">
        <v>40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49">
        <v>5</v>
      </c>
      <c r="V15" s="53">
        <f t="shared" si="0"/>
        <v>4400</v>
      </c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72">
        <f t="shared" si="1"/>
        <v>5</v>
      </c>
      <c r="AT15" s="54">
        <v>880</v>
      </c>
      <c r="AU15" s="48">
        <f t="shared" si="2"/>
        <v>4400</v>
      </c>
      <c r="AV15" s="66"/>
      <c r="AX15" s="127"/>
      <c r="AY15" s="127"/>
      <c r="AZ15" s="127">
        <f t="shared" si="3"/>
        <v>4400</v>
      </c>
      <c r="BA15" s="127"/>
      <c r="BB15" s="127"/>
      <c r="BC15" s="127"/>
      <c r="BD15" s="127"/>
    </row>
    <row r="16" spans="1:56" ht="25.5" customHeight="1" x14ac:dyDescent="0.25">
      <c r="A16" s="49">
        <v>7</v>
      </c>
      <c r="B16" s="50"/>
      <c r="C16" s="50" t="s">
        <v>38</v>
      </c>
      <c r="D16" s="50" t="s">
        <v>82</v>
      </c>
      <c r="E16" s="51" t="s">
        <v>86</v>
      </c>
      <c r="F16" s="49" t="s">
        <v>40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49">
        <v>5</v>
      </c>
      <c r="V16" s="53">
        <f t="shared" si="0"/>
        <v>37250</v>
      </c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72">
        <f t="shared" si="1"/>
        <v>5</v>
      </c>
      <c r="AT16" s="54">
        <v>7450</v>
      </c>
      <c r="AU16" s="48">
        <f t="shared" si="2"/>
        <v>37250</v>
      </c>
      <c r="AV16" s="66"/>
      <c r="AX16" s="127"/>
      <c r="AY16" s="127"/>
      <c r="AZ16" s="127">
        <f t="shared" si="3"/>
        <v>37250</v>
      </c>
      <c r="BA16" s="127"/>
      <c r="BB16" s="127"/>
      <c r="BC16" s="127"/>
      <c r="BD16" s="127"/>
    </row>
    <row r="17" spans="1:56" ht="25.5" customHeight="1" x14ac:dyDescent="0.25">
      <c r="A17" s="49">
        <v>8</v>
      </c>
      <c r="B17" s="50"/>
      <c r="C17" s="50" t="s">
        <v>38</v>
      </c>
      <c r="D17" s="50" t="s">
        <v>82</v>
      </c>
      <c r="E17" s="51" t="s">
        <v>87</v>
      </c>
      <c r="F17" s="49" t="s">
        <v>40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49">
        <v>1</v>
      </c>
      <c r="V17" s="53">
        <f t="shared" si="0"/>
        <v>880</v>
      </c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72">
        <f t="shared" si="1"/>
        <v>1</v>
      </c>
      <c r="AT17" s="54">
        <v>880</v>
      </c>
      <c r="AU17" s="48">
        <f t="shared" si="2"/>
        <v>880</v>
      </c>
      <c r="AV17" s="66"/>
      <c r="AX17" s="127"/>
      <c r="AY17" s="127"/>
      <c r="AZ17" s="127">
        <f t="shared" si="3"/>
        <v>880</v>
      </c>
      <c r="BA17" s="127"/>
      <c r="BB17" s="127"/>
      <c r="BC17" s="127"/>
      <c r="BD17" s="127"/>
    </row>
    <row r="18" spans="1:56" ht="25.5" customHeight="1" x14ac:dyDescent="0.25">
      <c r="A18" s="49">
        <v>9</v>
      </c>
      <c r="B18" s="50"/>
      <c r="C18" s="50" t="s">
        <v>38</v>
      </c>
      <c r="D18" s="50" t="s">
        <v>82</v>
      </c>
      <c r="E18" s="51" t="s">
        <v>88</v>
      </c>
      <c r="F18" s="49" t="s">
        <v>41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49">
        <v>1000</v>
      </c>
      <c r="V18" s="53">
        <f t="shared" si="0"/>
        <v>655000</v>
      </c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72">
        <f t="shared" si="1"/>
        <v>1000</v>
      </c>
      <c r="AT18" s="54">
        <v>655</v>
      </c>
      <c r="AU18" s="48">
        <f t="shared" si="2"/>
        <v>655000</v>
      </c>
      <c r="AV18" s="66"/>
      <c r="AX18" s="127"/>
      <c r="AY18" s="127"/>
      <c r="AZ18" s="127">
        <f t="shared" si="3"/>
        <v>655000</v>
      </c>
      <c r="BA18" s="127"/>
      <c r="BB18" s="127"/>
      <c r="BC18" s="127"/>
      <c r="BD18" s="127"/>
    </row>
    <row r="19" spans="1:56" ht="25.5" customHeight="1" x14ac:dyDescent="0.25">
      <c r="A19" s="49">
        <v>10</v>
      </c>
      <c r="B19" s="50"/>
      <c r="C19" s="50" t="s">
        <v>38</v>
      </c>
      <c r="D19" s="50" t="s">
        <v>82</v>
      </c>
      <c r="E19" s="51" t="s">
        <v>89</v>
      </c>
      <c r="F19" s="49" t="s">
        <v>40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49">
        <v>50</v>
      </c>
      <c r="V19" s="53">
        <f t="shared" si="0"/>
        <v>72500</v>
      </c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72">
        <f t="shared" si="1"/>
        <v>50</v>
      </c>
      <c r="AT19" s="54">
        <v>1450</v>
      </c>
      <c r="AU19" s="48">
        <f t="shared" si="2"/>
        <v>72500</v>
      </c>
      <c r="AV19" s="66"/>
      <c r="AX19" s="127"/>
      <c r="AY19" s="127"/>
      <c r="AZ19" s="127">
        <f t="shared" si="3"/>
        <v>72500</v>
      </c>
      <c r="BA19" s="127"/>
      <c r="BB19" s="127"/>
      <c r="BC19" s="127"/>
      <c r="BD19" s="127"/>
    </row>
    <row r="20" spans="1:56" ht="25.5" customHeight="1" x14ac:dyDescent="0.25">
      <c r="A20" s="49">
        <v>11</v>
      </c>
      <c r="B20" s="50"/>
      <c r="C20" s="50" t="s">
        <v>38</v>
      </c>
      <c r="D20" s="50" t="s">
        <v>58</v>
      </c>
      <c r="E20" s="51" t="s">
        <v>218</v>
      </c>
      <c r="F20" s="49" t="s">
        <v>39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49">
        <v>870</v>
      </c>
      <c r="V20" s="53">
        <f t="shared" si="0"/>
        <v>2923200</v>
      </c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72">
        <f t="shared" si="1"/>
        <v>870</v>
      </c>
      <c r="AT20" s="54">
        <v>3360</v>
      </c>
      <c r="AU20" s="48">
        <f t="shared" si="2"/>
        <v>2923200</v>
      </c>
      <c r="AV20" s="66"/>
      <c r="AX20" s="127"/>
      <c r="AY20" s="127">
        <v>2923200</v>
      </c>
      <c r="AZ20" s="127"/>
      <c r="BA20" s="127"/>
      <c r="BB20" s="127"/>
      <c r="BC20" s="127"/>
      <c r="BD20" s="127"/>
    </row>
    <row r="21" spans="1:56" ht="25.5" customHeight="1" x14ac:dyDescent="0.25">
      <c r="A21" s="49">
        <v>12</v>
      </c>
      <c r="B21" s="50"/>
      <c r="C21" s="50" t="s">
        <v>38</v>
      </c>
      <c r="D21" s="50" t="s">
        <v>58</v>
      </c>
      <c r="E21" s="51" t="s">
        <v>61</v>
      </c>
      <c r="F21" s="49" t="s">
        <v>40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49">
        <v>10</v>
      </c>
      <c r="V21" s="53">
        <f t="shared" si="0"/>
        <v>3000</v>
      </c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72">
        <f t="shared" si="1"/>
        <v>10</v>
      </c>
      <c r="AT21" s="54">
        <v>300</v>
      </c>
      <c r="AU21" s="48">
        <f t="shared" si="2"/>
        <v>3000</v>
      </c>
      <c r="AV21" s="66"/>
      <c r="AX21" s="127"/>
      <c r="AY21" s="127">
        <v>3000</v>
      </c>
      <c r="AZ21" s="127"/>
      <c r="BA21" s="127"/>
      <c r="BB21" s="127"/>
      <c r="BC21" s="127"/>
      <c r="BD21" s="127"/>
    </row>
    <row r="22" spans="1:56" ht="25.5" customHeight="1" x14ac:dyDescent="0.25">
      <c r="A22" s="49">
        <v>13</v>
      </c>
      <c r="B22" s="50"/>
      <c r="C22" s="50" t="s">
        <v>38</v>
      </c>
      <c r="D22" s="50" t="s">
        <v>58</v>
      </c>
      <c r="E22" s="51" t="s">
        <v>62</v>
      </c>
      <c r="F22" s="49" t="s">
        <v>40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49">
        <v>10</v>
      </c>
      <c r="V22" s="53">
        <f t="shared" si="0"/>
        <v>11900</v>
      </c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72">
        <f t="shared" si="1"/>
        <v>10</v>
      </c>
      <c r="AT22" s="54">
        <v>1190</v>
      </c>
      <c r="AU22" s="48">
        <f t="shared" si="2"/>
        <v>11900</v>
      </c>
      <c r="AV22" s="66"/>
      <c r="AX22" s="127"/>
      <c r="AY22" s="127">
        <v>11900</v>
      </c>
      <c r="AZ22" s="127"/>
      <c r="BA22" s="127"/>
      <c r="BB22" s="127"/>
      <c r="BC22" s="127"/>
      <c r="BD22" s="127"/>
    </row>
    <row r="23" spans="1:56" ht="25.5" customHeight="1" x14ac:dyDescent="0.25">
      <c r="A23" s="49">
        <v>14</v>
      </c>
      <c r="B23" s="50"/>
      <c r="C23" s="50" t="s">
        <v>38</v>
      </c>
      <c r="D23" s="50" t="s">
        <v>82</v>
      </c>
      <c r="E23" s="51" t="s">
        <v>90</v>
      </c>
      <c r="F23" s="49" t="s">
        <v>40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49">
        <v>30</v>
      </c>
      <c r="V23" s="53">
        <f t="shared" si="0"/>
        <v>8970</v>
      </c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72">
        <f t="shared" si="1"/>
        <v>30</v>
      </c>
      <c r="AT23" s="54">
        <v>299</v>
      </c>
      <c r="AU23" s="48">
        <f t="shared" si="2"/>
        <v>8970</v>
      </c>
      <c r="AV23" s="66"/>
      <c r="AX23" s="127"/>
      <c r="AY23" s="127"/>
      <c r="AZ23" s="127">
        <f t="shared" si="3"/>
        <v>8970</v>
      </c>
      <c r="BA23" s="127"/>
      <c r="BB23" s="127"/>
      <c r="BC23" s="127"/>
      <c r="BD23" s="127"/>
    </row>
    <row r="24" spans="1:56" ht="25.5" customHeight="1" x14ac:dyDescent="0.25">
      <c r="A24" s="49">
        <v>15</v>
      </c>
      <c r="B24" s="50"/>
      <c r="C24" s="50" t="s">
        <v>38</v>
      </c>
      <c r="D24" s="50" t="s">
        <v>82</v>
      </c>
      <c r="E24" s="55" t="s">
        <v>91</v>
      </c>
      <c r="F24" s="49" t="s">
        <v>40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49">
        <v>300</v>
      </c>
      <c r="V24" s="53">
        <f t="shared" si="0"/>
        <v>126000</v>
      </c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72">
        <f t="shared" si="1"/>
        <v>300</v>
      </c>
      <c r="AT24" s="54">
        <v>420</v>
      </c>
      <c r="AU24" s="48">
        <f t="shared" si="2"/>
        <v>126000</v>
      </c>
      <c r="AV24" s="66"/>
      <c r="AX24" s="127"/>
      <c r="AY24" s="127"/>
      <c r="AZ24" s="127">
        <f t="shared" si="3"/>
        <v>126000</v>
      </c>
      <c r="BA24" s="127"/>
      <c r="BB24" s="127"/>
      <c r="BC24" s="127"/>
      <c r="BD24" s="127"/>
    </row>
    <row r="25" spans="1:56" ht="25.5" customHeight="1" x14ac:dyDescent="0.25">
      <c r="A25" s="49">
        <v>16</v>
      </c>
      <c r="B25" s="50"/>
      <c r="C25" s="50" t="s">
        <v>38</v>
      </c>
      <c r="D25" s="50" t="s">
        <v>82</v>
      </c>
      <c r="E25" s="51" t="s">
        <v>92</v>
      </c>
      <c r="F25" s="49" t="s">
        <v>40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49">
        <v>30</v>
      </c>
      <c r="V25" s="53">
        <f t="shared" si="0"/>
        <v>8970</v>
      </c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72">
        <f t="shared" si="1"/>
        <v>30</v>
      </c>
      <c r="AT25" s="54">
        <v>299</v>
      </c>
      <c r="AU25" s="48">
        <f t="shared" si="2"/>
        <v>8970</v>
      </c>
      <c r="AV25" s="66"/>
      <c r="AX25" s="127"/>
      <c r="AY25" s="127"/>
      <c r="AZ25" s="127">
        <f t="shared" si="3"/>
        <v>8970</v>
      </c>
      <c r="BA25" s="127"/>
      <c r="BB25" s="127"/>
      <c r="BC25" s="127"/>
      <c r="BD25" s="127"/>
    </row>
    <row r="26" spans="1:56" ht="25.5" customHeight="1" x14ac:dyDescent="0.25">
      <c r="A26" s="49">
        <v>17</v>
      </c>
      <c r="B26" s="50"/>
      <c r="C26" s="50" t="s">
        <v>38</v>
      </c>
      <c r="D26" s="50" t="s">
        <v>82</v>
      </c>
      <c r="E26" s="51" t="s">
        <v>93</v>
      </c>
      <c r="F26" s="49" t="s">
        <v>40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49">
        <v>50</v>
      </c>
      <c r="V26" s="53">
        <f t="shared" si="0"/>
        <v>3112</v>
      </c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72">
        <f t="shared" si="1"/>
        <v>50</v>
      </c>
      <c r="AT26" s="54">
        <v>62.24</v>
      </c>
      <c r="AU26" s="48">
        <f t="shared" si="2"/>
        <v>3112</v>
      </c>
      <c r="AV26" s="66"/>
      <c r="AX26" s="127"/>
      <c r="AY26" s="127"/>
      <c r="AZ26" s="127">
        <f t="shared" si="3"/>
        <v>3112</v>
      </c>
      <c r="BA26" s="127"/>
      <c r="BB26" s="127"/>
      <c r="BC26" s="127"/>
      <c r="BD26" s="127"/>
    </row>
    <row r="27" spans="1:56" ht="25.5" customHeight="1" x14ac:dyDescent="0.25">
      <c r="A27" s="49">
        <v>18</v>
      </c>
      <c r="B27" s="50"/>
      <c r="C27" s="50" t="s">
        <v>38</v>
      </c>
      <c r="D27" s="50" t="s">
        <v>82</v>
      </c>
      <c r="E27" s="51" t="s">
        <v>94</v>
      </c>
      <c r="F27" s="49" t="s">
        <v>40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49">
        <v>200</v>
      </c>
      <c r="V27" s="53">
        <f t="shared" si="0"/>
        <v>39800</v>
      </c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72">
        <f t="shared" si="1"/>
        <v>200</v>
      </c>
      <c r="AT27" s="54">
        <v>199</v>
      </c>
      <c r="AU27" s="48">
        <f t="shared" si="2"/>
        <v>39800</v>
      </c>
      <c r="AV27" s="66"/>
      <c r="AX27" s="127"/>
      <c r="AY27" s="127"/>
      <c r="AZ27" s="127">
        <f t="shared" si="3"/>
        <v>39800</v>
      </c>
      <c r="BA27" s="127"/>
      <c r="BB27" s="127"/>
      <c r="BC27" s="127"/>
      <c r="BD27" s="127"/>
    </row>
    <row r="28" spans="1:56" ht="25.5" customHeight="1" x14ac:dyDescent="0.25">
      <c r="A28" s="49">
        <v>19</v>
      </c>
      <c r="B28" s="50"/>
      <c r="C28" s="50" t="s">
        <v>38</v>
      </c>
      <c r="D28" s="50" t="s">
        <v>58</v>
      </c>
      <c r="E28" s="51" t="s">
        <v>63</v>
      </c>
      <c r="F28" s="49" t="s">
        <v>39</v>
      </c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49">
        <v>10</v>
      </c>
      <c r="V28" s="53">
        <f t="shared" si="0"/>
        <v>4400</v>
      </c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72">
        <f t="shared" si="1"/>
        <v>10</v>
      </c>
      <c r="AT28" s="54">
        <v>440</v>
      </c>
      <c r="AU28" s="48">
        <f t="shared" si="2"/>
        <v>4400</v>
      </c>
      <c r="AV28" s="66"/>
      <c r="AX28" s="127"/>
      <c r="AY28" s="127">
        <v>4400</v>
      </c>
      <c r="AZ28" s="127"/>
      <c r="BA28" s="127"/>
      <c r="BB28" s="127"/>
      <c r="BC28" s="127"/>
      <c r="BD28" s="127"/>
    </row>
    <row r="29" spans="1:56" ht="36" customHeight="1" x14ac:dyDescent="0.25">
      <c r="A29" s="49">
        <v>20</v>
      </c>
      <c r="B29" s="50"/>
      <c r="C29" s="50" t="s">
        <v>38</v>
      </c>
      <c r="D29" s="50" t="s">
        <v>58</v>
      </c>
      <c r="E29" s="51" t="s">
        <v>219</v>
      </c>
      <c r="F29" s="49" t="s">
        <v>39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49">
        <v>10</v>
      </c>
      <c r="V29" s="53">
        <f t="shared" si="0"/>
        <v>23000</v>
      </c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72">
        <f t="shared" si="1"/>
        <v>10</v>
      </c>
      <c r="AT29" s="54">
        <v>2300</v>
      </c>
      <c r="AU29" s="48">
        <f t="shared" si="2"/>
        <v>23000</v>
      </c>
      <c r="AV29" s="66"/>
      <c r="AX29" s="127"/>
      <c r="AY29" s="127">
        <v>23000</v>
      </c>
      <c r="AZ29" s="127"/>
      <c r="BA29" s="127"/>
      <c r="BB29" s="127"/>
      <c r="BC29" s="127"/>
      <c r="BD29" s="127"/>
    </row>
    <row r="30" spans="1:56" ht="36" customHeight="1" x14ac:dyDescent="0.25">
      <c r="A30" s="49">
        <v>21</v>
      </c>
      <c r="B30" s="50"/>
      <c r="C30" s="50" t="s">
        <v>38</v>
      </c>
      <c r="D30" s="50" t="s">
        <v>58</v>
      </c>
      <c r="E30" s="51" t="s">
        <v>64</v>
      </c>
      <c r="F30" s="49" t="s">
        <v>39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49">
        <v>10</v>
      </c>
      <c r="V30" s="53">
        <f t="shared" si="0"/>
        <v>18500</v>
      </c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72">
        <f t="shared" si="1"/>
        <v>10</v>
      </c>
      <c r="AT30" s="54">
        <v>1850</v>
      </c>
      <c r="AU30" s="48">
        <f t="shared" si="2"/>
        <v>18500</v>
      </c>
      <c r="AV30" s="66"/>
      <c r="AX30" s="127"/>
      <c r="AY30" s="127">
        <v>18500</v>
      </c>
      <c r="AZ30" s="127"/>
      <c r="BA30" s="127"/>
      <c r="BB30" s="127"/>
      <c r="BC30" s="127"/>
      <c r="BD30" s="127"/>
    </row>
    <row r="31" spans="1:56" ht="20.25" customHeight="1" x14ac:dyDescent="0.25">
      <c r="A31" s="49">
        <v>22</v>
      </c>
      <c r="B31" s="50"/>
      <c r="C31" s="50" t="s">
        <v>38</v>
      </c>
      <c r="D31" s="50" t="s">
        <v>82</v>
      </c>
      <c r="E31" s="51" t="s">
        <v>95</v>
      </c>
      <c r="F31" s="49" t="s">
        <v>40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49">
        <v>20</v>
      </c>
      <c r="V31" s="53">
        <f t="shared" si="0"/>
        <v>5000</v>
      </c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72">
        <f t="shared" si="1"/>
        <v>20</v>
      </c>
      <c r="AT31" s="54">
        <v>250</v>
      </c>
      <c r="AU31" s="48">
        <f t="shared" si="2"/>
        <v>5000</v>
      </c>
      <c r="AV31" s="66"/>
      <c r="AX31" s="127"/>
      <c r="AY31" s="127"/>
      <c r="AZ31" s="127">
        <f t="shared" si="3"/>
        <v>5000</v>
      </c>
      <c r="BA31" s="127"/>
      <c r="BB31" s="127"/>
      <c r="BC31" s="127"/>
      <c r="BD31" s="127"/>
    </row>
    <row r="32" spans="1:56" ht="34.5" customHeight="1" x14ac:dyDescent="0.25">
      <c r="A32" s="49">
        <v>23</v>
      </c>
      <c r="B32" s="50"/>
      <c r="C32" s="50" t="s">
        <v>38</v>
      </c>
      <c r="D32" s="50" t="s">
        <v>72</v>
      </c>
      <c r="E32" s="51" t="s">
        <v>73</v>
      </c>
      <c r="F32" s="49" t="s">
        <v>39</v>
      </c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49">
        <v>5</v>
      </c>
      <c r="V32" s="53">
        <f t="shared" si="0"/>
        <v>12250</v>
      </c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72">
        <f t="shared" si="1"/>
        <v>5</v>
      </c>
      <c r="AT32" s="54">
        <v>2450</v>
      </c>
      <c r="AU32" s="48">
        <f t="shared" si="2"/>
        <v>12250</v>
      </c>
      <c r="AV32" s="66"/>
      <c r="AX32" s="127"/>
      <c r="AY32" s="127"/>
      <c r="AZ32" s="127"/>
      <c r="BA32" s="127"/>
      <c r="BB32" s="127">
        <v>12250</v>
      </c>
      <c r="BC32" s="127"/>
      <c r="BD32" s="127"/>
    </row>
    <row r="33" spans="1:56" ht="34.5" customHeight="1" x14ac:dyDescent="0.25">
      <c r="A33" s="49">
        <v>24</v>
      </c>
      <c r="B33" s="50"/>
      <c r="C33" s="50" t="s">
        <v>38</v>
      </c>
      <c r="D33" s="50" t="s">
        <v>58</v>
      </c>
      <c r="E33" s="51" t="s">
        <v>65</v>
      </c>
      <c r="F33" s="49" t="s">
        <v>40</v>
      </c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49">
        <v>50</v>
      </c>
      <c r="V33" s="53">
        <f t="shared" si="0"/>
        <v>64500</v>
      </c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72">
        <f t="shared" si="1"/>
        <v>50</v>
      </c>
      <c r="AT33" s="54">
        <v>1290</v>
      </c>
      <c r="AU33" s="48">
        <f t="shared" si="2"/>
        <v>64500</v>
      </c>
      <c r="AV33" s="66"/>
      <c r="AX33" s="127"/>
      <c r="AY33" s="127">
        <v>64500</v>
      </c>
      <c r="AZ33" s="127"/>
      <c r="BA33" s="127"/>
      <c r="BB33" s="127"/>
      <c r="BC33" s="127"/>
      <c r="BD33" s="127"/>
    </row>
    <row r="34" spans="1:56" ht="34.5" customHeight="1" x14ac:dyDescent="0.25">
      <c r="A34" s="49">
        <v>25</v>
      </c>
      <c r="B34" s="50"/>
      <c r="C34" s="50" t="s">
        <v>38</v>
      </c>
      <c r="D34" s="50" t="s">
        <v>58</v>
      </c>
      <c r="E34" s="51" t="s">
        <v>66</v>
      </c>
      <c r="F34" s="49" t="s">
        <v>40</v>
      </c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49">
        <v>50</v>
      </c>
      <c r="V34" s="53">
        <f t="shared" si="0"/>
        <v>64500</v>
      </c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72">
        <f t="shared" si="1"/>
        <v>50</v>
      </c>
      <c r="AT34" s="54">
        <v>1290</v>
      </c>
      <c r="AU34" s="48">
        <f t="shared" si="2"/>
        <v>64500</v>
      </c>
      <c r="AV34" s="66"/>
      <c r="AX34" s="127"/>
      <c r="AY34" s="127">
        <v>64500</v>
      </c>
      <c r="AZ34" s="127"/>
      <c r="BA34" s="127"/>
      <c r="BB34" s="127"/>
      <c r="BC34" s="127"/>
      <c r="BD34" s="127"/>
    </row>
    <row r="35" spans="1:56" ht="34.5" customHeight="1" x14ac:dyDescent="0.25">
      <c r="A35" s="49">
        <v>26</v>
      </c>
      <c r="B35" s="50"/>
      <c r="C35" s="50" t="s">
        <v>38</v>
      </c>
      <c r="D35" s="50" t="s">
        <v>58</v>
      </c>
      <c r="E35" s="51" t="s">
        <v>67</v>
      </c>
      <c r="F35" s="49" t="s">
        <v>40</v>
      </c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49">
        <v>10</v>
      </c>
      <c r="V35" s="53">
        <f t="shared" si="0"/>
        <v>12900</v>
      </c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72">
        <f t="shared" si="1"/>
        <v>10</v>
      </c>
      <c r="AT35" s="54">
        <v>1290</v>
      </c>
      <c r="AU35" s="48">
        <f t="shared" si="2"/>
        <v>12900</v>
      </c>
      <c r="AV35" s="66"/>
      <c r="AX35" s="127"/>
      <c r="AY35" s="127">
        <v>12900</v>
      </c>
      <c r="AZ35" s="127"/>
      <c r="BA35" s="127"/>
      <c r="BB35" s="127"/>
      <c r="BC35" s="127"/>
      <c r="BD35" s="127"/>
    </row>
    <row r="36" spans="1:56" ht="20.25" customHeight="1" x14ac:dyDescent="0.25">
      <c r="A36" s="49">
        <v>27</v>
      </c>
      <c r="B36" s="50"/>
      <c r="C36" s="50" t="s">
        <v>38</v>
      </c>
      <c r="D36" s="50" t="s">
        <v>82</v>
      </c>
      <c r="E36" s="51" t="s">
        <v>96</v>
      </c>
      <c r="F36" s="49" t="s">
        <v>39</v>
      </c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49">
        <v>200</v>
      </c>
      <c r="V36" s="53">
        <f t="shared" si="0"/>
        <v>585000</v>
      </c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72">
        <f t="shared" si="1"/>
        <v>200</v>
      </c>
      <c r="AT36" s="54">
        <v>2925</v>
      </c>
      <c r="AU36" s="48">
        <f t="shared" si="2"/>
        <v>585000</v>
      </c>
      <c r="AV36" s="66"/>
      <c r="AX36" s="127"/>
      <c r="AY36" s="127"/>
      <c r="AZ36" s="127">
        <f t="shared" si="3"/>
        <v>585000</v>
      </c>
      <c r="BA36" s="127"/>
      <c r="BB36" s="127"/>
      <c r="BC36" s="127"/>
      <c r="BD36" s="127"/>
    </row>
    <row r="37" spans="1:56" ht="20.25" customHeight="1" x14ac:dyDescent="0.25">
      <c r="A37" s="49">
        <v>28</v>
      </c>
      <c r="B37" s="50"/>
      <c r="C37" s="50" t="s">
        <v>38</v>
      </c>
      <c r="D37" s="50" t="s">
        <v>82</v>
      </c>
      <c r="E37" s="51" t="s">
        <v>97</v>
      </c>
      <c r="F37" s="49" t="s">
        <v>40</v>
      </c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49">
        <v>10</v>
      </c>
      <c r="V37" s="53">
        <f t="shared" si="0"/>
        <v>5500</v>
      </c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72">
        <f t="shared" si="1"/>
        <v>10</v>
      </c>
      <c r="AT37" s="54">
        <v>550</v>
      </c>
      <c r="AU37" s="48">
        <f t="shared" si="2"/>
        <v>5500</v>
      </c>
      <c r="AV37" s="66"/>
      <c r="AX37" s="127"/>
      <c r="AY37" s="127"/>
      <c r="AZ37" s="127">
        <f t="shared" si="3"/>
        <v>5500</v>
      </c>
      <c r="BA37" s="127"/>
      <c r="BB37" s="127"/>
      <c r="BC37" s="127"/>
      <c r="BD37" s="127"/>
    </row>
    <row r="38" spans="1:56" ht="20.25" customHeight="1" x14ac:dyDescent="0.25">
      <c r="A38" s="49">
        <v>29</v>
      </c>
      <c r="B38" s="50"/>
      <c r="C38" s="50" t="s">
        <v>38</v>
      </c>
      <c r="D38" s="50" t="s">
        <v>82</v>
      </c>
      <c r="E38" s="51" t="s">
        <v>98</v>
      </c>
      <c r="F38" s="49" t="s">
        <v>39</v>
      </c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49">
        <v>30</v>
      </c>
      <c r="V38" s="53">
        <f t="shared" si="0"/>
        <v>21900</v>
      </c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72">
        <f t="shared" si="1"/>
        <v>30</v>
      </c>
      <c r="AT38" s="54">
        <v>730</v>
      </c>
      <c r="AU38" s="48">
        <f t="shared" si="2"/>
        <v>21900</v>
      </c>
      <c r="AV38" s="66"/>
      <c r="AX38" s="127"/>
      <c r="AY38" s="127"/>
      <c r="AZ38" s="127">
        <f t="shared" si="3"/>
        <v>21900</v>
      </c>
      <c r="BA38" s="127"/>
      <c r="BB38" s="127"/>
      <c r="BC38" s="127"/>
      <c r="BD38" s="127"/>
    </row>
    <row r="39" spans="1:56" ht="20.25" customHeight="1" x14ac:dyDescent="0.25">
      <c r="A39" s="49">
        <v>30</v>
      </c>
      <c r="B39" s="50"/>
      <c r="C39" s="50" t="s">
        <v>38</v>
      </c>
      <c r="D39" s="50" t="s">
        <v>82</v>
      </c>
      <c r="E39" s="51" t="s">
        <v>99</v>
      </c>
      <c r="F39" s="49" t="s">
        <v>39</v>
      </c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49">
        <v>30</v>
      </c>
      <c r="V39" s="53">
        <f t="shared" si="0"/>
        <v>21900</v>
      </c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72">
        <f t="shared" si="1"/>
        <v>30</v>
      </c>
      <c r="AT39" s="54">
        <v>730</v>
      </c>
      <c r="AU39" s="48">
        <f t="shared" si="2"/>
        <v>21900</v>
      </c>
      <c r="AV39" s="66"/>
      <c r="AX39" s="127"/>
      <c r="AY39" s="127"/>
      <c r="AZ39" s="127">
        <f t="shared" si="3"/>
        <v>21900</v>
      </c>
      <c r="BA39" s="127"/>
      <c r="BB39" s="127"/>
      <c r="BC39" s="127"/>
      <c r="BD39" s="127"/>
    </row>
    <row r="40" spans="1:56" ht="20.25" customHeight="1" x14ac:dyDescent="0.25">
      <c r="A40" s="49">
        <v>31</v>
      </c>
      <c r="B40" s="50"/>
      <c r="C40" s="50" t="s">
        <v>38</v>
      </c>
      <c r="D40" s="50" t="s">
        <v>82</v>
      </c>
      <c r="E40" s="51" t="s">
        <v>100</v>
      </c>
      <c r="F40" s="49" t="s">
        <v>40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49">
        <v>100</v>
      </c>
      <c r="V40" s="53">
        <f t="shared" si="0"/>
        <v>29850</v>
      </c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72">
        <f t="shared" si="1"/>
        <v>100</v>
      </c>
      <c r="AT40" s="54">
        <v>298.5</v>
      </c>
      <c r="AU40" s="48">
        <f t="shared" si="2"/>
        <v>29850</v>
      </c>
      <c r="AV40" s="66"/>
      <c r="AX40" s="127"/>
      <c r="AY40" s="127"/>
      <c r="AZ40" s="127">
        <f t="shared" si="3"/>
        <v>29850</v>
      </c>
      <c r="BA40" s="127"/>
      <c r="BB40" s="127"/>
      <c r="BC40" s="127"/>
      <c r="BD40" s="127"/>
    </row>
    <row r="41" spans="1:56" ht="20.25" customHeight="1" x14ac:dyDescent="0.25">
      <c r="A41" s="49">
        <v>32</v>
      </c>
      <c r="B41" s="50"/>
      <c r="C41" s="50" t="s">
        <v>38</v>
      </c>
      <c r="D41" s="50" t="s">
        <v>82</v>
      </c>
      <c r="E41" s="51" t="s">
        <v>101</v>
      </c>
      <c r="F41" s="49" t="s">
        <v>40</v>
      </c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49">
        <v>100</v>
      </c>
      <c r="V41" s="53">
        <f t="shared" si="0"/>
        <v>175000</v>
      </c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72">
        <f t="shared" si="1"/>
        <v>100</v>
      </c>
      <c r="AT41" s="54">
        <v>1750</v>
      </c>
      <c r="AU41" s="48">
        <f t="shared" si="2"/>
        <v>175000</v>
      </c>
      <c r="AV41" s="66"/>
      <c r="AX41" s="127"/>
      <c r="AY41" s="127"/>
      <c r="AZ41" s="127">
        <f t="shared" si="3"/>
        <v>175000</v>
      </c>
      <c r="BA41" s="127"/>
      <c r="BB41" s="127"/>
      <c r="BC41" s="127"/>
      <c r="BD41" s="127"/>
    </row>
    <row r="42" spans="1:56" ht="20.25" customHeight="1" x14ac:dyDescent="0.25">
      <c r="A42" s="49">
        <v>33</v>
      </c>
      <c r="B42" s="50"/>
      <c r="C42" s="50" t="s">
        <v>38</v>
      </c>
      <c r="D42" s="50" t="s">
        <v>82</v>
      </c>
      <c r="E42" s="51" t="s">
        <v>102</v>
      </c>
      <c r="F42" s="49" t="s">
        <v>40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49">
        <v>50</v>
      </c>
      <c r="V42" s="53">
        <f t="shared" ref="V42:V73" si="4">+U42*AT42</f>
        <v>10000</v>
      </c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72">
        <f t="shared" si="1"/>
        <v>50</v>
      </c>
      <c r="AT42" s="54">
        <v>200</v>
      </c>
      <c r="AU42" s="48">
        <f t="shared" si="2"/>
        <v>10000</v>
      </c>
      <c r="AV42" s="66"/>
      <c r="AX42" s="127"/>
      <c r="AY42" s="127"/>
      <c r="AZ42" s="127">
        <f t="shared" si="3"/>
        <v>10000</v>
      </c>
      <c r="BA42" s="127"/>
      <c r="BB42" s="127"/>
      <c r="BC42" s="127"/>
      <c r="BD42" s="127"/>
    </row>
    <row r="43" spans="1:56" ht="20.25" customHeight="1" x14ac:dyDescent="0.25">
      <c r="A43" s="49">
        <v>34</v>
      </c>
      <c r="B43" s="50"/>
      <c r="C43" s="50" t="s">
        <v>38</v>
      </c>
      <c r="D43" s="50" t="s">
        <v>82</v>
      </c>
      <c r="E43" s="51" t="s">
        <v>103</v>
      </c>
      <c r="F43" s="49" t="s">
        <v>39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49">
        <v>20</v>
      </c>
      <c r="V43" s="53">
        <f t="shared" si="4"/>
        <v>199000</v>
      </c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72">
        <f t="shared" si="1"/>
        <v>20</v>
      </c>
      <c r="AT43" s="54">
        <v>9950</v>
      </c>
      <c r="AU43" s="48">
        <f t="shared" si="2"/>
        <v>199000</v>
      </c>
      <c r="AV43" s="66"/>
      <c r="AX43" s="127"/>
      <c r="AY43" s="127"/>
      <c r="AZ43" s="127">
        <f t="shared" si="3"/>
        <v>199000</v>
      </c>
      <c r="BA43" s="127"/>
      <c r="BB43" s="127"/>
      <c r="BC43" s="127"/>
      <c r="BD43" s="127"/>
    </row>
    <row r="44" spans="1:56" ht="20.25" customHeight="1" x14ac:dyDescent="0.25">
      <c r="A44" s="49">
        <v>35</v>
      </c>
      <c r="B44" s="50"/>
      <c r="C44" s="50" t="s">
        <v>38</v>
      </c>
      <c r="D44" s="50" t="s">
        <v>82</v>
      </c>
      <c r="E44" s="51" t="s">
        <v>104</v>
      </c>
      <c r="F44" s="49" t="s">
        <v>39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49">
        <v>50</v>
      </c>
      <c r="V44" s="53">
        <f t="shared" si="4"/>
        <v>69500</v>
      </c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72">
        <f t="shared" si="1"/>
        <v>50</v>
      </c>
      <c r="AT44" s="54">
        <v>1390</v>
      </c>
      <c r="AU44" s="48">
        <f t="shared" si="2"/>
        <v>69500</v>
      </c>
      <c r="AV44" s="66"/>
      <c r="AX44" s="127"/>
      <c r="AY44" s="127"/>
      <c r="AZ44" s="127">
        <f t="shared" si="3"/>
        <v>69500</v>
      </c>
      <c r="BA44" s="127"/>
      <c r="BB44" s="127"/>
      <c r="BC44" s="127"/>
      <c r="BD44" s="127"/>
    </row>
    <row r="45" spans="1:56" ht="20.25" customHeight="1" x14ac:dyDescent="0.25">
      <c r="A45" s="49">
        <v>36</v>
      </c>
      <c r="B45" s="50"/>
      <c r="C45" s="50" t="s">
        <v>38</v>
      </c>
      <c r="D45" s="50" t="s">
        <v>82</v>
      </c>
      <c r="E45" s="51" t="s">
        <v>105</v>
      </c>
      <c r="F45" s="49" t="s">
        <v>40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49">
        <v>150</v>
      </c>
      <c r="V45" s="53">
        <f t="shared" si="4"/>
        <v>44850</v>
      </c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72">
        <f t="shared" si="1"/>
        <v>150</v>
      </c>
      <c r="AT45" s="54">
        <v>299</v>
      </c>
      <c r="AU45" s="48">
        <f t="shared" si="2"/>
        <v>44850</v>
      </c>
      <c r="AV45" s="66"/>
      <c r="AX45" s="127"/>
      <c r="AY45" s="127"/>
      <c r="AZ45" s="127">
        <f t="shared" si="3"/>
        <v>44850</v>
      </c>
      <c r="BA45" s="127"/>
      <c r="BB45" s="127"/>
      <c r="BC45" s="127"/>
      <c r="BD45" s="127"/>
    </row>
    <row r="46" spans="1:56" ht="20.25" customHeight="1" x14ac:dyDescent="0.25">
      <c r="A46" s="49">
        <v>37</v>
      </c>
      <c r="B46" s="50"/>
      <c r="C46" s="50" t="s">
        <v>38</v>
      </c>
      <c r="D46" s="50" t="s">
        <v>82</v>
      </c>
      <c r="E46" s="51" t="s">
        <v>106</v>
      </c>
      <c r="F46" s="49" t="s">
        <v>40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49">
        <v>50</v>
      </c>
      <c r="V46" s="53">
        <f t="shared" si="4"/>
        <v>14950</v>
      </c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72">
        <f t="shared" si="1"/>
        <v>50</v>
      </c>
      <c r="AT46" s="54">
        <v>299</v>
      </c>
      <c r="AU46" s="48">
        <f t="shared" si="2"/>
        <v>14950</v>
      </c>
      <c r="AV46" s="66"/>
      <c r="AX46" s="127"/>
      <c r="AY46" s="127"/>
      <c r="AZ46" s="127">
        <f t="shared" si="3"/>
        <v>14950</v>
      </c>
      <c r="BA46" s="127"/>
      <c r="BB46" s="127"/>
      <c r="BC46" s="127"/>
      <c r="BD46" s="127"/>
    </row>
    <row r="47" spans="1:56" ht="20.25" customHeight="1" x14ac:dyDescent="0.25">
      <c r="A47" s="49">
        <v>38</v>
      </c>
      <c r="B47" s="50"/>
      <c r="C47" s="50" t="s">
        <v>38</v>
      </c>
      <c r="D47" s="50" t="s">
        <v>82</v>
      </c>
      <c r="E47" s="51" t="s">
        <v>107</v>
      </c>
      <c r="F47" s="49" t="s">
        <v>39</v>
      </c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49">
        <v>10</v>
      </c>
      <c r="V47" s="53">
        <f t="shared" si="4"/>
        <v>16000</v>
      </c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72">
        <f t="shared" si="1"/>
        <v>10</v>
      </c>
      <c r="AT47" s="54">
        <v>1600</v>
      </c>
      <c r="AU47" s="48">
        <f t="shared" si="2"/>
        <v>16000</v>
      </c>
      <c r="AV47" s="66"/>
      <c r="AX47" s="127"/>
      <c r="AY47" s="127"/>
      <c r="AZ47" s="127">
        <f t="shared" si="3"/>
        <v>16000</v>
      </c>
      <c r="BA47" s="127"/>
      <c r="BB47" s="127"/>
      <c r="BC47" s="127"/>
      <c r="BD47" s="127"/>
    </row>
    <row r="48" spans="1:56" ht="26.25" customHeight="1" x14ac:dyDescent="0.25">
      <c r="A48" s="49">
        <v>39</v>
      </c>
      <c r="B48" s="50"/>
      <c r="C48" s="50" t="s">
        <v>108</v>
      </c>
      <c r="D48" s="50" t="s">
        <v>82</v>
      </c>
      <c r="E48" s="51" t="s">
        <v>109</v>
      </c>
      <c r="F48" s="49" t="s">
        <v>40</v>
      </c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49">
        <v>50</v>
      </c>
      <c r="V48" s="53">
        <f t="shared" si="4"/>
        <v>1300</v>
      </c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72">
        <f t="shared" si="1"/>
        <v>50</v>
      </c>
      <c r="AT48" s="54">
        <v>26</v>
      </c>
      <c r="AU48" s="48">
        <f t="shared" si="2"/>
        <v>1300</v>
      </c>
      <c r="AV48" s="66"/>
      <c r="AX48" s="127"/>
      <c r="AY48" s="127"/>
      <c r="AZ48" s="127">
        <f t="shared" si="3"/>
        <v>1300</v>
      </c>
      <c r="BA48" s="127"/>
      <c r="BB48" s="127"/>
      <c r="BC48" s="127"/>
      <c r="BD48" s="127"/>
    </row>
    <row r="49" spans="1:56" ht="26.25" customHeight="1" x14ac:dyDescent="0.25">
      <c r="A49" s="49">
        <v>40</v>
      </c>
      <c r="B49" s="50"/>
      <c r="C49" s="50" t="s">
        <v>38</v>
      </c>
      <c r="D49" s="50" t="s">
        <v>82</v>
      </c>
      <c r="E49" s="51" t="s">
        <v>110</v>
      </c>
      <c r="F49" s="49" t="s">
        <v>40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49">
        <v>100</v>
      </c>
      <c r="V49" s="53">
        <f t="shared" si="4"/>
        <v>20250</v>
      </c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72">
        <f t="shared" si="1"/>
        <v>100</v>
      </c>
      <c r="AT49" s="54">
        <v>202.5</v>
      </c>
      <c r="AU49" s="48">
        <f t="shared" si="2"/>
        <v>20250</v>
      </c>
      <c r="AV49" s="66"/>
      <c r="AX49" s="127"/>
      <c r="AY49" s="127"/>
      <c r="AZ49" s="127">
        <f t="shared" si="3"/>
        <v>20250</v>
      </c>
      <c r="BA49" s="127"/>
      <c r="BB49" s="127"/>
      <c r="BC49" s="127"/>
      <c r="BD49" s="127"/>
    </row>
    <row r="50" spans="1:56" ht="26.25" customHeight="1" x14ac:dyDescent="0.25">
      <c r="A50" s="49">
        <v>41</v>
      </c>
      <c r="B50" s="50"/>
      <c r="C50" s="50" t="s">
        <v>38</v>
      </c>
      <c r="D50" s="50" t="s">
        <v>72</v>
      </c>
      <c r="E50" s="51" t="s">
        <v>74</v>
      </c>
      <c r="F50" s="49" t="s">
        <v>75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49">
        <v>100</v>
      </c>
      <c r="V50" s="53">
        <f t="shared" si="4"/>
        <v>54000</v>
      </c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72">
        <f t="shared" si="1"/>
        <v>100</v>
      </c>
      <c r="AT50" s="54">
        <v>540</v>
      </c>
      <c r="AU50" s="48">
        <f t="shared" si="2"/>
        <v>54000</v>
      </c>
      <c r="AV50" s="66"/>
      <c r="AX50" s="127"/>
      <c r="AY50" s="127"/>
      <c r="AZ50" s="127"/>
      <c r="BA50" s="127"/>
      <c r="BB50" s="127">
        <v>54000</v>
      </c>
      <c r="BC50" s="127"/>
      <c r="BD50" s="127"/>
    </row>
    <row r="51" spans="1:56" ht="26.25" customHeight="1" x14ac:dyDescent="0.25">
      <c r="A51" s="49">
        <v>42</v>
      </c>
      <c r="B51" s="50"/>
      <c r="C51" s="50" t="s">
        <v>38</v>
      </c>
      <c r="D51" s="50" t="s">
        <v>82</v>
      </c>
      <c r="E51" s="51" t="s">
        <v>111</v>
      </c>
      <c r="F51" s="49" t="s">
        <v>40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49">
        <v>20</v>
      </c>
      <c r="V51" s="53">
        <f t="shared" si="4"/>
        <v>4689.5999999999995</v>
      </c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72">
        <f t="shared" si="1"/>
        <v>20</v>
      </c>
      <c r="AT51" s="54">
        <v>234.48</v>
      </c>
      <c r="AU51" s="48">
        <f t="shared" si="2"/>
        <v>4689.5999999999995</v>
      </c>
      <c r="AV51" s="66"/>
      <c r="AX51" s="127"/>
      <c r="AY51" s="127"/>
      <c r="AZ51" s="127">
        <f t="shared" si="3"/>
        <v>4689.5999999999995</v>
      </c>
      <c r="BA51" s="127"/>
      <c r="BB51" s="127"/>
      <c r="BC51" s="127"/>
      <c r="BD51" s="127"/>
    </row>
    <row r="52" spans="1:56" ht="26.25" customHeight="1" x14ac:dyDescent="0.25">
      <c r="A52" s="49">
        <v>43</v>
      </c>
      <c r="B52" s="50"/>
      <c r="C52" s="50" t="s">
        <v>38</v>
      </c>
      <c r="D52" s="50" t="s">
        <v>82</v>
      </c>
      <c r="E52" s="51" t="s">
        <v>112</v>
      </c>
      <c r="F52" s="49" t="s">
        <v>40</v>
      </c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49">
        <v>20</v>
      </c>
      <c r="V52" s="53">
        <f t="shared" si="4"/>
        <v>4689.5999999999995</v>
      </c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72">
        <f t="shared" si="1"/>
        <v>20</v>
      </c>
      <c r="AT52" s="54">
        <v>234.48</v>
      </c>
      <c r="AU52" s="48">
        <f t="shared" si="2"/>
        <v>4689.5999999999995</v>
      </c>
      <c r="AV52" s="66"/>
      <c r="AX52" s="127"/>
      <c r="AY52" s="127"/>
      <c r="AZ52" s="127">
        <f t="shared" si="3"/>
        <v>4689.5999999999995</v>
      </c>
      <c r="BA52" s="127"/>
      <c r="BB52" s="127"/>
      <c r="BC52" s="127"/>
      <c r="BD52" s="127"/>
    </row>
    <row r="53" spans="1:56" ht="26.25" customHeight="1" x14ac:dyDescent="0.25">
      <c r="A53" s="49">
        <v>44</v>
      </c>
      <c r="B53" s="50"/>
      <c r="C53" s="50" t="s">
        <v>38</v>
      </c>
      <c r="D53" s="50" t="s">
        <v>82</v>
      </c>
      <c r="E53" s="51" t="s">
        <v>113</v>
      </c>
      <c r="F53" s="49" t="s">
        <v>40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49">
        <v>20</v>
      </c>
      <c r="V53" s="53">
        <f t="shared" si="4"/>
        <v>9000</v>
      </c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72">
        <f t="shared" si="1"/>
        <v>20</v>
      </c>
      <c r="AT53" s="54">
        <v>450</v>
      </c>
      <c r="AU53" s="48">
        <f t="shared" si="2"/>
        <v>9000</v>
      </c>
      <c r="AV53" s="66"/>
      <c r="AX53" s="127"/>
      <c r="AY53" s="127"/>
      <c r="AZ53" s="127">
        <f t="shared" si="3"/>
        <v>9000</v>
      </c>
      <c r="BA53" s="127"/>
      <c r="BB53" s="127"/>
      <c r="BC53" s="127"/>
      <c r="BD53" s="127"/>
    </row>
    <row r="54" spans="1:56" ht="20.25" customHeight="1" x14ac:dyDescent="0.25">
      <c r="A54" s="49">
        <v>45</v>
      </c>
      <c r="B54" s="50"/>
      <c r="C54" s="50" t="s">
        <v>38</v>
      </c>
      <c r="D54" s="50" t="s">
        <v>82</v>
      </c>
      <c r="E54" s="51" t="s">
        <v>114</v>
      </c>
      <c r="F54" s="49" t="s">
        <v>40</v>
      </c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49">
        <v>20</v>
      </c>
      <c r="V54" s="53">
        <f t="shared" si="4"/>
        <v>7464</v>
      </c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72">
        <f t="shared" si="1"/>
        <v>20</v>
      </c>
      <c r="AT54" s="54">
        <v>373.2</v>
      </c>
      <c r="AU54" s="48">
        <f t="shared" si="2"/>
        <v>7464</v>
      </c>
      <c r="AV54" s="66"/>
      <c r="AX54" s="127"/>
      <c r="AY54" s="127"/>
      <c r="AZ54" s="127">
        <f t="shared" si="3"/>
        <v>7464</v>
      </c>
      <c r="BA54" s="127"/>
      <c r="BB54" s="127"/>
      <c r="BC54" s="127"/>
      <c r="BD54" s="127"/>
    </row>
    <row r="55" spans="1:56" ht="20.25" customHeight="1" x14ac:dyDescent="0.25">
      <c r="A55" s="49">
        <v>46</v>
      </c>
      <c r="B55" s="56"/>
      <c r="C55" s="50" t="s">
        <v>38</v>
      </c>
      <c r="D55" s="50" t="s">
        <v>82</v>
      </c>
      <c r="E55" s="57" t="s">
        <v>115</v>
      </c>
      <c r="F55" s="49" t="s">
        <v>40</v>
      </c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49">
        <v>20</v>
      </c>
      <c r="V55" s="53">
        <f t="shared" si="4"/>
        <v>7464</v>
      </c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72">
        <f t="shared" si="1"/>
        <v>20</v>
      </c>
      <c r="AT55" s="54">
        <v>373.2</v>
      </c>
      <c r="AU55" s="48">
        <f t="shared" si="2"/>
        <v>7464</v>
      </c>
      <c r="AV55" s="66"/>
      <c r="AX55" s="127"/>
      <c r="AY55" s="127"/>
      <c r="AZ55" s="127">
        <f t="shared" si="3"/>
        <v>7464</v>
      </c>
      <c r="BA55" s="127"/>
      <c r="BB55" s="127"/>
      <c r="BC55" s="127"/>
      <c r="BD55" s="127"/>
    </row>
    <row r="56" spans="1:56" ht="20.25" customHeight="1" x14ac:dyDescent="0.25">
      <c r="A56" s="49">
        <v>47</v>
      </c>
      <c r="B56" s="50"/>
      <c r="C56" s="50" t="s">
        <v>38</v>
      </c>
      <c r="D56" s="50" t="s">
        <v>82</v>
      </c>
      <c r="E56" s="51" t="s">
        <v>116</v>
      </c>
      <c r="F56" s="49" t="s">
        <v>40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49">
        <v>20</v>
      </c>
      <c r="V56" s="53">
        <f t="shared" si="4"/>
        <v>7464</v>
      </c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72">
        <f t="shared" si="1"/>
        <v>20</v>
      </c>
      <c r="AT56" s="54">
        <v>373.2</v>
      </c>
      <c r="AU56" s="48">
        <f t="shared" si="2"/>
        <v>7464</v>
      </c>
      <c r="AV56" s="66"/>
      <c r="AX56" s="127"/>
      <c r="AY56" s="127"/>
      <c r="AZ56" s="127">
        <f t="shared" si="3"/>
        <v>7464</v>
      </c>
      <c r="BA56" s="127"/>
      <c r="BB56" s="127"/>
      <c r="BC56" s="127"/>
      <c r="BD56" s="127"/>
    </row>
    <row r="57" spans="1:56" ht="20.25" customHeight="1" x14ac:dyDescent="0.25">
      <c r="A57" s="49">
        <v>48</v>
      </c>
      <c r="B57" s="50"/>
      <c r="C57" s="50" t="s">
        <v>38</v>
      </c>
      <c r="D57" s="50" t="s">
        <v>82</v>
      </c>
      <c r="E57" s="51" t="s">
        <v>117</v>
      </c>
      <c r="F57" s="49" t="s">
        <v>40</v>
      </c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49">
        <v>20</v>
      </c>
      <c r="V57" s="53">
        <f t="shared" si="4"/>
        <v>7464</v>
      </c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72">
        <f t="shared" si="1"/>
        <v>20</v>
      </c>
      <c r="AT57" s="54">
        <v>373.2</v>
      </c>
      <c r="AU57" s="48">
        <f t="shared" si="2"/>
        <v>7464</v>
      </c>
      <c r="AV57" s="66"/>
      <c r="AX57" s="127"/>
      <c r="AY57" s="127"/>
      <c r="AZ57" s="127">
        <f t="shared" si="3"/>
        <v>7464</v>
      </c>
      <c r="BA57" s="127"/>
      <c r="BB57" s="127"/>
      <c r="BC57" s="127"/>
      <c r="BD57" s="127"/>
    </row>
    <row r="58" spans="1:56" ht="20.25" customHeight="1" x14ac:dyDescent="0.25">
      <c r="A58" s="49">
        <v>49</v>
      </c>
      <c r="B58" s="50"/>
      <c r="C58" s="50" t="s">
        <v>38</v>
      </c>
      <c r="D58" s="50" t="s">
        <v>82</v>
      </c>
      <c r="E58" s="51" t="s">
        <v>118</v>
      </c>
      <c r="F58" s="49" t="s">
        <v>40</v>
      </c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49">
        <v>20</v>
      </c>
      <c r="V58" s="53">
        <f t="shared" si="4"/>
        <v>7464</v>
      </c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72">
        <f t="shared" si="1"/>
        <v>20</v>
      </c>
      <c r="AT58" s="54">
        <v>373.2</v>
      </c>
      <c r="AU58" s="48">
        <f t="shared" si="2"/>
        <v>7464</v>
      </c>
      <c r="AV58" s="66"/>
      <c r="AX58" s="127"/>
      <c r="AY58" s="127"/>
      <c r="AZ58" s="127">
        <f t="shared" si="3"/>
        <v>7464</v>
      </c>
      <c r="BA58" s="127"/>
      <c r="BB58" s="127"/>
      <c r="BC58" s="127"/>
      <c r="BD58" s="127"/>
    </row>
    <row r="59" spans="1:56" ht="20.25" customHeight="1" x14ac:dyDescent="0.25">
      <c r="A59" s="49">
        <v>50</v>
      </c>
      <c r="B59" s="50"/>
      <c r="C59" s="50" t="s">
        <v>38</v>
      </c>
      <c r="D59" s="50" t="s">
        <v>82</v>
      </c>
      <c r="E59" s="51" t="s">
        <v>119</v>
      </c>
      <c r="F59" s="49" t="s">
        <v>40</v>
      </c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49">
        <v>20</v>
      </c>
      <c r="V59" s="53">
        <f t="shared" si="4"/>
        <v>7464</v>
      </c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72">
        <f t="shared" si="1"/>
        <v>20</v>
      </c>
      <c r="AT59" s="54">
        <v>373.2</v>
      </c>
      <c r="AU59" s="48">
        <f t="shared" si="2"/>
        <v>7464</v>
      </c>
      <c r="AV59" s="66"/>
      <c r="AX59" s="127"/>
      <c r="AY59" s="127"/>
      <c r="AZ59" s="127">
        <f t="shared" si="3"/>
        <v>7464</v>
      </c>
      <c r="BA59" s="127"/>
      <c r="BB59" s="127"/>
      <c r="BC59" s="127"/>
      <c r="BD59" s="127"/>
    </row>
    <row r="60" spans="1:56" ht="25.5" customHeight="1" x14ac:dyDescent="0.25">
      <c r="A60" s="49">
        <v>51</v>
      </c>
      <c r="B60" s="50"/>
      <c r="C60" s="50" t="s">
        <v>38</v>
      </c>
      <c r="D60" s="50" t="s">
        <v>82</v>
      </c>
      <c r="E60" s="51" t="s">
        <v>120</v>
      </c>
      <c r="F60" s="49" t="s">
        <v>40</v>
      </c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49">
        <v>20</v>
      </c>
      <c r="V60" s="53">
        <f t="shared" si="4"/>
        <v>8517</v>
      </c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72">
        <f t="shared" si="1"/>
        <v>20</v>
      </c>
      <c r="AT60" s="54">
        <v>425.85</v>
      </c>
      <c r="AU60" s="48">
        <f t="shared" si="2"/>
        <v>8517</v>
      </c>
      <c r="AV60" s="66"/>
      <c r="AX60" s="127"/>
      <c r="AY60" s="127"/>
      <c r="AZ60" s="127">
        <f t="shared" si="3"/>
        <v>8517</v>
      </c>
      <c r="BA60" s="127"/>
      <c r="BB60" s="127"/>
      <c r="BC60" s="127"/>
      <c r="BD60" s="127"/>
    </row>
    <row r="61" spans="1:56" ht="25.5" customHeight="1" x14ac:dyDescent="0.25">
      <c r="A61" s="49">
        <v>52</v>
      </c>
      <c r="B61" s="50"/>
      <c r="C61" s="50" t="s">
        <v>38</v>
      </c>
      <c r="D61" s="50" t="s">
        <v>82</v>
      </c>
      <c r="E61" s="51" t="s">
        <v>121</v>
      </c>
      <c r="F61" s="49" t="s">
        <v>40</v>
      </c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49">
        <v>20</v>
      </c>
      <c r="V61" s="53">
        <f t="shared" si="4"/>
        <v>7464</v>
      </c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72">
        <f t="shared" si="1"/>
        <v>20</v>
      </c>
      <c r="AT61" s="54">
        <v>373.2</v>
      </c>
      <c r="AU61" s="48">
        <f t="shared" si="2"/>
        <v>7464</v>
      </c>
      <c r="AV61" s="66"/>
      <c r="AX61" s="127"/>
      <c r="AY61" s="127"/>
      <c r="AZ61" s="127">
        <f t="shared" si="3"/>
        <v>7464</v>
      </c>
      <c r="BA61" s="127"/>
      <c r="BB61" s="127"/>
      <c r="BC61" s="127"/>
      <c r="BD61" s="127"/>
    </row>
    <row r="62" spans="1:56" ht="25.5" customHeight="1" x14ac:dyDescent="0.25">
      <c r="A62" s="49">
        <v>53</v>
      </c>
      <c r="B62" s="50"/>
      <c r="C62" s="50" t="s">
        <v>38</v>
      </c>
      <c r="D62" s="50" t="s">
        <v>82</v>
      </c>
      <c r="E62" s="51" t="s">
        <v>122</v>
      </c>
      <c r="F62" s="49" t="s">
        <v>40</v>
      </c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49">
        <v>20</v>
      </c>
      <c r="V62" s="53">
        <f t="shared" si="4"/>
        <v>8517</v>
      </c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72">
        <f t="shared" si="1"/>
        <v>20</v>
      </c>
      <c r="AT62" s="54">
        <v>425.85</v>
      </c>
      <c r="AU62" s="48">
        <f t="shared" si="2"/>
        <v>8517</v>
      </c>
      <c r="AV62" s="66"/>
      <c r="AX62" s="127"/>
      <c r="AY62" s="127"/>
      <c r="AZ62" s="127">
        <f t="shared" si="3"/>
        <v>8517</v>
      </c>
      <c r="BA62" s="127"/>
      <c r="BB62" s="127"/>
      <c r="BC62" s="127"/>
      <c r="BD62" s="127"/>
    </row>
    <row r="63" spans="1:56" ht="25.5" customHeight="1" x14ac:dyDescent="0.25">
      <c r="A63" s="49">
        <v>54</v>
      </c>
      <c r="B63" s="50"/>
      <c r="C63" s="50" t="s">
        <v>38</v>
      </c>
      <c r="D63" s="50" t="s">
        <v>82</v>
      </c>
      <c r="E63" s="51" t="s">
        <v>123</v>
      </c>
      <c r="F63" s="49" t="s">
        <v>40</v>
      </c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49">
        <v>20</v>
      </c>
      <c r="V63" s="53">
        <f t="shared" si="4"/>
        <v>11340.4</v>
      </c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72">
        <f t="shared" si="1"/>
        <v>20</v>
      </c>
      <c r="AT63" s="54">
        <v>567.02</v>
      </c>
      <c r="AU63" s="48">
        <f t="shared" si="2"/>
        <v>11340.4</v>
      </c>
      <c r="AV63" s="66"/>
      <c r="AX63" s="127"/>
      <c r="AY63" s="127"/>
      <c r="AZ63" s="127">
        <f t="shared" si="3"/>
        <v>11340.4</v>
      </c>
      <c r="BA63" s="127"/>
      <c r="BB63" s="127"/>
      <c r="BC63" s="127"/>
      <c r="BD63" s="127"/>
    </row>
    <row r="64" spans="1:56" ht="25.5" customHeight="1" x14ac:dyDescent="0.25">
      <c r="A64" s="49">
        <v>55</v>
      </c>
      <c r="B64" s="50"/>
      <c r="C64" s="50" t="s">
        <v>38</v>
      </c>
      <c r="D64" s="50" t="s">
        <v>82</v>
      </c>
      <c r="E64" s="51" t="s">
        <v>124</v>
      </c>
      <c r="F64" s="49" t="s">
        <v>40</v>
      </c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49">
        <v>20</v>
      </c>
      <c r="V64" s="53">
        <f t="shared" si="4"/>
        <v>4689.5999999999995</v>
      </c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72">
        <f t="shared" si="1"/>
        <v>20</v>
      </c>
      <c r="AT64" s="54">
        <v>234.48</v>
      </c>
      <c r="AU64" s="48">
        <f t="shared" si="2"/>
        <v>4689.5999999999995</v>
      </c>
      <c r="AV64" s="66"/>
      <c r="AX64" s="127"/>
      <c r="AY64" s="127"/>
      <c r="AZ64" s="127">
        <f t="shared" si="3"/>
        <v>4689.5999999999995</v>
      </c>
      <c r="BA64" s="127"/>
      <c r="BB64" s="127"/>
      <c r="BC64" s="127"/>
      <c r="BD64" s="127"/>
    </row>
    <row r="65" spans="1:56" ht="25.5" customHeight="1" x14ac:dyDescent="0.25">
      <c r="A65" s="49">
        <v>56</v>
      </c>
      <c r="B65" s="50"/>
      <c r="C65" s="50" t="s">
        <v>38</v>
      </c>
      <c r="D65" s="50" t="s">
        <v>82</v>
      </c>
      <c r="E65" s="51" t="s">
        <v>125</v>
      </c>
      <c r="F65" s="49" t="s">
        <v>40</v>
      </c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49">
        <v>20</v>
      </c>
      <c r="V65" s="53">
        <f t="shared" si="4"/>
        <v>4689.5999999999995</v>
      </c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72">
        <f t="shared" si="1"/>
        <v>20</v>
      </c>
      <c r="AT65" s="54">
        <v>234.48</v>
      </c>
      <c r="AU65" s="48">
        <f t="shared" si="2"/>
        <v>4689.5999999999995</v>
      </c>
      <c r="AV65" s="66"/>
      <c r="AX65" s="127"/>
      <c r="AY65" s="127"/>
      <c r="AZ65" s="127">
        <f t="shared" si="3"/>
        <v>4689.5999999999995</v>
      </c>
      <c r="BA65" s="127"/>
      <c r="BB65" s="127"/>
      <c r="BC65" s="127"/>
      <c r="BD65" s="127"/>
    </row>
    <row r="66" spans="1:56" ht="25.5" customHeight="1" x14ac:dyDescent="0.25">
      <c r="A66" s="49">
        <v>57</v>
      </c>
      <c r="B66" s="50"/>
      <c r="C66" s="50" t="s">
        <v>38</v>
      </c>
      <c r="D66" s="50" t="s">
        <v>82</v>
      </c>
      <c r="E66" s="51" t="s">
        <v>126</v>
      </c>
      <c r="F66" s="49" t="s">
        <v>40</v>
      </c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49">
        <v>20</v>
      </c>
      <c r="V66" s="53">
        <f t="shared" si="4"/>
        <v>4689.5999999999995</v>
      </c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72">
        <f t="shared" si="1"/>
        <v>20</v>
      </c>
      <c r="AT66" s="54">
        <v>234.48</v>
      </c>
      <c r="AU66" s="48">
        <f t="shared" si="2"/>
        <v>4689.5999999999995</v>
      </c>
      <c r="AV66" s="66"/>
      <c r="AX66" s="127"/>
      <c r="AY66" s="127"/>
      <c r="AZ66" s="127">
        <f t="shared" si="3"/>
        <v>4689.5999999999995</v>
      </c>
      <c r="BA66" s="127"/>
      <c r="BB66" s="127"/>
      <c r="BC66" s="127"/>
      <c r="BD66" s="127"/>
    </row>
    <row r="67" spans="1:56" ht="25.5" customHeight="1" x14ac:dyDescent="0.25">
      <c r="A67" s="49">
        <v>58</v>
      </c>
      <c r="B67" s="50"/>
      <c r="C67" s="50" t="s">
        <v>38</v>
      </c>
      <c r="D67" s="50" t="s">
        <v>82</v>
      </c>
      <c r="E67" s="51" t="s">
        <v>127</v>
      </c>
      <c r="F67" s="49" t="s">
        <v>40</v>
      </c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49">
        <v>20</v>
      </c>
      <c r="V67" s="53">
        <f t="shared" si="4"/>
        <v>4689.5999999999995</v>
      </c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72">
        <f t="shared" si="1"/>
        <v>20</v>
      </c>
      <c r="AT67" s="54">
        <v>234.48</v>
      </c>
      <c r="AU67" s="48">
        <f t="shared" si="2"/>
        <v>4689.5999999999995</v>
      </c>
      <c r="AV67" s="66"/>
      <c r="AX67" s="127"/>
      <c r="AY67" s="127"/>
      <c r="AZ67" s="127">
        <f t="shared" si="3"/>
        <v>4689.5999999999995</v>
      </c>
      <c r="BA67" s="127"/>
      <c r="BB67" s="127"/>
      <c r="BC67" s="127"/>
      <c r="BD67" s="127"/>
    </row>
    <row r="68" spans="1:56" ht="25.5" customHeight="1" x14ac:dyDescent="0.25">
      <c r="A68" s="49">
        <v>59</v>
      </c>
      <c r="B68" s="50"/>
      <c r="C68" s="50" t="s">
        <v>38</v>
      </c>
      <c r="D68" s="50" t="s">
        <v>82</v>
      </c>
      <c r="E68" s="51" t="s">
        <v>128</v>
      </c>
      <c r="F68" s="49" t="s">
        <v>40</v>
      </c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49">
        <v>20</v>
      </c>
      <c r="V68" s="53">
        <f t="shared" si="4"/>
        <v>4689.5999999999995</v>
      </c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72">
        <f t="shared" si="1"/>
        <v>20</v>
      </c>
      <c r="AT68" s="54">
        <v>234.48</v>
      </c>
      <c r="AU68" s="48">
        <f t="shared" si="2"/>
        <v>4689.5999999999995</v>
      </c>
      <c r="AV68" s="66"/>
      <c r="AX68" s="127"/>
      <c r="AY68" s="127"/>
      <c r="AZ68" s="127">
        <f t="shared" si="3"/>
        <v>4689.5999999999995</v>
      </c>
      <c r="BA68" s="127"/>
      <c r="BB68" s="127"/>
      <c r="BC68" s="127"/>
      <c r="BD68" s="127"/>
    </row>
    <row r="69" spans="1:56" ht="25.5" customHeight="1" x14ac:dyDescent="0.25">
      <c r="A69" s="49">
        <v>60</v>
      </c>
      <c r="B69" s="50"/>
      <c r="C69" s="50" t="s">
        <v>38</v>
      </c>
      <c r="D69" s="50" t="s">
        <v>82</v>
      </c>
      <c r="E69" s="51" t="s">
        <v>129</v>
      </c>
      <c r="F69" s="49" t="s">
        <v>40</v>
      </c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49">
        <v>20</v>
      </c>
      <c r="V69" s="53">
        <f t="shared" si="4"/>
        <v>4689.5999999999995</v>
      </c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72">
        <f t="shared" si="1"/>
        <v>20</v>
      </c>
      <c r="AT69" s="54">
        <v>234.48</v>
      </c>
      <c r="AU69" s="48">
        <f t="shared" si="2"/>
        <v>4689.5999999999995</v>
      </c>
      <c r="AV69" s="66"/>
      <c r="AX69" s="127"/>
      <c r="AY69" s="127"/>
      <c r="AZ69" s="127">
        <f t="shared" si="3"/>
        <v>4689.5999999999995</v>
      </c>
      <c r="BA69" s="127"/>
      <c r="BB69" s="127"/>
      <c r="BC69" s="127"/>
      <c r="BD69" s="127"/>
    </row>
    <row r="70" spans="1:56" ht="25.5" customHeight="1" x14ac:dyDescent="0.25">
      <c r="A70" s="49">
        <v>61</v>
      </c>
      <c r="B70" s="50"/>
      <c r="C70" s="50" t="s">
        <v>38</v>
      </c>
      <c r="D70" s="50" t="s">
        <v>82</v>
      </c>
      <c r="E70" s="51" t="s">
        <v>130</v>
      </c>
      <c r="F70" s="49" t="s">
        <v>40</v>
      </c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49">
        <v>20</v>
      </c>
      <c r="V70" s="53">
        <f t="shared" si="4"/>
        <v>4689.5999999999995</v>
      </c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72">
        <f t="shared" si="1"/>
        <v>20</v>
      </c>
      <c r="AT70" s="54">
        <v>234.48</v>
      </c>
      <c r="AU70" s="48">
        <f t="shared" si="2"/>
        <v>4689.5999999999995</v>
      </c>
      <c r="AV70" s="66"/>
      <c r="AX70" s="127"/>
      <c r="AY70" s="127"/>
      <c r="AZ70" s="127">
        <f t="shared" si="3"/>
        <v>4689.5999999999995</v>
      </c>
      <c r="BA70" s="127"/>
      <c r="BB70" s="127"/>
      <c r="BC70" s="127"/>
      <c r="BD70" s="127"/>
    </row>
    <row r="71" spans="1:56" ht="25.5" customHeight="1" x14ac:dyDescent="0.25">
      <c r="A71" s="49">
        <v>62</v>
      </c>
      <c r="B71" s="50"/>
      <c r="C71" s="50" t="s">
        <v>38</v>
      </c>
      <c r="D71" s="50" t="s">
        <v>82</v>
      </c>
      <c r="E71" s="51" t="s">
        <v>131</v>
      </c>
      <c r="F71" s="49" t="s">
        <v>40</v>
      </c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49">
        <v>20</v>
      </c>
      <c r="V71" s="53">
        <f t="shared" si="4"/>
        <v>4689.5999999999995</v>
      </c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72">
        <f t="shared" si="1"/>
        <v>20</v>
      </c>
      <c r="AT71" s="54">
        <v>234.48</v>
      </c>
      <c r="AU71" s="48">
        <f t="shared" si="2"/>
        <v>4689.5999999999995</v>
      </c>
      <c r="AV71" s="66"/>
      <c r="AX71" s="127"/>
      <c r="AY71" s="127"/>
      <c r="AZ71" s="127">
        <f t="shared" si="3"/>
        <v>4689.5999999999995</v>
      </c>
      <c r="BA71" s="127"/>
      <c r="BB71" s="127"/>
      <c r="BC71" s="127"/>
      <c r="BD71" s="127"/>
    </row>
    <row r="72" spans="1:56" ht="25.5" customHeight="1" x14ac:dyDescent="0.25">
      <c r="A72" s="49">
        <v>63</v>
      </c>
      <c r="B72" s="50"/>
      <c r="C72" s="50" t="s">
        <v>38</v>
      </c>
      <c r="D72" s="50" t="s">
        <v>82</v>
      </c>
      <c r="E72" s="51" t="s">
        <v>132</v>
      </c>
      <c r="F72" s="49" t="s">
        <v>40</v>
      </c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49">
        <v>20</v>
      </c>
      <c r="V72" s="53">
        <f t="shared" si="4"/>
        <v>4689.5999999999995</v>
      </c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72">
        <f t="shared" si="1"/>
        <v>20</v>
      </c>
      <c r="AT72" s="54">
        <v>234.48</v>
      </c>
      <c r="AU72" s="48">
        <f t="shared" si="2"/>
        <v>4689.5999999999995</v>
      </c>
      <c r="AV72" s="66"/>
      <c r="AX72" s="127"/>
      <c r="AY72" s="127"/>
      <c r="AZ72" s="127">
        <f t="shared" si="3"/>
        <v>4689.5999999999995</v>
      </c>
      <c r="BA72" s="127"/>
      <c r="BB72" s="127"/>
      <c r="BC72" s="127"/>
      <c r="BD72" s="127"/>
    </row>
    <row r="73" spans="1:56" ht="25.5" customHeight="1" x14ac:dyDescent="0.25">
      <c r="A73" s="49">
        <v>64</v>
      </c>
      <c r="B73" s="50"/>
      <c r="C73" s="50" t="s">
        <v>38</v>
      </c>
      <c r="D73" s="50" t="s">
        <v>82</v>
      </c>
      <c r="E73" s="51" t="s">
        <v>133</v>
      </c>
      <c r="F73" s="49" t="s">
        <v>40</v>
      </c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49">
        <v>20</v>
      </c>
      <c r="V73" s="53">
        <f t="shared" si="4"/>
        <v>4689.5999999999995</v>
      </c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72">
        <f t="shared" si="1"/>
        <v>20</v>
      </c>
      <c r="AT73" s="54">
        <v>234.48</v>
      </c>
      <c r="AU73" s="48">
        <f t="shared" si="2"/>
        <v>4689.5999999999995</v>
      </c>
      <c r="AV73" s="66"/>
      <c r="AX73" s="127"/>
      <c r="AY73" s="127"/>
      <c r="AZ73" s="127">
        <f t="shared" si="3"/>
        <v>4689.5999999999995</v>
      </c>
      <c r="BA73" s="127"/>
      <c r="BB73" s="127"/>
      <c r="BC73" s="127"/>
      <c r="BD73" s="127"/>
    </row>
    <row r="74" spans="1:56" ht="25.5" customHeight="1" x14ac:dyDescent="0.25">
      <c r="A74" s="49">
        <v>65</v>
      </c>
      <c r="B74" s="50"/>
      <c r="C74" s="50" t="s">
        <v>38</v>
      </c>
      <c r="D74" s="50" t="s">
        <v>82</v>
      </c>
      <c r="E74" s="51" t="s">
        <v>134</v>
      </c>
      <c r="F74" s="49" t="s">
        <v>40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49">
        <v>20</v>
      </c>
      <c r="V74" s="53">
        <f t="shared" ref="V74:V105" si="5">+U74*AT74</f>
        <v>8517</v>
      </c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72">
        <f t="shared" ref="AS74:AS137" si="6">+G74+I74+K74+M74+O74+Q74+S74+U74+W74+Y74++AA74+AC74+AE74+AG74+AI74+AK74+AM74+AO74+AQ74</f>
        <v>20</v>
      </c>
      <c r="AT74" s="54">
        <v>425.85</v>
      </c>
      <c r="AU74" s="48">
        <f t="shared" ref="AU74:AU137" si="7">+AS74*AT74</f>
        <v>8517</v>
      </c>
      <c r="AV74" s="66"/>
      <c r="AX74" s="127"/>
      <c r="AY74" s="127"/>
      <c r="AZ74" s="127">
        <f t="shared" si="3"/>
        <v>8517</v>
      </c>
      <c r="BA74" s="127"/>
      <c r="BB74" s="127"/>
      <c r="BC74" s="127"/>
      <c r="BD74" s="127"/>
    </row>
    <row r="75" spans="1:56" ht="25.5" customHeight="1" x14ac:dyDescent="0.25">
      <c r="A75" s="49">
        <v>66</v>
      </c>
      <c r="B75" s="50"/>
      <c r="C75" s="50" t="s">
        <v>38</v>
      </c>
      <c r="D75" s="50" t="s">
        <v>82</v>
      </c>
      <c r="E75" s="51" t="s">
        <v>135</v>
      </c>
      <c r="F75" s="49" t="s">
        <v>40</v>
      </c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49">
        <v>20</v>
      </c>
      <c r="V75" s="53">
        <f t="shared" si="5"/>
        <v>8517</v>
      </c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72">
        <f t="shared" si="6"/>
        <v>20</v>
      </c>
      <c r="AT75" s="54">
        <v>425.85</v>
      </c>
      <c r="AU75" s="48">
        <f t="shared" si="7"/>
        <v>8517</v>
      </c>
      <c r="AV75" s="66"/>
      <c r="AX75" s="127"/>
      <c r="AY75" s="127"/>
      <c r="AZ75" s="127">
        <f t="shared" ref="AZ75:AZ138" si="8">+AU75</f>
        <v>8517</v>
      </c>
      <c r="BA75" s="127"/>
      <c r="BB75" s="127"/>
      <c r="BC75" s="127"/>
      <c r="BD75" s="127"/>
    </row>
    <row r="76" spans="1:56" ht="25.5" customHeight="1" x14ac:dyDescent="0.25">
      <c r="A76" s="49">
        <v>67</v>
      </c>
      <c r="B76" s="50"/>
      <c r="C76" s="50" t="s">
        <v>38</v>
      </c>
      <c r="D76" s="50" t="s">
        <v>82</v>
      </c>
      <c r="E76" s="51" t="s">
        <v>136</v>
      </c>
      <c r="F76" s="49" t="s">
        <v>40</v>
      </c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49">
        <v>20</v>
      </c>
      <c r="V76" s="53">
        <f t="shared" si="5"/>
        <v>9000</v>
      </c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72">
        <f t="shared" si="6"/>
        <v>20</v>
      </c>
      <c r="AT76" s="54">
        <v>450</v>
      </c>
      <c r="AU76" s="48">
        <f t="shared" si="7"/>
        <v>9000</v>
      </c>
      <c r="AV76" s="66"/>
      <c r="AX76" s="127"/>
      <c r="AY76" s="127"/>
      <c r="AZ76" s="127">
        <f t="shared" si="8"/>
        <v>9000</v>
      </c>
      <c r="BA76" s="127"/>
      <c r="BB76" s="127"/>
      <c r="BC76" s="127"/>
      <c r="BD76" s="127"/>
    </row>
    <row r="77" spans="1:56" ht="25.5" customHeight="1" x14ac:dyDescent="0.25">
      <c r="A77" s="49">
        <v>68</v>
      </c>
      <c r="B77" s="50"/>
      <c r="C77" s="50" t="s">
        <v>38</v>
      </c>
      <c r="D77" s="50" t="s">
        <v>82</v>
      </c>
      <c r="E77" s="51" t="s">
        <v>137</v>
      </c>
      <c r="F77" s="49" t="s">
        <v>40</v>
      </c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49">
        <v>20</v>
      </c>
      <c r="V77" s="53">
        <f t="shared" si="5"/>
        <v>4500</v>
      </c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72">
        <f t="shared" si="6"/>
        <v>20</v>
      </c>
      <c r="AT77" s="54">
        <v>225</v>
      </c>
      <c r="AU77" s="48">
        <f t="shared" si="7"/>
        <v>4500</v>
      </c>
      <c r="AV77" s="66"/>
      <c r="AX77" s="127"/>
      <c r="AY77" s="127"/>
      <c r="AZ77" s="127">
        <f t="shared" si="8"/>
        <v>4500</v>
      </c>
      <c r="BA77" s="127"/>
      <c r="BB77" s="127"/>
      <c r="BC77" s="127"/>
      <c r="BD77" s="127"/>
    </row>
    <row r="78" spans="1:56" ht="25.5" customHeight="1" x14ac:dyDescent="0.25">
      <c r="A78" s="49">
        <v>69</v>
      </c>
      <c r="B78" s="50"/>
      <c r="C78" s="50" t="s">
        <v>38</v>
      </c>
      <c r="D78" s="50" t="s">
        <v>82</v>
      </c>
      <c r="E78" s="51" t="s">
        <v>138</v>
      </c>
      <c r="F78" s="49" t="s">
        <v>40</v>
      </c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49">
        <v>20</v>
      </c>
      <c r="V78" s="53">
        <f t="shared" si="5"/>
        <v>4500</v>
      </c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72">
        <f t="shared" si="6"/>
        <v>20</v>
      </c>
      <c r="AT78" s="54">
        <v>225</v>
      </c>
      <c r="AU78" s="48">
        <f t="shared" si="7"/>
        <v>4500</v>
      </c>
      <c r="AV78" s="66"/>
      <c r="AX78" s="127"/>
      <c r="AY78" s="127"/>
      <c r="AZ78" s="127">
        <f t="shared" si="8"/>
        <v>4500</v>
      </c>
      <c r="BA78" s="127"/>
      <c r="BB78" s="127"/>
      <c r="BC78" s="127"/>
      <c r="BD78" s="127"/>
    </row>
    <row r="79" spans="1:56" ht="25.5" customHeight="1" x14ac:dyDescent="0.25">
      <c r="A79" s="49">
        <v>70</v>
      </c>
      <c r="B79" s="50"/>
      <c r="C79" s="50" t="s">
        <v>38</v>
      </c>
      <c r="D79" s="50" t="s">
        <v>82</v>
      </c>
      <c r="E79" s="51" t="s">
        <v>139</v>
      </c>
      <c r="F79" s="49" t="s">
        <v>40</v>
      </c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49">
        <v>20</v>
      </c>
      <c r="V79" s="53">
        <f t="shared" si="5"/>
        <v>4500</v>
      </c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72">
        <f t="shared" si="6"/>
        <v>20</v>
      </c>
      <c r="AT79" s="54">
        <v>225</v>
      </c>
      <c r="AU79" s="48">
        <f t="shared" si="7"/>
        <v>4500</v>
      </c>
      <c r="AV79" s="66"/>
      <c r="AX79" s="127"/>
      <c r="AY79" s="127"/>
      <c r="AZ79" s="127">
        <f t="shared" si="8"/>
        <v>4500</v>
      </c>
      <c r="BA79" s="127"/>
      <c r="BB79" s="127"/>
      <c r="BC79" s="127"/>
      <c r="BD79" s="127"/>
    </row>
    <row r="80" spans="1:56" ht="25.5" customHeight="1" x14ac:dyDescent="0.25">
      <c r="A80" s="49">
        <v>71</v>
      </c>
      <c r="B80" s="50"/>
      <c r="C80" s="50" t="s">
        <v>38</v>
      </c>
      <c r="D80" s="50" t="s">
        <v>82</v>
      </c>
      <c r="E80" s="51" t="s">
        <v>140</v>
      </c>
      <c r="F80" s="49" t="s">
        <v>40</v>
      </c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49">
        <v>20</v>
      </c>
      <c r="V80" s="53">
        <f t="shared" si="5"/>
        <v>4500</v>
      </c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72">
        <f t="shared" si="6"/>
        <v>20</v>
      </c>
      <c r="AT80" s="54">
        <v>225</v>
      </c>
      <c r="AU80" s="48">
        <f t="shared" si="7"/>
        <v>4500</v>
      </c>
      <c r="AV80" s="66"/>
      <c r="AX80" s="127"/>
      <c r="AY80" s="127"/>
      <c r="AZ80" s="127">
        <f t="shared" si="8"/>
        <v>4500</v>
      </c>
      <c r="BA80" s="127"/>
      <c r="BB80" s="127"/>
      <c r="BC80" s="127"/>
      <c r="BD80" s="127"/>
    </row>
    <row r="81" spans="1:56" ht="25.5" customHeight="1" x14ac:dyDescent="0.25">
      <c r="A81" s="49">
        <v>72</v>
      </c>
      <c r="B81" s="50"/>
      <c r="C81" s="50" t="s">
        <v>38</v>
      </c>
      <c r="D81" s="50" t="s">
        <v>82</v>
      </c>
      <c r="E81" s="51" t="s">
        <v>141</v>
      </c>
      <c r="F81" s="49" t="s">
        <v>40</v>
      </c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49">
        <v>20</v>
      </c>
      <c r="V81" s="53">
        <f t="shared" si="5"/>
        <v>4500</v>
      </c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72">
        <f t="shared" si="6"/>
        <v>20</v>
      </c>
      <c r="AT81" s="54">
        <v>225</v>
      </c>
      <c r="AU81" s="48">
        <f t="shared" si="7"/>
        <v>4500</v>
      </c>
      <c r="AV81" s="66"/>
      <c r="AX81" s="127"/>
      <c r="AY81" s="127"/>
      <c r="AZ81" s="127">
        <f t="shared" si="8"/>
        <v>4500</v>
      </c>
      <c r="BA81" s="127"/>
      <c r="BB81" s="127"/>
      <c r="BC81" s="127"/>
      <c r="BD81" s="127"/>
    </row>
    <row r="82" spans="1:56" ht="25.5" customHeight="1" x14ac:dyDescent="0.25">
      <c r="A82" s="49">
        <v>73</v>
      </c>
      <c r="B82" s="50"/>
      <c r="C82" s="50" t="s">
        <v>38</v>
      </c>
      <c r="D82" s="50" t="s">
        <v>82</v>
      </c>
      <c r="E82" s="51" t="s">
        <v>142</v>
      </c>
      <c r="F82" s="49" t="s">
        <v>40</v>
      </c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49">
        <v>20</v>
      </c>
      <c r="V82" s="53">
        <f t="shared" si="5"/>
        <v>4500</v>
      </c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72">
        <f t="shared" si="6"/>
        <v>20</v>
      </c>
      <c r="AT82" s="54">
        <v>225</v>
      </c>
      <c r="AU82" s="48">
        <f t="shared" si="7"/>
        <v>4500</v>
      </c>
      <c r="AV82" s="66"/>
      <c r="AX82" s="127"/>
      <c r="AY82" s="127"/>
      <c r="AZ82" s="127">
        <f t="shared" si="8"/>
        <v>4500</v>
      </c>
      <c r="BA82" s="127"/>
      <c r="BB82" s="127"/>
      <c r="BC82" s="127"/>
      <c r="BD82" s="127"/>
    </row>
    <row r="83" spans="1:56" ht="25.5" customHeight="1" x14ac:dyDescent="0.25">
      <c r="A83" s="49">
        <v>74</v>
      </c>
      <c r="B83" s="50"/>
      <c r="C83" s="50" t="s">
        <v>38</v>
      </c>
      <c r="D83" s="50" t="s">
        <v>82</v>
      </c>
      <c r="E83" s="51" t="s">
        <v>143</v>
      </c>
      <c r="F83" s="49" t="s">
        <v>40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49">
        <v>20</v>
      </c>
      <c r="V83" s="53">
        <f t="shared" si="5"/>
        <v>4500</v>
      </c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72">
        <f t="shared" si="6"/>
        <v>20</v>
      </c>
      <c r="AT83" s="54">
        <v>225</v>
      </c>
      <c r="AU83" s="48">
        <f t="shared" si="7"/>
        <v>4500</v>
      </c>
      <c r="AV83" s="66"/>
      <c r="AX83" s="127"/>
      <c r="AY83" s="127"/>
      <c r="AZ83" s="127">
        <f t="shared" si="8"/>
        <v>4500</v>
      </c>
      <c r="BA83" s="127"/>
      <c r="BB83" s="127"/>
      <c r="BC83" s="127"/>
      <c r="BD83" s="127"/>
    </row>
    <row r="84" spans="1:56" ht="25.5" customHeight="1" x14ac:dyDescent="0.25">
      <c r="A84" s="49">
        <v>75</v>
      </c>
      <c r="B84" s="50"/>
      <c r="C84" s="50" t="s">
        <v>38</v>
      </c>
      <c r="D84" s="50" t="s">
        <v>82</v>
      </c>
      <c r="E84" s="51" t="s">
        <v>144</v>
      </c>
      <c r="F84" s="49" t="s">
        <v>40</v>
      </c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49">
        <v>20</v>
      </c>
      <c r="V84" s="53">
        <f t="shared" si="5"/>
        <v>4500</v>
      </c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72">
        <f t="shared" si="6"/>
        <v>20</v>
      </c>
      <c r="AT84" s="54">
        <v>225</v>
      </c>
      <c r="AU84" s="48">
        <f t="shared" si="7"/>
        <v>4500</v>
      </c>
      <c r="AV84" s="66"/>
      <c r="AX84" s="127"/>
      <c r="AY84" s="127"/>
      <c r="AZ84" s="127">
        <f t="shared" si="8"/>
        <v>4500</v>
      </c>
      <c r="BA84" s="127"/>
      <c r="BB84" s="127"/>
      <c r="BC84" s="127"/>
      <c r="BD84" s="127"/>
    </row>
    <row r="85" spans="1:56" ht="25.5" customHeight="1" x14ac:dyDescent="0.25">
      <c r="A85" s="49">
        <v>76</v>
      </c>
      <c r="B85" s="50"/>
      <c r="C85" s="50" t="s">
        <v>38</v>
      </c>
      <c r="D85" s="50" t="s">
        <v>82</v>
      </c>
      <c r="E85" s="51" t="s">
        <v>145</v>
      </c>
      <c r="F85" s="49" t="s">
        <v>40</v>
      </c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49">
        <v>20</v>
      </c>
      <c r="V85" s="53">
        <f t="shared" si="5"/>
        <v>4500</v>
      </c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72">
        <f t="shared" si="6"/>
        <v>20</v>
      </c>
      <c r="AT85" s="54">
        <v>225</v>
      </c>
      <c r="AU85" s="48">
        <f t="shared" si="7"/>
        <v>4500</v>
      </c>
      <c r="AV85" s="66"/>
      <c r="AX85" s="127"/>
      <c r="AY85" s="127"/>
      <c r="AZ85" s="127">
        <f t="shared" si="8"/>
        <v>4500</v>
      </c>
      <c r="BA85" s="127"/>
      <c r="BB85" s="127"/>
      <c r="BC85" s="127"/>
      <c r="BD85" s="127"/>
    </row>
    <row r="86" spans="1:56" ht="25.5" customHeight="1" x14ac:dyDescent="0.25">
      <c r="A86" s="49">
        <v>77</v>
      </c>
      <c r="B86" s="50"/>
      <c r="C86" s="50" t="s">
        <v>38</v>
      </c>
      <c r="D86" s="50" t="s">
        <v>82</v>
      </c>
      <c r="E86" s="51" t="s">
        <v>146</v>
      </c>
      <c r="F86" s="49" t="s">
        <v>40</v>
      </c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49">
        <v>20</v>
      </c>
      <c r="V86" s="53">
        <f t="shared" si="5"/>
        <v>4500</v>
      </c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72">
        <f t="shared" si="6"/>
        <v>20</v>
      </c>
      <c r="AT86" s="54">
        <v>225</v>
      </c>
      <c r="AU86" s="48">
        <f t="shared" si="7"/>
        <v>4500</v>
      </c>
      <c r="AV86" s="66"/>
      <c r="AX86" s="127"/>
      <c r="AY86" s="127"/>
      <c r="AZ86" s="127">
        <f t="shared" si="8"/>
        <v>4500</v>
      </c>
      <c r="BA86" s="127"/>
      <c r="BB86" s="127"/>
      <c r="BC86" s="127"/>
      <c r="BD86" s="127"/>
    </row>
    <row r="87" spans="1:56" ht="25.5" customHeight="1" x14ac:dyDescent="0.25">
      <c r="A87" s="49">
        <v>78</v>
      </c>
      <c r="B87" s="50"/>
      <c r="C87" s="50" t="s">
        <v>38</v>
      </c>
      <c r="D87" s="50" t="s">
        <v>82</v>
      </c>
      <c r="E87" s="51" t="s">
        <v>147</v>
      </c>
      <c r="F87" s="49" t="s">
        <v>40</v>
      </c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49">
        <v>20</v>
      </c>
      <c r="V87" s="53">
        <f t="shared" si="5"/>
        <v>4500</v>
      </c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72">
        <f t="shared" si="6"/>
        <v>20</v>
      </c>
      <c r="AT87" s="54">
        <v>225</v>
      </c>
      <c r="AU87" s="48">
        <f t="shared" si="7"/>
        <v>4500</v>
      </c>
      <c r="AV87" s="66"/>
      <c r="AX87" s="127"/>
      <c r="AY87" s="127"/>
      <c r="AZ87" s="127">
        <f t="shared" si="8"/>
        <v>4500</v>
      </c>
      <c r="BA87" s="127"/>
      <c r="BB87" s="127"/>
      <c r="BC87" s="127"/>
      <c r="BD87" s="127"/>
    </row>
    <row r="88" spans="1:56" ht="25.5" customHeight="1" x14ac:dyDescent="0.25">
      <c r="A88" s="49">
        <v>79</v>
      </c>
      <c r="B88" s="50"/>
      <c r="C88" s="50" t="s">
        <v>38</v>
      </c>
      <c r="D88" s="50" t="s">
        <v>82</v>
      </c>
      <c r="E88" s="51" t="s">
        <v>148</v>
      </c>
      <c r="F88" s="49" t="s">
        <v>40</v>
      </c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49">
        <v>20</v>
      </c>
      <c r="V88" s="53">
        <f t="shared" si="5"/>
        <v>4500</v>
      </c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72">
        <f t="shared" si="6"/>
        <v>20</v>
      </c>
      <c r="AT88" s="54">
        <v>225</v>
      </c>
      <c r="AU88" s="48">
        <f t="shared" si="7"/>
        <v>4500</v>
      </c>
      <c r="AV88" s="66"/>
      <c r="AX88" s="127"/>
      <c r="AY88" s="127"/>
      <c r="AZ88" s="127">
        <f t="shared" si="8"/>
        <v>4500</v>
      </c>
      <c r="BA88" s="127"/>
      <c r="BB88" s="127"/>
      <c r="BC88" s="127"/>
      <c r="BD88" s="127"/>
    </row>
    <row r="89" spans="1:56" ht="25.5" customHeight="1" x14ac:dyDescent="0.25">
      <c r="A89" s="49">
        <v>80</v>
      </c>
      <c r="B89" s="50"/>
      <c r="C89" s="50" t="s">
        <v>38</v>
      </c>
      <c r="D89" s="50" t="s">
        <v>82</v>
      </c>
      <c r="E89" s="51" t="s">
        <v>149</v>
      </c>
      <c r="F89" s="49" t="s">
        <v>40</v>
      </c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49">
        <v>20</v>
      </c>
      <c r="V89" s="53">
        <f t="shared" si="5"/>
        <v>4500</v>
      </c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72">
        <f t="shared" si="6"/>
        <v>20</v>
      </c>
      <c r="AT89" s="54">
        <v>225</v>
      </c>
      <c r="AU89" s="48">
        <f t="shared" si="7"/>
        <v>4500</v>
      </c>
      <c r="AV89" s="66"/>
      <c r="AX89" s="127"/>
      <c r="AY89" s="127"/>
      <c r="AZ89" s="127">
        <f t="shared" si="8"/>
        <v>4500</v>
      </c>
      <c r="BA89" s="127"/>
      <c r="BB89" s="127"/>
      <c r="BC89" s="127"/>
      <c r="BD89" s="127"/>
    </row>
    <row r="90" spans="1:56" ht="25.5" customHeight="1" x14ac:dyDescent="0.25">
      <c r="A90" s="49">
        <v>81</v>
      </c>
      <c r="B90" s="50"/>
      <c r="C90" s="50" t="s">
        <v>38</v>
      </c>
      <c r="D90" s="50" t="s">
        <v>82</v>
      </c>
      <c r="E90" s="51" t="s">
        <v>150</v>
      </c>
      <c r="F90" s="49" t="s">
        <v>40</v>
      </c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49">
        <v>20</v>
      </c>
      <c r="V90" s="53">
        <f t="shared" si="5"/>
        <v>4500</v>
      </c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72">
        <f t="shared" si="6"/>
        <v>20</v>
      </c>
      <c r="AT90" s="54">
        <v>225</v>
      </c>
      <c r="AU90" s="48">
        <f t="shared" si="7"/>
        <v>4500</v>
      </c>
      <c r="AV90" s="66"/>
      <c r="AX90" s="127"/>
      <c r="AY90" s="127"/>
      <c r="AZ90" s="127">
        <f t="shared" si="8"/>
        <v>4500</v>
      </c>
      <c r="BA90" s="127"/>
      <c r="BB90" s="127"/>
      <c r="BC90" s="127"/>
      <c r="BD90" s="127"/>
    </row>
    <row r="91" spans="1:56" ht="25.5" customHeight="1" x14ac:dyDescent="0.25">
      <c r="A91" s="49">
        <v>82</v>
      </c>
      <c r="B91" s="50"/>
      <c r="C91" s="50" t="s">
        <v>38</v>
      </c>
      <c r="D91" s="50" t="s">
        <v>82</v>
      </c>
      <c r="E91" s="51" t="s">
        <v>151</v>
      </c>
      <c r="F91" s="49" t="s">
        <v>40</v>
      </c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49">
        <v>20</v>
      </c>
      <c r="V91" s="53">
        <f t="shared" si="5"/>
        <v>4500</v>
      </c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72">
        <f t="shared" si="6"/>
        <v>20</v>
      </c>
      <c r="AT91" s="54">
        <v>225</v>
      </c>
      <c r="AU91" s="48">
        <f t="shared" si="7"/>
        <v>4500</v>
      </c>
      <c r="AV91" s="66"/>
      <c r="AX91" s="127"/>
      <c r="AY91" s="127"/>
      <c r="AZ91" s="127">
        <f t="shared" si="8"/>
        <v>4500</v>
      </c>
      <c r="BA91" s="127"/>
      <c r="BB91" s="127"/>
      <c r="BC91" s="127"/>
      <c r="BD91" s="127"/>
    </row>
    <row r="92" spans="1:56" ht="25.5" customHeight="1" x14ac:dyDescent="0.25">
      <c r="A92" s="49">
        <v>83</v>
      </c>
      <c r="B92" s="50"/>
      <c r="C92" s="50" t="s">
        <v>38</v>
      </c>
      <c r="D92" s="50" t="s">
        <v>82</v>
      </c>
      <c r="E92" s="51" t="s">
        <v>152</v>
      </c>
      <c r="F92" s="49" t="s">
        <v>40</v>
      </c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49">
        <v>20</v>
      </c>
      <c r="V92" s="53">
        <f t="shared" si="5"/>
        <v>4500</v>
      </c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72">
        <f t="shared" si="6"/>
        <v>20</v>
      </c>
      <c r="AT92" s="54">
        <v>225</v>
      </c>
      <c r="AU92" s="48">
        <f t="shared" si="7"/>
        <v>4500</v>
      </c>
      <c r="AV92" s="66"/>
      <c r="AX92" s="127"/>
      <c r="AY92" s="127"/>
      <c r="AZ92" s="127">
        <f t="shared" si="8"/>
        <v>4500</v>
      </c>
      <c r="BA92" s="127"/>
      <c r="BB92" s="127"/>
      <c r="BC92" s="127"/>
      <c r="BD92" s="127"/>
    </row>
    <row r="93" spans="1:56" ht="25.5" customHeight="1" x14ac:dyDescent="0.25">
      <c r="A93" s="49">
        <v>84</v>
      </c>
      <c r="B93" s="50"/>
      <c r="C93" s="50" t="s">
        <v>38</v>
      </c>
      <c r="D93" s="50" t="s">
        <v>82</v>
      </c>
      <c r="E93" s="51" t="s">
        <v>153</v>
      </c>
      <c r="F93" s="49" t="s">
        <v>40</v>
      </c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49">
        <v>20</v>
      </c>
      <c r="V93" s="53">
        <f t="shared" si="5"/>
        <v>4500</v>
      </c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72">
        <f t="shared" si="6"/>
        <v>20</v>
      </c>
      <c r="AT93" s="54">
        <v>225</v>
      </c>
      <c r="AU93" s="48">
        <f t="shared" si="7"/>
        <v>4500</v>
      </c>
      <c r="AV93" s="66"/>
      <c r="AX93" s="127"/>
      <c r="AY93" s="127"/>
      <c r="AZ93" s="127">
        <f t="shared" si="8"/>
        <v>4500</v>
      </c>
      <c r="BA93" s="127"/>
      <c r="BB93" s="127"/>
      <c r="BC93" s="127"/>
      <c r="BD93" s="127"/>
    </row>
    <row r="94" spans="1:56" ht="25.5" customHeight="1" x14ac:dyDescent="0.25">
      <c r="A94" s="49">
        <v>85</v>
      </c>
      <c r="B94" s="50"/>
      <c r="C94" s="50" t="s">
        <v>38</v>
      </c>
      <c r="D94" s="50" t="s">
        <v>82</v>
      </c>
      <c r="E94" s="51" t="s">
        <v>154</v>
      </c>
      <c r="F94" s="49" t="s">
        <v>40</v>
      </c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49">
        <v>20</v>
      </c>
      <c r="V94" s="53">
        <f t="shared" si="5"/>
        <v>4500</v>
      </c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72">
        <f t="shared" si="6"/>
        <v>20</v>
      </c>
      <c r="AT94" s="54">
        <v>225</v>
      </c>
      <c r="AU94" s="48">
        <f t="shared" si="7"/>
        <v>4500</v>
      </c>
      <c r="AV94" s="66"/>
      <c r="AX94" s="127"/>
      <c r="AY94" s="127"/>
      <c r="AZ94" s="127">
        <f t="shared" si="8"/>
        <v>4500</v>
      </c>
      <c r="BA94" s="127"/>
      <c r="BB94" s="127"/>
      <c r="BC94" s="127"/>
      <c r="BD94" s="127"/>
    </row>
    <row r="95" spans="1:56" ht="25.5" customHeight="1" x14ac:dyDescent="0.25">
      <c r="A95" s="49">
        <v>86</v>
      </c>
      <c r="B95" s="50"/>
      <c r="C95" s="50" t="s">
        <v>38</v>
      </c>
      <c r="D95" s="50" t="s">
        <v>82</v>
      </c>
      <c r="E95" s="51" t="s">
        <v>155</v>
      </c>
      <c r="F95" s="49" t="s">
        <v>40</v>
      </c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49">
        <v>20</v>
      </c>
      <c r="V95" s="53">
        <f t="shared" si="5"/>
        <v>4500</v>
      </c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72">
        <f t="shared" si="6"/>
        <v>20</v>
      </c>
      <c r="AT95" s="54">
        <v>225</v>
      </c>
      <c r="AU95" s="48">
        <f t="shared" si="7"/>
        <v>4500</v>
      </c>
      <c r="AV95" s="66"/>
      <c r="AX95" s="127"/>
      <c r="AY95" s="127"/>
      <c r="AZ95" s="127">
        <f t="shared" si="8"/>
        <v>4500</v>
      </c>
      <c r="BA95" s="127"/>
      <c r="BB95" s="127"/>
      <c r="BC95" s="127"/>
      <c r="BD95" s="127"/>
    </row>
    <row r="96" spans="1:56" ht="25.5" customHeight="1" x14ac:dyDescent="0.25">
      <c r="A96" s="49">
        <v>87</v>
      </c>
      <c r="B96" s="50"/>
      <c r="C96" s="50" t="s">
        <v>38</v>
      </c>
      <c r="D96" s="50" t="s">
        <v>82</v>
      </c>
      <c r="E96" s="51" t="s">
        <v>156</v>
      </c>
      <c r="F96" s="49" t="s">
        <v>40</v>
      </c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49">
        <v>20</v>
      </c>
      <c r="V96" s="53">
        <f t="shared" si="5"/>
        <v>4500</v>
      </c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72">
        <f t="shared" si="6"/>
        <v>20</v>
      </c>
      <c r="AT96" s="54">
        <v>225</v>
      </c>
      <c r="AU96" s="48">
        <f t="shared" si="7"/>
        <v>4500</v>
      </c>
      <c r="AV96" s="66"/>
      <c r="AX96" s="127"/>
      <c r="AY96" s="127"/>
      <c r="AZ96" s="127">
        <f t="shared" si="8"/>
        <v>4500</v>
      </c>
      <c r="BA96" s="127"/>
      <c r="BB96" s="127"/>
      <c r="BC96" s="127"/>
      <c r="BD96" s="127"/>
    </row>
    <row r="97" spans="1:56" ht="20.25" customHeight="1" x14ac:dyDescent="0.25">
      <c r="A97" s="49">
        <v>88</v>
      </c>
      <c r="B97" s="50"/>
      <c r="C97" s="50" t="s">
        <v>38</v>
      </c>
      <c r="D97" s="50" t="s">
        <v>82</v>
      </c>
      <c r="E97" s="51" t="s">
        <v>157</v>
      </c>
      <c r="F97" s="49" t="s">
        <v>40</v>
      </c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49">
        <v>10</v>
      </c>
      <c r="V97" s="53">
        <f t="shared" si="5"/>
        <v>12900</v>
      </c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72">
        <f t="shared" si="6"/>
        <v>10</v>
      </c>
      <c r="AT97" s="54">
        <v>1290</v>
      </c>
      <c r="AU97" s="48">
        <f t="shared" si="7"/>
        <v>12900</v>
      </c>
      <c r="AV97" s="66"/>
      <c r="AX97" s="127"/>
      <c r="AY97" s="127"/>
      <c r="AZ97" s="127">
        <f t="shared" si="8"/>
        <v>12900</v>
      </c>
      <c r="BA97" s="127"/>
      <c r="BB97" s="127"/>
      <c r="BC97" s="127"/>
      <c r="BD97" s="127"/>
    </row>
    <row r="98" spans="1:56" ht="20.25" customHeight="1" x14ac:dyDescent="0.25">
      <c r="A98" s="49">
        <v>89</v>
      </c>
      <c r="B98" s="50"/>
      <c r="C98" s="50" t="s">
        <v>38</v>
      </c>
      <c r="D98" s="50" t="s">
        <v>82</v>
      </c>
      <c r="E98" s="51" t="s">
        <v>158</v>
      </c>
      <c r="F98" s="49" t="s">
        <v>40</v>
      </c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49">
        <v>80</v>
      </c>
      <c r="V98" s="53">
        <f t="shared" si="5"/>
        <v>22276</v>
      </c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72">
        <f t="shared" si="6"/>
        <v>80</v>
      </c>
      <c r="AT98" s="54">
        <v>278.45</v>
      </c>
      <c r="AU98" s="48">
        <f t="shared" si="7"/>
        <v>22276</v>
      </c>
      <c r="AV98" s="66"/>
      <c r="AX98" s="127"/>
      <c r="AY98" s="127"/>
      <c r="AZ98" s="127">
        <f t="shared" si="8"/>
        <v>22276</v>
      </c>
      <c r="BA98" s="127"/>
      <c r="BB98" s="127"/>
      <c r="BC98" s="127"/>
      <c r="BD98" s="127"/>
    </row>
    <row r="99" spans="1:56" ht="20.25" customHeight="1" x14ac:dyDescent="0.25">
      <c r="A99" s="49">
        <v>90</v>
      </c>
      <c r="B99" s="50"/>
      <c r="C99" s="50" t="s">
        <v>38</v>
      </c>
      <c r="D99" s="50" t="s">
        <v>82</v>
      </c>
      <c r="E99" s="51" t="s">
        <v>159</v>
      </c>
      <c r="F99" s="49" t="s">
        <v>40</v>
      </c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49">
        <v>20</v>
      </c>
      <c r="V99" s="53">
        <f t="shared" si="5"/>
        <v>5800</v>
      </c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72">
        <f t="shared" si="6"/>
        <v>20</v>
      </c>
      <c r="AT99" s="54">
        <v>290</v>
      </c>
      <c r="AU99" s="48">
        <f t="shared" si="7"/>
        <v>5800</v>
      </c>
      <c r="AV99" s="66"/>
      <c r="AX99" s="127"/>
      <c r="AY99" s="127"/>
      <c r="AZ99" s="127">
        <f t="shared" si="8"/>
        <v>5800</v>
      </c>
      <c r="BA99" s="127"/>
      <c r="BB99" s="127"/>
      <c r="BC99" s="127"/>
      <c r="BD99" s="127"/>
    </row>
    <row r="100" spans="1:56" ht="26.25" customHeight="1" x14ac:dyDescent="0.25">
      <c r="A100" s="49">
        <v>91</v>
      </c>
      <c r="B100" s="50"/>
      <c r="C100" s="50" t="s">
        <v>38</v>
      </c>
      <c r="D100" s="50" t="s">
        <v>58</v>
      </c>
      <c r="E100" s="51" t="s">
        <v>68</v>
      </c>
      <c r="F100" s="49" t="s">
        <v>39</v>
      </c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49">
        <v>10</v>
      </c>
      <c r="V100" s="53">
        <f t="shared" si="5"/>
        <v>25000</v>
      </c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72">
        <f t="shared" si="6"/>
        <v>10</v>
      </c>
      <c r="AT100" s="54">
        <v>2500</v>
      </c>
      <c r="AU100" s="48">
        <f t="shared" si="7"/>
        <v>25000</v>
      </c>
      <c r="AV100" s="66"/>
      <c r="AX100" s="127"/>
      <c r="AY100" s="127">
        <v>25000</v>
      </c>
      <c r="AZ100" s="127"/>
      <c r="BA100" s="127"/>
      <c r="BB100" s="127"/>
      <c r="BC100" s="127"/>
      <c r="BD100" s="127"/>
    </row>
    <row r="101" spans="1:56" ht="26.25" customHeight="1" x14ac:dyDescent="0.25">
      <c r="A101" s="49">
        <v>92</v>
      </c>
      <c r="B101" s="50"/>
      <c r="C101" s="50" t="s">
        <v>38</v>
      </c>
      <c r="D101" s="50" t="s">
        <v>58</v>
      </c>
      <c r="E101" s="51" t="s">
        <v>69</v>
      </c>
      <c r="F101" s="49" t="s">
        <v>39</v>
      </c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49">
        <v>10</v>
      </c>
      <c r="V101" s="53">
        <f t="shared" si="5"/>
        <v>53170</v>
      </c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72">
        <f t="shared" si="6"/>
        <v>10</v>
      </c>
      <c r="AT101" s="54">
        <v>5317</v>
      </c>
      <c r="AU101" s="48">
        <f t="shared" si="7"/>
        <v>53170</v>
      </c>
      <c r="AV101" s="66"/>
      <c r="AX101" s="127"/>
      <c r="AY101" s="127">
        <v>53170</v>
      </c>
      <c r="AZ101" s="127"/>
      <c r="BA101" s="127"/>
      <c r="BB101" s="127"/>
      <c r="BC101" s="127"/>
      <c r="BD101" s="127"/>
    </row>
    <row r="102" spans="1:56" ht="26.25" customHeight="1" x14ac:dyDescent="0.25">
      <c r="A102" s="49">
        <v>93</v>
      </c>
      <c r="B102" s="50"/>
      <c r="C102" s="50" t="s">
        <v>38</v>
      </c>
      <c r="D102" s="50" t="s">
        <v>82</v>
      </c>
      <c r="E102" s="51" t="s">
        <v>160</v>
      </c>
      <c r="F102" s="49" t="s">
        <v>39</v>
      </c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49">
        <v>400</v>
      </c>
      <c r="V102" s="53">
        <f t="shared" si="5"/>
        <v>425856.00000000006</v>
      </c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72">
        <f t="shared" si="6"/>
        <v>400</v>
      </c>
      <c r="AT102" s="54">
        <v>1064.6400000000001</v>
      </c>
      <c r="AU102" s="48">
        <f t="shared" si="7"/>
        <v>425856.00000000006</v>
      </c>
      <c r="AV102" s="66"/>
      <c r="AX102" s="127"/>
      <c r="AY102" s="127"/>
      <c r="AZ102" s="127">
        <f t="shared" si="8"/>
        <v>425856.00000000006</v>
      </c>
      <c r="BA102" s="127"/>
      <c r="BB102" s="127"/>
      <c r="BC102" s="127"/>
      <c r="BD102" s="127"/>
    </row>
    <row r="103" spans="1:56" ht="26.25" customHeight="1" x14ac:dyDescent="0.25">
      <c r="A103" s="49">
        <v>94</v>
      </c>
      <c r="B103" s="50"/>
      <c r="C103" s="50" t="s">
        <v>38</v>
      </c>
      <c r="D103" s="50" t="s">
        <v>82</v>
      </c>
      <c r="E103" s="51" t="s">
        <v>161</v>
      </c>
      <c r="F103" s="49" t="s">
        <v>40</v>
      </c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49">
        <v>300</v>
      </c>
      <c r="V103" s="53">
        <f t="shared" si="5"/>
        <v>463500</v>
      </c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72">
        <f t="shared" si="6"/>
        <v>300</v>
      </c>
      <c r="AT103" s="54">
        <v>1545</v>
      </c>
      <c r="AU103" s="48">
        <f t="shared" si="7"/>
        <v>463500</v>
      </c>
      <c r="AV103" s="66"/>
      <c r="AX103" s="127"/>
      <c r="AY103" s="127"/>
      <c r="AZ103" s="127">
        <f t="shared" si="8"/>
        <v>463500</v>
      </c>
      <c r="BA103" s="127"/>
      <c r="BB103" s="127"/>
      <c r="BC103" s="127"/>
      <c r="BD103" s="127"/>
    </row>
    <row r="104" spans="1:56" ht="26.25" customHeight="1" x14ac:dyDescent="0.25">
      <c r="A104" s="49">
        <v>95</v>
      </c>
      <c r="B104" s="50"/>
      <c r="C104" s="50" t="s">
        <v>38</v>
      </c>
      <c r="D104" s="50" t="s">
        <v>82</v>
      </c>
      <c r="E104" s="51" t="s">
        <v>162</v>
      </c>
      <c r="F104" s="49" t="s">
        <v>40</v>
      </c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49">
        <v>50</v>
      </c>
      <c r="V104" s="53">
        <f t="shared" si="5"/>
        <v>198414</v>
      </c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72">
        <f t="shared" si="6"/>
        <v>50</v>
      </c>
      <c r="AT104" s="54">
        <v>3968.28</v>
      </c>
      <c r="AU104" s="48">
        <f t="shared" si="7"/>
        <v>198414</v>
      </c>
      <c r="AV104" s="66"/>
      <c r="AX104" s="127"/>
      <c r="AY104" s="127"/>
      <c r="AZ104" s="127">
        <f t="shared" si="8"/>
        <v>198414</v>
      </c>
      <c r="BA104" s="127"/>
      <c r="BB104" s="127"/>
      <c r="BC104" s="127"/>
      <c r="BD104" s="127"/>
    </row>
    <row r="105" spans="1:56" ht="26.25" customHeight="1" x14ac:dyDescent="0.25">
      <c r="A105" s="49">
        <v>96</v>
      </c>
      <c r="B105" s="50"/>
      <c r="C105" s="50" t="s">
        <v>38</v>
      </c>
      <c r="D105" s="50" t="s">
        <v>82</v>
      </c>
      <c r="E105" s="51" t="s">
        <v>163</v>
      </c>
      <c r="F105" s="49" t="s">
        <v>164</v>
      </c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49">
        <v>50</v>
      </c>
      <c r="V105" s="53">
        <f t="shared" si="5"/>
        <v>725685</v>
      </c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72">
        <f t="shared" si="6"/>
        <v>50</v>
      </c>
      <c r="AT105" s="54">
        <v>14513.7</v>
      </c>
      <c r="AU105" s="48">
        <f t="shared" si="7"/>
        <v>725685</v>
      </c>
      <c r="AV105" s="66"/>
      <c r="AX105" s="127"/>
      <c r="AY105" s="127"/>
      <c r="AZ105" s="127">
        <f t="shared" si="8"/>
        <v>725685</v>
      </c>
      <c r="BA105" s="127"/>
      <c r="BB105" s="127"/>
      <c r="BC105" s="127"/>
      <c r="BD105" s="127"/>
    </row>
    <row r="106" spans="1:56" ht="26.25" customHeight="1" x14ac:dyDescent="0.25">
      <c r="A106" s="49">
        <v>97</v>
      </c>
      <c r="B106" s="50"/>
      <c r="C106" s="50" t="s">
        <v>38</v>
      </c>
      <c r="D106" s="50" t="s">
        <v>82</v>
      </c>
      <c r="E106" s="51" t="s">
        <v>165</v>
      </c>
      <c r="F106" s="49" t="s">
        <v>166</v>
      </c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49">
        <v>22</v>
      </c>
      <c r="V106" s="53">
        <f t="shared" ref="V106:V137" si="9">+U106*AT106</f>
        <v>25300</v>
      </c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72">
        <f t="shared" si="6"/>
        <v>22</v>
      </c>
      <c r="AT106" s="54">
        <v>1150</v>
      </c>
      <c r="AU106" s="48">
        <f t="shared" si="7"/>
        <v>25300</v>
      </c>
      <c r="AV106" s="66"/>
      <c r="AX106" s="127"/>
      <c r="AY106" s="127"/>
      <c r="AZ106" s="127">
        <f t="shared" si="8"/>
        <v>25300</v>
      </c>
      <c r="BA106" s="127"/>
      <c r="BB106" s="127"/>
      <c r="BC106" s="127"/>
      <c r="BD106" s="127"/>
    </row>
    <row r="107" spans="1:56" ht="26.25" customHeight="1" x14ac:dyDescent="0.25">
      <c r="A107" s="49">
        <v>98</v>
      </c>
      <c r="B107" s="50"/>
      <c r="C107" s="50" t="s">
        <v>38</v>
      </c>
      <c r="D107" s="50" t="s">
        <v>82</v>
      </c>
      <c r="E107" s="51" t="s">
        <v>167</v>
      </c>
      <c r="F107" s="49" t="s">
        <v>166</v>
      </c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49">
        <v>35</v>
      </c>
      <c r="V107" s="53">
        <f t="shared" si="9"/>
        <v>40250</v>
      </c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72">
        <f t="shared" si="6"/>
        <v>35</v>
      </c>
      <c r="AT107" s="54">
        <v>1150</v>
      </c>
      <c r="AU107" s="48">
        <f t="shared" si="7"/>
        <v>40250</v>
      </c>
      <c r="AV107" s="66"/>
      <c r="AX107" s="127"/>
      <c r="AY107" s="127"/>
      <c r="AZ107" s="127">
        <f t="shared" si="8"/>
        <v>40250</v>
      </c>
      <c r="BA107" s="127"/>
      <c r="BB107" s="127"/>
      <c r="BC107" s="127"/>
      <c r="BD107" s="127"/>
    </row>
    <row r="108" spans="1:56" ht="26.25" customHeight="1" x14ac:dyDescent="0.25">
      <c r="A108" s="49">
        <v>99</v>
      </c>
      <c r="B108" s="50"/>
      <c r="C108" s="50" t="s">
        <v>38</v>
      </c>
      <c r="D108" s="50" t="s">
        <v>82</v>
      </c>
      <c r="E108" s="51" t="s">
        <v>168</v>
      </c>
      <c r="F108" s="49" t="s">
        <v>166</v>
      </c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49">
        <v>35</v>
      </c>
      <c r="V108" s="53">
        <f t="shared" si="9"/>
        <v>40250</v>
      </c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72">
        <f t="shared" si="6"/>
        <v>35</v>
      </c>
      <c r="AT108" s="54">
        <v>1150</v>
      </c>
      <c r="AU108" s="48">
        <f t="shared" si="7"/>
        <v>40250</v>
      </c>
      <c r="AV108" s="66"/>
      <c r="AX108" s="127"/>
      <c r="AY108" s="127"/>
      <c r="AZ108" s="127">
        <f t="shared" si="8"/>
        <v>40250</v>
      </c>
      <c r="BA108" s="127"/>
      <c r="BB108" s="127"/>
      <c r="BC108" s="127"/>
      <c r="BD108" s="127"/>
    </row>
    <row r="109" spans="1:56" ht="26.25" customHeight="1" x14ac:dyDescent="0.25">
      <c r="A109" s="49">
        <v>100</v>
      </c>
      <c r="B109" s="50"/>
      <c r="C109" s="50" t="s">
        <v>38</v>
      </c>
      <c r="D109" s="50" t="s">
        <v>82</v>
      </c>
      <c r="E109" s="51" t="s">
        <v>169</v>
      </c>
      <c r="F109" s="49" t="s">
        <v>166</v>
      </c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49">
        <v>35</v>
      </c>
      <c r="V109" s="53">
        <f t="shared" si="9"/>
        <v>40250</v>
      </c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72">
        <f t="shared" si="6"/>
        <v>35</v>
      </c>
      <c r="AT109" s="54">
        <v>1150</v>
      </c>
      <c r="AU109" s="48">
        <f t="shared" si="7"/>
        <v>40250</v>
      </c>
      <c r="AV109" s="66"/>
      <c r="AX109" s="127"/>
      <c r="AY109" s="127"/>
      <c r="AZ109" s="127">
        <f t="shared" si="8"/>
        <v>40250</v>
      </c>
      <c r="BA109" s="127"/>
      <c r="BB109" s="127"/>
      <c r="BC109" s="127"/>
      <c r="BD109" s="127"/>
    </row>
    <row r="110" spans="1:56" ht="26.25" customHeight="1" x14ac:dyDescent="0.25">
      <c r="A110" s="49">
        <v>101</v>
      </c>
      <c r="B110" s="50"/>
      <c r="C110" s="50" t="s">
        <v>38</v>
      </c>
      <c r="D110" s="50" t="s">
        <v>82</v>
      </c>
      <c r="E110" s="51" t="s">
        <v>170</v>
      </c>
      <c r="F110" s="49" t="s">
        <v>166</v>
      </c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49">
        <v>35</v>
      </c>
      <c r="V110" s="53">
        <f t="shared" si="9"/>
        <v>40250</v>
      </c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72">
        <f t="shared" si="6"/>
        <v>35</v>
      </c>
      <c r="AT110" s="54">
        <v>1150</v>
      </c>
      <c r="AU110" s="48">
        <f t="shared" si="7"/>
        <v>40250</v>
      </c>
      <c r="AV110" s="66"/>
      <c r="AX110" s="127"/>
      <c r="AY110" s="127"/>
      <c r="AZ110" s="127">
        <f t="shared" si="8"/>
        <v>40250</v>
      </c>
      <c r="BA110" s="127"/>
      <c r="BB110" s="127"/>
      <c r="BC110" s="127"/>
      <c r="BD110" s="127"/>
    </row>
    <row r="111" spans="1:56" ht="26.25" customHeight="1" x14ac:dyDescent="0.25">
      <c r="A111" s="49">
        <v>102</v>
      </c>
      <c r="B111" s="50"/>
      <c r="C111" s="50" t="s">
        <v>38</v>
      </c>
      <c r="D111" s="50" t="s">
        <v>82</v>
      </c>
      <c r="E111" s="51" t="s">
        <v>171</v>
      </c>
      <c r="F111" s="49" t="s">
        <v>166</v>
      </c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49">
        <v>35</v>
      </c>
      <c r="V111" s="53">
        <f t="shared" si="9"/>
        <v>40250</v>
      </c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72">
        <f t="shared" si="6"/>
        <v>35</v>
      </c>
      <c r="AT111" s="54">
        <v>1150</v>
      </c>
      <c r="AU111" s="48">
        <f t="shared" si="7"/>
        <v>40250</v>
      </c>
      <c r="AV111" s="66"/>
      <c r="AX111" s="127"/>
      <c r="AY111" s="127"/>
      <c r="AZ111" s="127">
        <f t="shared" si="8"/>
        <v>40250</v>
      </c>
      <c r="BA111" s="127"/>
      <c r="BB111" s="127"/>
      <c r="BC111" s="127"/>
      <c r="BD111" s="127"/>
    </row>
    <row r="112" spans="1:56" ht="26.25" customHeight="1" x14ac:dyDescent="0.25">
      <c r="A112" s="49">
        <v>103</v>
      </c>
      <c r="B112" s="50"/>
      <c r="C112" s="50" t="s">
        <v>38</v>
      </c>
      <c r="D112" s="50" t="s">
        <v>82</v>
      </c>
      <c r="E112" s="51" t="s">
        <v>172</v>
      </c>
      <c r="F112" s="49" t="s">
        <v>166</v>
      </c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49">
        <v>35</v>
      </c>
      <c r="V112" s="53">
        <f t="shared" si="9"/>
        <v>40250</v>
      </c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72">
        <f t="shared" si="6"/>
        <v>35</v>
      </c>
      <c r="AT112" s="54">
        <v>1150</v>
      </c>
      <c r="AU112" s="48">
        <f t="shared" si="7"/>
        <v>40250</v>
      </c>
      <c r="AV112" s="66"/>
      <c r="AX112" s="127"/>
      <c r="AY112" s="127"/>
      <c r="AZ112" s="127">
        <f t="shared" si="8"/>
        <v>40250</v>
      </c>
      <c r="BA112" s="127"/>
      <c r="BB112" s="127"/>
      <c r="BC112" s="127"/>
      <c r="BD112" s="127"/>
    </row>
    <row r="113" spans="1:56" ht="26.25" customHeight="1" x14ac:dyDescent="0.25">
      <c r="A113" s="49">
        <v>104</v>
      </c>
      <c r="B113" s="50"/>
      <c r="C113" s="50" t="s">
        <v>38</v>
      </c>
      <c r="D113" s="50" t="s">
        <v>82</v>
      </c>
      <c r="E113" s="51" t="s">
        <v>173</v>
      </c>
      <c r="F113" s="49" t="s">
        <v>166</v>
      </c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49">
        <v>35</v>
      </c>
      <c r="V113" s="53">
        <f t="shared" si="9"/>
        <v>40250</v>
      </c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72">
        <f t="shared" si="6"/>
        <v>35</v>
      </c>
      <c r="AT113" s="54">
        <v>1150</v>
      </c>
      <c r="AU113" s="48">
        <f t="shared" si="7"/>
        <v>40250</v>
      </c>
      <c r="AV113" s="66"/>
      <c r="AX113" s="127"/>
      <c r="AY113" s="127"/>
      <c r="AZ113" s="127">
        <f t="shared" si="8"/>
        <v>40250</v>
      </c>
      <c r="BA113" s="127"/>
      <c r="BB113" s="127"/>
      <c r="BC113" s="127"/>
      <c r="BD113" s="127"/>
    </row>
    <row r="114" spans="1:56" ht="26.25" customHeight="1" x14ac:dyDescent="0.25">
      <c r="A114" s="49">
        <v>105</v>
      </c>
      <c r="B114" s="50"/>
      <c r="C114" s="50" t="s">
        <v>38</v>
      </c>
      <c r="D114" s="50" t="s">
        <v>82</v>
      </c>
      <c r="E114" s="51" t="s">
        <v>174</v>
      </c>
      <c r="F114" s="49" t="s">
        <v>166</v>
      </c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49">
        <v>35</v>
      </c>
      <c r="V114" s="53">
        <f t="shared" si="9"/>
        <v>40250</v>
      </c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72">
        <f t="shared" si="6"/>
        <v>35</v>
      </c>
      <c r="AT114" s="54">
        <v>1150</v>
      </c>
      <c r="AU114" s="48">
        <f t="shared" si="7"/>
        <v>40250</v>
      </c>
      <c r="AV114" s="66"/>
      <c r="AX114" s="127"/>
      <c r="AY114" s="127"/>
      <c r="AZ114" s="127">
        <f t="shared" si="8"/>
        <v>40250</v>
      </c>
      <c r="BA114" s="127"/>
      <c r="BB114" s="127"/>
      <c r="BC114" s="127"/>
      <c r="BD114" s="127"/>
    </row>
    <row r="115" spans="1:56" ht="26.25" customHeight="1" x14ac:dyDescent="0.25">
      <c r="A115" s="49">
        <v>106</v>
      </c>
      <c r="B115" s="50"/>
      <c r="C115" s="50" t="s">
        <v>38</v>
      </c>
      <c r="D115" s="50" t="s">
        <v>82</v>
      </c>
      <c r="E115" s="51" t="s">
        <v>175</v>
      </c>
      <c r="F115" s="49" t="s">
        <v>166</v>
      </c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49">
        <v>23</v>
      </c>
      <c r="V115" s="53">
        <f t="shared" si="9"/>
        <v>26450</v>
      </c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72">
        <f t="shared" si="6"/>
        <v>23</v>
      </c>
      <c r="AT115" s="54">
        <v>1150</v>
      </c>
      <c r="AU115" s="48">
        <f t="shared" si="7"/>
        <v>26450</v>
      </c>
      <c r="AV115" s="66"/>
      <c r="AX115" s="127"/>
      <c r="AY115" s="127"/>
      <c r="AZ115" s="127">
        <f t="shared" si="8"/>
        <v>26450</v>
      </c>
      <c r="BA115" s="127"/>
      <c r="BB115" s="127"/>
      <c r="BC115" s="127"/>
      <c r="BD115" s="127"/>
    </row>
    <row r="116" spans="1:56" ht="26.25" customHeight="1" x14ac:dyDescent="0.25">
      <c r="A116" s="49">
        <v>107</v>
      </c>
      <c r="B116" s="50"/>
      <c r="C116" s="50" t="s">
        <v>38</v>
      </c>
      <c r="D116" s="50" t="s">
        <v>82</v>
      </c>
      <c r="E116" s="51" t="s">
        <v>176</v>
      </c>
      <c r="F116" s="49" t="s">
        <v>166</v>
      </c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49">
        <v>23</v>
      </c>
      <c r="V116" s="53">
        <f t="shared" si="9"/>
        <v>26450</v>
      </c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72">
        <f t="shared" si="6"/>
        <v>23</v>
      </c>
      <c r="AT116" s="54">
        <v>1150</v>
      </c>
      <c r="AU116" s="48">
        <f t="shared" si="7"/>
        <v>26450</v>
      </c>
      <c r="AV116" s="66"/>
      <c r="AX116" s="127"/>
      <c r="AY116" s="127"/>
      <c r="AZ116" s="127">
        <f t="shared" si="8"/>
        <v>26450</v>
      </c>
      <c r="BA116" s="127"/>
      <c r="BB116" s="127"/>
      <c r="BC116" s="127"/>
      <c r="BD116" s="127"/>
    </row>
    <row r="117" spans="1:56" ht="26.25" customHeight="1" x14ac:dyDescent="0.25">
      <c r="A117" s="49">
        <v>108</v>
      </c>
      <c r="B117" s="50"/>
      <c r="C117" s="50" t="s">
        <v>38</v>
      </c>
      <c r="D117" s="50" t="s">
        <v>82</v>
      </c>
      <c r="E117" s="51" t="s">
        <v>177</v>
      </c>
      <c r="F117" s="49" t="s">
        <v>166</v>
      </c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49">
        <v>23</v>
      </c>
      <c r="V117" s="53">
        <f t="shared" si="9"/>
        <v>26450</v>
      </c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72">
        <f t="shared" si="6"/>
        <v>23</v>
      </c>
      <c r="AT117" s="54">
        <v>1150</v>
      </c>
      <c r="AU117" s="48">
        <f t="shared" si="7"/>
        <v>26450</v>
      </c>
      <c r="AV117" s="66"/>
      <c r="AX117" s="127"/>
      <c r="AY117" s="127"/>
      <c r="AZ117" s="127">
        <f t="shared" si="8"/>
        <v>26450</v>
      </c>
      <c r="BA117" s="127"/>
      <c r="BB117" s="127"/>
      <c r="BC117" s="127"/>
      <c r="BD117" s="127"/>
    </row>
    <row r="118" spans="1:56" ht="26.25" customHeight="1" x14ac:dyDescent="0.25">
      <c r="A118" s="49">
        <v>109</v>
      </c>
      <c r="B118" s="50"/>
      <c r="C118" s="50" t="s">
        <v>38</v>
      </c>
      <c r="D118" s="50" t="s">
        <v>82</v>
      </c>
      <c r="E118" s="51" t="s">
        <v>178</v>
      </c>
      <c r="F118" s="49" t="s">
        <v>166</v>
      </c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49">
        <v>33</v>
      </c>
      <c r="V118" s="53">
        <f t="shared" si="9"/>
        <v>37950</v>
      </c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72">
        <f t="shared" si="6"/>
        <v>33</v>
      </c>
      <c r="AT118" s="54">
        <v>1150</v>
      </c>
      <c r="AU118" s="48">
        <f t="shared" si="7"/>
        <v>37950</v>
      </c>
      <c r="AV118" s="66"/>
      <c r="AX118" s="127"/>
      <c r="AY118" s="127"/>
      <c r="AZ118" s="127">
        <f t="shared" si="8"/>
        <v>37950</v>
      </c>
      <c r="BA118" s="127"/>
      <c r="BB118" s="127"/>
      <c r="BC118" s="127"/>
      <c r="BD118" s="127"/>
    </row>
    <row r="119" spans="1:56" ht="26.25" customHeight="1" x14ac:dyDescent="0.25">
      <c r="A119" s="49">
        <v>110</v>
      </c>
      <c r="B119" s="50"/>
      <c r="C119" s="50" t="s">
        <v>38</v>
      </c>
      <c r="D119" s="50" t="s">
        <v>82</v>
      </c>
      <c r="E119" s="51" t="s">
        <v>179</v>
      </c>
      <c r="F119" s="49" t="s">
        <v>166</v>
      </c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49">
        <v>36</v>
      </c>
      <c r="V119" s="53">
        <f t="shared" si="9"/>
        <v>41400</v>
      </c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72">
        <f t="shared" si="6"/>
        <v>36</v>
      </c>
      <c r="AT119" s="54">
        <v>1150</v>
      </c>
      <c r="AU119" s="48">
        <f t="shared" si="7"/>
        <v>41400</v>
      </c>
      <c r="AV119" s="66"/>
      <c r="AX119" s="127"/>
      <c r="AY119" s="127"/>
      <c r="AZ119" s="127">
        <f t="shared" si="8"/>
        <v>41400</v>
      </c>
      <c r="BA119" s="127"/>
      <c r="BB119" s="127"/>
      <c r="BC119" s="127"/>
      <c r="BD119" s="127"/>
    </row>
    <row r="120" spans="1:56" ht="26.25" customHeight="1" x14ac:dyDescent="0.25">
      <c r="A120" s="49">
        <v>111</v>
      </c>
      <c r="B120" s="50"/>
      <c r="C120" s="50" t="s">
        <v>38</v>
      </c>
      <c r="D120" s="50" t="s">
        <v>82</v>
      </c>
      <c r="E120" s="51" t="s">
        <v>180</v>
      </c>
      <c r="F120" s="49" t="s">
        <v>166</v>
      </c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49">
        <v>23</v>
      </c>
      <c r="V120" s="53">
        <f t="shared" si="9"/>
        <v>26450</v>
      </c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72">
        <f t="shared" si="6"/>
        <v>23</v>
      </c>
      <c r="AT120" s="54">
        <v>1150</v>
      </c>
      <c r="AU120" s="48">
        <f t="shared" si="7"/>
        <v>26450</v>
      </c>
      <c r="AV120" s="66"/>
      <c r="AX120" s="127"/>
      <c r="AY120" s="127"/>
      <c r="AZ120" s="127">
        <f t="shared" si="8"/>
        <v>26450</v>
      </c>
      <c r="BA120" s="127"/>
      <c r="BB120" s="127"/>
      <c r="BC120" s="127"/>
      <c r="BD120" s="127"/>
    </row>
    <row r="121" spans="1:56" ht="26.25" customHeight="1" x14ac:dyDescent="0.25">
      <c r="A121" s="49">
        <v>112</v>
      </c>
      <c r="B121" s="50"/>
      <c r="C121" s="50" t="s">
        <v>38</v>
      </c>
      <c r="D121" s="50" t="s">
        <v>82</v>
      </c>
      <c r="E121" s="51" t="s">
        <v>181</v>
      </c>
      <c r="F121" s="49" t="s">
        <v>166</v>
      </c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49">
        <v>23</v>
      </c>
      <c r="V121" s="53">
        <f t="shared" si="9"/>
        <v>26450</v>
      </c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72">
        <f t="shared" si="6"/>
        <v>23</v>
      </c>
      <c r="AT121" s="54">
        <v>1150</v>
      </c>
      <c r="AU121" s="48">
        <f t="shared" si="7"/>
        <v>26450</v>
      </c>
      <c r="AV121" s="66"/>
      <c r="AX121" s="127"/>
      <c r="AY121" s="127"/>
      <c r="AZ121" s="127">
        <f t="shared" si="8"/>
        <v>26450</v>
      </c>
      <c r="BA121" s="127"/>
      <c r="BB121" s="127"/>
      <c r="BC121" s="127"/>
      <c r="BD121" s="127"/>
    </row>
    <row r="122" spans="1:56" ht="26.25" customHeight="1" x14ac:dyDescent="0.25">
      <c r="A122" s="49">
        <v>113</v>
      </c>
      <c r="B122" s="50"/>
      <c r="C122" s="50" t="s">
        <v>38</v>
      </c>
      <c r="D122" s="50" t="s">
        <v>82</v>
      </c>
      <c r="E122" s="51" t="s">
        <v>182</v>
      </c>
      <c r="F122" s="49" t="s">
        <v>166</v>
      </c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49">
        <v>23</v>
      </c>
      <c r="V122" s="53">
        <f t="shared" si="9"/>
        <v>26450</v>
      </c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72">
        <f t="shared" si="6"/>
        <v>23</v>
      </c>
      <c r="AT122" s="54">
        <v>1150</v>
      </c>
      <c r="AU122" s="48">
        <f t="shared" si="7"/>
        <v>26450</v>
      </c>
      <c r="AV122" s="66"/>
      <c r="AX122" s="127"/>
      <c r="AY122" s="127"/>
      <c r="AZ122" s="127">
        <f t="shared" si="8"/>
        <v>26450</v>
      </c>
      <c r="BA122" s="127"/>
      <c r="BB122" s="127"/>
      <c r="BC122" s="127"/>
      <c r="BD122" s="127"/>
    </row>
    <row r="123" spans="1:56" ht="26.25" customHeight="1" x14ac:dyDescent="0.25">
      <c r="A123" s="49">
        <v>114</v>
      </c>
      <c r="B123" s="50"/>
      <c r="C123" s="50" t="s">
        <v>38</v>
      </c>
      <c r="D123" s="50" t="s">
        <v>82</v>
      </c>
      <c r="E123" s="51" t="s">
        <v>183</v>
      </c>
      <c r="F123" s="49" t="s">
        <v>166</v>
      </c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49">
        <v>36</v>
      </c>
      <c r="V123" s="53">
        <f t="shared" si="9"/>
        <v>41400</v>
      </c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72">
        <f t="shared" si="6"/>
        <v>36</v>
      </c>
      <c r="AT123" s="54">
        <v>1150</v>
      </c>
      <c r="AU123" s="48">
        <f t="shared" si="7"/>
        <v>41400</v>
      </c>
      <c r="AV123" s="66"/>
      <c r="AX123" s="127"/>
      <c r="AY123" s="127"/>
      <c r="AZ123" s="127">
        <f t="shared" si="8"/>
        <v>41400</v>
      </c>
      <c r="BA123" s="127"/>
      <c r="BB123" s="127"/>
      <c r="BC123" s="127"/>
      <c r="BD123" s="127"/>
    </row>
    <row r="124" spans="1:56" ht="26.25" customHeight="1" x14ac:dyDescent="0.25">
      <c r="A124" s="49">
        <v>115</v>
      </c>
      <c r="B124" s="50"/>
      <c r="C124" s="50" t="s">
        <v>38</v>
      </c>
      <c r="D124" s="50" t="s">
        <v>82</v>
      </c>
      <c r="E124" s="51" t="s">
        <v>184</v>
      </c>
      <c r="F124" s="49" t="s">
        <v>166</v>
      </c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49">
        <v>23</v>
      </c>
      <c r="V124" s="53">
        <f t="shared" si="9"/>
        <v>26450</v>
      </c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72">
        <f t="shared" si="6"/>
        <v>23</v>
      </c>
      <c r="AT124" s="54">
        <v>1150</v>
      </c>
      <c r="AU124" s="48">
        <f t="shared" si="7"/>
        <v>26450</v>
      </c>
      <c r="AV124" s="66"/>
      <c r="AX124" s="127"/>
      <c r="AY124" s="127"/>
      <c r="AZ124" s="127">
        <f t="shared" si="8"/>
        <v>26450</v>
      </c>
      <c r="BA124" s="127"/>
      <c r="BB124" s="127"/>
      <c r="BC124" s="127"/>
      <c r="BD124" s="127"/>
    </row>
    <row r="125" spans="1:56" ht="26.25" customHeight="1" x14ac:dyDescent="0.25">
      <c r="A125" s="49">
        <v>116</v>
      </c>
      <c r="B125" s="50"/>
      <c r="C125" s="50" t="s">
        <v>38</v>
      </c>
      <c r="D125" s="50" t="s">
        <v>82</v>
      </c>
      <c r="E125" s="51" t="s">
        <v>185</v>
      </c>
      <c r="F125" s="49" t="s">
        <v>166</v>
      </c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49">
        <v>23</v>
      </c>
      <c r="V125" s="53">
        <f t="shared" si="9"/>
        <v>26450</v>
      </c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72">
        <f t="shared" si="6"/>
        <v>23</v>
      </c>
      <c r="AT125" s="54">
        <v>1150</v>
      </c>
      <c r="AU125" s="48">
        <f t="shared" si="7"/>
        <v>26450</v>
      </c>
      <c r="AV125" s="66"/>
      <c r="AX125" s="127"/>
      <c r="AY125" s="127"/>
      <c r="AZ125" s="127">
        <f t="shared" si="8"/>
        <v>26450</v>
      </c>
      <c r="BA125" s="127"/>
      <c r="BB125" s="127"/>
      <c r="BC125" s="127"/>
      <c r="BD125" s="127"/>
    </row>
    <row r="126" spans="1:56" ht="26.25" customHeight="1" x14ac:dyDescent="0.25">
      <c r="A126" s="49">
        <v>117</v>
      </c>
      <c r="B126" s="50"/>
      <c r="C126" s="50" t="s">
        <v>38</v>
      </c>
      <c r="D126" s="50" t="s">
        <v>82</v>
      </c>
      <c r="E126" s="51" t="s">
        <v>186</v>
      </c>
      <c r="F126" s="49" t="s">
        <v>40</v>
      </c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49">
        <v>300</v>
      </c>
      <c r="V126" s="53">
        <f t="shared" si="9"/>
        <v>63000</v>
      </c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72">
        <f t="shared" si="6"/>
        <v>300</v>
      </c>
      <c r="AT126" s="54">
        <v>210</v>
      </c>
      <c r="AU126" s="48">
        <f t="shared" si="7"/>
        <v>63000</v>
      </c>
      <c r="AV126" s="66"/>
      <c r="AX126" s="127"/>
      <c r="AY126" s="127"/>
      <c r="AZ126" s="127">
        <f t="shared" si="8"/>
        <v>63000</v>
      </c>
      <c r="BA126" s="127"/>
      <c r="BB126" s="127"/>
      <c r="BC126" s="127"/>
      <c r="BD126" s="127"/>
    </row>
    <row r="127" spans="1:56" ht="26.25" customHeight="1" x14ac:dyDescent="0.25">
      <c r="A127" s="49">
        <v>118</v>
      </c>
      <c r="B127" s="50"/>
      <c r="C127" s="50" t="s">
        <v>38</v>
      </c>
      <c r="D127" s="50" t="s">
        <v>82</v>
      </c>
      <c r="E127" s="51" t="s">
        <v>187</v>
      </c>
      <c r="F127" s="49" t="s">
        <v>40</v>
      </c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49">
        <v>50</v>
      </c>
      <c r="V127" s="53">
        <f t="shared" si="9"/>
        <v>12500</v>
      </c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72">
        <f t="shared" si="6"/>
        <v>50</v>
      </c>
      <c r="AT127" s="54">
        <v>250</v>
      </c>
      <c r="AU127" s="48">
        <f t="shared" si="7"/>
        <v>12500</v>
      </c>
      <c r="AV127" s="66"/>
      <c r="AX127" s="127"/>
      <c r="AY127" s="127"/>
      <c r="AZ127" s="127">
        <f t="shared" si="8"/>
        <v>12500</v>
      </c>
      <c r="BA127" s="127"/>
      <c r="BB127" s="127"/>
      <c r="BC127" s="127"/>
      <c r="BD127" s="127"/>
    </row>
    <row r="128" spans="1:56" ht="20.25" customHeight="1" x14ac:dyDescent="0.25">
      <c r="A128" s="49">
        <v>119</v>
      </c>
      <c r="B128" s="50"/>
      <c r="C128" s="50" t="s">
        <v>38</v>
      </c>
      <c r="D128" s="50" t="s">
        <v>82</v>
      </c>
      <c r="E128" s="51" t="s">
        <v>188</v>
      </c>
      <c r="F128" s="49" t="s">
        <v>40</v>
      </c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49">
        <v>10</v>
      </c>
      <c r="V128" s="53">
        <f t="shared" si="9"/>
        <v>8700</v>
      </c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72">
        <f t="shared" si="6"/>
        <v>10</v>
      </c>
      <c r="AT128" s="54">
        <v>870</v>
      </c>
      <c r="AU128" s="48">
        <f t="shared" si="7"/>
        <v>8700</v>
      </c>
      <c r="AV128" s="66"/>
      <c r="AX128" s="127"/>
      <c r="AY128" s="127"/>
      <c r="AZ128" s="127">
        <f t="shared" si="8"/>
        <v>8700</v>
      </c>
      <c r="BA128" s="127"/>
      <c r="BB128" s="127"/>
      <c r="BC128" s="127"/>
      <c r="BD128" s="127"/>
    </row>
    <row r="129" spans="1:56" ht="20.25" customHeight="1" x14ac:dyDescent="0.25">
      <c r="A129" s="49">
        <v>120</v>
      </c>
      <c r="B129" s="50"/>
      <c r="C129" s="50" t="s">
        <v>38</v>
      </c>
      <c r="D129" s="50" t="s">
        <v>82</v>
      </c>
      <c r="E129" s="51" t="s">
        <v>189</v>
      </c>
      <c r="F129" s="49" t="s">
        <v>40</v>
      </c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49">
        <v>20</v>
      </c>
      <c r="V129" s="53">
        <f t="shared" si="9"/>
        <v>400</v>
      </c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72">
        <f t="shared" si="6"/>
        <v>20</v>
      </c>
      <c r="AT129" s="54">
        <v>20</v>
      </c>
      <c r="AU129" s="48">
        <f t="shared" si="7"/>
        <v>400</v>
      </c>
      <c r="AV129" s="66"/>
      <c r="AX129" s="127"/>
      <c r="AY129" s="127"/>
      <c r="AZ129" s="127">
        <f t="shared" si="8"/>
        <v>400</v>
      </c>
      <c r="BA129" s="127"/>
      <c r="BB129" s="127"/>
      <c r="BC129" s="127"/>
      <c r="BD129" s="127"/>
    </row>
    <row r="130" spans="1:56" ht="20.25" customHeight="1" x14ac:dyDescent="0.25">
      <c r="A130" s="49">
        <v>121</v>
      </c>
      <c r="B130" s="50"/>
      <c r="C130" s="50" t="s">
        <v>38</v>
      </c>
      <c r="D130" s="50" t="s">
        <v>82</v>
      </c>
      <c r="E130" s="51" t="s">
        <v>190</v>
      </c>
      <c r="F130" s="49" t="s">
        <v>39</v>
      </c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49">
        <v>50</v>
      </c>
      <c r="V130" s="53">
        <f t="shared" si="9"/>
        <v>26000</v>
      </c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72">
        <f t="shared" si="6"/>
        <v>50</v>
      </c>
      <c r="AT130" s="54">
        <v>520</v>
      </c>
      <c r="AU130" s="48">
        <f t="shared" si="7"/>
        <v>26000</v>
      </c>
      <c r="AV130" s="66"/>
      <c r="AX130" s="127"/>
      <c r="AY130" s="127"/>
      <c r="AZ130" s="127">
        <f t="shared" si="8"/>
        <v>26000</v>
      </c>
      <c r="BA130" s="127"/>
      <c r="BB130" s="127"/>
      <c r="BC130" s="127"/>
      <c r="BD130" s="127"/>
    </row>
    <row r="131" spans="1:56" ht="20.25" customHeight="1" x14ac:dyDescent="0.25">
      <c r="A131" s="49">
        <v>122</v>
      </c>
      <c r="B131" s="50"/>
      <c r="C131" s="50" t="s">
        <v>38</v>
      </c>
      <c r="D131" s="50" t="s">
        <v>82</v>
      </c>
      <c r="E131" s="51" t="s">
        <v>191</v>
      </c>
      <c r="F131" s="49" t="s">
        <v>40</v>
      </c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49">
        <v>5</v>
      </c>
      <c r="V131" s="53">
        <f t="shared" si="9"/>
        <v>65975</v>
      </c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72">
        <f t="shared" si="6"/>
        <v>5</v>
      </c>
      <c r="AT131" s="54">
        <v>13195</v>
      </c>
      <c r="AU131" s="48">
        <f t="shared" si="7"/>
        <v>65975</v>
      </c>
      <c r="AV131" s="66"/>
      <c r="AX131" s="127"/>
      <c r="AY131" s="127"/>
      <c r="AZ131" s="127">
        <f t="shared" si="8"/>
        <v>65975</v>
      </c>
      <c r="BA131" s="127"/>
      <c r="BB131" s="127"/>
      <c r="BC131" s="127"/>
      <c r="BD131" s="127"/>
    </row>
    <row r="132" spans="1:56" ht="29.25" customHeight="1" x14ac:dyDescent="0.25">
      <c r="A132" s="49">
        <v>123</v>
      </c>
      <c r="B132" s="50"/>
      <c r="C132" s="50" t="s">
        <v>38</v>
      </c>
      <c r="D132" s="50" t="s">
        <v>82</v>
      </c>
      <c r="E132" s="51" t="s">
        <v>192</v>
      </c>
      <c r="F132" s="49" t="s">
        <v>39</v>
      </c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49">
        <v>10</v>
      </c>
      <c r="V132" s="53">
        <f t="shared" si="9"/>
        <v>17643.2</v>
      </c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72">
        <f t="shared" si="6"/>
        <v>10</v>
      </c>
      <c r="AT132" s="54">
        <v>1764.32</v>
      </c>
      <c r="AU132" s="48">
        <f t="shared" si="7"/>
        <v>17643.2</v>
      </c>
      <c r="AV132" s="66"/>
      <c r="AX132" s="127"/>
      <c r="AY132" s="127"/>
      <c r="AZ132" s="127">
        <f t="shared" si="8"/>
        <v>17643.2</v>
      </c>
      <c r="BA132" s="127"/>
      <c r="BB132" s="127"/>
      <c r="BC132" s="127"/>
      <c r="BD132" s="127"/>
    </row>
    <row r="133" spans="1:56" ht="20.25" customHeight="1" x14ac:dyDescent="0.25">
      <c r="A133" s="49">
        <v>124</v>
      </c>
      <c r="B133" s="50"/>
      <c r="C133" s="50" t="s">
        <v>38</v>
      </c>
      <c r="D133" s="50" t="s">
        <v>82</v>
      </c>
      <c r="E133" s="51" t="s">
        <v>193</v>
      </c>
      <c r="F133" s="49" t="s">
        <v>39</v>
      </c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49">
        <v>30</v>
      </c>
      <c r="V133" s="53">
        <f t="shared" si="9"/>
        <v>34500</v>
      </c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72">
        <f t="shared" si="6"/>
        <v>30</v>
      </c>
      <c r="AT133" s="54">
        <v>1150</v>
      </c>
      <c r="AU133" s="48">
        <f t="shared" si="7"/>
        <v>34500</v>
      </c>
      <c r="AV133" s="66"/>
      <c r="AX133" s="127"/>
      <c r="AY133" s="127"/>
      <c r="AZ133" s="127">
        <f t="shared" si="8"/>
        <v>34500</v>
      </c>
      <c r="BA133" s="127"/>
      <c r="BB133" s="127"/>
      <c r="BC133" s="127"/>
      <c r="BD133" s="127"/>
    </row>
    <row r="134" spans="1:56" ht="20.25" customHeight="1" x14ac:dyDescent="0.25">
      <c r="A134" s="49">
        <v>125</v>
      </c>
      <c r="B134" s="50"/>
      <c r="C134" s="50" t="s">
        <v>38</v>
      </c>
      <c r="D134" s="50" t="s">
        <v>82</v>
      </c>
      <c r="E134" s="51" t="s">
        <v>194</v>
      </c>
      <c r="F134" s="49" t="s">
        <v>40</v>
      </c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49">
        <v>50</v>
      </c>
      <c r="V134" s="53">
        <f t="shared" si="9"/>
        <v>42900</v>
      </c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72">
        <f t="shared" si="6"/>
        <v>50</v>
      </c>
      <c r="AT134" s="54">
        <v>858</v>
      </c>
      <c r="AU134" s="48">
        <f t="shared" si="7"/>
        <v>42900</v>
      </c>
      <c r="AV134" s="66"/>
      <c r="AX134" s="127"/>
      <c r="AY134" s="127"/>
      <c r="AZ134" s="127">
        <f t="shared" si="8"/>
        <v>42900</v>
      </c>
      <c r="BA134" s="127"/>
      <c r="BB134" s="127"/>
      <c r="BC134" s="127"/>
      <c r="BD134" s="127"/>
    </row>
    <row r="135" spans="1:56" ht="20.25" customHeight="1" x14ac:dyDescent="0.25">
      <c r="A135" s="49">
        <v>126</v>
      </c>
      <c r="B135" s="50"/>
      <c r="C135" s="50" t="s">
        <v>38</v>
      </c>
      <c r="D135" s="50" t="s">
        <v>82</v>
      </c>
      <c r="E135" s="51" t="s">
        <v>195</v>
      </c>
      <c r="F135" s="49" t="s">
        <v>40</v>
      </c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49">
        <v>50</v>
      </c>
      <c r="V135" s="53">
        <f t="shared" si="9"/>
        <v>81850</v>
      </c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72">
        <f t="shared" si="6"/>
        <v>50</v>
      </c>
      <c r="AT135" s="54">
        <v>1637</v>
      </c>
      <c r="AU135" s="48">
        <f t="shared" si="7"/>
        <v>81850</v>
      </c>
      <c r="AV135" s="66"/>
      <c r="AX135" s="127"/>
      <c r="AY135" s="127"/>
      <c r="AZ135" s="127">
        <f t="shared" si="8"/>
        <v>81850</v>
      </c>
      <c r="BA135" s="127"/>
      <c r="BB135" s="127"/>
      <c r="BC135" s="127"/>
      <c r="BD135" s="127"/>
    </row>
    <row r="136" spans="1:56" ht="20.25" customHeight="1" x14ac:dyDescent="0.25">
      <c r="A136" s="49">
        <v>127</v>
      </c>
      <c r="B136" s="50"/>
      <c r="C136" s="50" t="s">
        <v>38</v>
      </c>
      <c r="D136" s="50" t="s">
        <v>82</v>
      </c>
      <c r="E136" s="51" t="s">
        <v>196</v>
      </c>
      <c r="F136" s="49" t="s">
        <v>40</v>
      </c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49">
        <v>50</v>
      </c>
      <c r="V136" s="53">
        <f t="shared" si="9"/>
        <v>14000</v>
      </c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72">
        <f t="shared" si="6"/>
        <v>50</v>
      </c>
      <c r="AT136" s="54">
        <v>280</v>
      </c>
      <c r="AU136" s="48">
        <f t="shared" si="7"/>
        <v>14000</v>
      </c>
      <c r="AV136" s="66"/>
      <c r="AX136" s="127"/>
      <c r="AY136" s="127"/>
      <c r="AZ136" s="127">
        <f t="shared" si="8"/>
        <v>14000</v>
      </c>
      <c r="BA136" s="127"/>
      <c r="BB136" s="127"/>
      <c r="BC136" s="127"/>
      <c r="BD136" s="127"/>
    </row>
    <row r="137" spans="1:56" ht="20.25" customHeight="1" x14ac:dyDescent="0.25">
      <c r="A137" s="49">
        <v>128</v>
      </c>
      <c r="B137" s="50"/>
      <c r="C137" s="50" t="s">
        <v>38</v>
      </c>
      <c r="D137" s="50" t="s">
        <v>82</v>
      </c>
      <c r="E137" s="51" t="s">
        <v>197</v>
      </c>
      <c r="F137" s="49" t="s">
        <v>40</v>
      </c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49">
        <v>10</v>
      </c>
      <c r="V137" s="53">
        <f t="shared" si="9"/>
        <v>78104.399999999994</v>
      </c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72">
        <f t="shared" si="6"/>
        <v>10</v>
      </c>
      <c r="AT137" s="54">
        <v>7810.44</v>
      </c>
      <c r="AU137" s="48">
        <f t="shared" si="7"/>
        <v>78104.399999999994</v>
      </c>
      <c r="AV137" s="66"/>
      <c r="AX137" s="127"/>
      <c r="AY137" s="127"/>
      <c r="AZ137" s="127">
        <f t="shared" si="8"/>
        <v>78104.399999999994</v>
      </c>
      <c r="BA137" s="127"/>
      <c r="BB137" s="127"/>
      <c r="BC137" s="127"/>
      <c r="BD137" s="127"/>
    </row>
    <row r="138" spans="1:56" ht="20.25" customHeight="1" x14ac:dyDescent="0.25">
      <c r="A138" s="49">
        <v>129</v>
      </c>
      <c r="B138" s="50"/>
      <c r="C138" s="50" t="s">
        <v>38</v>
      </c>
      <c r="D138" s="50" t="s">
        <v>82</v>
      </c>
      <c r="E138" s="51" t="s">
        <v>198</v>
      </c>
      <c r="F138" s="49" t="s">
        <v>40</v>
      </c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49">
        <v>10</v>
      </c>
      <c r="V138" s="53">
        <f t="shared" ref="V138:V157" si="10">+U138*AT138</f>
        <v>4550</v>
      </c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72">
        <f t="shared" ref="AS138:AS157" si="11">+G138+I138+K138+M138+O138+Q138+S138+U138+W138+Y138++AA138+AC138+AE138+AG138+AI138+AK138+AM138+AO138+AQ138</f>
        <v>10</v>
      </c>
      <c r="AT138" s="54">
        <v>455</v>
      </c>
      <c r="AU138" s="48">
        <f t="shared" ref="AU138:AU157" si="12">+AS138*AT138</f>
        <v>4550</v>
      </c>
      <c r="AV138" s="66"/>
      <c r="AX138" s="127"/>
      <c r="AY138" s="127"/>
      <c r="AZ138" s="127">
        <f t="shared" si="8"/>
        <v>4550</v>
      </c>
      <c r="BA138" s="127"/>
      <c r="BB138" s="127"/>
      <c r="BC138" s="127"/>
      <c r="BD138" s="127"/>
    </row>
    <row r="139" spans="1:56" ht="20.25" customHeight="1" x14ac:dyDescent="0.25">
      <c r="A139" s="49">
        <v>130</v>
      </c>
      <c r="B139" s="50"/>
      <c r="C139" s="50" t="s">
        <v>38</v>
      </c>
      <c r="D139" s="50" t="s">
        <v>82</v>
      </c>
      <c r="E139" s="51" t="s">
        <v>199</v>
      </c>
      <c r="F139" s="49" t="s">
        <v>40</v>
      </c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49">
        <v>70</v>
      </c>
      <c r="V139" s="53">
        <f t="shared" si="10"/>
        <v>138228.30000000002</v>
      </c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72">
        <f t="shared" si="11"/>
        <v>70</v>
      </c>
      <c r="AT139" s="54">
        <v>1974.69</v>
      </c>
      <c r="AU139" s="48">
        <f t="shared" si="12"/>
        <v>138228.30000000002</v>
      </c>
      <c r="AV139" s="66"/>
      <c r="AX139" s="127"/>
      <c r="AY139" s="127"/>
      <c r="AZ139" s="127">
        <f t="shared" ref="AZ139:AZ155" si="13">+AU139</f>
        <v>138228.30000000002</v>
      </c>
      <c r="BA139" s="127"/>
      <c r="BB139" s="127"/>
      <c r="BC139" s="127"/>
      <c r="BD139" s="127"/>
    </row>
    <row r="140" spans="1:56" ht="20.25" customHeight="1" x14ac:dyDescent="0.25">
      <c r="A140" s="49">
        <v>131</v>
      </c>
      <c r="B140" s="50"/>
      <c r="C140" s="50" t="s">
        <v>38</v>
      </c>
      <c r="D140" s="50" t="s">
        <v>82</v>
      </c>
      <c r="E140" s="51" t="s">
        <v>200</v>
      </c>
      <c r="F140" s="49" t="s">
        <v>40</v>
      </c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49">
        <v>20</v>
      </c>
      <c r="V140" s="53">
        <f t="shared" si="10"/>
        <v>32104</v>
      </c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72">
        <f t="shared" si="11"/>
        <v>20</v>
      </c>
      <c r="AT140" s="54">
        <v>1605.2</v>
      </c>
      <c r="AU140" s="48">
        <f t="shared" si="12"/>
        <v>32104</v>
      </c>
      <c r="AV140" s="66"/>
      <c r="AX140" s="127"/>
      <c r="AY140" s="127"/>
      <c r="AZ140" s="127">
        <f t="shared" si="13"/>
        <v>32104</v>
      </c>
      <c r="BA140" s="127"/>
      <c r="BB140" s="127"/>
      <c r="BC140" s="127"/>
      <c r="BD140" s="127"/>
    </row>
    <row r="141" spans="1:56" ht="20.25" customHeight="1" x14ac:dyDescent="0.25">
      <c r="A141" s="49">
        <v>132</v>
      </c>
      <c r="B141" s="50"/>
      <c r="C141" s="50" t="s">
        <v>38</v>
      </c>
      <c r="D141" s="50" t="s">
        <v>82</v>
      </c>
      <c r="E141" s="51" t="s">
        <v>201</v>
      </c>
      <c r="F141" s="49" t="s">
        <v>40</v>
      </c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49">
        <v>10</v>
      </c>
      <c r="V141" s="53">
        <f t="shared" si="10"/>
        <v>19900</v>
      </c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72">
        <f t="shared" si="11"/>
        <v>10</v>
      </c>
      <c r="AT141" s="54">
        <v>1990</v>
      </c>
      <c r="AU141" s="48">
        <f t="shared" si="12"/>
        <v>19900</v>
      </c>
      <c r="AV141" s="66"/>
      <c r="AX141" s="127"/>
      <c r="AY141" s="127"/>
      <c r="AZ141" s="127">
        <f t="shared" si="13"/>
        <v>19900</v>
      </c>
      <c r="BA141" s="127"/>
      <c r="BB141" s="127"/>
      <c r="BC141" s="127"/>
      <c r="BD141" s="127"/>
    </row>
    <row r="142" spans="1:56" ht="20.25" customHeight="1" x14ac:dyDescent="0.25">
      <c r="A142" s="49">
        <v>133</v>
      </c>
      <c r="B142" s="50"/>
      <c r="C142" s="50" t="s">
        <v>38</v>
      </c>
      <c r="D142" s="50" t="s">
        <v>82</v>
      </c>
      <c r="E142" s="51" t="s">
        <v>202</v>
      </c>
      <c r="F142" s="49" t="s">
        <v>39</v>
      </c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49">
        <v>5</v>
      </c>
      <c r="V142" s="53">
        <f t="shared" si="10"/>
        <v>25200</v>
      </c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72">
        <f t="shared" si="11"/>
        <v>5</v>
      </c>
      <c r="AT142" s="54">
        <v>5040</v>
      </c>
      <c r="AU142" s="48">
        <f t="shared" si="12"/>
        <v>25200</v>
      </c>
      <c r="AV142" s="66"/>
      <c r="AX142" s="127"/>
      <c r="AY142" s="127"/>
      <c r="AZ142" s="127">
        <f t="shared" si="13"/>
        <v>25200</v>
      </c>
      <c r="BA142" s="127"/>
      <c r="BB142" s="127"/>
      <c r="BC142" s="127"/>
      <c r="BD142" s="127"/>
    </row>
    <row r="143" spans="1:56" ht="20.25" customHeight="1" x14ac:dyDescent="0.25">
      <c r="A143" s="49">
        <v>134</v>
      </c>
      <c r="B143" s="50"/>
      <c r="C143" s="50" t="s">
        <v>38</v>
      </c>
      <c r="D143" s="50" t="s">
        <v>82</v>
      </c>
      <c r="E143" s="51" t="s">
        <v>203</v>
      </c>
      <c r="F143" s="49" t="s">
        <v>39</v>
      </c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49">
        <v>5</v>
      </c>
      <c r="V143" s="53">
        <f t="shared" si="10"/>
        <v>25200</v>
      </c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72">
        <f t="shared" si="11"/>
        <v>5</v>
      </c>
      <c r="AT143" s="58">
        <v>5040</v>
      </c>
      <c r="AU143" s="48">
        <f t="shared" si="12"/>
        <v>25200</v>
      </c>
      <c r="AV143" s="66"/>
      <c r="AX143" s="127"/>
      <c r="AY143" s="127"/>
      <c r="AZ143" s="127">
        <f t="shared" si="13"/>
        <v>25200</v>
      </c>
      <c r="BA143" s="127"/>
      <c r="BB143" s="127"/>
      <c r="BC143" s="127"/>
      <c r="BD143" s="127"/>
    </row>
    <row r="144" spans="1:56" ht="27" customHeight="1" x14ac:dyDescent="0.25">
      <c r="A144" s="49">
        <v>135</v>
      </c>
      <c r="B144" s="50"/>
      <c r="C144" s="50" t="s">
        <v>38</v>
      </c>
      <c r="D144" s="50" t="s">
        <v>72</v>
      </c>
      <c r="E144" s="51" t="s">
        <v>77</v>
      </c>
      <c r="F144" s="49" t="s">
        <v>39</v>
      </c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49">
        <v>35</v>
      </c>
      <c r="V144" s="53">
        <f t="shared" si="10"/>
        <v>233800</v>
      </c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72">
        <f t="shared" si="11"/>
        <v>35</v>
      </c>
      <c r="AT144" s="54">
        <v>6680</v>
      </c>
      <c r="AU144" s="48">
        <f t="shared" si="12"/>
        <v>233800</v>
      </c>
      <c r="AV144" s="66"/>
      <c r="AX144" s="127"/>
      <c r="AY144" s="127"/>
      <c r="AZ144" s="127"/>
      <c r="BA144" s="127"/>
      <c r="BB144" s="127">
        <v>233800</v>
      </c>
      <c r="BC144" s="127"/>
      <c r="BD144" s="127"/>
    </row>
    <row r="145" spans="1:56" ht="27" customHeight="1" x14ac:dyDescent="0.25">
      <c r="A145" s="49">
        <v>136</v>
      </c>
      <c r="B145" s="50"/>
      <c r="C145" s="50" t="s">
        <v>38</v>
      </c>
      <c r="D145" s="50" t="s">
        <v>82</v>
      </c>
      <c r="E145" s="51" t="s">
        <v>204</v>
      </c>
      <c r="F145" s="49" t="s">
        <v>40</v>
      </c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49">
        <v>30</v>
      </c>
      <c r="V145" s="53">
        <f t="shared" si="10"/>
        <v>31200</v>
      </c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72">
        <f t="shared" si="11"/>
        <v>30</v>
      </c>
      <c r="AT145" s="54">
        <v>1040</v>
      </c>
      <c r="AU145" s="48">
        <f t="shared" si="12"/>
        <v>31200</v>
      </c>
      <c r="AV145" s="66"/>
      <c r="AX145" s="127"/>
      <c r="AY145" s="127"/>
      <c r="AZ145" s="127">
        <f t="shared" si="13"/>
        <v>31200</v>
      </c>
      <c r="BA145" s="127"/>
      <c r="BB145" s="127"/>
      <c r="BC145" s="127"/>
      <c r="BD145" s="127"/>
    </row>
    <row r="146" spans="1:56" ht="27" customHeight="1" x14ac:dyDescent="0.25">
      <c r="A146" s="49">
        <v>137</v>
      </c>
      <c r="B146" s="50"/>
      <c r="C146" s="50" t="s">
        <v>38</v>
      </c>
      <c r="D146" s="50" t="s">
        <v>72</v>
      </c>
      <c r="E146" s="51" t="s">
        <v>76</v>
      </c>
      <c r="F146" s="49" t="s">
        <v>75</v>
      </c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49">
        <v>100</v>
      </c>
      <c r="V146" s="53">
        <f t="shared" si="10"/>
        <v>57000</v>
      </c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72">
        <f t="shared" si="11"/>
        <v>100</v>
      </c>
      <c r="AT146" s="54">
        <v>570</v>
      </c>
      <c r="AU146" s="48">
        <f t="shared" si="12"/>
        <v>57000</v>
      </c>
      <c r="AV146" s="66"/>
      <c r="AX146" s="127"/>
      <c r="AY146" s="127"/>
      <c r="AZ146" s="127"/>
      <c r="BA146" s="127"/>
      <c r="BB146" s="127">
        <v>57000</v>
      </c>
      <c r="BC146" s="127"/>
      <c r="BD146" s="127"/>
    </row>
    <row r="147" spans="1:56" ht="20.25" customHeight="1" x14ac:dyDescent="0.25">
      <c r="A147" s="49">
        <v>138</v>
      </c>
      <c r="B147" s="50"/>
      <c r="C147" s="50" t="s">
        <v>38</v>
      </c>
      <c r="D147" s="50" t="s">
        <v>82</v>
      </c>
      <c r="E147" s="51" t="s">
        <v>205</v>
      </c>
      <c r="F147" s="49" t="s">
        <v>40</v>
      </c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49">
        <v>10</v>
      </c>
      <c r="V147" s="53">
        <f t="shared" si="10"/>
        <v>29000</v>
      </c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72">
        <f t="shared" si="11"/>
        <v>10</v>
      </c>
      <c r="AT147" s="54">
        <v>2900</v>
      </c>
      <c r="AU147" s="48">
        <f t="shared" si="12"/>
        <v>29000</v>
      </c>
      <c r="AV147" s="66"/>
      <c r="AX147" s="127"/>
      <c r="AY147" s="127"/>
      <c r="AZ147" s="127">
        <f t="shared" si="13"/>
        <v>29000</v>
      </c>
      <c r="BA147" s="127"/>
      <c r="BB147" s="127"/>
      <c r="BC147" s="127"/>
      <c r="BD147" s="127"/>
    </row>
    <row r="148" spans="1:56" ht="20.25" customHeight="1" x14ac:dyDescent="0.25">
      <c r="A148" s="49">
        <v>139</v>
      </c>
      <c r="B148" s="50"/>
      <c r="C148" s="50" t="s">
        <v>38</v>
      </c>
      <c r="D148" s="50" t="s">
        <v>82</v>
      </c>
      <c r="E148" s="51" t="s">
        <v>206</v>
      </c>
      <c r="F148" s="49" t="s">
        <v>40</v>
      </c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49">
        <v>10</v>
      </c>
      <c r="V148" s="53">
        <f t="shared" si="10"/>
        <v>9500</v>
      </c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72">
        <f t="shared" si="11"/>
        <v>10</v>
      </c>
      <c r="AT148" s="54">
        <v>950</v>
      </c>
      <c r="AU148" s="48">
        <f t="shared" si="12"/>
        <v>9500</v>
      </c>
      <c r="AV148" s="66"/>
      <c r="AX148" s="127"/>
      <c r="AY148" s="127"/>
      <c r="AZ148" s="127">
        <f t="shared" si="13"/>
        <v>9500</v>
      </c>
      <c r="BA148" s="127"/>
      <c r="BB148" s="127"/>
      <c r="BC148" s="127"/>
      <c r="BD148" s="127"/>
    </row>
    <row r="149" spans="1:56" ht="20.25" customHeight="1" x14ac:dyDescent="0.25">
      <c r="A149" s="49">
        <v>140</v>
      </c>
      <c r="B149" s="50"/>
      <c r="C149" s="50" t="s">
        <v>38</v>
      </c>
      <c r="D149" s="50" t="s">
        <v>82</v>
      </c>
      <c r="E149" s="51" t="s">
        <v>207</v>
      </c>
      <c r="F149" s="49" t="s">
        <v>40</v>
      </c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49">
        <v>10</v>
      </c>
      <c r="V149" s="53">
        <f t="shared" si="10"/>
        <v>6500</v>
      </c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72">
        <f t="shared" si="11"/>
        <v>10</v>
      </c>
      <c r="AT149" s="54">
        <v>650</v>
      </c>
      <c r="AU149" s="48">
        <f t="shared" si="12"/>
        <v>6500</v>
      </c>
      <c r="AV149" s="66"/>
      <c r="AX149" s="127"/>
      <c r="AY149" s="127"/>
      <c r="AZ149" s="127">
        <f t="shared" si="13"/>
        <v>6500</v>
      </c>
      <c r="BA149" s="127"/>
      <c r="BB149" s="127"/>
      <c r="BC149" s="127"/>
      <c r="BD149" s="127"/>
    </row>
    <row r="150" spans="1:56" ht="20.25" customHeight="1" x14ac:dyDescent="0.25">
      <c r="A150" s="49">
        <v>141</v>
      </c>
      <c r="B150" s="50"/>
      <c r="C150" s="50" t="s">
        <v>38</v>
      </c>
      <c r="D150" s="50" t="s">
        <v>82</v>
      </c>
      <c r="E150" s="51" t="s">
        <v>208</v>
      </c>
      <c r="F150" s="49" t="s">
        <v>40</v>
      </c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49">
        <v>5</v>
      </c>
      <c r="V150" s="53">
        <f t="shared" si="10"/>
        <v>4495</v>
      </c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72">
        <f t="shared" si="11"/>
        <v>5</v>
      </c>
      <c r="AT150" s="54">
        <v>899</v>
      </c>
      <c r="AU150" s="48">
        <f t="shared" si="12"/>
        <v>4495</v>
      </c>
      <c r="AV150" s="66"/>
      <c r="AX150" s="127"/>
      <c r="AY150" s="127"/>
      <c r="AZ150" s="127">
        <f t="shared" si="13"/>
        <v>4495</v>
      </c>
      <c r="BA150" s="127"/>
      <c r="BB150" s="127"/>
      <c r="BC150" s="127"/>
      <c r="BD150" s="127"/>
    </row>
    <row r="151" spans="1:56" ht="20.25" customHeight="1" x14ac:dyDescent="0.25">
      <c r="A151" s="49">
        <v>142</v>
      </c>
      <c r="B151" s="50"/>
      <c r="C151" s="50" t="s">
        <v>38</v>
      </c>
      <c r="D151" s="50" t="s">
        <v>82</v>
      </c>
      <c r="E151" s="51" t="s">
        <v>209</v>
      </c>
      <c r="F151" s="49" t="s">
        <v>39</v>
      </c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49">
        <v>30</v>
      </c>
      <c r="V151" s="53">
        <f t="shared" si="10"/>
        <v>29700</v>
      </c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72">
        <f t="shared" si="11"/>
        <v>30</v>
      </c>
      <c r="AT151" s="54">
        <v>990</v>
      </c>
      <c r="AU151" s="48">
        <f t="shared" si="12"/>
        <v>29700</v>
      </c>
      <c r="AV151" s="66"/>
      <c r="AX151" s="127"/>
      <c r="AY151" s="127"/>
      <c r="AZ151" s="127">
        <f t="shared" si="13"/>
        <v>29700</v>
      </c>
      <c r="BA151" s="127"/>
      <c r="BB151" s="127"/>
      <c r="BC151" s="127"/>
      <c r="BD151" s="127"/>
    </row>
    <row r="152" spans="1:56" ht="20.25" customHeight="1" x14ac:dyDescent="0.25">
      <c r="A152" s="49">
        <v>143</v>
      </c>
      <c r="B152" s="50"/>
      <c r="C152" s="50" t="s">
        <v>38</v>
      </c>
      <c r="D152" s="50" t="s">
        <v>82</v>
      </c>
      <c r="E152" s="51" t="s">
        <v>210</v>
      </c>
      <c r="F152" s="49" t="s">
        <v>211</v>
      </c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49">
        <v>100</v>
      </c>
      <c r="V152" s="53">
        <f t="shared" si="10"/>
        <v>54000</v>
      </c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72">
        <f t="shared" si="11"/>
        <v>100</v>
      </c>
      <c r="AT152" s="54">
        <v>540</v>
      </c>
      <c r="AU152" s="48">
        <f t="shared" si="12"/>
        <v>54000</v>
      </c>
      <c r="AV152" s="66"/>
      <c r="AX152" s="127"/>
      <c r="AY152" s="127"/>
      <c r="AZ152" s="127">
        <f t="shared" si="13"/>
        <v>54000</v>
      </c>
      <c r="BA152" s="127"/>
      <c r="BB152" s="127"/>
      <c r="BC152" s="127"/>
      <c r="BD152" s="127"/>
    </row>
    <row r="153" spans="1:56" ht="28.5" customHeight="1" x14ac:dyDescent="0.25">
      <c r="A153" s="49">
        <v>144</v>
      </c>
      <c r="B153" s="50"/>
      <c r="C153" s="50" t="s">
        <v>38</v>
      </c>
      <c r="D153" s="50" t="s">
        <v>58</v>
      </c>
      <c r="E153" s="51" t="s">
        <v>70</v>
      </c>
      <c r="F153" s="49" t="s">
        <v>40</v>
      </c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49">
        <v>10</v>
      </c>
      <c r="V153" s="53">
        <f t="shared" si="10"/>
        <v>3600</v>
      </c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72">
        <f t="shared" si="11"/>
        <v>10</v>
      </c>
      <c r="AT153" s="58">
        <v>360</v>
      </c>
      <c r="AU153" s="48">
        <f t="shared" si="12"/>
        <v>3600</v>
      </c>
      <c r="AV153" s="66"/>
      <c r="AX153" s="127"/>
      <c r="AY153" s="127">
        <v>3600</v>
      </c>
      <c r="AZ153" s="127"/>
      <c r="BA153" s="127"/>
      <c r="BB153" s="127"/>
      <c r="BC153" s="127"/>
      <c r="BD153" s="127"/>
    </row>
    <row r="154" spans="1:56" ht="20.25" customHeight="1" x14ac:dyDescent="0.25">
      <c r="A154" s="49">
        <v>145</v>
      </c>
      <c r="B154" s="50"/>
      <c r="C154" s="50" t="s">
        <v>38</v>
      </c>
      <c r="D154" s="50" t="s">
        <v>82</v>
      </c>
      <c r="E154" s="51" t="s">
        <v>212</v>
      </c>
      <c r="F154" s="49" t="s">
        <v>40</v>
      </c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49">
        <v>5</v>
      </c>
      <c r="V154" s="53">
        <f t="shared" si="10"/>
        <v>54500</v>
      </c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72">
        <f t="shared" si="11"/>
        <v>5</v>
      </c>
      <c r="AT154" s="54">
        <v>10900</v>
      </c>
      <c r="AU154" s="48">
        <f t="shared" si="12"/>
        <v>54500</v>
      </c>
      <c r="AV154" s="66"/>
      <c r="AX154" s="127"/>
      <c r="AY154" s="127"/>
      <c r="AZ154" s="127">
        <f t="shared" si="13"/>
        <v>54500</v>
      </c>
      <c r="BA154" s="127"/>
      <c r="BB154" s="127"/>
      <c r="BC154" s="127"/>
      <c r="BD154" s="127"/>
    </row>
    <row r="155" spans="1:56" ht="20.25" customHeight="1" x14ac:dyDescent="0.25">
      <c r="A155" s="49">
        <v>146</v>
      </c>
      <c r="B155" s="50"/>
      <c r="C155" s="50" t="s">
        <v>38</v>
      </c>
      <c r="D155" s="50" t="s">
        <v>82</v>
      </c>
      <c r="E155" s="51" t="s">
        <v>213</v>
      </c>
      <c r="F155" s="49" t="s">
        <v>39</v>
      </c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49">
        <v>40</v>
      </c>
      <c r="V155" s="53">
        <f t="shared" si="10"/>
        <v>523200</v>
      </c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72">
        <f t="shared" si="11"/>
        <v>40</v>
      </c>
      <c r="AT155" s="54">
        <v>13080</v>
      </c>
      <c r="AU155" s="48">
        <f t="shared" si="12"/>
        <v>523200</v>
      </c>
      <c r="AV155" s="66"/>
      <c r="AX155" s="127"/>
      <c r="AY155" s="127"/>
      <c r="AZ155" s="127">
        <f t="shared" si="13"/>
        <v>523200</v>
      </c>
      <c r="BA155" s="127"/>
      <c r="BB155" s="127"/>
      <c r="BC155" s="127"/>
      <c r="BD155" s="127"/>
    </row>
    <row r="156" spans="1:56" ht="20.25" customHeight="1" x14ac:dyDescent="0.25">
      <c r="A156" s="49">
        <v>147</v>
      </c>
      <c r="B156" s="50"/>
      <c r="C156" s="50" t="s">
        <v>78</v>
      </c>
      <c r="D156" s="50" t="s">
        <v>79</v>
      </c>
      <c r="E156" s="51" t="s">
        <v>80</v>
      </c>
      <c r="F156" s="49" t="s">
        <v>41</v>
      </c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49">
        <v>40</v>
      </c>
      <c r="V156" s="53">
        <f t="shared" si="10"/>
        <v>158800</v>
      </c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72">
        <f t="shared" si="11"/>
        <v>40</v>
      </c>
      <c r="AT156" s="54">
        <v>3970</v>
      </c>
      <c r="AU156" s="48">
        <f t="shared" si="12"/>
        <v>158800</v>
      </c>
      <c r="AV156" s="66"/>
      <c r="AX156" s="127"/>
      <c r="AY156" s="127"/>
      <c r="AZ156" s="127"/>
      <c r="BA156" s="127">
        <v>158800</v>
      </c>
      <c r="BB156" s="127"/>
      <c r="BC156" s="127"/>
      <c r="BD156" s="127"/>
    </row>
    <row r="157" spans="1:56" ht="15.75" thickBot="1" x14ac:dyDescent="0.3">
      <c r="A157" s="59">
        <v>148</v>
      </c>
      <c r="B157" s="60"/>
      <c r="C157" s="60" t="s">
        <v>78</v>
      </c>
      <c r="D157" s="60" t="s">
        <v>79</v>
      </c>
      <c r="E157" s="61" t="s">
        <v>81</v>
      </c>
      <c r="F157" s="59" t="s">
        <v>41</v>
      </c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59">
        <v>40</v>
      </c>
      <c r="V157" s="63">
        <f t="shared" si="10"/>
        <v>147600</v>
      </c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73">
        <f t="shared" si="11"/>
        <v>40</v>
      </c>
      <c r="AT157" s="64">
        <v>3690</v>
      </c>
      <c r="AU157" s="48">
        <f t="shared" si="12"/>
        <v>147600</v>
      </c>
      <c r="AV157" s="66"/>
      <c r="AX157" s="127"/>
      <c r="AY157" s="127"/>
      <c r="AZ157" s="127"/>
      <c r="BA157" s="127">
        <v>147600</v>
      </c>
      <c r="BB157" s="127"/>
      <c r="BC157" s="127"/>
      <c r="BD157" s="127"/>
    </row>
    <row r="158" spans="1:56" ht="15.75" thickBot="1" x14ac:dyDescent="0.3">
      <c r="A158" s="138"/>
      <c r="B158" s="33"/>
      <c r="C158" s="34"/>
      <c r="D158" s="34"/>
      <c r="E158" s="35" t="s">
        <v>214</v>
      </c>
      <c r="F158" s="36"/>
      <c r="G158" s="36"/>
      <c r="H158" s="36"/>
      <c r="I158" s="36"/>
      <c r="J158" s="36"/>
      <c r="K158" s="36"/>
      <c r="L158" s="37"/>
      <c r="M158" s="38"/>
      <c r="N158" s="37"/>
      <c r="O158" s="39"/>
      <c r="P158" s="36"/>
      <c r="Q158" s="38"/>
      <c r="R158" s="36"/>
      <c r="S158" s="39"/>
      <c r="T158" s="40"/>
      <c r="U158" s="38"/>
      <c r="V158" s="37">
        <f>SUM(V10:V157)</f>
        <v>10378994.499999996</v>
      </c>
      <c r="W158" s="39"/>
      <c r="X158" s="36"/>
      <c r="Y158" s="39"/>
      <c r="Z158" s="36"/>
      <c r="AA158" s="39"/>
      <c r="AB158" s="36"/>
      <c r="AC158" s="39"/>
      <c r="AD158" s="36"/>
      <c r="AE158" s="39"/>
      <c r="AF158" s="36"/>
      <c r="AG158" s="39"/>
      <c r="AH158" s="36"/>
      <c r="AI158" s="39"/>
      <c r="AJ158" s="36"/>
      <c r="AK158" s="39"/>
      <c r="AL158" s="37">
        <f>SUM(AL23:AL157)</f>
        <v>0</v>
      </c>
      <c r="AM158" s="39"/>
      <c r="AN158" s="36"/>
      <c r="AO158" s="39"/>
      <c r="AP158" s="36"/>
      <c r="AQ158" s="39"/>
      <c r="AR158" s="36"/>
      <c r="AS158" s="74"/>
      <c r="AT158" s="41"/>
      <c r="AU158" s="65">
        <f>+SUM(AU10:AU157)</f>
        <v>10378994.499999996</v>
      </c>
      <c r="AV158" s="67"/>
      <c r="AX158" s="133">
        <f>SUM(AX10:AX157)</f>
        <v>22500</v>
      </c>
      <c r="AY158" s="133">
        <f t="shared" ref="AY158:BB158" si="14">SUM(AY10:AY157)</f>
        <v>3249120</v>
      </c>
      <c r="AZ158" s="133">
        <f t="shared" si="14"/>
        <v>6443924.5000000019</v>
      </c>
      <c r="BA158" s="133">
        <f t="shared" si="14"/>
        <v>306400</v>
      </c>
      <c r="BB158" s="133">
        <f t="shared" si="14"/>
        <v>357050</v>
      </c>
      <c r="BC158" s="133">
        <f>SUM(AX158:BB158)</f>
        <v>10378994.500000002</v>
      </c>
    </row>
    <row r="159" spans="1:56" ht="15.75" thickBot="1" x14ac:dyDescent="0.3">
      <c r="A159" s="139"/>
      <c r="B159" s="69"/>
      <c r="C159" s="69"/>
      <c r="D159" s="69"/>
      <c r="E159" s="70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75"/>
      <c r="AT159" s="71"/>
      <c r="AU159" s="71"/>
      <c r="AV159" s="68"/>
    </row>
    <row r="160" spans="1:56" ht="107.25" customHeight="1" x14ac:dyDescent="0.25">
      <c r="A160" s="139"/>
      <c r="B160" s="69"/>
      <c r="C160" s="141" t="s">
        <v>273</v>
      </c>
      <c r="D160" s="264" t="s">
        <v>274</v>
      </c>
      <c r="E160" s="264"/>
      <c r="F160" s="264"/>
      <c r="G160" s="265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75"/>
      <c r="AT160" s="71"/>
      <c r="AU160" s="71"/>
      <c r="AV160" s="68"/>
      <c r="AX160" s="134">
        <v>256</v>
      </c>
      <c r="AY160" s="134">
        <v>252</v>
      </c>
      <c r="AZ160" s="134">
        <v>295</v>
      </c>
      <c r="BA160" s="134">
        <v>265</v>
      </c>
      <c r="BB160" s="134">
        <v>259</v>
      </c>
    </row>
    <row r="161" spans="1:52" x14ac:dyDescent="0.25">
      <c r="A161" s="139"/>
      <c r="B161" s="69"/>
      <c r="C161" s="142"/>
      <c r="D161" s="143"/>
      <c r="E161" s="143"/>
      <c r="F161" s="143"/>
      <c r="G161" s="144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75"/>
      <c r="AT161" s="71"/>
      <c r="AU161" s="71"/>
      <c r="AV161" s="68"/>
    </row>
    <row r="162" spans="1:52" x14ac:dyDescent="0.25">
      <c r="A162" s="139"/>
      <c r="B162" s="69"/>
      <c r="C162" s="142" t="s">
        <v>275</v>
      </c>
      <c r="D162" s="143"/>
      <c r="E162" s="143"/>
      <c r="F162" s="143"/>
      <c r="G162" s="144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75"/>
      <c r="AT162" s="71"/>
      <c r="AU162" s="71"/>
      <c r="AV162" s="68"/>
    </row>
    <row r="163" spans="1:52" x14ac:dyDescent="0.25">
      <c r="A163" s="139"/>
      <c r="B163" s="69"/>
      <c r="C163" s="142"/>
      <c r="D163" s="143"/>
      <c r="E163" s="143"/>
      <c r="F163" s="143"/>
      <c r="G163" s="144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75"/>
      <c r="AT163" s="71"/>
      <c r="AU163" s="71"/>
      <c r="AV163" s="68"/>
      <c r="AZ163" s="127">
        <v>6500000</v>
      </c>
    </row>
    <row r="164" spans="1:52" x14ac:dyDescent="0.25">
      <c r="A164" s="139"/>
      <c r="B164" s="69"/>
      <c r="C164" s="145" t="s">
        <v>276</v>
      </c>
      <c r="D164" s="146" t="s">
        <v>277</v>
      </c>
      <c r="E164" s="147"/>
      <c r="F164" s="148"/>
      <c r="G164" s="14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75"/>
      <c r="AT164" s="71"/>
      <c r="AU164" s="71"/>
      <c r="AV164" s="68"/>
    </row>
    <row r="165" spans="1:52" x14ac:dyDescent="0.25">
      <c r="A165" s="139"/>
      <c r="B165" s="69"/>
      <c r="C165" s="145"/>
      <c r="D165" s="150"/>
      <c r="E165" s="147"/>
      <c r="F165" s="148"/>
      <c r="G165" s="14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75"/>
      <c r="AT165" s="71"/>
      <c r="AU165" s="71"/>
      <c r="AV165" s="68"/>
      <c r="AZ165" s="127">
        <f>+AZ158-AZ163</f>
        <v>-56075.499999998137</v>
      </c>
    </row>
    <row r="166" spans="1:52" x14ac:dyDescent="0.25">
      <c r="A166" s="139"/>
      <c r="B166" s="69"/>
      <c r="C166" s="145" t="s">
        <v>278</v>
      </c>
      <c r="D166" s="266" t="s">
        <v>279</v>
      </c>
      <c r="E166" s="266"/>
      <c r="F166" s="266"/>
      <c r="G166" s="267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75"/>
      <c r="AT166" s="71"/>
      <c r="AU166" s="71"/>
      <c r="AV166" s="68"/>
    </row>
    <row r="167" spans="1:52" x14ac:dyDescent="0.25">
      <c r="A167" s="139"/>
      <c r="B167" s="69"/>
      <c r="C167" s="145"/>
      <c r="D167" s="266"/>
      <c r="E167" s="266"/>
      <c r="F167" s="266"/>
      <c r="G167" s="267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75"/>
      <c r="AT167" s="71"/>
      <c r="AU167" s="71"/>
      <c r="AV167" s="68"/>
    </row>
    <row r="168" spans="1:52" x14ac:dyDescent="0.25">
      <c r="A168" s="139"/>
      <c r="B168" s="69"/>
      <c r="C168" s="151" t="s">
        <v>280</v>
      </c>
      <c r="D168" s="152"/>
      <c r="E168" s="153"/>
      <c r="F168" s="154"/>
      <c r="G168" s="155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75"/>
      <c r="AT168" s="71"/>
      <c r="AU168" s="71"/>
      <c r="AV168" s="68"/>
    </row>
    <row r="169" spans="1:52" x14ac:dyDescent="0.25">
      <c r="A169" s="139"/>
      <c r="B169" s="69"/>
      <c r="C169" s="151"/>
      <c r="D169" s="152"/>
      <c r="E169" s="153"/>
      <c r="F169" s="154"/>
      <c r="G169" s="155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75"/>
      <c r="AT169" s="71"/>
      <c r="AU169" s="71"/>
      <c r="AV169" s="68"/>
    </row>
    <row r="170" spans="1:52" ht="15.75" thickBot="1" x14ac:dyDescent="0.3">
      <c r="A170" s="139"/>
      <c r="B170" s="69"/>
      <c r="C170" s="156" t="s">
        <v>281</v>
      </c>
      <c r="D170" s="157" t="s">
        <v>282</v>
      </c>
      <c r="E170" s="158"/>
      <c r="F170" s="159"/>
      <c r="G170" s="160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75"/>
      <c r="AT170" s="71"/>
      <c r="AU170" s="71"/>
      <c r="AV170" s="68"/>
    </row>
    <row r="171" spans="1:52" x14ac:dyDescent="0.25">
      <c r="A171" s="139"/>
      <c r="B171" s="69"/>
      <c r="C171" s="69"/>
      <c r="D171" s="69"/>
      <c r="E171" s="70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75"/>
      <c r="AT171" s="71"/>
      <c r="AU171" s="71"/>
      <c r="AV171" s="68"/>
    </row>
    <row r="172" spans="1:52" x14ac:dyDescent="0.25">
      <c r="A172" s="139"/>
      <c r="B172" s="69"/>
      <c r="C172" s="69"/>
      <c r="D172" s="69"/>
      <c r="E172" s="70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75"/>
      <c r="AT172" s="71"/>
      <c r="AU172" s="71"/>
      <c r="AV172" s="68"/>
    </row>
    <row r="173" spans="1:52" x14ac:dyDescent="0.25">
      <c r="A173" s="139"/>
      <c r="B173" s="69"/>
      <c r="C173" s="69"/>
      <c r="D173" s="69"/>
      <c r="E173" s="70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75"/>
      <c r="AT173" s="71"/>
      <c r="AU173" s="71"/>
      <c r="AV173" s="68"/>
    </row>
    <row r="174" spans="1:52" x14ac:dyDescent="0.25">
      <c r="A174" s="139"/>
      <c r="B174" s="69"/>
      <c r="C174" s="69"/>
      <c r="D174" s="69"/>
      <c r="E174" s="70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75"/>
      <c r="AT174" s="71"/>
      <c r="AU174" s="71"/>
      <c r="AV174" s="68"/>
    </row>
    <row r="175" spans="1:52" x14ac:dyDescent="0.25">
      <c r="A175" s="139"/>
      <c r="B175" s="69"/>
      <c r="C175" s="69"/>
      <c r="D175" s="69"/>
      <c r="E175" s="70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75"/>
      <c r="AT175" s="71"/>
      <c r="AU175" s="71"/>
      <c r="AV175" s="68"/>
    </row>
  </sheetData>
  <mergeCells count="10">
    <mergeCell ref="D160:G160"/>
    <mergeCell ref="D166:G166"/>
    <mergeCell ref="D167:G167"/>
    <mergeCell ref="A7:B7"/>
    <mergeCell ref="B2:AT2"/>
    <mergeCell ref="A4:B4"/>
    <mergeCell ref="C4:E4"/>
    <mergeCell ref="A5:B5"/>
    <mergeCell ref="C5:E5"/>
    <mergeCell ref="A6:B6"/>
  </mergeCells>
  <conditionalFormatting sqref="B158">
    <cfRule type="duplicateValues" dxfId="24" priority="217"/>
  </conditionalFormatting>
  <conditionalFormatting sqref="E158">
    <cfRule type="duplicateValues" dxfId="23" priority="218"/>
  </conditionalFormatting>
  <conditionalFormatting sqref="E158">
    <cfRule type="duplicateValues" dxfId="22" priority="219"/>
    <cfRule type="duplicateValues" dxfId="21" priority="220"/>
  </conditionalFormatting>
  <conditionalFormatting sqref="E158 B158">
    <cfRule type="duplicateValues" dxfId="20" priority="221"/>
  </conditionalFormatting>
  <conditionalFormatting sqref="E158">
    <cfRule type="duplicateValues" dxfId="19" priority="222"/>
  </conditionalFormatting>
  <conditionalFormatting sqref="E158">
    <cfRule type="duplicateValues" dxfId="18" priority="223"/>
  </conditionalFormatting>
  <conditionalFormatting sqref="B1:B9 E1:E9">
    <cfRule type="duplicateValues" dxfId="17" priority="1014"/>
  </conditionalFormatting>
  <conditionalFormatting sqref="E1:E9 B1:B9">
    <cfRule type="duplicateValues" dxfId="16" priority="1016"/>
  </conditionalFormatting>
  <conditionalFormatting sqref="B1:B9">
    <cfRule type="duplicateValues" dxfId="15" priority="1021"/>
  </conditionalFormatting>
  <conditionalFormatting sqref="E1:E9">
    <cfRule type="duplicateValues" dxfId="14" priority="1022"/>
  </conditionalFormatting>
  <conditionalFormatting sqref="E1:E9">
    <cfRule type="duplicateValues" dxfId="13" priority="1023"/>
    <cfRule type="duplicateValues" dxfId="12" priority="1024"/>
  </conditionalFormatting>
  <conditionalFormatting sqref="F168:F170 F164:F165">
    <cfRule type="duplicateValues" dxfId="11" priority="5"/>
  </conditionalFormatting>
  <conditionalFormatting sqref="F168:F170 C164:C170 F164:F165">
    <cfRule type="duplicateValues" dxfId="10" priority="4"/>
  </conditionalFormatting>
  <conditionalFormatting sqref="F168:F170">
    <cfRule type="duplicateValues" dxfId="9" priority="3"/>
  </conditionalFormatting>
  <conditionalFormatting sqref="F168:F170 F164:F165">
    <cfRule type="duplicateValues" dxfId="8" priority="1"/>
    <cfRule type="duplicateValues" dxfId="7" priority="2"/>
  </conditionalFormatting>
  <conditionalFormatting sqref="C164:C170">
    <cfRule type="duplicateValues" dxfId="6" priority="6"/>
  </conditionalFormatting>
  <conditionalFormatting sqref="F164:F170">
    <cfRule type="duplicateValues" dxfId="5" priority="7"/>
    <cfRule type="duplicateValues" dxfId="4" priority="8"/>
  </conditionalFormatting>
  <conditionalFormatting sqref="F164:F170">
    <cfRule type="duplicateValues" dxfId="3" priority="9"/>
  </conditionalFormatting>
  <conditionalFormatting sqref="F164:F170">
    <cfRule type="duplicateValues" dxfId="2" priority="10"/>
  </conditionalFormatting>
  <conditionalFormatting sqref="C164:C170 F164:F170">
    <cfRule type="duplicateValues" dxfId="1" priority="11"/>
  </conditionalFormatting>
  <conditionalFormatting sqref="C164:C170">
    <cfRule type="duplicateValues" dxfId="0" priority="12"/>
  </conditionalFormatting>
  <pageMargins left="0.7" right="0.7" top="0.75" bottom="0.75" header="0.3" footer="0.3"/>
  <pageSetup paperSize="9" orientation="portrait" verticalDpi="0" r:id="rId1"/>
  <ignoredErrors>
    <ignoredError sqref="AX158:BB15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1"/>
  <sheetViews>
    <sheetView topLeftCell="A145" zoomScaleNormal="100" workbookViewId="0">
      <selection activeCell="D8" sqref="D8:K8"/>
    </sheetView>
  </sheetViews>
  <sheetFormatPr baseColWidth="10" defaultRowHeight="15" x14ac:dyDescent="0.25"/>
  <cols>
    <col min="1" max="1" width="5.5703125" style="31" customWidth="1"/>
    <col min="2" max="2" width="15.140625" customWidth="1"/>
    <col min="3" max="3" width="14.140625" style="31" customWidth="1"/>
    <col min="4" max="4" width="26" customWidth="1"/>
    <col min="5" max="5" width="8" customWidth="1"/>
    <col min="6" max="6" width="7.85546875" customWidth="1"/>
    <col min="7" max="7" width="81.42578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3" max="13" width="15.7109375" style="127" bestFit="1" customWidth="1"/>
  </cols>
  <sheetData>
    <row r="1" spans="1:13" ht="30.75" thickBot="1" x14ac:dyDescent="0.3">
      <c r="A1" s="285" t="s">
        <v>221</v>
      </c>
      <c r="B1" s="285"/>
      <c r="C1" s="285"/>
      <c r="D1" s="285"/>
      <c r="E1" s="285"/>
      <c r="F1" s="285"/>
      <c r="G1" s="285"/>
      <c r="H1" s="285"/>
      <c r="I1" s="285"/>
      <c r="J1" s="77" t="s">
        <v>222</v>
      </c>
      <c r="K1" s="78" t="s">
        <v>271</v>
      </c>
    </row>
    <row r="2" spans="1:13" ht="16.5" thickBot="1" x14ac:dyDescent="0.3">
      <c r="A2" s="79"/>
      <c r="B2" s="80"/>
      <c r="C2" s="80"/>
      <c r="D2" s="81"/>
      <c r="E2" s="81"/>
      <c r="F2" s="81"/>
      <c r="G2" s="81"/>
      <c r="H2" s="81"/>
      <c r="I2" s="81"/>
      <c r="J2" s="82"/>
      <c r="K2" s="83"/>
    </row>
    <row r="3" spans="1:13" ht="16.5" thickBot="1" x14ac:dyDescent="0.3">
      <c r="A3" s="286" t="s">
        <v>223</v>
      </c>
      <c r="B3" s="286"/>
      <c r="C3" s="286"/>
      <c r="D3" s="287" t="s">
        <v>43</v>
      </c>
      <c r="E3" s="287"/>
      <c r="F3" s="287"/>
      <c r="G3" s="287"/>
      <c r="H3" s="287"/>
      <c r="I3" s="287"/>
      <c r="J3" s="287"/>
      <c r="K3" s="287"/>
    </row>
    <row r="4" spans="1:13" ht="16.5" thickBot="1" x14ac:dyDescent="0.3">
      <c r="A4" s="288" t="s">
        <v>224</v>
      </c>
      <c r="B4" s="288"/>
      <c r="C4" s="288"/>
      <c r="D4" s="287" t="s">
        <v>225</v>
      </c>
      <c r="E4" s="287"/>
      <c r="F4" s="287"/>
      <c r="G4" s="287"/>
      <c r="H4" s="287"/>
      <c r="I4" s="287"/>
      <c r="J4" s="287"/>
      <c r="K4" s="287"/>
    </row>
    <row r="5" spans="1:13" ht="16.5" thickBot="1" x14ac:dyDescent="0.3">
      <c r="A5" s="288" t="s">
        <v>226</v>
      </c>
      <c r="B5" s="288"/>
      <c r="C5" s="288"/>
      <c r="D5" s="287" t="s">
        <v>264</v>
      </c>
      <c r="E5" s="287"/>
      <c r="F5" s="287"/>
      <c r="G5" s="287"/>
      <c r="H5" s="287"/>
      <c r="I5" s="287"/>
      <c r="J5" s="287"/>
      <c r="K5" s="287"/>
    </row>
    <row r="6" spans="1:13" ht="16.5" thickBot="1" x14ac:dyDescent="0.3">
      <c r="A6" s="286" t="s">
        <v>227</v>
      </c>
      <c r="B6" s="286"/>
      <c r="C6" s="286"/>
      <c r="D6" s="287" t="s">
        <v>264</v>
      </c>
      <c r="E6" s="287"/>
      <c r="F6" s="287"/>
      <c r="G6" s="287"/>
      <c r="H6" s="287"/>
      <c r="I6" s="287"/>
      <c r="J6" s="287"/>
      <c r="K6" s="287"/>
    </row>
    <row r="7" spans="1:13" ht="16.5" thickBot="1" x14ac:dyDescent="0.3">
      <c r="A7" s="288" t="s">
        <v>228</v>
      </c>
      <c r="B7" s="288"/>
      <c r="C7" s="288"/>
      <c r="D7" s="287" t="s">
        <v>229</v>
      </c>
      <c r="E7" s="287"/>
      <c r="F7" s="287"/>
      <c r="G7" s="287"/>
      <c r="H7" s="287"/>
      <c r="I7" s="287"/>
      <c r="J7" s="287"/>
      <c r="K7" s="287"/>
    </row>
    <row r="8" spans="1:13" ht="16.5" thickBot="1" x14ac:dyDescent="0.3">
      <c r="A8" s="292" t="s">
        <v>230</v>
      </c>
      <c r="B8" s="292"/>
      <c r="C8" s="292"/>
      <c r="D8" s="293" t="s">
        <v>265</v>
      </c>
      <c r="E8" s="293"/>
      <c r="F8" s="293"/>
      <c r="G8" s="293"/>
      <c r="H8" s="293"/>
      <c r="I8" s="293"/>
      <c r="J8" s="293"/>
      <c r="K8" s="293"/>
    </row>
    <row r="9" spans="1:13" ht="16.5" thickBot="1" x14ac:dyDescent="0.3">
      <c r="A9" s="84"/>
      <c r="B9" s="85"/>
      <c r="C9" s="85"/>
      <c r="D9" s="86"/>
      <c r="E9" s="86"/>
      <c r="F9" s="86"/>
      <c r="G9" s="86"/>
      <c r="H9" s="86"/>
      <c r="I9" s="86"/>
      <c r="J9" s="87"/>
      <c r="K9" s="88"/>
    </row>
    <row r="10" spans="1:13" ht="15.75" thickBot="1" x14ac:dyDescent="0.3">
      <c r="A10" s="289" t="s">
        <v>231</v>
      </c>
      <c r="B10" s="290" t="s">
        <v>232</v>
      </c>
      <c r="C10" s="290" t="s">
        <v>233</v>
      </c>
      <c r="D10" s="290"/>
      <c r="E10" s="290"/>
      <c r="F10" s="290"/>
      <c r="G10" s="290"/>
      <c r="H10" s="290" t="s">
        <v>234</v>
      </c>
      <c r="I10" s="290" t="s">
        <v>235</v>
      </c>
      <c r="J10" s="291" t="s">
        <v>236</v>
      </c>
      <c r="K10" s="281" t="s">
        <v>237</v>
      </c>
    </row>
    <row r="11" spans="1:13" ht="42" customHeight="1" thickBot="1" x14ac:dyDescent="0.3">
      <c r="A11" s="289"/>
      <c r="B11" s="290"/>
      <c r="C11" s="290"/>
      <c r="D11" s="290"/>
      <c r="E11" s="290"/>
      <c r="F11" s="290"/>
      <c r="G11" s="290"/>
      <c r="H11" s="290"/>
      <c r="I11" s="290"/>
      <c r="J11" s="291"/>
      <c r="K11" s="281"/>
    </row>
    <row r="12" spans="1:13" x14ac:dyDescent="0.25">
      <c r="A12" s="89">
        <v>1</v>
      </c>
      <c r="B12" s="90"/>
      <c r="C12" s="282" t="str">
        <f>'SAF 011'!E10</f>
        <v>ACEITES LUBRICANTES; USO: TURBINA ODONTOLOGICA, PRESENTACION: SPRAY X 250 mL, NORMA: SAE 30</v>
      </c>
      <c r="D12" s="283"/>
      <c r="E12" s="283"/>
      <c r="F12" s="283"/>
      <c r="G12" s="284"/>
      <c r="H12" s="91" t="s">
        <v>266</v>
      </c>
      <c r="I12" s="92" t="str">
        <f>'SAF 011'!F10</f>
        <v>UNIDAD</v>
      </c>
      <c r="J12" s="93">
        <f>'SAF 011'!AT10</f>
        <v>1500</v>
      </c>
      <c r="K12" s="99">
        <f>'SAF 011'!U10</f>
        <v>15</v>
      </c>
      <c r="M12" s="127">
        <f>+J12*K12</f>
        <v>22500</v>
      </c>
    </row>
    <row r="13" spans="1:13" ht="15.75" customHeight="1" x14ac:dyDescent="0.25">
      <c r="A13" s="94">
        <v>2</v>
      </c>
      <c r="B13" s="95"/>
      <c r="C13" s="272" t="str">
        <f>'SAF 011'!E11</f>
        <v>ACIDO GRABADOR ODONTOLOG.; ESTADO: GEL, PRESENTACION: JERINGA X 12 GR</v>
      </c>
      <c r="D13" s="273"/>
      <c r="E13" s="273"/>
      <c r="F13" s="273"/>
      <c r="G13" s="274"/>
      <c r="H13" s="96" t="s">
        <v>266</v>
      </c>
      <c r="I13" s="97" t="str">
        <f>'SAF 011'!F11</f>
        <v>UNIDAD</v>
      </c>
      <c r="J13" s="98">
        <f>'SAF 011'!AT11</f>
        <v>885</v>
      </c>
      <c r="K13" s="99">
        <f>'SAF 011'!U11</f>
        <v>30</v>
      </c>
      <c r="M13" s="127">
        <f t="shared" ref="M13:M76" si="0">+J13*K13</f>
        <v>26550</v>
      </c>
    </row>
    <row r="14" spans="1:13" ht="15.75" customHeight="1" x14ac:dyDescent="0.25">
      <c r="A14" s="94">
        <v>3</v>
      </c>
      <c r="B14" s="95"/>
      <c r="C14" s="272" t="str">
        <f>'SAF 011'!E12</f>
        <v>ADHESIVOS P/ODONTOLOGIA; TIPO: ADHESIVO+PRIMER, USO: ODONTOLOGICO, PRESENTACION: FRASCO X 4,5 mm</v>
      </c>
      <c r="D14" s="273"/>
      <c r="E14" s="273"/>
      <c r="F14" s="273"/>
      <c r="G14" s="274"/>
      <c r="H14" s="96" t="s">
        <v>266</v>
      </c>
      <c r="I14" s="97" t="str">
        <f>'SAF 011'!F12</f>
        <v>UNIDAD</v>
      </c>
      <c r="J14" s="98">
        <f>'SAF 011'!AT12</f>
        <v>1490</v>
      </c>
      <c r="K14" s="99">
        <f>'SAF 011'!U12</f>
        <v>10</v>
      </c>
      <c r="M14" s="127">
        <f t="shared" si="0"/>
        <v>14900</v>
      </c>
    </row>
    <row r="15" spans="1:13" ht="15.75" customHeight="1" x14ac:dyDescent="0.25">
      <c r="A15" s="94">
        <v>4</v>
      </c>
      <c r="B15" s="95"/>
      <c r="C15" s="272" t="str">
        <f>'SAF 011'!E13</f>
        <v>AGUJAS QUIRURGICAS; TIPO: ODONTOLOGICA, ESPECIFICACION: CORTA DE 21 mm, PRESENTACION: ENVASE X 100 UN</v>
      </c>
      <c r="D15" s="273"/>
      <c r="E15" s="273"/>
      <c r="F15" s="273"/>
      <c r="G15" s="274"/>
      <c r="H15" s="96" t="s">
        <v>266</v>
      </c>
      <c r="I15" s="97" t="str">
        <f>'SAF 011'!F13</f>
        <v>CAJA</v>
      </c>
      <c r="J15" s="98">
        <f>'SAF 011'!AT13</f>
        <v>930</v>
      </c>
      <c r="K15" s="99">
        <f>'SAF 011'!U13</f>
        <v>1</v>
      </c>
      <c r="M15" s="127">
        <f t="shared" si="0"/>
        <v>930</v>
      </c>
    </row>
    <row r="16" spans="1:13" ht="15.75" customHeight="1" x14ac:dyDescent="0.25">
      <c r="A16" s="94">
        <v>5</v>
      </c>
      <c r="B16" s="95"/>
      <c r="C16" s="272" t="str">
        <f>'SAF 011'!E14</f>
        <v>ALAMBRE DE ACERO D. 0,7 MM, DESCARTABLE: SI, PRESENTACION: ROLLO X 500 GR</v>
      </c>
      <c r="D16" s="273"/>
      <c r="E16" s="273"/>
      <c r="F16" s="273"/>
      <c r="G16" s="274"/>
      <c r="H16" s="96" t="s">
        <v>266</v>
      </c>
      <c r="I16" s="97" t="str">
        <f>'SAF 011'!F14</f>
        <v>UNIDAD</v>
      </c>
      <c r="J16" s="98">
        <f>'SAF 011'!AT14</f>
        <v>7450</v>
      </c>
      <c r="K16" s="99">
        <f>'SAF 011'!U14</f>
        <v>5</v>
      </c>
      <c r="M16" s="127">
        <f t="shared" si="0"/>
        <v>37250</v>
      </c>
    </row>
    <row r="17" spans="1:13" ht="15.75" customHeight="1" x14ac:dyDescent="0.25">
      <c r="A17" s="94">
        <v>6</v>
      </c>
      <c r="B17" s="95"/>
      <c r="C17" s="272" t="str">
        <f>'SAF 011'!E15</f>
        <v>ALAMBRE DE ACERO D. 0,8 MM; DESCARTABLE: SI, PRESENTACION: ROLLO X 100 GR</v>
      </c>
      <c r="D17" s="273"/>
      <c r="E17" s="273"/>
      <c r="F17" s="273"/>
      <c r="G17" s="274"/>
      <c r="H17" s="96" t="s">
        <v>266</v>
      </c>
      <c r="I17" s="97" t="str">
        <f>'SAF 011'!F15</f>
        <v>UNIDAD</v>
      </c>
      <c r="J17" s="98">
        <f>'SAF 011'!AT15</f>
        <v>880</v>
      </c>
      <c r="K17" s="99">
        <f>'SAF 011'!U15</f>
        <v>5</v>
      </c>
      <c r="M17" s="127">
        <f t="shared" si="0"/>
        <v>4400</v>
      </c>
    </row>
    <row r="18" spans="1:13" ht="15.75" customHeight="1" x14ac:dyDescent="0.25">
      <c r="A18" s="94">
        <v>7</v>
      </c>
      <c r="B18" s="95"/>
      <c r="C18" s="272" t="str">
        <f>'SAF 011'!E16</f>
        <v>ALAMBRE DE ACERO D. 0,9 MM, DESCARTABLE: SI, PRESENTACION: ROLLO X 500 GR</v>
      </c>
      <c r="D18" s="273"/>
      <c r="E18" s="273"/>
      <c r="F18" s="273"/>
      <c r="G18" s="274"/>
      <c r="H18" s="96" t="s">
        <v>266</v>
      </c>
      <c r="I18" s="97" t="str">
        <f>'SAF 011'!F16</f>
        <v>UNIDAD</v>
      </c>
      <c r="J18" s="98">
        <f>'SAF 011'!AT16</f>
        <v>7450</v>
      </c>
      <c r="K18" s="99">
        <f>'SAF 011'!U16</f>
        <v>5</v>
      </c>
      <c r="M18" s="127">
        <f t="shared" si="0"/>
        <v>37250</v>
      </c>
    </row>
    <row r="19" spans="1:13" ht="15.75" customHeight="1" x14ac:dyDescent="0.25">
      <c r="A19" s="94">
        <v>8</v>
      </c>
      <c r="B19" s="95"/>
      <c r="C19" s="272" t="str">
        <f>'SAF 011'!E17</f>
        <v>ALAMBRE DE ACERO D.1 MM, DESCARTABLE: SI, PRESENTACION: ROLLO X 50 GR</v>
      </c>
      <c r="D19" s="273"/>
      <c r="E19" s="273"/>
      <c r="F19" s="273"/>
      <c r="G19" s="274"/>
      <c r="H19" s="96" t="s">
        <v>266</v>
      </c>
      <c r="I19" s="97" t="str">
        <f>'SAF 011'!F17</f>
        <v>UNIDAD</v>
      </c>
      <c r="J19" s="98">
        <f>'SAF 011'!AT17</f>
        <v>880</v>
      </c>
      <c r="K19" s="99">
        <f>'SAF 011'!U17</f>
        <v>1</v>
      </c>
      <c r="M19" s="127">
        <f t="shared" si="0"/>
        <v>880</v>
      </c>
    </row>
    <row r="20" spans="1:13" ht="15.75" customHeight="1" x14ac:dyDescent="0.25">
      <c r="A20" s="94">
        <v>9</v>
      </c>
      <c r="B20" s="95"/>
      <c r="C20" s="272" t="str">
        <f>'SAF 011'!E18</f>
        <v>ALGODONES; TIPO: ROLLO P/ODONTOLOGIA, PRESENTACION: ENVASE X 500 UN</v>
      </c>
      <c r="D20" s="273"/>
      <c r="E20" s="273"/>
      <c r="F20" s="273"/>
      <c r="G20" s="274"/>
      <c r="H20" s="96" t="s">
        <v>266</v>
      </c>
      <c r="I20" s="97" t="str">
        <f>'SAF 011'!F18</f>
        <v>BOLSA</v>
      </c>
      <c r="J20" s="98">
        <f>'SAF 011'!AT18</f>
        <v>655</v>
      </c>
      <c r="K20" s="99">
        <f>'SAF 011'!U18</f>
        <v>1000</v>
      </c>
      <c r="M20" s="127">
        <f t="shared" si="0"/>
        <v>655000</v>
      </c>
    </row>
    <row r="21" spans="1:13" ht="15.75" customHeight="1" x14ac:dyDescent="0.25">
      <c r="A21" s="94">
        <v>10</v>
      </c>
      <c r="B21" s="95"/>
      <c r="C21" s="272" t="str">
        <f>'SAF 011'!E19</f>
        <v>ALICATE UNIVERSAL, DESCARTABLE: NO, PRESENTACION: UNIDAD</v>
      </c>
      <c r="D21" s="273"/>
      <c r="E21" s="273"/>
      <c r="F21" s="273"/>
      <c r="G21" s="274"/>
      <c r="H21" s="96" t="s">
        <v>266</v>
      </c>
      <c r="I21" s="97" t="str">
        <f>'SAF 011'!F19</f>
        <v>UNIDAD</v>
      </c>
      <c r="J21" s="98">
        <f>'SAF 011'!AT19</f>
        <v>1450</v>
      </c>
      <c r="K21" s="99">
        <f>'SAF 011'!U19</f>
        <v>50</v>
      </c>
      <c r="M21" s="127">
        <f t="shared" si="0"/>
        <v>72500</v>
      </c>
    </row>
    <row r="22" spans="1:13" ht="27.75" customHeight="1" x14ac:dyDescent="0.25">
      <c r="A22" s="94">
        <v>11</v>
      </c>
      <c r="B22" s="95"/>
      <c r="C22" s="272" t="str">
        <f>'SAF 011'!E20</f>
        <v>ANESTESICOS LOCALES; TIPO: ANESTESIA ODONTOLOGICA, DROGA GENERICA: CLORHIDRATO DE CARTICAINA 4%, FORMA FARMACEUTICA: ANESTUBOS, PRESENTACION: ENVASE X 50 ANESTUBOS</v>
      </c>
      <c r="D22" s="273"/>
      <c r="E22" s="273"/>
      <c r="F22" s="273"/>
      <c r="G22" s="274"/>
      <c r="H22" s="96" t="s">
        <v>266</v>
      </c>
      <c r="I22" s="97" t="str">
        <f>'SAF 011'!F20</f>
        <v>CAJA</v>
      </c>
      <c r="J22" s="98">
        <f>'SAF 011'!AT20</f>
        <v>3360</v>
      </c>
      <c r="K22" s="99">
        <f>'SAF 011'!U20</f>
        <v>870</v>
      </c>
      <c r="M22" s="127">
        <f t="shared" si="0"/>
        <v>2923200</v>
      </c>
    </row>
    <row r="23" spans="1:13" ht="27.75" customHeight="1" x14ac:dyDescent="0.25">
      <c r="A23" s="94">
        <v>12</v>
      </c>
      <c r="B23" s="95"/>
      <c r="C23" s="272" t="str">
        <f>'SAF 011'!E21</f>
        <v>ANTISEPTICOS LOCALES P/PERSONA; TIPO: ANTISEPTICO, DROGA GENERICA: EUGENOL, FORMA FARMACEUTICA: LIQUIDO, PRESENTACION: FRASCO X 10 mL</v>
      </c>
      <c r="D23" s="273"/>
      <c r="E23" s="273"/>
      <c r="F23" s="273"/>
      <c r="G23" s="274"/>
      <c r="H23" s="96" t="s">
        <v>266</v>
      </c>
      <c r="I23" s="97" t="str">
        <f>'SAF 011'!F21</f>
        <v>UNIDAD</v>
      </c>
      <c r="J23" s="98">
        <f>'SAF 011'!AT21</f>
        <v>300</v>
      </c>
      <c r="K23" s="99">
        <f>'SAF 011'!U21</f>
        <v>10</v>
      </c>
      <c r="M23" s="127">
        <f t="shared" si="0"/>
        <v>3000</v>
      </c>
    </row>
    <row r="24" spans="1:13" ht="27.75" customHeight="1" x14ac:dyDescent="0.25">
      <c r="A24" s="94">
        <v>13</v>
      </c>
      <c r="B24" s="95"/>
      <c r="C24" s="272" t="str">
        <f>'SAF 011'!E22</f>
        <v>ANTISEPTICOS LOCALES P/PERSONA; TIPO: MONODROGA, DROGA GENERICA: IODOFORMO, FORMA FARMACEUTICA: POLVO, PRESENTACION: FRASCO X 20 GR</v>
      </c>
      <c r="D24" s="273"/>
      <c r="E24" s="273"/>
      <c r="F24" s="273"/>
      <c r="G24" s="274"/>
      <c r="H24" s="96" t="s">
        <v>266</v>
      </c>
      <c r="I24" s="97" t="str">
        <f>'SAF 011'!F22</f>
        <v>UNIDAD</v>
      </c>
      <c r="J24" s="98">
        <f>'SAF 011'!AT22</f>
        <v>1190</v>
      </c>
      <c r="K24" s="99">
        <f>'SAF 011'!U22</f>
        <v>10</v>
      </c>
      <c r="M24" s="127">
        <f t="shared" si="0"/>
        <v>11900</v>
      </c>
    </row>
    <row r="25" spans="1:13" ht="15.75" customHeight="1" x14ac:dyDescent="0.25">
      <c r="A25" s="94">
        <v>14</v>
      </c>
      <c r="B25" s="95"/>
      <c r="C25" s="272" t="str">
        <f>'SAF 011'!E23</f>
        <v>ATACADOR P/CONOS GUTA-PERCHA, PRESENTACION: UNIDAD, DESCARTABLE: NO</v>
      </c>
      <c r="D25" s="273"/>
      <c r="E25" s="273"/>
      <c r="F25" s="273"/>
      <c r="G25" s="274"/>
      <c r="H25" s="96" t="s">
        <v>266</v>
      </c>
      <c r="I25" s="97" t="str">
        <f>'SAF 011'!F23</f>
        <v>UNIDAD</v>
      </c>
      <c r="J25" s="98">
        <f>'SAF 011'!AT23</f>
        <v>299</v>
      </c>
      <c r="K25" s="99">
        <f>'SAF 011'!U23</f>
        <v>30</v>
      </c>
      <c r="M25" s="127">
        <f t="shared" si="0"/>
        <v>8970</v>
      </c>
    </row>
    <row r="26" spans="1:13" ht="16.5" customHeight="1" x14ac:dyDescent="0.25">
      <c r="A26" s="94">
        <v>15</v>
      </c>
      <c r="B26" s="95"/>
      <c r="C26" s="272" t="str">
        <f>'SAF 011'!E24</f>
        <v>BANDEJA METALICA PARA EL INSTRUMENTAL, DESCARTABLE: NO, PRESENTACION: UNIDAD</v>
      </c>
      <c r="D26" s="273"/>
      <c r="E26" s="273"/>
      <c r="F26" s="273"/>
      <c r="G26" s="274"/>
      <c r="H26" s="96" t="s">
        <v>266</v>
      </c>
      <c r="I26" s="97" t="str">
        <f>'SAF 011'!F24</f>
        <v>UNIDAD</v>
      </c>
      <c r="J26" s="98">
        <f>'SAF 011'!AT24</f>
        <v>420</v>
      </c>
      <c r="K26" s="99">
        <f>'SAF 011'!U24</f>
        <v>300</v>
      </c>
      <c r="M26" s="127">
        <f t="shared" si="0"/>
        <v>126000</v>
      </c>
    </row>
    <row r="27" spans="1:13" ht="16.5" customHeight="1" x14ac:dyDescent="0.25">
      <c r="A27" s="94">
        <v>16</v>
      </c>
      <c r="B27" s="95"/>
      <c r="C27" s="272" t="str">
        <f>'SAF 011'!E25</f>
        <v>BARRA ALTO BRILLO P/PULIR, DESCARTABLE: NO, PRESENTACION: UNIDAD</v>
      </c>
      <c r="D27" s="273"/>
      <c r="E27" s="273"/>
      <c r="F27" s="273"/>
      <c r="G27" s="274"/>
      <c r="H27" s="96" t="s">
        <v>266</v>
      </c>
      <c r="I27" s="97" t="str">
        <f>'SAF 011'!F25</f>
        <v>UNIDAD</v>
      </c>
      <c r="J27" s="98">
        <f>'SAF 011'!AT25</f>
        <v>299</v>
      </c>
      <c r="K27" s="99">
        <f>'SAF 011'!U25</f>
        <v>30</v>
      </c>
      <c r="M27" s="127">
        <f t="shared" si="0"/>
        <v>8970</v>
      </c>
    </row>
    <row r="28" spans="1:13" ht="16.5" customHeight="1" x14ac:dyDescent="0.25">
      <c r="A28" s="94">
        <v>17</v>
      </c>
      <c r="B28" s="95"/>
      <c r="C28" s="272" t="str">
        <f>'SAF 011'!E26</f>
        <v>BROCHITA P/ LIMPIEZA, DESCARTABLE: SI, PRESENTACION: UNIDAD</v>
      </c>
      <c r="D28" s="273"/>
      <c r="E28" s="273"/>
      <c r="F28" s="273"/>
      <c r="G28" s="274"/>
      <c r="H28" s="96" t="s">
        <v>266</v>
      </c>
      <c r="I28" s="97" t="str">
        <f>'SAF 011'!F26</f>
        <v>UNIDAD</v>
      </c>
      <c r="J28" s="98">
        <f>'SAF 011'!AT26</f>
        <v>62.24</v>
      </c>
      <c r="K28" s="99">
        <f>'SAF 011'!U26</f>
        <v>50</v>
      </c>
      <c r="M28" s="127">
        <f t="shared" si="0"/>
        <v>3112</v>
      </c>
    </row>
    <row r="29" spans="1:13" ht="16.5" customHeight="1" x14ac:dyDescent="0.25">
      <c r="A29" s="94">
        <v>18</v>
      </c>
      <c r="B29" s="95"/>
      <c r="C29" s="272" t="str">
        <f>'SAF 011'!E27</f>
        <v>CADENAS P/BABEROS; MATERIAL : 147 dBV/mPa , USO: ODONTOLOGIA, MATERIAL: METAL</v>
      </c>
      <c r="D29" s="273"/>
      <c r="E29" s="273"/>
      <c r="F29" s="273"/>
      <c r="G29" s="274"/>
      <c r="H29" s="96" t="s">
        <v>266</v>
      </c>
      <c r="I29" s="97" t="str">
        <f>'SAF 011'!F27</f>
        <v>UNIDAD</v>
      </c>
      <c r="J29" s="98">
        <f>'SAF 011'!AT27</f>
        <v>199</v>
      </c>
      <c r="K29" s="99">
        <f>'SAF 011'!U27</f>
        <v>200</v>
      </c>
      <c r="M29" s="127">
        <f t="shared" si="0"/>
        <v>39800</v>
      </c>
    </row>
    <row r="30" spans="1:13" ht="16.5" customHeight="1" x14ac:dyDescent="0.25">
      <c r="A30" s="94">
        <v>19</v>
      </c>
      <c r="B30" s="95"/>
      <c r="C30" s="272" t="str">
        <f>'SAF 011'!E28</f>
        <v>CEMENTOS QUIRURGICOS; TIPO: GROSSMAN, USO: ODONTOLOGIA, PRESENTACION: ENVASE X 20 GR</v>
      </c>
      <c r="D30" s="273"/>
      <c r="E30" s="273"/>
      <c r="F30" s="273"/>
      <c r="G30" s="274"/>
      <c r="H30" s="96" t="s">
        <v>266</v>
      </c>
      <c r="I30" s="97" t="str">
        <f>'SAF 011'!F28</f>
        <v>CAJA</v>
      </c>
      <c r="J30" s="98">
        <f>'SAF 011'!AT28</f>
        <v>440</v>
      </c>
      <c r="K30" s="99">
        <f>'SAF 011'!U28</f>
        <v>10</v>
      </c>
      <c r="M30" s="127">
        <f t="shared" si="0"/>
        <v>4400</v>
      </c>
    </row>
    <row r="31" spans="1:13" ht="16.5" customHeight="1" x14ac:dyDescent="0.25">
      <c r="A31" s="94">
        <v>20</v>
      </c>
      <c r="B31" s="95"/>
      <c r="C31" s="272" t="str">
        <f>'SAF 011'!E29</f>
        <v>CEMENTOS QUIRURGICOS; TIPO: HIDROXIDO DE CALCIO FRAGUABLE, USO: ODONTOLOGIA, PRESENTACION: AVIO 13 GRS/11 GRS HIDCAL</v>
      </c>
      <c r="D31" s="273"/>
      <c r="E31" s="273"/>
      <c r="F31" s="273"/>
      <c r="G31" s="274"/>
      <c r="H31" s="96" t="s">
        <v>266</v>
      </c>
      <c r="I31" s="97" t="str">
        <f>'SAF 011'!F29</f>
        <v>CAJA</v>
      </c>
      <c r="J31" s="98">
        <f>'SAF 011'!AT29</f>
        <v>2300</v>
      </c>
      <c r="K31" s="99">
        <f>'SAF 011'!U29</f>
        <v>10</v>
      </c>
      <c r="M31" s="127">
        <f t="shared" si="0"/>
        <v>23000</v>
      </c>
    </row>
    <row r="32" spans="1:13" ht="16.5" customHeight="1" x14ac:dyDescent="0.25">
      <c r="A32" s="94">
        <v>21</v>
      </c>
      <c r="B32" s="95"/>
      <c r="C32" s="272" t="str">
        <f>'SAF 011'!E30</f>
        <v>CEMENTOS QUIRURGICOS; TIPO: OXIDO DE ZINC Y EUGENOL REFORZ, USO: ODONTOLOGICO, PRESENTACION: AVIO 38 GRS/15 ML</v>
      </c>
      <c r="D32" s="273"/>
      <c r="E32" s="273"/>
      <c r="F32" s="273"/>
      <c r="G32" s="274"/>
      <c r="H32" s="96" t="s">
        <v>266</v>
      </c>
      <c r="I32" s="97" t="str">
        <f>'SAF 011'!F30</f>
        <v>CAJA</v>
      </c>
      <c r="J32" s="98">
        <f>'SAF 011'!AT30</f>
        <v>1850</v>
      </c>
      <c r="K32" s="99">
        <f>'SAF 011'!U30</f>
        <v>10</v>
      </c>
      <c r="M32" s="127">
        <f t="shared" si="0"/>
        <v>18500</v>
      </c>
    </row>
    <row r="33" spans="1:13" ht="16.5" customHeight="1" x14ac:dyDescent="0.25">
      <c r="A33" s="94">
        <v>22</v>
      </c>
      <c r="B33" s="95"/>
      <c r="C33" s="272" t="str">
        <f>'SAF 011'!E31</f>
        <v>CEPILLO LIMPIAFRESA, DESCARTABLE: NO, PRESENTACION: UNIDAD</v>
      </c>
      <c r="D33" s="273"/>
      <c r="E33" s="273"/>
      <c r="F33" s="273"/>
      <c r="G33" s="274"/>
      <c r="H33" s="96" t="s">
        <v>266</v>
      </c>
      <c r="I33" s="97" t="str">
        <f>'SAF 011'!F31</f>
        <v>UNIDAD</v>
      </c>
      <c r="J33" s="98">
        <f>'SAF 011'!AT31</f>
        <v>250</v>
      </c>
      <c r="K33" s="99">
        <f>'SAF 011'!U31</f>
        <v>20</v>
      </c>
      <c r="M33" s="127">
        <f t="shared" si="0"/>
        <v>5000</v>
      </c>
    </row>
    <row r="34" spans="1:13" ht="16.5" customHeight="1" x14ac:dyDescent="0.25">
      <c r="A34" s="94">
        <v>23</v>
      </c>
      <c r="B34" s="95"/>
      <c r="C34" s="272" t="str">
        <f>'SAF 011'!E32</f>
        <v>CERAS ROSAS P/ODONTOLOGIA; MATERIAL: UTILITY EN LAMINA, USO: ODONTOLOGICO, PRESENTACION: ENVASE X 1 Kg</v>
      </c>
      <c r="D34" s="273"/>
      <c r="E34" s="273"/>
      <c r="F34" s="273"/>
      <c r="G34" s="274"/>
      <c r="H34" s="96" t="s">
        <v>266</v>
      </c>
      <c r="I34" s="97" t="str">
        <f>'SAF 011'!F32</f>
        <v>CAJA</v>
      </c>
      <c r="J34" s="98">
        <f>'SAF 011'!AT32</f>
        <v>2450</v>
      </c>
      <c r="K34" s="99">
        <f>'SAF 011'!U32</f>
        <v>5</v>
      </c>
      <c r="M34" s="127">
        <f t="shared" si="0"/>
        <v>12250</v>
      </c>
    </row>
    <row r="35" spans="1:13" ht="32.25" customHeight="1" x14ac:dyDescent="0.25">
      <c r="A35" s="94">
        <v>24</v>
      </c>
      <c r="B35" s="95"/>
      <c r="C35" s="272" t="str">
        <f>'SAF 011'!E33</f>
        <v>COMPOSITE TIPO ULTRAFILL; COLOR: A2, POLIMERIZACION: FOTOPOLIMERIZACION, TAMAÑO PARTICULA: HIBRIDO, FORMA DE PRESENTACION: JERINGA, PRESENTACION: ENVASE X 4 GR</v>
      </c>
      <c r="D35" s="273"/>
      <c r="E35" s="273"/>
      <c r="F35" s="273"/>
      <c r="G35" s="274"/>
      <c r="H35" s="96" t="s">
        <v>266</v>
      </c>
      <c r="I35" s="97" t="str">
        <f>'SAF 011'!F33</f>
        <v>UNIDAD</v>
      </c>
      <c r="J35" s="98">
        <f>'SAF 011'!AT33</f>
        <v>1290</v>
      </c>
      <c r="K35" s="99">
        <f>'SAF 011'!U33</f>
        <v>50</v>
      </c>
      <c r="M35" s="127">
        <f t="shared" si="0"/>
        <v>64500</v>
      </c>
    </row>
    <row r="36" spans="1:13" ht="32.25" customHeight="1" x14ac:dyDescent="0.25">
      <c r="A36" s="94">
        <v>25</v>
      </c>
      <c r="B36" s="95"/>
      <c r="C36" s="272" t="str">
        <f>'SAF 011'!E34</f>
        <v>COMPOSITE TIPO ULTRAFILL; COLOR: A3, POLIMERIZACION: FOTOPOLIMERIZACION, TAMAÑO PARTICULA: HIBRIDO, FORMA DE PRESENTACION: JERINGA, PRESENTACION: ENVASE X 4 GR</v>
      </c>
      <c r="D36" s="273"/>
      <c r="E36" s="273"/>
      <c r="F36" s="273"/>
      <c r="G36" s="274"/>
      <c r="H36" s="96" t="s">
        <v>266</v>
      </c>
      <c r="I36" s="97" t="str">
        <f>'SAF 011'!F34</f>
        <v>UNIDAD</v>
      </c>
      <c r="J36" s="98">
        <f>'SAF 011'!AT34</f>
        <v>1290</v>
      </c>
      <c r="K36" s="99">
        <f>'SAF 011'!U34</f>
        <v>50</v>
      </c>
      <c r="M36" s="127">
        <f t="shared" si="0"/>
        <v>64500</v>
      </c>
    </row>
    <row r="37" spans="1:13" ht="32.25" customHeight="1" x14ac:dyDescent="0.25">
      <c r="A37" s="94">
        <v>26</v>
      </c>
      <c r="B37" s="95"/>
      <c r="C37" s="272" t="str">
        <f>'SAF 011'!E35</f>
        <v>COMPOSITE TIPO ULTRAFILL; COLOR: A3,5, POLIMERIZACION: FOTOPOLIMERIZACION, TAMAÑO PARTICULA: HIBRIDO, FORMA DE PRESENTACION: JERINGA, PRESENTACION: ENVASE X 4 GR</v>
      </c>
      <c r="D37" s="273"/>
      <c r="E37" s="273"/>
      <c r="F37" s="273"/>
      <c r="G37" s="274"/>
      <c r="H37" s="96" t="s">
        <v>266</v>
      </c>
      <c r="I37" s="97" t="str">
        <f>'SAF 011'!F35</f>
        <v>UNIDAD</v>
      </c>
      <c r="J37" s="98">
        <f>'SAF 011'!AT35</f>
        <v>1290</v>
      </c>
      <c r="K37" s="99">
        <f>'SAF 011'!U35</f>
        <v>10</v>
      </c>
      <c r="M37" s="127">
        <f t="shared" si="0"/>
        <v>12900</v>
      </c>
    </row>
    <row r="38" spans="1:13" ht="16.5" customHeight="1" x14ac:dyDescent="0.25">
      <c r="A38" s="94">
        <v>27</v>
      </c>
      <c r="B38" s="95"/>
      <c r="C38" s="272" t="str">
        <f>'SAF 011'!E36</f>
        <v>COMPRESA P/PLATINA AZUL, DESCARTABLE: SI, PRESENTACION: CAJA X 500 UN</v>
      </c>
      <c r="D38" s="273"/>
      <c r="E38" s="273"/>
      <c r="F38" s="273"/>
      <c r="G38" s="274"/>
      <c r="H38" s="96" t="s">
        <v>266</v>
      </c>
      <c r="I38" s="97" t="str">
        <f>'SAF 011'!F36</f>
        <v>CAJA</v>
      </c>
      <c r="J38" s="98">
        <f>'SAF 011'!AT36</f>
        <v>2925</v>
      </c>
      <c r="K38" s="99">
        <f>'SAF 011'!U36</f>
        <v>200</v>
      </c>
      <c r="M38" s="127">
        <f t="shared" si="0"/>
        <v>585000</v>
      </c>
    </row>
    <row r="39" spans="1:13" ht="16.5" customHeight="1" x14ac:dyDescent="0.25">
      <c r="A39" s="94">
        <v>28</v>
      </c>
      <c r="B39" s="95"/>
      <c r="C39" s="272" t="str">
        <f>'SAF 011'!E37</f>
        <v>CONO DE FIELTRO Nº 4, DESCARTABLE: SI, PRESENTACION: UNIDAD</v>
      </c>
      <c r="D39" s="273"/>
      <c r="E39" s="273"/>
      <c r="F39" s="273"/>
      <c r="G39" s="274"/>
      <c r="H39" s="96" t="s">
        <v>266</v>
      </c>
      <c r="I39" s="97" t="str">
        <f>'SAF 011'!F37</f>
        <v>UNIDAD</v>
      </c>
      <c r="J39" s="98">
        <f>'SAF 011'!AT37</f>
        <v>550</v>
      </c>
      <c r="K39" s="99">
        <f>'SAF 011'!U37</f>
        <v>10</v>
      </c>
      <c r="M39" s="127">
        <f t="shared" si="0"/>
        <v>5500</v>
      </c>
    </row>
    <row r="40" spans="1:13" ht="16.5" customHeight="1" x14ac:dyDescent="0.25">
      <c r="A40" s="94">
        <v>29</v>
      </c>
      <c r="B40" s="95"/>
      <c r="C40" s="272" t="str">
        <f>'SAF 011'!E38</f>
        <v>CONO GUTAPERCHA 1ªSERIE, DESCARTABLE: SI, PRESENTACION: CAJA X 100</v>
      </c>
      <c r="D40" s="273"/>
      <c r="E40" s="273"/>
      <c r="F40" s="273"/>
      <c r="G40" s="274"/>
      <c r="H40" s="96" t="s">
        <v>266</v>
      </c>
      <c r="I40" s="97" t="str">
        <f>'SAF 011'!F38</f>
        <v>CAJA</v>
      </c>
      <c r="J40" s="98">
        <f>'SAF 011'!AT38</f>
        <v>730</v>
      </c>
      <c r="K40" s="99">
        <f>'SAF 011'!U38</f>
        <v>30</v>
      </c>
      <c r="M40" s="127">
        <f t="shared" si="0"/>
        <v>21900</v>
      </c>
    </row>
    <row r="41" spans="1:13" ht="16.5" customHeight="1" x14ac:dyDescent="0.25">
      <c r="A41" s="94">
        <v>30</v>
      </c>
      <c r="B41" s="95"/>
      <c r="C41" s="272" t="str">
        <f>'SAF 011'!E39</f>
        <v>CONO GUTAPERCHA 2ªSERIE, DESCARTABLE: SI, PRESENTACION: CAJA X 100</v>
      </c>
      <c r="D41" s="273"/>
      <c r="E41" s="273"/>
      <c r="F41" s="273"/>
      <c r="G41" s="274"/>
      <c r="H41" s="96" t="s">
        <v>266</v>
      </c>
      <c r="I41" s="97" t="str">
        <f>'SAF 011'!F39</f>
        <v>CAJA</v>
      </c>
      <c r="J41" s="98">
        <f>'SAF 011'!AT39</f>
        <v>730</v>
      </c>
      <c r="K41" s="99">
        <f>'SAF 011'!U39</f>
        <v>30</v>
      </c>
      <c r="M41" s="127">
        <f t="shared" si="0"/>
        <v>21900</v>
      </c>
    </row>
    <row r="42" spans="1:13" ht="16.5" customHeight="1" x14ac:dyDescent="0.25">
      <c r="A42" s="94">
        <v>31</v>
      </c>
      <c r="B42" s="95"/>
      <c r="C42" s="272" t="str">
        <f>'SAF 011'!E40</f>
        <v>CUCHARITAS DE BLACK DOBLES, DESCARTABLE: NO, PRESENTACION: UNIDAD</v>
      </c>
      <c r="D42" s="273"/>
      <c r="E42" s="273"/>
      <c r="F42" s="273"/>
      <c r="G42" s="274"/>
      <c r="H42" s="96" t="s">
        <v>266</v>
      </c>
      <c r="I42" s="97" t="str">
        <f>'SAF 011'!F40</f>
        <v>UNIDAD</v>
      </c>
      <c r="J42" s="98">
        <f>'SAF 011'!AT40</f>
        <v>298.5</v>
      </c>
      <c r="K42" s="99">
        <f>'SAF 011'!U40</f>
        <v>100</v>
      </c>
      <c r="M42" s="127">
        <f t="shared" si="0"/>
        <v>29850</v>
      </c>
    </row>
    <row r="43" spans="1:13" ht="16.5" customHeight="1" x14ac:dyDescent="0.25">
      <c r="A43" s="94">
        <v>32</v>
      </c>
      <c r="B43" s="95"/>
      <c r="C43" s="272" t="str">
        <f>'SAF 011'!E41</f>
        <v>CURETA DE GRACEY, DESCARTABLE: NO, PRESENTACION: UNIDAD</v>
      </c>
      <c r="D43" s="273"/>
      <c r="E43" s="273"/>
      <c r="F43" s="273"/>
      <c r="G43" s="274"/>
      <c r="H43" s="96" t="s">
        <v>266</v>
      </c>
      <c r="I43" s="97" t="str">
        <f>'SAF 011'!F41</f>
        <v>UNIDAD</v>
      </c>
      <c r="J43" s="98">
        <f>'SAF 011'!AT41</f>
        <v>1750</v>
      </c>
      <c r="K43" s="99">
        <f>'SAF 011'!U41</f>
        <v>100</v>
      </c>
      <c r="M43" s="127">
        <f t="shared" si="0"/>
        <v>175000</v>
      </c>
    </row>
    <row r="44" spans="1:13" ht="16.5" customHeight="1" x14ac:dyDescent="0.25">
      <c r="A44" s="94">
        <v>33</v>
      </c>
      <c r="B44" s="95"/>
      <c r="C44" s="272" t="str">
        <f>'SAF 011'!E42</f>
        <v>DISCO P/ PULIR, DESCARTABLE: NO, PRESENTACION: UNIDAD</v>
      </c>
      <c r="D44" s="273"/>
      <c r="E44" s="273"/>
      <c r="F44" s="273"/>
      <c r="G44" s="274"/>
      <c r="H44" s="96" t="s">
        <v>266</v>
      </c>
      <c r="I44" s="97" t="str">
        <f>'SAF 011'!F42</f>
        <v>UNIDAD</v>
      </c>
      <c r="J44" s="98">
        <f>'SAF 011'!AT42</f>
        <v>200</v>
      </c>
      <c r="K44" s="99">
        <f>'SAF 011'!U42</f>
        <v>50</v>
      </c>
      <c r="M44" s="127">
        <f t="shared" si="0"/>
        <v>10000</v>
      </c>
    </row>
    <row r="45" spans="1:13" ht="16.5" customHeight="1" x14ac:dyDescent="0.25">
      <c r="A45" s="94">
        <v>34</v>
      </c>
      <c r="B45" s="95"/>
      <c r="C45" s="272" t="str">
        <f>'SAF 011'!E43</f>
        <v>DISCO P/PULIR COMPOSITE, DESCARTABLE: NO, PRESENTACION: ENVASE X 50 UN</v>
      </c>
      <c r="D45" s="273"/>
      <c r="E45" s="273"/>
      <c r="F45" s="273"/>
      <c r="G45" s="274"/>
      <c r="H45" s="96" t="s">
        <v>266</v>
      </c>
      <c r="I45" s="97" t="str">
        <f>'SAF 011'!F43</f>
        <v>CAJA</v>
      </c>
      <c r="J45" s="98">
        <f>'SAF 011'!AT43</f>
        <v>9950</v>
      </c>
      <c r="K45" s="99">
        <f>'SAF 011'!U43</f>
        <v>20</v>
      </c>
      <c r="M45" s="127">
        <f t="shared" si="0"/>
        <v>199000</v>
      </c>
    </row>
    <row r="46" spans="1:13" ht="16.5" customHeight="1" x14ac:dyDescent="0.25">
      <c r="A46" s="94">
        <v>35</v>
      </c>
      <c r="B46" s="95"/>
      <c r="C46" s="272" t="str">
        <f>'SAF 011'!E44</f>
        <v>ESPACIADOR P/CONOS GUTA-PERCHA, DESCARTABLE: NO, PRESENTACION: CAJA X 6</v>
      </c>
      <c r="D46" s="273"/>
      <c r="E46" s="273"/>
      <c r="F46" s="273"/>
      <c r="G46" s="274"/>
      <c r="H46" s="96" t="s">
        <v>266</v>
      </c>
      <c r="I46" s="97" t="str">
        <f>'SAF 011'!F44</f>
        <v>CAJA</v>
      </c>
      <c r="J46" s="98">
        <f>'SAF 011'!AT44</f>
        <v>1390</v>
      </c>
      <c r="K46" s="99">
        <f>'SAF 011'!U44</f>
        <v>50</v>
      </c>
      <c r="M46" s="127">
        <f t="shared" si="0"/>
        <v>69500</v>
      </c>
    </row>
    <row r="47" spans="1:13" ht="16.5" customHeight="1" x14ac:dyDescent="0.25">
      <c r="A47" s="94">
        <v>36</v>
      </c>
      <c r="B47" s="95"/>
      <c r="C47" s="272" t="str">
        <f>'SAF 011'!E45</f>
        <v>ESPATULA P/CEMENTO DOBLE, DESCARTABLE: NO, PRESENTACION: UNIDAD</v>
      </c>
      <c r="D47" s="273"/>
      <c r="E47" s="273"/>
      <c r="F47" s="273"/>
      <c r="G47" s="274"/>
      <c r="H47" s="96" t="s">
        <v>266</v>
      </c>
      <c r="I47" s="97" t="str">
        <f>'SAF 011'!F45</f>
        <v>UNIDAD</v>
      </c>
      <c r="J47" s="98">
        <f>'SAF 011'!AT45</f>
        <v>299</v>
      </c>
      <c r="K47" s="99">
        <f>'SAF 011'!U45</f>
        <v>150</v>
      </c>
      <c r="M47" s="127">
        <f t="shared" si="0"/>
        <v>44850</v>
      </c>
    </row>
    <row r="48" spans="1:13" ht="16.5" customHeight="1" x14ac:dyDescent="0.25">
      <c r="A48" s="94">
        <v>37</v>
      </c>
      <c r="B48" s="95"/>
      <c r="C48" s="272" t="str">
        <f>'SAF 011'!E46</f>
        <v>ESPATULA PARA GUTTA, DESCARTABLE: NO, PRESENTACION: UNIDAD</v>
      </c>
      <c r="D48" s="273"/>
      <c r="E48" s="273"/>
      <c r="F48" s="273"/>
      <c r="G48" s="274"/>
      <c r="H48" s="96" t="s">
        <v>266</v>
      </c>
      <c r="I48" s="97" t="str">
        <f>'SAF 011'!F46</f>
        <v>UNIDAD</v>
      </c>
      <c r="J48" s="98">
        <f>'SAF 011'!AT46</f>
        <v>299</v>
      </c>
      <c r="K48" s="99">
        <f>'SAF 011'!U46</f>
        <v>50</v>
      </c>
      <c r="M48" s="127">
        <f t="shared" si="0"/>
        <v>14950</v>
      </c>
    </row>
    <row r="49" spans="1:13" ht="16.5" customHeight="1" x14ac:dyDescent="0.25">
      <c r="A49" s="94">
        <v>38</v>
      </c>
      <c r="B49" s="95"/>
      <c r="C49" s="272" t="str">
        <f>'SAF 011'!E47</f>
        <v>ESPEJOS BUCALES; PRESENTACION: ENVASE X 12 UN</v>
      </c>
      <c r="D49" s="273"/>
      <c r="E49" s="273"/>
      <c r="F49" s="273"/>
      <c r="G49" s="274"/>
      <c r="H49" s="96" t="s">
        <v>266</v>
      </c>
      <c r="I49" s="97" t="str">
        <f>'SAF 011'!F47</f>
        <v>CAJA</v>
      </c>
      <c r="J49" s="98">
        <f>'SAF 011'!AT47</f>
        <v>1600</v>
      </c>
      <c r="K49" s="99">
        <f>'SAF 011'!U47</f>
        <v>10</v>
      </c>
      <c r="M49" s="127">
        <f t="shared" si="0"/>
        <v>16000</v>
      </c>
    </row>
    <row r="50" spans="1:13" ht="28.5" customHeight="1" x14ac:dyDescent="0.25">
      <c r="A50" s="94">
        <v>39</v>
      </c>
      <c r="B50" s="95"/>
      <c r="C50" s="272" t="str">
        <f>'SAF 011'!E48</f>
        <v>ESPONJAS; MATERIAL: POLIESTER, USO: ODONTOLOGICO, ADITAMENTO: CON, FORMA: REDONDA, LARGO X ANCHO X ESP: DIAMETRO 4 Cm, PRESENTACION: UNIDAD</v>
      </c>
      <c r="D50" s="273"/>
      <c r="E50" s="273"/>
      <c r="F50" s="273"/>
      <c r="G50" s="274"/>
      <c r="H50" s="96" t="s">
        <v>266</v>
      </c>
      <c r="I50" s="97" t="str">
        <f>'SAF 011'!F48</f>
        <v>UNIDAD</v>
      </c>
      <c r="J50" s="98">
        <f>'SAF 011'!AT48</f>
        <v>26</v>
      </c>
      <c r="K50" s="99">
        <f>'SAF 011'!U48</f>
        <v>50</v>
      </c>
      <c r="M50" s="127">
        <f t="shared" si="0"/>
        <v>1300</v>
      </c>
    </row>
    <row r="51" spans="1:13" ht="16.5" customHeight="1" x14ac:dyDescent="0.25">
      <c r="A51" s="94">
        <v>40</v>
      </c>
      <c r="B51" s="95"/>
      <c r="C51" s="272" t="str">
        <f>'SAF 011'!E49</f>
        <v>EXPLORADOR CURVO P/EXAMEN BUCA; DESCARTABLE: NO, PRESENTACION: UNIDAD</v>
      </c>
      <c r="D51" s="273"/>
      <c r="E51" s="273"/>
      <c r="F51" s="273"/>
      <c r="G51" s="274"/>
      <c r="H51" s="96" t="s">
        <v>266</v>
      </c>
      <c r="I51" s="97" t="str">
        <f>'SAF 011'!F49</f>
        <v>UNIDAD</v>
      </c>
      <c r="J51" s="98">
        <f>'SAF 011'!AT49</f>
        <v>202.5</v>
      </c>
      <c r="K51" s="99">
        <f>'SAF 011'!U49</f>
        <v>100</v>
      </c>
      <c r="M51" s="127">
        <f t="shared" si="0"/>
        <v>20250</v>
      </c>
    </row>
    <row r="52" spans="1:13" ht="33" customHeight="1" x14ac:dyDescent="0.25">
      <c r="A52" s="94">
        <v>41</v>
      </c>
      <c r="B52" s="95"/>
      <c r="C52" s="272" t="str">
        <f>'SAF 011'!E50</f>
        <v>FIJADORES P/RADIOLOGIA; SENSIBILIDAD: AL VERDE, PROCESO: MANUAL, PROCESO DE UTILIZACION: MANUAL, PRESENTACION: BOTELLA, CAPACIDAD: 480 mL</v>
      </c>
      <c r="D52" s="273"/>
      <c r="E52" s="273"/>
      <c r="F52" s="273"/>
      <c r="G52" s="274"/>
      <c r="H52" s="96" t="s">
        <v>266</v>
      </c>
      <c r="I52" s="97" t="str">
        <f>'SAF 011'!F50</f>
        <v>BOTELLA</v>
      </c>
      <c r="J52" s="98">
        <f>'SAF 011'!AT50</f>
        <v>540</v>
      </c>
      <c r="K52" s="99">
        <f>'SAF 011'!U50</f>
        <v>100</v>
      </c>
      <c r="M52" s="127">
        <f t="shared" si="0"/>
        <v>54000</v>
      </c>
    </row>
    <row r="53" spans="1:13" ht="26.25" customHeight="1" x14ac:dyDescent="0.25">
      <c r="A53" s="94">
        <v>42</v>
      </c>
      <c r="B53" s="95"/>
      <c r="C53" s="272" t="str">
        <f>'SAF 011'!E51</f>
        <v>FRESAS P/ODONTOLOGIA; MATERIAL: ACERO INOXIDABLE, Nº: 6991, LARGO: CHICA, TIPO: TRONCOCONICA, NUMERO: 6991</v>
      </c>
      <c r="D53" s="273"/>
      <c r="E53" s="273"/>
      <c r="F53" s="273"/>
      <c r="G53" s="274"/>
      <c r="H53" s="96" t="s">
        <v>266</v>
      </c>
      <c r="I53" s="97" t="str">
        <f>'SAF 011'!F51</f>
        <v>UNIDAD</v>
      </c>
      <c r="J53" s="98">
        <f>'SAF 011'!AT51</f>
        <v>234.48</v>
      </c>
      <c r="K53" s="99">
        <f>'SAF 011'!U51</f>
        <v>20</v>
      </c>
      <c r="M53" s="127">
        <f t="shared" si="0"/>
        <v>4689.5999999999995</v>
      </c>
    </row>
    <row r="54" spans="1:13" ht="26.25" customHeight="1" x14ac:dyDescent="0.25">
      <c r="A54" s="94">
        <v>43</v>
      </c>
      <c r="B54" s="95"/>
      <c r="C54" s="272" t="str">
        <f>'SAF 011'!E52</f>
        <v>FRESAS P/ODONTOLOGIA; MATERIAL: ACERO INOXIDABLE, Nº: 701L, LARGO: MEDIANA, TIPO: TRONCOCONICA, NUMERO: 701L</v>
      </c>
      <c r="D54" s="273"/>
      <c r="E54" s="273"/>
      <c r="F54" s="273"/>
      <c r="G54" s="274"/>
      <c r="H54" s="96" t="s">
        <v>266</v>
      </c>
      <c r="I54" s="97" t="str">
        <f>'SAF 011'!F52</f>
        <v>UNIDAD</v>
      </c>
      <c r="J54" s="98">
        <f>'SAF 011'!AT52</f>
        <v>234.48</v>
      </c>
      <c r="K54" s="99">
        <f>'SAF 011'!U52</f>
        <v>20</v>
      </c>
      <c r="M54" s="127">
        <f t="shared" si="0"/>
        <v>4689.5999999999995</v>
      </c>
    </row>
    <row r="55" spans="1:13" ht="26.25" customHeight="1" x14ac:dyDescent="0.25">
      <c r="A55" s="94">
        <v>44</v>
      </c>
      <c r="B55" s="95"/>
      <c r="C55" s="272" t="str">
        <f>'SAF 011'!E53</f>
        <v>FRESAS P/ODONTOLOGIA; MATERIAL: ACERO INOXIDABLE, Nº: 703, LARGO: GRANDE, TIPO: TRONCOCONICA, NUMERO: 703</v>
      </c>
      <c r="D55" s="273"/>
      <c r="E55" s="273"/>
      <c r="F55" s="273"/>
      <c r="G55" s="274"/>
      <c r="H55" s="96" t="s">
        <v>266</v>
      </c>
      <c r="I55" s="97" t="str">
        <f>'SAF 011'!F53</f>
        <v>UNIDAD</v>
      </c>
      <c r="J55" s="98">
        <f>'SAF 011'!AT53</f>
        <v>450</v>
      </c>
      <c r="K55" s="99">
        <f>'SAF 011'!U53</f>
        <v>20</v>
      </c>
      <c r="M55" s="127">
        <f t="shared" si="0"/>
        <v>9000</v>
      </c>
    </row>
    <row r="56" spans="1:13" ht="26.25" customHeight="1" x14ac:dyDescent="0.25">
      <c r="A56" s="94">
        <v>45</v>
      </c>
      <c r="B56" s="95"/>
      <c r="C56" s="272" t="str">
        <f>'SAF 011'!E54</f>
        <v>FRESAS P/ODONTOLOGIA; MATERIAL: ACERO INOXIDABLE, NUMERO: 1, LARGO: 32 mm, TIPO: GATES</v>
      </c>
      <c r="D56" s="273"/>
      <c r="E56" s="273"/>
      <c r="F56" s="273"/>
      <c r="G56" s="274"/>
      <c r="H56" s="96" t="s">
        <v>266</v>
      </c>
      <c r="I56" s="97" t="str">
        <f>'SAF 011'!F54</f>
        <v>UNIDAD</v>
      </c>
      <c r="J56" s="98">
        <f>'SAF 011'!AT54</f>
        <v>373.2</v>
      </c>
      <c r="K56" s="99">
        <f>'SAF 011'!U54</f>
        <v>20</v>
      </c>
      <c r="M56" s="127">
        <f t="shared" si="0"/>
        <v>7464</v>
      </c>
    </row>
    <row r="57" spans="1:13" ht="26.25" customHeight="1" x14ac:dyDescent="0.25">
      <c r="A57" s="94">
        <v>46</v>
      </c>
      <c r="B57" s="95"/>
      <c r="C57" s="272" t="str">
        <f>'SAF 011'!E55</f>
        <v>FRESAS P/ODONTOLOGIA; MATERIAL: ACERO INOXIDABLE, NUMERO: 1, LARGO: 32 mm, TIPO: PEESO</v>
      </c>
      <c r="D57" s="273"/>
      <c r="E57" s="273"/>
      <c r="F57" s="273"/>
      <c r="G57" s="274"/>
      <c r="H57" s="96" t="s">
        <v>266</v>
      </c>
      <c r="I57" s="97" t="str">
        <f>'SAF 011'!F55</f>
        <v>UNIDAD</v>
      </c>
      <c r="J57" s="98">
        <f>'SAF 011'!AT55</f>
        <v>373.2</v>
      </c>
      <c r="K57" s="99">
        <f>'SAF 011'!U55</f>
        <v>20</v>
      </c>
      <c r="M57" s="127">
        <f t="shared" si="0"/>
        <v>7464</v>
      </c>
    </row>
    <row r="58" spans="1:13" ht="26.25" customHeight="1" x14ac:dyDescent="0.25">
      <c r="A58" s="94">
        <v>47</v>
      </c>
      <c r="B58" s="95"/>
      <c r="C58" s="272" t="str">
        <f>'SAF 011'!E56</f>
        <v>FRESAS P/ODONTOLOGIA; MATERIAL: ACERO INOXIDABLE, NUMERO: 2, LARGO: 32 mm, TIPO: GATES</v>
      </c>
      <c r="D58" s="273"/>
      <c r="E58" s="273"/>
      <c r="F58" s="273"/>
      <c r="G58" s="274"/>
      <c r="H58" s="96" t="s">
        <v>266</v>
      </c>
      <c r="I58" s="97" t="str">
        <f>'SAF 011'!F56</f>
        <v>UNIDAD</v>
      </c>
      <c r="J58" s="98">
        <f>'SAF 011'!AT56</f>
        <v>373.2</v>
      </c>
      <c r="K58" s="99">
        <f>'SAF 011'!U56</f>
        <v>20</v>
      </c>
      <c r="M58" s="127">
        <f t="shared" si="0"/>
        <v>7464</v>
      </c>
    </row>
    <row r="59" spans="1:13" ht="26.25" customHeight="1" x14ac:dyDescent="0.25">
      <c r="A59" s="94">
        <v>48</v>
      </c>
      <c r="B59" s="95"/>
      <c r="C59" s="272" t="str">
        <f>'SAF 011'!E57</f>
        <v>FRESAS P/ODONTOLOGIA; MATERIAL: ACERO INOXIDABLE, NUMERO: 2, LARGO: 32 mm, TIPO: PEESO</v>
      </c>
      <c r="D59" s="273"/>
      <c r="E59" s="273"/>
      <c r="F59" s="273"/>
      <c r="G59" s="274"/>
      <c r="H59" s="96" t="s">
        <v>266</v>
      </c>
      <c r="I59" s="97" t="str">
        <f>'SAF 011'!F57</f>
        <v>UNIDAD</v>
      </c>
      <c r="J59" s="98">
        <f>'SAF 011'!AT57</f>
        <v>373.2</v>
      </c>
      <c r="K59" s="99">
        <f>'SAF 011'!U57</f>
        <v>20</v>
      </c>
      <c r="M59" s="127">
        <f t="shared" si="0"/>
        <v>7464</v>
      </c>
    </row>
    <row r="60" spans="1:13" ht="26.25" customHeight="1" x14ac:dyDescent="0.25">
      <c r="A60" s="94">
        <v>49</v>
      </c>
      <c r="B60" s="95"/>
      <c r="C60" s="272" t="str">
        <f>'SAF 011'!E58</f>
        <v>FRESAS P/ODONTOLOGIA; MATERIAL: ACERO INOXIDABLE, NUMERO: 3, LARGO: 32 mm, TIPO: GATES</v>
      </c>
      <c r="D60" s="273"/>
      <c r="E60" s="273"/>
      <c r="F60" s="273"/>
      <c r="G60" s="274"/>
      <c r="H60" s="96" t="s">
        <v>266</v>
      </c>
      <c r="I60" s="97" t="str">
        <f>'SAF 011'!F58</f>
        <v>UNIDAD</v>
      </c>
      <c r="J60" s="98">
        <f>'SAF 011'!AT58</f>
        <v>373.2</v>
      </c>
      <c r="K60" s="99">
        <f>'SAF 011'!U58</f>
        <v>20</v>
      </c>
      <c r="M60" s="127">
        <f t="shared" si="0"/>
        <v>7464</v>
      </c>
    </row>
    <row r="61" spans="1:13" ht="26.25" customHeight="1" x14ac:dyDescent="0.25">
      <c r="A61" s="94">
        <v>50</v>
      </c>
      <c r="B61" s="95"/>
      <c r="C61" s="272" t="str">
        <f>'SAF 011'!E59</f>
        <v>FRESAS P/ODONTOLOGIA; MATERIAL: ACERO INOXIDABLE, NUMERO: 3, LARGO: 32 mm, TIPO: PEESO</v>
      </c>
      <c r="D61" s="273"/>
      <c r="E61" s="273"/>
      <c r="F61" s="273"/>
      <c r="G61" s="274"/>
      <c r="H61" s="96" t="s">
        <v>266</v>
      </c>
      <c r="I61" s="97" t="str">
        <f>'SAF 011'!F59</f>
        <v>UNIDAD</v>
      </c>
      <c r="J61" s="98">
        <f>'SAF 011'!AT59</f>
        <v>373.2</v>
      </c>
      <c r="K61" s="99">
        <f>'SAF 011'!U59</f>
        <v>20</v>
      </c>
      <c r="M61" s="127">
        <f t="shared" si="0"/>
        <v>7464</v>
      </c>
    </row>
    <row r="62" spans="1:13" ht="26.25" customHeight="1" x14ac:dyDescent="0.25">
      <c r="A62" s="94">
        <v>51</v>
      </c>
      <c r="B62" s="95"/>
      <c r="C62" s="272" t="str">
        <f>'SAF 011'!E60</f>
        <v>FRESAS P/ODONTOLOGIA; MATERIAL: ACERO INOXIDABLE, NUMERO: 4, LARGO: 22 mm, TIPO: CIRUGIA P/EXTRACCIONES</v>
      </c>
      <c r="D62" s="273"/>
      <c r="E62" s="273"/>
      <c r="F62" s="273"/>
      <c r="G62" s="274"/>
      <c r="H62" s="96" t="s">
        <v>266</v>
      </c>
      <c r="I62" s="97" t="str">
        <f>'SAF 011'!F60</f>
        <v>UNIDAD</v>
      </c>
      <c r="J62" s="98">
        <f>'SAF 011'!AT60</f>
        <v>425.85</v>
      </c>
      <c r="K62" s="99">
        <f>'SAF 011'!U60</f>
        <v>20</v>
      </c>
      <c r="M62" s="127">
        <f t="shared" si="0"/>
        <v>8517</v>
      </c>
    </row>
    <row r="63" spans="1:13" ht="26.25" customHeight="1" x14ac:dyDescent="0.25">
      <c r="A63" s="94">
        <v>52</v>
      </c>
      <c r="B63" s="95"/>
      <c r="C63" s="272" t="str">
        <f>'SAF 011'!E61</f>
        <v>FRESAS P/ODONTOLOGIA; MATERIAL: ACERO INOXIDABLE, NUMERO: 4, LARGO: 32 mm, TIPO: GATES</v>
      </c>
      <c r="D63" s="273"/>
      <c r="E63" s="273"/>
      <c r="F63" s="273"/>
      <c r="G63" s="274"/>
      <c r="H63" s="96" t="s">
        <v>266</v>
      </c>
      <c r="I63" s="97" t="str">
        <f>'SAF 011'!F61</f>
        <v>UNIDAD</v>
      </c>
      <c r="J63" s="98">
        <f>'SAF 011'!AT61</f>
        <v>373.2</v>
      </c>
      <c r="K63" s="99">
        <f>'SAF 011'!U61</f>
        <v>20</v>
      </c>
      <c r="M63" s="127">
        <f t="shared" si="0"/>
        <v>7464</v>
      </c>
    </row>
    <row r="64" spans="1:13" ht="26.25" customHeight="1" x14ac:dyDescent="0.25">
      <c r="A64" s="94">
        <v>53</v>
      </c>
      <c r="B64" s="95"/>
      <c r="C64" s="272" t="str">
        <f>'SAF 011'!E62</f>
        <v>FRESAS P/ODONTOLOGIA; MATERIAL: ACERO INOXIDABLE, NUMERO: 6, LARGO: 25 mm, TIPO: CIRUGIA FG MD</v>
      </c>
      <c r="D64" s="273"/>
      <c r="E64" s="273"/>
      <c r="F64" s="273"/>
      <c r="G64" s="274"/>
      <c r="H64" s="96" t="s">
        <v>266</v>
      </c>
      <c r="I64" s="97" t="str">
        <f>'SAF 011'!F62</f>
        <v>UNIDAD</v>
      </c>
      <c r="J64" s="98">
        <f>'SAF 011'!AT62</f>
        <v>425.85</v>
      </c>
      <c r="K64" s="99">
        <f>'SAF 011'!U62</f>
        <v>20</v>
      </c>
      <c r="M64" s="127">
        <f t="shared" si="0"/>
        <v>8517</v>
      </c>
    </row>
    <row r="65" spans="1:13" ht="26.25" customHeight="1" x14ac:dyDescent="0.25">
      <c r="A65" s="94">
        <v>54</v>
      </c>
      <c r="B65" s="95"/>
      <c r="C65" s="272" t="str">
        <f>'SAF 011'!E63</f>
        <v>FRESAS P/ODONTOLOGIA; MATERIAL: ACERO INOXIDABLE, NUMERO: SIN, LARGO: LARGA, TIPO: PIMPOLLA P/TURBINA</v>
      </c>
      <c r="D65" s="273"/>
      <c r="E65" s="273"/>
      <c r="F65" s="273"/>
      <c r="G65" s="274"/>
      <c r="H65" s="96" t="s">
        <v>266</v>
      </c>
      <c r="I65" s="97" t="str">
        <f>'SAF 011'!F63</f>
        <v>UNIDAD</v>
      </c>
      <c r="J65" s="98">
        <f>'SAF 011'!AT63</f>
        <v>567.02</v>
      </c>
      <c r="K65" s="99">
        <f>'SAF 011'!U63</f>
        <v>20</v>
      </c>
      <c r="M65" s="127">
        <f t="shared" si="0"/>
        <v>11340.4</v>
      </c>
    </row>
    <row r="66" spans="1:13" ht="26.25" customHeight="1" x14ac:dyDescent="0.25">
      <c r="A66" s="94">
        <v>55</v>
      </c>
      <c r="B66" s="95"/>
      <c r="C66" s="272" t="str">
        <f>'SAF 011'!E64</f>
        <v>FRESAS P/ODONTOLOGIA; MATERIAL: CARBURO DE TUNGSTENO, NUMERO: 1, LARGO: STANDAR, TIPO: REDONDA CONTRAANGULO</v>
      </c>
      <c r="D66" s="273"/>
      <c r="E66" s="273"/>
      <c r="F66" s="273"/>
      <c r="G66" s="274"/>
      <c r="H66" s="96" t="s">
        <v>266</v>
      </c>
      <c r="I66" s="97" t="str">
        <f>'SAF 011'!F64</f>
        <v>UNIDAD</v>
      </c>
      <c r="J66" s="98">
        <f>'SAF 011'!AT64</f>
        <v>234.48</v>
      </c>
      <c r="K66" s="99">
        <f>'SAF 011'!U64</f>
        <v>20</v>
      </c>
      <c r="M66" s="127">
        <f t="shared" si="0"/>
        <v>4689.5999999999995</v>
      </c>
    </row>
    <row r="67" spans="1:13" ht="26.25" customHeight="1" x14ac:dyDescent="0.25">
      <c r="A67" s="94">
        <v>56</v>
      </c>
      <c r="B67" s="95"/>
      <c r="C67" s="272" t="str">
        <f>'SAF 011'!E65</f>
        <v>FRESAS P/ODONTOLOGIA; MATERIAL: CARBURO DE TUNGSTENO, NUMERO: 2, LARGO: STANDAR, TIPO: REDONDA CONTRAANGULO</v>
      </c>
      <c r="D67" s="273"/>
      <c r="E67" s="273"/>
      <c r="F67" s="273"/>
      <c r="G67" s="274"/>
      <c r="H67" s="96" t="s">
        <v>266</v>
      </c>
      <c r="I67" s="97" t="str">
        <f>'SAF 011'!F65</f>
        <v>UNIDAD</v>
      </c>
      <c r="J67" s="98">
        <f>'SAF 011'!AT65</f>
        <v>234.48</v>
      </c>
      <c r="K67" s="99">
        <f>'SAF 011'!U65</f>
        <v>20</v>
      </c>
      <c r="M67" s="127">
        <f t="shared" si="0"/>
        <v>4689.5999999999995</v>
      </c>
    </row>
    <row r="68" spans="1:13" ht="26.25" customHeight="1" x14ac:dyDescent="0.25">
      <c r="A68" s="94">
        <v>57</v>
      </c>
      <c r="B68" s="95"/>
      <c r="C68" s="272" t="str">
        <f>'SAF 011'!E66</f>
        <v>FRESAS P/ODONTOLOGIA; MATERIAL: CARBURO DE TUNGSTENO, NUMERO: 3, LARGO: STANDAR, TIPO: REDONDA CONTRAANGULO</v>
      </c>
      <c r="D68" s="273"/>
      <c r="E68" s="273"/>
      <c r="F68" s="273"/>
      <c r="G68" s="274"/>
      <c r="H68" s="96" t="s">
        <v>266</v>
      </c>
      <c r="I68" s="97" t="str">
        <f>'SAF 011'!F66</f>
        <v>UNIDAD</v>
      </c>
      <c r="J68" s="98">
        <f>'SAF 011'!AT66</f>
        <v>234.48</v>
      </c>
      <c r="K68" s="99">
        <f>'SAF 011'!U66</f>
        <v>20</v>
      </c>
      <c r="M68" s="127">
        <f t="shared" si="0"/>
        <v>4689.5999999999995</v>
      </c>
    </row>
    <row r="69" spans="1:13" ht="26.25" customHeight="1" x14ac:dyDescent="0.25">
      <c r="A69" s="94">
        <v>58</v>
      </c>
      <c r="B69" s="95"/>
      <c r="C69" s="272" t="str">
        <f>'SAF 011'!E67</f>
        <v>FRESAS P/ODONTOLOGIA; MATERIAL: CARBURO DE TUNGSTENO, NUMERO: 4, LARGO: STANDAR, TIPO: REDONDA CONTRAANGULO</v>
      </c>
      <c r="D69" s="273"/>
      <c r="E69" s="273"/>
      <c r="F69" s="273"/>
      <c r="G69" s="274"/>
      <c r="H69" s="96" t="s">
        <v>266</v>
      </c>
      <c r="I69" s="97" t="str">
        <f>'SAF 011'!F67</f>
        <v>UNIDAD</v>
      </c>
      <c r="J69" s="98">
        <f>'SAF 011'!AT67</f>
        <v>234.48</v>
      </c>
      <c r="K69" s="99">
        <f>'SAF 011'!U67</f>
        <v>20</v>
      </c>
      <c r="M69" s="127">
        <f t="shared" si="0"/>
        <v>4689.5999999999995</v>
      </c>
    </row>
    <row r="70" spans="1:13" ht="26.25" customHeight="1" x14ac:dyDescent="0.25">
      <c r="A70" s="94">
        <v>59</v>
      </c>
      <c r="B70" s="95"/>
      <c r="C70" s="272" t="str">
        <f>'SAF 011'!E68</f>
        <v>FRESAS P/ODONTOLOGIA; MATERIAL: CARBURO DE TUNGSTENO, NUMERO: 5, LARGO: STANDAR, TIPO: REDONDA CONTRAANGULO</v>
      </c>
      <c r="D70" s="273"/>
      <c r="E70" s="273"/>
      <c r="F70" s="273"/>
      <c r="G70" s="274"/>
      <c r="H70" s="96" t="s">
        <v>266</v>
      </c>
      <c r="I70" s="97" t="str">
        <f>'SAF 011'!F68</f>
        <v>UNIDAD</v>
      </c>
      <c r="J70" s="98">
        <f>'SAF 011'!AT68</f>
        <v>234.48</v>
      </c>
      <c r="K70" s="99">
        <f>'SAF 011'!U68</f>
        <v>20</v>
      </c>
      <c r="M70" s="127">
        <f t="shared" si="0"/>
        <v>4689.5999999999995</v>
      </c>
    </row>
    <row r="71" spans="1:13" ht="26.25" customHeight="1" x14ac:dyDescent="0.25">
      <c r="A71" s="94">
        <v>60</v>
      </c>
      <c r="B71" s="95"/>
      <c r="C71" s="272" t="str">
        <f>'SAF 011'!E69</f>
        <v>FRESAS P/ODONTOLOGIA; MATERIAL: CARBURO DE TUNGSTENO, NUMERO: 6, LARGO: STANDAR, TIPO: REDONDA CONTRAANGULO</v>
      </c>
      <c r="D71" s="273"/>
      <c r="E71" s="273"/>
      <c r="F71" s="273"/>
      <c r="G71" s="274"/>
      <c r="H71" s="96" t="s">
        <v>266</v>
      </c>
      <c r="I71" s="97" t="str">
        <f>'SAF 011'!F69</f>
        <v>UNIDAD</v>
      </c>
      <c r="J71" s="98">
        <f>'SAF 011'!AT69</f>
        <v>234.48</v>
      </c>
      <c r="K71" s="99">
        <f>'SAF 011'!U69</f>
        <v>20</v>
      </c>
      <c r="M71" s="127">
        <f t="shared" si="0"/>
        <v>4689.5999999999995</v>
      </c>
    </row>
    <row r="72" spans="1:13" ht="26.25" customHeight="1" x14ac:dyDescent="0.25">
      <c r="A72" s="94">
        <v>61</v>
      </c>
      <c r="B72" s="95"/>
      <c r="C72" s="272" t="str">
        <f>'SAF 011'!E70</f>
        <v>FRESAS P/ODONTOLOGIA; MATERIAL: CARBURO DE TUNGSTENO, NUMERO: 7, LARGO: STANDAR, TIPO: REDONDA CONTRAANGULO</v>
      </c>
      <c r="D72" s="273"/>
      <c r="E72" s="273"/>
      <c r="F72" s="273"/>
      <c r="G72" s="274"/>
      <c r="H72" s="96" t="s">
        <v>266</v>
      </c>
      <c r="I72" s="97" t="str">
        <f>'SAF 011'!F70</f>
        <v>UNIDAD</v>
      </c>
      <c r="J72" s="98">
        <f>'SAF 011'!AT70</f>
        <v>234.48</v>
      </c>
      <c r="K72" s="99">
        <f>'SAF 011'!U70</f>
        <v>20</v>
      </c>
      <c r="M72" s="127">
        <f t="shared" si="0"/>
        <v>4689.5999999999995</v>
      </c>
    </row>
    <row r="73" spans="1:13" ht="26.25" customHeight="1" x14ac:dyDescent="0.25">
      <c r="A73" s="94">
        <v>62</v>
      </c>
      <c r="B73" s="95"/>
      <c r="C73" s="272" t="str">
        <f>'SAF 011'!E71</f>
        <v>FRESAS P/ODONTOLOGIA; MATERIAL: CARBURO DE TUNGSTENO, NUMERO: 8, LARGO: STANDAR, TIPO: REDONDA CONTRAANGULO</v>
      </c>
      <c r="D73" s="273"/>
      <c r="E73" s="273"/>
      <c r="F73" s="273"/>
      <c r="G73" s="274"/>
      <c r="H73" s="96" t="s">
        <v>266</v>
      </c>
      <c r="I73" s="97" t="str">
        <f>'SAF 011'!F71</f>
        <v>UNIDAD</v>
      </c>
      <c r="J73" s="98">
        <f>'SAF 011'!AT71</f>
        <v>234.48</v>
      </c>
      <c r="K73" s="99">
        <f>'SAF 011'!U71</f>
        <v>20</v>
      </c>
      <c r="M73" s="127">
        <f t="shared" si="0"/>
        <v>4689.5999999999995</v>
      </c>
    </row>
    <row r="74" spans="1:13" ht="26.25" customHeight="1" x14ac:dyDescent="0.25">
      <c r="A74" s="94">
        <v>63</v>
      </c>
      <c r="B74" s="95"/>
      <c r="C74" s="272" t="str">
        <f>'SAF 011'!E72</f>
        <v>FRESAS P/ODONTOLOGIA; MATERIAL: CARBURO DE TUNGSTENO, NUMERO: 801, LARGO: 19 mm, TIPO: REDONDA MEDIANA</v>
      </c>
      <c r="D74" s="273"/>
      <c r="E74" s="273"/>
      <c r="F74" s="273"/>
      <c r="G74" s="274"/>
      <c r="H74" s="96" t="s">
        <v>266</v>
      </c>
      <c r="I74" s="97" t="str">
        <f>'SAF 011'!F72</f>
        <v>UNIDAD</v>
      </c>
      <c r="J74" s="98">
        <f>'SAF 011'!AT72</f>
        <v>234.48</v>
      </c>
      <c r="K74" s="99">
        <f>'SAF 011'!U72</f>
        <v>20</v>
      </c>
      <c r="M74" s="127">
        <f t="shared" si="0"/>
        <v>4689.5999999999995</v>
      </c>
    </row>
    <row r="75" spans="1:13" ht="26.25" customHeight="1" x14ac:dyDescent="0.25">
      <c r="A75" s="94">
        <v>64</v>
      </c>
      <c r="B75" s="95"/>
      <c r="C75" s="272" t="str">
        <f>'SAF 011'!E73</f>
        <v>FRESAS P/ODONTOLOGIA; MATERIAL: CARBURO DE TUNGSTENO, NUMERO: FG 2-1-331, LARGO: 19 mm, TIPO: CILINDRICA</v>
      </c>
      <c r="D75" s="273"/>
      <c r="E75" s="273"/>
      <c r="F75" s="273"/>
      <c r="G75" s="274"/>
      <c r="H75" s="96" t="s">
        <v>266</v>
      </c>
      <c r="I75" s="97" t="str">
        <f>'SAF 011'!F73</f>
        <v>UNIDAD</v>
      </c>
      <c r="J75" s="98">
        <f>'SAF 011'!AT73</f>
        <v>234.48</v>
      </c>
      <c r="K75" s="99">
        <f>'SAF 011'!U73</f>
        <v>20</v>
      </c>
      <c r="M75" s="127">
        <f t="shared" si="0"/>
        <v>4689.5999999999995</v>
      </c>
    </row>
    <row r="76" spans="1:13" ht="26.25" customHeight="1" x14ac:dyDescent="0.25">
      <c r="A76" s="94">
        <v>65</v>
      </c>
      <c r="B76" s="95"/>
      <c r="C76" s="272" t="str">
        <f>'SAF 011'!E74</f>
        <v>FRESAS P/ODONTOLOGIA; MATERIAL: CARBURO DE TUNGSTENO, NUMERO: SIN, LARGO: EXTRA LARGA, TIPO: CILINDRICA FG P/ CIRUGIA</v>
      </c>
      <c r="D76" s="273"/>
      <c r="E76" s="273"/>
      <c r="F76" s="273"/>
      <c r="G76" s="274"/>
      <c r="H76" s="96" t="s">
        <v>266</v>
      </c>
      <c r="I76" s="97" t="str">
        <f>'SAF 011'!F74</f>
        <v>UNIDAD</v>
      </c>
      <c r="J76" s="98">
        <f>'SAF 011'!AT74</f>
        <v>425.85</v>
      </c>
      <c r="K76" s="99">
        <f>'SAF 011'!U74</f>
        <v>20</v>
      </c>
      <c r="M76" s="127">
        <f t="shared" si="0"/>
        <v>8517</v>
      </c>
    </row>
    <row r="77" spans="1:13" ht="26.25" customHeight="1" x14ac:dyDescent="0.25">
      <c r="A77" s="94">
        <v>66</v>
      </c>
      <c r="B77" s="95"/>
      <c r="C77" s="272" t="str">
        <f>'SAF 011'!E75</f>
        <v>FRESAS P/ODONTOLOGIA; MATERIAL: CARBURO TUNGSTENO, NUMERO: 8, LARGO: EXTRA LARGA, TIPO: REDONDA CONTRAANGULO P/CIRUGIA</v>
      </c>
      <c r="D77" s="273"/>
      <c r="E77" s="273"/>
      <c r="F77" s="273"/>
      <c r="G77" s="274"/>
      <c r="H77" s="96" t="s">
        <v>266</v>
      </c>
      <c r="I77" s="97" t="str">
        <f>'SAF 011'!F75</f>
        <v>UNIDAD</v>
      </c>
      <c r="J77" s="98">
        <f>'SAF 011'!AT75</f>
        <v>425.85</v>
      </c>
      <c r="K77" s="99">
        <f>'SAF 011'!U75</f>
        <v>20</v>
      </c>
      <c r="M77" s="127">
        <f t="shared" ref="M77:M140" si="1">+J77*K77</f>
        <v>8517</v>
      </c>
    </row>
    <row r="78" spans="1:13" ht="26.25" customHeight="1" x14ac:dyDescent="0.25">
      <c r="A78" s="94">
        <v>67</v>
      </c>
      <c r="B78" s="95"/>
      <c r="C78" s="272" t="str">
        <f>'SAF 011'!E76</f>
        <v>FRESAS P/ODONTOLOGIA; MATERIAL: CARBURO, NUMERO: 120 X 157, LARGO: EXTRA LARGA, TIPO: CILINDRICA</v>
      </c>
      <c r="D78" s="273"/>
      <c r="E78" s="273"/>
      <c r="F78" s="273"/>
      <c r="G78" s="274"/>
      <c r="H78" s="96" t="s">
        <v>266</v>
      </c>
      <c r="I78" s="97" t="str">
        <f>'SAF 011'!F76</f>
        <v>UNIDAD</v>
      </c>
      <c r="J78" s="98">
        <f>'SAF 011'!AT76</f>
        <v>450</v>
      </c>
      <c r="K78" s="99">
        <f>'SAF 011'!U76</f>
        <v>20</v>
      </c>
      <c r="M78" s="127">
        <f t="shared" si="1"/>
        <v>9000</v>
      </c>
    </row>
    <row r="79" spans="1:13" ht="26.25" customHeight="1" x14ac:dyDescent="0.25">
      <c r="A79" s="94">
        <v>68</v>
      </c>
      <c r="B79" s="95"/>
      <c r="C79" s="272" t="str">
        <f>'SAF 011'!E77</f>
        <v>FRESAS P/ODONTOLOGIA; MATERIAL: PIEDRA DE DIAMANTE, NUMERO: 1, LARGO: STANDAR, TIPO: REDONDA FG</v>
      </c>
      <c r="D79" s="273"/>
      <c r="E79" s="273"/>
      <c r="F79" s="273"/>
      <c r="G79" s="274"/>
      <c r="H79" s="96" t="s">
        <v>266</v>
      </c>
      <c r="I79" s="97" t="str">
        <f>'SAF 011'!F77</f>
        <v>UNIDAD</v>
      </c>
      <c r="J79" s="98">
        <f>'SAF 011'!AT77</f>
        <v>225</v>
      </c>
      <c r="K79" s="99">
        <f>'SAF 011'!U77</f>
        <v>20</v>
      </c>
      <c r="M79" s="127">
        <f t="shared" si="1"/>
        <v>4500</v>
      </c>
    </row>
    <row r="80" spans="1:13" ht="26.25" customHeight="1" x14ac:dyDescent="0.25">
      <c r="A80" s="94">
        <v>69</v>
      </c>
      <c r="B80" s="95"/>
      <c r="C80" s="272" t="str">
        <f>'SAF 011'!E78</f>
        <v>FRESAS P/ODONTOLOGIA; MATERIAL: PIEDRA DE DIAMANTE, NUMERO: 1/2, LARGO: STANDAR, TIPO: REDONDA FG</v>
      </c>
      <c r="D80" s="273"/>
      <c r="E80" s="273"/>
      <c r="F80" s="273"/>
      <c r="G80" s="274"/>
      <c r="H80" s="96" t="s">
        <v>266</v>
      </c>
      <c r="I80" s="97" t="str">
        <f>'SAF 011'!F78</f>
        <v>UNIDAD</v>
      </c>
      <c r="J80" s="98">
        <f>'SAF 011'!AT78</f>
        <v>225</v>
      </c>
      <c r="K80" s="99">
        <f>'SAF 011'!U78</f>
        <v>20</v>
      </c>
      <c r="M80" s="127">
        <f t="shared" si="1"/>
        <v>4500</v>
      </c>
    </row>
    <row r="81" spans="1:13" ht="26.25" customHeight="1" x14ac:dyDescent="0.25">
      <c r="A81" s="94">
        <v>70</v>
      </c>
      <c r="B81" s="95"/>
      <c r="C81" s="272" t="str">
        <f>'SAF 011'!E79</f>
        <v>FRESAS P/ODONTOLOGIA; MATERIAL: PIEDRA DE DIAMANTE, NUMERO: 1/4, LARGO: STANDAR, TIPO: REDONDA FG</v>
      </c>
      <c r="D81" s="273"/>
      <c r="E81" s="273"/>
      <c r="F81" s="273"/>
      <c r="G81" s="274"/>
      <c r="H81" s="96" t="s">
        <v>266</v>
      </c>
      <c r="I81" s="97" t="str">
        <f>'SAF 011'!F79</f>
        <v>UNIDAD</v>
      </c>
      <c r="J81" s="98">
        <f>'SAF 011'!AT79</f>
        <v>225</v>
      </c>
      <c r="K81" s="99">
        <f>'SAF 011'!U79</f>
        <v>20</v>
      </c>
      <c r="M81" s="127">
        <f t="shared" si="1"/>
        <v>4500</v>
      </c>
    </row>
    <row r="82" spans="1:13" ht="26.25" customHeight="1" x14ac:dyDescent="0.25">
      <c r="A82" s="94">
        <v>71</v>
      </c>
      <c r="B82" s="95"/>
      <c r="C82" s="272" t="str">
        <f>'SAF 011'!E80</f>
        <v>FRESAS P/ODONTOLOGIA; MATERIAL: PIEDRA DE DIAMANTE, NUMERO: 170, LARGO: STANDAR, TIPO: TRONCOCONICA FG</v>
      </c>
      <c r="D82" s="273"/>
      <c r="E82" s="273"/>
      <c r="F82" s="273"/>
      <c r="G82" s="274"/>
      <c r="H82" s="96" t="s">
        <v>266</v>
      </c>
      <c r="I82" s="97" t="str">
        <f>'SAF 011'!F80</f>
        <v>UNIDAD</v>
      </c>
      <c r="J82" s="98">
        <f>'SAF 011'!AT80</f>
        <v>225</v>
      </c>
      <c r="K82" s="99">
        <f>'SAF 011'!U80</f>
        <v>20</v>
      </c>
      <c r="M82" s="127">
        <f t="shared" si="1"/>
        <v>4500</v>
      </c>
    </row>
    <row r="83" spans="1:13" ht="26.25" customHeight="1" x14ac:dyDescent="0.25">
      <c r="A83" s="94">
        <v>72</v>
      </c>
      <c r="B83" s="95"/>
      <c r="C83" s="272" t="str">
        <f>'SAF 011'!E81</f>
        <v>FRESAS P/ODONTOLOGIA; MATERIAL: PIEDRA DE DIAMANTE, NUMERO: 171 L, LARGO: STANDAR, TIPO: TRONCOCONICA FG</v>
      </c>
      <c r="D83" s="273"/>
      <c r="E83" s="273"/>
      <c r="F83" s="273"/>
      <c r="G83" s="274"/>
      <c r="H83" s="96" t="s">
        <v>266</v>
      </c>
      <c r="I83" s="97" t="str">
        <f>'SAF 011'!F81</f>
        <v>UNIDAD</v>
      </c>
      <c r="J83" s="98">
        <f>'SAF 011'!AT81</f>
        <v>225</v>
      </c>
      <c r="K83" s="99">
        <f>'SAF 011'!U81</f>
        <v>20</v>
      </c>
      <c r="M83" s="127">
        <f t="shared" si="1"/>
        <v>4500</v>
      </c>
    </row>
    <row r="84" spans="1:13" ht="26.25" customHeight="1" x14ac:dyDescent="0.25">
      <c r="A84" s="94">
        <v>73</v>
      </c>
      <c r="B84" s="95"/>
      <c r="C84" s="272" t="str">
        <f>'SAF 011'!E82</f>
        <v>FRESAS P/ODONTOLOGIA; MATERIAL: PIEDRA DE DIAMANTE, NUMERO: 171, LARGO: STANDAR, TIPO: TRONCOCONICA FG</v>
      </c>
      <c r="D84" s="273"/>
      <c r="E84" s="273"/>
      <c r="F84" s="273"/>
      <c r="G84" s="274"/>
      <c r="H84" s="96" t="s">
        <v>266</v>
      </c>
      <c r="I84" s="97" t="str">
        <f>'SAF 011'!F82</f>
        <v>UNIDAD</v>
      </c>
      <c r="J84" s="98">
        <f>'SAF 011'!AT82</f>
        <v>225</v>
      </c>
      <c r="K84" s="99">
        <f>'SAF 011'!U82</f>
        <v>20</v>
      </c>
      <c r="M84" s="127">
        <f t="shared" si="1"/>
        <v>4500</v>
      </c>
    </row>
    <row r="85" spans="1:13" ht="26.25" customHeight="1" x14ac:dyDescent="0.25">
      <c r="A85" s="94">
        <v>74</v>
      </c>
      <c r="B85" s="95"/>
      <c r="C85" s="272" t="str">
        <f>'SAF 011'!E83</f>
        <v>FRESAS P/ODONTOLOGIA; MATERIAL: PIEDRA DE DIAMANTE, NUMERO: 2, LARGO: STANDAR, TIPO: REDONDA FG</v>
      </c>
      <c r="D85" s="273"/>
      <c r="E85" s="273"/>
      <c r="F85" s="273"/>
      <c r="G85" s="274"/>
      <c r="H85" s="96" t="s">
        <v>266</v>
      </c>
      <c r="I85" s="97" t="str">
        <f>'SAF 011'!F83</f>
        <v>UNIDAD</v>
      </c>
      <c r="J85" s="98">
        <f>'SAF 011'!AT83</f>
        <v>225</v>
      </c>
      <c r="K85" s="99">
        <f>'SAF 011'!U83</f>
        <v>20</v>
      </c>
      <c r="M85" s="127">
        <f t="shared" si="1"/>
        <v>4500</v>
      </c>
    </row>
    <row r="86" spans="1:13" ht="26.25" customHeight="1" x14ac:dyDescent="0.25">
      <c r="A86" s="94">
        <v>75</v>
      </c>
      <c r="B86" s="95"/>
      <c r="C86" s="272" t="str">
        <f>'SAF 011'!E84</f>
        <v>FRESAS P/ODONTOLOGIA; MATERIAL: PIEDRA DE DIAMANTE, NUMERO: 3, LARGO: STANDAR, TIPO: REDONDA FG</v>
      </c>
      <c r="D86" s="273"/>
      <c r="E86" s="273"/>
      <c r="F86" s="273"/>
      <c r="G86" s="274"/>
      <c r="H86" s="96" t="s">
        <v>266</v>
      </c>
      <c r="I86" s="97" t="str">
        <f>'SAF 011'!F84</f>
        <v>UNIDAD</v>
      </c>
      <c r="J86" s="98">
        <f>'SAF 011'!AT84</f>
        <v>225</v>
      </c>
      <c r="K86" s="99">
        <f>'SAF 011'!U84</f>
        <v>20</v>
      </c>
      <c r="M86" s="127">
        <f t="shared" si="1"/>
        <v>4500</v>
      </c>
    </row>
    <row r="87" spans="1:13" ht="26.25" customHeight="1" x14ac:dyDescent="0.25">
      <c r="A87" s="94">
        <v>76</v>
      </c>
      <c r="B87" s="95"/>
      <c r="C87" s="272" t="str">
        <f>'SAF 011'!E85</f>
        <v>FRESAS P/ODONTOLOGIA; MATERIAL: PIEDRA DE DIAMANTE, NUMERO: 34, LARGO: STANDAR, TIPO: CONO INVERTIDO FG</v>
      </c>
      <c r="D87" s="273"/>
      <c r="E87" s="273"/>
      <c r="F87" s="273"/>
      <c r="G87" s="274"/>
      <c r="H87" s="96" t="s">
        <v>266</v>
      </c>
      <c r="I87" s="97" t="str">
        <f>'SAF 011'!F85</f>
        <v>UNIDAD</v>
      </c>
      <c r="J87" s="98">
        <f>'SAF 011'!AT85</f>
        <v>225</v>
      </c>
      <c r="K87" s="99">
        <f>'SAF 011'!U85</f>
        <v>20</v>
      </c>
      <c r="M87" s="127">
        <f t="shared" si="1"/>
        <v>4500</v>
      </c>
    </row>
    <row r="88" spans="1:13" ht="26.25" customHeight="1" x14ac:dyDescent="0.25">
      <c r="A88" s="94">
        <v>77</v>
      </c>
      <c r="B88" s="95"/>
      <c r="C88" s="272" t="str">
        <f>'SAF 011'!E86</f>
        <v>FRESAS P/ODONTOLOGIA; MATERIAL: PIEDRA DE DIAMANTE, NUMERO: 35, LARGO: STANDAR, TIPO: CONO INVERTIDO FG</v>
      </c>
      <c r="D88" s="273"/>
      <c r="E88" s="273"/>
      <c r="F88" s="273"/>
      <c r="G88" s="274"/>
      <c r="H88" s="96" t="s">
        <v>266</v>
      </c>
      <c r="I88" s="97" t="str">
        <f>'SAF 011'!F86</f>
        <v>UNIDAD</v>
      </c>
      <c r="J88" s="98">
        <f>'SAF 011'!AT86</f>
        <v>225</v>
      </c>
      <c r="K88" s="99">
        <f>'SAF 011'!U86</f>
        <v>20</v>
      </c>
      <c r="M88" s="127">
        <f t="shared" si="1"/>
        <v>4500</v>
      </c>
    </row>
    <row r="89" spans="1:13" ht="26.25" customHeight="1" x14ac:dyDescent="0.25">
      <c r="A89" s="94">
        <v>78</v>
      </c>
      <c r="B89" s="95"/>
      <c r="C89" s="272" t="str">
        <f>'SAF 011'!E87</f>
        <v>FRESAS P/ODONTOLOGIA; MATERIAL: PIEDRA DE DIAMANTE, NUMERO: 4, LARGO: STANDAR, TIPO: REDONDA FG</v>
      </c>
      <c r="D89" s="273"/>
      <c r="E89" s="273"/>
      <c r="F89" s="273"/>
      <c r="G89" s="274"/>
      <c r="H89" s="96" t="s">
        <v>266</v>
      </c>
      <c r="I89" s="97" t="str">
        <f>'SAF 011'!F87</f>
        <v>UNIDAD</v>
      </c>
      <c r="J89" s="98">
        <f>'SAF 011'!AT87</f>
        <v>225</v>
      </c>
      <c r="K89" s="99">
        <f>'SAF 011'!U87</f>
        <v>20</v>
      </c>
      <c r="M89" s="127">
        <f t="shared" si="1"/>
        <v>4500</v>
      </c>
    </row>
    <row r="90" spans="1:13" ht="26.25" customHeight="1" x14ac:dyDescent="0.25">
      <c r="A90" s="94">
        <v>79</v>
      </c>
      <c r="B90" s="95"/>
      <c r="C90" s="272" t="str">
        <f>'SAF 011'!E88</f>
        <v>FRESAS P/ODONTOLOGIA; MATERIAL: PIEDRA DE DIAMANTE, NUMERO: 5, LARGO: STANDAR, TIPO: REDONDA FG</v>
      </c>
      <c r="D90" s="273"/>
      <c r="E90" s="273"/>
      <c r="F90" s="273"/>
      <c r="G90" s="274"/>
      <c r="H90" s="96" t="s">
        <v>266</v>
      </c>
      <c r="I90" s="97" t="str">
        <f>'SAF 011'!F88</f>
        <v>UNIDAD</v>
      </c>
      <c r="J90" s="98">
        <f>'SAF 011'!AT88</f>
        <v>225</v>
      </c>
      <c r="K90" s="99">
        <f>'SAF 011'!U88</f>
        <v>20</v>
      </c>
      <c r="M90" s="127">
        <f t="shared" si="1"/>
        <v>4500</v>
      </c>
    </row>
    <row r="91" spans="1:13" ht="26.25" customHeight="1" x14ac:dyDescent="0.25">
      <c r="A91" s="94">
        <v>80</v>
      </c>
      <c r="B91" s="95"/>
      <c r="C91" s="272" t="str">
        <f>'SAF 011'!E89</f>
        <v>FRESAS P/ODONTOLOGIA; MATERIAL: PIEDRA DE DIAMANTE, NUMERO: 6, LARGO: STANDAR, TIPO: REDONDA FG</v>
      </c>
      <c r="D91" s="273"/>
      <c r="E91" s="273"/>
      <c r="F91" s="273"/>
      <c r="G91" s="274"/>
      <c r="H91" s="96" t="s">
        <v>266</v>
      </c>
      <c r="I91" s="97" t="str">
        <f>'SAF 011'!F89</f>
        <v>UNIDAD</v>
      </c>
      <c r="J91" s="98">
        <f>'SAF 011'!AT89</f>
        <v>225</v>
      </c>
      <c r="K91" s="99">
        <f>'SAF 011'!U89</f>
        <v>20</v>
      </c>
      <c r="M91" s="127">
        <f t="shared" si="1"/>
        <v>4500</v>
      </c>
    </row>
    <row r="92" spans="1:13" ht="26.25" customHeight="1" x14ac:dyDescent="0.25">
      <c r="A92" s="94">
        <v>81</v>
      </c>
      <c r="B92" s="95"/>
      <c r="C92" s="272" t="str">
        <f>'SAF 011'!E90</f>
        <v>FRESAS P/ODONTOLOGIA; MATERIAL: PIEDRA DE DIAMANTE, NUMERO: 8, LARGO: STANDAR, TIPO: REDONDA FG</v>
      </c>
      <c r="D92" s="273"/>
      <c r="E92" s="273"/>
      <c r="F92" s="273"/>
      <c r="G92" s="274"/>
      <c r="H92" s="96" t="s">
        <v>266</v>
      </c>
      <c r="I92" s="97" t="str">
        <f>'SAF 011'!F90</f>
        <v>UNIDAD</v>
      </c>
      <c r="J92" s="98">
        <f>'SAF 011'!AT90</f>
        <v>225</v>
      </c>
      <c r="K92" s="99">
        <f>'SAF 011'!U90</f>
        <v>20</v>
      </c>
      <c r="M92" s="127">
        <f t="shared" si="1"/>
        <v>4500</v>
      </c>
    </row>
    <row r="93" spans="1:13" ht="26.25" customHeight="1" x14ac:dyDescent="0.25">
      <c r="A93" s="94">
        <v>82</v>
      </c>
      <c r="B93" s="95"/>
      <c r="C93" s="272" t="str">
        <f>'SAF 011'!E91</f>
        <v>FRESAS P/ODONTOLOGIA; MATERIAL: PIEDRA DE DIAMANTE, NUMERO: SIN, LARGO: STANDAR, TIPO: AGUJA GRANO FINO FG</v>
      </c>
      <c r="D93" s="273"/>
      <c r="E93" s="273"/>
      <c r="F93" s="273"/>
      <c r="G93" s="274"/>
      <c r="H93" s="96" t="s">
        <v>266</v>
      </c>
      <c r="I93" s="97" t="str">
        <f>'SAF 011'!F91</f>
        <v>UNIDAD</v>
      </c>
      <c r="J93" s="98">
        <f>'SAF 011'!AT91</f>
        <v>225</v>
      </c>
      <c r="K93" s="99">
        <f>'SAF 011'!U91</f>
        <v>20</v>
      </c>
      <c r="M93" s="127">
        <f t="shared" si="1"/>
        <v>4500</v>
      </c>
    </row>
    <row r="94" spans="1:13" ht="26.25" customHeight="1" x14ac:dyDescent="0.25">
      <c r="A94" s="94">
        <v>83</v>
      </c>
      <c r="B94" s="95"/>
      <c r="C94" s="272" t="str">
        <f>'SAF 011'!E92</f>
        <v>FRESAS P/ODONTOLOGIA; MATERIAL: PIEDRA DE DIAMANTE, NUMERO: SIN, LARGO: STANDAR, TIPO: AGUJA GRANO ULTRA FINO FG</v>
      </c>
      <c r="D94" s="273"/>
      <c r="E94" s="273"/>
      <c r="F94" s="273"/>
      <c r="G94" s="274"/>
      <c r="H94" s="96" t="s">
        <v>266</v>
      </c>
      <c r="I94" s="97" t="str">
        <f>'SAF 011'!F92</f>
        <v>UNIDAD</v>
      </c>
      <c r="J94" s="98">
        <f>'SAF 011'!AT92</f>
        <v>225</v>
      </c>
      <c r="K94" s="99">
        <f>'SAF 011'!U92</f>
        <v>20</v>
      </c>
      <c r="M94" s="127">
        <f t="shared" si="1"/>
        <v>4500</v>
      </c>
    </row>
    <row r="95" spans="1:13" ht="26.25" customHeight="1" x14ac:dyDescent="0.25">
      <c r="A95" s="94">
        <v>84</v>
      </c>
      <c r="B95" s="95"/>
      <c r="C95" s="272" t="str">
        <f>'SAF 011'!E93</f>
        <v>FRESAS P/ODONTOLOGIA; MATERIAL: PIEDRA DE DIAMANTE, NUMERO: SIN, LARGO: STANDAR, TIPO: CILINDRICA FG</v>
      </c>
      <c r="D95" s="273"/>
      <c r="E95" s="273"/>
      <c r="F95" s="273"/>
      <c r="G95" s="274"/>
      <c r="H95" s="96" t="s">
        <v>266</v>
      </c>
      <c r="I95" s="97" t="str">
        <f>'SAF 011'!F93</f>
        <v>UNIDAD</v>
      </c>
      <c r="J95" s="98">
        <f>'SAF 011'!AT93</f>
        <v>225</v>
      </c>
      <c r="K95" s="99">
        <f>'SAF 011'!U93</f>
        <v>20</v>
      </c>
      <c r="M95" s="127">
        <f t="shared" si="1"/>
        <v>4500</v>
      </c>
    </row>
    <row r="96" spans="1:13" ht="30.75" customHeight="1" x14ac:dyDescent="0.25">
      <c r="A96" s="94">
        <v>85</v>
      </c>
      <c r="B96" s="95"/>
      <c r="C96" s="272" t="str">
        <f>'SAF 011'!E94</f>
        <v>FRESAS P/ODONTOLOGIA; MATERIAL: PIEDRA DE DIAMANTE, NUMERO: SIN, LARGO: STANDAR, TIPO: TRONCOC CORTA GR ULTRA FINO FG</v>
      </c>
      <c r="D96" s="273"/>
      <c r="E96" s="273"/>
      <c r="F96" s="273"/>
      <c r="G96" s="274"/>
      <c r="H96" s="96" t="s">
        <v>266</v>
      </c>
      <c r="I96" s="97" t="str">
        <f>'SAF 011'!F94</f>
        <v>UNIDAD</v>
      </c>
      <c r="J96" s="98">
        <f>'SAF 011'!AT94</f>
        <v>225</v>
      </c>
      <c r="K96" s="99">
        <f>'SAF 011'!U94</f>
        <v>20</v>
      </c>
      <c r="M96" s="127">
        <f t="shared" si="1"/>
        <v>4500</v>
      </c>
    </row>
    <row r="97" spans="1:13" ht="26.25" customHeight="1" x14ac:dyDescent="0.25">
      <c r="A97" s="94">
        <v>86</v>
      </c>
      <c r="B97" s="95"/>
      <c r="C97" s="272" t="str">
        <f>'SAF 011'!E95</f>
        <v>FRESAS P/ODONTOLOGIA; MATERIAL: PIEDRA DE DIAMANTE, NUMERO: SIN, LARGO: STANDAR, TIPO: TRONCOC LARGA GR ULTRA FINO FG</v>
      </c>
      <c r="D97" s="273"/>
      <c r="E97" s="273"/>
      <c r="F97" s="273"/>
      <c r="G97" s="274"/>
      <c r="H97" s="96" t="s">
        <v>266</v>
      </c>
      <c r="I97" s="97" t="str">
        <f>'SAF 011'!F95</f>
        <v>UNIDAD</v>
      </c>
      <c r="J97" s="98">
        <f>'SAF 011'!AT95</f>
        <v>225</v>
      </c>
      <c r="K97" s="99">
        <f>'SAF 011'!U95</f>
        <v>20</v>
      </c>
      <c r="M97" s="127">
        <f t="shared" si="1"/>
        <v>4500</v>
      </c>
    </row>
    <row r="98" spans="1:13" ht="26.25" customHeight="1" x14ac:dyDescent="0.25">
      <c r="A98" s="94">
        <v>87</v>
      </c>
      <c r="B98" s="95"/>
      <c r="C98" s="272" t="str">
        <f>'SAF 011'!E96</f>
        <v>FRESAS P/ODONTOLOGIA; MATERIAL: PIEDRA DE DIAMANTE, NUMERO: SIN, LARGO: STANDAR, TIPO: TRONCOCON LARG GRUES FG</v>
      </c>
      <c r="D98" s="273"/>
      <c r="E98" s="273"/>
      <c r="F98" s="273"/>
      <c r="G98" s="274"/>
      <c r="H98" s="96" t="s">
        <v>266</v>
      </c>
      <c r="I98" s="97" t="str">
        <f>'SAF 011'!F96</f>
        <v>UNIDAD</v>
      </c>
      <c r="J98" s="98">
        <f>'SAF 011'!AT96</f>
        <v>225</v>
      </c>
      <c r="K98" s="99">
        <f>'SAF 011'!U96</f>
        <v>20</v>
      </c>
      <c r="M98" s="127">
        <f t="shared" si="1"/>
        <v>4500</v>
      </c>
    </row>
    <row r="99" spans="1:13" ht="26.25" customHeight="1" x14ac:dyDescent="0.25">
      <c r="A99" s="94">
        <v>88</v>
      </c>
      <c r="B99" s="95"/>
      <c r="C99" s="272" t="str">
        <f>'SAF 011'!E97</f>
        <v>FRESERO P/ODONTOLOGIA, DESCARTABLE: NO, PRESENTACION: UNIDAD</v>
      </c>
      <c r="D99" s="273"/>
      <c r="E99" s="273"/>
      <c r="F99" s="273"/>
      <c r="G99" s="274"/>
      <c r="H99" s="96" t="s">
        <v>266</v>
      </c>
      <c r="I99" s="97" t="str">
        <f>'SAF 011'!F97</f>
        <v>UNIDAD</v>
      </c>
      <c r="J99" s="98">
        <f>'SAF 011'!AT97</f>
        <v>1290</v>
      </c>
      <c r="K99" s="99">
        <f>'SAF 011'!U97</f>
        <v>10</v>
      </c>
      <c r="M99" s="127">
        <f t="shared" si="1"/>
        <v>12900</v>
      </c>
    </row>
    <row r="100" spans="1:13" ht="16.5" customHeight="1" x14ac:dyDescent="0.25">
      <c r="A100" s="94">
        <v>89</v>
      </c>
      <c r="B100" s="95"/>
      <c r="C100" s="272" t="str">
        <f>'SAF 011'!E98</f>
        <v>GOMAS BLANCAS P/PULIDO, DESCARTABLE: NO, PRESENTACION: UNIDAD</v>
      </c>
      <c r="D100" s="273"/>
      <c r="E100" s="273"/>
      <c r="F100" s="273"/>
      <c r="G100" s="274"/>
      <c r="H100" s="96" t="s">
        <v>266</v>
      </c>
      <c r="I100" s="97" t="str">
        <f>'SAF 011'!F98</f>
        <v>UNIDAD</v>
      </c>
      <c r="J100" s="98">
        <f>'SAF 011'!AT98</f>
        <v>278.45</v>
      </c>
      <c r="K100" s="99">
        <f>'SAF 011'!U98</f>
        <v>80</v>
      </c>
      <c r="M100" s="127">
        <f t="shared" si="1"/>
        <v>22276</v>
      </c>
    </row>
    <row r="101" spans="1:13" ht="16.5" customHeight="1" x14ac:dyDescent="0.25">
      <c r="A101" s="94">
        <v>90</v>
      </c>
      <c r="B101" s="95"/>
      <c r="C101" s="272" t="str">
        <f>'SAF 011'!E99</f>
        <v>HOJA DE SIERRA PLANA; DESCARTABLE: SI, PRESENTACION: UNIDAD</v>
      </c>
      <c r="D101" s="273"/>
      <c r="E101" s="273"/>
      <c r="F101" s="273"/>
      <c r="G101" s="274"/>
      <c r="H101" s="96" t="s">
        <v>266</v>
      </c>
      <c r="I101" s="97" t="str">
        <f>'SAF 011'!F99</f>
        <v>UNIDAD</v>
      </c>
      <c r="J101" s="98">
        <f>'SAF 011'!AT99</f>
        <v>290</v>
      </c>
      <c r="K101" s="99">
        <f>'SAF 011'!U99</f>
        <v>20</v>
      </c>
      <c r="M101" s="127">
        <f t="shared" si="1"/>
        <v>5800</v>
      </c>
    </row>
    <row r="102" spans="1:13" ht="30" customHeight="1" x14ac:dyDescent="0.25">
      <c r="A102" s="94">
        <v>91</v>
      </c>
      <c r="B102" s="95"/>
      <c r="C102" s="272" t="str">
        <f>'SAF 011'!E100</f>
        <v>IONOMEROS VITREOS; USO: AUTOCURADO, ESTADO: POLVO - LIQUIDO, FORMA DE PRESENTACION: POLVO - LIQUIDO, PRESENTACION: AVIO 10 GRS/ 10 ML</v>
      </c>
      <c r="D102" s="273"/>
      <c r="E102" s="273"/>
      <c r="F102" s="273"/>
      <c r="G102" s="274"/>
      <c r="H102" s="96" t="s">
        <v>266</v>
      </c>
      <c r="I102" s="97" t="str">
        <f>'SAF 011'!F100</f>
        <v>CAJA</v>
      </c>
      <c r="J102" s="98">
        <f>'SAF 011'!AT100</f>
        <v>2500</v>
      </c>
      <c r="K102" s="99">
        <f>'SAF 011'!U100</f>
        <v>10</v>
      </c>
      <c r="M102" s="127">
        <f t="shared" si="1"/>
        <v>25000</v>
      </c>
    </row>
    <row r="103" spans="1:13" ht="30" customHeight="1" x14ac:dyDescent="0.25">
      <c r="A103" s="94">
        <v>92</v>
      </c>
      <c r="B103" s="95"/>
      <c r="C103" s="272" t="str">
        <f>'SAF 011'!E101</f>
        <v>IONOMEROS VITREOS; USO: FOTOCURADO, FORMA DE PRESENTACION: POLVO - LIQUIDO, PRESENTACION: AVIO 5 GRS/ 3 ML</v>
      </c>
      <c r="D103" s="273"/>
      <c r="E103" s="273"/>
      <c r="F103" s="273"/>
      <c r="G103" s="274"/>
      <c r="H103" s="96" t="s">
        <v>266</v>
      </c>
      <c r="I103" s="97" t="str">
        <f>'SAF 011'!F101</f>
        <v>CAJA</v>
      </c>
      <c r="J103" s="98">
        <f>'SAF 011'!AT101</f>
        <v>5317</v>
      </c>
      <c r="K103" s="99">
        <f>'SAF 011'!U101</f>
        <v>10</v>
      </c>
      <c r="M103" s="127">
        <f t="shared" si="1"/>
        <v>53170</v>
      </c>
    </row>
    <row r="104" spans="1:13" ht="16.5" customHeight="1" x14ac:dyDescent="0.25">
      <c r="A104" s="94">
        <v>93</v>
      </c>
      <c r="B104" s="95"/>
      <c r="C104" s="272" t="str">
        <f>'SAF 011'!E102</f>
        <v>JERINGAS DESCARTABLES CON AGUJA; CAPACIDAD: 20 CM3, USO: ODONTOLOGIA, PRESENTACION: ENVASE X 50 UNIDADES</v>
      </c>
      <c r="D104" s="273"/>
      <c r="E104" s="273"/>
      <c r="F104" s="273"/>
      <c r="G104" s="274"/>
      <c r="H104" s="96" t="s">
        <v>266</v>
      </c>
      <c r="I104" s="97" t="str">
        <f>'SAF 011'!F102</f>
        <v>CAJA</v>
      </c>
      <c r="J104" s="98">
        <f>'SAF 011'!AT102</f>
        <v>1064.6400000000001</v>
      </c>
      <c r="K104" s="99">
        <f>'SAF 011'!U102</f>
        <v>400</v>
      </c>
      <c r="M104" s="127">
        <f t="shared" si="1"/>
        <v>425856.00000000006</v>
      </c>
    </row>
    <row r="105" spans="1:13" ht="16.5" customHeight="1" x14ac:dyDescent="0.25">
      <c r="A105" s="94">
        <v>94</v>
      </c>
      <c r="B105" s="95"/>
      <c r="C105" s="272" t="str">
        <f>'SAF 011'!E103</f>
        <v>JERINGAS TIPO CARPULE, DESCARTABLE: NO, PRESENTACION: UNIDAD</v>
      </c>
      <c r="D105" s="273"/>
      <c r="E105" s="273"/>
      <c r="F105" s="273"/>
      <c r="G105" s="274"/>
      <c r="H105" s="96" t="s">
        <v>266</v>
      </c>
      <c r="I105" s="97" t="str">
        <f>'SAF 011'!F103</f>
        <v>UNIDAD</v>
      </c>
      <c r="J105" s="98">
        <f>'SAF 011'!AT103</f>
        <v>1545</v>
      </c>
      <c r="K105" s="99">
        <f>'SAF 011'!U103</f>
        <v>300</v>
      </c>
      <c r="M105" s="127">
        <f t="shared" si="1"/>
        <v>463500</v>
      </c>
    </row>
    <row r="106" spans="1:13" ht="16.5" customHeight="1" x14ac:dyDescent="0.25">
      <c r="A106" s="94">
        <v>95</v>
      </c>
      <c r="B106" s="95"/>
      <c r="C106" s="272" t="str">
        <f>'SAF 011'!E104</f>
        <v>JERINGAS TRIPLES METALICAS, DESCARTABLE: NO, PRESENTACION: UNIDAD</v>
      </c>
      <c r="D106" s="273"/>
      <c r="E106" s="273"/>
      <c r="F106" s="273"/>
      <c r="G106" s="274"/>
      <c r="H106" s="96" t="s">
        <v>266</v>
      </c>
      <c r="I106" s="97" t="str">
        <f>'SAF 011'!F104</f>
        <v>UNIDAD</v>
      </c>
      <c r="J106" s="98">
        <f>'SAF 011'!AT104</f>
        <v>3968.28</v>
      </c>
      <c r="K106" s="99">
        <f>'SAF 011'!U104</f>
        <v>50</v>
      </c>
      <c r="M106" s="127">
        <f t="shared" si="1"/>
        <v>198414</v>
      </c>
    </row>
    <row r="107" spans="1:13" ht="30.75" customHeight="1" x14ac:dyDescent="0.25">
      <c r="A107" s="94">
        <v>96</v>
      </c>
      <c r="B107" s="95"/>
      <c r="C107" s="272" t="str">
        <f>'SAF 011'!E105</f>
        <v>JUEGO DE FORCEPS ADULTO P/MICROCIRUGIAS; USO: ODONTOLOGIA, TIPO: EXTRACCION, MATERIAL: ACERO QUIRURGICO, PRESENTACION: ESTUCHE X 10 UNIDADES</v>
      </c>
      <c r="D107" s="273"/>
      <c r="E107" s="273"/>
      <c r="F107" s="273"/>
      <c r="G107" s="274"/>
      <c r="H107" s="96" t="s">
        <v>266</v>
      </c>
      <c r="I107" s="97" t="str">
        <f>'SAF 011'!F105</f>
        <v>ESTUCHE</v>
      </c>
      <c r="J107" s="98">
        <f>'SAF 011'!AT105</f>
        <v>14513.7</v>
      </c>
      <c r="K107" s="99">
        <f>'SAF 011'!U105</f>
        <v>50</v>
      </c>
      <c r="M107" s="127">
        <f t="shared" si="1"/>
        <v>725685</v>
      </c>
    </row>
    <row r="108" spans="1:13" ht="30" customHeight="1" x14ac:dyDescent="0.25">
      <c r="A108" s="94">
        <v>97</v>
      </c>
      <c r="B108" s="95"/>
      <c r="C108" s="272" t="str">
        <f>'SAF 011'!E106</f>
        <v>LIMAS P/ODONTOLOGIA; MATERIAL: ACERO FLEXIBLE, NUMERO: 15 AL 40, LARGO: 31 mm, TIPO: LISA, PRESENTACION: ENVASE X 6 UNIDADES</v>
      </c>
      <c r="D108" s="273"/>
      <c r="E108" s="273"/>
      <c r="F108" s="273"/>
      <c r="G108" s="274"/>
      <c r="H108" s="96" t="s">
        <v>266</v>
      </c>
      <c r="I108" s="97" t="str">
        <f>'SAF 011'!F106</f>
        <v>BLISTER</v>
      </c>
      <c r="J108" s="98">
        <f>'SAF 011'!AT106</f>
        <v>1150</v>
      </c>
      <c r="K108" s="99">
        <f>'SAF 011'!U106</f>
        <v>22</v>
      </c>
      <c r="M108" s="127">
        <f t="shared" si="1"/>
        <v>25300</v>
      </c>
    </row>
    <row r="109" spans="1:13" ht="30" customHeight="1" x14ac:dyDescent="0.25">
      <c r="A109" s="94">
        <v>98</v>
      </c>
      <c r="B109" s="95"/>
      <c r="C109" s="272" t="str">
        <f>'SAF 011'!E107</f>
        <v>LIMAS P/ODONTOLOGIA; MATERIAL: ACERO INOXIDABLE, NUMERO: 010, LARGO: 25 mm, TIPO: K, PRESENTACION: ENVASE X 6 UNIDADES</v>
      </c>
      <c r="D109" s="273"/>
      <c r="E109" s="273"/>
      <c r="F109" s="273"/>
      <c r="G109" s="274"/>
      <c r="H109" s="96" t="s">
        <v>266</v>
      </c>
      <c r="I109" s="97" t="str">
        <f>'SAF 011'!F107</f>
        <v>BLISTER</v>
      </c>
      <c r="J109" s="98">
        <f>'SAF 011'!AT107</f>
        <v>1150</v>
      </c>
      <c r="K109" s="99">
        <f>'SAF 011'!U107</f>
        <v>35</v>
      </c>
      <c r="M109" s="127">
        <f t="shared" si="1"/>
        <v>40250</v>
      </c>
    </row>
    <row r="110" spans="1:13" ht="30" customHeight="1" x14ac:dyDescent="0.25">
      <c r="A110" s="94">
        <v>99</v>
      </c>
      <c r="B110" s="95"/>
      <c r="C110" s="272" t="str">
        <f>'SAF 011'!E108</f>
        <v>LIMAS P/ODONTOLOGIA; MATERIAL: ACERO INOXIDABLE, NUMERO: 015, LARGO: 25 mm, TIPO: K, PRESENTACION: ENVASE X 6 UNIDADES</v>
      </c>
      <c r="D110" s="273"/>
      <c r="E110" s="273"/>
      <c r="F110" s="273"/>
      <c r="G110" s="274"/>
      <c r="H110" s="96" t="s">
        <v>266</v>
      </c>
      <c r="I110" s="97" t="str">
        <f>'SAF 011'!F108</f>
        <v>BLISTER</v>
      </c>
      <c r="J110" s="98">
        <f>'SAF 011'!AT108</f>
        <v>1150</v>
      </c>
      <c r="K110" s="99">
        <f>'SAF 011'!U108</f>
        <v>35</v>
      </c>
      <c r="M110" s="127">
        <f t="shared" si="1"/>
        <v>40250</v>
      </c>
    </row>
    <row r="111" spans="1:13" ht="30" customHeight="1" x14ac:dyDescent="0.25">
      <c r="A111" s="94">
        <v>100</v>
      </c>
      <c r="B111" s="95"/>
      <c r="C111" s="272" t="str">
        <f>'SAF 011'!E109</f>
        <v>LIMAS P/ODONTOLOGIA; MATERIAL: ACERO INOXIDABLE, NUMERO: 020, LARGO: 25 mm, TIPO: K, PRESENTACION: ENVASE X 6 UNIDADES</v>
      </c>
      <c r="D111" s="273"/>
      <c r="E111" s="273"/>
      <c r="F111" s="273"/>
      <c r="G111" s="274"/>
      <c r="H111" s="96" t="s">
        <v>266</v>
      </c>
      <c r="I111" s="97" t="str">
        <f>'SAF 011'!F109</f>
        <v>BLISTER</v>
      </c>
      <c r="J111" s="98">
        <f>'SAF 011'!AT109</f>
        <v>1150</v>
      </c>
      <c r="K111" s="99">
        <f>'SAF 011'!U109</f>
        <v>35</v>
      </c>
      <c r="M111" s="127">
        <f t="shared" si="1"/>
        <v>40250</v>
      </c>
    </row>
    <row r="112" spans="1:13" ht="30" customHeight="1" x14ac:dyDescent="0.25">
      <c r="A112" s="94">
        <v>101</v>
      </c>
      <c r="B112" s="95"/>
      <c r="C112" s="272" t="str">
        <f>'SAF 011'!E110</f>
        <v>LIMAS P/ODONTOLOGIA; MATERIAL: ACERO INOXIDABLE, NUMERO: 025, LARGO: 25 mm, TIPO: K, PRESENTACION: ENVASE X 6 UNIDADES</v>
      </c>
      <c r="D112" s="273"/>
      <c r="E112" s="273"/>
      <c r="F112" s="273"/>
      <c r="G112" s="274"/>
      <c r="H112" s="96" t="s">
        <v>266</v>
      </c>
      <c r="I112" s="97" t="str">
        <f>'SAF 011'!F110</f>
        <v>BLISTER</v>
      </c>
      <c r="J112" s="98">
        <f>'SAF 011'!AT110</f>
        <v>1150</v>
      </c>
      <c r="K112" s="99">
        <f>'SAF 011'!U110</f>
        <v>35</v>
      </c>
      <c r="M112" s="127">
        <f t="shared" si="1"/>
        <v>40250</v>
      </c>
    </row>
    <row r="113" spans="1:13" ht="30" customHeight="1" x14ac:dyDescent="0.25">
      <c r="A113" s="94">
        <v>102</v>
      </c>
      <c r="B113" s="95"/>
      <c r="C113" s="272" t="str">
        <f>'SAF 011'!E111</f>
        <v>LIMAS P/ODONTOLOGIA; MATERIAL: ACERO INOXIDABLE, NUMERO: 030, LARGO: 25 mm, TIPO: K, PRESENTACION: ENVASE X 6 UNIDADES</v>
      </c>
      <c r="D113" s="273"/>
      <c r="E113" s="273"/>
      <c r="F113" s="273"/>
      <c r="G113" s="274"/>
      <c r="H113" s="96" t="s">
        <v>266</v>
      </c>
      <c r="I113" s="97" t="str">
        <f>'SAF 011'!F111</f>
        <v>BLISTER</v>
      </c>
      <c r="J113" s="98">
        <f>'SAF 011'!AT111</f>
        <v>1150</v>
      </c>
      <c r="K113" s="99">
        <f>'SAF 011'!U111</f>
        <v>35</v>
      </c>
      <c r="M113" s="127">
        <f t="shared" si="1"/>
        <v>40250</v>
      </c>
    </row>
    <row r="114" spans="1:13" ht="30" customHeight="1" x14ac:dyDescent="0.25">
      <c r="A114" s="94">
        <v>103</v>
      </c>
      <c r="B114" s="95"/>
      <c r="C114" s="272" t="str">
        <f>'SAF 011'!E112</f>
        <v>LIMAS P/ODONTOLOGIA; MATERIAL: ACERO INOXIDABLE, NUMERO: 035, LARGO: 25 mm, TIPO: K, PRESENTACION: ENVASE X 6 UNIDADES</v>
      </c>
      <c r="D114" s="273"/>
      <c r="E114" s="273"/>
      <c r="F114" s="273"/>
      <c r="G114" s="274"/>
      <c r="H114" s="96" t="s">
        <v>266</v>
      </c>
      <c r="I114" s="97" t="str">
        <f>'SAF 011'!F112</f>
        <v>BLISTER</v>
      </c>
      <c r="J114" s="98">
        <f>'SAF 011'!AT112</f>
        <v>1150</v>
      </c>
      <c r="K114" s="99">
        <f>'SAF 011'!U112</f>
        <v>35</v>
      </c>
      <c r="M114" s="127">
        <f t="shared" si="1"/>
        <v>40250</v>
      </c>
    </row>
    <row r="115" spans="1:13" ht="30" customHeight="1" x14ac:dyDescent="0.25">
      <c r="A115" s="94">
        <v>104</v>
      </c>
      <c r="B115" s="95"/>
      <c r="C115" s="272" t="str">
        <f>'SAF 011'!E113</f>
        <v>LIMAS P/ODONTOLOGIA; MATERIAL: ACERO INOXIDABLE, NUMERO: 040, LARGO: 25 mm, TIPO: K, PRESENTACION: ENVASE X 6 UNIDADES</v>
      </c>
      <c r="D115" s="273"/>
      <c r="E115" s="273"/>
      <c r="F115" s="273"/>
      <c r="G115" s="274"/>
      <c r="H115" s="96" t="s">
        <v>266</v>
      </c>
      <c r="I115" s="97" t="str">
        <f>'SAF 011'!F113</f>
        <v>BLISTER</v>
      </c>
      <c r="J115" s="98">
        <f>'SAF 011'!AT113</f>
        <v>1150</v>
      </c>
      <c r="K115" s="99">
        <f>'SAF 011'!U113</f>
        <v>35</v>
      </c>
      <c r="M115" s="127">
        <f t="shared" si="1"/>
        <v>40250</v>
      </c>
    </row>
    <row r="116" spans="1:13" ht="30" customHeight="1" x14ac:dyDescent="0.25">
      <c r="A116" s="94">
        <v>105</v>
      </c>
      <c r="B116" s="95"/>
      <c r="C116" s="272" t="str">
        <f>'SAF 011'!E114</f>
        <v>LIMAS P/ODONTOLOGIA; MATERIAL: ACERO INOXIDABLE, NUMERO: 045, LARGO: 25 mm, TIPO: K, PRESENTACION: ENVASE X 6 UNIDADES</v>
      </c>
      <c r="D116" s="273"/>
      <c r="E116" s="273"/>
      <c r="F116" s="273"/>
      <c r="G116" s="274"/>
      <c r="H116" s="96" t="s">
        <v>266</v>
      </c>
      <c r="I116" s="97" t="str">
        <f>'SAF 011'!F114</f>
        <v>BLISTER</v>
      </c>
      <c r="J116" s="98">
        <f>'SAF 011'!AT114</f>
        <v>1150</v>
      </c>
      <c r="K116" s="99">
        <f>'SAF 011'!U114</f>
        <v>35</v>
      </c>
      <c r="M116" s="127">
        <f t="shared" si="1"/>
        <v>40250</v>
      </c>
    </row>
    <row r="117" spans="1:13" ht="30" customHeight="1" x14ac:dyDescent="0.25">
      <c r="A117" s="94">
        <v>106</v>
      </c>
      <c r="B117" s="95"/>
      <c r="C117" s="272" t="str">
        <f>'SAF 011'!E115</f>
        <v>LIMAS P/ODONTOLOGIA; MATERIAL: ACERO INOXIDABLE, NUMERO: 15 AL 40, LARGO: 21 mm, TIPO: HEDSTROEM, PRESENTACION: ENVASE X 6 UNIDADES</v>
      </c>
      <c r="D117" s="273"/>
      <c r="E117" s="273"/>
      <c r="F117" s="273"/>
      <c r="G117" s="274"/>
      <c r="H117" s="96" t="s">
        <v>266</v>
      </c>
      <c r="I117" s="97" t="str">
        <f>'SAF 011'!F115</f>
        <v>BLISTER</v>
      </c>
      <c r="J117" s="98">
        <f>'SAF 011'!AT115</f>
        <v>1150</v>
      </c>
      <c r="K117" s="99">
        <f>'SAF 011'!U115</f>
        <v>23</v>
      </c>
      <c r="M117" s="127">
        <f t="shared" si="1"/>
        <v>26450</v>
      </c>
    </row>
    <row r="118" spans="1:13" ht="30" customHeight="1" x14ac:dyDescent="0.25">
      <c r="A118" s="94">
        <v>107</v>
      </c>
      <c r="B118" s="95"/>
      <c r="C118" s="272" t="str">
        <f>'SAF 011'!E116</f>
        <v>LIMAS P/ODONTOLOGIA; MATERIAL: ACERO INOXIDABLE, NUMERO: 15 AL 40, LARGO: 21 mm, TIPO: K, PRESENTACION: ENVASE X 6 UNIDADES</v>
      </c>
      <c r="D118" s="273"/>
      <c r="E118" s="273"/>
      <c r="F118" s="273"/>
      <c r="G118" s="274"/>
      <c r="H118" s="96" t="s">
        <v>266</v>
      </c>
      <c r="I118" s="97" t="str">
        <f>'SAF 011'!F116</f>
        <v>BLISTER</v>
      </c>
      <c r="J118" s="98">
        <f>'SAF 011'!AT116</f>
        <v>1150</v>
      </c>
      <c r="K118" s="99">
        <f>'SAF 011'!U116</f>
        <v>23</v>
      </c>
      <c r="M118" s="127">
        <f t="shared" si="1"/>
        <v>26450</v>
      </c>
    </row>
    <row r="119" spans="1:13" ht="30" customHeight="1" x14ac:dyDescent="0.25">
      <c r="A119" s="94">
        <v>108</v>
      </c>
      <c r="B119" s="95"/>
      <c r="C119" s="272" t="str">
        <f>'SAF 011'!E117</f>
        <v>LIMAS P/ODONTOLOGIA; MATERIAL: ACERO INOXIDABLE, NUMERO: 15 AL 40, LARGO: 25 mm, TIPO: HEDSTROEM, PRESENTACION: ENVASE X 6 UNIDADES</v>
      </c>
      <c r="D119" s="273"/>
      <c r="E119" s="273"/>
      <c r="F119" s="273"/>
      <c r="G119" s="274"/>
      <c r="H119" s="96" t="s">
        <v>266</v>
      </c>
      <c r="I119" s="97" t="str">
        <f>'SAF 011'!F117</f>
        <v>BLISTER</v>
      </c>
      <c r="J119" s="98">
        <f>'SAF 011'!AT117</f>
        <v>1150</v>
      </c>
      <c r="K119" s="99">
        <f>'SAF 011'!U117</f>
        <v>23</v>
      </c>
      <c r="M119" s="127">
        <f t="shared" si="1"/>
        <v>26450</v>
      </c>
    </row>
    <row r="120" spans="1:13" ht="30" customHeight="1" x14ac:dyDescent="0.25">
      <c r="A120" s="94">
        <v>109</v>
      </c>
      <c r="B120" s="95"/>
      <c r="C120" s="272" t="str">
        <f>'SAF 011'!E118</f>
        <v>LIMAS P/ODONTOLOGIA; MATERIAL: ACERO INOXIDABLE, NUMERO: 15 AL 40, LARGO: 25 mm, TIPO: K, PRESENTACION: ENVASE X 6 UNIDADES</v>
      </c>
      <c r="D120" s="273"/>
      <c r="E120" s="273"/>
      <c r="F120" s="273"/>
      <c r="G120" s="274"/>
      <c r="H120" s="96" t="s">
        <v>266</v>
      </c>
      <c r="I120" s="97" t="str">
        <f>'SAF 011'!F118</f>
        <v>BLISTER</v>
      </c>
      <c r="J120" s="98">
        <f>'SAF 011'!AT118</f>
        <v>1150</v>
      </c>
      <c r="K120" s="99">
        <f>'SAF 011'!U118</f>
        <v>33</v>
      </c>
      <c r="M120" s="127">
        <f t="shared" si="1"/>
        <v>37950</v>
      </c>
    </row>
    <row r="121" spans="1:13" ht="30" customHeight="1" x14ac:dyDescent="0.25">
      <c r="A121" s="94">
        <v>110</v>
      </c>
      <c r="B121" s="95"/>
      <c r="C121" s="272" t="str">
        <f>'SAF 011'!E119</f>
        <v>LIMAS P/ODONTOLOGIA; MATERIAL: ACERO INOXIDABLE, NUMERO: 15 AL 40, LARGO: 31 mm, TIPO: K, PRESENTACION: ENVASE X 6 UNIDADES</v>
      </c>
      <c r="D121" s="273"/>
      <c r="E121" s="273"/>
      <c r="F121" s="273"/>
      <c r="G121" s="274"/>
      <c r="H121" s="96" t="s">
        <v>266</v>
      </c>
      <c r="I121" s="97" t="str">
        <f>'SAF 011'!F119</f>
        <v>BLISTER</v>
      </c>
      <c r="J121" s="98">
        <f>'SAF 011'!AT119</f>
        <v>1150</v>
      </c>
      <c r="K121" s="99">
        <f>'SAF 011'!U119</f>
        <v>36</v>
      </c>
      <c r="M121" s="127">
        <f t="shared" si="1"/>
        <v>41400</v>
      </c>
    </row>
    <row r="122" spans="1:13" ht="30" customHeight="1" x14ac:dyDescent="0.25">
      <c r="A122" s="94">
        <v>111</v>
      </c>
      <c r="B122" s="95"/>
      <c r="C122" s="272" t="str">
        <f>'SAF 011'!E120</f>
        <v>LIMAS P/ODONTOLOGIA; MATERIAL: ACERO INOXIDABLE, NUMERO: 45 AL 80, LARGO: 21 mm, TIPO: HEDSTROEM, PRESENTACION: ENVASE X 6 UNIDADES</v>
      </c>
      <c r="D122" s="273"/>
      <c r="E122" s="273"/>
      <c r="F122" s="273"/>
      <c r="G122" s="274"/>
      <c r="H122" s="96" t="s">
        <v>266</v>
      </c>
      <c r="I122" s="97" t="str">
        <f>'SAF 011'!F120</f>
        <v>BLISTER</v>
      </c>
      <c r="J122" s="98">
        <f>'SAF 011'!AT120</f>
        <v>1150</v>
      </c>
      <c r="K122" s="99">
        <f>'SAF 011'!U120</f>
        <v>23</v>
      </c>
      <c r="M122" s="127">
        <f t="shared" si="1"/>
        <v>26450</v>
      </c>
    </row>
    <row r="123" spans="1:13" ht="30" customHeight="1" x14ac:dyDescent="0.25">
      <c r="A123" s="94">
        <v>112</v>
      </c>
      <c r="B123" s="95"/>
      <c r="C123" s="272" t="str">
        <f>'SAF 011'!E121</f>
        <v>LIMAS P/ODONTOLOGIA; MATERIAL: ACERO INOXIDABLE, NUMERO: 45 AL 80, LARGO: 21 mm, TIPO: K, PRESENTACION: ENVASE X 6 UNIDADES</v>
      </c>
      <c r="D123" s="273"/>
      <c r="E123" s="273"/>
      <c r="F123" s="273"/>
      <c r="G123" s="274"/>
      <c r="H123" s="96" t="s">
        <v>266</v>
      </c>
      <c r="I123" s="97" t="str">
        <f>'SAF 011'!F121</f>
        <v>BLISTER</v>
      </c>
      <c r="J123" s="98">
        <f>'SAF 011'!AT121</f>
        <v>1150</v>
      </c>
      <c r="K123" s="99">
        <f>'SAF 011'!U121</f>
        <v>23</v>
      </c>
      <c r="M123" s="127">
        <f t="shared" si="1"/>
        <v>26450</v>
      </c>
    </row>
    <row r="124" spans="1:13" ht="30" customHeight="1" x14ac:dyDescent="0.25">
      <c r="A124" s="94">
        <v>113</v>
      </c>
      <c r="B124" s="95"/>
      <c r="C124" s="272" t="str">
        <f>'SAF 011'!E122</f>
        <v>LIMAS P/ODONTOLOGIA; MATERIAL: ACERO INOXIDABLE, NUMERO: 45 AL 80, LARGO: 25 mm, TIPO: HEDSTROEM, PRESENTACION: ENVASE X 6 UNIDADES</v>
      </c>
      <c r="D124" s="273"/>
      <c r="E124" s="273"/>
      <c r="F124" s="273"/>
      <c r="G124" s="274"/>
      <c r="H124" s="96" t="s">
        <v>266</v>
      </c>
      <c r="I124" s="97" t="str">
        <f>'SAF 011'!F122</f>
        <v>BLISTER</v>
      </c>
      <c r="J124" s="98">
        <f>'SAF 011'!AT122</f>
        <v>1150</v>
      </c>
      <c r="K124" s="99">
        <f>'SAF 011'!U122</f>
        <v>23</v>
      </c>
      <c r="M124" s="127">
        <f t="shared" si="1"/>
        <v>26450</v>
      </c>
    </row>
    <row r="125" spans="1:13" ht="30" customHeight="1" x14ac:dyDescent="0.25">
      <c r="A125" s="94">
        <v>114</v>
      </c>
      <c r="B125" s="95"/>
      <c r="C125" s="272" t="str">
        <f>'SAF 011'!E123</f>
        <v>LIMAS P/ODONTOLOGIA; MATERIAL: ACERO INOXIDABLE, NUMERO: 45 AL 80, LARGO: 25 mm, TIPO: K, PRESENTACION: ENVASE X 6 UNIDADES</v>
      </c>
      <c r="D125" s="273"/>
      <c r="E125" s="273"/>
      <c r="F125" s="273"/>
      <c r="G125" s="274"/>
      <c r="H125" s="96" t="s">
        <v>266</v>
      </c>
      <c r="I125" s="97" t="str">
        <f>'SAF 011'!F123</f>
        <v>BLISTER</v>
      </c>
      <c r="J125" s="98">
        <f>'SAF 011'!AT123</f>
        <v>1150</v>
      </c>
      <c r="K125" s="99">
        <f>'SAF 011'!U123</f>
        <v>36</v>
      </c>
      <c r="M125" s="127">
        <f t="shared" si="1"/>
        <v>41400</v>
      </c>
    </row>
    <row r="126" spans="1:13" ht="30" customHeight="1" x14ac:dyDescent="0.25">
      <c r="A126" s="94">
        <v>115</v>
      </c>
      <c r="B126" s="95"/>
      <c r="C126" s="272" t="str">
        <f>'SAF 011'!E124</f>
        <v>LIMAS P/ODONTOLOGIA; MATERIAL: CARBURO DE TUNGSTENO, NUMERO: 15/40, LARGO: 31 mm, TIPO: K, PRESENTACION: ENVASE X 6 UNIDADES</v>
      </c>
      <c r="D126" s="273"/>
      <c r="E126" s="273"/>
      <c r="F126" s="273"/>
      <c r="G126" s="274"/>
      <c r="H126" s="96" t="s">
        <v>266</v>
      </c>
      <c r="I126" s="97" t="str">
        <f>'SAF 011'!F124</f>
        <v>BLISTER</v>
      </c>
      <c r="J126" s="98">
        <f>'SAF 011'!AT124</f>
        <v>1150</v>
      </c>
      <c r="K126" s="99">
        <f>'SAF 011'!U124</f>
        <v>23</v>
      </c>
      <c r="M126" s="127">
        <f t="shared" si="1"/>
        <v>26450</v>
      </c>
    </row>
    <row r="127" spans="1:13" ht="30" customHeight="1" x14ac:dyDescent="0.25">
      <c r="A127" s="94">
        <v>116</v>
      </c>
      <c r="B127" s="95"/>
      <c r="C127" s="272" t="str">
        <f>'SAF 011'!E125</f>
        <v>LIMAS P/ODONTOLOGIA; MATERIAL: CARBURO DE TUNGSTENO, NUMERO: 45/80, LARGO: 25 mm, TIPO: K, PRESENTACION: ENVASE X 6 UNIDADES</v>
      </c>
      <c r="D127" s="273"/>
      <c r="E127" s="273"/>
      <c r="F127" s="273"/>
      <c r="G127" s="274"/>
      <c r="H127" s="96" t="s">
        <v>266</v>
      </c>
      <c r="I127" s="97" t="str">
        <f>'SAF 011'!F125</f>
        <v>BLISTER</v>
      </c>
      <c r="J127" s="98">
        <f>'SAF 011'!AT125</f>
        <v>1150</v>
      </c>
      <c r="K127" s="99">
        <f>'SAF 011'!U125</f>
        <v>23</v>
      </c>
      <c r="M127" s="127">
        <f t="shared" si="1"/>
        <v>26450</v>
      </c>
    </row>
    <row r="128" spans="1:13" ht="30" customHeight="1" x14ac:dyDescent="0.25">
      <c r="A128" s="94">
        <v>117</v>
      </c>
      <c r="B128" s="95"/>
      <c r="C128" s="272" t="str">
        <f>'SAF 011'!E126</f>
        <v>MANGO PARA ESPEJO BUCAL, DESCARTABLE: NO, PRESENTACION: UNIDAD</v>
      </c>
      <c r="D128" s="273"/>
      <c r="E128" s="273"/>
      <c r="F128" s="273"/>
      <c r="G128" s="274"/>
      <c r="H128" s="96" t="s">
        <v>266</v>
      </c>
      <c r="I128" s="97" t="str">
        <f>'SAF 011'!F126</f>
        <v>UNIDAD</v>
      </c>
      <c r="J128" s="98">
        <f>'SAF 011'!AT126</f>
        <v>210</v>
      </c>
      <c r="K128" s="99">
        <f>'SAF 011'!U126</f>
        <v>300</v>
      </c>
      <c r="M128" s="127">
        <f t="shared" si="1"/>
        <v>63000</v>
      </c>
    </row>
    <row r="129" spans="1:13" ht="30.75" customHeight="1" x14ac:dyDescent="0.25">
      <c r="A129" s="94">
        <v>118</v>
      </c>
      <c r="B129" s="95"/>
      <c r="C129" s="272" t="str">
        <f>'SAF 011'!E127</f>
        <v>MANGOS DE BISTURI; TIPO: MANGO DE BISTURI, USO: ODONTOLOGICO, CUERPO: 147 dBV/mPa , CAMBIAR HOJAS: SI, NUMERO: 15, MATERIAL DEL CUERPO: 147 dBV/mPa , MATERIAL: METAL</v>
      </c>
      <c r="D129" s="273"/>
      <c r="E129" s="273"/>
      <c r="F129" s="273"/>
      <c r="G129" s="274"/>
      <c r="H129" s="96" t="s">
        <v>266</v>
      </c>
      <c r="I129" s="97" t="str">
        <f>'SAF 011'!F127</f>
        <v>UNIDAD</v>
      </c>
      <c r="J129" s="98">
        <f>'SAF 011'!AT127</f>
        <v>250</v>
      </c>
      <c r="K129" s="99">
        <f>'SAF 011'!U127</f>
        <v>50</v>
      </c>
      <c r="M129" s="127">
        <f t="shared" si="1"/>
        <v>12500</v>
      </c>
    </row>
    <row r="130" spans="1:13" ht="16.5" customHeight="1" x14ac:dyDescent="0.25">
      <c r="A130" s="94">
        <v>119</v>
      </c>
      <c r="B130" s="95"/>
      <c r="C130" s="272" t="str">
        <f>'SAF 011'!E128</f>
        <v>MATRIZ METALICA, DESCARTABLE: NO, PRESENTACION: UNIDAD</v>
      </c>
      <c r="D130" s="273"/>
      <c r="E130" s="273"/>
      <c r="F130" s="273"/>
      <c r="G130" s="274"/>
      <c r="H130" s="96" t="s">
        <v>266</v>
      </c>
      <c r="I130" s="97" t="str">
        <f>'SAF 011'!F128</f>
        <v>UNIDAD</v>
      </c>
      <c r="J130" s="98">
        <f>'SAF 011'!AT128</f>
        <v>870</v>
      </c>
      <c r="K130" s="99">
        <f>'SAF 011'!U128</f>
        <v>10</v>
      </c>
      <c r="M130" s="127">
        <f t="shared" si="1"/>
        <v>8700</v>
      </c>
    </row>
    <row r="131" spans="1:13" ht="16.5" customHeight="1" x14ac:dyDescent="0.25">
      <c r="A131" s="94">
        <v>120</v>
      </c>
      <c r="B131" s="95"/>
      <c r="C131" s="272" t="str">
        <f>'SAF 011'!E129</f>
        <v>MECHA FLAMEADOR, DESCARTABLE: SI, PRESENTACION: UNIDAD</v>
      </c>
      <c r="D131" s="273"/>
      <c r="E131" s="273"/>
      <c r="F131" s="273"/>
      <c r="G131" s="274"/>
      <c r="H131" s="96" t="s">
        <v>266</v>
      </c>
      <c r="I131" s="97" t="str">
        <f>'SAF 011'!F129</f>
        <v>UNIDAD</v>
      </c>
      <c r="J131" s="98">
        <f>'SAF 011'!AT129</f>
        <v>20</v>
      </c>
      <c r="K131" s="99">
        <f>'SAF 011'!U129</f>
        <v>20</v>
      </c>
      <c r="M131" s="127">
        <f t="shared" si="1"/>
        <v>400</v>
      </c>
    </row>
    <row r="132" spans="1:13" ht="16.5" customHeight="1" x14ac:dyDescent="0.25">
      <c r="A132" s="94">
        <v>121</v>
      </c>
      <c r="B132" s="95"/>
      <c r="C132" s="272" t="str">
        <f>'SAF 011'!E130</f>
        <v>MICROBRUSH, DESCARTABLE: SI, PRESENTACION: ENVASE X 100 UN</v>
      </c>
      <c r="D132" s="273"/>
      <c r="E132" s="273"/>
      <c r="F132" s="273"/>
      <c r="G132" s="274"/>
      <c r="H132" s="96" t="s">
        <v>266</v>
      </c>
      <c r="I132" s="97" t="str">
        <f>'SAF 011'!F130</f>
        <v>CAJA</v>
      </c>
      <c r="J132" s="98">
        <f>'SAF 011'!AT130</f>
        <v>520</v>
      </c>
      <c r="K132" s="99">
        <f>'SAF 011'!U130</f>
        <v>50</v>
      </c>
      <c r="M132" s="127">
        <f t="shared" si="1"/>
        <v>26000</v>
      </c>
    </row>
    <row r="133" spans="1:13" ht="16.5" customHeight="1" x14ac:dyDescent="0.25">
      <c r="A133" s="94">
        <v>122</v>
      </c>
      <c r="B133" s="95"/>
      <c r="C133" s="272" t="str">
        <f>'SAF 011'!E131</f>
        <v>MICROMOTOR, DESCARTABLE: NO, PRESENTACION: UNIDAD</v>
      </c>
      <c r="D133" s="273"/>
      <c r="E133" s="273"/>
      <c r="F133" s="273"/>
      <c r="G133" s="274"/>
      <c r="H133" s="96" t="s">
        <v>266</v>
      </c>
      <c r="I133" s="97" t="str">
        <f>'SAF 011'!F131</f>
        <v>UNIDAD</v>
      </c>
      <c r="J133" s="98">
        <f>'SAF 011'!AT131</f>
        <v>13195</v>
      </c>
      <c r="K133" s="99">
        <f>'SAF 011'!U131</f>
        <v>5</v>
      </c>
      <c r="M133" s="127">
        <f t="shared" si="1"/>
        <v>65975</v>
      </c>
    </row>
    <row r="134" spans="1:13" ht="16.5" customHeight="1" x14ac:dyDescent="0.25">
      <c r="A134" s="94">
        <v>123</v>
      </c>
      <c r="B134" s="95"/>
      <c r="C134" s="272" t="str">
        <f>'SAF 011'!E132</f>
        <v>PALILLOS P/ODONTOLOGIA; MATERIAL : MADERA, USO: RECONSTRUCCIONES DENTARIAS, PRESENTACION: ENVASE X 100 UNIDADES</v>
      </c>
      <c r="D134" s="273"/>
      <c r="E134" s="273"/>
      <c r="F134" s="273"/>
      <c r="G134" s="274"/>
      <c r="H134" s="96" t="s">
        <v>266</v>
      </c>
      <c r="I134" s="97" t="str">
        <f>'SAF 011'!F132</f>
        <v>CAJA</v>
      </c>
      <c r="J134" s="98">
        <f>'SAF 011'!AT132</f>
        <v>1764.32</v>
      </c>
      <c r="K134" s="99">
        <f>'SAF 011'!U132</f>
        <v>10</v>
      </c>
      <c r="M134" s="127">
        <f t="shared" si="1"/>
        <v>17643.2</v>
      </c>
    </row>
    <row r="135" spans="1:13" ht="16.5" customHeight="1" x14ac:dyDescent="0.25">
      <c r="A135" s="94">
        <v>124</v>
      </c>
      <c r="B135" s="95"/>
      <c r="C135" s="272" t="str">
        <f>'SAF 011'!E133</f>
        <v>PAPEL DE ARTICULAR, PRESENTACION: ENVASE X 12 BLOCKS, DESCARTABLE: SI</v>
      </c>
      <c r="D135" s="273"/>
      <c r="E135" s="273"/>
      <c r="F135" s="273"/>
      <c r="G135" s="274"/>
      <c r="H135" s="96" t="s">
        <v>266</v>
      </c>
      <c r="I135" s="97" t="str">
        <f>'SAF 011'!F133</f>
        <v>CAJA</v>
      </c>
      <c r="J135" s="98">
        <f>'SAF 011'!AT133</f>
        <v>1150</v>
      </c>
      <c r="K135" s="99">
        <f>'SAF 011'!U133</f>
        <v>30</v>
      </c>
      <c r="M135" s="127">
        <f t="shared" si="1"/>
        <v>34500</v>
      </c>
    </row>
    <row r="136" spans="1:13" ht="16.5" customHeight="1" x14ac:dyDescent="0.25">
      <c r="A136" s="94">
        <v>125</v>
      </c>
      <c r="B136" s="95"/>
      <c r="C136" s="272" t="str">
        <f>'SAF 011'!E134</f>
        <v>PASTAS P/ODONTOLOGIA; USO: OBTURACION, TIPO: GUTAPERCHA, PRESENTACION: ENVASE X 40 GR</v>
      </c>
      <c r="D136" s="273"/>
      <c r="E136" s="273"/>
      <c r="F136" s="273"/>
      <c r="G136" s="274"/>
      <c r="H136" s="96" t="s">
        <v>266</v>
      </c>
      <c r="I136" s="97" t="str">
        <f>'SAF 011'!F134</f>
        <v>UNIDAD</v>
      </c>
      <c r="J136" s="98">
        <f>'SAF 011'!AT134</f>
        <v>858</v>
      </c>
      <c r="K136" s="99">
        <f>'SAF 011'!U134</f>
        <v>50</v>
      </c>
      <c r="M136" s="127">
        <f t="shared" si="1"/>
        <v>42900</v>
      </c>
    </row>
    <row r="137" spans="1:13" ht="16.5" customHeight="1" x14ac:dyDescent="0.25">
      <c r="A137" s="94">
        <v>126</v>
      </c>
      <c r="B137" s="95"/>
      <c r="C137" s="272" t="str">
        <f>'SAF 011'!E135</f>
        <v>PASTAS P/ODONTOLOGIA; USO: SELLADOR, TIPO: COMPOMERO, PRESENTACION: JERINGA X 2 GR</v>
      </c>
      <c r="D137" s="273"/>
      <c r="E137" s="273"/>
      <c r="F137" s="273"/>
      <c r="G137" s="274"/>
      <c r="H137" s="96" t="s">
        <v>266</v>
      </c>
      <c r="I137" s="97" t="str">
        <f>'SAF 011'!F135</f>
        <v>UNIDAD</v>
      </c>
      <c r="J137" s="98">
        <f>'SAF 011'!AT135</f>
        <v>1637</v>
      </c>
      <c r="K137" s="99">
        <f>'SAF 011'!U135</f>
        <v>50</v>
      </c>
      <c r="M137" s="127">
        <f t="shared" si="1"/>
        <v>81850</v>
      </c>
    </row>
    <row r="138" spans="1:13" ht="16.5" customHeight="1" x14ac:dyDescent="0.25">
      <c r="A138" s="94">
        <v>127</v>
      </c>
      <c r="B138" s="95"/>
      <c r="C138" s="272" t="str">
        <f>'SAF 011'!E136</f>
        <v>PINZA DE ALGODON, DESCARTABLE: NO, PRESENTACION: UNIDAD</v>
      </c>
      <c r="D138" s="273"/>
      <c r="E138" s="273"/>
      <c r="F138" s="273"/>
      <c r="G138" s="274"/>
      <c r="H138" s="96" t="s">
        <v>266</v>
      </c>
      <c r="I138" s="97" t="str">
        <f>'SAF 011'!F136</f>
        <v>UNIDAD</v>
      </c>
      <c r="J138" s="98">
        <f>'SAF 011'!AT136</f>
        <v>280</v>
      </c>
      <c r="K138" s="99">
        <f>'SAF 011'!U136</f>
        <v>50</v>
      </c>
      <c r="M138" s="127">
        <f t="shared" si="1"/>
        <v>14000</v>
      </c>
    </row>
    <row r="139" spans="1:13" ht="16.5" customHeight="1" x14ac:dyDescent="0.25">
      <c r="A139" s="94">
        <v>128</v>
      </c>
      <c r="B139" s="95"/>
      <c r="C139" s="272" t="str">
        <f>'SAF 011'!E137</f>
        <v>PINZA P/ CONO DE GUTAPERCHA, DESCARTABLE: NO, PRESENTACION: UNIDAD</v>
      </c>
      <c r="D139" s="273"/>
      <c r="E139" s="273"/>
      <c r="F139" s="273"/>
      <c r="G139" s="274"/>
      <c r="H139" s="96" t="s">
        <v>266</v>
      </c>
      <c r="I139" s="97" t="str">
        <f>'SAF 011'!F137</f>
        <v>UNIDAD</v>
      </c>
      <c r="J139" s="98">
        <f>'SAF 011'!AT137</f>
        <v>7810.44</v>
      </c>
      <c r="K139" s="99">
        <f>'SAF 011'!U137</f>
        <v>10</v>
      </c>
      <c r="M139" s="127">
        <f t="shared" si="1"/>
        <v>78104.399999999994</v>
      </c>
    </row>
    <row r="140" spans="1:13" ht="16.5" customHeight="1" x14ac:dyDescent="0.25">
      <c r="A140" s="94">
        <v>129</v>
      </c>
      <c r="B140" s="95"/>
      <c r="C140" s="272" t="str">
        <f>'SAF 011'!E138</f>
        <v>PINZAS DE CIRUGIA; TIPO: DISECCION SIN DIENTE, MEDIDA: 13 Cm</v>
      </c>
      <c r="D140" s="273"/>
      <c r="E140" s="273"/>
      <c r="F140" s="273"/>
      <c r="G140" s="274"/>
      <c r="H140" s="96" t="s">
        <v>266</v>
      </c>
      <c r="I140" s="97" t="str">
        <f>'SAF 011'!F138</f>
        <v>UNIDAD</v>
      </c>
      <c r="J140" s="98">
        <f>'SAF 011'!AT138</f>
        <v>455</v>
      </c>
      <c r="K140" s="99">
        <f>'SAF 011'!U138</f>
        <v>10</v>
      </c>
      <c r="M140" s="127">
        <f t="shared" si="1"/>
        <v>4550</v>
      </c>
    </row>
    <row r="141" spans="1:13" ht="16.5" customHeight="1" x14ac:dyDescent="0.25">
      <c r="A141" s="94">
        <v>130</v>
      </c>
      <c r="B141" s="95"/>
      <c r="C141" s="272" t="str">
        <f>'SAF 011'!E139</f>
        <v>PINZAS P/MEDICINA; USO: ODONTOLOGICO, TIPO: GUBIA, MEDIDA: 20 Cm</v>
      </c>
      <c r="D141" s="273"/>
      <c r="E141" s="273"/>
      <c r="F141" s="273"/>
      <c r="G141" s="274"/>
      <c r="H141" s="96" t="s">
        <v>266</v>
      </c>
      <c r="I141" s="97" t="str">
        <f>'SAF 011'!F139</f>
        <v>UNIDAD</v>
      </c>
      <c r="J141" s="98">
        <f>'SAF 011'!AT139</f>
        <v>1974.69</v>
      </c>
      <c r="K141" s="99">
        <f>'SAF 011'!U139</f>
        <v>70</v>
      </c>
      <c r="M141" s="127">
        <f t="shared" ref="M141:M160" si="2">+J141*K141</f>
        <v>138228.30000000002</v>
      </c>
    </row>
    <row r="142" spans="1:13" ht="16.5" customHeight="1" x14ac:dyDescent="0.25">
      <c r="A142" s="94">
        <v>131</v>
      </c>
      <c r="B142" s="95"/>
      <c r="C142" s="272" t="str">
        <f>'SAF 011'!E140</f>
        <v>PINZAS P/MEDICINA; USO: ODONTOLOGICO, TIPO: PORTA CLAMPS, MEDIDA: 20 Cm</v>
      </c>
      <c r="D142" s="273"/>
      <c r="E142" s="273"/>
      <c r="F142" s="273"/>
      <c r="G142" s="274"/>
      <c r="H142" s="96" t="s">
        <v>266</v>
      </c>
      <c r="I142" s="97" t="str">
        <f>'SAF 011'!F140</f>
        <v>UNIDAD</v>
      </c>
      <c r="J142" s="98">
        <f>'SAF 011'!AT140</f>
        <v>1605.2</v>
      </c>
      <c r="K142" s="99">
        <f>'SAF 011'!U140</f>
        <v>20</v>
      </c>
      <c r="M142" s="127">
        <f t="shared" si="2"/>
        <v>32104</v>
      </c>
    </row>
    <row r="143" spans="1:13" ht="16.5" customHeight="1" x14ac:dyDescent="0.25">
      <c r="A143" s="94">
        <v>132</v>
      </c>
      <c r="B143" s="95"/>
      <c r="C143" s="272" t="str">
        <f>'SAF 011'!E141</f>
        <v>PINZAS/FORCEPS DE EXODONCIA DE 1° MOLARES INFERIOR; TIPO: ODONTOLOGIA, MEDIDA: 15 Cm</v>
      </c>
      <c r="D143" s="273"/>
      <c r="E143" s="273"/>
      <c r="F143" s="273"/>
      <c r="G143" s="274"/>
      <c r="H143" s="96" t="s">
        <v>266</v>
      </c>
      <c r="I143" s="97" t="str">
        <f>'SAF 011'!F141</f>
        <v>UNIDAD</v>
      </c>
      <c r="J143" s="98">
        <f>'SAF 011'!AT141</f>
        <v>1990</v>
      </c>
      <c r="K143" s="99">
        <f>'SAF 011'!U141</f>
        <v>10</v>
      </c>
      <c r="M143" s="127">
        <f t="shared" si="2"/>
        <v>19900</v>
      </c>
    </row>
    <row r="144" spans="1:13" ht="16.5" customHeight="1" x14ac:dyDescent="0.25">
      <c r="A144" s="94">
        <v>133</v>
      </c>
      <c r="B144" s="95"/>
      <c r="C144" s="272" t="str">
        <f>'SAF 011'!E142</f>
        <v>PLACA BASE INFERIOR, PRESENTACION: ENVASE X 100</v>
      </c>
      <c r="D144" s="273"/>
      <c r="E144" s="273"/>
      <c r="F144" s="273"/>
      <c r="G144" s="274"/>
      <c r="H144" s="96" t="s">
        <v>266</v>
      </c>
      <c r="I144" s="97" t="str">
        <f>'SAF 011'!F142</f>
        <v>CAJA</v>
      </c>
      <c r="J144" s="98">
        <f>'SAF 011'!AT142</f>
        <v>5040</v>
      </c>
      <c r="K144" s="99">
        <f>'SAF 011'!U142</f>
        <v>5</v>
      </c>
      <c r="M144" s="127">
        <f t="shared" si="2"/>
        <v>25200</v>
      </c>
    </row>
    <row r="145" spans="1:13" ht="16.5" customHeight="1" x14ac:dyDescent="0.25">
      <c r="A145" s="94">
        <v>134</v>
      </c>
      <c r="B145" s="95"/>
      <c r="C145" s="272" t="str">
        <f>'SAF 011'!E143</f>
        <v>PLACA BASE SUPERIOR, PRESENTACION: ENVASE X 100</v>
      </c>
      <c r="D145" s="273"/>
      <c r="E145" s="273"/>
      <c r="F145" s="273"/>
      <c r="G145" s="274"/>
      <c r="H145" s="96" t="s">
        <v>266</v>
      </c>
      <c r="I145" s="97" t="str">
        <f>'SAF 011'!F143</f>
        <v>CAJA</v>
      </c>
      <c r="J145" s="98">
        <f>'SAF 011'!AT143</f>
        <v>5040</v>
      </c>
      <c r="K145" s="99">
        <f>'SAF 011'!U143</f>
        <v>5</v>
      </c>
      <c r="M145" s="127">
        <f t="shared" si="2"/>
        <v>25200</v>
      </c>
    </row>
    <row r="146" spans="1:13" ht="16.5" customHeight="1" x14ac:dyDescent="0.25">
      <c r="A146" s="94">
        <v>135</v>
      </c>
      <c r="B146" s="95"/>
      <c r="C146" s="272" t="str">
        <f>'SAF 011'!E144</f>
        <v>PLACAS RADIOGRAFICAS; SENSIBILIDAD: AL VERDE, DIMENSION: P/ODONTOLOGIA, PRESENTACION: ENVASE X 150 UNIDADES</v>
      </c>
      <c r="D146" s="273"/>
      <c r="E146" s="273"/>
      <c r="F146" s="273"/>
      <c r="G146" s="274"/>
      <c r="H146" s="96" t="s">
        <v>266</v>
      </c>
      <c r="I146" s="97" t="str">
        <f>'SAF 011'!F144</f>
        <v>CAJA</v>
      </c>
      <c r="J146" s="98">
        <f>'SAF 011'!AT144</f>
        <v>6680</v>
      </c>
      <c r="K146" s="99">
        <f>'SAF 011'!U144</f>
        <v>35</v>
      </c>
      <c r="M146" s="127">
        <f t="shared" si="2"/>
        <v>233800</v>
      </c>
    </row>
    <row r="147" spans="1:13" ht="16.5" customHeight="1" x14ac:dyDescent="0.25">
      <c r="A147" s="94">
        <v>136</v>
      </c>
      <c r="B147" s="95"/>
      <c r="C147" s="272" t="str">
        <f>'SAF 011'!E145</f>
        <v>PORTA ALGODÓN, DESCARTABLE: NO, PRESENTACION: UNIDAD</v>
      </c>
      <c r="D147" s="273"/>
      <c r="E147" s="273"/>
      <c r="F147" s="273"/>
      <c r="G147" s="274"/>
      <c r="H147" s="96" t="s">
        <v>266</v>
      </c>
      <c r="I147" s="97" t="str">
        <f>'SAF 011'!F145</f>
        <v>UNIDAD</v>
      </c>
      <c r="J147" s="98">
        <f>'SAF 011'!AT145</f>
        <v>1040</v>
      </c>
      <c r="K147" s="99">
        <f>'SAF 011'!U145</f>
        <v>30</v>
      </c>
      <c r="M147" s="127">
        <f t="shared" si="2"/>
        <v>31200</v>
      </c>
    </row>
    <row r="148" spans="1:13" ht="32.25" customHeight="1" x14ac:dyDescent="0.25">
      <c r="A148" s="94">
        <v>137</v>
      </c>
      <c r="B148" s="95"/>
      <c r="C148" s="272" t="str">
        <f>'SAF 011'!E146</f>
        <v>REVELADORES P/RADIOLOGIA; SENSIBILIDAD: AL VERDE, PROCESO: MANUAL, PROCESO DE UTILIZACION: MANUAL, PRESENTACION: BOTELLA, CAPACIDAD: 480 Ml</v>
      </c>
      <c r="D148" s="273"/>
      <c r="E148" s="273"/>
      <c r="F148" s="273"/>
      <c r="G148" s="274"/>
      <c r="H148" s="96" t="s">
        <v>266</v>
      </c>
      <c r="I148" s="97" t="str">
        <f>'SAF 011'!F146</f>
        <v>BOTELLA</v>
      </c>
      <c r="J148" s="98">
        <f>'SAF 011'!AT146</f>
        <v>570</v>
      </c>
      <c r="K148" s="99">
        <f>'SAF 011'!U146</f>
        <v>100</v>
      </c>
      <c r="M148" s="127">
        <f t="shared" si="2"/>
        <v>57000</v>
      </c>
    </row>
    <row r="149" spans="1:13" ht="16.5" customHeight="1" x14ac:dyDescent="0.25">
      <c r="A149" s="94">
        <v>138</v>
      </c>
      <c r="B149" s="95"/>
      <c r="C149" s="272" t="str">
        <f>'SAF 011'!E147</f>
        <v>SACABANDAS P/MOLARES; DESCARTABLE: NO, PRESENTACION: UNIDAD</v>
      </c>
      <c r="D149" s="273"/>
      <c r="E149" s="273"/>
      <c r="F149" s="273"/>
      <c r="G149" s="274"/>
      <c r="H149" s="96" t="s">
        <v>266</v>
      </c>
      <c r="I149" s="97" t="str">
        <f>'SAF 011'!F147</f>
        <v>UNIDAD</v>
      </c>
      <c r="J149" s="98">
        <f>'SAF 011'!AT147</f>
        <v>2900</v>
      </c>
      <c r="K149" s="99">
        <f>'SAF 011'!U147</f>
        <v>10</v>
      </c>
      <c r="M149" s="127">
        <f t="shared" si="2"/>
        <v>29000</v>
      </c>
    </row>
    <row r="150" spans="1:13" ht="16.5" customHeight="1" x14ac:dyDescent="0.25">
      <c r="A150" s="94">
        <v>139</v>
      </c>
      <c r="B150" s="95"/>
      <c r="C150" s="272" t="str">
        <f>'SAF 011'!E148</f>
        <v>SEPARADOR DE YESO ROSA, DESCARTABLE: SI, PRESENTACION: ENVASE X 1 L</v>
      </c>
      <c r="D150" s="273"/>
      <c r="E150" s="273"/>
      <c r="F150" s="273"/>
      <c r="G150" s="274"/>
      <c r="H150" s="96" t="s">
        <v>266</v>
      </c>
      <c r="I150" s="97" t="str">
        <f>'SAF 011'!F148</f>
        <v>UNIDAD</v>
      </c>
      <c r="J150" s="98">
        <f>'SAF 011'!AT148</f>
        <v>950</v>
      </c>
      <c r="K150" s="99">
        <f>'SAF 011'!U148</f>
        <v>10</v>
      </c>
      <c r="M150" s="127">
        <f t="shared" si="2"/>
        <v>9500</v>
      </c>
    </row>
    <row r="151" spans="1:13" ht="16.5" customHeight="1" x14ac:dyDescent="0.25">
      <c r="A151" s="94">
        <v>140</v>
      </c>
      <c r="B151" s="95"/>
      <c r="C151" s="272" t="str">
        <f>'SAF 011'!E149</f>
        <v>SEPARADORES DE CIRUGIA, DESCARTABLE: NO, PRESENTACION: UNIDAD</v>
      </c>
      <c r="D151" s="273"/>
      <c r="E151" s="273"/>
      <c r="F151" s="273"/>
      <c r="G151" s="274"/>
      <c r="H151" s="96" t="s">
        <v>266</v>
      </c>
      <c r="I151" s="97" t="str">
        <f>'SAF 011'!F149</f>
        <v>UNIDAD</v>
      </c>
      <c r="J151" s="98">
        <f>'SAF 011'!AT149</f>
        <v>650</v>
      </c>
      <c r="K151" s="99">
        <f>'SAF 011'!U149</f>
        <v>10</v>
      </c>
      <c r="M151" s="127">
        <f t="shared" si="2"/>
        <v>6500</v>
      </c>
    </row>
    <row r="152" spans="1:13" ht="16.5" customHeight="1" x14ac:dyDescent="0.25">
      <c r="A152" s="94">
        <v>141</v>
      </c>
      <c r="B152" s="95"/>
      <c r="C152" s="272" t="str">
        <f>'SAF 011'!E150</f>
        <v>TIJERAS P/MEDICINA; TIPO: SPENCER, MEDIDA: 11 Cm, USO: SUTURA</v>
      </c>
      <c r="D152" s="273"/>
      <c r="E152" s="273"/>
      <c r="F152" s="273"/>
      <c r="G152" s="274"/>
      <c r="H152" s="96" t="s">
        <v>266</v>
      </c>
      <c r="I152" s="97" t="str">
        <f>'SAF 011'!F150</f>
        <v>UNIDAD</v>
      </c>
      <c r="J152" s="98">
        <f>'SAF 011'!AT150</f>
        <v>899</v>
      </c>
      <c r="K152" s="99">
        <f>'SAF 011'!U150</f>
        <v>5</v>
      </c>
      <c r="M152" s="127">
        <f t="shared" si="2"/>
        <v>4495</v>
      </c>
    </row>
    <row r="153" spans="1:13" ht="16.5" customHeight="1" x14ac:dyDescent="0.25">
      <c r="A153" s="94">
        <v>142</v>
      </c>
      <c r="B153" s="95"/>
      <c r="C153" s="272" t="str">
        <f>'SAF 011'!E151</f>
        <v>TIRA P/PULIR COMPOSITE, DESCARTABLE: NO, PRESENTACION: ENVASE X 100 UN</v>
      </c>
      <c r="D153" s="273"/>
      <c r="E153" s="273"/>
      <c r="F153" s="273"/>
      <c r="G153" s="274"/>
      <c r="H153" s="96" t="s">
        <v>266</v>
      </c>
      <c r="I153" s="97" t="str">
        <f>'SAF 011'!F151</f>
        <v>CAJA</v>
      </c>
      <c r="J153" s="98">
        <f>'SAF 011'!AT151</f>
        <v>990</v>
      </c>
      <c r="K153" s="99">
        <f>'SAF 011'!U151</f>
        <v>30</v>
      </c>
      <c r="M153" s="127">
        <f t="shared" si="2"/>
        <v>29700</v>
      </c>
    </row>
    <row r="154" spans="1:13" ht="16.5" customHeight="1" x14ac:dyDescent="0.25">
      <c r="A154" s="94">
        <v>143</v>
      </c>
      <c r="B154" s="95"/>
      <c r="C154" s="272" t="str">
        <f>'SAF 011'!E152</f>
        <v>TOALLITAS P/ODONTOLOGIA; TIPO: DESCONTAMINANTE DE SUPERFICIE, PRESENTACION: ENVASE X 170 UN</v>
      </c>
      <c r="D154" s="273"/>
      <c r="E154" s="273"/>
      <c r="F154" s="273"/>
      <c r="G154" s="274"/>
      <c r="H154" s="96" t="s">
        <v>266</v>
      </c>
      <c r="I154" s="97" t="str">
        <f>'SAF 011'!F152</f>
        <v>TUBO</v>
      </c>
      <c r="J154" s="98">
        <f>'SAF 011'!AT152</f>
        <v>540</v>
      </c>
      <c r="K154" s="99">
        <f>'SAF 011'!U152</f>
        <v>100</v>
      </c>
      <c r="M154" s="127">
        <f t="shared" si="2"/>
        <v>54000</v>
      </c>
    </row>
    <row r="155" spans="1:13" ht="16.5" customHeight="1" x14ac:dyDescent="0.25">
      <c r="A155" s="94">
        <v>144</v>
      </c>
      <c r="B155" s="95"/>
      <c r="C155" s="272" t="str">
        <f>'SAF 011'!E153</f>
        <v>TOPICOS ODONTOLOGICOS; DROGA GENERICA: FORMOCRESOL, ESTADO: LIQUIDO, PRESENTACION: FRASCO X 20 mL</v>
      </c>
      <c r="D155" s="273"/>
      <c r="E155" s="273"/>
      <c r="F155" s="273"/>
      <c r="G155" s="274"/>
      <c r="H155" s="96" t="s">
        <v>266</v>
      </c>
      <c r="I155" s="97" t="str">
        <f>'SAF 011'!F153</f>
        <v>UNIDAD</v>
      </c>
      <c r="J155" s="98">
        <f>'SAF 011'!AT153</f>
        <v>360</v>
      </c>
      <c r="K155" s="99">
        <f>'SAF 011'!U153</f>
        <v>10</v>
      </c>
      <c r="M155" s="127">
        <f t="shared" si="2"/>
        <v>3600</v>
      </c>
    </row>
    <row r="156" spans="1:13" ht="16.5" customHeight="1" x14ac:dyDescent="0.25">
      <c r="A156" s="94">
        <v>145</v>
      </c>
      <c r="B156" s="95"/>
      <c r="C156" s="272" t="str">
        <f>'SAF 011'!E154</f>
        <v>TURBINA DE ALTA PRECISION, DESCARTABLE: NO, PRESENTACION: UNIDAD</v>
      </c>
      <c r="D156" s="273"/>
      <c r="E156" s="273"/>
      <c r="F156" s="273"/>
      <c r="G156" s="274"/>
      <c r="H156" s="96" t="s">
        <v>266</v>
      </c>
      <c r="I156" s="97" t="str">
        <f>'SAF 011'!F154</f>
        <v>UNIDAD</v>
      </c>
      <c r="J156" s="98">
        <f>'SAF 011'!AT154</f>
        <v>10900</v>
      </c>
      <c r="K156" s="99">
        <f>'SAF 011'!U154</f>
        <v>5</v>
      </c>
      <c r="M156" s="127">
        <f t="shared" si="2"/>
        <v>54500</v>
      </c>
    </row>
    <row r="157" spans="1:13" ht="16.5" customHeight="1" x14ac:dyDescent="0.25">
      <c r="A157" s="94">
        <v>146</v>
      </c>
      <c r="B157" s="95"/>
      <c r="C157" s="272" t="str">
        <f>'SAF 011'!E155</f>
        <v>VASOS, DESCARTABLE: SI, PRESENTACION: CAJA X 3500 UN</v>
      </c>
      <c r="D157" s="273"/>
      <c r="E157" s="273"/>
      <c r="F157" s="273"/>
      <c r="G157" s="274"/>
      <c r="H157" s="96" t="s">
        <v>266</v>
      </c>
      <c r="I157" s="97" t="str">
        <f>'SAF 011'!F155</f>
        <v>CAJA</v>
      </c>
      <c r="J157" s="98">
        <f>'SAF 011'!AT155</f>
        <v>13080</v>
      </c>
      <c r="K157" s="99">
        <f>'SAF 011'!U155</f>
        <v>40</v>
      </c>
      <c r="M157" s="127">
        <f t="shared" si="2"/>
        <v>523200</v>
      </c>
    </row>
    <row r="158" spans="1:13" ht="16.5" customHeight="1" x14ac:dyDescent="0.25">
      <c r="A158" s="94">
        <v>147</v>
      </c>
      <c r="B158" s="95"/>
      <c r="C158" s="272" t="str">
        <f>'SAF 011'!E156</f>
        <v>YESO EN POLVO; USO: ODONTOLOGICO, TIPO: PIEDRA, PRESENTACION: BOLSA, PESO: 25 Kg</v>
      </c>
      <c r="D158" s="273"/>
      <c r="E158" s="273"/>
      <c r="F158" s="273"/>
      <c r="G158" s="274"/>
      <c r="H158" s="96" t="s">
        <v>266</v>
      </c>
      <c r="I158" s="97" t="str">
        <f>'SAF 011'!F156</f>
        <v>BOLSA</v>
      </c>
      <c r="J158" s="98">
        <f>'SAF 011'!AT156</f>
        <v>3970</v>
      </c>
      <c r="K158" s="99">
        <f>'SAF 011'!U156</f>
        <v>40</v>
      </c>
      <c r="M158" s="127">
        <f t="shared" si="2"/>
        <v>158800</v>
      </c>
    </row>
    <row r="159" spans="1:13" ht="15.75" customHeight="1" x14ac:dyDescent="0.25">
      <c r="A159" s="94">
        <v>148</v>
      </c>
      <c r="B159" s="95"/>
      <c r="C159" s="272" t="str">
        <f>'SAF 011'!E157</f>
        <v>YESO EN POLVO; USO: ODONTOLOGICO, TIPO: TALLER, PRESENTACION: BOLSA, PESO: 25 Kg</v>
      </c>
      <c r="D159" s="273"/>
      <c r="E159" s="273"/>
      <c r="F159" s="273"/>
      <c r="G159" s="274"/>
      <c r="H159" s="96" t="s">
        <v>266</v>
      </c>
      <c r="I159" s="97" t="str">
        <f>'SAF 011'!F157</f>
        <v>BOLSA</v>
      </c>
      <c r="J159" s="98">
        <f>'SAF 011'!AT157</f>
        <v>3690</v>
      </c>
      <c r="K159" s="99">
        <f>'SAF 011'!U157</f>
        <v>40</v>
      </c>
      <c r="M159" s="127">
        <f t="shared" si="2"/>
        <v>147600</v>
      </c>
    </row>
    <row r="160" spans="1:13" x14ac:dyDescent="0.25">
      <c r="A160" s="94"/>
      <c r="B160" s="95"/>
      <c r="C160" s="276"/>
      <c r="D160" s="276"/>
      <c r="E160" s="276"/>
      <c r="F160" s="276"/>
      <c r="G160" s="276"/>
      <c r="H160" s="96"/>
      <c r="I160" s="97"/>
      <c r="J160" s="98"/>
      <c r="K160" s="99"/>
      <c r="M160" s="127">
        <f t="shared" si="2"/>
        <v>0</v>
      </c>
    </row>
    <row r="161" spans="1:13" ht="45.75" customHeight="1" thickBot="1" x14ac:dyDescent="0.3">
      <c r="A161" s="277" t="s">
        <v>238</v>
      </c>
      <c r="B161" s="278"/>
      <c r="C161" s="279" t="s">
        <v>270</v>
      </c>
      <c r="D161" s="279"/>
      <c r="E161" s="279"/>
      <c r="F161" s="279"/>
      <c r="G161" s="279"/>
      <c r="H161" s="279"/>
      <c r="I161" s="280"/>
      <c r="J161" s="275">
        <f>+M161</f>
        <v>10378994.499999996</v>
      </c>
      <c r="K161" s="275"/>
      <c r="M161" s="127">
        <f>SUM(M12:M160)</f>
        <v>10378994.499999996</v>
      </c>
    </row>
  </sheetData>
  <mergeCells count="172">
    <mergeCell ref="A1:I1"/>
    <mergeCell ref="A3:C3"/>
    <mergeCell ref="D3:K3"/>
    <mergeCell ref="A4:C4"/>
    <mergeCell ref="D4:K4"/>
    <mergeCell ref="A5:C5"/>
    <mergeCell ref="D5:K5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C17:G17"/>
    <mergeCell ref="C18:G18"/>
    <mergeCell ref="C19:G19"/>
    <mergeCell ref="C20:G20"/>
    <mergeCell ref="C21:G21"/>
    <mergeCell ref="C22:G22"/>
    <mergeCell ref="K10:K11"/>
    <mergeCell ref="C12:G12"/>
    <mergeCell ref="C13:G13"/>
    <mergeCell ref="C14:G14"/>
    <mergeCell ref="C15:G15"/>
    <mergeCell ref="C16:G16"/>
    <mergeCell ref="C23:G23"/>
    <mergeCell ref="C24:G24"/>
    <mergeCell ref="C25:G25"/>
    <mergeCell ref="C75:G75"/>
    <mergeCell ref="C76:G76"/>
    <mergeCell ref="C77:G77"/>
    <mergeCell ref="C60:G60"/>
    <mergeCell ref="C61:G61"/>
    <mergeCell ref="C62:G62"/>
    <mergeCell ref="C63:G63"/>
    <mergeCell ref="C26:G26"/>
    <mergeCell ref="C27:G27"/>
    <mergeCell ref="C28:G28"/>
    <mergeCell ref="C29:G29"/>
    <mergeCell ref="C30:G30"/>
    <mergeCell ref="C66:G66"/>
    <mergeCell ref="C67:G67"/>
    <mergeCell ref="C68:G68"/>
    <mergeCell ref="C69:G69"/>
    <mergeCell ref="C31:G31"/>
    <mergeCell ref="C32:G32"/>
    <mergeCell ref="C34:G34"/>
    <mergeCell ref="C35:G35"/>
    <mergeCell ref="C36:G36"/>
    <mergeCell ref="C74:G74"/>
    <mergeCell ref="C64:G64"/>
    <mergeCell ref="C65:G65"/>
    <mergeCell ref="A161:B161"/>
    <mergeCell ref="C161:I161"/>
    <mergeCell ref="C151:G151"/>
    <mergeCell ref="C152:G152"/>
    <mergeCell ref="C153:G153"/>
    <mergeCell ref="C154:G154"/>
    <mergeCell ref="C155:G155"/>
    <mergeCell ref="C156:G156"/>
    <mergeCell ref="C84:G84"/>
    <mergeCell ref="C85:G85"/>
    <mergeCell ref="C86:G86"/>
    <mergeCell ref="C148:G148"/>
    <mergeCell ref="C149:G149"/>
    <mergeCell ref="C150:G150"/>
    <mergeCell ref="C91:G91"/>
    <mergeCell ref="C92:G92"/>
    <mergeCell ref="C93:G93"/>
    <mergeCell ref="C94:G94"/>
    <mergeCell ref="C100:G100"/>
    <mergeCell ref="C107:G107"/>
    <mergeCell ref="C108:G108"/>
    <mergeCell ref="C95:G95"/>
    <mergeCell ref="C96:G96"/>
    <mergeCell ref="C97:G97"/>
    <mergeCell ref="C98:G98"/>
    <mergeCell ref="C99:G99"/>
    <mergeCell ref="C50:G50"/>
    <mergeCell ref="J161:K161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157:G157"/>
    <mergeCell ref="C158:G158"/>
    <mergeCell ref="C159:G159"/>
    <mergeCell ref="C160:G160"/>
    <mergeCell ref="C78:G78"/>
    <mergeCell ref="C79:G79"/>
    <mergeCell ref="C80:G80"/>
    <mergeCell ref="C81:G81"/>
    <mergeCell ref="C33:G33"/>
    <mergeCell ref="C87:G87"/>
    <mergeCell ref="C88:G88"/>
    <mergeCell ref="C89:G89"/>
    <mergeCell ref="C90:G90"/>
    <mergeCell ref="C44:G44"/>
    <mergeCell ref="C45:G45"/>
    <mergeCell ref="C46:G46"/>
    <mergeCell ref="C47:G47"/>
    <mergeCell ref="C48:G48"/>
    <mergeCell ref="C49:G49"/>
    <mergeCell ref="C38:G38"/>
    <mergeCell ref="C39:G39"/>
    <mergeCell ref="C40:G40"/>
    <mergeCell ref="C41:G41"/>
    <mergeCell ref="C42:G42"/>
    <mergeCell ref="C43:G43"/>
    <mergeCell ref="C37:G37"/>
    <mergeCell ref="C70:G70"/>
    <mergeCell ref="C71:G71"/>
    <mergeCell ref="C72:G72"/>
    <mergeCell ref="C82:G82"/>
    <mergeCell ref="C83:G83"/>
    <mergeCell ref="C73:G73"/>
    <mergeCell ref="C112:G112"/>
    <mergeCell ref="C101:G101"/>
    <mergeCell ref="C102:G102"/>
    <mergeCell ref="C103:G103"/>
    <mergeCell ref="C104:G104"/>
    <mergeCell ref="C105:G105"/>
    <mergeCell ref="C106:G106"/>
    <mergeCell ref="C119:G119"/>
    <mergeCell ref="C120:G120"/>
    <mergeCell ref="C109:G109"/>
    <mergeCell ref="C110:G110"/>
    <mergeCell ref="C111:G111"/>
    <mergeCell ref="C121:G121"/>
    <mergeCell ref="C122:G122"/>
    <mergeCell ref="C123:G123"/>
    <mergeCell ref="C124:G124"/>
    <mergeCell ref="C113:G113"/>
    <mergeCell ref="C114:G114"/>
    <mergeCell ref="C115:G115"/>
    <mergeCell ref="C116:G116"/>
    <mergeCell ref="C117:G117"/>
    <mergeCell ref="C118:G118"/>
    <mergeCell ref="C131:G131"/>
    <mergeCell ref="C132:G132"/>
    <mergeCell ref="C133:G133"/>
    <mergeCell ref="C134:G134"/>
    <mergeCell ref="C135:G135"/>
    <mergeCell ref="C136:G136"/>
    <mergeCell ref="C125:G125"/>
    <mergeCell ref="C126:G126"/>
    <mergeCell ref="C127:G127"/>
    <mergeCell ref="C128:G128"/>
    <mergeCell ref="C129:G129"/>
    <mergeCell ref="C130:G130"/>
    <mergeCell ref="C143:G143"/>
    <mergeCell ref="C144:G144"/>
    <mergeCell ref="C145:G145"/>
    <mergeCell ref="C146:G146"/>
    <mergeCell ref="C147:G147"/>
    <mergeCell ref="C137:G137"/>
    <mergeCell ref="C138:G138"/>
    <mergeCell ref="C139:G139"/>
    <mergeCell ref="C140:G140"/>
    <mergeCell ref="C141:G141"/>
    <mergeCell ref="C142:G14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zoomScale="110" zoomScaleNormal="110" workbookViewId="0">
      <selection activeCell="A11" sqref="A11"/>
    </sheetView>
  </sheetViews>
  <sheetFormatPr baseColWidth="10" defaultRowHeight="15" x14ac:dyDescent="0.25"/>
  <cols>
    <col min="1" max="5" width="4.42578125" customWidth="1"/>
    <col min="6" max="6" width="5.42578125" bestFit="1" customWidth="1"/>
    <col min="7" max="14" width="4.42578125" customWidth="1"/>
    <col min="15" max="16" width="14.85546875" customWidth="1"/>
    <col min="17" max="17" width="17.85546875" customWidth="1"/>
  </cols>
  <sheetData>
    <row r="1" spans="1:17" ht="15.75" thickBot="1" x14ac:dyDescent="0.3">
      <c r="A1" s="321" t="s">
        <v>3</v>
      </c>
      <c r="B1" s="321"/>
      <c r="C1" s="321"/>
      <c r="D1" s="322">
        <v>2021</v>
      </c>
      <c r="E1" s="322"/>
      <c r="F1" s="100"/>
      <c r="G1" s="100"/>
      <c r="H1" s="101"/>
      <c r="I1" s="101"/>
      <c r="J1" s="101"/>
      <c r="K1" s="101"/>
      <c r="L1" s="101"/>
      <c r="M1" s="101"/>
      <c r="N1" s="101"/>
      <c r="O1" s="102"/>
      <c r="P1" s="323" t="s">
        <v>239</v>
      </c>
      <c r="Q1" s="323"/>
    </row>
    <row r="2" spans="1:17" ht="15.75" thickBot="1" x14ac:dyDescent="0.3">
      <c r="A2" s="103"/>
      <c r="B2" s="104"/>
      <c r="C2" s="104"/>
      <c r="D2" s="104"/>
      <c r="E2" s="104"/>
      <c r="F2" s="104"/>
      <c r="G2" s="105"/>
      <c r="H2" s="106"/>
      <c r="I2" s="106"/>
      <c r="J2" s="106"/>
      <c r="K2" s="106"/>
      <c r="L2" s="106"/>
      <c r="M2" s="106"/>
      <c r="N2" s="106"/>
      <c r="O2" s="104"/>
      <c r="P2" s="323"/>
      <c r="Q2" s="323"/>
    </row>
    <row r="3" spans="1:17" ht="15.75" thickBot="1" x14ac:dyDescent="0.3">
      <c r="A3" s="103"/>
      <c r="B3" s="104"/>
      <c r="C3" s="104"/>
      <c r="D3" s="104"/>
      <c r="E3" s="104"/>
      <c r="F3" s="104"/>
      <c r="G3" s="105"/>
      <c r="H3" s="104"/>
      <c r="I3" s="104"/>
      <c r="J3" s="104"/>
      <c r="K3" s="104"/>
      <c r="L3" s="104"/>
      <c r="M3" s="104"/>
      <c r="N3" s="104"/>
      <c r="O3" s="104"/>
      <c r="P3" s="104"/>
      <c r="Q3" s="107"/>
    </row>
    <row r="4" spans="1:17" ht="15.75" thickBot="1" x14ac:dyDescent="0.3">
      <c r="A4" s="324" t="s">
        <v>240</v>
      </c>
      <c r="B4" s="324"/>
      <c r="C4" s="324"/>
      <c r="D4" s="324"/>
      <c r="E4" s="324"/>
      <c r="F4" s="324"/>
      <c r="G4" s="313" t="str">
        <f>NP!D3</f>
        <v>040 - MINISTERIO DE SALUD</v>
      </c>
      <c r="H4" s="313"/>
      <c r="I4" s="313"/>
      <c r="J4" s="313"/>
      <c r="K4" s="313"/>
      <c r="L4" s="313"/>
      <c r="M4" s="313"/>
      <c r="N4" s="313"/>
      <c r="O4" s="313"/>
      <c r="P4" s="313"/>
      <c r="Q4" s="313"/>
    </row>
    <row r="5" spans="1:17" ht="15.75" thickBot="1" x14ac:dyDescent="0.3">
      <c r="A5" s="312" t="s">
        <v>224</v>
      </c>
      <c r="B5" s="312"/>
      <c r="C5" s="312"/>
      <c r="D5" s="312"/>
      <c r="E5" s="312"/>
      <c r="F5" s="312"/>
      <c r="G5" s="313" t="str">
        <f>NP!D4</f>
        <v>011 - DIRECCION PROVINCIAL DE ADMINISTRACION DEL MINISTERIO DE SALUD</v>
      </c>
      <c r="H5" s="313"/>
      <c r="I5" s="313"/>
      <c r="J5" s="313"/>
      <c r="K5" s="313"/>
      <c r="L5" s="313"/>
      <c r="M5" s="313"/>
      <c r="N5" s="313"/>
      <c r="O5" s="313"/>
      <c r="P5" s="313"/>
      <c r="Q5" s="313"/>
    </row>
    <row r="6" spans="1:17" ht="15.75" thickBot="1" x14ac:dyDescent="0.3">
      <c r="A6" s="312" t="s">
        <v>226</v>
      </c>
      <c r="B6" s="312"/>
      <c r="C6" s="312"/>
      <c r="D6" s="312"/>
      <c r="E6" s="312"/>
      <c r="F6" s="312"/>
      <c r="G6" s="313" t="str">
        <f>NP!D5</f>
        <v>470 - DIRECCION PROVINCIAL DE ODONTOLOGIA</v>
      </c>
      <c r="H6" s="313"/>
      <c r="I6" s="313"/>
      <c r="J6" s="313"/>
      <c r="K6" s="313"/>
      <c r="L6" s="313"/>
      <c r="M6" s="313"/>
      <c r="N6" s="313"/>
      <c r="O6" s="313"/>
      <c r="P6" s="313"/>
      <c r="Q6" s="313"/>
    </row>
    <row r="7" spans="1:17" ht="29.25" customHeight="1" thickBot="1" x14ac:dyDescent="0.3">
      <c r="A7" s="312" t="s">
        <v>227</v>
      </c>
      <c r="B7" s="312"/>
      <c r="C7" s="312"/>
      <c r="D7" s="312"/>
      <c r="E7" s="312"/>
      <c r="F7" s="312"/>
      <c r="G7" s="313" t="str">
        <f>NP!D6</f>
        <v>470 - DIRECCION PROVINCIAL DE ODONTOLOGIA</v>
      </c>
      <c r="H7" s="313"/>
      <c r="I7" s="313"/>
      <c r="J7" s="313"/>
      <c r="K7" s="313"/>
      <c r="L7" s="313"/>
      <c r="M7" s="313"/>
      <c r="N7" s="313"/>
      <c r="O7" s="313"/>
      <c r="P7" s="313"/>
      <c r="Q7" s="313"/>
    </row>
    <row r="8" spans="1:17" ht="15.75" thickBot="1" x14ac:dyDescent="0.3">
      <c r="A8" s="314" t="s">
        <v>241</v>
      </c>
      <c r="B8" s="314"/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314"/>
      <c r="O8" s="314"/>
      <c r="P8" s="314"/>
      <c r="Q8" s="314"/>
    </row>
    <row r="9" spans="1:17" x14ac:dyDescent="0.25">
      <c r="A9" s="315" t="s">
        <v>242</v>
      </c>
      <c r="B9" s="315"/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</row>
    <row r="10" spans="1:17" ht="61.5" customHeight="1" x14ac:dyDescent="0.25">
      <c r="A10" s="316" t="s">
        <v>272</v>
      </c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</row>
    <row r="11" spans="1:17" ht="15.75" thickBot="1" x14ac:dyDescent="0.3">
      <c r="A11" s="108"/>
      <c r="B11" s="109"/>
      <c r="C11" s="109"/>
      <c r="D11" s="109"/>
      <c r="E11" s="109"/>
      <c r="F11" s="109"/>
      <c r="G11" s="110"/>
      <c r="H11" s="109"/>
      <c r="I11" s="109"/>
      <c r="J11" s="109"/>
      <c r="K11" s="109"/>
      <c r="L11" s="109"/>
      <c r="M11" s="109"/>
      <c r="N11" s="109"/>
      <c r="O11" s="109"/>
      <c r="P11" s="109"/>
      <c r="Q11" s="111"/>
    </row>
    <row r="12" spans="1:17" ht="15.75" thickBot="1" x14ac:dyDescent="0.3">
      <c r="A12" s="317" t="s">
        <v>243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</row>
    <row r="13" spans="1:17" ht="15.75" thickBot="1" x14ac:dyDescent="0.3">
      <c r="A13" s="318" t="s">
        <v>244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9" t="s">
        <v>245</v>
      </c>
      <c r="P13" s="319"/>
      <c r="Q13" s="320" t="s">
        <v>246</v>
      </c>
    </row>
    <row r="14" spans="1:17" ht="15.75" thickBot="1" x14ac:dyDescent="0.3">
      <c r="A14" s="112" t="s">
        <v>247</v>
      </c>
      <c r="B14" s="113" t="s">
        <v>248</v>
      </c>
      <c r="C14" s="113" t="s">
        <v>249</v>
      </c>
      <c r="D14" s="113" t="s">
        <v>250</v>
      </c>
      <c r="E14" s="113" t="s">
        <v>251</v>
      </c>
      <c r="F14" s="113" t="s">
        <v>252</v>
      </c>
      <c r="G14" s="114" t="s">
        <v>253</v>
      </c>
      <c r="H14" s="113" t="s">
        <v>254</v>
      </c>
      <c r="I14" s="113" t="s">
        <v>255</v>
      </c>
      <c r="J14" s="113" t="s">
        <v>256</v>
      </c>
      <c r="K14" s="113" t="s">
        <v>256</v>
      </c>
      <c r="L14" s="113" t="s">
        <v>257</v>
      </c>
      <c r="M14" s="115" t="s">
        <v>258</v>
      </c>
      <c r="N14" s="116" t="s">
        <v>259</v>
      </c>
      <c r="O14" s="319"/>
      <c r="P14" s="319"/>
      <c r="Q14" s="320"/>
    </row>
    <row r="15" spans="1:17" ht="33" customHeight="1" x14ac:dyDescent="0.25">
      <c r="A15" s="117">
        <v>29</v>
      </c>
      <c r="B15" s="118"/>
      <c r="C15" s="118"/>
      <c r="D15" s="118">
        <v>1</v>
      </c>
      <c r="E15" s="118"/>
      <c r="F15" s="118">
        <v>4901</v>
      </c>
      <c r="G15" s="118">
        <v>3</v>
      </c>
      <c r="H15" s="118">
        <v>1</v>
      </c>
      <c r="I15" s="118">
        <v>2</v>
      </c>
      <c r="J15" s="118">
        <v>5</v>
      </c>
      <c r="K15" s="118">
        <v>2</v>
      </c>
      <c r="L15" s="118"/>
      <c r="M15" s="119">
        <v>1</v>
      </c>
      <c r="N15" s="118" t="s">
        <v>260</v>
      </c>
      <c r="O15" s="311" t="s">
        <v>261</v>
      </c>
      <c r="P15" s="311"/>
      <c r="Q15" s="128">
        <f>'SAF 011'!AY158</f>
        <v>3249120</v>
      </c>
    </row>
    <row r="16" spans="1:17" ht="22.5" customHeight="1" x14ac:dyDescent="0.25">
      <c r="A16" s="120">
        <v>29</v>
      </c>
      <c r="B16" s="121"/>
      <c r="C16" s="121"/>
      <c r="D16" s="121">
        <v>1</v>
      </c>
      <c r="E16" s="121"/>
      <c r="F16" s="121">
        <v>4901</v>
      </c>
      <c r="G16" s="121">
        <v>3</v>
      </c>
      <c r="H16" s="121">
        <v>1</v>
      </c>
      <c r="I16" s="121">
        <v>2</v>
      </c>
      <c r="J16" s="121">
        <v>5</v>
      </c>
      <c r="K16" s="121">
        <v>6</v>
      </c>
      <c r="L16" s="121"/>
      <c r="M16" s="122">
        <v>1</v>
      </c>
      <c r="N16" s="123" t="s">
        <v>260</v>
      </c>
      <c r="O16" s="304" t="s">
        <v>71</v>
      </c>
      <c r="P16" s="304"/>
      <c r="Q16" s="129">
        <f>'SAF 011'!AX158</f>
        <v>22500</v>
      </c>
    </row>
    <row r="17" spans="1:17" ht="22.5" customHeight="1" x14ac:dyDescent="0.25">
      <c r="A17" s="120">
        <v>29</v>
      </c>
      <c r="B17" s="121"/>
      <c r="C17" s="121"/>
      <c r="D17" s="121">
        <v>1</v>
      </c>
      <c r="E17" s="121"/>
      <c r="F17" s="121">
        <v>4901</v>
      </c>
      <c r="G17" s="121">
        <v>3</v>
      </c>
      <c r="H17" s="121">
        <v>1</v>
      </c>
      <c r="I17" s="121">
        <v>2</v>
      </c>
      <c r="J17" s="121">
        <v>5</v>
      </c>
      <c r="K17" s="121">
        <v>9</v>
      </c>
      <c r="L17" s="121"/>
      <c r="M17" s="122">
        <v>1</v>
      </c>
      <c r="N17" s="123" t="s">
        <v>260</v>
      </c>
      <c r="O17" s="305" t="s">
        <v>267</v>
      </c>
      <c r="P17" s="306"/>
      <c r="Q17" s="129">
        <f>'SAF 011'!BB158</f>
        <v>357050</v>
      </c>
    </row>
    <row r="18" spans="1:17" ht="22.5" customHeight="1" x14ac:dyDescent="0.25">
      <c r="A18" s="120">
        <v>29</v>
      </c>
      <c r="B18" s="121"/>
      <c r="C18" s="121"/>
      <c r="D18" s="121">
        <v>1</v>
      </c>
      <c r="E18" s="121"/>
      <c r="F18" s="121">
        <v>4901</v>
      </c>
      <c r="G18" s="121">
        <v>3</v>
      </c>
      <c r="H18" s="121">
        <v>1</v>
      </c>
      <c r="I18" s="121">
        <v>2</v>
      </c>
      <c r="J18" s="121">
        <v>6</v>
      </c>
      <c r="K18" s="121">
        <v>5</v>
      </c>
      <c r="L18" s="121"/>
      <c r="M18" s="122">
        <v>1</v>
      </c>
      <c r="N18" s="123" t="s">
        <v>260</v>
      </c>
      <c r="O18" s="307" t="s">
        <v>268</v>
      </c>
      <c r="P18" s="308"/>
      <c r="Q18" s="129">
        <f>'SAF 011'!BA158</f>
        <v>306400</v>
      </c>
    </row>
    <row r="19" spans="1:17" ht="50.25" customHeight="1" x14ac:dyDescent="0.25">
      <c r="A19" s="120">
        <v>29</v>
      </c>
      <c r="B19" s="121"/>
      <c r="C19" s="121"/>
      <c r="D19" s="121">
        <v>1</v>
      </c>
      <c r="E19" s="121"/>
      <c r="F19" s="121">
        <v>4901</v>
      </c>
      <c r="G19" s="121">
        <v>3</v>
      </c>
      <c r="H19" s="121">
        <v>1</v>
      </c>
      <c r="I19" s="121">
        <v>2</v>
      </c>
      <c r="J19" s="121">
        <v>9</v>
      </c>
      <c r="K19" s="121">
        <v>5</v>
      </c>
      <c r="L19" s="121"/>
      <c r="M19" s="122">
        <v>1</v>
      </c>
      <c r="N19" s="123" t="s">
        <v>260</v>
      </c>
      <c r="O19" s="309" t="s">
        <v>269</v>
      </c>
      <c r="P19" s="310"/>
      <c r="Q19" s="129">
        <f>'SAF 011'!AZ158</f>
        <v>6443924.5000000019</v>
      </c>
    </row>
    <row r="20" spans="1:17" x14ac:dyDescent="0.25">
      <c r="A20" s="120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2"/>
      <c r="N20" s="123"/>
      <c r="O20" s="303"/>
      <c r="P20" s="303"/>
      <c r="Q20" s="129"/>
    </row>
    <row r="21" spans="1:17" x14ac:dyDescent="0.25">
      <c r="A21" s="120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2"/>
      <c r="N21" s="123"/>
      <c r="O21" s="303"/>
      <c r="P21" s="303"/>
      <c r="Q21" s="129"/>
    </row>
    <row r="22" spans="1:17" x14ac:dyDescent="0.25">
      <c r="A22" s="120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2"/>
      <c r="N22" s="123"/>
      <c r="O22" s="303"/>
      <c r="P22" s="303"/>
      <c r="Q22" s="129"/>
    </row>
    <row r="23" spans="1:17" x14ac:dyDescent="0.25">
      <c r="A23" s="120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2"/>
      <c r="N23" s="123"/>
      <c r="O23" s="303"/>
      <c r="P23" s="303"/>
      <c r="Q23" s="129"/>
    </row>
    <row r="24" spans="1:17" x14ac:dyDescent="0.25">
      <c r="A24" s="120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2"/>
      <c r="N24" s="123"/>
      <c r="O24" s="303"/>
      <c r="P24" s="303"/>
      <c r="Q24" s="129"/>
    </row>
    <row r="25" spans="1:17" ht="15.75" thickBot="1" x14ac:dyDescent="0.3">
      <c r="A25" s="124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6"/>
      <c r="N25" s="125"/>
      <c r="O25" s="298"/>
      <c r="P25" s="298"/>
      <c r="Q25" s="130"/>
    </row>
    <row r="26" spans="1:17" ht="32.25" customHeight="1" thickBot="1" x14ac:dyDescent="0.3">
      <c r="A26" s="299" t="s">
        <v>262</v>
      </c>
      <c r="B26" s="300"/>
      <c r="C26" s="300"/>
      <c r="D26" s="300"/>
      <c r="E26" s="300"/>
      <c r="F26" s="301" t="str">
        <f>NP!C161</f>
        <v>DIEZ MILLONES TRESCIENTOS SETENTA Y OCHO MIL NOVECIENTOS NOVENTA Y CUATRO CON 50/100.-</v>
      </c>
      <c r="G26" s="301"/>
      <c r="H26" s="301"/>
      <c r="I26" s="301"/>
      <c r="J26" s="301"/>
      <c r="K26" s="301"/>
      <c r="L26" s="301"/>
      <c r="M26" s="301"/>
      <c r="N26" s="301"/>
      <c r="O26" s="301"/>
      <c r="P26" s="302"/>
      <c r="Q26" s="131">
        <f>SUM(Q15:Q25)</f>
        <v>10378994.500000002</v>
      </c>
    </row>
    <row r="27" spans="1:17" ht="15.75" thickBot="1" x14ac:dyDescent="0.3">
      <c r="A27" s="294"/>
      <c r="B27" s="294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</row>
    <row r="28" spans="1:17" ht="15.75" thickBot="1" x14ac:dyDescent="0.3">
      <c r="A28" s="295" t="s">
        <v>263</v>
      </c>
      <c r="B28" s="295"/>
      <c r="C28" s="29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</row>
    <row r="29" spans="1:17" ht="15.75" thickBot="1" x14ac:dyDescent="0.3">
      <c r="A29" s="297" t="str">
        <f>NP!D8</f>
        <v>ADQ. DEL RUBRO INSUMOS PARA ODONTOLOGIA</v>
      </c>
      <c r="B29" s="297"/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</row>
    <row r="30" spans="1:17" ht="15.75" thickBot="1" x14ac:dyDescent="0.3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297"/>
    </row>
  </sheetData>
  <mergeCells count="35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22:P22"/>
    <mergeCell ref="O23:P23"/>
    <mergeCell ref="O24:P24"/>
    <mergeCell ref="O16:P16"/>
    <mergeCell ref="O17:P17"/>
    <mergeCell ref="O18:P18"/>
    <mergeCell ref="O19:P19"/>
    <mergeCell ref="O20:P20"/>
    <mergeCell ref="O21:P21"/>
    <mergeCell ref="A27:Q27"/>
    <mergeCell ref="A28:F28"/>
    <mergeCell ref="G28:Q28"/>
    <mergeCell ref="A29:Q30"/>
    <mergeCell ref="O25:P25"/>
    <mergeCell ref="A26:E26"/>
    <mergeCell ref="F26:P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3"/>
  <sheetViews>
    <sheetView topLeftCell="A209" zoomScale="89" zoomScaleNormal="89" workbookViewId="0">
      <selection activeCell="C232" sqref="C232"/>
    </sheetView>
  </sheetViews>
  <sheetFormatPr baseColWidth="10" defaultColWidth="10.7109375" defaultRowHeight="15" x14ac:dyDescent="0.25"/>
  <cols>
    <col min="1" max="1" width="30.42578125" customWidth="1"/>
    <col min="2" max="2" width="26.42578125" customWidth="1"/>
    <col min="3" max="3" width="14" style="162" customWidth="1"/>
    <col min="4" max="4" width="34" style="162" customWidth="1"/>
    <col min="5" max="5" width="16.28515625" customWidth="1"/>
    <col min="6" max="6" width="23.85546875" customWidth="1"/>
    <col min="7" max="7" width="19.28515625" customWidth="1"/>
    <col min="8" max="8" width="31.85546875" customWidth="1"/>
  </cols>
  <sheetData>
    <row r="1" spans="1:8" ht="46.5" x14ac:dyDescent="0.7">
      <c r="B1" s="161" t="s">
        <v>283</v>
      </c>
    </row>
    <row r="2" spans="1:8" ht="15.75" thickBot="1" x14ac:dyDescent="0.3"/>
    <row r="3" spans="1:8" ht="19.5" thickBot="1" x14ac:dyDescent="0.3">
      <c r="A3" s="163" t="s">
        <v>284</v>
      </c>
      <c r="B3" s="163" t="s">
        <v>285</v>
      </c>
      <c r="C3" s="164" t="s">
        <v>286</v>
      </c>
      <c r="D3" s="164" t="s">
        <v>287</v>
      </c>
      <c r="E3" s="164" t="s">
        <v>288</v>
      </c>
      <c r="F3" s="164" t="s">
        <v>289</v>
      </c>
      <c r="G3" s="165" t="s">
        <v>290</v>
      </c>
      <c r="H3" s="166" t="s">
        <v>291</v>
      </c>
    </row>
    <row r="4" spans="1:8" ht="15" customHeight="1" x14ac:dyDescent="0.25">
      <c r="A4" s="325" t="s">
        <v>292</v>
      </c>
      <c r="B4" s="167" t="s">
        <v>293</v>
      </c>
      <c r="C4" s="168" t="s">
        <v>294</v>
      </c>
      <c r="D4" s="168" t="s">
        <v>295</v>
      </c>
      <c r="E4" s="330">
        <v>1</v>
      </c>
      <c r="F4" s="168"/>
      <c r="G4" s="333">
        <v>1</v>
      </c>
      <c r="H4" s="169"/>
    </row>
    <row r="5" spans="1:8" ht="15.75" customHeight="1" thickBot="1" x14ac:dyDescent="0.3">
      <c r="A5" s="326"/>
      <c r="B5" s="170" t="s">
        <v>296</v>
      </c>
      <c r="C5" s="171" t="s">
        <v>297</v>
      </c>
      <c r="D5" s="171" t="s">
        <v>295</v>
      </c>
      <c r="E5" s="332"/>
      <c r="F5" s="171"/>
      <c r="G5" s="335"/>
      <c r="H5" s="172"/>
    </row>
    <row r="6" spans="1:8" ht="15" customHeight="1" x14ac:dyDescent="0.25">
      <c r="A6" s="336" t="s">
        <v>298</v>
      </c>
      <c r="B6" s="167" t="s">
        <v>299</v>
      </c>
      <c r="C6" s="168" t="s">
        <v>297</v>
      </c>
      <c r="D6" s="168" t="s">
        <v>300</v>
      </c>
      <c r="E6" s="327">
        <v>1</v>
      </c>
      <c r="F6" s="168"/>
      <c r="G6" s="173"/>
      <c r="H6" s="172"/>
    </row>
    <row r="7" spans="1:8" ht="15" customHeight="1" x14ac:dyDescent="0.25">
      <c r="A7" s="337"/>
      <c r="B7" s="174" t="s">
        <v>301</v>
      </c>
      <c r="C7" s="175" t="s">
        <v>294</v>
      </c>
      <c r="D7" s="175" t="s">
        <v>300</v>
      </c>
      <c r="E7" s="339"/>
      <c r="F7" s="175"/>
      <c r="G7" s="176"/>
      <c r="H7" s="172"/>
    </row>
    <row r="8" spans="1:8" ht="15.75" customHeight="1" thickBot="1" x14ac:dyDescent="0.3">
      <c r="A8" s="338"/>
      <c r="B8" s="170" t="s">
        <v>302</v>
      </c>
      <c r="C8" s="171" t="s">
        <v>294</v>
      </c>
      <c r="D8" s="171" t="s">
        <v>300</v>
      </c>
      <c r="E8" s="328"/>
      <c r="F8" s="171"/>
      <c r="G8" s="177"/>
      <c r="H8" s="172"/>
    </row>
    <row r="9" spans="1:8" ht="15" customHeight="1" x14ac:dyDescent="0.25">
      <c r="A9" s="336" t="s">
        <v>303</v>
      </c>
      <c r="B9" s="178" t="s">
        <v>304</v>
      </c>
      <c r="C9" s="179" t="s">
        <v>294</v>
      </c>
      <c r="D9" s="179" t="s">
        <v>300</v>
      </c>
      <c r="E9" s="327">
        <v>1</v>
      </c>
      <c r="F9" s="179"/>
      <c r="G9" s="180"/>
      <c r="H9" s="172"/>
    </row>
    <row r="10" spans="1:8" ht="15.75" customHeight="1" thickBot="1" x14ac:dyDescent="0.3">
      <c r="A10" s="338"/>
      <c r="B10" s="181" t="s">
        <v>305</v>
      </c>
      <c r="C10" s="182" t="s">
        <v>297</v>
      </c>
      <c r="D10" s="182" t="s">
        <v>300</v>
      </c>
      <c r="E10" s="328"/>
      <c r="F10" s="182"/>
      <c r="G10" s="183"/>
      <c r="H10" s="172"/>
    </row>
    <row r="11" spans="1:8" ht="15" customHeight="1" x14ac:dyDescent="0.25">
      <c r="A11" s="336" t="s">
        <v>306</v>
      </c>
      <c r="B11" s="167" t="s">
        <v>307</v>
      </c>
      <c r="C11" s="168" t="s">
        <v>294</v>
      </c>
      <c r="D11" s="168" t="s">
        <v>300</v>
      </c>
      <c r="E11" s="327">
        <v>1</v>
      </c>
      <c r="F11" s="168"/>
      <c r="G11" s="173"/>
      <c r="H11" s="172"/>
    </row>
    <row r="12" spans="1:8" ht="15.75" customHeight="1" thickBot="1" x14ac:dyDescent="0.3">
      <c r="A12" s="338"/>
      <c r="B12" s="170" t="s">
        <v>308</v>
      </c>
      <c r="C12" s="171" t="s">
        <v>297</v>
      </c>
      <c r="D12" s="171" t="s">
        <v>300</v>
      </c>
      <c r="E12" s="328"/>
      <c r="F12" s="171"/>
      <c r="G12" s="177"/>
      <c r="H12" s="172"/>
    </row>
    <row r="13" spans="1:8" ht="15" customHeight="1" x14ac:dyDescent="0.25">
      <c r="A13" s="336" t="s">
        <v>309</v>
      </c>
      <c r="B13" s="167" t="s">
        <v>310</v>
      </c>
      <c r="C13" s="168" t="s">
        <v>297</v>
      </c>
      <c r="D13" s="184" t="s">
        <v>300</v>
      </c>
      <c r="E13" s="327">
        <v>1</v>
      </c>
      <c r="F13" s="168"/>
      <c r="G13" s="173"/>
      <c r="H13" s="172"/>
    </row>
    <row r="14" spans="1:8" ht="15" customHeight="1" x14ac:dyDescent="0.25">
      <c r="A14" s="337"/>
      <c r="B14" s="178" t="s">
        <v>311</v>
      </c>
      <c r="C14" s="179" t="s">
        <v>294</v>
      </c>
      <c r="D14" s="182" t="s">
        <v>300</v>
      </c>
      <c r="E14" s="339"/>
      <c r="F14" s="179"/>
      <c r="G14" s="180"/>
      <c r="H14" s="172"/>
    </row>
    <row r="15" spans="1:8" ht="15.75" customHeight="1" thickBot="1" x14ac:dyDescent="0.3">
      <c r="A15" s="338"/>
      <c r="B15" s="170" t="s">
        <v>312</v>
      </c>
      <c r="C15" s="171" t="s">
        <v>297</v>
      </c>
      <c r="D15" s="171" t="s">
        <v>300</v>
      </c>
      <c r="E15" s="328"/>
      <c r="F15" s="171"/>
      <c r="G15" s="177"/>
      <c r="H15" s="172"/>
    </row>
    <row r="16" spans="1:8" ht="30.75" thickBot="1" x14ac:dyDescent="0.3">
      <c r="A16" s="185" t="s">
        <v>313</v>
      </c>
      <c r="B16" s="186" t="s">
        <v>314</v>
      </c>
      <c r="C16" s="184" t="s">
        <v>297</v>
      </c>
      <c r="D16" s="184" t="s">
        <v>300</v>
      </c>
      <c r="E16" s="184">
        <v>1</v>
      </c>
      <c r="F16" s="187" t="s">
        <v>315</v>
      </c>
      <c r="G16" s="188" t="s">
        <v>316</v>
      </c>
      <c r="H16" s="189" t="s">
        <v>317</v>
      </c>
    </row>
    <row r="17" spans="1:8" ht="15" customHeight="1" x14ac:dyDescent="0.25">
      <c r="A17" s="336" t="s">
        <v>318</v>
      </c>
      <c r="B17" s="167"/>
      <c r="C17" s="168"/>
      <c r="D17" s="184"/>
      <c r="E17" s="327">
        <v>1</v>
      </c>
      <c r="F17" s="190"/>
      <c r="G17" s="191"/>
      <c r="H17" s="169" t="s">
        <v>319</v>
      </c>
    </row>
    <row r="18" spans="1:8" ht="15.75" customHeight="1" thickBot="1" x14ac:dyDescent="0.3">
      <c r="A18" s="338"/>
      <c r="B18" s="170"/>
      <c r="C18" s="171"/>
      <c r="D18" s="171"/>
      <c r="E18" s="328"/>
      <c r="F18" s="192"/>
      <c r="G18" s="193"/>
      <c r="H18" s="194"/>
    </row>
    <row r="19" spans="1:8" ht="45.75" thickBot="1" x14ac:dyDescent="0.3">
      <c r="A19" s="195" t="s">
        <v>320</v>
      </c>
      <c r="B19" s="196" t="s">
        <v>321</v>
      </c>
      <c r="C19" s="197" t="s">
        <v>294</v>
      </c>
      <c r="D19" s="197" t="s">
        <v>300</v>
      </c>
      <c r="E19" s="197">
        <v>1</v>
      </c>
      <c r="F19" s="198"/>
      <c r="G19" s="199"/>
      <c r="H19" s="172"/>
    </row>
    <row r="20" spans="1:8" ht="15" customHeight="1" x14ac:dyDescent="0.25">
      <c r="A20" s="336" t="s">
        <v>322</v>
      </c>
      <c r="B20" s="167" t="s">
        <v>323</v>
      </c>
      <c r="C20" s="168" t="s">
        <v>294</v>
      </c>
      <c r="D20" s="184" t="s">
        <v>300</v>
      </c>
      <c r="E20" s="327">
        <v>1</v>
      </c>
      <c r="F20" s="190"/>
      <c r="G20" s="191"/>
      <c r="H20" s="172"/>
    </row>
    <row r="21" spans="1:8" ht="15.75" customHeight="1" thickBot="1" x14ac:dyDescent="0.3">
      <c r="A21" s="338"/>
      <c r="B21" s="170" t="s">
        <v>324</v>
      </c>
      <c r="C21" s="171" t="s">
        <v>297</v>
      </c>
      <c r="D21" s="171" t="s">
        <v>300</v>
      </c>
      <c r="E21" s="328"/>
      <c r="F21" s="171"/>
      <c r="G21" s="177"/>
      <c r="H21" s="172"/>
    </row>
    <row r="22" spans="1:8" ht="15" customHeight="1" x14ac:dyDescent="0.25">
      <c r="A22" s="336" t="s">
        <v>325</v>
      </c>
      <c r="B22" s="186" t="s">
        <v>326</v>
      </c>
      <c r="C22" s="184" t="s">
        <v>294</v>
      </c>
      <c r="D22" s="184" t="s">
        <v>300</v>
      </c>
      <c r="E22" s="327">
        <v>1</v>
      </c>
      <c r="F22" s="184"/>
      <c r="G22" s="200"/>
      <c r="H22" s="172"/>
    </row>
    <row r="23" spans="1:8" ht="15.75" customHeight="1" thickBot="1" x14ac:dyDescent="0.3">
      <c r="A23" s="338"/>
      <c r="B23" s="201" t="s">
        <v>327</v>
      </c>
      <c r="C23" s="202" t="s">
        <v>297</v>
      </c>
      <c r="D23" s="202" t="s">
        <v>300</v>
      </c>
      <c r="E23" s="328"/>
      <c r="F23" s="202"/>
      <c r="G23" s="203"/>
      <c r="H23" s="172"/>
    </row>
    <row r="24" spans="1:8" ht="15" customHeight="1" x14ac:dyDescent="0.25">
      <c r="A24" s="336" t="s">
        <v>328</v>
      </c>
      <c r="B24" s="186" t="s">
        <v>329</v>
      </c>
      <c r="C24" s="184" t="s">
        <v>297</v>
      </c>
      <c r="D24" s="184" t="s">
        <v>330</v>
      </c>
      <c r="E24" s="327">
        <v>1</v>
      </c>
      <c r="F24" s="184"/>
      <c r="G24" s="200"/>
      <c r="H24" s="172"/>
    </row>
    <row r="25" spans="1:8" ht="15.75" customHeight="1" thickBot="1" x14ac:dyDescent="0.3">
      <c r="A25" s="338"/>
      <c r="B25" s="201" t="s">
        <v>331</v>
      </c>
      <c r="C25" s="202" t="s">
        <v>332</v>
      </c>
      <c r="D25" s="202" t="s">
        <v>300</v>
      </c>
      <c r="E25" s="328"/>
      <c r="F25" s="202"/>
      <c r="G25" s="203"/>
      <c r="H25" s="172"/>
    </row>
    <row r="26" spans="1:8" ht="15" customHeight="1" x14ac:dyDescent="0.25">
      <c r="A26" s="325" t="s">
        <v>333</v>
      </c>
      <c r="B26" s="204" t="s">
        <v>334</v>
      </c>
      <c r="C26" s="205" t="s">
        <v>297</v>
      </c>
      <c r="D26" s="205" t="s">
        <v>295</v>
      </c>
      <c r="E26" s="330">
        <v>1</v>
      </c>
      <c r="F26" s="168"/>
      <c r="G26" s="333">
        <v>1</v>
      </c>
      <c r="H26" s="172"/>
    </row>
    <row r="27" spans="1:8" ht="15" customHeight="1" x14ac:dyDescent="0.25">
      <c r="A27" s="329"/>
      <c r="B27" s="206" t="s">
        <v>335</v>
      </c>
      <c r="C27" s="207" t="s">
        <v>297</v>
      </c>
      <c r="D27" s="207" t="s">
        <v>336</v>
      </c>
      <c r="E27" s="331"/>
      <c r="F27" s="175"/>
      <c r="G27" s="334"/>
      <c r="H27" s="172"/>
    </row>
    <row r="28" spans="1:8" ht="15" customHeight="1" x14ac:dyDescent="0.25">
      <c r="A28" s="329"/>
      <c r="B28" s="206" t="s">
        <v>337</v>
      </c>
      <c r="C28" s="207" t="s">
        <v>294</v>
      </c>
      <c r="D28" s="207" t="s">
        <v>295</v>
      </c>
      <c r="E28" s="331"/>
      <c r="F28" s="175"/>
      <c r="G28" s="334"/>
      <c r="H28" s="172"/>
    </row>
    <row r="29" spans="1:8" ht="15.75" customHeight="1" thickBot="1" x14ac:dyDescent="0.3">
      <c r="A29" s="326"/>
      <c r="B29" s="208" t="s">
        <v>338</v>
      </c>
      <c r="C29" s="209" t="s">
        <v>294</v>
      </c>
      <c r="D29" s="209" t="s">
        <v>336</v>
      </c>
      <c r="E29" s="332"/>
      <c r="F29" s="171"/>
      <c r="G29" s="335"/>
      <c r="H29" s="172"/>
    </row>
    <row r="30" spans="1:8" ht="15" customHeight="1" x14ac:dyDescent="0.25">
      <c r="A30" s="325" t="s">
        <v>339</v>
      </c>
      <c r="B30" s="204" t="s">
        <v>340</v>
      </c>
      <c r="C30" s="205" t="s">
        <v>294</v>
      </c>
      <c r="D30" s="205" t="s">
        <v>336</v>
      </c>
      <c r="E30" s="330">
        <v>1</v>
      </c>
      <c r="F30" s="168"/>
      <c r="G30" s="333">
        <v>1</v>
      </c>
      <c r="H30" s="172"/>
    </row>
    <row r="31" spans="1:8" ht="15.75" customHeight="1" thickBot="1" x14ac:dyDescent="0.3">
      <c r="A31" s="326"/>
      <c r="B31" s="208" t="s">
        <v>341</v>
      </c>
      <c r="C31" s="209" t="s">
        <v>297</v>
      </c>
      <c r="D31" s="171" t="s">
        <v>300</v>
      </c>
      <c r="E31" s="332"/>
      <c r="F31" s="171"/>
      <c r="G31" s="335"/>
      <c r="H31" s="172"/>
    </row>
    <row r="32" spans="1:8" ht="15" customHeight="1" x14ac:dyDescent="0.25">
      <c r="A32" s="325" t="s">
        <v>342</v>
      </c>
      <c r="B32" s="204" t="s">
        <v>343</v>
      </c>
      <c r="C32" s="205" t="s">
        <v>297</v>
      </c>
      <c r="D32" s="184" t="s">
        <v>300</v>
      </c>
      <c r="E32" s="330">
        <v>1</v>
      </c>
      <c r="F32" s="168"/>
      <c r="G32" s="333">
        <v>1</v>
      </c>
      <c r="H32" s="172"/>
    </row>
    <row r="33" spans="1:8" ht="15.75" customHeight="1" thickBot="1" x14ac:dyDescent="0.3">
      <c r="A33" s="326"/>
      <c r="B33" s="208" t="s">
        <v>344</v>
      </c>
      <c r="C33" s="209" t="s">
        <v>294</v>
      </c>
      <c r="D33" s="209" t="s">
        <v>336</v>
      </c>
      <c r="E33" s="332"/>
      <c r="F33" s="171"/>
      <c r="G33" s="335"/>
      <c r="H33" s="172"/>
    </row>
    <row r="34" spans="1:8" ht="15" customHeight="1" x14ac:dyDescent="0.25">
      <c r="A34" s="325" t="s">
        <v>345</v>
      </c>
      <c r="B34" s="204" t="s">
        <v>346</v>
      </c>
      <c r="C34" s="205" t="s">
        <v>294</v>
      </c>
      <c r="D34" s="205" t="s">
        <v>347</v>
      </c>
      <c r="E34" s="330">
        <v>4</v>
      </c>
      <c r="F34" s="168" t="s">
        <v>348</v>
      </c>
      <c r="G34" s="333">
        <v>1</v>
      </c>
      <c r="H34" s="169"/>
    </row>
    <row r="35" spans="1:8" ht="15" customHeight="1" x14ac:dyDescent="0.25">
      <c r="A35" s="329"/>
      <c r="B35" s="206" t="s">
        <v>349</v>
      </c>
      <c r="C35" s="207" t="s">
        <v>297</v>
      </c>
      <c r="D35" s="182" t="s">
        <v>300</v>
      </c>
      <c r="E35" s="331"/>
      <c r="F35" s="175" t="s">
        <v>350</v>
      </c>
      <c r="G35" s="334"/>
      <c r="H35" s="172" t="s">
        <v>317</v>
      </c>
    </row>
    <row r="36" spans="1:8" ht="30" x14ac:dyDescent="0.25">
      <c r="A36" s="329"/>
      <c r="B36" s="206" t="s">
        <v>351</v>
      </c>
      <c r="C36" s="207" t="s">
        <v>294</v>
      </c>
      <c r="D36" s="182" t="s">
        <v>300</v>
      </c>
      <c r="E36" s="331"/>
      <c r="F36" s="210" t="s">
        <v>352</v>
      </c>
      <c r="G36" s="334"/>
      <c r="H36" s="172"/>
    </row>
    <row r="37" spans="1:8" ht="15.75" customHeight="1" thickBot="1" x14ac:dyDescent="0.3">
      <c r="A37" s="326"/>
      <c r="B37" s="208" t="s">
        <v>353</v>
      </c>
      <c r="C37" s="171" t="s">
        <v>297</v>
      </c>
      <c r="D37" s="171" t="s">
        <v>300</v>
      </c>
      <c r="E37" s="332"/>
      <c r="F37" s="171"/>
      <c r="G37" s="335"/>
      <c r="H37" s="194"/>
    </row>
    <row r="38" spans="1:8" ht="15" customHeight="1" x14ac:dyDescent="0.25">
      <c r="A38" s="325" t="s">
        <v>354</v>
      </c>
      <c r="B38" s="211" t="s">
        <v>355</v>
      </c>
      <c r="C38" s="184" t="s">
        <v>294</v>
      </c>
      <c r="D38" s="184" t="s">
        <v>300</v>
      </c>
      <c r="E38" s="330">
        <v>4</v>
      </c>
      <c r="F38" s="168" t="s">
        <v>350</v>
      </c>
      <c r="G38" s="333">
        <v>1</v>
      </c>
      <c r="H38" s="212" t="s">
        <v>356</v>
      </c>
    </row>
    <row r="39" spans="1:8" ht="15" customHeight="1" x14ac:dyDescent="0.25">
      <c r="A39" s="337"/>
      <c r="B39" s="213" t="s">
        <v>321</v>
      </c>
      <c r="C39" s="175" t="s">
        <v>294</v>
      </c>
      <c r="D39" s="175" t="s">
        <v>300</v>
      </c>
      <c r="E39" s="339"/>
      <c r="F39" s="214"/>
      <c r="G39" s="349"/>
      <c r="H39" s="215"/>
    </row>
    <row r="40" spans="1:8" ht="30.75" thickBot="1" x14ac:dyDescent="0.3">
      <c r="A40" s="326"/>
      <c r="B40" s="216" t="s">
        <v>357</v>
      </c>
      <c r="C40" s="209" t="s">
        <v>294</v>
      </c>
      <c r="D40" s="171" t="s">
        <v>300</v>
      </c>
      <c r="E40" s="332"/>
      <c r="F40" s="192" t="s">
        <v>358</v>
      </c>
      <c r="G40" s="335"/>
      <c r="H40" s="194" t="s">
        <v>359</v>
      </c>
    </row>
    <row r="41" spans="1:8" ht="15" customHeight="1" x14ac:dyDescent="0.25">
      <c r="A41" s="325" t="s">
        <v>360</v>
      </c>
      <c r="B41" s="204" t="s">
        <v>361</v>
      </c>
      <c r="C41" s="205" t="s">
        <v>294</v>
      </c>
      <c r="D41" s="184" t="s">
        <v>300</v>
      </c>
      <c r="E41" s="330">
        <v>1</v>
      </c>
      <c r="F41" s="168"/>
      <c r="G41" s="333">
        <v>1</v>
      </c>
      <c r="H41" s="172"/>
    </row>
    <row r="42" spans="1:8" ht="30.75" customHeight="1" thickBot="1" x14ac:dyDescent="0.3">
      <c r="A42" s="326"/>
      <c r="B42" s="208" t="s">
        <v>362</v>
      </c>
      <c r="C42" s="209" t="s">
        <v>363</v>
      </c>
      <c r="D42" s="217" t="s">
        <v>364</v>
      </c>
      <c r="E42" s="332"/>
      <c r="F42" s="171"/>
      <c r="G42" s="335"/>
      <c r="H42" s="172"/>
    </row>
    <row r="43" spans="1:8" ht="15.75" customHeight="1" thickBot="1" x14ac:dyDescent="0.3">
      <c r="A43" s="218" t="s">
        <v>365</v>
      </c>
      <c r="B43" s="219" t="s">
        <v>366</v>
      </c>
      <c r="C43" s="220"/>
      <c r="D43" s="221" t="s">
        <v>300</v>
      </c>
      <c r="E43" s="221">
        <v>1</v>
      </c>
      <c r="F43" s="221"/>
      <c r="G43" s="222"/>
      <c r="H43" s="172"/>
    </row>
    <row r="44" spans="1:8" ht="15.75" customHeight="1" thickBot="1" x14ac:dyDescent="0.3">
      <c r="A44" s="218" t="s">
        <v>367</v>
      </c>
      <c r="B44" s="219" t="s">
        <v>366</v>
      </c>
      <c r="C44" s="220" t="s">
        <v>368</v>
      </c>
      <c r="D44" s="221" t="s">
        <v>300</v>
      </c>
      <c r="E44" s="221">
        <v>1</v>
      </c>
      <c r="F44" s="221"/>
      <c r="G44" s="222">
        <v>1</v>
      </c>
      <c r="H44" s="172"/>
    </row>
    <row r="45" spans="1:8" ht="15.75" customHeight="1" thickBot="1" x14ac:dyDescent="0.3">
      <c r="A45" s="218" t="s">
        <v>369</v>
      </c>
      <c r="B45" s="219" t="s">
        <v>366</v>
      </c>
      <c r="C45" s="220" t="s">
        <v>370</v>
      </c>
      <c r="D45" s="221" t="s">
        <v>300</v>
      </c>
      <c r="E45" s="221">
        <v>1</v>
      </c>
      <c r="F45" s="221"/>
      <c r="G45" s="222">
        <v>1</v>
      </c>
      <c r="H45" s="172"/>
    </row>
    <row r="46" spans="1:8" ht="15.75" customHeight="1" thickBot="1" x14ac:dyDescent="0.3">
      <c r="A46" s="218" t="s">
        <v>371</v>
      </c>
      <c r="B46" s="219" t="s">
        <v>372</v>
      </c>
      <c r="C46" s="220" t="s">
        <v>294</v>
      </c>
      <c r="D46" s="221" t="s">
        <v>300</v>
      </c>
      <c r="E46" s="221">
        <v>1</v>
      </c>
      <c r="F46" s="221"/>
      <c r="G46" s="222">
        <v>1</v>
      </c>
      <c r="H46" s="172"/>
    </row>
    <row r="47" spans="1:8" ht="15.75" customHeight="1" thickBot="1" x14ac:dyDescent="0.3">
      <c r="A47" s="218" t="s">
        <v>373</v>
      </c>
      <c r="B47" s="219" t="s">
        <v>374</v>
      </c>
      <c r="C47" s="220" t="s">
        <v>294</v>
      </c>
      <c r="D47" s="221" t="s">
        <v>300</v>
      </c>
      <c r="E47" s="221">
        <v>1</v>
      </c>
      <c r="F47" s="221"/>
      <c r="G47" s="222"/>
      <c r="H47" s="172"/>
    </row>
    <row r="48" spans="1:8" ht="15.75" customHeight="1" thickBot="1" x14ac:dyDescent="0.3">
      <c r="A48" s="218" t="s">
        <v>375</v>
      </c>
      <c r="B48" s="219" t="s">
        <v>376</v>
      </c>
      <c r="C48" s="220" t="s">
        <v>294</v>
      </c>
      <c r="D48" s="221" t="s">
        <v>300</v>
      </c>
      <c r="E48" s="221">
        <v>1</v>
      </c>
      <c r="F48" s="221"/>
      <c r="G48" s="222"/>
      <c r="H48" s="172"/>
    </row>
    <row r="49" spans="1:8" ht="15.75" customHeight="1" thickBot="1" x14ac:dyDescent="0.3">
      <c r="A49" s="218" t="s">
        <v>377</v>
      </c>
      <c r="B49" s="219" t="s">
        <v>378</v>
      </c>
      <c r="C49" s="220" t="s">
        <v>294</v>
      </c>
      <c r="D49" s="221" t="s">
        <v>300</v>
      </c>
      <c r="E49" s="221">
        <v>1</v>
      </c>
      <c r="F49" s="221"/>
      <c r="G49" s="222"/>
      <c r="H49" s="172"/>
    </row>
    <row r="50" spans="1:8" ht="15.75" customHeight="1" thickBot="1" x14ac:dyDescent="0.3">
      <c r="A50" s="218" t="s">
        <v>379</v>
      </c>
      <c r="B50" s="219" t="s">
        <v>331</v>
      </c>
      <c r="C50" s="220" t="s">
        <v>380</v>
      </c>
      <c r="D50" s="221" t="s">
        <v>300</v>
      </c>
      <c r="E50" s="221">
        <v>1</v>
      </c>
      <c r="F50" s="221"/>
      <c r="G50" s="222">
        <v>1</v>
      </c>
      <c r="H50" s="172"/>
    </row>
    <row r="51" spans="1:8" ht="15" customHeight="1" x14ac:dyDescent="0.25">
      <c r="A51" s="325" t="s">
        <v>381</v>
      </c>
      <c r="B51" s="204" t="s">
        <v>382</v>
      </c>
      <c r="C51" s="205" t="s">
        <v>294</v>
      </c>
      <c r="D51" s="184" t="s">
        <v>300</v>
      </c>
      <c r="E51" s="330">
        <v>1</v>
      </c>
      <c r="F51" s="168"/>
      <c r="G51" s="333">
        <v>1</v>
      </c>
      <c r="H51" s="172"/>
    </row>
    <row r="52" spans="1:8" ht="15.75" customHeight="1" thickBot="1" x14ac:dyDescent="0.3">
      <c r="A52" s="343"/>
      <c r="B52" s="223" t="s">
        <v>383</v>
      </c>
      <c r="C52" s="224" t="s">
        <v>297</v>
      </c>
      <c r="D52" s="182" t="s">
        <v>300</v>
      </c>
      <c r="E52" s="344"/>
      <c r="F52" s="182"/>
      <c r="G52" s="345"/>
      <c r="H52" s="172"/>
    </row>
    <row r="53" spans="1:8" ht="15" customHeight="1" x14ac:dyDescent="0.25">
      <c r="A53" s="336" t="s">
        <v>384</v>
      </c>
      <c r="B53" s="204" t="s">
        <v>385</v>
      </c>
      <c r="C53" s="205" t="s">
        <v>294</v>
      </c>
      <c r="D53" s="168" t="s">
        <v>300</v>
      </c>
      <c r="E53" s="327">
        <v>1</v>
      </c>
      <c r="F53" s="168"/>
      <c r="G53" s="173">
        <v>1</v>
      </c>
      <c r="H53" s="172"/>
    </row>
    <row r="54" spans="1:8" ht="15.75" customHeight="1" thickBot="1" x14ac:dyDescent="0.3">
      <c r="A54" s="338"/>
      <c r="B54" s="208" t="s">
        <v>386</v>
      </c>
      <c r="C54" s="209" t="s">
        <v>294</v>
      </c>
      <c r="D54" s="171" t="s">
        <v>300</v>
      </c>
      <c r="E54" s="328"/>
      <c r="F54" s="171"/>
      <c r="G54" s="177"/>
      <c r="H54" s="172"/>
    </row>
    <row r="55" spans="1:8" ht="15" customHeight="1" x14ac:dyDescent="0.25">
      <c r="A55" s="325" t="s">
        <v>387</v>
      </c>
      <c r="B55" s="204" t="s">
        <v>388</v>
      </c>
      <c r="C55" s="205" t="s">
        <v>294</v>
      </c>
      <c r="D55" s="205" t="s">
        <v>389</v>
      </c>
      <c r="E55" s="330">
        <v>1</v>
      </c>
      <c r="F55" s="168"/>
      <c r="G55" s="333">
        <v>1</v>
      </c>
      <c r="H55" s="172"/>
    </row>
    <row r="56" spans="1:8" ht="15.75" customHeight="1" thickBot="1" x14ac:dyDescent="0.3">
      <c r="A56" s="326"/>
      <c r="B56" s="208" t="s">
        <v>390</v>
      </c>
      <c r="C56" s="209" t="s">
        <v>297</v>
      </c>
      <c r="D56" s="209" t="s">
        <v>389</v>
      </c>
      <c r="E56" s="332"/>
      <c r="F56" s="171"/>
      <c r="G56" s="335"/>
      <c r="H56" s="172"/>
    </row>
    <row r="57" spans="1:8" ht="15" customHeight="1" x14ac:dyDescent="0.25">
      <c r="A57" s="325" t="s">
        <v>391</v>
      </c>
      <c r="B57" s="204" t="s">
        <v>392</v>
      </c>
      <c r="C57" s="205" t="s">
        <v>297</v>
      </c>
      <c r="D57" s="184" t="s">
        <v>300</v>
      </c>
      <c r="E57" s="330">
        <v>2</v>
      </c>
      <c r="F57" s="168"/>
      <c r="G57" s="333">
        <v>1</v>
      </c>
      <c r="H57" s="172"/>
    </row>
    <row r="58" spans="1:8" ht="15" customHeight="1" x14ac:dyDescent="0.25">
      <c r="A58" s="329"/>
      <c r="B58" s="206" t="s">
        <v>393</v>
      </c>
      <c r="C58" s="207" t="s">
        <v>294</v>
      </c>
      <c r="D58" s="207" t="s">
        <v>300</v>
      </c>
      <c r="E58" s="331"/>
      <c r="F58" s="175"/>
      <c r="G58" s="334"/>
      <c r="H58" s="172"/>
    </row>
    <row r="59" spans="1:8" ht="15.75" customHeight="1" thickBot="1" x14ac:dyDescent="0.3">
      <c r="A59" s="326"/>
      <c r="B59" s="208" t="s">
        <v>394</v>
      </c>
      <c r="C59" s="209" t="s">
        <v>294</v>
      </c>
      <c r="D59" s="171" t="s">
        <v>300</v>
      </c>
      <c r="E59" s="332"/>
      <c r="F59" s="171"/>
      <c r="G59" s="335"/>
      <c r="H59" s="172"/>
    </row>
    <row r="60" spans="1:8" ht="15" customHeight="1" x14ac:dyDescent="0.25">
      <c r="A60" s="325" t="s">
        <v>395</v>
      </c>
      <c r="B60" s="204" t="s">
        <v>396</v>
      </c>
      <c r="C60" s="205" t="s">
        <v>294</v>
      </c>
      <c r="D60" s="205" t="s">
        <v>397</v>
      </c>
      <c r="E60" s="330">
        <v>11</v>
      </c>
      <c r="F60" s="168"/>
      <c r="G60" s="333">
        <v>3</v>
      </c>
      <c r="H60" s="172"/>
    </row>
    <row r="61" spans="1:8" ht="15" customHeight="1" x14ac:dyDescent="0.25">
      <c r="A61" s="329"/>
      <c r="B61" s="206" t="s">
        <v>398</v>
      </c>
      <c r="C61" s="207" t="s">
        <v>294</v>
      </c>
      <c r="D61" s="207" t="s">
        <v>399</v>
      </c>
      <c r="E61" s="331"/>
      <c r="F61" s="175"/>
      <c r="G61" s="334"/>
      <c r="H61" s="172"/>
    </row>
    <row r="62" spans="1:8" ht="15" customHeight="1" x14ac:dyDescent="0.25">
      <c r="A62" s="329"/>
      <c r="B62" s="206" t="s">
        <v>400</v>
      </c>
      <c r="C62" s="207" t="s">
        <v>294</v>
      </c>
      <c r="D62" s="207" t="s">
        <v>330</v>
      </c>
      <c r="E62" s="331"/>
      <c r="F62" s="175"/>
      <c r="G62" s="334"/>
      <c r="H62" s="172"/>
    </row>
    <row r="63" spans="1:8" ht="15" customHeight="1" x14ac:dyDescent="0.25">
      <c r="A63" s="329"/>
      <c r="B63" s="206" t="s">
        <v>401</v>
      </c>
      <c r="C63" s="207" t="s">
        <v>294</v>
      </c>
      <c r="D63" s="207" t="s">
        <v>330</v>
      </c>
      <c r="E63" s="331"/>
      <c r="F63" s="175"/>
      <c r="G63" s="334"/>
      <c r="H63" s="172"/>
    </row>
    <row r="64" spans="1:8" ht="15" customHeight="1" x14ac:dyDescent="0.25">
      <c r="A64" s="329"/>
      <c r="B64" s="206" t="s">
        <v>402</v>
      </c>
      <c r="C64" s="207" t="s">
        <v>294</v>
      </c>
      <c r="D64" s="207" t="s">
        <v>403</v>
      </c>
      <c r="E64" s="331"/>
      <c r="F64" s="175"/>
      <c r="G64" s="334"/>
      <c r="H64" s="172"/>
    </row>
    <row r="65" spans="1:8" ht="15" customHeight="1" x14ac:dyDescent="0.25">
      <c r="A65" s="329"/>
      <c r="B65" s="206" t="s">
        <v>404</v>
      </c>
      <c r="C65" s="207" t="s">
        <v>294</v>
      </c>
      <c r="D65" s="207" t="s">
        <v>399</v>
      </c>
      <c r="E65" s="331"/>
      <c r="F65" s="175"/>
      <c r="G65" s="334"/>
      <c r="H65" s="172"/>
    </row>
    <row r="66" spans="1:8" ht="15" customHeight="1" x14ac:dyDescent="0.25">
      <c r="A66" s="329"/>
      <c r="B66" s="206" t="s">
        <v>405</v>
      </c>
      <c r="C66" s="207" t="s">
        <v>294</v>
      </c>
      <c r="D66" s="207" t="s">
        <v>295</v>
      </c>
      <c r="E66" s="331"/>
      <c r="F66" s="175"/>
      <c r="G66" s="334"/>
      <c r="H66" s="172"/>
    </row>
    <row r="67" spans="1:8" ht="15" customHeight="1" x14ac:dyDescent="0.25">
      <c r="A67" s="329"/>
      <c r="B67" s="206" t="s">
        <v>406</v>
      </c>
      <c r="C67" s="207" t="s">
        <v>294</v>
      </c>
      <c r="D67" s="207" t="s">
        <v>407</v>
      </c>
      <c r="E67" s="331"/>
      <c r="F67" s="175"/>
      <c r="G67" s="334"/>
      <c r="H67" s="172"/>
    </row>
    <row r="68" spans="1:8" ht="15" customHeight="1" x14ac:dyDescent="0.25">
      <c r="A68" s="329"/>
      <c r="B68" s="206" t="s">
        <v>408</v>
      </c>
      <c r="C68" s="207" t="s">
        <v>294</v>
      </c>
      <c r="D68" s="207" t="s">
        <v>409</v>
      </c>
      <c r="E68" s="331"/>
      <c r="F68" s="175"/>
      <c r="G68" s="334"/>
      <c r="H68" s="172"/>
    </row>
    <row r="69" spans="1:8" ht="15" customHeight="1" x14ac:dyDescent="0.25">
      <c r="A69" s="329"/>
      <c r="B69" s="206" t="s">
        <v>410</v>
      </c>
      <c r="C69" s="207" t="s">
        <v>294</v>
      </c>
      <c r="D69" s="207" t="s">
        <v>411</v>
      </c>
      <c r="E69" s="331"/>
      <c r="F69" s="175"/>
      <c r="G69" s="334"/>
      <c r="H69" s="172"/>
    </row>
    <row r="70" spans="1:8" ht="15" customHeight="1" x14ac:dyDescent="0.25">
      <c r="A70" s="329"/>
      <c r="B70" s="206" t="s">
        <v>412</v>
      </c>
      <c r="C70" s="207" t="s">
        <v>294</v>
      </c>
      <c r="D70" s="207" t="s">
        <v>399</v>
      </c>
      <c r="E70" s="331"/>
      <c r="F70" s="175"/>
      <c r="G70" s="334"/>
      <c r="H70" s="172"/>
    </row>
    <row r="71" spans="1:8" ht="15" customHeight="1" x14ac:dyDescent="0.25">
      <c r="A71" s="329"/>
      <c r="B71" s="206" t="s">
        <v>413</v>
      </c>
      <c r="C71" s="207" t="s">
        <v>297</v>
      </c>
      <c r="D71" s="207" t="s">
        <v>414</v>
      </c>
      <c r="E71" s="331"/>
      <c r="F71" s="175"/>
      <c r="G71" s="334"/>
      <c r="H71" s="172"/>
    </row>
    <row r="72" spans="1:8" ht="15" customHeight="1" x14ac:dyDescent="0.25">
      <c r="A72" s="329"/>
      <c r="B72" s="206" t="s">
        <v>415</v>
      </c>
      <c r="C72" s="207" t="s">
        <v>297</v>
      </c>
      <c r="D72" s="207" t="s">
        <v>399</v>
      </c>
      <c r="E72" s="331"/>
      <c r="F72" s="175"/>
      <c r="G72" s="334"/>
      <c r="H72" s="172"/>
    </row>
    <row r="73" spans="1:8" ht="15" customHeight="1" x14ac:dyDescent="0.25">
      <c r="A73" s="329"/>
      <c r="B73" s="206" t="s">
        <v>416</v>
      </c>
      <c r="C73" s="207" t="s">
        <v>297</v>
      </c>
      <c r="D73" s="207" t="s">
        <v>409</v>
      </c>
      <c r="E73" s="331"/>
      <c r="F73" s="175"/>
      <c r="G73" s="334"/>
      <c r="H73" s="172"/>
    </row>
    <row r="74" spans="1:8" ht="15" customHeight="1" x14ac:dyDescent="0.25">
      <c r="A74" s="329"/>
      <c r="B74" s="206" t="s">
        <v>417</v>
      </c>
      <c r="C74" s="207" t="s">
        <v>297</v>
      </c>
      <c r="D74" s="207" t="s">
        <v>418</v>
      </c>
      <c r="E74" s="331"/>
      <c r="F74" s="175"/>
      <c r="G74" s="334"/>
      <c r="H74" s="172"/>
    </row>
    <row r="75" spans="1:8" ht="15" customHeight="1" x14ac:dyDescent="0.25">
      <c r="A75" s="329"/>
      <c r="B75" s="206" t="s">
        <v>419</v>
      </c>
      <c r="C75" s="207" t="s">
        <v>297</v>
      </c>
      <c r="D75" s="207" t="s">
        <v>336</v>
      </c>
      <c r="E75" s="331"/>
      <c r="F75" s="175"/>
      <c r="G75" s="334"/>
      <c r="H75" s="172"/>
    </row>
    <row r="76" spans="1:8" ht="15" customHeight="1" x14ac:dyDescent="0.25">
      <c r="A76" s="329"/>
      <c r="B76" s="206" t="s">
        <v>420</v>
      </c>
      <c r="C76" s="207" t="s">
        <v>297</v>
      </c>
      <c r="D76" s="207" t="s">
        <v>295</v>
      </c>
      <c r="E76" s="331"/>
      <c r="F76" s="175"/>
      <c r="G76" s="334"/>
      <c r="H76" s="172"/>
    </row>
    <row r="77" spans="1:8" ht="15" customHeight="1" x14ac:dyDescent="0.25">
      <c r="A77" s="329"/>
      <c r="B77" s="206" t="s">
        <v>421</v>
      </c>
      <c r="C77" s="207" t="s">
        <v>297</v>
      </c>
      <c r="D77" s="207" t="s">
        <v>414</v>
      </c>
      <c r="E77" s="331"/>
      <c r="F77" s="175"/>
      <c r="G77" s="334"/>
      <c r="H77" s="172"/>
    </row>
    <row r="78" spans="1:8" ht="15" customHeight="1" x14ac:dyDescent="0.25">
      <c r="A78" s="329"/>
      <c r="B78" s="206" t="s">
        <v>422</v>
      </c>
      <c r="C78" s="207" t="s">
        <v>297</v>
      </c>
      <c r="D78" s="207" t="s">
        <v>295</v>
      </c>
      <c r="E78" s="331"/>
      <c r="F78" s="175"/>
      <c r="G78" s="334"/>
      <c r="H78" s="172"/>
    </row>
    <row r="79" spans="1:8" ht="15" customHeight="1" x14ac:dyDescent="0.25">
      <c r="A79" s="343"/>
      <c r="B79" s="223" t="s">
        <v>423</v>
      </c>
      <c r="C79" s="224" t="s">
        <v>294</v>
      </c>
      <c r="D79" s="224" t="s">
        <v>424</v>
      </c>
      <c r="E79" s="344"/>
      <c r="F79" s="182"/>
      <c r="G79" s="345"/>
      <c r="H79" s="172"/>
    </row>
    <row r="80" spans="1:8" ht="15" customHeight="1" x14ac:dyDescent="0.25">
      <c r="A80" s="343"/>
      <c r="B80" s="223" t="s">
        <v>425</v>
      </c>
      <c r="C80" s="224"/>
      <c r="D80" s="224" t="s">
        <v>426</v>
      </c>
      <c r="E80" s="344"/>
      <c r="F80" s="182"/>
      <c r="G80" s="345"/>
      <c r="H80" s="172"/>
    </row>
    <row r="81" spans="1:8" ht="15.75" customHeight="1" thickBot="1" x14ac:dyDescent="0.3">
      <c r="A81" s="326"/>
      <c r="B81" s="208" t="s">
        <v>427</v>
      </c>
      <c r="C81" s="209" t="s">
        <v>297</v>
      </c>
      <c r="D81" s="209" t="s">
        <v>399</v>
      </c>
      <c r="E81" s="332"/>
      <c r="F81" s="171"/>
      <c r="G81" s="335"/>
      <c r="H81" s="172"/>
    </row>
    <row r="82" spans="1:8" ht="15" customHeight="1" x14ac:dyDescent="0.25">
      <c r="A82" s="325" t="s">
        <v>428</v>
      </c>
      <c r="B82" s="204" t="s">
        <v>429</v>
      </c>
      <c r="C82" s="205" t="s">
        <v>294</v>
      </c>
      <c r="D82" s="205" t="s">
        <v>430</v>
      </c>
      <c r="E82" s="330">
        <v>2</v>
      </c>
      <c r="F82" s="168"/>
      <c r="G82" s="333">
        <v>1</v>
      </c>
      <c r="H82" s="172"/>
    </row>
    <row r="83" spans="1:8" ht="15" customHeight="1" x14ac:dyDescent="0.25">
      <c r="A83" s="329"/>
      <c r="B83" s="206" t="s">
        <v>431</v>
      </c>
      <c r="C83" s="224" t="s">
        <v>432</v>
      </c>
      <c r="D83" s="207" t="s">
        <v>300</v>
      </c>
      <c r="E83" s="331"/>
      <c r="F83" s="175"/>
      <c r="G83" s="334"/>
      <c r="H83" s="172"/>
    </row>
    <row r="84" spans="1:8" ht="15" customHeight="1" x14ac:dyDescent="0.25">
      <c r="A84" s="343"/>
      <c r="B84" s="223" t="s">
        <v>433</v>
      </c>
      <c r="C84" s="207" t="s">
        <v>432</v>
      </c>
      <c r="D84" s="207" t="s">
        <v>300</v>
      </c>
      <c r="E84" s="344"/>
      <c r="F84" s="182"/>
      <c r="G84" s="345"/>
      <c r="H84" s="172"/>
    </row>
    <row r="85" spans="1:8" ht="15" customHeight="1" x14ac:dyDescent="0.25">
      <c r="A85" s="343"/>
      <c r="B85" s="223" t="s">
        <v>434</v>
      </c>
      <c r="C85" s="207" t="s">
        <v>432</v>
      </c>
      <c r="D85" s="207" t="s">
        <v>300</v>
      </c>
      <c r="E85" s="344"/>
      <c r="F85" s="182"/>
      <c r="G85" s="345"/>
      <c r="H85" s="172"/>
    </row>
    <row r="86" spans="1:8" ht="15" customHeight="1" x14ac:dyDescent="0.25">
      <c r="A86" s="343"/>
      <c r="B86" s="223" t="s">
        <v>435</v>
      </c>
      <c r="C86" s="207" t="s">
        <v>294</v>
      </c>
      <c r="D86" s="207" t="s">
        <v>300</v>
      </c>
      <c r="E86" s="344"/>
      <c r="F86" s="182"/>
      <c r="G86" s="345"/>
      <c r="H86" s="172"/>
    </row>
    <row r="87" spans="1:8" ht="15" customHeight="1" x14ac:dyDescent="0.25">
      <c r="A87" s="343"/>
      <c r="B87" s="223" t="s">
        <v>436</v>
      </c>
      <c r="C87" s="207" t="s">
        <v>432</v>
      </c>
      <c r="D87" s="207" t="s">
        <v>300</v>
      </c>
      <c r="E87" s="344"/>
      <c r="F87" s="182"/>
      <c r="G87" s="345"/>
      <c r="H87" s="172"/>
    </row>
    <row r="88" spans="1:8" ht="15.75" customHeight="1" thickBot="1" x14ac:dyDescent="0.3">
      <c r="A88" s="326"/>
      <c r="B88" s="208" t="s">
        <v>437</v>
      </c>
      <c r="C88" s="209" t="s">
        <v>432</v>
      </c>
      <c r="D88" s="209" t="s">
        <v>414</v>
      </c>
      <c r="E88" s="332"/>
      <c r="F88" s="171"/>
      <c r="G88" s="335"/>
      <c r="H88" s="172"/>
    </row>
    <row r="89" spans="1:8" ht="15" customHeight="1" x14ac:dyDescent="0.25">
      <c r="A89" s="325" t="s">
        <v>438</v>
      </c>
      <c r="B89" s="204" t="s">
        <v>439</v>
      </c>
      <c r="C89" s="205" t="s">
        <v>294</v>
      </c>
      <c r="D89" s="205"/>
      <c r="E89" s="330">
        <v>2</v>
      </c>
      <c r="F89" s="168"/>
      <c r="G89" s="333">
        <v>2</v>
      </c>
      <c r="H89" s="172"/>
    </row>
    <row r="90" spans="1:8" ht="15" customHeight="1" x14ac:dyDescent="0.25">
      <c r="A90" s="346"/>
      <c r="B90" s="225" t="s">
        <v>440</v>
      </c>
      <c r="C90" s="226" t="s">
        <v>294</v>
      </c>
      <c r="D90" s="226"/>
      <c r="E90" s="347"/>
      <c r="F90" s="179"/>
      <c r="G90" s="348"/>
      <c r="H90" s="172"/>
    </row>
    <row r="91" spans="1:8" ht="15" customHeight="1" x14ac:dyDescent="0.25">
      <c r="A91" s="329"/>
      <c r="B91" s="206" t="s">
        <v>441</v>
      </c>
      <c r="C91" s="207" t="s">
        <v>294</v>
      </c>
      <c r="D91" s="207"/>
      <c r="E91" s="331"/>
      <c r="F91" s="175"/>
      <c r="G91" s="334"/>
      <c r="H91" s="172"/>
    </row>
    <row r="92" spans="1:8" ht="15" customHeight="1" x14ac:dyDescent="0.25">
      <c r="A92" s="329"/>
      <c r="B92" s="206" t="s">
        <v>442</v>
      </c>
      <c r="C92" s="207" t="s">
        <v>294</v>
      </c>
      <c r="D92" s="207"/>
      <c r="E92" s="331"/>
      <c r="F92" s="175"/>
      <c r="G92" s="334"/>
      <c r="H92" s="172"/>
    </row>
    <row r="93" spans="1:8" ht="15" customHeight="1" x14ac:dyDescent="0.25">
      <c r="A93" s="329"/>
      <c r="B93" s="206" t="s">
        <v>443</v>
      </c>
      <c r="C93" s="207" t="s">
        <v>297</v>
      </c>
      <c r="D93" s="207"/>
      <c r="E93" s="331"/>
      <c r="F93" s="175"/>
      <c r="G93" s="334"/>
      <c r="H93" s="172"/>
    </row>
    <row r="94" spans="1:8" ht="15" customHeight="1" x14ac:dyDescent="0.25">
      <c r="A94" s="329"/>
      <c r="B94" s="206" t="s">
        <v>444</v>
      </c>
      <c r="C94" s="207" t="s">
        <v>432</v>
      </c>
      <c r="D94" s="207"/>
      <c r="E94" s="331"/>
      <c r="F94" s="175"/>
      <c r="G94" s="334"/>
      <c r="H94" s="172"/>
    </row>
    <row r="95" spans="1:8" ht="15" customHeight="1" x14ac:dyDescent="0.25">
      <c r="A95" s="329"/>
      <c r="B95" s="206" t="s">
        <v>445</v>
      </c>
      <c r="C95" s="207" t="s">
        <v>294</v>
      </c>
      <c r="D95" s="207"/>
      <c r="E95" s="331"/>
      <c r="F95" s="175"/>
      <c r="G95" s="334"/>
      <c r="H95" s="172"/>
    </row>
    <row r="96" spans="1:8" ht="15" customHeight="1" x14ac:dyDescent="0.25">
      <c r="A96" s="329"/>
      <c r="B96" s="206" t="s">
        <v>446</v>
      </c>
      <c r="C96" s="207" t="s">
        <v>297</v>
      </c>
      <c r="D96" s="207"/>
      <c r="E96" s="331"/>
      <c r="F96" s="175"/>
      <c r="G96" s="334"/>
      <c r="H96" s="172"/>
    </row>
    <row r="97" spans="1:8" ht="15" customHeight="1" x14ac:dyDescent="0.25">
      <c r="A97" s="343"/>
      <c r="B97" s="223" t="s">
        <v>447</v>
      </c>
      <c r="C97" s="224" t="s">
        <v>297</v>
      </c>
      <c r="D97" s="224"/>
      <c r="E97" s="344"/>
      <c r="F97" s="182"/>
      <c r="G97" s="345"/>
      <c r="H97" s="172"/>
    </row>
    <row r="98" spans="1:8" ht="15" customHeight="1" x14ac:dyDescent="0.25">
      <c r="A98" s="343"/>
      <c r="B98" s="223" t="s">
        <v>448</v>
      </c>
      <c r="C98" s="224" t="s">
        <v>294</v>
      </c>
      <c r="D98" s="224"/>
      <c r="E98" s="344"/>
      <c r="F98" s="182"/>
      <c r="G98" s="345"/>
      <c r="H98" s="172"/>
    </row>
    <row r="99" spans="1:8" ht="15.75" customHeight="1" thickBot="1" x14ac:dyDescent="0.3">
      <c r="A99" s="326"/>
      <c r="B99" s="208" t="s">
        <v>449</v>
      </c>
      <c r="C99" s="209" t="s">
        <v>297</v>
      </c>
      <c r="D99" s="209"/>
      <c r="E99" s="332"/>
      <c r="F99" s="171"/>
      <c r="G99" s="335"/>
      <c r="H99" s="172"/>
    </row>
    <row r="100" spans="1:8" ht="15.75" customHeight="1" thickBot="1" x14ac:dyDescent="0.3">
      <c r="A100" s="227" t="s">
        <v>450</v>
      </c>
      <c r="B100" s="219" t="s">
        <v>451</v>
      </c>
      <c r="C100" s="220" t="s">
        <v>294</v>
      </c>
      <c r="D100" s="220"/>
      <c r="E100" s="220">
        <v>1</v>
      </c>
      <c r="F100" s="220"/>
      <c r="G100" s="228"/>
      <c r="H100" s="172"/>
    </row>
    <row r="101" spans="1:8" ht="15.75" customHeight="1" thickBot="1" x14ac:dyDescent="0.3">
      <c r="A101" s="227" t="s">
        <v>452</v>
      </c>
      <c r="B101" s="219" t="s">
        <v>453</v>
      </c>
      <c r="C101" s="220" t="s">
        <v>294</v>
      </c>
      <c r="D101" s="220"/>
      <c r="E101" s="220">
        <v>1</v>
      </c>
      <c r="F101" s="220"/>
      <c r="G101" s="228"/>
      <c r="H101" s="172"/>
    </row>
    <row r="102" spans="1:8" ht="15" customHeight="1" x14ac:dyDescent="0.25">
      <c r="A102" s="325" t="s">
        <v>454</v>
      </c>
      <c r="B102" s="204" t="s">
        <v>442</v>
      </c>
      <c r="C102" s="205"/>
      <c r="D102" s="205"/>
      <c r="E102" s="330">
        <v>1</v>
      </c>
      <c r="F102" s="168"/>
      <c r="G102" s="340"/>
      <c r="H102" s="172"/>
    </row>
    <row r="103" spans="1:8" ht="15" customHeight="1" x14ac:dyDescent="0.25">
      <c r="A103" s="329"/>
      <c r="B103" s="206" t="s">
        <v>455</v>
      </c>
      <c r="C103" s="207" t="s">
        <v>294</v>
      </c>
      <c r="D103" s="207"/>
      <c r="E103" s="331"/>
      <c r="F103" s="175"/>
      <c r="G103" s="341"/>
      <c r="H103" s="172"/>
    </row>
    <row r="104" spans="1:8" ht="15.75" customHeight="1" thickBot="1" x14ac:dyDescent="0.3">
      <c r="A104" s="326"/>
      <c r="B104" s="208" t="s">
        <v>456</v>
      </c>
      <c r="C104" s="209"/>
      <c r="D104" s="209"/>
      <c r="E104" s="332"/>
      <c r="F104" s="171"/>
      <c r="G104" s="342"/>
      <c r="H104" s="172"/>
    </row>
    <row r="105" spans="1:8" ht="15.75" customHeight="1" thickBot="1" x14ac:dyDescent="0.3">
      <c r="A105" s="227" t="s">
        <v>457</v>
      </c>
      <c r="B105" s="219" t="s">
        <v>453</v>
      </c>
      <c r="C105" s="220" t="s">
        <v>294</v>
      </c>
      <c r="D105" s="220"/>
      <c r="E105" s="220">
        <v>1</v>
      </c>
      <c r="F105" s="220"/>
      <c r="G105" s="228"/>
      <c r="H105" s="172"/>
    </row>
    <row r="106" spans="1:8" ht="15.75" customHeight="1" thickBot="1" x14ac:dyDescent="0.3">
      <c r="A106" s="227" t="s">
        <v>458</v>
      </c>
      <c r="B106" s="219" t="s">
        <v>440</v>
      </c>
      <c r="C106" s="220" t="s">
        <v>294</v>
      </c>
      <c r="D106" s="220"/>
      <c r="E106" s="220">
        <v>1</v>
      </c>
      <c r="F106" s="220"/>
      <c r="G106" s="228"/>
      <c r="H106" s="172"/>
    </row>
    <row r="107" spans="1:8" ht="15.75" customHeight="1" thickBot="1" x14ac:dyDescent="0.3">
      <c r="A107" s="227" t="s">
        <v>459</v>
      </c>
      <c r="B107" s="219" t="s">
        <v>440</v>
      </c>
      <c r="C107" s="220" t="s">
        <v>294</v>
      </c>
      <c r="D107" s="220"/>
      <c r="E107" s="220">
        <v>1</v>
      </c>
      <c r="F107" s="220"/>
      <c r="G107" s="228"/>
      <c r="H107" s="172"/>
    </row>
    <row r="108" spans="1:8" ht="15" customHeight="1" x14ac:dyDescent="0.25">
      <c r="A108" s="336" t="s">
        <v>460</v>
      </c>
      <c r="B108" s="204" t="s">
        <v>439</v>
      </c>
      <c r="C108" s="205" t="s">
        <v>294</v>
      </c>
      <c r="D108" s="205" t="s">
        <v>336</v>
      </c>
      <c r="E108" s="327">
        <v>1</v>
      </c>
      <c r="F108" s="205"/>
      <c r="G108" s="229"/>
      <c r="H108" s="172"/>
    </row>
    <row r="109" spans="1:8" ht="15" customHeight="1" x14ac:dyDescent="0.25">
      <c r="A109" s="337"/>
      <c r="B109" s="206" t="s">
        <v>461</v>
      </c>
      <c r="C109" s="207" t="s">
        <v>294</v>
      </c>
      <c r="D109" s="207" t="s">
        <v>300</v>
      </c>
      <c r="E109" s="339"/>
      <c r="F109" s="207"/>
      <c r="G109" s="230"/>
      <c r="H109" s="172"/>
    </row>
    <row r="110" spans="1:8" ht="15.75" customHeight="1" thickBot="1" x14ac:dyDescent="0.3">
      <c r="A110" s="338"/>
      <c r="B110" s="208" t="s">
        <v>462</v>
      </c>
      <c r="C110" s="209" t="s">
        <v>297</v>
      </c>
      <c r="D110" s="209" t="s">
        <v>300</v>
      </c>
      <c r="E110" s="328"/>
      <c r="F110" s="209"/>
      <c r="G110" s="231"/>
      <c r="H110" s="172"/>
    </row>
    <row r="111" spans="1:8" ht="15.75" customHeight="1" thickBot="1" x14ac:dyDescent="0.3">
      <c r="A111" s="227" t="s">
        <v>463</v>
      </c>
      <c r="B111" s="219" t="s">
        <v>464</v>
      </c>
      <c r="C111" s="220" t="s">
        <v>294</v>
      </c>
      <c r="D111" s="220" t="s">
        <v>300</v>
      </c>
      <c r="E111" s="220">
        <v>1</v>
      </c>
      <c r="F111" s="220"/>
      <c r="G111" s="228"/>
      <c r="H111" s="172"/>
    </row>
    <row r="112" spans="1:8" ht="15.75" customHeight="1" thickBot="1" x14ac:dyDescent="0.3">
      <c r="A112" s="232"/>
      <c r="B112" s="232"/>
      <c r="C112" s="233"/>
      <c r="D112" s="233"/>
      <c r="E112" s="233"/>
      <c r="F112" s="233"/>
      <c r="G112" s="234"/>
      <c r="H112" s="172"/>
    </row>
    <row r="113" spans="1:8" ht="15" customHeight="1" x14ac:dyDescent="0.25">
      <c r="A113" s="325" t="s">
        <v>465</v>
      </c>
      <c r="B113" s="204" t="s">
        <v>466</v>
      </c>
      <c r="C113" s="205" t="s">
        <v>294</v>
      </c>
      <c r="D113" s="205"/>
      <c r="E113" s="330">
        <v>2</v>
      </c>
      <c r="F113" s="168"/>
      <c r="G113" s="333">
        <v>1</v>
      </c>
      <c r="H113" s="172"/>
    </row>
    <row r="114" spans="1:8" ht="15" customHeight="1" x14ac:dyDescent="0.25">
      <c r="A114" s="329"/>
      <c r="B114" s="206" t="s">
        <v>467</v>
      </c>
      <c r="C114" s="207" t="s">
        <v>294</v>
      </c>
      <c r="D114" s="207"/>
      <c r="E114" s="331"/>
      <c r="F114" s="175"/>
      <c r="G114" s="334"/>
      <c r="H114" s="172"/>
    </row>
    <row r="115" spans="1:8" ht="15" customHeight="1" x14ac:dyDescent="0.25">
      <c r="A115" s="329"/>
      <c r="B115" s="206" t="s">
        <v>468</v>
      </c>
      <c r="C115" s="207" t="s">
        <v>297</v>
      </c>
      <c r="D115" s="207" t="s">
        <v>300</v>
      </c>
      <c r="E115" s="331"/>
      <c r="F115" s="175"/>
      <c r="G115" s="334"/>
      <c r="H115" s="172"/>
    </row>
    <row r="116" spans="1:8" ht="15" customHeight="1" x14ac:dyDescent="0.25">
      <c r="A116" s="329"/>
      <c r="B116" s="206" t="s">
        <v>469</v>
      </c>
      <c r="C116" s="207" t="s">
        <v>297</v>
      </c>
      <c r="D116" s="207"/>
      <c r="E116" s="331"/>
      <c r="F116" s="175"/>
      <c r="G116" s="334"/>
      <c r="H116" s="172"/>
    </row>
    <row r="117" spans="1:8" ht="15.75" customHeight="1" thickBot="1" x14ac:dyDescent="0.3">
      <c r="A117" s="326"/>
      <c r="B117" s="208" t="s">
        <v>470</v>
      </c>
      <c r="C117" s="209" t="s">
        <v>294</v>
      </c>
      <c r="D117" s="209"/>
      <c r="E117" s="332"/>
      <c r="F117" s="171"/>
      <c r="G117" s="335"/>
      <c r="H117" s="172"/>
    </row>
    <row r="118" spans="1:8" ht="15.75" customHeight="1" thickBot="1" x14ac:dyDescent="0.3">
      <c r="A118" s="218" t="s">
        <v>471</v>
      </c>
      <c r="B118" s="219" t="s">
        <v>464</v>
      </c>
      <c r="C118" s="220" t="s">
        <v>294</v>
      </c>
      <c r="D118" s="220"/>
      <c r="E118" s="221">
        <v>1</v>
      </c>
      <c r="F118" s="221"/>
      <c r="G118" s="222"/>
      <c r="H118" s="172"/>
    </row>
    <row r="119" spans="1:8" ht="15.75" customHeight="1" thickBot="1" x14ac:dyDescent="0.3">
      <c r="A119" s="218" t="s">
        <v>472</v>
      </c>
      <c r="B119" s="219" t="s">
        <v>473</v>
      </c>
      <c r="C119" s="220"/>
      <c r="D119" s="220"/>
      <c r="E119" s="221">
        <v>1</v>
      </c>
      <c r="F119" s="221"/>
      <c r="G119" s="222"/>
      <c r="H119" s="172"/>
    </row>
    <row r="120" spans="1:8" ht="15.75" customHeight="1" thickBot="1" x14ac:dyDescent="0.3">
      <c r="A120" s="218" t="s">
        <v>474</v>
      </c>
      <c r="B120" s="219" t="s">
        <v>455</v>
      </c>
      <c r="C120" s="220" t="s">
        <v>294</v>
      </c>
      <c r="D120" s="220"/>
      <c r="E120" s="221">
        <v>1</v>
      </c>
      <c r="F120" s="221"/>
      <c r="G120" s="222"/>
      <c r="H120" s="172"/>
    </row>
    <row r="121" spans="1:8" ht="15.75" customHeight="1" thickBot="1" x14ac:dyDescent="0.3">
      <c r="A121" s="325" t="s">
        <v>475</v>
      </c>
      <c r="B121" s="204" t="s">
        <v>476</v>
      </c>
      <c r="C121" s="220" t="s">
        <v>294</v>
      </c>
      <c r="D121" s="205"/>
      <c r="E121" s="330">
        <v>1</v>
      </c>
      <c r="F121" s="168"/>
      <c r="G121" s="333">
        <v>1</v>
      </c>
      <c r="H121" s="172"/>
    </row>
    <row r="122" spans="1:8" ht="15.75" customHeight="1" thickBot="1" x14ac:dyDescent="0.3">
      <c r="A122" s="326"/>
      <c r="B122" s="208" t="s">
        <v>443</v>
      </c>
      <c r="C122" s="235" t="s">
        <v>297</v>
      </c>
      <c r="D122" s="209"/>
      <c r="E122" s="332"/>
      <c r="F122" s="171"/>
      <c r="G122" s="335"/>
      <c r="H122" s="172"/>
    </row>
    <row r="123" spans="1:8" ht="15" customHeight="1" thickBot="1" x14ac:dyDescent="0.3">
      <c r="A123" s="236" t="s">
        <v>477</v>
      </c>
      <c r="B123" s="237" t="s">
        <v>478</v>
      </c>
      <c r="C123" s="238" t="s">
        <v>294</v>
      </c>
      <c r="D123" s="238"/>
      <c r="E123" s="184">
        <v>1</v>
      </c>
      <c r="F123" s="184"/>
      <c r="G123" s="200"/>
      <c r="H123" s="172"/>
    </row>
    <row r="124" spans="1:8" ht="15" customHeight="1" thickBot="1" x14ac:dyDescent="0.3">
      <c r="A124" s="218" t="s">
        <v>479</v>
      </c>
      <c r="B124" s="219" t="s">
        <v>480</v>
      </c>
      <c r="C124" s="220" t="s">
        <v>294</v>
      </c>
      <c r="D124" s="220"/>
      <c r="E124" s="221">
        <v>1</v>
      </c>
      <c r="F124" s="221"/>
      <c r="G124" s="239"/>
      <c r="H124" s="172"/>
    </row>
    <row r="125" spans="1:8" ht="15.75" customHeight="1" thickBot="1" x14ac:dyDescent="0.3">
      <c r="A125" s="240" t="s">
        <v>481</v>
      </c>
      <c r="B125" s="241" t="s">
        <v>482</v>
      </c>
      <c r="C125" s="235" t="s">
        <v>294</v>
      </c>
      <c r="D125" s="235"/>
      <c r="E125" s="202">
        <v>1</v>
      </c>
      <c r="F125" s="202"/>
      <c r="G125" s="203">
        <v>1</v>
      </c>
      <c r="H125" s="172"/>
    </row>
    <row r="126" spans="1:8" ht="15" customHeight="1" x14ac:dyDescent="0.25">
      <c r="A126" s="325" t="s">
        <v>483</v>
      </c>
      <c r="B126" s="204" t="s">
        <v>484</v>
      </c>
      <c r="C126" s="205" t="s">
        <v>294</v>
      </c>
      <c r="D126" s="205"/>
      <c r="E126" s="330">
        <v>1</v>
      </c>
      <c r="F126" s="168"/>
      <c r="G126" s="333">
        <v>1</v>
      </c>
      <c r="H126" s="172"/>
    </row>
    <row r="127" spans="1:8" ht="15" customHeight="1" x14ac:dyDescent="0.25">
      <c r="A127" s="329"/>
      <c r="B127" s="206" t="s">
        <v>485</v>
      </c>
      <c r="C127" s="207"/>
      <c r="D127" s="207"/>
      <c r="E127" s="331"/>
      <c r="F127" s="175"/>
      <c r="G127" s="334"/>
      <c r="H127" s="172"/>
    </row>
    <row r="128" spans="1:8" ht="15.75" customHeight="1" thickBot="1" x14ac:dyDescent="0.3">
      <c r="A128" s="326"/>
      <c r="B128" s="208"/>
      <c r="C128" s="209"/>
      <c r="D128" s="209"/>
      <c r="E128" s="332"/>
      <c r="F128" s="171"/>
      <c r="G128" s="335"/>
      <c r="H128" s="172"/>
    </row>
    <row r="129" spans="1:8" ht="15.75" customHeight="1" thickBot="1" x14ac:dyDescent="0.3">
      <c r="A129" s="242" t="s">
        <v>486</v>
      </c>
      <c r="B129" s="219" t="s">
        <v>485</v>
      </c>
      <c r="C129" s="220" t="s">
        <v>294</v>
      </c>
      <c r="D129" s="220"/>
      <c r="E129" s="221">
        <v>1</v>
      </c>
      <c r="F129" s="221"/>
      <c r="G129" s="222">
        <v>1</v>
      </c>
      <c r="H129" s="172"/>
    </row>
    <row r="130" spans="1:8" ht="15.75" customHeight="1" thickBot="1" x14ac:dyDescent="0.3">
      <c r="A130" s="242" t="s">
        <v>487</v>
      </c>
      <c r="B130" s="219" t="s">
        <v>484</v>
      </c>
      <c r="C130" s="220" t="s">
        <v>294</v>
      </c>
      <c r="D130" s="220"/>
      <c r="E130" s="221">
        <v>1</v>
      </c>
      <c r="F130" s="221"/>
      <c r="G130" s="222"/>
      <c r="H130" s="172"/>
    </row>
    <row r="131" spans="1:8" ht="15.75" customHeight="1" thickBot="1" x14ac:dyDescent="0.3">
      <c r="A131" s="242" t="s">
        <v>488</v>
      </c>
      <c r="B131" s="219" t="s">
        <v>484</v>
      </c>
      <c r="C131" s="220" t="s">
        <v>294</v>
      </c>
      <c r="D131" s="220"/>
      <c r="E131" s="221">
        <v>1</v>
      </c>
      <c r="F131" s="221"/>
      <c r="G131" s="222">
        <v>1</v>
      </c>
      <c r="H131" s="172"/>
    </row>
    <row r="132" spans="1:8" ht="15.75" customHeight="1" thickBot="1" x14ac:dyDescent="0.3">
      <c r="A132" s="227" t="s">
        <v>489</v>
      </c>
      <c r="B132" s="219" t="s">
        <v>490</v>
      </c>
      <c r="C132" s="220" t="s">
        <v>294</v>
      </c>
      <c r="D132" s="220"/>
      <c r="E132" s="221">
        <v>1</v>
      </c>
      <c r="F132" s="221"/>
      <c r="G132" s="222">
        <v>1</v>
      </c>
      <c r="H132" s="172"/>
    </row>
    <row r="133" spans="1:8" ht="15.75" thickBot="1" x14ac:dyDescent="0.3">
      <c r="A133" s="227" t="s">
        <v>491</v>
      </c>
      <c r="B133" s="219" t="s">
        <v>492</v>
      </c>
      <c r="C133" s="220" t="s">
        <v>294</v>
      </c>
      <c r="D133" s="220"/>
      <c r="E133" s="221">
        <v>1</v>
      </c>
      <c r="F133" s="221"/>
      <c r="G133" s="222">
        <v>1</v>
      </c>
      <c r="H133" s="172"/>
    </row>
    <row r="134" spans="1:8" ht="15.75" thickBot="1" x14ac:dyDescent="0.3">
      <c r="A134" s="227" t="s">
        <v>493</v>
      </c>
      <c r="B134" s="219" t="s">
        <v>494</v>
      </c>
      <c r="C134" s="220" t="s">
        <v>294</v>
      </c>
      <c r="D134" s="220"/>
      <c r="E134" s="221">
        <v>1</v>
      </c>
      <c r="F134" s="221"/>
      <c r="G134" s="222"/>
      <c r="H134" s="172"/>
    </row>
    <row r="135" spans="1:8" ht="15.75" thickBot="1" x14ac:dyDescent="0.3">
      <c r="A135" s="227" t="s">
        <v>495</v>
      </c>
      <c r="B135" s="219" t="s">
        <v>494</v>
      </c>
      <c r="C135" s="220" t="s">
        <v>294</v>
      </c>
      <c r="D135" s="220"/>
      <c r="E135" s="221">
        <v>1</v>
      </c>
      <c r="F135" s="221"/>
      <c r="G135" s="222"/>
      <c r="H135" s="172"/>
    </row>
    <row r="136" spans="1:8" ht="15.75" thickBot="1" x14ac:dyDescent="0.3">
      <c r="A136" s="227" t="s">
        <v>496</v>
      </c>
      <c r="B136" s="219" t="s">
        <v>494</v>
      </c>
      <c r="C136" s="220" t="s">
        <v>294</v>
      </c>
      <c r="D136" s="220"/>
      <c r="E136" s="221">
        <v>1</v>
      </c>
      <c r="F136" s="221"/>
      <c r="G136" s="222"/>
      <c r="H136" s="172"/>
    </row>
    <row r="137" spans="1:8" ht="15.75" thickBot="1" x14ac:dyDescent="0.3">
      <c r="A137" s="227" t="s">
        <v>497</v>
      </c>
      <c r="B137" s="219" t="s">
        <v>492</v>
      </c>
      <c r="C137" s="220" t="s">
        <v>294</v>
      </c>
      <c r="D137" s="220"/>
      <c r="E137" s="221">
        <v>1</v>
      </c>
      <c r="F137" s="221"/>
      <c r="G137" s="222"/>
      <c r="H137" s="172"/>
    </row>
    <row r="138" spans="1:8" ht="15.75" thickBot="1" x14ac:dyDescent="0.3">
      <c r="A138" s="227" t="s">
        <v>498</v>
      </c>
      <c r="B138" s="219" t="s">
        <v>494</v>
      </c>
      <c r="C138" s="220" t="s">
        <v>294</v>
      </c>
      <c r="D138" s="220"/>
      <c r="E138" s="221">
        <v>1</v>
      </c>
      <c r="F138" s="221"/>
      <c r="G138" s="222"/>
      <c r="H138" s="172"/>
    </row>
    <row r="139" spans="1:8" ht="15.75" thickBot="1" x14ac:dyDescent="0.3">
      <c r="A139" s="227" t="s">
        <v>499</v>
      </c>
      <c r="B139" s="219" t="s">
        <v>500</v>
      </c>
      <c r="C139" s="220" t="s">
        <v>294</v>
      </c>
      <c r="D139" s="220"/>
      <c r="E139" s="221">
        <v>1</v>
      </c>
      <c r="F139" s="221"/>
      <c r="G139" s="222"/>
      <c r="H139" s="172"/>
    </row>
    <row r="140" spans="1:8" ht="15.75" thickBot="1" x14ac:dyDescent="0.3">
      <c r="A140" s="227" t="s">
        <v>501</v>
      </c>
      <c r="B140" s="219" t="s">
        <v>502</v>
      </c>
      <c r="C140" s="220" t="s">
        <v>294</v>
      </c>
      <c r="D140" s="220"/>
      <c r="E140" s="221">
        <v>1</v>
      </c>
      <c r="F140" s="221"/>
      <c r="G140" s="222">
        <v>1</v>
      </c>
      <c r="H140" s="172"/>
    </row>
    <row r="141" spans="1:8" ht="15.75" customHeight="1" thickBot="1" x14ac:dyDescent="0.3">
      <c r="A141" s="227" t="s">
        <v>503</v>
      </c>
      <c r="B141" s="219" t="s">
        <v>504</v>
      </c>
      <c r="C141" s="220" t="s">
        <v>294</v>
      </c>
      <c r="D141" s="220"/>
      <c r="E141" s="220">
        <v>1</v>
      </c>
      <c r="F141" s="220"/>
      <c r="G141" s="243">
        <v>1</v>
      </c>
      <c r="H141" s="172"/>
    </row>
    <row r="142" spans="1:8" ht="15.75" customHeight="1" thickBot="1" x14ac:dyDescent="0.3">
      <c r="A142" s="227" t="s">
        <v>505</v>
      </c>
      <c r="B142" s="219" t="s">
        <v>506</v>
      </c>
      <c r="C142" s="220" t="s">
        <v>294</v>
      </c>
      <c r="D142" s="220"/>
      <c r="E142" s="220">
        <v>1</v>
      </c>
      <c r="F142" s="220"/>
      <c r="G142" s="243">
        <v>1</v>
      </c>
      <c r="H142" s="172"/>
    </row>
    <row r="143" spans="1:8" ht="15.75" customHeight="1" thickBot="1" x14ac:dyDescent="0.3">
      <c r="A143" s="227" t="s">
        <v>507</v>
      </c>
      <c r="B143" s="219" t="s">
        <v>506</v>
      </c>
      <c r="C143" s="220" t="s">
        <v>294</v>
      </c>
      <c r="D143" s="220"/>
      <c r="E143" s="220">
        <v>1</v>
      </c>
      <c r="F143" s="220"/>
      <c r="G143" s="243">
        <v>1</v>
      </c>
      <c r="H143" s="172"/>
    </row>
    <row r="144" spans="1:8" ht="15.75" customHeight="1" thickBot="1" x14ac:dyDescent="0.3">
      <c r="A144" s="227" t="s">
        <v>508</v>
      </c>
      <c r="B144" s="219" t="s">
        <v>509</v>
      </c>
      <c r="C144" s="220" t="s">
        <v>294</v>
      </c>
      <c r="D144" s="220"/>
      <c r="E144" s="220">
        <v>1</v>
      </c>
      <c r="F144" s="220"/>
      <c r="G144" s="243">
        <v>1</v>
      </c>
      <c r="H144" s="172"/>
    </row>
    <row r="145" spans="1:8" ht="15" customHeight="1" thickBot="1" x14ac:dyDescent="0.3">
      <c r="A145" s="218" t="s">
        <v>510</v>
      </c>
      <c r="B145" s="219" t="s">
        <v>511</v>
      </c>
      <c r="C145" s="220" t="s">
        <v>294</v>
      </c>
      <c r="D145" s="220"/>
      <c r="E145" s="221">
        <v>1</v>
      </c>
      <c r="F145" s="221"/>
      <c r="G145" s="222">
        <v>1</v>
      </c>
      <c r="H145" s="172"/>
    </row>
    <row r="146" spans="1:8" ht="15.75" thickBot="1" x14ac:dyDescent="0.3">
      <c r="A146" s="218" t="s">
        <v>512</v>
      </c>
      <c r="B146" s="219" t="s">
        <v>513</v>
      </c>
      <c r="C146" s="220" t="s">
        <v>294</v>
      </c>
      <c r="D146" s="220"/>
      <c r="E146" s="221">
        <v>1</v>
      </c>
      <c r="F146" s="221"/>
      <c r="G146" s="222">
        <v>1</v>
      </c>
      <c r="H146" s="172"/>
    </row>
    <row r="147" spans="1:8" ht="15.75" thickBot="1" x14ac:dyDescent="0.3">
      <c r="A147" s="218" t="s">
        <v>514</v>
      </c>
      <c r="B147" s="219" t="s">
        <v>515</v>
      </c>
      <c r="C147" s="220" t="s">
        <v>294</v>
      </c>
      <c r="D147" s="220"/>
      <c r="E147" s="221">
        <v>1</v>
      </c>
      <c r="F147" s="221"/>
      <c r="G147" s="222"/>
      <c r="H147" s="172"/>
    </row>
    <row r="148" spans="1:8" ht="15.75" thickBot="1" x14ac:dyDescent="0.3">
      <c r="A148" s="218" t="s">
        <v>516</v>
      </c>
      <c r="B148" s="219" t="s">
        <v>515</v>
      </c>
      <c r="C148" s="220" t="s">
        <v>294</v>
      </c>
      <c r="D148" s="220"/>
      <c r="E148" s="221">
        <v>1</v>
      </c>
      <c r="F148" s="221"/>
      <c r="G148" s="222">
        <v>1</v>
      </c>
      <c r="H148" s="172"/>
    </row>
    <row r="149" spans="1:8" ht="15.75" thickBot="1" x14ac:dyDescent="0.3">
      <c r="A149" s="218" t="s">
        <v>517</v>
      </c>
      <c r="B149" s="219" t="s">
        <v>518</v>
      </c>
      <c r="C149" s="220" t="s">
        <v>294</v>
      </c>
      <c r="D149" s="220"/>
      <c r="E149" s="221">
        <v>1</v>
      </c>
      <c r="F149" s="221"/>
      <c r="G149" s="222"/>
      <c r="H149" s="172"/>
    </row>
    <row r="150" spans="1:8" ht="15" customHeight="1" x14ac:dyDescent="0.25">
      <c r="A150" s="325" t="s">
        <v>519</v>
      </c>
      <c r="B150" s="204" t="s">
        <v>520</v>
      </c>
      <c r="C150" s="205" t="s">
        <v>294</v>
      </c>
      <c r="D150" s="205"/>
      <c r="E150" s="330">
        <v>2</v>
      </c>
      <c r="F150" s="168"/>
      <c r="G150" s="333">
        <v>1</v>
      </c>
      <c r="H150" s="172"/>
    </row>
    <row r="151" spans="1:8" x14ac:dyDescent="0.25">
      <c r="A151" s="329"/>
      <c r="B151" s="206" t="s">
        <v>521</v>
      </c>
      <c r="C151" s="207"/>
      <c r="D151" s="207"/>
      <c r="E151" s="331"/>
      <c r="F151" s="175"/>
      <c r="G151" s="334"/>
      <c r="H151" s="172"/>
    </row>
    <row r="152" spans="1:8" ht="15.75" thickBot="1" x14ac:dyDescent="0.3">
      <c r="A152" s="326"/>
      <c r="B152" s="208" t="s">
        <v>522</v>
      </c>
      <c r="C152" s="209" t="s">
        <v>294</v>
      </c>
      <c r="D152" s="209"/>
      <c r="E152" s="332"/>
      <c r="F152" s="171"/>
      <c r="G152" s="335"/>
      <c r="H152" s="172"/>
    </row>
    <row r="153" spans="1:8" ht="15.75" thickBot="1" x14ac:dyDescent="0.3">
      <c r="A153" s="218" t="s">
        <v>523</v>
      </c>
      <c r="B153" s="219" t="s">
        <v>524</v>
      </c>
      <c r="C153" s="220" t="s">
        <v>294</v>
      </c>
      <c r="D153" s="220"/>
      <c r="E153" s="221">
        <v>1</v>
      </c>
      <c r="F153" s="221"/>
      <c r="G153" s="222"/>
      <c r="H153" s="172"/>
    </row>
    <row r="154" spans="1:8" ht="15.75" thickBot="1" x14ac:dyDescent="0.3">
      <c r="A154" s="218" t="s">
        <v>525</v>
      </c>
      <c r="B154" s="219" t="s">
        <v>526</v>
      </c>
      <c r="C154" s="220" t="s">
        <v>294</v>
      </c>
      <c r="D154" s="220"/>
      <c r="E154" s="221">
        <v>1</v>
      </c>
      <c r="F154" s="221"/>
      <c r="G154" s="222"/>
      <c r="H154" s="172"/>
    </row>
    <row r="155" spans="1:8" ht="15.75" thickBot="1" x14ac:dyDescent="0.3">
      <c r="A155" s="218" t="s">
        <v>527</v>
      </c>
      <c r="B155" s="219" t="s">
        <v>526</v>
      </c>
      <c r="C155" s="220" t="s">
        <v>294</v>
      </c>
      <c r="D155" s="220"/>
      <c r="E155" s="221">
        <v>1</v>
      </c>
      <c r="F155" s="221"/>
      <c r="G155" s="222"/>
      <c r="H155" s="172"/>
    </row>
    <row r="156" spans="1:8" ht="15.75" thickBot="1" x14ac:dyDescent="0.3">
      <c r="A156" s="244"/>
      <c r="B156" s="223"/>
      <c r="C156" s="224"/>
      <c r="D156" s="224"/>
      <c r="E156" s="182"/>
      <c r="F156" s="182"/>
      <c r="G156" s="183"/>
      <c r="H156" s="172"/>
    </row>
    <row r="157" spans="1:8" ht="15" customHeight="1" x14ac:dyDescent="0.25">
      <c r="A157" s="325" t="s">
        <v>528</v>
      </c>
      <c r="B157" s="204" t="s">
        <v>529</v>
      </c>
      <c r="C157" s="205"/>
      <c r="D157" s="205"/>
      <c r="E157" s="330">
        <v>3</v>
      </c>
      <c r="F157" s="168"/>
      <c r="G157" s="333">
        <v>3</v>
      </c>
      <c r="H157" s="172"/>
    </row>
    <row r="158" spans="1:8" x14ac:dyDescent="0.25">
      <c r="A158" s="329"/>
      <c r="B158" s="206" t="s">
        <v>530</v>
      </c>
      <c r="C158" s="207"/>
      <c r="D158" s="207"/>
      <c r="E158" s="331"/>
      <c r="F158" s="175"/>
      <c r="G158" s="334"/>
      <c r="H158" s="172"/>
    </row>
    <row r="159" spans="1:8" x14ac:dyDescent="0.25">
      <c r="A159" s="329"/>
      <c r="B159" s="206" t="s">
        <v>531</v>
      </c>
      <c r="C159" s="207"/>
      <c r="D159" s="207"/>
      <c r="E159" s="331"/>
      <c r="F159" s="175"/>
      <c r="G159" s="334"/>
      <c r="H159" s="172"/>
    </row>
    <row r="160" spans="1:8" x14ac:dyDescent="0.25">
      <c r="A160" s="329"/>
      <c r="B160" s="206" t="s">
        <v>532</v>
      </c>
      <c r="C160" s="207"/>
      <c r="D160" s="207"/>
      <c r="E160" s="331"/>
      <c r="F160" s="175"/>
      <c r="G160" s="334"/>
      <c r="H160" s="172"/>
    </row>
    <row r="161" spans="1:8" ht="15.75" thickBot="1" x14ac:dyDescent="0.3">
      <c r="A161" s="326"/>
      <c r="B161" s="208" t="s">
        <v>533</v>
      </c>
      <c r="C161" s="209"/>
      <c r="D161" s="209"/>
      <c r="E161" s="332"/>
      <c r="F161" s="171"/>
      <c r="G161" s="335"/>
      <c r="H161" s="172"/>
    </row>
    <row r="162" spans="1:8" ht="15.75" thickBot="1" x14ac:dyDescent="0.3">
      <c r="A162" s="218" t="s">
        <v>534</v>
      </c>
      <c r="B162" s="219" t="s">
        <v>530</v>
      </c>
      <c r="C162" s="220"/>
      <c r="D162" s="220"/>
      <c r="E162" s="221">
        <v>1</v>
      </c>
      <c r="F162" s="221"/>
      <c r="G162" s="222"/>
      <c r="H162" s="172"/>
    </row>
    <row r="163" spans="1:8" ht="15.75" thickBot="1" x14ac:dyDescent="0.3">
      <c r="A163" s="218" t="s">
        <v>535</v>
      </c>
      <c r="B163" s="219" t="s">
        <v>532</v>
      </c>
      <c r="C163" s="220"/>
      <c r="D163" s="220"/>
      <c r="E163" s="221">
        <v>1</v>
      </c>
      <c r="F163" s="221"/>
      <c r="G163" s="222"/>
      <c r="H163" s="172"/>
    </row>
    <row r="164" spans="1:8" ht="15.75" thickBot="1" x14ac:dyDescent="0.3">
      <c r="A164" s="218" t="s">
        <v>536</v>
      </c>
      <c r="B164" s="219" t="s">
        <v>531</v>
      </c>
      <c r="C164" s="220"/>
      <c r="D164" s="220"/>
      <c r="E164" s="221">
        <v>1</v>
      </c>
      <c r="F164" s="221"/>
      <c r="G164" s="222"/>
      <c r="H164" s="172"/>
    </row>
    <row r="165" spans="1:8" ht="15.75" thickBot="1" x14ac:dyDescent="0.3">
      <c r="A165" s="218" t="s">
        <v>537</v>
      </c>
      <c r="B165" s="219" t="s">
        <v>538</v>
      </c>
      <c r="C165" s="220"/>
      <c r="D165" s="220"/>
      <c r="E165" s="221">
        <v>1</v>
      </c>
      <c r="F165" s="221"/>
      <c r="G165" s="222">
        <v>1</v>
      </c>
      <c r="H165" s="172"/>
    </row>
    <row r="166" spans="1:8" ht="15.75" thickBot="1" x14ac:dyDescent="0.3">
      <c r="A166" s="245"/>
      <c r="B166" s="232"/>
      <c r="C166" s="233"/>
      <c r="D166" s="233"/>
      <c r="E166" s="214"/>
      <c r="F166" s="214"/>
      <c r="G166" s="246"/>
      <c r="H166" s="172"/>
    </row>
    <row r="167" spans="1:8" ht="15" customHeight="1" x14ac:dyDescent="0.25">
      <c r="A167" s="325" t="s">
        <v>539</v>
      </c>
      <c r="B167" s="204" t="s">
        <v>540</v>
      </c>
      <c r="C167" s="205" t="s">
        <v>297</v>
      </c>
      <c r="D167" s="205"/>
      <c r="E167" s="327">
        <v>3</v>
      </c>
      <c r="F167" s="168"/>
      <c r="G167" s="333">
        <v>1</v>
      </c>
      <c r="H167" s="172"/>
    </row>
    <row r="168" spans="1:8" x14ac:dyDescent="0.25">
      <c r="A168" s="329"/>
      <c r="B168" s="206" t="s">
        <v>541</v>
      </c>
      <c r="C168" s="207" t="s">
        <v>294</v>
      </c>
      <c r="D168" s="207"/>
      <c r="E168" s="339"/>
      <c r="F168" s="175"/>
      <c r="G168" s="334"/>
      <c r="H168" s="172"/>
    </row>
    <row r="169" spans="1:8" x14ac:dyDescent="0.25">
      <c r="A169" s="329"/>
      <c r="B169" s="206" t="s">
        <v>542</v>
      </c>
      <c r="C169" s="207" t="s">
        <v>294</v>
      </c>
      <c r="D169" s="207"/>
      <c r="E169" s="339"/>
      <c r="F169" s="175"/>
      <c r="G169" s="334"/>
      <c r="H169" s="172"/>
    </row>
    <row r="170" spans="1:8" x14ac:dyDescent="0.25">
      <c r="A170" s="329"/>
      <c r="B170" s="206" t="s">
        <v>543</v>
      </c>
      <c r="C170" s="207" t="s">
        <v>294</v>
      </c>
      <c r="D170" s="207"/>
      <c r="E170" s="339"/>
      <c r="F170" s="175"/>
      <c r="G170" s="334"/>
      <c r="H170" s="172"/>
    </row>
    <row r="171" spans="1:8" ht="15.75" thickBot="1" x14ac:dyDescent="0.3">
      <c r="A171" s="326"/>
      <c r="B171" s="208"/>
      <c r="C171" s="209"/>
      <c r="D171" s="209"/>
      <c r="E171" s="328"/>
      <c r="F171" s="171"/>
      <c r="G171" s="335"/>
      <c r="H171" s="172"/>
    </row>
    <row r="172" spans="1:8" x14ac:dyDescent="0.25">
      <c r="A172" s="325" t="s">
        <v>544</v>
      </c>
      <c r="B172" s="204" t="s">
        <v>545</v>
      </c>
      <c r="C172" s="205" t="s">
        <v>294</v>
      </c>
      <c r="D172" s="205"/>
      <c r="E172" s="330">
        <v>1</v>
      </c>
      <c r="F172" s="173"/>
      <c r="G172" s="333">
        <v>1</v>
      </c>
      <c r="H172" s="172"/>
    </row>
    <row r="173" spans="1:8" ht="15.75" thickBot="1" x14ac:dyDescent="0.3">
      <c r="A173" s="326"/>
      <c r="B173" s="208" t="s">
        <v>546</v>
      </c>
      <c r="C173" s="209" t="s">
        <v>294</v>
      </c>
      <c r="D173" s="209"/>
      <c r="E173" s="332"/>
      <c r="F173" s="177"/>
      <c r="G173" s="335"/>
      <c r="H173" s="172"/>
    </row>
    <row r="174" spans="1:8" ht="15.75" thickBot="1" x14ac:dyDescent="0.3">
      <c r="A174" s="218" t="s">
        <v>547</v>
      </c>
      <c r="B174" s="219" t="s">
        <v>546</v>
      </c>
      <c r="C174" s="220"/>
      <c r="D174" s="220"/>
      <c r="E174" s="221">
        <v>1</v>
      </c>
      <c r="F174" s="222"/>
      <c r="G174" s="222"/>
      <c r="H174" s="172"/>
    </row>
    <row r="175" spans="1:8" ht="15.75" thickBot="1" x14ac:dyDescent="0.3">
      <c r="A175" s="218" t="s">
        <v>548</v>
      </c>
      <c r="B175" s="219" t="s">
        <v>540</v>
      </c>
      <c r="C175" s="220"/>
      <c r="D175" s="220"/>
      <c r="E175" s="221">
        <v>1</v>
      </c>
      <c r="F175" s="222"/>
      <c r="G175" s="222"/>
      <c r="H175" s="172"/>
    </row>
    <row r="176" spans="1:8" ht="15.75" thickBot="1" x14ac:dyDescent="0.3">
      <c r="A176" s="218" t="s">
        <v>549</v>
      </c>
      <c r="B176" s="219" t="s">
        <v>546</v>
      </c>
      <c r="C176" s="220"/>
      <c r="D176" s="220"/>
      <c r="E176" s="221">
        <v>1</v>
      </c>
      <c r="F176" s="222"/>
      <c r="G176" s="222"/>
      <c r="H176" s="172"/>
    </row>
    <row r="177" spans="1:8" ht="15.75" thickBot="1" x14ac:dyDescent="0.3">
      <c r="A177" s="218" t="s">
        <v>550</v>
      </c>
      <c r="B177" s="219" t="s">
        <v>540</v>
      </c>
      <c r="C177" s="220"/>
      <c r="D177" s="220"/>
      <c r="E177" s="221">
        <v>1</v>
      </c>
      <c r="F177" s="222"/>
      <c r="G177" s="222"/>
      <c r="H177" s="172"/>
    </row>
    <row r="178" spans="1:8" ht="15.75" thickBot="1" x14ac:dyDescent="0.3">
      <c r="A178" s="218" t="s">
        <v>551</v>
      </c>
      <c r="B178" s="219" t="s">
        <v>552</v>
      </c>
      <c r="C178" s="220"/>
      <c r="D178" s="220"/>
      <c r="E178" s="221">
        <v>1</v>
      </c>
      <c r="F178" s="222"/>
      <c r="G178" s="222"/>
      <c r="H178" s="172"/>
    </row>
    <row r="179" spans="1:8" ht="15.75" thickBot="1" x14ac:dyDescent="0.3">
      <c r="A179" s="218" t="s">
        <v>553</v>
      </c>
      <c r="B179" s="219" t="s">
        <v>542</v>
      </c>
      <c r="C179" s="220"/>
      <c r="D179" s="220"/>
      <c r="E179" s="221">
        <v>1</v>
      </c>
      <c r="F179" s="222"/>
      <c r="G179" s="222"/>
      <c r="H179" s="172"/>
    </row>
    <row r="180" spans="1:8" ht="15.75" thickBot="1" x14ac:dyDescent="0.3">
      <c r="A180" s="244"/>
      <c r="B180" s="223"/>
      <c r="C180" s="224"/>
      <c r="D180" s="224"/>
      <c r="E180" s="182"/>
      <c r="F180" s="183"/>
      <c r="G180" s="183"/>
      <c r="H180" s="172"/>
    </row>
    <row r="181" spans="1:8" ht="15" customHeight="1" x14ac:dyDescent="0.25">
      <c r="A181" s="325" t="s">
        <v>554</v>
      </c>
      <c r="B181" s="204" t="s">
        <v>555</v>
      </c>
      <c r="C181" s="205"/>
      <c r="D181" s="205"/>
      <c r="E181" s="330">
        <v>2</v>
      </c>
      <c r="F181" s="168"/>
      <c r="G181" s="333">
        <v>1</v>
      </c>
      <c r="H181" s="172"/>
    </row>
    <row r="182" spans="1:8" x14ac:dyDescent="0.25">
      <c r="A182" s="329"/>
      <c r="B182" s="206" t="s">
        <v>556</v>
      </c>
      <c r="C182" s="207"/>
      <c r="D182" s="207"/>
      <c r="E182" s="331"/>
      <c r="F182" s="175"/>
      <c r="G182" s="334"/>
      <c r="H182" s="172"/>
    </row>
    <row r="183" spans="1:8" x14ac:dyDescent="0.25">
      <c r="A183" s="329"/>
      <c r="B183" s="206" t="s">
        <v>557</v>
      </c>
      <c r="C183" s="207"/>
      <c r="D183" s="207"/>
      <c r="E183" s="331"/>
      <c r="F183" s="175"/>
      <c r="G183" s="334"/>
      <c r="H183" s="172"/>
    </row>
    <row r="184" spans="1:8" x14ac:dyDescent="0.25">
      <c r="A184" s="329"/>
      <c r="B184" s="206"/>
      <c r="C184" s="207"/>
      <c r="D184" s="207"/>
      <c r="E184" s="331"/>
      <c r="F184" s="175"/>
      <c r="G184" s="334"/>
      <c r="H184" s="172"/>
    </row>
    <row r="185" spans="1:8" ht="15.75" thickBot="1" x14ac:dyDescent="0.3">
      <c r="A185" s="326"/>
      <c r="B185" s="208"/>
      <c r="C185" s="209"/>
      <c r="D185" s="209"/>
      <c r="E185" s="332"/>
      <c r="F185" s="171"/>
      <c r="G185" s="335"/>
      <c r="H185" s="172"/>
    </row>
    <row r="186" spans="1:8" ht="15.75" thickBot="1" x14ac:dyDescent="0.3">
      <c r="A186" s="218" t="s">
        <v>558</v>
      </c>
      <c r="B186" s="219" t="s">
        <v>559</v>
      </c>
      <c r="C186" s="220"/>
      <c r="D186" s="220"/>
      <c r="E186" s="221">
        <v>1</v>
      </c>
      <c r="F186" s="221"/>
      <c r="G186" s="222"/>
      <c r="H186" s="172"/>
    </row>
    <row r="187" spans="1:8" ht="15.75" thickBot="1" x14ac:dyDescent="0.3">
      <c r="A187" s="218" t="s">
        <v>560</v>
      </c>
      <c r="B187" s="219" t="s">
        <v>561</v>
      </c>
      <c r="C187" s="220"/>
      <c r="D187" s="220"/>
      <c r="E187" s="221">
        <v>1</v>
      </c>
      <c r="F187" s="221"/>
      <c r="G187" s="222"/>
      <c r="H187" s="172"/>
    </row>
    <row r="188" spans="1:8" ht="15.75" thickBot="1" x14ac:dyDescent="0.3">
      <c r="A188" s="218" t="s">
        <v>562</v>
      </c>
      <c r="B188" s="219" t="s">
        <v>561</v>
      </c>
      <c r="C188" s="220"/>
      <c r="D188" s="220"/>
      <c r="E188" s="221">
        <v>1</v>
      </c>
      <c r="F188" s="221"/>
      <c r="G188" s="222"/>
      <c r="H188" s="172"/>
    </row>
    <row r="189" spans="1:8" ht="15.75" thickBot="1" x14ac:dyDescent="0.3">
      <c r="A189" s="218" t="s">
        <v>563</v>
      </c>
      <c r="B189" s="219" t="s">
        <v>561</v>
      </c>
      <c r="C189" s="220"/>
      <c r="D189" s="220"/>
      <c r="E189" s="221">
        <v>1</v>
      </c>
      <c r="F189" s="221"/>
      <c r="G189" s="222"/>
      <c r="H189" s="172"/>
    </row>
    <row r="190" spans="1:8" x14ac:dyDescent="0.25">
      <c r="A190" s="336" t="s">
        <v>564</v>
      </c>
      <c r="B190" s="237" t="s">
        <v>556</v>
      </c>
      <c r="C190" s="238"/>
      <c r="D190" s="238"/>
      <c r="E190" s="327">
        <v>1</v>
      </c>
      <c r="F190" s="184"/>
      <c r="G190" s="200"/>
      <c r="H190" s="172"/>
    </row>
    <row r="191" spans="1:8" x14ac:dyDescent="0.25">
      <c r="A191" s="337"/>
      <c r="B191" s="206" t="s">
        <v>565</v>
      </c>
      <c r="C191" s="207"/>
      <c r="D191" s="207"/>
      <c r="E191" s="339"/>
      <c r="F191" s="175"/>
      <c r="G191" s="176"/>
      <c r="H191" s="172"/>
    </row>
    <row r="192" spans="1:8" ht="15.75" thickBot="1" x14ac:dyDescent="0.3">
      <c r="A192" s="338"/>
      <c r="B192" s="208" t="s">
        <v>566</v>
      </c>
      <c r="C192" s="209"/>
      <c r="D192" s="209"/>
      <c r="E192" s="328"/>
      <c r="F192" s="171"/>
      <c r="G192" s="177"/>
      <c r="H192" s="172"/>
    </row>
    <row r="193" spans="1:8" ht="15.75" thickBot="1" x14ac:dyDescent="0.3">
      <c r="A193" s="247" t="s">
        <v>567</v>
      </c>
      <c r="B193" s="241" t="s">
        <v>568</v>
      </c>
      <c r="C193" s="235"/>
      <c r="D193" s="235"/>
      <c r="E193" s="202">
        <v>1</v>
      </c>
      <c r="F193" s="202"/>
      <c r="G193" s="203"/>
      <c r="H193" s="172"/>
    </row>
    <row r="194" spans="1:8" ht="15.75" thickBot="1" x14ac:dyDescent="0.3">
      <c r="A194" s="247" t="s">
        <v>569</v>
      </c>
      <c r="B194" s="241" t="s">
        <v>566</v>
      </c>
      <c r="C194" s="235"/>
      <c r="D194" s="235"/>
      <c r="E194" s="202">
        <v>1</v>
      </c>
      <c r="F194" s="202"/>
      <c r="G194" s="203"/>
      <c r="H194" s="172"/>
    </row>
    <row r="195" spans="1:8" ht="14.25" customHeight="1" thickBot="1" x14ac:dyDescent="0.3">
      <c r="A195" s="218" t="s">
        <v>570</v>
      </c>
      <c r="B195" s="219" t="s">
        <v>568</v>
      </c>
      <c r="C195" s="220"/>
      <c r="D195" s="220"/>
      <c r="E195" s="221">
        <v>1</v>
      </c>
      <c r="F195" s="221"/>
      <c r="G195" s="222"/>
      <c r="H195" s="172"/>
    </row>
    <row r="196" spans="1:8" ht="15.75" hidden="1" customHeight="1" thickBot="1" x14ac:dyDescent="0.3">
      <c r="A196" s="336" t="s">
        <v>571</v>
      </c>
      <c r="B196" s="204"/>
      <c r="C196" s="205"/>
      <c r="D196" s="205"/>
      <c r="E196" s="330">
        <v>3</v>
      </c>
      <c r="F196" s="168"/>
      <c r="G196" s="333">
        <v>2</v>
      </c>
      <c r="H196" s="172"/>
    </row>
    <row r="197" spans="1:8" ht="15" customHeight="1" x14ac:dyDescent="0.25">
      <c r="A197" s="337"/>
      <c r="B197" s="206" t="s">
        <v>572</v>
      </c>
      <c r="C197" s="207" t="s">
        <v>294</v>
      </c>
      <c r="D197" s="207"/>
      <c r="E197" s="331"/>
      <c r="F197" s="175"/>
      <c r="G197" s="334"/>
      <c r="H197" s="172"/>
    </row>
    <row r="198" spans="1:8" x14ac:dyDescent="0.25">
      <c r="A198" s="337"/>
      <c r="B198" s="206" t="s">
        <v>573</v>
      </c>
      <c r="C198" s="207" t="s">
        <v>297</v>
      </c>
      <c r="D198" s="207"/>
      <c r="E198" s="331"/>
      <c r="F198" s="175"/>
      <c r="G198" s="334"/>
      <c r="H198" s="172"/>
    </row>
    <row r="199" spans="1:8" ht="15.75" thickBot="1" x14ac:dyDescent="0.3">
      <c r="A199" s="338"/>
      <c r="B199" s="208" t="s">
        <v>574</v>
      </c>
      <c r="C199" s="209" t="s">
        <v>294</v>
      </c>
      <c r="D199" s="209"/>
      <c r="E199" s="332"/>
      <c r="F199" s="171"/>
      <c r="G199" s="335"/>
      <c r="H199" s="172"/>
    </row>
    <row r="200" spans="1:8" ht="15.75" thickBot="1" x14ac:dyDescent="0.3">
      <c r="A200" s="218" t="s">
        <v>575</v>
      </c>
      <c r="B200" s="219" t="s">
        <v>576</v>
      </c>
      <c r="C200" s="220"/>
      <c r="D200" s="220"/>
      <c r="E200" s="221">
        <v>1</v>
      </c>
      <c r="F200" s="221"/>
      <c r="G200" s="222"/>
      <c r="H200" s="172"/>
    </row>
    <row r="201" spans="1:8" ht="15.75" thickBot="1" x14ac:dyDescent="0.3">
      <c r="A201" s="218" t="s">
        <v>577</v>
      </c>
      <c r="B201" s="219" t="s">
        <v>576</v>
      </c>
      <c r="C201" s="220"/>
      <c r="D201" s="220"/>
      <c r="E201" s="221">
        <v>1</v>
      </c>
      <c r="F201" s="221"/>
      <c r="G201" s="222">
        <v>1</v>
      </c>
      <c r="H201" s="172"/>
    </row>
    <row r="202" spans="1:8" ht="15.75" thickBot="1" x14ac:dyDescent="0.3">
      <c r="A202" s="227" t="s">
        <v>578</v>
      </c>
      <c r="B202" s="219" t="s">
        <v>576</v>
      </c>
      <c r="C202" s="220"/>
      <c r="D202" s="220"/>
      <c r="E202" s="221">
        <v>1</v>
      </c>
      <c r="F202" s="221"/>
      <c r="G202" s="222"/>
      <c r="H202" s="172"/>
    </row>
    <row r="203" spans="1:8" x14ac:dyDescent="0.25">
      <c r="A203" s="325" t="s">
        <v>579</v>
      </c>
      <c r="B203" s="204" t="s">
        <v>580</v>
      </c>
      <c r="C203" s="205" t="s">
        <v>294</v>
      </c>
      <c r="D203" s="205"/>
      <c r="E203" s="327">
        <v>2</v>
      </c>
      <c r="F203" s="168"/>
      <c r="G203" s="173">
        <v>1</v>
      </c>
      <c r="H203" s="172"/>
    </row>
    <row r="204" spans="1:8" ht="15.75" thickBot="1" x14ac:dyDescent="0.3">
      <c r="A204" s="326"/>
      <c r="B204" s="208" t="s">
        <v>581</v>
      </c>
      <c r="C204" s="248" t="s">
        <v>294</v>
      </c>
      <c r="D204" s="248"/>
      <c r="E204" s="328"/>
      <c r="F204" s="208"/>
      <c r="G204" s="231"/>
      <c r="H204" s="172"/>
    </row>
    <row r="205" spans="1:8" ht="24" customHeight="1" thickBot="1" x14ac:dyDescent="0.3">
      <c r="A205" s="227" t="s">
        <v>582</v>
      </c>
      <c r="B205" s="249" t="s">
        <v>583</v>
      </c>
      <c r="C205" s="250" t="s">
        <v>294</v>
      </c>
      <c r="D205" s="250"/>
      <c r="E205" s="251">
        <v>1</v>
      </c>
      <c r="F205" s="251"/>
      <c r="G205" s="252">
        <v>1</v>
      </c>
      <c r="H205" s="172"/>
    </row>
    <row r="206" spans="1:8" ht="15.75" customHeight="1" thickBot="1" x14ac:dyDescent="0.3">
      <c r="A206" s="227" t="s">
        <v>584</v>
      </c>
      <c r="B206" s="249" t="s">
        <v>583</v>
      </c>
      <c r="C206" s="250" t="s">
        <v>294</v>
      </c>
      <c r="D206" s="250"/>
      <c r="E206" s="251">
        <v>1</v>
      </c>
      <c r="F206" s="251"/>
      <c r="G206" s="252"/>
      <c r="H206" s="172"/>
    </row>
    <row r="207" spans="1:8" ht="15.75" customHeight="1" thickBot="1" x14ac:dyDescent="0.3">
      <c r="A207" s="227" t="s">
        <v>585</v>
      </c>
      <c r="B207" s="249" t="s">
        <v>583</v>
      </c>
      <c r="C207" s="250" t="s">
        <v>294</v>
      </c>
      <c r="D207" s="250"/>
      <c r="E207" s="251">
        <v>1</v>
      </c>
      <c r="F207" s="251"/>
      <c r="G207" s="252"/>
      <c r="H207" s="172"/>
    </row>
    <row r="208" spans="1:8" ht="15.75" customHeight="1" thickBot="1" x14ac:dyDescent="0.3">
      <c r="A208" s="227" t="s">
        <v>586</v>
      </c>
      <c r="B208" s="249" t="s">
        <v>587</v>
      </c>
      <c r="C208" s="250" t="s">
        <v>294</v>
      </c>
      <c r="D208" s="250"/>
      <c r="E208" s="251">
        <v>1</v>
      </c>
      <c r="F208" s="251"/>
      <c r="G208" s="252"/>
      <c r="H208" s="172"/>
    </row>
    <row r="209" spans="1:8" ht="30.75" thickBot="1" x14ac:dyDescent="0.3">
      <c r="A209" s="253" t="s">
        <v>588</v>
      </c>
      <c r="B209" s="249" t="s">
        <v>589</v>
      </c>
      <c r="C209" s="250" t="s">
        <v>294</v>
      </c>
      <c r="D209" s="250"/>
      <c r="E209" s="251">
        <v>1</v>
      </c>
      <c r="F209" s="249"/>
      <c r="G209" s="254">
        <v>1</v>
      </c>
      <c r="H209" s="172"/>
    </row>
    <row r="210" spans="1:8" ht="15.75" customHeight="1" thickBot="1" x14ac:dyDescent="0.3">
      <c r="A210" s="227" t="s">
        <v>590</v>
      </c>
      <c r="B210" s="249" t="s">
        <v>589</v>
      </c>
      <c r="C210" s="250" t="s">
        <v>297</v>
      </c>
      <c r="D210" s="250"/>
      <c r="E210" s="221">
        <v>1</v>
      </c>
      <c r="F210" s="249"/>
      <c r="G210" s="255"/>
      <c r="H210" s="194"/>
    </row>
    <row r="212" spans="1:8" ht="15.75" x14ac:dyDescent="0.25">
      <c r="A212" s="256" t="s">
        <v>591</v>
      </c>
      <c r="B212" s="257">
        <v>21</v>
      </c>
      <c r="C212" s="257">
        <v>11</v>
      </c>
      <c r="D212" s="257" t="s">
        <v>592</v>
      </c>
      <c r="E212" s="257">
        <f>SUM(E4:E211)</f>
        <v>136</v>
      </c>
      <c r="F212" s="256"/>
      <c r="G212" s="258">
        <f>SUM(G4:G211)</f>
        <v>51</v>
      </c>
    </row>
    <row r="213" spans="1:8" ht="15.75" x14ac:dyDescent="0.25">
      <c r="A213" s="256" t="s">
        <v>391</v>
      </c>
      <c r="B213" s="257">
        <v>3</v>
      </c>
      <c r="C213" s="257">
        <v>2</v>
      </c>
      <c r="D213" s="257" t="s">
        <v>593</v>
      </c>
      <c r="E213" s="259">
        <v>4</v>
      </c>
      <c r="F213" s="256" t="s">
        <v>594</v>
      </c>
      <c r="G213" s="257">
        <v>1</v>
      </c>
    </row>
    <row r="214" spans="1:8" ht="15.75" x14ac:dyDescent="0.25">
      <c r="A214" s="256" t="s">
        <v>595</v>
      </c>
      <c r="B214" s="257">
        <v>7</v>
      </c>
      <c r="C214" s="257">
        <v>2</v>
      </c>
      <c r="D214" s="257" t="s">
        <v>596</v>
      </c>
      <c r="E214" s="259">
        <v>4</v>
      </c>
      <c r="F214" s="256" t="s">
        <v>594</v>
      </c>
      <c r="G214" s="257"/>
    </row>
    <row r="215" spans="1:8" ht="15.75" x14ac:dyDescent="0.25">
      <c r="A215" s="256" t="s">
        <v>387</v>
      </c>
      <c r="B215" s="257">
        <v>2</v>
      </c>
      <c r="C215" s="257">
        <v>1</v>
      </c>
      <c r="D215" s="257" t="s">
        <v>597</v>
      </c>
      <c r="E215" s="259">
        <v>1</v>
      </c>
      <c r="F215" s="256" t="s">
        <v>594</v>
      </c>
      <c r="G215" s="257"/>
    </row>
    <row r="216" spans="1:8" ht="21" x14ac:dyDescent="0.35">
      <c r="A216" s="256" t="s">
        <v>598</v>
      </c>
      <c r="B216" s="257">
        <v>2</v>
      </c>
      <c r="C216" s="162">
        <v>1</v>
      </c>
      <c r="D216" s="257" t="s">
        <v>318</v>
      </c>
      <c r="E216" s="259">
        <v>1</v>
      </c>
      <c r="F216" s="256" t="s">
        <v>599</v>
      </c>
      <c r="G216" s="260"/>
    </row>
    <row r="217" spans="1:8" ht="15.75" x14ac:dyDescent="0.25">
      <c r="A217" s="256" t="s">
        <v>600</v>
      </c>
      <c r="B217" s="257">
        <v>2</v>
      </c>
      <c r="C217" s="162">
        <v>1</v>
      </c>
      <c r="D217" s="257"/>
      <c r="E217" s="256"/>
    </row>
    <row r="218" spans="1:8" ht="21" x14ac:dyDescent="0.35">
      <c r="A218" s="256" t="s">
        <v>601</v>
      </c>
      <c r="B218" s="257">
        <v>55</v>
      </c>
      <c r="C218" s="162">
        <v>21</v>
      </c>
      <c r="D218" s="260" t="s">
        <v>602</v>
      </c>
      <c r="E218" s="261">
        <v>126</v>
      </c>
      <c r="F218" s="262" t="s">
        <v>288</v>
      </c>
      <c r="G218" s="260" t="s">
        <v>603</v>
      </c>
    </row>
    <row r="219" spans="1:8" ht="15.75" x14ac:dyDescent="0.25">
      <c r="A219" s="256" t="s">
        <v>604</v>
      </c>
      <c r="B219" s="257">
        <v>23</v>
      </c>
      <c r="C219" s="162">
        <v>16</v>
      </c>
    </row>
    <row r="220" spans="1:8" ht="15.75" x14ac:dyDescent="0.25">
      <c r="A220" s="256" t="s">
        <v>605</v>
      </c>
      <c r="B220" s="257">
        <v>3</v>
      </c>
      <c r="C220" s="162">
        <v>3</v>
      </c>
    </row>
    <row r="221" spans="1:8" ht="15.75" x14ac:dyDescent="0.25">
      <c r="A221" s="256" t="s">
        <v>606</v>
      </c>
      <c r="B221" s="257">
        <v>2</v>
      </c>
      <c r="C221" s="162">
        <v>4</v>
      </c>
    </row>
    <row r="222" spans="1:8" ht="15.75" x14ac:dyDescent="0.25">
      <c r="A222" s="256" t="s">
        <v>607</v>
      </c>
      <c r="B222" s="257">
        <v>5</v>
      </c>
      <c r="C222" s="162">
        <v>9</v>
      </c>
    </row>
    <row r="223" spans="1:8" ht="15.75" x14ac:dyDescent="0.25">
      <c r="A223" s="256" t="s">
        <v>608</v>
      </c>
      <c r="B223" s="257">
        <v>3</v>
      </c>
      <c r="C223" s="162">
        <v>4</v>
      </c>
    </row>
    <row r="224" spans="1:8" ht="15.75" x14ac:dyDescent="0.25">
      <c r="A224" s="256" t="s">
        <v>609</v>
      </c>
      <c r="B224" s="257">
        <v>4</v>
      </c>
      <c r="C224" s="162">
        <v>5</v>
      </c>
    </row>
    <row r="225" spans="1:4" ht="15.75" x14ac:dyDescent="0.25">
      <c r="A225" s="256" t="s">
        <v>610</v>
      </c>
      <c r="B225" s="257">
        <v>4</v>
      </c>
      <c r="C225" s="162">
        <v>5</v>
      </c>
    </row>
    <row r="226" spans="1:4" ht="15.75" x14ac:dyDescent="0.25">
      <c r="A226" s="256" t="s">
        <v>611</v>
      </c>
      <c r="B226" s="257">
        <v>7</v>
      </c>
      <c r="C226" s="162">
        <v>7</v>
      </c>
    </row>
    <row r="227" spans="1:4" ht="15.75" x14ac:dyDescent="0.25">
      <c r="A227" s="256" t="s">
        <v>612</v>
      </c>
      <c r="B227" s="257">
        <v>8</v>
      </c>
      <c r="C227" s="162">
        <v>10</v>
      </c>
    </row>
    <row r="228" spans="1:4" ht="15.75" x14ac:dyDescent="0.25">
      <c r="A228" s="256" t="s">
        <v>613</v>
      </c>
      <c r="B228" s="257">
        <v>9</v>
      </c>
      <c r="C228" s="162">
        <v>10</v>
      </c>
    </row>
    <row r="229" spans="1:4" ht="15.75" x14ac:dyDescent="0.25">
      <c r="A229" s="256" t="s">
        <v>614</v>
      </c>
      <c r="B229" s="257">
        <v>6</v>
      </c>
      <c r="C229" s="162">
        <v>8</v>
      </c>
    </row>
    <row r="230" spans="1:4" ht="15.75" x14ac:dyDescent="0.25">
      <c r="A230" s="256" t="s">
        <v>615</v>
      </c>
      <c r="B230" s="257">
        <v>2</v>
      </c>
      <c r="C230" s="162">
        <v>4</v>
      </c>
    </row>
    <row r="231" spans="1:4" ht="15.75" x14ac:dyDescent="0.25">
      <c r="A231" s="256" t="s">
        <v>616</v>
      </c>
      <c r="B231" s="257">
        <v>1</v>
      </c>
      <c r="C231" s="162">
        <v>2</v>
      </c>
    </row>
    <row r="232" spans="1:4" ht="21" x14ac:dyDescent="0.35">
      <c r="A232" s="262" t="s">
        <v>617</v>
      </c>
      <c r="B232" s="260">
        <f>SUM(B212:B231)</f>
        <v>169</v>
      </c>
      <c r="C232" s="260">
        <f>SUM(C212:C231)</f>
        <v>126</v>
      </c>
      <c r="D232" s="263" t="s">
        <v>288</v>
      </c>
    </row>
    <row r="233" spans="1:4" ht="21" x14ac:dyDescent="0.35">
      <c r="A233" s="262"/>
      <c r="B233" s="260"/>
    </row>
  </sheetData>
  <mergeCells count="93">
    <mergeCell ref="A9:A10"/>
    <mergeCell ref="E9:E10"/>
    <mergeCell ref="A4:A5"/>
    <mergeCell ref="E4:E5"/>
    <mergeCell ref="G4:G5"/>
    <mergeCell ref="A6:A8"/>
    <mergeCell ref="E6:E8"/>
    <mergeCell ref="A11:A12"/>
    <mergeCell ref="E11:E12"/>
    <mergeCell ref="A13:A15"/>
    <mergeCell ref="E13:E15"/>
    <mergeCell ref="A17:A18"/>
    <mergeCell ref="E17:E18"/>
    <mergeCell ref="A20:A21"/>
    <mergeCell ref="E20:E21"/>
    <mergeCell ref="A22:A23"/>
    <mergeCell ref="E22:E23"/>
    <mergeCell ref="A24:A25"/>
    <mergeCell ref="E24:E25"/>
    <mergeCell ref="A26:A29"/>
    <mergeCell ref="E26:E29"/>
    <mergeCell ref="G26:G29"/>
    <mergeCell ref="A30:A31"/>
    <mergeCell ref="E30:E31"/>
    <mergeCell ref="G30:G31"/>
    <mergeCell ref="A32:A33"/>
    <mergeCell ref="E32:E33"/>
    <mergeCell ref="G32:G33"/>
    <mergeCell ref="A34:A37"/>
    <mergeCell ref="E34:E37"/>
    <mergeCell ref="G34:G37"/>
    <mergeCell ref="A55:A56"/>
    <mergeCell ref="E55:E56"/>
    <mergeCell ref="G55:G56"/>
    <mergeCell ref="A38:A40"/>
    <mergeCell ref="E38:E40"/>
    <mergeCell ref="G38:G40"/>
    <mergeCell ref="A41:A42"/>
    <mergeCell ref="E41:E42"/>
    <mergeCell ref="G41:G42"/>
    <mergeCell ref="A51:A52"/>
    <mergeCell ref="E51:E52"/>
    <mergeCell ref="G51:G52"/>
    <mergeCell ref="A53:A54"/>
    <mergeCell ref="E53:E54"/>
    <mergeCell ref="A57:A59"/>
    <mergeCell ref="E57:E59"/>
    <mergeCell ref="G57:G59"/>
    <mergeCell ref="A60:A81"/>
    <mergeCell ref="E60:E81"/>
    <mergeCell ref="G60:G81"/>
    <mergeCell ref="A113:A117"/>
    <mergeCell ref="E113:E117"/>
    <mergeCell ref="G113:G117"/>
    <mergeCell ref="A82:A88"/>
    <mergeCell ref="E82:E88"/>
    <mergeCell ref="G82:G88"/>
    <mergeCell ref="A89:A99"/>
    <mergeCell ref="E89:E99"/>
    <mergeCell ref="G89:G99"/>
    <mergeCell ref="A102:A104"/>
    <mergeCell ref="E102:E104"/>
    <mergeCell ref="G102:G104"/>
    <mergeCell ref="A108:A110"/>
    <mergeCell ref="E108:E110"/>
    <mergeCell ref="A121:A122"/>
    <mergeCell ref="E121:E122"/>
    <mergeCell ref="G121:G122"/>
    <mergeCell ref="A126:A128"/>
    <mergeCell ref="E126:E128"/>
    <mergeCell ref="G126:G128"/>
    <mergeCell ref="A150:A152"/>
    <mergeCell ref="E150:E152"/>
    <mergeCell ref="G150:G152"/>
    <mergeCell ref="A157:A161"/>
    <mergeCell ref="E157:E161"/>
    <mergeCell ref="G157:G161"/>
    <mergeCell ref="A167:A171"/>
    <mergeCell ref="E167:E171"/>
    <mergeCell ref="G167:G171"/>
    <mergeCell ref="A172:A173"/>
    <mergeCell ref="E172:E173"/>
    <mergeCell ref="G172:G173"/>
    <mergeCell ref="A203:A204"/>
    <mergeCell ref="E203:E204"/>
    <mergeCell ref="A181:A185"/>
    <mergeCell ref="E181:E185"/>
    <mergeCell ref="G181:G185"/>
    <mergeCell ref="A190:A192"/>
    <mergeCell ref="E190:E192"/>
    <mergeCell ref="A196:A199"/>
    <mergeCell ref="E196:E199"/>
    <mergeCell ref="G196:G199"/>
  </mergeCells>
  <pageMargins left="0.25" right="0.25" top="0.75" bottom="0.75" header="0.3" footer="0.3"/>
  <pageSetup paperSize="5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</vt:lpstr>
      <vt:lpstr>NP</vt:lpstr>
      <vt:lpstr>APG</vt:lpstr>
      <vt:lpstr>RR.HH.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COMPRAS</cp:lastModifiedBy>
  <dcterms:created xsi:type="dcterms:W3CDTF">2021-08-30T13:24:26Z</dcterms:created>
  <dcterms:modified xsi:type="dcterms:W3CDTF">2021-09-28T14:48:36Z</dcterms:modified>
</cp:coreProperties>
</file>