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7F6813A-28D4-4335-97C2-A697A23795D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2" i="2" l="1"/>
  <c r="M42" i="2"/>
  <c r="Q42" i="2"/>
  <c r="U42" i="2"/>
  <c r="Y42" i="2"/>
</calcChain>
</file>

<file path=xl/sharedStrings.xml><?xml version="1.0" encoding="utf-8"?>
<sst xmlns="http://schemas.openxmlformats.org/spreadsheetml/2006/main" count="307" uniqueCount="226">
  <si>
    <t>Número expediente:</t>
  </si>
  <si>
    <t>EX-2021-01658998-   -CAT-DPCBS#MHP</t>
  </si>
  <si>
    <t>Número proceso de compra:</t>
  </si>
  <si>
    <t>100-0202-CDI21</t>
  </si>
  <si>
    <t>Nombre descriptivo proceso de compra:</t>
  </si>
  <si>
    <t>Adquisición de Elementos de Limpieza destinados a dos Ministerios (MIyOC - MTHR)</t>
  </si>
  <si>
    <t>Unidad Operativa de Compras:</t>
  </si>
  <si>
    <t>Secretaria de Compras y Abastecimiento</t>
  </si>
  <si>
    <t>Fecha de Apertura:</t>
  </si>
  <si>
    <t>11/11/2021</t>
  </si>
  <si>
    <t>Renglón</t>
  </si>
  <si>
    <t>INDUSTRIAS QUIMICAS CATAMARCA S.R.L</t>
  </si>
  <si>
    <t>LUJAIKO SRL</t>
  </si>
  <si>
    <t>SAMSA S.R.L.</t>
  </si>
  <si>
    <t>GUSTAVORAFAEL ROCO</t>
  </si>
  <si>
    <t>raquel del valle contreras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</si>
  <si>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</si>
  <si>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</si>
  <si>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</si>
  <si>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</si>
  <si>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</si>
  <si>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</si>
  <si>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</si>
  <si>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</si>
  <si>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</si>
  <si>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</si>
  <si>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2.9.1-6951.30 </t>
  </si>
  <si>
    <t xml:space="preserve">LIMPIADORES; TIPO: LAVANDINA, PRESENTACION: ENVASE X 5 L </t>
  </si>
  <si>
    <t xml:space="preserve">UNIDAD </t>
  </si>
  <si>
    <t xml:space="preserve">LIMPIADORES; TIPO: LAVANDINA, PRESENTACION: ENVASE X 5 L - MARCA 
HAUSER </t>
  </si>
  <si>
    <t xml:space="preserve">LIMPIADORES; TIPO: LAVANDINA, PRESENTACION: ENVASE X 4 L MARCA AYUDIN 
 </t>
  </si>
  <si>
    <t xml:space="preserve">LIMPIADORES; TIPO: LAVANDINA, PRESENTACION: ENVASE X 5 L. MARCA: FAISAN 
S.A. </t>
  </si>
  <si>
    <t xml:space="preserve">lavandina pireluxs x 5 lts  </t>
  </si>
  <si>
    <t xml:space="preserve">2 </t>
  </si>
  <si>
    <t xml:space="preserve">2.9.1-6951.214 </t>
  </si>
  <si>
    <t xml:space="preserve">LIMPIADORES; TIPO: DETERGENTE NEUTRO, PRESENTACION: ENVASE X 5 L </t>
  </si>
  <si>
    <t xml:space="preserve">LIMPIADORES; TIPO: DETERGENTE NEUTRO, PRESENTACION: ENVASE X 5 L - 
MARCA HAUSER  </t>
  </si>
  <si>
    <t xml:space="preserve">LIMPIADORES; TIPO: DETERGENTE NEUTRO, PRESENTACION: ENVASE X 5 L. MARCA: 
QUALITY </t>
  </si>
  <si>
    <t xml:space="preserve">detergente pireluxs x 5 lts  </t>
  </si>
  <si>
    <t xml:space="preserve">segun pliego </t>
  </si>
  <si>
    <t xml:space="preserve">3 </t>
  </si>
  <si>
    <t xml:space="preserve">2.9.1-6951.157 </t>
  </si>
  <si>
    <t xml:space="preserve">LIMPIADORES; TIPO: DESODORANTE LIQUIDO , PRESENTACION: BIDON X 5 L 
</t>
  </si>
  <si>
    <t xml:space="preserve">LIMPIADORES; TIPO: DESODORANTE LIQUIDO , PRESENTACION: BIDON X 5 L 
- MARCA HAUSER  </t>
  </si>
  <si>
    <t xml:space="preserve">LIMPIADORES; TIPO: DESODORANTE LIQUIDO , PRESENTACION: BIDON X 5 L. 
LISTO PARA USAR. MARCA: QUALITY </t>
  </si>
  <si>
    <t xml:space="preserve">desodorante liquido  pireluxs x 5 lts  </t>
  </si>
  <si>
    <t xml:space="preserve">4 </t>
  </si>
  <si>
    <t xml:space="preserve">2.9.1-6951.272 </t>
  </si>
  <si>
    <t xml:space="preserve">LIMPIADORES; TIPO: LIMPIA MUEBLES CREMA, PRESENTACION: ENVASE X 250 CM3 
</t>
  </si>
  <si>
    <t xml:space="preserve">LIMPIADORES; TIPO: LIMPIA MUEBLES CREMA, PRESENTACION: ENVASE X 200 CM3. 
MARCA: BLEM </t>
  </si>
  <si>
    <t xml:space="preserve">lustra mueble suiza cremoso  </t>
  </si>
  <si>
    <t xml:space="preserve">5 </t>
  </si>
  <si>
    <t xml:space="preserve">2.9.1-713.5 </t>
  </si>
  <si>
    <t xml:space="preserve">TRAPOS DE PISO; COLOR: BLANCO, DIMENSION: 60 X 70 Cm 
</t>
  </si>
  <si>
    <t xml:space="preserve">TRAPOS DE PISO; COLOR: BLANCO, DIMENSION: 60 X 70 Cm 
- MEDIA NARANJA  </t>
  </si>
  <si>
    <t xml:space="preserve">TRAPOS DE PISO; COLOR: BLANCO, DIMENSION: 60 X 70 Cm 
marca clas m </t>
  </si>
  <si>
    <t xml:space="preserve">TRAPOS DE PISO; COLOR: BLANCO, DIMENSION: 60 X 70 Cm. 
MARCA: CLEAN </t>
  </si>
  <si>
    <t xml:space="preserve">trapo de piso blanco profesional mr  </t>
  </si>
  <si>
    <t xml:space="preserve">segun pliego , merca meda naranja </t>
  </si>
  <si>
    <t xml:space="preserve">6 </t>
  </si>
  <si>
    <t xml:space="preserve">2.9.1-761.1 </t>
  </si>
  <si>
    <t xml:space="preserve">GUANTES P/LIMPIEZA; TAMAÑO: GRANDE, MATERIAL: LATEX </t>
  </si>
  <si>
    <t xml:space="preserve">GUANTES P/LIMPIEZA; TAMAÑO: GRANDE, MATERIAL: LATEX - MARCA LA GAUCHITA 
 </t>
  </si>
  <si>
    <t xml:space="preserve">GUANTES P/LIMPIEZA; TAMAÑO: GRANDE, MATERIAL: LATEX marca clean line </t>
  </si>
  <si>
    <t xml:space="preserve">GUANTES P/LIMPIEZA; TAMAÑO: GRANDE, MATERIAL: LATEX. MARCA: MEDIGLOVE </t>
  </si>
  <si>
    <t xml:space="preserve">guantes latex make tamaño grande  </t>
  </si>
  <si>
    <t xml:space="preserve">segun pliego marca TASK </t>
  </si>
  <si>
    <t xml:space="preserve">7 </t>
  </si>
  <si>
    <t xml:space="preserve">2.3.4-786.49 </t>
  </si>
  <si>
    <t xml:space="preserve">PAPEL HIGIENICO; PRESENTACION: PAQUETE X 8 UN, TIPO: ROLLO, HOJA: 
SIMPLE, ANCHO: 10 Cm, LARGO: 400 M, MATERIAL HOJA: SIMPLE, 
TIPO DE HOJA: SIMPLE </t>
  </si>
  <si>
    <t xml:space="preserve">  PAPEL HIGIENICO; PRESENTACION: PAQUETE X 8 UN, TIPO: 
ROLLO, HOJA: SIMPLE, ANCHO: 10 Cm, LARGO: 400 M, MATERIAL 
HOJA: SIMPLE, TIPO DE HOJA: SIMPLE MARCA HIGIENOL  </t>
  </si>
  <si>
    <t xml:space="preserve">PAPEL HIGIENICO; PRESENTACION: PAQUETE X 8 UN, TIPO: ROLLO, HOJA: 
SIMPLE, ANCHO: 10 Cm, LARGO: 400 M, MATERIAL HOJA: SIMPLE, 
TIPO DE HOJA: SIMPLE. MARCA: PEL </t>
  </si>
  <si>
    <t xml:space="preserve">papel hig jumbo x 8 unid sol azul  </t>
  </si>
  <si>
    <t xml:space="preserve">SEGUN PLIEGO MARCA HIGIENOL  </t>
  </si>
  <si>
    <t xml:space="preserve">8 </t>
  </si>
  <si>
    <t xml:space="preserve">2.9.1-714.1 </t>
  </si>
  <si>
    <t xml:space="preserve">FRANELAS; DIMENSION: 40 X 60 Cm </t>
  </si>
  <si>
    <t xml:space="preserve">LFRANELAS; DIMENSION: 40 X 60 Cm - MARCA LA NACIONAL 
 </t>
  </si>
  <si>
    <t xml:space="preserve">FRANELAS; DIMENSION: 40 X 60 Cm marca clasica </t>
  </si>
  <si>
    <t xml:space="preserve">FRANELAS; DIMENSION: 40 X 60 Cm. Marca: CLEAN </t>
  </si>
  <si>
    <t xml:space="preserve">franella la nacional  </t>
  </si>
  <si>
    <t xml:space="preserve">SEGUN PLIEGO MARCA LA PODEROSA  </t>
  </si>
  <si>
    <t xml:space="preserve">9 </t>
  </si>
  <si>
    <t xml:space="preserve">2.9.1-1156.1 </t>
  </si>
  <si>
    <t xml:space="preserve">PLUMEROS; PLUMA: SINTETICA, CLASE: SUAVE, MATERIAL MANGO: MADERA, LARGO MANGO: 
60 Cm, Nº VUELTAS PENACHO: 6, TIPO: SUAVE </t>
  </si>
  <si>
    <t xml:space="preserve">plumero avetruz n 2 mediano  </t>
  </si>
  <si>
    <t xml:space="preserve">10 </t>
  </si>
  <si>
    <t xml:space="preserve">2.9.1-6952.91 </t>
  </si>
  <si>
    <t xml:space="preserve">CEPILLOS; TIPO: ESCOBA, MATERIAL: PVC </t>
  </si>
  <si>
    <t xml:space="preserve">CEPILLOS; TIPO: ESCOBA, MATERIAL: PVC - MARCA LA GAUCHITA  
</t>
  </si>
  <si>
    <t xml:space="preserve">CEPILLOS; TIPO: ESCOBA, MATERIAL: PVC marca clean line </t>
  </si>
  <si>
    <t xml:space="preserve">CEPILLOS; TIPO: ESCOBA, MATERIAL: PVC. MARCA: CLEAN </t>
  </si>
  <si>
    <t xml:space="preserve">escobillon marca achu  </t>
  </si>
  <si>
    <t xml:space="preserve">11 </t>
  </si>
  <si>
    <t xml:space="preserve">2.9.1-2425.2 </t>
  </si>
  <si>
    <t xml:space="preserve">LAMPAZOS; MATERIAL: HILO, MANGO: MADERA </t>
  </si>
  <si>
    <t xml:space="preserve">LAMPAZOS; MATERIAL: HILO, MANGO: MADERA - MARCA HAUSER  </t>
  </si>
  <si>
    <t xml:space="preserve">LAMPAZOS; MATERIAL: HILO, MANGO: MADERA MARCA LA GRINGA  </t>
  </si>
  <si>
    <t xml:space="preserve">LAMPAZOS; MATERIAL: HILO, MANGO: MADERA. MARCA: CLEAN </t>
  </si>
  <si>
    <t xml:space="preserve">lampazo azul n 9 marca pabilo  </t>
  </si>
  <si>
    <t xml:space="preserve">12 </t>
  </si>
  <si>
    <t xml:space="preserve">2.9.1-1081.1 </t>
  </si>
  <si>
    <t xml:space="preserve">VIRUTAS; PRESENTACION: ROLLITO, CONTENIDO: 10 UNIDADES, MATERIAL: ACERO </t>
  </si>
  <si>
    <t xml:space="preserve">VIRUTAS; PRESENTACION: ROLLITO, CONTENIDO: 10 UNIDADES, MATERIAL: ACERO marca virulana 
</t>
  </si>
  <si>
    <t xml:space="preserve">VIRUTAS; PRESENTACION: ROLLITO, CONTENIDO: 10 UNIDADES, MATERIAL: ACERO. MARCA: EXTRALIMP 
</t>
  </si>
  <si>
    <t xml:space="preserve">virulana 50 gr flexol  </t>
  </si>
  <si>
    <t xml:space="preserve">SEGUN PLIEGO MARCA DEA  </t>
  </si>
  <si>
    <t xml:space="preserve">13 </t>
  </si>
  <si>
    <t xml:space="preserve">2.9.1-564.10 </t>
  </si>
  <si>
    <t xml:space="preserve">BALDES DE PLASTICO; CAPACIDAD: 20 L, COLOR: AZUL </t>
  </si>
  <si>
    <t xml:space="preserve">balde new plast 12 l  </t>
  </si>
  <si>
    <t xml:space="preserve">14 </t>
  </si>
  <si>
    <t xml:space="preserve">2.9.1-544.7 </t>
  </si>
  <si>
    <t xml:space="preserve">DESODORANTES DE AMBIENTE; PRESENTACION: UNIDAD, CONTENIDO: 440 CM3, FORMATO: AEROSOL, 
FRAGANCIA: FLORECER SILVESTRE, LIBRE DE CFC: SI </t>
  </si>
  <si>
    <t xml:space="preserve">DESODORANTES DE AMBIENTE; PRESENTACION: UNIDAD, CONTENIDO: 440 CM3, FORMATO: AEROSOL, 
FRAGANCIA: FLORECER SILVESTRE, LIBRE DE CFC: SI. MARCA: TIBU </t>
  </si>
  <si>
    <t xml:space="preserve">desodorante de ambiente clio  </t>
  </si>
  <si>
    <t xml:space="preserve">SEGUN PLIEGO MARCA JARDIN  </t>
  </si>
  <si>
    <t xml:space="preserve">15 </t>
  </si>
  <si>
    <t xml:space="preserve">2.9.1-6950.30 </t>
  </si>
  <si>
    <t xml:space="preserve">LUSTRADORES; TIPO: LUSTRAMUEBLES, PRESENTACION: AEROSOL X 360 CM3 </t>
  </si>
  <si>
    <t xml:space="preserve">LUSTRADORES; TIPO: LUSTRAMUEBLES, PRESENTACION: AEROSOL X 360 CM3 marca blem 
</t>
  </si>
  <si>
    <t xml:space="preserve">LUSTRADORES; TIPO: LUSTRAMUEBLES, PRESENTACION: AEROSOL X 360 CM3. MARCA: CERAMICOL 
</t>
  </si>
  <si>
    <t xml:space="preserve">lustra mueble facilim  </t>
  </si>
  <si>
    <t xml:space="preserve">SEGUN PLIEGO MARCA SUIZA </t>
  </si>
  <si>
    <t xml:space="preserve">16 </t>
  </si>
  <si>
    <t xml:space="preserve">2.9.1-6963.13 </t>
  </si>
  <si>
    <t xml:space="preserve">UTENSILLOS P/HIGIENE PERSONAL; TIPO: ALCOHOL EN GEL, PRESENTACION: ENVASE X 
360 CM3 </t>
  </si>
  <si>
    <t xml:space="preserve">UTENSILLOS P/HIGIENE PERSONAL; TIPO: ALCOHOL EN GEL, PRESENTACION: ENVASE X 
360 CM3. MARCA: ALCOPROTEC </t>
  </si>
  <si>
    <t xml:space="preserve">alcohol en gel porta x 360 cc  </t>
  </si>
  <si>
    <t xml:space="preserve">SEGUN PLIEGO MARGA SAN IGINIO  </t>
  </si>
  <si>
    <t xml:space="preserve">17 </t>
  </si>
  <si>
    <t xml:space="preserve">2.9.1-6952.71 </t>
  </si>
  <si>
    <t xml:space="preserve">CEPILLOS; TIPO: ESCOBILLON INDUSTRIAL, MATERIAL: PVC </t>
  </si>
  <si>
    <t xml:space="preserve">CEPILLOS; TIPO: ESCOBILLON INDUSTRIAL, MATERIAL: PVC - MARCA LA GAUCHITA 
 </t>
  </si>
  <si>
    <t xml:space="preserve">CEPILLOS; TIPO: ESCOBILLON INDUSTRIAL, MATERIAL: PVC. MARCA:CLEAN </t>
  </si>
  <si>
    <t xml:space="preserve">escobillon cordonero industrial  </t>
  </si>
  <si>
    <t xml:space="preserve">18 </t>
  </si>
  <si>
    <t xml:space="preserve">2.9.1-646.76 </t>
  </si>
  <si>
    <t xml:space="preserve">BOLSAS DE RESIDUOS; DIMENSION: 60 X 40 Cm, PRESENTACION: ENVASE 
X 10 UN, ESPESOR: 30 Mn </t>
  </si>
  <si>
    <t xml:space="preserve">  BOLSAS DE RESIDUOS; DIMENSION: 60 X 40 Cm, 
PRESENTACION: ENVASE X 10 UN, ESPESOR: 30 Mn marca good 
</t>
  </si>
  <si>
    <t xml:space="preserve">BOLSAS DE RESIDUOS; DIMENSION: 60 X 40 Cm, PRESENTACION: ENVASE 
X 10 UN, ESPESOR: 30 Mn. MARCA: LIMPITO </t>
  </si>
  <si>
    <t xml:space="preserve">BOLSA DE RESIDUOS 60 X 40 X 30 MARCA EL 
GLADEADOR 10 UNIDADES  </t>
  </si>
  <si>
    <t xml:space="preserve">SEGUN PLIEGO - MARCA FORTALEZA  </t>
  </si>
  <si>
    <t xml:space="preserve">19 </t>
  </si>
  <si>
    <t xml:space="preserve">2.9.1-646.23 </t>
  </si>
  <si>
    <t xml:space="preserve">BOLSAS DE RESIDUOS; ESPESOR: 30 Mn, PRESENTACION: BOLSA X 10, 
DIMENSION: 60 X 90 Cm, COLOR: OSCURO </t>
  </si>
  <si>
    <t xml:space="preserve">BOLSAS DE RESIDUOS; ESPESOR: 30 Mn, PRESENTACION: BOLSA X 10, 
DIMENSION: 60 X 90 Cm, COLOR: OSCURO - MARCA ECOLOGICA 
 </t>
  </si>
  <si>
    <t xml:space="preserve">BOLSAS DE RESIDUOS; ESPESOR: 30 Mn, PRESENTACION: BOLSA X 10, 
DIMENSION: 60 X 90 Cm, COLOR: OSCURO MARCA GOOD </t>
  </si>
  <si>
    <t xml:space="preserve">BOLSAS DE RESIDUOS; ESPESOR: 30 Mn, PRESENTACION: BOLSA X 10, 
DIMENSION: 60 X 90 Cm, COLOR: OSCURO. MARCA: LIMPITO </t>
  </si>
  <si>
    <t xml:space="preserve">BOLSA DE CONSORCIO 60X 90 X 30 MARCA EL GLADEADOR 
10 UNIDADES  </t>
  </si>
  <si>
    <t xml:space="preserve">20 </t>
  </si>
  <si>
    <t xml:space="preserve">2.9.1-646.75 </t>
  </si>
  <si>
    <t xml:space="preserve">BOLSAS DE RESIDUOS; DIMENSION: 90 X 120 Cm, PRESENTACION: ENVASE 
X 10 UN, ESPESOR: 80 µm </t>
  </si>
  <si>
    <t xml:space="preserve">BOLSAS DE RESIDUOS; DIMENSION: 90 X 120 Cm, PRESENTACION: ENVASE 
X 10 UN, ESPESOR: 80  MARCA FORCE FLEX  
</t>
  </si>
  <si>
    <t xml:space="preserve">BOLSAS DE RESIDUOS; DIMENSION: 90 X 120 Cm, PRESENTACION: ENVASE 
X 10 UN, ESPESOR: 80 µm. MARCA: LIMPITO </t>
  </si>
  <si>
    <t xml:space="preserve">BOLSA COMPACTADORA 90 X 120 X 80 PM  10 
UNIDADES MARCA GLADEADOR  </t>
  </si>
  <si>
    <t xml:space="preserve">21 </t>
  </si>
  <si>
    <t xml:space="preserve">2.9.1-2029.14 </t>
  </si>
  <si>
    <t xml:space="preserve">TRAPOS REPASADORES; MATERIAL: ALGODON, DIMENSION: 60 X 60 Cm </t>
  </si>
  <si>
    <t xml:space="preserve">TRAPOS REPASADORES; MATERIAL: ALGODON, DIMENSION: 60 X 60 Cm. MARCA: 
CLEAN </t>
  </si>
  <si>
    <t xml:space="preserve">repasador de toalla marca mediano  </t>
  </si>
  <si>
    <t xml:space="preserve">SEGUN PLIEGO MARCA VALENA </t>
  </si>
  <si>
    <t xml:space="preserve">22 </t>
  </si>
  <si>
    <t xml:space="preserve">2.9.1-683.8 </t>
  </si>
  <si>
    <t xml:space="preserve">SECADORES DE GOMA; LARGO: 60 Cm, COLOR: NEGRO </t>
  </si>
  <si>
    <t xml:space="preserve">SECADORES DE GOMA; LARGO: 50 Cm, COLOR: NEGRO MARCA SACCHI 
 </t>
  </si>
  <si>
    <t xml:space="preserve">SECADORES DE GOMA; LARGO: 60 Cm, COLOR: NEGRO. MARCA: CLEAN 
</t>
  </si>
  <si>
    <t xml:space="preserve">secador de goma reforzada 50 cm marca dea  </t>
  </si>
  <si>
    <t xml:space="preserve">SEGUN PLIEGO - MARCA SACHI </t>
  </si>
  <si>
    <t xml:space="preserve">23 </t>
  </si>
  <si>
    <t xml:space="preserve">2.9.1-1164.1 </t>
  </si>
  <si>
    <t xml:space="preserve">ESPONJAS; MATERIAL: POLIURETANO POLIETER, USO: P/COCINA, ADITAMENTO: FIBRA POLIESTER SUAVE, 
FORMA: PRISMATICA, LARGO X ANCHO X ESP: 10 X 6 
X 3,5 Cm, COLOR: AMARILLO </t>
  </si>
  <si>
    <t xml:space="preserve">ESPONJAS; MATERIAL: POLIURETANO POLIETER, USO: P/COCINA, ADITAMENTO: FIBRA POLIESTER SUAVE, 
FORMA: PRISMATICA, LARGO X ANCHO X ESP: 10 X 6 
X 3,5 Cm, COLOR: AMARILLO- MARCA LA GAUCHITA  </t>
  </si>
  <si>
    <t xml:space="preserve">ESPONJAS; MATERIAL: POLIURETANO POLIETER, USO: P/COCINA, ADITAMENTO: FIBRA POLIESTER SUAVE, 
FORMA: PRISMATICA, LARGO X ANCHO X ESP: 10 X 6 
X 3,5 Cm, COLOR: AMARILLO MARCA MORTIMER  </t>
  </si>
  <si>
    <t xml:space="preserve">ESPONJAS; MATERIAL: POLIURETANO POLIETER, USO: P/COCINA, ADITAMENTO: FIBRA POLIESTER SUAVE, 
FORMA: PRISMATICA, LARGO X ANCHO X ESP: 10 X 6 
X 3,5 Cm, COLOR: AMARILLO. MARCA: FIBRALIMP </t>
  </si>
  <si>
    <t xml:space="preserve">esponjas fibra c/ salva uñas marca flexo  </t>
  </si>
  <si>
    <t xml:space="preserve">24 </t>
  </si>
  <si>
    <t xml:space="preserve">2.9.1-8853.6 </t>
  </si>
  <si>
    <t xml:space="preserve">MOPAS; LARGO MANGO: 20 Cm, MATERIAL: MICROFIBRA </t>
  </si>
  <si>
    <t xml:space="preserve">MOPAS; LARGO MANGO: 20 Cm, MATERIAL: MICROFIBRA - MARCA LA 
GAUCHITA </t>
  </si>
  <si>
    <t xml:space="preserve">MOPAS; LARGO MANGO: 20 Cm, MATERIAL: MICROFIBRA. Marca: Extralimp </t>
  </si>
  <si>
    <t xml:space="preserve">mopa micro fibra mr trapo  </t>
  </si>
  <si>
    <t xml:space="preserve">25 </t>
  </si>
  <si>
    <t xml:space="preserve">2.9.1-2437.2 </t>
  </si>
  <si>
    <t xml:space="preserve">PALAS DE RESIDUOS; MATERIAL: PLASTICO, MANGO: LARGO </t>
  </si>
  <si>
    <t xml:space="preserve">PALAS DE RESIDUOS; MATERIAL: PLASTICO, MANGO: LARGO - MARCA LA 
GAUCHITA  </t>
  </si>
  <si>
    <t xml:space="preserve">PALAS DE RESIDUOS; MATERIAL: PLASTICO, MANGO: LARGO MARCA BUSGRAN  
</t>
  </si>
  <si>
    <t xml:space="preserve">PALAS DE RESIDUOS; MATERIAL: PLASTICO, MANGO: LARGO. MARCA: CLEAN </t>
  </si>
  <si>
    <t xml:space="preserve">pala con cabo rebatible c / goma sol azul  
</t>
  </si>
  <si>
    <t xml:space="preserve">26 </t>
  </si>
  <si>
    <t xml:space="preserve">2.9.1-6963.15 </t>
  </si>
  <si>
    <t xml:space="preserve">UTENSILLOS P/HIGIENE PERSONAL; TIPO: ALCOHOL EN GEL, PRESENTACION: ENVASE X 
5 L </t>
  </si>
  <si>
    <t xml:space="preserve">UTENSILLOS P/HIGIENE PERSONAL; TIPO: ALCOHOL EN GEL, PRESENTACION: ENVASE X 
5 L - MARCA BIALCOHOL </t>
  </si>
  <si>
    <t xml:space="preserve">UTENSILLOS P/HIGIENE PERSONAL; TIPO: ALCOHOL EN GEL, PRESENTACION: ENVASE X 
5 L. MARCA: QUALITY </t>
  </si>
  <si>
    <t xml:space="preserve">alcohol en gel x 5 lts pireluxs  </t>
  </si>
  <si>
    <t xml:space="preserve">27 </t>
  </si>
  <si>
    <t xml:space="preserve">2.9.1-6951.253 </t>
  </si>
  <si>
    <t xml:space="preserve">LIMPIADORES; TIPO: ALCOHOL ISOPROPILICO, PRESENTACION: ENVASE X 5 L </t>
  </si>
  <si>
    <t xml:space="preserve">28 </t>
  </si>
  <si>
    <t xml:space="preserve">2.9.1-6961.38 </t>
  </si>
  <si>
    <t xml:space="preserve">ELEM. P/LIMPIEZA SANITARIOS; TIPO: LAVANDINA EN GEL, PRESENTACION: ENVASE X 
5 L </t>
  </si>
  <si>
    <t xml:space="preserve">ELEM. P/LIMPIEZA SANITARIOS; TIPO: LAVANDINA EN GEL, PRESENTACION: ENVASE X 
5 L. MARCA: QUALITY </t>
  </si>
  <si>
    <t xml:space="preserve">lavandina en gel pireluxs x 5 ts  </t>
  </si>
  <si>
    <t xml:space="preserve">29 </t>
  </si>
  <si>
    <t xml:space="preserve">2.3.4-786.80 </t>
  </si>
  <si>
    <t xml:space="preserve">PAPEL HIGIENICO; PRESENTACION: PAQUETE X 4, TIPO: ROLLO, ANCHO: 10 
Cm, LARGO: 90 M, TIPO DE HOJA: DOBLE </t>
  </si>
  <si>
    <t xml:space="preserve">PAPEL HIGIENICO; PRESENTACION: PAQUETE X 4, TIPO: ROLLO, ANCHO: 10 
Cm, LARGO: 90 M, TIPO DE HOJA: DOBLE MARCA HIGIENOL 
 </t>
  </si>
  <si>
    <t xml:space="preserve">PAPEL HIGIENICO; PRESENTACION: PAQUETE X 4, TIPO: ROLLO, ANCHO: 10 
Cm, LARGO: 90 M, TIPO DE HOJA: DOBLE. MARCA: PEL 
</t>
  </si>
  <si>
    <t xml:space="preserve">papel higienico higienol x 4 doble hoja </t>
  </si>
  <si>
    <t xml:space="preserve">30 </t>
  </si>
  <si>
    <t xml:space="preserve">2.9.1-2661.30 </t>
  </si>
  <si>
    <t xml:space="preserve">TACHOS DE RESIDUOS; MATERIAL: PLASTICO, SECCION: 30 X 27 Cm, 
DIMENSION: 15 L, TAPA: A PEDAL </t>
  </si>
  <si>
    <t xml:space="preserve">cesto florida 15 lts pedal  </t>
  </si>
  <si>
    <t xml:space="preserve">31 </t>
  </si>
  <si>
    <t xml:space="preserve">2.5.2-711.49 </t>
  </si>
  <si>
    <t xml:space="preserve">ALCOHOL USO MEDICINAL; PUREZA: 70 %, PRESENTACIÓN: SEGÚN PLIEGO, CANTIDAD: 
SEGÚN PLIEGO </t>
  </si>
  <si>
    <t xml:space="preserve">ALCOHOL USO MEDICINAL; PUREZA: 70 %, PRESENTACIÓN: SEGÚN PLIEGO - 
MARCA BIALCOHOL </t>
  </si>
  <si>
    <t xml:space="preserve">ALCOHOL USO MEDICINAL; PUREZA: 70 %, PRESENTACIÓN: BIDONES DE 5 
LITROS, CANTIDAD: SEGÚN PLIEGO. MARCA: QUALITY </t>
  </si>
  <si>
    <t xml:space="preserve">alcohol medicinal al 70 % pireluxs x 5 lts  
</t>
  </si>
  <si>
    <t xml:space="preserve">32 </t>
  </si>
  <si>
    <t xml:space="preserve">2.9.5-428.26 </t>
  </si>
  <si>
    <t xml:space="preserve">BARBIJOS; TIPO: RECTANGULAR, MATERIAL: POLIPROPILENO, CANTIDAD DE CAPAS: 2, DESCARTABLE: 
SI, PRESENTACION: ENVASE X 50 UN </t>
  </si>
  <si>
    <t xml:space="preserve">BARBIJOS; TIPO: RECTANGULAR, MATERIAL: POLIPROPILENO, CANTIDAD DE CAPAS: 2, DESCARTABLE: 
SI, PRESENTACION: ENVASE X 50 UN - MARCA HLS  
</t>
  </si>
  <si>
    <t xml:space="preserve">BARBIJOS; TIPO: RECTANGULAR, MATERIAL: POLIPROPILENO, CANTIDAD DE CAPAS: 2, DESCARTABLE: 
SI, PRESENTACION: ENVASE X 50 UN. MARCA: FACE MASK </t>
  </si>
  <si>
    <t xml:space="preserve">BARBIJO RECTANGULAR POLIPROPILENO   CAPA  2 , DESCARTABLES 
X 50 UNIDADES MARCA FACE MASK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</si>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</sst>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4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4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4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42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42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42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1.7109375" customWidth="1"/>
    <col min="5" max="5" width="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1.7109375" customWidth="1"/>
    <col min="11" max="11" width="14.28515625" customWidth="1"/>
    <col min="12" max="12" width="17.28515625" customWidth="1"/>
    <col min="13" max="13" width="16.5703125" customWidth="1"/>
    <col min="14" max="14" width="91.7109375" customWidth="1"/>
    <col min="15" max="15" width="14.28515625" customWidth="1"/>
    <col min="16" max="16" width="17.28515625" customWidth="1"/>
    <col min="17" max="17" width="16.5703125" customWidth="1"/>
    <col min="18" max="18" width="90.85546875" customWidth="1"/>
    <col min="19" max="19" width="14.28515625" customWidth="1"/>
    <col min="20" max="20" width="17.28515625" customWidth="1"/>
    <col min="21" max="21" width="16.5703125" customWidth="1"/>
    <col min="22" max="22" width="59" customWidth="1"/>
    <col min="23" max="23" width="14.28515625" customWidth="1"/>
    <col min="24" max="24" width="17.28515625" customWidth="1"/>
    <col min="25" max="25" width="16.5703125" customWidth="1"/>
    <col min="26" max="26" width="34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30" x14ac:dyDescent="0.25">
      <c r="A10" t="s">
        <v>25</v>
      </c>
      <c r="B10" t="s">
        <v>25</v>
      </c>
      <c r="C10" t="s">
        <v>26</v>
      </c>
      <c r="D10" t="s">
        <v>27</v>
      </c>
      <c r="E10">
        <v>70</v>
      </c>
      <c r="F10" t="s">
        <v>28</v>
      </c>
      <c r="G10" s="3">
        <v>180</v>
      </c>
      <c r="H10" s="3">
        <v>70</v>
      </c>
      <c r="I10" s="4">
        <v>12600</v>
      </c>
      <c r="J10" s="5" t="s">
        <v>29</v>
      </c>
      <c r="K10" s="3">
        <v>517.15</v>
      </c>
      <c r="L10" s="3">
        <v>70</v>
      </c>
      <c r="M10" s="4">
        <v>36200.5</v>
      </c>
      <c r="N10" s="5" t="s">
        <v>30</v>
      </c>
      <c r="O10" s="3">
        <v>174.9</v>
      </c>
      <c r="P10" s="3">
        <v>70</v>
      </c>
      <c r="Q10" s="4">
        <v>12243</v>
      </c>
      <c r="R10" s="5" t="s">
        <v>31</v>
      </c>
      <c r="S10" s="3">
        <v>198</v>
      </c>
      <c r="T10" s="3">
        <v>70</v>
      </c>
      <c r="U10" s="4">
        <v>13860</v>
      </c>
      <c r="V10" t="s">
        <v>32</v>
      </c>
      <c r="W10" s="3"/>
      <c r="X10" s="3"/>
      <c r="Y10" s="4"/>
    </row>
    <row r="11" spans="1:26" ht="30" x14ac:dyDescent="0.25">
      <c r="A11" t="s">
        <v>33</v>
      </c>
      <c r="B11" t="s">
        <v>25</v>
      </c>
      <c r="C11" t="s">
        <v>34</v>
      </c>
      <c r="D11" t="s">
        <v>35</v>
      </c>
      <c r="E11">
        <v>70</v>
      </c>
      <c r="F11" t="s">
        <v>28</v>
      </c>
      <c r="G11" s="3">
        <v>230</v>
      </c>
      <c r="H11" s="3">
        <v>70</v>
      </c>
      <c r="I11" s="4">
        <v>16100</v>
      </c>
      <c r="J11" s="5" t="s">
        <v>36</v>
      </c>
      <c r="K11" s="3"/>
      <c r="L11" s="3"/>
      <c r="M11" s="4"/>
      <c r="O11" s="3">
        <v>244.9</v>
      </c>
      <c r="P11" s="3">
        <v>70</v>
      </c>
      <c r="Q11" s="4">
        <v>17143</v>
      </c>
      <c r="R11" s="5" t="s">
        <v>37</v>
      </c>
      <c r="S11" s="3">
        <v>360</v>
      </c>
      <c r="T11" s="3">
        <v>70</v>
      </c>
      <c r="U11" s="4">
        <v>25200</v>
      </c>
      <c r="V11" t="s">
        <v>38</v>
      </c>
      <c r="W11" s="3">
        <v>2022</v>
      </c>
      <c r="X11" s="3">
        <v>70</v>
      </c>
      <c r="Y11" s="4">
        <v>141540</v>
      </c>
      <c r="Z11" t="s">
        <v>39</v>
      </c>
    </row>
    <row r="12" spans="1:26" ht="30" x14ac:dyDescent="0.25">
      <c r="A12" t="s">
        <v>40</v>
      </c>
      <c r="B12" t="s">
        <v>25</v>
      </c>
      <c r="C12" t="s">
        <v>41</v>
      </c>
      <c r="D12" s="5" t="s">
        <v>42</v>
      </c>
      <c r="E12">
        <v>70</v>
      </c>
      <c r="F12" t="s">
        <v>28</v>
      </c>
      <c r="G12" s="3">
        <v>150</v>
      </c>
      <c r="H12" s="3">
        <v>70</v>
      </c>
      <c r="I12" s="4">
        <v>10500</v>
      </c>
      <c r="J12" s="5" t="s">
        <v>43</v>
      </c>
      <c r="K12" s="3"/>
      <c r="L12" s="3"/>
      <c r="M12" s="4"/>
      <c r="O12" s="3">
        <v>149.9</v>
      </c>
      <c r="P12" s="3">
        <v>70</v>
      </c>
      <c r="Q12" s="4">
        <v>10493</v>
      </c>
      <c r="R12" s="5" t="s">
        <v>44</v>
      </c>
      <c r="S12" s="3">
        <v>150</v>
      </c>
      <c r="T12" s="3">
        <v>70</v>
      </c>
      <c r="U12" s="4">
        <v>10500</v>
      </c>
      <c r="V12" t="s">
        <v>45</v>
      </c>
      <c r="W12" s="3">
        <v>594.03</v>
      </c>
      <c r="X12" s="3">
        <v>70</v>
      </c>
      <c r="Y12" s="4">
        <v>41582.1</v>
      </c>
      <c r="Z12" t="s">
        <v>39</v>
      </c>
    </row>
    <row r="13" spans="1:26" ht="30" x14ac:dyDescent="0.25">
      <c r="A13" t="s">
        <v>46</v>
      </c>
      <c r="B13" t="s">
        <v>25</v>
      </c>
      <c r="C13" t="s">
        <v>47</v>
      </c>
      <c r="D13" s="5" t="s">
        <v>48</v>
      </c>
      <c r="E13">
        <v>100</v>
      </c>
      <c r="F13" t="s">
        <v>28</v>
      </c>
      <c r="G13" s="3"/>
      <c r="H13" s="3"/>
      <c r="I13" s="4"/>
      <c r="K13" s="3"/>
      <c r="L13" s="3"/>
      <c r="M13" s="4"/>
      <c r="O13" s="3">
        <v>179</v>
      </c>
      <c r="P13" s="3">
        <v>100</v>
      </c>
      <c r="Q13" s="4">
        <v>17900</v>
      </c>
      <c r="R13" s="5" t="s">
        <v>49</v>
      </c>
      <c r="S13" s="3">
        <v>207.36</v>
      </c>
      <c r="T13" s="3">
        <v>100</v>
      </c>
      <c r="U13" s="4">
        <v>20736</v>
      </c>
      <c r="V13" t="s">
        <v>50</v>
      </c>
      <c r="W13" s="3"/>
      <c r="X13" s="3"/>
      <c r="Y13" s="4"/>
    </row>
    <row r="14" spans="1:26" ht="30" x14ac:dyDescent="0.25">
      <c r="A14" t="s">
        <v>51</v>
      </c>
      <c r="B14" t="s">
        <v>25</v>
      </c>
      <c r="C14" t="s">
        <v>52</v>
      </c>
      <c r="D14" s="5" t="s">
        <v>53</v>
      </c>
      <c r="E14">
        <v>100</v>
      </c>
      <c r="F14" t="s">
        <v>28</v>
      </c>
      <c r="G14" s="3">
        <v>160</v>
      </c>
      <c r="H14" s="3">
        <v>100</v>
      </c>
      <c r="I14" s="4">
        <v>16000</v>
      </c>
      <c r="J14" s="5" t="s">
        <v>54</v>
      </c>
      <c r="K14" s="3">
        <v>218.15</v>
      </c>
      <c r="L14" s="3">
        <v>100</v>
      </c>
      <c r="M14" s="4">
        <v>21815</v>
      </c>
      <c r="N14" s="5" t="s">
        <v>55</v>
      </c>
      <c r="O14" s="3">
        <v>193</v>
      </c>
      <c r="P14" s="3">
        <v>100</v>
      </c>
      <c r="Q14" s="4">
        <v>19300</v>
      </c>
      <c r="R14" s="5" t="s">
        <v>56</v>
      </c>
      <c r="S14" s="3">
        <v>257.58</v>
      </c>
      <c r="T14" s="3">
        <v>100</v>
      </c>
      <c r="U14" s="4">
        <v>25758</v>
      </c>
      <c r="V14" t="s">
        <v>57</v>
      </c>
      <c r="W14" s="3">
        <v>312.47000000000003</v>
      </c>
      <c r="X14" s="3">
        <v>100</v>
      </c>
      <c r="Y14" s="4">
        <v>31247</v>
      </c>
      <c r="Z14" t="s">
        <v>58</v>
      </c>
    </row>
    <row r="15" spans="1:26" ht="30" x14ac:dyDescent="0.25">
      <c r="A15" t="s">
        <v>59</v>
      </c>
      <c r="B15" t="s">
        <v>25</v>
      </c>
      <c r="C15" t="s">
        <v>60</v>
      </c>
      <c r="D15" t="s">
        <v>61</v>
      </c>
      <c r="E15">
        <v>100</v>
      </c>
      <c r="F15" t="s">
        <v>28</v>
      </c>
      <c r="G15" s="3">
        <v>240</v>
      </c>
      <c r="H15" s="3">
        <v>100</v>
      </c>
      <c r="I15" s="4">
        <v>24000</v>
      </c>
      <c r="J15" s="5" t="s">
        <v>62</v>
      </c>
      <c r="K15" s="3">
        <v>140.38</v>
      </c>
      <c r="L15" s="3">
        <v>100</v>
      </c>
      <c r="M15" s="4">
        <v>14038</v>
      </c>
      <c r="N15" t="s">
        <v>63</v>
      </c>
      <c r="O15" s="3">
        <v>99.5</v>
      </c>
      <c r="P15" s="3">
        <v>100</v>
      </c>
      <c r="Q15" s="4">
        <v>9950</v>
      </c>
      <c r="R15" t="s">
        <v>64</v>
      </c>
      <c r="S15" s="3">
        <v>178.2</v>
      </c>
      <c r="T15" s="3">
        <v>100</v>
      </c>
      <c r="U15" s="4">
        <v>17820</v>
      </c>
      <c r="V15" t="s">
        <v>65</v>
      </c>
      <c r="W15" s="3">
        <v>242.76</v>
      </c>
      <c r="X15" s="3">
        <v>100</v>
      </c>
      <c r="Y15" s="4">
        <v>24276</v>
      </c>
      <c r="Z15" t="s">
        <v>66</v>
      </c>
    </row>
    <row r="16" spans="1:26" ht="45" x14ac:dyDescent="0.25">
      <c r="A16" t="s">
        <v>67</v>
      </c>
      <c r="B16" t="s">
        <v>25</v>
      </c>
      <c r="C16" t="s">
        <v>68</v>
      </c>
      <c r="D16" s="5" t="s">
        <v>69</v>
      </c>
      <c r="E16">
        <v>200</v>
      </c>
      <c r="F16" t="s">
        <v>28</v>
      </c>
      <c r="G16" s="3"/>
      <c r="H16" s="3"/>
      <c r="I16" s="4"/>
      <c r="K16" s="3">
        <v>805.68</v>
      </c>
      <c r="L16" s="3">
        <v>200</v>
      </c>
      <c r="M16" s="4">
        <v>161136</v>
      </c>
      <c r="N16" s="5" t="s">
        <v>70</v>
      </c>
      <c r="O16" s="3">
        <v>675</v>
      </c>
      <c r="P16" s="3">
        <v>200</v>
      </c>
      <c r="Q16" s="4">
        <v>135000</v>
      </c>
      <c r="R16" s="5" t="s">
        <v>71</v>
      </c>
      <c r="S16" s="3">
        <v>952.1</v>
      </c>
      <c r="T16" s="3">
        <v>200</v>
      </c>
      <c r="U16" s="4">
        <v>190420</v>
      </c>
      <c r="V16" t="s">
        <v>72</v>
      </c>
      <c r="W16" s="3">
        <v>1070.21</v>
      </c>
      <c r="X16" s="3">
        <v>200</v>
      </c>
      <c r="Y16" s="4">
        <v>214042</v>
      </c>
      <c r="Z16" t="s">
        <v>73</v>
      </c>
    </row>
    <row r="17" spans="1:26" ht="30" x14ac:dyDescent="0.25">
      <c r="A17" t="s">
        <v>74</v>
      </c>
      <c r="B17" t="s">
        <v>25</v>
      </c>
      <c r="C17" t="s">
        <v>75</v>
      </c>
      <c r="D17" t="s">
        <v>76</v>
      </c>
      <c r="E17">
        <v>50</v>
      </c>
      <c r="F17" t="s">
        <v>28</v>
      </c>
      <c r="G17" s="3">
        <v>130</v>
      </c>
      <c r="H17" s="3">
        <v>50</v>
      </c>
      <c r="I17" s="4">
        <v>6500</v>
      </c>
      <c r="J17" s="5" t="s">
        <v>77</v>
      </c>
      <c r="K17" s="3">
        <v>231.59</v>
      </c>
      <c r="L17" s="3">
        <v>50</v>
      </c>
      <c r="M17" s="4">
        <v>11579.5</v>
      </c>
      <c r="N17" t="s">
        <v>78</v>
      </c>
      <c r="O17" s="3">
        <v>80.7</v>
      </c>
      <c r="P17" s="3">
        <v>50</v>
      </c>
      <c r="Q17" s="4">
        <v>4035</v>
      </c>
      <c r="R17" t="s">
        <v>79</v>
      </c>
      <c r="S17" s="3">
        <v>103.68</v>
      </c>
      <c r="T17" s="3">
        <v>50</v>
      </c>
      <c r="U17" s="4">
        <v>5184</v>
      </c>
      <c r="V17" t="s">
        <v>80</v>
      </c>
      <c r="W17" s="3">
        <v>209.49</v>
      </c>
      <c r="X17" s="3">
        <v>50</v>
      </c>
      <c r="Y17" s="4">
        <v>10474.5</v>
      </c>
      <c r="Z17" t="s">
        <v>81</v>
      </c>
    </row>
    <row r="18" spans="1:26" ht="30" x14ac:dyDescent="0.25">
      <c r="A18" t="s">
        <v>82</v>
      </c>
      <c r="B18" t="s">
        <v>25</v>
      </c>
      <c r="C18" t="s">
        <v>83</v>
      </c>
      <c r="D18" s="5" t="s">
        <v>84</v>
      </c>
      <c r="E18">
        <v>30</v>
      </c>
      <c r="F18" t="s">
        <v>28</v>
      </c>
      <c r="G18" s="3"/>
      <c r="H18" s="3"/>
      <c r="I18" s="4"/>
      <c r="K18" s="3"/>
      <c r="L18" s="3"/>
      <c r="M18" s="4"/>
      <c r="O18" s="3"/>
      <c r="P18" s="3"/>
      <c r="Q18" s="4"/>
      <c r="S18" s="3">
        <v>987.6</v>
      </c>
      <c r="T18" s="3">
        <v>30</v>
      </c>
      <c r="U18" s="4">
        <v>29628</v>
      </c>
      <c r="V18" t="s">
        <v>85</v>
      </c>
      <c r="W18" s="3"/>
      <c r="X18" s="3"/>
      <c r="Y18" s="4"/>
    </row>
    <row r="19" spans="1:26" ht="30" x14ac:dyDescent="0.25">
      <c r="A19" t="s">
        <v>86</v>
      </c>
      <c r="B19" t="s">
        <v>25</v>
      </c>
      <c r="C19" t="s">
        <v>87</v>
      </c>
      <c r="D19" t="s">
        <v>88</v>
      </c>
      <c r="E19">
        <v>50</v>
      </c>
      <c r="F19" t="s">
        <v>28</v>
      </c>
      <c r="G19" s="3">
        <v>150</v>
      </c>
      <c r="H19" s="3">
        <v>50</v>
      </c>
      <c r="I19" s="4">
        <v>7500</v>
      </c>
      <c r="J19" s="5" t="s">
        <v>89</v>
      </c>
      <c r="K19" s="3">
        <v>272.47000000000003</v>
      </c>
      <c r="L19" s="3">
        <v>50</v>
      </c>
      <c r="M19" s="4">
        <v>13623.5</v>
      </c>
      <c r="N19" t="s">
        <v>90</v>
      </c>
      <c r="O19" s="3">
        <v>179.9</v>
      </c>
      <c r="P19" s="3">
        <v>50</v>
      </c>
      <c r="Q19" s="4">
        <v>8995</v>
      </c>
      <c r="R19" t="s">
        <v>91</v>
      </c>
      <c r="S19" s="3">
        <v>226.8</v>
      </c>
      <c r="T19" s="3">
        <v>50</v>
      </c>
      <c r="U19" s="4">
        <v>11340</v>
      </c>
      <c r="V19" t="s">
        <v>92</v>
      </c>
      <c r="W19" s="3"/>
      <c r="X19" s="3"/>
      <c r="Y19" s="4"/>
    </row>
    <row r="20" spans="1:26" x14ac:dyDescent="0.25">
      <c r="A20" t="s">
        <v>93</v>
      </c>
      <c r="B20" t="s">
        <v>25</v>
      </c>
      <c r="C20" t="s">
        <v>94</v>
      </c>
      <c r="D20" t="s">
        <v>95</v>
      </c>
      <c r="E20">
        <v>50</v>
      </c>
      <c r="F20" t="s">
        <v>28</v>
      </c>
      <c r="G20" s="3">
        <v>400</v>
      </c>
      <c r="H20" s="3">
        <v>50</v>
      </c>
      <c r="I20" s="4">
        <v>20000</v>
      </c>
      <c r="J20" t="s">
        <v>96</v>
      </c>
      <c r="K20" s="3">
        <v>371.77</v>
      </c>
      <c r="L20" s="3">
        <v>50</v>
      </c>
      <c r="M20" s="4">
        <v>18588.5</v>
      </c>
      <c r="N20" t="s">
        <v>97</v>
      </c>
      <c r="O20" s="3">
        <v>236</v>
      </c>
      <c r="P20" s="3">
        <v>50</v>
      </c>
      <c r="Q20" s="4">
        <v>11800</v>
      </c>
      <c r="R20" t="s">
        <v>98</v>
      </c>
      <c r="S20" s="3">
        <v>396.9</v>
      </c>
      <c r="T20" s="3">
        <v>50</v>
      </c>
      <c r="U20" s="4">
        <v>19845</v>
      </c>
      <c r="V20" t="s">
        <v>99</v>
      </c>
      <c r="W20" s="3"/>
      <c r="X20" s="3"/>
      <c r="Y20" s="4"/>
    </row>
    <row r="21" spans="1:26" ht="45" x14ac:dyDescent="0.25">
      <c r="A21" t="s">
        <v>100</v>
      </c>
      <c r="B21" t="s">
        <v>25</v>
      </c>
      <c r="C21" t="s">
        <v>101</v>
      </c>
      <c r="D21" t="s">
        <v>102</v>
      </c>
      <c r="E21">
        <v>30</v>
      </c>
      <c r="F21" t="s">
        <v>28</v>
      </c>
      <c r="G21" s="3"/>
      <c r="H21" s="3"/>
      <c r="I21" s="4"/>
      <c r="K21" s="3">
        <v>97.7</v>
      </c>
      <c r="L21" s="3">
        <v>30</v>
      </c>
      <c r="M21" s="4">
        <v>2931</v>
      </c>
      <c r="N21" s="5" t="s">
        <v>103</v>
      </c>
      <c r="O21" s="3">
        <v>33.6</v>
      </c>
      <c r="P21" s="3">
        <v>30</v>
      </c>
      <c r="Q21" s="4">
        <v>1008</v>
      </c>
      <c r="R21" s="5" t="s">
        <v>104</v>
      </c>
      <c r="S21" s="3">
        <v>50</v>
      </c>
      <c r="T21" s="3">
        <v>30</v>
      </c>
      <c r="U21" s="4">
        <v>1500</v>
      </c>
      <c r="V21" t="s">
        <v>105</v>
      </c>
      <c r="W21" s="3">
        <v>86.29</v>
      </c>
      <c r="X21" s="3">
        <v>30</v>
      </c>
      <c r="Y21" s="4">
        <v>2588.6999999999998</v>
      </c>
      <c r="Z21" t="s">
        <v>106</v>
      </c>
    </row>
    <row r="22" spans="1:26" x14ac:dyDescent="0.25">
      <c r="A22" t="s">
        <v>107</v>
      </c>
      <c r="B22" t="s">
        <v>25</v>
      </c>
      <c r="C22" t="s">
        <v>108</v>
      </c>
      <c r="D22" t="s">
        <v>109</v>
      </c>
      <c r="E22">
        <v>30</v>
      </c>
      <c r="F22" t="s">
        <v>28</v>
      </c>
      <c r="G22" s="3"/>
      <c r="H22" s="3"/>
      <c r="I22" s="4"/>
      <c r="K22" s="3"/>
      <c r="L22" s="3"/>
      <c r="M22" s="4"/>
      <c r="O22" s="3"/>
      <c r="P22" s="3"/>
      <c r="Q22" s="4"/>
      <c r="S22" s="3">
        <v>475</v>
      </c>
      <c r="T22" s="3">
        <v>30</v>
      </c>
      <c r="U22" s="4">
        <v>14250</v>
      </c>
      <c r="V22" t="s">
        <v>110</v>
      </c>
      <c r="W22" s="3"/>
      <c r="X22" s="3"/>
      <c r="Y22" s="4"/>
    </row>
    <row r="23" spans="1:26" ht="45" x14ac:dyDescent="0.25">
      <c r="A23" t="s">
        <v>111</v>
      </c>
      <c r="B23" t="s">
        <v>25</v>
      </c>
      <c r="C23" t="s">
        <v>112</v>
      </c>
      <c r="D23" s="5" t="s">
        <v>113</v>
      </c>
      <c r="E23">
        <v>100</v>
      </c>
      <c r="F23" t="s">
        <v>28</v>
      </c>
      <c r="G23" s="3"/>
      <c r="H23" s="3"/>
      <c r="I23" s="4"/>
      <c r="K23" s="3"/>
      <c r="L23" s="3"/>
      <c r="M23" s="4"/>
      <c r="O23" s="3">
        <v>145.9</v>
      </c>
      <c r="P23" s="3">
        <v>100</v>
      </c>
      <c r="Q23" s="4">
        <v>14590</v>
      </c>
      <c r="R23" s="5" t="s">
        <v>114</v>
      </c>
      <c r="S23" s="3">
        <v>191.2</v>
      </c>
      <c r="T23" s="3">
        <v>100</v>
      </c>
      <c r="U23" s="4">
        <v>19120</v>
      </c>
      <c r="V23" t="s">
        <v>115</v>
      </c>
      <c r="W23" s="3">
        <v>271.48</v>
      </c>
      <c r="X23" s="3">
        <v>100</v>
      </c>
      <c r="Y23" s="4">
        <v>27148</v>
      </c>
      <c r="Z23" t="s">
        <v>116</v>
      </c>
    </row>
    <row r="24" spans="1:26" ht="30" x14ac:dyDescent="0.25">
      <c r="A24" t="s">
        <v>117</v>
      </c>
      <c r="B24" t="s">
        <v>25</v>
      </c>
      <c r="C24" t="s">
        <v>118</v>
      </c>
      <c r="D24" t="s">
        <v>119</v>
      </c>
      <c r="E24">
        <v>100</v>
      </c>
      <c r="F24" t="s">
        <v>28</v>
      </c>
      <c r="G24" s="3"/>
      <c r="H24" s="3"/>
      <c r="I24" s="4"/>
      <c r="K24" s="3">
        <v>341.98</v>
      </c>
      <c r="L24" s="3">
        <v>100</v>
      </c>
      <c r="M24" s="4">
        <v>34198</v>
      </c>
      <c r="N24" s="5" t="s">
        <v>120</v>
      </c>
      <c r="O24" s="3">
        <v>189</v>
      </c>
      <c r="P24" s="3">
        <v>100</v>
      </c>
      <c r="Q24" s="4">
        <v>18900</v>
      </c>
      <c r="R24" s="5" t="s">
        <v>121</v>
      </c>
      <c r="S24" s="3">
        <v>195.3</v>
      </c>
      <c r="T24" s="3">
        <v>100</v>
      </c>
      <c r="U24" s="4">
        <v>19530</v>
      </c>
      <c r="V24" t="s">
        <v>122</v>
      </c>
      <c r="W24" s="3">
        <v>323.64999999999998</v>
      </c>
      <c r="X24" s="3">
        <v>100</v>
      </c>
      <c r="Y24" s="4">
        <v>32365</v>
      </c>
      <c r="Z24" t="s">
        <v>123</v>
      </c>
    </row>
    <row r="25" spans="1:26" ht="30" x14ac:dyDescent="0.25">
      <c r="A25" t="s">
        <v>124</v>
      </c>
      <c r="B25" t="s">
        <v>25</v>
      </c>
      <c r="C25" t="s">
        <v>125</v>
      </c>
      <c r="D25" s="5" t="s">
        <v>126</v>
      </c>
      <c r="E25">
        <v>300</v>
      </c>
      <c r="F25" t="s">
        <v>28</v>
      </c>
      <c r="G25" s="3"/>
      <c r="H25" s="3"/>
      <c r="I25" s="4"/>
      <c r="K25" s="3"/>
      <c r="L25" s="3"/>
      <c r="M25" s="4"/>
      <c r="O25" s="3">
        <v>174</v>
      </c>
      <c r="P25" s="3">
        <v>300</v>
      </c>
      <c r="Q25" s="4">
        <v>52200</v>
      </c>
      <c r="R25" s="5" t="s">
        <v>127</v>
      </c>
      <c r="S25" s="3">
        <v>332.1</v>
      </c>
      <c r="T25" s="3">
        <v>300</v>
      </c>
      <c r="U25" s="4">
        <v>99630</v>
      </c>
      <c r="V25" t="s">
        <v>128</v>
      </c>
      <c r="W25" s="3">
        <v>196.5</v>
      </c>
      <c r="X25" s="3">
        <v>300</v>
      </c>
      <c r="Y25" s="4">
        <v>58950</v>
      </c>
      <c r="Z25" t="s">
        <v>129</v>
      </c>
    </row>
    <row r="26" spans="1:26" ht="30" x14ac:dyDescent="0.25">
      <c r="A26" t="s">
        <v>130</v>
      </c>
      <c r="B26" t="s">
        <v>25</v>
      </c>
      <c r="C26" t="s">
        <v>131</v>
      </c>
      <c r="D26" t="s">
        <v>132</v>
      </c>
      <c r="E26">
        <v>20</v>
      </c>
      <c r="F26" t="s">
        <v>28</v>
      </c>
      <c r="G26" s="3">
        <v>1100</v>
      </c>
      <c r="H26" s="3">
        <v>20</v>
      </c>
      <c r="I26" s="4">
        <v>22000</v>
      </c>
      <c r="J26" s="5" t="s">
        <v>133</v>
      </c>
      <c r="K26" s="3"/>
      <c r="L26" s="3"/>
      <c r="M26" s="4"/>
      <c r="O26" s="3">
        <v>518</v>
      </c>
      <c r="P26" s="3">
        <v>20</v>
      </c>
      <c r="Q26" s="4">
        <v>10360</v>
      </c>
      <c r="R26" t="s">
        <v>134</v>
      </c>
      <c r="S26" s="3">
        <v>664.2</v>
      </c>
      <c r="T26" s="3">
        <v>20</v>
      </c>
      <c r="U26" s="4">
        <v>13284</v>
      </c>
      <c r="V26" t="s">
        <v>135</v>
      </c>
      <c r="W26" s="3"/>
      <c r="X26" s="3"/>
      <c r="Y26" s="4"/>
    </row>
    <row r="27" spans="1:26" ht="45" x14ac:dyDescent="0.25">
      <c r="A27" t="s">
        <v>136</v>
      </c>
      <c r="B27" t="s">
        <v>25</v>
      </c>
      <c r="C27" t="s">
        <v>137</v>
      </c>
      <c r="D27" s="5" t="s">
        <v>138</v>
      </c>
      <c r="E27">
        <v>200</v>
      </c>
      <c r="F27" t="s">
        <v>28</v>
      </c>
      <c r="G27" s="3"/>
      <c r="H27" s="3"/>
      <c r="I27" s="4"/>
      <c r="K27" s="3">
        <v>86.47</v>
      </c>
      <c r="L27" s="3">
        <v>200</v>
      </c>
      <c r="M27" s="4">
        <v>17294</v>
      </c>
      <c r="N27" s="5" t="s">
        <v>139</v>
      </c>
      <c r="O27" s="3">
        <v>34.6</v>
      </c>
      <c r="P27" s="3">
        <v>200</v>
      </c>
      <c r="Q27" s="4">
        <v>6920</v>
      </c>
      <c r="R27" s="5" t="s">
        <v>140</v>
      </c>
      <c r="S27" s="3">
        <v>45</v>
      </c>
      <c r="T27" s="3">
        <v>200</v>
      </c>
      <c r="U27" s="4">
        <v>9000</v>
      </c>
      <c r="V27" s="5" t="s">
        <v>141</v>
      </c>
      <c r="W27" s="3">
        <v>97.09</v>
      </c>
      <c r="X27" s="3">
        <v>200</v>
      </c>
      <c r="Y27" s="4">
        <v>19418</v>
      </c>
      <c r="Z27" t="s">
        <v>142</v>
      </c>
    </row>
    <row r="28" spans="1:26" ht="45" x14ac:dyDescent="0.25">
      <c r="A28" t="s">
        <v>143</v>
      </c>
      <c r="B28" t="s">
        <v>25</v>
      </c>
      <c r="C28" t="s">
        <v>144</v>
      </c>
      <c r="D28" s="5" t="s">
        <v>145</v>
      </c>
      <c r="E28">
        <v>200</v>
      </c>
      <c r="F28" t="s">
        <v>28</v>
      </c>
      <c r="G28" s="3">
        <v>130</v>
      </c>
      <c r="H28" s="3">
        <v>200</v>
      </c>
      <c r="I28" s="4">
        <v>26000</v>
      </c>
      <c r="J28" s="5" t="s">
        <v>146</v>
      </c>
      <c r="K28" s="3">
        <v>212.04</v>
      </c>
      <c r="L28" s="3">
        <v>200</v>
      </c>
      <c r="M28" s="4">
        <v>42408</v>
      </c>
      <c r="N28" s="5" t="s">
        <v>147</v>
      </c>
      <c r="O28" s="3">
        <v>94.9</v>
      </c>
      <c r="P28" s="3">
        <v>200</v>
      </c>
      <c r="Q28" s="4">
        <v>18980</v>
      </c>
      <c r="R28" s="5" t="s">
        <v>148</v>
      </c>
      <c r="S28" s="3">
        <v>89.1</v>
      </c>
      <c r="T28" s="3">
        <v>200</v>
      </c>
      <c r="U28" s="4">
        <v>17820</v>
      </c>
      <c r="V28" s="5" t="s">
        <v>149</v>
      </c>
      <c r="W28" s="3"/>
      <c r="X28" s="3"/>
      <c r="Y28" s="4"/>
    </row>
    <row r="29" spans="1:26" ht="45" x14ac:dyDescent="0.25">
      <c r="A29" t="s">
        <v>150</v>
      </c>
      <c r="B29" t="s">
        <v>25</v>
      </c>
      <c r="C29" t="s">
        <v>151</v>
      </c>
      <c r="D29" s="5" t="s">
        <v>152</v>
      </c>
      <c r="E29">
        <v>200</v>
      </c>
      <c r="F29" t="s">
        <v>28</v>
      </c>
      <c r="G29" s="3"/>
      <c r="H29" s="3"/>
      <c r="I29" s="4"/>
      <c r="K29" s="3">
        <v>399</v>
      </c>
      <c r="L29" s="3">
        <v>200</v>
      </c>
      <c r="M29" s="4">
        <v>79800</v>
      </c>
      <c r="N29" s="5" t="s">
        <v>153</v>
      </c>
      <c r="O29" s="3">
        <v>249.9</v>
      </c>
      <c r="P29" s="3">
        <v>200</v>
      </c>
      <c r="Q29" s="4">
        <v>49980</v>
      </c>
      <c r="R29" s="5" t="s">
        <v>154</v>
      </c>
      <c r="S29" s="3">
        <v>515.20000000000005</v>
      </c>
      <c r="T29" s="3">
        <v>200</v>
      </c>
      <c r="U29" s="4">
        <v>103040</v>
      </c>
      <c r="V29" s="5" t="s">
        <v>155</v>
      </c>
      <c r="W29" s="3"/>
      <c r="X29" s="3"/>
      <c r="Y29" s="4"/>
    </row>
    <row r="30" spans="1:26" ht="30" x14ac:dyDescent="0.25">
      <c r="A30" t="s">
        <v>156</v>
      </c>
      <c r="B30" t="s">
        <v>25</v>
      </c>
      <c r="C30" t="s">
        <v>157</v>
      </c>
      <c r="D30" t="s">
        <v>158</v>
      </c>
      <c r="E30">
        <v>50</v>
      </c>
      <c r="F30" t="s">
        <v>28</v>
      </c>
      <c r="G30" s="3"/>
      <c r="H30" s="3"/>
      <c r="I30" s="4"/>
      <c r="K30" s="3"/>
      <c r="L30" s="3"/>
      <c r="M30" s="4"/>
      <c r="O30" s="3">
        <v>98</v>
      </c>
      <c r="P30" s="3">
        <v>50</v>
      </c>
      <c r="Q30" s="4">
        <v>4900</v>
      </c>
      <c r="R30" s="5" t="s">
        <v>159</v>
      </c>
      <c r="S30" s="3">
        <v>299.7</v>
      </c>
      <c r="T30" s="3">
        <v>50</v>
      </c>
      <c r="U30" s="4">
        <v>14985</v>
      </c>
      <c r="V30" t="s">
        <v>160</v>
      </c>
      <c r="W30" s="3">
        <v>161.80000000000001</v>
      </c>
      <c r="X30" s="3">
        <v>50</v>
      </c>
      <c r="Y30" s="4">
        <v>8090</v>
      </c>
      <c r="Z30" t="s">
        <v>161</v>
      </c>
    </row>
    <row r="31" spans="1:26" ht="30" x14ac:dyDescent="0.25">
      <c r="A31" t="s">
        <v>162</v>
      </c>
      <c r="B31" t="s">
        <v>25</v>
      </c>
      <c r="C31" t="s">
        <v>163</v>
      </c>
      <c r="D31" t="s">
        <v>164</v>
      </c>
      <c r="E31">
        <v>50</v>
      </c>
      <c r="F31" t="s">
        <v>28</v>
      </c>
      <c r="G31" s="3"/>
      <c r="H31" s="3"/>
      <c r="I31" s="4"/>
      <c r="K31" s="3">
        <v>664.2</v>
      </c>
      <c r="L31" s="3">
        <v>50</v>
      </c>
      <c r="M31" s="4">
        <v>33210</v>
      </c>
      <c r="N31" s="5" t="s">
        <v>165</v>
      </c>
      <c r="O31" s="3">
        <v>163</v>
      </c>
      <c r="P31" s="3">
        <v>50</v>
      </c>
      <c r="Q31" s="4">
        <v>8150</v>
      </c>
      <c r="R31" s="5" t="s">
        <v>166</v>
      </c>
      <c r="S31" s="3">
        <v>251.1</v>
      </c>
      <c r="T31" s="3">
        <v>50</v>
      </c>
      <c r="U31" s="4">
        <v>12555</v>
      </c>
      <c r="V31" t="s">
        <v>167</v>
      </c>
      <c r="W31" s="3">
        <v>657.26</v>
      </c>
      <c r="X31" s="3">
        <v>50</v>
      </c>
      <c r="Y31" s="4">
        <v>32863</v>
      </c>
      <c r="Z31" t="s">
        <v>168</v>
      </c>
    </row>
    <row r="32" spans="1:26" ht="60" x14ac:dyDescent="0.25">
      <c r="A32" t="s">
        <v>169</v>
      </c>
      <c r="B32" t="s">
        <v>25</v>
      </c>
      <c r="C32" t="s">
        <v>170</v>
      </c>
      <c r="D32" s="5" t="s">
        <v>171</v>
      </c>
      <c r="E32">
        <v>50</v>
      </c>
      <c r="F32" t="s">
        <v>28</v>
      </c>
      <c r="G32" s="3">
        <v>50</v>
      </c>
      <c r="H32" s="3">
        <v>50</v>
      </c>
      <c r="I32" s="4">
        <v>2500</v>
      </c>
      <c r="J32" s="5" t="s">
        <v>172</v>
      </c>
      <c r="K32" s="3">
        <v>52.02</v>
      </c>
      <c r="L32" s="3">
        <v>50</v>
      </c>
      <c r="M32" s="4">
        <v>2601</v>
      </c>
      <c r="N32" s="5" t="s">
        <v>173</v>
      </c>
      <c r="O32" s="3">
        <v>16.899999999999999</v>
      </c>
      <c r="P32" s="3">
        <v>50</v>
      </c>
      <c r="Q32" s="4">
        <v>845</v>
      </c>
      <c r="R32" s="5" t="s">
        <v>174</v>
      </c>
      <c r="S32" s="3">
        <v>36.450000000000003</v>
      </c>
      <c r="T32" s="3">
        <v>50</v>
      </c>
      <c r="U32" s="4">
        <v>1822.5</v>
      </c>
      <c r="V32" t="s">
        <v>175</v>
      </c>
      <c r="W32" s="3"/>
      <c r="X32" s="3"/>
      <c r="Y32" s="4"/>
    </row>
    <row r="33" spans="1:25" ht="30" x14ac:dyDescent="0.25">
      <c r="A33" t="s">
        <v>176</v>
      </c>
      <c r="B33" t="s">
        <v>25</v>
      </c>
      <c r="C33" t="s">
        <v>177</v>
      </c>
      <c r="D33" t="s">
        <v>178</v>
      </c>
      <c r="E33">
        <v>50</v>
      </c>
      <c r="F33" t="s">
        <v>28</v>
      </c>
      <c r="G33" s="3">
        <v>450</v>
      </c>
      <c r="H33" s="3">
        <v>50</v>
      </c>
      <c r="I33" s="4">
        <v>22500</v>
      </c>
      <c r="J33" s="5" t="s">
        <v>179</v>
      </c>
      <c r="K33" s="3"/>
      <c r="L33" s="3"/>
      <c r="M33" s="4"/>
      <c r="O33" s="3">
        <v>1950</v>
      </c>
      <c r="P33" s="3">
        <v>50</v>
      </c>
      <c r="Q33" s="4">
        <v>97500</v>
      </c>
      <c r="R33" t="s">
        <v>180</v>
      </c>
      <c r="S33" s="3">
        <v>531.36</v>
      </c>
      <c r="T33" s="3">
        <v>50</v>
      </c>
      <c r="U33" s="4">
        <v>26568</v>
      </c>
      <c r="V33" t="s">
        <v>181</v>
      </c>
      <c r="W33" s="3"/>
      <c r="X33" s="3"/>
      <c r="Y33" s="4"/>
    </row>
    <row r="34" spans="1:25" ht="30" x14ac:dyDescent="0.25">
      <c r="A34" t="s">
        <v>182</v>
      </c>
      <c r="B34" t="s">
        <v>25</v>
      </c>
      <c r="C34" t="s">
        <v>183</v>
      </c>
      <c r="D34" t="s">
        <v>184</v>
      </c>
      <c r="E34">
        <v>50</v>
      </c>
      <c r="F34" t="s">
        <v>28</v>
      </c>
      <c r="G34" s="3">
        <v>450</v>
      </c>
      <c r="H34" s="3">
        <v>50</v>
      </c>
      <c r="I34" s="4">
        <v>22500</v>
      </c>
      <c r="J34" s="5" t="s">
        <v>185</v>
      </c>
      <c r="K34" s="3">
        <v>276.61</v>
      </c>
      <c r="L34" s="3">
        <v>50</v>
      </c>
      <c r="M34" s="4">
        <v>13830.5</v>
      </c>
      <c r="N34" s="5" t="s">
        <v>186</v>
      </c>
      <c r="O34" s="3">
        <v>105</v>
      </c>
      <c r="P34" s="3">
        <v>50</v>
      </c>
      <c r="Q34" s="4">
        <v>5250</v>
      </c>
      <c r="R34" t="s">
        <v>187</v>
      </c>
      <c r="S34" s="3">
        <v>413.1</v>
      </c>
      <c r="T34" s="3">
        <v>50</v>
      </c>
      <c r="U34" s="4">
        <v>20655</v>
      </c>
      <c r="V34" s="5" t="s">
        <v>188</v>
      </c>
      <c r="W34" s="3"/>
      <c r="X34" s="3"/>
      <c r="Y34" s="4"/>
    </row>
    <row r="35" spans="1:25" ht="30" x14ac:dyDescent="0.25">
      <c r="A35" t="s">
        <v>189</v>
      </c>
      <c r="B35" t="s">
        <v>25</v>
      </c>
      <c r="C35" t="s">
        <v>190</v>
      </c>
      <c r="D35" s="5" t="s">
        <v>191</v>
      </c>
      <c r="E35">
        <v>70</v>
      </c>
      <c r="F35" t="s">
        <v>28</v>
      </c>
      <c r="G35" s="3">
        <v>2140</v>
      </c>
      <c r="H35" s="3">
        <v>70</v>
      </c>
      <c r="I35" s="4">
        <v>149800</v>
      </c>
      <c r="J35" s="5" t="s">
        <v>192</v>
      </c>
      <c r="K35" s="3"/>
      <c r="L35" s="3"/>
      <c r="M35" s="4"/>
      <c r="O35" s="3">
        <v>899</v>
      </c>
      <c r="P35" s="3">
        <v>70</v>
      </c>
      <c r="Q35" s="4">
        <v>62930</v>
      </c>
      <c r="R35" s="5" t="s">
        <v>193</v>
      </c>
      <c r="S35" s="3">
        <v>1105.7</v>
      </c>
      <c r="T35" s="3">
        <v>70</v>
      </c>
      <c r="U35" s="4">
        <v>77399</v>
      </c>
      <c r="V35" t="s">
        <v>194</v>
      </c>
      <c r="W35" s="3"/>
      <c r="X35" s="3"/>
      <c r="Y35" s="4"/>
    </row>
    <row r="36" spans="1:25" x14ac:dyDescent="0.25">
      <c r="A36" t="s">
        <v>195</v>
      </c>
      <c r="B36" t="s">
        <v>25</v>
      </c>
      <c r="C36" t="s">
        <v>196</v>
      </c>
      <c r="D36" t="s">
        <v>197</v>
      </c>
      <c r="E36">
        <v>70</v>
      </c>
      <c r="F36" t="s">
        <v>28</v>
      </c>
      <c r="G36" s="3"/>
      <c r="H36" s="3"/>
      <c r="I36" s="4"/>
      <c r="K36" s="3"/>
      <c r="L36" s="3"/>
      <c r="M36" s="4"/>
      <c r="O36" s="3"/>
      <c r="P36" s="3"/>
      <c r="Q36" s="4"/>
      <c r="S36" s="3"/>
      <c r="T36" s="3"/>
      <c r="U36" s="4"/>
      <c r="W36" s="3"/>
      <c r="X36" s="3"/>
      <c r="Y36" s="4"/>
    </row>
    <row r="37" spans="1:25" ht="30" x14ac:dyDescent="0.25">
      <c r="A37" t="s">
        <v>198</v>
      </c>
      <c r="B37" t="s">
        <v>25</v>
      </c>
      <c r="C37" t="s">
        <v>199</v>
      </c>
      <c r="D37" s="5" t="s">
        <v>200</v>
      </c>
      <c r="E37">
        <v>70</v>
      </c>
      <c r="F37" t="s">
        <v>28</v>
      </c>
      <c r="G37" s="3"/>
      <c r="H37" s="3"/>
      <c r="I37" s="4"/>
      <c r="K37" s="3"/>
      <c r="L37" s="3"/>
      <c r="M37" s="4"/>
      <c r="O37" s="3">
        <v>249</v>
      </c>
      <c r="P37" s="3">
        <v>70</v>
      </c>
      <c r="Q37" s="4">
        <v>17430</v>
      </c>
      <c r="R37" s="5" t="s">
        <v>201</v>
      </c>
      <c r="S37" s="3">
        <v>550.79999999999995</v>
      </c>
      <c r="T37" s="3">
        <v>70</v>
      </c>
      <c r="U37" s="4">
        <v>38556</v>
      </c>
      <c r="V37" t="s">
        <v>202</v>
      </c>
      <c r="W37" s="3"/>
      <c r="X37" s="3"/>
      <c r="Y37" s="4"/>
    </row>
    <row r="38" spans="1:25" ht="45" x14ac:dyDescent="0.25">
      <c r="A38" t="s">
        <v>203</v>
      </c>
      <c r="B38" t="s">
        <v>25</v>
      </c>
      <c r="C38" t="s">
        <v>204</v>
      </c>
      <c r="D38" s="5" t="s">
        <v>205</v>
      </c>
      <c r="E38">
        <v>100</v>
      </c>
      <c r="F38" t="s">
        <v>28</v>
      </c>
      <c r="G38" s="3"/>
      <c r="H38" s="3"/>
      <c r="I38" s="4"/>
      <c r="K38" s="3">
        <v>402.84</v>
      </c>
      <c r="L38" s="3">
        <v>100</v>
      </c>
      <c r="M38" s="4">
        <v>40284</v>
      </c>
      <c r="N38" s="5" t="s">
        <v>206</v>
      </c>
      <c r="O38" s="3">
        <v>124.5</v>
      </c>
      <c r="P38" s="3">
        <v>100</v>
      </c>
      <c r="Q38" s="4">
        <v>12450</v>
      </c>
      <c r="R38" s="5" t="s">
        <v>207</v>
      </c>
      <c r="S38" s="3">
        <v>257</v>
      </c>
      <c r="T38" s="3">
        <v>100</v>
      </c>
      <c r="U38" s="4">
        <v>25700</v>
      </c>
      <c r="V38" t="s">
        <v>208</v>
      </c>
      <c r="W38" s="3"/>
      <c r="X38" s="3"/>
      <c r="Y38" s="4"/>
    </row>
    <row r="39" spans="1:25" ht="30" x14ac:dyDescent="0.25">
      <c r="A39" t="s">
        <v>209</v>
      </c>
      <c r="B39" t="s">
        <v>25</v>
      </c>
      <c r="C39" t="s">
        <v>210</v>
      </c>
      <c r="D39" s="5" t="s">
        <v>211</v>
      </c>
      <c r="E39">
        <v>20</v>
      </c>
      <c r="F39" t="s">
        <v>28</v>
      </c>
      <c r="G39" s="3"/>
      <c r="H39" s="3"/>
      <c r="I39" s="4"/>
      <c r="K39" s="3"/>
      <c r="L39" s="3"/>
      <c r="M39" s="4"/>
      <c r="O39" s="3"/>
      <c r="P39" s="3"/>
      <c r="Q39" s="4"/>
      <c r="S39" s="3">
        <v>1329.4</v>
      </c>
      <c r="T39" s="3">
        <v>20</v>
      </c>
      <c r="U39" s="4">
        <v>26588</v>
      </c>
      <c r="V39" t="s">
        <v>212</v>
      </c>
      <c r="W39" s="3"/>
      <c r="X39" s="3"/>
      <c r="Y39" s="4"/>
    </row>
    <row r="40" spans="1:25" ht="30" x14ac:dyDescent="0.25">
      <c r="A40" t="s">
        <v>213</v>
      </c>
      <c r="B40" t="s">
        <v>25</v>
      </c>
      <c r="C40" t="s">
        <v>214</v>
      </c>
      <c r="D40" s="5" t="s">
        <v>215</v>
      </c>
      <c r="E40">
        <v>50</v>
      </c>
      <c r="F40" t="s">
        <v>28</v>
      </c>
      <c r="G40" s="3">
        <v>1580</v>
      </c>
      <c r="H40" s="3">
        <v>50</v>
      </c>
      <c r="I40" s="4">
        <v>79000</v>
      </c>
      <c r="J40" s="5" t="s">
        <v>216</v>
      </c>
      <c r="K40" s="3"/>
      <c r="L40" s="3"/>
      <c r="M40" s="4"/>
      <c r="O40" s="3">
        <v>749</v>
      </c>
      <c r="P40" s="3">
        <v>50</v>
      </c>
      <c r="Q40" s="4">
        <v>37450</v>
      </c>
      <c r="R40" s="5" t="s">
        <v>217</v>
      </c>
      <c r="S40" s="3">
        <v>793.8</v>
      </c>
      <c r="T40" s="3">
        <v>50</v>
      </c>
      <c r="U40" s="4">
        <v>39690</v>
      </c>
      <c r="V40" s="5" t="s">
        <v>218</v>
      </c>
      <c r="W40" s="3"/>
      <c r="X40" s="3"/>
      <c r="Y40" s="4"/>
    </row>
    <row r="41" spans="1:25" ht="45" x14ac:dyDescent="0.25">
      <c r="A41" t="s">
        <v>219</v>
      </c>
      <c r="B41" t="s">
        <v>25</v>
      </c>
      <c r="C41" t="s">
        <v>220</v>
      </c>
      <c r="D41" s="5" t="s">
        <v>221</v>
      </c>
      <c r="E41">
        <v>720</v>
      </c>
      <c r="F41" t="s">
        <v>28</v>
      </c>
      <c r="G41" s="3">
        <v>260</v>
      </c>
      <c r="H41" s="3">
        <v>720</v>
      </c>
      <c r="I41" s="4">
        <v>187200</v>
      </c>
      <c r="J41" s="5" t="s">
        <v>222</v>
      </c>
      <c r="K41" s="3"/>
      <c r="L41" s="3"/>
      <c r="M41" s="4"/>
      <c r="O41" s="3">
        <v>429.9</v>
      </c>
      <c r="P41" s="3">
        <v>720</v>
      </c>
      <c r="Q41" s="4">
        <v>309528</v>
      </c>
      <c r="R41" s="5" t="s">
        <v>223</v>
      </c>
      <c r="S41" s="3">
        <v>650</v>
      </c>
      <c r="T41" s="3">
        <v>720</v>
      </c>
      <c r="U41" s="4">
        <v>468000</v>
      </c>
      <c r="V41" s="5" t="s">
        <v>224</v>
      </c>
      <c r="W41" s="3"/>
      <c r="X41" s="3"/>
      <c r="Y41" s="4"/>
    </row>
    <row r="42" spans="1:25" x14ac:dyDescent="0.25">
      <c r="C42" t="s">
        <v>225</v>
      </c>
      <c r="D42" s="5"/>
      <c r="G42" s="3"/>
      <c r="H42" s="3"/>
      <c r="I42" s="4">
        <f>SUBTOTAL(109,Table2[Total por renglón])</f>
        <v>624700</v>
      </c>
      <c r="J42" s="5"/>
      <c r="K42" s="3"/>
      <c r="L42" s="3"/>
      <c r="M42" s="4">
        <f>SUBTOTAL(109,Table3[Total por renglón])</f>
        <v>543537.5</v>
      </c>
      <c r="O42" s="3"/>
      <c r="P42" s="3"/>
      <c r="Q42" s="4">
        <f>SUBTOTAL(109,Table4[Total por renglón])</f>
        <v>976230</v>
      </c>
      <c r="R42" s="5"/>
      <c r="S42" s="3"/>
      <c r="T42" s="3"/>
      <c r="U42" s="4">
        <f>SUBTOTAL(109,Table5[Total por renglón])</f>
        <v>1419983.5</v>
      </c>
      <c r="V42" s="5"/>
      <c r="W42" s="3"/>
      <c r="X42" s="3"/>
      <c r="Y42" s="4">
        <f>SUBTOTAL(109,Table6[Total por renglón])</f>
        <v>644584.30000000005</v>
      </c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2022-03-03T02:01:41Z</dcterms:created>
  <dcterms:modified xsi:type="dcterms:W3CDTF">2022-03-03T02:04:29Z</dcterms:modified>
</cp:coreProperties>
</file>