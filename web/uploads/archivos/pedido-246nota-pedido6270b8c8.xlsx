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Mant, reparacion y limpieza\"/>
    </mc:Choice>
  </mc:AlternateContent>
  <bookViews>
    <workbookView xWindow="-120" yWindow="-120" windowWidth="29040" windowHeight="15840" tabRatio="500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Trimestrales'!$A$9:$I$10</definedName>
    <definedName name="_xlnm.Print_Area" localSheetId="1">' NotaPedido'!$A$1:$K$13</definedName>
    <definedName name="_xlnm.Print_Area" localSheetId="2">'Autor Gastar'!$A$1:$Q$22</definedName>
  </definedNames>
  <calcPr calcId="152511"/>
</workbook>
</file>

<file path=xl/calcChain.xml><?xml version="1.0" encoding="utf-8"?>
<calcChain xmlns="http://schemas.openxmlformats.org/spreadsheetml/2006/main">
  <c r="B12" i="2" l="1"/>
  <c r="C12" i="2"/>
  <c r="I12" i="2"/>
  <c r="J12" i="2"/>
  <c r="K12" i="2"/>
  <c r="J13" i="2"/>
  <c r="D10" i="1"/>
  <c r="I10" i="1"/>
  <c r="G6" i="3" l="1"/>
  <c r="G7" i="3"/>
  <c r="D7" i="2"/>
  <c r="D3" i="2"/>
  <c r="G4" i="3" s="1"/>
  <c r="D4" i="2"/>
  <c r="G5" i="3" s="1"/>
  <c r="A10" i="3" l="1"/>
  <c r="D1" i="3"/>
  <c r="Q18" i="3"/>
</calcChain>
</file>

<file path=xl/sharedStrings.xml><?xml version="1.0" encoding="utf-8"?>
<sst xmlns="http://schemas.openxmlformats.org/spreadsheetml/2006/main" count="87" uniqueCount="82">
  <si>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</si>
  <si>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</si>
  <si>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</si>
  <si>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</si>
  <si>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</si>
  <si>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</si>
  <si>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</si>
  <si>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</si>
  <si>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</si>
  <si>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</si>
  <si>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</si>
  <si>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</si>
  <si>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</si>
  <si>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</si>
  <si>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</si>
  <si>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</si>
  <si>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</si>
  <si>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</si>
  <si>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</si>
  <si>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</si>
  <si>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</si>
  <si>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</si>
  <si>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</si>
  <si>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</si>
  <si>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</si>
  <si>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</si>
  <si>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</si>
  <si>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</si>
  <si>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</si>
  <si>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</si>
  <si>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</si>
  <si>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</si>
  <si>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</si>
  <si>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</si>
  <si>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</si>
  <si>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</si>
  <si>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</si>
  <si>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</si>
  <si>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</si>
  <si>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</si>
  <si>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</si>
  <si>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</si>
  <si>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</si>
  <si>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</si>
  <si>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</si>
  <si>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</si>
  <si>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</si>
  <si>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</si>
  <si>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</si>
  <si>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</si>
  <si>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</si>
  <si>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</si>
  <si>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</si>
  <si>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</si>
  <si>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</si>
  <si>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</si>
  <si>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</si>
  <si>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1.1</t>
  </si>
  <si>
    <t xml:space="preserve">Mantenimiento </t>
  </si>
  <si>
    <t>MANT. REPARACION Y LIMPIEZA</t>
  </si>
  <si>
    <t>SI</t>
  </si>
  <si>
    <t>Lugar de entrega:</t>
  </si>
  <si>
    <t>3.3.5-3902.1</t>
  </si>
  <si>
    <t>SERV. LIMPIEZA HOSPITALARIA; DESCRIPCION: SERV. LIMPIEZA HOSPITALARIA</t>
  </si>
  <si>
    <t>MES</t>
  </si>
  <si>
    <t>Limpieza, Aseo y Fumigacion.</t>
  </si>
  <si>
    <t xml:space="preserve">SERV. LIMPIEZA HOSPITALARIA:LIMPIEZA Y DESINFECCION DE TODAS LAS AREAS Y SUPERFICIES DE LA INSTITUCION CON DESINFECTANTES  AUTORIZADOS ,CON TRES TURNOS DE 8HS POR DIA MAS GUARDIAS DE 24 HS EN CENTRO OBSTETRICO, UTI DE NEO ,UTI DE ADULTO Y AREA DE INTERNACION. </t>
  </si>
  <si>
    <t>TURNO MAÑANA DE LIMPIEZA: Cinco (5) personas, cumpliendo diaramente horario de 06Hs a 14 Hs. ( 5 Personas x 8 Hs x 30 Dias =1200Hs.)</t>
  </si>
  <si>
    <t>TURNO TARDE DE LIMPIEZA: Cuatro (4) personas , cumpliendo diaramente horario de 15hs  a 23 Hs. ( 4 Personas x 8 Hs x 30 Dias =960Hs.)</t>
  </si>
  <si>
    <t>GUARDIA DE LIMPIEZA: Tres (3) personas ,  realizando guardias de 24Hs. Para el centro Obstrerico, 1° PISO ( UTI DE NEO , UTI DE ADULTO), Area de internado. ( 3 Personas x 24Hs x 30 Dias =2160Hs.)</t>
  </si>
  <si>
    <t>Plazo de entrega:</t>
  </si>
  <si>
    <t>DIRECCION DE MANTENIMIENTO MATERNIDAD PROVINCIAL 25 DE MAYO - HERNANDO DE PEDRAZA1650</t>
  </si>
  <si>
    <t>40-Ministerio de Salud</t>
  </si>
  <si>
    <t xml:space="preserve">239-Direccion de Mantenimiento </t>
  </si>
  <si>
    <t>Costo total estimado: DOS MILLONES CUATROCIENTOS SETENTA Y CINCO MIL  CON 00/100</t>
  </si>
  <si>
    <t>TOTAL DE PESOS: DOS MILLONES CUATROCIENTOS SETENTA Y CINCO MIL  CON 00/100</t>
  </si>
  <si>
    <t>35/2021</t>
  </si>
  <si>
    <t>Con opcion a prorroga por el mismo periodo</t>
  </si>
  <si>
    <t>Contratación de Servicios Limpieza</t>
  </si>
  <si>
    <t>Para la Contratación de Servicios de Limpieza, para la Maternidad Provincial 25 de Mayo.</t>
  </si>
  <si>
    <t>La prestacion del servicio debe iniciar el 13 de Junio del 2021</t>
  </si>
  <si>
    <t xml:space="preserve">30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</si>
</sst>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[$$-2C0A]\ #,##0.00;[Red]\-[$$-2C0A]\ #,##0.00"/>
    <numFmt numFmtId="169" formatCode="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sz val="9"/>
      <name val="Arial"/>
      <family val="2"/>
      <charset val="1"/>
    </font>
    <font>
      <b/>
      <sz val="10"/>
      <name val="Times New Roman"/>
      <family val="1"/>
    </font>
    <font>
      <b/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</borders>
  <cellStyleXfs count="4">
    <xf numFmtId="0" fontId="0" fillId="0" borderId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5" fontId="0" fillId="0" borderId="38" xfId="2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165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3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/>
    <xf numFmtId="0" fontId="6" fillId="0" borderId="13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2" xfId="0" applyBorder="1"/>
    <xf numFmtId="0" fontId="19" fillId="0" borderId="4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168" fontId="18" fillId="0" borderId="2" xfId="0" applyNumberFormat="1" applyFont="1" applyBorder="1" applyAlignment="1">
      <alignment horizontal="center" vertical="center" wrapText="1"/>
    </xf>
    <xf numFmtId="168" fontId="18" fillId="0" borderId="3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/>
    <xf numFmtId="168" fontId="15" fillId="0" borderId="0" xfId="0" applyNumberFormat="1" applyFont="1"/>
    <xf numFmtId="165" fontId="0" fillId="0" borderId="49" xfId="2" applyNumberFormat="1" applyFont="1" applyBorder="1" applyAlignment="1" applyProtection="1">
      <alignment horizontal="center" vertical="center"/>
    </xf>
    <xf numFmtId="168" fontId="15" fillId="0" borderId="2" xfId="0" applyNumberFormat="1" applyFont="1" applyBorder="1"/>
    <xf numFmtId="0" fontId="22" fillId="0" borderId="7" xfId="0" applyFont="1" applyBorder="1" applyAlignment="1"/>
    <xf numFmtId="0" fontId="18" fillId="0" borderId="2" xfId="0" applyFont="1" applyBorder="1" applyAlignment="1">
      <alignment horizontal="left" vertical="top" wrapText="1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0" fillId="0" borderId="56" xfId="0" applyFont="1" applyFill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0" fontId="26" fillId="0" borderId="8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8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/>
    <xf numFmtId="0" fontId="15" fillId="0" borderId="8" xfId="0" applyFont="1" applyFill="1" applyBorder="1" applyAlignment="1"/>
    <xf numFmtId="0" fontId="15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166" fontId="7" fillId="0" borderId="50" xfId="0" applyNumberFormat="1" applyFont="1" applyBorder="1" applyAlignment="1">
      <alignment horizontal="center" vertical="center"/>
    </xf>
    <xf numFmtId="166" fontId="7" fillId="0" borderId="51" xfId="0" applyNumberFormat="1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 wrapText="1" indent="1"/>
    </xf>
    <xf numFmtId="0" fontId="6" fillId="0" borderId="52" xfId="0" applyFont="1" applyBorder="1" applyAlignment="1">
      <alignment horizontal="left" vertical="center" wrapText="1" indent="1"/>
    </xf>
    <xf numFmtId="0" fontId="6" fillId="0" borderId="51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left"/>
    </xf>
    <xf numFmtId="0" fontId="8" fillId="0" borderId="1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1" fillId="3" borderId="39" xfId="0" applyFont="1" applyFill="1" applyBorder="1" applyAlignment="1">
      <alignment horizontal="left" vertical="center" wrapText="1" indent="1"/>
    </xf>
    <xf numFmtId="0" fontId="14" fillId="0" borderId="37" xfId="0" applyFont="1" applyBorder="1" applyAlignment="1">
      <alignment horizontal="left" vertical="center"/>
    </xf>
    <xf numFmtId="0" fontId="0" fillId="0" borderId="43" xfId="0" applyFont="1" applyBorder="1" applyAlignment="1">
      <alignment horizontal="left" vertical="center"/>
    </xf>
    <xf numFmtId="0" fontId="27" fillId="0" borderId="39" xfId="0" applyFont="1" applyBorder="1" applyAlignment="1">
      <alignment horizontal="left" vertical="center" wrapText="1"/>
    </xf>
    <xf numFmtId="0" fontId="0" fillId="0" borderId="24" xfId="0" applyBorder="1"/>
    <xf numFmtId="0" fontId="0" fillId="0" borderId="37" xfId="0" applyBorder="1" applyAlignment="1">
      <alignment horizontal="left" vertical="center" wrapText="1"/>
    </xf>
    <xf numFmtId="0" fontId="0" fillId="0" borderId="4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</cellXfs>
  <cellStyles count="4">
    <cellStyle name="Encabezado 1" xfId="1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no%20borrar%20licitaciones\ORDENES-SOLICITUD%20PROVISION-PAC20\PAC%202020-2021\PROGRAMACION%202&#176;%20TRIMESTRE%202021\MANTENIMIENTO\NPE%20y%20APG%20Limpieza%20y%20lavande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G10">
            <v>3</v>
          </cell>
          <cell r="H10">
            <v>825000</v>
          </cell>
        </row>
        <row r="11">
          <cell r="F11" t="str">
            <v>MES</v>
          </cell>
        </row>
      </sheetData>
      <sheetData sheetId="1">
        <row r="12">
          <cell r="A12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tabSelected="1" zoomScale="80" zoomScaleNormal="80" workbookViewId="0">
      <selection activeCell="I17" sqref="I17"/>
    </sheetView>
  </sheetViews>
  <sheetFormatPr baseColWidth="10" defaultColWidth="11" defaultRowHeight="12.75" x14ac:dyDescent="0.2"/>
  <cols>
    <col min="1" max="1" width="4.5703125" style="31" customWidth="1"/>
    <col min="2" max="2" width="21.28515625" style="31" customWidth="1"/>
    <col min="3" max="3" width="32.42578125" style="31" customWidth="1"/>
    <col min="4" max="4" width="8.42578125" style="31" customWidth="1"/>
    <col min="5" max="5" width="108.57031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2" spans="1:9" ht="27.75" thickBot="1" x14ac:dyDescent="0.4">
      <c r="B2" s="82" t="s">
        <v>0</v>
      </c>
      <c r="C2" s="82"/>
      <c r="D2" s="82"/>
      <c r="E2" s="82"/>
      <c r="F2" s="82"/>
      <c r="G2" s="82"/>
      <c r="H2" s="82"/>
    </row>
    <row r="4" spans="1:9" ht="18" customHeight="1" x14ac:dyDescent="0.25">
      <c r="A4" s="83" t="s">
        <v>1</v>
      </c>
      <c r="B4" s="83"/>
      <c r="C4" s="84" t="s">
        <v>72</v>
      </c>
      <c r="D4" s="84"/>
      <c r="E4" s="84"/>
      <c r="F4" s="32"/>
      <c r="G4" s="33"/>
      <c r="H4" s="32"/>
    </row>
    <row r="5" spans="1:9" ht="18" customHeight="1" x14ac:dyDescent="0.25">
      <c r="A5" s="83" t="s">
        <v>2</v>
      </c>
      <c r="B5" s="83"/>
      <c r="C5" s="84" t="s">
        <v>56</v>
      </c>
      <c r="D5" s="84"/>
      <c r="E5" s="84"/>
      <c r="F5" s="32"/>
      <c r="G5" s="33"/>
      <c r="H5" s="32"/>
    </row>
    <row r="6" spans="1:9" ht="16.5" customHeight="1" x14ac:dyDescent="0.25">
      <c r="A6" s="83" t="s">
        <v>3</v>
      </c>
      <c r="B6" s="83"/>
      <c r="C6" s="46">
        <v>2021</v>
      </c>
      <c r="D6" s="47"/>
      <c r="E6" s="47"/>
      <c r="F6" s="32"/>
      <c r="G6" s="33"/>
      <c r="H6" s="32"/>
    </row>
    <row r="7" spans="1:9" ht="16.5" customHeight="1" x14ac:dyDescent="0.25">
      <c r="A7" s="83" t="s">
        <v>4</v>
      </c>
      <c r="B7" s="83"/>
      <c r="C7" s="46">
        <v>2</v>
      </c>
      <c r="D7" s="47"/>
      <c r="E7" s="47"/>
      <c r="F7" s="32"/>
      <c r="G7" s="33"/>
      <c r="H7" s="32"/>
    </row>
    <row r="8" spans="1:9" ht="13.5" thickBot="1" x14ac:dyDescent="0.25">
      <c r="B8" s="32"/>
      <c r="C8" s="33"/>
      <c r="D8" s="32"/>
      <c r="E8" s="32"/>
      <c r="F8" s="32"/>
      <c r="G8" s="33"/>
      <c r="H8" s="32"/>
    </row>
    <row r="9" spans="1:9" ht="38.25" x14ac:dyDescent="0.2">
      <c r="A9" s="55" t="s">
        <v>5</v>
      </c>
      <c r="B9" s="56" t="s">
        <v>6</v>
      </c>
      <c r="C9" s="56" t="s">
        <v>7</v>
      </c>
      <c r="D9" s="56" t="s">
        <v>8</v>
      </c>
      <c r="E9" s="56" t="s">
        <v>9</v>
      </c>
      <c r="F9" s="56" t="s">
        <v>10</v>
      </c>
      <c r="G9" s="56" t="s">
        <v>11</v>
      </c>
      <c r="H9" s="56" t="s">
        <v>12</v>
      </c>
      <c r="I9" s="57" t="s">
        <v>13</v>
      </c>
    </row>
    <row r="10" spans="1:9" x14ac:dyDescent="0.2">
      <c r="A10" s="58">
        <v>1</v>
      </c>
      <c r="B10" s="64" t="s">
        <v>62</v>
      </c>
      <c r="C10" s="64" t="s">
        <v>59</v>
      </c>
      <c r="D10" s="34" t="str">
        <f t="shared" ref="D10" si="0">LEFT(B10,5)</f>
        <v>3.3.5</v>
      </c>
      <c r="E10" s="75" t="s">
        <v>63</v>
      </c>
      <c r="F10" s="63" t="s">
        <v>64</v>
      </c>
      <c r="G10" s="63">
        <v>3</v>
      </c>
      <c r="H10" s="65">
        <v>825000</v>
      </c>
      <c r="I10" s="66">
        <f t="shared" ref="I10" si="1">H10*G10</f>
        <v>2475000</v>
      </c>
    </row>
    <row r="11" spans="1:9" x14ac:dyDescent="0.2">
      <c r="C11" s="51"/>
      <c r="D11" s="51"/>
      <c r="E11" s="51"/>
      <c r="I11" s="71"/>
    </row>
    <row r="12" spans="1:9" ht="13.5" thickBot="1" x14ac:dyDescent="0.25"/>
    <row r="13" spans="1:9" x14ac:dyDescent="0.2">
      <c r="B13" s="35" t="s">
        <v>14</v>
      </c>
      <c r="C13" s="36"/>
      <c r="D13" s="36"/>
      <c r="E13" s="37"/>
    </row>
    <row r="14" spans="1:9" x14ac:dyDescent="0.2">
      <c r="B14" s="38"/>
      <c r="C14" s="39"/>
      <c r="D14" s="39"/>
      <c r="E14" s="40"/>
    </row>
    <row r="15" spans="1:9" x14ac:dyDescent="0.2">
      <c r="B15" s="41" t="s">
        <v>15</v>
      </c>
      <c r="C15" s="39"/>
      <c r="D15" s="39"/>
      <c r="E15" s="40"/>
    </row>
    <row r="16" spans="1:9" ht="52.5" customHeight="1" x14ac:dyDescent="0.2">
      <c r="B16" s="41"/>
      <c r="C16" s="85" t="s">
        <v>66</v>
      </c>
      <c r="D16" s="85"/>
      <c r="E16" s="86"/>
    </row>
    <row r="17" spans="2:5" ht="38.25" customHeight="1" x14ac:dyDescent="0.2">
      <c r="B17" s="41"/>
      <c r="C17" s="87" t="s">
        <v>67</v>
      </c>
      <c r="D17" s="87"/>
      <c r="E17" s="88"/>
    </row>
    <row r="18" spans="2:5" ht="27" customHeight="1" x14ac:dyDescent="0.2">
      <c r="B18" s="41"/>
      <c r="C18" s="89" t="s">
        <v>68</v>
      </c>
      <c r="D18" s="89"/>
      <c r="E18" s="90"/>
    </row>
    <row r="19" spans="2:5" ht="27" customHeight="1" x14ac:dyDescent="0.2">
      <c r="B19" s="41"/>
      <c r="C19" s="91" t="s">
        <v>69</v>
      </c>
      <c r="D19" s="91"/>
      <c r="E19" s="92"/>
    </row>
    <row r="20" spans="2:5" ht="27" customHeight="1" x14ac:dyDescent="0.2">
      <c r="B20" s="41"/>
      <c r="C20" s="97" t="s">
        <v>77</v>
      </c>
      <c r="D20" s="97"/>
      <c r="E20" s="98"/>
    </row>
    <row r="21" spans="2:5" ht="25.5" customHeight="1" x14ac:dyDescent="0.2">
      <c r="B21" s="41"/>
      <c r="C21" s="97"/>
      <c r="D21" s="97"/>
      <c r="E21" s="98"/>
    </row>
    <row r="22" spans="2:5" x14ac:dyDescent="0.2">
      <c r="B22" s="74" t="s">
        <v>70</v>
      </c>
      <c r="C22" s="95" t="s">
        <v>80</v>
      </c>
      <c r="D22" s="95"/>
      <c r="E22" s="96"/>
    </row>
    <row r="23" spans="2:5" x14ac:dyDescent="0.2">
      <c r="B23" s="41"/>
      <c r="C23" s="48"/>
      <c r="D23" s="60"/>
      <c r="E23" s="62"/>
    </row>
    <row r="24" spans="2:5" x14ac:dyDescent="0.2">
      <c r="B24" s="74" t="s">
        <v>61</v>
      </c>
      <c r="C24" s="95" t="s">
        <v>71</v>
      </c>
      <c r="D24" s="95"/>
      <c r="E24" s="96"/>
    </row>
    <row r="25" spans="2:5" x14ac:dyDescent="0.2">
      <c r="B25" s="42"/>
      <c r="C25" s="93"/>
      <c r="D25" s="93"/>
      <c r="E25" s="94"/>
    </row>
    <row r="26" spans="2:5" x14ac:dyDescent="0.2">
      <c r="B26" s="42"/>
      <c r="C26" s="76"/>
      <c r="D26" s="77"/>
      <c r="E26" s="78"/>
    </row>
    <row r="27" spans="2:5" x14ac:dyDescent="0.2">
      <c r="B27" s="74" t="s">
        <v>16</v>
      </c>
      <c r="C27" s="48"/>
      <c r="D27" s="48"/>
      <c r="E27" s="49"/>
    </row>
    <row r="28" spans="2:5" x14ac:dyDescent="0.2">
      <c r="B28" s="42"/>
      <c r="C28" s="85"/>
      <c r="D28" s="85"/>
      <c r="E28" s="86"/>
    </row>
    <row r="29" spans="2:5" x14ac:dyDescent="0.2">
      <c r="B29" s="41" t="s">
        <v>17</v>
      </c>
      <c r="C29" s="50"/>
      <c r="D29" s="50"/>
      <c r="E29" s="61"/>
    </row>
    <row r="30" spans="2:5" x14ac:dyDescent="0.2">
      <c r="B30" s="42"/>
      <c r="C30" s="85" t="s">
        <v>81</v>
      </c>
      <c r="D30" s="85"/>
      <c r="E30" s="86"/>
    </row>
    <row r="31" spans="2:5" x14ac:dyDescent="0.2">
      <c r="B31" s="41" t="s">
        <v>18</v>
      </c>
      <c r="C31" s="48"/>
      <c r="D31" s="48"/>
      <c r="E31" s="49"/>
    </row>
    <row r="32" spans="2:5" x14ac:dyDescent="0.2">
      <c r="B32" s="41"/>
      <c r="C32" s="95"/>
      <c r="D32" s="95"/>
      <c r="E32" s="96"/>
    </row>
    <row r="33" spans="2:5" ht="13.5" thickBot="1" x14ac:dyDescent="0.25">
      <c r="B33" s="43"/>
      <c r="C33" s="44"/>
      <c r="D33" s="44"/>
      <c r="E33" s="45"/>
    </row>
  </sheetData>
  <mergeCells count="19">
    <mergeCell ref="C19:E19"/>
    <mergeCell ref="C25:E25"/>
    <mergeCell ref="C28:E28"/>
    <mergeCell ref="C30:E30"/>
    <mergeCell ref="C32:E32"/>
    <mergeCell ref="C21:E21"/>
    <mergeCell ref="C22:E22"/>
    <mergeCell ref="C24:E24"/>
    <mergeCell ref="C20:E20"/>
    <mergeCell ref="A6:B6"/>
    <mergeCell ref="A7:B7"/>
    <mergeCell ref="C16:E16"/>
    <mergeCell ref="C17:E17"/>
    <mergeCell ref="C18:E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3" t="s">
        <v>20</v>
      </c>
      <c r="K1" s="52" t="s">
        <v>76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8" t="s">
        <v>53</v>
      </c>
      <c r="B3" s="118"/>
      <c r="C3" s="118"/>
      <c r="D3" s="119" t="str">
        <f>'Necesidades Trimestrales'!C4</f>
        <v>40-Ministerio de Salud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54</v>
      </c>
      <c r="B4" s="120"/>
      <c r="C4" s="120"/>
      <c r="D4" s="119" t="str">
        <f>'Necesidades Trimestrales'!C5</f>
        <v>28- Maternidad Provincial 25 de Mayo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32</v>
      </c>
      <c r="B5" s="120"/>
      <c r="C5" s="120"/>
      <c r="D5" s="119" t="s">
        <v>73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55</v>
      </c>
      <c r="B6" s="118"/>
      <c r="C6" s="118"/>
      <c r="D6" s="119" t="s">
        <v>58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">
      <c r="A7" s="120" t="s">
        <v>21</v>
      </c>
      <c r="B7" s="120"/>
      <c r="C7" s="120"/>
      <c r="D7" s="119" t="str">
        <f>'Necesidades Trimestrales'!C7 &amp; "° Trimestre - Año " &amp; 'Necesidades Trimestrales'!C6</f>
        <v>2° Trimestre - Año 2021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15" t="s">
        <v>22</v>
      </c>
      <c r="B8" s="115"/>
      <c r="C8" s="115"/>
      <c r="D8" s="116" t="s">
        <v>78</v>
      </c>
      <c r="E8" s="116"/>
      <c r="F8" s="116"/>
      <c r="G8" s="116"/>
      <c r="H8" s="116"/>
      <c r="I8" s="116"/>
      <c r="J8" s="116"/>
      <c r="K8" s="11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09" t="s">
        <v>23</v>
      </c>
      <c r="B10" s="111" t="s">
        <v>24</v>
      </c>
      <c r="C10" s="112" t="s">
        <v>25</v>
      </c>
      <c r="D10" s="113"/>
      <c r="E10" s="113"/>
      <c r="F10" s="113"/>
      <c r="G10" s="114"/>
      <c r="H10" s="107" t="s">
        <v>26</v>
      </c>
      <c r="I10" s="107" t="s">
        <v>27</v>
      </c>
      <c r="J10" s="107" t="s">
        <v>28</v>
      </c>
      <c r="K10" s="107" t="s">
        <v>29</v>
      </c>
    </row>
    <row r="11" spans="1:11" ht="24" customHeight="1" thickBot="1" x14ac:dyDescent="0.25">
      <c r="A11" s="110"/>
      <c r="B11" s="111"/>
      <c r="C11" s="112"/>
      <c r="D11" s="113"/>
      <c r="E11" s="113"/>
      <c r="F11" s="113"/>
      <c r="G11" s="114"/>
      <c r="H11" s="108"/>
      <c r="I11" s="108"/>
      <c r="J11" s="108"/>
      <c r="K11" s="108"/>
    </row>
    <row r="12" spans="1:11" ht="20.25" customHeight="1" thickBot="1" x14ac:dyDescent="0.25">
      <c r="A12" s="59">
        <v>1</v>
      </c>
      <c r="B12" s="54" t="str">
        <f>'Necesidades Trimestrales'!B10</f>
        <v>3.3.5-3902.1</v>
      </c>
      <c r="C12" s="104" t="str">
        <f>'Necesidades Trimestrales'!E10</f>
        <v>SERV. LIMPIEZA HOSPITALARIA; DESCRIPCION: SERV. LIMPIEZA HOSPITALARIA</v>
      </c>
      <c r="D12" s="105"/>
      <c r="E12" s="105"/>
      <c r="F12" s="105"/>
      <c r="G12" s="106"/>
      <c r="H12" s="67" t="s">
        <v>60</v>
      </c>
      <c r="I12" s="68" t="str">
        <f>'[1]Necesidades Trimestrales'!$F$11</f>
        <v>MES</v>
      </c>
      <c r="J12" s="70">
        <f>'[1]Necesidades Trimestrales'!$H$10</f>
        <v>825000</v>
      </c>
      <c r="K12" s="69">
        <f>'[1]Necesidades Trimestrales'!$G$10</f>
        <v>3</v>
      </c>
    </row>
    <row r="13" spans="1:11" ht="20.25" customHeight="1" thickBot="1" x14ac:dyDescent="0.25">
      <c r="A13" s="101" t="s">
        <v>74</v>
      </c>
      <c r="B13" s="102"/>
      <c r="C13" s="102"/>
      <c r="D13" s="102"/>
      <c r="E13" s="102"/>
      <c r="F13" s="102"/>
      <c r="G13" s="102"/>
      <c r="H13" s="102"/>
      <c r="I13" s="103"/>
      <c r="J13" s="99">
        <f>SUMPRODUCT(J12:J12*K12:K12)</f>
        <v>2475000</v>
      </c>
      <c r="K13" s="100"/>
    </row>
  </sheetData>
  <mergeCells count="23">
    <mergeCell ref="A8:C8"/>
    <mergeCell ref="D8:K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3:K13"/>
    <mergeCell ref="A13:I13"/>
    <mergeCell ref="C12:G12"/>
    <mergeCell ref="H10:H11"/>
    <mergeCell ref="I10:I11"/>
    <mergeCell ref="J10:J11"/>
    <mergeCell ref="K10:K11"/>
    <mergeCell ref="A10:A11"/>
    <mergeCell ref="B10:B11"/>
    <mergeCell ref="C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opLeftCell="A4" zoomScale="130" zoomScaleNormal="130" workbookViewId="0">
      <selection activeCell="T17" sqref="T17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5.42578125" style="8" customWidth="1"/>
    <col min="8" max="14" width="4.42578125" customWidth="1"/>
    <col min="15" max="16" width="14.85546875" customWidth="1"/>
    <col min="17" max="17" width="15.7109375" customWidth="1"/>
  </cols>
  <sheetData>
    <row r="1" spans="1:17" ht="15.75" customHeight="1" x14ac:dyDescent="0.25">
      <c r="A1" s="121" t="s">
        <v>3</v>
      </c>
      <c r="B1" s="121"/>
      <c r="C1" s="121"/>
      <c r="D1" s="122">
        <f>'Necesidades Trimestrales'!C6</f>
        <v>2021</v>
      </c>
      <c r="E1" s="122"/>
      <c r="F1" s="9"/>
      <c r="G1" s="9"/>
      <c r="H1" s="10"/>
      <c r="I1" s="10"/>
      <c r="J1" s="10"/>
      <c r="K1" s="10"/>
      <c r="L1" s="10"/>
      <c r="M1" s="10"/>
      <c r="N1" s="10"/>
      <c r="P1" s="123" t="s">
        <v>30</v>
      </c>
      <c r="Q1" s="123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23"/>
      <c r="Q2" s="123"/>
    </row>
    <row r="4" spans="1:17" s="11" customFormat="1" ht="18" customHeight="1" thickBot="1" x14ac:dyDescent="0.25">
      <c r="A4" s="124" t="s">
        <v>31</v>
      </c>
      <c r="B4" s="124"/>
      <c r="C4" s="124"/>
      <c r="D4" s="124"/>
      <c r="E4" s="124"/>
      <c r="F4" s="124"/>
      <c r="G4" s="125" t="str">
        <f>' NotaPedido'!D3</f>
        <v>40-Ministerio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11" customFormat="1" ht="18" customHeight="1" thickBot="1" x14ac:dyDescent="0.25">
      <c r="A5" s="126" t="s">
        <v>54</v>
      </c>
      <c r="B5" s="127"/>
      <c r="C5" s="127"/>
      <c r="D5" s="127"/>
      <c r="E5" s="127"/>
      <c r="F5" s="128"/>
      <c r="G5" s="125" t="str">
        <f>' NotaPedido'!D4</f>
        <v>28- Maternidad Provincial 25 de Mayo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11" customFormat="1" ht="18" customHeight="1" thickBot="1" x14ac:dyDescent="0.25">
      <c r="A6" s="126" t="s">
        <v>32</v>
      </c>
      <c r="B6" s="127"/>
      <c r="C6" s="127"/>
      <c r="D6" s="127"/>
      <c r="E6" s="127"/>
      <c r="F6" s="128"/>
      <c r="G6" s="125" t="str">
        <f>' NotaPedido'!D5</f>
        <v xml:space="preserve">239-Direccion de Mantenimiento 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11" customFormat="1" ht="18" customHeight="1" thickBot="1" x14ac:dyDescent="0.25">
      <c r="A7" s="126" t="s">
        <v>55</v>
      </c>
      <c r="B7" s="127"/>
      <c r="C7" s="127"/>
      <c r="D7" s="127"/>
      <c r="E7" s="127"/>
      <c r="F7" s="128"/>
      <c r="G7" s="125" t="str">
        <f>' NotaPedido'!D6</f>
        <v xml:space="preserve">Mantenimiento 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9" t="s">
        <v>33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30" t="s">
        <v>34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12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35/2021,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32" t="s">
        <v>35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x14ac:dyDescent="0.2">
      <c r="A13" s="133" t="s">
        <v>36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37</v>
      </c>
      <c r="P13" s="134"/>
      <c r="Q13" s="135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34"/>
      <c r="P14" s="134"/>
      <c r="Q14" s="135"/>
    </row>
    <row r="15" spans="1:17" ht="24" customHeight="1" x14ac:dyDescent="0.2">
      <c r="A15" s="79">
        <v>42</v>
      </c>
      <c r="B15" s="80"/>
      <c r="C15" s="80"/>
      <c r="D15" s="81">
        <v>4</v>
      </c>
      <c r="E15" s="80"/>
      <c r="F15" s="53">
        <v>4901</v>
      </c>
      <c r="G15" s="53">
        <v>3</v>
      </c>
      <c r="H15" s="53">
        <v>1</v>
      </c>
      <c r="I15" s="23">
        <v>3</v>
      </c>
      <c r="J15" s="23">
        <v>3</v>
      </c>
      <c r="K15" s="23">
        <v>5</v>
      </c>
      <c r="L15" s="23"/>
      <c r="M15" s="24">
        <v>1</v>
      </c>
      <c r="N15" s="25" t="s">
        <v>57</v>
      </c>
      <c r="O15" s="141" t="s">
        <v>65</v>
      </c>
      <c r="P15" s="142"/>
      <c r="Q15" s="73">
        <v>2475000</v>
      </c>
    </row>
    <row r="16" spans="1:17" ht="28.5" customHeight="1" x14ac:dyDescent="0.2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4"/>
      <c r="N16" s="25"/>
      <c r="O16" s="141"/>
      <c r="P16" s="142"/>
      <c r="Q16" s="72"/>
    </row>
    <row r="17" spans="1:18" ht="27.75" customHeight="1" x14ac:dyDescent="0.2">
      <c r="A17" s="22"/>
      <c r="B17" s="27"/>
      <c r="C17" s="27"/>
      <c r="D17" s="23"/>
      <c r="E17" s="27"/>
      <c r="F17" s="23"/>
      <c r="G17" s="23"/>
      <c r="H17" s="23"/>
      <c r="I17" s="27"/>
      <c r="J17" s="27"/>
      <c r="K17" s="27"/>
      <c r="L17" s="27"/>
      <c r="M17" s="28"/>
      <c r="N17" s="29"/>
      <c r="O17" s="137"/>
      <c r="P17" s="138"/>
      <c r="Q17" s="26"/>
      <c r="R17" s="1"/>
    </row>
    <row r="18" spans="1:18" ht="32.25" customHeight="1" thickBot="1" x14ac:dyDescent="0.25">
      <c r="A18" s="139" t="s">
        <v>75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30">
        <f>SUM(Q15:Q17)</f>
        <v>2475000</v>
      </c>
    </row>
    <row r="19" spans="1:18" ht="18" customHeight="1" thickBot="1" x14ac:dyDescent="0.25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</row>
    <row r="20" spans="1:18" ht="17.25" customHeight="1" thickBot="1" x14ac:dyDescent="0.25">
      <c r="A20" s="143" t="s">
        <v>52</v>
      </c>
      <c r="B20" s="144"/>
      <c r="C20" s="144"/>
      <c r="D20" s="144"/>
      <c r="E20" s="144"/>
      <c r="F20" s="145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</row>
    <row r="21" spans="1:18" ht="18" customHeight="1" thickBot="1" x14ac:dyDescent="0.25">
      <c r="A21" s="136" t="s">
        <v>79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</row>
    <row r="22" spans="1:18" ht="15" customHeight="1" thickBot="1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</row>
  </sheetData>
  <mergeCells count="26">
    <mergeCell ref="A21:Q22"/>
    <mergeCell ref="O17:P17"/>
    <mergeCell ref="A18:P18"/>
    <mergeCell ref="A19:Q19"/>
    <mergeCell ref="O15:P15"/>
    <mergeCell ref="O16:P16"/>
    <mergeCell ref="A20:F20"/>
    <mergeCell ref="G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ARIEL</dc:creator>
  <dc:description/>
  <cp:lastModifiedBy>ARIEL</cp:lastModifiedBy>
  <cp:revision>2</cp:revision>
  <cp:lastPrinted>2020-07-17T22:18:48Z</cp:lastPrinted>
  <dcterms:created xsi:type="dcterms:W3CDTF">2020-07-17T23:44:49Z</dcterms:created>
  <dcterms:modified xsi:type="dcterms:W3CDTF">2021-04-12T15:41:13Z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