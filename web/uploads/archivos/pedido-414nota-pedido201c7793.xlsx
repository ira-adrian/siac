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ENDRIVE 2\Secretaria\TAREAS\Ministerio de Desarrollo Social y Deportes\AÑO 2022\Adq.Alim.Perecederos y No Perecederos\Alimento No Perecederos\"/>
    </mc:Choice>
  </mc:AlternateContent>
  <xr:revisionPtr revIDLastSave="0" documentId="8_{6EB4687C-0F0E-45EE-B573-5776A04B0E35}" xr6:coauthVersionLast="47" xr6:coauthVersionMax="47" xr10:uidLastSave="{00000000-0000-0000-0000-000000000000}"/>
  <bookViews>
    <workbookView xWindow="-120" yWindow="-120" windowWidth="20730" windowHeight="11160" xr2:uid="{FB20FC6D-642C-4568-9408-3B46C70EE0CD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95" i="1" l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</calcChain>
</file>

<file path=xl/sharedStrings.xml><?xml version="1.0" encoding="utf-8"?>
<sst xmlns="http://schemas.openxmlformats.org/spreadsheetml/2006/main" count="455" uniqueCount="204">
  <si>
    <t>JURISDICCION:</t>
  </si>
  <si>
    <t>45- Ministerio de Desarrollo Social.-</t>
  </si>
  <si>
    <t xml:space="preserve">SAF N°: </t>
  </si>
  <si>
    <t>25- Direccion Provincial de Gestion Administracion y RRHH</t>
  </si>
  <si>
    <t>EJERCICIO:</t>
  </si>
  <si>
    <t>TRIMESTRE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</si>
  <si>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</si>
  <si>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</si>
  <si>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</si>
  <si>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</si>
  <si>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</si>
  <si>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</si>
  <si>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</si>
  <si>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</si>
  <si>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</si>
  <si>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2.1.1-439.67</t>
  </si>
  <si>
    <t>ALIMENTO</t>
  </si>
  <si>
    <t>2.1.1</t>
  </si>
  <si>
    <t>ACEITES COMESTIBLES; TIPO: GIRASOL, PRESENTACION: ENVASE X 900 CM3, MATERIAL ENVASE: PLASTICO 1 (PET), ELEM. TRANSPORTE: SIN, MATERIAL ELEM. TRANSPORTE : SIN, LIBRE DE GLUTEN: NO</t>
  </si>
  <si>
    <t>BOTELLA</t>
  </si>
  <si>
    <t>2.1.1-704.50</t>
  </si>
  <si>
    <t>ALIMENTOS</t>
  </si>
  <si>
    <t>ALFAJORES; RELLENO: DULCE DE LECHE, COBERTURA: CHOCOLATE, PESO: 35 GR, PRESENTACION: UNIDAD</t>
  </si>
  <si>
    <t>UNIDAD</t>
  </si>
  <si>
    <t>2.1.1-435.60</t>
  </si>
  <si>
    <t>ARROZ; TIPO GRANO: LARGO-FINO, TIPO: BLANCO, PROCESO: SIN CASCARA, PRESENTACION: BOLSA X 1 Kg, MATERIAL ENVASE: PLASTICO, CERTIFICADO FORESTAL (GFS): SIN, ELEM. TRANSPORTE: SIN, MATERIAL ELEM. TRANSPORTE: SIN, LIBRE DE GLUTEN: SI</t>
  </si>
  <si>
    <t>PAQUETE</t>
  </si>
  <si>
    <t>2.1.1-708.43</t>
  </si>
  <si>
    <t>CONSERVAS PESCADO Y FRUTOS MAR; TIPO: ATUN, ESTADO: AL NATURAL, PESO: 170 GR, ENVASE: LATA, ELEM. TRANSPORTE: SIN, MATERIAL ELEM. TRANSPORTE: SIN</t>
  </si>
  <si>
    <t>LATA</t>
  </si>
  <si>
    <t>2.1.1-2124.8</t>
  </si>
  <si>
    <t>AVENAS; TIPO: INSTANTANEA, ESTADO: EXTRAFINA, PRESENTACION: ENVASE X 400 GR, PESO: SIN VALOR</t>
  </si>
  <si>
    <t>2.1.1-481.38</t>
  </si>
  <si>
    <t>AZUCARES; TIPO: "A" COMUN, ESTADO: MOLIDA, PESO: 1 Kg, MATERIAL ENVASE: PLASTICO, CERTIFICADO FORESTAL (GFS): SIN, ELEM. TRANSPORTE: SIN, MATERIAL ELEM. TRANSPORTE: SIN</t>
  </si>
  <si>
    <t>2.1.1-6547.67</t>
  </si>
  <si>
    <t>LEGUMBRES; VARIEDAD: ARVEJA, ESTADO: NATURAL, PRESENTACION: LATA, PESO: 380 GR</t>
  </si>
  <si>
    <t>2.1.1-5917.7</t>
  </si>
  <si>
    <t>CEREALES; TIPO: BARRA, PRESENTACION: ENVASE X 23 GR</t>
  </si>
  <si>
    <t>2.1.1-489.87</t>
  </si>
  <si>
    <t>ESPECIAS; TIPO: BICARBONATO, PRESENTACION: SOBRES X 50 GR</t>
  </si>
  <si>
    <t>SOBRE</t>
  </si>
  <si>
    <t>2.1.1-708.19</t>
  </si>
  <si>
    <t>CONSERVAS PESCADO Y FRUTOS MAR; ESPECIE: CABALLA, ESTADO: EN ACEITE, PESO: 380 GR, ENVASE: LATA, TIPO: CABALLA</t>
  </si>
  <si>
    <t>2.1.1-2431.19</t>
  </si>
  <si>
    <t>CALDOS; GUSTO: CARNE, TIPO: CONCENTRADO, PRESENTACION: ENVASE X 12 UN</t>
  </si>
  <si>
    <t>CAJA</t>
  </si>
  <si>
    <t>2.1.1-2431.20</t>
  </si>
  <si>
    <t>CALDOS; GUSTO: GALLINA, TIPO: CONCENTRADO, PRESENTACION: ENVASE X 12 CUBOS</t>
  </si>
  <si>
    <t>2.1.1-2431.13</t>
  </si>
  <si>
    <t>CALDOS; GUSTO: VERDURA, TIPO: DESHIDRATADO, PRESENTACION: ENVASE X 12 UN</t>
  </si>
  <si>
    <t>2.1.1-6546.52</t>
  </si>
  <si>
    <t>VERDURAS Y HORTALIZAS; ESTADO: CONSERVA, VARIEDAD: CHOCLO, PRESENTACION: LATA, PESO: 380 GR</t>
  </si>
  <si>
    <t>2.1.1-597.43</t>
  </si>
  <si>
    <t>CONSERVAS DE FRUTAS; VARIEDAD: COCTEL, ENVASE: LATA, PESO: 820 GR, ELEM. TRANSPORTE: SIN, MATERIAL ELEM. TRANSPORTE: SIN, LIBRE DE GLUTEN: SI</t>
  </si>
  <si>
    <t>2.1.1-709.18</t>
  </si>
  <si>
    <t>CAFE; TIPO: FUERTE, ESTADO: INSTANTANEO, ENVASE: FRASCO, CONTENIDO: 100 GR, PROCESO: TORRADO C/AZUCAR, PRESENTACION: ENVASE X 100 GR</t>
  </si>
  <si>
    <t>FRASCO</t>
  </si>
  <si>
    <t>2.1.1-709.35</t>
  </si>
  <si>
    <t>CAFE; ENVASE: SAQUITO EN CAJA X 25, CONTENIDO: 7 GR, ESTADO: MOLIDO, PROCESO: TORRADO, TIPO: FUERTE, PRESENTACION: 25 X ENVASE X 7 GR</t>
  </si>
  <si>
    <t>2.1.1-709.2</t>
  </si>
  <si>
    <t>CAFE; ENVASE: FRASCO, CONTENIDO: 170 G GR, ESTADO: INSTANTANEO, PROCESO: TORRADO C/AZUCAR, TIPO: SIN VALOR, PRESENTACION: ENVASE X 170 GR</t>
  </si>
  <si>
    <t>2.1.1-3438.1</t>
  </si>
  <si>
    <t>CEREALES EN COPOS; VARIEDAD: AZUCARADO, TIPO: COPOS, PRESENTACION: CAJA X 460 GR</t>
  </si>
  <si>
    <t>2.1.1-732.37</t>
  </si>
  <si>
    <t>CARAMELOS; TIPO: DURO, SABOR: SURTIDO, RELLENO: SURTIDO, ENVASE: PAQUETE, PESO: 937 GR</t>
  </si>
  <si>
    <t>2.1.1-489.101</t>
  </si>
  <si>
    <t>ESPECIAS; TIPO: COMINO, PRESENTACION: PAQUETE X 50 GR</t>
  </si>
  <si>
    <t>2.1.1-489.138</t>
  </si>
  <si>
    <t>ESPECIAS; TIPO: ADOBO PARA PIZZA, PRESENTACION: PAQUETE X 50 GR</t>
  </si>
  <si>
    <t>2.1.1-2113.21</t>
  </si>
  <si>
    <t>DULCES; TIPO: BATATA A LA VAINILLA, PRESENTACION: LATA, PESO: 5 Kg</t>
  </si>
  <si>
    <t>2.1.1-2113.2</t>
  </si>
  <si>
    <t>DULCES; TIPO: DE MEMBRILLO, PRESENTACION: LATA, PESO: 5 Kg</t>
  </si>
  <si>
    <t>2.1.1-455.4</t>
  </si>
  <si>
    <t>DULCE DE LECHE; CAPACIDAD: 500 GR, TIPO: SIN VALOR, ENVASE: PLASTICO, PRESENTACION: ENVASE PLASTICO X 500 GR</t>
  </si>
  <si>
    <t xml:space="preserve">POTE </t>
  </si>
  <si>
    <t>2.1.1-6539.166</t>
  </si>
  <si>
    <t>FRUTAS; VARIEDAD: DURAZNO, ESTADO: CONSERVA, PRESENTACION: ENVASE X 820 GR, ELEM. TRANSPORTE: SIN, MATERIAL ELEM. TRANSPORTE: SIN</t>
  </si>
  <si>
    <t>2.1.1-595.2</t>
  </si>
  <si>
    <t>EDULCORANTES; PRESENTACION: LIQUIDO, ENVASE: BOTELLA PLASTICA, CONTENIDO: 500 CM3</t>
  </si>
  <si>
    <t>2.1.1-2868.71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</si>
  <si>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</si>
  <si>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</si>
  <si>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</si>
  <si>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</si>
  <si>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</si>
  <si>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2.1.1-788.206</t>
  </si>
  <si>
    <t>GALLETITAS; VARIEDAD: SURTIDAS DULCES, RELLENO: SIN, PRESENTACION: ENVASE X 400 GR, ELEM. TRANSPORTE: CAJA, MATERIAL ELEM. TRANSPORTE: CARTON, LIBRE DE GLUTEN: NO</t>
  </si>
  <si>
    <t>2.1.1-788.260</t>
  </si>
  <si>
    <t>GALLETITAS; VARIEDAD: DULCE, RELLENO: SIN, PRESENTACION: ENVASE X 100 GR, ELEM. TRANSPORTE: SIN, MATERIAL ELEM. TRANSPORTE: SIN, LIBRE DE GLUTEN: NO</t>
  </si>
  <si>
    <t>2.1.1-788.231</t>
  </si>
  <si>
    <t>GALLETITAS; VARIEDAD: CRACKERS C/SAL, RELLENO: SIN, PRESENTACION: 220 GR, ELEM. TRANSPORTE: CAJA, MATERIAL ELEM. TRANSPORTE: CARTON, LIBRE DE GLUTEN: NO</t>
  </si>
  <si>
    <t>2.1.1-788.249</t>
  </si>
  <si>
    <t>GALLETITAS; VARIEDAD: SALVADO SIN SAL, RELLENO: SIN, PRESENTACION: ENVASE X 200 GR, ELEM. TRANSPORTE: CAJA, MATERIAL ELEM. TRANSPORTE: CARTON, LIBRE DE GLUTEN: A DEFINIR</t>
  </si>
  <si>
    <t>2.1.1-788.264</t>
  </si>
  <si>
    <t>GALLETITAS; VARIEDAD: VAINILLA, RELLENO: SIN, PRESENTACION: ENVASE X 150 GR, ELEM. TRANSPORTE: SIN, MATERIAL ELEM. TRANSPORTE: SIN, LIBRE DE GLUTEN: NO</t>
  </si>
  <si>
    <t>2.1.1-2175.1</t>
  </si>
  <si>
    <t>GRASAS COMESTIBLES; TIPO: VACUNA, PRESENTACION: BOLSA X 1 Kg, ESTADO: NORMAL, FORMA DE PRESENTACION: NORMAL</t>
  </si>
  <si>
    <t>2.1.1-482.70</t>
  </si>
  <si>
    <t>HARINAS; TIPO: 000, PRESENTACION: ENVASE X 1 Kg, MATERIAL ENVASE: PAPEL, CERTICADO FORESTAL (GFS): SI, ELEM. TRANSPORTE: SIN, MATERIAL ELEM. TRANSPORTE: SIN, LIBRE DE GLUTEN: NO</t>
  </si>
  <si>
    <t>2.1.1-482.81</t>
  </si>
  <si>
    <t>HARINAS; TIPO: LEUDANTE, PRESENTACION: ENVASE X 1 Kg, MATERIAL ENVASE: PAPEL, CERTICADO FORESTAL (GFS): SIN, ELEM. TRANSPORTE: SIN, MATERIAL ELEM. TRANSPORTE: SIN, LIBRE DE GLUTEN: NO</t>
  </si>
  <si>
    <t>2.1.1-3390.76</t>
  </si>
  <si>
    <t>JUGOS; TIPO: EN POLVO, SABOR: NARANJA, PRESENTACION: 12 X ENVASE X 25 GR, MATERIAL ENVASE: CARTON, CERTIFICADO FORESTAL (GFS): CON, LIBRE DE GLUTEN: NO</t>
  </si>
  <si>
    <t>2.1.1-3390.110</t>
  </si>
  <si>
    <t>JUGOS; TIPO: LIQUIDO, SABOR: NARANJA, PRESENTACION: ENVASE X 1 L, MATERIAL ENVASE: CARTON, CERTIFICADO FORESTAL (GFS): SIN, LIBRE DE GLUTEN: SI</t>
  </si>
  <si>
    <t>2.1.1-438.90</t>
  </si>
  <si>
    <t>ADEREZOS; TIPO: KETCHUP, PRESENTACION: ENVASE X 250 GR, LIBRE DE GLUTEN: NO</t>
  </si>
  <si>
    <t>SACHET</t>
  </si>
  <si>
    <t>2.1.1-6547.80</t>
  </si>
  <si>
    <t>LEGUMBRES; VARIEDAD: LENTEJA, ESTADO: SECO, PRESENTACION: SIN VALOR, PESO: ENVASE X 400 GR</t>
  </si>
  <si>
    <t>2.1.1-705.92</t>
  </si>
  <si>
    <t>LECHE; ESTADO: POLVO, TIPO: DESLACTOSADA, PROCESO: PASTEURIZADA, AGREGADO: SIN, PRESENTACION: ENVASE X 400 GR, MATERIAL ENVASE: METAL, ELEM. TRANSPORTE: SIN, MATERIAL ELEM. TRANSPORTE: SIN, CERTIFICADO FORESTAL (GFS): SIN, LIBRE DE GLUTEN: NO</t>
  </si>
  <si>
    <t>2.1.1-705.129</t>
  </si>
  <si>
    <t>LECHE; ESTADO: LIQUIDO, TIPO: DESCREMADA, PROCESO: LARGA VIDA, AGREGADO: VITAMINAS A Y D, PRESENTACION: ENVASE X 1 L, MATERIAL ENVASE: TETRAFILM, ELEM. TRANSPORTE: SIN, MATERIAL ELEM. TRANSPORTE: SIN, CERTIFICADO FORESTAL (GFS): SIN, LIBRE DE GLUTEN: SI</t>
  </si>
  <si>
    <t>2.1.1-705.93</t>
  </si>
  <si>
    <t>LECHE; ESTADO: POLVO, TIPO: ENTERA, PROCESO: PASTEURIZADA, AGREGADO: VITAMINAS A Y D, PRESENTACION: ENVASE X 800 GR, MATERIAL ENVASE: CARTON, ELEM. TRANSPORTE: SIN, MATERIAL ELEM. TRANSPORTE: SIN, CERTIFICADO FORESTAL (GFS): SIN, LIBRE DE GLUTEN: SI</t>
  </si>
  <si>
    <t>2.1.1-438.89</t>
  </si>
  <si>
    <t>ADEREZOS; TIPO: MAYONESA, PRESENTACION: ENVASE X 250 GR, LIBRE DE GLUTEN: NO</t>
  </si>
  <si>
    <t>2.1.1-2125.83</t>
  </si>
  <si>
    <t>MERMELADAS; SABOR: DAMASCO, TIPO: NATURAL, PRESENTACION: ENVASE X 430 GR, MATERIAL ENVASE: PLASTICO, ELEM. TRANSPORTE: SIN, MATERIAL ELEM. TRANSPORTE: SIN, LIBRE DE GLUTEN: SI</t>
  </si>
  <si>
    <t>2.1.1-2125.59</t>
  </si>
  <si>
    <t>MERMELADAS; SABOR: FRUTILLA, TIPO: DIETETICA, PRESENTACION: ENVASE X 454 GR, MATERIAL ENVASE: VIDRIO, ELEM. TRANSPORTE: SIN, MATERIAL ELEM. TRANSPORTE: SIN, LIBRE DE GLUTEN: SI</t>
  </si>
  <si>
    <t>2.1.1-438.73</t>
  </si>
  <si>
    <t>ADEREZOS; TIPO: MOSTAZA, PRESENTACION: ENVASE X 250 GR</t>
  </si>
  <si>
    <t>2.1.1-489.92</t>
  </si>
  <si>
    <t>ESPECIAS; TIPO: OREGANO, PRESENTACION: SOBRE X 25 GR</t>
  </si>
  <si>
    <t>2.1.1-489.179</t>
  </si>
  <si>
    <t>ESPECIAS; TIPO: PIMENTON DULCE, PRESENTACION: ENVASE X 25 GR, LIBRE DE GLUTEN: SI</t>
  </si>
  <si>
    <t>2.1.1-612.3</t>
  </si>
  <si>
    <t>POLVO P/HORNEAR; ENVASE: SOBRE, PESO: 50 GR</t>
  </si>
  <si>
    <t>2.1.1-510.26</t>
  </si>
  <si>
    <t>GELATINAS; SABOR: FRUTILLA, ENVASE: CAJA DE CARTON, TIPO: SIN VALOR, PESO: 85 GR</t>
  </si>
  <si>
    <t>2.1.1-489.126</t>
  </si>
  <si>
    <t>ESPECIAS; TIPO: PROVENZAL, PRESENTACION: PAQUETE X 25 GR</t>
  </si>
  <si>
    <t>2.1.1-509.10</t>
  </si>
  <si>
    <t>PURE; TIPO: DE TOMATE, ENVASE: CAJA DE CARTON, PESO: 530 GR</t>
  </si>
  <si>
    <t>2.1.1-513.50</t>
  </si>
  <si>
    <t>FLANES; ESTADO PREPARACION: EN POLVO, TIPO: COMUN, SABOR: VAINILLA, PRESENTACION: ENVASE X 1 Kg, LIBRE DE GLUTEN: NO</t>
  </si>
  <si>
    <t>BOLSA</t>
  </si>
  <si>
    <t>2.1.1-731.19</t>
  </si>
  <si>
    <t>CONSERVAS DE CARNE; TIPO: PICADILLO, VARIEDAD: CARNE, ENVASE: LATA, PESO: 90 GR</t>
  </si>
  <si>
    <t>2.1.1-517.77</t>
  </si>
  <si>
    <t>POSTRES; ESTADO PREPARACION: CON COCCION, TIPO: COMUN, ENVASE: CAJA DE CARTON, PESO: 120 GR, SABOR: FRUTILLA</t>
  </si>
  <si>
    <t>2.1.1-489.171</t>
  </si>
  <si>
    <t>ESPECIAS; TIPO: PIMIENTA BLANCA, PRESENTACION: ENVASE X 25 GR, LIBRE DE GLUTEN: SI</t>
  </si>
  <si>
    <t>2.1.1-6539.156</t>
  </si>
  <si>
    <t>FRUTAS; VARIEDAD: PERA, ESTADO: CONSERVA, PRESENTACION: ENVASE X 820 GR</t>
  </si>
  <si>
    <t>2.1.1-3540.1</t>
  </si>
  <si>
    <t>ALIMENTO P/NIÑO; COMPONENTE: TRIGO-CEBADA-AVENA-HIERRO-VITA, PRESENTACION: ENVASE X 500 GR, COMPONENTES: TRIGO-CEBADA-AVENA-HIERRO-VITA</t>
  </si>
  <si>
    <t>2.1.1-514.2</t>
  </si>
  <si>
    <t>SAL DE MESA; CONSISTENCIA: FINA, PESO: 500 GR, TIPO: SIN VALOR, ENVASE: PAQUETE</t>
  </si>
  <si>
    <t>2.1.1-514.31</t>
  </si>
  <si>
    <t>SAL DE MESA; CONSISTENCIA: GRUESA, ENVASE: PAQUETE, PESO: 1 Kg, TIPO: COMUN, LIBRE DE GLUTEN: NO</t>
  </si>
  <si>
    <t>2.1.1-2126.13</t>
  </si>
  <si>
    <t>SEMOLAS; TIPO: VITINA, PRESENTACION: BOLSA, PESO: 500 GR, MATERIAL ENVASE: PLASTICO 1 (PET), CERTICADO FORESTAL (GFS): SIN, LIBRE DE GLUTEN: NO</t>
  </si>
  <si>
    <t>2.1.1-511.5</t>
  </si>
  <si>
    <t>TE; PRESENTACION: EN SAQUITOS ENSOBRADOS, PESO: SIN VALOR, TIPO: SIN VALOR, SAQUITOS 2G P/CAJA: 50</t>
  </si>
  <si>
    <t>2.1.1-511.2</t>
  </si>
  <si>
    <t>TE; PRESENTACION: EN SAQUITOS, TIPO: BOLDO, SAQUITOS 2G P/CAJA: 25, PESO: SIN VALOR</t>
  </si>
  <si>
    <t>2.1.1-706.6</t>
  </si>
  <si>
    <t>MATE COCIDO; ENVASE: CAJA CARTON, PRESENTACION: ENSOBRADO, SAQUITOS P/CAJA: 100 UN, PESO X SAQ.: 3 GR</t>
  </si>
  <si>
    <t>2.1.1-511.35</t>
  </si>
  <si>
    <t>TE; PRESENTACION: EN SAQUITOS, SAQUITOS 2G P/CAJA: 25, PESO: 2 GR, TIPO: VERDE, LIBRE DE GLUTEN: SIN VALOR</t>
  </si>
  <si>
    <t>2.1.1-3380.17</t>
  </si>
  <si>
    <t>TURRONES; VARIEDAD: MANÍ, TIPO: BLANDO, PRESENTACION: 25 GR, MATERIAL ENVASE: PLASTICO 4 (LDPE), CERTIFICADO FORESTAL (GFS): SIN VALOR</t>
  </si>
  <si>
    <t>2.1.1-519.24</t>
  </si>
  <si>
    <t>VINAGRES; TIPO: ALCOHOL, PRESENTACION: BOTELLA X 1  L, MATERIAL ENVASE: PLASTICO</t>
  </si>
  <si>
    <t>2.1.1-454.25</t>
  </si>
  <si>
    <t>YERBAS; PALO: CON, PESO: 1 Kg, MATERIAL ENVASE : PAPEL, CERTIFICADO FORESTAL (GFS): CON, ELEM. TRANSPORTE: SIN, MATERIAL ELEM. TRANSPORTE: SIN, LIBRE DE GLUTEN: SI</t>
  </si>
  <si>
    <t>2.1.1-4503.43</t>
  </si>
  <si>
    <t>SALSAS; TIPO: NAPOLITANA, PRESENTACION: ENVASE X 340 GR, MATERIAL ENVASE: TETRA FILM, CERTIFICADO FORESTAL (GFS): SIN, LIBRE DE GLUTEN: NO</t>
  </si>
  <si>
    <t>2.1.1-731.1</t>
  </si>
  <si>
    <t>CONSERVAS DE CARNE; PESO: 326 GR, ENVASE: LATA, TIPO: VIANDADA, VARIEDAD: SIN VALOR</t>
  </si>
  <si>
    <t>2.1.1-6558.5</t>
  </si>
  <si>
    <t>JARDINERA; PRESENTACION: LATA, PESO: 380 GR</t>
  </si>
  <si>
    <t>2.1.1-6607.2</t>
  </si>
  <si>
    <t>ALMIDON DE MAIZ; PRESENTACION: CAJA/BOLSA X 500 GR</t>
  </si>
  <si>
    <t>2.1.1-5917.8</t>
  </si>
  <si>
    <t>CEREALES; TIPO: TRIGO BURGOL, PRESENTACION: ENVASE X 1 Kg</t>
  </si>
  <si>
    <t>2.1.1-705.108</t>
  </si>
  <si>
    <t>LECHE; ESTADO: LIQUIDO, TIPO: ENTERA, PROCESO: LARGA VIDA, AGREGADO: VITAMINAS A Y D, PRESENTACION: ENVASE X 1 L, MATERIAL ENVASE: TETRAFILM, ELEM. TRANSPORTE: SIN, MATERIAL ELEM. TRANSPORTE: SIN, CERTIFICADO FORESTAL (GFS): SIN, LIBRE DE GLUTEN: SI</t>
  </si>
  <si>
    <t>2.1.1-705.119</t>
  </si>
  <si>
    <t>LECHE; ESTADO: LIQUIDO, TIPO: DE INICIO, PROCESO: PASTEURIZADA, AGREGADO: VITAMINAS Y MINERALES, PRESENTACION: ENVASE X 200 CM3, MATERIAL ENVASE: TETRAFILM, ELEM. TRANSPORTE: SIN, MATERIAL ELEM. TRANSPORTE: SIN, CERTIFICADO FORESTAL (GFS): SI, LIBRE DE GLUTEN: SIN VALOR</t>
  </si>
  <si>
    <t>2.1.1-705.120</t>
  </si>
  <si>
    <t>LECHE; ESTADO: LIQUIDO, TIPO: DE CONTINUACION, PROCESO: PASTEURIZADA, AGREGADO: VITAMINAS Y MINERALES, PRESENTACION: ENVASE X 200 CM3, MATERIAL ENVASE: TETRAFILM, ELEM. TRANSPORTE: SIN, MATERIAL ELEM. TRANSPORTE: SIN, CERTIFICADO FORESTAL (GFS): SI, LIBRE DE GLUTEN: SIN VALOR</t>
  </si>
  <si>
    <t>2.1.1-705.88</t>
  </si>
  <si>
    <t>LECHE; ESTADO: POLVO, TIPO: MATERNIZADA, PROCESO: ESTERILIZADA, AGREGADO: VITAMINAS Y MINERALES, PRESENTACION: ENVASE X 400 GR, MATERIAL ENVASE: METAL, ELEM. TRANSPORTE: SIN, MATERIAL ELEM. TRANSPORTE: SIN, CERTIFICADO FORESTAL (GFS): SIN, LIBRE DE GLUTEN: SI</t>
  </si>
  <si>
    <t>2.1.1-2868.63</t>
  </si>
  <si>
    <t>FIDEOS SECOS; VARIEDAD: CAPELETTI, RELLENO: VERDURA, PRESENTACION: ENVASE X 500 GR, MATERIAL ENVASE: PLASTICO 1 (PET), ELEM. TRANSPORTE: CAJA, MATERIAL ELEM. TRANSPORTE: SIN, CERTIFICADO FORESTAL (GFS): SIN, LIBRE DE GLUTEN: NO</t>
  </si>
  <si>
    <t>2.1.1-489.108</t>
  </si>
  <si>
    <t>ESPECIAS; TIPO: CONDIMENTO P/ARROZ, PRESENTACION: SOBRE X 25 GR</t>
  </si>
  <si>
    <t>2.1.1-2116.9</t>
  </si>
  <si>
    <t>LEVADURAS; TIPO: SECA INSTANTANEA, PRESENTACION: ENVASE X 500 GR, PESO: SIN VALOR</t>
  </si>
  <si>
    <t>2.1.1-6546.241</t>
  </si>
  <si>
    <t>VERDURAS Y HORTALIZAS; VARIEDAD: TOMATE, ESTADO: TRITURADO, PRESENTACION: BOTELLA, PESO: 980 GR</t>
  </si>
  <si>
    <t>2.1.1-6539.129</t>
  </si>
  <si>
    <t>FRUTAS; VARIEDAD: ANANA, ESTADO: EN ALMIBAR, PRESENTACION: ENVASE X 836 GR, PESO: 836 GR</t>
  </si>
  <si>
    <t>2.1.1-705.106</t>
  </si>
  <si>
    <t>LECHE; ESTADO: LIQUIDO, TIPO: ENTERA, PROCESO: LARGA VIDA, AGREGADO: VITAMINAS A Y D, PRESENTACION: ENVASE X 1 L, MATERIAL ENVASE: PLASTICO, ELEM. TRANSPORTE: SIN, MATERIAL ELEM. TRANSPORTE: SIN, CERTIFICADO FORESTAL (GFS): SIN, LIBRE DE GLUTEN: SI</t>
  </si>
  <si>
    <t>2.1.1-482.63</t>
  </si>
  <si>
    <t>HARINAS; TIPO: MAIZ, PRESENTACION: ENVASE X 750 GR, MATERIAL ENVASE: PAPEL, CERTICADO FORESTAL (GFS): SIN, ELEM. TRANSPORTE: SIN, MATERIAL ELEM. TRANSPORTE: SIN</t>
  </si>
  <si>
    <t>2.1.1-2615.15</t>
  </si>
  <si>
    <t>CACAO; TIPO: INSTANTANEO, PRESENTACION: ENVASE X 800 GR, FORMA DE PRESENTACION: POLVO, MATERIAL ENVASE: CARTON, CERTICADO FORESTAL (GFS): CON, LIBRE DE GLUTEN: 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</si>
</sst>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5" formatCode="_-[$$-2C0A]\ * #,##0.00_-;\-[$$-2C0A]\ * #,##0.00_-;_-[$$-2C0A]\ * &quot;-&quot;??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5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wrapText="1" inden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left" wrapText="1"/>
    </xf>
    <xf numFmtId="0" fontId="5" fillId="0" borderId="0" xfId="0" applyFont="1"/>
    <xf numFmtId="0" fontId="4" fillId="0" borderId="0" xfId="0" applyFont="1" applyAlignment="1">
      <alignment horizontal="left" wrapText="1" inden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0" xfId="0" applyFont="1" applyAlignment="1">
      <alignment horizontal="center" wrapText="1"/>
    </xf>
    <xf numFmtId="0" fontId="10" fillId="0" borderId="2" xfId="0" applyFont="1" applyBorder="1" applyAlignment="1">
      <alignment horizontal="center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3" fontId="11" fillId="0" borderId="2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165" fontId="11" fillId="0" borderId="2" xfId="1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165" fontId="11" fillId="0" borderId="2" xfId="1" applyNumberFormat="1" applyFont="1" applyBorder="1" applyAlignment="1" applyProtection="1">
      <alignment horizontal="center" vertical="center"/>
    </xf>
    <xf numFmtId="0" fontId="9" fillId="0" borderId="3" xfId="0" applyFont="1" applyBorder="1" applyAlignment="1">
      <alignment horizontal="center" vertical="center"/>
    </xf>
    <xf numFmtId="165" fontId="11" fillId="0" borderId="4" xfId="1" applyNumberFormat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0" fillId="0" borderId="6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165" fontId="11" fillId="0" borderId="6" xfId="1" applyNumberFormat="1" applyFont="1" applyBorder="1" applyAlignment="1" applyProtection="1">
      <alignment horizontal="center" vertical="center"/>
    </xf>
    <xf numFmtId="165" fontId="11" fillId="0" borderId="7" xfId="1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0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3" fontId="11" fillId="0" borderId="9" xfId="0" applyNumberFormat="1" applyFont="1" applyBorder="1" applyAlignment="1">
      <alignment horizontal="center" vertical="center"/>
    </xf>
    <xf numFmtId="165" fontId="11" fillId="0" borderId="9" xfId="1" applyNumberFormat="1" applyFont="1" applyBorder="1" applyAlignment="1">
      <alignment horizontal="center" vertical="center"/>
    </xf>
    <xf numFmtId="165" fontId="11" fillId="0" borderId="10" xfId="1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165" fontId="2" fillId="3" borderId="1" xfId="0" applyNumberFormat="1" applyFont="1" applyFill="1" applyBorder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84EC8-3524-4BB6-8B45-64F253F5C2CF}">
  <dimension ref="A1:I95"/>
  <sheetViews>
    <sheetView tabSelected="1" workbookViewId="0">
      <selection activeCell="D98" sqref="D98"/>
    </sheetView>
  </sheetViews>
  <sheetFormatPr baseColWidth="10" defaultRowHeight="15" x14ac:dyDescent="0.25"/>
  <cols>
    <col min="1" max="1" width="4.42578125" bestFit="1" customWidth="1"/>
    <col min="2" max="2" width="13.28515625" customWidth="1"/>
    <col min="3" max="3" width="12.42578125" customWidth="1"/>
    <col min="4" max="4" width="8.7109375" customWidth="1"/>
    <col min="5" max="5" width="82.85546875" customWidth="1"/>
    <col min="6" max="6" width="14.140625" customWidth="1"/>
    <col min="7" max="7" width="11.42578125" customWidth="1"/>
    <col min="8" max="8" width="11.7109375" bestFit="1" customWidth="1"/>
    <col min="9" max="9" width="17.7109375" bestFit="1" customWidth="1"/>
  </cols>
  <sheetData>
    <row r="1" spans="1:9" ht="15.75" x14ac:dyDescent="0.25">
      <c r="A1" s="1" t="s">
        <v>0</v>
      </c>
      <c r="B1" s="1"/>
      <c r="C1" s="2" t="s">
        <v>1</v>
      </c>
      <c r="D1" s="2"/>
      <c r="E1" s="2"/>
      <c r="F1" s="3"/>
      <c r="G1" s="4"/>
      <c r="H1" s="5"/>
      <c r="I1" s="6"/>
    </row>
    <row r="2" spans="1:9" ht="15.75" x14ac:dyDescent="0.25">
      <c r="A2" s="1" t="s">
        <v>2</v>
      </c>
      <c r="B2" s="1"/>
      <c r="C2" s="2" t="s">
        <v>3</v>
      </c>
      <c r="D2" s="2"/>
      <c r="E2" s="2"/>
      <c r="F2" s="3"/>
      <c r="G2" s="4"/>
      <c r="H2" s="5"/>
      <c r="I2" s="6"/>
    </row>
    <row r="3" spans="1:9" ht="15.75" x14ac:dyDescent="0.25">
      <c r="A3" s="1" t="s">
        <v>4</v>
      </c>
      <c r="B3" s="1"/>
      <c r="C3" s="7">
        <v>2022</v>
      </c>
      <c r="D3" s="8"/>
      <c r="E3" s="9"/>
      <c r="F3" s="3"/>
      <c r="G3" s="4"/>
      <c r="H3" s="5"/>
      <c r="I3" s="6"/>
    </row>
    <row r="4" spans="1:9" ht="15.75" x14ac:dyDescent="0.25">
      <c r="A4" s="1" t="s">
        <v>5</v>
      </c>
      <c r="B4" s="1"/>
      <c r="C4" s="7">
        <v>3</v>
      </c>
      <c r="D4" s="8"/>
      <c r="E4" s="9"/>
      <c r="F4" s="3"/>
      <c r="G4" s="4"/>
      <c r="H4" s="5"/>
      <c r="I4" s="6"/>
    </row>
    <row r="5" spans="1:9" ht="15.75" thickBot="1" x14ac:dyDescent="0.3">
      <c r="A5" s="6"/>
      <c r="B5" s="10"/>
      <c r="C5" s="11"/>
      <c r="D5" s="11"/>
      <c r="E5" s="10"/>
      <c r="F5" s="3"/>
      <c r="G5" s="4"/>
      <c r="H5" s="5"/>
      <c r="I5" s="6"/>
    </row>
    <row r="6" spans="1:9" ht="39" thickBot="1" x14ac:dyDescent="0.3">
      <c r="A6" s="38" t="s">
        <v>6</v>
      </c>
      <c r="B6" s="39" t="s">
        <v>7</v>
      </c>
      <c r="C6" s="39" t="s">
        <v>8</v>
      </c>
      <c r="D6" s="39" t="s">
        <v>9</v>
      </c>
      <c r="E6" s="39" t="s">
        <v>10</v>
      </c>
      <c r="F6" s="40" t="s">
        <v>11</v>
      </c>
      <c r="G6" s="40" t="s">
        <v>12</v>
      </c>
      <c r="H6" s="40" t="s">
        <v>13</v>
      </c>
      <c r="I6" s="41" t="s">
        <v>14</v>
      </c>
    </row>
    <row r="7" spans="1:9" ht="45" x14ac:dyDescent="0.25">
      <c r="A7" s="30">
        <v>1</v>
      </c>
      <c r="B7" s="31" t="s">
        <v>15</v>
      </c>
      <c r="C7" s="32" t="s">
        <v>16</v>
      </c>
      <c r="D7" s="33" t="s">
        <v>17</v>
      </c>
      <c r="E7" s="42" t="s">
        <v>18</v>
      </c>
      <c r="F7" s="34" t="s">
        <v>19</v>
      </c>
      <c r="G7" s="35">
        <v>231</v>
      </c>
      <c r="H7" s="36">
        <v>265</v>
      </c>
      <c r="I7" s="37">
        <f>G7*H7</f>
        <v>61215</v>
      </c>
    </row>
    <row r="8" spans="1:9" ht="30" x14ac:dyDescent="0.25">
      <c r="A8" s="21">
        <v>2</v>
      </c>
      <c r="B8" s="16" t="s">
        <v>20</v>
      </c>
      <c r="C8" s="16" t="s">
        <v>21</v>
      </c>
      <c r="D8" s="12" t="s">
        <v>17</v>
      </c>
      <c r="E8" s="14" t="s">
        <v>22</v>
      </c>
      <c r="F8" s="17" t="s">
        <v>23</v>
      </c>
      <c r="G8" s="15">
        <v>426</v>
      </c>
      <c r="H8" s="18">
        <v>44</v>
      </c>
      <c r="I8" s="22">
        <f t="shared" ref="I8:I71" si="0">G8*H8</f>
        <v>18744</v>
      </c>
    </row>
    <row r="9" spans="1:9" ht="45" x14ac:dyDescent="0.25">
      <c r="A9" s="21">
        <v>3</v>
      </c>
      <c r="B9" s="16" t="s">
        <v>24</v>
      </c>
      <c r="C9" s="16" t="s">
        <v>21</v>
      </c>
      <c r="D9" s="12" t="s">
        <v>17</v>
      </c>
      <c r="E9" s="14" t="s">
        <v>25</v>
      </c>
      <c r="F9" s="17" t="s">
        <v>26</v>
      </c>
      <c r="G9" s="15">
        <v>285</v>
      </c>
      <c r="H9" s="18">
        <v>153</v>
      </c>
      <c r="I9" s="22">
        <f t="shared" si="0"/>
        <v>43605</v>
      </c>
    </row>
    <row r="10" spans="1:9" ht="30" x14ac:dyDescent="0.25">
      <c r="A10" s="21">
        <v>4</v>
      </c>
      <c r="B10" s="16" t="s">
        <v>27</v>
      </c>
      <c r="C10" s="17" t="s">
        <v>21</v>
      </c>
      <c r="D10" s="12" t="s">
        <v>17</v>
      </c>
      <c r="E10" s="14" t="s">
        <v>28</v>
      </c>
      <c r="F10" s="17" t="s">
        <v>29</v>
      </c>
      <c r="G10" s="15">
        <v>453</v>
      </c>
      <c r="H10" s="18">
        <v>185</v>
      </c>
      <c r="I10" s="22">
        <f t="shared" si="0"/>
        <v>83805</v>
      </c>
    </row>
    <row r="11" spans="1:9" ht="30" x14ac:dyDescent="0.25">
      <c r="A11" s="21">
        <v>5</v>
      </c>
      <c r="B11" s="16" t="s">
        <v>30</v>
      </c>
      <c r="C11" s="16" t="s">
        <v>21</v>
      </c>
      <c r="D11" s="12" t="s">
        <v>17</v>
      </c>
      <c r="E11" s="14" t="s">
        <v>31</v>
      </c>
      <c r="F11" s="17" t="s">
        <v>26</v>
      </c>
      <c r="G11" s="15">
        <v>60</v>
      </c>
      <c r="H11" s="18">
        <v>235</v>
      </c>
      <c r="I11" s="22">
        <f t="shared" si="0"/>
        <v>14100</v>
      </c>
    </row>
    <row r="12" spans="1:9" ht="45" x14ac:dyDescent="0.25">
      <c r="A12" s="21">
        <v>6</v>
      </c>
      <c r="B12" s="16" t="s">
        <v>32</v>
      </c>
      <c r="C12" s="16" t="s">
        <v>21</v>
      </c>
      <c r="D12" s="12" t="s">
        <v>17</v>
      </c>
      <c r="E12" s="14" t="s">
        <v>33</v>
      </c>
      <c r="F12" s="17" t="s">
        <v>26</v>
      </c>
      <c r="G12" s="15">
        <v>489</v>
      </c>
      <c r="H12" s="18">
        <v>130</v>
      </c>
      <c r="I12" s="22">
        <f t="shared" si="0"/>
        <v>63570</v>
      </c>
    </row>
    <row r="13" spans="1:9" x14ac:dyDescent="0.25">
      <c r="A13" s="21">
        <v>7</v>
      </c>
      <c r="B13" s="16" t="s">
        <v>34</v>
      </c>
      <c r="C13" s="16" t="s">
        <v>21</v>
      </c>
      <c r="D13" s="12" t="s">
        <v>17</v>
      </c>
      <c r="E13" s="14" t="s">
        <v>35</v>
      </c>
      <c r="F13" s="17" t="s">
        <v>29</v>
      </c>
      <c r="G13" s="15">
        <v>105</v>
      </c>
      <c r="H13" s="18">
        <v>66</v>
      </c>
      <c r="I13" s="22">
        <f t="shared" si="0"/>
        <v>6930</v>
      </c>
    </row>
    <row r="14" spans="1:9" x14ac:dyDescent="0.25">
      <c r="A14" s="21">
        <v>8</v>
      </c>
      <c r="B14" s="16" t="s">
        <v>36</v>
      </c>
      <c r="C14" s="16" t="s">
        <v>21</v>
      </c>
      <c r="D14" s="12" t="s">
        <v>17</v>
      </c>
      <c r="E14" s="14" t="s">
        <v>37</v>
      </c>
      <c r="F14" s="17" t="s">
        <v>26</v>
      </c>
      <c r="G14" s="15">
        <v>48</v>
      </c>
      <c r="H14" s="18">
        <v>156</v>
      </c>
      <c r="I14" s="22">
        <f t="shared" si="0"/>
        <v>7488</v>
      </c>
    </row>
    <row r="15" spans="1:9" x14ac:dyDescent="0.25">
      <c r="A15" s="21">
        <v>9</v>
      </c>
      <c r="B15" s="16" t="s">
        <v>38</v>
      </c>
      <c r="C15" s="16" t="s">
        <v>21</v>
      </c>
      <c r="D15" s="12" t="s">
        <v>17</v>
      </c>
      <c r="E15" s="14" t="s">
        <v>39</v>
      </c>
      <c r="F15" s="17" t="s">
        <v>40</v>
      </c>
      <c r="G15" s="15">
        <v>105</v>
      </c>
      <c r="H15" s="18">
        <v>35</v>
      </c>
      <c r="I15" s="22">
        <f t="shared" si="0"/>
        <v>3675</v>
      </c>
    </row>
    <row r="16" spans="1:9" ht="30" x14ac:dyDescent="0.25">
      <c r="A16" s="21">
        <v>10</v>
      </c>
      <c r="B16" s="16" t="s">
        <v>41</v>
      </c>
      <c r="C16" s="16" t="s">
        <v>21</v>
      </c>
      <c r="D16" s="12" t="s">
        <v>17</v>
      </c>
      <c r="E16" s="14" t="s">
        <v>42</v>
      </c>
      <c r="F16" s="17" t="s">
        <v>29</v>
      </c>
      <c r="G16" s="15">
        <v>270</v>
      </c>
      <c r="H16" s="18">
        <v>552</v>
      </c>
      <c r="I16" s="22">
        <f t="shared" si="0"/>
        <v>149040</v>
      </c>
    </row>
    <row r="17" spans="1:9" x14ac:dyDescent="0.25">
      <c r="A17" s="21">
        <v>11</v>
      </c>
      <c r="B17" s="16" t="s">
        <v>43</v>
      </c>
      <c r="C17" s="16" t="s">
        <v>21</v>
      </c>
      <c r="D17" s="12" t="s">
        <v>17</v>
      </c>
      <c r="E17" s="14" t="s">
        <v>44</v>
      </c>
      <c r="F17" s="17" t="s">
        <v>45</v>
      </c>
      <c r="G17" s="15">
        <v>108</v>
      </c>
      <c r="H17" s="18">
        <v>184</v>
      </c>
      <c r="I17" s="22">
        <f t="shared" si="0"/>
        <v>19872</v>
      </c>
    </row>
    <row r="18" spans="1:9" x14ac:dyDescent="0.25">
      <c r="A18" s="21">
        <v>12</v>
      </c>
      <c r="B18" s="16" t="s">
        <v>46</v>
      </c>
      <c r="C18" s="16" t="s">
        <v>21</v>
      </c>
      <c r="D18" s="12" t="s">
        <v>17</v>
      </c>
      <c r="E18" s="14" t="s">
        <v>47</v>
      </c>
      <c r="F18" s="17" t="s">
        <v>45</v>
      </c>
      <c r="G18" s="15">
        <v>108</v>
      </c>
      <c r="H18" s="18">
        <v>184</v>
      </c>
      <c r="I18" s="22">
        <f t="shared" si="0"/>
        <v>19872</v>
      </c>
    </row>
    <row r="19" spans="1:9" x14ac:dyDescent="0.25">
      <c r="A19" s="21">
        <v>13</v>
      </c>
      <c r="B19" s="16" t="s">
        <v>48</v>
      </c>
      <c r="C19" s="16" t="s">
        <v>21</v>
      </c>
      <c r="D19" s="12" t="s">
        <v>17</v>
      </c>
      <c r="E19" s="14" t="s">
        <v>49</v>
      </c>
      <c r="F19" s="17" t="s">
        <v>45</v>
      </c>
      <c r="G19" s="15">
        <v>108</v>
      </c>
      <c r="H19" s="18">
        <v>184</v>
      </c>
      <c r="I19" s="22">
        <f t="shared" si="0"/>
        <v>19872</v>
      </c>
    </row>
    <row r="20" spans="1:9" ht="30" x14ac:dyDescent="0.25">
      <c r="A20" s="21">
        <v>14</v>
      </c>
      <c r="B20" s="16" t="s">
        <v>50</v>
      </c>
      <c r="C20" s="16" t="s">
        <v>21</v>
      </c>
      <c r="D20" s="12" t="s">
        <v>17</v>
      </c>
      <c r="E20" s="14" t="s">
        <v>51</v>
      </c>
      <c r="F20" s="17" t="s">
        <v>29</v>
      </c>
      <c r="G20" s="15">
        <v>252</v>
      </c>
      <c r="H20" s="18">
        <v>175</v>
      </c>
      <c r="I20" s="22">
        <f t="shared" si="0"/>
        <v>44100</v>
      </c>
    </row>
    <row r="21" spans="1:9" ht="30" x14ac:dyDescent="0.25">
      <c r="A21" s="21">
        <v>15</v>
      </c>
      <c r="B21" s="16" t="s">
        <v>52</v>
      </c>
      <c r="C21" s="16" t="s">
        <v>21</v>
      </c>
      <c r="D21" s="12" t="s">
        <v>17</v>
      </c>
      <c r="E21" s="14" t="s">
        <v>53</v>
      </c>
      <c r="F21" s="17" t="s">
        <v>29</v>
      </c>
      <c r="G21" s="15">
        <v>180</v>
      </c>
      <c r="H21" s="18">
        <v>526</v>
      </c>
      <c r="I21" s="22">
        <f t="shared" si="0"/>
        <v>94680</v>
      </c>
    </row>
    <row r="22" spans="1:9" ht="30" x14ac:dyDescent="0.25">
      <c r="A22" s="21">
        <v>16</v>
      </c>
      <c r="B22" s="16" t="s">
        <v>54</v>
      </c>
      <c r="C22" s="16" t="s">
        <v>21</v>
      </c>
      <c r="D22" s="12" t="s">
        <v>17</v>
      </c>
      <c r="E22" s="14" t="s">
        <v>55</v>
      </c>
      <c r="F22" s="17" t="s">
        <v>56</v>
      </c>
      <c r="G22" s="15">
        <v>15</v>
      </c>
      <c r="H22" s="18">
        <v>466</v>
      </c>
      <c r="I22" s="22">
        <f t="shared" si="0"/>
        <v>6990</v>
      </c>
    </row>
    <row r="23" spans="1:9" ht="30" x14ac:dyDescent="0.25">
      <c r="A23" s="21">
        <v>17</v>
      </c>
      <c r="B23" s="16" t="s">
        <v>57</v>
      </c>
      <c r="C23" s="16" t="s">
        <v>21</v>
      </c>
      <c r="D23" s="12" t="s">
        <v>17</v>
      </c>
      <c r="E23" s="14" t="s">
        <v>58</v>
      </c>
      <c r="F23" s="17" t="s">
        <v>45</v>
      </c>
      <c r="G23" s="15">
        <v>18</v>
      </c>
      <c r="H23" s="18">
        <v>672</v>
      </c>
      <c r="I23" s="22">
        <f t="shared" si="0"/>
        <v>12096</v>
      </c>
    </row>
    <row r="24" spans="1:9" ht="30" x14ac:dyDescent="0.25">
      <c r="A24" s="21">
        <v>18</v>
      </c>
      <c r="B24" s="16" t="s">
        <v>59</v>
      </c>
      <c r="C24" s="16" t="s">
        <v>21</v>
      </c>
      <c r="D24" s="12" t="s">
        <v>17</v>
      </c>
      <c r="E24" s="14" t="s">
        <v>60</v>
      </c>
      <c r="F24" s="17" t="s">
        <v>56</v>
      </c>
      <c r="G24" s="15">
        <v>6</v>
      </c>
      <c r="H24" s="18">
        <v>660</v>
      </c>
      <c r="I24" s="22">
        <f t="shared" si="0"/>
        <v>3960</v>
      </c>
    </row>
    <row r="25" spans="1:9" ht="30" x14ac:dyDescent="0.25">
      <c r="A25" s="21">
        <v>19</v>
      </c>
      <c r="B25" s="16" t="s">
        <v>61</v>
      </c>
      <c r="C25" s="16" t="s">
        <v>21</v>
      </c>
      <c r="D25" s="12" t="s">
        <v>17</v>
      </c>
      <c r="E25" s="14" t="s">
        <v>62</v>
      </c>
      <c r="F25" s="17" t="s">
        <v>45</v>
      </c>
      <c r="G25" s="15">
        <v>135</v>
      </c>
      <c r="H25" s="18">
        <v>320</v>
      </c>
      <c r="I25" s="22">
        <f t="shared" si="0"/>
        <v>43200</v>
      </c>
    </row>
    <row r="26" spans="1:9" ht="30" x14ac:dyDescent="0.25">
      <c r="A26" s="21">
        <v>20</v>
      </c>
      <c r="B26" s="16" t="s">
        <v>63</v>
      </c>
      <c r="C26" s="16" t="s">
        <v>21</v>
      </c>
      <c r="D26" s="12" t="s">
        <v>17</v>
      </c>
      <c r="E26" s="14" t="s">
        <v>64</v>
      </c>
      <c r="F26" s="17" t="s">
        <v>26</v>
      </c>
      <c r="G26" s="15">
        <v>18</v>
      </c>
      <c r="H26" s="18">
        <v>828</v>
      </c>
      <c r="I26" s="22">
        <f t="shared" si="0"/>
        <v>14904</v>
      </c>
    </row>
    <row r="27" spans="1:9" x14ac:dyDescent="0.25">
      <c r="A27" s="21">
        <v>21</v>
      </c>
      <c r="B27" s="16" t="s">
        <v>65</v>
      </c>
      <c r="C27" s="16" t="s">
        <v>21</v>
      </c>
      <c r="D27" s="12" t="s">
        <v>17</v>
      </c>
      <c r="E27" s="14" t="s">
        <v>66</v>
      </c>
      <c r="F27" s="17" t="s">
        <v>40</v>
      </c>
      <c r="G27" s="15">
        <v>144</v>
      </c>
      <c r="H27" s="18">
        <v>257</v>
      </c>
      <c r="I27" s="22">
        <f t="shared" si="0"/>
        <v>37008</v>
      </c>
    </row>
    <row r="28" spans="1:9" x14ac:dyDescent="0.25">
      <c r="A28" s="21">
        <v>22</v>
      </c>
      <c r="B28" s="16" t="s">
        <v>67</v>
      </c>
      <c r="C28" s="16" t="s">
        <v>21</v>
      </c>
      <c r="D28" s="12" t="s">
        <v>17</v>
      </c>
      <c r="E28" s="14" t="s">
        <v>68</v>
      </c>
      <c r="F28" s="17" t="s">
        <v>40</v>
      </c>
      <c r="G28" s="15">
        <v>45</v>
      </c>
      <c r="H28" s="18">
        <v>257</v>
      </c>
      <c r="I28" s="22">
        <f t="shared" si="0"/>
        <v>11565</v>
      </c>
    </row>
    <row r="29" spans="1:9" x14ac:dyDescent="0.25">
      <c r="A29" s="21">
        <v>23</v>
      </c>
      <c r="B29" s="16" t="s">
        <v>69</v>
      </c>
      <c r="C29" s="16" t="s">
        <v>21</v>
      </c>
      <c r="D29" s="12" t="s">
        <v>17</v>
      </c>
      <c r="E29" s="14" t="s">
        <v>70</v>
      </c>
      <c r="F29" s="17" t="s">
        <v>29</v>
      </c>
      <c r="G29" s="15">
        <v>45</v>
      </c>
      <c r="H29" s="18">
        <v>1950</v>
      </c>
      <c r="I29" s="22">
        <f t="shared" si="0"/>
        <v>87750</v>
      </c>
    </row>
    <row r="30" spans="1:9" x14ac:dyDescent="0.25">
      <c r="A30" s="21">
        <v>24</v>
      </c>
      <c r="B30" s="16" t="s">
        <v>71</v>
      </c>
      <c r="C30" s="16" t="s">
        <v>21</v>
      </c>
      <c r="D30" s="12" t="s">
        <v>17</v>
      </c>
      <c r="E30" s="14" t="s">
        <v>72</v>
      </c>
      <c r="F30" s="17" t="s">
        <v>29</v>
      </c>
      <c r="G30" s="15">
        <v>36</v>
      </c>
      <c r="H30" s="18">
        <v>1550</v>
      </c>
      <c r="I30" s="22">
        <f t="shared" si="0"/>
        <v>55800</v>
      </c>
    </row>
    <row r="31" spans="1:9" ht="30" x14ac:dyDescent="0.25">
      <c r="A31" s="21">
        <v>25</v>
      </c>
      <c r="B31" s="16" t="s">
        <v>73</v>
      </c>
      <c r="C31" s="16" t="s">
        <v>21</v>
      </c>
      <c r="D31" s="12" t="s">
        <v>17</v>
      </c>
      <c r="E31" s="14" t="s">
        <v>74</v>
      </c>
      <c r="F31" s="19" t="s">
        <v>75</v>
      </c>
      <c r="G31" s="15">
        <v>147</v>
      </c>
      <c r="H31" s="18">
        <v>179</v>
      </c>
      <c r="I31" s="22">
        <f t="shared" si="0"/>
        <v>26313</v>
      </c>
    </row>
    <row r="32" spans="1:9" ht="30" x14ac:dyDescent="0.25">
      <c r="A32" s="21">
        <v>26</v>
      </c>
      <c r="B32" s="16" t="s">
        <v>76</v>
      </c>
      <c r="C32" s="16" t="s">
        <v>21</v>
      </c>
      <c r="D32" s="12" t="s">
        <v>17</v>
      </c>
      <c r="E32" s="14" t="s">
        <v>77</v>
      </c>
      <c r="F32" s="17" t="s">
        <v>29</v>
      </c>
      <c r="G32" s="15">
        <v>246</v>
      </c>
      <c r="H32" s="18">
        <v>438</v>
      </c>
      <c r="I32" s="22">
        <f t="shared" si="0"/>
        <v>107748</v>
      </c>
    </row>
    <row r="33" spans="1:9" ht="30" x14ac:dyDescent="0.25">
      <c r="A33" s="21">
        <v>27</v>
      </c>
      <c r="B33" s="16" t="s">
        <v>78</v>
      </c>
      <c r="C33" s="16" t="s">
        <v>21</v>
      </c>
      <c r="D33" s="12" t="s">
        <v>17</v>
      </c>
      <c r="E33" s="14" t="s">
        <v>79</v>
      </c>
      <c r="F33" s="17" t="s">
        <v>19</v>
      </c>
      <c r="G33" s="15">
        <v>69</v>
      </c>
      <c r="H33" s="18">
        <v>327</v>
      </c>
      <c r="I33" s="22">
        <f t="shared" si="0"/>
        <v>22563</v>
      </c>
    </row>
    <row r="34" spans="1:9" ht="45" x14ac:dyDescent="0.25">
      <c r="A34" s="21">
        <v>28</v>
      </c>
      <c r="B34" s="16" t="s">
        <v>80</v>
      </c>
      <c r="C34" s="16" t="s">
        <v>21</v>
      </c>
      <c r="D34" s="12" t="s">
        <v>17</v>
      </c>
      <c r="E34" s="14" t="s">
        <v>81</v>
      </c>
      <c r="F34" s="17" t="s">
        <v>26</v>
      </c>
      <c r="G34" s="15">
        <v>171</v>
      </c>
      <c r="H34" s="18">
        <v>110</v>
      </c>
      <c r="I34" s="22">
        <f t="shared" si="0"/>
        <v>18810</v>
      </c>
    </row>
    <row r="35" spans="1:9" ht="45" x14ac:dyDescent="0.25">
      <c r="A35" s="21">
        <v>29</v>
      </c>
      <c r="B35" s="16" t="s">
        <v>82</v>
      </c>
      <c r="C35" s="16" t="s">
        <v>21</v>
      </c>
      <c r="D35" s="12" t="s">
        <v>17</v>
      </c>
      <c r="E35" s="14" t="s">
        <v>83</v>
      </c>
      <c r="F35" s="17" t="s">
        <v>26</v>
      </c>
      <c r="G35" s="15">
        <v>210</v>
      </c>
      <c r="H35" s="18">
        <v>110</v>
      </c>
      <c r="I35" s="22">
        <f t="shared" si="0"/>
        <v>23100</v>
      </c>
    </row>
    <row r="36" spans="1:9" ht="45" x14ac:dyDescent="0.25">
      <c r="A36" s="21">
        <v>30</v>
      </c>
      <c r="B36" s="16" t="s">
        <v>84</v>
      </c>
      <c r="C36" s="17" t="s">
        <v>21</v>
      </c>
      <c r="D36" s="12" t="s">
        <v>17</v>
      </c>
      <c r="E36" s="14" t="s">
        <v>85</v>
      </c>
      <c r="F36" s="17" t="s">
        <v>26</v>
      </c>
      <c r="G36" s="15">
        <v>108</v>
      </c>
      <c r="H36" s="18">
        <v>110</v>
      </c>
      <c r="I36" s="22">
        <f t="shared" si="0"/>
        <v>11880</v>
      </c>
    </row>
    <row r="37" spans="1:9" ht="45" x14ac:dyDescent="0.25">
      <c r="A37" s="21">
        <v>31</v>
      </c>
      <c r="B37" s="16" t="s">
        <v>86</v>
      </c>
      <c r="C37" s="16" t="s">
        <v>21</v>
      </c>
      <c r="D37" s="12" t="s">
        <v>17</v>
      </c>
      <c r="E37" s="14" t="s">
        <v>87</v>
      </c>
      <c r="F37" s="17" t="s">
        <v>26</v>
      </c>
      <c r="G37" s="15">
        <v>252</v>
      </c>
      <c r="H37" s="18">
        <v>292</v>
      </c>
      <c r="I37" s="22">
        <f t="shared" si="0"/>
        <v>73584</v>
      </c>
    </row>
    <row r="38" spans="1:9" ht="30" x14ac:dyDescent="0.25">
      <c r="A38" s="21">
        <v>32</v>
      </c>
      <c r="B38" s="16" t="s">
        <v>88</v>
      </c>
      <c r="C38" s="16" t="s">
        <v>21</v>
      </c>
      <c r="D38" s="12" t="s">
        <v>17</v>
      </c>
      <c r="E38" s="14" t="s">
        <v>89</v>
      </c>
      <c r="F38" s="17" t="s">
        <v>26</v>
      </c>
      <c r="G38" s="15">
        <v>222</v>
      </c>
      <c r="H38" s="18">
        <v>124</v>
      </c>
      <c r="I38" s="22">
        <f t="shared" si="0"/>
        <v>27528</v>
      </c>
    </row>
    <row r="39" spans="1:9" ht="30" x14ac:dyDescent="0.25">
      <c r="A39" s="21">
        <v>33</v>
      </c>
      <c r="B39" s="16" t="s">
        <v>90</v>
      </c>
      <c r="C39" s="16" t="s">
        <v>21</v>
      </c>
      <c r="D39" s="12" t="s">
        <v>17</v>
      </c>
      <c r="E39" s="14" t="s">
        <v>91</v>
      </c>
      <c r="F39" s="17" t="s">
        <v>26</v>
      </c>
      <c r="G39" s="15">
        <v>363</v>
      </c>
      <c r="H39" s="18">
        <v>156</v>
      </c>
      <c r="I39" s="22">
        <f t="shared" si="0"/>
        <v>56628</v>
      </c>
    </row>
    <row r="40" spans="1:9" ht="45" x14ac:dyDescent="0.25">
      <c r="A40" s="21">
        <v>34</v>
      </c>
      <c r="B40" s="16" t="s">
        <v>92</v>
      </c>
      <c r="C40" s="16" t="s">
        <v>21</v>
      </c>
      <c r="D40" s="12" t="s">
        <v>17</v>
      </c>
      <c r="E40" s="14" t="s">
        <v>93</v>
      </c>
      <c r="F40" s="17" t="s">
        <v>26</v>
      </c>
      <c r="G40" s="15">
        <v>75</v>
      </c>
      <c r="H40" s="18">
        <v>191</v>
      </c>
      <c r="I40" s="22">
        <f t="shared" si="0"/>
        <v>14325</v>
      </c>
    </row>
    <row r="41" spans="1:9" ht="30" x14ac:dyDescent="0.25">
      <c r="A41" s="21">
        <v>35</v>
      </c>
      <c r="B41" s="16" t="s">
        <v>94</v>
      </c>
      <c r="C41" s="16" t="s">
        <v>21</v>
      </c>
      <c r="D41" s="12" t="s">
        <v>17</v>
      </c>
      <c r="E41" s="14" t="s">
        <v>95</v>
      </c>
      <c r="F41" s="17" t="s">
        <v>26</v>
      </c>
      <c r="G41" s="15">
        <v>294</v>
      </c>
      <c r="H41" s="18">
        <v>165</v>
      </c>
      <c r="I41" s="22">
        <f t="shared" si="0"/>
        <v>48510</v>
      </c>
    </row>
    <row r="42" spans="1:9" ht="30" x14ac:dyDescent="0.25">
      <c r="A42" s="21">
        <v>36</v>
      </c>
      <c r="B42" s="16" t="s">
        <v>96</v>
      </c>
      <c r="C42" s="16" t="s">
        <v>21</v>
      </c>
      <c r="D42" s="12" t="s">
        <v>17</v>
      </c>
      <c r="E42" s="14" t="s">
        <v>97</v>
      </c>
      <c r="F42" s="17" t="s">
        <v>26</v>
      </c>
      <c r="G42" s="15">
        <v>81</v>
      </c>
      <c r="H42" s="18">
        <v>700</v>
      </c>
      <c r="I42" s="22">
        <f t="shared" si="0"/>
        <v>56700</v>
      </c>
    </row>
    <row r="43" spans="1:9" ht="45" x14ac:dyDescent="0.25">
      <c r="A43" s="21">
        <v>37</v>
      </c>
      <c r="B43" s="16" t="s">
        <v>98</v>
      </c>
      <c r="C43" s="16" t="s">
        <v>21</v>
      </c>
      <c r="D43" s="12" t="s">
        <v>17</v>
      </c>
      <c r="E43" s="14" t="s">
        <v>99</v>
      </c>
      <c r="F43" s="17" t="s">
        <v>26</v>
      </c>
      <c r="G43" s="15">
        <v>264</v>
      </c>
      <c r="H43" s="18">
        <v>160</v>
      </c>
      <c r="I43" s="22">
        <f t="shared" si="0"/>
        <v>42240</v>
      </c>
    </row>
    <row r="44" spans="1:9" ht="45" x14ac:dyDescent="0.25">
      <c r="A44" s="21">
        <v>38</v>
      </c>
      <c r="B44" s="16" t="s">
        <v>100</v>
      </c>
      <c r="C44" s="16" t="s">
        <v>21</v>
      </c>
      <c r="D44" s="12" t="s">
        <v>17</v>
      </c>
      <c r="E44" s="14" t="s">
        <v>101</v>
      </c>
      <c r="F44" s="17" t="s">
        <v>26</v>
      </c>
      <c r="G44" s="15">
        <v>249</v>
      </c>
      <c r="H44" s="18">
        <v>215</v>
      </c>
      <c r="I44" s="22">
        <f t="shared" si="0"/>
        <v>53535</v>
      </c>
    </row>
    <row r="45" spans="1:9" ht="30" x14ac:dyDescent="0.25">
      <c r="A45" s="21">
        <v>39</v>
      </c>
      <c r="B45" s="16" t="s">
        <v>102</v>
      </c>
      <c r="C45" s="16" t="s">
        <v>21</v>
      </c>
      <c r="D45" s="12" t="s">
        <v>17</v>
      </c>
      <c r="E45" s="14" t="s">
        <v>103</v>
      </c>
      <c r="F45" s="17" t="s">
        <v>45</v>
      </c>
      <c r="G45" s="15">
        <v>1254</v>
      </c>
      <c r="H45" s="18">
        <v>49</v>
      </c>
      <c r="I45" s="22">
        <f t="shared" si="0"/>
        <v>61446</v>
      </c>
    </row>
    <row r="46" spans="1:9" ht="30" x14ac:dyDescent="0.25">
      <c r="A46" s="21">
        <v>40</v>
      </c>
      <c r="B46" s="16" t="s">
        <v>104</v>
      </c>
      <c r="C46" s="16" t="s">
        <v>21</v>
      </c>
      <c r="D46" s="12" t="s">
        <v>17</v>
      </c>
      <c r="E46" s="14" t="s">
        <v>105</v>
      </c>
      <c r="F46" s="17" t="s">
        <v>45</v>
      </c>
      <c r="G46" s="15">
        <v>363</v>
      </c>
      <c r="H46" s="18">
        <v>230</v>
      </c>
      <c r="I46" s="22">
        <f t="shared" si="0"/>
        <v>83490</v>
      </c>
    </row>
    <row r="47" spans="1:9" x14ac:dyDescent="0.25">
      <c r="A47" s="21">
        <v>41</v>
      </c>
      <c r="B47" s="16" t="s">
        <v>106</v>
      </c>
      <c r="C47" s="16" t="s">
        <v>21</v>
      </c>
      <c r="D47" s="12" t="s">
        <v>17</v>
      </c>
      <c r="E47" s="14" t="s">
        <v>107</v>
      </c>
      <c r="F47" s="17" t="s">
        <v>108</v>
      </c>
      <c r="G47" s="15">
        <v>12</v>
      </c>
      <c r="H47" s="18">
        <v>210</v>
      </c>
      <c r="I47" s="22">
        <f t="shared" si="0"/>
        <v>2520</v>
      </c>
    </row>
    <row r="48" spans="1:9" ht="30" x14ac:dyDescent="0.25">
      <c r="A48" s="21">
        <v>42</v>
      </c>
      <c r="B48" s="16" t="s">
        <v>109</v>
      </c>
      <c r="C48" s="16" t="s">
        <v>21</v>
      </c>
      <c r="D48" s="12" t="s">
        <v>17</v>
      </c>
      <c r="E48" s="14" t="s">
        <v>110</v>
      </c>
      <c r="F48" s="17" t="s">
        <v>26</v>
      </c>
      <c r="G48" s="15">
        <v>60</v>
      </c>
      <c r="H48" s="18">
        <v>169</v>
      </c>
      <c r="I48" s="22">
        <f t="shared" si="0"/>
        <v>10140</v>
      </c>
    </row>
    <row r="49" spans="1:9" ht="60" x14ac:dyDescent="0.25">
      <c r="A49" s="21">
        <v>43</v>
      </c>
      <c r="B49" s="16" t="s">
        <v>111</v>
      </c>
      <c r="C49" s="16" t="s">
        <v>21</v>
      </c>
      <c r="D49" s="12" t="s">
        <v>17</v>
      </c>
      <c r="E49" s="14" t="s">
        <v>112</v>
      </c>
      <c r="F49" s="17" t="s">
        <v>29</v>
      </c>
      <c r="G49" s="15">
        <v>45</v>
      </c>
      <c r="H49" s="18">
        <v>495</v>
      </c>
      <c r="I49" s="22">
        <f t="shared" si="0"/>
        <v>22275</v>
      </c>
    </row>
    <row r="50" spans="1:9" ht="60" x14ac:dyDescent="0.25">
      <c r="A50" s="21">
        <v>44</v>
      </c>
      <c r="B50" s="16" t="s">
        <v>113</v>
      </c>
      <c r="C50" s="16" t="s">
        <v>21</v>
      </c>
      <c r="D50" s="12" t="s">
        <v>17</v>
      </c>
      <c r="E50" s="14" t="s">
        <v>114</v>
      </c>
      <c r="F50" s="17" t="s">
        <v>45</v>
      </c>
      <c r="G50" s="15">
        <v>138</v>
      </c>
      <c r="H50" s="18">
        <v>210</v>
      </c>
      <c r="I50" s="22">
        <f t="shared" si="0"/>
        <v>28980</v>
      </c>
    </row>
    <row r="51" spans="1:9" ht="60" x14ac:dyDescent="0.25">
      <c r="A51" s="21">
        <v>45</v>
      </c>
      <c r="B51" s="16" t="s">
        <v>115</v>
      </c>
      <c r="C51" s="16" t="s">
        <v>21</v>
      </c>
      <c r="D51" s="12" t="s">
        <v>17</v>
      </c>
      <c r="E51" s="14" t="s">
        <v>116</v>
      </c>
      <c r="F51" s="17" t="s">
        <v>45</v>
      </c>
      <c r="G51" s="15">
        <v>54</v>
      </c>
      <c r="H51" s="18">
        <v>1050</v>
      </c>
      <c r="I51" s="22">
        <f t="shared" si="0"/>
        <v>56700</v>
      </c>
    </row>
    <row r="52" spans="1:9" x14ac:dyDescent="0.25">
      <c r="A52" s="21">
        <v>46</v>
      </c>
      <c r="B52" s="16" t="s">
        <v>117</v>
      </c>
      <c r="C52" s="16" t="s">
        <v>21</v>
      </c>
      <c r="D52" s="12" t="s">
        <v>17</v>
      </c>
      <c r="E52" s="14" t="s">
        <v>118</v>
      </c>
      <c r="F52" s="17" t="s">
        <v>108</v>
      </c>
      <c r="G52" s="15">
        <v>168</v>
      </c>
      <c r="H52" s="18">
        <v>153</v>
      </c>
      <c r="I52" s="22">
        <f t="shared" si="0"/>
        <v>25704</v>
      </c>
    </row>
    <row r="53" spans="1:9" ht="45" x14ac:dyDescent="0.25">
      <c r="A53" s="21">
        <v>47</v>
      </c>
      <c r="B53" s="16" t="s">
        <v>119</v>
      </c>
      <c r="C53" s="16" t="s">
        <v>21</v>
      </c>
      <c r="D53" s="12" t="s">
        <v>17</v>
      </c>
      <c r="E53" s="14" t="s">
        <v>120</v>
      </c>
      <c r="F53" s="19" t="s">
        <v>75</v>
      </c>
      <c r="G53" s="15">
        <v>183</v>
      </c>
      <c r="H53" s="18">
        <v>148</v>
      </c>
      <c r="I53" s="22">
        <f t="shared" si="0"/>
        <v>27084</v>
      </c>
    </row>
    <row r="54" spans="1:9" ht="45" x14ac:dyDescent="0.25">
      <c r="A54" s="21">
        <v>48</v>
      </c>
      <c r="B54" s="16" t="s">
        <v>121</v>
      </c>
      <c r="C54" s="16" t="s">
        <v>21</v>
      </c>
      <c r="D54" s="12" t="s">
        <v>17</v>
      </c>
      <c r="E54" s="14" t="s">
        <v>122</v>
      </c>
      <c r="F54" s="17" t="s">
        <v>56</v>
      </c>
      <c r="G54" s="15">
        <v>45</v>
      </c>
      <c r="H54" s="18">
        <v>270</v>
      </c>
      <c r="I54" s="22">
        <f t="shared" si="0"/>
        <v>12150</v>
      </c>
    </row>
    <row r="55" spans="1:9" x14ac:dyDescent="0.25">
      <c r="A55" s="21">
        <v>49</v>
      </c>
      <c r="B55" s="16" t="s">
        <v>123</v>
      </c>
      <c r="C55" s="16" t="s">
        <v>21</v>
      </c>
      <c r="D55" s="12" t="s">
        <v>17</v>
      </c>
      <c r="E55" s="14" t="s">
        <v>124</v>
      </c>
      <c r="F55" s="17" t="s">
        <v>108</v>
      </c>
      <c r="G55" s="15">
        <v>30</v>
      </c>
      <c r="H55" s="18">
        <v>112</v>
      </c>
      <c r="I55" s="22">
        <f t="shared" si="0"/>
        <v>3360</v>
      </c>
    </row>
    <row r="56" spans="1:9" x14ac:dyDescent="0.25">
      <c r="A56" s="21">
        <v>50</v>
      </c>
      <c r="B56" s="16" t="s">
        <v>125</v>
      </c>
      <c r="C56" s="16" t="s">
        <v>21</v>
      </c>
      <c r="D56" s="12" t="s">
        <v>17</v>
      </c>
      <c r="E56" s="14" t="s">
        <v>126</v>
      </c>
      <c r="F56" s="17" t="s">
        <v>40</v>
      </c>
      <c r="G56" s="15">
        <v>249</v>
      </c>
      <c r="H56" s="18">
        <v>129</v>
      </c>
      <c r="I56" s="22">
        <f t="shared" si="0"/>
        <v>32121</v>
      </c>
    </row>
    <row r="57" spans="1:9" x14ac:dyDescent="0.25">
      <c r="A57" s="21">
        <v>51</v>
      </c>
      <c r="B57" s="16" t="s">
        <v>127</v>
      </c>
      <c r="C57" s="16" t="s">
        <v>21</v>
      </c>
      <c r="D57" s="12" t="s">
        <v>17</v>
      </c>
      <c r="E57" s="14" t="s">
        <v>128</v>
      </c>
      <c r="F57" s="17" t="s">
        <v>40</v>
      </c>
      <c r="G57" s="15">
        <v>390</v>
      </c>
      <c r="H57" s="18">
        <v>89</v>
      </c>
      <c r="I57" s="22">
        <f t="shared" si="0"/>
        <v>34710</v>
      </c>
    </row>
    <row r="58" spans="1:9" x14ac:dyDescent="0.25">
      <c r="A58" s="21">
        <v>52</v>
      </c>
      <c r="B58" s="16" t="s">
        <v>129</v>
      </c>
      <c r="C58" s="16" t="s">
        <v>21</v>
      </c>
      <c r="D58" s="12" t="s">
        <v>17</v>
      </c>
      <c r="E58" s="14" t="s">
        <v>130</v>
      </c>
      <c r="F58" s="17" t="s">
        <v>40</v>
      </c>
      <c r="G58" s="15">
        <v>54</v>
      </c>
      <c r="H58" s="18">
        <v>120</v>
      </c>
      <c r="I58" s="22">
        <f t="shared" si="0"/>
        <v>6480</v>
      </c>
    </row>
    <row r="59" spans="1:9" x14ac:dyDescent="0.25">
      <c r="A59" s="21">
        <v>53</v>
      </c>
      <c r="B59" s="16" t="s">
        <v>131</v>
      </c>
      <c r="C59" s="16" t="s">
        <v>21</v>
      </c>
      <c r="D59" s="12" t="s">
        <v>17</v>
      </c>
      <c r="E59" s="14" t="s">
        <v>132</v>
      </c>
      <c r="F59" s="17" t="s">
        <v>45</v>
      </c>
      <c r="G59" s="15">
        <v>192</v>
      </c>
      <c r="H59" s="18">
        <v>86</v>
      </c>
      <c r="I59" s="22">
        <f t="shared" si="0"/>
        <v>16512</v>
      </c>
    </row>
    <row r="60" spans="1:9" x14ac:dyDescent="0.25">
      <c r="A60" s="21">
        <v>54</v>
      </c>
      <c r="B60" s="16" t="s">
        <v>133</v>
      </c>
      <c r="C60" s="16" t="s">
        <v>21</v>
      </c>
      <c r="D60" s="12" t="s">
        <v>17</v>
      </c>
      <c r="E60" s="14" t="s">
        <v>134</v>
      </c>
      <c r="F60" s="17" t="s">
        <v>40</v>
      </c>
      <c r="G60" s="15">
        <v>285</v>
      </c>
      <c r="H60" s="18">
        <v>100</v>
      </c>
      <c r="I60" s="22">
        <f t="shared" si="0"/>
        <v>28500</v>
      </c>
    </row>
    <row r="61" spans="1:9" x14ac:dyDescent="0.25">
      <c r="A61" s="21">
        <v>55</v>
      </c>
      <c r="B61" s="16" t="s">
        <v>135</v>
      </c>
      <c r="C61" s="16" t="s">
        <v>21</v>
      </c>
      <c r="D61" s="12" t="s">
        <v>17</v>
      </c>
      <c r="E61" s="14" t="s">
        <v>136</v>
      </c>
      <c r="F61" s="17" t="s">
        <v>45</v>
      </c>
      <c r="G61" s="15">
        <v>333</v>
      </c>
      <c r="H61" s="18">
        <v>99</v>
      </c>
      <c r="I61" s="22">
        <f t="shared" si="0"/>
        <v>32967</v>
      </c>
    </row>
    <row r="62" spans="1:9" ht="30" x14ac:dyDescent="0.25">
      <c r="A62" s="21">
        <v>56</v>
      </c>
      <c r="B62" s="16" t="s">
        <v>137</v>
      </c>
      <c r="C62" s="16" t="s">
        <v>21</v>
      </c>
      <c r="D62" s="12" t="s">
        <v>17</v>
      </c>
      <c r="E62" s="14" t="s">
        <v>138</v>
      </c>
      <c r="F62" s="17" t="s">
        <v>139</v>
      </c>
      <c r="G62" s="15">
        <v>117</v>
      </c>
      <c r="H62" s="18">
        <v>668</v>
      </c>
      <c r="I62" s="22">
        <f t="shared" si="0"/>
        <v>78156</v>
      </c>
    </row>
    <row r="63" spans="1:9" x14ac:dyDescent="0.25">
      <c r="A63" s="21">
        <v>57</v>
      </c>
      <c r="B63" s="16" t="s">
        <v>140</v>
      </c>
      <c r="C63" s="16" t="s">
        <v>21</v>
      </c>
      <c r="D63" s="12" t="s">
        <v>17</v>
      </c>
      <c r="E63" s="14" t="s">
        <v>141</v>
      </c>
      <c r="F63" s="17" t="s">
        <v>29</v>
      </c>
      <c r="G63" s="15">
        <v>378</v>
      </c>
      <c r="H63" s="18">
        <v>115</v>
      </c>
      <c r="I63" s="22">
        <f t="shared" si="0"/>
        <v>43470</v>
      </c>
    </row>
    <row r="64" spans="1:9" ht="30" x14ac:dyDescent="0.25">
      <c r="A64" s="21">
        <v>58</v>
      </c>
      <c r="B64" s="16" t="s">
        <v>142</v>
      </c>
      <c r="C64" s="16" t="s">
        <v>21</v>
      </c>
      <c r="D64" s="12" t="s">
        <v>17</v>
      </c>
      <c r="E64" s="14" t="s">
        <v>143</v>
      </c>
      <c r="F64" s="17" t="s">
        <v>45</v>
      </c>
      <c r="G64" s="15">
        <v>165</v>
      </c>
      <c r="H64" s="18">
        <v>89</v>
      </c>
      <c r="I64" s="22">
        <f t="shared" si="0"/>
        <v>14685</v>
      </c>
    </row>
    <row r="65" spans="1:9" x14ac:dyDescent="0.25">
      <c r="A65" s="21">
        <v>59</v>
      </c>
      <c r="B65" s="16" t="s">
        <v>144</v>
      </c>
      <c r="C65" s="16" t="s">
        <v>21</v>
      </c>
      <c r="D65" s="12" t="s">
        <v>17</v>
      </c>
      <c r="E65" s="14" t="s">
        <v>145</v>
      </c>
      <c r="F65" s="17" t="s">
        <v>40</v>
      </c>
      <c r="G65" s="15">
        <v>168</v>
      </c>
      <c r="H65" s="18">
        <v>144</v>
      </c>
      <c r="I65" s="22">
        <f t="shared" si="0"/>
        <v>24192</v>
      </c>
    </row>
    <row r="66" spans="1:9" x14ac:dyDescent="0.25">
      <c r="A66" s="21">
        <v>60</v>
      </c>
      <c r="B66" s="16" t="s">
        <v>146</v>
      </c>
      <c r="C66" s="16" t="s">
        <v>21</v>
      </c>
      <c r="D66" s="12" t="s">
        <v>17</v>
      </c>
      <c r="E66" s="14" t="s">
        <v>147</v>
      </c>
      <c r="F66" s="17" t="s">
        <v>29</v>
      </c>
      <c r="G66" s="15">
        <v>132</v>
      </c>
      <c r="H66" s="18">
        <v>420</v>
      </c>
      <c r="I66" s="22">
        <f t="shared" si="0"/>
        <v>55440</v>
      </c>
    </row>
    <row r="67" spans="1:9" ht="30" x14ac:dyDescent="0.25">
      <c r="A67" s="21">
        <v>61</v>
      </c>
      <c r="B67" s="16" t="s">
        <v>148</v>
      </c>
      <c r="C67" s="16" t="s">
        <v>21</v>
      </c>
      <c r="D67" s="12" t="s">
        <v>17</v>
      </c>
      <c r="E67" s="14" t="s">
        <v>149</v>
      </c>
      <c r="F67" s="17" t="s">
        <v>45</v>
      </c>
      <c r="G67" s="15">
        <v>42</v>
      </c>
      <c r="H67" s="18">
        <v>638</v>
      </c>
      <c r="I67" s="22">
        <f t="shared" si="0"/>
        <v>26796</v>
      </c>
    </row>
    <row r="68" spans="1:9" x14ac:dyDescent="0.25">
      <c r="A68" s="21">
        <v>62</v>
      </c>
      <c r="B68" s="16" t="s">
        <v>150</v>
      </c>
      <c r="C68" s="16" t="s">
        <v>21</v>
      </c>
      <c r="D68" s="12" t="s">
        <v>17</v>
      </c>
      <c r="E68" s="14" t="s">
        <v>151</v>
      </c>
      <c r="F68" s="17" t="s">
        <v>26</v>
      </c>
      <c r="G68" s="15">
        <v>78</v>
      </c>
      <c r="H68" s="18">
        <v>63</v>
      </c>
      <c r="I68" s="22">
        <f t="shared" si="0"/>
        <v>4914</v>
      </c>
    </row>
    <row r="69" spans="1:9" ht="30" x14ac:dyDescent="0.25">
      <c r="A69" s="21">
        <v>63</v>
      </c>
      <c r="B69" s="16" t="s">
        <v>152</v>
      </c>
      <c r="C69" s="16" t="s">
        <v>21</v>
      </c>
      <c r="D69" s="12" t="s">
        <v>17</v>
      </c>
      <c r="E69" s="14" t="s">
        <v>153</v>
      </c>
      <c r="F69" s="17" t="s">
        <v>26</v>
      </c>
      <c r="G69" s="15">
        <v>72</v>
      </c>
      <c r="H69" s="18">
        <v>75</v>
      </c>
      <c r="I69" s="22">
        <f t="shared" si="0"/>
        <v>5400</v>
      </c>
    </row>
    <row r="70" spans="1:9" ht="30" x14ac:dyDescent="0.25">
      <c r="A70" s="21">
        <v>64</v>
      </c>
      <c r="B70" s="16" t="s">
        <v>154</v>
      </c>
      <c r="C70" s="16" t="s">
        <v>21</v>
      </c>
      <c r="D70" s="12" t="s">
        <v>17</v>
      </c>
      <c r="E70" s="14" t="s">
        <v>155</v>
      </c>
      <c r="F70" s="17" t="s">
        <v>26</v>
      </c>
      <c r="G70" s="15">
        <v>66</v>
      </c>
      <c r="H70" s="18">
        <v>211</v>
      </c>
      <c r="I70" s="22">
        <f t="shared" si="0"/>
        <v>13926</v>
      </c>
    </row>
    <row r="71" spans="1:9" ht="30" x14ac:dyDescent="0.25">
      <c r="A71" s="21">
        <v>65</v>
      </c>
      <c r="B71" s="16" t="s">
        <v>156</v>
      </c>
      <c r="C71" s="16" t="s">
        <v>21</v>
      </c>
      <c r="D71" s="12" t="s">
        <v>17</v>
      </c>
      <c r="E71" s="14" t="s">
        <v>157</v>
      </c>
      <c r="F71" s="17" t="s">
        <v>45</v>
      </c>
      <c r="G71" s="15">
        <v>54</v>
      </c>
      <c r="H71" s="18">
        <v>188</v>
      </c>
      <c r="I71" s="22">
        <f t="shared" si="0"/>
        <v>10152</v>
      </c>
    </row>
    <row r="72" spans="1:9" ht="30" x14ac:dyDescent="0.25">
      <c r="A72" s="21">
        <v>66</v>
      </c>
      <c r="B72" s="16" t="s">
        <v>158</v>
      </c>
      <c r="C72" s="16" t="s">
        <v>21</v>
      </c>
      <c r="D72" s="12" t="s">
        <v>17</v>
      </c>
      <c r="E72" s="14" t="s">
        <v>159</v>
      </c>
      <c r="F72" s="17" t="s">
        <v>45</v>
      </c>
      <c r="G72" s="15">
        <v>18</v>
      </c>
      <c r="H72" s="18">
        <v>209</v>
      </c>
      <c r="I72" s="22">
        <f t="shared" ref="I72:I80" si="1">G72*H72</f>
        <v>3762</v>
      </c>
    </row>
    <row r="73" spans="1:9" ht="30" x14ac:dyDescent="0.25">
      <c r="A73" s="21">
        <v>67</v>
      </c>
      <c r="B73" s="16" t="s">
        <v>160</v>
      </c>
      <c r="C73" s="16" t="s">
        <v>21</v>
      </c>
      <c r="D73" s="12" t="s">
        <v>17</v>
      </c>
      <c r="E73" s="14" t="s">
        <v>161</v>
      </c>
      <c r="F73" s="17" t="s">
        <v>45</v>
      </c>
      <c r="G73" s="15">
        <v>3</v>
      </c>
      <c r="H73" s="18">
        <v>486</v>
      </c>
      <c r="I73" s="22">
        <f t="shared" si="1"/>
        <v>1458</v>
      </c>
    </row>
    <row r="74" spans="1:9" ht="30" x14ac:dyDescent="0.25">
      <c r="A74" s="21">
        <v>68</v>
      </c>
      <c r="B74" s="16" t="s">
        <v>162</v>
      </c>
      <c r="C74" s="16" t="s">
        <v>21</v>
      </c>
      <c r="D74" s="12" t="s">
        <v>17</v>
      </c>
      <c r="E74" s="14" t="s">
        <v>163</v>
      </c>
      <c r="F74" s="17" t="s">
        <v>45</v>
      </c>
      <c r="G74" s="15">
        <v>6</v>
      </c>
      <c r="H74" s="18">
        <v>95</v>
      </c>
      <c r="I74" s="22">
        <f t="shared" si="1"/>
        <v>570</v>
      </c>
    </row>
    <row r="75" spans="1:9" ht="30" x14ac:dyDescent="0.25">
      <c r="A75" s="21">
        <v>69</v>
      </c>
      <c r="B75" s="16" t="s">
        <v>164</v>
      </c>
      <c r="C75" s="16" t="s">
        <v>21</v>
      </c>
      <c r="D75" s="12" t="s">
        <v>17</v>
      </c>
      <c r="E75" s="14" t="s">
        <v>165</v>
      </c>
      <c r="F75" s="17" t="s">
        <v>23</v>
      </c>
      <c r="G75" s="15">
        <v>600</v>
      </c>
      <c r="H75" s="18">
        <v>45</v>
      </c>
      <c r="I75" s="22">
        <f t="shared" si="1"/>
        <v>27000</v>
      </c>
    </row>
    <row r="76" spans="1:9" x14ac:dyDescent="0.25">
      <c r="A76" s="21">
        <v>70</v>
      </c>
      <c r="B76" s="16" t="s">
        <v>166</v>
      </c>
      <c r="C76" s="16" t="s">
        <v>21</v>
      </c>
      <c r="D76" s="12" t="s">
        <v>17</v>
      </c>
      <c r="E76" s="14" t="s">
        <v>167</v>
      </c>
      <c r="F76" s="17" t="s">
        <v>19</v>
      </c>
      <c r="G76" s="15">
        <v>30</v>
      </c>
      <c r="H76" s="18">
        <v>107</v>
      </c>
      <c r="I76" s="22">
        <f t="shared" si="1"/>
        <v>3210</v>
      </c>
    </row>
    <row r="77" spans="1:9" ht="30" x14ac:dyDescent="0.25">
      <c r="A77" s="21">
        <v>71</v>
      </c>
      <c r="B77" s="16" t="s">
        <v>168</v>
      </c>
      <c r="C77" s="16" t="s">
        <v>21</v>
      </c>
      <c r="D77" s="12" t="s">
        <v>17</v>
      </c>
      <c r="E77" s="14" t="s">
        <v>169</v>
      </c>
      <c r="F77" s="17" t="s">
        <v>26</v>
      </c>
      <c r="G77" s="15">
        <v>192</v>
      </c>
      <c r="H77" s="18">
        <v>587</v>
      </c>
      <c r="I77" s="22">
        <f t="shared" si="1"/>
        <v>112704</v>
      </c>
    </row>
    <row r="78" spans="1:9" ht="30" x14ac:dyDescent="0.25">
      <c r="A78" s="21">
        <v>72</v>
      </c>
      <c r="B78" s="16" t="s">
        <v>170</v>
      </c>
      <c r="C78" s="16" t="s">
        <v>21</v>
      </c>
      <c r="D78" s="12" t="s">
        <v>17</v>
      </c>
      <c r="E78" s="14" t="s">
        <v>171</v>
      </c>
      <c r="F78" s="17" t="s">
        <v>108</v>
      </c>
      <c r="G78" s="15">
        <v>15</v>
      </c>
      <c r="H78" s="18">
        <v>135</v>
      </c>
      <c r="I78" s="22">
        <f t="shared" si="1"/>
        <v>2025</v>
      </c>
    </row>
    <row r="79" spans="1:9" ht="30" x14ac:dyDescent="0.25">
      <c r="A79" s="21">
        <v>73</v>
      </c>
      <c r="B79" s="16" t="s">
        <v>172</v>
      </c>
      <c r="C79" s="16" t="s">
        <v>21</v>
      </c>
      <c r="D79" s="12" t="s">
        <v>17</v>
      </c>
      <c r="E79" s="14" t="s">
        <v>173</v>
      </c>
      <c r="F79" s="17" t="s">
        <v>29</v>
      </c>
      <c r="G79" s="15">
        <v>60</v>
      </c>
      <c r="H79" s="18">
        <v>528</v>
      </c>
      <c r="I79" s="22">
        <f t="shared" si="1"/>
        <v>31680</v>
      </c>
    </row>
    <row r="80" spans="1:9" x14ac:dyDescent="0.25">
      <c r="A80" s="21">
        <v>74</v>
      </c>
      <c r="B80" s="16" t="s">
        <v>174</v>
      </c>
      <c r="C80" s="16" t="s">
        <v>21</v>
      </c>
      <c r="D80" s="12" t="s">
        <v>17</v>
      </c>
      <c r="E80" s="14" t="s">
        <v>175</v>
      </c>
      <c r="F80" s="17" t="s">
        <v>29</v>
      </c>
      <c r="G80" s="15">
        <v>90</v>
      </c>
      <c r="H80" s="18">
        <v>163</v>
      </c>
      <c r="I80" s="22">
        <f t="shared" si="1"/>
        <v>14670</v>
      </c>
    </row>
    <row r="81" spans="1:9" x14ac:dyDescent="0.25">
      <c r="A81" s="21">
        <v>75</v>
      </c>
      <c r="B81" s="16" t="s">
        <v>176</v>
      </c>
      <c r="C81" s="16" t="s">
        <v>21</v>
      </c>
      <c r="D81" s="12" t="s">
        <v>17</v>
      </c>
      <c r="E81" s="14" t="s">
        <v>177</v>
      </c>
      <c r="F81" s="17" t="s">
        <v>45</v>
      </c>
      <c r="G81" s="15">
        <v>12</v>
      </c>
      <c r="H81" s="18">
        <v>232</v>
      </c>
      <c r="I81" s="22">
        <f>G81*H81</f>
        <v>2784</v>
      </c>
    </row>
    <row r="82" spans="1:9" x14ac:dyDescent="0.25">
      <c r="A82" s="21">
        <v>76</v>
      </c>
      <c r="B82" s="16" t="s">
        <v>178</v>
      </c>
      <c r="C82" s="16" t="s">
        <v>21</v>
      </c>
      <c r="D82" s="12" t="s">
        <v>17</v>
      </c>
      <c r="E82" s="14" t="s">
        <v>179</v>
      </c>
      <c r="F82" s="17" t="s">
        <v>139</v>
      </c>
      <c r="G82" s="15">
        <v>45</v>
      </c>
      <c r="H82" s="18">
        <v>353</v>
      </c>
      <c r="I82" s="22">
        <f>G82*H82</f>
        <v>15885</v>
      </c>
    </row>
    <row r="83" spans="1:9" ht="60" x14ac:dyDescent="0.25">
      <c r="A83" s="21">
        <v>77</v>
      </c>
      <c r="B83" s="16" t="s">
        <v>180</v>
      </c>
      <c r="C83" s="16" t="s">
        <v>21</v>
      </c>
      <c r="D83" s="12" t="s">
        <v>17</v>
      </c>
      <c r="E83" s="14" t="s">
        <v>181</v>
      </c>
      <c r="F83" s="17" t="s">
        <v>45</v>
      </c>
      <c r="G83" s="15">
        <v>1416</v>
      </c>
      <c r="H83" s="20">
        <v>210</v>
      </c>
      <c r="I83" s="22">
        <f t="shared" ref="I83:I94" si="2">G83*H83</f>
        <v>297360</v>
      </c>
    </row>
    <row r="84" spans="1:9" ht="60" x14ac:dyDescent="0.25">
      <c r="A84" s="21">
        <v>78</v>
      </c>
      <c r="B84" s="16" t="s">
        <v>182</v>
      </c>
      <c r="C84" s="16" t="s">
        <v>21</v>
      </c>
      <c r="D84" s="12" t="s">
        <v>17</v>
      </c>
      <c r="E84" s="14" t="s">
        <v>183</v>
      </c>
      <c r="F84" s="17" t="s">
        <v>45</v>
      </c>
      <c r="G84" s="15">
        <v>360</v>
      </c>
      <c r="H84" s="20">
        <v>180</v>
      </c>
      <c r="I84" s="22">
        <f t="shared" si="2"/>
        <v>64800</v>
      </c>
    </row>
    <row r="85" spans="1:9" ht="60" x14ac:dyDescent="0.25">
      <c r="A85" s="21">
        <v>79</v>
      </c>
      <c r="B85" s="16" t="s">
        <v>184</v>
      </c>
      <c r="C85" s="16" t="s">
        <v>21</v>
      </c>
      <c r="D85" s="12" t="s">
        <v>17</v>
      </c>
      <c r="E85" s="14" t="s">
        <v>185</v>
      </c>
      <c r="F85" s="17" t="s">
        <v>45</v>
      </c>
      <c r="G85" s="15">
        <v>420</v>
      </c>
      <c r="H85" s="20">
        <v>159</v>
      </c>
      <c r="I85" s="22">
        <f t="shared" si="2"/>
        <v>66780</v>
      </c>
    </row>
    <row r="86" spans="1:9" ht="60" x14ac:dyDescent="0.25">
      <c r="A86" s="21">
        <v>80</v>
      </c>
      <c r="B86" s="16" t="s">
        <v>186</v>
      </c>
      <c r="C86" s="16" t="s">
        <v>21</v>
      </c>
      <c r="D86" s="12" t="s">
        <v>17</v>
      </c>
      <c r="E86" s="14" t="s">
        <v>187</v>
      </c>
      <c r="F86" s="17" t="s">
        <v>29</v>
      </c>
      <c r="G86" s="15">
        <v>24</v>
      </c>
      <c r="H86" s="20">
        <v>1480</v>
      </c>
      <c r="I86" s="22">
        <f t="shared" si="2"/>
        <v>35520</v>
      </c>
    </row>
    <row r="87" spans="1:9" ht="45" x14ac:dyDescent="0.25">
      <c r="A87" s="21">
        <v>81</v>
      </c>
      <c r="B87" s="16" t="s">
        <v>188</v>
      </c>
      <c r="C87" s="16" t="s">
        <v>21</v>
      </c>
      <c r="D87" s="12" t="s">
        <v>17</v>
      </c>
      <c r="E87" s="14" t="s">
        <v>189</v>
      </c>
      <c r="F87" s="17" t="s">
        <v>26</v>
      </c>
      <c r="G87" s="15">
        <v>60</v>
      </c>
      <c r="H87" s="20">
        <v>215</v>
      </c>
      <c r="I87" s="22">
        <f t="shared" si="2"/>
        <v>12900</v>
      </c>
    </row>
    <row r="88" spans="1:9" x14ac:dyDescent="0.25">
      <c r="A88" s="21">
        <v>82</v>
      </c>
      <c r="B88" s="16" t="s">
        <v>190</v>
      </c>
      <c r="C88" s="16" t="s">
        <v>21</v>
      </c>
      <c r="D88" s="12" t="s">
        <v>17</v>
      </c>
      <c r="E88" s="14" t="s">
        <v>191</v>
      </c>
      <c r="F88" s="17" t="s">
        <v>40</v>
      </c>
      <c r="G88" s="15">
        <v>60</v>
      </c>
      <c r="H88" s="20">
        <v>100</v>
      </c>
      <c r="I88" s="22">
        <f t="shared" si="2"/>
        <v>6000</v>
      </c>
    </row>
    <row r="89" spans="1:9" ht="30" x14ac:dyDescent="0.25">
      <c r="A89" s="21">
        <v>83</v>
      </c>
      <c r="B89" s="16" t="s">
        <v>192</v>
      </c>
      <c r="C89" s="16" t="s">
        <v>21</v>
      </c>
      <c r="D89" s="12" t="s">
        <v>17</v>
      </c>
      <c r="E89" s="14" t="s">
        <v>193</v>
      </c>
      <c r="F89" s="17" t="s">
        <v>26</v>
      </c>
      <c r="G89" s="15">
        <v>12</v>
      </c>
      <c r="H89" s="20">
        <v>390</v>
      </c>
      <c r="I89" s="22">
        <f t="shared" si="2"/>
        <v>4680</v>
      </c>
    </row>
    <row r="90" spans="1:9" ht="30" x14ac:dyDescent="0.25">
      <c r="A90" s="21">
        <v>84</v>
      </c>
      <c r="B90" s="16" t="s">
        <v>194</v>
      </c>
      <c r="C90" s="16" t="s">
        <v>21</v>
      </c>
      <c r="D90" s="12" t="s">
        <v>17</v>
      </c>
      <c r="E90" s="14" t="s">
        <v>195</v>
      </c>
      <c r="F90" s="17" t="s">
        <v>19</v>
      </c>
      <c r="G90" s="15">
        <v>18</v>
      </c>
      <c r="H90" s="20">
        <v>314</v>
      </c>
      <c r="I90" s="22">
        <f t="shared" si="2"/>
        <v>5652</v>
      </c>
    </row>
    <row r="91" spans="1:9" ht="30" x14ac:dyDescent="0.25">
      <c r="A91" s="21">
        <v>85</v>
      </c>
      <c r="B91" s="16" t="s">
        <v>196</v>
      </c>
      <c r="C91" s="16" t="s">
        <v>21</v>
      </c>
      <c r="D91" s="12" t="s">
        <v>17</v>
      </c>
      <c r="E91" s="14" t="s">
        <v>197</v>
      </c>
      <c r="F91" s="13" t="s">
        <v>29</v>
      </c>
      <c r="G91" s="15">
        <v>36</v>
      </c>
      <c r="H91" s="20">
        <v>489</v>
      </c>
      <c r="I91" s="22">
        <f t="shared" si="2"/>
        <v>17604</v>
      </c>
    </row>
    <row r="92" spans="1:9" ht="45" x14ac:dyDescent="0.25">
      <c r="A92" s="21">
        <v>86</v>
      </c>
      <c r="B92" s="16" t="s">
        <v>198</v>
      </c>
      <c r="C92" s="16" t="s">
        <v>21</v>
      </c>
      <c r="D92" s="12" t="s">
        <v>17</v>
      </c>
      <c r="E92" s="14" t="s">
        <v>199</v>
      </c>
      <c r="F92" s="17" t="s">
        <v>19</v>
      </c>
      <c r="G92" s="15">
        <v>180</v>
      </c>
      <c r="H92" s="20">
        <v>190</v>
      </c>
      <c r="I92" s="22">
        <f t="shared" si="2"/>
        <v>34200</v>
      </c>
    </row>
    <row r="93" spans="1:9" ht="45" x14ac:dyDescent="0.25">
      <c r="A93" s="21">
        <v>87</v>
      </c>
      <c r="B93" s="16" t="s">
        <v>200</v>
      </c>
      <c r="C93" s="16" t="s">
        <v>21</v>
      </c>
      <c r="D93" s="12" t="s">
        <v>17</v>
      </c>
      <c r="E93" s="14" t="s">
        <v>201</v>
      </c>
      <c r="F93" s="17" t="s">
        <v>26</v>
      </c>
      <c r="G93" s="15">
        <v>30</v>
      </c>
      <c r="H93" s="20">
        <v>95</v>
      </c>
      <c r="I93" s="22">
        <f t="shared" si="2"/>
        <v>2850</v>
      </c>
    </row>
    <row r="94" spans="1:9" ht="45.75" thickBot="1" x14ac:dyDescent="0.3">
      <c r="A94" s="23">
        <v>88</v>
      </c>
      <c r="B94" s="24" t="s">
        <v>202</v>
      </c>
      <c r="C94" s="24" t="s">
        <v>21</v>
      </c>
      <c r="D94" s="25" t="s">
        <v>17</v>
      </c>
      <c r="E94" s="43" t="s">
        <v>203</v>
      </c>
      <c r="F94" s="26" t="s">
        <v>23</v>
      </c>
      <c r="G94" s="27">
        <v>12</v>
      </c>
      <c r="H94" s="28">
        <v>605</v>
      </c>
      <c r="I94" s="29">
        <f t="shared" si="2"/>
        <v>7260</v>
      </c>
    </row>
    <row r="95" spans="1:9" ht="15.75" thickBot="1" x14ac:dyDescent="0.3">
      <c r="I95" s="44">
        <f>SUM(I7:I94)</f>
        <v>3040929</v>
      </c>
    </row>
  </sheetData>
  <mergeCells count="6">
    <mergeCell ref="A1:B1"/>
    <mergeCell ref="C1:E1"/>
    <mergeCell ref="A2:B2"/>
    <mergeCell ref="C2:E2"/>
    <mergeCell ref="A3:B3"/>
    <mergeCell ref="A4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2022-08-04T11:28:33Z</dcterms:created>
  <dcterms:modified xsi:type="dcterms:W3CDTF">2022-08-04T11:31:57Z</dcterms:modified>
</cp:coreProperties>
</file>