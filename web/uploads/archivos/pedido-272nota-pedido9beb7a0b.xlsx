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Trimestrales'!$A$9:$I$44</definedName>
    <definedName name="_xlnm.Print_Area" localSheetId="1">' NotaPedido'!$A$1:$K$47</definedName>
    <definedName name="_xlnm.Print_Area" localSheetId="2">'Autor Gastar'!$A$1:$Q$25</definedName>
    <definedName name="_xlnm.Print_Area" localSheetId="0">'Necesidades Trimestrales'!$E$9:$E$44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2" i="1" l="1"/>
  <c r="I43" i="1"/>
  <c r="I44" i="1"/>
  <c r="K32" i="2" l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47" i="2" l="1"/>
  <c r="Q21" i="3"/>
</calcChain>
</file>

<file path=xl/sharedStrings.xml><?xml version="1.0" encoding="utf-8"?>
<sst xmlns="http://schemas.openxmlformats.org/spreadsheetml/2006/main" count="216" uniqueCount="106">
  <si>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</si>
  <si>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</si>
  <si>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</si>
  <si>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</si>
  <si>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</si>
  <si>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</si>
  <si>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</si>
  <si>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</si>
  <si>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</si>
  <si>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</si>
  <si>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</si>
  <si>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</si>
  <si>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</si>
  <si>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</si>
  <si>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</si>
  <si>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</si>
  <si>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</si>
  <si>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</si>
  <si>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</si>
  <si>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</si>
  <si>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</si>
  <si>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</si>
  <si>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</si>
  <si>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</si>
  <si>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</si>
  <si>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</si>
  <si>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</si>
  <si>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</si>
  <si>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</si>
  <si>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</si>
  <si>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</si>
  <si>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</si>
  <si>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</si>
  <si>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</si>
  <si>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</si>
  <si>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</si>
  <si>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</si>
  <si>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</si>
  <si>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</si>
  <si>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</si>
  <si>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</si>
  <si>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</si>
  <si>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</si>
  <si>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</si>
  <si>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</si>
  <si>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</si>
  <si>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</si>
  <si>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</si>
  <si>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</si>
  <si>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</si>
  <si>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</si>
  <si>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</si>
  <si>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</si>
  <si>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</si>
  <si>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</si>
  <si>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</si>
  <si>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</si>
  <si>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</si>
  <si>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</si>
  <si>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</si>
  <si>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 xml:space="preserve">AMOXICILINA  400 MG + CLAULANICO 57 MG  SUSPENSIÓN </t>
  </si>
  <si>
    <t>AMOXICILINA + CLAVULANICO 1 G COMPRIMIDO</t>
  </si>
  <si>
    <t>AMOXICILINA 500 MG COMPRIMIDO</t>
  </si>
  <si>
    <t>AMPICILINA 1G FCO AMPOLLA</t>
  </si>
  <si>
    <t>CEFALEXINA 500 MG SUSPENSIÓN X 90 ML</t>
  </si>
  <si>
    <t>CEFALOTINA 1 GR. AMP.</t>
  </si>
  <si>
    <t>CEFTAZIDIMA 1G FCO AMPOLLA</t>
  </si>
  <si>
    <t>CEFTRIAXONA 1 GR FCO AMPOLLA *</t>
  </si>
  <si>
    <t>COTRIMOXAZOL(TRIMETOPRINA +SULFAMETOXAZOL)80MG/400MG AMPOLLA</t>
  </si>
  <si>
    <t>COTRIMOXAZOL(TRIMETOPRINA +SULFAMETOXAZOL)COMPRIMIDOS 160MG/800MG</t>
  </si>
  <si>
    <t>IMIPENEM+CILASTATINA 500MG</t>
  </si>
  <si>
    <t>MEROPENEM 1000MG</t>
  </si>
  <si>
    <t>MEROPENEM 500MG</t>
  </si>
  <si>
    <t>PIPERACILINA 4 GRS + TAZOBACTAM 500 MG FCO AMPOLLA * USO RESTRINGIDO</t>
  </si>
  <si>
    <t>CLARITROMICINA AMPOLLA</t>
  </si>
  <si>
    <t xml:space="preserve">AZITROMICINA 500 MG COMPRIMIDOS </t>
  </si>
  <si>
    <t>CLINDAMICINA 300MG CAPSULAS</t>
  </si>
  <si>
    <t>CLINDAMICINA 600 MG AMPOLLA</t>
  </si>
  <si>
    <t>GENTAMICINA 80 MG AMPOLLA</t>
  </si>
  <si>
    <t>CIPROFLOXACINA 500 MG COMP</t>
  </si>
  <si>
    <t>VANCOMICINA 500 MG FCO AMP</t>
  </si>
  <si>
    <t>VANCOMICINA 1000 MG FCO AMP</t>
  </si>
  <si>
    <t>METRONIDAZOL 500 MG COMP</t>
  </si>
  <si>
    <t>METRONIDAZOL 500 MG SACHET</t>
  </si>
  <si>
    <t>ORNIDAZOL 1GR AMPOLLA</t>
  </si>
  <si>
    <t>MEBENDAZOL 100 MG COMPRIMIDO</t>
  </si>
  <si>
    <t>ANFOTERICINA B VIAL 50 MG</t>
  </si>
  <si>
    <t>FLUCONAZOL 100 MG COMPRIMIDOS</t>
  </si>
  <si>
    <t>FLUCONAZOL 50MG/5ML SUSENSION X 35 ML</t>
  </si>
  <si>
    <t>RIFAMPICINA 600 MG VIAL</t>
  </si>
  <si>
    <t>ACICLOVIR 80 MG/ML SUSPENSIÓN X 200ML</t>
  </si>
  <si>
    <t>ACICLOVIR 500 MG FCO AMPOLLA</t>
  </si>
  <si>
    <t>INMUNOGLOBULINA HUMANA INESPECIFICA 2,5 GRS</t>
  </si>
  <si>
    <t>INMUNOGLOBULINA HUMANA INESPECIFICA 5 GRS</t>
  </si>
  <si>
    <t>INMUNOGLOBULINA HUMANA INESPECIFICA 10 GRS</t>
  </si>
  <si>
    <t>053/2021</t>
  </si>
  <si>
    <t>Costo total estimado: Trece Millones Quinientos Sesenta y Cinco Mil Seiscientos Dieciocho Con 10/100.</t>
  </si>
  <si>
    <t>TOTAL DE PESOS: TRECE MILLONES QUINIENTOS SESENTA Y CINCO MIL SEISCIENTOS DIECIOCHO CON 10/100.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</si>
  <si>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</si>
  <si>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</si>
  <si>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</si>
  <si>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Mantenimiento de Oferta:</t>
  </si>
  <si>
    <t xml:space="preserve">45 dias habiles </t>
  </si>
  <si>
    <t>TERAPIA ANTIINFECCIOSA SISTEMICA</t>
  </si>
  <si>
    <t>Para la adquisición de Insumos relacionados a la TERAPIA ANTIINFECCIOSA SISTEMICA destinados al Servicio de Farmacia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</si>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</sst>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0" fillId="0" borderId="59" xfId="0" applyBorder="1"/>
    <xf numFmtId="0" fontId="15" fillId="0" borderId="59" xfId="0" applyFont="1" applyBorder="1" applyAlignment="1">
      <alignment wrapText="1"/>
    </xf>
    <xf numFmtId="0" fontId="22" fillId="0" borderId="59" xfId="0" applyFont="1" applyBorder="1" applyAlignment="1">
      <alignment horizontal="center" vertical="center" wrapText="1"/>
    </xf>
    <xf numFmtId="168" fontId="21" fillId="4" borderId="60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/>
    </xf>
    <xf numFmtId="0" fontId="0" fillId="0" borderId="63" xfId="0" applyBorder="1"/>
    <xf numFmtId="0" fontId="15" fillId="0" borderId="63" xfId="0" applyFont="1" applyBorder="1" applyAlignment="1">
      <alignment wrapText="1"/>
    </xf>
    <xf numFmtId="0" fontId="22" fillId="0" borderId="63" xfId="0" applyFont="1" applyBorder="1" applyAlignment="1">
      <alignment horizontal="center" vertical="center" wrapText="1"/>
    </xf>
    <xf numFmtId="168" fontId="21" fillId="4" borderId="66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0" fillId="0" borderId="61" xfId="0" applyBorder="1"/>
    <xf numFmtId="164" fontId="0" fillId="3" borderId="56" xfId="1" applyNumberFormat="1" applyFont="1" applyFill="1" applyBorder="1" applyAlignment="1">
      <alignment vertical="center" wrapText="1"/>
    </xf>
    <xf numFmtId="0" fontId="5" fillId="3" borderId="61" xfId="0" applyFont="1" applyFill="1" applyBorder="1" applyAlignment="1">
      <alignment horizontal="left" vertical="center"/>
    </xf>
    <xf numFmtId="0" fontId="27" fillId="3" borderId="56" xfId="0" applyFont="1" applyFill="1" applyBorder="1" applyAlignment="1">
      <alignment horizontal="left" vertical="center" wrapText="1"/>
    </xf>
    <xf numFmtId="0" fontId="15" fillId="3" borderId="62" xfId="0" applyFont="1" applyFill="1" applyBorder="1" applyAlignment="1">
      <alignment horizontal="left" vertical="center" wrapText="1"/>
    </xf>
    <xf numFmtId="164" fontId="15" fillId="3" borderId="56" xfId="1" applyNumberFormat="1" applyFont="1" applyFill="1" applyBorder="1" applyAlignment="1">
      <alignment horizontal="right" vertical="center" wrapText="1"/>
    </xf>
    <xf numFmtId="0" fontId="21" fillId="0" borderId="69" xfId="0" applyFont="1" applyBorder="1" applyAlignment="1">
      <alignment horizontal="center" vertical="center"/>
    </xf>
    <xf numFmtId="0" fontId="0" fillId="3" borderId="67" xfId="0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center" wrapText="1"/>
    </xf>
    <xf numFmtId="164" fontId="15" fillId="3" borderId="59" xfId="1" applyNumberFormat="1" applyFont="1" applyFill="1" applyBorder="1" applyAlignment="1">
      <alignment horizontal="right"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0" fillId="3" borderId="56" xfId="0" applyFill="1" applyBorder="1" applyAlignment="1">
      <alignment wrapText="1"/>
    </xf>
    <xf numFmtId="0" fontId="15" fillId="3" borderId="64" xfId="0" applyFont="1" applyFill="1" applyBorder="1" applyAlignment="1">
      <alignment horizontal="left" vertical="center" wrapText="1"/>
    </xf>
    <xf numFmtId="0" fontId="15" fillId="3" borderId="56" xfId="0" applyFont="1" applyFill="1" applyBorder="1" applyAlignment="1">
      <alignment horizontal="left" vertical="center" wrapText="1"/>
    </xf>
    <xf numFmtId="0" fontId="27" fillId="3" borderId="68" xfId="0" applyFont="1" applyFill="1" applyBorder="1" applyAlignment="1">
      <alignment horizontal="left" vertical="center" wrapText="1"/>
    </xf>
    <xf numFmtId="0" fontId="15" fillId="3" borderId="59" xfId="0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7" fillId="3" borderId="16" xfId="0" applyFont="1" applyFill="1" applyBorder="1" applyAlignment="1">
      <alignment horizontal="left" vertical="center" wrapText="1" inden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61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8"/>
  <sheetViews>
    <sheetView tabSelected="1" topLeftCell="A40" zoomScale="93" zoomScaleNormal="93" workbookViewId="0">
      <selection activeCell="G50" sqref="G50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2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14" t="s">
        <v>0</v>
      </c>
      <c r="C2" s="114"/>
      <c r="D2" s="114"/>
      <c r="E2" s="114"/>
      <c r="F2" s="114"/>
      <c r="G2" s="114"/>
      <c r="H2" s="114"/>
    </row>
    <row r="3" spans="1:10" ht="12" customHeight="1" x14ac:dyDescent="0.2"/>
    <row r="4" spans="1:10" ht="18" customHeight="1" x14ac:dyDescent="0.25">
      <c r="A4" s="113" t="s">
        <v>1</v>
      </c>
      <c r="B4" s="113"/>
      <c r="C4" s="115" t="s">
        <v>52</v>
      </c>
      <c r="D4" s="115"/>
      <c r="E4" s="115"/>
      <c r="F4" s="27"/>
      <c r="G4" s="28"/>
      <c r="H4" s="53"/>
    </row>
    <row r="5" spans="1:10" ht="18" customHeight="1" x14ac:dyDescent="0.25">
      <c r="A5" s="113" t="s">
        <v>2</v>
      </c>
      <c r="B5" s="113"/>
      <c r="C5" s="115" t="s">
        <v>51</v>
      </c>
      <c r="D5" s="115"/>
      <c r="E5" s="115"/>
      <c r="F5" s="27"/>
      <c r="G5" s="28" t="s">
        <v>55</v>
      </c>
      <c r="H5" s="53"/>
    </row>
    <row r="6" spans="1:10" ht="16.5" customHeight="1" x14ac:dyDescent="0.25">
      <c r="A6" s="113" t="s">
        <v>3</v>
      </c>
      <c r="B6" s="113"/>
      <c r="C6" s="43">
        <v>2021</v>
      </c>
      <c r="D6" s="44"/>
      <c r="E6" s="44"/>
      <c r="F6" s="27"/>
      <c r="G6" s="28"/>
      <c r="H6" s="53"/>
    </row>
    <row r="7" spans="1:10" ht="16.5" customHeight="1" x14ac:dyDescent="0.25">
      <c r="A7" s="113" t="s">
        <v>4</v>
      </c>
      <c r="B7" s="113"/>
      <c r="C7" s="43">
        <v>2</v>
      </c>
      <c r="D7" s="44"/>
      <c r="E7" s="44"/>
      <c r="F7" s="27"/>
      <c r="G7" s="28"/>
      <c r="H7" s="53"/>
    </row>
    <row r="8" spans="1:10" ht="13.5" thickBot="1" x14ac:dyDescent="0.25">
      <c r="B8" s="27"/>
      <c r="C8" s="28"/>
      <c r="D8" s="27"/>
      <c r="E8" s="27"/>
      <c r="F8" s="27"/>
      <c r="G8" s="28"/>
      <c r="H8" s="53"/>
      <c r="J8" s="51"/>
    </row>
    <row r="9" spans="1:10" ht="36.75" thickBot="1" x14ac:dyDescent="0.25">
      <c r="A9" s="90" t="s">
        <v>5</v>
      </c>
      <c r="B9" s="90" t="s">
        <v>6</v>
      </c>
      <c r="C9" s="90" t="s">
        <v>7</v>
      </c>
      <c r="D9" s="90" t="s">
        <v>8</v>
      </c>
      <c r="E9" s="90" t="s">
        <v>9</v>
      </c>
      <c r="F9" s="90" t="s">
        <v>10</v>
      </c>
      <c r="G9" s="90" t="s">
        <v>11</v>
      </c>
      <c r="H9" s="91" t="s">
        <v>12</v>
      </c>
      <c r="I9" s="90" t="s">
        <v>13</v>
      </c>
    </row>
    <row r="10" spans="1:10" ht="25.5" x14ac:dyDescent="0.2">
      <c r="A10" s="85">
        <v>1</v>
      </c>
      <c r="B10" s="86"/>
      <c r="C10" s="87" t="s">
        <v>58</v>
      </c>
      <c r="D10" s="88">
        <v>252</v>
      </c>
      <c r="E10" s="108" t="s">
        <v>60</v>
      </c>
      <c r="F10" s="83" t="s">
        <v>59</v>
      </c>
      <c r="G10" s="84">
        <v>200</v>
      </c>
      <c r="H10" s="93">
        <v>861.84</v>
      </c>
      <c r="I10" s="89">
        <f>+G10*H10</f>
        <v>172368</v>
      </c>
    </row>
    <row r="11" spans="1:10" ht="25.5" x14ac:dyDescent="0.2">
      <c r="A11" s="69">
        <v>2</v>
      </c>
      <c r="B11" s="68"/>
      <c r="C11" s="70" t="s">
        <v>58</v>
      </c>
      <c r="D11" s="76">
        <v>252</v>
      </c>
      <c r="E11" s="95" t="s">
        <v>61</v>
      </c>
      <c r="F11" s="83" t="s">
        <v>59</v>
      </c>
      <c r="G11" s="84">
        <v>1500</v>
      </c>
      <c r="H11" s="93">
        <v>46.05</v>
      </c>
      <c r="I11" s="71">
        <f t="shared" ref="I11:I44" si="0">+G11*H11</f>
        <v>69075</v>
      </c>
    </row>
    <row r="12" spans="1:10" ht="25.5" x14ac:dyDescent="0.2">
      <c r="A12" s="69">
        <v>3</v>
      </c>
      <c r="B12" s="68"/>
      <c r="C12" s="70" t="s">
        <v>58</v>
      </c>
      <c r="D12" s="76">
        <v>252</v>
      </c>
      <c r="E12" s="95" t="s">
        <v>62</v>
      </c>
      <c r="F12" s="83" t="s">
        <v>59</v>
      </c>
      <c r="G12" s="84">
        <v>1500</v>
      </c>
      <c r="H12" s="93">
        <v>18.260000000000002</v>
      </c>
      <c r="I12" s="71">
        <f t="shared" si="0"/>
        <v>27390.000000000004</v>
      </c>
    </row>
    <row r="13" spans="1:10" ht="25.5" x14ac:dyDescent="0.2">
      <c r="A13" s="69">
        <v>4</v>
      </c>
      <c r="B13" s="68"/>
      <c r="C13" s="70" t="s">
        <v>58</v>
      </c>
      <c r="D13" s="76">
        <v>252</v>
      </c>
      <c r="E13" s="109" t="s">
        <v>63</v>
      </c>
      <c r="F13" s="83" t="s">
        <v>59</v>
      </c>
      <c r="G13" s="84">
        <v>1000</v>
      </c>
      <c r="H13" s="93">
        <v>592</v>
      </c>
      <c r="I13" s="71">
        <f t="shared" si="0"/>
        <v>592000</v>
      </c>
    </row>
    <row r="14" spans="1:10" ht="25.5" x14ac:dyDescent="0.2">
      <c r="A14" s="69">
        <v>5</v>
      </c>
      <c r="B14" s="68"/>
      <c r="C14" s="70" t="s">
        <v>58</v>
      </c>
      <c r="D14" s="76">
        <v>252</v>
      </c>
      <c r="E14" s="110" t="s">
        <v>64</v>
      </c>
      <c r="F14" s="83" t="s">
        <v>59</v>
      </c>
      <c r="G14" s="84">
        <v>50</v>
      </c>
      <c r="H14" s="93">
        <v>530.46</v>
      </c>
      <c r="I14" s="71">
        <f t="shared" si="0"/>
        <v>26523</v>
      </c>
    </row>
    <row r="15" spans="1:10" ht="25.5" x14ac:dyDescent="0.2">
      <c r="A15" s="69">
        <v>6</v>
      </c>
      <c r="B15" s="68"/>
      <c r="C15" s="70" t="s">
        <v>58</v>
      </c>
      <c r="D15" s="76">
        <v>252</v>
      </c>
      <c r="E15" s="111" t="s">
        <v>65</v>
      </c>
      <c r="F15" s="83" t="s">
        <v>59</v>
      </c>
      <c r="G15" s="84">
        <v>500</v>
      </c>
      <c r="H15" s="93">
        <v>485.18</v>
      </c>
      <c r="I15" s="71">
        <f t="shared" si="0"/>
        <v>242590</v>
      </c>
    </row>
    <row r="16" spans="1:10" ht="25.5" x14ac:dyDescent="0.2">
      <c r="A16" s="69">
        <v>7</v>
      </c>
      <c r="B16" s="68"/>
      <c r="C16" s="70" t="s">
        <v>58</v>
      </c>
      <c r="D16" s="76">
        <v>252</v>
      </c>
      <c r="E16" s="110" t="s">
        <v>66</v>
      </c>
      <c r="F16" s="83" t="s">
        <v>59</v>
      </c>
      <c r="G16" s="84">
        <v>100</v>
      </c>
      <c r="H16" s="93">
        <v>515.41</v>
      </c>
      <c r="I16" s="71">
        <f t="shared" si="0"/>
        <v>51541</v>
      </c>
    </row>
    <row r="17" spans="1:9" ht="25.5" x14ac:dyDescent="0.2">
      <c r="A17" s="69">
        <v>8</v>
      </c>
      <c r="B17" s="68"/>
      <c r="C17" s="70" t="s">
        <v>58</v>
      </c>
      <c r="D17" s="76">
        <v>252</v>
      </c>
      <c r="E17" s="110" t="s">
        <v>67</v>
      </c>
      <c r="F17" s="83" t="s">
        <v>59</v>
      </c>
      <c r="G17" s="84">
        <v>3000</v>
      </c>
      <c r="H17" s="93">
        <v>365</v>
      </c>
      <c r="I17" s="71">
        <f t="shared" si="0"/>
        <v>1095000</v>
      </c>
    </row>
    <row r="18" spans="1:9" ht="25.5" x14ac:dyDescent="0.2">
      <c r="A18" s="69">
        <v>9</v>
      </c>
      <c r="B18" s="68"/>
      <c r="C18" s="70" t="s">
        <v>58</v>
      </c>
      <c r="D18" s="76">
        <v>252</v>
      </c>
      <c r="E18" s="110" t="s">
        <v>68</v>
      </c>
      <c r="F18" s="83" t="s">
        <v>59</v>
      </c>
      <c r="G18" s="84">
        <v>100</v>
      </c>
      <c r="H18" s="93">
        <v>379</v>
      </c>
      <c r="I18" s="71">
        <f t="shared" si="0"/>
        <v>37900</v>
      </c>
    </row>
    <row r="19" spans="1:9" ht="25.5" x14ac:dyDescent="0.2">
      <c r="A19" s="69">
        <v>10</v>
      </c>
      <c r="B19" s="68"/>
      <c r="C19" s="70" t="s">
        <v>58</v>
      </c>
      <c r="D19" s="76">
        <v>252</v>
      </c>
      <c r="E19" s="110" t="s">
        <v>69</v>
      </c>
      <c r="F19" s="83" t="s">
        <v>59</v>
      </c>
      <c r="G19" s="84">
        <v>100</v>
      </c>
      <c r="H19" s="93">
        <v>26</v>
      </c>
      <c r="I19" s="71">
        <f t="shared" si="0"/>
        <v>2600</v>
      </c>
    </row>
    <row r="20" spans="1:9" ht="25.5" x14ac:dyDescent="0.2">
      <c r="A20" s="69">
        <v>11</v>
      </c>
      <c r="B20" s="68"/>
      <c r="C20" s="70" t="s">
        <v>58</v>
      </c>
      <c r="D20" s="76">
        <v>252</v>
      </c>
      <c r="E20" s="96" t="s">
        <v>70</v>
      </c>
      <c r="F20" s="83" t="s">
        <v>59</v>
      </c>
      <c r="G20" s="84">
        <v>100</v>
      </c>
      <c r="H20" s="93">
        <v>3700</v>
      </c>
      <c r="I20" s="71">
        <f t="shared" si="0"/>
        <v>370000</v>
      </c>
    </row>
    <row r="21" spans="1:9" ht="25.5" x14ac:dyDescent="0.2">
      <c r="A21" s="69">
        <v>12</v>
      </c>
      <c r="B21" s="68"/>
      <c r="C21" s="70" t="s">
        <v>58</v>
      </c>
      <c r="D21" s="76">
        <v>252</v>
      </c>
      <c r="E21" s="110" t="s">
        <v>71</v>
      </c>
      <c r="F21" s="83" t="s">
        <v>59</v>
      </c>
      <c r="G21" s="84">
        <v>500</v>
      </c>
      <c r="H21" s="93">
        <v>3200</v>
      </c>
      <c r="I21" s="71">
        <f t="shared" si="0"/>
        <v>1600000</v>
      </c>
    </row>
    <row r="22" spans="1:9" ht="25.5" x14ac:dyDescent="0.2">
      <c r="A22" s="69">
        <v>13</v>
      </c>
      <c r="B22" s="68"/>
      <c r="C22" s="70" t="s">
        <v>58</v>
      </c>
      <c r="D22" s="76">
        <v>252</v>
      </c>
      <c r="E22" s="110" t="s">
        <v>72</v>
      </c>
      <c r="F22" s="83" t="s">
        <v>59</v>
      </c>
      <c r="G22" s="84">
        <v>500</v>
      </c>
      <c r="H22" s="93">
        <v>1103</v>
      </c>
      <c r="I22" s="71">
        <f t="shared" si="0"/>
        <v>551500</v>
      </c>
    </row>
    <row r="23" spans="1:9" ht="25.5" x14ac:dyDescent="0.2">
      <c r="A23" s="69">
        <v>14</v>
      </c>
      <c r="B23" s="68"/>
      <c r="C23" s="70" t="s">
        <v>58</v>
      </c>
      <c r="D23" s="76">
        <v>252</v>
      </c>
      <c r="E23" s="110" t="s">
        <v>73</v>
      </c>
      <c r="F23" s="83" t="s">
        <v>59</v>
      </c>
      <c r="G23" s="84">
        <v>500</v>
      </c>
      <c r="H23" s="93">
        <v>1018</v>
      </c>
      <c r="I23" s="71">
        <f t="shared" si="0"/>
        <v>509000</v>
      </c>
    </row>
    <row r="24" spans="1:9" ht="25.5" x14ac:dyDescent="0.2">
      <c r="A24" s="69">
        <v>15</v>
      </c>
      <c r="B24" s="68"/>
      <c r="C24" s="70" t="s">
        <v>58</v>
      </c>
      <c r="D24" s="76">
        <v>252</v>
      </c>
      <c r="E24" s="110" t="s">
        <v>74</v>
      </c>
      <c r="F24" s="83" t="s">
        <v>59</v>
      </c>
      <c r="G24" s="84">
        <v>50</v>
      </c>
      <c r="H24" s="93">
        <v>3045</v>
      </c>
      <c r="I24" s="71">
        <f t="shared" si="0"/>
        <v>152250</v>
      </c>
    </row>
    <row r="25" spans="1:9" ht="25.5" x14ac:dyDescent="0.2">
      <c r="A25" s="69">
        <v>16</v>
      </c>
      <c r="B25" s="68"/>
      <c r="C25" s="70" t="s">
        <v>58</v>
      </c>
      <c r="D25" s="76">
        <v>252</v>
      </c>
      <c r="E25" s="110" t="s">
        <v>75</v>
      </c>
      <c r="F25" s="83" t="s">
        <v>59</v>
      </c>
      <c r="G25" s="84">
        <v>1000</v>
      </c>
      <c r="H25" s="93">
        <v>93.6</v>
      </c>
      <c r="I25" s="71">
        <f t="shared" si="0"/>
        <v>93600</v>
      </c>
    </row>
    <row r="26" spans="1:9" ht="25.5" x14ac:dyDescent="0.2">
      <c r="A26" s="69">
        <v>17</v>
      </c>
      <c r="B26" s="68"/>
      <c r="C26" s="70" t="s">
        <v>58</v>
      </c>
      <c r="D26" s="76">
        <v>252</v>
      </c>
      <c r="E26" s="96" t="s">
        <v>76</v>
      </c>
      <c r="F26" s="83" t="s">
        <v>59</v>
      </c>
      <c r="G26" s="84">
        <v>200</v>
      </c>
      <c r="H26" s="93">
        <v>62.8</v>
      </c>
      <c r="I26" s="71">
        <f t="shared" si="0"/>
        <v>12560</v>
      </c>
    </row>
    <row r="27" spans="1:9" ht="25.5" x14ac:dyDescent="0.2">
      <c r="A27" s="69">
        <v>18</v>
      </c>
      <c r="B27" s="68"/>
      <c r="C27" s="70" t="s">
        <v>58</v>
      </c>
      <c r="D27" s="76">
        <v>252</v>
      </c>
      <c r="E27" s="96" t="s">
        <v>77</v>
      </c>
      <c r="F27" s="83" t="s">
        <v>59</v>
      </c>
      <c r="G27" s="84">
        <v>1000</v>
      </c>
      <c r="H27" s="93">
        <v>238.06</v>
      </c>
      <c r="I27" s="71">
        <f t="shared" si="0"/>
        <v>238060</v>
      </c>
    </row>
    <row r="28" spans="1:9" ht="25.5" x14ac:dyDescent="0.2">
      <c r="A28" s="69">
        <v>19</v>
      </c>
      <c r="B28" s="68"/>
      <c r="C28" s="70" t="s">
        <v>58</v>
      </c>
      <c r="D28" s="76">
        <v>252</v>
      </c>
      <c r="E28" s="110" t="s">
        <v>78</v>
      </c>
      <c r="F28" s="83" t="s">
        <v>59</v>
      </c>
      <c r="G28" s="84">
        <v>100</v>
      </c>
      <c r="H28" s="93">
        <v>85.12</v>
      </c>
      <c r="I28" s="71">
        <f t="shared" si="0"/>
        <v>8512</v>
      </c>
    </row>
    <row r="29" spans="1:9" ht="25.5" x14ac:dyDescent="0.2">
      <c r="A29" s="69">
        <v>20</v>
      </c>
      <c r="B29" s="68"/>
      <c r="C29" s="70" t="s">
        <v>58</v>
      </c>
      <c r="D29" s="76">
        <v>252</v>
      </c>
      <c r="E29" s="96" t="s">
        <v>79</v>
      </c>
      <c r="F29" s="83" t="s">
        <v>59</v>
      </c>
      <c r="G29" s="84">
        <v>500</v>
      </c>
      <c r="H29" s="93">
        <v>25.13</v>
      </c>
      <c r="I29" s="71">
        <f t="shared" si="0"/>
        <v>12565</v>
      </c>
    </row>
    <row r="30" spans="1:9" ht="25.5" x14ac:dyDescent="0.2">
      <c r="A30" s="69">
        <v>21</v>
      </c>
      <c r="B30" s="92"/>
      <c r="C30" s="70" t="s">
        <v>58</v>
      </c>
      <c r="D30" s="76">
        <v>252</v>
      </c>
      <c r="E30" s="96" t="s">
        <v>80</v>
      </c>
      <c r="F30" s="83" t="s">
        <v>59</v>
      </c>
      <c r="G30" s="84">
        <v>400</v>
      </c>
      <c r="H30" s="93">
        <v>871.41</v>
      </c>
      <c r="I30" s="71">
        <f t="shared" si="0"/>
        <v>348564</v>
      </c>
    </row>
    <row r="31" spans="1:9" ht="25.5" x14ac:dyDescent="0.2">
      <c r="A31" s="69">
        <v>22</v>
      </c>
      <c r="B31" s="92"/>
      <c r="C31" s="70" t="s">
        <v>58</v>
      </c>
      <c r="D31" s="76">
        <v>252</v>
      </c>
      <c r="E31" s="96" t="s">
        <v>81</v>
      </c>
      <c r="F31" s="83" t="s">
        <v>59</v>
      </c>
      <c r="G31" s="84">
        <v>400</v>
      </c>
      <c r="H31" s="93">
        <v>523.41</v>
      </c>
      <c r="I31" s="71">
        <f t="shared" si="0"/>
        <v>209364</v>
      </c>
    </row>
    <row r="32" spans="1:9" ht="25.5" x14ac:dyDescent="0.2">
      <c r="A32" s="69">
        <v>23</v>
      </c>
      <c r="B32" s="92"/>
      <c r="C32" s="70" t="s">
        <v>58</v>
      </c>
      <c r="D32" s="76">
        <v>252</v>
      </c>
      <c r="E32" s="96" t="s">
        <v>82</v>
      </c>
      <c r="F32" s="83" t="s">
        <v>59</v>
      </c>
      <c r="G32" s="84">
        <v>100</v>
      </c>
      <c r="H32" s="93">
        <v>18.350000000000001</v>
      </c>
      <c r="I32" s="71">
        <f t="shared" si="0"/>
        <v>1835.0000000000002</v>
      </c>
    </row>
    <row r="33" spans="1:9" ht="25.5" x14ac:dyDescent="0.2">
      <c r="A33" s="69">
        <v>24</v>
      </c>
      <c r="B33" s="92"/>
      <c r="C33" s="70" t="s">
        <v>58</v>
      </c>
      <c r="D33" s="76">
        <v>252</v>
      </c>
      <c r="E33" s="96" t="s">
        <v>83</v>
      </c>
      <c r="F33" s="83" t="s">
        <v>59</v>
      </c>
      <c r="G33" s="84">
        <v>1000</v>
      </c>
      <c r="H33" s="93">
        <v>91</v>
      </c>
      <c r="I33" s="71">
        <f t="shared" si="0"/>
        <v>91000</v>
      </c>
    </row>
    <row r="34" spans="1:9" ht="25.5" x14ac:dyDescent="0.2">
      <c r="A34" s="69">
        <v>25</v>
      </c>
      <c r="B34" s="92"/>
      <c r="C34" s="70" t="s">
        <v>58</v>
      </c>
      <c r="D34" s="76">
        <v>252</v>
      </c>
      <c r="E34" s="110" t="s">
        <v>84</v>
      </c>
      <c r="F34" s="83" t="s">
        <v>59</v>
      </c>
      <c r="G34" s="84">
        <v>100</v>
      </c>
      <c r="H34" s="93">
        <v>2093.92</v>
      </c>
      <c r="I34" s="71">
        <f t="shared" si="0"/>
        <v>209392</v>
      </c>
    </row>
    <row r="35" spans="1:9" ht="25.5" x14ac:dyDescent="0.2">
      <c r="A35" s="69">
        <v>26</v>
      </c>
      <c r="B35" s="92"/>
      <c r="C35" s="70" t="s">
        <v>58</v>
      </c>
      <c r="D35" s="76">
        <v>252</v>
      </c>
      <c r="E35" s="110" t="s">
        <v>85</v>
      </c>
      <c r="F35" s="83" t="s">
        <v>59</v>
      </c>
      <c r="G35" s="84">
        <v>50</v>
      </c>
      <c r="H35" s="93">
        <v>28.89</v>
      </c>
      <c r="I35" s="71">
        <f t="shared" si="0"/>
        <v>1444.5</v>
      </c>
    </row>
    <row r="36" spans="1:9" ht="25.5" x14ac:dyDescent="0.2">
      <c r="A36" s="69">
        <v>27</v>
      </c>
      <c r="B36" s="92"/>
      <c r="C36" s="70" t="s">
        <v>58</v>
      </c>
      <c r="D36" s="76">
        <v>252</v>
      </c>
      <c r="E36" s="108" t="s">
        <v>86</v>
      </c>
      <c r="F36" s="83" t="s">
        <v>59</v>
      </c>
      <c r="G36" s="84">
        <v>20</v>
      </c>
      <c r="H36" s="93">
        <v>3694.82</v>
      </c>
      <c r="I36" s="71">
        <f t="shared" si="0"/>
        <v>73896.400000000009</v>
      </c>
    </row>
    <row r="37" spans="1:9" ht="25.5" x14ac:dyDescent="0.2">
      <c r="A37" s="69">
        <v>28</v>
      </c>
      <c r="B37" s="92"/>
      <c r="C37" s="70" t="s">
        <v>58</v>
      </c>
      <c r="D37" s="76">
        <v>252</v>
      </c>
      <c r="E37" s="108" t="s">
        <v>87</v>
      </c>
      <c r="F37" s="83" t="s">
        <v>59</v>
      </c>
      <c r="G37" s="84">
        <v>100</v>
      </c>
      <c r="H37" s="93">
        <v>36.03</v>
      </c>
      <c r="I37" s="71">
        <f t="shared" si="0"/>
        <v>3603</v>
      </c>
    </row>
    <row r="38" spans="1:9" ht="25.5" x14ac:dyDescent="0.2">
      <c r="A38" s="69">
        <v>29</v>
      </c>
      <c r="B38" s="92"/>
      <c r="C38" s="70" t="s">
        <v>58</v>
      </c>
      <c r="D38" s="76">
        <v>252</v>
      </c>
      <c r="E38" s="108" t="s">
        <v>88</v>
      </c>
      <c r="F38" s="83" t="s">
        <v>59</v>
      </c>
      <c r="G38" s="84">
        <v>10</v>
      </c>
      <c r="H38" s="93">
        <v>2030</v>
      </c>
      <c r="I38" s="71">
        <f t="shared" si="0"/>
        <v>20300</v>
      </c>
    </row>
    <row r="39" spans="1:9" ht="25.5" x14ac:dyDescent="0.2">
      <c r="A39" s="69">
        <v>30</v>
      </c>
      <c r="B39" s="92"/>
      <c r="C39" s="70" t="s">
        <v>58</v>
      </c>
      <c r="D39" s="76">
        <v>252</v>
      </c>
      <c r="E39" s="108" t="s">
        <v>89</v>
      </c>
      <c r="F39" s="83" t="s">
        <v>59</v>
      </c>
      <c r="G39" s="84">
        <v>20</v>
      </c>
      <c r="H39" s="93">
        <v>1367</v>
      </c>
      <c r="I39" s="71">
        <f t="shared" si="0"/>
        <v>27340</v>
      </c>
    </row>
    <row r="40" spans="1:9" ht="25.5" x14ac:dyDescent="0.2">
      <c r="A40" s="69">
        <v>31</v>
      </c>
      <c r="B40" s="92"/>
      <c r="C40" s="70" t="s">
        <v>58</v>
      </c>
      <c r="D40" s="76">
        <v>252</v>
      </c>
      <c r="E40" s="108" t="s">
        <v>90</v>
      </c>
      <c r="F40" s="83" t="s">
        <v>59</v>
      </c>
      <c r="G40" s="84">
        <v>20</v>
      </c>
      <c r="H40" s="93">
        <v>1391.26</v>
      </c>
      <c r="I40" s="71">
        <f t="shared" si="0"/>
        <v>27825.200000000001</v>
      </c>
    </row>
    <row r="41" spans="1:9" ht="25.5" x14ac:dyDescent="0.2">
      <c r="A41" s="69">
        <v>32</v>
      </c>
      <c r="B41" s="92"/>
      <c r="C41" s="70" t="s">
        <v>58</v>
      </c>
      <c r="D41" s="76">
        <v>252</v>
      </c>
      <c r="E41" s="108" t="s">
        <v>91</v>
      </c>
      <c r="F41" s="83" t="s">
        <v>59</v>
      </c>
      <c r="G41" s="84">
        <v>500</v>
      </c>
      <c r="H41" s="93">
        <v>915.04</v>
      </c>
      <c r="I41" s="71">
        <f t="shared" si="0"/>
        <v>457520</v>
      </c>
    </row>
    <row r="42" spans="1:9" ht="25.5" x14ac:dyDescent="0.2">
      <c r="A42" s="69">
        <v>33</v>
      </c>
      <c r="B42" s="92"/>
      <c r="C42" s="70" t="s">
        <v>58</v>
      </c>
      <c r="D42" s="76">
        <v>252</v>
      </c>
      <c r="E42" s="110" t="s">
        <v>92</v>
      </c>
      <c r="F42" s="83" t="s">
        <v>59</v>
      </c>
      <c r="G42" s="84">
        <v>50</v>
      </c>
      <c r="H42" s="97">
        <v>17795</v>
      </c>
      <c r="I42" s="71">
        <f t="shared" si="0"/>
        <v>889750</v>
      </c>
    </row>
    <row r="43" spans="1:9" ht="25.5" x14ac:dyDescent="0.2">
      <c r="A43" s="69">
        <v>34</v>
      </c>
      <c r="B43" s="92"/>
      <c r="C43" s="70" t="s">
        <v>58</v>
      </c>
      <c r="D43" s="76">
        <v>252</v>
      </c>
      <c r="E43" s="110" t="s">
        <v>93</v>
      </c>
      <c r="F43" s="83" t="s">
        <v>59</v>
      </c>
      <c r="G43" s="84">
        <v>50</v>
      </c>
      <c r="H43" s="97">
        <v>35600</v>
      </c>
      <c r="I43" s="71">
        <f t="shared" si="0"/>
        <v>1780000</v>
      </c>
    </row>
    <row r="44" spans="1:9" ht="26.25" thickBot="1" x14ac:dyDescent="0.25">
      <c r="A44" s="98">
        <v>35</v>
      </c>
      <c r="B44" s="72"/>
      <c r="C44" s="73" t="s">
        <v>58</v>
      </c>
      <c r="D44" s="74">
        <v>252</v>
      </c>
      <c r="E44" s="112" t="s">
        <v>94</v>
      </c>
      <c r="F44" s="99" t="s">
        <v>59</v>
      </c>
      <c r="G44" s="100">
        <v>50</v>
      </c>
      <c r="H44" s="101">
        <v>71175</v>
      </c>
      <c r="I44" s="75">
        <f t="shared" si="0"/>
        <v>3558750</v>
      </c>
    </row>
    <row r="45" spans="1:9" x14ac:dyDescent="0.2">
      <c r="I45" s="34"/>
    </row>
    <row r="46" spans="1:9" x14ac:dyDescent="0.2">
      <c r="I46" s="34"/>
    </row>
    <row r="47" spans="1:9" ht="13.5" thickBot="1" x14ac:dyDescent="0.25"/>
    <row r="48" spans="1:9" x14ac:dyDescent="0.2">
      <c r="B48" s="102" t="s">
        <v>98</v>
      </c>
      <c r="C48" s="29"/>
      <c r="D48" s="29"/>
      <c r="E48" s="30"/>
      <c r="F48" s="103"/>
      <c r="G48" s="55"/>
      <c r="H48" s="26"/>
    </row>
    <row r="49" spans="2:8" ht="12.75" customHeight="1" x14ac:dyDescent="0.2">
      <c r="B49" s="116" t="s">
        <v>99</v>
      </c>
      <c r="C49" s="117"/>
      <c r="D49" s="117"/>
      <c r="E49" s="118"/>
      <c r="F49" s="103"/>
      <c r="G49" s="55"/>
      <c r="H49" s="26"/>
    </row>
    <row r="50" spans="2:8" ht="57.75" customHeight="1" x14ac:dyDescent="0.2">
      <c r="B50" s="116"/>
      <c r="C50" s="117"/>
      <c r="D50" s="117"/>
      <c r="E50" s="118"/>
      <c r="F50" s="103"/>
      <c r="G50" s="55"/>
      <c r="H50" s="26"/>
    </row>
    <row r="51" spans="2:8" x14ac:dyDescent="0.2">
      <c r="B51" s="116" t="s">
        <v>100</v>
      </c>
      <c r="C51" s="117"/>
      <c r="D51" s="117"/>
      <c r="E51" s="118"/>
      <c r="F51" s="103"/>
      <c r="G51" s="55"/>
      <c r="H51" s="26"/>
    </row>
    <row r="52" spans="2:8" x14ac:dyDescent="0.2">
      <c r="B52" s="116" t="s">
        <v>105</v>
      </c>
      <c r="C52" s="117"/>
      <c r="D52" s="117"/>
      <c r="E52" s="118"/>
      <c r="F52" s="103"/>
      <c r="G52" s="55"/>
      <c r="H52" s="26"/>
    </row>
    <row r="53" spans="2:8" x14ac:dyDescent="0.2">
      <c r="B53" s="104" t="s">
        <v>101</v>
      </c>
      <c r="C53" s="105"/>
      <c r="D53" s="106"/>
      <c r="E53" s="107"/>
      <c r="F53" s="103"/>
      <c r="G53" s="55"/>
      <c r="H53" s="26"/>
    </row>
    <row r="54" spans="2:8" x14ac:dyDescent="0.2">
      <c r="B54" s="66"/>
      <c r="C54" s="119" t="s">
        <v>102</v>
      </c>
      <c r="D54" s="119"/>
      <c r="E54" s="119"/>
      <c r="F54" s="103"/>
      <c r="G54" s="55"/>
      <c r="H54" s="26"/>
    </row>
    <row r="55" spans="2:8" ht="13.5" thickBot="1" x14ac:dyDescent="0.25">
      <c r="B55" s="31"/>
      <c r="C55" s="32"/>
      <c r="D55" s="32"/>
      <c r="E55" s="33"/>
      <c r="F55" s="103"/>
      <c r="G55" s="55"/>
      <c r="H55" s="26"/>
    </row>
    <row r="56" spans="2:8" ht="12" customHeight="1" x14ac:dyDescent="0.2"/>
    <row r="58" spans="2:8" x14ac:dyDescent="0.2">
      <c r="E58" s="26" t="s">
        <v>55</v>
      </c>
    </row>
  </sheetData>
  <autoFilter ref="A9:I44"/>
  <mergeCells count="11">
    <mergeCell ref="B49:E50"/>
    <mergeCell ref="B52:E52"/>
    <mergeCell ref="C54:E54"/>
    <mergeCell ref="B51:E51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7"/>
  <sheetViews>
    <sheetView topLeftCell="A37" zoomScale="80" zoomScaleNormal="80" workbookViewId="0">
      <selection activeCell="C14" sqref="C14:G14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29" t="s">
        <v>14</v>
      </c>
      <c r="B1" s="129"/>
      <c r="C1" s="129"/>
      <c r="D1" s="129"/>
      <c r="E1" s="129"/>
      <c r="F1" s="129"/>
      <c r="G1" s="129"/>
      <c r="H1" s="129"/>
      <c r="I1" s="129"/>
      <c r="J1" s="35" t="s">
        <v>15</v>
      </c>
      <c r="K1" s="36" t="s">
        <v>95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30" t="s">
        <v>48</v>
      </c>
      <c r="B3" s="130"/>
      <c r="C3" s="130"/>
      <c r="D3" s="120" t="str">
        <f>'Necesidades Trimestrales'!C4</f>
        <v>040 -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31" t="s">
        <v>49</v>
      </c>
      <c r="B4" s="131"/>
      <c r="C4" s="131"/>
      <c r="D4" s="120" t="str">
        <f>'Necesidades Trimestrales'!C5</f>
        <v>024 - Hospital Interzonal de Niños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31" t="s">
        <v>27</v>
      </c>
      <c r="B5" s="131"/>
      <c r="C5" s="131"/>
      <c r="D5" s="120" t="s">
        <v>51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30" t="s">
        <v>50</v>
      </c>
      <c r="B6" s="130"/>
      <c r="C6" s="130"/>
      <c r="D6" s="120" t="s">
        <v>57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31" t="s">
        <v>16</v>
      </c>
      <c r="B7" s="131"/>
      <c r="C7" s="131"/>
      <c r="D7" s="120" t="str">
        <f>'Necesidades Trimestrales'!C7 &amp; "° Trimestre - Año " &amp; 'Necesidades Trimestrales'!C6</f>
        <v>2° Trimestre - Año 2021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32" t="s">
        <v>17</v>
      </c>
      <c r="B8" s="132"/>
      <c r="C8" s="132"/>
      <c r="D8" s="125" t="s">
        <v>103</v>
      </c>
      <c r="E8" s="125"/>
      <c r="F8" s="125"/>
      <c r="G8" s="125"/>
      <c r="H8" s="125"/>
      <c r="I8" s="125"/>
      <c r="J8" s="125"/>
      <c r="K8" s="125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26" t="s">
        <v>18</v>
      </c>
      <c r="B10" s="127" t="s">
        <v>19</v>
      </c>
      <c r="C10" s="127" t="s">
        <v>20</v>
      </c>
      <c r="D10" s="127"/>
      <c r="E10" s="127"/>
      <c r="F10" s="127"/>
      <c r="G10" s="127"/>
      <c r="H10" s="127" t="s">
        <v>21</v>
      </c>
      <c r="I10" s="127" t="s">
        <v>22</v>
      </c>
      <c r="J10" s="127" t="s">
        <v>23</v>
      </c>
      <c r="K10" s="128" t="s">
        <v>24</v>
      </c>
    </row>
    <row r="11" spans="1:11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27.75" customHeight="1" x14ac:dyDescent="0.2">
      <c r="A12" s="45">
        <v>1</v>
      </c>
      <c r="B12" s="46"/>
      <c r="C12" s="122" t="str">
        <f>'Necesidades Trimestrales'!E10</f>
        <v xml:space="preserve">AMOXICILINA  400 MG + CLAULANICO 57 MG  SUSPENSIÓN </v>
      </c>
      <c r="D12" s="122"/>
      <c r="E12" s="122"/>
      <c r="F12" s="122"/>
      <c r="G12" s="122"/>
      <c r="H12" s="47" t="s">
        <v>54</v>
      </c>
      <c r="I12" s="48" t="str">
        <f>'Necesidades Trimestrales'!F10</f>
        <v>unidad</v>
      </c>
      <c r="J12" s="49">
        <f>'Necesidades Trimestrales'!H10</f>
        <v>861.84</v>
      </c>
      <c r="K12" s="50">
        <f>'Necesidades Trimestrales'!G10</f>
        <v>200</v>
      </c>
    </row>
    <row r="13" spans="1:11" ht="27.75" customHeight="1" x14ac:dyDescent="0.2">
      <c r="A13" s="77">
        <v>2</v>
      </c>
      <c r="B13" s="78"/>
      <c r="C13" s="123" t="str">
        <f>'Necesidades Trimestrales'!E11</f>
        <v>AMOXICILINA + CLAVULANICO 1 G COMPRIMIDO</v>
      </c>
      <c r="D13" s="123"/>
      <c r="E13" s="123"/>
      <c r="F13" s="123"/>
      <c r="G13" s="123"/>
      <c r="H13" s="81" t="s">
        <v>54</v>
      </c>
      <c r="I13" s="82" t="str">
        <f>'Necesidades Trimestrales'!F11</f>
        <v>unidad</v>
      </c>
      <c r="J13" s="80">
        <f>'Necesidades Trimestrales'!H11</f>
        <v>46.05</v>
      </c>
      <c r="K13" s="79">
        <f>'Necesidades Trimestrales'!G11</f>
        <v>1500</v>
      </c>
    </row>
    <row r="14" spans="1:11" ht="27.75" customHeight="1" x14ac:dyDescent="0.2">
      <c r="A14" s="77">
        <v>3</v>
      </c>
      <c r="B14" s="78"/>
      <c r="C14" s="124" t="str">
        <f>'Necesidades Trimestrales'!E12</f>
        <v>AMOXICILINA 500 MG COMPRIMIDO</v>
      </c>
      <c r="D14" s="124"/>
      <c r="E14" s="124"/>
      <c r="F14" s="124"/>
      <c r="G14" s="124"/>
      <c r="H14" s="81" t="s">
        <v>54</v>
      </c>
      <c r="I14" s="82" t="str">
        <f>'Necesidades Trimestrales'!F12</f>
        <v>unidad</v>
      </c>
      <c r="J14" s="80">
        <f>'Necesidades Trimestrales'!H12</f>
        <v>18.260000000000002</v>
      </c>
      <c r="K14" s="79">
        <f>'Necesidades Trimestrales'!G12</f>
        <v>1500</v>
      </c>
    </row>
    <row r="15" spans="1:11" ht="27.75" customHeight="1" x14ac:dyDescent="0.2">
      <c r="A15" s="77">
        <v>4</v>
      </c>
      <c r="B15" s="78"/>
      <c r="C15" s="124" t="str">
        <f>'Necesidades Trimestrales'!E13</f>
        <v>AMPICILINA 1G FCO AMPOLLA</v>
      </c>
      <c r="D15" s="124"/>
      <c r="E15" s="124"/>
      <c r="F15" s="124"/>
      <c r="G15" s="124"/>
      <c r="H15" s="81" t="s">
        <v>54</v>
      </c>
      <c r="I15" s="82" t="str">
        <f>'Necesidades Trimestrales'!F13</f>
        <v>unidad</v>
      </c>
      <c r="J15" s="80">
        <f>'Necesidades Trimestrales'!H13</f>
        <v>592</v>
      </c>
      <c r="K15" s="79">
        <f>'Necesidades Trimestrales'!G13</f>
        <v>1000</v>
      </c>
    </row>
    <row r="16" spans="1:11" ht="27.75" customHeight="1" x14ac:dyDescent="0.2">
      <c r="A16" s="77">
        <v>5</v>
      </c>
      <c r="B16" s="78"/>
      <c r="C16" s="124" t="str">
        <f>'Necesidades Trimestrales'!E14</f>
        <v>CEFALEXINA 500 MG SUSPENSIÓN X 90 ML</v>
      </c>
      <c r="D16" s="124"/>
      <c r="E16" s="124"/>
      <c r="F16" s="124"/>
      <c r="G16" s="124"/>
      <c r="H16" s="81" t="s">
        <v>54</v>
      </c>
      <c r="I16" s="82" t="str">
        <f>'Necesidades Trimestrales'!F14</f>
        <v>unidad</v>
      </c>
      <c r="J16" s="80">
        <f>'Necesidades Trimestrales'!H14</f>
        <v>530.46</v>
      </c>
      <c r="K16" s="79">
        <f>'Necesidades Trimestrales'!G14</f>
        <v>50</v>
      </c>
    </row>
    <row r="17" spans="1:11" ht="27.75" customHeight="1" x14ac:dyDescent="0.2">
      <c r="A17" s="77">
        <v>6</v>
      </c>
      <c r="B17" s="78"/>
      <c r="C17" s="124" t="str">
        <f>'Necesidades Trimestrales'!E15</f>
        <v>CEFALOTINA 1 GR. AMP.</v>
      </c>
      <c r="D17" s="124"/>
      <c r="E17" s="124"/>
      <c r="F17" s="124"/>
      <c r="G17" s="124"/>
      <c r="H17" s="81" t="s">
        <v>54</v>
      </c>
      <c r="I17" s="82" t="str">
        <f>'Necesidades Trimestrales'!F15</f>
        <v>unidad</v>
      </c>
      <c r="J17" s="80">
        <f>'Necesidades Trimestrales'!H15</f>
        <v>485.18</v>
      </c>
      <c r="K17" s="79">
        <f>'Necesidades Trimestrales'!G15</f>
        <v>500</v>
      </c>
    </row>
    <row r="18" spans="1:11" ht="27.75" customHeight="1" x14ac:dyDescent="0.2">
      <c r="A18" s="77">
        <v>7</v>
      </c>
      <c r="B18" s="78"/>
      <c r="C18" s="124" t="str">
        <f>'Necesidades Trimestrales'!E16</f>
        <v>CEFTAZIDIMA 1G FCO AMPOLLA</v>
      </c>
      <c r="D18" s="124"/>
      <c r="E18" s="124"/>
      <c r="F18" s="124"/>
      <c r="G18" s="124"/>
      <c r="H18" s="81" t="s">
        <v>54</v>
      </c>
      <c r="I18" s="82" t="str">
        <f>'Necesidades Trimestrales'!F16</f>
        <v>unidad</v>
      </c>
      <c r="J18" s="80">
        <f>'Necesidades Trimestrales'!H16</f>
        <v>515.41</v>
      </c>
      <c r="K18" s="79">
        <f>'Necesidades Trimestrales'!G16</f>
        <v>100</v>
      </c>
    </row>
    <row r="19" spans="1:11" ht="27.75" customHeight="1" x14ac:dyDescent="0.2">
      <c r="A19" s="77">
        <v>8</v>
      </c>
      <c r="B19" s="78"/>
      <c r="C19" s="124" t="str">
        <f>'Necesidades Trimestrales'!E17</f>
        <v>CEFTRIAXONA 1 GR FCO AMPOLLA *</v>
      </c>
      <c r="D19" s="124"/>
      <c r="E19" s="124"/>
      <c r="F19" s="124"/>
      <c r="G19" s="124"/>
      <c r="H19" s="81" t="s">
        <v>54</v>
      </c>
      <c r="I19" s="82" t="str">
        <f>'Necesidades Trimestrales'!F17</f>
        <v>unidad</v>
      </c>
      <c r="J19" s="80">
        <f>'Necesidades Trimestrales'!H17</f>
        <v>365</v>
      </c>
      <c r="K19" s="79">
        <f>'Necesidades Trimestrales'!G17</f>
        <v>3000</v>
      </c>
    </row>
    <row r="20" spans="1:11" ht="27.75" customHeight="1" x14ac:dyDescent="0.2">
      <c r="A20" s="77">
        <v>9</v>
      </c>
      <c r="B20" s="78"/>
      <c r="C20" s="124" t="str">
        <f>'Necesidades Trimestrales'!E18</f>
        <v>COTRIMOXAZOL(TRIMETOPRINA +SULFAMETOXAZOL)80MG/400MG AMPOLLA</v>
      </c>
      <c r="D20" s="124"/>
      <c r="E20" s="124"/>
      <c r="F20" s="124"/>
      <c r="G20" s="124"/>
      <c r="H20" s="81" t="s">
        <v>54</v>
      </c>
      <c r="I20" s="82" t="str">
        <f>'Necesidades Trimestrales'!F18</f>
        <v>unidad</v>
      </c>
      <c r="J20" s="80">
        <f>'Necesidades Trimestrales'!H18</f>
        <v>379</v>
      </c>
      <c r="K20" s="79">
        <f>'Necesidades Trimestrales'!G18</f>
        <v>100</v>
      </c>
    </row>
    <row r="21" spans="1:11" ht="27.75" customHeight="1" x14ac:dyDescent="0.2">
      <c r="A21" s="77">
        <v>10</v>
      </c>
      <c r="B21" s="78"/>
      <c r="C21" s="124" t="str">
        <f>'Necesidades Trimestrales'!E19</f>
        <v>COTRIMOXAZOL(TRIMETOPRINA +SULFAMETOXAZOL)COMPRIMIDOS 160MG/800MG</v>
      </c>
      <c r="D21" s="124"/>
      <c r="E21" s="124"/>
      <c r="F21" s="124"/>
      <c r="G21" s="124"/>
      <c r="H21" s="81" t="s">
        <v>54</v>
      </c>
      <c r="I21" s="82" t="str">
        <f>'Necesidades Trimestrales'!F19</f>
        <v>unidad</v>
      </c>
      <c r="J21" s="80">
        <f>'Necesidades Trimestrales'!H19</f>
        <v>26</v>
      </c>
      <c r="K21" s="79">
        <f>'Necesidades Trimestrales'!G19</f>
        <v>100</v>
      </c>
    </row>
    <row r="22" spans="1:11" ht="27.75" customHeight="1" x14ac:dyDescent="0.2">
      <c r="A22" s="77">
        <v>11</v>
      </c>
      <c r="B22" s="78"/>
      <c r="C22" s="124" t="str">
        <f>'Necesidades Trimestrales'!E20</f>
        <v>IMIPENEM+CILASTATINA 500MG</v>
      </c>
      <c r="D22" s="124"/>
      <c r="E22" s="124"/>
      <c r="F22" s="124"/>
      <c r="G22" s="124"/>
      <c r="H22" s="81" t="s">
        <v>54</v>
      </c>
      <c r="I22" s="82" t="str">
        <f>'Necesidades Trimestrales'!F20</f>
        <v>unidad</v>
      </c>
      <c r="J22" s="80">
        <f>'Necesidades Trimestrales'!H20</f>
        <v>3700</v>
      </c>
      <c r="K22" s="79">
        <f>'Necesidades Trimestrales'!G20</f>
        <v>100</v>
      </c>
    </row>
    <row r="23" spans="1:11" ht="27.75" customHeight="1" x14ac:dyDescent="0.2">
      <c r="A23" s="77">
        <v>12</v>
      </c>
      <c r="B23" s="78"/>
      <c r="C23" s="124" t="str">
        <f>'Necesidades Trimestrales'!E21</f>
        <v>MEROPENEM 1000MG</v>
      </c>
      <c r="D23" s="124"/>
      <c r="E23" s="124"/>
      <c r="F23" s="124"/>
      <c r="G23" s="124"/>
      <c r="H23" s="81" t="s">
        <v>54</v>
      </c>
      <c r="I23" s="82" t="str">
        <f>'Necesidades Trimestrales'!F21</f>
        <v>unidad</v>
      </c>
      <c r="J23" s="80">
        <f>'Necesidades Trimestrales'!H21</f>
        <v>3200</v>
      </c>
      <c r="K23" s="79">
        <f>'Necesidades Trimestrales'!G21</f>
        <v>500</v>
      </c>
    </row>
    <row r="24" spans="1:11" ht="27.75" customHeight="1" x14ac:dyDescent="0.2">
      <c r="A24" s="77">
        <v>13</v>
      </c>
      <c r="B24" s="78"/>
      <c r="C24" s="124" t="str">
        <f>'Necesidades Trimestrales'!E22</f>
        <v>MEROPENEM 500MG</v>
      </c>
      <c r="D24" s="124"/>
      <c r="E24" s="124"/>
      <c r="F24" s="124"/>
      <c r="G24" s="124"/>
      <c r="H24" s="81" t="s">
        <v>54</v>
      </c>
      <c r="I24" s="82" t="str">
        <f>'Necesidades Trimestrales'!F22</f>
        <v>unidad</v>
      </c>
      <c r="J24" s="80">
        <f>'Necesidades Trimestrales'!H22</f>
        <v>1103</v>
      </c>
      <c r="K24" s="79">
        <f>'Necesidades Trimestrales'!G22</f>
        <v>500</v>
      </c>
    </row>
    <row r="25" spans="1:11" ht="27.75" customHeight="1" x14ac:dyDescent="0.2">
      <c r="A25" s="77">
        <v>14</v>
      </c>
      <c r="B25" s="78"/>
      <c r="C25" s="124" t="str">
        <f>'Necesidades Trimestrales'!E23</f>
        <v>PIPERACILINA 4 GRS + TAZOBACTAM 500 MG FCO AMPOLLA * USO RESTRINGIDO</v>
      </c>
      <c r="D25" s="124"/>
      <c r="E25" s="124"/>
      <c r="F25" s="124"/>
      <c r="G25" s="124"/>
      <c r="H25" s="81" t="s">
        <v>54</v>
      </c>
      <c r="I25" s="82" t="str">
        <f>'Necesidades Trimestrales'!F23</f>
        <v>unidad</v>
      </c>
      <c r="J25" s="80">
        <f>'Necesidades Trimestrales'!H23</f>
        <v>1018</v>
      </c>
      <c r="K25" s="79">
        <f>'Necesidades Trimestrales'!G23</f>
        <v>500</v>
      </c>
    </row>
    <row r="26" spans="1:11" ht="27.75" customHeight="1" x14ac:dyDescent="0.2">
      <c r="A26" s="77">
        <v>15</v>
      </c>
      <c r="B26" s="78"/>
      <c r="C26" s="124" t="str">
        <f>'Necesidades Trimestrales'!E24</f>
        <v>CLARITROMICINA AMPOLLA</v>
      </c>
      <c r="D26" s="124"/>
      <c r="E26" s="124"/>
      <c r="F26" s="124"/>
      <c r="G26" s="124"/>
      <c r="H26" s="81" t="s">
        <v>54</v>
      </c>
      <c r="I26" s="82" t="str">
        <f>'Necesidades Trimestrales'!F24</f>
        <v>unidad</v>
      </c>
      <c r="J26" s="80">
        <f>'Necesidades Trimestrales'!H24</f>
        <v>3045</v>
      </c>
      <c r="K26" s="79">
        <f>'Necesidades Trimestrales'!G24</f>
        <v>50</v>
      </c>
    </row>
    <row r="27" spans="1:11" ht="27.75" customHeight="1" x14ac:dyDescent="0.2">
      <c r="A27" s="77">
        <v>16</v>
      </c>
      <c r="B27" s="78"/>
      <c r="C27" s="124" t="str">
        <f>'Necesidades Trimestrales'!E25</f>
        <v xml:space="preserve">AZITROMICINA 500 MG COMPRIMIDOS </v>
      </c>
      <c r="D27" s="124"/>
      <c r="E27" s="124"/>
      <c r="F27" s="124"/>
      <c r="G27" s="124"/>
      <c r="H27" s="81" t="s">
        <v>54</v>
      </c>
      <c r="I27" s="82" t="str">
        <f>'Necesidades Trimestrales'!F25</f>
        <v>unidad</v>
      </c>
      <c r="J27" s="80">
        <f>'Necesidades Trimestrales'!H25</f>
        <v>93.6</v>
      </c>
      <c r="K27" s="79">
        <f>'Necesidades Trimestrales'!G25</f>
        <v>1000</v>
      </c>
    </row>
    <row r="28" spans="1:11" ht="27.75" customHeight="1" x14ac:dyDescent="0.2">
      <c r="A28" s="77">
        <v>17</v>
      </c>
      <c r="B28" s="78"/>
      <c r="C28" s="124" t="str">
        <f>'Necesidades Trimestrales'!E26</f>
        <v>CLINDAMICINA 300MG CAPSULAS</v>
      </c>
      <c r="D28" s="124"/>
      <c r="E28" s="124"/>
      <c r="F28" s="124"/>
      <c r="G28" s="124"/>
      <c r="H28" s="81" t="s">
        <v>54</v>
      </c>
      <c r="I28" s="82" t="str">
        <f>'Necesidades Trimestrales'!F26</f>
        <v>unidad</v>
      </c>
      <c r="J28" s="80">
        <f>'Necesidades Trimestrales'!H26</f>
        <v>62.8</v>
      </c>
      <c r="K28" s="79">
        <f>'Necesidades Trimestrales'!G26</f>
        <v>200</v>
      </c>
    </row>
    <row r="29" spans="1:11" ht="27.75" customHeight="1" x14ac:dyDescent="0.2">
      <c r="A29" s="77">
        <v>18</v>
      </c>
      <c r="B29" s="78"/>
      <c r="C29" s="124" t="str">
        <f>'Necesidades Trimestrales'!E27</f>
        <v>CLINDAMICINA 600 MG AMPOLLA</v>
      </c>
      <c r="D29" s="124"/>
      <c r="E29" s="124"/>
      <c r="F29" s="124"/>
      <c r="G29" s="124"/>
      <c r="H29" s="81" t="s">
        <v>54</v>
      </c>
      <c r="I29" s="82" t="str">
        <f>'Necesidades Trimestrales'!F27</f>
        <v>unidad</v>
      </c>
      <c r="J29" s="80">
        <f>'Necesidades Trimestrales'!H27</f>
        <v>238.06</v>
      </c>
      <c r="K29" s="79">
        <f>'Necesidades Trimestrales'!G27</f>
        <v>1000</v>
      </c>
    </row>
    <row r="30" spans="1:11" ht="27.75" customHeight="1" x14ac:dyDescent="0.2">
      <c r="A30" s="77">
        <v>19</v>
      </c>
      <c r="B30" s="78"/>
      <c r="C30" s="124" t="str">
        <f>'Necesidades Trimestrales'!E28</f>
        <v>GENTAMICINA 80 MG AMPOLLA</v>
      </c>
      <c r="D30" s="124"/>
      <c r="E30" s="124"/>
      <c r="F30" s="124"/>
      <c r="G30" s="124"/>
      <c r="H30" s="81" t="s">
        <v>54</v>
      </c>
      <c r="I30" s="82" t="str">
        <f>'Necesidades Trimestrales'!F28</f>
        <v>unidad</v>
      </c>
      <c r="J30" s="80">
        <f>'Necesidades Trimestrales'!H28</f>
        <v>85.12</v>
      </c>
      <c r="K30" s="79">
        <f>'Necesidades Trimestrales'!G28</f>
        <v>100</v>
      </c>
    </row>
    <row r="31" spans="1:11" ht="27.75" customHeight="1" x14ac:dyDescent="0.2">
      <c r="A31" s="77">
        <v>20</v>
      </c>
      <c r="B31" s="78"/>
      <c r="C31" s="124" t="str">
        <f>'Necesidades Trimestrales'!E29</f>
        <v>CIPROFLOXACINA 500 MG COMP</v>
      </c>
      <c r="D31" s="124"/>
      <c r="E31" s="124"/>
      <c r="F31" s="124"/>
      <c r="G31" s="124"/>
      <c r="H31" s="81" t="s">
        <v>54</v>
      </c>
      <c r="I31" s="82" t="str">
        <f>'Necesidades Trimestrales'!F29</f>
        <v>unidad</v>
      </c>
      <c r="J31" s="80">
        <f>'Necesidades Trimestrales'!H29</f>
        <v>25.13</v>
      </c>
      <c r="K31" s="79">
        <f>'Necesidades Trimestrales'!G29</f>
        <v>500</v>
      </c>
    </row>
    <row r="32" spans="1:11" ht="27.75" customHeight="1" x14ac:dyDescent="0.2">
      <c r="A32" s="77">
        <v>21</v>
      </c>
      <c r="B32" s="94"/>
      <c r="C32" s="124" t="str">
        <f>'Necesidades Trimestrales'!E30</f>
        <v>VANCOMICINA 500 MG FCO AMP</v>
      </c>
      <c r="D32" s="124"/>
      <c r="E32" s="124"/>
      <c r="F32" s="124"/>
      <c r="G32" s="124"/>
      <c r="H32" s="81" t="s">
        <v>54</v>
      </c>
      <c r="I32" s="82" t="str">
        <f>'Necesidades Trimestrales'!F30</f>
        <v>unidad</v>
      </c>
      <c r="J32" s="80">
        <f>'Necesidades Trimestrales'!H30</f>
        <v>871.41</v>
      </c>
      <c r="K32" s="79">
        <f>'Necesidades Trimestrales'!G30</f>
        <v>400</v>
      </c>
    </row>
    <row r="33" spans="1:14" ht="27.75" customHeight="1" x14ac:dyDescent="0.2">
      <c r="A33" s="77">
        <v>22</v>
      </c>
      <c r="B33" s="94"/>
      <c r="C33" s="124" t="str">
        <f>'Necesidades Trimestrales'!E31</f>
        <v>VANCOMICINA 1000 MG FCO AMP</v>
      </c>
      <c r="D33" s="124"/>
      <c r="E33" s="124"/>
      <c r="F33" s="124"/>
      <c r="G33" s="124"/>
      <c r="H33" s="81" t="s">
        <v>54</v>
      </c>
      <c r="I33" s="82" t="str">
        <f>'Necesidades Trimestrales'!F31</f>
        <v>unidad</v>
      </c>
      <c r="J33" s="80">
        <f>'Necesidades Trimestrales'!H31</f>
        <v>523.41</v>
      </c>
      <c r="K33" s="79">
        <f>'Necesidades Trimestrales'!G31</f>
        <v>400</v>
      </c>
    </row>
    <row r="34" spans="1:14" ht="27.75" customHeight="1" x14ac:dyDescent="0.2">
      <c r="A34" s="77">
        <v>23</v>
      </c>
      <c r="B34" s="94"/>
      <c r="C34" s="124" t="str">
        <f>'Necesidades Trimestrales'!E32</f>
        <v>METRONIDAZOL 500 MG COMP</v>
      </c>
      <c r="D34" s="124"/>
      <c r="E34" s="124"/>
      <c r="F34" s="124"/>
      <c r="G34" s="124"/>
      <c r="H34" s="81" t="s">
        <v>54</v>
      </c>
      <c r="I34" s="82" t="str">
        <f>'Necesidades Trimestrales'!F32</f>
        <v>unidad</v>
      </c>
      <c r="J34" s="80">
        <f>'Necesidades Trimestrales'!H32</f>
        <v>18.350000000000001</v>
      </c>
      <c r="K34" s="79">
        <f>'Necesidades Trimestrales'!G32</f>
        <v>100</v>
      </c>
    </row>
    <row r="35" spans="1:14" ht="27.75" customHeight="1" x14ac:dyDescent="0.2">
      <c r="A35" s="77">
        <v>24</v>
      </c>
      <c r="B35" s="94"/>
      <c r="C35" s="124" t="str">
        <f>'Necesidades Trimestrales'!E33</f>
        <v>METRONIDAZOL 500 MG SACHET</v>
      </c>
      <c r="D35" s="124"/>
      <c r="E35" s="124"/>
      <c r="F35" s="124"/>
      <c r="G35" s="124"/>
      <c r="H35" s="81" t="s">
        <v>54</v>
      </c>
      <c r="I35" s="82" t="str">
        <f>'Necesidades Trimestrales'!F33</f>
        <v>unidad</v>
      </c>
      <c r="J35" s="80">
        <f>'Necesidades Trimestrales'!H33</f>
        <v>91</v>
      </c>
      <c r="K35" s="79">
        <f>'Necesidades Trimestrales'!G33</f>
        <v>1000</v>
      </c>
    </row>
    <row r="36" spans="1:14" ht="27.75" customHeight="1" x14ac:dyDescent="0.2">
      <c r="A36" s="77">
        <v>25</v>
      </c>
      <c r="B36" s="94"/>
      <c r="C36" s="124" t="str">
        <f>'Necesidades Trimestrales'!E34</f>
        <v>ORNIDAZOL 1GR AMPOLLA</v>
      </c>
      <c r="D36" s="124"/>
      <c r="E36" s="124"/>
      <c r="F36" s="124"/>
      <c r="G36" s="124"/>
      <c r="H36" s="81" t="s">
        <v>54</v>
      </c>
      <c r="I36" s="82" t="str">
        <f>'Necesidades Trimestrales'!F34</f>
        <v>unidad</v>
      </c>
      <c r="J36" s="80">
        <f>'Necesidades Trimestrales'!H34</f>
        <v>2093.92</v>
      </c>
      <c r="K36" s="79">
        <f>'Necesidades Trimestrales'!G34</f>
        <v>100</v>
      </c>
    </row>
    <row r="37" spans="1:14" ht="27.75" customHeight="1" x14ac:dyDescent="0.2">
      <c r="A37" s="77">
        <v>26</v>
      </c>
      <c r="B37" s="94"/>
      <c r="C37" s="124" t="str">
        <f>'Necesidades Trimestrales'!E35</f>
        <v>MEBENDAZOL 100 MG COMPRIMIDO</v>
      </c>
      <c r="D37" s="124"/>
      <c r="E37" s="124"/>
      <c r="F37" s="124"/>
      <c r="G37" s="124"/>
      <c r="H37" s="81" t="s">
        <v>54</v>
      </c>
      <c r="I37" s="82" t="str">
        <f>'Necesidades Trimestrales'!F35</f>
        <v>unidad</v>
      </c>
      <c r="J37" s="80">
        <f>'Necesidades Trimestrales'!H35</f>
        <v>28.89</v>
      </c>
      <c r="K37" s="79">
        <f>'Necesidades Trimestrales'!G35</f>
        <v>50</v>
      </c>
    </row>
    <row r="38" spans="1:14" ht="27.75" customHeight="1" x14ac:dyDescent="0.2">
      <c r="A38" s="77">
        <v>27</v>
      </c>
      <c r="B38" s="94"/>
      <c r="C38" s="124" t="str">
        <f>'Necesidades Trimestrales'!E36</f>
        <v>ANFOTERICINA B VIAL 50 MG</v>
      </c>
      <c r="D38" s="124"/>
      <c r="E38" s="124"/>
      <c r="F38" s="124"/>
      <c r="G38" s="124"/>
      <c r="H38" s="81" t="s">
        <v>54</v>
      </c>
      <c r="I38" s="82" t="str">
        <f>'Necesidades Trimestrales'!F36</f>
        <v>unidad</v>
      </c>
      <c r="J38" s="80">
        <f>'Necesidades Trimestrales'!H36</f>
        <v>3694.82</v>
      </c>
      <c r="K38" s="79">
        <f>'Necesidades Trimestrales'!G36</f>
        <v>20</v>
      </c>
    </row>
    <row r="39" spans="1:14" ht="27.75" customHeight="1" x14ac:dyDescent="0.2">
      <c r="A39" s="77">
        <v>28</v>
      </c>
      <c r="B39" s="94"/>
      <c r="C39" s="124" t="str">
        <f>'Necesidades Trimestrales'!E37</f>
        <v>FLUCONAZOL 100 MG COMPRIMIDOS</v>
      </c>
      <c r="D39" s="124"/>
      <c r="E39" s="124"/>
      <c r="F39" s="124"/>
      <c r="G39" s="124"/>
      <c r="H39" s="81" t="s">
        <v>54</v>
      </c>
      <c r="I39" s="82" t="str">
        <f>'Necesidades Trimestrales'!F37</f>
        <v>unidad</v>
      </c>
      <c r="J39" s="80">
        <f>'Necesidades Trimestrales'!H37</f>
        <v>36.03</v>
      </c>
      <c r="K39" s="79">
        <f>'Necesidades Trimestrales'!G37</f>
        <v>100</v>
      </c>
    </row>
    <row r="40" spans="1:14" ht="27.75" customHeight="1" x14ac:dyDescent="0.2">
      <c r="A40" s="77">
        <v>29</v>
      </c>
      <c r="B40" s="94"/>
      <c r="C40" s="124" t="str">
        <f>'Necesidades Trimestrales'!E38</f>
        <v>FLUCONAZOL 50MG/5ML SUSENSION X 35 ML</v>
      </c>
      <c r="D40" s="124"/>
      <c r="E40" s="124"/>
      <c r="F40" s="124"/>
      <c r="G40" s="124"/>
      <c r="H40" s="81" t="s">
        <v>54</v>
      </c>
      <c r="I40" s="82" t="str">
        <f>'Necesidades Trimestrales'!F38</f>
        <v>unidad</v>
      </c>
      <c r="J40" s="80">
        <f>'Necesidades Trimestrales'!H38</f>
        <v>2030</v>
      </c>
      <c r="K40" s="79">
        <f>'Necesidades Trimestrales'!G38</f>
        <v>10</v>
      </c>
    </row>
    <row r="41" spans="1:14" ht="27.75" customHeight="1" x14ac:dyDescent="0.2">
      <c r="A41" s="77">
        <v>30</v>
      </c>
      <c r="B41" s="94"/>
      <c r="C41" s="124" t="str">
        <f>'Necesidades Trimestrales'!E39</f>
        <v>RIFAMPICINA 600 MG VIAL</v>
      </c>
      <c r="D41" s="124"/>
      <c r="E41" s="124"/>
      <c r="F41" s="124"/>
      <c r="G41" s="124"/>
      <c r="H41" s="81" t="s">
        <v>54</v>
      </c>
      <c r="I41" s="82" t="str">
        <f>'Necesidades Trimestrales'!F39</f>
        <v>unidad</v>
      </c>
      <c r="J41" s="80">
        <f>'Necesidades Trimestrales'!H39</f>
        <v>1367</v>
      </c>
      <c r="K41" s="79">
        <f>'Necesidades Trimestrales'!G39</f>
        <v>20</v>
      </c>
    </row>
    <row r="42" spans="1:14" ht="27.75" customHeight="1" x14ac:dyDescent="0.2">
      <c r="A42" s="77">
        <v>31</v>
      </c>
      <c r="B42" s="94"/>
      <c r="C42" s="124" t="str">
        <f>'Necesidades Trimestrales'!E40</f>
        <v>ACICLOVIR 80 MG/ML SUSPENSIÓN X 200ML</v>
      </c>
      <c r="D42" s="124"/>
      <c r="E42" s="124"/>
      <c r="F42" s="124"/>
      <c r="G42" s="124"/>
      <c r="H42" s="81" t="s">
        <v>54</v>
      </c>
      <c r="I42" s="82" t="str">
        <f>'Necesidades Trimestrales'!F40</f>
        <v>unidad</v>
      </c>
      <c r="J42" s="80">
        <f>'Necesidades Trimestrales'!H40</f>
        <v>1391.26</v>
      </c>
      <c r="K42" s="79">
        <f>'Necesidades Trimestrales'!G40</f>
        <v>20</v>
      </c>
    </row>
    <row r="43" spans="1:14" ht="27.75" customHeight="1" x14ac:dyDescent="0.2">
      <c r="A43" s="77">
        <v>32</v>
      </c>
      <c r="B43" s="94"/>
      <c r="C43" s="124" t="str">
        <f>'Necesidades Trimestrales'!E41</f>
        <v>ACICLOVIR 500 MG FCO AMPOLLA</v>
      </c>
      <c r="D43" s="124"/>
      <c r="E43" s="124"/>
      <c r="F43" s="124"/>
      <c r="G43" s="124"/>
      <c r="H43" s="81" t="s">
        <v>54</v>
      </c>
      <c r="I43" s="82" t="str">
        <f>'Necesidades Trimestrales'!F41</f>
        <v>unidad</v>
      </c>
      <c r="J43" s="80">
        <f>'Necesidades Trimestrales'!H41</f>
        <v>915.04</v>
      </c>
      <c r="K43" s="79">
        <f>'Necesidades Trimestrales'!G41</f>
        <v>500</v>
      </c>
    </row>
    <row r="44" spans="1:14" ht="27.75" customHeight="1" x14ac:dyDescent="0.2">
      <c r="A44" s="77">
        <v>33</v>
      </c>
      <c r="B44" s="94"/>
      <c r="C44" s="124" t="str">
        <f>'Necesidades Trimestrales'!E42</f>
        <v>INMUNOGLOBULINA HUMANA INESPECIFICA 2,5 GRS</v>
      </c>
      <c r="D44" s="124"/>
      <c r="E44" s="124"/>
      <c r="F44" s="124"/>
      <c r="G44" s="124"/>
      <c r="H44" s="81" t="s">
        <v>54</v>
      </c>
      <c r="I44" s="82" t="str">
        <f>'Necesidades Trimestrales'!F42</f>
        <v>unidad</v>
      </c>
      <c r="J44" s="80">
        <f>'Necesidades Trimestrales'!H42</f>
        <v>17795</v>
      </c>
      <c r="K44" s="79">
        <f>'Necesidades Trimestrales'!G42</f>
        <v>50</v>
      </c>
    </row>
    <row r="45" spans="1:14" ht="27.75" customHeight="1" x14ac:dyDescent="0.2">
      <c r="A45" s="77">
        <v>34</v>
      </c>
      <c r="B45" s="94"/>
      <c r="C45" s="124" t="str">
        <f>'Necesidades Trimestrales'!E43</f>
        <v>INMUNOGLOBULINA HUMANA INESPECIFICA 5 GRS</v>
      </c>
      <c r="D45" s="124"/>
      <c r="E45" s="124"/>
      <c r="F45" s="124"/>
      <c r="G45" s="124"/>
      <c r="H45" s="81" t="s">
        <v>54</v>
      </c>
      <c r="I45" s="82" t="str">
        <f>'Necesidades Trimestrales'!F43</f>
        <v>unidad</v>
      </c>
      <c r="J45" s="80">
        <f>'Necesidades Trimestrales'!H43</f>
        <v>35600</v>
      </c>
      <c r="K45" s="79">
        <f>'Necesidades Trimestrales'!G43</f>
        <v>50</v>
      </c>
    </row>
    <row r="46" spans="1:14" ht="27.75" customHeight="1" thickBot="1" x14ac:dyDescent="0.25">
      <c r="A46" s="77">
        <v>35</v>
      </c>
      <c r="B46" s="94"/>
      <c r="C46" s="124" t="str">
        <f>'Necesidades Trimestrales'!E44</f>
        <v>INMUNOGLOBULINA HUMANA INESPECIFICA 10 GRS</v>
      </c>
      <c r="D46" s="124"/>
      <c r="E46" s="124"/>
      <c r="F46" s="124"/>
      <c r="G46" s="124"/>
      <c r="H46" s="81" t="s">
        <v>54</v>
      </c>
      <c r="I46" s="82" t="str">
        <f>'Necesidades Trimestrales'!F44</f>
        <v>unidad</v>
      </c>
      <c r="J46" s="80">
        <f>'Necesidades Trimestrales'!H44</f>
        <v>71175</v>
      </c>
      <c r="K46" s="79">
        <f>'Necesidades Trimestrales'!G44</f>
        <v>50</v>
      </c>
    </row>
    <row r="47" spans="1:14" ht="20.25" customHeight="1" thickBot="1" x14ac:dyDescent="0.25">
      <c r="A47" s="120" t="s">
        <v>96</v>
      </c>
      <c r="B47" s="120"/>
      <c r="C47" s="120"/>
      <c r="D47" s="120"/>
      <c r="E47" s="120"/>
      <c r="F47" s="120"/>
      <c r="G47" s="120"/>
      <c r="H47" s="120"/>
      <c r="I47" s="120"/>
      <c r="J47" s="121">
        <f>SUMPRODUCT(J12:J46,K12:K46)</f>
        <v>13565618.100000001</v>
      </c>
      <c r="K47" s="121"/>
      <c r="N47" s="54"/>
    </row>
  </sheetData>
  <mergeCells count="57">
    <mergeCell ref="C46:G46"/>
    <mergeCell ref="C41:G41"/>
    <mergeCell ref="C42:G42"/>
    <mergeCell ref="C43:G43"/>
    <mergeCell ref="C44:G44"/>
    <mergeCell ref="C45:G45"/>
    <mergeCell ref="C31:G31"/>
    <mergeCell ref="C26:G26"/>
    <mergeCell ref="C27:G27"/>
    <mergeCell ref="C28:G28"/>
    <mergeCell ref="C29:G29"/>
    <mergeCell ref="C30:G30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47:I47"/>
    <mergeCell ref="J47:K4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Q15" sqref="Q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1" t="s">
        <v>3</v>
      </c>
      <c r="B1" s="161"/>
      <c r="C1" s="161"/>
      <c r="D1" s="162">
        <f>'Necesidades Trimestrales'!C6</f>
        <v>2021</v>
      </c>
      <c r="E1" s="162"/>
      <c r="F1" s="3"/>
      <c r="G1" s="3"/>
      <c r="H1" s="4"/>
      <c r="I1" s="4"/>
      <c r="J1" s="4"/>
      <c r="K1" s="4"/>
      <c r="L1" s="4"/>
      <c r="M1" s="4"/>
      <c r="N1" s="4"/>
      <c r="P1" s="163" t="s">
        <v>25</v>
      </c>
      <c r="Q1" s="16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3"/>
      <c r="Q2" s="163"/>
    </row>
    <row r="4" spans="1:17" s="5" customFormat="1" ht="18" customHeight="1" thickBot="1" x14ac:dyDescent="0.25">
      <c r="A4" s="164" t="s">
        <v>26</v>
      </c>
      <c r="B4" s="164"/>
      <c r="C4" s="164"/>
      <c r="D4" s="164"/>
      <c r="E4" s="164"/>
      <c r="F4" s="164"/>
      <c r="G4" s="159" t="str">
        <f>' NotaPedido'!D3</f>
        <v>040 - Ministerio de Salud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5" customFormat="1" ht="18" customHeight="1" thickBot="1" x14ac:dyDescent="0.25">
      <c r="A5" s="156" t="s">
        <v>49</v>
      </c>
      <c r="B5" s="157"/>
      <c r="C5" s="157"/>
      <c r="D5" s="157"/>
      <c r="E5" s="157"/>
      <c r="F5" s="158"/>
      <c r="G5" s="159" t="str">
        <f>' NotaPedido'!D4</f>
        <v>024 - Hospital Interzonal de Niños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s="5" customFormat="1" ht="18" customHeight="1" thickBot="1" x14ac:dyDescent="0.25">
      <c r="A6" s="156" t="s">
        <v>27</v>
      </c>
      <c r="B6" s="157"/>
      <c r="C6" s="157"/>
      <c r="D6" s="157"/>
      <c r="E6" s="157"/>
      <c r="F6" s="158"/>
      <c r="G6" s="159" t="str">
        <f>' NotaPedido'!D5</f>
        <v>024 - Hospital Interzonal de Niños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s="5" customFormat="1" ht="18" customHeight="1" thickBot="1" x14ac:dyDescent="0.25">
      <c r="A7" s="156" t="s">
        <v>50</v>
      </c>
      <c r="B7" s="157"/>
      <c r="C7" s="157"/>
      <c r="D7" s="157"/>
      <c r="E7" s="157"/>
      <c r="F7" s="158"/>
      <c r="G7" s="159" t="s">
        <v>57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8" customHeight="1" thickBot="1" x14ac:dyDescent="0.25">
      <c r="A8" s="160" t="s">
        <v>28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18" customHeight="1" x14ac:dyDescent="0.2">
      <c r="A9" s="145" t="s">
        <v>29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6"/>
    </row>
    <row r="10" spans="1:17" ht="54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053/2021,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7" t="s">
        <v>30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thickBot="1" x14ac:dyDescent="0.25">
      <c r="A13" s="148" t="s">
        <v>31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32</v>
      </c>
      <c r="P13" s="151"/>
      <c r="Q13" s="154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52"/>
      <c r="P14" s="153"/>
      <c r="Q14" s="155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39" t="s">
        <v>56</v>
      </c>
      <c r="P15" s="139"/>
      <c r="Q15" s="65">
        <v>13565618.1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7"/>
      <c r="O16" s="140"/>
      <c r="P16" s="134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4"/>
      <c r="P17" s="134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4"/>
      <c r="P18" s="134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5"/>
      <c r="P19" s="135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6"/>
      <c r="P20" s="136"/>
      <c r="Q20" s="24"/>
    </row>
    <row r="21" spans="1:18" ht="29.25" customHeight="1" x14ac:dyDescent="0.2">
      <c r="A21" s="137" t="s">
        <v>97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25">
        <f>SUM(Q15:Q20)</f>
        <v>13565618.1</v>
      </c>
    </row>
    <row r="22" spans="1:18" ht="18" customHeight="1" thickBot="1" x14ac:dyDescent="0.25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 spans="1:18" ht="17.25" customHeight="1" thickBot="1" x14ac:dyDescent="0.25">
      <c r="A23" s="141" t="s">
        <v>47</v>
      </c>
      <c r="B23" s="142"/>
      <c r="C23" s="142"/>
      <c r="D23" s="142"/>
      <c r="E23" s="142"/>
      <c r="F23" s="143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8" customHeight="1" thickBot="1" x14ac:dyDescent="0.25">
      <c r="A24" s="133" t="s">
        <v>104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8" ht="26.25" customHeight="1" x14ac:dyDescent="0.2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2021-03-19T12:42:30Z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