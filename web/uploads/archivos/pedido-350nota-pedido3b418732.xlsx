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ICITACION6\Users\Public\backup_licitacion\PROGRAMACION SEGUNDO TRIMESTRE 2021\FARMACIA\MEDICAMENTOS\ANTIDIABETICOS E INSULINAS - TRIMESTRAL\"/>
    </mc:Choice>
  </mc:AlternateContent>
  <bookViews>
    <workbookView xWindow="-105" yWindow="-105" windowWidth="19410" windowHeight="11010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6" i="3" l="1"/>
  <c r="A10" i="3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10" i="1"/>
  <c r="I12" i="1"/>
  <c r="I11" i="1"/>
  <c r="J15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<sst xmlns="http://schemas.openxmlformats.org/spreadsheetml/2006/main" count="90" uniqueCount="77">
  <si>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</si>
  <si>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</si>
  <si>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</si>
  <si>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</si>
  <si>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</si>
  <si>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</si>
  <si>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</si>
  <si>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</si>
  <si>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</si>
  <si>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</si>
  <si>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</si>
  <si>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</si>
  <si>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</si>
  <si>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</si>
  <si>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</si>
  <si>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</si>
  <si>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</si>
  <si>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</si>
  <si>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</si>
  <si>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</si>
  <si>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</si>
  <si>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</si>
  <si>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</si>
  <si>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</si>
  <si>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</si>
  <si>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</si>
  <si>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</si>
  <si>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</si>
  <si>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</si>
  <si>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</si>
  <si>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</si>
  <si>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</si>
  <si>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</si>
  <si>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</si>
  <si>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</si>
  <si>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</si>
  <si>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</si>
  <si>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</si>
  <si>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</si>
  <si>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</si>
  <si>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</si>
  <si>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</si>
  <si>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</si>
  <si>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</si>
  <si>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</si>
  <si>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</si>
  <si>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</si>
  <si>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</si>
  <si>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</si>
  <si>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</si>
  <si>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</si>
  <si>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</si>
  <si>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</si>
  <si>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</si>
  <si>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</si>
  <si>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</si>
  <si>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</si>
  <si>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</si>
  <si>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</si>
  <si>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</si>
  <si>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</si>
  <si>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</si>
  <si>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</si>
  <si>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</si>
  <si>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</si>
  <si>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</si>
  <si>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>014 - 2021</t>
  </si>
  <si>
    <t xml:space="preserve">MEDICAMENTOS </t>
  </si>
  <si>
    <t>2.5.2</t>
  </si>
  <si>
    <t>INSULINA CORRIENTE HUMANA 100 UI FCO AMP 10 ML</t>
  </si>
  <si>
    <t>UNIDAD</t>
  </si>
  <si>
    <t>INSULINA NPH HUMANA 100 UI FCO AMP 10 ML</t>
  </si>
  <si>
    <t>GLIBENCLAMIDA 5 MG COMPRIMIDO</t>
  </si>
  <si>
    <t xml:space="preserve">10 dias - Servicio de Farmacia del HISJB - Avda. Illia y Mariano Moreno </t>
  </si>
  <si>
    <t>Costo total estimado: diecinueve mil trescientos sesenta y cuatro con 00/100.-</t>
  </si>
  <si>
    <t>Adquisición de Medicamentos Antidiabeticos e Insulinas</t>
  </si>
  <si>
    <t>TOTAL DE PESOS: DIECINUEVE MIL TRESCIENTOS SESENTA Y CUATRO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</si>
</sst>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22" xfId="0" applyBorder="1"/>
    <xf numFmtId="0" fontId="26" fillId="0" borderId="38" xfId="0" applyFont="1" applyBorder="1" applyAlignment="1">
      <alignment horizontal="left" vertical="center"/>
    </xf>
    <xf numFmtId="0" fontId="13" fillId="0" borderId="44" xfId="0" applyFont="1" applyBorder="1" applyAlignment="1">
      <alignment horizontal="left"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8"/>
  <sheetViews>
    <sheetView topLeftCell="A5" zoomScale="85" zoomScaleNormal="85" workbookViewId="0">
      <selection activeCell="G20" sqref="G20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79" t="s">
        <v>0</v>
      </c>
      <c r="C2" s="79"/>
      <c r="D2" s="79"/>
      <c r="E2" s="79"/>
      <c r="F2" s="79"/>
      <c r="G2" s="79"/>
      <c r="H2" s="79"/>
    </row>
    <row r="4" spans="1:9" ht="18" customHeight="1" x14ac:dyDescent="0.25">
      <c r="A4" s="80" t="s">
        <v>1</v>
      </c>
      <c r="B4" s="80"/>
      <c r="C4" s="81" t="s">
        <v>58</v>
      </c>
      <c r="D4" s="81"/>
      <c r="E4" s="81"/>
      <c r="F4" s="40"/>
      <c r="G4" s="41"/>
      <c r="H4" s="40"/>
    </row>
    <row r="5" spans="1:9" ht="18" customHeight="1" x14ac:dyDescent="0.25">
      <c r="A5" s="80" t="s">
        <v>2</v>
      </c>
      <c r="B5" s="80"/>
      <c r="C5" s="81" t="s">
        <v>59</v>
      </c>
      <c r="D5" s="81"/>
      <c r="E5" s="81"/>
      <c r="F5" s="40"/>
      <c r="G5" s="41"/>
      <c r="H5" s="40"/>
    </row>
    <row r="6" spans="1:9" ht="16.5" customHeight="1" x14ac:dyDescent="0.25">
      <c r="A6" s="80" t="s">
        <v>3</v>
      </c>
      <c r="B6" s="80"/>
      <c r="C6" s="63">
        <v>2021</v>
      </c>
      <c r="D6" s="64"/>
      <c r="E6" s="64"/>
      <c r="F6" s="40"/>
      <c r="G6" s="41"/>
      <c r="H6" s="40"/>
    </row>
    <row r="7" spans="1:9" ht="16.5" customHeight="1" x14ac:dyDescent="0.25">
      <c r="A7" s="80" t="s">
        <v>4</v>
      </c>
      <c r="B7" s="80"/>
      <c r="C7" s="63">
        <v>2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60"/>
      <c r="C10" s="57" t="s">
        <v>67</v>
      </c>
      <c r="D10" s="58" t="s">
        <v>68</v>
      </c>
      <c r="E10" s="59" t="s">
        <v>72</v>
      </c>
      <c r="F10" s="60" t="s">
        <v>70</v>
      </c>
      <c r="G10" s="60">
        <v>240</v>
      </c>
      <c r="H10" s="61">
        <v>10.7</v>
      </c>
      <c r="I10" s="62">
        <f>G10*H10</f>
        <v>2568</v>
      </c>
    </row>
    <row r="11" spans="1:9" ht="31.9" customHeight="1" thickBot="1" x14ac:dyDescent="0.25">
      <c r="A11" s="56">
        <v>2</v>
      </c>
      <c r="B11" s="60"/>
      <c r="C11" s="57" t="s">
        <v>67</v>
      </c>
      <c r="D11" s="58" t="s">
        <v>68</v>
      </c>
      <c r="E11" s="59" t="s">
        <v>69</v>
      </c>
      <c r="F11" s="60" t="s">
        <v>70</v>
      </c>
      <c r="G11" s="60">
        <v>20</v>
      </c>
      <c r="H11" s="61">
        <v>419.9</v>
      </c>
      <c r="I11" s="62">
        <f>G11*H11</f>
        <v>8398</v>
      </c>
    </row>
    <row r="12" spans="1:9" ht="31.9" customHeight="1" thickBot="1" x14ac:dyDescent="0.25">
      <c r="A12" s="56">
        <v>3</v>
      </c>
      <c r="B12" s="60"/>
      <c r="C12" s="57" t="s">
        <v>67</v>
      </c>
      <c r="D12" s="58" t="s">
        <v>68</v>
      </c>
      <c r="E12" s="59" t="s">
        <v>71</v>
      </c>
      <c r="F12" s="60" t="s">
        <v>70</v>
      </c>
      <c r="G12" s="60">
        <v>20</v>
      </c>
      <c r="H12" s="61">
        <v>419.9</v>
      </c>
      <c r="I12" s="62">
        <f>G12*H12</f>
        <v>8398</v>
      </c>
    </row>
    <row r="15" spans="1:9" x14ac:dyDescent="0.2">
      <c r="B15" s="42" t="s">
        <v>14</v>
      </c>
      <c r="C15" s="43"/>
      <c r="D15" s="43"/>
      <c r="E15" s="44"/>
    </row>
    <row r="16" spans="1:9" ht="5.25" customHeight="1" x14ac:dyDescent="0.2">
      <c r="B16" s="45"/>
      <c r="C16" s="46"/>
      <c r="D16" s="46"/>
      <c r="E16" s="47"/>
    </row>
    <row r="17" spans="2:5" x14ac:dyDescent="0.2">
      <c r="B17" s="48" t="s">
        <v>15</v>
      </c>
      <c r="C17" s="46"/>
      <c r="D17" s="46"/>
      <c r="E17" s="47"/>
    </row>
    <row r="18" spans="2:5" ht="41.25" customHeight="1" x14ac:dyDescent="0.2">
      <c r="B18" s="48"/>
      <c r="C18" s="82"/>
      <c r="D18" s="82"/>
      <c r="E18" s="82"/>
    </row>
    <row r="19" spans="2:5" x14ac:dyDescent="0.2">
      <c r="B19" s="48" t="s">
        <v>16</v>
      </c>
      <c r="C19" s="46"/>
      <c r="D19" s="46"/>
      <c r="E19" s="47"/>
    </row>
    <row r="20" spans="2:5" x14ac:dyDescent="0.2">
      <c r="B20" s="49"/>
      <c r="C20" s="83" t="s">
        <v>73</v>
      </c>
      <c r="D20" s="83"/>
      <c r="E20" s="83"/>
    </row>
    <row r="21" spans="2:5" x14ac:dyDescent="0.2">
      <c r="B21" s="49"/>
      <c r="C21" s="84"/>
      <c r="D21" s="84"/>
      <c r="E21" s="84"/>
    </row>
    <row r="22" spans="2:5" x14ac:dyDescent="0.2">
      <c r="B22" s="48" t="s">
        <v>17</v>
      </c>
      <c r="C22" s="46"/>
      <c r="D22" s="46"/>
      <c r="E22" s="47"/>
    </row>
    <row r="23" spans="2:5" ht="26.25" customHeight="1" x14ac:dyDescent="0.2">
      <c r="B23" s="49"/>
      <c r="C23" s="82"/>
      <c r="D23" s="82"/>
      <c r="E23" s="82"/>
    </row>
    <row r="24" spans="2:5" x14ac:dyDescent="0.2">
      <c r="B24" s="48" t="s">
        <v>18</v>
      </c>
      <c r="C24" s="50"/>
      <c r="D24" s="50"/>
      <c r="E24" s="51"/>
    </row>
    <row r="25" spans="2:5" ht="26.25" customHeight="1" x14ac:dyDescent="0.2">
      <c r="B25" s="49"/>
      <c r="C25" s="86" t="s">
        <v>63</v>
      </c>
      <c r="D25" s="86"/>
      <c r="E25" s="86"/>
    </row>
    <row r="26" spans="2:5" x14ac:dyDescent="0.2">
      <c r="B26" s="48" t="s">
        <v>19</v>
      </c>
      <c r="C26" s="46"/>
      <c r="D26" s="46"/>
      <c r="E26" s="47"/>
    </row>
    <row r="27" spans="2:5" ht="23.25" customHeight="1" x14ac:dyDescent="0.2">
      <c r="B27" s="48"/>
      <c r="C27" s="85"/>
      <c r="D27" s="85"/>
      <c r="E27" s="85"/>
    </row>
    <row r="28" spans="2:5" x14ac:dyDescent="0.2">
      <c r="B28" s="52"/>
      <c r="C28" s="53"/>
      <c r="D28" s="53"/>
      <c r="E28" s="54"/>
    </row>
  </sheetData>
  <sortState ref="C10:I12">
    <sortCondition ref="E10:E12"/>
  </sortState>
  <mergeCells count="13">
    <mergeCell ref="C23:E23"/>
    <mergeCell ref="C25:E25"/>
    <mergeCell ref="C27:E27"/>
    <mergeCell ref="A6:B6"/>
    <mergeCell ref="A7:B7"/>
    <mergeCell ref="C18:E18"/>
    <mergeCell ref="C20:E20"/>
    <mergeCell ref="C21:E21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5"/>
  <sheetViews>
    <sheetView zoomScale="70" zoomScaleNormal="70" workbookViewId="0">
      <selection activeCell="G31" sqref="G3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87" t="s">
        <v>20</v>
      </c>
      <c r="B1" s="87"/>
      <c r="C1" s="87"/>
      <c r="D1" s="87"/>
      <c r="E1" s="87"/>
      <c r="F1" s="87"/>
      <c r="G1" s="87"/>
      <c r="H1" s="87"/>
      <c r="I1" s="87"/>
      <c r="J1" s="3" t="s">
        <v>21</v>
      </c>
      <c r="K1" s="65" t="s">
        <v>66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88" t="s">
        <v>54</v>
      </c>
      <c r="B3" s="88"/>
      <c r="C3" s="88"/>
      <c r="D3" s="89" t="str">
        <f>'Necesidades Trimestrales'!C4</f>
        <v>40 - Ministerio de Salud</v>
      </c>
      <c r="E3" s="89"/>
      <c r="F3" s="89"/>
      <c r="G3" s="89"/>
      <c r="H3" s="89"/>
      <c r="I3" s="89"/>
      <c r="J3" s="89"/>
      <c r="K3" s="89"/>
    </row>
    <row r="4" spans="1:1024" ht="18.75" customHeight="1" thickBot="1" x14ac:dyDescent="0.25">
      <c r="A4" s="90" t="s">
        <v>55</v>
      </c>
      <c r="B4" s="90"/>
      <c r="C4" s="90"/>
      <c r="D4" s="89" t="str">
        <f>'Necesidades Trimestrales'!C5</f>
        <v>23 - Hospital Interzonal San Juan Bautista</v>
      </c>
      <c r="E4" s="89"/>
      <c r="F4" s="89"/>
      <c r="G4" s="89"/>
      <c r="H4" s="89"/>
      <c r="I4" s="89"/>
      <c r="J4" s="89"/>
      <c r="K4" s="89"/>
    </row>
    <row r="5" spans="1:1024" ht="18.75" customHeight="1" thickBot="1" x14ac:dyDescent="0.25">
      <c r="A5" s="90" t="s">
        <v>33</v>
      </c>
      <c r="B5" s="90"/>
      <c r="C5" s="90"/>
      <c r="D5" s="89" t="s">
        <v>60</v>
      </c>
      <c r="E5" s="89"/>
      <c r="F5" s="89"/>
      <c r="G5" s="89"/>
      <c r="H5" s="89"/>
      <c r="I5" s="89"/>
      <c r="J5" s="89"/>
      <c r="K5" s="89"/>
    </row>
    <row r="6" spans="1:1024" ht="16.5" customHeight="1" thickBot="1" x14ac:dyDescent="0.25">
      <c r="A6" s="88" t="s">
        <v>56</v>
      </c>
      <c r="B6" s="88"/>
      <c r="C6" s="88"/>
      <c r="D6" s="89" t="s">
        <v>61</v>
      </c>
      <c r="E6" s="89"/>
      <c r="F6" s="89"/>
      <c r="G6" s="89"/>
      <c r="H6" s="89"/>
      <c r="I6" s="89"/>
      <c r="J6" s="89"/>
      <c r="K6" s="89"/>
    </row>
    <row r="7" spans="1:1024" ht="16.5" customHeight="1" x14ac:dyDescent="0.2">
      <c r="A7" s="90" t="s">
        <v>22</v>
      </c>
      <c r="B7" s="90"/>
      <c r="C7" s="90"/>
      <c r="D7" s="89" t="str">
        <f>'Necesidades Trimestrales'!C7 &amp; "° Trimestre - Año " &amp; 'Necesidades Trimestrales'!C6</f>
        <v>2° Trimestre - Año 2021</v>
      </c>
      <c r="E7" s="89"/>
      <c r="F7" s="89"/>
      <c r="G7" s="89"/>
      <c r="H7" s="89"/>
      <c r="I7" s="89"/>
      <c r="J7" s="89"/>
      <c r="K7" s="89"/>
    </row>
    <row r="8" spans="1:1024" ht="16.5" customHeight="1" x14ac:dyDescent="0.2">
      <c r="A8" s="91" t="s">
        <v>23</v>
      </c>
      <c r="B8" s="91"/>
      <c r="C8" s="91"/>
      <c r="D8" s="92" t="s">
        <v>75</v>
      </c>
      <c r="E8" s="92"/>
      <c r="F8" s="92"/>
      <c r="G8" s="92"/>
      <c r="H8" s="92"/>
      <c r="I8" s="92"/>
      <c r="J8" s="92"/>
      <c r="K8" s="92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93" t="s">
        <v>24</v>
      </c>
      <c r="B10" s="94" t="s">
        <v>25</v>
      </c>
      <c r="C10" s="94" t="s">
        <v>26</v>
      </c>
      <c r="D10" s="94"/>
      <c r="E10" s="94"/>
      <c r="F10" s="94"/>
      <c r="G10" s="94"/>
      <c r="H10" s="94" t="s">
        <v>27</v>
      </c>
      <c r="I10" s="94" t="s">
        <v>28</v>
      </c>
      <c r="J10" s="94" t="s">
        <v>29</v>
      </c>
      <c r="K10" s="95" t="s">
        <v>30</v>
      </c>
    </row>
    <row r="11" spans="1:1024" ht="24" customHeight="1" thickBot="1" x14ac:dyDescent="0.25">
      <c r="A11" s="93"/>
      <c r="B11" s="94"/>
      <c r="C11" s="94"/>
      <c r="D11" s="94"/>
      <c r="E11" s="94"/>
      <c r="F11" s="94"/>
      <c r="G11" s="94"/>
      <c r="H11" s="94"/>
      <c r="I11" s="94"/>
      <c r="J11" s="94"/>
      <c r="K11" s="95"/>
    </row>
    <row r="12" spans="1:1024" ht="20.25" customHeight="1" thickBot="1" x14ac:dyDescent="0.25">
      <c r="A12" s="8">
        <v>1</v>
      </c>
      <c r="B12" s="66">
        <f>'Necesidades Trimestrales'!B10</f>
        <v>0</v>
      </c>
      <c r="C12" s="98" t="str">
        <f>'Necesidades Trimestrales'!E10</f>
        <v>GLIBENCLAMIDA 5 MG COMPRIMIDO</v>
      </c>
      <c r="D12" s="98"/>
      <c r="E12" s="98"/>
      <c r="F12" s="98"/>
      <c r="G12" s="98"/>
      <c r="H12" s="67" t="s">
        <v>57</v>
      </c>
      <c r="I12" s="68" t="str">
        <f>'Necesidades Trimestrales'!F10</f>
        <v>UNIDAD</v>
      </c>
      <c r="J12" s="69">
        <f>'Necesidades Trimestrales'!H10</f>
        <v>10.7</v>
      </c>
      <c r="K12" s="70">
        <f>'Necesidades Trimestrales'!G10</f>
        <v>240</v>
      </c>
    </row>
    <row r="13" spans="1:1024" ht="20.25" customHeight="1" thickBot="1" x14ac:dyDescent="0.25">
      <c r="A13" s="8">
        <v>2</v>
      </c>
      <c r="B13" s="66">
        <f>'Necesidades Trimestrales'!B11</f>
        <v>0</v>
      </c>
      <c r="C13" s="98" t="str">
        <f>'Necesidades Trimestrales'!E11</f>
        <v>INSULINA CORRIENTE HUMANA 100 UI FCO AMP 10 ML</v>
      </c>
      <c r="D13" s="98"/>
      <c r="E13" s="98"/>
      <c r="F13" s="98"/>
      <c r="G13" s="98"/>
      <c r="H13" s="67" t="s">
        <v>57</v>
      </c>
      <c r="I13" s="68" t="str">
        <f>'Necesidades Trimestrales'!F11</f>
        <v>UNIDAD</v>
      </c>
      <c r="J13" s="69">
        <f>'Necesidades Trimestrales'!H11</f>
        <v>419.9</v>
      </c>
      <c r="K13" s="70">
        <f>'Necesidades Trimestrales'!G11</f>
        <v>20</v>
      </c>
    </row>
    <row r="14" spans="1:1024" ht="20.25" customHeight="1" thickBot="1" x14ac:dyDescent="0.25">
      <c r="A14" s="8">
        <v>3</v>
      </c>
      <c r="B14" s="66">
        <f>'Necesidades Trimestrales'!B12</f>
        <v>0</v>
      </c>
      <c r="C14" s="98" t="str">
        <f>'Necesidades Trimestrales'!E12</f>
        <v>INSULINA NPH HUMANA 100 UI FCO AMP 10 ML</v>
      </c>
      <c r="D14" s="98"/>
      <c r="E14" s="98"/>
      <c r="F14" s="98"/>
      <c r="G14" s="98"/>
      <c r="H14" s="67" t="s">
        <v>57</v>
      </c>
      <c r="I14" s="68" t="str">
        <f>'Necesidades Trimestrales'!F12</f>
        <v>UNIDAD</v>
      </c>
      <c r="J14" s="69">
        <f>'Necesidades Trimestrales'!H12</f>
        <v>419.9</v>
      </c>
      <c r="K14" s="70">
        <f>'Necesidades Trimestrales'!G12</f>
        <v>20</v>
      </c>
    </row>
    <row r="15" spans="1:1024" ht="20.25" customHeight="1" thickBot="1" x14ac:dyDescent="0.25">
      <c r="A15" s="96" t="s">
        <v>74</v>
      </c>
      <c r="B15" s="96"/>
      <c r="C15" s="96"/>
      <c r="D15" s="96"/>
      <c r="E15" s="96"/>
      <c r="F15" s="96"/>
      <c r="G15" s="96"/>
      <c r="H15" s="96"/>
      <c r="I15" s="96"/>
      <c r="J15" s="97">
        <f>SUMPRODUCT(J12:J14,K12:K14)</f>
        <v>19364</v>
      </c>
      <c r="K15" s="9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</sheetData>
  <mergeCells count="25">
    <mergeCell ref="C12:G12"/>
    <mergeCell ref="C13:G13"/>
    <mergeCell ref="C14:G14"/>
    <mergeCell ref="A15:I15"/>
    <mergeCell ref="J15:K1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A16" zoomScale="130" zoomScaleNormal="130" workbookViewId="0">
      <selection activeCell="S10" sqref="S10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99" t="s">
        <v>3</v>
      </c>
      <c r="B1" s="99"/>
      <c r="C1" s="99"/>
      <c r="D1" s="100">
        <f>'Necesidades Trimestrales'!C6</f>
        <v>2021</v>
      </c>
      <c r="E1" s="100"/>
      <c r="F1" s="10"/>
      <c r="G1" s="10"/>
      <c r="H1" s="11"/>
      <c r="I1" s="11"/>
      <c r="J1" s="11"/>
      <c r="K1" s="11"/>
      <c r="L1" s="11"/>
      <c r="M1" s="11"/>
      <c r="N1" s="11"/>
      <c r="P1" s="101" t="s">
        <v>31</v>
      </c>
      <c r="Q1" s="101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1"/>
      <c r="Q2" s="101"/>
    </row>
    <row r="4" spans="1:17" s="12" customFormat="1" ht="18" customHeight="1" thickBot="1" x14ac:dyDescent="0.25">
      <c r="A4" s="102" t="s">
        <v>32</v>
      </c>
      <c r="B4" s="102"/>
      <c r="C4" s="102"/>
      <c r="D4" s="102"/>
      <c r="E4" s="102"/>
      <c r="F4" s="102"/>
      <c r="G4" s="103" t="str">
        <f>NotaPedido!D3</f>
        <v>40 - Ministerio de Salud</v>
      </c>
      <c r="H4" s="103"/>
      <c r="I4" s="103"/>
      <c r="J4" s="103"/>
      <c r="K4" s="103"/>
      <c r="L4" s="103"/>
      <c r="M4" s="103"/>
      <c r="N4" s="103"/>
      <c r="O4" s="103"/>
      <c r="P4" s="103"/>
      <c r="Q4" s="103"/>
    </row>
    <row r="5" spans="1:17" s="12" customFormat="1" ht="18" customHeight="1" thickBot="1" x14ac:dyDescent="0.25">
      <c r="A5" s="104" t="s">
        <v>55</v>
      </c>
      <c r="B5" s="105"/>
      <c r="C5" s="105"/>
      <c r="D5" s="105"/>
      <c r="E5" s="105"/>
      <c r="F5" s="106"/>
      <c r="G5" s="103" t="str">
        <f>NotaPedido!D4</f>
        <v>23 - Hospital Interzonal San Juan Bautista</v>
      </c>
      <c r="H5" s="103"/>
      <c r="I5" s="103"/>
      <c r="J5" s="103"/>
      <c r="K5" s="103"/>
      <c r="L5" s="103"/>
      <c r="M5" s="103"/>
      <c r="N5" s="103"/>
      <c r="O5" s="103"/>
      <c r="P5" s="103"/>
      <c r="Q5" s="103"/>
    </row>
    <row r="6" spans="1:17" s="12" customFormat="1" ht="18" customHeight="1" thickBot="1" x14ac:dyDescent="0.25">
      <c r="A6" s="104" t="s">
        <v>33</v>
      </c>
      <c r="B6" s="105"/>
      <c r="C6" s="105"/>
      <c r="D6" s="105"/>
      <c r="E6" s="105"/>
      <c r="F6" s="106"/>
      <c r="G6" s="103" t="str">
        <f>NotaPedido!D5</f>
        <v>168 - Direccion Asistencial</v>
      </c>
      <c r="H6" s="103"/>
      <c r="I6" s="103"/>
      <c r="J6" s="103"/>
      <c r="K6" s="103"/>
      <c r="L6" s="103"/>
      <c r="M6" s="103"/>
      <c r="N6" s="103"/>
      <c r="O6" s="103"/>
      <c r="P6" s="103"/>
      <c r="Q6" s="103"/>
    </row>
    <row r="7" spans="1:17" s="12" customFormat="1" ht="18" customHeight="1" thickBot="1" x14ac:dyDescent="0.25">
      <c r="A7" s="104" t="s">
        <v>56</v>
      </c>
      <c r="B7" s="105"/>
      <c r="C7" s="105"/>
      <c r="D7" s="105"/>
      <c r="E7" s="105"/>
      <c r="F7" s="106"/>
      <c r="G7" s="103" t="str">
        <f>NotaPedido!D6</f>
        <v>Servicio de Farmacia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</row>
    <row r="8" spans="1:17" ht="18" customHeight="1" thickBot="1" x14ac:dyDescent="0.25">
      <c r="A8" s="107" t="s">
        <v>34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</row>
    <row r="9" spans="1:17" ht="18" customHeight="1" x14ac:dyDescent="0.2">
      <c r="A9" s="108" t="s">
        <v>35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"/>
      <c r="P9" s="1"/>
      <c r="Q9" s="13"/>
    </row>
    <row r="10" spans="1:17" ht="54.75" customHeight="1" x14ac:dyDescent="0.2">
      <c r="A10" s="109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014 - 2021,  afectando la erogación resultante a los créditos presupuestarios aprobados a favor de esta Unidad Ejecutora, conforme al siguiente detalle: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0" t="s">
        <v>36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</row>
    <row r="13" spans="1:17" ht="15.75" customHeight="1" x14ac:dyDescent="0.2">
      <c r="A13" s="111" t="s">
        <v>37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2" t="s">
        <v>38</v>
      </c>
      <c r="P13" s="112"/>
      <c r="Q13" s="113" t="s">
        <v>39</v>
      </c>
    </row>
    <row r="14" spans="1:17" ht="15.75" customHeight="1" thickBot="1" x14ac:dyDescent="0.25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2"/>
      <c r="P14" s="112"/>
      <c r="Q14" s="113"/>
    </row>
    <row r="15" spans="1:17" ht="17.25" customHeight="1" x14ac:dyDescent="0.2">
      <c r="A15" s="73">
        <v>33</v>
      </c>
      <c r="B15" s="74"/>
      <c r="C15" s="74"/>
      <c r="D15" s="74">
        <v>2</v>
      </c>
      <c r="E15" s="74"/>
      <c r="F15" s="74">
        <v>4901</v>
      </c>
      <c r="G15" s="74">
        <v>3</v>
      </c>
      <c r="H15" s="75" t="s">
        <v>64</v>
      </c>
      <c r="I15" s="76">
        <v>2</v>
      </c>
      <c r="J15" s="76">
        <v>5</v>
      </c>
      <c r="K15" s="76">
        <v>2</v>
      </c>
      <c r="L15" s="74"/>
      <c r="M15" s="77">
        <v>1</v>
      </c>
      <c r="N15" s="75" t="s">
        <v>65</v>
      </c>
      <c r="O15" s="125" t="s">
        <v>62</v>
      </c>
      <c r="P15" s="125"/>
      <c r="Q15" s="23">
        <v>19364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14"/>
      <c r="P16" s="114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14"/>
      <c r="P17" s="114"/>
      <c r="Q17" s="28"/>
      <c r="S17" s="78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15"/>
      <c r="P18" s="116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6"/>
      <c r="P19" s="116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16"/>
      <c r="P20" s="116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2"/>
      <c r="P21" s="122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3"/>
      <c r="P22" s="123"/>
      <c r="Q22" s="37"/>
    </row>
    <row r="23" spans="1:19" ht="20.25" customHeight="1" x14ac:dyDescent="0.2">
      <c r="A23" s="126" t="s">
        <v>76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38">
        <f>SUM(Q15:Q22)</f>
        <v>19364</v>
      </c>
    </row>
    <row r="24" spans="1:19" ht="18" customHeight="1" thickBot="1" x14ac:dyDescent="0.25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</row>
    <row r="25" spans="1:19" ht="17.25" customHeight="1" thickBot="1" x14ac:dyDescent="0.25">
      <c r="A25" s="117" t="s">
        <v>53</v>
      </c>
      <c r="B25" s="118"/>
      <c r="C25" s="118"/>
      <c r="D25" s="118"/>
      <c r="E25" s="118"/>
      <c r="F25" s="119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</row>
    <row r="26" spans="1:19" ht="18" customHeight="1" thickBot="1" x14ac:dyDescent="0.25">
      <c r="A26" s="121" t="str">
        <f>"Para la "&amp; NotaPedido!D8 &amp;" para ser destinados al " &amp; NotaPedido!D6 &amp;"  del HISJB del Ministerio de Salud."</f>
        <v>Para la Adquisición de Medicamentos Antidiabeticos e Insulinas para ser destinados al Servicio de Farmacia  del HISJB del Ministerio de Salud.</v>
      </c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</row>
    <row r="27" spans="1:19" ht="15" customHeight="1" x14ac:dyDescent="0.2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2021-03-18T15:02:44Z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