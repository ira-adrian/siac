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20" yWindow="0" windowWidth="17490" windowHeight="1089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Trimestrales'!$A$9:$I$63</definedName>
    <definedName name="_xlnm.Print_Area" localSheetId="1">' NotaPedido'!$A$1:$K$66</definedName>
    <definedName name="_xlnm.Print_Area" localSheetId="2">'Autor Gastar'!$A$1:$Q$26</definedName>
    <definedName name="_xlnm.Print_Area" localSheetId="0">'Necesidades Trimestrales'!$E$9:$E$63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3" l="1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12" i="2"/>
  <c r="I40" i="1"/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J66" i="2" l="1"/>
  <c r="A10" i="3" l="1"/>
  <c r="D3" i="2" l="1"/>
  <c r="G4" i="3" s="1"/>
  <c r="D4" i="2"/>
  <c r="G5" i="3" l="1"/>
  <c r="D5" i="2"/>
  <c r="D1" i="3"/>
  <c r="D6" i="2" l="1"/>
  <c r="G7" i="3" s="1"/>
  <c r="G6" i="3"/>
</calcChain>
</file>

<file path=xl/sharedStrings.xml><?xml version="1.0" encoding="utf-8"?>
<sst xmlns="http://schemas.openxmlformats.org/spreadsheetml/2006/main" count="240" uniqueCount="129">
  <si>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</si>
  <si>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</si>
  <si>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</si>
  <si>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</si>
  <si>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</si>
  <si>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</si>
  <si>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</si>
  <si>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</si>
  <si>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</si>
  <si>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</si>
  <si>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</si>
  <si>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</si>
  <si>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</si>
  <si>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</si>
  <si>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</si>
  <si>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</si>
  <si>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</si>
  <si>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</si>
  <si>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</si>
  <si>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</si>
  <si>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</si>
  <si>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</si>
  <si>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</si>
  <si>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</si>
  <si>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</si>
  <si>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</si>
  <si>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</si>
  <si>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</si>
  <si>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</si>
  <si>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</si>
  <si>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</si>
  <si>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</si>
  <si>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</si>
  <si>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</si>
  <si>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</si>
  <si>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</si>
  <si>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</si>
  <si>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</si>
  <si>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</si>
  <si>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</si>
  <si>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</si>
  <si>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</si>
  <si>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</si>
  <si>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</si>
  <si>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</si>
  <si>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</si>
  <si>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</si>
  <si>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</si>
  <si>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</si>
  <si>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</si>
  <si>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</si>
  <si>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</si>
  <si>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</si>
  <si>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</si>
  <si>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 xml:space="preserve">AEROCAMARA CON MASCARA COMPLETA  PEDIATRICA  </t>
  </si>
  <si>
    <t xml:space="preserve">CAMARA HUMIDIFICADORA DESCARTABLE TIPO GGM  o FISHER PAIKEL </t>
  </si>
  <si>
    <t>CAMARA HUMIDIFICADORA REUTILIZABLE   Tipo GGM Modelo 4809R1V</t>
  </si>
  <si>
    <t>CANULA NASAL DE ALTO FLUJO TIPO OPTIFLOW INFANTIL F&amp;P OPT 316</t>
  </si>
  <si>
    <t>CANULA NASAL DE ALTO FLUJO TIPO OPTIFLOW PEDIATRICA F&amp;P OPT 318</t>
  </si>
  <si>
    <t>CANULA NASAL PARA ALTO FLUJO TIPO GGM  ADULTO 5 mm 4825R1V TAMANO M</t>
  </si>
  <si>
    <t xml:space="preserve">CANULA NASAL PARA ALTO FLUJO TIPO GGM  ADULTO 6 mm 4826R1V TAMANO L </t>
  </si>
  <si>
    <t xml:space="preserve">CANULA NASAL PARA ALTO FLUJO TIPO GGM  NEO  3.5 mm 4828 r1v </t>
  </si>
  <si>
    <t xml:space="preserve">CANULA NASAL PARA ALTO FLUJO TIPO GGM  PEDIATRICA 4mm 4824R1V </t>
  </si>
  <si>
    <t>CANULA NASAL PARA ALTO FLUJO TIPO OPT844 / OPT 944 FISHER PAYKEL</t>
  </si>
  <si>
    <t>CANULA NASAL PARA ALTO FLUJO TIPO OPT846/OPT 946  FISHER PAYKEL</t>
  </si>
  <si>
    <t>CANULA NASAL PARA OXIGENOTERAPIA ADULTO</t>
  </si>
  <si>
    <t>CANULA NASAL PARA OXIGENOTERAPIA NEONATAL</t>
  </si>
  <si>
    <t>CANULA NASAL PARA OXIGENOTERAPIA PEDIATRICO</t>
  </si>
  <si>
    <t xml:space="preserve">CANULA PARA TRAQUEOSTOMIA  N°6.5 </t>
  </si>
  <si>
    <t xml:space="preserve">CANULA PARA TRAQUEOSTOMIA  Nº 4 </t>
  </si>
  <si>
    <t>CANULA PARA TRAQUEOSTOMIA  Nº 41/2</t>
  </si>
  <si>
    <t xml:space="preserve">CANULA PARA TRAQUEOSTOMIA N°3 </t>
  </si>
  <si>
    <t xml:space="preserve">CANULA PARA TRAQUEOSTOMIA N°3,5 </t>
  </si>
  <si>
    <t xml:space="preserve">CANULA PARA TRAQUEOSTOMIA N°5-5 </t>
  </si>
  <si>
    <t xml:space="preserve">CANULA PARA TRAQUEOSTOMIA Nº6 </t>
  </si>
  <si>
    <t>CANULA PARA TRAQUEOTOMIA  Nº 5</t>
  </si>
  <si>
    <t>CIRCUITO ANESTESIA EXTENSIBLE ADULTO DESCARTABLE</t>
  </si>
  <si>
    <t>CIRCUITO ANESTESIA EXTENSIBLE NEONATAL DESCARTABLE</t>
  </si>
  <si>
    <t>CIRCUITO ANESTESIA EXTENSIBLE PEDIATRICO DESCARTABLE</t>
  </si>
  <si>
    <t>CIRCUITO CERRADO P/ASPIRACION 10 FR</t>
  </si>
  <si>
    <t>CIRCUITO CERRADO P/ASPIRACION 12 FR</t>
  </si>
  <si>
    <t>CIRCUITO CERRADO P/ASPIRACION 14 FR</t>
  </si>
  <si>
    <t>CIRCUITO CERRADO P/ASPIRACION 7 FR</t>
  </si>
  <si>
    <t>CIRCUITO CERRADO P/ASPIRACION 8 FR</t>
  </si>
  <si>
    <t>FILTRO HME BACTERIAL VIRAL PARA CIRCUITO RESPIRADOR</t>
  </si>
  <si>
    <t xml:space="preserve">FILTRO HME F INTERCAMBIADOR CALOR/HUMEDAD -VIRAL -BACTERIAL </t>
  </si>
  <si>
    <t>MASCARA AMBU BORDE INFLABLE Nª2 (INFANTIL)</t>
  </si>
  <si>
    <t>MASCARA AMBU BORDE INFLABLE Nª3 (INFANTIL)</t>
  </si>
  <si>
    <t>MASCARA AMBU BORDE INFLABLE Nª4 (INFANTIL)</t>
  </si>
  <si>
    <t>MASCARA CON BOLSA RESERVORIO PEDIATRICA</t>
  </si>
  <si>
    <t>MASCARA PARA NEBULIZAR PEDIATRICA COMPLETA MASCARA+PIPETA+TUBULADURA</t>
  </si>
  <si>
    <t>MASCARA PERFOMAX TOTAL FACE  TALLE G PARA VNI</t>
  </si>
  <si>
    <t>MASCARA PERFOMAX TOTAL FACE  TALLE XG PARA VNI</t>
  </si>
  <si>
    <t>MASCARAS  ANESTESICA BORDE INFLABLE Nº 1 TIPO  "MERCURY"</t>
  </si>
  <si>
    <t>MASCARAS ANESTESICA BORDE INFLABLE Nº 0 TIPO  "MERCURY"</t>
  </si>
  <si>
    <t>RESUCITADOR MANUAL ADULTO REUTILIZABLE</t>
  </si>
  <si>
    <t xml:space="preserve">RESUCITADOR MANUAL PEDIATRICO REUTILIZABLE </t>
  </si>
  <si>
    <t xml:space="preserve">TUBO CONECTOR EN  T </t>
  </si>
  <si>
    <t>TUBO CONECTOR EN  Y</t>
  </si>
  <si>
    <t>VARA ESCHMANN N° 6 mm</t>
  </si>
  <si>
    <t>VARA ESCHMANN N° 9 mm</t>
  </si>
  <si>
    <t>VARA ESCHMANN N°11 mm</t>
  </si>
  <si>
    <t>Semestral</t>
  </si>
  <si>
    <t>Adquisición de TERAPIA RESPIRATORIA</t>
  </si>
  <si>
    <t>UNIDAD</t>
  </si>
  <si>
    <t>FRASCO RECOLECTOR DE ASPIRACIONES QUIRURGICAS X 1 LITRO ( CANISTER )</t>
  </si>
  <si>
    <t>FRASCO RECOLECTOR DE ASPIRACIONES QUIRURGICAS X 2 LITRO ( CANISTER )</t>
  </si>
  <si>
    <t>FRASCO RECOLECTOR DE ASPIRACIONES QUIRURGICAS X 3 LITRO ( CANISTER )</t>
  </si>
  <si>
    <t>CIRCUITO PARA ALTO FLUJO TIPO FISHER PAYKEL PEDIATRICO/ADULTO AIRVO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</si>
  <si>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</si>
  <si>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</si>
  <si>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</si>
  <si>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r>
      <t>Mantenimiento de Oferta</t>
    </r>
    <r>
      <rPr>
        <sz val="10"/>
        <rFont val="Times New Roman"/>
        <family val="1"/>
      </rPr>
      <t xml:space="preserve">: 45 dias habiles </t>
    </r>
  </si>
  <si>
    <t>Descripción técnica</t>
  </si>
  <si>
    <t>Para AIRVO 2.</t>
  </si>
  <si>
    <t>Especificidades Item N° 32:</t>
  </si>
  <si>
    <t>Especificidades Item N° 33:</t>
  </si>
  <si>
    <t>|</t>
  </si>
  <si>
    <t>24 - HOPITAL DE NIÑOS EVA PERON</t>
  </si>
  <si>
    <t>012-2022</t>
  </si>
  <si>
    <t>UTILES MENORES MEDICO, QUIRURGICO Y DE LABORATORIO</t>
  </si>
  <si>
    <t>Para la adquisición de Insumos paraTerapia Respiratoria destinados al Servicio de Farmacia del Hospital Interzonal de Niños Eva Peron, para el normal funcionamiento del organismo.</t>
  </si>
  <si>
    <t>CIRCUITO RESPIRATORIO PARA LACTANTES DE DOBLE RAMA SIN CAMARA CON COLECTOR DE AGUA ESPIRATORIA Y LINEA DE PRESION ( CAUDAL MAYOR 4 L/ MIN ) TIPO RT 125 FISCHER PAYKEL</t>
  </si>
  <si>
    <t xml:space="preserve"> KIT DE CIRCUITOS RESPIRATORIOS PARA ADULTOS DE DOBLE RAMAL CON COLECTOR DE AGUA ESPIRATORIA Y LINEA DE PRESION CON CAMARA DE AUTOLLENADO TIPO FISHER PAYKEL RT 206</t>
  </si>
  <si>
    <r>
      <t xml:space="preserve">Descripción técnica: </t>
    </r>
    <r>
      <rPr>
        <sz val="10"/>
        <rFont val="Times New Roman"/>
        <family val="1"/>
      </rPr>
      <t xml:space="preserve">CON RAMAL INSPIRATORIO CALENTADO </t>
    </r>
  </si>
  <si>
    <r>
      <t xml:space="preserve">Descripción técnica: </t>
    </r>
    <r>
      <rPr>
        <sz val="10"/>
        <rFont val="Times New Roman"/>
        <family val="1"/>
      </rPr>
      <t xml:space="preserve">CON RAMAL ISNPIRATORIO CALENTADO </t>
    </r>
  </si>
  <si>
    <t>Costo total estimado: Siete Millones Quinientos veintiseis mil siescientos noventa y tres con 30/100.</t>
  </si>
  <si>
    <t>TOTAL DE PESOS: Siete Millones Quinientos veintiseis mil siescientos noventa y tres con 30/100.</t>
  </si>
  <si>
    <t>Especificidades Item N° 31: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</si>
</sst>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&quot;$&quot;\ * #,##0.00_-;\-&quot;$&quot;\ * #,##0.00_-;_-&quot;$&quot;\ * &quot;-&quot;??_-;_-@_-"/>
    <numFmt numFmtId="165" formatCode="_-&quot;$&quot;* #,##0.00_-;\-&quot;$&quot;* #,##0.00_-;_-&quot;$&quot;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E5B8B7"/>
      </patternFill>
    </fill>
    <fill>
      <patternFill patternType="solid">
        <fgColor theme="0"/>
        <bgColor rgb="FFFDE9D9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B8CCE4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</borders>
  <cellStyleXfs count="8">
    <xf numFmtId="0" fontId="0" fillId="0" borderId="0"/>
    <xf numFmtId="167" fontId="14" fillId="0" borderId="0" applyBorder="0" applyProtection="0"/>
    <xf numFmtId="0" fontId="1" fillId="0" borderId="1" applyProtection="0"/>
    <xf numFmtId="166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  <xf numFmtId="0" fontId="14" fillId="0" borderId="0"/>
  </cellStyleXfs>
  <cellXfs count="16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8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8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8" fontId="0" fillId="0" borderId="44" xfId="3" applyNumberFormat="1" applyFont="1" applyBorder="1" applyAlignment="1" applyProtection="1">
      <alignment horizontal="center" vertical="center"/>
    </xf>
    <xf numFmtId="0" fontId="5" fillId="3" borderId="11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1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left" vertical="center"/>
    </xf>
    <xf numFmtId="0" fontId="4" fillId="4" borderId="51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 wrapText="1"/>
    </xf>
    <xf numFmtId="168" fontId="4" fillId="3" borderId="51" xfId="1" applyNumberFormat="1" applyFont="1" applyFill="1" applyBorder="1" applyAlignment="1" applyProtection="1">
      <alignment horizontal="right" vertical="center" wrapText="1"/>
    </xf>
    <xf numFmtId="3" fontId="4" fillId="3" borderId="51" xfId="0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left" vertical="center"/>
    </xf>
    <xf numFmtId="0" fontId="4" fillId="4" borderId="20" xfId="0" applyFont="1" applyFill="1" applyBorder="1" applyAlignment="1">
      <alignment horizontal="center" vertical="center"/>
    </xf>
    <xf numFmtId="0" fontId="15" fillId="3" borderId="0" xfId="0" applyFont="1" applyFill="1"/>
    <xf numFmtId="0" fontId="18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3" borderId="52" xfId="0" applyFont="1" applyFill="1" applyBorder="1" applyAlignment="1">
      <alignment horizontal="center" vertical="center" wrapText="1"/>
    </xf>
    <xf numFmtId="0" fontId="23" fillId="3" borderId="53" xfId="0" applyFont="1" applyFill="1" applyBorder="1" applyAlignment="1">
      <alignment horizontal="center" vertical="center" wrapText="1"/>
    </xf>
    <xf numFmtId="0" fontId="23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/>
    </xf>
    <xf numFmtId="165" fontId="15" fillId="3" borderId="0" xfId="0" applyNumberFormat="1" applyFont="1" applyFill="1"/>
    <xf numFmtId="165" fontId="23" fillId="3" borderId="2" xfId="0" applyNumberFormat="1" applyFont="1" applyFill="1" applyBorder="1" applyAlignment="1">
      <alignment horizontal="center" vertical="center" wrapText="1"/>
    </xf>
    <xf numFmtId="0" fontId="24" fillId="3" borderId="50" xfId="0" applyFont="1" applyFill="1" applyBorder="1" applyAlignment="1">
      <alignment horizontal="center" vertical="center" wrapText="1"/>
    </xf>
    <xf numFmtId="3" fontId="14" fillId="3" borderId="50" xfId="0" applyNumberFormat="1" applyFont="1" applyFill="1" applyBorder="1" applyAlignment="1">
      <alignment horizontal="center" vertical="center"/>
    </xf>
    <xf numFmtId="164" fontId="14" fillId="3" borderId="50" xfId="1" applyNumberFormat="1" applyFont="1" applyFill="1" applyBorder="1" applyAlignment="1">
      <alignment horizontal="center"/>
    </xf>
    <xf numFmtId="165" fontId="14" fillId="4" borderId="50" xfId="1" applyNumberFormat="1" applyFont="1" applyFill="1" applyBorder="1" applyAlignment="1" applyProtection="1">
      <alignment horizontal="right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25" fillId="5" borderId="50" xfId="0" applyFont="1" applyFill="1" applyBorder="1" applyAlignment="1">
      <alignment vertical="center"/>
    </xf>
    <xf numFmtId="0" fontId="25" fillId="6" borderId="50" xfId="0" applyFont="1" applyFill="1" applyBorder="1" applyAlignment="1">
      <alignment vertical="center"/>
    </xf>
    <xf numFmtId="0" fontId="14" fillId="7" borderId="50" xfId="0" applyFont="1" applyFill="1" applyBorder="1" applyAlignment="1">
      <alignment horizontal="left" vertical="center"/>
    </xf>
    <xf numFmtId="0" fontId="14" fillId="5" borderId="50" xfId="0" applyFont="1" applyFill="1" applyBorder="1" applyAlignment="1">
      <alignment horizontal="left" vertical="center"/>
    </xf>
    <xf numFmtId="0" fontId="14" fillId="8" borderId="50" xfId="0" applyFont="1" applyFill="1" applyBorder="1" applyAlignment="1">
      <alignment vertical="center" wrapText="1"/>
    </xf>
    <xf numFmtId="0" fontId="14" fillId="9" borderId="50" xfId="0" applyFont="1" applyFill="1" applyBorder="1" applyAlignment="1">
      <alignment vertical="center"/>
    </xf>
    <xf numFmtId="0" fontId="14" fillId="5" borderId="50" xfId="0" applyFont="1" applyFill="1" applyBorder="1" applyAlignment="1">
      <alignment vertical="center"/>
    </xf>
    <xf numFmtId="0" fontId="14" fillId="5" borderId="50" xfId="0" applyFont="1" applyFill="1" applyBorder="1" applyAlignment="1">
      <alignment vertical="center" wrapText="1"/>
    </xf>
    <xf numFmtId="0" fontId="14" fillId="6" borderId="50" xfId="0" applyFont="1" applyFill="1" applyBorder="1" applyAlignment="1">
      <alignment vertical="center"/>
    </xf>
    <xf numFmtId="0" fontId="14" fillId="8" borderId="50" xfId="0" applyFont="1" applyFill="1" applyBorder="1" applyAlignment="1">
      <alignment vertical="center"/>
    </xf>
    <xf numFmtId="0" fontId="0" fillId="6" borderId="50" xfId="0" applyFont="1" applyFill="1" applyBorder="1" applyAlignment="1">
      <alignment vertical="center" wrapText="1"/>
    </xf>
    <xf numFmtId="0" fontId="15" fillId="0" borderId="0" xfId="0" applyFont="1"/>
    <xf numFmtId="0" fontId="21" fillId="0" borderId="3" xfId="0" applyFont="1" applyBorder="1" applyAlignment="1">
      <alignment horizontal="left" indent="3"/>
    </xf>
    <xf numFmtId="0" fontId="15" fillId="0" borderId="4" xfId="0" applyFont="1" applyBorder="1"/>
    <xf numFmtId="0" fontId="15" fillId="0" borderId="5" xfId="0" applyFont="1" applyBorder="1"/>
    <xf numFmtId="171" fontId="20" fillId="0" borderId="0" xfId="0" applyNumberFormat="1" applyFont="1"/>
    <xf numFmtId="168" fontId="15" fillId="0" borderId="0" xfId="0" applyNumberFormat="1" applyFont="1"/>
    <xf numFmtId="0" fontId="15" fillId="0" borderId="6" xfId="0" applyFont="1" applyBorder="1"/>
    <xf numFmtId="0" fontId="15" fillId="0" borderId="0" xfId="0" applyFont="1" applyBorder="1"/>
    <xf numFmtId="0" fontId="21" fillId="0" borderId="8" xfId="0" applyFont="1" applyBorder="1" applyAlignment="1"/>
    <xf numFmtId="0" fontId="15" fillId="0" borderId="9" xfId="0" applyFont="1" applyBorder="1" applyAlignment="1">
      <alignment horizontal="center" wrapText="1"/>
    </xf>
    <xf numFmtId="0" fontId="15" fillId="0" borderId="9" xfId="0" applyFont="1" applyFill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21" fillId="0" borderId="3" xfId="0" applyFont="1" applyBorder="1"/>
    <xf numFmtId="0" fontId="21" fillId="0" borderId="6" xfId="0" applyFont="1" applyBorder="1" applyAlignment="1"/>
    <xf numFmtId="0" fontId="15" fillId="0" borderId="7" xfId="0" applyFont="1" applyBorder="1"/>
    <xf numFmtId="0" fontId="15" fillId="0" borderId="0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center" wrapText="1"/>
    </xf>
    <xf numFmtId="165" fontId="15" fillId="0" borderId="0" xfId="0" applyNumberFormat="1" applyFont="1" applyFill="1"/>
    <xf numFmtId="0" fontId="15" fillId="0" borderId="0" xfId="0" applyFont="1" applyFill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24" fillId="0" borderId="50" xfId="0" applyFont="1" applyFill="1" applyBorder="1" applyAlignment="1">
      <alignment horizontal="center" vertical="center" wrapText="1"/>
    </xf>
    <xf numFmtId="0" fontId="0" fillId="0" borderId="50" xfId="0" applyFont="1" applyFill="1" applyBorder="1" applyAlignment="1">
      <alignment vertical="center" wrapText="1"/>
    </xf>
    <xf numFmtId="0" fontId="25" fillId="0" borderId="50" xfId="0" applyFont="1" applyFill="1" applyBorder="1" applyAlignment="1">
      <alignment vertical="center"/>
    </xf>
    <xf numFmtId="17" fontId="6" fillId="0" borderId="12" xfId="0" applyNumberFormat="1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168" fontId="0" fillId="0" borderId="0" xfId="0" applyNumberFormat="1"/>
    <xf numFmtId="0" fontId="26" fillId="3" borderId="0" xfId="0" applyFont="1" applyFill="1" applyBorder="1" applyAlignment="1">
      <alignment vertical="center"/>
    </xf>
    <xf numFmtId="168" fontId="13" fillId="0" borderId="45" xfId="0" applyNumberFormat="1" applyFont="1" applyFill="1" applyBorder="1" applyAlignment="1">
      <alignment horizontal="center" vertical="center"/>
    </xf>
    <xf numFmtId="0" fontId="14" fillId="0" borderId="0" xfId="0" applyFont="1"/>
    <xf numFmtId="0" fontId="14" fillId="0" borderId="50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vertical="center" wrapText="1"/>
    </xf>
    <xf numFmtId="3" fontId="14" fillId="0" borderId="50" xfId="0" applyNumberFormat="1" applyFont="1" applyFill="1" applyBorder="1" applyAlignment="1">
      <alignment horizontal="center" vertical="center"/>
    </xf>
    <xf numFmtId="164" fontId="14" fillId="0" borderId="50" xfId="1" applyNumberFormat="1" applyFont="1" applyFill="1" applyBorder="1" applyAlignment="1">
      <alignment horizontal="center"/>
    </xf>
    <xf numFmtId="165" fontId="14" fillId="0" borderId="50" xfId="1" applyNumberFormat="1" applyFont="1" applyFill="1" applyBorder="1" applyAlignment="1" applyProtection="1">
      <alignment horizontal="righ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5" fillId="4" borderId="6" xfId="6" applyFont="1" applyFill="1" applyBorder="1" applyAlignment="1">
      <alignment horizontal="left" wrapText="1"/>
    </xf>
    <xf numFmtId="0" fontId="15" fillId="4" borderId="0" xfId="6" applyFont="1" applyFill="1" applyBorder="1" applyAlignment="1">
      <alignment horizontal="left" wrapText="1"/>
    </xf>
    <xf numFmtId="0" fontId="15" fillId="4" borderId="7" xfId="6" applyFont="1" applyFill="1" applyBorder="1" applyAlignment="1">
      <alignment horizontal="left" wrapText="1"/>
    </xf>
    <xf numFmtId="0" fontId="17" fillId="0" borderId="0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22" fillId="0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 indent="1"/>
    </xf>
    <xf numFmtId="169" fontId="7" fillId="3" borderId="15" xfId="0" applyNumberFormat="1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  <xf numFmtId="0" fontId="4" fillId="0" borderId="14" xfId="0" applyFont="1" applyFill="1" applyBorder="1" applyAlignment="1">
      <alignment horizontal="left" vertical="center" wrapText="1"/>
    </xf>
    <xf numFmtId="0" fontId="4" fillId="0" borderId="47" xfId="0" applyFont="1" applyFill="1" applyBorder="1" applyAlignment="1">
      <alignment horizontal="left" vertical="center" wrapText="1"/>
    </xf>
    <xf numFmtId="0" fontId="4" fillId="0" borderId="48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11" fillId="0" borderId="24" xfId="0" applyFont="1" applyBorder="1"/>
    <xf numFmtId="0" fontId="11" fillId="0" borderId="25" xfId="0" applyFont="1" applyFill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4" fillId="0" borderId="33" xfId="0" applyFont="1" applyFill="1" applyBorder="1" applyAlignment="1">
      <alignment horizontal="left" vertical="center" wrapText="1"/>
    </xf>
    <xf numFmtId="0" fontId="0" fillId="0" borderId="33" xfId="0" applyFont="1" applyFill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9" fillId="0" borderId="21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Fill="1" applyBorder="1" applyAlignment="1">
      <alignment horizontal="left" vertical="center" wrapText="1"/>
    </xf>
    <xf numFmtId="0" fontId="0" fillId="0" borderId="23" xfId="0" applyBorder="1"/>
  </cellXfs>
  <cellStyles count="8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2 2" xfId="7"/>
    <cellStyle name="Normal 2 3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81"/>
  <sheetViews>
    <sheetView tabSelected="1" topLeftCell="A19" zoomScale="90" zoomScaleNormal="90" workbookViewId="0">
      <selection activeCell="G76" sqref="G76"/>
    </sheetView>
  </sheetViews>
  <sheetFormatPr baseColWidth="10" defaultColWidth="11" defaultRowHeight="12.75" x14ac:dyDescent="0.2"/>
  <cols>
    <col min="1" max="1" width="4.5703125" style="46" customWidth="1"/>
    <col min="2" max="2" width="14" style="46" customWidth="1"/>
    <col min="3" max="3" width="13.28515625" style="46" customWidth="1"/>
    <col min="4" max="4" width="8.42578125" style="46" customWidth="1"/>
    <col min="5" max="5" width="93.42578125" style="46" customWidth="1"/>
    <col min="6" max="6" width="11" style="46"/>
    <col min="7" max="7" width="10.42578125" style="46" bestFit="1" customWidth="1"/>
    <col min="8" max="8" width="15.7109375" style="46" customWidth="1"/>
    <col min="9" max="9" width="18.5703125" style="54" customWidth="1"/>
    <col min="10" max="16384" width="11" style="46"/>
  </cols>
  <sheetData>
    <row r="2" spans="1:9" ht="27" x14ac:dyDescent="0.35">
      <c r="B2" s="118" t="s">
        <v>0</v>
      </c>
      <c r="C2" s="118"/>
      <c r="D2" s="118"/>
      <c r="E2" s="118"/>
      <c r="F2" s="118"/>
      <c r="G2" s="118"/>
      <c r="H2" s="118"/>
    </row>
    <row r="3" spans="1:9" ht="12" customHeight="1" x14ac:dyDescent="0.2"/>
    <row r="4" spans="1:9" ht="18" customHeight="1" x14ac:dyDescent="0.25">
      <c r="A4" s="119" t="s">
        <v>1</v>
      </c>
      <c r="B4" s="119"/>
      <c r="C4" s="120" t="s">
        <v>51</v>
      </c>
      <c r="D4" s="120"/>
      <c r="E4" s="120"/>
      <c r="F4" s="47"/>
      <c r="G4" s="48"/>
      <c r="H4" s="47"/>
    </row>
    <row r="5" spans="1:9" s="91" customFormat="1" ht="18" customHeight="1" x14ac:dyDescent="0.25">
      <c r="A5" s="117" t="s">
        <v>2</v>
      </c>
      <c r="B5" s="117"/>
      <c r="C5" s="121" t="s">
        <v>118</v>
      </c>
      <c r="D5" s="121"/>
      <c r="E5" s="121"/>
      <c r="F5" s="88"/>
      <c r="G5" s="89"/>
      <c r="H5" s="88"/>
      <c r="I5" s="90"/>
    </row>
    <row r="6" spans="1:9" s="91" customFormat="1" ht="16.5" customHeight="1" x14ac:dyDescent="0.25">
      <c r="A6" s="117" t="s">
        <v>3</v>
      </c>
      <c r="B6" s="117"/>
      <c r="C6" s="92">
        <v>2022</v>
      </c>
      <c r="D6" s="93"/>
      <c r="E6" s="93"/>
      <c r="F6" s="88"/>
      <c r="G6" s="89"/>
      <c r="H6" s="88"/>
      <c r="I6" s="90"/>
    </row>
    <row r="7" spans="1:9" s="91" customFormat="1" ht="16.5" customHeight="1" x14ac:dyDescent="0.25">
      <c r="A7" s="117" t="s">
        <v>4</v>
      </c>
      <c r="B7" s="117"/>
      <c r="C7" s="92">
        <v>1</v>
      </c>
      <c r="D7" s="93"/>
      <c r="E7" s="93"/>
      <c r="F7" s="88"/>
      <c r="G7" s="89"/>
      <c r="H7" s="88"/>
      <c r="I7" s="90"/>
    </row>
    <row r="8" spans="1:9" ht="13.5" thickBot="1" x14ac:dyDescent="0.25">
      <c r="B8" s="47"/>
      <c r="C8" s="48"/>
      <c r="D8" s="47"/>
      <c r="E8" s="47"/>
      <c r="F8" s="47"/>
      <c r="G8" s="48"/>
      <c r="H8" s="47"/>
    </row>
    <row r="9" spans="1:9" ht="39" thickTop="1" x14ac:dyDescent="0.2">
      <c r="A9" s="49" t="s">
        <v>5</v>
      </c>
      <c r="B9" s="49" t="s">
        <v>6</v>
      </c>
      <c r="C9" s="49" t="s">
        <v>7</v>
      </c>
      <c r="D9" s="50" t="s">
        <v>8</v>
      </c>
      <c r="E9" s="51" t="s">
        <v>9</v>
      </c>
      <c r="F9" s="52" t="s">
        <v>10</v>
      </c>
      <c r="G9" s="49" t="s">
        <v>11</v>
      </c>
      <c r="H9" s="49" t="s">
        <v>12</v>
      </c>
      <c r="I9" s="55" t="s">
        <v>13</v>
      </c>
    </row>
    <row r="10" spans="1:9" x14ac:dyDescent="0.2">
      <c r="A10" s="53">
        <v>1</v>
      </c>
      <c r="B10" s="53"/>
      <c r="C10" s="53"/>
      <c r="D10" s="56">
        <v>295</v>
      </c>
      <c r="E10" s="61" t="s">
        <v>54</v>
      </c>
      <c r="F10" s="53" t="s">
        <v>104</v>
      </c>
      <c r="G10" s="57">
        <v>500</v>
      </c>
      <c r="H10" s="58">
        <v>460</v>
      </c>
      <c r="I10" s="59">
        <f t="shared" ref="I10:I50" si="0">+G10*H10</f>
        <v>230000</v>
      </c>
    </row>
    <row r="11" spans="1:9" x14ac:dyDescent="0.2">
      <c r="A11" s="53">
        <v>2</v>
      </c>
      <c r="B11" s="53"/>
      <c r="C11" s="53"/>
      <c r="D11" s="56">
        <v>295</v>
      </c>
      <c r="E11" s="63" t="s">
        <v>55</v>
      </c>
      <c r="F11" s="53" t="s">
        <v>104</v>
      </c>
      <c r="G11" s="57">
        <v>300</v>
      </c>
      <c r="H11" s="58">
        <v>7390</v>
      </c>
      <c r="I11" s="59">
        <f t="shared" si="0"/>
        <v>2217000</v>
      </c>
    </row>
    <row r="12" spans="1:9" x14ac:dyDescent="0.2">
      <c r="A12" s="53">
        <v>3</v>
      </c>
      <c r="B12" s="53"/>
      <c r="C12" s="53"/>
      <c r="D12" s="56">
        <v>295</v>
      </c>
      <c r="E12" s="63" t="s">
        <v>56</v>
      </c>
      <c r="F12" s="53" t="s">
        <v>104</v>
      </c>
      <c r="G12" s="57">
        <v>10</v>
      </c>
      <c r="H12" s="58">
        <v>19788</v>
      </c>
      <c r="I12" s="59">
        <f t="shared" si="0"/>
        <v>197880</v>
      </c>
    </row>
    <row r="13" spans="1:9" x14ac:dyDescent="0.2">
      <c r="A13" s="53">
        <v>4</v>
      </c>
      <c r="B13" s="53"/>
      <c r="C13" s="53"/>
      <c r="D13" s="56">
        <v>295</v>
      </c>
      <c r="E13" s="64" t="s">
        <v>57</v>
      </c>
      <c r="F13" s="53" t="s">
        <v>104</v>
      </c>
      <c r="G13" s="57">
        <v>30</v>
      </c>
      <c r="H13" s="58">
        <v>11650</v>
      </c>
      <c r="I13" s="59">
        <f t="shared" si="0"/>
        <v>349500</v>
      </c>
    </row>
    <row r="14" spans="1:9" x14ac:dyDescent="0.2">
      <c r="A14" s="53">
        <v>5</v>
      </c>
      <c r="B14" s="53"/>
      <c r="C14" s="53"/>
      <c r="D14" s="56">
        <v>295</v>
      </c>
      <c r="E14" s="64" t="s">
        <v>58</v>
      </c>
      <c r="F14" s="53" t="s">
        <v>104</v>
      </c>
      <c r="G14" s="57">
        <v>30</v>
      </c>
      <c r="H14" s="58">
        <v>11650</v>
      </c>
      <c r="I14" s="59">
        <f t="shared" si="0"/>
        <v>349500</v>
      </c>
    </row>
    <row r="15" spans="1:9" x14ac:dyDescent="0.2">
      <c r="A15" s="53">
        <v>6</v>
      </c>
      <c r="B15" s="53"/>
      <c r="C15" s="53"/>
      <c r="D15" s="56">
        <v>295</v>
      </c>
      <c r="E15" s="65" t="s">
        <v>59</v>
      </c>
      <c r="F15" s="53" t="s">
        <v>104</v>
      </c>
      <c r="G15" s="57">
        <v>10</v>
      </c>
      <c r="H15" s="58">
        <v>5200</v>
      </c>
      <c r="I15" s="59">
        <f t="shared" si="0"/>
        <v>52000</v>
      </c>
    </row>
    <row r="16" spans="1:9" x14ac:dyDescent="0.2">
      <c r="A16" s="53">
        <v>7</v>
      </c>
      <c r="B16" s="53"/>
      <c r="C16" s="53"/>
      <c r="D16" s="56">
        <v>295</v>
      </c>
      <c r="E16" s="65" t="s">
        <v>60</v>
      </c>
      <c r="F16" s="53" t="s">
        <v>104</v>
      </c>
      <c r="G16" s="57">
        <v>10</v>
      </c>
      <c r="H16" s="58">
        <v>5200</v>
      </c>
      <c r="I16" s="59">
        <f t="shared" si="0"/>
        <v>52000</v>
      </c>
    </row>
    <row r="17" spans="1:9" x14ac:dyDescent="0.2">
      <c r="A17" s="53">
        <v>8</v>
      </c>
      <c r="B17" s="53"/>
      <c r="C17" s="53"/>
      <c r="D17" s="56">
        <v>295</v>
      </c>
      <c r="E17" s="65" t="s">
        <v>61</v>
      </c>
      <c r="F17" s="53" t="s">
        <v>104</v>
      </c>
      <c r="G17" s="57">
        <v>30</v>
      </c>
      <c r="H17" s="58">
        <v>5200</v>
      </c>
      <c r="I17" s="59">
        <f t="shared" si="0"/>
        <v>156000</v>
      </c>
    </row>
    <row r="18" spans="1:9" x14ac:dyDescent="0.2">
      <c r="A18" s="53">
        <v>9</v>
      </c>
      <c r="B18" s="53"/>
      <c r="C18" s="53"/>
      <c r="D18" s="56">
        <v>295</v>
      </c>
      <c r="E18" s="65" t="s">
        <v>62</v>
      </c>
      <c r="F18" s="53" t="s">
        <v>104</v>
      </c>
      <c r="G18" s="57">
        <v>30</v>
      </c>
      <c r="H18" s="58">
        <v>5200</v>
      </c>
      <c r="I18" s="59">
        <f t="shared" si="0"/>
        <v>156000</v>
      </c>
    </row>
    <row r="19" spans="1:9" x14ac:dyDescent="0.2">
      <c r="A19" s="53">
        <v>10</v>
      </c>
      <c r="B19" s="53"/>
      <c r="C19" s="53"/>
      <c r="D19" s="56">
        <v>295</v>
      </c>
      <c r="E19" s="65" t="s">
        <v>63</v>
      </c>
      <c r="F19" s="53" t="s">
        <v>104</v>
      </c>
      <c r="G19" s="57">
        <v>10</v>
      </c>
      <c r="H19" s="58">
        <v>11650</v>
      </c>
      <c r="I19" s="59">
        <f t="shared" si="0"/>
        <v>116500</v>
      </c>
    </row>
    <row r="20" spans="1:9" x14ac:dyDescent="0.2">
      <c r="A20" s="53">
        <v>11</v>
      </c>
      <c r="B20" s="53"/>
      <c r="C20" s="53"/>
      <c r="D20" s="56">
        <v>295</v>
      </c>
      <c r="E20" s="65" t="s">
        <v>64</v>
      </c>
      <c r="F20" s="53" t="s">
        <v>104</v>
      </c>
      <c r="G20" s="57">
        <v>10</v>
      </c>
      <c r="H20" s="58">
        <v>11650</v>
      </c>
      <c r="I20" s="59">
        <f t="shared" si="0"/>
        <v>116500</v>
      </c>
    </row>
    <row r="21" spans="1:9" x14ac:dyDescent="0.2">
      <c r="A21" s="53">
        <v>12</v>
      </c>
      <c r="B21" s="53"/>
      <c r="C21" s="53"/>
      <c r="D21" s="56">
        <v>295</v>
      </c>
      <c r="E21" s="66" t="s">
        <v>65</v>
      </c>
      <c r="F21" s="53" t="s">
        <v>104</v>
      </c>
      <c r="G21" s="57">
        <v>50</v>
      </c>
      <c r="H21" s="58">
        <v>85.9</v>
      </c>
      <c r="I21" s="59">
        <f t="shared" si="0"/>
        <v>4295</v>
      </c>
    </row>
    <row r="22" spans="1:9" x14ac:dyDescent="0.2">
      <c r="A22" s="53">
        <v>13</v>
      </c>
      <c r="B22" s="53"/>
      <c r="C22" s="53"/>
      <c r="D22" s="56">
        <v>295</v>
      </c>
      <c r="E22" s="66" t="s">
        <v>66</v>
      </c>
      <c r="F22" s="53" t="s">
        <v>104</v>
      </c>
      <c r="G22" s="57">
        <v>100</v>
      </c>
      <c r="H22" s="58">
        <v>78.900000000000006</v>
      </c>
      <c r="I22" s="59">
        <f t="shared" si="0"/>
        <v>7890.0000000000009</v>
      </c>
    </row>
    <row r="23" spans="1:9" x14ac:dyDescent="0.2">
      <c r="A23" s="53">
        <v>14</v>
      </c>
      <c r="B23" s="53"/>
      <c r="C23" s="53"/>
      <c r="D23" s="56">
        <v>295</v>
      </c>
      <c r="E23" s="66" t="s">
        <v>67</v>
      </c>
      <c r="F23" s="53" t="s">
        <v>104</v>
      </c>
      <c r="G23" s="57">
        <v>100</v>
      </c>
      <c r="H23" s="58">
        <v>82.5</v>
      </c>
      <c r="I23" s="59">
        <f t="shared" si="0"/>
        <v>8250</v>
      </c>
    </row>
    <row r="24" spans="1:9" x14ac:dyDescent="0.2">
      <c r="A24" s="53">
        <v>15</v>
      </c>
      <c r="B24" s="53"/>
      <c r="C24" s="53"/>
      <c r="D24" s="56">
        <v>295</v>
      </c>
      <c r="E24" s="61" t="s">
        <v>68</v>
      </c>
      <c r="F24" s="53" t="s">
        <v>104</v>
      </c>
      <c r="G24" s="57">
        <v>20</v>
      </c>
      <c r="H24" s="58">
        <v>1100</v>
      </c>
      <c r="I24" s="59">
        <f t="shared" si="0"/>
        <v>22000</v>
      </c>
    </row>
    <row r="25" spans="1:9" x14ac:dyDescent="0.2">
      <c r="A25" s="53">
        <v>16</v>
      </c>
      <c r="B25" s="53"/>
      <c r="C25" s="53"/>
      <c r="D25" s="56">
        <v>295</v>
      </c>
      <c r="E25" s="61" t="s">
        <v>69</v>
      </c>
      <c r="F25" s="53" t="s">
        <v>104</v>
      </c>
      <c r="G25" s="57">
        <v>20</v>
      </c>
      <c r="H25" s="58">
        <v>1100</v>
      </c>
      <c r="I25" s="59">
        <f t="shared" si="0"/>
        <v>22000</v>
      </c>
    </row>
    <row r="26" spans="1:9" x14ac:dyDescent="0.2">
      <c r="A26" s="53">
        <v>17</v>
      </c>
      <c r="B26" s="53"/>
      <c r="C26" s="53"/>
      <c r="D26" s="56">
        <v>295</v>
      </c>
      <c r="E26" s="61" t="s">
        <v>70</v>
      </c>
      <c r="F26" s="53" t="s">
        <v>104</v>
      </c>
      <c r="G26" s="57">
        <v>20</v>
      </c>
      <c r="H26" s="58">
        <v>1100</v>
      </c>
      <c r="I26" s="59">
        <f t="shared" si="0"/>
        <v>22000</v>
      </c>
    </row>
    <row r="27" spans="1:9" x14ac:dyDescent="0.2">
      <c r="A27" s="53">
        <v>18</v>
      </c>
      <c r="B27" s="53"/>
      <c r="C27" s="53"/>
      <c r="D27" s="56">
        <v>295</v>
      </c>
      <c r="E27" s="61" t="s">
        <v>71</v>
      </c>
      <c r="F27" s="53" t="s">
        <v>104</v>
      </c>
      <c r="G27" s="57">
        <v>20</v>
      </c>
      <c r="H27" s="58">
        <v>1100</v>
      </c>
      <c r="I27" s="59">
        <f t="shared" si="0"/>
        <v>22000</v>
      </c>
    </row>
    <row r="28" spans="1:9" x14ac:dyDescent="0.2">
      <c r="A28" s="53">
        <v>19</v>
      </c>
      <c r="B28" s="53"/>
      <c r="C28" s="53"/>
      <c r="D28" s="56">
        <v>295</v>
      </c>
      <c r="E28" s="61" t="s">
        <v>72</v>
      </c>
      <c r="F28" s="53" t="s">
        <v>104</v>
      </c>
      <c r="G28" s="57">
        <v>20</v>
      </c>
      <c r="H28" s="58">
        <v>1100</v>
      </c>
      <c r="I28" s="59">
        <f t="shared" si="0"/>
        <v>22000</v>
      </c>
    </row>
    <row r="29" spans="1:9" x14ac:dyDescent="0.2">
      <c r="A29" s="53">
        <v>20</v>
      </c>
      <c r="B29" s="53"/>
      <c r="C29" s="53"/>
      <c r="D29" s="56">
        <v>295</v>
      </c>
      <c r="E29" s="61" t="s">
        <v>73</v>
      </c>
      <c r="F29" s="53" t="s">
        <v>104</v>
      </c>
      <c r="G29" s="57">
        <v>20</v>
      </c>
      <c r="H29" s="58">
        <v>1100</v>
      </c>
      <c r="I29" s="59">
        <f t="shared" si="0"/>
        <v>22000</v>
      </c>
    </row>
    <row r="30" spans="1:9" x14ac:dyDescent="0.2">
      <c r="A30" s="53">
        <v>21</v>
      </c>
      <c r="B30" s="53"/>
      <c r="C30" s="53"/>
      <c r="D30" s="56">
        <v>295</v>
      </c>
      <c r="E30" s="61" t="s">
        <v>74</v>
      </c>
      <c r="F30" s="53" t="s">
        <v>104</v>
      </c>
      <c r="G30" s="57">
        <v>20</v>
      </c>
      <c r="H30" s="58">
        <v>1100</v>
      </c>
      <c r="I30" s="59">
        <f t="shared" si="0"/>
        <v>22000</v>
      </c>
    </row>
    <row r="31" spans="1:9" x14ac:dyDescent="0.2">
      <c r="A31" s="53">
        <v>22</v>
      </c>
      <c r="B31" s="53"/>
      <c r="C31" s="53"/>
      <c r="D31" s="56">
        <v>295</v>
      </c>
      <c r="E31" s="61" t="s">
        <v>75</v>
      </c>
      <c r="F31" s="53" t="s">
        <v>104</v>
      </c>
      <c r="G31" s="57">
        <v>20</v>
      </c>
      <c r="H31" s="58">
        <v>1100</v>
      </c>
      <c r="I31" s="59">
        <f t="shared" si="0"/>
        <v>22000</v>
      </c>
    </row>
    <row r="32" spans="1:9" x14ac:dyDescent="0.2">
      <c r="A32" s="53">
        <v>23</v>
      </c>
      <c r="B32" s="53"/>
      <c r="C32" s="53"/>
      <c r="D32" s="56">
        <v>295</v>
      </c>
      <c r="E32" s="67" t="s">
        <v>76</v>
      </c>
      <c r="F32" s="53" t="s">
        <v>104</v>
      </c>
      <c r="G32" s="57">
        <v>50</v>
      </c>
      <c r="H32" s="58">
        <v>580</v>
      </c>
      <c r="I32" s="59">
        <f t="shared" si="0"/>
        <v>29000</v>
      </c>
    </row>
    <row r="33" spans="1:9" x14ac:dyDescent="0.2">
      <c r="A33" s="53">
        <v>24</v>
      </c>
      <c r="B33" s="53"/>
      <c r="C33" s="53"/>
      <c r="D33" s="56">
        <v>295</v>
      </c>
      <c r="E33" s="67" t="s">
        <v>77</v>
      </c>
      <c r="F33" s="53" t="s">
        <v>104</v>
      </c>
      <c r="G33" s="57">
        <v>50</v>
      </c>
      <c r="H33" s="58">
        <v>580</v>
      </c>
      <c r="I33" s="59">
        <f t="shared" si="0"/>
        <v>29000</v>
      </c>
    </row>
    <row r="34" spans="1:9" x14ac:dyDescent="0.2">
      <c r="A34" s="53">
        <v>25</v>
      </c>
      <c r="B34" s="53"/>
      <c r="C34" s="53"/>
      <c r="D34" s="56">
        <v>295</v>
      </c>
      <c r="E34" s="67" t="s">
        <v>78</v>
      </c>
      <c r="F34" s="53" t="s">
        <v>104</v>
      </c>
      <c r="G34" s="57">
        <v>50</v>
      </c>
      <c r="H34" s="58">
        <v>580</v>
      </c>
      <c r="I34" s="59">
        <f t="shared" si="0"/>
        <v>29000</v>
      </c>
    </row>
    <row r="35" spans="1:9" x14ac:dyDescent="0.2">
      <c r="A35" s="53">
        <v>26</v>
      </c>
      <c r="B35" s="53"/>
      <c r="C35" s="53"/>
      <c r="D35" s="56">
        <v>295</v>
      </c>
      <c r="E35" s="67" t="s">
        <v>79</v>
      </c>
      <c r="F35" s="53" t="s">
        <v>104</v>
      </c>
      <c r="G35" s="57">
        <v>10</v>
      </c>
      <c r="H35" s="58">
        <v>1210</v>
      </c>
      <c r="I35" s="59">
        <f t="shared" si="0"/>
        <v>12100</v>
      </c>
    </row>
    <row r="36" spans="1:9" x14ac:dyDescent="0.2">
      <c r="A36" s="53">
        <v>27</v>
      </c>
      <c r="B36" s="53"/>
      <c r="C36" s="53"/>
      <c r="D36" s="56">
        <v>295</v>
      </c>
      <c r="E36" s="67" t="s">
        <v>80</v>
      </c>
      <c r="F36" s="53" t="s">
        <v>104</v>
      </c>
      <c r="G36" s="57">
        <v>10</v>
      </c>
      <c r="H36" s="58">
        <v>1210</v>
      </c>
      <c r="I36" s="59">
        <f t="shared" si="0"/>
        <v>12100</v>
      </c>
    </row>
    <row r="37" spans="1:9" x14ac:dyDescent="0.2">
      <c r="A37" s="53">
        <v>28</v>
      </c>
      <c r="B37" s="53"/>
      <c r="C37" s="53"/>
      <c r="D37" s="56">
        <v>295</v>
      </c>
      <c r="E37" s="67" t="s">
        <v>81</v>
      </c>
      <c r="F37" s="53" t="s">
        <v>104</v>
      </c>
      <c r="G37" s="57">
        <v>10</v>
      </c>
      <c r="H37" s="58">
        <v>1210</v>
      </c>
      <c r="I37" s="59">
        <f t="shared" si="0"/>
        <v>12100</v>
      </c>
    </row>
    <row r="38" spans="1:9" x14ac:dyDescent="0.2">
      <c r="A38" s="53">
        <v>29</v>
      </c>
      <c r="B38" s="53"/>
      <c r="C38" s="53"/>
      <c r="D38" s="56">
        <v>295</v>
      </c>
      <c r="E38" s="67" t="s">
        <v>82</v>
      </c>
      <c r="F38" s="53" t="s">
        <v>104</v>
      </c>
      <c r="G38" s="57">
        <v>10</v>
      </c>
      <c r="H38" s="58">
        <v>1210</v>
      </c>
      <c r="I38" s="59">
        <f t="shared" si="0"/>
        <v>12100</v>
      </c>
    </row>
    <row r="39" spans="1:9" x14ac:dyDescent="0.2">
      <c r="A39" s="53">
        <v>30</v>
      </c>
      <c r="B39" s="53"/>
      <c r="C39" s="53"/>
      <c r="D39" s="56">
        <v>295</v>
      </c>
      <c r="E39" s="67" t="s">
        <v>83</v>
      </c>
      <c r="F39" s="53" t="s">
        <v>104</v>
      </c>
      <c r="G39" s="57">
        <v>10</v>
      </c>
      <c r="H39" s="58">
        <v>1210</v>
      </c>
      <c r="I39" s="59">
        <f t="shared" si="0"/>
        <v>12100</v>
      </c>
    </row>
    <row r="40" spans="1:9" x14ac:dyDescent="0.2">
      <c r="A40" s="53">
        <v>31</v>
      </c>
      <c r="B40" s="53"/>
      <c r="C40" s="53"/>
      <c r="D40" s="56">
        <v>295</v>
      </c>
      <c r="E40" s="67" t="s">
        <v>108</v>
      </c>
      <c r="F40" s="53" t="s">
        <v>104</v>
      </c>
      <c r="G40" s="57">
        <v>20</v>
      </c>
      <c r="H40" s="58">
        <v>21770</v>
      </c>
      <c r="I40" s="59">
        <f t="shared" si="0"/>
        <v>435400</v>
      </c>
    </row>
    <row r="41" spans="1:9" s="91" customFormat="1" ht="31.5" customHeight="1" x14ac:dyDescent="0.2">
      <c r="A41" s="106">
        <v>32</v>
      </c>
      <c r="B41" s="106"/>
      <c r="C41" s="106"/>
      <c r="D41" s="94">
        <v>295</v>
      </c>
      <c r="E41" s="107" t="s">
        <v>122</v>
      </c>
      <c r="F41" s="106" t="s">
        <v>104</v>
      </c>
      <c r="G41" s="108">
        <v>100</v>
      </c>
      <c r="H41" s="109">
        <v>6900</v>
      </c>
      <c r="I41" s="110">
        <f t="shared" si="0"/>
        <v>690000</v>
      </c>
    </row>
    <row r="42" spans="1:9" s="91" customFormat="1" ht="25.5" x14ac:dyDescent="0.2">
      <c r="A42" s="106">
        <v>33</v>
      </c>
      <c r="B42" s="106"/>
      <c r="C42" s="106"/>
      <c r="D42" s="94">
        <v>295</v>
      </c>
      <c r="E42" s="107" t="s">
        <v>123</v>
      </c>
      <c r="F42" s="106" t="s">
        <v>104</v>
      </c>
      <c r="G42" s="108">
        <v>100</v>
      </c>
      <c r="H42" s="109">
        <v>9800</v>
      </c>
      <c r="I42" s="110">
        <f t="shared" si="0"/>
        <v>980000</v>
      </c>
    </row>
    <row r="43" spans="1:9" x14ac:dyDescent="0.2">
      <c r="A43" s="53">
        <v>34</v>
      </c>
      <c r="B43" s="53"/>
      <c r="C43" s="53"/>
      <c r="D43" s="56">
        <v>295</v>
      </c>
      <c r="E43" s="69" t="s">
        <v>84</v>
      </c>
      <c r="F43" s="53" t="s">
        <v>104</v>
      </c>
      <c r="G43" s="57">
        <v>100</v>
      </c>
      <c r="H43" s="58">
        <v>298</v>
      </c>
      <c r="I43" s="59">
        <f t="shared" si="0"/>
        <v>29800</v>
      </c>
    </row>
    <row r="44" spans="1:9" x14ac:dyDescent="0.2">
      <c r="A44" s="53">
        <v>35</v>
      </c>
      <c r="B44" s="53"/>
      <c r="C44" s="53"/>
      <c r="D44" s="56">
        <v>295</v>
      </c>
      <c r="E44" s="69" t="s">
        <v>85</v>
      </c>
      <c r="F44" s="53" t="s">
        <v>104</v>
      </c>
      <c r="G44" s="57">
        <v>100</v>
      </c>
      <c r="H44" s="58">
        <v>330</v>
      </c>
      <c r="I44" s="59">
        <f t="shared" si="0"/>
        <v>33000</v>
      </c>
    </row>
    <row r="45" spans="1:9" x14ac:dyDescent="0.2">
      <c r="A45" s="53">
        <v>36</v>
      </c>
      <c r="B45" s="53"/>
      <c r="C45" s="53"/>
      <c r="D45" s="56">
        <v>295</v>
      </c>
      <c r="E45" s="61" t="s">
        <v>105</v>
      </c>
      <c r="F45" s="53" t="s">
        <v>104</v>
      </c>
      <c r="G45" s="57">
        <v>10</v>
      </c>
      <c r="H45" s="58">
        <v>2365</v>
      </c>
      <c r="I45" s="59">
        <f t="shared" si="0"/>
        <v>23650</v>
      </c>
    </row>
    <row r="46" spans="1:9" x14ac:dyDescent="0.2">
      <c r="A46" s="53">
        <v>37</v>
      </c>
      <c r="B46" s="53"/>
      <c r="C46" s="53"/>
      <c r="D46" s="56">
        <v>295</v>
      </c>
      <c r="E46" s="61" t="s">
        <v>106</v>
      </c>
      <c r="F46" s="53" t="s">
        <v>104</v>
      </c>
      <c r="G46" s="57">
        <v>10</v>
      </c>
      <c r="H46" s="58">
        <v>2964</v>
      </c>
      <c r="I46" s="59">
        <f t="shared" si="0"/>
        <v>29640</v>
      </c>
    </row>
    <row r="47" spans="1:9" x14ac:dyDescent="0.2">
      <c r="A47" s="53">
        <v>38</v>
      </c>
      <c r="B47" s="53"/>
      <c r="C47" s="53"/>
      <c r="D47" s="56">
        <v>295</v>
      </c>
      <c r="E47" s="61" t="s">
        <v>107</v>
      </c>
      <c r="F47" s="53" t="s">
        <v>104</v>
      </c>
      <c r="G47" s="57">
        <v>10</v>
      </c>
      <c r="H47" s="58">
        <v>3256</v>
      </c>
      <c r="I47" s="59">
        <f t="shared" si="0"/>
        <v>32560</v>
      </c>
    </row>
    <row r="48" spans="1:9" x14ac:dyDescent="0.2">
      <c r="A48" s="53">
        <v>39</v>
      </c>
      <c r="B48" s="53"/>
      <c r="C48" s="53"/>
      <c r="D48" s="56">
        <v>295</v>
      </c>
      <c r="E48" s="62" t="s">
        <v>86</v>
      </c>
      <c r="F48" s="53" t="s">
        <v>104</v>
      </c>
      <c r="G48" s="57">
        <v>30</v>
      </c>
      <c r="H48" s="58">
        <v>178</v>
      </c>
      <c r="I48" s="59">
        <f t="shared" si="0"/>
        <v>5340</v>
      </c>
    </row>
    <row r="49" spans="1:9" x14ac:dyDescent="0.2">
      <c r="A49" s="53">
        <v>40</v>
      </c>
      <c r="B49" s="53"/>
      <c r="C49" s="53"/>
      <c r="D49" s="56">
        <v>295</v>
      </c>
      <c r="E49" s="62" t="s">
        <v>87</v>
      </c>
      <c r="F49" s="53" t="s">
        <v>104</v>
      </c>
      <c r="G49" s="57">
        <v>30</v>
      </c>
      <c r="H49" s="58">
        <v>178</v>
      </c>
      <c r="I49" s="59">
        <f t="shared" si="0"/>
        <v>5340</v>
      </c>
    </row>
    <row r="50" spans="1:9" x14ac:dyDescent="0.2">
      <c r="A50" s="53">
        <v>41</v>
      </c>
      <c r="B50" s="53"/>
      <c r="C50" s="53"/>
      <c r="D50" s="56">
        <v>295</v>
      </c>
      <c r="E50" s="62" t="s">
        <v>88</v>
      </c>
      <c r="F50" s="53" t="s">
        <v>104</v>
      </c>
      <c r="G50" s="57">
        <v>30</v>
      </c>
      <c r="H50" s="58">
        <v>178</v>
      </c>
      <c r="I50" s="59">
        <f t="shared" si="0"/>
        <v>5340</v>
      </c>
    </row>
    <row r="51" spans="1:9" x14ac:dyDescent="0.2">
      <c r="A51" s="53">
        <v>42</v>
      </c>
      <c r="B51" s="53"/>
      <c r="C51" s="53"/>
      <c r="D51" s="56">
        <v>295</v>
      </c>
      <c r="E51" s="62" t="s">
        <v>89</v>
      </c>
      <c r="F51" s="53" t="s">
        <v>104</v>
      </c>
      <c r="G51" s="57">
        <v>600</v>
      </c>
      <c r="H51" s="58">
        <v>289</v>
      </c>
      <c r="I51" s="59">
        <f t="shared" ref="I51:I63" si="1">+G51*H51</f>
        <v>173400</v>
      </c>
    </row>
    <row r="52" spans="1:9" x14ac:dyDescent="0.2">
      <c r="A52" s="53">
        <v>43</v>
      </c>
      <c r="B52" s="53"/>
      <c r="C52" s="53"/>
      <c r="D52" s="56">
        <v>295</v>
      </c>
      <c r="E52" s="70" t="s">
        <v>90</v>
      </c>
      <c r="F52" s="53" t="s">
        <v>104</v>
      </c>
      <c r="G52" s="57">
        <v>500</v>
      </c>
      <c r="H52" s="58">
        <v>135</v>
      </c>
      <c r="I52" s="59">
        <f t="shared" si="1"/>
        <v>67500</v>
      </c>
    </row>
    <row r="53" spans="1:9" x14ac:dyDescent="0.2">
      <c r="A53" s="53">
        <v>44</v>
      </c>
      <c r="B53" s="53"/>
      <c r="C53" s="53"/>
      <c r="D53" s="56">
        <v>295</v>
      </c>
      <c r="E53" s="68" t="s">
        <v>91</v>
      </c>
      <c r="F53" s="53" t="s">
        <v>104</v>
      </c>
      <c r="G53" s="57">
        <v>2</v>
      </c>
      <c r="H53" s="58">
        <v>24000</v>
      </c>
      <c r="I53" s="59">
        <f t="shared" si="1"/>
        <v>48000</v>
      </c>
    </row>
    <row r="54" spans="1:9" x14ac:dyDescent="0.2">
      <c r="A54" s="53">
        <v>45</v>
      </c>
      <c r="B54" s="53"/>
      <c r="C54" s="53"/>
      <c r="D54" s="56">
        <v>295</v>
      </c>
      <c r="E54" s="68" t="s">
        <v>92</v>
      </c>
      <c r="F54" s="53" t="s">
        <v>104</v>
      </c>
      <c r="G54" s="57">
        <v>2</v>
      </c>
      <c r="H54" s="58">
        <v>24000</v>
      </c>
      <c r="I54" s="59">
        <f t="shared" si="1"/>
        <v>48000</v>
      </c>
    </row>
    <row r="55" spans="1:9" x14ac:dyDescent="0.2">
      <c r="A55" s="53">
        <v>46</v>
      </c>
      <c r="B55" s="53"/>
      <c r="C55" s="53"/>
      <c r="D55" s="56">
        <v>295</v>
      </c>
      <c r="E55" s="62" t="s">
        <v>93</v>
      </c>
      <c r="F55" s="53" t="s">
        <v>104</v>
      </c>
      <c r="G55" s="57">
        <v>30</v>
      </c>
      <c r="H55" s="58">
        <v>2580</v>
      </c>
      <c r="I55" s="59">
        <f t="shared" si="1"/>
        <v>77400</v>
      </c>
    </row>
    <row r="56" spans="1:9" x14ac:dyDescent="0.2">
      <c r="A56" s="53">
        <v>47</v>
      </c>
      <c r="B56" s="60"/>
      <c r="C56" s="53"/>
      <c r="D56" s="56">
        <v>295</v>
      </c>
      <c r="E56" s="62" t="s">
        <v>94</v>
      </c>
      <c r="F56" s="53" t="s">
        <v>104</v>
      </c>
      <c r="G56" s="57">
        <v>20</v>
      </c>
      <c r="H56" s="58">
        <v>2580</v>
      </c>
      <c r="I56" s="59">
        <f t="shared" si="1"/>
        <v>51600</v>
      </c>
    </row>
    <row r="57" spans="1:9" x14ac:dyDescent="0.2">
      <c r="A57" s="53">
        <v>48</v>
      </c>
      <c r="B57" s="60"/>
      <c r="C57" s="53"/>
      <c r="D57" s="94">
        <v>295</v>
      </c>
      <c r="E57" s="95" t="s">
        <v>95</v>
      </c>
      <c r="F57" s="53" t="s">
        <v>104</v>
      </c>
      <c r="G57" s="57">
        <v>30</v>
      </c>
      <c r="H57" s="58">
        <v>6800</v>
      </c>
      <c r="I57" s="59">
        <f t="shared" si="1"/>
        <v>204000</v>
      </c>
    </row>
    <row r="58" spans="1:9" x14ac:dyDescent="0.2">
      <c r="A58" s="53">
        <v>49</v>
      </c>
      <c r="B58" s="53"/>
      <c r="C58" s="53"/>
      <c r="D58" s="94">
        <v>295</v>
      </c>
      <c r="E58" s="95" t="s">
        <v>96</v>
      </c>
      <c r="F58" s="53" t="s">
        <v>104</v>
      </c>
      <c r="G58" s="57">
        <v>30</v>
      </c>
      <c r="H58" s="58">
        <v>6200</v>
      </c>
      <c r="I58" s="59">
        <f t="shared" si="1"/>
        <v>186000</v>
      </c>
    </row>
    <row r="59" spans="1:9" x14ac:dyDescent="0.2">
      <c r="A59" s="53">
        <v>50</v>
      </c>
      <c r="B59" s="53"/>
      <c r="C59" s="53"/>
      <c r="D59" s="94">
        <v>295</v>
      </c>
      <c r="E59" s="96" t="s">
        <v>97</v>
      </c>
      <c r="F59" s="53" t="s">
        <v>104</v>
      </c>
      <c r="G59" s="57">
        <v>10</v>
      </c>
      <c r="H59" s="58">
        <v>310</v>
      </c>
      <c r="I59" s="59">
        <f t="shared" si="1"/>
        <v>3100</v>
      </c>
    </row>
    <row r="60" spans="1:9" x14ac:dyDescent="0.2">
      <c r="A60" s="53">
        <v>51</v>
      </c>
      <c r="B60" s="60"/>
      <c r="C60" s="53"/>
      <c r="D60" s="94">
        <v>295</v>
      </c>
      <c r="E60" s="96" t="s">
        <v>98</v>
      </c>
      <c r="F60" s="53" t="s">
        <v>104</v>
      </c>
      <c r="G60" s="57">
        <v>10</v>
      </c>
      <c r="H60" s="58">
        <v>310</v>
      </c>
      <c r="I60" s="59">
        <f t="shared" si="1"/>
        <v>3100</v>
      </c>
    </row>
    <row r="61" spans="1:9" x14ac:dyDescent="0.2">
      <c r="A61" s="53">
        <v>52</v>
      </c>
      <c r="B61" s="53"/>
      <c r="C61" s="53"/>
      <c r="D61" s="56">
        <v>295</v>
      </c>
      <c r="E61" s="71" t="s">
        <v>99</v>
      </c>
      <c r="F61" s="53" t="s">
        <v>104</v>
      </c>
      <c r="G61" s="57">
        <v>10</v>
      </c>
      <c r="H61" s="58">
        <v>1923.61</v>
      </c>
      <c r="I61" s="59">
        <f t="shared" si="1"/>
        <v>19236.099999999999</v>
      </c>
    </row>
    <row r="62" spans="1:9" x14ac:dyDescent="0.2">
      <c r="A62" s="53">
        <v>53</v>
      </c>
      <c r="B62" s="53"/>
      <c r="C62" s="53"/>
      <c r="D62" s="56">
        <v>295</v>
      </c>
      <c r="E62" s="71" t="s">
        <v>100</v>
      </c>
      <c r="F62" s="53" t="s">
        <v>104</v>
      </c>
      <c r="G62" s="57">
        <v>10</v>
      </c>
      <c r="H62" s="58">
        <v>1923.61</v>
      </c>
      <c r="I62" s="59">
        <f t="shared" si="1"/>
        <v>19236.099999999999</v>
      </c>
    </row>
    <row r="63" spans="1:9" x14ac:dyDescent="0.2">
      <c r="A63" s="53">
        <v>54</v>
      </c>
      <c r="B63" s="53"/>
      <c r="C63" s="53"/>
      <c r="D63" s="56">
        <v>295</v>
      </c>
      <c r="E63" s="71" t="s">
        <v>101</v>
      </c>
      <c r="F63" s="53" t="s">
        <v>104</v>
      </c>
      <c r="G63" s="57">
        <v>10</v>
      </c>
      <c r="H63" s="58">
        <v>1923.61</v>
      </c>
      <c r="I63" s="59">
        <f t="shared" si="1"/>
        <v>19236.099999999999</v>
      </c>
    </row>
    <row r="65" spans="1:9" ht="13.5" thickBot="1" x14ac:dyDescent="0.25"/>
    <row r="66" spans="1:9" s="72" customFormat="1" x14ac:dyDescent="0.2">
      <c r="B66" s="73" t="s">
        <v>109</v>
      </c>
      <c r="C66" s="74"/>
      <c r="D66" s="74"/>
      <c r="E66" s="75"/>
      <c r="H66" s="76"/>
      <c r="I66" s="77"/>
    </row>
    <row r="67" spans="1:9" s="72" customFormat="1" ht="13.5" customHeight="1" x14ac:dyDescent="0.2">
      <c r="B67" s="114" t="s">
        <v>110</v>
      </c>
      <c r="C67" s="115"/>
      <c r="D67" s="115"/>
      <c r="E67" s="116"/>
      <c r="H67" s="76"/>
    </row>
    <row r="68" spans="1:9" s="72" customFormat="1" ht="25.5" customHeight="1" x14ac:dyDescent="0.2">
      <c r="B68" s="114"/>
      <c r="C68" s="115"/>
      <c r="D68" s="115"/>
      <c r="E68" s="116"/>
      <c r="F68" s="78"/>
      <c r="G68" s="79"/>
      <c r="H68" s="76"/>
    </row>
    <row r="69" spans="1:9" s="72" customFormat="1" ht="13.5" customHeight="1" x14ac:dyDescent="0.2">
      <c r="B69" s="114" t="s">
        <v>111</v>
      </c>
      <c r="C69" s="115"/>
      <c r="D69" s="115"/>
      <c r="E69" s="116"/>
      <c r="F69" s="78"/>
      <c r="G69" s="79"/>
      <c r="H69" s="76"/>
    </row>
    <row r="70" spans="1:9" s="72" customFormat="1" ht="13.5" thickBot="1" x14ac:dyDescent="0.25">
      <c r="B70" s="80" t="s">
        <v>112</v>
      </c>
      <c r="C70" s="81"/>
      <c r="D70" s="82"/>
      <c r="E70" s="83"/>
      <c r="F70" s="78"/>
      <c r="G70" s="79"/>
      <c r="H70" s="76"/>
    </row>
    <row r="71" spans="1:9" s="72" customFormat="1" ht="12" customHeight="1" thickBot="1" x14ac:dyDescent="0.25">
      <c r="H71" s="76"/>
    </row>
    <row r="72" spans="1:9" s="72" customFormat="1" x14ac:dyDescent="0.2">
      <c r="B72" s="84" t="s">
        <v>128</v>
      </c>
      <c r="C72" s="74"/>
      <c r="D72" s="74"/>
      <c r="E72" s="75"/>
      <c r="H72" s="76"/>
    </row>
    <row r="73" spans="1:9" s="72" customFormat="1" x14ac:dyDescent="0.2">
      <c r="B73" s="85" t="s">
        <v>113</v>
      </c>
      <c r="C73" s="79"/>
      <c r="D73" s="79"/>
      <c r="E73" s="86"/>
      <c r="H73" s="76"/>
    </row>
    <row r="74" spans="1:9" s="72" customFormat="1" ht="13.5" thickBot="1" x14ac:dyDescent="0.25">
      <c r="B74" s="111" t="s">
        <v>114</v>
      </c>
      <c r="C74" s="112"/>
      <c r="D74" s="112"/>
      <c r="E74" s="113"/>
      <c r="H74" s="76"/>
    </row>
    <row r="75" spans="1:9" s="72" customFormat="1" x14ac:dyDescent="0.2">
      <c r="B75" s="84" t="s">
        <v>115</v>
      </c>
      <c r="C75" s="74"/>
      <c r="D75" s="74"/>
      <c r="E75" s="75"/>
      <c r="H75" s="76"/>
    </row>
    <row r="76" spans="1:9" s="72" customFormat="1" x14ac:dyDescent="0.2">
      <c r="B76" s="85" t="s">
        <v>124</v>
      </c>
      <c r="C76" s="79"/>
      <c r="D76" s="79"/>
      <c r="E76" s="86"/>
      <c r="H76" s="76"/>
    </row>
    <row r="77" spans="1:9" s="72" customFormat="1" ht="13.5" thickBot="1" x14ac:dyDescent="0.25">
      <c r="B77" s="111"/>
      <c r="C77" s="112"/>
      <c r="D77" s="112"/>
      <c r="E77" s="113"/>
      <c r="H77" s="76"/>
    </row>
    <row r="78" spans="1:9" s="72" customFormat="1" x14ac:dyDescent="0.2">
      <c r="B78" s="84" t="s">
        <v>116</v>
      </c>
      <c r="C78" s="74"/>
      <c r="D78" s="74"/>
      <c r="E78" s="75"/>
      <c r="H78" s="76"/>
    </row>
    <row r="79" spans="1:9" s="72" customFormat="1" x14ac:dyDescent="0.2">
      <c r="B79" s="85" t="s">
        <v>125</v>
      </c>
      <c r="C79" s="79"/>
      <c r="D79" s="79"/>
      <c r="E79" s="86"/>
      <c r="H79" s="76"/>
    </row>
    <row r="80" spans="1:9" s="72" customFormat="1" ht="13.5" thickBot="1" x14ac:dyDescent="0.25">
      <c r="A80" s="72" t="s">
        <v>117</v>
      </c>
      <c r="B80" s="111"/>
      <c r="C80" s="112"/>
      <c r="D80" s="112"/>
      <c r="E80" s="113"/>
      <c r="H80" s="76"/>
    </row>
    <row r="81" spans="2:8" s="72" customFormat="1" x14ac:dyDescent="0.2">
      <c r="B81" s="87"/>
      <c r="C81" s="87"/>
      <c r="D81" s="87"/>
      <c r="E81" s="87"/>
      <c r="H81" s="76"/>
    </row>
  </sheetData>
  <mergeCells count="12">
    <mergeCell ref="A6:B6"/>
    <mergeCell ref="A7:B7"/>
    <mergeCell ref="B2:H2"/>
    <mergeCell ref="A4:B4"/>
    <mergeCell ref="C4:E4"/>
    <mergeCell ref="A5:B5"/>
    <mergeCell ref="C5:E5"/>
    <mergeCell ref="B74:E74"/>
    <mergeCell ref="B67:E68"/>
    <mergeCell ref="B69:E69"/>
    <mergeCell ref="B77:E77"/>
    <mergeCell ref="B80:E80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7"/>
  <sheetViews>
    <sheetView topLeftCell="A52" zoomScale="70" zoomScaleNormal="70" workbookViewId="0">
      <selection activeCell="A66" sqref="A66:I66"/>
    </sheetView>
  </sheetViews>
  <sheetFormatPr baseColWidth="10" defaultColWidth="9.140625" defaultRowHeight="12.75" x14ac:dyDescent="0.2"/>
  <cols>
    <col min="1" max="1" width="5.5703125" style="32" customWidth="1"/>
    <col min="2" max="2" width="15.140625" style="32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8.5703125" style="32" customWidth="1"/>
    <col min="8" max="8" width="9.28515625" style="32" customWidth="1"/>
    <col min="9" max="9" width="15.5703125" style="32" customWidth="1"/>
    <col min="10" max="10" width="14.7109375" style="32" customWidth="1"/>
    <col min="11" max="11" width="15.5703125" style="32" customWidth="1"/>
    <col min="12" max="14" width="5.85546875" style="32" customWidth="1"/>
    <col min="15" max="15" width="12.5703125" style="32" customWidth="1"/>
    <col min="16" max="1024" width="9.140625" style="32"/>
    <col min="1025" max="16384" width="9.140625" style="33"/>
  </cols>
  <sheetData>
    <row r="1" spans="1:11" ht="18" customHeight="1" x14ac:dyDescent="0.2">
      <c r="A1" s="122" t="s">
        <v>14</v>
      </c>
      <c r="B1" s="122"/>
      <c r="C1" s="122"/>
      <c r="D1" s="122"/>
      <c r="E1" s="122"/>
      <c r="F1" s="122"/>
      <c r="G1" s="122"/>
      <c r="H1" s="122"/>
      <c r="I1" s="122"/>
      <c r="J1" s="31" t="s">
        <v>15</v>
      </c>
      <c r="K1" s="97" t="s">
        <v>119</v>
      </c>
    </row>
    <row r="2" spans="1:11" ht="18.75" customHeight="1" thickBot="1" x14ac:dyDescent="0.25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</row>
    <row r="3" spans="1:11" ht="18.75" customHeight="1" thickBot="1" x14ac:dyDescent="0.25">
      <c r="A3" s="126" t="s">
        <v>48</v>
      </c>
      <c r="B3" s="126"/>
      <c r="C3" s="126"/>
      <c r="D3" s="127" t="str">
        <f>'Necesidades Trimestrales'!C4</f>
        <v>040 - Ministerio de Salud</v>
      </c>
      <c r="E3" s="127"/>
      <c r="F3" s="127"/>
      <c r="G3" s="127"/>
      <c r="H3" s="127"/>
      <c r="I3" s="127"/>
      <c r="J3" s="127"/>
      <c r="K3" s="127"/>
    </row>
    <row r="4" spans="1:11" ht="18.75" customHeight="1" thickBot="1" x14ac:dyDescent="0.25">
      <c r="A4" s="125" t="s">
        <v>49</v>
      </c>
      <c r="B4" s="125"/>
      <c r="C4" s="125"/>
      <c r="D4" s="124" t="str">
        <f>'Necesidades Trimestrales'!C5</f>
        <v>24 - HOPITAL DE NIÑOS EVA PERON</v>
      </c>
      <c r="E4" s="124"/>
      <c r="F4" s="124"/>
      <c r="G4" s="124"/>
      <c r="H4" s="124"/>
      <c r="I4" s="124"/>
      <c r="J4" s="124"/>
      <c r="K4" s="124"/>
    </row>
    <row r="5" spans="1:11" ht="18.75" customHeight="1" thickBot="1" x14ac:dyDescent="0.25">
      <c r="A5" s="125" t="s">
        <v>27</v>
      </c>
      <c r="B5" s="125"/>
      <c r="C5" s="125"/>
      <c r="D5" s="124" t="str">
        <f>+D4</f>
        <v>24 - HOPITAL DE NIÑOS EVA PERON</v>
      </c>
      <c r="E5" s="124"/>
      <c r="F5" s="124"/>
      <c r="G5" s="124"/>
      <c r="H5" s="124"/>
      <c r="I5" s="124"/>
      <c r="J5" s="124"/>
      <c r="K5" s="124"/>
    </row>
    <row r="6" spans="1:11" ht="16.5" customHeight="1" thickBot="1" x14ac:dyDescent="0.25">
      <c r="A6" s="123" t="s">
        <v>50</v>
      </c>
      <c r="B6" s="123"/>
      <c r="C6" s="123"/>
      <c r="D6" s="124" t="str">
        <f>+D5</f>
        <v>24 - HOPITAL DE NIÑOS EVA PERON</v>
      </c>
      <c r="E6" s="124"/>
      <c r="F6" s="124"/>
      <c r="G6" s="124"/>
      <c r="H6" s="124"/>
      <c r="I6" s="124"/>
      <c r="J6" s="124"/>
      <c r="K6" s="124"/>
    </row>
    <row r="7" spans="1:11" ht="16.5" customHeight="1" x14ac:dyDescent="0.2">
      <c r="A7" s="125" t="s">
        <v>16</v>
      </c>
      <c r="B7" s="125"/>
      <c r="C7" s="125"/>
      <c r="D7" s="124" t="s">
        <v>102</v>
      </c>
      <c r="E7" s="124"/>
      <c r="F7" s="124"/>
      <c r="G7" s="124"/>
      <c r="H7" s="124"/>
      <c r="I7" s="124"/>
      <c r="J7" s="124"/>
      <c r="K7" s="124"/>
    </row>
    <row r="8" spans="1:11" ht="16.5" customHeight="1" x14ac:dyDescent="0.2">
      <c r="A8" s="130" t="s">
        <v>17</v>
      </c>
      <c r="B8" s="130"/>
      <c r="C8" s="130"/>
      <c r="D8" s="131" t="s">
        <v>103</v>
      </c>
      <c r="E8" s="131"/>
      <c r="F8" s="131"/>
      <c r="G8" s="131"/>
      <c r="H8" s="131"/>
      <c r="I8" s="131"/>
      <c r="J8" s="131"/>
      <c r="K8" s="131"/>
    </row>
    <row r="9" spans="1:11" ht="15.75" x14ac:dyDescent="0.2">
      <c r="A9" s="36"/>
      <c r="B9" s="36"/>
      <c r="C9" s="36"/>
      <c r="D9" s="37"/>
      <c r="E9" s="37"/>
      <c r="F9" s="37"/>
      <c r="G9" s="37"/>
      <c r="H9" s="37"/>
      <c r="I9" s="37"/>
      <c r="J9" s="37"/>
      <c r="K9" s="37"/>
    </row>
    <row r="10" spans="1:11" ht="18.75" customHeight="1" x14ac:dyDescent="0.2">
      <c r="A10" s="132" t="s">
        <v>18</v>
      </c>
      <c r="B10" s="133" t="s">
        <v>19</v>
      </c>
      <c r="C10" s="133" t="s">
        <v>20</v>
      </c>
      <c r="D10" s="133"/>
      <c r="E10" s="133"/>
      <c r="F10" s="133"/>
      <c r="G10" s="133"/>
      <c r="H10" s="133" t="s">
        <v>21</v>
      </c>
      <c r="I10" s="133" t="s">
        <v>22</v>
      </c>
      <c r="J10" s="133" t="s">
        <v>23</v>
      </c>
      <c r="K10" s="134" t="s">
        <v>24</v>
      </c>
    </row>
    <row r="11" spans="1:11" ht="24" customHeight="1" x14ac:dyDescent="0.2">
      <c r="A11" s="132"/>
      <c r="B11" s="133"/>
      <c r="C11" s="133"/>
      <c r="D11" s="133"/>
      <c r="E11" s="133"/>
      <c r="F11" s="133"/>
      <c r="G11" s="133"/>
      <c r="H11" s="133"/>
      <c r="I11" s="133"/>
      <c r="J11" s="133"/>
      <c r="K11" s="134"/>
    </row>
    <row r="12" spans="1:11" ht="34.5" customHeight="1" thickBot="1" x14ac:dyDescent="0.25">
      <c r="A12" s="38">
        <v>1</v>
      </c>
      <c r="B12" s="39"/>
      <c r="C12" s="129" t="str">
        <f>+'Necesidades Trimestrales'!E10</f>
        <v xml:space="preserve">AEROCAMARA CON MASCARA COMPLETA  PEDIATRICA  </v>
      </c>
      <c r="D12" s="129"/>
      <c r="E12" s="129"/>
      <c r="F12" s="129"/>
      <c r="G12" s="129"/>
      <c r="H12" s="40" t="s">
        <v>53</v>
      </c>
      <c r="I12" s="41" t="str">
        <f>+'Necesidades Trimestrales'!F10</f>
        <v>UNIDAD</v>
      </c>
      <c r="J12" s="42">
        <f>+'Necesidades Trimestrales'!H10</f>
        <v>460</v>
      </c>
      <c r="K12" s="43">
        <f>+'Necesidades Trimestrales'!G10</f>
        <v>500</v>
      </c>
    </row>
    <row r="13" spans="1:11" ht="39.75" customHeight="1" thickBot="1" x14ac:dyDescent="0.25">
      <c r="A13" s="38">
        <v>2</v>
      </c>
      <c r="B13" s="44"/>
      <c r="C13" s="129" t="str">
        <f>+'Necesidades Trimestrales'!E11</f>
        <v xml:space="preserve">CAMARA HUMIDIFICADORA DESCARTABLE TIPO GGM  o FISHER PAIKEL </v>
      </c>
      <c r="D13" s="129"/>
      <c r="E13" s="129"/>
      <c r="F13" s="129"/>
      <c r="G13" s="129"/>
      <c r="H13" s="45" t="s">
        <v>53</v>
      </c>
      <c r="I13" s="41" t="str">
        <f>+'Necesidades Trimestrales'!F11</f>
        <v>UNIDAD</v>
      </c>
      <c r="J13" s="42">
        <f>+'Necesidades Trimestrales'!H11</f>
        <v>7390</v>
      </c>
      <c r="K13" s="43">
        <f>+'Necesidades Trimestrales'!G11</f>
        <v>300</v>
      </c>
    </row>
    <row r="14" spans="1:11" ht="27" customHeight="1" thickBot="1" x14ac:dyDescent="0.25">
      <c r="A14" s="38">
        <v>3</v>
      </c>
      <c r="B14" s="44"/>
      <c r="C14" s="129" t="str">
        <f>+'Necesidades Trimestrales'!E12</f>
        <v>CAMARA HUMIDIFICADORA REUTILIZABLE   Tipo GGM Modelo 4809R1V</v>
      </c>
      <c r="D14" s="129"/>
      <c r="E14" s="129"/>
      <c r="F14" s="129"/>
      <c r="G14" s="129"/>
      <c r="H14" s="45" t="s">
        <v>53</v>
      </c>
      <c r="I14" s="41" t="str">
        <f>+'Necesidades Trimestrales'!F12</f>
        <v>UNIDAD</v>
      </c>
      <c r="J14" s="42">
        <f>+'Necesidades Trimestrales'!H12</f>
        <v>19788</v>
      </c>
      <c r="K14" s="43">
        <f>+'Necesidades Trimestrales'!G12</f>
        <v>10</v>
      </c>
    </row>
    <row r="15" spans="1:11" ht="20.25" customHeight="1" thickBot="1" x14ac:dyDescent="0.25">
      <c r="A15" s="38">
        <v>4</v>
      </c>
      <c r="B15" s="44"/>
      <c r="C15" s="129" t="str">
        <f>+'Necesidades Trimestrales'!E13</f>
        <v>CANULA NASAL DE ALTO FLUJO TIPO OPTIFLOW INFANTIL F&amp;P OPT 316</v>
      </c>
      <c r="D15" s="129"/>
      <c r="E15" s="129"/>
      <c r="F15" s="129"/>
      <c r="G15" s="129"/>
      <c r="H15" s="45" t="s">
        <v>53</v>
      </c>
      <c r="I15" s="41" t="str">
        <f>+'Necesidades Trimestrales'!F13</f>
        <v>UNIDAD</v>
      </c>
      <c r="J15" s="42">
        <f>+'Necesidades Trimestrales'!H13</f>
        <v>11650</v>
      </c>
      <c r="K15" s="43">
        <f>+'Necesidades Trimestrales'!G13</f>
        <v>30</v>
      </c>
    </row>
    <row r="16" spans="1:11" ht="20.25" customHeight="1" thickBot="1" x14ac:dyDescent="0.25">
      <c r="A16" s="38">
        <v>5</v>
      </c>
      <c r="B16" s="44"/>
      <c r="C16" s="129" t="str">
        <f>+'Necesidades Trimestrales'!E14</f>
        <v>CANULA NASAL DE ALTO FLUJO TIPO OPTIFLOW PEDIATRICA F&amp;P OPT 318</v>
      </c>
      <c r="D16" s="129"/>
      <c r="E16" s="129"/>
      <c r="F16" s="129"/>
      <c r="G16" s="129"/>
      <c r="H16" s="45" t="s">
        <v>53</v>
      </c>
      <c r="I16" s="41" t="str">
        <f>+'Necesidades Trimestrales'!F14</f>
        <v>UNIDAD</v>
      </c>
      <c r="J16" s="42">
        <f>+'Necesidades Trimestrales'!H14</f>
        <v>11650</v>
      </c>
      <c r="K16" s="43">
        <f>+'Necesidades Trimestrales'!G14</f>
        <v>30</v>
      </c>
    </row>
    <row r="17" spans="1:11" ht="27.75" customHeight="1" thickBot="1" x14ac:dyDescent="0.25">
      <c r="A17" s="38">
        <v>6</v>
      </c>
      <c r="B17" s="44"/>
      <c r="C17" s="129" t="str">
        <f>+'Necesidades Trimestrales'!E15</f>
        <v>CANULA NASAL PARA ALTO FLUJO TIPO GGM  ADULTO 5 mm 4825R1V TAMANO M</v>
      </c>
      <c r="D17" s="129"/>
      <c r="E17" s="129"/>
      <c r="F17" s="129"/>
      <c r="G17" s="129"/>
      <c r="H17" s="45" t="s">
        <v>53</v>
      </c>
      <c r="I17" s="41" t="str">
        <f>+'Necesidades Trimestrales'!F15</f>
        <v>UNIDAD</v>
      </c>
      <c r="J17" s="42">
        <f>+'Necesidades Trimestrales'!H15</f>
        <v>5200</v>
      </c>
      <c r="K17" s="43">
        <f>+'Necesidades Trimestrales'!G15</f>
        <v>10</v>
      </c>
    </row>
    <row r="18" spans="1:11" ht="29.25" customHeight="1" thickBot="1" x14ac:dyDescent="0.25">
      <c r="A18" s="38">
        <v>7</v>
      </c>
      <c r="B18" s="44"/>
      <c r="C18" s="129" t="str">
        <f>+'Necesidades Trimestrales'!E16</f>
        <v xml:space="preserve">CANULA NASAL PARA ALTO FLUJO TIPO GGM  ADULTO 6 mm 4826R1V TAMANO L </v>
      </c>
      <c r="D18" s="129"/>
      <c r="E18" s="129"/>
      <c r="F18" s="129"/>
      <c r="G18" s="129"/>
      <c r="H18" s="45" t="s">
        <v>53</v>
      </c>
      <c r="I18" s="41" t="str">
        <f>+'Necesidades Trimestrales'!F16</f>
        <v>UNIDAD</v>
      </c>
      <c r="J18" s="42">
        <f>+'Necesidades Trimestrales'!H16</f>
        <v>5200</v>
      </c>
      <c r="K18" s="43">
        <f>+'Necesidades Trimestrales'!G16</f>
        <v>10</v>
      </c>
    </row>
    <row r="19" spans="1:11" ht="20.25" customHeight="1" thickBot="1" x14ac:dyDescent="0.25">
      <c r="A19" s="38">
        <v>8</v>
      </c>
      <c r="B19" s="44"/>
      <c r="C19" s="129" t="str">
        <f>+'Necesidades Trimestrales'!E17</f>
        <v xml:space="preserve">CANULA NASAL PARA ALTO FLUJO TIPO GGM  NEO  3.5 mm 4828 r1v </v>
      </c>
      <c r="D19" s="129"/>
      <c r="E19" s="129"/>
      <c r="F19" s="129"/>
      <c r="G19" s="129"/>
      <c r="H19" s="45" t="s">
        <v>53</v>
      </c>
      <c r="I19" s="41" t="str">
        <f>+'Necesidades Trimestrales'!F17</f>
        <v>UNIDAD</v>
      </c>
      <c r="J19" s="42">
        <f>+'Necesidades Trimestrales'!H17</f>
        <v>5200</v>
      </c>
      <c r="K19" s="43">
        <f>+'Necesidades Trimestrales'!G17</f>
        <v>30</v>
      </c>
    </row>
    <row r="20" spans="1:11" ht="24.75" customHeight="1" thickBot="1" x14ac:dyDescent="0.25">
      <c r="A20" s="38">
        <v>9</v>
      </c>
      <c r="B20" s="44"/>
      <c r="C20" s="129" t="str">
        <f>+'Necesidades Trimestrales'!E18</f>
        <v xml:space="preserve">CANULA NASAL PARA ALTO FLUJO TIPO GGM  PEDIATRICA 4mm 4824R1V </v>
      </c>
      <c r="D20" s="129"/>
      <c r="E20" s="129"/>
      <c r="F20" s="129"/>
      <c r="G20" s="129"/>
      <c r="H20" s="45" t="s">
        <v>53</v>
      </c>
      <c r="I20" s="41" t="str">
        <f>+'Necesidades Trimestrales'!F18</f>
        <v>UNIDAD</v>
      </c>
      <c r="J20" s="42">
        <f>+'Necesidades Trimestrales'!H18</f>
        <v>5200</v>
      </c>
      <c r="K20" s="43">
        <f>+'Necesidades Trimestrales'!G18</f>
        <v>30</v>
      </c>
    </row>
    <row r="21" spans="1:11" ht="20.25" customHeight="1" thickBot="1" x14ac:dyDescent="0.25">
      <c r="A21" s="38">
        <v>10</v>
      </c>
      <c r="B21" s="44"/>
      <c r="C21" s="129" t="str">
        <f>+'Necesidades Trimestrales'!E19</f>
        <v>CANULA NASAL PARA ALTO FLUJO TIPO OPT844 / OPT 944 FISHER PAYKEL</v>
      </c>
      <c r="D21" s="129"/>
      <c r="E21" s="129"/>
      <c r="F21" s="129"/>
      <c r="G21" s="129"/>
      <c r="H21" s="45" t="s">
        <v>53</v>
      </c>
      <c r="I21" s="41" t="str">
        <f>+'Necesidades Trimestrales'!F19</f>
        <v>UNIDAD</v>
      </c>
      <c r="J21" s="42">
        <f>+'Necesidades Trimestrales'!H19</f>
        <v>11650</v>
      </c>
      <c r="K21" s="43">
        <f>+'Necesidades Trimestrales'!G19</f>
        <v>10</v>
      </c>
    </row>
    <row r="22" spans="1:11" ht="20.25" customHeight="1" thickBot="1" x14ac:dyDescent="0.25">
      <c r="A22" s="38">
        <v>11</v>
      </c>
      <c r="B22" s="44"/>
      <c r="C22" s="129" t="str">
        <f>+'Necesidades Trimestrales'!E20</f>
        <v>CANULA NASAL PARA ALTO FLUJO TIPO OPT846/OPT 946  FISHER PAYKEL</v>
      </c>
      <c r="D22" s="129"/>
      <c r="E22" s="129"/>
      <c r="F22" s="129"/>
      <c r="G22" s="129"/>
      <c r="H22" s="45" t="s">
        <v>53</v>
      </c>
      <c r="I22" s="41" t="str">
        <f>+'Necesidades Trimestrales'!F20</f>
        <v>UNIDAD</v>
      </c>
      <c r="J22" s="42">
        <f>+'Necesidades Trimestrales'!H20</f>
        <v>11650</v>
      </c>
      <c r="K22" s="43">
        <f>+'Necesidades Trimestrales'!G20</f>
        <v>10</v>
      </c>
    </row>
    <row r="23" spans="1:11" ht="20.25" customHeight="1" thickBot="1" x14ac:dyDescent="0.25">
      <c r="A23" s="38">
        <v>12</v>
      </c>
      <c r="B23" s="44"/>
      <c r="C23" s="129" t="str">
        <f>+'Necesidades Trimestrales'!E21</f>
        <v>CANULA NASAL PARA OXIGENOTERAPIA ADULTO</v>
      </c>
      <c r="D23" s="129"/>
      <c r="E23" s="129"/>
      <c r="F23" s="129"/>
      <c r="G23" s="129"/>
      <c r="H23" s="45" t="s">
        <v>53</v>
      </c>
      <c r="I23" s="41" t="str">
        <f>+'Necesidades Trimestrales'!F21</f>
        <v>UNIDAD</v>
      </c>
      <c r="J23" s="42">
        <f>+'Necesidades Trimestrales'!H21</f>
        <v>85.9</v>
      </c>
      <c r="K23" s="43">
        <f>+'Necesidades Trimestrales'!G21</f>
        <v>50</v>
      </c>
    </row>
    <row r="24" spans="1:11" ht="20.25" customHeight="1" thickBot="1" x14ac:dyDescent="0.25">
      <c r="A24" s="38">
        <v>13</v>
      </c>
      <c r="B24" s="44"/>
      <c r="C24" s="129" t="str">
        <f>+'Necesidades Trimestrales'!E22</f>
        <v>CANULA NASAL PARA OXIGENOTERAPIA NEONATAL</v>
      </c>
      <c r="D24" s="129"/>
      <c r="E24" s="129"/>
      <c r="F24" s="129"/>
      <c r="G24" s="129"/>
      <c r="H24" s="45" t="s">
        <v>53</v>
      </c>
      <c r="I24" s="41" t="str">
        <f>+'Necesidades Trimestrales'!F22</f>
        <v>UNIDAD</v>
      </c>
      <c r="J24" s="42">
        <f>+'Necesidades Trimestrales'!H22</f>
        <v>78.900000000000006</v>
      </c>
      <c r="K24" s="43">
        <f>+'Necesidades Trimestrales'!G22</f>
        <v>100</v>
      </c>
    </row>
    <row r="25" spans="1:11" ht="40.5" customHeight="1" thickBot="1" x14ac:dyDescent="0.25">
      <c r="A25" s="38">
        <v>14</v>
      </c>
      <c r="B25" s="44"/>
      <c r="C25" s="129" t="str">
        <f>+'Necesidades Trimestrales'!E23</f>
        <v>CANULA NASAL PARA OXIGENOTERAPIA PEDIATRICO</v>
      </c>
      <c r="D25" s="129"/>
      <c r="E25" s="129"/>
      <c r="F25" s="129"/>
      <c r="G25" s="129"/>
      <c r="H25" s="45" t="s">
        <v>53</v>
      </c>
      <c r="I25" s="41" t="str">
        <f>+'Necesidades Trimestrales'!F23</f>
        <v>UNIDAD</v>
      </c>
      <c r="J25" s="42">
        <f>+'Necesidades Trimestrales'!H23</f>
        <v>82.5</v>
      </c>
      <c r="K25" s="43">
        <f>+'Necesidades Trimestrales'!G23</f>
        <v>100</v>
      </c>
    </row>
    <row r="26" spans="1:11" ht="37.5" customHeight="1" thickBot="1" x14ac:dyDescent="0.25">
      <c r="A26" s="38">
        <v>15</v>
      </c>
      <c r="B26" s="44"/>
      <c r="C26" s="129" t="str">
        <f>+'Necesidades Trimestrales'!E24</f>
        <v xml:space="preserve">CANULA PARA TRAQUEOSTOMIA  N°6.5 </v>
      </c>
      <c r="D26" s="129"/>
      <c r="E26" s="129"/>
      <c r="F26" s="129"/>
      <c r="G26" s="129"/>
      <c r="H26" s="45" t="s">
        <v>53</v>
      </c>
      <c r="I26" s="41" t="str">
        <f>+'Necesidades Trimestrales'!F24</f>
        <v>UNIDAD</v>
      </c>
      <c r="J26" s="42">
        <f>+'Necesidades Trimestrales'!H24</f>
        <v>1100</v>
      </c>
      <c r="K26" s="43">
        <f>+'Necesidades Trimestrales'!G24</f>
        <v>20</v>
      </c>
    </row>
    <row r="27" spans="1:11" ht="43.5" customHeight="1" thickBot="1" x14ac:dyDescent="0.25">
      <c r="A27" s="38">
        <v>16</v>
      </c>
      <c r="B27" s="44"/>
      <c r="C27" s="129" t="str">
        <f>+'Necesidades Trimestrales'!E25</f>
        <v xml:space="preserve">CANULA PARA TRAQUEOSTOMIA  Nº 4 </v>
      </c>
      <c r="D27" s="129"/>
      <c r="E27" s="129"/>
      <c r="F27" s="129"/>
      <c r="G27" s="129"/>
      <c r="H27" s="45" t="s">
        <v>53</v>
      </c>
      <c r="I27" s="41" t="str">
        <f>+'Necesidades Trimestrales'!F25</f>
        <v>UNIDAD</v>
      </c>
      <c r="J27" s="42">
        <f>+'Necesidades Trimestrales'!H25</f>
        <v>1100</v>
      </c>
      <c r="K27" s="43">
        <f>+'Necesidades Trimestrales'!G25</f>
        <v>20</v>
      </c>
    </row>
    <row r="28" spans="1:11" ht="20.25" customHeight="1" thickBot="1" x14ac:dyDescent="0.25">
      <c r="A28" s="38">
        <v>17</v>
      </c>
      <c r="B28" s="44"/>
      <c r="C28" s="129" t="str">
        <f>+'Necesidades Trimestrales'!E26</f>
        <v>CANULA PARA TRAQUEOSTOMIA  Nº 41/2</v>
      </c>
      <c r="D28" s="129"/>
      <c r="E28" s="129"/>
      <c r="F28" s="129"/>
      <c r="G28" s="129"/>
      <c r="H28" s="45" t="s">
        <v>53</v>
      </c>
      <c r="I28" s="41" t="str">
        <f>+'Necesidades Trimestrales'!F26</f>
        <v>UNIDAD</v>
      </c>
      <c r="J28" s="42">
        <f>+'Necesidades Trimestrales'!H26</f>
        <v>1100</v>
      </c>
      <c r="K28" s="43">
        <f>+'Necesidades Trimestrales'!G26</f>
        <v>20</v>
      </c>
    </row>
    <row r="29" spans="1:11" ht="20.25" customHeight="1" thickBot="1" x14ac:dyDescent="0.25">
      <c r="A29" s="38">
        <v>18</v>
      </c>
      <c r="B29" s="44"/>
      <c r="C29" s="129" t="str">
        <f>+'Necesidades Trimestrales'!E27</f>
        <v xml:space="preserve">CANULA PARA TRAQUEOSTOMIA N°3 </v>
      </c>
      <c r="D29" s="129"/>
      <c r="E29" s="129"/>
      <c r="F29" s="129"/>
      <c r="G29" s="129"/>
      <c r="H29" s="45" t="s">
        <v>53</v>
      </c>
      <c r="I29" s="41" t="str">
        <f>+'Necesidades Trimestrales'!F27</f>
        <v>UNIDAD</v>
      </c>
      <c r="J29" s="42">
        <f>+'Necesidades Trimestrales'!H27</f>
        <v>1100</v>
      </c>
      <c r="K29" s="43">
        <f>+'Necesidades Trimestrales'!G27</f>
        <v>20</v>
      </c>
    </row>
    <row r="30" spans="1:11" ht="28.5" customHeight="1" thickBot="1" x14ac:dyDescent="0.25">
      <c r="A30" s="38">
        <v>19</v>
      </c>
      <c r="B30" s="44"/>
      <c r="C30" s="129" t="str">
        <f>+'Necesidades Trimestrales'!E28</f>
        <v xml:space="preserve">CANULA PARA TRAQUEOSTOMIA N°3,5 </v>
      </c>
      <c r="D30" s="129"/>
      <c r="E30" s="129"/>
      <c r="F30" s="129"/>
      <c r="G30" s="129"/>
      <c r="H30" s="45" t="s">
        <v>53</v>
      </c>
      <c r="I30" s="41" t="str">
        <f>+'Necesidades Trimestrales'!F28</f>
        <v>UNIDAD</v>
      </c>
      <c r="J30" s="42">
        <f>+'Necesidades Trimestrales'!H28</f>
        <v>1100</v>
      </c>
      <c r="K30" s="43">
        <f>+'Necesidades Trimestrales'!G28</f>
        <v>20</v>
      </c>
    </row>
    <row r="31" spans="1:11" ht="33.75" customHeight="1" thickBot="1" x14ac:dyDescent="0.25">
      <c r="A31" s="38">
        <v>20</v>
      </c>
      <c r="B31" s="44"/>
      <c r="C31" s="129" t="str">
        <f>+'Necesidades Trimestrales'!E29</f>
        <v xml:space="preserve">CANULA PARA TRAQUEOSTOMIA N°5-5 </v>
      </c>
      <c r="D31" s="129"/>
      <c r="E31" s="129"/>
      <c r="F31" s="129"/>
      <c r="G31" s="129"/>
      <c r="H31" s="45" t="s">
        <v>53</v>
      </c>
      <c r="I31" s="41" t="str">
        <f>+'Necesidades Trimestrales'!F29</f>
        <v>UNIDAD</v>
      </c>
      <c r="J31" s="42">
        <f>+'Necesidades Trimestrales'!H29</f>
        <v>1100</v>
      </c>
      <c r="K31" s="43">
        <f>+'Necesidades Trimestrales'!G29</f>
        <v>20</v>
      </c>
    </row>
    <row r="32" spans="1:11" ht="30" customHeight="1" thickBot="1" x14ac:dyDescent="0.25">
      <c r="A32" s="38">
        <v>21</v>
      </c>
      <c r="B32" s="44"/>
      <c r="C32" s="129" t="str">
        <f>+'Necesidades Trimestrales'!E30</f>
        <v xml:space="preserve">CANULA PARA TRAQUEOSTOMIA Nº6 </v>
      </c>
      <c r="D32" s="129"/>
      <c r="E32" s="129"/>
      <c r="F32" s="129"/>
      <c r="G32" s="129"/>
      <c r="H32" s="45" t="s">
        <v>53</v>
      </c>
      <c r="I32" s="41" t="str">
        <f>+'Necesidades Trimestrales'!F30</f>
        <v>UNIDAD</v>
      </c>
      <c r="J32" s="42">
        <f>+'Necesidades Trimestrales'!H30</f>
        <v>1100</v>
      </c>
      <c r="K32" s="43">
        <f>+'Necesidades Trimestrales'!G30</f>
        <v>20</v>
      </c>
    </row>
    <row r="33" spans="1:11" ht="20.25" customHeight="1" thickBot="1" x14ac:dyDescent="0.25">
      <c r="A33" s="38">
        <v>22</v>
      </c>
      <c r="B33" s="44"/>
      <c r="C33" s="129" t="str">
        <f>+'Necesidades Trimestrales'!E31</f>
        <v>CANULA PARA TRAQUEOTOMIA  Nº 5</v>
      </c>
      <c r="D33" s="129"/>
      <c r="E33" s="129"/>
      <c r="F33" s="129"/>
      <c r="G33" s="129"/>
      <c r="H33" s="45" t="s">
        <v>53</v>
      </c>
      <c r="I33" s="41" t="str">
        <f>+'Necesidades Trimestrales'!F31</f>
        <v>UNIDAD</v>
      </c>
      <c r="J33" s="42">
        <f>+'Necesidades Trimestrales'!H31</f>
        <v>1100</v>
      </c>
      <c r="K33" s="43">
        <f>+'Necesidades Trimestrales'!G31</f>
        <v>20</v>
      </c>
    </row>
    <row r="34" spans="1:11" ht="24.75" customHeight="1" thickBot="1" x14ac:dyDescent="0.25">
      <c r="A34" s="38">
        <v>23</v>
      </c>
      <c r="B34" s="44"/>
      <c r="C34" s="129" t="str">
        <f>+'Necesidades Trimestrales'!E32</f>
        <v>CIRCUITO ANESTESIA EXTENSIBLE ADULTO DESCARTABLE</v>
      </c>
      <c r="D34" s="129"/>
      <c r="E34" s="129"/>
      <c r="F34" s="129"/>
      <c r="G34" s="129"/>
      <c r="H34" s="45" t="s">
        <v>53</v>
      </c>
      <c r="I34" s="41" t="str">
        <f>+'Necesidades Trimestrales'!F32</f>
        <v>UNIDAD</v>
      </c>
      <c r="J34" s="42">
        <f>+'Necesidades Trimestrales'!H32</f>
        <v>580</v>
      </c>
      <c r="K34" s="43">
        <f>+'Necesidades Trimestrales'!G32</f>
        <v>50</v>
      </c>
    </row>
    <row r="35" spans="1:11" ht="20.25" customHeight="1" thickBot="1" x14ac:dyDescent="0.25">
      <c r="A35" s="38">
        <v>24</v>
      </c>
      <c r="B35" s="44"/>
      <c r="C35" s="129" t="str">
        <f>+'Necesidades Trimestrales'!E33</f>
        <v>CIRCUITO ANESTESIA EXTENSIBLE NEONATAL DESCARTABLE</v>
      </c>
      <c r="D35" s="129"/>
      <c r="E35" s="129"/>
      <c r="F35" s="129"/>
      <c r="G35" s="129"/>
      <c r="H35" s="45" t="s">
        <v>53</v>
      </c>
      <c r="I35" s="41" t="str">
        <f>+'Necesidades Trimestrales'!F33</f>
        <v>UNIDAD</v>
      </c>
      <c r="J35" s="42">
        <f>+'Necesidades Trimestrales'!H33</f>
        <v>580</v>
      </c>
      <c r="K35" s="43">
        <f>+'Necesidades Trimestrales'!G33</f>
        <v>50</v>
      </c>
    </row>
    <row r="36" spans="1:11" ht="20.25" customHeight="1" thickBot="1" x14ac:dyDescent="0.25">
      <c r="A36" s="38">
        <v>25</v>
      </c>
      <c r="B36" s="44"/>
      <c r="C36" s="129" t="str">
        <f>+'Necesidades Trimestrales'!E34</f>
        <v>CIRCUITO ANESTESIA EXTENSIBLE PEDIATRICO DESCARTABLE</v>
      </c>
      <c r="D36" s="129"/>
      <c r="E36" s="129"/>
      <c r="F36" s="129"/>
      <c r="G36" s="129"/>
      <c r="H36" s="45" t="s">
        <v>53</v>
      </c>
      <c r="I36" s="41" t="str">
        <f>+'Necesidades Trimestrales'!F34</f>
        <v>UNIDAD</v>
      </c>
      <c r="J36" s="42">
        <f>+'Necesidades Trimestrales'!H34</f>
        <v>580</v>
      </c>
      <c r="K36" s="43">
        <f>+'Necesidades Trimestrales'!G34</f>
        <v>50</v>
      </c>
    </row>
    <row r="37" spans="1:11" ht="20.25" customHeight="1" thickBot="1" x14ac:dyDescent="0.25">
      <c r="A37" s="38">
        <v>26</v>
      </c>
      <c r="B37" s="44"/>
      <c r="C37" s="129" t="str">
        <f>+'Necesidades Trimestrales'!E35</f>
        <v>CIRCUITO CERRADO P/ASPIRACION 10 FR</v>
      </c>
      <c r="D37" s="129"/>
      <c r="E37" s="129"/>
      <c r="F37" s="129"/>
      <c r="G37" s="129"/>
      <c r="H37" s="45" t="s">
        <v>53</v>
      </c>
      <c r="I37" s="41" t="str">
        <f>+'Necesidades Trimestrales'!F35</f>
        <v>UNIDAD</v>
      </c>
      <c r="J37" s="42">
        <f>+'Necesidades Trimestrales'!H35</f>
        <v>1210</v>
      </c>
      <c r="K37" s="43">
        <f>+'Necesidades Trimestrales'!G35</f>
        <v>10</v>
      </c>
    </row>
    <row r="38" spans="1:11" ht="25.5" customHeight="1" thickBot="1" x14ac:dyDescent="0.25">
      <c r="A38" s="38">
        <v>27</v>
      </c>
      <c r="B38" s="44"/>
      <c r="C38" s="129" t="str">
        <f>+'Necesidades Trimestrales'!E36</f>
        <v>CIRCUITO CERRADO P/ASPIRACION 12 FR</v>
      </c>
      <c r="D38" s="129"/>
      <c r="E38" s="129"/>
      <c r="F38" s="129"/>
      <c r="G38" s="129"/>
      <c r="H38" s="45" t="s">
        <v>53</v>
      </c>
      <c r="I38" s="41" t="str">
        <f>+'Necesidades Trimestrales'!F36</f>
        <v>UNIDAD</v>
      </c>
      <c r="J38" s="42">
        <f>+'Necesidades Trimestrales'!H36</f>
        <v>1210</v>
      </c>
      <c r="K38" s="43">
        <f>+'Necesidades Trimestrales'!G36</f>
        <v>10</v>
      </c>
    </row>
    <row r="39" spans="1:11" ht="20.25" customHeight="1" thickBot="1" x14ac:dyDescent="0.25">
      <c r="A39" s="38">
        <v>28</v>
      </c>
      <c r="B39" s="44"/>
      <c r="C39" s="129" t="str">
        <f>+'Necesidades Trimestrales'!E37</f>
        <v>CIRCUITO CERRADO P/ASPIRACION 14 FR</v>
      </c>
      <c r="D39" s="129"/>
      <c r="E39" s="129"/>
      <c r="F39" s="129"/>
      <c r="G39" s="129"/>
      <c r="H39" s="45" t="s">
        <v>53</v>
      </c>
      <c r="I39" s="41" t="str">
        <f>+'Necesidades Trimestrales'!F37</f>
        <v>UNIDAD</v>
      </c>
      <c r="J39" s="42">
        <f>+'Necesidades Trimestrales'!H37</f>
        <v>1210</v>
      </c>
      <c r="K39" s="43">
        <f>+'Necesidades Trimestrales'!G37</f>
        <v>10</v>
      </c>
    </row>
    <row r="40" spans="1:11" ht="20.25" customHeight="1" thickBot="1" x14ac:dyDescent="0.25">
      <c r="A40" s="38">
        <v>29</v>
      </c>
      <c r="B40" s="44"/>
      <c r="C40" s="129" t="str">
        <f>+'Necesidades Trimestrales'!E38</f>
        <v>CIRCUITO CERRADO P/ASPIRACION 7 FR</v>
      </c>
      <c r="D40" s="129"/>
      <c r="E40" s="129"/>
      <c r="F40" s="129"/>
      <c r="G40" s="129"/>
      <c r="H40" s="45" t="s">
        <v>53</v>
      </c>
      <c r="I40" s="41" t="str">
        <f>+'Necesidades Trimestrales'!F38</f>
        <v>UNIDAD</v>
      </c>
      <c r="J40" s="42">
        <f>+'Necesidades Trimestrales'!H38</f>
        <v>1210</v>
      </c>
      <c r="K40" s="43">
        <f>+'Necesidades Trimestrales'!G38</f>
        <v>10</v>
      </c>
    </row>
    <row r="41" spans="1:11" ht="20.25" customHeight="1" thickBot="1" x14ac:dyDescent="0.25">
      <c r="A41" s="38">
        <v>30</v>
      </c>
      <c r="B41" s="44"/>
      <c r="C41" s="129" t="str">
        <f>+'Necesidades Trimestrales'!E39</f>
        <v>CIRCUITO CERRADO P/ASPIRACION 8 FR</v>
      </c>
      <c r="D41" s="129"/>
      <c r="E41" s="129"/>
      <c r="F41" s="129"/>
      <c r="G41" s="129"/>
      <c r="H41" s="45" t="s">
        <v>53</v>
      </c>
      <c r="I41" s="41" t="str">
        <f>+'Necesidades Trimestrales'!F39</f>
        <v>UNIDAD</v>
      </c>
      <c r="J41" s="42">
        <f>+'Necesidades Trimestrales'!H39</f>
        <v>1210</v>
      </c>
      <c r="K41" s="43">
        <f>+'Necesidades Trimestrales'!G39</f>
        <v>10</v>
      </c>
    </row>
    <row r="42" spans="1:11" ht="20.25" customHeight="1" thickBot="1" x14ac:dyDescent="0.25">
      <c r="A42" s="38">
        <v>31</v>
      </c>
      <c r="B42" s="44"/>
      <c r="C42" s="129" t="str">
        <f>+'Necesidades Trimestrales'!E40</f>
        <v>CIRCUITO PARA ALTO FLUJO TIPO FISHER PAYKEL PEDIATRICO/ADULTO AIRVO</v>
      </c>
      <c r="D42" s="129"/>
      <c r="E42" s="129"/>
      <c r="F42" s="129"/>
      <c r="G42" s="129"/>
      <c r="H42" s="45" t="s">
        <v>53</v>
      </c>
      <c r="I42" s="41" t="str">
        <f>+'Necesidades Trimestrales'!F40</f>
        <v>UNIDAD</v>
      </c>
      <c r="J42" s="42">
        <f>+'Necesidades Trimestrales'!H40</f>
        <v>21770</v>
      </c>
      <c r="K42" s="43">
        <f>+'Necesidades Trimestrales'!G40</f>
        <v>20</v>
      </c>
    </row>
    <row r="43" spans="1:11" ht="25.5" customHeight="1" thickBot="1" x14ac:dyDescent="0.25">
      <c r="A43" s="38">
        <v>32</v>
      </c>
      <c r="B43" s="44"/>
      <c r="C43" s="129" t="str">
        <f>+'Necesidades Trimestrales'!E41</f>
        <v>CIRCUITO RESPIRATORIO PARA LACTANTES DE DOBLE RAMA SIN CAMARA CON COLECTOR DE AGUA ESPIRATORIA Y LINEA DE PRESION ( CAUDAL MAYOR 4 L/ MIN ) TIPO RT 125 FISCHER PAYKEL</v>
      </c>
      <c r="D43" s="129"/>
      <c r="E43" s="129"/>
      <c r="F43" s="129"/>
      <c r="G43" s="129"/>
      <c r="H43" s="45" t="s">
        <v>53</v>
      </c>
      <c r="I43" s="41" t="str">
        <f>+'Necesidades Trimestrales'!F41</f>
        <v>UNIDAD</v>
      </c>
      <c r="J43" s="42">
        <f>+'Necesidades Trimestrales'!H41</f>
        <v>6900</v>
      </c>
      <c r="K43" s="43">
        <f>+'Necesidades Trimestrales'!G41</f>
        <v>100</v>
      </c>
    </row>
    <row r="44" spans="1:11" ht="20.25" customHeight="1" thickBot="1" x14ac:dyDescent="0.25">
      <c r="A44" s="38">
        <v>33</v>
      </c>
      <c r="B44" s="44"/>
      <c r="C44" s="129" t="str">
        <f>+'Necesidades Trimestrales'!E42</f>
        <v xml:space="preserve"> KIT DE CIRCUITOS RESPIRATORIOS PARA ADULTOS DE DOBLE RAMAL CON COLECTOR DE AGUA ESPIRATORIA Y LINEA DE PRESION CON CAMARA DE AUTOLLENADO TIPO FISHER PAYKEL RT 206</v>
      </c>
      <c r="D44" s="129"/>
      <c r="E44" s="129"/>
      <c r="F44" s="129"/>
      <c r="G44" s="129"/>
      <c r="H44" s="45" t="s">
        <v>53</v>
      </c>
      <c r="I44" s="41" t="str">
        <f>+'Necesidades Trimestrales'!F42</f>
        <v>UNIDAD</v>
      </c>
      <c r="J44" s="42">
        <f>+'Necesidades Trimestrales'!H42</f>
        <v>9800</v>
      </c>
      <c r="K44" s="43">
        <f>+'Necesidades Trimestrales'!G42</f>
        <v>100</v>
      </c>
    </row>
    <row r="45" spans="1:11" ht="39.75" customHeight="1" thickBot="1" x14ac:dyDescent="0.25">
      <c r="A45" s="38">
        <v>34</v>
      </c>
      <c r="B45" s="44"/>
      <c r="C45" s="129" t="str">
        <f>+'Necesidades Trimestrales'!E43</f>
        <v>FILTRO HME BACTERIAL VIRAL PARA CIRCUITO RESPIRADOR</v>
      </c>
      <c r="D45" s="129"/>
      <c r="E45" s="129"/>
      <c r="F45" s="129"/>
      <c r="G45" s="129"/>
      <c r="H45" s="45" t="s">
        <v>53</v>
      </c>
      <c r="I45" s="41" t="str">
        <f>+'Necesidades Trimestrales'!F43</f>
        <v>UNIDAD</v>
      </c>
      <c r="J45" s="42">
        <f>+'Necesidades Trimestrales'!H43</f>
        <v>298</v>
      </c>
      <c r="K45" s="43">
        <f>+'Necesidades Trimestrales'!G43</f>
        <v>100</v>
      </c>
    </row>
    <row r="46" spans="1:11" ht="27" customHeight="1" thickBot="1" x14ac:dyDescent="0.25">
      <c r="A46" s="38">
        <v>35</v>
      </c>
      <c r="B46" s="44"/>
      <c r="C46" s="129" t="str">
        <f>+'Necesidades Trimestrales'!E44</f>
        <v xml:space="preserve">FILTRO HME F INTERCAMBIADOR CALOR/HUMEDAD -VIRAL -BACTERIAL </v>
      </c>
      <c r="D46" s="129"/>
      <c r="E46" s="129"/>
      <c r="F46" s="129"/>
      <c r="G46" s="129"/>
      <c r="H46" s="45" t="s">
        <v>53</v>
      </c>
      <c r="I46" s="41" t="str">
        <f>+'Necesidades Trimestrales'!F44</f>
        <v>UNIDAD</v>
      </c>
      <c r="J46" s="42">
        <f>+'Necesidades Trimestrales'!H44</f>
        <v>330</v>
      </c>
      <c r="K46" s="43">
        <f>+'Necesidades Trimestrales'!G44</f>
        <v>100</v>
      </c>
    </row>
    <row r="47" spans="1:11" ht="20.25" customHeight="1" thickBot="1" x14ac:dyDescent="0.25">
      <c r="A47" s="38">
        <v>36</v>
      </c>
      <c r="B47" s="44"/>
      <c r="C47" s="129" t="str">
        <f>+'Necesidades Trimestrales'!E45</f>
        <v>FRASCO RECOLECTOR DE ASPIRACIONES QUIRURGICAS X 1 LITRO ( CANISTER )</v>
      </c>
      <c r="D47" s="129"/>
      <c r="E47" s="129"/>
      <c r="F47" s="129"/>
      <c r="G47" s="129"/>
      <c r="H47" s="45" t="s">
        <v>53</v>
      </c>
      <c r="I47" s="41" t="str">
        <f>+'Necesidades Trimestrales'!F45</f>
        <v>UNIDAD</v>
      </c>
      <c r="J47" s="42">
        <f>+'Necesidades Trimestrales'!H45</f>
        <v>2365</v>
      </c>
      <c r="K47" s="43">
        <f>+'Necesidades Trimestrales'!G45</f>
        <v>10</v>
      </c>
    </row>
    <row r="48" spans="1:11" ht="20.25" customHeight="1" thickBot="1" x14ac:dyDescent="0.25">
      <c r="A48" s="38">
        <v>37</v>
      </c>
      <c r="B48" s="44"/>
      <c r="C48" s="129" t="str">
        <f>+'Necesidades Trimestrales'!E46</f>
        <v>FRASCO RECOLECTOR DE ASPIRACIONES QUIRURGICAS X 2 LITRO ( CANISTER )</v>
      </c>
      <c r="D48" s="129"/>
      <c r="E48" s="129"/>
      <c r="F48" s="129"/>
      <c r="G48" s="129"/>
      <c r="H48" s="45" t="s">
        <v>53</v>
      </c>
      <c r="I48" s="41" t="str">
        <f>+'Necesidades Trimestrales'!F46</f>
        <v>UNIDAD</v>
      </c>
      <c r="J48" s="42">
        <f>+'Necesidades Trimestrales'!H46</f>
        <v>2964</v>
      </c>
      <c r="K48" s="43">
        <f>+'Necesidades Trimestrales'!G46</f>
        <v>10</v>
      </c>
    </row>
    <row r="49" spans="1:11" ht="27.75" customHeight="1" thickBot="1" x14ac:dyDescent="0.25">
      <c r="A49" s="38">
        <v>38</v>
      </c>
      <c r="B49" s="44"/>
      <c r="C49" s="129" t="str">
        <f>+'Necesidades Trimestrales'!E47</f>
        <v>FRASCO RECOLECTOR DE ASPIRACIONES QUIRURGICAS X 3 LITRO ( CANISTER )</v>
      </c>
      <c r="D49" s="129"/>
      <c r="E49" s="129"/>
      <c r="F49" s="129"/>
      <c r="G49" s="129"/>
      <c r="H49" s="45" t="s">
        <v>53</v>
      </c>
      <c r="I49" s="41" t="str">
        <f>+'Necesidades Trimestrales'!F47</f>
        <v>UNIDAD</v>
      </c>
      <c r="J49" s="42">
        <f>+'Necesidades Trimestrales'!H47</f>
        <v>3256</v>
      </c>
      <c r="K49" s="43">
        <f>+'Necesidades Trimestrales'!G47</f>
        <v>10</v>
      </c>
    </row>
    <row r="50" spans="1:11" ht="29.25" customHeight="1" thickBot="1" x14ac:dyDescent="0.25">
      <c r="A50" s="38">
        <v>39</v>
      </c>
      <c r="B50" s="44"/>
      <c r="C50" s="129" t="str">
        <f>+'Necesidades Trimestrales'!E48</f>
        <v>MASCARA AMBU BORDE INFLABLE Nª2 (INFANTIL)</v>
      </c>
      <c r="D50" s="129"/>
      <c r="E50" s="129"/>
      <c r="F50" s="129"/>
      <c r="G50" s="129"/>
      <c r="H50" s="45" t="s">
        <v>53</v>
      </c>
      <c r="I50" s="41" t="str">
        <f>+'Necesidades Trimestrales'!F48</f>
        <v>UNIDAD</v>
      </c>
      <c r="J50" s="42">
        <f>+'Necesidades Trimestrales'!H48</f>
        <v>178</v>
      </c>
      <c r="K50" s="43">
        <f>+'Necesidades Trimestrales'!G48</f>
        <v>30</v>
      </c>
    </row>
    <row r="51" spans="1:11" ht="20.25" customHeight="1" thickBot="1" x14ac:dyDescent="0.25">
      <c r="A51" s="38">
        <v>40</v>
      </c>
      <c r="B51" s="44"/>
      <c r="C51" s="129" t="str">
        <f>+'Necesidades Trimestrales'!E49</f>
        <v>MASCARA AMBU BORDE INFLABLE Nª3 (INFANTIL)</v>
      </c>
      <c r="D51" s="129"/>
      <c r="E51" s="129"/>
      <c r="F51" s="129"/>
      <c r="G51" s="129"/>
      <c r="H51" s="45" t="s">
        <v>53</v>
      </c>
      <c r="I51" s="41" t="str">
        <f>+'Necesidades Trimestrales'!F49</f>
        <v>UNIDAD</v>
      </c>
      <c r="J51" s="42">
        <f>+'Necesidades Trimestrales'!H49</f>
        <v>178</v>
      </c>
      <c r="K51" s="43">
        <f>+'Necesidades Trimestrales'!G49</f>
        <v>30</v>
      </c>
    </row>
    <row r="52" spans="1:11" ht="24.75" customHeight="1" thickBot="1" x14ac:dyDescent="0.25">
      <c r="A52" s="38">
        <v>41</v>
      </c>
      <c r="B52" s="44"/>
      <c r="C52" s="129" t="str">
        <f>+'Necesidades Trimestrales'!E50</f>
        <v>MASCARA AMBU BORDE INFLABLE Nª4 (INFANTIL)</v>
      </c>
      <c r="D52" s="129"/>
      <c r="E52" s="129"/>
      <c r="F52" s="129"/>
      <c r="G52" s="129"/>
      <c r="H52" s="45" t="s">
        <v>53</v>
      </c>
      <c r="I52" s="41" t="str">
        <f>+'Necesidades Trimestrales'!F50</f>
        <v>UNIDAD</v>
      </c>
      <c r="J52" s="42">
        <f>+'Necesidades Trimestrales'!H50</f>
        <v>178</v>
      </c>
      <c r="K52" s="43">
        <f>+'Necesidades Trimestrales'!G50</f>
        <v>30</v>
      </c>
    </row>
    <row r="53" spans="1:11" ht="20.25" customHeight="1" thickBot="1" x14ac:dyDescent="0.25">
      <c r="A53" s="38">
        <v>42</v>
      </c>
      <c r="B53" s="44"/>
      <c r="C53" s="129" t="str">
        <f>+'Necesidades Trimestrales'!E51</f>
        <v>MASCARA CON BOLSA RESERVORIO PEDIATRICA</v>
      </c>
      <c r="D53" s="129"/>
      <c r="E53" s="129"/>
      <c r="F53" s="129"/>
      <c r="G53" s="129"/>
      <c r="H53" s="45" t="s">
        <v>53</v>
      </c>
      <c r="I53" s="41" t="str">
        <f>+'Necesidades Trimestrales'!F51</f>
        <v>UNIDAD</v>
      </c>
      <c r="J53" s="42">
        <f>+'Necesidades Trimestrales'!H51</f>
        <v>289</v>
      </c>
      <c r="K53" s="43">
        <f>+'Necesidades Trimestrales'!G51</f>
        <v>600</v>
      </c>
    </row>
    <row r="54" spans="1:11" ht="20.25" customHeight="1" thickBot="1" x14ac:dyDescent="0.25">
      <c r="A54" s="38">
        <v>43</v>
      </c>
      <c r="B54" s="44"/>
      <c r="C54" s="129" t="str">
        <f>+'Necesidades Trimestrales'!E52</f>
        <v>MASCARA PARA NEBULIZAR PEDIATRICA COMPLETA MASCARA+PIPETA+TUBULADURA</v>
      </c>
      <c r="D54" s="129"/>
      <c r="E54" s="129"/>
      <c r="F54" s="129"/>
      <c r="G54" s="129"/>
      <c r="H54" s="45" t="s">
        <v>53</v>
      </c>
      <c r="I54" s="41" t="str">
        <f>+'Necesidades Trimestrales'!F52</f>
        <v>UNIDAD</v>
      </c>
      <c r="J54" s="42">
        <f>+'Necesidades Trimestrales'!H52</f>
        <v>135</v>
      </c>
      <c r="K54" s="43">
        <f>+'Necesidades Trimestrales'!G52</f>
        <v>500</v>
      </c>
    </row>
    <row r="55" spans="1:11" ht="20.25" customHeight="1" thickBot="1" x14ac:dyDescent="0.25">
      <c r="A55" s="38">
        <v>44</v>
      </c>
      <c r="B55" s="44"/>
      <c r="C55" s="129" t="str">
        <f>+'Necesidades Trimestrales'!E53</f>
        <v>MASCARA PERFOMAX TOTAL FACE  TALLE G PARA VNI</v>
      </c>
      <c r="D55" s="129"/>
      <c r="E55" s="129"/>
      <c r="F55" s="129"/>
      <c r="G55" s="129"/>
      <c r="H55" s="45" t="s">
        <v>53</v>
      </c>
      <c r="I55" s="41" t="str">
        <f>+'Necesidades Trimestrales'!F53</f>
        <v>UNIDAD</v>
      </c>
      <c r="J55" s="42">
        <f>+'Necesidades Trimestrales'!H53</f>
        <v>24000</v>
      </c>
      <c r="K55" s="43">
        <f>+'Necesidades Trimestrales'!G53</f>
        <v>2</v>
      </c>
    </row>
    <row r="56" spans="1:11" ht="20.25" customHeight="1" thickBot="1" x14ac:dyDescent="0.25">
      <c r="A56" s="38">
        <v>45</v>
      </c>
      <c r="B56" s="44"/>
      <c r="C56" s="129" t="str">
        <f>+'Necesidades Trimestrales'!E54</f>
        <v>MASCARA PERFOMAX TOTAL FACE  TALLE XG PARA VNI</v>
      </c>
      <c r="D56" s="129"/>
      <c r="E56" s="129"/>
      <c r="F56" s="129"/>
      <c r="G56" s="129"/>
      <c r="H56" s="45" t="s">
        <v>53</v>
      </c>
      <c r="I56" s="41" t="str">
        <f>+'Necesidades Trimestrales'!F54</f>
        <v>UNIDAD</v>
      </c>
      <c r="J56" s="42">
        <f>+'Necesidades Trimestrales'!H54</f>
        <v>24000</v>
      </c>
      <c r="K56" s="43">
        <f>+'Necesidades Trimestrales'!G54</f>
        <v>2</v>
      </c>
    </row>
    <row r="57" spans="1:11" ht="40.5" customHeight="1" thickBot="1" x14ac:dyDescent="0.25">
      <c r="A57" s="38">
        <v>46</v>
      </c>
      <c r="B57" s="44"/>
      <c r="C57" s="129" t="str">
        <f>+'Necesidades Trimestrales'!E55</f>
        <v>MASCARAS  ANESTESICA BORDE INFLABLE Nº 1 TIPO  "MERCURY"</v>
      </c>
      <c r="D57" s="129"/>
      <c r="E57" s="129"/>
      <c r="F57" s="129"/>
      <c r="G57" s="129"/>
      <c r="H57" s="45" t="s">
        <v>53</v>
      </c>
      <c r="I57" s="41" t="str">
        <f>+'Necesidades Trimestrales'!F55</f>
        <v>UNIDAD</v>
      </c>
      <c r="J57" s="42">
        <f>+'Necesidades Trimestrales'!H55</f>
        <v>2580</v>
      </c>
      <c r="K57" s="43">
        <f>+'Necesidades Trimestrales'!G55</f>
        <v>30</v>
      </c>
    </row>
    <row r="58" spans="1:11" ht="37.5" customHeight="1" thickBot="1" x14ac:dyDescent="0.25">
      <c r="A58" s="38">
        <v>47</v>
      </c>
      <c r="B58" s="44"/>
      <c r="C58" s="129" t="str">
        <f>+'Necesidades Trimestrales'!E56</f>
        <v>MASCARAS ANESTESICA BORDE INFLABLE Nº 0 TIPO  "MERCURY"</v>
      </c>
      <c r="D58" s="129"/>
      <c r="E58" s="129"/>
      <c r="F58" s="129"/>
      <c r="G58" s="129"/>
      <c r="H58" s="45" t="s">
        <v>53</v>
      </c>
      <c r="I58" s="41" t="str">
        <f>+'Necesidades Trimestrales'!F56</f>
        <v>UNIDAD</v>
      </c>
      <c r="J58" s="42">
        <f>+'Necesidades Trimestrales'!H56</f>
        <v>2580</v>
      </c>
      <c r="K58" s="43">
        <f>+'Necesidades Trimestrales'!G56</f>
        <v>20</v>
      </c>
    </row>
    <row r="59" spans="1:11" ht="43.5" customHeight="1" thickBot="1" x14ac:dyDescent="0.25">
      <c r="A59" s="38">
        <v>48</v>
      </c>
      <c r="B59" s="44"/>
      <c r="C59" s="129" t="str">
        <f>+'Necesidades Trimestrales'!E57</f>
        <v>RESUCITADOR MANUAL ADULTO REUTILIZABLE</v>
      </c>
      <c r="D59" s="129"/>
      <c r="E59" s="129"/>
      <c r="F59" s="129"/>
      <c r="G59" s="129"/>
      <c r="H59" s="45" t="s">
        <v>53</v>
      </c>
      <c r="I59" s="41" t="str">
        <f>+'Necesidades Trimestrales'!F57</f>
        <v>UNIDAD</v>
      </c>
      <c r="J59" s="42">
        <f>+'Necesidades Trimestrales'!H57</f>
        <v>6800</v>
      </c>
      <c r="K59" s="43">
        <f>+'Necesidades Trimestrales'!G57</f>
        <v>30</v>
      </c>
    </row>
    <row r="60" spans="1:11" ht="39.75" customHeight="1" thickBot="1" x14ac:dyDescent="0.25">
      <c r="A60" s="38">
        <v>49</v>
      </c>
      <c r="B60" s="44"/>
      <c r="C60" s="129" t="str">
        <f>+'Necesidades Trimestrales'!E58</f>
        <v xml:space="preserve">RESUCITADOR MANUAL PEDIATRICO REUTILIZABLE </v>
      </c>
      <c r="D60" s="129"/>
      <c r="E60" s="129"/>
      <c r="F60" s="129"/>
      <c r="G60" s="129"/>
      <c r="H60" s="45" t="s">
        <v>53</v>
      </c>
      <c r="I60" s="41" t="str">
        <f>+'Necesidades Trimestrales'!F58</f>
        <v>UNIDAD</v>
      </c>
      <c r="J60" s="42">
        <f>+'Necesidades Trimestrales'!H58</f>
        <v>6200</v>
      </c>
      <c r="K60" s="43">
        <f>+'Necesidades Trimestrales'!G58</f>
        <v>30</v>
      </c>
    </row>
    <row r="61" spans="1:11" ht="27" customHeight="1" thickBot="1" x14ac:dyDescent="0.25">
      <c r="A61" s="38">
        <v>50</v>
      </c>
      <c r="B61" s="44"/>
      <c r="C61" s="129" t="str">
        <f>+'Necesidades Trimestrales'!E59</f>
        <v xml:space="preserve">TUBO CONECTOR EN  T </v>
      </c>
      <c r="D61" s="129"/>
      <c r="E61" s="129"/>
      <c r="F61" s="129"/>
      <c r="G61" s="129"/>
      <c r="H61" s="45" t="s">
        <v>53</v>
      </c>
      <c r="I61" s="41" t="str">
        <f>+'Necesidades Trimestrales'!F59</f>
        <v>UNIDAD</v>
      </c>
      <c r="J61" s="42">
        <f>+'Necesidades Trimestrales'!H59</f>
        <v>310</v>
      </c>
      <c r="K61" s="43">
        <f>+'Necesidades Trimestrales'!G59</f>
        <v>10</v>
      </c>
    </row>
    <row r="62" spans="1:11" ht="20.25" customHeight="1" thickBot="1" x14ac:dyDescent="0.25">
      <c r="A62" s="38">
        <v>51</v>
      </c>
      <c r="B62" s="44"/>
      <c r="C62" s="129" t="str">
        <f>+'Necesidades Trimestrales'!E60</f>
        <v>TUBO CONECTOR EN  Y</v>
      </c>
      <c r="D62" s="129"/>
      <c r="E62" s="129"/>
      <c r="F62" s="129"/>
      <c r="G62" s="129"/>
      <c r="H62" s="45" t="s">
        <v>53</v>
      </c>
      <c r="I62" s="41" t="str">
        <f>+'Necesidades Trimestrales'!F60</f>
        <v>UNIDAD</v>
      </c>
      <c r="J62" s="42">
        <f>+'Necesidades Trimestrales'!H60</f>
        <v>310</v>
      </c>
      <c r="K62" s="43">
        <f>+'Necesidades Trimestrales'!G60</f>
        <v>10</v>
      </c>
    </row>
    <row r="63" spans="1:11" ht="20.25" customHeight="1" thickBot="1" x14ac:dyDescent="0.25">
      <c r="A63" s="38">
        <v>52</v>
      </c>
      <c r="B63" s="44"/>
      <c r="C63" s="129" t="str">
        <f>+'Necesidades Trimestrales'!E61</f>
        <v>VARA ESCHMANN N° 6 mm</v>
      </c>
      <c r="D63" s="129"/>
      <c r="E63" s="129"/>
      <c r="F63" s="129"/>
      <c r="G63" s="129"/>
      <c r="H63" s="45" t="s">
        <v>53</v>
      </c>
      <c r="I63" s="41" t="str">
        <f>+'Necesidades Trimestrales'!F61</f>
        <v>UNIDAD</v>
      </c>
      <c r="J63" s="42">
        <f>+'Necesidades Trimestrales'!H61</f>
        <v>1923.61</v>
      </c>
      <c r="K63" s="43">
        <f>+'Necesidades Trimestrales'!G61</f>
        <v>10</v>
      </c>
    </row>
    <row r="64" spans="1:11" ht="27.75" customHeight="1" thickBot="1" x14ac:dyDescent="0.25">
      <c r="A64" s="38">
        <v>53</v>
      </c>
      <c r="B64" s="44"/>
      <c r="C64" s="129" t="str">
        <f>+'Necesidades Trimestrales'!E62</f>
        <v>VARA ESCHMANN N° 9 mm</v>
      </c>
      <c r="D64" s="129"/>
      <c r="E64" s="129"/>
      <c r="F64" s="129"/>
      <c r="G64" s="129"/>
      <c r="H64" s="45" t="s">
        <v>53</v>
      </c>
      <c r="I64" s="41" t="str">
        <f>+'Necesidades Trimestrales'!F62</f>
        <v>UNIDAD</v>
      </c>
      <c r="J64" s="42">
        <f>+'Necesidades Trimestrales'!H62</f>
        <v>1923.61</v>
      </c>
      <c r="K64" s="43">
        <f>+'Necesidades Trimestrales'!G62</f>
        <v>10</v>
      </c>
    </row>
    <row r="65" spans="1:11" ht="29.25" customHeight="1" thickBot="1" x14ac:dyDescent="0.25">
      <c r="A65" s="38">
        <v>54</v>
      </c>
      <c r="B65" s="44"/>
      <c r="C65" s="129" t="str">
        <f>+'Necesidades Trimestrales'!E63</f>
        <v>VARA ESCHMANN N°11 mm</v>
      </c>
      <c r="D65" s="129"/>
      <c r="E65" s="129"/>
      <c r="F65" s="129"/>
      <c r="G65" s="129"/>
      <c r="H65" s="45" t="s">
        <v>53</v>
      </c>
      <c r="I65" s="41" t="str">
        <f>+'Necesidades Trimestrales'!F63</f>
        <v>UNIDAD</v>
      </c>
      <c r="J65" s="42">
        <f>+'Necesidades Trimestrales'!H63</f>
        <v>1923.61</v>
      </c>
      <c r="K65" s="43">
        <f>+'Necesidades Trimestrales'!G63</f>
        <v>10</v>
      </c>
    </row>
    <row r="66" spans="1:11" ht="20.25" customHeight="1" thickBot="1" x14ac:dyDescent="0.25">
      <c r="A66" s="127" t="s">
        <v>126</v>
      </c>
      <c r="B66" s="127"/>
      <c r="C66" s="127"/>
      <c r="D66" s="127"/>
      <c r="E66" s="127"/>
      <c r="F66" s="127"/>
      <c r="G66" s="127"/>
      <c r="H66" s="127"/>
      <c r="I66" s="127"/>
      <c r="J66" s="128">
        <f>SUMPRODUCT(J12:J65,K12:K65)</f>
        <v>7526693.2999999989</v>
      </c>
      <c r="K66" s="128"/>
    </row>
    <row r="67" spans="1:11" ht="15" x14ac:dyDescent="0.2">
      <c r="J67" s="103"/>
    </row>
  </sheetData>
  <mergeCells count="76">
    <mergeCell ref="C31:G31"/>
    <mergeCell ref="C56:G56"/>
    <mergeCell ref="C57:G57"/>
    <mergeCell ref="C58:G58"/>
    <mergeCell ref="C59:G59"/>
    <mergeCell ref="C36:G36"/>
    <mergeCell ref="C37:G37"/>
    <mergeCell ref="C38:G38"/>
    <mergeCell ref="C39:G39"/>
    <mergeCell ref="C40:G40"/>
    <mergeCell ref="C47:G47"/>
    <mergeCell ref="C48:G48"/>
    <mergeCell ref="C49:G49"/>
    <mergeCell ref="C50:G50"/>
    <mergeCell ref="C41:G41"/>
    <mergeCell ref="C42:G42"/>
    <mergeCell ref="C18:G18"/>
    <mergeCell ref="C19:G19"/>
    <mergeCell ref="C20:G20"/>
    <mergeCell ref="C21:G21"/>
    <mergeCell ref="C22:G22"/>
    <mergeCell ref="C13:G13"/>
    <mergeCell ref="C14:G14"/>
    <mergeCell ref="C15:G15"/>
    <mergeCell ref="C16:G16"/>
    <mergeCell ref="C17:G17"/>
    <mergeCell ref="C32:G32"/>
    <mergeCell ref="C33:G33"/>
    <mergeCell ref="C34:G34"/>
    <mergeCell ref="C35:G35"/>
    <mergeCell ref="C46:G46"/>
    <mergeCell ref="C44:G44"/>
    <mergeCell ref="C45:G45"/>
    <mergeCell ref="C43:G43"/>
    <mergeCell ref="C51:G51"/>
    <mergeCell ref="C52:G52"/>
    <mergeCell ref="C53:G53"/>
    <mergeCell ref="C54:G54"/>
    <mergeCell ref="C55:G55"/>
    <mergeCell ref="C26:G26"/>
    <mergeCell ref="C27:G27"/>
    <mergeCell ref="C28:G28"/>
    <mergeCell ref="C29:G29"/>
    <mergeCell ref="C30:G30"/>
    <mergeCell ref="C61:G61"/>
    <mergeCell ref="C62:G62"/>
    <mergeCell ref="C63:G63"/>
    <mergeCell ref="C64:G64"/>
    <mergeCell ref="C65:G65"/>
    <mergeCell ref="A66:I66"/>
    <mergeCell ref="J66:K66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3:G23"/>
    <mergeCell ref="C24:G24"/>
    <mergeCell ref="C25:G25"/>
    <mergeCell ref="C60:G6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zoomScale="130" zoomScaleNormal="130" workbookViewId="0">
      <selection activeCell="Q15" sqref="Q1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5" t="s">
        <v>3</v>
      </c>
      <c r="B1" s="135"/>
      <c r="C1" s="135"/>
      <c r="D1" s="136">
        <f>'Necesidades Trimestrales'!C6</f>
        <v>2022</v>
      </c>
      <c r="E1" s="136"/>
      <c r="F1" s="3"/>
      <c r="G1" s="3"/>
      <c r="H1" s="4"/>
      <c r="I1" s="4"/>
      <c r="J1" s="4"/>
      <c r="K1" s="4"/>
      <c r="L1" s="4"/>
      <c r="M1" s="4"/>
      <c r="N1" s="4"/>
      <c r="P1" s="137" t="s">
        <v>25</v>
      </c>
      <c r="Q1" s="137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7"/>
      <c r="Q2" s="137"/>
    </row>
    <row r="4" spans="1:17" s="5" customFormat="1" ht="18" customHeight="1" thickBot="1" x14ac:dyDescent="0.25">
      <c r="A4" s="138" t="s">
        <v>26</v>
      </c>
      <c r="B4" s="138"/>
      <c r="C4" s="138"/>
      <c r="D4" s="138"/>
      <c r="E4" s="138"/>
      <c r="F4" s="138"/>
      <c r="G4" s="139" t="str">
        <f>' NotaPedido'!D3</f>
        <v>040 - Ministerio de Salud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</row>
    <row r="5" spans="1:17" s="5" customFormat="1" ht="18" customHeight="1" thickBot="1" x14ac:dyDescent="0.25">
      <c r="A5" s="140" t="s">
        <v>49</v>
      </c>
      <c r="B5" s="141"/>
      <c r="C5" s="141"/>
      <c r="D5" s="141"/>
      <c r="E5" s="141"/>
      <c r="F5" s="142"/>
      <c r="G5" s="143" t="str">
        <f>' NotaPedido'!D4</f>
        <v>24 - HOPITAL DE NIÑOS EVA PERON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17" s="5" customFormat="1" ht="18" customHeight="1" thickBot="1" x14ac:dyDescent="0.25">
      <c r="A6" s="140" t="s">
        <v>27</v>
      </c>
      <c r="B6" s="141"/>
      <c r="C6" s="141"/>
      <c r="D6" s="141"/>
      <c r="E6" s="141"/>
      <c r="F6" s="142"/>
      <c r="G6" s="143" t="str">
        <f>' NotaPedido'!D5</f>
        <v>24 - HOPITAL DE NIÑOS EVA PERON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</row>
    <row r="7" spans="1:17" s="5" customFormat="1" ht="18" customHeight="1" thickBot="1" x14ac:dyDescent="0.25">
      <c r="A7" s="140" t="s">
        <v>50</v>
      </c>
      <c r="B7" s="141"/>
      <c r="C7" s="141"/>
      <c r="D7" s="141"/>
      <c r="E7" s="141"/>
      <c r="F7" s="142"/>
      <c r="G7" s="143" t="str">
        <f>' NotaPedido'!D6</f>
        <v>24 - HOPITAL DE NIÑOS EVA PERON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</row>
    <row r="8" spans="1:17" ht="18" customHeight="1" thickBot="1" x14ac:dyDescent="0.25">
      <c r="A8" s="144" t="s">
        <v>28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7" ht="18" customHeight="1" x14ac:dyDescent="0.2">
      <c r="A9" s="145" t="s">
        <v>29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"/>
      <c r="P9" s="1"/>
      <c r="Q9" s="6"/>
    </row>
    <row r="10" spans="1:17" ht="54.75" customHeight="1" x14ac:dyDescent="0.2">
      <c r="A10" s="14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012-2022,  afectando la erogación resultante a los créditos presupuestarios aprobados a favor de esta Unidad Ejecutora, conforme al siguiente detalle: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47" t="s">
        <v>30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</row>
    <row r="13" spans="1:17" ht="15.75" customHeight="1" x14ac:dyDescent="0.2">
      <c r="A13" s="148" t="s">
        <v>31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9" t="s">
        <v>32</v>
      </c>
      <c r="P13" s="149"/>
      <c r="Q13" s="150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49"/>
      <c r="P14" s="149"/>
      <c r="Q14" s="150"/>
    </row>
    <row r="15" spans="1:17" ht="39" customHeight="1" x14ac:dyDescent="0.2">
      <c r="A15" s="98">
        <v>36</v>
      </c>
      <c r="B15" s="99"/>
      <c r="C15" s="99"/>
      <c r="D15" s="99">
        <v>1</v>
      </c>
      <c r="E15" s="99"/>
      <c r="F15" s="99">
        <v>4901</v>
      </c>
      <c r="G15" s="99">
        <v>3</v>
      </c>
      <c r="H15" s="99">
        <v>310</v>
      </c>
      <c r="I15" s="99">
        <v>2</v>
      </c>
      <c r="J15" s="99">
        <v>9</v>
      </c>
      <c r="K15" s="99">
        <v>5</v>
      </c>
      <c r="L15" s="99"/>
      <c r="M15" s="100">
        <v>1</v>
      </c>
      <c r="N15" s="101" t="s">
        <v>52</v>
      </c>
      <c r="O15" s="151" t="s">
        <v>120</v>
      </c>
      <c r="P15" s="152"/>
      <c r="Q15" s="16">
        <v>7526693.2999999998</v>
      </c>
    </row>
    <row r="16" spans="1:17" ht="17.25" customHeight="1" x14ac:dyDescent="0.2">
      <c r="A16" s="17"/>
      <c r="B16" s="18"/>
      <c r="C16" s="18"/>
      <c r="D16" s="18"/>
      <c r="E16" s="18"/>
      <c r="F16" s="20"/>
      <c r="G16" s="18"/>
      <c r="H16" s="18"/>
      <c r="I16" s="18"/>
      <c r="J16" s="18"/>
      <c r="K16" s="18"/>
      <c r="L16" s="18"/>
      <c r="M16" s="19"/>
      <c r="N16" s="20"/>
      <c r="O16" s="153"/>
      <c r="P16" s="153"/>
      <c r="Q16" s="21"/>
    </row>
    <row r="17" spans="1:20" ht="17.25" customHeight="1" x14ac:dyDescent="0.2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20"/>
      <c r="O17" s="153"/>
      <c r="P17" s="153"/>
      <c r="Q17" s="21"/>
    </row>
    <row r="18" spans="1:20" ht="17.25" customHeight="1" x14ac:dyDescent="0.2">
      <c r="A18" s="17"/>
      <c r="B18" s="18"/>
      <c r="C18" s="18"/>
      <c r="D18" s="18"/>
      <c r="E18" s="18"/>
      <c r="F18" s="20"/>
      <c r="G18" s="18"/>
      <c r="H18" s="18"/>
      <c r="I18" s="18"/>
      <c r="J18" s="18"/>
      <c r="K18" s="18"/>
      <c r="L18" s="18"/>
      <c r="M18" s="19"/>
      <c r="N18" s="20"/>
      <c r="O18" s="153"/>
      <c r="P18" s="153"/>
      <c r="Q18" s="21"/>
    </row>
    <row r="19" spans="1:20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53"/>
      <c r="P19" s="153"/>
      <c r="Q19" s="21"/>
    </row>
    <row r="20" spans="1:20" ht="17.25" customHeight="1" x14ac:dyDescent="0.2">
      <c r="A20" s="22"/>
      <c r="B20" s="23"/>
      <c r="C20" s="23"/>
      <c r="D20" s="23"/>
      <c r="E20" s="23"/>
      <c r="F20" s="24"/>
      <c r="G20" s="23"/>
      <c r="H20" s="23"/>
      <c r="I20" s="23"/>
      <c r="J20" s="23"/>
      <c r="K20" s="23"/>
      <c r="L20" s="23"/>
      <c r="M20" s="25"/>
      <c r="N20" s="26"/>
      <c r="O20" s="159"/>
      <c r="P20" s="159"/>
      <c r="Q20" s="21"/>
      <c r="R20" s="1"/>
    </row>
    <row r="21" spans="1:20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8"/>
      <c r="O21" s="160"/>
      <c r="P21" s="160"/>
      <c r="Q21" s="30"/>
    </row>
    <row r="22" spans="1:20" ht="29.25" customHeight="1" x14ac:dyDescent="0.2">
      <c r="A22" s="161" t="s">
        <v>127</v>
      </c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04">
        <f>SUM(Q15:Q21)</f>
        <v>7526693.2999999998</v>
      </c>
      <c r="S22" s="102"/>
      <c r="T22" s="105"/>
    </row>
    <row r="23" spans="1:20" ht="18" customHeight="1" thickBot="1" x14ac:dyDescent="0.25">
      <c r="A23" s="162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</row>
    <row r="24" spans="1:20" ht="17.25" customHeight="1" thickBot="1" x14ac:dyDescent="0.25">
      <c r="A24" s="154" t="s">
        <v>47</v>
      </c>
      <c r="B24" s="155"/>
      <c r="C24" s="155"/>
      <c r="D24" s="155"/>
      <c r="E24" s="155"/>
      <c r="F24" s="156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</row>
    <row r="25" spans="1:20" ht="18" customHeight="1" thickBot="1" x14ac:dyDescent="0.25">
      <c r="A25" s="158" t="s">
        <v>121</v>
      </c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</row>
    <row r="26" spans="1:20" ht="15" customHeight="1" x14ac:dyDescent="0.2">
      <c r="A26" s="158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</row>
  </sheetData>
  <mergeCells count="30"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24:F24"/>
    <mergeCell ref="G24:Q24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2022-01-31T13:29:03Z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