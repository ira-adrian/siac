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13_ncr:1_{9DD27331-3CFF-417F-A317-D7B688DC627B}" xr6:coauthVersionLast="47" xr6:coauthVersionMax="47" xr10:uidLastSave="{00000000-0000-0000-0000-000000000000}"/>
  <bookViews>
    <workbookView xWindow="-120" yWindow="-120" windowWidth="29040" windowHeight="15840" tabRatio="821" xr2:uid="{00000000-000D-0000-FFFF-FFFF00000000}"/>
  </bookViews>
  <sheets>
    <sheet name="SAF 011" sheetId="1" r:id="rId1"/>
    <sheet name="NP LABORATORIO" sheetId="2" r:id="rId2"/>
    <sheet name="APG LABORATORIO" sheetId="3" r:id="rId3"/>
    <sheet name="NP BANCO DE SANGRE" sheetId="4" r:id="rId4"/>
    <sheet name="APG BANCO DE SANGRE" sheetId="5" r:id="rId5"/>
    <sheet name="NP CUR" sheetId="6" r:id="rId6"/>
    <sheet name="APG CUR" sheetId="7" r:id="rId7"/>
    <sheet name="NP VECTORES" sheetId="8" r:id="rId8"/>
    <sheet name="APG VECTORES" sheetId="9" r:id="rId9"/>
  </sheets>
  <definedNames>
    <definedName name="_xlnm._FilterDatabase" localSheetId="0" hidden="1">'SAF 011'!$A$9:$I$9</definedName>
  </definedNames>
  <calcPr calcId="181029"/>
</workbook>
</file>

<file path=xl/calcChain.xml><?xml version="1.0" encoding="utf-8"?>
<calcChain xmlns="http://schemas.openxmlformats.org/spreadsheetml/2006/main">
  <c r="K12" i="8" l="1"/>
  <c r="K13" i="8"/>
  <c r="K14" i="8"/>
  <c r="C12" i="8"/>
  <c r="C13" i="8"/>
  <c r="C14" i="8"/>
  <c r="J12" i="8"/>
  <c r="J13" i="8"/>
  <c r="J14" i="8"/>
  <c r="I12" i="8"/>
  <c r="I13" i="8"/>
  <c r="I14" i="8"/>
  <c r="K12" i="6"/>
  <c r="K13" i="6"/>
  <c r="K14" i="6"/>
  <c r="K15" i="6"/>
  <c r="K16" i="6"/>
  <c r="K17" i="6"/>
  <c r="K18" i="6"/>
  <c r="K19" i="6"/>
  <c r="K20" i="6"/>
  <c r="K21" i="6"/>
  <c r="K22" i="6"/>
  <c r="J12" i="6"/>
  <c r="M12" i="6" s="1"/>
  <c r="J13" i="6"/>
  <c r="J14" i="6"/>
  <c r="J15" i="6"/>
  <c r="J16" i="6"/>
  <c r="J17" i="6"/>
  <c r="J18" i="6"/>
  <c r="J19" i="6"/>
  <c r="J20" i="6"/>
  <c r="J21" i="6"/>
  <c r="J22" i="6"/>
  <c r="I12" i="6"/>
  <c r="I13" i="6"/>
  <c r="I14" i="6"/>
  <c r="I15" i="6"/>
  <c r="I16" i="6"/>
  <c r="I17" i="6"/>
  <c r="I18" i="6"/>
  <c r="I19" i="6"/>
  <c r="I20" i="6"/>
  <c r="I21" i="6"/>
  <c r="I22" i="6"/>
  <c r="C12" i="6"/>
  <c r="C13" i="6"/>
  <c r="C14" i="6"/>
  <c r="C15" i="6"/>
  <c r="C16" i="6"/>
  <c r="C17" i="6"/>
  <c r="C18" i="6"/>
  <c r="C19" i="6"/>
  <c r="C20" i="6"/>
  <c r="C21" i="6"/>
  <c r="C22" i="6"/>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M13" i="8" l="1"/>
  <c r="M19" i="4"/>
  <c r="M19" i="6"/>
  <c r="M15" i="6"/>
  <c r="M20" i="6"/>
  <c r="M16" i="6"/>
  <c r="M12" i="8"/>
  <c r="M22" i="6"/>
  <c r="M18" i="6"/>
  <c r="M14" i="6"/>
  <c r="M21" i="6"/>
  <c r="M17" i="6"/>
  <c r="M13" i="6"/>
  <c r="M46" i="4"/>
  <c r="M12" i="4"/>
  <c r="M14" i="8"/>
  <c r="M17" i="4"/>
  <c r="M15" i="4"/>
  <c r="M14" i="4"/>
  <c r="M13" i="4"/>
  <c r="M52" i="4"/>
  <c r="M30" i="4"/>
  <c r="M16" i="4"/>
  <c r="M26" i="4"/>
  <c r="M53" i="4"/>
  <c r="M31" i="4"/>
  <c r="M27" i="4"/>
  <c r="M29" i="4"/>
  <c r="M24" i="4"/>
  <c r="M51" i="4"/>
  <c r="M23" i="4"/>
  <c r="M50" i="4"/>
  <c r="M49" i="4"/>
  <c r="M48" i="4"/>
  <c r="M35" i="4"/>
  <c r="M20" i="4"/>
  <c r="M43" i="4"/>
  <c r="M37" i="4"/>
  <c r="M54" i="4"/>
  <c r="M40" i="4"/>
  <c r="M34" i="4"/>
  <c r="M47" i="4"/>
  <c r="M22" i="4"/>
  <c r="M45" i="4"/>
  <c r="M39" i="4"/>
  <c r="M42" i="4"/>
  <c r="M36" i="4"/>
  <c r="M33" i="4"/>
  <c r="M25" i="4"/>
  <c r="M44" i="4"/>
  <c r="M38" i="4"/>
  <c r="M41" i="4"/>
  <c r="M32" i="4"/>
  <c r="M28" i="4"/>
  <c r="M21" i="4"/>
  <c r="M18" i="4"/>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2" i="2"/>
  <c r="J13" i="2"/>
  <c r="M13" i="2" s="1"/>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M45" i="2" s="1"/>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2"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3" i="2"/>
  <c r="C12" i="2"/>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0" i="1"/>
  <c r="M99" i="2" l="1"/>
  <c r="M79" i="2"/>
  <c r="M58" i="2"/>
  <c r="M16" i="2"/>
  <c r="M31" i="2"/>
  <c r="M98" i="2"/>
  <c r="M78" i="2"/>
  <c r="M68" i="2"/>
  <c r="M56" i="2"/>
  <c r="M43" i="2"/>
  <c r="M22" i="2"/>
  <c r="M96" i="2"/>
  <c r="M88" i="2"/>
  <c r="M66" i="2"/>
  <c r="M54" i="2"/>
  <c r="M41" i="2"/>
  <c r="M28" i="2"/>
  <c r="M95" i="2"/>
  <c r="M87" i="2"/>
  <c r="M65" i="2"/>
  <c r="M93" i="2"/>
  <c r="M51" i="2"/>
  <c r="M25" i="2"/>
  <c r="M92" i="2"/>
  <c r="M76" i="2"/>
  <c r="M38" i="2"/>
  <c r="M86" i="2"/>
  <c r="M75" i="2"/>
  <c r="M37" i="2"/>
  <c r="M101" i="2"/>
  <c r="M81" i="2"/>
  <c r="M21" i="2"/>
  <c r="M20" i="2"/>
  <c r="M70" i="2"/>
  <c r="M60" i="2"/>
  <c r="M47" i="2"/>
  <c r="M33" i="2"/>
  <c r="M100" i="2"/>
  <c r="M80" i="2"/>
  <c r="M69" i="2"/>
  <c r="M59" i="2"/>
  <c r="M46" i="2"/>
  <c r="M32" i="2"/>
  <c r="M14" i="2"/>
  <c r="M89" i="2"/>
  <c r="M57" i="2"/>
  <c r="M44" i="2"/>
  <c r="M30" i="2"/>
  <c r="M97" i="2"/>
  <c r="M77" i="2"/>
  <c r="M67" i="2"/>
  <c r="M55" i="2"/>
  <c r="M42" i="2"/>
  <c r="M29" i="2"/>
  <c r="M94" i="2"/>
  <c r="M64" i="2"/>
  <c r="M52" i="2"/>
  <c r="M39" i="2"/>
  <c r="M26" i="2"/>
  <c r="M53" i="2"/>
  <c r="M40" i="2"/>
  <c r="M27" i="2"/>
  <c r="M85" i="2"/>
  <c r="M74" i="2"/>
  <c r="M36" i="2"/>
  <c r="M19" i="2"/>
  <c r="M91" i="2"/>
  <c r="M84" i="2"/>
  <c r="M73" i="2"/>
  <c r="M63" i="2"/>
  <c r="M50" i="2"/>
  <c r="M35" i="2"/>
  <c r="M24" i="2"/>
  <c r="M103" i="2"/>
  <c r="M90" i="2"/>
  <c r="M83" i="2"/>
  <c r="M72" i="2"/>
  <c r="M62" i="2"/>
  <c r="M49" i="2"/>
  <c r="M34" i="2"/>
  <c r="M23" i="2"/>
  <c r="M18" i="2"/>
  <c r="M102" i="2"/>
  <c r="M82" i="2"/>
  <c r="M71" i="2"/>
  <c r="M61" i="2"/>
  <c r="M48" i="2"/>
  <c r="M17" i="2"/>
  <c r="M15" i="2"/>
  <c r="I147" i="1"/>
  <c r="M16" i="8" l="1"/>
  <c r="M24" i="6"/>
  <c r="M56" i="4"/>
  <c r="A41" i="9"/>
  <c r="G7" i="9"/>
  <c r="G6" i="9"/>
  <c r="D4" i="8"/>
  <c r="G5" i="9" s="1"/>
  <c r="D3" i="8"/>
  <c r="G4" i="9" s="1"/>
  <c r="A41" i="7"/>
  <c r="G7" i="7"/>
  <c r="G6" i="7"/>
  <c r="D4" i="6"/>
  <c r="G5" i="7" s="1"/>
  <c r="D3" i="6"/>
  <c r="G4" i="7" s="1"/>
  <c r="A41" i="5"/>
  <c r="G7" i="5"/>
  <c r="G6" i="5"/>
  <c r="D4" i="4"/>
  <c r="G5" i="5" s="1"/>
  <c r="D3" i="4"/>
  <c r="G4" i="5" s="1"/>
  <c r="A41" i="3"/>
  <c r="G6" i="3"/>
  <c r="G7" i="3"/>
  <c r="D4" i="2"/>
  <c r="G5" i="3" s="1"/>
  <c r="D3" i="2"/>
  <c r="G4" i="3" s="1"/>
  <c r="J56" i="4" l="1"/>
  <c r="Q15" i="5"/>
  <c r="J24" i="6"/>
  <c r="Q15" i="7"/>
  <c r="Q38" i="7" s="1"/>
  <c r="J16" i="8"/>
  <c r="Q15" i="9"/>
  <c r="M12" i="2"/>
  <c r="M105" i="2" l="1"/>
  <c r="Q15" i="3" s="1"/>
  <c r="Q38" i="3" s="1"/>
  <c r="Q38" i="9" l="1"/>
  <c r="Q38" i="5"/>
  <c r="J105" i="2"/>
</calcChain>
</file>

<file path=xl/sharedStrings.xml><?xml version="1.0" encoding="utf-8"?>
<sst xmlns="http://schemas.openxmlformats.org/spreadsheetml/2006/main" count="933" uniqueCount="245">
  <si>
    <t>Pedido de Necesidades Trimestrales</t>
  </si>
  <si>
    <t>JURISDICCION:</t>
  </si>
  <si>
    <t>040 - MINISTERIO DE SALUD</t>
  </si>
  <si>
    <t xml:space="preserve">SAF N°: </t>
  </si>
  <si>
    <t>011 - DIRECCION PROVINCIAL DE ADMINISTRACION - MINISTERIO DE SALUD</t>
  </si>
  <si>
    <t>EJERCICIO:</t>
  </si>
  <si>
    <t>TRIMESTRE:</t>
  </si>
  <si>
    <t>PRIMERO</t>
  </si>
  <si>
    <t>ID</t>
  </si>
  <si>
    <t>CODIGO ITEM</t>
  </si>
  <si>
    <t>RUBRO DE COMPRA</t>
  </si>
  <si>
    <t xml:space="preserve">I.P.P. </t>
  </si>
  <si>
    <t>DESCRIPCION</t>
  </si>
  <si>
    <t>UNIDAD DE MEDIDA</t>
  </si>
  <si>
    <t>CANTIDAD TOTAL</t>
  </si>
  <si>
    <t>PRECIO UNITARIO ESTIMADO</t>
  </si>
  <si>
    <t xml:space="preserve">IMPORTE TOTAL ESTIMADO </t>
  </si>
  <si>
    <t>ESPECIFICACION TECNICA</t>
  </si>
  <si>
    <t>UNIDAD</t>
  </si>
  <si>
    <t>CAJA</t>
  </si>
  <si>
    <t>BIDON</t>
  </si>
  <si>
    <t xml:space="preserve">UNIDAD </t>
  </si>
  <si>
    <t>BOLSA</t>
  </si>
  <si>
    <t>PROD. MEDICO/FARMACEUTICOS/LAB.</t>
  </si>
  <si>
    <t>2.5.1.</t>
  </si>
  <si>
    <t>ACEITE DE INMERSION PA 100 ML Tipo CICARELLI</t>
  </si>
  <si>
    <t>ALBUMINA AA 120 ML Tipo WIENER</t>
  </si>
  <si>
    <t>ANTI A MONOCLONAL FRASCO X 10 ML Tipo WIENER</t>
  </si>
  <si>
    <t>FRASCO</t>
  </si>
  <si>
    <t>ANTI B MONOCLONAL FRASCO X 10 ML Tipo WIENER</t>
  </si>
  <si>
    <t>ANTID (RHO) MONOCLONAL FRASCO X 10 ML Tipo WIENER</t>
  </si>
  <si>
    <t>ANTIGENO FEBRIL BRUCELLA (HUDDLESON) 1X5 ML Tipo WIENER</t>
  </si>
  <si>
    <t>APTTEST 6X25 ML (150 DET) Tipo WIENER</t>
  </si>
  <si>
    <t>ARC ANTI HBC II RGT X 100 DET.</t>
  </si>
  <si>
    <t>KIT</t>
  </si>
  <si>
    <t>ARC ANTI HCV RGT X 100 DET.</t>
  </si>
  <si>
    <t>ARC BUFFER CONCENTRADO x 4 lts</t>
  </si>
  <si>
    <t xml:space="preserve">ARC CELDAS DE REACCION </t>
  </si>
  <si>
    <t>ARC CMV M RGT X 100</t>
  </si>
  <si>
    <t>ARC HBSAG RGT X 100 DET.</t>
  </si>
  <si>
    <t>ARC HIV COMBO RGT X 100 DET.</t>
  </si>
  <si>
    <t>ARC PRE TRIGGER x 4 lts</t>
  </si>
  <si>
    <t>ARC SIFILIS RGT X 100</t>
  </si>
  <si>
    <t>ARC TRIGGER x 4 lts</t>
  </si>
  <si>
    <t>ASO LATEX 50 DET Tipo WIENER</t>
  </si>
  <si>
    <t>BILIRRUBINA STANDARD 2 FRASCOS X 5 ML Tipo WIENER</t>
  </si>
  <si>
    <t>CA COLOR ARSENAZO III AA 200 ML (4X50 ML) Tipo WIENER</t>
  </si>
  <si>
    <t>CALIBRADOR A PLUS 2 VIAL X 3 ML Tipo WIENER</t>
  </si>
  <si>
    <t>CASSETTE CALIBRADOR HEMOGLOBINA GLICOSILADA 1 U Tipo OPTI MEDICAL (USA)</t>
  </si>
  <si>
    <t>CASSETTE</t>
  </si>
  <si>
    <t>EQUIPO</t>
  </si>
  <si>
    <t>CHAGATEST ELISA RECOMBINANTE (V 4.0) 96 DET Tipo WIENER</t>
  </si>
  <si>
    <t>CHAGATEST HAI 5 TITULOS 96 DET Tipo WIENER</t>
  </si>
  <si>
    <t>COLORANTE GIEMSA 1 LITRO Tipo BIOPACK</t>
  </si>
  <si>
    <t>BOTELLA</t>
  </si>
  <si>
    <t>CONTROL HEMATOLOGICO DE 3 NIVELES BC 3D Tipo MINDRAY</t>
  </si>
  <si>
    <t>CREATININA DIRECTA 120-240 DET Tipo WIENER</t>
  </si>
  <si>
    <t>Equipos Covidar IGG x 192 deterermibaciones tipo Lemos</t>
  </si>
  <si>
    <t>EZ CLEANSER X 100 ML Tipo MINDRAY</t>
  </si>
  <si>
    <t>FOSFATASA ALCALINA OPTIMIZADA 200 DET Tipo WIENER</t>
  </si>
  <si>
    <t>FT4 SET DE CALIBRADORES 12X1 ML Tipo TOSOH</t>
  </si>
  <si>
    <t>FT4 ST REACTIVO 100 DET Tipo TOSOH</t>
  </si>
  <si>
    <t>GPT (ALT) UV AA LINEA LIQUIDA 200 ML Tipo WIENER</t>
  </si>
  <si>
    <t>HBA1C ENZYMATIC CALIBRADOR TURBIDIMETRICO 2X0.5 ML Tipo WIENER</t>
  </si>
  <si>
    <t>HBA1C ENZYMATIC CONTROL TURBIDIM 2X0,5 ML Tipo WIENER</t>
  </si>
  <si>
    <t>HBA1C ENZYMATIC LYSIS BUFFER TURBIDIM 50 ML Tipo WIENER</t>
  </si>
  <si>
    <t>HBA1C ENZYMATIC TURBIDIMETRICO 1X18 ML - 1X8 ML - 1X12 ML Tipo WIENER</t>
  </si>
  <si>
    <t>HEPATITIS B ELISA HBSAG 96 DET Tipo WIENER</t>
  </si>
  <si>
    <t xml:space="preserve">Unidad </t>
  </si>
  <si>
    <t>LDH P UV AA LINEA LIQUIDA 100 ML Tipo WIENER</t>
  </si>
  <si>
    <t>LISANTE X 500 ML Tipo MINDRAY</t>
  </si>
  <si>
    <t>M-30 DILUYENTE X 20 LTS Tipo MINDRAY</t>
  </si>
  <si>
    <t>PCR LATEX DIRECTO 50 DET Tipo WIENER</t>
  </si>
  <si>
    <t>PROBE CLEANSER X 50 ML Tipo MINDRAY</t>
  </si>
  <si>
    <t>PROTI 2 140 DET (BIURET 500 M + ALB 500 + SP) Tipo WIENER</t>
  </si>
  <si>
    <t>RINSE X 20 LTS Tipo MINDRAY</t>
  </si>
  <si>
    <t>SANGRE OCULTA 25 TIRAS Tipo BRITANIA</t>
  </si>
  <si>
    <t>SET DE SUSTRATOS II X 1000 DET Tipo TOSOH</t>
  </si>
  <si>
    <t>STANDATROL S-E 2 NIVEL 3 FRASCOS X 5 ML N1+3 FRASCOS Tipo WIENER</t>
  </si>
  <si>
    <t>TEST RAPIDO DE ANTIGENO AG JUSCHEK X 20 Un Tipo ACRO JUSCHEK (USA)</t>
  </si>
  <si>
    <t>TOXO AD 96 DET Tipo POLYCHACO</t>
  </si>
  <si>
    <t>TSH 3° GENERACION SET DE CALIBRADORES 6 NIVELES Tipo TOSOH</t>
  </si>
  <si>
    <t>TSH ST REACTIVO 100 TEST Tipo TOSOH</t>
  </si>
  <si>
    <t>VDRL TEST 250 DET Tipo WIENER</t>
  </si>
  <si>
    <t>WASH (SOLUCION CONCENTRADA DE LAVADO) 4X100 ML - 700 DET Tipo TOSOH</t>
  </si>
  <si>
    <t>WL 19 CONTROL AA 3 NIVELES 3X3 ML (BAJO-NORMAL-ALTO) Tipo WIENER</t>
  </si>
  <si>
    <t>WL 19 RINSE COUNTER AA 20 L Tipo WIENER</t>
  </si>
  <si>
    <t>TOTAL RUBRO REACTIVOS PARA LABORATORIO</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</si>
  <si>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</si>
  <si>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</si>
  <si>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</si>
  <si>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</si>
  <si>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</si>
  <si>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</si>
  <si>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</si>
  <si>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</si>
  <si>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</si>
  <si>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</si>
  <si>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</si>
  <si>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</si>
  <si>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</si>
  <si>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</si>
  <si>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</si>
  <si>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</si>
  <si>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</si>
  <si>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</si>
  <si>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</si>
  <si>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</si>
  <si>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</si>
  <si>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</si>
  <si>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</si>
  <si>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</si>
  <si>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</si>
  <si>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</si>
  <si>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</si>
  <si>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</si>
  <si>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</si>
  <si>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</si>
  <si>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</si>
  <si>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</si>
  <si>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</si>
  <si>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</si>
  <si>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</si>
  <si>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</si>
  <si>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</si>
  <si>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</si>
  <si>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</si>
  <si>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</si>
  <si>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Lugar de Entrega:</t>
  </si>
  <si>
    <t>Calidad Minima esperada</t>
  </si>
  <si>
    <t>Mantenimiento</t>
  </si>
  <si>
    <t>cuarenta y cinco (45) días</t>
  </si>
  <si>
    <t xml:space="preserve"> 03/2022</t>
  </si>
  <si>
    <t>DIRECCION PROVINCIAL DE LABORATORIO</t>
  </si>
  <si>
    <t>1° TRIMESTRE 2022</t>
  </si>
  <si>
    <t>ADQUISICION DEL RUBRO REACTIVOS PARA LABORATORIO</t>
  </si>
  <si>
    <t>Autorizo la realización de los  trámites correspondientes, a fin de proveer a  este Organismo los bienes/servicios que se detallan en Nota  de Pedido N° 03/2022 afectando la erogación resultante a los créditos presupuestarios aprobados a favor de esta Unidad Ejecutora, conforme al siguiente detalle:</t>
  </si>
  <si>
    <t>1.1</t>
  </si>
  <si>
    <t>COMPUESTOS QUIMICOS</t>
  </si>
  <si>
    <t>WL CHECK CHAGAS - 25 CASSETTES - TIPO WIENER</t>
  </si>
  <si>
    <t>DIRECCION PROVINCIAL BANCO DE SANGRE</t>
  </si>
  <si>
    <t xml:space="preserve"> 04/2022</t>
  </si>
  <si>
    <t>Autorizo la realización de los  trámites correspondientes, a fin de proveer a  este Organismo los bienes/servicios que se detallan en Nota  de Pedido N° 04/2022 afectando la erogación resultante a los créditos presupuestarios aprobados a favor de esta Unidad Ejecutora, conforme al siguiente detalle:</t>
  </si>
  <si>
    <t>DIRECCION PROVINCIAL CENTRO UNICO DE REFERENCIA</t>
  </si>
  <si>
    <t xml:space="preserve"> 02/2022</t>
  </si>
  <si>
    <t>Costo total estimado: OCHOCIENTOS CINCUENTA Y CUATRO MIL TRESCIENTOS CUARENTA CON 00/100.-</t>
  </si>
  <si>
    <t>Autorizo la realización de los  trámites correspondientes, a fin de proveer a  este Organismo los bienes/servicios que se detallan en Nota  de Pedido N° 02/2022 afectando la erogación resultante a los créditos presupuestarios aprobados a favor de esta Unidad Ejecutora, conforme al siguiente detalle:</t>
  </si>
  <si>
    <t>DIRECCION DE CONTROL DE VECTORES Y ZOONOSIS</t>
  </si>
  <si>
    <t xml:space="preserve"> 01/2022</t>
  </si>
  <si>
    <t>Autorizo la realización de los  trámites correspondientes, a fin de proveer a  este Organismo los bienes/servicios que se detallan en Nota  de Pedido N° 01/2022 afectando la erogación resultante a los créditos presupuestarios aprobados a favor de esta Unidad Ejecutora, conforme al siguiente detalle:</t>
  </si>
  <si>
    <t>ALBUMINA BOVINA TIPO WIENER</t>
  </si>
  <si>
    <t>ANTI-AB MONOCLONAL- FRASCO 10 ML TIPO WIENER</t>
  </si>
  <si>
    <t>Biozima chagas recombinante x 192 Determinaciones. Tipo Wiener</t>
  </si>
  <si>
    <t>Biozima chagas x 192 Determinaciones. Tipo Wiener</t>
  </si>
  <si>
    <t>Chagatest Elisa Lisado 96 determinaciones Tipo WIENER</t>
  </si>
  <si>
    <t>CMV CITOMEGALOVIRUS IGM  METODO ELISA 96 DET. TIPO WIENER</t>
  </si>
  <si>
    <t>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v.2 - Tipo Biorad</t>
  </si>
  <si>
    <t>Equipo para la deteccion de Anti Hb Core, por metodo de Elisa  en microplacas en equipos de 96 det. Monolisa HBc Plus - Tipo Biorad</t>
  </si>
  <si>
    <t>HEPATITIS C HCV ELISA 3º GEN. 96 DET. - TIPO WIENER</t>
  </si>
  <si>
    <t>HIV ELISA AG/AC 4° GENERACION -96 DET- TIPO WIENER</t>
  </si>
  <si>
    <t>HTLV 1 Y 2 ELISA-96DET. - TIPO WIENER</t>
  </si>
  <si>
    <t>HVC REACTIVO x 100 det - TIPO WIENER</t>
  </si>
  <si>
    <t>TOXO HAI 96 DET. - TIPO WIENER</t>
  </si>
  <si>
    <t>KIT PLASMAFERESIS TIPO GRIFOLS</t>
  </si>
  <si>
    <t>KITS PARA PLAQUETOFERESIS CON FILTRO TIPO GRIFOLS</t>
  </si>
  <si>
    <t>PANEL IDENTISERA DIANA TIPO GRIFOLS</t>
  </si>
  <si>
    <t>PANEL SARASCAN DIANA 2 TIPO GRIFOLS</t>
  </si>
  <si>
    <t>PANEL SERIGRUP A1/B TIPO GRIFOLS</t>
  </si>
  <si>
    <t>PANEL SERO cyte 0,8% TIPO GRIFOLS</t>
  </si>
  <si>
    <t>SOLUCION DG SOL X 100ML TIPO GRIFOLS</t>
  </si>
  <si>
    <t>SUERO ANTI HUMANO COOMBS TIPO GRIFOLS</t>
  </si>
  <si>
    <t>TARJETA DE GEL ABO RH 2d TIPO GRIFOLS</t>
  </si>
  <si>
    <t>TARJETA DE GEL COOMBS TIPO GRIFOLS</t>
  </si>
  <si>
    <t>TARJETA DE GEL PHENO TIPO GRIFOLS</t>
  </si>
  <si>
    <t>Pre-trigger Tipo Abott</t>
  </si>
  <si>
    <t>SARS- COV-2 Igm Control Tipo Abott</t>
  </si>
  <si>
    <t>SARS-COV-2 IgG Reactivo x 100 det Tipo Abott</t>
  </si>
  <si>
    <t>SARS-COV-2 IgM Calibrador Tipo Abott</t>
  </si>
  <si>
    <t>Trigger Tipo Abott</t>
  </si>
  <si>
    <t>Buffer Tipo Wiener</t>
  </si>
  <si>
    <t>Celdas de Reaccion Tipo Wiener</t>
  </si>
  <si>
    <t>DIR. PROV. DE LABORATORIO - CHACABUCO N° 169 - en el horario de 8:00hs a 12:00hs de lunes a viernes</t>
  </si>
  <si>
    <t>UREA COLOR 2R TIPO WIENER</t>
  </si>
  <si>
    <t xml:space="preserve">CAJA </t>
  </si>
  <si>
    <t>KingFisher TM Plastics for 96 standard and PCR formats</t>
  </si>
  <si>
    <t>KingFisher 96 tip comb for deep-well magnets, 10x10 pcs/box (for Flex, Apex and Presto)</t>
  </si>
  <si>
    <t>MagMAX TM Viral/Pathogen II (MVP) Nucleic Acid Isolation Kit</t>
  </si>
  <si>
    <t>Unidad</t>
  </si>
  <si>
    <t>veinte (20) dias habiles</t>
  </si>
  <si>
    <t>TOTAL DE PESOS: OCHOCIENTOS CINCUENTA Y CUATRO MIL TRESCIENTOS CUARENTA CON 00/100.-</t>
  </si>
  <si>
    <t>2.5.1</t>
  </si>
  <si>
    <t>ACTIVADOR caja por 9 bidones X 12 ML COBAS C311 TIPO ROCHE</t>
  </si>
  <si>
    <t>ALP2L (F. ALCALINA) C311 ROCHE</t>
  </si>
  <si>
    <t>ANTICOAGULANTE TP (CITRATO) 6 X 50 ML Tipo WIENER</t>
  </si>
  <si>
    <t>CASSETTE E-CL X 25 TEST TIPO OPTI MEDICAL</t>
  </si>
  <si>
    <t>CELL WASH SOLUTION 1 (NAOH-D BASIC WASH 1 BIDON 2X1800 ML) COBAS C311 TIPO ROCHE</t>
  </si>
  <si>
    <t>CELL WASH SOLUTION 2 (ACID WASH) (2X1800 ML) COBAS C311 TIPO ROCHE</t>
  </si>
  <si>
    <t>CELLPACK DCL (XN-550/1000) 20 LITROS TIPO SYSMEX</t>
  </si>
  <si>
    <t>CFAS LIPIDS (3X1 ML) COBAS C 311 TIPO ROCHE</t>
  </si>
  <si>
    <t>CLOT CATCHER CAJA X 250 UN COBAS B221 TIPO ROCHE</t>
  </si>
  <si>
    <t>COBAS CKNAC X 200 DET TIPO ROCHE</t>
  </si>
  <si>
    <t>COMBITROL PLUS B LEVEL 1 CAJA X 30 UN COBAS B 221 TIPO ROCHE</t>
  </si>
  <si>
    <t>COMBITROL PLUS B LEVEL 2 CAJA X 30 UN COBAS B 221 TIPO ROCHE</t>
  </si>
  <si>
    <t>COMBITROL PLUS B LEVEL 3 CAJA X 30 UN COBAS B 221 TIPO ROCHE</t>
  </si>
  <si>
    <t>CREATININA CINETICA AA LINEA LIQUIDA 250 ML (2X100 ML A + 2X25 ML B) Tipo WIENER</t>
  </si>
  <si>
    <t>D-DIMER GEN 2 CONTROL I/II (Nivel 1: 2x1 ML / Nivel 2: 2x1 ML) COBAS C311 TIPO ROCHE</t>
  </si>
  <si>
    <t>ISE CLEANING SOLUTION (ELECSYS SYSCLEAN) caja 5X100 ML COBAS C311 TIPO ROCHE</t>
  </si>
  <si>
    <t>KIT PARA TRANSCRIPTASA REVERSA QUANTINOVA PROBE RT-PCR KIT 500 REACCIONES Tipo QIAGEN GMBH</t>
  </si>
  <si>
    <t>LYSERCELL WDF (XN-550/1000) X 5 LITROS TIPO SYSMEX</t>
  </si>
  <si>
    <t>QIAprep&amp;amp Viral RNA UM kit (600) SARS-CoV-2 N1 N2 ASSY KIT (600) Tipo QIAGEN GMBH</t>
  </si>
  <si>
    <t>S1 RINSE SOLUTION CAJA X 2 BIDON COBAS B221 TIPO ROCHE</t>
  </si>
  <si>
    <t xml:space="preserve">S2 RINSE SOLUTION FLUID PACK </t>
  </si>
  <si>
    <t>S3 RINSE SOLUTION FLUID PACK A COBAS B 221 TIPO ROCHE</t>
  </si>
  <si>
    <t>SENSOR GLUCOSA-LACTATO COBAS B 221 TIPO ROCHE</t>
  </si>
  <si>
    <t>TUBO  DE GAS P/TS2 Tipo OPTI MEDICAL (USA)</t>
  </si>
  <si>
    <t>XN-CHECK CONTROL ALTO-MEDIO-BAJO (XN-550/1000) (CAJA 12X3.0 ML) TIPO SYSMEX</t>
  </si>
  <si>
    <t>VIAL</t>
  </si>
  <si>
    <t>Costo total estimado: SETENTA Y UN MILLONES TRESCIENTOS CINCUENTA Y CUATRO MIL SETECIENTOS VEINTICUATRO CON 50/100.-</t>
  </si>
  <si>
    <t>TOTAL DE PESOS: SETENTA Y UN MILLONES TRESCIENTOS CINCUENTA Y CUATRO MIL SETECIENTOS VEINTICUATRO CON 50/100.-</t>
  </si>
  <si>
    <t>Costo total estimado: TRECE MILLONES OCHOCIENTOS TREINTA Y UN MIL CUATROCIENTOS TREINTA Y UNO CON 16/100.-</t>
  </si>
  <si>
    <t>TOTAL DE PESOS: TRECE MILLONES OCHOCIENTOS TREINTA Y UN MIL CUATROCIENTOS TREINTA Y UNO CON 16/100.-</t>
  </si>
  <si>
    <t>Costo total estimado: SEISCIENTOS VEINTISEIS MIL CUATROCIENTOS TREINTA Y CINCO CON 00/100.-</t>
  </si>
  <si>
    <t>ALB2 (ALBUMINA) COBAS C311 tipo ROCHE</t>
  </si>
  <si>
    <t>CA2 (CALCIO) C311 tipo ROCHE</t>
  </si>
  <si>
    <t>CHOL2 (COLESTEROL) C311 tipo ROCHE</t>
  </si>
  <si>
    <t>CK MB2 (CPK MB) C311 tipo ROCHE</t>
  </si>
  <si>
    <t>COL-HDL C311 tipo ROCHE</t>
  </si>
  <si>
    <t>COL-LDL C311 tipo ROCHE</t>
  </si>
  <si>
    <t>CREJ2 (CREATININA) C311 tipo ROCHE</t>
  </si>
  <si>
    <t>TOTAL DE PESOS: SEISCIENTOS VEINTISEIS MIL CUATROCIENTOS TREINTA Y CINCO CON 00/100.-</t>
  </si>
  <si>
    <t>CASETTE</t>
  </si>
  <si>
    <t>GGTI2 (GAMA GT) TIPO ROCHE COBAS C311</t>
  </si>
  <si>
    <t>GLICEMIA ENZIMATICA AA LINEA LIQUIDA 1000 ML ( 4 UNIDADES X250 ML) Tipo WIENER</t>
  </si>
  <si>
    <t>GLUC3 (GLUCOSA) TIPO ROCHE  COBAS C311</t>
  </si>
  <si>
    <t>MG2 (MAGNESIO) TIPO ROCHE  COBAS C311</t>
  </si>
  <si>
    <t>NACL (CLORURO DE SODIO) TIPO ROCHE  COBAS C311</t>
  </si>
  <si>
    <t>TRIGLICERIDOS TIPO ROCHE  COBAS C311</t>
  </si>
  <si>
    <t>UREAL (UREA) TIPO ROCHE  COBAS C311</t>
  </si>
  <si>
    <t xml:space="preserve">KingFisher Plastic Consumables for SARS-CpV-2 Testing </t>
  </si>
  <si>
    <t>MAC CONTROLES 6 UNIDADES X3 ML Tipo TOSOH</t>
  </si>
  <si>
    <t>PHOS2 (FOSFORO) TIPO ROCHE  COBAS C311</t>
  </si>
  <si>
    <t>VDRL TEST-250 DET. Tipo Abott</t>
  </si>
  <si>
    <t>AGUA BIDESTILADA X 5 LITROS</t>
  </si>
  <si>
    <t>solucion ACD X 500 ML ( ANTICOAGULANTE PARA EQUIPO DE AFERESIS) TIPO GRIFOLS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</si>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</sst>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43" formatCode="_-* #,##0.00_-;\-* #,##0.00_-;_-* &quot;-&quot;??_-;_-@_-"/>
    <numFmt numFmtId="164" formatCode="_ &quot;$&quot;\ * #,##0.00_ ;_ &quot;$&quot;\ * \-#,##0.00_ ;_ &quot;$&quot;\ * &quot;-&quot;??_ ;_ @_ "/>
    <numFmt numFmtId="166" formatCode="_-[$$-2C0A]\ * #,##0.00_-;\-[$$-2C0A]\ * #,##0.00_-;_-[$$-2C0A]\ * &quot;-&quot;??_-;_-@_-"/>
    <numFmt numFmtId="167" formatCode="[$$-2C0A]\ #,##0.00"/>
    <numFmt numFmtId="168" formatCode="dd\-mm\-yy;@"/>
    <numFmt numFmtId="169" formatCode="_(\$* #,##0.00_);_(\$* \(#,##0.00\);_(\$* \-??_);_(@_)"/>
    <numFmt numFmtId="170" formatCode="[$$-2C0A]\ #,##0.00;[$$-2C0A]&quot; -&quot;#,##0.00"/>
    <numFmt numFmtId="171" formatCode="_-* #,##0.00&quot; €&quot;_-;\-* #,##0.00&quot; €&quot;_-;_-* \-??&quot; €&quot;_-;_-@_-"/>
  </numFmts>
  <fonts count="33"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color theme="1"/>
      <name val="Calibri"/>
      <family val="2"/>
      <scheme val="minor"/>
    </font>
    <font>
      <sz val="10"/>
      <name val="Arial"/>
      <family val="2"/>
    </font>
    <font>
      <b/>
      <sz val="10"/>
      <color rgb="FFFF0000"/>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b/>
      <u/>
      <sz val="10"/>
      <name val="Arial"/>
      <family val="2"/>
      <charset val="1"/>
    </font>
    <font>
      <b/>
      <sz val="10"/>
      <name val="Arial"/>
      <family val="2"/>
      <charset val="1"/>
    </font>
    <font>
      <b/>
      <sz val="15"/>
      <color rgb="FF666699"/>
      <name val="Calibri"/>
      <family val="2"/>
      <charset val="1"/>
    </font>
    <font>
      <sz val="11"/>
      <color rgb="FF993300"/>
      <name val="Calibri"/>
      <family val="2"/>
      <charset val="1"/>
    </font>
    <font>
      <sz val="11"/>
      <name val="Times New Roman"/>
      <family val="1"/>
    </font>
    <font>
      <sz val="11"/>
      <color theme="0"/>
      <name val="Calibri"/>
      <family val="2"/>
      <scheme val="minor"/>
    </font>
    <font>
      <sz val="11"/>
      <name val="Calibri"/>
      <family val="2"/>
      <scheme val="minor"/>
    </font>
    <font>
      <sz val="14"/>
      <name val="Times New Roman"/>
      <family val="1"/>
    </font>
    <font>
      <b/>
      <sz val="14"/>
      <name val="Times New Roman"/>
      <family val="1"/>
    </font>
    <font>
      <sz val="14"/>
      <color theme="1"/>
      <name val="Calibri"/>
      <family val="2"/>
      <scheme val="minor"/>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medium">
        <color indexed="64"/>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bottom style="thick">
        <color rgb="FF33CCCC"/>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3D3D3D"/>
      </left>
      <right style="medium">
        <color rgb="FF3D3D3D"/>
      </right>
      <top style="medium">
        <color auto="1"/>
      </top>
      <bottom style="medium">
        <color indexed="64"/>
      </bottom>
      <diagonal/>
    </border>
  </borders>
  <cellStyleXfs count="33">
    <xf numFmtId="0" fontId="0" fillId="0" borderId="0"/>
    <xf numFmtId="44" fontId="1" fillId="0" borderId="0" applyFont="0" applyFill="0" applyBorder="0" applyAlignment="0" applyProtection="0"/>
    <xf numFmtId="0" fontId="9" fillId="0" borderId="0"/>
    <xf numFmtId="164" fontId="9" fillId="0" borderId="0" applyBorder="0" applyAlignment="0" applyProtection="0"/>
    <xf numFmtId="0" fontId="1" fillId="0" borderId="0"/>
    <xf numFmtId="0" fontId="9" fillId="0" borderId="0"/>
    <xf numFmtId="0" fontId="9" fillId="0" borderId="0"/>
    <xf numFmtId="169" fontId="21" fillId="0" borderId="0" applyBorder="0" applyProtection="0"/>
    <xf numFmtId="0" fontId="25" fillId="0" borderId="59" applyProtection="0"/>
    <xf numFmtId="0" fontId="25" fillId="0" borderId="59" applyProtection="0"/>
    <xf numFmtId="43" fontId="1" fillId="0" borderId="0" applyFont="0" applyFill="0" applyBorder="0" applyAlignment="0" applyProtection="0"/>
    <xf numFmtId="43" fontId="1" fillId="0" borderId="0" applyFont="0" applyFill="0" applyBorder="0" applyAlignment="0" applyProtection="0"/>
    <xf numFmtId="164" fontId="9" fillId="0" borderId="0" applyBorder="0" applyAlignment="0" applyProtection="0"/>
    <xf numFmtId="171" fontId="9" fillId="0" borderId="0" applyBorder="0" applyProtection="0"/>
    <xf numFmtId="171" fontId="9" fillId="0" borderId="0" applyBorder="0" applyProtection="0"/>
    <xf numFmtId="171" fontId="9" fillId="0" borderId="0" applyBorder="0" applyProtection="0"/>
    <xf numFmtId="0" fontId="26" fillId="2" borderId="0" applyBorder="0" applyProtection="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cellStyleXfs>
  <cellXfs count="201">
    <xf numFmtId="0" fontId="0" fillId="0" borderId="0" xfId="0"/>
    <xf numFmtId="0" fontId="8" fillId="0" borderId="0" xfId="0" applyFont="1"/>
    <xf numFmtId="0" fontId="10" fillId="0" borderId="0" xfId="0" applyFont="1"/>
    <xf numFmtId="0" fontId="13" fillId="0" borderId="11" xfId="0" applyFont="1" applyBorder="1" applyAlignment="1">
      <alignment horizontal="center" vertical="center"/>
    </xf>
    <xf numFmtId="0" fontId="12" fillId="0" borderId="12" xfId="0" applyFont="1" applyBorder="1" applyAlignment="1">
      <alignment vertical="center"/>
    </xf>
    <xf numFmtId="0" fontId="12" fillId="0" borderId="13" xfId="0" applyFont="1" applyBorder="1" applyAlignment="1">
      <alignment vertical="center"/>
    </xf>
    <xf numFmtId="0" fontId="12" fillId="0" borderId="0" xfId="0" applyFont="1" applyBorder="1" applyAlignment="1">
      <alignment vertical="center"/>
    </xf>
    <xf numFmtId="0" fontId="12" fillId="0" borderId="14" xfId="0" applyFont="1" applyBorder="1" applyAlignment="1">
      <alignment vertical="center"/>
    </xf>
    <xf numFmtId="0" fontId="14" fillId="0" borderId="20" xfId="0" applyFont="1" applyBorder="1" applyAlignment="1">
      <alignment horizontal="left" vertical="center"/>
    </xf>
    <xf numFmtId="0" fontId="14" fillId="0" borderId="0" xfId="0" applyFont="1" applyBorder="1" applyAlignment="1">
      <alignment horizontal="left" vertical="center"/>
    </xf>
    <xf numFmtId="0" fontId="13" fillId="0" borderId="0" xfId="0" applyFont="1" applyBorder="1" applyAlignment="1">
      <alignment horizontal="left" vertical="center" wrapText="1" indent="1"/>
    </xf>
    <xf numFmtId="0" fontId="13" fillId="0" borderId="14" xfId="0" applyFont="1" applyBorder="1" applyAlignment="1">
      <alignment horizontal="left" vertical="center" wrapText="1" indent="1"/>
    </xf>
    <xf numFmtId="0" fontId="16" fillId="0" borderId="26" xfId="0" applyFont="1" applyBorder="1" applyAlignment="1">
      <alignment horizontal="center" vertical="center"/>
    </xf>
    <xf numFmtId="0" fontId="16"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3" fontId="17" fillId="0" borderId="27" xfId="0" applyNumberFormat="1" applyFont="1" applyBorder="1" applyAlignment="1">
      <alignment horizontal="center" vertical="center"/>
    </xf>
    <xf numFmtId="3" fontId="19" fillId="0" borderId="31" xfId="0" applyNumberFormat="1" applyFont="1" applyBorder="1" applyAlignment="1"/>
    <xf numFmtId="168" fontId="0" fillId="0" borderId="31" xfId="0" applyNumberFormat="1" applyBorder="1" applyAlignment="1">
      <alignment horizontal="left"/>
    </xf>
    <xf numFmtId="0" fontId="0" fillId="0" borderId="31" xfId="0" applyBorder="1"/>
    <xf numFmtId="0" fontId="0" fillId="0" borderId="20" xfId="0" applyBorder="1"/>
    <xf numFmtId="0" fontId="0" fillId="0" borderId="0" xfId="0" applyBorder="1"/>
    <xf numFmtId="0" fontId="0" fillId="0" borderId="0" xfId="0" applyBorder="1" applyAlignment="1">
      <alignment horizontal="left"/>
    </xf>
    <xf numFmtId="168" fontId="0" fillId="0" borderId="0" xfId="0" applyNumberFormat="1" applyBorder="1" applyAlignment="1">
      <alignment horizontal="left"/>
    </xf>
    <xf numFmtId="0" fontId="0" fillId="0" borderId="14" xfId="0" applyBorder="1"/>
    <xf numFmtId="0" fontId="0" fillId="0" borderId="12" xfId="0" applyBorder="1"/>
    <xf numFmtId="0" fontId="0" fillId="0" borderId="13" xfId="0" applyBorder="1"/>
    <xf numFmtId="0" fontId="0" fillId="0" borderId="13" xfId="0" applyBorder="1" applyAlignment="1">
      <alignment horizontal="left"/>
    </xf>
    <xf numFmtId="0" fontId="0" fillId="0" borderId="37" xfId="0" applyBorder="1"/>
    <xf numFmtId="0" fontId="24" fillId="0" borderId="40" xfId="0" applyFont="1" applyBorder="1" applyAlignment="1">
      <alignment horizontal="center" vertical="center"/>
    </xf>
    <xf numFmtId="0" fontId="24" fillId="0" borderId="41" xfId="0" applyFont="1" applyBorder="1" applyAlignment="1">
      <alignment horizontal="center" vertical="center"/>
    </xf>
    <xf numFmtId="0" fontId="24" fillId="0" borderId="41" xfId="0" applyFont="1" applyBorder="1" applyAlignment="1">
      <alignment horizontal="left" vertical="center"/>
    </xf>
    <xf numFmtId="0" fontId="24" fillId="0" borderId="42" xfId="0" applyFont="1" applyBorder="1" applyAlignment="1">
      <alignment horizontal="center" vertical="center"/>
    </xf>
    <xf numFmtId="0" fontId="24"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170" fontId="0" fillId="0" borderId="47" xfId="7" applyNumberFormat="1" applyFont="1" applyBorder="1" applyAlignment="1" applyProtection="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170" fontId="0" fillId="0" borderId="52" xfId="7" applyNumberFormat="1" applyFont="1" applyBorder="1" applyAlignment="1" applyProtection="1">
      <alignment horizontal="center" vertical="center"/>
    </xf>
    <xf numFmtId="0" fontId="22" fillId="0" borderId="48" xfId="0" applyFont="1" applyBorder="1" applyAlignment="1">
      <alignment horizontal="center" vertical="center"/>
    </xf>
    <xf numFmtId="0" fontId="22" fillId="0" borderId="49" xfId="0" applyFont="1" applyBorder="1" applyAlignment="1">
      <alignment horizontal="center" vertical="center"/>
    </xf>
    <xf numFmtId="0" fontId="0" fillId="0" borderId="51" xfId="0" applyBorder="1" applyAlignment="1">
      <alignment horizontal="center" vertical="center"/>
    </xf>
    <xf numFmtId="0" fontId="22" fillId="0" borderId="50" xfId="0" applyFont="1" applyBorder="1" applyAlignment="1">
      <alignment horizontal="center" vertical="center"/>
    </xf>
    <xf numFmtId="0" fontId="22" fillId="0" borderId="51" xfId="0" applyFont="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170" fontId="0" fillId="0" borderId="56" xfId="7" applyNumberFormat="1" applyFont="1" applyBorder="1" applyAlignment="1" applyProtection="1">
      <alignment horizontal="center" vertical="center"/>
    </xf>
    <xf numFmtId="170" fontId="24" fillId="0" borderId="58" xfId="0" applyNumberFormat="1" applyFont="1" applyBorder="1" applyAlignment="1">
      <alignment horizontal="center" vertical="center"/>
    </xf>
    <xf numFmtId="0" fontId="27" fillId="0" borderId="9" xfId="5" applyFont="1" applyFill="1" applyBorder="1" applyAlignment="1">
      <alignment horizontal="center" vertical="center" wrapText="1"/>
    </xf>
    <xf numFmtId="0" fontId="27" fillId="0" borderId="20" xfId="5" applyFont="1" applyFill="1" applyBorder="1" applyAlignment="1">
      <alignment horizontal="center" vertical="center" wrapText="1"/>
    </xf>
    <xf numFmtId="0" fontId="0" fillId="0" borderId="51" xfId="0" applyFont="1" applyBorder="1" applyAlignment="1">
      <alignment horizontal="center" vertical="center"/>
    </xf>
    <xf numFmtId="0" fontId="5" fillId="0" borderId="0" xfId="0" applyFont="1" applyFill="1" applyBorder="1" applyAlignment="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166" fontId="12" fillId="0" borderId="10" xfId="0" applyNumberFormat="1" applyFont="1" applyBorder="1" applyAlignment="1">
      <alignment horizontal="right" vertical="center"/>
    </xf>
    <xf numFmtId="166" fontId="12" fillId="0" borderId="0" xfId="0" applyNumberFormat="1" applyFont="1" applyBorder="1" applyAlignment="1">
      <alignment vertical="center"/>
    </xf>
    <xf numFmtId="166" fontId="13" fillId="0" borderId="0" xfId="0" applyNumberFormat="1" applyFont="1" applyBorder="1" applyAlignment="1">
      <alignment horizontal="left" vertical="center" wrapText="1" indent="1"/>
    </xf>
    <xf numFmtId="166" fontId="17" fillId="0" borderId="1" xfId="0" applyNumberFormat="1" applyFont="1" applyBorder="1" applyAlignment="1">
      <alignment horizontal="center" vertical="center" wrapText="1"/>
    </xf>
    <xf numFmtId="166" fontId="0" fillId="0" borderId="0" xfId="0" applyNumberFormat="1"/>
    <xf numFmtId="0" fontId="29" fillId="0" borderId="24" xfId="0" applyFont="1" applyBorder="1" applyAlignment="1">
      <alignment horizontal="center" vertical="center"/>
    </xf>
    <xf numFmtId="0" fontId="29" fillId="0" borderId="8" xfId="0" applyFont="1" applyBorder="1" applyAlignment="1">
      <alignment horizontal="left" vertical="center"/>
    </xf>
    <xf numFmtId="0" fontId="0" fillId="0" borderId="0" xfId="0" applyFont="1"/>
    <xf numFmtId="0" fontId="29" fillId="0" borderId="3" xfId="0" applyFont="1" applyBorder="1" applyAlignment="1">
      <alignment horizontal="left" vertical="center"/>
    </xf>
    <xf numFmtId="0" fontId="29" fillId="0" borderId="1" xfId="0" applyFont="1" applyBorder="1" applyAlignment="1">
      <alignment horizontal="left" vertical="center"/>
    </xf>
    <xf numFmtId="0" fontId="29" fillId="0" borderId="8" xfId="0" applyFont="1" applyBorder="1" applyAlignment="1">
      <alignment horizontal="center" vertical="center"/>
    </xf>
    <xf numFmtId="0" fontId="29" fillId="0" borderId="8" xfId="0" applyFont="1" applyBorder="1" applyAlignment="1">
      <alignment horizontal="center" vertical="center" wrapText="1"/>
    </xf>
    <xf numFmtId="166" fontId="29" fillId="0" borderId="8" xfId="0" applyNumberFormat="1" applyFont="1" applyBorder="1" applyAlignment="1">
      <alignment horizontal="center" vertical="center" wrapText="1"/>
    </xf>
    <xf numFmtId="3" fontId="29" fillId="0" borderId="25" xfId="0" applyNumberFormat="1" applyFont="1" applyBorder="1" applyAlignment="1">
      <alignment horizontal="center" vertical="center"/>
    </xf>
    <xf numFmtId="0" fontId="29" fillId="0" borderId="3" xfId="0" applyFont="1" applyBorder="1" applyAlignment="1">
      <alignment horizontal="center" vertical="center" wrapText="1"/>
    </xf>
    <xf numFmtId="166" fontId="29" fillId="0" borderId="3" xfId="0" applyNumberFormat="1" applyFont="1" applyBorder="1" applyAlignment="1">
      <alignment horizontal="center" vertical="center" wrapText="1"/>
    </xf>
    <xf numFmtId="3" fontId="29" fillId="0" borderId="65" xfId="0" applyNumberFormat="1" applyFont="1" applyBorder="1" applyAlignment="1">
      <alignment horizontal="center" vertical="center"/>
    </xf>
    <xf numFmtId="0" fontId="29" fillId="0" borderId="1" xfId="0" applyFont="1" applyBorder="1" applyAlignment="1">
      <alignment horizontal="center" vertical="center" wrapText="1"/>
    </xf>
    <xf numFmtId="166" fontId="29" fillId="0" borderId="1" xfId="0" applyNumberFormat="1" applyFont="1" applyBorder="1" applyAlignment="1">
      <alignment horizontal="center" vertical="center" wrapText="1"/>
    </xf>
    <xf numFmtId="3" fontId="29" fillId="0" borderId="27" xfId="0" applyNumberFormat="1" applyFont="1" applyBorder="1" applyAlignment="1">
      <alignment horizontal="center" vertical="center"/>
    </xf>
    <xf numFmtId="166" fontId="28" fillId="0" borderId="0" xfId="0" applyNumberFormat="1" applyFont="1"/>
    <xf numFmtId="0" fontId="28" fillId="0" borderId="0" xfId="0" applyFont="1"/>
    <xf numFmtId="0" fontId="3" fillId="0" borderId="0" xfId="5" applyFont="1" applyFill="1" applyBorder="1" applyAlignment="1">
      <alignment horizontal="left" vertical="center" wrapText="1"/>
    </xf>
    <xf numFmtId="0" fontId="29" fillId="0" borderId="3" xfId="0" applyFont="1" applyBorder="1" applyAlignment="1">
      <alignment horizontal="center" vertical="center"/>
    </xf>
    <xf numFmtId="0" fontId="29" fillId="0" borderId="3" xfId="0" applyFont="1" applyBorder="1" applyAlignment="1">
      <alignment horizontal="center" vertical="center" wrapText="1"/>
    </xf>
    <xf numFmtId="166" fontId="29" fillId="0" borderId="3" xfId="0" applyNumberFormat="1" applyFont="1" applyBorder="1" applyAlignment="1">
      <alignment horizontal="center" vertical="center" wrapText="1"/>
    </xf>
    <xf numFmtId="0" fontId="3" fillId="0" borderId="0" xfId="0" applyFont="1" applyFill="1" applyAlignment="1">
      <alignment horizontal="center" vertical="center"/>
    </xf>
    <xf numFmtId="0" fontId="0" fillId="0" borderId="0" xfId="0"/>
    <xf numFmtId="0" fontId="0" fillId="0" borderId="0" xfId="0" applyFont="1"/>
    <xf numFmtId="166" fontId="28" fillId="0" borderId="0" xfId="0" applyNumberFormat="1" applyFont="1"/>
    <xf numFmtId="0" fontId="29" fillId="0" borderId="64" xfId="0" applyFont="1" applyBorder="1" applyAlignment="1">
      <alignment horizontal="center" vertical="center"/>
    </xf>
    <xf numFmtId="0" fontId="29" fillId="0" borderId="3" xfId="0" applyFont="1" applyBorder="1" applyAlignment="1">
      <alignment horizontal="left" vertical="center"/>
    </xf>
    <xf numFmtId="3" fontId="29" fillId="0" borderId="65" xfId="0" applyNumberFormat="1" applyFont="1" applyBorder="1" applyAlignment="1">
      <alignment horizontal="center" vertical="center"/>
    </xf>
    <xf numFmtId="0" fontId="16" fillId="0" borderId="1" xfId="0" applyFont="1" applyBorder="1" applyAlignment="1">
      <alignment horizontal="left" vertical="center"/>
    </xf>
    <xf numFmtId="0" fontId="17" fillId="0" borderId="1" xfId="0" applyFont="1" applyBorder="1" applyAlignment="1">
      <alignment horizontal="center" vertical="center" wrapText="1"/>
    </xf>
    <xf numFmtId="166" fontId="17" fillId="0" borderId="1" xfId="0" applyNumberFormat="1" applyFont="1" applyBorder="1" applyAlignment="1">
      <alignment horizontal="center" vertical="center" wrapText="1"/>
    </xf>
    <xf numFmtId="3" fontId="17" fillId="0" borderId="27" xfId="0" applyNumberFormat="1" applyFont="1" applyBorder="1" applyAlignment="1">
      <alignment horizontal="center" vertical="center"/>
    </xf>
    <xf numFmtId="0" fontId="28" fillId="0" borderId="0" xfId="0" applyFont="1"/>
    <xf numFmtId="0" fontId="16" fillId="0" borderId="26" xfId="0" applyFont="1" applyBorder="1" applyAlignment="1">
      <alignment horizontal="center" vertical="center"/>
    </xf>
    <xf numFmtId="0" fontId="17" fillId="0" borderId="1" xfId="0" applyFont="1" applyBorder="1" applyAlignment="1">
      <alignment horizontal="center" vertical="center"/>
    </xf>
    <xf numFmtId="0" fontId="6"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166" fontId="8"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10" fillId="0" borderId="6" xfId="0" applyFont="1" applyFill="1" applyBorder="1" applyAlignment="1">
      <alignment horizontal="center" vertical="center"/>
    </xf>
    <xf numFmtId="166" fontId="10" fillId="0" borderId="6" xfId="0" applyNumberFormat="1" applyFont="1" applyFill="1" applyBorder="1" applyAlignment="1">
      <alignment horizontal="center" vertical="center"/>
    </xf>
    <xf numFmtId="0" fontId="0" fillId="0" borderId="0" xfId="0" applyFill="1" applyAlignment="1">
      <alignment horizontal="center" vertical="center"/>
    </xf>
    <xf numFmtId="3" fontId="3" fillId="0" borderId="1" xfId="0" applyNumberFormat="1"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3" fontId="3" fillId="0" borderId="0" xfId="0" applyNumberFormat="1" applyFont="1" applyFill="1" applyAlignment="1">
      <alignment horizontal="center" vertical="center"/>
    </xf>
    <xf numFmtId="166" fontId="3" fillId="0" borderId="0" xfId="0" applyNumberFormat="1" applyFont="1" applyFill="1" applyAlignment="1">
      <alignment horizontal="center" vertical="center"/>
    </xf>
    <xf numFmtId="166" fontId="3" fillId="0" borderId="0" xfId="1" applyNumberFormat="1" applyFont="1" applyFill="1" applyAlignment="1">
      <alignment horizontal="center" vertical="center"/>
    </xf>
    <xf numFmtId="0" fontId="0" fillId="0" borderId="0" xfId="0" applyFill="1"/>
    <xf numFmtId="3" fontId="6" fillId="0" borderId="0" xfId="0" applyNumberFormat="1" applyFont="1" applyFill="1" applyAlignment="1">
      <alignment horizontal="center" vertical="center" wrapText="1"/>
    </xf>
    <xf numFmtId="0" fontId="6" fillId="0" borderId="0" xfId="0" applyFont="1" applyFill="1" applyAlignment="1">
      <alignment horizontal="lef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3" fontId="5" fillId="0" borderId="1" xfId="0" applyNumberFormat="1" applyFont="1" applyFill="1" applyBorder="1" applyAlignment="1">
      <alignment horizontal="center" vertical="center" wrapText="1"/>
    </xf>
    <xf numFmtId="166" fontId="5" fillId="0" borderId="1" xfId="0" applyNumberFormat="1" applyFont="1" applyFill="1" applyBorder="1" applyAlignment="1">
      <alignment horizontal="center" vertical="center" wrapText="1"/>
    </xf>
    <xf numFmtId="166" fontId="4" fillId="0" borderId="1" xfId="1"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3" fontId="7" fillId="0" borderId="1" xfId="2" applyNumberFormat="1" applyFont="1" applyFill="1" applyBorder="1" applyAlignment="1">
      <alignment horizontal="center" vertical="center" wrapText="1"/>
    </xf>
    <xf numFmtId="0" fontId="8" fillId="0" borderId="1" xfId="0" applyFont="1" applyFill="1" applyBorder="1"/>
    <xf numFmtId="0" fontId="10" fillId="0" borderId="5" xfId="0" applyFont="1" applyFill="1" applyBorder="1" applyAlignment="1">
      <alignment horizontal="center" vertical="center"/>
    </xf>
    <xf numFmtId="0" fontId="10" fillId="0" borderId="6" xfId="0" applyFont="1" applyFill="1" applyBorder="1" applyAlignment="1">
      <alignment horizontal="left" vertical="center" wrapText="1"/>
    </xf>
    <xf numFmtId="3" fontId="7" fillId="0" borderId="6" xfId="2" applyNumberFormat="1" applyFont="1" applyFill="1" applyBorder="1" applyAlignment="1">
      <alignment horizontal="center" vertical="center" wrapText="1"/>
    </xf>
    <xf numFmtId="166" fontId="10" fillId="0" borderId="7" xfId="0" applyNumberFormat="1" applyFont="1" applyFill="1" applyBorder="1" applyAlignment="1">
      <alignment horizontal="center" vertical="center"/>
    </xf>
    <xf numFmtId="0" fontId="0" fillId="0" borderId="0" xfId="0" applyFill="1" applyAlignment="1">
      <alignment horizontal="left" vertical="center" wrapText="1"/>
    </xf>
    <xf numFmtId="3" fontId="0" fillId="0" borderId="0" xfId="0" applyNumberFormat="1" applyFill="1" applyAlignment="1">
      <alignment horizontal="center" vertical="center"/>
    </xf>
    <xf numFmtId="166" fontId="0" fillId="0" borderId="0" xfId="0" applyNumberFormat="1" applyFill="1" applyAlignment="1">
      <alignment horizontal="center" vertical="center"/>
    </xf>
    <xf numFmtId="0" fontId="0" fillId="0" borderId="14" xfId="0" applyFill="1" applyBorder="1" applyAlignment="1">
      <alignment horizontal="left" vertical="center" wrapText="1"/>
    </xf>
    <xf numFmtId="0" fontId="10" fillId="0" borderId="70" xfId="0" applyFont="1" applyFill="1" applyBorder="1"/>
    <xf numFmtId="0" fontId="8" fillId="0" borderId="2" xfId="0" applyFont="1" applyFill="1" applyBorder="1" applyAlignment="1">
      <alignment horizontal="center" vertical="center"/>
    </xf>
    <xf numFmtId="0" fontId="8" fillId="0" borderId="2" xfId="0" applyFont="1" applyFill="1" applyBorder="1" applyAlignment="1">
      <alignment horizontal="left" vertical="center" wrapText="1"/>
    </xf>
    <xf numFmtId="166" fontId="8" fillId="0" borderId="2" xfId="0" applyNumberFormat="1" applyFont="1" applyFill="1" applyBorder="1" applyAlignment="1">
      <alignment horizontal="center" vertical="center"/>
    </xf>
    <xf numFmtId="3" fontId="7" fillId="0" borderId="2" xfId="2" applyNumberFormat="1" applyFont="1" applyFill="1" applyBorder="1" applyAlignment="1">
      <alignment horizontal="center" vertical="center" wrapText="1"/>
    </xf>
    <xf numFmtId="0" fontId="30" fillId="0" borderId="0" xfId="0" applyFont="1" applyFill="1" applyAlignment="1">
      <alignment horizontal="center" vertical="center"/>
    </xf>
    <xf numFmtId="166" fontId="30" fillId="0" borderId="0" xfId="0" applyNumberFormat="1" applyFont="1" applyFill="1" applyAlignment="1">
      <alignment horizontal="center" vertical="center"/>
    </xf>
    <xf numFmtId="0" fontId="32" fillId="0" borderId="0" xfId="0" applyFont="1" applyFill="1"/>
    <xf numFmtId="0" fontId="32" fillId="0" borderId="0" xfId="0" applyFont="1"/>
    <xf numFmtId="0" fontId="0" fillId="0" borderId="0" xfId="0" applyFill="1" applyAlignment="1">
      <alignment vertical="center"/>
    </xf>
    <xf numFmtId="0" fontId="0" fillId="0" borderId="0" xfId="0" applyAlignment="1">
      <alignment vertical="center"/>
    </xf>
    <xf numFmtId="0" fontId="27" fillId="0" borderId="60" xfId="5" applyFont="1" applyFill="1" applyBorder="1" applyAlignment="1">
      <alignment horizontal="center" vertical="center" wrapText="1"/>
    </xf>
    <xf numFmtId="0" fontId="8" fillId="3" borderId="1" xfId="0" applyFont="1" applyFill="1" applyBorder="1" applyAlignment="1">
      <alignment horizontal="left" vertical="center" wrapText="1"/>
    </xf>
    <xf numFmtId="0" fontId="3" fillId="0" borderId="0" xfId="5" applyFont="1" applyFill="1" applyBorder="1" applyAlignment="1">
      <alignment horizontal="left" vertical="center" wrapText="1"/>
    </xf>
    <xf numFmtId="0" fontId="3" fillId="0" borderId="14" xfId="5" applyFont="1" applyFill="1" applyBorder="1" applyAlignment="1">
      <alignment horizontal="left" vertical="center" wrapText="1"/>
    </xf>
    <xf numFmtId="0" fontId="3" fillId="0" borderId="61" xfId="5" applyFont="1" applyFill="1" applyBorder="1" applyAlignment="1">
      <alignment horizontal="left" vertical="center" wrapText="1"/>
    </xf>
    <xf numFmtId="0" fontId="3" fillId="0" borderId="63" xfId="5" applyFont="1" applyFill="1" applyBorder="1" applyAlignment="1">
      <alignment horizontal="left" vertical="center" wrapText="1"/>
    </xf>
    <xf numFmtId="0" fontId="5" fillId="0" borderId="0" xfId="0" applyFont="1" applyFill="1" applyBorder="1" applyAlignment="1">
      <alignment horizontal="center" vertical="center" wrapText="1"/>
    </xf>
    <xf numFmtId="0" fontId="31" fillId="0" borderId="0" xfId="0" applyFont="1" applyFill="1" applyBorder="1" applyAlignment="1">
      <alignment horizontal="center" vertical="center"/>
    </xf>
    <xf numFmtId="0" fontId="3" fillId="0" borderId="31" xfId="5" applyFont="1" applyFill="1" applyBorder="1" applyAlignment="1">
      <alignment horizontal="left" vertical="center" wrapText="1"/>
    </xf>
    <xf numFmtId="0" fontId="3" fillId="0" borderId="62" xfId="5" applyFont="1" applyFill="1" applyBorder="1" applyAlignment="1">
      <alignment horizontal="left" vertical="center" wrapText="1"/>
    </xf>
    <xf numFmtId="0" fontId="29" fillId="0" borderId="66" xfId="0" applyFont="1" applyBorder="1" applyAlignment="1">
      <alignment horizontal="left" vertical="center" wrapText="1"/>
    </xf>
    <xf numFmtId="0" fontId="29" fillId="0" borderId="67" xfId="0" applyFont="1" applyBorder="1" applyAlignment="1">
      <alignment horizontal="left" vertical="center" wrapText="1"/>
    </xf>
    <xf numFmtId="0" fontId="29" fillId="0" borderId="4" xfId="0" applyFont="1" applyBorder="1" applyAlignment="1">
      <alignment horizontal="left" vertical="center" wrapText="1"/>
    </xf>
    <xf numFmtId="0" fontId="14" fillId="0" borderId="17" xfId="0" applyFont="1" applyBorder="1" applyAlignment="1">
      <alignment horizontal="left" vertical="center" wrapText="1"/>
    </xf>
    <xf numFmtId="0" fontId="13" fillId="0" borderId="16" xfId="0" applyFont="1" applyBorder="1" applyAlignment="1">
      <alignment horizontal="left" vertical="center" wrapText="1" indent="1"/>
    </xf>
    <xf numFmtId="0" fontId="14" fillId="0" borderId="18" xfId="0" applyFont="1" applyBorder="1" applyAlignment="1">
      <alignment horizontal="left" vertical="center"/>
    </xf>
    <xf numFmtId="0" fontId="13" fillId="0" borderId="19" xfId="0" applyFont="1" applyBorder="1" applyAlignment="1">
      <alignment horizontal="left" vertical="center" wrapText="1" indent="1"/>
    </xf>
    <xf numFmtId="0" fontId="11" fillId="0" borderId="9" xfId="0" applyFont="1" applyBorder="1" applyAlignment="1">
      <alignment horizontal="center" vertical="center"/>
    </xf>
    <xf numFmtId="0" fontId="14" fillId="0" borderId="15" xfId="0" applyFont="1" applyBorder="1" applyAlignment="1">
      <alignment horizontal="left" vertical="center" wrapText="1"/>
    </xf>
    <xf numFmtId="0" fontId="18" fillId="0" borderId="28" xfId="0" applyFont="1" applyBorder="1" applyAlignment="1">
      <alignment horizontal="left" vertical="center" wrapText="1" indent="1"/>
    </xf>
    <xf numFmtId="167" fontId="14" fillId="0" borderId="28" xfId="0" applyNumberFormat="1" applyFont="1" applyBorder="1" applyAlignment="1">
      <alignment horizontal="center" vertical="center"/>
    </xf>
    <xf numFmtId="0" fontId="14" fillId="0" borderId="1" xfId="0" applyFont="1" applyBorder="1" applyAlignment="1">
      <alignment horizontal="center" vertical="center" wrapText="1"/>
    </xf>
    <xf numFmtId="0" fontId="15" fillId="0" borderId="23" xfId="0" applyFont="1" applyBorder="1" applyAlignment="1">
      <alignment horizontal="center" vertical="center" wrapText="1"/>
    </xf>
    <xf numFmtId="0" fontId="29" fillId="0" borderId="8" xfId="0" applyFont="1" applyBorder="1" applyAlignment="1">
      <alignment horizontal="left" vertical="center" wrapText="1"/>
    </xf>
    <xf numFmtId="0" fontId="15" fillId="0" borderId="22" xfId="0" applyFont="1" applyBorder="1" applyAlignment="1">
      <alignment horizontal="center" vertical="center" wrapText="1"/>
    </xf>
    <xf numFmtId="166" fontId="15" fillId="0" borderId="22" xfId="0" applyNumberFormat="1" applyFont="1" applyBorder="1" applyAlignment="1">
      <alignment horizontal="center" vertical="center" wrapText="1"/>
    </xf>
    <xf numFmtId="0" fontId="15" fillId="0" borderId="21" xfId="0" applyFont="1" applyBorder="1" applyAlignment="1">
      <alignment horizontal="center" vertical="center"/>
    </xf>
    <xf numFmtId="0" fontId="22" fillId="0" borderId="35" xfId="0" applyFont="1" applyBorder="1" applyAlignment="1">
      <alignment horizontal="left"/>
    </xf>
    <xf numFmtId="0" fontId="0" fillId="0" borderId="29" xfId="0" applyFont="1" applyBorder="1" applyAlignment="1">
      <alignment horizontal="center"/>
    </xf>
    <xf numFmtId="3" fontId="19" fillId="0" borderId="30" xfId="0" applyNumberFormat="1" applyFont="1" applyBorder="1" applyAlignment="1">
      <alignment horizontal="center"/>
    </xf>
    <xf numFmtId="0" fontId="20" fillId="0" borderId="11" xfId="0" applyFont="1" applyBorder="1" applyAlignment="1">
      <alignment horizontal="center" vertical="center" wrapText="1"/>
    </xf>
    <xf numFmtId="0" fontId="21" fillId="0" borderId="32" xfId="0" applyFont="1" applyBorder="1"/>
    <xf numFmtId="0" fontId="22" fillId="0" borderId="33" xfId="0" applyFont="1" applyBorder="1" applyAlignment="1">
      <alignment horizontal="left" indent="1"/>
    </xf>
    <xf numFmtId="0" fontId="17" fillId="0" borderId="32" xfId="0" applyFont="1" applyBorder="1" applyAlignment="1">
      <alignment horizontal="left" vertical="center" wrapText="1"/>
    </xf>
    <xf numFmtId="0" fontId="23" fillId="0" borderId="34" xfId="0" applyFont="1" applyBorder="1" applyAlignment="1">
      <alignment horizontal="left"/>
    </xf>
    <xf numFmtId="0" fontId="0" fillId="0" borderId="51" xfId="0" applyFont="1" applyBorder="1" applyAlignment="1">
      <alignment horizontal="center" vertical="center"/>
    </xf>
    <xf numFmtId="49" fontId="22" fillId="0" borderId="36" xfId="0" applyNumberFormat="1" applyFont="1" applyBorder="1" applyAlignment="1">
      <alignment horizontal="justify" vertical="center" wrapText="1"/>
    </xf>
    <xf numFmtId="0" fontId="24" fillId="0" borderId="35" xfId="0" applyFont="1" applyBorder="1" applyAlignment="1">
      <alignment horizontal="center" vertical="center"/>
    </xf>
    <xf numFmtId="0" fontId="24" fillId="0" borderId="32" xfId="0" applyFont="1" applyBorder="1" applyAlignment="1">
      <alignment horizontal="center" vertical="center"/>
    </xf>
    <xf numFmtId="0" fontId="24" fillId="0" borderId="38" xfId="0" applyFont="1" applyBorder="1" applyAlignment="1">
      <alignment horizontal="center" vertical="center" wrapText="1"/>
    </xf>
    <xf numFmtId="0" fontId="24" fillId="0" borderId="39" xfId="0" applyFont="1" applyBorder="1" applyAlignment="1">
      <alignment horizontal="center" vertical="center"/>
    </xf>
    <xf numFmtId="0" fontId="0" fillId="0" borderId="45" xfId="0" applyFont="1" applyBorder="1" applyAlignment="1">
      <alignment horizontal="left" vertical="center" wrapText="1"/>
    </xf>
    <xf numFmtId="0" fontId="0" fillId="0" borderId="51" xfId="0" applyFont="1" applyBorder="1" applyAlignment="1">
      <alignment horizontal="left" vertical="center"/>
    </xf>
    <xf numFmtId="0" fontId="0" fillId="0" borderId="51" xfId="0" applyBorder="1" applyAlignment="1">
      <alignment horizontal="center"/>
    </xf>
    <xf numFmtId="0" fontId="19" fillId="0" borderId="16" xfId="0" applyFont="1" applyBorder="1" applyAlignment="1">
      <alignment vertical="center" wrapText="1"/>
    </xf>
    <xf numFmtId="0" fontId="22" fillId="0" borderId="39" xfId="0" applyFont="1" applyBorder="1" applyAlignment="1">
      <alignment vertical="center" wrapText="1"/>
    </xf>
    <xf numFmtId="0" fontId="22" fillId="0" borderId="28" xfId="0" applyFont="1" applyBorder="1" applyAlignment="1">
      <alignment horizontal="left" vertical="center" wrapText="1" indent="1"/>
    </xf>
    <xf numFmtId="0" fontId="0" fillId="0" borderId="51" xfId="0" applyBorder="1" applyAlignment="1">
      <alignment horizontal="left" vertical="center"/>
    </xf>
    <xf numFmtId="0" fontId="0" fillId="0" borderId="54" xfId="0" applyBorder="1" applyAlignment="1">
      <alignment horizontal="left" vertical="center"/>
    </xf>
    <xf numFmtId="0" fontId="19" fillId="0" borderId="57" xfId="0" applyFont="1" applyBorder="1" applyAlignment="1">
      <alignment horizontal="left" vertical="center" wrapText="1"/>
    </xf>
    <xf numFmtId="0" fontId="0" fillId="0" borderId="35" xfId="0" applyBorder="1"/>
    <xf numFmtId="0" fontId="15" fillId="0" borderId="19" xfId="0" applyFont="1" applyBorder="1" applyAlignment="1">
      <alignment horizontal="center" vertical="center" wrapText="1"/>
    </xf>
    <xf numFmtId="0" fontId="15" fillId="0" borderId="18" xfId="0" applyFont="1" applyBorder="1" applyAlignment="1">
      <alignment horizontal="center" vertical="center"/>
    </xf>
    <xf numFmtId="0" fontId="15" fillId="0" borderId="71" xfId="0" applyFont="1" applyBorder="1" applyAlignment="1">
      <alignment horizontal="center" vertical="center" wrapText="1"/>
    </xf>
    <xf numFmtId="166" fontId="15" fillId="0" borderId="71" xfId="0" applyNumberFormat="1" applyFont="1" applyBorder="1" applyAlignment="1">
      <alignment horizontal="center" vertical="center" wrapText="1"/>
    </xf>
    <xf numFmtId="0" fontId="29" fillId="0" borderId="68" xfId="0" applyFont="1" applyBorder="1" applyAlignment="1">
      <alignment horizontal="left" vertical="center" wrapText="1"/>
    </xf>
    <xf numFmtId="0" fontId="29" fillId="0" borderId="69" xfId="0" applyFont="1" applyBorder="1" applyAlignment="1">
      <alignment horizontal="left" vertical="center" wrapText="1"/>
    </xf>
    <xf numFmtId="0" fontId="29" fillId="0" borderId="70" xfId="0" applyFont="1" applyBorder="1" applyAlignment="1">
      <alignment horizontal="left" vertical="center" wrapText="1"/>
    </xf>
  </cellXfs>
  <cellStyles count="33">
    <cellStyle name="Encabezado 1" xfId="8" xr:uid="{00000000-0005-0000-0000-000000000000}"/>
    <cellStyle name="Encabezado 1 2" xfId="9" xr:uid="{00000000-0005-0000-0000-000001000000}"/>
    <cellStyle name="Millares 2" xfId="10" xr:uid="{00000000-0005-0000-0000-000002000000}"/>
    <cellStyle name="Millares 2 2" xfId="11" xr:uid="{00000000-0005-0000-0000-000003000000}"/>
    <cellStyle name="Moneda" xfId="1" builtinId="4"/>
    <cellStyle name="Moneda 2" xfId="3" xr:uid="{00000000-0005-0000-0000-000005000000}"/>
    <cellStyle name="Moneda 2 2" xfId="12" xr:uid="{00000000-0005-0000-0000-000006000000}"/>
    <cellStyle name="Moneda 3" xfId="13" xr:uid="{00000000-0005-0000-0000-000007000000}"/>
    <cellStyle name="Moneda 4" xfId="14" xr:uid="{00000000-0005-0000-0000-000008000000}"/>
    <cellStyle name="Moneda 5" xfId="15" xr:uid="{00000000-0005-0000-0000-000009000000}"/>
    <cellStyle name="Moneda_AUTORIZACION Y NOTA DE PEDIDO" xfId="7" xr:uid="{00000000-0005-0000-0000-00000A000000}"/>
    <cellStyle name="Neutral 1" xfId="16" xr:uid="{00000000-0005-0000-0000-00000B000000}"/>
    <cellStyle name="Normal" xfId="0" builtinId="0"/>
    <cellStyle name="Normal 2" xfId="2" xr:uid="{00000000-0005-0000-0000-00000D000000}"/>
    <cellStyle name="Normal 2 2" xfId="5" xr:uid="{00000000-0005-0000-0000-00000E000000}"/>
    <cellStyle name="Normal 3" xfId="17" xr:uid="{00000000-0005-0000-0000-00000F000000}"/>
    <cellStyle name="Normal 3 2" xfId="18" xr:uid="{00000000-0005-0000-0000-000010000000}"/>
    <cellStyle name="Normal 3 2 2" xfId="19" xr:uid="{00000000-0005-0000-0000-000011000000}"/>
    <cellStyle name="Normal 3 3" xfId="20" xr:uid="{00000000-0005-0000-0000-000012000000}"/>
    <cellStyle name="Normal 3 4" xfId="21" xr:uid="{00000000-0005-0000-0000-000013000000}"/>
    <cellStyle name="Normal 3 4 2" xfId="22" xr:uid="{00000000-0005-0000-0000-000014000000}"/>
    <cellStyle name="Normal 4" xfId="6" xr:uid="{00000000-0005-0000-0000-000015000000}"/>
    <cellStyle name="Normal 4 2" xfId="23" xr:uid="{00000000-0005-0000-0000-000016000000}"/>
    <cellStyle name="Normal 4 3" xfId="24" xr:uid="{00000000-0005-0000-0000-000017000000}"/>
    <cellStyle name="Normal 4 3 2" xfId="25" xr:uid="{00000000-0005-0000-0000-000018000000}"/>
    <cellStyle name="Normal 5" xfId="4" xr:uid="{00000000-0005-0000-0000-000019000000}"/>
    <cellStyle name="Normal 5 2" xfId="26" xr:uid="{00000000-0005-0000-0000-00001A000000}"/>
    <cellStyle name="Normal 6" xfId="27" xr:uid="{00000000-0005-0000-0000-00001B000000}"/>
    <cellStyle name="Normal 7" xfId="28" xr:uid="{00000000-0005-0000-0000-00001C000000}"/>
    <cellStyle name="Normal 8" xfId="29" xr:uid="{00000000-0005-0000-0000-00001D000000}"/>
    <cellStyle name="Normal 8 2" xfId="30" xr:uid="{00000000-0005-0000-0000-00001E000000}"/>
    <cellStyle name="Normal 8 3" xfId="31" xr:uid="{00000000-0005-0000-0000-00001F000000}"/>
    <cellStyle name="Normal 8 4" xfId="32" xr:uid="{00000000-0005-0000-0000-000020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864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57"/>
  <sheetViews>
    <sheetView tabSelected="1" topLeftCell="A112" zoomScaleNormal="100" workbookViewId="0">
      <selection activeCell="M11" sqref="M11"/>
    </sheetView>
  </sheetViews>
  <sheetFormatPr baseColWidth="10" defaultRowHeight="15" x14ac:dyDescent="0.25"/>
  <cols>
    <col min="1" max="1" width="5.42578125" style="105" bestFit="1" customWidth="1"/>
    <col min="2" max="2" width="14" style="105" bestFit="1" customWidth="1"/>
    <col min="3" max="3" width="36.5703125" style="105" customWidth="1"/>
    <col min="4" max="4" width="5.85546875" style="105" bestFit="1" customWidth="1"/>
    <col min="5" max="5" width="84.42578125" style="128" customWidth="1"/>
    <col min="6" max="6" width="8.5703125" style="105" bestFit="1" customWidth="1"/>
    <col min="7" max="7" width="9.28515625" style="129" bestFit="1" customWidth="1"/>
    <col min="8" max="8" width="18.28515625" style="130" bestFit="1" customWidth="1"/>
    <col min="9" max="9" width="16.28515625" style="130" bestFit="1" customWidth="1"/>
    <col min="10" max="10" width="22.85546875" style="112" bestFit="1" customWidth="1"/>
  </cols>
  <sheetData>
    <row r="1" spans="1:10" x14ac:dyDescent="0.25">
      <c r="A1" s="106">
        <v>2022</v>
      </c>
      <c r="B1" s="107"/>
      <c r="C1" s="85"/>
      <c r="D1" s="85"/>
      <c r="E1" s="108"/>
      <c r="F1" s="85"/>
      <c r="G1" s="109"/>
      <c r="H1" s="111"/>
      <c r="I1" s="110"/>
    </row>
    <row r="2" spans="1:10" s="140" customFormat="1" ht="18.75" x14ac:dyDescent="0.3">
      <c r="A2" s="137"/>
      <c r="B2" s="150" t="s">
        <v>0</v>
      </c>
      <c r="C2" s="150"/>
      <c r="D2" s="150"/>
      <c r="E2" s="150"/>
      <c r="F2" s="150"/>
      <c r="G2" s="150"/>
      <c r="H2" s="150"/>
      <c r="I2" s="138"/>
      <c r="J2" s="139"/>
    </row>
    <row r="3" spans="1:10" x14ac:dyDescent="0.25">
      <c r="A3" s="85"/>
      <c r="B3" s="107"/>
      <c r="C3" s="85"/>
      <c r="D3" s="85"/>
      <c r="E3" s="108"/>
      <c r="F3" s="85"/>
      <c r="G3" s="109"/>
      <c r="H3" s="111"/>
      <c r="I3" s="110"/>
    </row>
    <row r="4" spans="1:10" x14ac:dyDescent="0.25">
      <c r="A4" s="149" t="s">
        <v>1</v>
      </c>
      <c r="B4" s="149"/>
      <c r="C4" s="56" t="s">
        <v>2</v>
      </c>
      <c r="D4" s="56"/>
      <c r="E4" s="56"/>
      <c r="F4" s="99"/>
      <c r="G4" s="113"/>
      <c r="H4" s="111"/>
      <c r="I4" s="110"/>
    </row>
    <row r="5" spans="1:10" ht="15" customHeight="1" x14ac:dyDescent="0.25">
      <c r="A5" s="149" t="s">
        <v>3</v>
      </c>
      <c r="B5" s="149"/>
      <c r="C5" s="56" t="s">
        <v>4</v>
      </c>
      <c r="D5" s="56"/>
      <c r="E5" s="56"/>
      <c r="F5" s="99"/>
      <c r="G5" s="113"/>
      <c r="H5" s="111"/>
      <c r="I5" s="110"/>
    </row>
    <row r="6" spans="1:10" x14ac:dyDescent="0.25">
      <c r="A6" s="149" t="s">
        <v>5</v>
      </c>
      <c r="B6" s="149"/>
      <c r="C6" s="57">
        <v>2022</v>
      </c>
      <c r="D6" s="58"/>
      <c r="E6" s="57"/>
      <c r="F6" s="99"/>
      <c r="G6" s="113"/>
      <c r="H6" s="111"/>
      <c r="I6" s="110"/>
    </row>
    <row r="7" spans="1:10" x14ac:dyDescent="0.25">
      <c r="A7" s="149" t="s">
        <v>6</v>
      </c>
      <c r="B7" s="149"/>
      <c r="C7" s="57" t="s">
        <v>7</v>
      </c>
      <c r="D7" s="58"/>
      <c r="E7" s="57"/>
      <c r="F7" s="99"/>
      <c r="G7" s="113"/>
      <c r="H7" s="111"/>
      <c r="I7" s="110"/>
    </row>
    <row r="8" spans="1:10" x14ac:dyDescent="0.25">
      <c r="A8" s="85"/>
      <c r="B8" s="99"/>
      <c r="C8" s="99"/>
      <c r="D8" s="99"/>
      <c r="E8" s="114"/>
      <c r="F8" s="99"/>
      <c r="G8" s="113"/>
      <c r="H8" s="111"/>
      <c r="I8" s="110"/>
    </row>
    <row r="9" spans="1:10" ht="38.25" x14ac:dyDescent="0.25">
      <c r="A9" s="115" t="s">
        <v>8</v>
      </c>
      <c r="B9" s="115" t="s">
        <v>9</v>
      </c>
      <c r="C9" s="100" t="s">
        <v>10</v>
      </c>
      <c r="D9" s="115" t="s">
        <v>11</v>
      </c>
      <c r="E9" s="116" t="s">
        <v>12</v>
      </c>
      <c r="F9" s="100" t="s">
        <v>13</v>
      </c>
      <c r="G9" s="117" t="s">
        <v>14</v>
      </c>
      <c r="H9" s="119" t="s">
        <v>15</v>
      </c>
      <c r="I9" s="118" t="s">
        <v>16</v>
      </c>
      <c r="J9" s="120" t="s">
        <v>17</v>
      </c>
    </row>
    <row r="10" spans="1:10" s="1" customFormat="1" ht="12.75" x14ac:dyDescent="0.2">
      <c r="A10" s="102">
        <v>1</v>
      </c>
      <c r="B10" s="102"/>
      <c r="C10" s="102" t="s">
        <v>23</v>
      </c>
      <c r="D10" s="102" t="s">
        <v>190</v>
      </c>
      <c r="E10" s="121" t="s">
        <v>25</v>
      </c>
      <c r="F10" s="102" t="s">
        <v>28</v>
      </c>
      <c r="G10" s="122">
        <v>10</v>
      </c>
      <c r="H10" s="101">
        <v>3419</v>
      </c>
      <c r="I10" s="101">
        <f t="shared" ref="I10:I73" si="0">+G10*H10</f>
        <v>34190</v>
      </c>
      <c r="J10" s="123"/>
    </row>
    <row r="11" spans="1:10" s="1" customFormat="1" ht="12.75" x14ac:dyDescent="0.2">
      <c r="A11" s="102">
        <v>2</v>
      </c>
      <c r="B11" s="102"/>
      <c r="C11" s="102" t="s">
        <v>23</v>
      </c>
      <c r="D11" s="102" t="s">
        <v>190</v>
      </c>
      <c r="E11" s="121" t="s">
        <v>191</v>
      </c>
      <c r="F11" s="102" t="s">
        <v>19</v>
      </c>
      <c r="G11" s="122">
        <v>2</v>
      </c>
      <c r="H11" s="101">
        <v>18758</v>
      </c>
      <c r="I11" s="101">
        <f t="shared" si="0"/>
        <v>37516</v>
      </c>
      <c r="J11" s="123"/>
    </row>
    <row r="12" spans="1:10" s="1" customFormat="1" ht="12.75" x14ac:dyDescent="0.2">
      <c r="A12" s="102">
        <v>3</v>
      </c>
      <c r="B12" s="102"/>
      <c r="C12" s="102" t="s">
        <v>23</v>
      </c>
      <c r="D12" s="102" t="s">
        <v>24</v>
      </c>
      <c r="E12" s="144" t="s">
        <v>242</v>
      </c>
      <c r="F12" s="102" t="s">
        <v>20</v>
      </c>
      <c r="G12" s="122">
        <v>10</v>
      </c>
      <c r="H12" s="101">
        <v>574</v>
      </c>
      <c r="I12" s="101">
        <f t="shared" si="0"/>
        <v>5740</v>
      </c>
      <c r="J12" s="123"/>
    </row>
    <row r="13" spans="1:10" s="1" customFormat="1" ht="12.75" x14ac:dyDescent="0.2">
      <c r="A13" s="102">
        <v>4</v>
      </c>
      <c r="B13" s="102"/>
      <c r="C13" s="102" t="s">
        <v>23</v>
      </c>
      <c r="D13" s="102" t="s">
        <v>190</v>
      </c>
      <c r="E13" s="121" t="s">
        <v>222</v>
      </c>
      <c r="F13" s="102" t="s">
        <v>18</v>
      </c>
      <c r="G13" s="122">
        <v>5</v>
      </c>
      <c r="H13" s="101">
        <v>2452</v>
      </c>
      <c r="I13" s="101">
        <f t="shared" si="0"/>
        <v>12260</v>
      </c>
      <c r="J13" s="123"/>
    </row>
    <row r="14" spans="1:10" s="1" customFormat="1" ht="12.75" x14ac:dyDescent="0.2">
      <c r="A14" s="102">
        <v>5</v>
      </c>
      <c r="B14" s="102"/>
      <c r="C14" s="102" t="s">
        <v>23</v>
      </c>
      <c r="D14" s="102" t="s">
        <v>190</v>
      </c>
      <c r="E14" s="121" t="s">
        <v>26</v>
      </c>
      <c r="F14" s="102" t="s">
        <v>18</v>
      </c>
      <c r="G14" s="122">
        <v>15</v>
      </c>
      <c r="H14" s="101">
        <v>745</v>
      </c>
      <c r="I14" s="101">
        <f t="shared" si="0"/>
        <v>11175</v>
      </c>
      <c r="J14" s="123"/>
    </row>
    <row r="15" spans="1:10" s="1" customFormat="1" ht="12.75" x14ac:dyDescent="0.2">
      <c r="A15" s="102">
        <v>6</v>
      </c>
      <c r="B15" s="102"/>
      <c r="C15" s="102" t="s">
        <v>23</v>
      </c>
      <c r="D15" s="102" t="s">
        <v>24</v>
      </c>
      <c r="E15" s="121" t="s">
        <v>150</v>
      </c>
      <c r="F15" s="102" t="s">
        <v>18</v>
      </c>
      <c r="G15" s="122">
        <v>12</v>
      </c>
      <c r="H15" s="101">
        <v>1251</v>
      </c>
      <c r="I15" s="101">
        <f t="shared" si="0"/>
        <v>15012</v>
      </c>
      <c r="J15" s="123"/>
    </row>
    <row r="16" spans="1:10" s="1" customFormat="1" ht="12.75" x14ac:dyDescent="0.2">
      <c r="A16" s="102">
        <v>7</v>
      </c>
      <c r="B16" s="102"/>
      <c r="C16" s="102" t="s">
        <v>23</v>
      </c>
      <c r="D16" s="102" t="s">
        <v>190</v>
      </c>
      <c r="E16" s="121" t="s">
        <v>192</v>
      </c>
      <c r="F16" s="102" t="s">
        <v>18</v>
      </c>
      <c r="G16" s="122">
        <v>8</v>
      </c>
      <c r="H16" s="101">
        <v>10621</v>
      </c>
      <c r="I16" s="101">
        <f t="shared" si="0"/>
        <v>84968</v>
      </c>
      <c r="J16" s="123"/>
    </row>
    <row r="17" spans="1:10" s="1" customFormat="1" ht="12.75" x14ac:dyDescent="0.2">
      <c r="A17" s="102">
        <v>8</v>
      </c>
      <c r="B17" s="102"/>
      <c r="C17" s="102" t="s">
        <v>23</v>
      </c>
      <c r="D17" s="102" t="s">
        <v>190</v>
      </c>
      <c r="E17" s="121" t="s">
        <v>27</v>
      </c>
      <c r="F17" s="102" t="s">
        <v>28</v>
      </c>
      <c r="G17" s="122">
        <v>130</v>
      </c>
      <c r="H17" s="101">
        <v>1328</v>
      </c>
      <c r="I17" s="101">
        <f t="shared" si="0"/>
        <v>172640</v>
      </c>
      <c r="J17" s="123"/>
    </row>
    <row r="18" spans="1:10" s="1" customFormat="1" ht="12.75" x14ac:dyDescent="0.2">
      <c r="A18" s="102">
        <v>9</v>
      </c>
      <c r="B18" s="102"/>
      <c r="C18" s="102" t="s">
        <v>23</v>
      </c>
      <c r="D18" s="102" t="s">
        <v>190</v>
      </c>
      <c r="E18" s="121" t="s">
        <v>29</v>
      </c>
      <c r="F18" s="102" t="s">
        <v>28</v>
      </c>
      <c r="G18" s="122">
        <v>120</v>
      </c>
      <c r="H18" s="101">
        <v>1328</v>
      </c>
      <c r="I18" s="101">
        <f t="shared" si="0"/>
        <v>159360</v>
      </c>
      <c r="J18" s="123"/>
    </row>
    <row r="19" spans="1:10" s="1" customFormat="1" ht="12.75" x14ac:dyDescent="0.2">
      <c r="A19" s="102">
        <v>10</v>
      </c>
      <c r="B19" s="102"/>
      <c r="C19" s="102" t="s">
        <v>23</v>
      </c>
      <c r="D19" s="102" t="s">
        <v>24</v>
      </c>
      <c r="E19" s="121" t="s">
        <v>151</v>
      </c>
      <c r="F19" s="102" t="s">
        <v>28</v>
      </c>
      <c r="G19" s="122">
        <v>100</v>
      </c>
      <c r="H19" s="101">
        <v>888</v>
      </c>
      <c r="I19" s="101">
        <f t="shared" si="0"/>
        <v>88800</v>
      </c>
      <c r="J19" s="123"/>
    </row>
    <row r="20" spans="1:10" s="1" customFormat="1" ht="12.75" x14ac:dyDescent="0.2">
      <c r="A20" s="102">
        <v>11</v>
      </c>
      <c r="B20" s="102"/>
      <c r="C20" s="102" t="s">
        <v>23</v>
      </c>
      <c r="D20" s="102" t="s">
        <v>190</v>
      </c>
      <c r="E20" s="121" t="s">
        <v>193</v>
      </c>
      <c r="F20" s="102" t="s">
        <v>28</v>
      </c>
      <c r="G20" s="122">
        <v>20</v>
      </c>
      <c r="H20" s="101">
        <v>973</v>
      </c>
      <c r="I20" s="101">
        <f t="shared" si="0"/>
        <v>19460</v>
      </c>
      <c r="J20" s="123"/>
    </row>
    <row r="21" spans="1:10" s="1" customFormat="1" ht="12.75" x14ac:dyDescent="0.2">
      <c r="A21" s="102">
        <v>12</v>
      </c>
      <c r="B21" s="102"/>
      <c r="C21" s="102" t="s">
        <v>23</v>
      </c>
      <c r="D21" s="102" t="s">
        <v>190</v>
      </c>
      <c r="E21" s="121" t="s">
        <v>30</v>
      </c>
      <c r="F21" s="102" t="s">
        <v>28</v>
      </c>
      <c r="G21" s="122">
        <v>120</v>
      </c>
      <c r="H21" s="101">
        <v>2512</v>
      </c>
      <c r="I21" s="101">
        <f t="shared" si="0"/>
        <v>301440</v>
      </c>
      <c r="J21" s="123"/>
    </row>
    <row r="22" spans="1:10" s="1" customFormat="1" ht="12.75" x14ac:dyDescent="0.2">
      <c r="A22" s="102">
        <v>13</v>
      </c>
      <c r="B22" s="102"/>
      <c r="C22" s="102" t="s">
        <v>23</v>
      </c>
      <c r="D22" s="102" t="s">
        <v>190</v>
      </c>
      <c r="E22" s="121" t="s">
        <v>31</v>
      </c>
      <c r="F22" s="102" t="s">
        <v>22</v>
      </c>
      <c r="G22" s="122">
        <v>62</v>
      </c>
      <c r="H22" s="101">
        <v>1795</v>
      </c>
      <c r="I22" s="101">
        <f t="shared" si="0"/>
        <v>111290</v>
      </c>
      <c r="J22" s="123"/>
    </row>
    <row r="23" spans="1:10" s="1" customFormat="1" ht="12.75" x14ac:dyDescent="0.2">
      <c r="A23" s="102">
        <v>14</v>
      </c>
      <c r="B23" s="102"/>
      <c r="C23" s="102" t="s">
        <v>23</v>
      </c>
      <c r="D23" s="102" t="s">
        <v>190</v>
      </c>
      <c r="E23" s="121" t="s">
        <v>32</v>
      </c>
      <c r="F23" s="102" t="s">
        <v>19</v>
      </c>
      <c r="G23" s="122">
        <v>20</v>
      </c>
      <c r="H23" s="101">
        <v>8286</v>
      </c>
      <c r="I23" s="101">
        <f t="shared" si="0"/>
        <v>165720</v>
      </c>
      <c r="J23" s="123"/>
    </row>
    <row r="24" spans="1:10" s="1" customFormat="1" ht="12.75" x14ac:dyDescent="0.2">
      <c r="A24" s="102">
        <v>15</v>
      </c>
      <c r="B24" s="102"/>
      <c r="C24" s="102" t="s">
        <v>23</v>
      </c>
      <c r="D24" s="102" t="s">
        <v>24</v>
      </c>
      <c r="E24" s="121" t="s">
        <v>33</v>
      </c>
      <c r="F24" s="102" t="s">
        <v>34</v>
      </c>
      <c r="G24" s="122">
        <v>2</v>
      </c>
      <c r="H24" s="101">
        <v>40425</v>
      </c>
      <c r="I24" s="101">
        <f t="shared" si="0"/>
        <v>80850</v>
      </c>
      <c r="J24" s="123"/>
    </row>
    <row r="25" spans="1:10" s="1" customFormat="1" ht="12.75" x14ac:dyDescent="0.2">
      <c r="A25" s="102">
        <v>16</v>
      </c>
      <c r="B25" s="102"/>
      <c r="C25" s="102" t="s">
        <v>23</v>
      </c>
      <c r="D25" s="102" t="s">
        <v>24</v>
      </c>
      <c r="E25" s="121" t="s">
        <v>35</v>
      </c>
      <c r="F25" s="102" t="s">
        <v>34</v>
      </c>
      <c r="G25" s="122">
        <v>2</v>
      </c>
      <c r="H25" s="101">
        <v>71500</v>
      </c>
      <c r="I25" s="101">
        <f t="shared" si="0"/>
        <v>143000</v>
      </c>
      <c r="J25" s="123"/>
    </row>
    <row r="26" spans="1:10" s="1" customFormat="1" ht="12.75" x14ac:dyDescent="0.2">
      <c r="A26" s="102">
        <v>17</v>
      </c>
      <c r="B26" s="102"/>
      <c r="C26" s="102" t="s">
        <v>23</v>
      </c>
      <c r="D26" s="102" t="s">
        <v>24</v>
      </c>
      <c r="E26" s="121" t="s">
        <v>36</v>
      </c>
      <c r="F26" s="102" t="s">
        <v>20</v>
      </c>
      <c r="G26" s="122">
        <v>3</v>
      </c>
      <c r="H26" s="101">
        <v>13810</v>
      </c>
      <c r="I26" s="101">
        <f t="shared" si="0"/>
        <v>41430</v>
      </c>
      <c r="J26" s="123"/>
    </row>
    <row r="27" spans="1:10" s="1" customFormat="1" ht="12.75" x14ac:dyDescent="0.2">
      <c r="A27" s="102">
        <v>18</v>
      </c>
      <c r="B27" s="102"/>
      <c r="C27" s="102" t="s">
        <v>23</v>
      </c>
      <c r="D27" s="102" t="s">
        <v>24</v>
      </c>
      <c r="E27" s="121" t="s">
        <v>37</v>
      </c>
      <c r="F27" s="102" t="s">
        <v>19</v>
      </c>
      <c r="G27" s="122">
        <v>3</v>
      </c>
      <c r="H27" s="101">
        <v>28000</v>
      </c>
      <c r="I27" s="101">
        <f t="shared" si="0"/>
        <v>84000</v>
      </c>
      <c r="J27" s="123"/>
    </row>
    <row r="28" spans="1:10" s="1" customFormat="1" ht="12.75" x14ac:dyDescent="0.2">
      <c r="A28" s="102">
        <v>19</v>
      </c>
      <c r="B28" s="102"/>
      <c r="C28" s="102" t="s">
        <v>23</v>
      </c>
      <c r="D28" s="102" t="s">
        <v>24</v>
      </c>
      <c r="E28" s="121" t="s">
        <v>38</v>
      </c>
      <c r="F28" s="102" t="s">
        <v>34</v>
      </c>
      <c r="G28" s="122">
        <v>1</v>
      </c>
      <c r="H28" s="101">
        <v>103000</v>
      </c>
      <c r="I28" s="101">
        <f t="shared" si="0"/>
        <v>103000</v>
      </c>
      <c r="J28" s="123"/>
    </row>
    <row r="29" spans="1:10" s="1" customFormat="1" ht="12.75" x14ac:dyDescent="0.2">
      <c r="A29" s="102">
        <v>20</v>
      </c>
      <c r="B29" s="102"/>
      <c r="C29" s="102" t="s">
        <v>23</v>
      </c>
      <c r="D29" s="102" t="s">
        <v>24</v>
      </c>
      <c r="E29" s="121" t="s">
        <v>39</v>
      </c>
      <c r="F29" s="102" t="s">
        <v>34</v>
      </c>
      <c r="G29" s="122">
        <v>2</v>
      </c>
      <c r="H29" s="101">
        <v>26710</v>
      </c>
      <c r="I29" s="101">
        <f t="shared" si="0"/>
        <v>53420</v>
      </c>
      <c r="J29" s="123"/>
    </row>
    <row r="30" spans="1:10" s="1" customFormat="1" ht="12.75" x14ac:dyDescent="0.2">
      <c r="A30" s="102">
        <v>21</v>
      </c>
      <c r="B30" s="102"/>
      <c r="C30" s="102" t="s">
        <v>23</v>
      </c>
      <c r="D30" s="102" t="s">
        <v>24</v>
      </c>
      <c r="E30" s="121" t="s">
        <v>40</v>
      </c>
      <c r="F30" s="102" t="s">
        <v>34</v>
      </c>
      <c r="G30" s="122">
        <v>4</v>
      </c>
      <c r="H30" s="101">
        <v>46450</v>
      </c>
      <c r="I30" s="101">
        <f t="shared" si="0"/>
        <v>185800</v>
      </c>
      <c r="J30" s="123"/>
    </row>
    <row r="31" spans="1:10" s="1" customFormat="1" ht="12.75" x14ac:dyDescent="0.2">
      <c r="A31" s="102">
        <v>22</v>
      </c>
      <c r="B31" s="102"/>
      <c r="C31" s="102" t="s">
        <v>23</v>
      </c>
      <c r="D31" s="102" t="s">
        <v>24</v>
      </c>
      <c r="E31" s="121" t="s">
        <v>41</v>
      </c>
      <c r="F31" s="102" t="s">
        <v>20</v>
      </c>
      <c r="G31" s="122">
        <v>2</v>
      </c>
      <c r="H31" s="101">
        <v>28050</v>
      </c>
      <c r="I31" s="101">
        <f t="shared" si="0"/>
        <v>56100</v>
      </c>
      <c r="J31" s="123"/>
    </row>
    <row r="32" spans="1:10" s="1" customFormat="1" ht="12.75" x14ac:dyDescent="0.2">
      <c r="A32" s="102">
        <v>23</v>
      </c>
      <c r="B32" s="102"/>
      <c r="C32" s="102" t="s">
        <v>23</v>
      </c>
      <c r="D32" s="102" t="s">
        <v>24</v>
      </c>
      <c r="E32" s="121" t="s">
        <v>42</v>
      </c>
      <c r="F32" s="102" t="s">
        <v>34</v>
      </c>
      <c r="G32" s="122">
        <v>2</v>
      </c>
      <c r="H32" s="101">
        <v>38400</v>
      </c>
      <c r="I32" s="101">
        <f t="shared" si="0"/>
        <v>76800</v>
      </c>
      <c r="J32" s="123"/>
    </row>
    <row r="33" spans="1:10" s="1" customFormat="1" ht="12.75" x14ac:dyDescent="0.2">
      <c r="A33" s="102">
        <v>24</v>
      </c>
      <c r="B33" s="102"/>
      <c r="C33" s="102" t="s">
        <v>23</v>
      </c>
      <c r="D33" s="102" t="s">
        <v>24</v>
      </c>
      <c r="E33" s="121" t="s">
        <v>43</v>
      </c>
      <c r="F33" s="102" t="s">
        <v>20</v>
      </c>
      <c r="G33" s="122">
        <v>2</v>
      </c>
      <c r="H33" s="101">
        <v>12100</v>
      </c>
      <c r="I33" s="101">
        <f t="shared" si="0"/>
        <v>24200</v>
      </c>
      <c r="J33" s="123"/>
    </row>
    <row r="34" spans="1:10" s="1" customFormat="1" ht="12.75" x14ac:dyDescent="0.2">
      <c r="A34" s="102">
        <v>25</v>
      </c>
      <c r="B34" s="102"/>
      <c r="C34" s="102" t="s">
        <v>23</v>
      </c>
      <c r="D34" s="102" t="s">
        <v>190</v>
      </c>
      <c r="E34" s="121" t="s">
        <v>44</v>
      </c>
      <c r="F34" s="102" t="s">
        <v>18</v>
      </c>
      <c r="G34" s="122">
        <v>15</v>
      </c>
      <c r="H34" s="101">
        <v>5347</v>
      </c>
      <c r="I34" s="101">
        <f t="shared" si="0"/>
        <v>80205</v>
      </c>
      <c r="J34" s="123"/>
    </row>
    <row r="35" spans="1:10" s="1" customFormat="1" ht="12.75" x14ac:dyDescent="0.2">
      <c r="A35" s="102">
        <v>26</v>
      </c>
      <c r="B35" s="102"/>
      <c r="C35" s="102" t="s">
        <v>23</v>
      </c>
      <c r="D35" s="102" t="s">
        <v>190</v>
      </c>
      <c r="E35" s="121" t="s">
        <v>45</v>
      </c>
      <c r="F35" s="102" t="s">
        <v>19</v>
      </c>
      <c r="G35" s="122">
        <v>10</v>
      </c>
      <c r="H35" s="101">
        <v>5155</v>
      </c>
      <c r="I35" s="101">
        <f t="shared" si="0"/>
        <v>51550</v>
      </c>
      <c r="J35" s="123"/>
    </row>
    <row r="36" spans="1:10" s="1" customFormat="1" ht="12.75" x14ac:dyDescent="0.2">
      <c r="A36" s="102">
        <v>27</v>
      </c>
      <c r="B36" s="102"/>
      <c r="C36" s="102" t="s">
        <v>23</v>
      </c>
      <c r="D36" s="102" t="s">
        <v>24</v>
      </c>
      <c r="E36" s="121" t="s">
        <v>152</v>
      </c>
      <c r="F36" s="102" t="s">
        <v>19</v>
      </c>
      <c r="G36" s="122">
        <v>12</v>
      </c>
      <c r="H36" s="101">
        <v>11502.26</v>
      </c>
      <c r="I36" s="101">
        <f t="shared" si="0"/>
        <v>138027.12</v>
      </c>
      <c r="J36" s="123"/>
    </row>
    <row r="37" spans="1:10" s="1" customFormat="1" ht="12.75" x14ac:dyDescent="0.2">
      <c r="A37" s="102">
        <v>28</v>
      </c>
      <c r="B37" s="102"/>
      <c r="C37" s="102" t="s">
        <v>23</v>
      </c>
      <c r="D37" s="102" t="s">
        <v>24</v>
      </c>
      <c r="E37" s="121" t="s">
        <v>153</v>
      </c>
      <c r="F37" s="102" t="s">
        <v>19</v>
      </c>
      <c r="G37" s="122">
        <v>12</v>
      </c>
      <c r="H37" s="101">
        <v>10577.85</v>
      </c>
      <c r="I37" s="101">
        <f t="shared" si="0"/>
        <v>126934.20000000001</v>
      </c>
      <c r="J37" s="123"/>
    </row>
    <row r="38" spans="1:10" s="1" customFormat="1" ht="12.75" x14ac:dyDescent="0.2">
      <c r="A38" s="102">
        <v>29</v>
      </c>
      <c r="B38" s="102"/>
      <c r="C38" s="102" t="s">
        <v>23</v>
      </c>
      <c r="D38" s="102" t="s">
        <v>24</v>
      </c>
      <c r="E38" s="121" t="s">
        <v>179</v>
      </c>
      <c r="F38" s="102" t="s">
        <v>19</v>
      </c>
      <c r="G38" s="122">
        <v>14</v>
      </c>
      <c r="H38" s="101">
        <v>8300</v>
      </c>
      <c r="I38" s="101">
        <f t="shared" si="0"/>
        <v>116200</v>
      </c>
      <c r="J38" s="123"/>
    </row>
    <row r="39" spans="1:10" s="1" customFormat="1" ht="12.75" x14ac:dyDescent="0.2">
      <c r="A39" s="102">
        <v>30</v>
      </c>
      <c r="B39" s="102"/>
      <c r="C39" s="102" t="s">
        <v>23</v>
      </c>
      <c r="D39" s="102" t="s">
        <v>190</v>
      </c>
      <c r="E39" s="121" t="s">
        <v>46</v>
      </c>
      <c r="F39" s="102" t="s">
        <v>19</v>
      </c>
      <c r="G39" s="122">
        <v>10</v>
      </c>
      <c r="H39" s="101">
        <v>3471</v>
      </c>
      <c r="I39" s="101">
        <f t="shared" si="0"/>
        <v>34710</v>
      </c>
      <c r="J39" s="123"/>
    </row>
    <row r="40" spans="1:10" s="1" customFormat="1" ht="12.75" x14ac:dyDescent="0.2">
      <c r="A40" s="102">
        <v>31</v>
      </c>
      <c r="B40" s="102"/>
      <c r="C40" s="102" t="s">
        <v>23</v>
      </c>
      <c r="D40" s="102" t="s">
        <v>190</v>
      </c>
      <c r="E40" s="121" t="s">
        <v>223</v>
      </c>
      <c r="F40" s="102" t="s">
        <v>49</v>
      </c>
      <c r="G40" s="122">
        <v>2</v>
      </c>
      <c r="H40" s="101">
        <v>5050</v>
      </c>
      <c r="I40" s="101">
        <f t="shared" si="0"/>
        <v>10100</v>
      </c>
      <c r="J40" s="123"/>
    </row>
    <row r="41" spans="1:10" s="1" customFormat="1" ht="12.75" x14ac:dyDescent="0.2">
      <c r="A41" s="102">
        <v>32</v>
      </c>
      <c r="B41" s="102"/>
      <c r="C41" s="102" t="s">
        <v>23</v>
      </c>
      <c r="D41" s="102" t="s">
        <v>190</v>
      </c>
      <c r="E41" s="121" t="s">
        <v>47</v>
      </c>
      <c r="F41" s="102" t="s">
        <v>18</v>
      </c>
      <c r="G41" s="122">
        <v>15</v>
      </c>
      <c r="H41" s="101">
        <v>5338</v>
      </c>
      <c r="I41" s="101">
        <f t="shared" si="0"/>
        <v>80070</v>
      </c>
      <c r="J41" s="123"/>
    </row>
    <row r="42" spans="1:10" s="1" customFormat="1" ht="12.75" x14ac:dyDescent="0.2">
      <c r="A42" s="102">
        <v>33</v>
      </c>
      <c r="B42" s="102"/>
      <c r="C42" s="102" t="s">
        <v>23</v>
      </c>
      <c r="D42" s="102" t="s">
        <v>190</v>
      </c>
      <c r="E42" s="121" t="s">
        <v>48</v>
      </c>
      <c r="F42" s="102" t="s">
        <v>49</v>
      </c>
      <c r="G42" s="122">
        <v>3</v>
      </c>
      <c r="H42" s="101">
        <v>14550</v>
      </c>
      <c r="I42" s="101">
        <f t="shared" si="0"/>
        <v>43650</v>
      </c>
      <c r="J42" s="123"/>
    </row>
    <row r="43" spans="1:10" s="1" customFormat="1" ht="12.75" x14ac:dyDescent="0.2">
      <c r="A43" s="102">
        <v>34</v>
      </c>
      <c r="B43" s="102"/>
      <c r="C43" s="102" t="s">
        <v>23</v>
      </c>
      <c r="D43" s="102" t="s">
        <v>190</v>
      </c>
      <c r="E43" s="121" t="s">
        <v>194</v>
      </c>
      <c r="F43" s="102" t="s">
        <v>49</v>
      </c>
      <c r="G43" s="122">
        <v>24</v>
      </c>
      <c r="H43" s="101">
        <v>52464.5</v>
      </c>
      <c r="I43" s="101">
        <f t="shared" si="0"/>
        <v>1259148</v>
      </c>
      <c r="J43" s="123"/>
    </row>
    <row r="44" spans="1:10" s="1" customFormat="1" ht="12.75" x14ac:dyDescent="0.2">
      <c r="A44" s="102">
        <v>35</v>
      </c>
      <c r="B44" s="102"/>
      <c r="C44" s="102" t="s">
        <v>23</v>
      </c>
      <c r="D44" s="102" t="s">
        <v>24</v>
      </c>
      <c r="E44" s="121" t="s">
        <v>180</v>
      </c>
      <c r="F44" s="102" t="s">
        <v>19</v>
      </c>
      <c r="G44" s="122">
        <v>1</v>
      </c>
      <c r="H44" s="101">
        <v>11685</v>
      </c>
      <c r="I44" s="101">
        <f t="shared" si="0"/>
        <v>11685</v>
      </c>
      <c r="J44" s="123"/>
    </row>
    <row r="45" spans="1:10" s="1" customFormat="1" ht="12.75" x14ac:dyDescent="0.2">
      <c r="A45" s="102">
        <v>36</v>
      </c>
      <c r="B45" s="102"/>
      <c r="C45" s="102" t="s">
        <v>23</v>
      </c>
      <c r="D45" s="102" t="s">
        <v>190</v>
      </c>
      <c r="E45" s="121" t="s">
        <v>195</v>
      </c>
      <c r="F45" s="102" t="s">
        <v>19</v>
      </c>
      <c r="G45" s="122">
        <v>2</v>
      </c>
      <c r="H45" s="101">
        <v>7151</v>
      </c>
      <c r="I45" s="101">
        <f t="shared" si="0"/>
        <v>14302</v>
      </c>
      <c r="J45" s="123"/>
    </row>
    <row r="46" spans="1:10" s="1" customFormat="1" ht="12.75" x14ac:dyDescent="0.2">
      <c r="A46" s="102">
        <v>37</v>
      </c>
      <c r="B46" s="102"/>
      <c r="C46" s="102" t="s">
        <v>23</v>
      </c>
      <c r="D46" s="102" t="s">
        <v>190</v>
      </c>
      <c r="E46" s="121" t="s">
        <v>196</v>
      </c>
      <c r="F46" s="102" t="s">
        <v>19</v>
      </c>
      <c r="G46" s="122">
        <v>1</v>
      </c>
      <c r="H46" s="101">
        <v>41462</v>
      </c>
      <c r="I46" s="101">
        <f t="shared" si="0"/>
        <v>41462</v>
      </c>
      <c r="J46" s="123"/>
    </row>
    <row r="47" spans="1:10" s="1" customFormat="1" ht="12.75" x14ac:dyDescent="0.2">
      <c r="A47" s="102">
        <v>38</v>
      </c>
      <c r="B47" s="102"/>
      <c r="C47" s="102" t="s">
        <v>23</v>
      </c>
      <c r="D47" s="102" t="s">
        <v>190</v>
      </c>
      <c r="E47" s="121" t="s">
        <v>197</v>
      </c>
      <c r="F47" s="102" t="s">
        <v>18</v>
      </c>
      <c r="G47" s="122">
        <v>5</v>
      </c>
      <c r="H47" s="101">
        <v>13303</v>
      </c>
      <c r="I47" s="101">
        <f t="shared" si="0"/>
        <v>66515</v>
      </c>
      <c r="J47" s="123"/>
    </row>
    <row r="48" spans="1:10" s="1" customFormat="1" ht="12.75" x14ac:dyDescent="0.2">
      <c r="A48" s="102">
        <v>39</v>
      </c>
      <c r="B48" s="102"/>
      <c r="C48" s="102" t="s">
        <v>23</v>
      </c>
      <c r="D48" s="102" t="s">
        <v>190</v>
      </c>
      <c r="E48" s="121" t="s">
        <v>198</v>
      </c>
      <c r="F48" s="102" t="s">
        <v>216</v>
      </c>
      <c r="G48" s="122">
        <v>2</v>
      </c>
      <c r="H48" s="101">
        <v>43337</v>
      </c>
      <c r="I48" s="101">
        <f t="shared" si="0"/>
        <v>86674</v>
      </c>
      <c r="J48" s="123"/>
    </row>
    <row r="49" spans="1:10" s="1" customFormat="1" ht="12.75" x14ac:dyDescent="0.2">
      <c r="A49" s="102">
        <v>40</v>
      </c>
      <c r="B49" s="102"/>
      <c r="C49" s="102" t="s">
        <v>23</v>
      </c>
      <c r="D49" s="102" t="s">
        <v>24</v>
      </c>
      <c r="E49" s="121" t="s">
        <v>154</v>
      </c>
      <c r="F49" s="102" t="s">
        <v>50</v>
      </c>
      <c r="G49" s="122">
        <v>27</v>
      </c>
      <c r="H49" s="101">
        <v>12000</v>
      </c>
      <c r="I49" s="101">
        <f t="shared" si="0"/>
        <v>324000</v>
      </c>
      <c r="J49" s="123"/>
    </row>
    <row r="50" spans="1:10" s="1" customFormat="1" ht="12.75" x14ac:dyDescent="0.2">
      <c r="A50" s="102">
        <v>41</v>
      </c>
      <c r="B50" s="102"/>
      <c r="C50" s="102" t="s">
        <v>23</v>
      </c>
      <c r="D50" s="102" t="s">
        <v>190</v>
      </c>
      <c r="E50" s="121" t="s">
        <v>51</v>
      </c>
      <c r="F50" s="102" t="s">
        <v>18</v>
      </c>
      <c r="G50" s="122">
        <v>27</v>
      </c>
      <c r="H50" s="101">
        <v>17121</v>
      </c>
      <c r="I50" s="101">
        <f t="shared" si="0"/>
        <v>462267</v>
      </c>
      <c r="J50" s="123"/>
    </row>
    <row r="51" spans="1:10" s="1" customFormat="1" ht="12.75" x14ac:dyDescent="0.2">
      <c r="A51" s="102">
        <v>42</v>
      </c>
      <c r="B51" s="102"/>
      <c r="C51" s="102" t="s">
        <v>23</v>
      </c>
      <c r="D51" s="102" t="s">
        <v>190</v>
      </c>
      <c r="E51" s="121" t="s">
        <v>52</v>
      </c>
      <c r="F51" s="102" t="s">
        <v>18</v>
      </c>
      <c r="G51" s="122">
        <v>45</v>
      </c>
      <c r="H51" s="101">
        <v>16429</v>
      </c>
      <c r="I51" s="101">
        <f t="shared" si="0"/>
        <v>739305</v>
      </c>
      <c r="J51" s="123"/>
    </row>
    <row r="52" spans="1:10" s="1" customFormat="1" ht="12.75" x14ac:dyDescent="0.2">
      <c r="A52" s="102">
        <v>43</v>
      </c>
      <c r="B52" s="102"/>
      <c r="C52" s="102" t="s">
        <v>23</v>
      </c>
      <c r="D52" s="102" t="s">
        <v>190</v>
      </c>
      <c r="E52" s="121" t="s">
        <v>224</v>
      </c>
      <c r="F52" s="102" t="s">
        <v>18</v>
      </c>
      <c r="G52" s="122">
        <v>15</v>
      </c>
      <c r="H52" s="101">
        <v>5050</v>
      </c>
      <c r="I52" s="101">
        <f t="shared" si="0"/>
        <v>75750</v>
      </c>
      <c r="J52" s="123"/>
    </row>
    <row r="53" spans="1:10" s="1" customFormat="1" ht="12.75" x14ac:dyDescent="0.2">
      <c r="A53" s="102">
        <v>44</v>
      </c>
      <c r="B53" s="102"/>
      <c r="C53" s="102" t="s">
        <v>23</v>
      </c>
      <c r="D53" s="102" t="s">
        <v>190</v>
      </c>
      <c r="E53" s="121" t="s">
        <v>225</v>
      </c>
      <c r="F53" s="102" t="s">
        <v>18</v>
      </c>
      <c r="G53" s="122">
        <v>2</v>
      </c>
      <c r="H53" s="101">
        <v>6358</v>
      </c>
      <c r="I53" s="101">
        <f t="shared" si="0"/>
        <v>12716</v>
      </c>
      <c r="J53" s="123"/>
    </row>
    <row r="54" spans="1:10" s="1" customFormat="1" ht="12.75" x14ac:dyDescent="0.2">
      <c r="A54" s="102">
        <v>45</v>
      </c>
      <c r="B54" s="102"/>
      <c r="C54" s="102" t="s">
        <v>23</v>
      </c>
      <c r="D54" s="102" t="s">
        <v>190</v>
      </c>
      <c r="E54" s="121" t="s">
        <v>199</v>
      </c>
      <c r="F54" s="102" t="s">
        <v>19</v>
      </c>
      <c r="G54" s="122">
        <v>10</v>
      </c>
      <c r="H54" s="101">
        <v>2121</v>
      </c>
      <c r="I54" s="101">
        <f t="shared" si="0"/>
        <v>21210</v>
      </c>
      <c r="J54" s="123"/>
    </row>
    <row r="55" spans="1:10" s="1" customFormat="1" ht="12.75" x14ac:dyDescent="0.2">
      <c r="A55" s="102">
        <v>46</v>
      </c>
      <c r="B55" s="102"/>
      <c r="C55" s="102" t="s">
        <v>23</v>
      </c>
      <c r="D55" s="102" t="s">
        <v>24</v>
      </c>
      <c r="E55" s="121" t="s">
        <v>155</v>
      </c>
      <c r="F55" s="102" t="s">
        <v>18</v>
      </c>
      <c r="G55" s="122">
        <v>12</v>
      </c>
      <c r="H55" s="101">
        <v>19749</v>
      </c>
      <c r="I55" s="101">
        <f t="shared" si="0"/>
        <v>236988</v>
      </c>
      <c r="J55" s="123"/>
    </row>
    <row r="56" spans="1:10" s="1" customFormat="1" ht="12.75" x14ac:dyDescent="0.2">
      <c r="A56" s="102">
        <v>47</v>
      </c>
      <c r="B56" s="102"/>
      <c r="C56" s="102" t="s">
        <v>23</v>
      </c>
      <c r="D56" s="102" t="s">
        <v>190</v>
      </c>
      <c r="E56" s="121" t="s">
        <v>200</v>
      </c>
      <c r="F56" s="102" t="s">
        <v>230</v>
      </c>
      <c r="G56" s="122">
        <v>6</v>
      </c>
      <c r="H56" s="101">
        <v>4204</v>
      </c>
      <c r="I56" s="101">
        <f t="shared" si="0"/>
        <v>25224</v>
      </c>
      <c r="J56" s="123"/>
    </row>
    <row r="57" spans="1:10" s="1" customFormat="1" ht="12.75" x14ac:dyDescent="0.2">
      <c r="A57" s="102">
        <v>48</v>
      </c>
      <c r="B57" s="102"/>
      <c r="C57" s="102" t="s">
        <v>23</v>
      </c>
      <c r="D57" s="102" t="s">
        <v>190</v>
      </c>
      <c r="E57" s="121" t="s">
        <v>226</v>
      </c>
      <c r="F57" s="102" t="s">
        <v>18</v>
      </c>
      <c r="G57" s="122">
        <v>3</v>
      </c>
      <c r="H57" s="101">
        <v>22148</v>
      </c>
      <c r="I57" s="101">
        <f t="shared" si="0"/>
        <v>66444</v>
      </c>
      <c r="J57" s="123"/>
    </row>
    <row r="58" spans="1:10" s="1" customFormat="1" ht="12.75" x14ac:dyDescent="0.2">
      <c r="A58" s="102">
        <v>49</v>
      </c>
      <c r="B58" s="102"/>
      <c r="C58" s="102" t="s">
        <v>23</v>
      </c>
      <c r="D58" s="102" t="s">
        <v>190</v>
      </c>
      <c r="E58" s="121" t="s">
        <v>227</v>
      </c>
      <c r="F58" s="102" t="s">
        <v>18</v>
      </c>
      <c r="G58" s="122">
        <v>3</v>
      </c>
      <c r="H58" s="101">
        <v>19934</v>
      </c>
      <c r="I58" s="101">
        <f t="shared" si="0"/>
        <v>59802</v>
      </c>
      <c r="J58" s="123"/>
    </row>
    <row r="59" spans="1:10" s="1" customFormat="1" ht="12.75" x14ac:dyDescent="0.2">
      <c r="A59" s="102">
        <v>50</v>
      </c>
      <c r="B59" s="102"/>
      <c r="C59" s="102" t="s">
        <v>23</v>
      </c>
      <c r="D59" s="102" t="s">
        <v>190</v>
      </c>
      <c r="E59" s="121" t="s">
        <v>53</v>
      </c>
      <c r="F59" s="102" t="s">
        <v>54</v>
      </c>
      <c r="G59" s="122">
        <v>30</v>
      </c>
      <c r="H59" s="101">
        <v>4661</v>
      </c>
      <c r="I59" s="101">
        <f t="shared" si="0"/>
        <v>139830</v>
      </c>
      <c r="J59" s="123"/>
    </row>
    <row r="60" spans="1:10" s="1" customFormat="1" ht="12.75" x14ac:dyDescent="0.2">
      <c r="A60" s="102">
        <v>51</v>
      </c>
      <c r="B60" s="102"/>
      <c r="C60" s="102" t="s">
        <v>23</v>
      </c>
      <c r="D60" s="102" t="s">
        <v>190</v>
      </c>
      <c r="E60" s="121" t="s">
        <v>201</v>
      </c>
      <c r="F60" s="102" t="s">
        <v>19</v>
      </c>
      <c r="G60" s="122">
        <v>1</v>
      </c>
      <c r="H60" s="101">
        <v>26023</v>
      </c>
      <c r="I60" s="101">
        <f t="shared" si="0"/>
        <v>26023</v>
      </c>
      <c r="J60" s="123"/>
    </row>
    <row r="61" spans="1:10" s="1" customFormat="1" ht="12.75" x14ac:dyDescent="0.2">
      <c r="A61" s="102">
        <v>52</v>
      </c>
      <c r="B61" s="102"/>
      <c r="C61" s="102" t="s">
        <v>23</v>
      </c>
      <c r="D61" s="102" t="s">
        <v>190</v>
      </c>
      <c r="E61" s="121" t="s">
        <v>202</v>
      </c>
      <c r="F61" s="102" t="s">
        <v>19</v>
      </c>
      <c r="G61" s="122">
        <v>1</v>
      </c>
      <c r="H61" s="101">
        <v>26023</v>
      </c>
      <c r="I61" s="101">
        <f t="shared" si="0"/>
        <v>26023</v>
      </c>
      <c r="J61" s="123"/>
    </row>
    <row r="62" spans="1:10" s="1" customFormat="1" ht="12.75" x14ac:dyDescent="0.2">
      <c r="A62" s="102">
        <v>53</v>
      </c>
      <c r="B62" s="102"/>
      <c r="C62" s="102" t="s">
        <v>23</v>
      </c>
      <c r="D62" s="102" t="s">
        <v>190</v>
      </c>
      <c r="E62" s="121" t="s">
        <v>203</v>
      </c>
      <c r="F62" s="102" t="s">
        <v>19</v>
      </c>
      <c r="G62" s="122">
        <v>1</v>
      </c>
      <c r="H62" s="101">
        <v>26023</v>
      </c>
      <c r="I62" s="101">
        <f t="shared" si="0"/>
        <v>26023</v>
      </c>
      <c r="J62" s="123"/>
    </row>
    <row r="63" spans="1:10" s="1" customFormat="1" ht="12.75" x14ac:dyDescent="0.2">
      <c r="A63" s="102">
        <v>54</v>
      </c>
      <c r="B63" s="102"/>
      <c r="C63" s="102" t="s">
        <v>23</v>
      </c>
      <c r="D63" s="102" t="s">
        <v>190</v>
      </c>
      <c r="E63" s="121" t="s">
        <v>55</v>
      </c>
      <c r="F63" s="102" t="s">
        <v>19</v>
      </c>
      <c r="G63" s="122">
        <v>8</v>
      </c>
      <c r="H63" s="101">
        <v>16060</v>
      </c>
      <c r="I63" s="101">
        <f t="shared" si="0"/>
        <v>128480</v>
      </c>
      <c r="J63" s="123"/>
    </row>
    <row r="64" spans="1:10" s="1" customFormat="1" ht="12.75" x14ac:dyDescent="0.2">
      <c r="A64" s="102">
        <v>55</v>
      </c>
      <c r="B64" s="102"/>
      <c r="C64" s="102" t="s">
        <v>23</v>
      </c>
      <c r="D64" s="102" t="s">
        <v>190</v>
      </c>
      <c r="E64" s="121" t="s">
        <v>204</v>
      </c>
      <c r="F64" s="102" t="s">
        <v>19</v>
      </c>
      <c r="G64" s="122">
        <v>10</v>
      </c>
      <c r="H64" s="101">
        <v>4490</v>
      </c>
      <c r="I64" s="101">
        <f t="shared" si="0"/>
        <v>44900</v>
      </c>
      <c r="J64" s="123"/>
    </row>
    <row r="65" spans="1:10" s="1" customFormat="1" ht="12.75" x14ac:dyDescent="0.2">
      <c r="A65" s="102">
        <v>56</v>
      </c>
      <c r="B65" s="102"/>
      <c r="C65" s="102" t="s">
        <v>23</v>
      </c>
      <c r="D65" s="102" t="s">
        <v>190</v>
      </c>
      <c r="E65" s="121" t="s">
        <v>56</v>
      </c>
      <c r="F65" s="102" t="s">
        <v>19</v>
      </c>
      <c r="G65" s="122">
        <v>15</v>
      </c>
      <c r="H65" s="101">
        <v>3136</v>
      </c>
      <c r="I65" s="101">
        <f t="shared" si="0"/>
        <v>47040</v>
      </c>
      <c r="J65" s="123"/>
    </row>
    <row r="66" spans="1:10" s="1" customFormat="1" ht="12.75" x14ac:dyDescent="0.2">
      <c r="A66" s="102">
        <v>57</v>
      </c>
      <c r="B66" s="102"/>
      <c r="C66" s="102" t="s">
        <v>23</v>
      </c>
      <c r="D66" s="102" t="s">
        <v>190</v>
      </c>
      <c r="E66" s="121" t="s">
        <v>228</v>
      </c>
      <c r="F66" s="102" t="s">
        <v>18</v>
      </c>
      <c r="G66" s="122">
        <v>10</v>
      </c>
      <c r="H66" s="101">
        <v>5539</v>
      </c>
      <c r="I66" s="101">
        <f t="shared" si="0"/>
        <v>55390</v>
      </c>
      <c r="J66" s="123"/>
    </row>
    <row r="67" spans="1:10" s="1" customFormat="1" ht="12.75" x14ac:dyDescent="0.2">
      <c r="A67" s="102">
        <v>58</v>
      </c>
      <c r="B67" s="102"/>
      <c r="C67" s="102" t="s">
        <v>23</v>
      </c>
      <c r="D67" s="102" t="s">
        <v>190</v>
      </c>
      <c r="E67" s="121" t="s">
        <v>205</v>
      </c>
      <c r="F67" s="102" t="s">
        <v>19</v>
      </c>
      <c r="G67" s="122">
        <v>1</v>
      </c>
      <c r="H67" s="101">
        <v>29122</v>
      </c>
      <c r="I67" s="101">
        <f t="shared" si="0"/>
        <v>29122</v>
      </c>
      <c r="J67" s="123"/>
    </row>
    <row r="68" spans="1:10" s="1" customFormat="1" ht="25.5" x14ac:dyDescent="0.2">
      <c r="A68" s="102">
        <v>59</v>
      </c>
      <c r="B68" s="102"/>
      <c r="C68" s="102" t="s">
        <v>23</v>
      </c>
      <c r="D68" s="102" t="s">
        <v>24</v>
      </c>
      <c r="E68" s="121" t="s">
        <v>157</v>
      </c>
      <c r="F68" s="102" t="s">
        <v>19</v>
      </c>
      <c r="G68" s="122">
        <v>16</v>
      </c>
      <c r="H68" s="101">
        <v>20160</v>
      </c>
      <c r="I68" s="101">
        <f t="shared" si="0"/>
        <v>322560</v>
      </c>
      <c r="J68" s="123"/>
    </row>
    <row r="69" spans="1:10" s="1" customFormat="1" ht="12.75" x14ac:dyDescent="0.2">
      <c r="A69" s="102">
        <v>60</v>
      </c>
      <c r="B69" s="102"/>
      <c r="C69" s="102" t="s">
        <v>23</v>
      </c>
      <c r="D69" s="102" t="s">
        <v>24</v>
      </c>
      <c r="E69" s="121" t="s">
        <v>57</v>
      </c>
      <c r="F69" s="102" t="s">
        <v>19</v>
      </c>
      <c r="G69" s="122">
        <v>12</v>
      </c>
      <c r="H69" s="101">
        <v>19743.57</v>
      </c>
      <c r="I69" s="101">
        <f t="shared" si="0"/>
        <v>236922.84</v>
      </c>
      <c r="J69" s="123"/>
    </row>
    <row r="70" spans="1:10" s="1" customFormat="1" ht="76.5" x14ac:dyDescent="0.2">
      <c r="A70" s="102">
        <v>61</v>
      </c>
      <c r="B70" s="102"/>
      <c r="C70" s="102" t="s">
        <v>23</v>
      </c>
      <c r="D70" s="102" t="s">
        <v>24</v>
      </c>
      <c r="E70" s="121" t="s">
        <v>156</v>
      </c>
      <c r="F70" s="102" t="s">
        <v>19</v>
      </c>
      <c r="G70" s="122">
        <v>16</v>
      </c>
      <c r="H70" s="101">
        <v>36300</v>
      </c>
      <c r="I70" s="101">
        <f t="shared" si="0"/>
        <v>580800</v>
      </c>
      <c r="J70" s="123"/>
    </row>
    <row r="71" spans="1:10" s="1" customFormat="1" ht="12.75" x14ac:dyDescent="0.2">
      <c r="A71" s="102">
        <v>62</v>
      </c>
      <c r="B71" s="102"/>
      <c r="C71" s="102" t="s">
        <v>23</v>
      </c>
      <c r="D71" s="102" t="s">
        <v>190</v>
      </c>
      <c r="E71" s="121" t="s">
        <v>58</v>
      </c>
      <c r="F71" s="102" t="s">
        <v>54</v>
      </c>
      <c r="G71" s="122">
        <v>30</v>
      </c>
      <c r="H71" s="101">
        <v>10372</v>
      </c>
      <c r="I71" s="101">
        <f t="shared" si="0"/>
        <v>311160</v>
      </c>
      <c r="J71" s="123"/>
    </row>
    <row r="72" spans="1:10" s="1" customFormat="1" ht="12.75" x14ac:dyDescent="0.2">
      <c r="A72" s="102">
        <v>63</v>
      </c>
      <c r="B72" s="102"/>
      <c r="C72" s="102" t="s">
        <v>23</v>
      </c>
      <c r="D72" s="102" t="s">
        <v>190</v>
      </c>
      <c r="E72" s="121" t="s">
        <v>59</v>
      </c>
      <c r="F72" s="102" t="s">
        <v>19</v>
      </c>
      <c r="G72" s="122">
        <v>20</v>
      </c>
      <c r="H72" s="101">
        <v>6759</v>
      </c>
      <c r="I72" s="101">
        <f t="shared" si="0"/>
        <v>135180</v>
      </c>
      <c r="J72" s="123"/>
    </row>
    <row r="73" spans="1:10" s="1" customFormat="1" ht="12.75" x14ac:dyDescent="0.2">
      <c r="A73" s="102">
        <v>64</v>
      </c>
      <c r="B73" s="102"/>
      <c r="C73" s="102" t="s">
        <v>23</v>
      </c>
      <c r="D73" s="102" t="s">
        <v>190</v>
      </c>
      <c r="E73" s="121" t="s">
        <v>60</v>
      </c>
      <c r="F73" s="102" t="s">
        <v>19</v>
      </c>
      <c r="G73" s="122">
        <v>3</v>
      </c>
      <c r="H73" s="101">
        <v>53978</v>
      </c>
      <c r="I73" s="101">
        <f t="shared" si="0"/>
        <v>161934</v>
      </c>
      <c r="J73" s="123"/>
    </row>
    <row r="74" spans="1:10" s="1" customFormat="1" ht="12.75" x14ac:dyDescent="0.2">
      <c r="A74" s="102">
        <v>65</v>
      </c>
      <c r="B74" s="102"/>
      <c r="C74" s="102" t="s">
        <v>23</v>
      </c>
      <c r="D74" s="102" t="s">
        <v>190</v>
      </c>
      <c r="E74" s="121" t="s">
        <v>61</v>
      </c>
      <c r="F74" s="102" t="s">
        <v>19</v>
      </c>
      <c r="G74" s="122">
        <v>10</v>
      </c>
      <c r="H74" s="101">
        <v>37220</v>
      </c>
      <c r="I74" s="101">
        <f t="shared" ref="I74:I137" si="1">+G74*H74</f>
        <v>372200</v>
      </c>
      <c r="J74" s="123"/>
    </row>
    <row r="75" spans="1:10" s="1" customFormat="1" ht="12.75" x14ac:dyDescent="0.2">
      <c r="A75" s="102">
        <v>66</v>
      </c>
      <c r="B75" s="102"/>
      <c r="C75" s="102" t="s">
        <v>23</v>
      </c>
      <c r="D75" s="102" t="s">
        <v>190</v>
      </c>
      <c r="E75" s="121" t="s">
        <v>231</v>
      </c>
      <c r="F75" s="102" t="s">
        <v>230</v>
      </c>
      <c r="G75" s="122">
        <v>6</v>
      </c>
      <c r="H75" s="101">
        <v>11119</v>
      </c>
      <c r="I75" s="101">
        <f t="shared" si="1"/>
        <v>66714</v>
      </c>
      <c r="J75" s="123"/>
    </row>
    <row r="76" spans="1:10" s="1" customFormat="1" ht="12.75" x14ac:dyDescent="0.2">
      <c r="A76" s="102">
        <v>67</v>
      </c>
      <c r="B76" s="102"/>
      <c r="C76" s="102" t="s">
        <v>23</v>
      </c>
      <c r="D76" s="102" t="s">
        <v>190</v>
      </c>
      <c r="E76" s="121" t="s">
        <v>232</v>
      </c>
      <c r="F76" s="102" t="s">
        <v>19</v>
      </c>
      <c r="G76" s="122">
        <v>30</v>
      </c>
      <c r="H76" s="101">
        <v>6247</v>
      </c>
      <c r="I76" s="101">
        <f t="shared" si="1"/>
        <v>187410</v>
      </c>
      <c r="J76" s="123"/>
    </row>
    <row r="77" spans="1:10" s="1" customFormat="1" ht="12.75" x14ac:dyDescent="0.2">
      <c r="A77" s="102">
        <v>68</v>
      </c>
      <c r="B77" s="102"/>
      <c r="C77" s="102" t="s">
        <v>23</v>
      </c>
      <c r="D77" s="102" t="s">
        <v>190</v>
      </c>
      <c r="E77" s="121" t="s">
        <v>233</v>
      </c>
      <c r="F77" s="102" t="s">
        <v>18</v>
      </c>
      <c r="G77" s="122">
        <v>15</v>
      </c>
      <c r="H77" s="101">
        <v>11066</v>
      </c>
      <c r="I77" s="101">
        <f t="shared" si="1"/>
        <v>165990</v>
      </c>
      <c r="J77" s="123"/>
    </row>
    <row r="78" spans="1:10" s="1" customFormat="1" ht="12.75" x14ac:dyDescent="0.2">
      <c r="A78" s="102">
        <v>69</v>
      </c>
      <c r="B78" s="102"/>
      <c r="C78" s="102" t="s">
        <v>23</v>
      </c>
      <c r="D78" s="102" t="s">
        <v>190</v>
      </c>
      <c r="E78" s="121" t="s">
        <v>62</v>
      </c>
      <c r="F78" s="102" t="s">
        <v>19</v>
      </c>
      <c r="G78" s="122">
        <v>10</v>
      </c>
      <c r="H78" s="101">
        <v>6730</v>
      </c>
      <c r="I78" s="101">
        <f t="shared" si="1"/>
        <v>67300</v>
      </c>
      <c r="J78" s="123"/>
    </row>
    <row r="79" spans="1:10" s="1" customFormat="1" ht="12.75" x14ac:dyDescent="0.2">
      <c r="A79" s="102">
        <v>70</v>
      </c>
      <c r="B79" s="102"/>
      <c r="C79" s="102" t="s">
        <v>23</v>
      </c>
      <c r="D79" s="102" t="s">
        <v>190</v>
      </c>
      <c r="E79" s="121" t="s">
        <v>63</v>
      </c>
      <c r="F79" s="102" t="s">
        <v>19</v>
      </c>
      <c r="G79" s="122">
        <v>10</v>
      </c>
      <c r="H79" s="101">
        <v>11190</v>
      </c>
      <c r="I79" s="101">
        <f t="shared" si="1"/>
        <v>111900</v>
      </c>
      <c r="J79" s="123"/>
    </row>
    <row r="80" spans="1:10" s="1" customFormat="1" ht="12.75" x14ac:dyDescent="0.2">
      <c r="A80" s="102">
        <v>71</v>
      </c>
      <c r="B80" s="102"/>
      <c r="C80" s="102" t="s">
        <v>23</v>
      </c>
      <c r="D80" s="102" t="s">
        <v>190</v>
      </c>
      <c r="E80" s="121" t="s">
        <v>64</v>
      </c>
      <c r="F80" s="102" t="s">
        <v>19</v>
      </c>
      <c r="G80" s="122">
        <v>10</v>
      </c>
      <c r="H80" s="101">
        <v>13120</v>
      </c>
      <c r="I80" s="101">
        <f t="shared" si="1"/>
        <v>131200</v>
      </c>
      <c r="J80" s="123"/>
    </row>
    <row r="81" spans="1:10" s="1" customFormat="1" ht="12.75" x14ac:dyDescent="0.2">
      <c r="A81" s="102">
        <v>72</v>
      </c>
      <c r="B81" s="102"/>
      <c r="C81" s="102" t="s">
        <v>23</v>
      </c>
      <c r="D81" s="102" t="s">
        <v>190</v>
      </c>
      <c r="E81" s="121" t="s">
        <v>65</v>
      </c>
      <c r="F81" s="102" t="s">
        <v>19</v>
      </c>
      <c r="G81" s="122">
        <v>20</v>
      </c>
      <c r="H81" s="101">
        <v>16473</v>
      </c>
      <c r="I81" s="101">
        <f t="shared" si="1"/>
        <v>329460</v>
      </c>
      <c r="J81" s="123"/>
    </row>
    <row r="82" spans="1:10" s="1" customFormat="1" ht="12.75" x14ac:dyDescent="0.2">
      <c r="A82" s="102">
        <v>73</v>
      </c>
      <c r="B82" s="102"/>
      <c r="C82" s="102" t="s">
        <v>23</v>
      </c>
      <c r="D82" s="102" t="s">
        <v>190</v>
      </c>
      <c r="E82" s="121" t="s">
        <v>66</v>
      </c>
      <c r="F82" s="102" t="s">
        <v>19</v>
      </c>
      <c r="G82" s="122">
        <v>20</v>
      </c>
      <c r="H82" s="101">
        <v>27553</v>
      </c>
      <c r="I82" s="101">
        <f t="shared" si="1"/>
        <v>551060</v>
      </c>
      <c r="J82" s="123"/>
    </row>
    <row r="83" spans="1:10" s="1" customFormat="1" ht="12.75" x14ac:dyDescent="0.2">
      <c r="A83" s="102">
        <v>74</v>
      </c>
      <c r="B83" s="102"/>
      <c r="C83" s="102" t="s">
        <v>23</v>
      </c>
      <c r="D83" s="102" t="s">
        <v>190</v>
      </c>
      <c r="E83" s="121" t="s">
        <v>67</v>
      </c>
      <c r="F83" s="102" t="s">
        <v>19</v>
      </c>
      <c r="G83" s="122">
        <v>42</v>
      </c>
      <c r="H83" s="101">
        <v>22109</v>
      </c>
      <c r="I83" s="101">
        <f t="shared" si="1"/>
        <v>928578</v>
      </c>
      <c r="J83" s="123"/>
    </row>
    <row r="84" spans="1:10" s="1" customFormat="1" ht="12.75" x14ac:dyDescent="0.2">
      <c r="A84" s="102">
        <v>75</v>
      </c>
      <c r="B84" s="102"/>
      <c r="C84" s="102" t="s">
        <v>23</v>
      </c>
      <c r="D84" s="102" t="s">
        <v>24</v>
      </c>
      <c r="E84" s="121" t="s">
        <v>158</v>
      </c>
      <c r="F84" s="102" t="s">
        <v>18</v>
      </c>
      <c r="G84" s="122">
        <v>12</v>
      </c>
      <c r="H84" s="101">
        <v>39806</v>
      </c>
      <c r="I84" s="101">
        <f t="shared" si="1"/>
        <v>477672</v>
      </c>
      <c r="J84" s="123"/>
    </row>
    <row r="85" spans="1:10" s="1" customFormat="1" ht="12.75" x14ac:dyDescent="0.2">
      <c r="A85" s="102">
        <v>76</v>
      </c>
      <c r="B85" s="102"/>
      <c r="C85" s="102" t="s">
        <v>23</v>
      </c>
      <c r="D85" s="102" t="s">
        <v>24</v>
      </c>
      <c r="E85" s="121" t="s">
        <v>159</v>
      </c>
      <c r="F85" s="102" t="s">
        <v>68</v>
      </c>
      <c r="G85" s="122">
        <v>48</v>
      </c>
      <c r="H85" s="101">
        <v>23147</v>
      </c>
      <c r="I85" s="101">
        <f t="shared" si="1"/>
        <v>1111056</v>
      </c>
      <c r="J85" s="123"/>
    </row>
    <row r="86" spans="1:10" s="1" customFormat="1" ht="12.75" x14ac:dyDescent="0.2">
      <c r="A86" s="102">
        <v>77</v>
      </c>
      <c r="B86" s="102"/>
      <c r="C86" s="102" t="s">
        <v>23</v>
      </c>
      <c r="D86" s="102" t="s">
        <v>24</v>
      </c>
      <c r="E86" s="121" t="s">
        <v>160</v>
      </c>
      <c r="F86" s="102" t="s">
        <v>18</v>
      </c>
      <c r="G86" s="122">
        <v>12</v>
      </c>
      <c r="H86" s="101">
        <v>25747</v>
      </c>
      <c r="I86" s="101">
        <f t="shared" si="1"/>
        <v>308964</v>
      </c>
      <c r="J86" s="123"/>
    </row>
    <row r="87" spans="1:10" s="1" customFormat="1" ht="12.75" x14ac:dyDescent="0.2">
      <c r="A87" s="102">
        <v>78</v>
      </c>
      <c r="B87" s="102"/>
      <c r="C87" s="102" t="s">
        <v>23</v>
      </c>
      <c r="D87" s="102" t="s">
        <v>24</v>
      </c>
      <c r="E87" s="121" t="s">
        <v>161</v>
      </c>
      <c r="F87" s="102" t="s">
        <v>18</v>
      </c>
      <c r="G87" s="122">
        <v>3</v>
      </c>
      <c r="H87" s="101">
        <v>50545</v>
      </c>
      <c r="I87" s="101">
        <f t="shared" si="1"/>
        <v>151635</v>
      </c>
      <c r="J87" s="123"/>
    </row>
    <row r="88" spans="1:10" s="1" customFormat="1" ht="12.75" x14ac:dyDescent="0.2">
      <c r="A88" s="102">
        <v>79</v>
      </c>
      <c r="B88" s="102"/>
      <c r="C88" s="102" t="s">
        <v>23</v>
      </c>
      <c r="D88" s="102" t="s">
        <v>190</v>
      </c>
      <c r="E88" s="121" t="s">
        <v>206</v>
      </c>
      <c r="F88" s="102" t="s">
        <v>19</v>
      </c>
      <c r="G88" s="122">
        <v>1</v>
      </c>
      <c r="H88" s="101">
        <v>14170</v>
      </c>
      <c r="I88" s="101">
        <f t="shared" si="1"/>
        <v>14170</v>
      </c>
      <c r="J88" s="123"/>
    </row>
    <row r="89" spans="1:10" s="1" customFormat="1" ht="12.75" x14ac:dyDescent="0.2">
      <c r="A89" s="102">
        <v>80</v>
      </c>
      <c r="B89" s="102"/>
      <c r="C89" s="102" t="s">
        <v>23</v>
      </c>
      <c r="D89" s="102" t="s">
        <v>24</v>
      </c>
      <c r="E89" s="121" t="s">
        <v>185</v>
      </c>
      <c r="F89" s="102" t="s">
        <v>19</v>
      </c>
      <c r="G89" s="122">
        <v>2</v>
      </c>
      <c r="H89" s="101">
        <v>143470.91</v>
      </c>
      <c r="I89" s="101">
        <f t="shared" si="1"/>
        <v>286941.82</v>
      </c>
      <c r="J89" s="123"/>
    </row>
    <row r="90" spans="1:10" s="1" customFormat="1" ht="12.75" x14ac:dyDescent="0.2">
      <c r="A90" s="102">
        <v>81</v>
      </c>
      <c r="B90" s="102"/>
      <c r="C90" s="102" t="s">
        <v>23</v>
      </c>
      <c r="D90" s="102" t="s">
        <v>24</v>
      </c>
      <c r="E90" s="121" t="s">
        <v>238</v>
      </c>
      <c r="F90" s="102" t="s">
        <v>187</v>
      </c>
      <c r="G90" s="122">
        <v>14</v>
      </c>
      <c r="H90" s="101">
        <v>72401.56</v>
      </c>
      <c r="I90" s="101">
        <f t="shared" si="1"/>
        <v>1013621.84</v>
      </c>
      <c r="J90" s="123"/>
    </row>
    <row r="91" spans="1:10" s="1" customFormat="1" ht="12.75" x14ac:dyDescent="0.2">
      <c r="A91" s="102">
        <v>82</v>
      </c>
      <c r="B91" s="102"/>
      <c r="C91" s="102" t="s">
        <v>23</v>
      </c>
      <c r="D91" s="102" t="s">
        <v>24</v>
      </c>
      <c r="E91" s="121" t="s">
        <v>184</v>
      </c>
      <c r="F91" s="102" t="s">
        <v>187</v>
      </c>
      <c r="G91" s="122">
        <v>4</v>
      </c>
      <c r="H91" s="101">
        <v>41976.11</v>
      </c>
      <c r="I91" s="101">
        <f t="shared" si="1"/>
        <v>167904.44</v>
      </c>
      <c r="J91" s="123"/>
    </row>
    <row r="92" spans="1:10" s="1" customFormat="1" ht="12.75" x14ac:dyDescent="0.2">
      <c r="A92" s="102">
        <v>83</v>
      </c>
      <c r="B92" s="102"/>
      <c r="C92" s="102" t="s">
        <v>23</v>
      </c>
      <c r="D92" s="102" t="s">
        <v>190</v>
      </c>
      <c r="E92" s="121" t="s">
        <v>207</v>
      </c>
      <c r="F92" s="102" t="s">
        <v>183</v>
      </c>
      <c r="G92" s="122">
        <v>20</v>
      </c>
      <c r="H92" s="101">
        <v>259477</v>
      </c>
      <c r="I92" s="101">
        <f t="shared" si="1"/>
        <v>5189540</v>
      </c>
      <c r="J92" s="123"/>
    </row>
    <row r="93" spans="1:10" s="1" customFormat="1" ht="12.75" x14ac:dyDescent="0.2">
      <c r="A93" s="102">
        <v>84</v>
      </c>
      <c r="B93" s="102"/>
      <c r="C93" s="102" t="s">
        <v>23</v>
      </c>
      <c r="D93" s="102" t="s">
        <v>24</v>
      </c>
      <c r="E93" s="121" t="s">
        <v>163</v>
      </c>
      <c r="F93" s="102" t="s">
        <v>18</v>
      </c>
      <c r="G93" s="122">
        <v>24</v>
      </c>
      <c r="H93" s="101">
        <v>35090</v>
      </c>
      <c r="I93" s="101">
        <f t="shared" si="1"/>
        <v>842160</v>
      </c>
      <c r="J93" s="123"/>
    </row>
    <row r="94" spans="1:10" s="1" customFormat="1" ht="12.75" x14ac:dyDescent="0.2">
      <c r="A94" s="102">
        <v>85</v>
      </c>
      <c r="B94" s="102"/>
      <c r="C94" s="102" t="s">
        <v>23</v>
      </c>
      <c r="D94" s="102" t="s">
        <v>24</v>
      </c>
      <c r="E94" s="121" t="s">
        <v>164</v>
      </c>
      <c r="F94" s="102" t="s">
        <v>21</v>
      </c>
      <c r="G94" s="122">
        <v>72</v>
      </c>
      <c r="H94" s="101">
        <v>35695</v>
      </c>
      <c r="I94" s="101">
        <f t="shared" si="1"/>
        <v>2570040</v>
      </c>
      <c r="J94" s="123"/>
    </row>
    <row r="95" spans="1:10" s="1" customFormat="1" ht="12.75" x14ac:dyDescent="0.2">
      <c r="A95" s="102">
        <v>86</v>
      </c>
      <c r="B95" s="102"/>
      <c r="C95" s="102" t="s">
        <v>23</v>
      </c>
      <c r="D95" s="102" t="s">
        <v>190</v>
      </c>
      <c r="E95" s="121" t="s">
        <v>69</v>
      </c>
      <c r="F95" s="102" t="s">
        <v>19</v>
      </c>
      <c r="G95" s="122">
        <v>3</v>
      </c>
      <c r="H95" s="101">
        <v>4772</v>
      </c>
      <c r="I95" s="101">
        <f t="shared" si="1"/>
        <v>14316</v>
      </c>
      <c r="J95" s="123"/>
    </row>
    <row r="96" spans="1:10" s="1" customFormat="1" ht="12.75" x14ac:dyDescent="0.2">
      <c r="A96" s="102">
        <v>87</v>
      </c>
      <c r="B96" s="102"/>
      <c r="C96" s="102" t="s">
        <v>23</v>
      </c>
      <c r="D96" s="102" t="s">
        <v>190</v>
      </c>
      <c r="E96" s="121" t="s">
        <v>70</v>
      </c>
      <c r="F96" s="102" t="s">
        <v>54</v>
      </c>
      <c r="G96" s="122">
        <v>20</v>
      </c>
      <c r="H96" s="101">
        <v>7632</v>
      </c>
      <c r="I96" s="101">
        <f t="shared" si="1"/>
        <v>152640</v>
      </c>
      <c r="J96" s="123"/>
    </row>
    <row r="97" spans="1:10" s="1" customFormat="1" ht="12.75" x14ac:dyDescent="0.2">
      <c r="A97" s="102">
        <v>88</v>
      </c>
      <c r="B97" s="102"/>
      <c r="C97" s="102" t="s">
        <v>23</v>
      </c>
      <c r="D97" s="102" t="s">
        <v>190</v>
      </c>
      <c r="E97" s="121" t="s">
        <v>208</v>
      </c>
      <c r="F97" s="102" t="s">
        <v>22</v>
      </c>
      <c r="G97" s="122">
        <v>2</v>
      </c>
      <c r="H97" s="101">
        <v>25167</v>
      </c>
      <c r="I97" s="101">
        <f t="shared" si="1"/>
        <v>50334</v>
      </c>
      <c r="J97" s="123"/>
    </row>
    <row r="98" spans="1:10" s="1" customFormat="1" ht="12.75" x14ac:dyDescent="0.2">
      <c r="A98" s="102">
        <v>89</v>
      </c>
      <c r="B98" s="102"/>
      <c r="C98" s="102" t="s">
        <v>23</v>
      </c>
      <c r="D98" s="102" t="s">
        <v>190</v>
      </c>
      <c r="E98" s="121" t="s">
        <v>71</v>
      </c>
      <c r="F98" s="102" t="s">
        <v>54</v>
      </c>
      <c r="G98" s="122">
        <v>40</v>
      </c>
      <c r="H98" s="101">
        <v>8135</v>
      </c>
      <c r="I98" s="101">
        <f t="shared" si="1"/>
        <v>325400</v>
      </c>
      <c r="J98" s="123"/>
    </row>
    <row r="99" spans="1:10" s="1" customFormat="1" ht="12.75" x14ac:dyDescent="0.2">
      <c r="A99" s="102">
        <v>90</v>
      </c>
      <c r="B99" s="102"/>
      <c r="C99" s="102" t="s">
        <v>23</v>
      </c>
      <c r="D99" s="102" t="s">
        <v>190</v>
      </c>
      <c r="E99" s="121" t="s">
        <v>239</v>
      </c>
      <c r="F99" s="102" t="s">
        <v>19</v>
      </c>
      <c r="G99" s="122">
        <v>3</v>
      </c>
      <c r="H99" s="101">
        <v>79116</v>
      </c>
      <c r="I99" s="101">
        <f t="shared" si="1"/>
        <v>237348</v>
      </c>
      <c r="J99" s="123"/>
    </row>
    <row r="100" spans="1:10" s="1" customFormat="1" ht="12.75" x14ac:dyDescent="0.2">
      <c r="A100" s="102">
        <v>91</v>
      </c>
      <c r="B100" s="102"/>
      <c r="C100" s="102" t="s">
        <v>23</v>
      </c>
      <c r="D100" s="102" t="s">
        <v>24</v>
      </c>
      <c r="E100" s="121" t="s">
        <v>186</v>
      </c>
      <c r="F100" s="102" t="s">
        <v>187</v>
      </c>
      <c r="G100" s="122">
        <v>8</v>
      </c>
      <c r="H100" s="101">
        <v>684599.85</v>
      </c>
      <c r="I100" s="101">
        <f t="shared" si="1"/>
        <v>5476798.7999999998</v>
      </c>
      <c r="J100" s="123"/>
    </row>
    <row r="101" spans="1:10" s="1" customFormat="1" ht="12.75" x14ac:dyDescent="0.2">
      <c r="A101" s="102">
        <v>92</v>
      </c>
      <c r="B101" s="102"/>
      <c r="C101" s="102" t="s">
        <v>23</v>
      </c>
      <c r="D101" s="102" t="s">
        <v>190</v>
      </c>
      <c r="E101" s="121" t="s">
        <v>234</v>
      </c>
      <c r="F101" s="102" t="s">
        <v>18</v>
      </c>
      <c r="G101" s="122">
        <v>1</v>
      </c>
      <c r="H101" s="101">
        <v>5539</v>
      </c>
      <c r="I101" s="101">
        <f t="shared" si="1"/>
        <v>5539</v>
      </c>
      <c r="J101" s="123"/>
    </row>
    <row r="102" spans="1:10" s="1" customFormat="1" ht="12.75" x14ac:dyDescent="0.2">
      <c r="A102" s="102">
        <v>93</v>
      </c>
      <c r="B102" s="102"/>
      <c r="C102" s="102" t="s">
        <v>23</v>
      </c>
      <c r="D102" s="102" t="s">
        <v>190</v>
      </c>
      <c r="E102" s="121" t="s">
        <v>235</v>
      </c>
      <c r="F102" s="102" t="s">
        <v>18</v>
      </c>
      <c r="G102" s="122">
        <v>5</v>
      </c>
      <c r="H102" s="101">
        <v>4204</v>
      </c>
      <c r="I102" s="101">
        <f t="shared" si="1"/>
        <v>21020</v>
      </c>
      <c r="J102" s="123"/>
    </row>
    <row r="103" spans="1:10" s="1" customFormat="1" ht="12.75" x14ac:dyDescent="0.2">
      <c r="A103" s="102">
        <v>94</v>
      </c>
      <c r="B103" s="102"/>
      <c r="C103" s="102" t="s">
        <v>23</v>
      </c>
      <c r="D103" s="102" t="s">
        <v>24</v>
      </c>
      <c r="E103" s="121" t="s">
        <v>165</v>
      </c>
      <c r="F103" s="102" t="s">
        <v>18</v>
      </c>
      <c r="G103" s="122">
        <v>9</v>
      </c>
      <c r="H103" s="101">
        <v>29160</v>
      </c>
      <c r="I103" s="101">
        <f t="shared" si="1"/>
        <v>262440</v>
      </c>
      <c r="J103" s="123"/>
    </row>
    <row r="104" spans="1:10" s="1" customFormat="1" ht="12.75" x14ac:dyDescent="0.2">
      <c r="A104" s="102">
        <v>95</v>
      </c>
      <c r="B104" s="102"/>
      <c r="C104" s="102" t="s">
        <v>23</v>
      </c>
      <c r="D104" s="102" t="s">
        <v>24</v>
      </c>
      <c r="E104" s="121" t="s">
        <v>166</v>
      </c>
      <c r="F104" s="102" t="s">
        <v>18</v>
      </c>
      <c r="G104" s="122">
        <v>9</v>
      </c>
      <c r="H104" s="101">
        <v>22500</v>
      </c>
      <c r="I104" s="101">
        <f t="shared" si="1"/>
        <v>202500</v>
      </c>
      <c r="J104" s="123"/>
    </row>
    <row r="105" spans="1:10" s="1" customFormat="1" ht="12.75" x14ac:dyDescent="0.2">
      <c r="A105" s="102">
        <v>96</v>
      </c>
      <c r="B105" s="102"/>
      <c r="C105" s="102" t="s">
        <v>23</v>
      </c>
      <c r="D105" s="102" t="s">
        <v>24</v>
      </c>
      <c r="E105" s="121" t="s">
        <v>167</v>
      </c>
      <c r="F105" s="102" t="s">
        <v>21</v>
      </c>
      <c r="G105" s="122">
        <v>9</v>
      </c>
      <c r="H105" s="101">
        <v>15588</v>
      </c>
      <c r="I105" s="101">
        <f t="shared" si="1"/>
        <v>140292</v>
      </c>
      <c r="J105" s="123"/>
    </row>
    <row r="106" spans="1:10" s="1" customFormat="1" ht="12.75" x14ac:dyDescent="0.2">
      <c r="A106" s="102">
        <v>97</v>
      </c>
      <c r="B106" s="102"/>
      <c r="C106" s="102" t="s">
        <v>23</v>
      </c>
      <c r="D106" s="102" t="s">
        <v>24</v>
      </c>
      <c r="E106" s="121" t="s">
        <v>168</v>
      </c>
      <c r="F106" s="102" t="s">
        <v>21</v>
      </c>
      <c r="G106" s="122">
        <v>9</v>
      </c>
      <c r="H106" s="101">
        <v>16500</v>
      </c>
      <c r="I106" s="101">
        <f t="shared" si="1"/>
        <v>148500</v>
      </c>
      <c r="J106" s="123"/>
    </row>
    <row r="107" spans="1:10" s="1" customFormat="1" ht="12.75" x14ac:dyDescent="0.2">
      <c r="A107" s="102">
        <v>98</v>
      </c>
      <c r="B107" s="102"/>
      <c r="C107" s="102" t="s">
        <v>23</v>
      </c>
      <c r="D107" s="102" t="s">
        <v>190</v>
      </c>
      <c r="E107" s="121" t="s">
        <v>72</v>
      </c>
      <c r="F107" s="102" t="s">
        <v>19</v>
      </c>
      <c r="G107" s="122">
        <v>50</v>
      </c>
      <c r="H107" s="101">
        <v>4552</v>
      </c>
      <c r="I107" s="101">
        <f t="shared" si="1"/>
        <v>227600</v>
      </c>
      <c r="J107" s="123"/>
    </row>
    <row r="108" spans="1:10" s="1" customFormat="1" ht="12.75" x14ac:dyDescent="0.2">
      <c r="A108" s="102">
        <v>99</v>
      </c>
      <c r="B108" s="102"/>
      <c r="C108" s="102" t="s">
        <v>23</v>
      </c>
      <c r="D108" s="102" t="s">
        <v>190</v>
      </c>
      <c r="E108" s="121" t="s">
        <v>240</v>
      </c>
      <c r="F108" s="102" t="s">
        <v>18</v>
      </c>
      <c r="G108" s="122">
        <v>2</v>
      </c>
      <c r="H108" s="101">
        <v>4683</v>
      </c>
      <c r="I108" s="101">
        <f t="shared" si="1"/>
        <v>9366</v>
      </c>
      <c r="J108" s="123"/>
    </row>
    <row r="109" spans="1:10" s="1" customFormat="1" ht="12.75" x14ac:dyDescent="0.2">
      <c r="A109" s="102">
        <v>100</v>
      </c>
      <c r="B109" s="102"/>
      <c r="C109" s="102" t="s">
        <v>23</v>
      </c>
      <c r="D109" s="102" t="s">
        <v>24</v>
      </c>
      <c r="E109" s="121" t="s">
        <v>174</v>
      </c>
      <c r="F109" s="102" t="s">
        <v>19</v>
      </c>
      <c r="G109" s="122">
        <v>3</v>
      </c>
      <c r="H109" s="101">
        <v>16980</v>
      </c>
      <c r="I109" s="101">
        <f t="shared" si="1"/>
        <v>50940</v>
      </c>
      <c r="J109" s="123"/>
    </row>
    <row r="110" spans="1:10" s="1" customFormat="1" ht="12.75" x14ac:dyDescent="0.2">
      <c r="A110" s="102">
        <v>101</v>
      </c>
      <c r="B110" s="102"/>
      <c r="C110" s="102" t="s">
        <v>23</v>
      </c>
      <c r="D110" s="102" t="s">
        <v>190</v>
      </c>
      <c r="E110" s="121" t="s">
        <v>73</v>
      </c>
      <c r="F110" s="102" t="s">
        <v>19</v>
      </c>
      <c r="G110" s="122">
        <v>30</v>
      </c>
      <c r="H110" s="101">
        <v>12575</v>
      </c>
      <c r="I110" s="101">
        <f t="shared" si="1"/>
        <v>377250</v>
      </c>
      <c r="J110" s="123"/>
    </row>
    <row r="111" spans="1:10" s="1" customFormat="1" ht="12.75" x14ac:dyDescent="0.2">
      <c r="A111" s="102">
        <v>102</v>
      </c>
      <c r="B111" s="102"/>
      <c r="C111" s="102" t="s">
        <v>23</v>
      </c>
      <c r="D111" s="102" t="s">
        <v>190</v>
      </c>
      <c r="E111" s="121" t="s">
        <v>74</v>
      </c>
      <c r="F111" s="102" t="s">
        <v>19</v>
      </c>
      <c r="G111" s="122">
        <v>10</v>
      </c>
      <c r="H111" s="101">
        <v>3819</v>
      </c>
      <c r="I111" s="101">
        <f t="shared" si="1"/>
        <v>38190</v>
      </c>
      <c r="J111" s="123"/>
    </row>
    <row r="112" spans="1:10" s="1" customFormat="1" ht="12.75" x14ac:dyDescent="0.2">
      <c r="A112" s="102">
        <v>103</v>
      </c>
      <c r="B112" s="102"/>
      <c r="C112" s="102" t="s">
        <v>23</v>
      </c>
      <c r="D112" s="102" t="s">
        <v>190</v>
      </c>
      <c r="E112" s="121" t="s">
        <v>209</v>
      </c>
      <c r="F112" s="102" t="s">
        <v>19</v>
      </c>
      <c r="G112" s="122">
        <v>20</v>
      </c>
      <c r="H112" s="101">
        <v>1555698</v>
      </c>
      <c r="I112" s="101">
        <f t="shared" si="1"/>
        <v>31113960</v>
      </c>
      <c r="J112" s="123"/>
    </row>
    <row r="113" spans="1:10" s="1" customFormat="1" ht="12.75" x14ac:dyDescent="0.2">
      <c r="A113" s="102">
        <v>104</v>
      </c>
      <c r="B113" s="102"/>
      <c r="C113" s="102" t="s">
        <v>23</v>
      </c>
      <c r="D113" s="102" t="s">
        <v>190</v>
      </c>
      <c r="E113" s="121" t="s">
        <v>75</v>
      </c>
      <c r="F113" s="102" t="s">
        <v>19</v>
      </c>
      <c r="G113" s="122">
        <v>10</v>
      </c>
      <c r="H113" s="101">
        <v>12035</v>
      </c>
      <c r="I113" s="101">
        <f t="shared" si="1"/>
        <v>120350</v>
      </c>
      <c r="J113" s="123"/>
    </row>
    <row r="114" spans="1:10" s="1" customFormat="1" ht="12.75" x14ac:dyDescent="0.2">
      <c r="A114" s="102">
        <v>105</v>
      </c>
      <c r="B114" s="102"/>
      <c r="C114" s="102" t="s">
        <v>23</v>
      </c>
      <c r="D114" s="102" t="s">
        <v>190</v>
      </c>
      <c r="E114" s="121" t="s">
        <v>210</v>
      </c>
      <c r="F114" s="102" t="s">
        <v>19</v>
      </c>
      <c r="G114" s="122">
        <v>2</v>
      </c>
      <c r="H114" s="101">
        <v>37305</v>
      </c>
      <c r="I114" s="101">
        <f t="shared" si="1"/>
        <v>74610</v>
      </c>
      <c r="J114" s="123"/>
    </row>
    <row r="115" spans="1:10" s="1" customFormat="1" ht="12.75" x14ac:dyDescent="0.2">
      <c r="A115" s="102">
        <v>106</v>
      </c>
      <c r="B115" s="102"/>
      <c r="C115" s="102" t="s">
        <v>23</v>
      </c>
      <c r="D115" s="102" t="s">
        <v>190</v>
      </c>
      <c r="E115" s="121" t="s">
        <v>211</v>
      </c>
      <c r="F115" s="102" t="s">
        <v>19</v>
      </c>
      <c r="G115" s="122">
        <v>5</v>
      </c>
      <c r="H115" s="101">
        <v>61165</v>
      </c>
      <c r="I115" s="101">
        <f t="shared" si="1"/>
        <v>305825</v>
      </c>
      <c r="J115" s="123"/>
    </row>
    <row r="116" spans="1:10" s="1" customFormat="1" ht="12.75" x14ac:dyDescent="0.2">
      <c r="A116" s="102">
        <v>107</v>
      </c>
      <c r="B116" s="102"/>
      <c r="C116" s="102" t="s">
        <v>23</v>
      </c>
      <c r="D116" s="102" t="s">
        <v>190</v>
      </c>
      <c r="E116" s="121" t="s">
        <v>212</v>
      </c>
      <c r="F116" s="102" t="s">
        <v>19</v>
      </c>
      <c r="G116" s="122">
        <v>5</v>
      </c>
      <c r="H116" s="101">
        <v>81157</v>
      </c>
      <c r="I116" s="101">
        <f t="shared" si="1"/>
        <v>405785</v>
      </c>
      <c r="J116" s="123"/>
    </row>
    <row r="117" spans="1:10" s="1" customFormat="1" ht="12.75" x14ac:dyDescent="0.2">
      <c r="A117" s="102">
        <v>108</v>
      </c>
      <c r="B117" s="102"/>
      <c r="C117" s="102" t="s">
        <v>23</v>
      </c>
      <c r="D117" s="102" t="s">
        <v>190</v>
      </c>
      <c r="E117" s="121" t="s">
        <v>76</v>
      </c>
      <c r="F117" s="102" t="s">
        <v>28</v>
      </c>
      <c r="G117" s="122">
        <v>5</v>
      </c>
      <c r="H117" s="101">
        <v>3172</v>
      </c>
      <c r="I117" s="101">
        <f t="shared" si="1"/>
        <v>15860</v>
      </c>
      <c r="J117" s="123"/>
    </row>
    <row r="118" spans="1:10" s="1" customFormat="1" ht="12.75" x14ac:dyDescent="0.2">
      <c r="A118" s="102">
        <v>109</v>
      </c>
      <c r="B118" s="102"/>
      <c r="C118" s="102" t="s">
        <v>23</v>
      </c>
      <c r="D118" s="102" t="s">
        <v>24</v>
      </c>
      <c r="E118" s="121" t="s">
        <v>175</v>
      </c>
      <c r="F118" s="102" t="s">
        <v>19</v>
      </c>
      <c r="G118" s="122">
        <v>1</v>
      </c>
      <c r="H118" s="101">
        <v>17788</v>
      </c>
      <c r="I118" s="101">
        <f t="shared" si="1"/>
        <v>17788</v>
      </c>
      <c r="J118" s="123"/>
    </row>
    <row r="119" spans="1:10" s="1" customFormat="1" ht="12.75" x14ac:dyDescent="0.2">
      <c r="A119" s="102">
        <v>110</v>
      </c>
      <c r="B119" s="102"/>
      <c r="C119" s="102" t="s">
        <v>23</v>
      </c>
      <c r="D119" s="102" t="s">
        <v>24</v>
      </c>
      <c r="E119" s="121" t="s">
        <v>176</v>
      </c>
      <c r="F119" s="102" t="s">
        <v>19</v>
      </c>
      <c r="G119" s="122">
        <v>15</v>
      </c>
      <c r="H119" s="101">
        <v>64700</v>
      </c>
      <c r="I119" s="101">
        <f t="shared" si="1"/>
        <v>970500</v>
      </c>
      <c r="J119" s="123"/>
    </row>
    <row r="120" spans="1:10" s="1" customFormat="1" ht="12.75" x14ac:dyDescent="0.2">
      <c r="A120" s="102">
        <v>111</v>
      </c>
      <c r="B120" s="102"/>
      <c r="C120" s="102" t="s">
        <v>23</v>
      </c>
      <c r="D120" s="102" t="s">
        <v>24</v>
      </c>
      <c r="E120" s="121" t="s">
        <v>177</v>
      </c>
      <c r="F120" s="102" t="s">
        <v>19</v>
      </c>
      <c r="G120" s="122">
        <v>1</v>
      </c>
      <c r="H120" s="101">
        <v>12540</v>
      </c>
      <c r="I120" s="101">
        <f t="shared" si="1"/>
        <v>12540</v>
      </c>
      <c r="J120" s="123"/>
    </row>
    <row r="121" spans="1:10" s="1" customFormat="1" ht="12.75" x14ac:dyDescent="0.2">
      <c r="A121" s="102">
        <v>112</v>
      </c>
      <c r="B121" s="102"/>
      <c r="C121" s="102" t="s">
        <v>23</v>
      </c>
      <c r="D121" s="102" t="s">
        <v>190</v>
      </c>
      <c r="E121" s="121" t="s">
        <v>213</v>
      </c>
      <c r="F121" s="102" t="s">
        <v>18</v>
      </c>
      <c r="G121" s="122">
        <v>5</v>
      </c>
      <c r="H121" s="101">
        <v>16709</v>
      </c>
      <c r="I121" s="101">
        <f t="shared" si="1"/>
        <v>83545</v>
      </c>
      <c r="J121" s="123"/>
    </row>
    <row r="122" spans="1:10" s="1" customFormat="1" ht="12.75" x14ac:dyDescent="0.2">
      <c r="A122" s="102">
        <v>113</v>
      </c>
      <c r="B122" s="102"/>
      <c r="C122" s="102" t="s">
        <v>23</v>
      </c>
      <c r="D122" s="102" t="s">
        <v>190</v>
      </c>
      <c r="E122" s="121" t="s">
        <v>77</v>
      </c>
      <c r="F122" s="102" t="s">
        <v>19</v>
      </c>
      <c r="G122" s="122">
        <v>3</v>
      </c>
      <c r="H122" s="101">
        <v>19487</v>
      </c>
      <c r="I122" s="101">
        <f t="shared" si="1"/>
        <v>58461</v>
      </c>
      <c r="J122" s="123"/>
    </row>
    <row r="123" spans="1:10" s="1" customFormat="1" ht="12.75" x14ac:dyDescent="0.2">
      <c r="A123" s="102">
        <v>114</v>
      </c>
      <c r="B123" s="102"/>
      <c r="C123" s="102" t="s">
        <v>23</v>
      </c>
      <c r="D123" s="102" t="s">
        <v>24</v>
      </c>
      <c r="E123" s="144" t="s">
        <v>243</v>
      </c>
      <c r="F123" s="102" t="s">
        <v>54</v>
      </c>
      <c r="G123" s="122">
        <v>81</v>
      </c>
      <c r="H123" s="101">
        <v>4350</v>
      </c>
      <c r="I123" s="101">
        <f t="shared" si="1"/>
        <v>352350</v>
      </c>
      <c r="J123" s="123"/>
    </row>
    <row r="124" spans="1:10" s="1" customFormat="1" ht="12.75" x14ac:dyDescent="0.2">
      <c r="A124" s="102">
        <v>115</v>
      </c>
      <c r="B124" s="102"/>
      <c r="C124" s="102" t="s">
        <v>23</v>
      </c>
      <c r="D124" s="102" t="s">
        <v>24</v>
      </c>
      <c r="E124" s="144" t="s">
        <v>169</v>
      </c>
      <c r="F124" s="102" t="s">
        <v>54</v>
      </c>
      <c r="G124" s="122">
        <v>42</v>
      </c>
      <c r="H124" s="101">
        <v>6649.5</v>
      </c>
      <c r="I124" s="101">
        <f t="shared" si="1"/>
        <v>279279</v>
      </c>
      <c r="J124" s="123"/>
    </row>
    <row r="125" spans="1:10" s="1" customFormat="1" ht="12.75" x14ac:dyDescent="0.2">
      <c r="A125" s="102">
        <v>116</v>
      </c>
      <c r="B125" s="102"/>
      <c r="C125" s="102" t="s">
        <v>23</v>
      </c>
      <c r="D125" s="102" t="s">
        <v>190</v>
      </c>
      <c r="E125" s="144" t="s">
        <v>78</v>
      </c>
      <c r="F125" s="102" t="s">
        <v>19</v>
      </c>
      <c r="G125" s="122">
        <v>10</v>
      </c>
      <c r="H125" s="101">
        <v>14599</v>
      </c>
      <c r="I125" s="101">
        <f t="shared" si="1"/>
        <v>145990</v>
      </c>
      <c r="J125" s="123"/>
    </row>
    <row r="126" spans="1:10" s="1" customFormat="1" ht="12.75" x14ac:dyDescent="0.2">
      <c r="A126" s="102">
        <v>117</v>
      </c>
      <c r="B126" s="102"/>
      <c r="C126" s="102" t="s">
        <v>23</v>
      </c>
      <c r="D126" s="102" t="s">
        <v>24</v>
      </c>
      <c r="E126" s="121" t="s">
        <v>170</v>
      </c>
      <c r="F126" s="102" t="s">
        <v>18</v>
      </c>
      <c r="G126" s="122">
        <v>12</v>
      </c>
      <c r="H126" s="101">
        <v>1325</v>
      </c>
      <c r="I126" s="101">
        <f t="shared" si="1"/>
        <v>15900</v>
      </c>
      <c r="J126" s="123"/>
    </row>
    <row r="127" spans="1:10" s="1" customFormat="1" ht="12.75" x14ac:dyDescent="0.2">
      <c r="A127" s="102">
        <v>118</v>
      </c>
      <c r="B127" s="102"/>
      <c r="C127" s="102" t="s">
        <v>23</v>
      </c>
      <c r="D127" s="102" t="s">
        <v>24</v>
      </c>
      <c r="E127" s="121" t="s">
        <v>171</v>
      </c>
      <c r="F127" s="102" t="s">
        <v>21</v>
      </c>
      <c r="G127" s="122">
        <v>1500</v>
      </c>
      <c r="H127" s="101">
        <v>665.5</v>
      </c>
      <c r="I127" s="101">
        <f t="shared" si="1"/>
        <v>998250</v>
      </c>
      <c r="J127" s="123"/>
    </row>
    <row r="128" spans="1:10" s="1" customFormat="1" ht="12.75" x14ac:dyDescent="0.2">
      <c r="A128" s="102">
        <v>119</v>
      </c>
      <c r="B128" s="102"/>
      <c r="C128" s="102" t="s">
        <v>23</v>
      </c>
      <c r="D128" s="102" t="s">
        <v>24</v>
      </c>
      <c r="E128" s="121" t="s">
        <v>172</v>
      </c>
      <c r="F128" s="102" t="s">
        <v>21</v>
      </c>
      <c r="G128" s="122">
        <v>900</v>
      </c>
      <c r="H128" s="101">
        <v>871.2</v>
      </c>
      <c r="I128" s="101">
        <f t="shared" si="1"/>
        <v>784080</v>
      </c>
      <c r="J128" s="123"/>
    </row>
    <row r="129" spans="1:10" s="1" customFormat="1" ht="12.75" x14ac:dyDescent="0.2">
      <c r="A129" s="102">
        <v>120</v>
      </c>
      <c r="B129" s="102"/>
      <c r="C129" s="102" t="s">
        <v>23</v>
      </c>
      <c r="D129" s="102" t="s">
        <v>24</v>
      </c>
      <c r="E129" s="121" t="s">
        <v>173</v>
      </c>
      <c r="F129" s="102" t="s">
        <v>18</v>
      </c>
      <c r="G129" s="122">
        <v>900</v>
      </c>
      <c r="H129" s="101">
        <v>954</v>
      </c>
      <c r="I129" s="101">
        <f t="shared" si="1"/>
        <v>858600</v>
      </c>
      <c r="J129" s="123"/>
    </row>
    <row r="130" spans="1:10" s="1" customFormat="1" ht="12.75" x14ac:dyDescent="0.2">
      <c r="A130" s="102">
        <v>121</v>
      </c>
      <c r="B130" s="102"/>
      <c r="C130" s="102" t="s">
        <v>23</v>
      </c>
      <c r="D130" s="102" t="s">
        <v>190</v>
      </c>
      <c r="E130" s="121" t="s">
        <v>79</v>
      </c>
      <c r="F130" s="102" t="s">
        <v>19</v>
      </c>
      <c r="G130" s="122">
        <v>1250</v>
      </c>
      <c r="H130" s="101">
        <v>12380</v>
      </c>
      <c r="I130" s="101">
        <f t="shared" si="1"/>
        <v>15475000</v>
      </c>
      <c r="J130" s="123"/>
    </row>
    <row r="131" spans="1:10" s="1" customFormat="1" ht="12.75" x14ac:dyDescent="0.2">
      <c r="A131" s="102">
        <v>122</v>
      </c>
      <c r="B131" s="102"/>
      <c r="C131" s="102" t="s">
        <v>23</v>
      </c>
      <c r="D131" s="102" t="s">
        <v>190</v>
      </c>
      <c r="E131" s="121" t="s">
        <v>80</v>
      </c>
      <c r="F131" s="102" t="s">
        <v>19</v>
      </c>
      <c r="G131" s="122">
        <v>30</v>
      </c>
      <c r="H131" s="101">
        <v>46892</v>
      </c>
      <c r="I131" s="101">
        <f t="shared" si="1"/>
        <v>1406760</v>
      </c>
      <c r="J131" s="123"/>
    </row>
    <row r="132" spans="1:10" s="1" customFormat="1" ht="12.75" x14ac:dyDescent="0.2">
      <c r="A132" s="102">
        <v>123</v>
      </c>
      <c r="B132" s="102"/>
      <c r="C132" s="102" t="s">
        <v>23</v>
      </c>
      <c r="D132" s="102" t="s">
        <v>24</v>
      </c>
      <c r="E132" s="121" t="s">
        <v>162</v>
      </c>
      <c r="F132" s="102" t="s">
        <v>18</v>
      </c>
      <c r="G132" s="122">
        <v>12</v>
      </c>
      <c r="H132" s="101">
        <v>16645</v>
      </c>
      <c r="I132" s="101">
        <f t="shared" si="1"/>
        <v>199740</v>
      </c>
      <c r="J132" s="123"/>
    </row>
    <row r="133" spans="1:10" s="1" customFormat="1" ht="12.75" x14ac:dyDescent="0.2">
      <c r="A133" s="102">
        <v>124</v>
      </c>
      <c r="B133" s="102"/>
      <c r="C133" s="102" t="s">
        <v>23</v>
      </c>
      <c r="D133" s="102" t="s">
        <v>24</v>
      </c>
      <c r="E133" s="121" t="s">
        <v>178</v>
      </c>
      <c r="F133" s="102" t="s">
        <v>19</v>
      </c>
      <c r="G133" s="122">
        <v>4</v>
      </c>
      <c r="H133" s="101">
        <v>7395</v>
      </c>
      <c r="I133" s="101">
        <f t="shared" si="1"/>
        <v>29580</v>
      </c>
      <c r="J133" s="123"/>
    </row>
    <row r="134" spans="1:10" s="1" customFormat="1" ht="12.75" x14ac:dyDescent="0.2">
      <c r="A134" s="102">
        <v>125</v>
      </c>
      <c r="B134" s="102"/>
      <c r="C134" s="102" t="s">
        <v>23</v>
      </c>
      <c r="D134" s="102" t="s">
        <v>190</v>
      </c>
      <c r="E134" s="121" t="s">
        <v>236</v>
      </c>
      <c r="F134" s="102" t="s">
        <v>18</v>
      </c>
      <c r="G134" s="122">
        <v>4</v>
      </c>
      <c r="H134" s="101">
        <v>4448</v>
      </c>
      <c r="I134" s="101">
        <f t="shared" si="1"/>
        <v>17792</v>
      </c>
      <c r="J134" s="123"/>
    </row>
    <row r="135" spans="1:10" s="1" customFormat="1" ht="12.75" x14ac:dyDescent="0.2">
      <c r="A135" s="102">
        <v>126</v>
      </c>
      <c r="B135" s="102"/>
      <c r="C135" s="102" t="s">
        <v>23</v>
      </c>
      <c r="D135" s="102" t="s">
        <v>190</v>
      </c>
      <c r="E135" s="121" t="s">
        <v>81</v>
      </c>
      <c r="F135" s="102" t="s">
        <v>18</v>
      </c>
      <c r="G135" s="122">
        <v>3</v>
      </c>
      <c r="H135" s="101">
        <v>53978</v>
      </c>
      <c r="I135" s="101">
        <f t="shared" si="1"/>
        <v>161934</v>
      </c>
      <c r="J135" s="123"/>
    </row>
    <row r="136" spans="1:10" s="1" customFormat="1" ht="12.75" x14ac:dyDescent="0.2">
      <c r="A136" s="102">
        <v>127</v>
      </c>
      <c r="B136" s="102"/>
      <c r="C136" s="102" t="s">
        <v>23</v>
      </c>
      <c r="D136" s="102" t="s">
        <v>190</v>
      </c>
      <c r="E136" s="121" t="s">
        <v>82</v>
      </c>
      <c r="F136" s="102" t="s">
        <v>19</v>
      </c>
      <c r="G136" s="122">
        <v>10</v>
      </c>
      <c r="H136" s="101">
        <v>34881</v>
      </c>
      <c r="I136" s="101">
        <f t="shared" si="1"/>
        <v>348810</v>
      </c>
      <c r="J136" s="123"/>
    </row>
    <row r="137" spans="1:10" s="1" customFormat="1" ht="12.75" x14ac:dyDescent="0.2">
      <c r="A137" s="102">
        <v>128</v>
      </c>
      <c r="B137" s="102"/>
      <c r="C137" s="102" t="s">
        <v>23</v>
      </c>
      <c r="D137" s="102" t="s">
        <v>190</v>
      </c>
      <c r="E137" s="121" t="s">
        <v>214</v>
      </c>
      <c r="F137" s="102" t="s">
        <v>18</v>
      </c>
      <c r="G137" s="122">
        <v>6</v>
      </c>
      <c r="H137" s="101">
        <v>29105.599999999999</v>
      </c>
      <c r="I137" s="101">
        <f t="shared" si="1"/>
        <v>174633.59999999998</v>
      </c>
      <c r="J137" s="123"/>
    </row>
    <row r="138" spans="1:10" s="1" customFormat="1" ht="12.75" x14ac:dyDescent="0.2">
      <c r="A138" s="102">
        <v>129</v>
      </c>
      <c r="B138" s="102"/>
      <c r="C138" s="102" t="s">
        <v>23</v>
      </c>
      <c r="D138" s="102" t="s">
        <v>190</v>
      </c>
      <c r="E138" s="121" t="s">
        <v>182</v>
      </c>
      <c r="F138" s="102" t="s">
        <v>19</v>
      </c>
      <c r="G138" s="122">
        <v>20</v>
      </c>
      <c r="H138" s="101">
        <v>7716</v>
      </c>
      <c r="I138" s="101">
        <f t="shared" ref="I138:I146" si="2">+G138*H138</f>
        <v>154320</v>
      </c>
      <c r="J138" s="123"/>
    </row>
    <row r="139" spans="1:10" s="1" customFormat="1" ht="12.75" x14ac:dyDescent="0.2">
      <c r="A139" s="102">
        <v>130</v>
      </c>
      <c r="B139" s="102"/>
      <c r="C139" s="102" t="s">
        <v>23</v>
      </c>
      <c r="D139" s="102" t="s">
        <v>190</v>
      </c>
      <c r="E139" s="121" t="s">
        <v>237</v>
      </c>
      <c r="F139" s="102" t="s">
        <v>18</v>
      </c>
      <c r="G139" s="122">
        <v>10</v>
      </c>
      <c r="H139" s="101">
        <v>7544</v>
      </c>
      <c r="I139" s="101">
        <f t="shared" si="2"/>
        <v>75440</v>
      </c>
      <c r="J139" s="123"/>
    </row>
    <row r="140" spans="1:10" s="1" customFormat="1" ht="12.75" x14ac:dyDescent="0.2">
      <c r="A140" s="102">
        <v>131</v>
      </c>
      <c r="B140" s="102"/>
      <c r="C140" s="102" t="s">
        <v>23</v>
      </c>
      <c r="D140" s="102" t="s">
        <v>190</v>
      </c>
      <c r="E140" s="121" t="s">
        <v>83</v>
      </c>
      <c r="F140" s="102" t="s">
        <v>19</v>
      </c>
      <c r="G140" s="122">
        <v>20</v>
      </c>
      <c r="H140" s="101">
        <v>2476</v>
      </c>
      <c r="I140" s="101">
        <f t="shared" si="2"/>
        <v>49520</v>
      </c>
      <c r="J140" s="123"/>
    </row>
    <row r="141" spans="1:10" s="1" customFormat="1" ht="12.75" x14ac:dyDescent="0.2">
      <c r="A141" s="102">
        <v>132</v>
      </c>
      <c r="B141" s="102"/>
      <c r="C141" s="102" t="s">
        <v>23</v>
      </c>
      <c r="D141" s="102" t="s">
        <v>24</v>
      </c>
      <c r="E141" s="121" t="s">
        <v>241</v>
      </c>
      <c r="F141" s="102" t="s">
        <v>18</v>
      </c>
      <c r="G141" s="122">
        <v>12</v>
      </c>
      <c r="H141" s="101">
        <v>1633</v>
      </c>
      <c r="I141" s="101">
        <f t="shared" si="2"/>
        <v>19596</v>
      </c>
      <c r="J141" s="123"/>
    </row>
    <row r="142" spans="1:10" s="1" customFormat="1" ht="12.75" x14ac:dyDescent="0.2">
      <c r="A142" s="102">
        <v>133</v>
      </c>
      <c r="B142" s="102"/>
      <c r="C142" s="102" t="s">
        <v>23</v>
      </c>
      <c r="D142" s="102" t="s">
        <v>190</v>
      </c>
      <c r="E142" s="121" t="s">
        <v>84</v>
      </c>
      <c r="F142" s="102" t="s">
        <v>19</v>
      </c>
      <c r="G142" s="122">
        <v>3</v>
      </c>
      <c r="H142" s="101">
        <v>19487</v>
      </c>
      <c r="I142" s="101">
        <f t="shared" si="2"/>
        <v>58461</v>
      </c>
      <c r="J142" s="123"/>
    </row>
    <row r="143" spans="1:10" s="1" customFormat="1" ht="12.75" x14ac:dyDescent="0.2">
      <c r="A143" s="102">
        <v>134</v>
      </c>
      <c r="B143" s="102"/>
      <c r="C143" s="102" t="s">
        <v>23</v>
      </c>
      <c r="D143" s="102" t="s">
        <v>190</v>
      </c>
      <c r="E143" s="121" t="s">
        <v>85</v>
      </c>
      <c r="F143" s="102" t="s">
        <v>19</v>
      </c>
      <c r="G143" s="122">
        <v>9</v>
      </c>
      <c r="H143" s="101">
        <v>11294</v>
      </c>
      <c r="I143" s="101">
        <f t="shared" si="2"/>
        <v>101646</v>
      </c>
      <c r="J143" s="123"/>
    </row>
    <row r="144" spans="1:10" s="1" customFormat="1" ht="12.75" x14ac:dyDescent="0.2">
      <c r="A144" s="102">
        <v>135</v>
      </c>
      <c r="B144" s="102"/>
      <c r="C144" s="102" t="s">
        <v>23</v>
      </c>
      <c r="D144" s="102" t="s">
        <v>190</v>
      </c>
      <c r="E144" s="121" t="s">
        <v>86</v>
      </c>
      <c r="F144" s="102" t="s">
        <v>19</v>
      </c>
      <c r="G144" s="122">
        <v>10</v>
      </c>
      <c r="H144" s="101">
        <v>17606</v>
      </c>
      <c r="I144" s="101">
        <f t="shared" si="2"/>
        <v>176060</v>
      </c>
      <c r="J144" s="123"/>
    </row>
    <row r="145" spans="1:10" s="1" customFormat="1" ht="12.75" x14ac:dyDescent="0.2">
      <c r="A145" s="102">
        <v>136</v>
      </c>
      <c r="B145" s="102"/>
      <c r="C145" s="102" t="s">
        <v>23</v>
      </c>
      <c r="D145" s="102" t="s">
        <v>24</v>
      </c>
      <c r="E145" s="121" t="s">
        <v>139</v>
      </c>
      <c r="F145" s="102" t="s">
        <v>50</v>
      </c>
      <c r="G145" s="122">
        <v>20</v>
      </c>
      <c r="H145" s="101">
        <v>10000</v>
      </c>
      <c r="I145" s="101">
        <f t="shared" si="2"/>
        <v>200000</v>
      </c>
      <c r="J145" s="123"/>
    </row>
    <row r="146" spans="1:10" s="1" customFormat="1" ht="13.5" thickBot="1" x14ac:dyDescent="0.25">
      <c r="A146" s="102">
        <v>137</v>
      </c>
      <c r="B146" s="133"/>
      <c r="C146" s="133" t="s">
        <v>23</v>
      </c>
      <c r="D146" s="133" t="s">
        <v>190</v>
      </c>
      <c r="E146" s="134" t="s">
        <v>215</v>
      </c>
      <c r="F146" s="133" t="s">
        <v>19</v>
      </c>
      <c r="G146" s="136">
        <v>1</v>
      </c>
      <c r="H146" s="135">
        <v>93477</v>
      </c>
      <c r="I146" s="101">
        <f t="shared" si="2"/>
        <v>93477</v>
      </c>
      <c r="J146" s="123"/>
    </row>
    <row r="147" spans="1:10" s="2" customFormat="1" ht="13.5" thickBot="1" x14ac:dyDescent="0.25">
      <c r="A147" s="124"/>
      <c r="B147" s="103"/>
      <c r="C147" s="103"/>
      <c r="D147" s="103"/>
      <c r="E147" s="125" t="s">
        <v>87</v>
      </c>
      <c r="F147" s="103"/>
      <c r="G147" s="126"/>
      <c r="H147" s="104"/>
      <c r="I147" s="127">
        <f>SUM(I10:I146)</f>
        <v>86666930.659999996</v>
      </c>
      <c r="J147" s="132"/>
    </row>
    <row r="148" spans="1:10" ht="15.75" thickBot="1" x14ac:dyDescent="0.3"/>
    <row r="149" spans="1:10" s="142" customFormat="1" ht="132.75" customHeight="1" x14ac:dyDescent="0.25">
      <c r="A149" s="105"/>
      <c r="B149" s="105"/>
      <c r="C149" s="53" t="s">
        <v>125</v>
      </c>
      <c r="D149" s="151" t="s">
        <v>126</v>
      </c>
      <c r="E149" s="152"/>
      <c r="F149" s="105"/>
      <c r="G149" s="129"/>
      <c r="H149" s="130"/>
      <c r="I149" s="130"/>
      <c r="J149" s="141"/>
    </row>
    <row r="150" spans="1:10" s="142" customFormat="1" x14ac:dyDescent="0.25">
      <c r="A150" s="105"/>
      <c r="B150" s="105"/>
      <c r="C150" s="54"/>
      <c r="D150" s="81"/>
      <c r="E150" s="131"/>
      <c r="F150" s="105"/>
      <c r="G150" s="129"/>
      <c r="H150" s="130"/>
      <c r="I150" s="130"/>
      <c r="J150" s="141"/>
    </row>
    <row r="151" spans="1:10" s="142" customFormat="1" ht="14.45" customHeight="1" x14ac:dyDescent="0.25">
      <c r="A151" s="105"/>
      <c r="B151" s="105"/>
      <c r="C151" s="54" t="s">
        <v>127</v>
      </c>
      <c r="D151" s="145" t="s">
        <v>188</v>
      </c>
      <c r="E151" s="146"/>
      <c r="F151" s="105"/>
      <c r="G151" s="129"/>
      <c r="H151" s="130"/>
      <c r="I151" s="130"/>
      <c r="J151" s="141"/>
    </row>
    <row r="152" spans="1:10" s="142" customFormat="1" x14ac:dyDescent="0.25">
      <c r="A152" s="105"/>
      <c r="B152" s="105"/>
      <c r="C152" s="54"/>
      <c r="D152" s="81"/>
      <c r="E152" s="131"/>
      <c r="F152" s="105"/>
      <c r="G152" s="129"/>
      <c r="H152" s="130"/>
      <c r="I152" s="130"/>
      <c r="J152" s="141"/>
    </row>
    <row r="153" spans="1:10" s="142" customFormat="1" ht="27" customHeight="1" x14ac:dyDescent="0.25">
      <c r="A153" s="105"/>
      <c r="B153" s="105"/>
      <c r="C153" s="54" t="s">
        <v>128</v>
      </c>
      <c r="D153" s="145" t="s">
        <v>181</v>
      </c>
      <c r="E153" s="146"/>
      <c r="F153" s="105"/>
      <c r="G153" s="129"/>
      <c r="H153" s="130"/>
      <c r="I153" s="130"/>
      <c r="J153" s="141"/>
    </row>
    <row r="154" spans="1:10" s="142" customFormat="1" x14ac:dyDescent="0.25">
      <c r="A154" s="105"/>
      <c r="B154" s="105"/>
      <c r="C154" s="54"/>
      <c r="D154" s="81"/>
      <c r="E154" s="131"/>
      <c r="F154" s="105"/>
      <c r="G154" s="129"/>
      <c r="H154" s="130"/>
      <c r="I154" s="130"/>
      <c r="J154" s="141"/>
    </row>
    <row r="155" spans="1:10" s="142" customFormat="1" x14ac:dyDescent="0.25">
      <c r="A155" s="105"/>
      <c r="B155" s="105"/>
      <c r="C155" s="54" t="s">
        <v>129</v>
      </c>
      <c r="D155" s="81"/>
      <c r="E155" s="131"/>
      <c r="F155" s="105"/>
      <c r="G155" s="129"/>
      <c r="H155" s="130"/>
      <c r="I155" s="130"/>
      <c r="J155" s="141"/>
    </row>
    <row r="156" spans="1:10" s="142" customFormat="1" x14ac:dyDescent="0.25">
      <c r="A156" s="105"/>
      <c r="B156" s="105"/>
      <c r="C156" s="54"/>
      <c r="D156" s="81"/>
      <c r="E156" s="131"/>
      <c r="F156" s="105"/>
      <c r="G156" s="129"/>
      <c r="H156" s="130"/>
      <c r="I156" s="130"/>
      <c r="J156" s="141"/>
    </row>
    <row r="157" spans="1:10" s="142" customFormat="1" ht="15.75" thickBot="1" x14ac:dyDescent="0.3">
      <c r="A157" s="105"/>
      <c r="B157" s="105"/>
      <c r="C157" s="143" t="s">
        <v>130</v>
      </c>
      <c r="D157" s="147" t="s">
        <v>131</v>
      </c>
      <c r="E157" s="148"/>
      <c r="F157" s="105"/>
      <c r="G157" s="129"/>
      <c r="H157" s="130"/>
      <c r="I157" s="130"/>
      <c r="J157" s="141"/>
    </row>
  </sheetData>
  <sortState xmlns:xlrd2="http://schemas.microsoft.com/office/spreadsheetml/2017/richdata2" ref="B10:J208">
    <sortCondition ref="E10:E208"/>
  </sortState>
  <mergeCells count="9">
    <mergeCell ref="D153:E153"/>
    <mergeCell ref="D157:E157"/>
    <mergeCell ref="A7:B7"/>
    <mergeCell ref="A6:B6"/>
    <mergeCell ref="B2:H2"/>
    <mergeCell ref="A4:B4"/>
    <mergeCell ref="A5:B5"/>
    <mergeCell ref="D149:E149"/>
    <mergeCell ref="D151:E151"/>
  </mergeCells>
  <conditionalFormatting sqref="C151:C157">
    <cfRule type="duplicateValues" dxfId="9" priority="1"/>
  </conditionalFormatting>
  <conditionalFormatting sqref="C151:C157">
    <cfRule type="duplicateValues" dxfId="8" priority="2"/>
  </conditionalFormatting>
  <conditionalFormatting sqref="C151:C157">
    <cfRule type="duplicateValues" dxfId="7" priority="3"/>
  </conditionalFormatting>
  <conditionalFormatting sqref="C151:C157">
    <cfRule type="duplicateValues" dxfId="6" priority="4"/>
  </conditionalFormatting>
  <conditionalFormatting sqref="B1:B9 E1:E9">
    <cfRule type="duplicateValues" dxfId="5" priority="142"/>
  </conditionalFormatting>
  <conditionalFormatting sqref="E1:E9 B1:B9">
    <cfRule type="duplicateValues" dxfId="4" priority="144"/>
  </conditionalFormatting>
  <conditionalFormatting sqref="B1:B9">
    <cfRule type="duplicateValues" dxfId="3" priority="146"/>
  </conditionalFormatting>
  <conditionalFormatting sqref="E1:E9">
    <cfRule type="duplicateValues" dxfId="2" priority="147"/>
  </conditionalFormatting>
  <conditionalFormatting sqref="E1:E9">
    <cfRule type="duplicateValues" dxfId="1" priority="148"/>
    <cfRule type="duplicateValues" dxfId="0" priority="149"/>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5"/>
  <sheetViews>
    <sheetView topLeftCell="A94" workbookViewId="0">
      <selection activeCell="H12" sqref="H12:H103"/>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43.28515625" customWidth="1"/>
    <col min="8" max="8" width="9.28515625" customWidth="1"/>
    <col min="9" max="9" width="15.5703125" customWidth="1"/>
    <col min="10" max="10" width="14.7109375" style="63" customWidth="1"/>
    <col min="11" max="11" width="15.5703125" customWidth="1"/>
    <col min="13" max="13" width="15.5703125" bestFit="1" customWidth="1"/>
  </cols>
  <sheetData>
    <row r="1" spans="1:13" ht="30.75" thickBot="1" x14ac:dyDescent="0.3">
      <c r="A1" s="160" t="s">
        <v>88</v>
      </c>
      <c r="B1" s="160"/>
      <c r="C1" s="160"/>
      <c r="D1" s="160"/>
      <c r="E1" s="160"/>
      <c r="F1" s="160"/>
      <c r="G1" s="160"/>
      <c r="H1" s="160"/>
      <c r="I1" s="160"/>
      <c r="J1" s="59" t="s">
        <v>89</v>
      </c>
      <c r="K1" s="3" t="s">
        <v>132</v>
      </c>
    </row>
    <row r="2" spans="1:13" ht="16.5" thickBot="1" x14ac:dyDescent="0.3">
      <c r="A2" s="4"/>
      <c r="B2" s="5"/>
      <c r="C2" s="5"/>
      <c r="D2" s="6"/>
      <c r="E2" s="6"/>
      <c r="F2" s="6"/>
      <c r="G2" s="6"/>
      <c r="H2" s="6"/>
      <c r="I2" s="6"/>
      <c r="J2" s="60"/>
      <c r="K2" s="7"/>
    </row>
    <row r="3" spans="1:13" ht="16.5" thickBot="1" x14ac:dyDescent="0.3">
      <c r="A3" s="161" t="s">
        <v>90</v>
      </c>
      <c r="B3" s="161"/>
      <c r="C3" s="161"/>
      <c r="D3" s="157" t="str">
        <f>'SAF 011'!C4</f>
        <v>040 - MINISTERIO DE SALUD</v>
      </c>
      <c r="E3" s="157"/>
      <c r="F3" s="157"/>
      <c r="G3" s="157"/>
      <c r="H3" s="157"/>
      <c r="I3" s="157"/>
      <c r="J3" s="157"/>
      <c r="K3" s="157"/>
    </row>
    <row r="4" spans="1:13" ht="16.5" thickBot="1" x14ac:dyDescent="0.3">
      <c r="A4" s="156" t="s">
        <v>91</v>
      </c>
      <c r="B4" s="156"/>
      <c r="C4" s="156"/>
      <c r="D4" s="157" t="str">
        <f>'SAF 011'!C5</f>
        <v>011 - DIRECCION PROVINCIAL DE ADMINISTRACION - MINISTERIO DE SALUD</v>
      </c>
      <c r="E4" s="157"/>
      <c r="F4" s="157"/>
      <c r="G4" s="157"/>
      <c r="H4" s="157"/>
      <c r="I4" s="157"/>
      <c r="J4" s="157"/>
      <c r="K4" s="157"/>
    </row>
    <row r="5" spans="1:13" ht="16.5" thickBot="1" x14ac:dyDescent="0.3">
      <c r="A5" s="156" t="s">
        <v>92</v>
      </c>
      <c r="B5" s="156"/>
      <c r="C5" s="156"/>
      <c r="D5" s="157" t="s">
        <v>133</v>
      </c>
      <c r="E5" s="157"/>
      <c r="F5" s="157"/>
      <c r="G5" s="157"/>
      <c r="H5" s="157"/>
      <c r="I5" s="157"/>
      <c r="J5" s="157"/>
      <c r="K5" s="157"/>
    </row>
    <row r="6" spans="1:13" ht="16.5" thickBot="1" x14ac:dyDescent="0.3">
      <c r="A6" s="161" t="s">
        <v>93</v>
      </c>
      <c r="B6" s="161"/>
      <c r="C6" s="161"/>
      <c r="D6" s="157" t="s">
        <v>133</v>
      </c>
      <c r="E6" s="157"/>
      <c r="F6" s="157"/>
      <c r="G6" s="157"/>
      <c r="H6" s="157"/>
      <c r="I6" s="157"/>
      <c r="J6" s="157"/>
      <c r="K6" s="157"/>
    </row>
    <row r="7" spans="1:13" ht="16.5" thickBot="1" x14ac:dyDescent="0.3">
      <c r="A7" s="156" t="s">
        <v>94</v>
      </c>
      <c r="B7" s="156"/>
      <c r="C7" s="156"/>
      <c r="D7" s="157" t="s">
        <v>134</v>
      </c>
      <c r="E7" s="157"/>
      <c r="F7" s="157"/>
      <c r="G7" s="157"/>
      <c r="H7" s="157"/>
      <c r="I7" s="157"/>
      <c r="J7" s="157"/>
      <c r="K7" s="157"/>
    </row>
    <row r="8" spans="1:13" ht="16.5" thickBot="1" x14ac:dyDescent="0.3">
      <c r="A8" s="158" t="s">
        <v>95</v>
      </c>
      <c r="B8" s="158"/>
      <c r="C8" s="158"/>
      <c r="D8" s="159" t="s">
        <v>135</v>
      </c>
      <c r="E8" s="159"/>
      <c r="F8" s="159"/>
      <c r="G8" s="159"/>
      <c r="H8" s="159"/>
      <c r="I8" s="159"/>
      <c r="J8" s="159"/>
      <c r="K8" s="159"/>
    </row>
    <row r="9" spans="1:13" ht="16.5" thickBot="1" x14ac:dyDescent="0.3">
      <c r="A9" s="8"/>
      <c r="B9" s="9"/>
      <c r="C9" s="9"/>
      <c r="D9" s="10"/>
      <c r="E9" s="10"/>
      <c r="F9" s="10"/>
      <c r="G9" s="10"/>
      <c r="H9" s="10"/>
      <c r="I9" s="10"/>
      <c r="J9" s="61"/>
      <c r="K9" s="11"/>
    </row>
    <row r="10" spans="1:13" ht="15.75" thickBot="1" x14ac:dyDescent="0.3">
      <c r="A10" s="169" t="s">
        <v>96</v>
      </c>
      <c r="B10" s="167" t="s">
        <v>97</v>
      </c>
      <c r="C10" s="167" t="s">
        <v>98</v>
      </c>
      <c r="D10" s="167"/>
      <c r="E10" s="167"/>
      <c r="F10" s="167"/>
      <c r="G10" s="167"/>
      <c r="H10" s="167" t="s">
        <v>99</v>
      </c>
      <c r="I10" s="167" t="s">
        <v>100</v>
      </c>
      <c r="J10" s="168" t="s">
        <v>101</v>
      </c>
      <c r="K10" s="165" t="s">
        <v>102</v>
      </c>
    </row>
    <row r="11" spans="1:13" ht="27.75" customHeight="1" thickBot="1" x14ac:dyDescent="0.3">
      <c r="A11" s="169"/>
      <c r="B11" s="167"/>
      <c r="C11" s="167"/>
      <c r="D11" s="167"/>
      <c r="E11" s="167"/>
      <c r="F11" s="167"/>
      <c r="G11" s="167"/>
      <c r="H11" s="167"/>
      <c r="I11" s="167"/>
      <c r="J11" s="168"/>
      <c r="K11" s="165"/>
    </row>
    <row r="12" spans="1:13" s="66" customFormat="1" ht="15.75" thickBot="1" x14ac:dyDescent="0.3">
      <c r="A12" s="64">
        <v>1</v>
      </c>
      <c r="B12" s="65"/>
      <c r="C12" s="166" t="str">
        <f>'SAF 011'!E10</f>
        <v>ACEITE DE INMERSION PA 100 ML Tipo CICARELLI</v>
      </c>
      <c r="D12" s="166"/>
      <c r="E12" s="166"/>
      <c r="F12" s="166"/>
      <c r="G12" s="166"/>
      <c r="H12" s="69" t="s">
        <v>244</v>
      </c>
      <c r="I12" s="70" t="str">
        <f>'SAF 011'!F10</f>
        <v>FRASCO</v>
      </c>
      <c r="J12" s="71">
        <f>'SAF 011'!H10</f>
        <v>3419</v>
      </c>
      <c r="K12" s="72" t="e">
        <f>'SAF 011'!#REF!</f>
        <v>#REF!</v>
      </c>
      <c r="M12" s="79" t="e">
        <f>+J12*K12</f>
        <v>#REF!</v>
      </c>
    </row>
    <row r="13" spans="1:13" s="87" customFormat="1" ht="15.75" customHeight="1" thickBot="1" x14ac:dyDescent="0.3">
      <c r="A13" s="89">
        <v>2</v>
      </c>
      <c r="B13" s="90"/>
      <c r="C13" s="153" t="str">
        <f>'SAF 011'!E11</f>
        <v>ACTIVADOR caja por 9 bidones X 12 ML COBAS C311 TIPO ROCHE</v>
      </c>
      <c r="D13" s="154"/>
      <c r="E13" s="154"/>
      <c r="F13" s="154"/>
      <c r="G13" s="155"/>
      <c r="H13" s="69" t="s">
        <v>244</v>
      </c>
      <c r="I13" s="83" t="str">
        <f>'SAF 011'!F11</f>
        <v>CAJA</v>
      </c>
      <c r="J13" s="84">
        <f>'SAF 011'!H11</f>
        <v>18758</v>
      </c>
      <c r="K13" s="91" t="e">
        <f>'SAF 011'!#REF!</f>
        <v>#REF!</v>
      </c>
      <c r="M13" s="88" t="e">
        <f t="shared" ref="M13:M54" si="0">+J13*K13</f>
        <v>#REF!</v>
      </c>
    </row>
    <row r="14" spans="1:13" s="87" customFormat="1" ht="15.75" customHeight="1" thickBot="1" x14ac:dyDescent="0.3">
      <c r="A14" s="89">
        <v>4</v>
      </c>
      <c r="B14" s="90"/>
      <c r="C14" s="153" t="str">
        <f>'SAF 011'!E13</f>
        <v>ALB2 (ALBUMINA) COBAS C311 tipo ROCHE</v>
      </c>
      <c r="D14" s="154"/>
      <c r="E14" s="154"/>
      <c r="F14" s="154"/>
      <c r="G14" s="155"/>
      <c r="H14" s="69" t="s">
        <v>244</v>
      </c>
      <c r="I14" s="83" t="str">
        <f>'SAF 011'!F13</f>
        <v>UNIDAD</v>
      </c>
      <c r="J14" s="84">
        <f>'SAF 011'!H13</f>
        <v>2452</v>
      </c>
      <c r="K14" s="91" t="e">
        <f>'SAF 011'!#REF!</f>
        <v>#REF!</v>
      </c>
      <c r="M14" s="88" t="e">
        <f t="shared" si="0"/>
        <v>#REF!</v>
      </c>
    </row>
    <row r="15" spans="1:13" s="87" customFormat="1" ht="15.75" customHeight="1" thickBot="1" x14ac:dyDescent="0.3">
      <c r="A15" s="89">
        <v>5</v>
      </c>
      <c r="B15" s="90"/>
      <c r="C15" s="153" t="str">
        <f>'SAF 011'!E14</f>
        <v>ALBUMINA AA 120 ML Tipo WIENER</v>
      </c>
      <c r="D15" s="154"/>
      <c r="E15" s="154"/>
      <c r="F15" s="154"/>
      <c r="G15" s="155"/>
      <c r="H15" s="69" t="s">
        <v>244</v>
      </c>
      <c r="I15" s="83" t="str">
        <f>'SAF 011'!F14</f>
        <v>UNIDAD</v>
      </c>
      <c r="J15" s="84">
        <f>'SAF 011'!H14</f>
        <v>745</v>
      </c>
      <c r="K15" s="91" t="e">
        <f>'SAF 011'!#REF!</f>
        <v>#REF!</v>
      </c>
      <c r="M15" s="88" t="e">
        <f t="shared" si="0"/>
        <v>#REF!</v>
      </c>
    </row>
    <row r="16" spans="1:13" s="87" customFormat="1" ht="15.75" customHeight="1" thickBot="1" x14ac:dyDescent="0.3">
      <c r="A16" s="89">
        <v>7</v>
      </c>
      <c r="B16" s="90"/>
      <c r="C16" s="153" t="str">
        <f>'SAF 011'!E16</f>
        <v>ALP2L (F. ALCALINA) C311 ROCHE</v>
      </c>
      <c r="D16" s="154"/>
      <c r="E16" s="154"/>
      <c r="F16" s="154"/>
      <c r="G16" s="155"/>
      <c r="H16" s="69" t="s">
        <v>244</v>
      </c>
      <c r="I16" s="83" t="str">
        <f>'SAF 011'!F16</f>
        <v>UNIDAD</v>
      </c>
      <c r="J16" s="84">
        <f>'SAF 011'!H16</f>
        <v>10621</v>
      </c>
      <c r="K16" s="91" t="e">
        <f>'SAF 011'!#REF!</f>
        <v>#REF!</v>
      </c>
      <c r="M16" s="88" t="e">
        <f t="shared" si="0"/>
        <v>#REF!</v>
      </c>
    </row>
    <row r="17" spans="1:13" s="87" customFormat="1" ht="15.75" customHeight="1" thickBot="1" x14ac:dyDescent="0.3">
      <c r="A17" s="89">
        <v>8</v>
      </c>
      <c r="B17" s="90"/>
      <c r="C17" s="153" t="str">
        <f>'SAF 011'!E17</f>
        <v>ANTI A MONOCLONAL FRASCO X 10 ML Tipo WIENER</v>
      </c>
      <c r="D17" s="154"/>
      <c r="E17" s="154"/>
      <c r="F17" s="154"/>
      <c r="G17" s="155"/>
      <c r="H17" s="69" t="s">
        <v>244</v>
      </c>
      <c r="I17" s="83" t="str">
        <f>'SAF 011'!F17</f>
        <v>FRASCO</v>
      </c>
      <c r="J17" s="84">
        <f>'SAF 011'!H17</f>
        <v>1328</v>
      </c>
      <c r="K17" s="91" t="e">
        <f>'SAF 011'!#REF!</f>
        <v>#REF!</v>
      </c>
      <c r="M17" s="88" t="e">
        <f t="shared" si="0"/>
        <v>#REF!</v>
      </c>
    </row>
    <row r="18" spans="1:13" s="87" customFormat="1" ht="15.75" customHeight="1" thickBot="1" x14ac:dyDescent="0.3">
      <c r="A18" s="89">
        <v>9</v>
      </c>
      <c r="B18" s="90"/>
      <c r="C18" s="153" t="str">
        <f>'SAF 011'!E18</f>
        <v>ANTI B MONOCLONAL FRASCO X 10 ML Tipo WIENER</v>
      </c>
      <c r="D18" s="154"/>
      <c r="E18" s="154"/>
      <c r="F18" s="154"/>
      <c r="G18" s="155"/>
      <c r="H18" s="69" t="s">
        <v>244</v>
      </c>
      <c r="I18" s="83" t="str">
        <f>'SAF 011'!F18</f>
        <v>FRASCO</v>
      </c>
      <c r="J18" s="84">
        <f>'SAF 011'!H18</f>
        <v>1328</v>
      </c>
      <c r="K18" s="91" t="e">
        <f>'SAF 011'!#REF!</f>
        <v>#REF!</v>
      </c>
      <c r="M18" s="88" t="e">
        <f t="shared" si="0"/>
        <v>#REF!</v>
      </c>
    </row>
    <row r="19" spans="1:13" s="87" customFormat="1" ht="15.75" customHeight="1" thickBot="1" x14ac:dyDescent="0.3">
      <c r="A19" s="89">
        <v>11</v>
      </c>
      <c r="B19" s="90"/>
      <c r="C19" s="153" t="str">
        <f>'SAF 011'!E20</f>
        <v>ANTICOAGULANTE TP (CITRATO) 6 X 50 ML Tipo WIENER</v>
      </c>
      <c r="D19" s="154"/>
      <c r="E19" s="154"/>
      <c r="F19" s="154"/>
      <c r="G19" s="155"/>
      <c r="H19" s="69" t="s">
        <v>244</v>
      </c>
      <c r="I19" s="83" t="str">
        <f>'SAF 011'!F20</f>
        <v>FRASCO</v>
      </c>
      <c r="J19" s="84">
        <f>'SAF 011'!H20</f>
        <v>973</v>
      </c>
      <c r="K19" s="91" t="e">
        <f>'SAF 011'!#REF!</f>
        <v>#REF!</v>
      </c>
      <c r="M19" s="88" t="e">
        <f t="shared" si="0"/>
        <v>#REF!</v>
      </c>
    </row>
    <row r="20" spans="1:13" s="87" customFormat="1" ht="15.75" customHeight="1" thickBot="1" x14ac:dyDescent="0.3">
      <c r="A20" s="89">
        <v>12</v>
      </c>
      <c r="B20" s="90"/>
      <c r="C20" s="153" t="str">
        <f>'SAF 011'!E21</f>
        <v>ANTID (RHO) MONOCLONAL FRASCO X 10 ML Tipo WIENER</v>
      </c>
      <c r="D20" s="154"/>
      <c r="E20" s="154"/>
      <c r="F20" s="154"/>
      <c r="G20" s="155"/>
      <c r="H20" s="69" t="s">
        <v>244</v>
      </c>
      <c r="I20" s="83" t="str">
        <f>'SAF 011'!F21</f>
        <v>FRASCO</v>
      </c>
      <c r="J20" s="84">
        <f>'SAF 011'!H21</f>
        <v>2512</v>
      </c>
      <c r="K20" s="91" t="e">
        <f>'SAF 011'!#REF!</f>
        <v>#REF!</v>
      </c>
      <c r="M20" s="88" t="e">
        <f t="shared" si="0"/>
        <v>#REF!</v>
      </c>
    </row>
    <row r="21" spans="1:13" s="87" customFormat="1" ht="15.75" customHeight="1" thickBot="1" x14ac:dyDescent="0.3">
      <c r="A21" s="89">
        <v>13</v>
      </c>
      <c r="B21" s="90"/>
      <c r="C21" s="153" t="str">
        <f>'SAF 011'!E22</f>
        <v>ANTIGENO FEBRIL BRUCELLA (HUDDLESON) 1X5 ML Tipo WIENER</v>
      </c>
      <c r="D21" s="154"/>
      <c r="E21" s="154"/>
      <c r="F21" s="154"/>
      <c r="G21" s="155"/>
      <c r="H21" s="69" t="s">
        <v>244</v>
      </c>
      <c r="I21" s="83" t="str">
        <f>'SAF 011'!F22</f>
        <v>BOLSA</v>
      </c>
      <c r="J21" s="84">
        <f>'SAF 011'!H22</f>
        <v>1795</v>
      </c>
      <c r="K21" s="91" t="e">
        <f>'SAF 011'!#REF!</f>
        <v>#REF!</v>
      </c>
      <c r="M21" s="88" t="e">
        <f t="shared" si="0"/>
        <v>#REF!</v>
      </c>
    </row>
    <row r="22" spans="1:13" s="87" customFormat="1" ht="15.75" customHeight="1" thickBot="1" x14ac:dyDescent="0.3">
      <c r="A22" s="89">
        <v>14</v>
      </c>
      <c r="B22" s="90"/>
      <c r="C22" s="153" t="str">
        <f>'SAF 011'!E23</f>
        <v>APTTEST 6X25 ML (150 DET) Tipo WIENER</v>
      </c>
      <c r="D22" s="154"/>
      <c r="E22" s="154"/>
      <c r="F22" s="154"/>
      <c r="G22" s="155"/>
      <c r="H22" s="69" t="s">
        <v>244</v>
      </c>
      <c r="I22" s="83" t="str">
        <f>'SAF 011'!F23</f>
        <v>CAJA</v>
      </c>
      <c r="J22" s="84">
        <f>'SAF 011'!H23</f>
        <v>8286</v>
      </c>
      <c r="K22" s="91" t="e">
        <f>'SAF 011'!#REF!</f>
        <v>#REF!</v>
      </c>
      <c r="M22" s="88" t="e">
        <f t="shared" si="0"/>
        <v>#REF!</v>
      </c>
    </row>
    <row r="23" spans="1:13" s="87" customFormat="1" ht="15" customHeight="1" thickBot="1" x14ac:dyDescent="0.3">
      <c r="A23" s="89">
        <v>25</v>
      </c>
      <c r="B23" s="90"/>
      <c r="C23" s="153" t="str">
        <f>'SAF 011'!E34</f>
        <v>ASO LATEX 50 DET Tipo WIENER</v>
      </c>
      <c r="D23" s="154"/>
      <c r="E23" s="154"/>
      <c r="F23" s="154"/>
      <c r="G23" s="155"/>
      <c r="H23" s="69" t="s">
        <v>244</v>
      </c>
      <c r="I23" s="83" t="str">
        <f>'SAF 011'!F34</f>
        <v>UNIDAD</v>
      </c>
      <c r="J23" s="84">
        <f>'SAF 011'!H34</f>
        <v>5347</v>
      </c>
      <c r="K23" s="91" t="e">
        <f>'SAF 011'!#REF!</f>
        <v>#REF!</v>
      </c>
      <c r="M23" s="88" t="e">
        <f t="shared" si="0"/>
        <v>#REF!</v>
      </c>
    </row>
    <row r="24" spans="1:13" s="87" customFormat="1" ht="15" customHeight="1" thickBot="1" x14ac:dyDescent="0.3">
      <c r="A24" s="89">
        <v>26</v>
      </c>
      <c r="B24" s="90"/>
      <c r="C24" s="153" t="str">
        <f>'SAF 011'!E35</f>
        <v>BILIRRUBINA STANDARD 2 FRASCOS X 5 ML Tipo WIENER</v>
      </c>
      <c r="D24" s="154"/>
      <c r="E24" s="154"/>
      <c r="F24" s="154"/>
      <c r="G24" s="155"/>
      <c r="H24" s="69" t="s">
        <v>244</v>
      </c>
      <c r="I24" s="83" t="str">
        <f>'SAF 011'!F35</f>
        <v>CAJA</v>
      </c>
      <c r="J24" s="84">
        <f>'SAF 011'!H35</f>
        <v>5155</v>
      </c>
      <c r="K24" s="91" t="e">
        <f>'SAF 011'!#REF!</f>
        <v>#REF!</v>
      </c>
      <c r="M24" s="88" t="e">
        <f t="shared" si="0"/>
        <v>#REF!</v>
      </c>
    </row>
    <row r="25" spans="1:13" s="87" customFormat="1" ht="15" customHeight="1" thickBot="1" x14ac:dyDescent="0.3">
      <c r="A25" s="89">
        <v>30</v>
      </c>
      <c r="B25" s="90"/>
      <c r="C25" s="153" t="str">
        <f>'SAF 011'!E39</f>
        <v>CA COLOR ARSENAZO III AA 200 ML (4X50 ML) Tipo WIENER</v>
      </c>
      <c r="D25" s="154"/>
      <c r="E25" s="154"/>
      <c r="F25" s="154"/>
      <c r="G25" s="155"/>
      <c r="H25" s="69" t="s">
        <v>244</v>
      </c>
      <c r="I25" s="83" t="str">
        <f>'SAF 011'!F39</f>
        <v>CAJA</v>
      </c>
      <c r="J25" s="84">
        <f>'SAF 011'!H39</f>
        <v>3471</v>
      </c>
      <c r="K25" s="91" t="e">
        <f>'SAF 011'!#REF!</f>
        <v>#REF!</v>
      </c>
      <c r="M25" s="88" t="e">
        <f t="shared" si="0"/>
        <v>#REF!</v>
      </c>
    </row>
    <row r="26" spans="1:13" s="87" customFormat="1" ht="15" customHeight="1" thickBot="1" x14ac:dyDescent="0.3">
      <c r="A26" s="89">
        <v>31</v>
      </c>
      <c r="B26" s="90"/>
      <c r="C26" s="153" t="str">
        <f>'SAF 011'!E40</f>
        <v>CA2 (CALCIO) C311 tipo ROCHE</v>
      </c>
      <c r="D26" s="154"/>
      <c r="E26" s="154"/>
      <c r="F26" s="154"/>
      <c r="G26" s="155"/>
      <c r="H26" s="69" t="s">
        <v>244</v>
      </c>
      <c r="I26" s="83" t="str">
        <f>'SAF 011'!F40</f>
        <v>CASSETTE</v>
      </c>
      <c r="J26" s="84">
        <f>'SAF 011'!H40</f>
        <v>5050</v>
      </c>
      <c r="K26" s="91" t="e">
        <f>'SAF 011'!#REF!</f>
        <v>#REF!</v>
      </c>
      <c r="M26" s="88" t="e">
        <f t="shared" si="0"/>
        <v>#REF!</v>
      </c>
    </row>
    <row r="27" spans="1:13" s="87" customFormat="1" ht="15" customHeight="1" thickBot="1" x14ac:dyDescent="0.3">
      <c r="A27" s="89">
        <v>32</v>
      </c>
      <c r="B27" s="90"/>
      <c r="C27" s="153" t="str">
        <f>'SAF 011'!E41</f>
        <v>CALIBRADOR A PLUS 2 VIAL X 3 ML Tipo WIENER</v>
      </c>
      <c r="D27" s="154"/>
      <c r="E27" s="154"/>
      <c r="F27" s="154"/>
      <c r="G27" s="155"/>
      <c r="H27" s="69" t="s">
        <v>244</v>
      </c>
      <c r="I27" s="83" t="str">
        <f>'SAF 011'!F41</f>
        <v>UNIDAD</v>
      </c>
      <c r="J27" s="84">
        <f>'SAF 011'!H41</f>
        <v>5338</v>
      </c>
      <c r="K27" s="91" t="e">
        <f>'SAF 011'!#REF!</f>
        <v>#REF!</v>
      </c>
      <c r="M27" s="88" t="e">
        <f t="shared" si="0"/>
        <v>#REF!</v>
      </c>
    </row>
    <row r="28" spans="1:13" s="87" customFormat="1" ht="15" customHeight="1" thickBot="1" x14ac:dyDescent="0.3">
      <c r="A28" s="89">
        <v>33</v>
      </c>
      <c r="B28" s="90"/>
      <c r="C28" s="153" t="str">
        <f>'SAF 011'!E42</f>
        <v>CASSETTE CALIBRADOR HEMOGLOBINA GLICOSILADA 1 U Tipo OPTI MEDICAL (USA)</v>
      </c>
      <c r="D28" s="154"/>
      <c r="E28" s="154"/>
      <c r="F28" s="154"/>
      <c r="G28" s="155"/>
      <c r="H28" s="69" t="s">
        <v>244</v>
      </c>
      <c r="I28" s="83" t="str">
        <f>'SAF 011'!F42</f>
        <v>CASSETTE</v>
      </c>
      <c r="J28" s="84">
        <f>'SAF 011'!H42</f>
        <v>14550</v>
      </c>
      <c r="K28" s="91" t="e">
        <f>'SAF 011'!#REF!</f>
        <v>#REF!</v>
      </c>
      <c r="M28" s="88" t="e">
        <f t="shared" si="0"/>
        <v>#REF!</v>
      </c>
    </row>
    <row r="29" spans="1:13" s="87" customFormat="1" ht="15" customHeight="1" thickBot="1" x14ac:dyDescent="0.3">
      <c r="A29" s="89">
        <v>34</v>
      </c>
      <c r="B29" s="90"/>
      <c r="C29" s="153" t="str">
        <f>'SAF 011'!E43</f>
        <v>CASSETTE E-CL X 25 TEST TIPO OPTI MEDICAL</v>
      </c>
      <c r="D29" s="154"/>
      <c r="E29" s="154"/>
      <c r="F29" s="154"/>
      <c r="G29" s="155"/>
      <c r="H29" s="69" t="s">
        <v>244</v>
      </c>
      <c r="I29" s="83" t="str">
        <f>'SAF 011'!F43</f>
        <v>CASSETTE</v>
      </c>
      <c r="J29" s="84">
        <f>'SAF 011'!H43</f>
        <v>52464.5</v>
      </c>
      <c r="K29" s="91" t="e">
        <f>'SAF 011'!#REF!</f>
        <v>#REF!</v>
      </c>
      <c r="M29" s="88" t="e">
        <f t="shared" si="0"/>
        <v>#REF!</v>
      </c>
    </row>
    <row r="30" spans="1:13" s="66" customFormat="1" ht="16.5" customHeight="1" thickBot="1" x14ac:dyDescent="0.3">
      <c r="A30" s="89">
        <v>36</v>
      </c>
      <c r="B30" s="67"/>
      <c r="C30" s="153" t="str">
        <f>'SAF 011'!E45</f>
        <v>CELL WASH SOLUTION 1 (NAOH-D BASIC WASH 1 BIDON 2X1800 ML) COBAS C311 TIPO ROCHE</v>
      </c>
      <c r="D30" s="154"/>
      <c r="E30" s="154"/>
      <c r="F30" s="154"/>
      <c r="G30" s="155"/>
      <c r="H30" s="69" t="s">
        <v>244</v>
      </c>
      <c r="I30" s="73" t="str">
        <f>'SAF 011'!F45</f>
        <v>CAJA</v>
      </c>
      <c r="J30" s="74">
        <f>'SAF 011'!H45</f>
        <v>7151</v>
      </c>
      <c r="K30" s="75" t="e">
        <f>'SAF 011'!#REF!</f>
        <v>#REF!</v>
      </c>
      <c r="M30" s="88" t="e">
        <f t="shared" si="0"/>
        <v>#REF!</v>
      </c>
    </row>
    <row r="31" spans="1:13" s="66" customFormat="1" ht="16.5" customHeight="1" thickBot="1" x14ac:dyDescent="0.3">
      <c r="A31" s="89">
        <v>37</v>
      </c>
      <c r="B31" s="67"/>
      <c r="C31" s="153" t="str">
        <f>'SAF 011'!E46</f>
        <v>CELL WASH SOLUTION 2 (ACID WASH) (2X1800 ML) COBAS C311 TIPO ROCHE</v>
      </c>
      <c r="D31" s="154"/>
      <c r="E31" s="154"/>
      <c r="F31" s="154"/>
      <c r="G31" s="155"/>
      <c r="H31" s="69" t="s">
        <v>244</v>
      </c>
      <c r="I31" s="73" t="str">
        <f>'SAF 011'!F46</f>
        <v>CAJA</v>
      </c>
      <c r="J31" s="74">
        <f>'SAF 011'!H46</f>
        <v>41462</v>
      </c>
      <c r="K31" s="75" t="e">
        <f>'SAF 011'!#REF!</f>
        <v>#REF!</v>
      </c>
      <c r="M31" s="88" t="e">
        <f t="shared" si="0"/>
        <v>#REF!</v>
      </c>
    </row>
    <row r="32" spans="1:13" s="66" customFormat="1" ht="25.5" customHeight="1" thickBot="1" x14ac:dyDescent="0.3">
      <c r="A32" s="89">
        <v>38</v>
      </c>
      <c r="B32" s="67"/>
      <c r="C32" s="153" t="str">
        <f>'SAF 011'!E47</f>
        <v>CELLPACK DCL (XN-550/1000) 20 LITROS TIPO SYSMEX</v>
      </c>
      <c r="D32" s="154"/>
      <c r="E32" s="154"/>
      <c r="F32" s="154"/>
      <c r="G32" s="155"/>
      <c r="H32" s="69" t="s">
        <v>244</v>
      </c>
      <c r="I32" s="73" t="str">
        <f>'SAF 011'!F47</f>
        <v>UNIDAD</v>
      </c>
      <c r="J32" s="74">
        <f>'SAF 011'!H47</f>
        <v>13303</v>
      </c>
      <c r="K32" s="75" t="e">
        <f>'SAF 011'!#REF!</f>
        <v>#REF!</v>
      </c>
      <c r="M32" s="88" t="e">
        <f t="shared" si="0"/>
        <v>#REF!</v>
      </c>
    </row>
    <row r="33" spans="1:13" s="66" customFormat="1" ht="16.5" customHeight="1" thickBot="1" x14ac:dyDescent="0.3">
      <c r="A33" s="89">
        <v>39</v>
      </c>
      <c r="B33" s="67"/>
      <c r="C33" s="153" t="str">
        <f>'SAF 011'!E48</f>
        <v>CFAS LIPIDS (3X1 ML) COBAS C 311 TIPO ROCHE</v>
      </c>
      <c r="D33" s="154"/>
      <c r="E33" s="154"/>
      <c r="F33" s="154"/>
      <c r="G33" s="155"/>
      <c r="H33" s="69" t="s">
        <v>244</v>
      </c>
      <c r="I33" s="73" t="str">
        <f>'SAF 011'!F48</f>
        <v>VIAL</v>
      </c>
      <c r="J33" s="74">
        <f>'SAF 011'!H48</f>
        <v>43337</v>
      </c>
      <c r="K33" s="75" t="e">
        <f>'SAF 011'!#REF!</f>
        <v>#REF!</v>
      </c>
      <c r="M33" s="88" t="e">
        <f t="shared" si="0"/>
        <v>#REF!</v>
      </c>
    </row>
    <row r="34" spans="1:13" s="66" customFormat="1" ht="16.5" customHeight="1" thickBot="1" x14ac:dyDescent="0.3">
      <c r="A34" s="89">
        <v>41</v>
      </c>
      <c r="B34" s="67"/>
      <c r="C34" s="153" t="str">
        <f>'SAF 011'!E50</f>
        <v>CHAGATEST ELISA RECOMBINANTE (V 4.0) 96 DET Tipo WIENER</v>
      </c>
      <c r="D34" s="154"/>
      <c r="E34" s="154"/>
      <c r="F34" s="154"/>
      <c r="G34" s="155"/>
      <c r="H34" s="69" t="s">
        <v>244</v>
      </c>
      <c r="I34" s="73" t="str">
        <f>'SAF 011'!F50</f>
        <v>UNIDAD</v>
      </c>
      <c r="J34" s="74">
        <f>'SAF 011'!H50</f>
        <v>17121</v>
      </c>
      <c r="K34" s="75" t="e">
        <f>'SAF 011'!#REF!</f>
        <v>#REF!</v>
      </c>
      <c r="M34" s="88" t="e">
        <f t="shared" si="0"/>
        <v>#REF!</v>
      </c>
    </row>
    <row r="35" spans="1:13" s="66" customFormat="1" ht="16.5" customHeight="1" thickBot="1" x14ac:dyDescent="0.3">
      <c r="A35" s="89">
        <v>42</v>
      </c>
      <c r="B35" s="67"/>
      <c r="C35" s="153" t="str">
        <f>'SAF 011'!E51</f>
        <v>CHAGATEST HAI 5 TITULOS 96 DET Tipo WIENER</v>
      </c>
      <c r="D35" s="154"/>
      <c r="E35" s="154"/>
      <c r="F35" s="154"/>
      <c r="G35" s="155"/>
      <c r="H35" s="69" t="s">
        <v>244</v>
      </c>
      <c r="I35" s="73" t="str">
        <f>'SAF 011'!F51</f>
        <v>UNIDAD</v>
      </c>
      <c r="J35" s="74">
        <f>'SAF 011'!H51</f>
        <v>16429</v>
      </c>
      <c r="K35" s="75" t="e">
        <f>'SAF 011'!#REF!</f>
        <v>#REF!</v>
      </c>
      <c r="M35" s="88" t="e">
        <f t="shared" si="0"/>
        <v>#REF!</v>
      </c>
    </row>
    <row r="36" spans="1:13" s="66" customFormat="1" ht="16.5" customHeight="1" thickBot="1" x14ac:dyDescent="0.3">
      <c r="A36" s="89">
        <v>43</v>
      </c>
      <c r="B36" s="67"/>
      <c r="C36" s="153" t="str">
        <f>'SAF 011'!E52</f>
        <v>CHOL2 (COLESTEROL) C311 tipo ROCHE</v>
      </c>
      <c r="D36" s="154"/>
      <c r="E36" s="154"/>
      <c r="F36" s="154"/>
      <c r="G36" s="155"/>
      <c r="H36" s="69" t="s">
        <v>244</v>
      </c>
      <c r="I36" s="73" t="str">
        <f>'SAF 011'!F52</f>
        <v>UNIDAD</v>
      </c>
      <c r="J36" s="74">
        <f>'SAF 011'!H52</f>
        <v>5050</v>
      </c>
      <c r="K36" s="75" t="e">
        <f>'SAF 011'!#REF!</f>
        <v>#REF!</v>
      </c>
      <c r="M36" s="88" t="e">
        <f t="shared" si="0"/>
        <v>#REF!</v>
      </c>
    </row>
    <row r="37" spans="1:13" s="66" customFormat="1" ht="16.5" customHeight="1" thickBot="1" x14ac:dyDescent="0.3">
      <c r="A37" s="89">
        <v>44</v>
      </c>
      <c r="B37" s="67"/>
      <c r="C37" s="153" t="str">
        <f>'SAF 011'!E53</f>
        <v>CK MB2 (CPK MB) C311 tipo ROCHE</v>
      </c>
      <c r="D37" s="154"/>
      <c r="E37" s="154"/>
      <c r="F37" s="154"/>
      <c r="G37" s="155"/>
      <c r="H37" s="69" t="s">
        <v>244</v>
      </c>
      <c r="I37" s="73" t="str">
        <f>'SAF 011'!F53</f>
        <v>UNIDAD</v>
      </c>
      <c r="J37" s="74">
        <f>'SAF 011'!H53</f>
        <v>6358</v>
      </c>
      <c r="K37" s="75" t="e">
        <f>'SAF 011'!#REF!</f>
        <v>#REF!</v>
      </c>
      <c r="M37" s="88" t="e">
        <f t="shared" si="0"/>
        <v>#REF!</v>
      </c>
    </row>
    <row r="38" spans="1:13" s="66" customFormat="1" ht="16.5" customHeight="1" thickBot="1" x14ac:dyDescent="0.3">
      <c r="A38" s="89">
        <v>45</v>
      </c>
      <c r="B38" s="67"/>
      <c r="C38" s="153" t="str">
        <f>'SAF 011'!E54</f>
        <v>CLOT CATCHER CAJA X 250 UN COBAS B221 TIPO ROCHE</v>
      </c>
      <c r="D38" s="154"/>
      <c r="E38" s="154"/>
      <c r="F38" s="154"/>
      <c r="G38" s="155"/>
      <c r="H38" s="69" t="s">
        <v>244</v>
      </c>
      <c r="I38" s="73" t="str">
        <f>'SAF 011'!F54</f>
        <v>CAJA</v>
      </c>
      <c r="J38" s="74">
        <f>'SAF 011'!H54</f>
        <v>2121</v>
      </c>
      <c r="K38" s="75" t="e">
        <f>'SAF 011'!#REF!</f>
        <v>#REF!</v>
      </c>
      <c r="M38" s="88" t="e">
        <f t="shared" si="0"/>
        <v>#REF!</v>
      </c>
    </row>
    <row r="39" spans="1:13" s="66" customFormat="1" ht="16.5" customHeight="1" thickBot="1" x14ac:dyDescent="0.3">
      <c r="A39" s="89">
        <v>47</v>
      </c>
      <c r="B39" s="67"/>
      <c r="C39" s="153" t="str">
        <f>'SAF 011'!E56</f>
        <v>COBAS CKNAC X 200 DET TIPO ROCHE</v>
      </c>
      <c r="D39" s="154"/>
      <c r="E39" s="154"/>
      <c r="F39" s="154"/>
      <c r="G39" s="155"/>
      <c r="H39" s="69" t="s">
        <v>244</v>
      </c>
      <c r="I39" s="73" t="str">
        <f>'SAF 011'!F56</f>
        <v>CASETTE</v>
      </c>
      <c r="J39" s="74">
        <f>'SAF 011'!H56</f>
        <v>4204</v>
      </c>
      <c r="K39" s="75" t="e">
        <f>'SAF 011'!#REF!</f>
        <v>#REF!</v>
      </c>
      <c r="M39" s="88" t="e">
        <f t="shared" si="0"/>
        <v>#REF!</v>
      </c>
    </row>
    <row r="40" spans="1:13" s="66" customFormat="1" ht="16.5" customHeight="1" thickBot="1" x14ac:dyDescent="0.3">
      <c r="A40" s="89">
        <v>48</v>
      </c>
      <c r="B40" s="67"/>
      <c r="C40" s="153" t="str">
        <f>'SAF 011'!E57</f>
        <v>COL-HDL C311 tipo ROCHE</v>
      </c>
      <c r="D40" s="154"/>
      <c r="E40" s="154"/>
      <c r="F40" s="154"/>
      <c r="G40" s="155"/>
      <c r="H40" s="69" t="s">
        <v>244</v>
      </c>
      <c r="I40" s="73" t="str">
        <f>'SAF 011'!F57</f>
        <v>UNIDAD</v>
      </c>
      <c r="J40" s="74">
        <f>'SAF 011'!H57</f>
        <v>22148</v>
      </c>
      <c r="K40" s="75" t="e">
        <f>'SAF 011'!#REF!</f>
        <v>#REF!</v>
      </c>
      <c r="M40" s="88" t="e">
        <f t="shared" si="0"/>
        <v>#REF!</v>
      </c>
    </row>
    <row r="41" spans="1:13" s="66" customFormat="1" ht="16.5" customHeight="1" thickBot="1" x14ac:dyDescent="0.3">
      <c r="A41" s="89">
        <v>49</v>
      </c>
      <c r="B41" s="67"/>
      <c r="C41" s="153" t="str">
        <f>'SAF 011'!E58</f>
        <v>COL-LDL C311 tipo ROCHE</v>
      </c>
      <c r="D41" s="154"/>
      <c r="E41" s="154"/>
      <c r="F41" s="154"/>
      <c r="G41" s="155"/>
      <c r="H41" s="69" t="s">
        <v>244</v>
      </c>
      <c r="I41" s="73" t="str">
        <f>'SAF 011'!F58</f>
        <v>UNIDAD</v>
      </c>
      <c r="J41" s="74">
        <f>'SAF 011'!H58</f>
        <v>19934</v>
      </c>
      <c r="K41" s="75" t="e">
        <f>'SAF 011'!#REF!</f>
        <v>#REF!</v>
      </c>
      <c r="M41" s="88" t="e">
        <f t="shared" si="0"/>
        <v>#REF!</v>
      </c>
    </row>
    <row r="42" spans="1:13" s="66" customFormat="1" ht="16.5" customHeight="1" thickBot="1" x14ac:dyDescent="0.3">
      <c r="A42" s="89">
        <v>50</v>
      </c>
      <c r="B42" s="67"/>
      <c r="C42" s="153" t="str">
        <f>'SAF 011'!E59</f>
        <v>COLORANTE GIEMSA 1 LITRO Tipo BIOPACK</v>
      </c>
      <c r="D42" s="154"/>
      <c r="E42" s="154"/>
      <c r="F42" s="154"/>
      <c r="G42" s="155"/>
      <c r="H42" s="69" t="s">
        <v>244</v>
      </c>
      <c r="I42" s="73" t="str">
        <f>'SAF 011'!F59</f>
        <v>BOTELLA</v>
      </c>
      <c r="J42" s="74">
        <f>'SAF 011'!H59</f>
        <v>4661</v>
      </c>
      <c r="K42" s="75" t="e">
        <f>'SAF 011'!#REF!</f>
        <v>#REF!</v>
      </c>
      <c r="M42" s="88" t="e">
        <f t="shared" si="0"/>
        <v>#REF!</v>
      </c>
    </row>
    <row r="43" spans="1:13" s="66" customFormat="1" ht="16.5" customHeight="1" thickBot="1" x14ac:dyDescent="0.3">
      <c r="A43" s="89">
        <v>51</v>
      </c>
      <c r="B43" s="67"/>
      <c r="C43" s="153" t="str">
        <f>'SAF 011'!E60</f>
        <v>COMBITROL PLUS B LEVEL 1 CAJA X 30 UN COBAS B 221 TIPO ROCHE</v>
      </c>
      <c r="D43" s="154"/>
      <c r="E43" s="154"/>
      <c r="F43" s="154"/>
      <c r="G43" s="155"/>
      <c r="H43" s="69" t="s">
        <v>244</v>
      </c>
      <c r="I43" s="73" t="str">
        <f>'SAF 011'!F60</f>
        <v>CAJA</v>
      </c>
      <c r="J43" s="74">
        <f>'SAF 011'!H60</f>
        <v>26023</v>
      </c>
      <c r="K43" s="75" t="e">
        <f>'SAF 011'!#REF!</f>
        <v>#REF!</v>
      </c>
      <c r="M43" s="88" t="e">
        <f t="shared" si="0"/>
        <v>#REF!</v>
      </c>
    </row>
    <row r="44" spans="1:13" s="66" customFormat="1" ht="16.5" customHeight="1" thickBot="1" x14ac:dyDescent="0.3">
      <c r="A44" s="89">
        <v>52</v>
      </c>
      <c r="B44" s="67"/>
      <c r="C44" s="153" t="str">
        <f>'SAF 011'!E61</f>
        <v>COMBITROL PLUS B LEVEL 2 CAJA X 30 UN COBAS B 221 TIPO ROCHE</v>
      </c>
      <c r="D44" s="154"/>
      <c r="E44" s="154"/>
      <c r="F44" s="154"/>
      <c r="G44" s="155"/>
      <c r="H44" s="69" t="s">
        <v>244</v>
      </c>
      <c r="I44" s="73" t="str">
        <f>'SAF 011'!F61</f>
        <v>CAJA</v>
      </c>
      <c r="J44" s="74">
        <f>'SAF 011'!H61</f>
        <v>26023</v>
      </c>
      <c r="K44" s="75" t="e">
        <f>'SAF 011'!#REF!</f>
        <v>#REF!</v>
      </c>
      <c r="M44" s="88" t="e">
        <f t="shared" si="0"/>
        <v>#REF!</v>
      </c>
    </row>
    <row r="45" spans="1:13" s="66" customFormat="1" ht="16.5" customHeight="1" thickBot="1" x14ac:dyDescent="0.3">
      <c r="A45" s="89">
        <v>53</v>
      </c>
      <c r="B45" s="67"/>
      <c r="C45" s="153" t="str">
        <f>'SAF 011'!E62</f>
        <v>COMBITROL PLUS B LEVEL 3 CAJA X 30 UN COBAS B 221 TIPO ROCHE</v>
      </c>
      <c r="D45" s="154"/>
      <c r="E45" s="154"/>
      <c r="F45" s="154"/>
      <c r="G45" s="155"/>
      <c r="H45" s="69" t="s">
        <v>244</v>
      </c>
      <c r="I45" s="73" t="str">
        <f>'SAF 011'!F62</f>
        <v>CAJA</v>
      </c>
      <c r="J45" s="74">
        <f>'SAF 011'!H62</f>
        <v>26023</v>
      </c>
      <c r="K45" s="75" t="e">
        <f>'SAF 011'!#REF!</f>
        <v>#REF!</v>
      </c>
      <c r="M45" s="88" t="e">
        <f t="shared" si="0"/>
        <v>#REF!</v>
      </c>
    </row>
    <row r="46" spans="1:13" s="87" customFormat="1" ht="16.5" customHeight="1" thickBot="1" x14ac:dyDescent="0.3">
      <c r="A46" s="89">
        <v>54</v>
      </c>
      <c r="B46" s="90"/>
      <c r="C46" s="153" t="str">
        <f>'SAF 011'!E63</f>
        <v>CONTROL HEMATOLOGICO DE 3 NIVELES BC 3D Tipo MINDRAY</v>
      </c>
      <c r="D46" s="154"/>
      <c r="E46" s="154"/>
      <c r="F46" s="154"/>
      <c r="G46" s="155"/>
      <c r="H46" s="69" t="s">
        <v>244</v>
      </c>
      <c r="I46" s="83" t="str">
        <f>'SAF 011'!F63</f>
        <v>CAJA</v>
      </c>
      <c r="J46" s="84">
        <f>'SAF 011'!H63</f>
        <v>16060</v>
      </c>
      <c r="K46" s="91" t="e">
        <f>'SAF 011'!#REF!</f>
        <v>#REF!</v>
      </c>
      <c r="M46" s="88" t="e">
        <f t="shared" si="0"/>
        <v>#REF!</v>
      </c>
    </row>
    <row r="47" spans="1:13" s="87" customFormat="1" ht="16.5" customHeight="1" thickBot="1" x14ac:dyDescent="0.3">
      <c r="A47" s="89">
        <v>55</v>
      </c>
      <c r="B47" s="90"/>
      <c r="C47" s="153" t="str">
        <f>'SAF 011'!E64</f>
        <v>CREATININA CINETICA AA LINEA LIQUIDA 250 ML (2X100 ML A + 2X25 ML B) Tipo WIENER</v>
      </c>
      <c r="D47" s="154"/>
      <c r="E47" s="154"/>
      <c r="F47" s="154"/>
      <c r="G47" s="155"/>
      <c r="H47" s="69" t="s">
        <v>244</v>
      </c>
      <c r="I47" s="83" t="str">
        <f>'SAF 011'!F64</f>
        <v>CAJA</v>
      </c>
      <c r="J47" s="84">
        <f>'SAF 011'!H64</f>
        <v>4490</v>
      </c>
      <c r="K47" s="91" t="e">
        <f>'SAF 011'!#REF!</f>
        <v>#REF!</v>
      </c>
      <c r="M47" s="88" t="e">
        <f t="shared" si="0"/>
        <v>#REF!</v>
      </c>
    </row>
    <row r="48" spans="1:13" s="87" customFormat="1" ht="16.5" customHeight="1" thickBot="1" x14ac:dyDescent="0.3">
      <c r="A48" s="89">
        <v>56</v>
      </c>
      <c r="B48" s="90"/>
      <c r="C48" s="153" t="str">
        <f>'SAF 011'!E65</f>
        <v>CREATININA DIRECTA 120-240 DET Tipo WIENER</v>
      </c>
      <c r="D48" s="154"/>
      <c r="E48" s="154"/>
      <c r="F48" s="154"/>
      <c r="G48" s="155"/>
      <c r="H48" s="69" t="s">
        <v>244</v>
      </c>
      <c r="I48" s="83" t="str">
        <f>'SAF 011'!F65</f>
        <v>CAJA</v>
      </c>
      <c r="J48" s="84">
        <f>'SAF 011'!H65</f>
        <v>3136</v>
      </c>
      <c r="K48" s="91" t="e">
        <f>'SAF 011'!#REF!</f>
        <v>#REF!</v>
      </c>
      <c r="M48" s="88" t="e">
        <f t="shared" si="0"/>
        <v>#REF!</v>
      </c>
    </row>
    <row r="49" spans="1:13" s="87" customFormat="1" ht="16.5" customHeight="1" thickBot="1" x14ac:dyDescent="0.3">
      <c r="A49" s="89">
        <v>57</v>
      </c>
      <c r="B49" s="90"/>
      <c r="C49" s="153" t="str">
        <f>'SAF 011'!E66</f>
        <v>CREJ2 (CREATININA) C311 tipo ROCHE</v>
      </c>
      <c r="D49" s="154"/>
      <c r="E49" s="154"/>
      <c r="F49" s="154"/>
      <c r="G49" s="155"/>
      <c r="H49" s="69" t="s">
        <v>244</v>
      </c>
      <c r="I49" s="83" t="str">
        <f>'SAF 011'!F66</f>
        <v>UNIDAD</v>
      </c>
      <c r="J49" s="84">
        <f>'SAF 011'!H66</f>
        <v>5539</v>
      </c>
      <c r="K49" s="91" t="e">
        <f>'SAF 011'!#REF!</f>
        <v>#REF!</v>
      </c>
      <c r="M49" s="88" t="e">
        <f t="shared" si="0"/>
        <v>#REF!</v>
      </c>
    </row>
    <row r="50" spans="1:13" s="87" customFormat="1" ht="16.5" customHeight="1" thickBot="1" x14ac:dyDescent="0.3">
      <c r="A50" s="89">
        <v>58</v>
      </c>
      <c r="B50" s="90"/>
      <c r="C50" s="153" t="str">
        <f>'SAF 011'!E67</f>
        <v>D-DIMER GEN 2 CONTROL I/II (Nivel 1: 2x1 ML / Nivel 2: 2x1 ML) COBAS C311 TIPO ROCHE</v>
      </c>
      <c r="D50" s="154"/>
      <c r="E50" s="154"/>
      <c r="F50" s="154"/>
      <c r="G50" s="155"/>
      <c r="H50" s="69" t="s">
        <v>244</v>
      </c>
      <c r="I50" s="83" t="str">
        <f>'SAF 011'!F67</f>
        <v>CAJA</v>
      </c>
      <c r="J50" s="84">
        <f>'SAF 011'!H67</f>
        <v>29122</v>
      </c>
      <c r="K50" s="91" t="e">
        <f>'SAF 011'!#REF!</f>
        <v>#REF!</v>
      </c>
      <c r="M50" s="88" t="e">
        <f t="shared" si="0"/>
        <v>#REF!</v>
      </c>
    </row>
    <row r="51" spans="1:13" s="87" customFormat="1" ht="16.5" customHeight="1" thickBot="1" x14ac:dyDescent="0.3">
      <c r="A51" s="89">
        <v>62</v>
      </c>
      <c r="B51" s="90"/>
      <c r="C51" s="153" t="str">
        <f>'SAF 011'!E71</f>
        <v>EZ CLEANSER X 100 ML Tipo MINDRAY</v>
      </c>
      <c r="D51" s="154"/>
      <c r="E51" s="154"/>
      <c r="F51" s="154"/>
      <c r="G51" s="155"/>
      <c r="H51" s="69" t="s">
        <v>244</v>
      </c>
      <c r="I51" s="83" t="str">
        <f>'SAF 011'!F71</f>
        <v>BOTELLA</v>
      </c>
      <c r="J51" s="84">
        <f>'SAF 011'!H71</f>
        <v>10372</v>
      </c>
      <c r="K51" s="91" t="e">
        <f>'SAF 011'!#REF!</f>
        <v>#REF!</v>
      </c>
      <c r="M51" s="88" t="e">
        <f t="shared" si="0"/>
        <v>#REF!</v>
      </c>
    </row>
    <row r="52" spans="1:13" s="87" customFormat="1" ht="16.5" customHeight="1" thickBot="1" x14ac:dyDescent="0.3">
      <c r="A52" s="89">
        <v>63</v>
      </c>
      <c r="B52" s="90"/>
      <c r="C52" s="153" t="str">
        <f>'SAF 011'!E72</f>
        <v>FOSFATASA ALCALINA OPTIMIZADA 200 DET Tipo WIENER</v>
      </c>
      <c r="D52" s="154"/>
      <c r="E52" s="154"/>
      <c r="F52" s="154"/>
      <c r="G52" s="155"/>
      <c r="H52" s="69" t="s">
        <v>244</v>
      </c>
      <c r="I52" s="83" t="str">
        <f>'SAF 011'!F72</f>
        <v>CAJA</v>
      </c>
      <c r="J52" s="84">
        <f>'SAF 011'!H72</f>
        <v>6759</v>
      </c>
      <c r="K52" s="91" t="e">
        <f>'SAF 011'!#REF!</f>
        <v>#REF!</v>
      </c>
      <c r="M52" s="88" t="e">
        <f t="shared" si="0"/>
        <v>#REF!</v>
      </c>
    </row>
    <row r="53" spans="1:13" s="87" customFormat="1" ht="16.5" customHeight="1" thickBot="1" x14ac:dyDescent="0.3">
      <c r="A53" s="89">
        <v>64</v>
      </c>
      <c r="B53" s="90"/>
      <c r="C53" s="153" t="str">
        <f>'SAF 011'!E73</f>
        <v>FT4 SET DE CALIBRADORES 12X1 ML Tipo TOSOH</v>
      </c>
      <c r="D53" s="154"/>
      <c r="E53" s="154"/>
      <c r="F53" s="154"/>
      <c r="G53" s="155"/>
      <c r="H53" s="69" t="s">
        <v>244</v>
      </c>
      <c r="I53" s="83" t="str">
        <f>'SAF 011'!F73</f>
        <v>CAJA</v>
      </c>
      <c r="J53" s="84">
        <f>'SAF 011'!H73</f>
        <v>53978</v>
      </c>
      <c r="K53" s="91" t="e">
        <f>'SAF 011'!#REF!</f>
        <v>#REF!</v>
      </c>
      <c r="M53" s="88" t="e">
        <f t="shared" si="0"/>
        <v>#REF!</v>
      </c>
    </row>
    <row r="54" spans="1:13" s="87" customFormat="1" ht="16.5" customHeight="1" thickBot="1" x14ac:dyDescent="0.3">
      <c r="A54" s="89">
        <v>65</v>
      </c>
      <c r="B54" s="90"/>
      <c r="C54" s="153" t="str">
        <f>'SAF 011'!E74</f>
        <v>FT4 ST REACTIVO 100 DET Tipo TOSOH</v>
      </c>
      <c r="D54" s="154"/>
      <c r="E54" s="154"/>
      <c r="F54" s="154"/>
      <c r="G54" s="155"/>
      <c r="H54" s="69" t="s">
        <v>244</v>
      </c>
      <c r="I54" s="83" t="str">
        <f>'SAF 011'!F74</f>
        <v>CAJA</v>
      </c>
      <c r="J54" s="84">
        <f>'SAF 011'!H74</f>
        <v>37220</v>
      </c>
      <c r="K54" s="91" t="e">
        <f>'SAF 011'!#REF!</f>
        <v>#REF!</v>
      </c>
      <c r="M54" s="88" t="e">
        <f t="shared" si="0"/>
        <v>#REF!</v>
      </c>
    </row>
    <row r="55" spans="1:13" s="87" customFormat="1" ht="16.5" customHeight="1" thickBot="1" x14ac:dyDescent="0.3">
      <c r="A55" s="89">
        <v>66</v>
      </c>
      <c r="B55" s="90"/>
      <c r="C55" s="153" t="str">
        <f>'SAF 011'!E75</f>
        <v>GGTI2 (GAMA GT) TIPO ROCHE COBAS C311</v>
      </c>
      <c r="D55" s="154"/>
      <c r="E55" s="154"/>
      <c r="F55" s="154"/>
      <c r="G55" s="155"/>
      <c r="H55" s="69" t="s">
        <v>244</v>
      </c>
      <c r="I55" s="83" t="str">
        <f>'SAF 011'!F75</f>
        <v>CASETTE</v>
      </c>
      <c r="J55" s="84">
        <f>'SAF 011'!H75</f>
        <v>11119</v>
      </c>
      <c r="K55" s="91" t="e">
        <f>'SAF 011'!#REF!</f>
        <v>#REF!</v>
      </c>
      <c r="M55" s="88" t="e">
        <f t="shared" ref="M55:M96" si="1">+J55*K55</f>
        <v>#REF!</v>
      </c>
    </row>
    <row r="56" spans="1:13" s="87" customFormat="1" ht="16.5" customHeight="1" thickBot="1" x14ac:dyDescent="0.3">
      <c r="A56" s="89">
        <v>67</v>
      </c>
      <c r="B56" s="90"/>
      <c r="C56" s="153" t="str">
        <f>'SAF 011'!E76</f>
        <v>GLICEMIA ENZIMATICA AA LINEA LIQUIDA 1000 ML ( 4 UNIDADES X250 ML) Tipo WIENER</v>
      </c>
      <c r="D56" s="154"/>
      <c r="E56" s="154"/>
      <c r="F56" s="154"/>
      <c r="G56" s="155"/>
      <c r="H56" s="69" t="s">
        <v>244</v>
      </c>
      <c r="I56" s="83" t="str">
        <f>'SAF 011'!F76</f>
        <v>CAJA</v>
      </c>
      <c r="J56" s="84">
        <f>'SAF 011'!H76</f>
        <v>6247</v>
      </c>
      <c r="K56" s="91" t="e">
        <f>'SAF 011'!#REF!</f>
        <v>#REF!</v>
      </c>
      <c r="M56" s="88" t="e">
        <f t="shared" si="1"/>
        <v>#REF!</v>
      </c>
    </row>
    <row r="57" spans="1:13" s="87" customFormat="1" ht="16.5" customHeight="1" thickBot="1" x14ac:dyDescent="0.3">
      <c r="A57" s="89">
        <v>68</v>
      </c>
      <c r="B57" s="90"/>
      <c r="C57" s="153" t="str">
        <f>'SAF 011'!E77</f>
        <v>GLUC3 (GLUCOSA) TIPO ROCHE  COBAS C311</v>
      </c>
      <c r="D57" s="154"/>
      <c r="E57" s="154"/>
      <c r="F57" s="154"/>
      <c r="G57" s="155"/>
      <c r="H57" s="69" t="s">
        <v>244</v>
      </c>
      <c r="I57" s="83" t="str">
        <f>'SAF 011'!F77</f>
        <v>UNIDAD</v>
      </c>
      <c r="J57" s="84">
        <f>'SAF 011'!H77</f>
        <v>11066</v>
      </c>
      <c r="K57" s="91" t="e">
        <f>'SAF 011'!#REF!</f>
        <v>#REF!</v>
      </c>
      <c r="M57" s="88" t="e">
        <f t="shared" si="1"/>
        <v>#REF!</v>
      </c>
    </row>
    <row r="58" spans="1:13" s="87" customFormat="1" ht="16.5" customHeight="1" thickBot="1" x14ac:dyDescent="0.3">
      <c r="A58" s="89">
        <v>69</v>
      </c>
      <c r="B58" s="90"/>
      <c r="C58" s="153" t="str">
        <f>'SAF 011'!E78</f>
        <v>GPT (ALT) UV AA LINEA LIQUIDA 200 ML Tipo WIENER</v>
      </c>
      <c r="D58" s="154"/>
      <c r="E58" s="154"/>
      <c r="F58" s="154"/>
      <c r="G58" s="155"/>
      <c r="H58" s="69" t="s">
        <v>244</v>
      </c>
      <c r="I58" s="83" t="str">
        <f>'SAF 011'!F78</f>
        <v>CAJA</v>
      </c>
      <c r="J58" s="84">
        <f>'SAF 011'!H78</f>
        <v>6730</v>
      </c>
      <c r="K58" s="91" t="e">
        <f>'SAF 011'!#REF!</f>
        <v>#REF!</v>
      </c>
      <c r="M58" s="88" t="e">
        <f t="shared" si="1"/>
        <v>#REF!</v>
      </c>
    </row>
    <row r="59" spans="1:13" s="87" customFormat="1" ht="16.5" customHeight="1" thickBot="1" x14ac:dyDescent="0.3">
      <c r="A59" s="89">
        <v>70</v>
      </c>
      <c r="B59" s="90"/>
      <c r="C59" s="153" t="str">
        <f>'SAF 011'!E79</f>
        <v>HBA1C ENZYMATIC CALIBRADOR TURBIDIMETRICO 2X0.5 ML Tipo WIENER</v>
      </c>
      <c r="D59" s="154"/>
      <c r="E59" s="154"/>
      <c r="F59" s="154"/>
      <c r="G59" s="155"/>
      <c r="H59" s="69" t="s">
        <v>244</v>
      </c>
      <c r="I59" s="83" t="str">
        <f>'SAF 011'!F79</f>
        <v>CAJA</v>
      </c>
      <c r="J59" s="84">
        <f>'SAF 011'!H79</f>
        <v>11190</v>
      </c>
      <c r="K59" s="91" t="e">
        <f>'SAF 011'!#REF!</f>
        <v>#REF!</v>
      </c>
      <c r="M59" s="88" t="e">
        <f t="shared" si="1"/>
        <v>#REF!</v>
      </c>
    </row>
    <row r="60" spans="1:13" s="87" customFormat="1" ht="16.5" customHeight="1" thickBot="1" x14ac:dyDescent="0.3">
      <c r="A60" s="89">
        <v>71</v>
      </c>
      <c r="B60" s="90"/>
      <c r="C60" s="153" t="str">
        <f>'SAF 011'!E80</f>
        <v>HBA1C ENZYMATIC CONTROL TURBIDIM 2X0,5 ML Tipo WIENER</v>
      </c>
      <c r="D60" s="154"/>
      <c r="E60" s="154"/>
      <c r="F60" s="154"/>
      <c r="G60" s="155"/>
      <c r="H60" s="69" t="s">
        <v>244</v>
      </c>
      <c r="I60" s="83" t="str">
        <f>'SAF 011'!F80</f>
        <v>CAJA</v>
      </c>
      <c r="J60" s="84">
        <f>'SAF 011'!H80</f>
        <v>13120</v>
      </c>
      <c r="K60" s="91" t="e">
        <f>'SAF 011'!#REF!</f>
        <v>#REF!</v>
      </c>
      <c r="M60" s="88" t="e">
        <f t="shared" si="1"/>
        <v>#REF!</v>
      </c>
    </row>
    <row r="61" spans="1:13" s="87" customFormat="1" ht="16.5" customHeight="1" thickBot="1" x14ac:dyDescent="0.3">
      <c r="A61" s="89">
        <v>72</v>
      </c>
      <c r="B61" s="90"/>
      <c r="C61" s="153" t="str">
        <f>'SAF 011'!E81</f>
        <v>HBA1C ENZYMATIC LYSIS BUFFER TURBIDIM 50 ML Tipo WIENER</v>
      </c>
      <c r="D61" s="154"/>
      <c r="E61" s="154"/>
      <c r="F61" s="154"/>
      <c r="G61" s="155"/>
      <c r="H61" s="69" t="s">
        <v>244</v>
      </c>
      <c r="I61" s="83" t="str">
        <f>'SAF 011'!F81</f>
        <v>CAJA</v>
      </c>
      <c r="J61" s="84">
        <f>'SAF 011'!H81</f>
        <v>16473</v>
      </c>
      <c r="K61" s="91" t="e">
        <f>'SAF 011'!#REF!</f>
        <v>#REF!</v>
      </c>
      <c r="M61" s="88" t="e">
        <f t="shared" si="1"/>
        <v>#REF!</v>
      </c>
    </row>
    <row r="62" spans="1:13" s="87" customFormat="1" ht="16.5" customHeight="1" thickBot="1" x14ac:dyDescent="0.3">
      <c r="A62" s="89">
        <v>73</v>
      </c>
      <c r="B62" s="90"/>
      <c r="C62" s="153" t="str">
        <f>'SAF 011'!E82</f>
        <v>HBA1C ENZYMATIC TURBIDIMETRICO 1X18 ML - 1X8 ML - 1X12 ML Tipo WIENER</v>
      </c>
      <c r="D62" s="154"/>
      <c r="E62" s="154"/>
      <c r="F62" s="154"/>
      <c r="G62" s="155"/>
      <c r="H62" s="69" t="s">
        <v>244</v>
      </c>
      <c r="I62" s="83" t="str">
        <f>'SAF 011'!F82</f>
        <v>CAJA</v>
      </c>
      <c r="J62" s="84">
        <f>'SAF 011'!H82</f>
        <v>27553</v>
      </c>
      <c r="K62" s="91" t="e">
        <f>'SAF 011'!#REF!</f>
        <v>#REF!</v>
      </c>
      <c r="M62" s="88" t="e">
        <f t="shared" si="1"/>
        <v>#REF!</v>
      </c>
    </row>
    <row r="63" spans="1:13" s="87" customFormat="1" ht="16.5" customHeight="1" thickBot="1" x14ac:dyDescent="0.3">
      <c r="A63" s="89">
        <v>74</v>
      </c>
      <c r="B63" s="90"/>
      <c r="C63" s="153" t="str">
        <f>'SAF 011'!E83</f>
        <v>HEPATITIS B ELISA HBSAG 96 DET Tipo WIENER</v>
      </c>
      <c r="D63" s="154"/>
      <c r="E63" s="154"/>
      <c r="F63" s="154"/>
      <c r="G63" s="155"/>
      <c r="H63" s="69" t="s">
        <v>244</v>
      </c>
      <c r="I63" s="83" t="str">
        <f>'SAF 011'!F83</f>
        <v>CAJA</v>
      </c>
      <c r="J63" s="84">
        <f>'SAF 011'!H83</f>
        <v>22109</v>
      </c>
      <c r="K63" s="91" t="e">
        <f>'SAF 011'!#REF!</f>
        <v>#REF!</v>
      </c>
      <c r="M63" s="88" t="e">
        <f t="shared" si="1"/>
        <v>#REF!</v>
      </c>
    </row>
    <row r="64" spans="1:13" s="87" customFormat="1" ht="16.5" customHeight="1" thickBot="1" x14ac:dyDescent="0.3">
      <c r="A64" s="89">
        <v>79</v>
      </c>
      <c r="B64" s="90"/>
      <c r="C64" s="153" t="str">
        <f>'SAF 011'!E88</f>
        <v>ISE CLEANING SOLUTION (ELECSYS SYSCLEAN) caja 5X100 ML COBAS C311 TIPO ROCHE</v>
      </c>
      <c r="D64" s="154"/>
      <c r="E64" s="154"/>
      <c r="F64" s="154"/>
      <c r="G64" s="155"/>
      <c r="H64" s="69" t="s">
        <v>244</v>
      </c>
      <c r="I64" s="83" t="str">
        <f>'SAF 011'!F88</f>
        <v>CAJA</v>
      </c>
      <c r="J64" s="84">
        <f>'SAF 011'!H88</f>
        <v>14170</v>
      </c>
      <c r="K64" s="91" t="e">
        <f>'SAF 011'!#REF!</f>
        <v>#REF!</v>
      </c>
      <c r="M64" s="88" t="e">
        <f t="shared" si="1"/>
        <v>#REF!</v>
      </c>
    </row>
    <row r="65" spans="1:13" s="87" customFormat="1" ht="16.5" customHeight="1" thickBot="1" x14ac:dyDescent="0.3">
      <c r="A65" s="89">
        <v>80</v>
      </c>
      <c r="B65" s="90"/>
      <c r="C65" s="153" t="str">
        <f>'SAF 011'!E89</f>
        <v>KingFisher 96 tip comb for deep-well magnets, 10x10 pcs/box (for Flex, Apex and Presto)</v>
      </c>
      <c r="D65" s="154"/>
      <c r="E65" s="154"/>
      <c r="F65" s="154"/>
      <c r="G65" s="155"/>
      <c r="H65" s="69" t="s">
        <v>244</v>
      </c>
      <c r="I65" s="83" t="str">
        <f>'SAF 011'!F89</f>
        <v>CAJA</v>
      </c>
      <c r="J65" s="84">
        <f>'SAF 011'!H89</f>
        <v>143470.91</v>
      </c>
      <c r="K65" s="91" t="e">
        <f>'SAF 011'!#REF!</f>
        <v>#REF!</v>
      </c>
      <c r="M65" s="88" t="e">
        <f t="shared" si="1"/>
        <v>#REF!</v>
      </c>
    </row>
    <row r="66" spans="1:13" s="87" customFormat="1" ht="16.5" customHeight="1" thickBot="1" x14ac:dyDescent="0.3">
      <c r="A66" s="89">
        <v>81</v>
      </c>
      <c r="B66" s="90"/>
      <c r="C66" s="153" t="str">
        <f>'SAF 011'!E90</f>
        <v xml:space="preserve">KingFisher Plastic Consumables for SARS-CpV-2 Testing </v>
      </c>
      <c r="D66" s="154"/>
      <c r="E66" s="154"/>
      <c r="F66" s="154"/>
      <c r="G66" s="155"/>
      <c r="H66" s="69" t="s">
        <v>244</v>
      </c>
      <c r="I66" s="83" t="str">
        <f>'SAF 011'!F90</f>
        <v>Unidad</v>
      </c>
      <c r="J66" s="84">
        <f>'SAF 011'!H90</f>
        <v>72401.56</v>
      </c>
      <c r="K66" s="91" t="e">
        <f>'SAF 011'!#REF!</f>
        <v>#REF!</v>
      </c>
      <c r="M66" s="88" t="e">
        <f t="shared" si="1"/>
        <v>#REF!</v>
      </c>
    </row>
    <row r="67" spans="1:13" s="87" customFormat="1" ht="16.5" customHeight="1" thickBot="1" x14ac:dyDescent="0.3">
      <c r="A67" s="89">
        <v>82</v>
      </c>
      <c r="B67" s="90"/>
      <c r="C67" s="153" t="str">
        <f>'SAF 011'!E91</f>
        <v>KingFisher TM Plastics for 96 standard and PCR formats</v>
      </c>
      <c r="D67" s="154"/>
      <c r="E67" s="154"/>
      <c r="F67" s="154"/>
      <c r="G67" s="155"/>
      <c r="H67" s="69" t="s">
        <v>244</v>
      </c>
      <c r="I67" s="83" t="str">
        <f>'SAF 011'!F91</f>
        <v>Unidad</v>
      </c>
      <c r="J67" s="84">
        <f>'SAF 011'!H91</f>
        <v>41976.11</v>
      </c>
      <c r="K67" s="91" t="e">
        <f>'SAF 011'!#REF!</f>
        <v>#REF!</v>
      </c>
      <c r="M67" s="88" t="e">
        <f t="shared" si="1"/>
        <v>#REF!</v>
      </c>
    </row>
    <row r="68" spans="1:13" s="87" customFormat="1" ht="16.5" customHeight="1" thickBot="1" x14ac:dyDescent="0.3">
      <c r="A68" s="89">
        <v>83</v>
      </c>
      <c r="B68" s="90"/>
      <c r="C68" s="153" t="str">
        <f>'SAF 011'!E92</f>
        <v>KIT PARA TRANSCRIPTASA REVERSA QUANTINOVA PROBE RT-PCR KIT 500 REACCIONES Tipo QIAGEN GMBH</v>
      </c>
      <c r="D68" s="154"/>
      <c r="E68" s="154"/>
      <c r="F68" s="154"/>
      <c r="G68" s="155"/>
      <c r="H68" s="69" t="s">
        <v>244</v>
      </c>
      <c r="I68" s="83" t="str">
        <f>'SAF 011'!F92</f>
        <v xml:space="preserve">CAJA </v>
      </c>
      <c r="J68" s="84">
        <f>'SAF 011'!H92</f>
        <v>259477</v>
      </c>
      <c r="K68" s="91" t="e">
        <f>'SAF 011'!#REF!</f>
        <v>#REF!</v>
      </c>
      <c r="M68" s="88" t="e">
        <f t="shared" si="1"/>
        <v>#REF!</v>
      </c>
    </row>
    <row r="69" spans="1:13" s="87" customFormat="1" ht="16.5" customHeight="1" thickBot="1" x14ac:dyDescent="0.3">
      <c r="A69" s="89">
        <v>86</v>
      </c>
      <c r="B69" s="90"/>
      <c r="C69" s="153" t="str">
        <f>'SAF 011'!E95</f>
        <v>LDH P UV AA LINEA LIQUIDA 100 ML Tipo WIENER</v>
      </c>
      <c r="D69" s="154"/>
      <c r="E69" s="154"/>
      <c r="F69" s="154"/>
      <c r="G69" s="155"/>
      <c r="H69" s="69" t="s">
        <v>244</v>
      </c>
      <c r="I69" s="83" t="str">
        <f>'SAF 011'!F95</f>
        <v>CAJA</v>
      </c>
      <c r="J69" s="84">
        <f>'SAF 011'!H95</f>
        <v>4772</v>
      </c>
      <c r="K69" s="91" t="e">
        <f>'SAF 011'!#REF!</f>
        <v>#REF!</v>
      </c>
      <c r="M69" s="88" t="e">
        <f t="shared" si="1"/>
        <v>#REF!</v>
      </c>
    </row>
    <row r="70" spans="1:13" s="87" customFormat="1" ht="16.5" customHeight="1" thickBot="1" x14ac:dyDescent="0.3">
      <c r="A70" s="89">
        <v>87</v>
      </c>
      <c r="B70" s="90"/>
      <c r="C70" s="153" t="str">
        <f>'SAF 011'!E96</f>
        <v>LISANTE X 500 ML Tipo MINDRAY</v>
      </c>
      <c r="D70" s="154"/>
      <c r="E70" s="154"/>
      <c r="F70" s="154"/>
      <c r="G70" s="155"/>
      <c r="H70" s="69" t="s">
        <v>244</v>
      </c>
      <c r="I70" s="83" t="str">
        <f>'SAF 011'!F96</f>
        <v>BOTELLA</v>
      </c>
      <c r="J70" s="84">
        <f>'SAF 011'!H96</f>
        <v>7632</v>
      </c>
      <c r="K70" s="91" t="e">
        <f>'SAF 011'!#REF!</f>
        <v>#REF!</v>
      </c>
      <c r="M70" s="88" t="e">
        <f t="shared" si="1"/>
        <v>#REF!</v>
      </c>
    </row>
    <row r="71" spans="1:13" s="87" customFormat="1" ht="16.5" customHeight="1" thickBot="1" x14ac:dyDescent="0.3">
      <c r="A71" s="89">
        <v>88</v>
      </c>
      <c r="B71" s="90"/>
      <c r="C71" s="153" t="str">
        <f>'SAF 011'!E97</f>
        <v>LYSERCELL WDF (XN-550/1000) X 5 LITROS TIPO SYSMEX</v>
      </c>
      <c r="D71" s="154"/>
      <c r="E71" s="154"/>
      <c r="F71" s="154"/>
      <c r="G71" s="155"/>
      <c r="H71" s="69" t="s">
        <v>244</v>
      </c>
      <c r="I71" s="83" t="str">
        <f>'SAF 011'!F97</f>
        <v>BOLSA</v>
      </c>
      <c r="J71" s="84">
        <f>'SAF 011'!H97</f>
        <v>25167</v>
      </c>
      <c r="K71" s="91" t="e">
        <f>'SAF 011'!#REF!</f>
        <v>#REF!</v>
      </c>
      <c r="M71" s="88" t="e">
        <f t="shared" si="1"/>
        <v>#REF!</v>
      </c>
    </row>
    <row r="72" spans="1:13" s="87" customFormat="1" ht="16.5" customHeight="1" thickBot="1" x14ac:dyDescent="0.3">
      <c r="A72" s="89">
        <v>89</v>
      </c>
      <c r="B72" s="90"/>
      <c r="C72" s="153" t="str">
        <f>'SAF 011'!E98</f>
        <v>M-30 DILUYENTE X 20 LTS Tipo MINDRAY</v>
      </c>
      <c r="D72" s="154"/>
      <c r="E72" s="154"/>
      <c r="F72" s="154"/>
      <c r="G72" s="155"/>
      <c r="H72" s="69" t="s">
        <v>244</v>
      </c>
      <c r="I72" s="83" t="str">
        <f>'SAF 011'!F98</f>
        <v>BOTELLA</v>
      </c>
      <c r="J72" s="84">
        <f>'SAF 011'!H98</f>
        <v>8135</v>
      </c>
      <c r="K72" s="91" t="e">
        <f>'SAF 011'!#REF!</f>
        <v>#REF!</v>
      </c>
      <c r="M72" s="88" t="e">
        <f t="shared" si="1"/>
        <v>#REF!</v>
      </c>
    </row>
    <row r="73" spans="1:13" s="87" customFormat="1" ht="16.5" customHeight="1" thickBot="1" x14ac:dyDescent="0.3">
      <c r="A73" s="89">
        <v>90</v>
      </c>
      <c r="B73" s="90"/>
      <c r="C73" s="153" t="str">
        <f>'SAF 011'!E99</f>
        <v>MAC CONTROLES 6 UNIDADES X3 ML Tipo TOSOH</v>
      </c>
      <c r="D73" s="154"/>
      <c r="E73" s="154"/>
      <c r="F73" s="154"/>
      <c r="G73" s="155"/>
      <c r="H73" s="69" t="s">
        <v>244</v>
      </c>
      <c r="I73" s="83" t="str">
        <f>'SAF 011'!F99</f>
        <v>CAJA</v>
      </c>
      <c r="J73" s="84">
        <f>'SAF 011'!H99</f>
        <v>79116</v>
      </c>
      <c r="K73" s="91" t="e">
        <f>'SAF 011'!#REF!</f>
        <v>#REF!</v>
      </c>
      <c r="M73" s="88" t="e">
        <f t="shared" si="1"/>
        <v>#REF!</v>
      </c>
    </row>
    <row r="74" spans="1:13" s="87" customFormat="1" ht="16.5" customHeight="1" thickBot="1" x14ac:dyDescent="0.3">
      <c r="A74" s="89">
        <v>91</v>
      </c>
      <c r="B74" s="90"/>
      <c r="C74" s="153" t="str">
        <f>'SAF 011'!E100</f>
        <v>MagMAX TM Viral/Pathogen II (MVP) Nucleic Acid Isolation Kit</v>
      </c>
      <c r="D74" s="154"/>
      <c r="E74" s="154"/>
      <c r="F74" s="154"/>
      <c r="G74" s="155"/>
      <c r="H74" s="69" t="s">
        <v>244</v>
      </c>
      <c r="I74" s="83" t="str">
        <f>'SAF 011'!F100</f>
        <v>Unidad</v>
      </c>
      <c r="J74" s="84">
        <f>'SAF 011'!H100</f>
        <v>684599.85</v>
      </c>
      <c r="K74" s="91" t="e">
        <f>'SAF 011'!#REF!</f>
        <v>#REF!</v>
      </c>
      <c r="M74" s="88" t="e">
        <f t="shared" si="1"/>
        <v>#REF!</v>
      </c>
    </row>
    <row r="75" spans="1:13" s="87" customFormat="1" ht="16.5" customHeight="1" thickBot="1" x14ac:dyDescent="0.3">
      <c r="A75" s="89">
        <v>92</v>
      </c>
      <c r="B75" s="90"/>
      <c r="C75" s="153" t="str">
        <f>'SAF 011'!E101</f>
        <v>MG2 (MAGNESIO) TIPO ROCHE  COBAS C311</v>
      </c>
      <c r="D75" s="154"/>
      <c r="E75" s="154"/>
      <c r="F75" s="154"/>
      <c r="G75" s="155"/>
      <c r="H75" s="69" t="s">
        <v>244</v>
      </c>
      <c r="I75" s="83" t="str">
        <f>'SAF 011'!F101</f>
        <v>UNIDAD</v>
      </c>
      <c r="J75" s="84">
        <f>'SAF 011'!H101</f>
        <v>5539</v>
      </c>
      <c r="K75" s="91" t="e">
        <f>'SAF 011'!#REF!</f>
        <v>#REF!</v>
      </c>
      <c r="M75" s="88" t="e">
        <f t="shared" si="1"/>
        <v>#REF!</v>
      </c>
    </row>
    <row r="76" spans="1:13" s="87" customFormat="1" ht="16.5" customHeight="1" thickBot="1" x14ac:dyDescent="0.3">
      <c r="A76" s="89">
        <v>93</v>
      </c>
      <c r="B76" s="90"/>
      <c r="C76" s="153" t="str">
        <f>'SAF 011'!E102</f>
        <v>NACL (CLORURO DE SODIO) TIPO ROCHE  COBAS C311</v>
      </c>
      <c r="D76" s="154"/>
      <c r="E76" s="154"/>
      <c r="F76" s="154"/>
      <c r="G76" s="155"/>
      <c r="H76" s="69" t="s">
        <v>244</v>
      </c>
      <c r="I76" s="83" t="str">
        <f>'SAF 011'!F102</f>
        <v>UNIDAD</v>
      </c>
      <c r="J76" s="84">
        <f>'SAF 011'!H102</f>
        <v>4204</v>
      </c>
      <c r="K76" s="91" t="e">
        <f>'SAF 011'!#REF!</f>
        <v>#REF!</v>
      </c>
      <c r="M76" s="88" t="e">
        <f t="shared" si="1"/>
        <v>#REF!</v>
      </c>
    </row>
    <row r="77" spans="1:13" s="87" customFormat="1" ht="16.5" customHeight="1" thickBot="1" x14ac:dyDescent="0.3">
      <c r="A77" s="89">
        <v>98</v>
      </c>
      <c r="B77" s="90"/>
      <c r="C77" s="153" t="str">
        <f>'SAF 011'!E107</f>
        <v>PCR LATEX DIRECTO 50 DET Tipo WIENER</v>
      </c>
      <c r="D77" s="154"/>
      <c r="E77" s="154"/>
      <c r="F77" s="154"/>
      <c r="G77" s="155"/>
      <c r="H77" s="69" t="s">
        <v>244</v>
      </c>
      <c r="I77" s="83" t="str">
        <f>'SAF 011'!F107</f>
        <v>CAJA</v>
      </c>
      <c r="J77" s="84">
        <f>'SAF 011'!H107</f>
        <v>4552</v>
      </c>
      <c r="K77" s="91" t="e">
        <f>'SAF 011'!#REF!</f>
        <v>#REF!</v>
      </c>
      <c r="M77" s="88" t="e">
        <f t="shared" si="1"/>
        <v>#REF!</v>
      </c>
    </row>
    <row r="78" spans="1:13" s="87" customFormat="1" ht="16.5" customHeight="1" thickBot="1" x14ac:dyDescent="0.3">
      <c r="A78" s="89">
        <v>99</v>
      </c>
      <c r="B78" s="90"/>
      <c r="C78" s="153" t="str">
        <f>'SAF 011'!E108</f>
        <v>PHOS2 (FOSFORO) TIPO ROCHE  COBAS C311</v>
      </c>
      <c r="D78" s="154"/>
      <c r="E78" s="154"/>
      <c r="F78" s="154"/>
      <c r="G78" s="155"/>
      <c r="H78" s="69" t="s">
        <v>244</v>
      </c>
      <c r="I78" s="83" t="str">
        <f>'SAF 011'!F108</f>
        <v>UNIDAD</v>
      </c>
      <c r="J78" s="84">
        <f>'SAF 011'!H108</f>
        <v>4683</v>
      </c>
      <c r="K78" s="91" t="e">
        <f>'SAF 011'!#REF!</f>
        <v>#REF!</v>
      </c>
      <c r="M78" s="88" t="e">
        <f t="shared" si="1"/>
        <v>#REF!</v>
      </c>
    </row>
    <row r="79" spans="1:13" s="87" customFormat="1" ht="16.5" customHeight="1" thickBot="1" x14ac:dyDescent="0.3">
      <c r="A79" s="89">
        <v>101</v>
      </c>
      <c r="B79" s="90"/>
      <c r="C79" s="153" t="str">
        <f>'SAF 011'!E110</f>
        <v>PROBE CLEANSER X 50 ML Tipo MINDRAY</v>
      </c>
      <c r="D79" s="154"/>
      <c r="E79" s="154"/>
      <c r="F79" s="154"/>
      <c r="G79" s="155"/>
      <c r="H79" s="69" t="s">
        <v>244</v>
      </c>
      <c r="I79" s="83" t="str">
        <f>'SAF 011'!F110</f>
        <v>CAJA</v>
      </c>
      <c r="J79" s="84">
        <f>'SAF 011'!H110</f>
        <v>12575</v>
      </c>
      <c r="K79" s="91" t="e">
        <f>'SAF 011'!#REF!</f>
        <v>#REF!</v>
      </c>
      <c r="M79" s="88" t="e">
        <f t="shared" si="1"/>
        <v>#REF!</v>
      </c>
    </row>
    <row r="80" spans="1:13" s="87" customFormat="1" ht="16.5" customHeight="1" thickBot="1" x14ac:dyDescent="0.3">
      <c r="A80" s="89">
        <v>102</v>
      </c>
      <c r="B80" s="90"/>
      <c r="C80" s="153" t="str">
        <f>'SAF 011'!E111</f>
        <v>PROTI 2 140 DET (BIURET 500 M + ALB 500 + SP) Tipo WIENER</v>
      </c>
      <c r="D80" s="154"/>
      <c r="E80" s="154"/>
      <c r="F80" s="154"/>
      <c r="G80" s="155"/>
      <c r="H80" s="69" t="s">
        <v>244</v>
      </c>
      <c r="I80" s="83" t="str">
        <f>'SAF 011'!F111</f>
        <v>CAJA</v>
      </c>
      <c r="J80" s="84">
        <f>'SAF 011'!H111</f>
        <v>3819</v>
      </c>
      <c r="K80" s="91" t="e">
        <f>'SAF 011'!#REF!</f>
        <v>#REF!</v>
      </c>
      <c r="M80" s="88" t="e">
        <f t="shared" si="1"/>
        <v>#REF!</v>
      </c>
    </row>
    <row r="81" spans="1:13" s="87" customFormat="1" ht="16.5" customHeight="1" thickBot="1" x14ac:dyDescent="0.3">
      <c r="A81" s="89">
        <v>103</v>
      </c>
      <c r="B81" s="90"/>
      <c r="C81" s="153" t="str">
        <f>'SAF 011'!E112</f>
        <v>QIAprep&amp;amp Viral RNA UM kit (600) SARS-CoV-2 N1 N2 ASSY KIT (600) Tipo QIAGEN GMBH</v>
      </c>
      <c r="D81" s="154"/>
      <c r="E81" s="154"/>
      <c r="F81" s="154"/>
      <c r="G81" s="155"/>
      <c r="H81" s="69" t="s">
        <v>244</v>
      </c>
      <c r="I81" s="83" t="str">
        <f>'SAF 011'!F112</f>
        <v>CAJA</v>
      </c>
      <c r="J81" s="84">
        <f>'SAF 011'!H112</f>
        <v>1555698</v>
      </c>
      <c r="K81" s="91" t="e">
        <f>'SAF 011'!#REF!</f>
        <v>#REF!</v>
      </c>
      <c r="M81" s="88" t="e">
        <f t="shared" si="1"/>
        <v>#REF!</v>
      </c>
    </row>
    <row r="82" spans="1:13" s="66" customFormat="1" ht="16.5" customHeight="1" thickBot="1" x14ac:dyDescent="0.3">
      <c r="A82" s="89">
        <v>104</v>
      </c>
      <c r="B82" s="67"/>
      <c r="C82" s="153" t="str">
        <f>'SAF 011'!E113</f>
        <v>RINSE X 20 LTS Tipo MINDRAY</v>
      </c>
      <c r="D82" s="154"/>
      <c r="E82" s="154"/>
      <c r="F82" s="154"/>
      <c r="G82" s="155"/>
      <c r="H82" s="69" t="s">
        <v>244</v>
      </c>
      <c r="I82" s="73" t="str">
        <f>'SAF 011'!F113</f>
        <v>CAJA</v>
      </c>
      <c r="J82" s="74">
        <f>'SAF 011'!H113</f>
        <v>12035</v>
      </c>
      <c r="K82" s="75" t="e">
        <f>'SAF 011'!#REF!</f>
        <v>#REF!</v>
      </c>
      <c r="M82" s="88" t="e">
        <f t="shared" si="1"/>
        <v>#REF!</v>
      </c>
    </row>
    <row r="83" spans="1:13" s="66" customFormat="1" ht="16.5" customHeight="1" thickBot="1" x14ac:dyDescent="0.3">
      <c r="A83" s="89">
        <v>105</v>
      </c>
      <c r="B83" s="67"/>
      <c r="C83" s="153" t="str">
        <f>'SAF 011'!E114</f>
        <v>S1 RINSE SOLUTION CAJA X 2 BIDON COBAS B221 TIPO ROCHE</v>
      </c>
      <c r="D83" s="154"/>
      <c r="E83" s="154"/>
      <c r="F83" s="154"/>
      <c r="G83" s="155"/>
      <c r="H83" s="69" t="s">
        <v>244</v>
      </c>
      <c r="I83" s="73" t="str">
        <f>'SAF 011'!F114</f>
        <v>CAJA</v>
      </c>
      <c r="J83" s="74">
        <f>'SAF 011'!H114</f>
        <v>37305</v>
      </c>
      <c r="K83" s="75" t="e">
        <f>'SAF 011'!#REF!</f>
        <v>#REF!</v>
      </c>
      <c r="M83" s="88" t="e">
        <f t="shared" si="1"/>
        <v>#REF!</v>
      </c>
    </row>
    <row r="84" spans="1:13" s="87" customFormat="1" ht="16.5" customHeight="1" thickBot="1" x14ac:dyDescent="0.3">
      <c r="A84" s="89">
        <v>106</v>
      </c>
      <c r="B84" s="90"/>
      <c r="C84" s="153" t="str">
        <f>'SAF 011'!E115</f>
        <v xml:space="preserve">S2 RINSE SOLUTION FLUID PACK </v>
      </c>
      <c r="D84" s="154"/>
      <c r="E84" s="154"/>
      <c r="F84" s="154"/>
      <c r="G84" s="155"/>
      <c r="H84" s="69" t="s">
        <v>244</v>
      </c>
      <c r="I84" s="83" t="str">
        <f>'SAF 011'!F115</f>
        <v>CAJA</v>
      </c>
      <c r="J84" s="84">
        <f>'SAF 011'!H115</f>
        <v>61165</v>
      </c>
      <c r="K84" s="91" t="e">
        <f>'SAF 011'!#REF!</f>
        <v>#REF!</v>
      </c>
      <c r="M84" s="88" t="e">
        <f t="shared" si="1"/>
        <v>#REF!</v>
      </c>
    </row>
    <row r="85" spans="1:13" s="87" customFormat="1" ht="16.5" customHeight="1" thickBot="1" x14ac:dyDescent="0.3">
      <c r="A85" s="89">
        <v>107</v>
      </c>
      <c r="B85" s="90"/>
      <c r="C85" s="153" t="str">
        <f>'SAF 011'!E116</f>
        <v>S3 RINSE SOLUTION FLUID PACK A COBAS B 221 TIPO ROCHE</v>
      </c>
      <c r="D85" s="154"/>
      <c r="E85" s="154"/>
      <c r="F85" s="154"/>
      <c r="G85" s="155"/>
      <c r="H85" s="69" t="s">
        <v>244</v>
      </c>
      <c r="I85" s="83" t="str">
        <f>'SAF 011'!F116</f>
        <v>CAJA</v>
      </c>
      <c r="J85" s="84">
        <f>'SAF 011'!H116</f>
        <v>81157</v>
      </c>
      <c r="K85" s="91" t="e">
        <f>'SAF 011'!#REF!</f>
        <v>#REF!</v>
      </c>
      <c r="M85" s="88" t="e">
        <f t="shared" si="1"/>
        <v>#REF!</v>
      </c>
    </row>
    <row r="86" spans="1:13" s="87" customFormat="1" ht="16.5" customHeight="1" thickBot="1" x14ac:dyDescent="0.3">
      <c r="A86" s="89">
        <v>108</v>
      </c>
      <c r="B86" s="90"/>
      <c r="C86" s="153" t="str">
        <f>'SAF 011'!E117</f>
        <v>SANGRE OCULTA 25 TIRAS Tipo BRITANIA</v>
      </c>
      <c r="D86" s="154"/>
      <c r="E86" s="154"/>
      <c r="F86" s="154"/>
      <c r="G86" s="155"/>
      <c r="H86" s="69" t="s">
        <v>244</v>
      </c>
      <c r="I86" s="83" t="str">
        <f>'SAF 011'!F117</f>
        <v>FRASCO</v>
      </c>
      <c r="J86" s="84">
        <f>'SAF 011'!H117</f>
        <v>3172</v>
      </c>
      <c r="K86" s="91" t="e">
        <f>'SAF 011'!#REF!</f>
        <v>#REF!</v>
      </c>
      <c r="M86" s="88" t="e">
        <f t="shared" si="1"/>
        <v>#REF!</v>
      </c>
    </row>
    <row r="87" spans="1:13" s="87" customFormat="1" ht="16.5" customHeight="1" thickBot="1" x14ac:dyDescent="0.3">
      <c r="A87" s="89">
        <v>112</v>
      </c>
      <c r="B87" s="90"/>
      <c r="C87" s="153" t="str">
        <f>'SAF 011'!E121</f>
        <v>SENSOR GLUCOSA-LACTATO COBAS B 221 TIPO ROCHE</v>
      </c>
      <c r="D87" s="154"/>
      <c r="E87" s="154"/>
      <c r="F87" s="154"/>
      <c r="G87" s="155"/>
      <c r="H87" s="69" t="s">
        <v>244</v>
      </c>
      <c r="I87" s="83" t="str">
        <f>'SAF 011'!F121</f>
        <v>UNIDAD</v>
      </c>
      <c r="J87" s="84">
        <f>'SAF 011'!H121</f>
        <v>16709</v>
      </c>
      <c r="K87" s="91" t="e">
        <f>'SAF 011'!#REF!</f>
        <v>#REF!</v>
      </c>
      <c r="M87" s="88" t="e">
        <f t="shared" si="1"/>
        <v>#REF!</v>
      </c>
    </row>
    <row r="88" spans="1:13" s="87" customFormat="1" ht="16.5" customHeight="1" thickBot="1" x14ac:dyDescent="0.3">
      <c r="A88" s="89">
        <v>113</v>
      </c>
      <c r="B88" s="90"/>
      <c r="C88" s="153" t="str">
        <f>'SAF 011'!E122</f>
        <v>SET DE SUSTRATOS II X 1000 DET Tipo TOSOH</v>
      </c>
      <c r="D88" s="154"/>
      <c r="E88" s="154"/>
      <c r="F88" s="154"/>
      <c r="G88" s="155"/>
      <c r="H88" s="69" t="s">
        <v>244</v>
      </c>
      <c r="I88" s="83" t="str">
        <f>'SAF 011'!F122</f>
        <v>CAJA</v>
      </c>
      <c r="J88" s="84">
        <f>'SAF 011'!H122</f>
        <v>19487</v>
      </c>
      <c r="K88" s="91" t="e">
        <f>'SAF 011'!#REF!</f>
        <v>#REF!</v>
      </c>
      <c r="M88" s="88" t="e">
        <f t="shared" si="1"/>
        <v>#REF!</v>
      </c>
    </row>
    <row r="89" spans="1:13" s="87" customFormat="1" ht="16.5" customHeight="1" thickBot="1" x14ac:dyDescent="0.3">
      <c r="A89" s="89">
        <v>116</v>
      </c>
      <c r="B89" s="90"/>
      <c r="C89" s="153" t="str">
        <f>'SAF 011'!E125</f>
        <v>STANDATROL S-E 2 NIVEL 3 FRASCOS X 5 ML N1+3 FRASCOS Tipo WIENER</v>
      </c>
      <c r="D89" s="154"/>
      <c r="E89" s="154"/>
      <c r="F89" s="154"/>
      <c r="G89" s="155"/>
      <c r="H89" s="69" t="s">
        <v>244</v>
      </c>
      <c r="I89" s="83" t="str">
        <f>'SAF 011'!F125</f>
        <v>CAJA</v>
      </c>
      <c r="J89" s="84">
        <f>'SAF 011'!H125</f>
        <v>14599</v>
      </c>
      <c r="K89" s="91" t="e">
        <f>'SAF 011'!#REF!</f>
        <v>#REF!</v>
      </c>
      <c r="M89" s="88" t="e">
        <f t="shared" si="1"/>
        <v>#REF!</v>
      </c>
    </row>
    <row r="90" spans="1:13" s="87" customFormat="1" ht="16.5" customHeight="1" thickBot="1" x14ac:dyDescent="0.3">
      <c r="A90" s="89">
        <v>121</v>
      </c>
      <c r="B90" s="90"/>
      <c r="C90" s="153" t="str">
        <f>'SAF 011'!E130</f>
        <v>TEST RAPIDO DE ANTIGENO AG JUSCHEK X 20 Un Tipo ACRO JUSCHEK (USA)</v>
      </c>
      <c r="D90" s="154"/>
      <c r="E90" s="154"/>
      <c r="F90" s="154"/>
      <c r="G90" s="155"/>
      <c r="H90" s="69" t="s">
        <v>244</v>
      </c>
      <c r="I90" s="83" t="str">
        <f>'SAF 011'!F130</f>
        <v>CAJA</v>
      </c>
      <c r="J90" s="84">
        <f>'SAF 011'!H130</f>
        <v>12380</v>
      </c>
      <c r="K90" s="91" t="e">
        <f>'SAF 011'!#REF!</f>
        <v>#REF!</v>
      </c>
      <c r="M90" s="88" t="e">
        <f t="shared" si="1"/>
        <v>#REF!</v>
      </c>
    </row>
    <row r="91" spans="1:13" s="87" customFormat="1" ht="16.5" customHeight="1" thickBot="1" x14ac:dyDescent="0.3">
      <c r="A91" s="89">
        <v>122</v>
      </c>
      <c r="B91" s="90"/>
      <c r="C91" s="153" t="str">
        <f>'SAF 011'!E131</f>
        <v>TOXO AD 96 DET Tipo POLYCHACO</v>
      </c>
      <c r="D91" s="154"/>
      <c r="E91" s="154"/>
      <c r="F91" s="154"/>
      <c r="G91" s="155"/>
      <c r="H91" s="69" t="s">
        <v>244</v>
      </c>
      <c r="I91" s="83" t="str">
        <f>'SAF 011'!F131</f>
        <v>CAJA</v>
      </c>
      <c r="J91" s="84">
        <f>'SAF 011'!H131</f>
        <v>46892</v>
      </c>
      <c r="K91" s="91" t="e">
        <f>'SAF 011'!#REF!</f>
        <v>#REF!</v>
      </c>
      <c r="M91" s="88" t="e">
        <f t="shared" si="1"/>
        <v>#REF!</v>
      </c>
    </row>
    <row r="92" spans="1:13" s="87" customFormat="1" ht="16.5" customHeight="1" thickBot="1" x14ac:dyDescent="0.3">
      <c r="A92" s="89">
        <v>125</v>
      </c>
      <c r="B92" s="90"/>
      <c r="C92" s="153" t="str">
        <f>'SAF 011'!E134</f>
        <v>TRIGLICERIDOS TIPO ROCHE  COBAS C311</v>
      </c>
      <c r="D92" s="154"/>
      <c r="E92" s="154"/>
      <c r="F92" s="154"/>
      <c r="G92" s="155"/>
      <c r="H92" s="69" t="s">
        <v>244</v>
      </c>
      <c r="I92" s="83" t="str">
        <f>'SAF 011'!F134</f>
        <v>UNIDAD</v>
      </c>
      <c r="J92" s="84">
        <f>'SAF 011'!H134</f>
        <v>4448</v>
      </c>
      <c r="K92" s="91" t="e">
        <f>'SAF 011'!#REF!</f>
        <v>#REF!</v>
      </c>
      <c r="M92" s="88" t="e">
        <f t="shared" si="1"/>
        <v>#REF!</v>
      </c>
    </row>
    <row r="93" spans="1:13" s="87" customFormat="1" ht="16.5" customHeight="1" thickBot="1" x14ac:dyDescent="0.3">
      <c r="A93" s="89">
        <v>126</v>
      </c>
      <c r="B93" s="90"/>
      <c r="C93" s="153" t="str">
        <f>'SAF 011'!E135</f>
        <v>TSH 3° GENERACION SET DE CALIBRADORES 6 NIVELES Tipo TOSOH</v>
      </c>
      <c r="D93" s="154"/>
      <c r="E93" s="154"/>
      <c r="F93" s="154"/>
      <c r="G93" s="155"/>
      <c r="H93" s="69" t="s">
        <v>244</v>
      </c>
      <c r="I93" s="83" t="str">
        <f>'SAF 011'!F135</f>
        <v>UNIDAD</v>
      </c>
      <c r="J93" s="84">
        <f>'SAF 011'!H135</f>
        <v>53978</v>
      </c>
      <c r="K93" s="91" t="e">
        <f>'SAF 011'!#REF!</f>
        <v>#REF!</v>
      </c>
      <c r="M93" s="88" t="e">
        <f t="shared" si="1"/>
        <v>#REF!</v>
      </c>
    </row>
    <row r="94" spans="1:13" s="66" customFormat="1" ht="16.5" customHeight="1" thickBot="1" x14ac:dyDescent="0.3">
      <c r="A94" s="89">
        <v>127</v>
      </c>
      <c r="B94" s="67"/>
      <c r="C94" s="153" t="str">
        <f>'SAF 011'!E136</f>
        <v>TSH ST REACTIVO 100 TEST Tipo TOSOH</v>
      </c>
      <c r="D94" s="154"/>
      <c r="E94" s="154"/>
      <c r="F94" s="154"/>
      <c r="G94" s="155"/>
      <c r="H94" s="69" t="s">
        <v>244</v>
      </c>
      <c r="I94" s="73" t="str">
        <f>'SAF 011'!F136</f>
        <v>CAJA</v>
      </c>
      <c r="J94" s="74">
        <f>'SAF 011'!H136</f>
        <v>34881</v>
      </c>
      <c r="K94" s="75" t="e">
        <f>'SAF 011'!#REF!</f>
        <v>#REF!</v>
      </c>
      <c r="M94" s="88" t="e">
        <f t="shared" si="1"/>
        <v>#REF!</v>
      </c>
    </row>
    <row r="95" spans="1:13" s="66" customFormat="1" ht="16.5" customHeight="1" thickBot="1" x14ac:dyDescent="0.3">
      <c r="A95" s="89">
        <v>128</v>
      </c>
      <c r="B95" s="67"/>
      <c r="C95" s="153" t="str">
        <f>'SAF 011'!E137</f>
        <v>TUBO  DE GAS P/TS2 Tipo OPTI MEDICAL (USA)</v>
      </c>
      <c r="D95" s="154"/>
      <c r="E95" s="154"/>
      <c r="F95" s="154"/>
      <c r="G95" s="155"/>
      <c r="H95" s="69" t="s">
        <v>244</v>
      </c>
      <c r="I95" s="73" t="str">
        <f>'SAF 011'!F137</f>
        <v>UNIDAD</v>
      </c>
      <c r="J95" s="74">
        <f>'SAF 011'!H137</f>
        <v>29105.599999999999</v>
      </c>
      <c r="K95" s="75" t="e">
        <f>'SAF 011'!#REF!</f>
        <v>#REF!</v>
      </c>
      <c r="M95" s="88" t="e">
        <f t="shared" si="1"/>
        <v>#REF!</v>
      </c>
    </row>
    <row r="96" spans="1:13" s="66" customFormat="1" ht="16.5" customHeight="1" thickBot="1" x14ac:dyDescent="0.3">
      <c r="A96" s="89">
        <v>129</v>
      </c>
      <c r="B96" s="67"/>
      <c r="C96" s="153" t="str">
        <f>'SAF 011'!E138</f>
        <v>UREA COLOR 2R TIPO WIENER</v>
      </c>
      <c r="D96" s="154"/>
      <c r="E96" s="154"/>
      <c r="F96" s="154"/>
      <c r="G96" s="155"/>
      <c r="H96" s="69" t="s">
        <v>244</v>
      </c>
      <c r="I96" s="73" t="str">
        <f>'SAF 011'!F138</f>
        <v>CAJA</v>
      </c>
      <c r="J96" s="74">
        <f>'SAF 011'!H138</f>
        <v>7716</v>
      </c>
      <c r="K96" s="75" t="e">
        <f>'SAF 011'!#REF!</f>
        <v>#REF!</v>
      </c>
      <c r="M96" s="88" t="e">
        <f t="shared" si="1"/>
        <v>#REF!</v>
      </c>
    </row>
    <row r="97" spans="1:13" s="66" customFormat="1" ht="16.5" customHeight="1" thickBot="1" x14ac:dyDescent="0.3">
      <c r="A97" s="89">
        <v>130</v>
      </c>
      <c r="B97" s="67"/>
      <c r="C97" s="153" t="str">
        <f>'SAF 011'!E139</f>
        <v>UREAL (UREA) TIPO ROCHE  COBAS C311</v>
      </c>
      <c r="D97" s="154"/>
      <c r="E97" s="154"/>
      <c r="F97" s="154"/>
      <c r="G97" s="155"/>
      <c r="H97" s="69" t="s">
        <v>244</v>
      </c>
      <c r="I97" s="73" t="str">
        <f>'SAF 011'!F139</f>
        <v>UNIDAD</v>
      </c>
      <c r="J97" s="74">
        <f>'SAF 011'!H139</f>
        <v>7544</v>
      </c>
      <c r="K97" s="75" t="e">
        <f>'SAF 011'!#REF!</f>
        <v>#REF!</v>
      </c>
      <c r="M97" s="88" t="e">
        <f t="shared" ref="M97:M103" si="2">+J97*K97</f>
        <v>#REF!</v>
      </c>
    </row>
    <row r="98" spans="1:13" s="66" customFormat="1" ht="16.5" customHeight="1" thickBot="1" x14ac:dyDescent="0.3">
      <c r="A98" s="89">
        <v>131</v>
      </c>
      <c r="B98" s="67"/>
      <c r="C98" s="153" t="str">
        <f>'SAF 011'!E140</f>
        <v>VDRL TEST 250 DET Tipo WIENER</v>
      </c>
      <c r="D98" s="154"/>
      <c r="E98" s="154"/>
      <c r="F98" s="154"/>
      <c r="G98" s="155"/>
      <c r="H98" s="69" t="s">
        <v>244</v>
      </c>
      <c r="I98" s="73" t="str">
        <f>'SAF 011'!F140</f>
        <v>CAJA</v>
      </c>
      <c r="J98" s="74">
        <f>'SAF 011'!H140</f>
        <v>2476</v>
      </c>
      <c r="K98" s="75" t="e">
        <f>'SAF 011'!#REF!</f>
        <v>#REF!</v>
      </c>
      <c r="M98" s="88" t="e">
        <f t="shared" si="2"/>
        <v>#REF!</v>
      </c>
    </row>
    <row r="99" spans="1:13" s="66" customFormat="1" ht="16.5" customHeight="1" thickBot="1" x14ac:dyDescent="0.3">
      <c r="A99" s="89">
        <v>133</v>
      </c>
      <c r="B99" s="67"/>
      <c r="C99" s="153" t="str">
        <f>'SAF 011'!E142</f>
        <v>WASH (SOLUCION CONCENTRADA DE LAVADO) 4X100 ML - 700 DET Tipo TOSOH</v>
      </c>
      <c r="D99" s="154"/>
      <c r="E99" s="154"/>
      <c r="F99" s="154"/>
      <c r="G99" s="155"/>
      <c r="H99" s="69" t="s">
        <v>244</v>
      </c>
      <c r="I99" s="73" t="str">
        <f>'SAF 011'!F142</f>
        <v>CAJA</v>
      </c>
      <c r="J99" s="74">
        <f>'SAF 011'!H142</f>
        <v>19487</v>
      </c>
      <c r="K99" s="75" t="e">
        <f>'SAF 011'!#REF!</f>
        <v>#REF!</v>
      </c>
      <c r="M99" s="88" t="e">
        <f t="shared" si="2"/>
        <v>#REF!</v>
      </c>
    </row>
    <row r="100" spans="1:13" s="66" customFormat="1" ht="16.5" customHeight="1" thickBot="1" x14ac:dyDescent="0.3">
      <c r="A100" s="89">
        <v>134</v>
      </c>
      <c r="B100" s="67"/>
      <c r="C100" s="153" t="str">
        <f>'SAF 011'!E143</f>
        <v>WL 19 CONTROL AA 3 NIVELES 3X3 ML (BAJO-NORMAL-ALTO) Tipo WIENER</v>
      </c>
      <c r="D100" s="154"/>
      <c r="E100" s="154"/>
      <c r="F100" s="154"/>
      <c r="G100" s="155"/>
      <c r="H100" s="69" t="s">
        <v>244</v>
      </c>
      <c r="I100" s="73" t="str">
        <f>'SAF 011'!F143</f>
        <v>CAJA</v>
      </c>
      <c r="J100" s="74">
        <f>'SAF 011'!H143</f>
        <v>11294</v>
      </c>
      <c r="K100" s="75" t="e">
        <f>'SAF 011'!#REF!</f>
        <v>#REF!</v>
      </c>
      <c r="M100" s="88" t="e">
        <f t="shared" si="2"/>
        <v>#REF!</v>
      </c>
    </row>
    <row r="101" spans="1:13" s="66" customFormat="1" ht="16.5" customHeight="1" thickBot="1" x14ac:dyDescent="0.3">
      <c r="A101" s="89">
        <v>135</v>
      </c>
      <c r="B101" s="67"/>
      <c r="C101" s="153" t="str">
        <f>'SAF 011'!E144</f>
        <v>WL 19 RINSE COUNTER AA 20 L Tipo WIENER</v>
      </c>
      <c r="D101" s="154"/>
      <c r="E101" s="154"/>
      <c r="F101" s="154"/>
      <c r="G101" s="155"/>
      <c r="H101" s="69" t="s">
        <v>244</v>
      </c>
      <c r="I101" s="73" t="str">
        <f>'SAF 011'!F144</f>
        <v>CAJA</v>
      </c>
      <c r="J101" s="74">
        <f>'SAF 011'!H144</f>
        <v>17606</v>
      </c>
      <c r="K101" s="75" t="e">
        <f>'SAF 011'!#REF!</f>
        <v>#REF!</v>
      </c>
      <c r="M101" s="88" t="e">
        <f t="shared" si="2"/>
        <v>#REF!</v>
      </c>
    </row>
    <row r="102" spans="1:13" s="87" customFormat="1" ht="16.5" customHeight="1" thickBot="1" x14ac:dyDescent="0.3">
      <c r="A102" s="89">
        <v>136</v>
      </c>
      <c r="B102" s="90"/>
      <c r="C102" s="153" t="str">
        <f>'SAF 011'!E145</f>
        <v>WL CHECK CHAGAS - 25 CASSETTES - TIPO WIENER</v>
      </c>
      <c r="D102" s="154"/>
      <c r="E102" s="154"/>
      <c r="F102" s="154"/>
      <c r="G102" s="155"/>
      <c r="H102" s="69" t="s">
        <v>244</v>
      </c>
      <c r="I102" s="83" t="str">
        <f>'SAF 011'!F145</f>
        <v>EQUIPO</v>
      </c>
      <c r="J102" s="84">
        <f>'SAF 011'!H145</f>
        <v>10000</v>
      </c>
      <c r="K102" s="91" t="e">
        <f>'SAF 011'!#REF!</f>
        <v>#REF!</v>
      </c>
      <c r="M102" s="88" t="e">
        <f t="shared" si="2"/>
        <v>#REF!</v>
      </c>
    </row>
    <row r="103" spans="1:13" s="66" customFormat="1" ht="16.5" customHeight="1" x14ac:dyDescent="0.25">
      <c r="A103" s="89">
        <v>137</v>
      </c>
      <c r="B103" s="68"/>
      <c r="C103" s="153" t="str">
        <f>'SAF 011'!E146</f>
        <v>XN-CHECK CONTROL ALTO-MEDIO-BAJO (XN-550/1000) (CAJA 12X3.0 ML) TIPO SYSMEX</v>
      </c>
      <c r="D103" s="154"/>
      <c r="E103" s="154"/>
      <c r="F103" s="154"/>
      <c r="G103" s="155"/>
      <c r="H103" s="69" t="s">
        <v>244</v>
      </c>
      <c r="I103" s="76" t="str">
        <f>'SAF 011'!F146</f>
        <v>CAJA</v>
      </c>
      <c r="J103" s="77">
        <f>'SAF 011'!H146</f>
        <v>93477</v>
      </c>
      <c r="K103" s="78" t="e">
        <f>'SAF 011'!#REF!</f>
        <v>#REF!</v>
      </c>
      <c r="M103" s="88" t="e">
        <f t="shared" si="2"/>
        <v>#REF!</v>
      </c>
    </row>
    <row r="104" spans="1:13" ht="15.75" x14ac:dyDescent="0.25">
      <c r="A104" s="12"/>
      <c r="B104" s="13"/>
      <c r="C104" s="164"/>
      <c r="D104" s="164"/>
      <c r="E104" s="164"/>
      <c r="F104" s="164"/>
      <c r="G104" s="164"/>
      <c r="H104" s="14"/>
      <c r="I104" s="15"/>
      <c r="J104" s="62"/>
      <c r="K104" s="16"/>
      <c r="M104" s="80"/>
    </row>
    <row r="105" spans="1:13" ht="38.25" customHeight="1" thickBot="1" x14ac:dyDescent="0.3">
      <c r="A105" s="162" t="s">
        <v>217</v>
      </c>
      <c r="B105" s="162"/>
      <c r="C105" s="162"/>
      <c r="D105" s="162"/>
      <c r="E105" s="162"/>
      <c r="F105" s="162"/>
      <c r="G105" s="162"/>
      <c r="H105" s="162"/>
      <c r="I105" s="162"/>
      <c r="J105" s="163" t="e">
        <f>+M105</f>
        <v>#REF!</v>
      </c>
      <c r="K105" s="163"/>
      <c r="M105" s="79" t="e">
        <f>SUM(M12:M104)</f>
        <v>#REF!</v>
      </c>
    </row>
  </sheetData>
  <mergeCells count="115">
    <mergeCell ref="C17:G17"/>
    <mergeCell ref="C32:G32"/>
    <mergeCell ref="C23:G23"/>
    <mergeCell ref="C24:G24"/>
    <mergeCell ref="C28:G28"/>
    <mergeCell ref="C29:G29"/>
    <mergeCell ref="C25:G25"/>
    <mergeCell ref="C26:G26"/>
    <mergeCell ref="C27:G27"/>
    <mergeCell ref="C18:G18"/>
    <mergeCell ref="C65:G65"/>
    <mergeCell ref="C76:G76"/>
    <mergeCell ref="C87:G87"/>
    <mergeCell ref="C92:G92"/>
    <mergeCell ref="C93:G93"/>
    <mergeCell ref="C66:G66"/>
    <mergeCell ref="C67:G67"/>
    <mergeCell ref="C68:G68"/>
    <mergeCell ref="C69:G69"/>
    <mergeCell ref="C70:G70"/>
    <mergeCell ref="C71:G71"/>
    <mergeCell ref="C72:G72"/>
    <mergeCell ref="C73:G73"/>
    <mergeCell ref="C74:G74"/>
    <mergeCell ref="C75:G75"/>
    <mergeCell ref="C77:G77"/>
    <mergeCell ref="C78:G78"/>
    <mergeCell ref="C79:G79"/>
    <mergeCell ref="C80:G80"/>
    <mergeCell ref="A105:I105"/>
    <mergeCell ref="J105:K105"/>
    <mergeCell ref="C104:G104"/>
    <mergeCell ref="K10:K11"/>
    <mergeCell ref="C12:G12"/>
    <mergeCell ref="C103:G103"/>
    <mergeCell ref="I10:I11"/>
    <mergeCell ref="J10:J11"/>
    <mergeCell ref="A10:A11"/>
    <mergeCell ref="C31:G31"/>
    <mergeCell ref="B10:B11"/>
    <mergeCell ref="C10:G11"/>
    <mergeCell ref="H10:H11"/>
    <mergeCell ref="C30:G30"/>
    <mergeCell ref="C35:G35"/>
    <mergeCell ref="C36:G36"/>
    <mergeCell ref="C33:G33"/>
    <mergeCell ref="C34:G34"/>
    <mergeCell ref="C39:G39"/>
    <mergeCell ref="C40:G40"/>
    <mergeCell ref="C41:G41"/>
    <mergeCell ref="C37:G37"/>
    <mergeCell ref="C38:G38"/>
    <mergeCell ref="C13:G13"/>
    <mergeCell ref="C57:G57"/>
    <mergeCell ref="C58:G58"/>
    <mergeCell ref="C59:G59"/>
    <mergeCell ref="A5:C5"/>
    <mergeCell ref="D5:K5"/>
    <mergeCell ref="A1:I1"/>
    <mergeCell ref="A3:C3"/>
    <mergeCell ref="D3:K3"/>
    <mergeCell ref="A4:C4"/>
    <mergeCell ref="D4:K4"/>
    <mergeCell ref="A6:C6"/>
    <mergeCell ref="D6:K6"/>
    <mergeCell ref="C45:G45"/>
    <mergeCell ref="C44:G44"/>
    <mergeCell ref="C46:G46"/>
    <mergeCell ref="C14:G14"/>
    <mergeCell ref="C15:G15"/>
    <mergeCell ref="C16:G16"/>
    <mergeCell ref="C19:G19"/>
    <mergeCell ref="C20:G20"/>
    <mergeCell ref="C21:G21"/>
    <mergeCell ref="C22:G22"/>
    <mergeCell ref="C42:G42"/>
    <mergeCell ref="C43:G43"/>
    <mergeCell ref="C102:G102"/>
    <mergeCell ref="C90:G90"/>
    <mergeCell ref="C91:G91"/>
    <mergeCell ref="C88:G88"/>
    <mergeCell ref="C89:G89"/>
    <mergeCell ref="A7:C7"/>
    <mergeCell ref="D7:K7"/>
    <mergeCell ref="A8:C8"/>
    <mergeCell ref="D8:K8"/>
    <mergeCell ref="C60:G60"/>
    <mergeCell ref="C61:G61"/>
    <mergeCell ref="C62:G62"/>
    <mergeCell ref="C63:G63"/>
    <mergeCell ref="C64:G64"/>
    <mergeCell ref="C47:G47"/>
    <mergeCell ref="C48:G48"/>
    <mergeCell ref="C49:G49"/>
    <mergeCell ref="C50:G50"/>
    <mergeCell ref="C51:G51"/>
    <mergeCell ref="C52:G52"/>
    <mergeCell ref="C53:G53"/>
    <mergeCell ref="C54:G54"/>
    <mergeCell ref="C55:G55"/>
    <mergeCell ref="C56:G56"/>
    <mergeCell ref="C100:G100"/>
    <mergeCell ref="C101:G101"/>
    <mergeCell ref="C96:G96"/>
    <mergeCell ref="C95:G95"/>
    <mergeCell ref="C84:G84"/>
    <mergeCell ref="C85:G85"/>
    <mergeCell ref="C86:G86"/>
    <mergeCell ref="C81:G81"/>
    <mergeCell ref="C99:G99"/>
    <mergeCell ref="C97:G97"/>
    <mergeCell ref="C98:G98"/>
    <mergeCell ref="C83:G83"/>
    <mergeCell ref="C94:G94"/>
    <mergeCell ref="C82:G8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2"/>
  <sheetViews>
    <sheetView workbookViewId="0">
      <selection activeCell="C49" sqref="C49:G49"/>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5.28515625" bestFit="1" customWidth="1"/>
  </cols>
  <sheetData>
    <row r="1" spans="1:17" ht="15.75" thickBot="1" x14ac:dyDescent="0.3">
      <c r="A1" s="171" t="s">
        <v>5</v>
      </c>
      <c r="B1" s="171"/>
      <c r="C1" s="171"/>
      <c r="D1" s="172">
        <v>2022</v>
      </c>
      <c r="E1" s="172"/>
      <c r="F1" s="17"/>
      <c r="G1" s="17"/>
      <c r="H1" s="18"/>
      <c r="I1" s="18"/>
      <c r="J1" s="18"/>
      <c r="K1" s="18"/>
      <c r="L1" s="18"/>
      <c r="M1" s="18"/>
      <c r="N1" s="18"/>
      <c r="O1" s="19"/>
      <c r="P1" s="173" t="s">
        <v>103</v>
      </c>
      <c r="Q1" s="173"/>
    </row>
    <row r="2" spans="1:17" ht="15.75" thickBot="1" x14ac:dyDescent="0.3">
      <c r="A2" s="20"/>
      <c r="B2" s="21"/>
      <c r="C2" s="21"/>
      <c r="D2" s="21"/>
      <c r="E2" s="21"/>
      <c r="F2" s="21"/>
      <c r="G2" s="22"/>
      <c r="H2" s="23"/>
      <c r="I2" s="23"/>
      <c r="J2" s="23"/>
      <c r="K2" s="23"/>
      <c r="L2" s="23"/>
      <c r="M2" s="23"/>
      <c r="N2" s="23"/>
      <c r="O2" s="21"/>
      <c r="P2" s="173"/>
      <c r="Q2" s="173"/>
    </row>
    <row r="3" spans="1:17" ht="15.75" thickBot="1" x14ac:dyDescent="0.3">
      <c r="A3" s="20"/>
      <c r="B3" s="21"/>
      <c r="C3" s="21"/>
      <c r="D3" s="21"/>
      <c r="E3" s="21"/>
      <c r="F3" s="21"/>
      <c r="G3" s="22"/>
      <c r="H3" s="21"/>
      <c r="I3" s="21"/>
      <c r="J3" s="21"/>
      <c r="K3" s="21"/>
      <c r="L3" s="21"/>
      <c r="M3" s="21"/>
      <c r="N3" s="21"/>
      <c r="O3" s="21"/>
      <c r="P3" s="21"/>
      <c r="Q3" s="24"/>
    </row>
    <row r="4" spans="1:17" ht="15.75" thickBot="1" x14ac:dyDescent="0.3">
      <c r="A4" s="174" t="s">
        <v>104</v>
      </c>
      <c r="B4" s="174"/>
      <c r="C4" s="174"/>
      <c r="D4" s="174"/>
      <c r="E4" s="174"/>
      <c r="F4" s="174"/>
      <c r="G4" s="175" t="str">
        <f>'NP LABORATORIO'!D3</f>
        <v>040 - MINISTERIO DE SALUD</v>
      </c>
      <c r="H4" s="175"/>
      <c r="I4" s="175"/>
      <c r="J4" s="175"/>
      <c r="K4" s="175"/>
      <c r="L4" s="175"/>
      <c r="M4" s="175"/>
      <c r="N4" s="175"/>
      <c r="O4" s="175"/>
      <c r="P4" s="175"/>
      <c r="Q4" s="175"/>
    </row>
    <row r="5" spans="1:17" ht="15.75" thickBot="1" x14ac:dyDescent="0.3">
      <c r="A5" s="176" t="s">
        <v>91</v>
      </c>
      <c r="B5" s="176"/>
      <c r="C5" s="176"/>
      <c r="D5" s="176"/>
      <c r="E5" s="176"/>
      <c r="F5" s="176"/>
      <c r="G5" s="175" t="str">
        <f>'NP LABORATORIO'!D4</f>
        <v>011 - DIRECCION PROVINCIAL DE ADMINISTRACION - MINISTERIO DE SALUD</v>
      </c>
      <c r="H5" s="175"/>
      <c r="I5" s="175"/>
      <c r="J5" s="175"/>
      <c r="K5" s="175"/>
      <c r="L5" s="175"/>
      <c r="M5" s="175"/>
      <c r="N5" s="175"/>
      <c r="O5" s="175"/>
      <c r="P5" s="175"/>
      <c r="Q5" s="175"/>
    </row>
    <row r="6" spans="1:17" ht="15.75" thickBot="1" x14ac:dyDescent="0.3">
      <c r="A6" s="176" t="s">
        <v>92</v>
      </c>
      <c r="B6" s="176"/>
      <c r="C6" s="176"/>
      <c r="D6" s="176"/>
      <c r="E6" s="176"/>
      <c r="F6" s="176"/>
      <c r="G6" s="175" t="str">
        <f>'NP LABORATORIO'!D5</f>
        <v>DIRECCION PROVINCIAL DE LABORATORIO</v>
      </c>
      <c r="H6" s="175"/>
      <c r="I6" s="175"/>
      <c r="J6" s="175"/>
      <c r="K6" s="175"/>
      <c r="L6" s="175"/>
      <c r="M6" s="175"/>
      <c r="N6" s="175"/>
      <c r="O6" s="175"/>
      <c r="P6" s="175"/>
      <c r="Q6" s="175"/>
    </row>
    <row r="7" spans="1:17" ht="15.75" thickBot="1" x14ac:dyDescent="0.3">
      <c r="A7" s="176" t="s">
        <v>93</v>
      </c>
      <c r="B7" s="176"/>
      <c r="C7" s="176"/>
      <c r="D7" s="176"/>
      <c r="E7" s="176"/>
      <c r="F7" s="176"/>
      <c r="G7" s="175" t="str">
        <f>'NP LABORATORIO'!D6</f>
        <v>DIRECCION PROVINCIAL DE LABORATORIO</v>
      </c>
      <c r="H7" s="175"/>
      <c r="I7" s="175"/>
      <c r="J7" s="175"/>
      <c r="K7" s="175"/>
      <c r="L7" s="175"/>
      <c r="M7" s="175"/>
      <c r="N7" s="175"/>
      <c r="O7" s="175"/>
      <c r="P7" s="175"/>
      <c r="Q7" s="175"/>
    </row>
    <row r="8" spans="1:17" ht="15.75" thickBot="1" x14ac:dyDescent="0.3">
      <c r="A8" s="177" t="s">
        <v>105</v>
      </c>
      <c r="B8" s="177"/>
      <c r="C8" s="177"/>
      <c r="D8" s="177"/>
      <c r="E8" s="177"/>
      <c r="F8" s="177"/>
      <c r="G8" s="177"/>
      <c r="H8" s="177"/>
      <c r="I8" s="177"/>
      <c r="J8" s="177"/>
      <c r="K8" s="177"/>
      <c r="L8" s="177"/>
      <c r="M8" s="177"/>
      <c r="N8" s="177"/>
      <c r="O8" s="177"/>
      <c r="P8" s="177"/>
      <c r="Q8" s="177"/>
    </row>
    <row r="9" spans="1:17" ht="20.25" customHeight="1" x14ac:dyDescent="0.25">
      <c r="A9" s="170" t="s">
        <v>106</v>
      </c>
      <c r="B9" s="170"/>
      <c r="C9" s="170"/>
      <c r="D9" s="170"/>
      <c r="E9" s="170"/>
      <c r="F9" s="170"/>
      <c r="G9" s="170"/>
      <c r="H9" s="170"/>
      <c r="I9" s="170"/>
      <c r="J9" s="170"/>
      <c r="K9" s="170"/>
      <c r="L9" s="170"/>
      <c r="M9" s="170"/>
      <c r="N9" s="170"/>
      <c r="O9" s="170"/>
      <c r="P9" s="170"/>
      <c r="Q9" s="170"/>
    </row>
    <row r="10" spans="1:17" ht="69" customHeight="1" x14ac:dyDescent="0.25">
      <c r="A10" s="179" t="s">
        <v>136</v>
      </c>
      <c r="B10" s="179"/>
      <c r="C10" s="179"/>
      <c r="D10" s="179"/>
      <c r="E10" s="179"/>
      <c r="F10" s="179"/>
      <c r="G10" s="179"/>
      <c r="H10" s="179"/>
      <c r="I10" s="179"/>
      <c r="J10" s="179"/>
      <c r="K10" s="179"/>
      <c r="L10" s="179"/>
      <c r="M10" s="179"/>
      <c r="N10" s="179"/>
      <c r="O10" s="179"/>
      <c r="P10" s="179"/>
      <c r="Q10" s="179"/>
    </row>
    <row r="11" spans="1:17" ht="15.75" thickBot="1" x14ac:dyDescent="0.3">
      <c r="A11" s="25"/>
      <c r="B11" s="26"/>
      <c r="C11" s="26"/>
      <c r="D11" s="26"/>
      <c r="E11" s="26"/>
      <c r="F11" s="26"/>
      <c r="G11" s="27"/>
      <c r="H11" s="26"/>
      <c r="I11" s="26"/>
      <c r="J11" s="26"/>
      <c r="K11" s="26"/>
      <c r="L11" s="26"/>
      <c r="M11" s="26"/>
      <c r="N11" s="26"/>
      <c r="O11" s="26"/>
      <c r="P11" s="26"/>
      <c r="Q11" s="28"/>
    </row>
    <row r="12" spans="1:17" ht="15.75" thickBot="1" x14ac:dyDescent="0.3">
      <c r="A12" s="180" t="s">
        <v>107</v>
      </c>
      <c r="B12" s="180"/>
      <c r="C12" s="180"/>
      <c r="D12" s="180"/>
      <c r="E12" s="180"/>
      <c r="F12" s="180"/>
      <c r="G12" s="180"/>
      <c r="H12" s="180"/>
      <c r="I12" s="180"/>
      <c r="J12" s="180"/>
      <c r="K12" s="180"/>
      <c r="L12" s="180"/>
      <c r="M12" s="180"/>
      <c r="N12" s="180"/>
      <c r="O12" s="180"/>
      <c r="P12" s="180"/>
      <c r="Q12" s="180"/>
    </row>
    <row r="13" spans="1:17" ht="15.75" thickBot="1" x14ac:dyDescent="0.3">
      <c r="A13" s="181" t="s">
        <v>108</v>
      </c>
      <c r="B13" s="181"/>
      <c r="C13" s="181"/>
      <c r="D13" s="181"/>
      <c r="E13" s="181"/>
      <c r="F13" s="181"/>
      <c r="G13" s="181"/>
      <c r="H13" s="181"/>
      <c r="I13" s="181"/>
      <c r="J13" s="181"/>
      <c r="K13" s="181"/>
      <c r="L13" s="181"/>
      <c r="M13" s="181"/>
      <c r="N13" s="181"/>
      <c r="O13" s="182" t="s">
        <v>109</v>
      </c>
      <c r="P13" s="182"/>
      <c r="Q13" s="183" t="s">
        <v>110</v>
      </c>
    </row>
    <row r="14" spans="1:17" ht="15.75" thickBot="1" x14ac:dyDescent="0.3">
      <c r="A14" s="29" t="s">
        <v>111</v>
      </c>
      <c r="B14" s="30" t="s">
        <v>112</v>
      </c>
      <c r="C14" s="30" t="s">
        <v>113</v>
      </c>
      <c r="D14" s="30" t="s">
        <v>114</v>
      </c>
      <c r="E14" s="30" t="s">
        <v>115</v>
      </c>
      <c r="F14" s="30" t="s">
        <v>116</v>
      </c>
      <c r="G14" s="31" t="s">
        <v>117</v>
      </c>
      <c r="H14" s="30" t="s">
        <v>118</v>
      </c>
      <c r="I14" s="30" t="s">
        <v>119</v>
      </c>
      <c r="J14" s="30" t="s">
        <v>120</v>
      </c>
      <c r="K14" s="30" t="s">
        <v>120</v>
      </c>
      <c r="L14" s="30" t="s">
        <v>121</v>
      </c>
      <c r="M14" s="32" t="s">
        <v>122</v>
      </c>
      <c r="N14" s="33" t="s">
        <v>123</v>
      </c>
      <c r="O14" s="182"/>
      <c r="P14" s="182"/>
      <c r="Q14" s="183"/>
    </row>
    <row r="15" spans="1:17" x14ac:dyDescent="0.25">
      <c r="A15" s="34">
        <v>62</v>
      </c>
      <c r="B15" s="35"/>
      <c r="C15" s="35"/>
      <c r="D15" s="35">
        <v>1</v>
      </c>
      <c r="E15" s="35"/>
      <c r="F15" s="35">
        <v>4901</v>
      </c>
      <c r="G15" s="35">
        <v>3</v>
      </c>
      <c r="H15" s="35">
        <v>1</v>
      </c>
      <c r="I15" s="35">
        <v>2</v>
      </c>
      <c r="J15" s="35">
        <v>5</v>
      </c>
      <c r="K15" s="35">
        <v>1</v>
      </c>
      <c r="L15" s="35"/>
      <c r="M15" s="36">
        <v>1</v>
      </c>
      <c r="N15" s="35" t="s">
        <v>137</v>
      </c>
      <c r="O15" s="184" t="s">
        <v>138</v>
      </c>
      <c r="P15" s="184"/>
      <c r="Q15" s="37" t="e">
        <f>'NP LABORATORIO'!M105</f>
        <v>#REF!</v>
      </c>
    </row>
    <row r="16" spans="1:17" x14ac:dyDescent="0.25">
      <c r="A16" s="38"/>
      <c r="B16" s="39"/>
      <c r="C16" s="39"/>
      <c r="D16" s="39"/>
      <c r="E16" s="39"/>
      <c r="F16" s="39"/>
      <c r="G16" s="39"/>
      <c r="H16" s="39"/>
      <c r="I16" s="39"/>
      <c r="J16" s="39"/>
      <c r="K16" s="39"/>
      <c r="L16" s="39"/>
      <c r="M16" s="40"/>
      <c r="N16" s="41"/>
      <c r="O16" s="185"/>
      <c r="P16" s="185"/>
      <c r="Q16" s="42"/>
    </row>
    <row r="17" spans="1:17" x14ac:dyDescent="0.25">
      <c r="A17" s="38"/>
      <c r="B17" s="39"/>
      <c r="C17" s="39"/>
      <c r="D17" s="39"/>
      <c r="E17" s="39"/>
      <c r="F17" s="39"/>
      <c r="G17" s="39"/>
      <c r="H17" s="39"/>
      <c r="I17" s="39"/>
      <c r="J17" s="39"/>
      <c r="K17" s="39"/>
      <c r="L17" s="39"/>
      <c r="M17" s="40"/>
      <c r="N17" s="41"/>
      <c r="O17" s="186"/>
      <c r="P17" s="186"/>
      <c r="Q17" s="42"/>
    </row>
    <row r="18" spans="1:17" x14ac:dyDescent="0.25">
      <c r="A18" s="38"/>
      <c r="B18" s="39"/>
      <c r="C18" s="39"/>
      <c r="D18" s="39"/>
      <c r="E18" s="39"/>
      <c r="F18" s="39"/>
      <c r="G18" s="39"/>
      <c r="H18" s="39"/>
      <c r="I18" s="39"/>
      <c r="J18" s="39"/>
      <c r="K18" s="39"/>
      <c r="L18" s="39"/>
      <c r="M18" s="40"/>
      <c r="N18" s="41"/>
      <c r="O18" s="178"/>
      <c r="P18" s="178"/>
      <c r="Q18" s="42"/>
    </row>
    <row r="19" spans="1:17" x14ac:dyDescent="0.25">
      <c r="A19" s="38"/>
      <c r="B19" s="39"/>
      <c r="C19" s="39"/>
      <c r="D19" s="39"/>
      <c r="E19" s="39"/>
      <c r="F19" s="39"/>
      <c r="G19" s="39"/>
      <c r="H19" s="39"/>
      <c r="I19" s="39"/>
      <c r="J19" s="39"/>
      <c r="K19" s="39"/>
      <c r="L19" s="39"/>
      <c r="M19" s="40"/>
      <c r="N19" s="41"/>
      <c r="O19" s="178"/>
      <c r="P19" s="178"/>
      <c r="Q19" s="42"/>
    </row>
    <row r="20" spans="1:17" x14ac:dyDescent="0.25">
      <c r="A20" s="38"/>
      <c r="B20" s="39"/>
      <c r="C20" s="39"/>
      <c r="D20" s="39"/>
      <c r="E20" s="39"/>
      <c r="F20" s="39"/>
      <c r="G20" s="39"/>
      <c r="H20" s="39"/>
      <c r="I20" s="39"/>
      <c r="J20" s="39"/>
      <c r="K20" s="39"/>
      <c r="L20" s="39"/>
      <c r="M20" s="40"/>
      <c r="N20" s="41"/>
      <c r="O20" s="178"/>
      <c r="P20" s="178"/>
      <c r="Q20" s="42"/>
    </row>
    <row r="21" spans="1:17" x14ac:dyDescent="0.25">
      <c r="A21" s="38"/>
      <c r="B21" s="39"/>
      <c r="C21" s="39"/>
      <c r="D21" s="39"/>
      <c r="E21" s="39"/>
      <c r="F21" s="39"/>
      <c r="G21" s="39"/>
      <c r="H21" s="39"/>
      <c r="I21" s="39"/>
      <c r="J21" s="39"/>
      <c r="K21" s="39"/>
      <c r="L21" s="39"/>
      <c r="M21" s="40"/>
      <c r="N21" s="41"/>
      <c r="O21" s="178"/>
      <c r="P21" s="178"/>
      <c r="Q21" s="42"/>
    </row>
    <row r="22" spans="1:17" x14ac:dyDescent="0.25">
      <c r="A22" s="38"/>
      <c r="B22" s="39"/>
      <c r="C22" s="39"/>
      <c r="D22" s="39"/>
      <c r="E22" s="39"/>
      <c r="F22" s="39"/>
      <c r="G22" s="39"/>
      <c r="H22" s="39"/>
      <c r="I22" s="39"/>
      <c r="J22" s="39"/>
      <c r="K22" s="39"/>
      <c r="L22" s="39"/>
      <c r="M22" s="40"/>
      <c r="N22" s="41"/>
      <c r="O22" s="178"/>
      <c r="P22" s="178"/>
      <c r="Q22" s="42"/>
    </row>
    <row r="23" spans="1:17" x14ac:dyDescent="0.25">
      <c r="A23" s="38"/>
      <c r="B23" s="39"/>
      <c r="C23" s="39"/>
      <c r="D23" s="39"/>
      <c r="E23" s="39"/>
      <c r="F23" s="39"/>
      <c r="G23" s="39"/>
      <c r="H23" s="39"/>
      <c r="I23" s="39"/>
      <c r="J23" s="39"/>
      <c r="K23" s="39"/>
      <c r="L23" s="39"/>
      <c r="M23" s="40"/>
      <c r="N23" s="41"/>
      <c r="O23" s="178"/>
      <c r="P23" s="178"/>
      <c r="Q23" s="42"/>
    </row>
    <row r="24" spans="1:17" x14ac:dyDescent="0.25">
      <c r="A24" s="38"/>
      <c r="B24" s="39"/>
      <c r="C24" s="39"/>
      <c r="D24" s="39"/>
      <c r="E24" s="39"/>
      <c r="F24" s="39"/>
      <c r="G24" s="39"/>
      <c r="H24" s="39"/>
      <c r="I24" s="39"/>
      <c r="J24" s="39"/>
      <c r="K24" s="39"/>
      <c r="L24" s="39"/>
      <c r="M24" s="40"/>
      <c r="N24" s="41"/>
      <c r="O24" s="178"/>
      <c r="P24" s="178"/>
      <c r="Q24" s="42"/>
    </row>
    <row r="25" spans="1:17" x14ac:dyDescent="0.25">
      <c r="A25" s="38"/>
      <c r="B25" s="39"/>
      <c r="C25" s="39"/>
      <c r="D25" s="39"/>
      <c r="E25" s="39"/>
      <c r="F25" s="39"/>
      <c r="G25" s="39"/>
      <c r="H25" s="39"/>
      <c r="I25" s="39"/>
      <c r="J25" s="39"/>
      <c r="K25" s="39"/>
      <c r="L25" s="39"/>
      <c r="M25" s="40"/>
      <c r="N25" s="41"/>
      <c r="O25" s="178"/>
      <c r="P25" s="178"/>
      <c r="Q25" s="42"/>
    </row>
    <row r="26" spans="1:17" x14ac:dyDescent="0.25">
      <c r="A26" s="38"/>
      <c r="B26" s="39"/>
      <c r="C26" s="39"/>
      <c r="D26" s="39"/>
      <c r="E26" s="39"/>
      <c r="F26" s="39"/>
      <c r="G26" s="39"/>
      <c r="H26" s="39"/>
      <c r="I26" s="39"/>
      <c r="J26" s="39"/>
      <c r="K26" s="39"/>
      <c r="L26" s="39"/>
      <c r="M26" s="40"/>
      <c r="N26" s="41"/>
      <c r="O26" s="178"/>
      <c r="P26" s="178"/>
      <c r="Q26" s="42"/>
    </row>
    <row r="27" spans="1:17" x14ac:dyDescent="0.25">
      <c r="A27" s="38"/>
      <c r="B27" s="39"/>
      <c r="C27" s="39"/>
      <c r="D27" s="39"/>
      <c r="E27" s="39"/>
      <c r="F27" s="39"/>
      <c r="G27" s="39"/>
      <c r="H27" s="39"/>
      <c r="I27" s="39"/>
      <c r="J27" s="39"/>
      <c r="K27" s="39"/>
      <c r="L27" s="39"/>
      <c r="M27" s="40"/>
      <c r="N27" s="41"/>
      <c r="O27" s="178"/>
      <c r="P27" s="178"/>
      <c r="Q27" s="42"/>
    </row>
    <row r="28" spans="1:17" x14ac:dyDescent="0.25">
      <c r="A28" s="38"/>
      <c r="B28" s="39"/>
      <c r="C28" s="39"/>
      <c r="D28" s="39"/>
      <c r="E28" s="39"/>
      <c r="F28" s="39"/>
      <c r="G28" s="39"/>
      <c r="H28" s="39"/>
      <c r="I28" s="39"/>
      <c r="J28" s="39"/>
      <c r="K28" s="39"/>
      <c r="L28" s="39"/>
      <c r="M28" s="40"/>
      <c r="N28" s="41"/>
      <c r="O28" s="178"/>
      <c r="P28" s="178"/>
      <c r="Q28" s="42"/>
    </row>
    <row r="29" spans="1:17" x14ac:dyDescent="0.25">
      <c r="A29" s="38"/>
      <c r="B29" s="39"/>
      <c r="C29" s="39"/>
      <c r="D29" s="39"/>
      <c r="E29" s="39"/>
      <c r="F29" s="39"/>
      <c r="G29" s="39"/>
      <c r="H29" s="39"/>
      <c r="I29" s="39"/>
      <c r="J29" s="39"/>
      <c r="K29" s="39"/>
      <c r="L29" s="39"/>
      <c r="M29" s="40"/>
      <c r="N29" s="41"/>
      <c r="O29" s="178"/>
      <c r="P29" s="178"/>
      <c r="Q29" s="42"/>
    </row>
    <row r="30" spans="1:17" x14ac:dyDescent="0.25">
      <c r="A30" s="38"/>
      <c r="B30" s="39"/>
      <c r="C30" s="39"/>
      <c r="D30" s="39"/>
      <c r="E30" s="39"/>
      <c r="F30" s="39"/>
      <c r="G30" s="39"/>
      <c r="H30" s="39"/>
      <c r="I30" s="39"/>
      <c r="J30" s="39"/>
      <c r="K30" s="39"/>
      <c r="L30" s="39"/>
      <c r="M30" s="40"/>
      <c r="N30" s="41"/>
      <c r="O30" s="178"/>
      <c r="P30" s="178"/>
      <c r="Q30" s="42"/>
    </row>
    <row r="31" spans="1:17" x14ac:dyDescent="0.25">
      <c r="A31" s="38"/>
      <c r="B31" s="39"/>
      <c r="C31" s="39"/>
      <c r="D31" s="39"/>
      <c r="E31" s="39"/>
      <c r="F31" s="39"/>
      <c r="G31" s="39"/>
      <c r="H31" s="39"/>
      <c r="I31" s="39"/>
      <c r="J31" s="39"/>
      <c r="K31" s="39"/>
      <c r="L31" s="39"/>
      <c r="M31" s="40"/>
      <c r="N31" s="41"/>
      <c r="O31" s="178"/>
      <c r="P31" s="178"/>
      <c r="Q31" s="42"/>
    </row>
    <row r="32" spans="1:17" x14ac:dyDescent="0.25">
      <c r="A32" s="38"/>
      <c r="B32" s="39"/>
      <c r="C32" s="39"/>
      <c r="D32" s="39"/>
      <c r="E32" s="39"/>
      <c r="F32" s="41"/>
      <c r="G32" s="39"/>
      <c r="H32" s="39"/>
      <c r="I32" s="39"/>
      <c r="J32" s="39"/>
      <c r="K32" s="39"/>
      <c r="L32" s="39"/>
      <c r="M32" s="40"/>
      <c r="N32" s="41"/>
      <c r="O32" s="185"/>
      <c r="P32" s="185"/>
      <c r="Q32" s="42"/>
    </row>
    <row r="33" spans="1:17" x14ac:dyDescent="0.25">
      <c r="A33" s="38"/>
      <c r="B33" s="39"/>
      <c r="C33" s="39"/>
      <c r="D33" s="39"/>
      <c r="E33" s="39"/>
      <c r="F33" s="39"/>
      <c r="G33" s="39"/>
      <c r="H33" s="39"/>
      <c r="I33" s="39"/>
      <c r="J33" s="39"/>
      <c r="K33" s="39"/>
      <c r="L33" s="39"/>
      <c r="M33" s="40"/>
      <c r="N33" s="41"/>
      <c r="O33" s="185"/>
      <c r="P33" s="185"/>
      <c r="Q33" s="42"/>
    </row>
    <row r="34" spans="1:17" x14ac:dyDescent="0.25">
      <c r="A34" s="38"/>
      <c r="B34" s="39"/>
      <c r="C34" s="39"/>
      <c r="D34" s="39"/>
      <c r="E34" s="39"/>
      <c r="F34" s="41"/>
      <c r="G34" s="39"/>
      <c r="H34" s="39"/>
      <c r="I34" s="39"/>
      <c r="J34" s="39"/>
      <c r="K34" s="39"/>
      <c r="L34" s="39"/>
      <c r="M34" s="40"/>
      <c r="N34" s="41"/>
      <c r="O34" s="185"/>
      <c r="P34" s="185"/>
      <c r="Q34" s="42"/>
    </row>
    <row r="35" spans="1:17" x14ac:dyDescent="0.25">
      <c r="A35" s="38"/>
      <c r="B35" s="39"/>
      <c r="C35" s="39"/>
      <c r="D35" s="39"/>
      <c r="E35" s="39"/>
      <c r="F35" s="41"/>
      <c r="G35" s="39"/>
      <c r="H35" s="39"/>
      <c r="I35" s="39"/>
      <c r="J35" s="39"/>
      <c r="K35" s="39"/>
      <c r="L35" s="39"/>
      <c r="M35" s="40"/>
      <c r="N35" s="41"/>
      <c r="O35" s="185"/>
      <c r="P35" s="185"/>
      <c r="Q35" s="42"/>
    </row>
    <row r="36" spans="1:17" x14ac:dyDescent="0.25">
      <c r="A36" s="43"/>
      <c r="B36" s="44"/>
      <c r="C36" s="44"/>
      <c r="D36" s="44"/>
      <c r="E36" s="44"/>
      <c r="F36" s="45"/>
      <c r="G36" s="44"/>
      <c r="H36" s="44"/>
      <c r="I36" s="44"/>
      <c r="J36" s="44"/>
      <c r="K36" s="44"/>
      <c r="L36" s="44"/>
      <c r="M36" s="46"/>
      <c r="N36" s="47"/>
      <c r="O36" s="190"/>
      <c r="P36" s="190"/>
      <c r="Q36" s="42"/>
    </row>
    <row r="37" spans="1:17" ht="15.75" thickBot="1" x14ac:dyDescent="0.3">
      <c r="A37" s="48"/>
      <c r="B37" s="49"/>
      <c r="C37" s="49"/>
      <c r="D37" s="49"/>
      <c r="E37" s="49"/>
      <c r="F37" s="49"/>
      <c r="G37" s="49"/>
      <c r="H37" s="49"/>
      <c r="I37" s="49"/>
      <c r="J37" s="49"/>
      <c r="K37" s="49"/>
      <c r="L37" s="49"/>
      <c r="M37" s="50"/>
      <c r="N37" s="49"/>
      <c r="O37" s="191"/>
      <c r="P37" s="191"/>
      <c r="Q37" s="51"/>
    </row>
    <row r="38" spans="1:17" ht="44.25" customHeight="1" thickBot="1" x14ac:dyDescent="0.3">
      <c r="A38" s="192" t="s">
        <v>218</v>
      </c>
      <c r="B38" s="192"/>
      <c r="C38" s="192"/>
      <c r="D38" s="192"/>
      <c r="E38" s="192"/>
      <c r="F38" s="192"/>
      <c r="G38" s="192"/>
      <c r="H38" s="192"/>
      <c r="I38" s="192"/>
      <c r="J38" s="192"/>
      <c r="K38" s="192"/>
      <c r="L38" s="192"/>
      <c r="M38" s="192"/>
      <c r="N38" s="192"/>
      <c r="O38" s="192"/>
      <c r="P38" s="192"/>
      <c r="Q38" s="52" t="e">
        <f>SUM(Q15:Q37)</f>
        <v>#REF!</v>
      </c>
    </row>
    <row r="39" spans="1:17" ht="15.75" thickBot="1" x14ac:dyDescent="0.3">
      <c r="A39" s="193"/>
      <c r="B39" s="193"/>
      <c r="C39" s="193"/>
      <c r="D39" s="193"/>
      <c r="E39" s="193"/>
      <c r="F39" s="193"/>
      <c r="G39" s="193"/>
      <c r="H39" s="193"/>
      <c r="I39" s="193"/>
      <c r="J39" s="193"/>
      <c r="K39" s="193"/>
      <c r="L39" s="193"/>
      <c r="M39" s="193"/>
      <c r="N39" s="193"/>
      <c r="O39" s="193"/>
      <c r="P39" s="193"/>
      <c r="Q39" s="193"/>
    </row>
    <row r="40" spans="1:17" ht="15.75" thickBot="1" x14ac:dyDescent="0.3">
      <c r="A40" s="187" t="s">
        <v>124</v>
      </c>
      <c r="B40" s="187"/>
      <c r="C40" s="187"/>
      <c r="D40" s="187"/>
      <c r="E40" s="187"/>
      <c r="F40" s="187"/>
      <c r="G40" s="188"/>
      <c r="H40" s="188"/>
      <c r="I40" s="188"/>
      <c r="J40" s="188"/>
      <c r="K40" s="188"/>
      <c r="L40" s="188"/>
      <c r="M40" s="188"/>
      <c r="N40" s="188"/>
      <c r="O40" s="188"/>
      <c r="P40" s="188"/>
      <c r="Q40" s="188"/>
    </row>
    <row r="41" spans="1:17" ht="15.75" thickBot="1" x14ac:dyDescent="0.3">
      <c r="A41" s="189" t="str">
        <f>'NP LABORATORIO'!D8</f>
        <v>ADQUISICION DEL RUBRO REACTIVOS PARA LABORATORIO</v>
      </c>
      <c r="B41" s="189"/>
      <c r="C41" s="189"/>
      <c r="D41" s="189"/>
      <c r="E41" s="189"/>
      <c r="F41" s="189"/>
      <c r="G41" s="189"/>
      <c r="H41" s="189"/>
      <c r="I41" s="189"/>
      <c r="J41" s="189"/>
      <c r="K41" s="189"/>
      <c r="L41" s="189"/>
      <c r="M41" s="189"/>
      <c r="N41" s="189"/>
      <c r="O41" s="189"/>
      <c r="P41" s="189"/>
      <c r="Q41" s="189"/>
    </row>
    <row r="42" spans="1:17" ht="15.75" thickBot="1" x14ac:dyDescent="0.3">
      <c r="A42" s="189"/>
      <c r="B42" s="189"/>
      <c r="C42" s="189"/>
      <c r="D42" s="189"/>
      <c r="E42" s="189"/>
      <c r="F42" s="189"/>
      <c r="G42" s="189"/>
      <c r="H42" s="189"/>
      <c r="I42" s="189"/>
      <c r="J42" s="189"/>
      <c r="K42" s="189"/>
      <c r="L42" s="189"/>
      <c r="M42" s="189"/>
      <c r="N42" s="189"/>
      <c r="O42" s="189"/>
      <c r="P42" s="189"/>
      <c r="Q42" s="189"/>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6"/>
  <sheetViews>
    <sheetView topLeftCell="A34" workbookViewId="0">
      <selection activeCell="H12" sqref="H12:H54"/>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43.85546875" customWidth="1"/>
    <col min="8" max="8" width="9.28515625" customWidth="1"/>
    <col min="9" max="9" width="15.5703125" customWidth="1"/>
    <col min="10" max="10" width="14.7109375" style="63" customWidth="1"/>
    <col min="11" max="11" width="15.5703125" customWidth="1"/>
    <col min="13" max="13" width="15.5703125" style="79" bestFit="1" customWidth="1"/>
  </cols>
  <sheetData>
    <row r="1" spans="1:13" ht="30.75" thickBot="1" x14ac:dyDescent="0.3">
      <c r="A1" s="160" t="s">
        <v>88</v>
      </c>
      <c r="B1" s="160"/>
      <c r="C1" s="160"/>
      <c r="D1" s="160"/>
      <c r="E1" s="160"/>
      <c r="F1" s="160"/>
      <c r="G1" s="160"/>
      <c r="H1" s="160"/>
      <c r="I1" s="160"/>
      <c r="J1" s="59" t="s">
        <v>89</v>
      </c>
      <c r="K1" s="3" t="s">
        <v>141</v>
      </c>
    </row>
    <row r="2" spans="1:13" ht="16.5" thickBot="1" x14ac:dyDescent="0.3">
      <c r="A2" s="4"/>
      <c r="B2" s="5"/>
      <c r="C2" s="5"/>
      <c r="D2" s="6"/>
      <c r="E2" s="6"/>
      <c r="F2" s="6"/>
      <c r="G2" s="6"/>
      <c r="H2" s="6"/>
      <c r="I2" s="6"/>
      <c r="J2" s="60"/>
      <c r="K2" s="7"/>
    </row>
    <row r="3" spans="1:13" ht="16.5" thickBot="1" x14ac:dyDescent="0.3">
      <c r="A3" s="161" t="s">
        <v>90</v>
      </c>
      <c r="B3" s="161"/>
      <c r="C3" s="161"/>
      <c r="D3" s="157" t="str">
        <f>'SAF 011'!C4</f>
        <v>040 - MINISTERIO DE SALUD</v>
      </c>
      <c r="E3" s="157"/>
      <c r="F3" s="157"/>
      <c r="G3" s="157"/>
      <c r="H3" s="157"/>
      <c r="I3" s="157"/>
      <c r="J3" s="157"/>
      <c r="K3" s="157"/>
    </row>
    <row r="4" spans="1:13" ht="16.5" thickBot="1" x14ac:dyDescent="0.3">
      <c r="A4" s="156" t="s">
        <v>91</v>
      </c>
      <c r="B4" s="156"/>
      <c r="C4" s="156"/>
      <c r="D4" s="157" t="str">
        <f>'SAF 011'!C5</f>
        <v>011 - DIRECCION PROVINCIAL DE ADMINISTRACION - MINISTERIO DE SALUD</v>
      </c>
      <c r="E4" s="157"/>
      <c r="F4" s="157"/>
      <c r="G4" s="157"/>
      <c r="H4" s="157"/>
      <c r="I4" s="157"/>
      <c r="J4" s="157"/>
      <c r="K4" s="157"/>
    </row>
    <row r="5" spans="1:13" ht="16.5" thickBot="1" x14ac:dyDescent="0.3">
      <c r="A5" s="156" t="s">
        <v>92</v>
      </c>
      <c r="B5" s="156"/>
      <c r="C5" s="156"/>
      <c r="D5" s="157" t="s">
        <v>140</v>
      </c>
      <c r="E5" s="157"/>
      <c r="F5" s="157"/>
      <c r="G5" s="157"/>
      <c r="H5" s="157"/>
      <c r="I5" s="157"/>
      <c r="J5" s="157"/>
      <c r="K5" s="157"/>
    </row>
    <row r="6" spans="1:13" ht="16.5" thickBot="1" x14ac:dyDescent="0.3">
      <c r="A6" s="161" t="s">
        <v>93</v>
      </c>
      <c r="B6" s="161"/>
      <c r="C6" s="161"/>
      <c r="D6" s="157" t="s">
        <v>140</v>
      </c>
      <c r="E6" s="157"/>
      <c r="F6" s="157"/>
      <c r="G6" s="157"/>
      <c r="H6" s="157"/>
      <c r="I6" s="157"/>
      <c r="J6" s="157"/>
      <c r="K6" s="157"/>
    </row>
    <row r="7" spans="1:13" ht="16.5" thickBot="1" x14ac:dyDescent="0.3">
      <c r="A7" s="156" t="s">
        <v>94</v>
      </c>
      <c r="B7" s="156"/>
      <c r="C7" s="156"/>
      <c r="D7" s="157" t="s">
        <v>134</v>
      </c>
      <c r="E7" s="157"/>
      <c r="F7" s="157"/>
      <c r="G7" s="157"/>
      <c r="H7" s="157"/>
      <c r="I7" s="157"/>
      <c r="J7" s="157"/>
      <c r="K7" s="157"/>
    </row>
    <row r="8" spans="1:13" ht="16.5" thickBot="1" x14ac:dyDescent="0.3">
      <c r="A8" s="158" t="s">
        <v>95</v>
      </c>
      <c r="B8" s="158"/>
      <c r="C8" s="158"/>
      <c r="D8" s="159" t="s">
        <v>135</v>
      </c>
      <c r="E8" s="159"/>
      <c r="F8" s="159"/>
      <c r="G8" s="159"/>
      <c r="H8" s="159"/>
      <c r="I8" s="159"/>
      <c r="J8" s="159"/>
      <c r="K8" s="159"/>
    </row>
    <row r="9" spans="1:13" ht="16.5" thickBot="1" x14ac:dyDescent="0.3">
      <c r="A9" s="8"/>
      <c r="B9" s="9"/>
      <c r="C9" s="9"/>
      <c r="D9" s="10"/>
      <c r="E9" s="10"/>
      <c r="F9" s="10"/>
      <c r="G9" s="10"/>
      <c r="H9" s="10"/>
      <c r="I9" s="10"/>
      <c r="J9" s="61"/>
      <c r="K9" s="11"/>
    </row>
    <row r="10" spans="1:13" ht="15.75" customHeight="1" thickBot="1" x14ac:dyDescent="0.3">
      <c r="A10" s="169" t="s">
        <v>96</v>
      </c>
      <c r="B10" s="167" t="s">
        <v>97</v>
      </c>
      <c r="C10" s="167" t="s">
        <v>98</v>
      </c>
      <c r="D10" s="167"/>
      <c r="E10" s="167"/>
      <c r="F10" s="167"/>
      <c r="G10" s="167"/>
      <c r="H10" s="167" t="s">
        <v>99</v>
      </c>
      <c r="I10" s="167" t="s">
        <v>100</v>
      </c>
      <c r="J10" s="168" t="s">
        <v>101</v>
      </c>
      <c r="K10" s="165" t="s">
        <v>102</v>
      </c>
      <c r="L10" s="86"/>
      <c r="M10" s="86"/>
    </row>
    <row r="11" spans="1:13" ht="27.75" customHeight="1" thickBot="1" x14ac:dyDescent="0.3">
      <c r="A11" s="195"/>
      <c r="B11" s="196"/>
      <c r="C11" s="196"/>
      <c r="D11" s="196"/>
      <c r="E11" s="196"/>
      <c r="F11" s="196"/>
      <c r="G11" s="196"/>
      <c r="H11" s="196"/>
      <c r="I11" s="196"/>
      <c r="J11" s="197"/>
      <c r="K11" s="194"/>
      <c r="L11" s="86"/>
      <c r="M11" s="86"/>
    </row>
    <row r="12" spans="1:13" s="87" customFormat="1" ht="16.5" customHeight="1" x14ac:dyDescent="0.25">
      <c r="A12" s="89">
        <v>1</v>
      </c>
      <c r="B12" s="90"/>
      <c r="C12" s="153" t="str">
        <f>'SAF 011'!E15</f>
        <v>ALBUMINA BOVINA TIPO WIENER</v>
      </c>
      <c r="D12" s="154"/>
      <c r="E12" s="154"/>
      <c r="F12" s="154"/>
      <c r="G12" s="155"/>
      <c r="H12" s="82" t="s">
        <v>244</v>
      </c>
      <c r="I12" s="83" t="str">
        <f>'SAF 011'!F15</f>
        <v>UNIDAD</v>
      </c>
      <c r="J12" s="84">
        <f>'SAF 011'!H15</f>
        <v>1251</v>
      </c>
      <c r="K12" s="91" t="e">
        <f>'SAF 011'!#REF!</f>
        <v>#REF!</v>
      </c>
      <c r="M12" s="88" t="e">
        <f t="shared" ref="M12:M46" si="0">+J12*K12</f>
        <v>#REF!</v>
      </c>
    </row>
    <row r="13" spans="1:13" s="87" customFormat="1" ht="16.5" customHeight="1" x14ac:dyDescent="0.25">
      <c r="A13" s="89">
        <v>2</v>
      </c>
      <c r="B13" s="90"/>
      <c r="C13" s="153" t="str">
        <f>'SAF 011'!E16</f>
        <v>ALP2L (F. ALCALINA) C311 ROCHE</v>
      </c>
      <c r="D13" s="154"/>
      <c r="E13" s="154"/>
      <c r="F13" s="154"/>
      <c r="G13" s="155"/>
      <c r="H13" s="82" t="s">
        <v>244</v>
      </c>
      <c r="I13" s="83" t="str">
        <f>'SAF 011'!F16</f>
        <v>UNIDAD</v>
      </c>
      <c r="J13" s="84">
        <f>'SAF 011'!H16</f>
        <v>10621</v>
      </c>
      <c r="K13" s="91" t="e">
        <f>'SAF 011'!#REF!</f>
        <v>#REF!</v>
      </c>
      <c r="M13" s="88" t="e">
        <f t="shared" si="0"/>
        <v>#REF!</v>
      </c>
    </row>
    <row r="14" spans="1:13" s="87" customFormat="1" ht="16.5" customHeight="1" x14ac:dyDescent="0.25">
      <c r="A14" s="89">
        <v>3</v>
      </c>
      <c r="B14" s="90"/>
      <c r="C14" s="153" t="str">
        <f>'SAF 011'!E17</f>
        <v>ANTI A MONOCLONAL FRASCO X 10 ML Tipo WIENER</v>
      </c>
      <c r="D14" s="154"/>
      <c r="E14" s="154"/>
      <c r="F14" s="154"/>
      <c r="G14" s="155"/>
      <c r="H14" s="82" t="s">
        <v>244</v>
      </c>
      <c r="I14" s="83" t="str">
        <f>'SAF 011'!F17</f>
        <v>FRASCO</v>
      </c>
      <c r="J14" s="84">
        <f>'SAF 011'!H17</f>
        <v>1328</v>
      </c>
      <c r="K14" s="91" t="e">
        <f>'SAF 011'!#REF!</f>
        <v>#REF!</v>
      </c>
      <c r="M14" s="88" t="e">
        <f t="shared" si="0"/>
        <v>#REF!</v>
      </c>
    </row>
    <row r="15" spans="1:13" s="87" customFormat="1" ht="16.5" customHeight="1" x14ac:dyDescent="0.25">
      <c r="A15" s="89">
        <v>4</v>
      </c>
      <c r="B15" s="90"/>
      <c r="C15" s="153" t="str">
        <f>'SAF 011'!E18</f>
        <v>ANTI B MONOCLONAL FRASCO X 10 ML Tipo WIENER</v>
      </c>
      <c r="D15" s="154"/>
      <c r="E15" s="154"/>
      <c r="F15" s="154"/>
      <c r="G15" s="155"/>
      <c r="H15" s="82" t="s">
        <v>244</v>
      </c>
      <c r="I15" s="83" t="str">
        <f>'SAF 011'!F18</f>
        <v>FRASCO</v>
      </c>
      <c r="J15" s="84">
        <f>'SAF 011'!H18</f>
        <v>1328</v>
      </c>
      <c r="K15" s="91" t="e">
        <f>'SAF 011'!#REF!</f>
        <v>#REF!</v>
      </c>
      <c r="M15" s="88" t="e">
        <f t="shared" si="0"/>
        <v>#REF!</v>
      </c>
    </row>
    <row r="16" spans="1:13" s="87" customFormat="1" ht="16.5" customHeight="1" x14ac:dyDescent="0.25">
      <c r="A16" s="89">
        <v>5</v>
      </c>
      <c r="B16" s="90"/>
      <c r="C16" s="153" t="str">
        <f>'SAF 011'!E19</f>
        <v>ANTI-AB MONOCLONAL- FRASCO 10 ML TIPO WIENER</v>
      </c>
      <c r="D16" s="154"/>
      <c r="E16" s="154"/>
      <c r="F16" s="154"/>
      <c r="G16" s="155"/>
      <c r="H16" s="82" t="s">
        <v>244</v>
      </c>
      <c r="I16" s="83" t="str">
        <f>'SAF 011'!F19</f>
        <v>FRASCO</v>
      </c>
      <c r="J16" s="84">
        <f>'SAF 011'!H19</f>
        <v>888</v>
      </c>
      <c r="K16" s="91" t="e">
        <f>'SAF 011'!#REF!</f>
        <v>#REF!</v>
      </c>
      <c r="M16" s="88" t="e">
        <f t="shared" si="0"/>
        <v>#REF!</v>
      </c>
    </row>
    <row r="17" spans="1:13" s="87" customFormat="1" ht="16.5" customHeight="1" x14ac:dyDescent="0.25">
      <c r="A17" s="89">
        <v>6</v>
      </c>
      <c r="B17" s="90"/>
      <c r="C17" s="153" t="str">
        <f>'SAF 011'!E21</f>
        <v>ANTID (RHO) MONOCLONAL FRASCO X 10 ML Tipo WIENER</v>
      </c>
      <c r="D17" s="154"/>
      <c r="E17" s="154"/>
      <c r="F17" s="154"/>
      <c r="G17" s="155"/>
      <c r="H17" s="82" t="s">
        <v>244</v>
      </c>
      <c r="I17" s="83" t="str">
        <f>'SAF 011'!F21</f>
        <v>FRASCO</v>
      </c>
      <c r="J17" s="84">
        <f>'SAF 011'!H21</f>
        <v>2512</v>
      </c>
      <c r="K17" s="91" t="e">
        <f>'SAF 011'!#REF!</f>
        <v>#REF!</v>
      </c>
      <c r="M17" s="88" t="e">
        <f t="shared" si="0"/>
        <v>#REF!</v>
      </c>
    </row>
    <row r="18" spans="1:13" s="87" customFormat="1" ht="16.5" customHeight="1" x14ac:dyDescent="0.25">
      <c r="A18" s="89">
        <v>7</v>
      </c>
      <c r="B18" s="90"/>
      <c r="C18" s="153" t="str">
        <f>'SAF 011'!E22</f>
        <v>ANTIGENO FEBRIL BRUCELLA (HUDDLESON) 1X5 ML Tipo WIENER</v>
      </c>
      <c r="D18" s="154"/>
      <c r="E18" s="154"/>
      <c r="F18" s="154"/>
      <c r="G18" s="155"/>
      <c r="H18" s="82" t="s">
        <v>244</v>
      </c>
      <c r="I18" s="83" t="str">
        <f>'SAF 011'!F22</f>
        <v>BOLSA</v>
      </c>
      <c r="J18" s="84">
        <f>'SAF 011'!H22</f>
        <v>1795</v>
      </c>
      <c r="K18" s="91" t="e">
        <f>'SAF 011'!#REF!</f>
        <v>#REF!</v>
      </c>
      <c r="M18" s="88" t="e">
        <f t="shared" si="0"/>
        <v>#REF!</v>
      </c>
    </row>
    <row r="19" spans="1:13" s="87" customFormat="1" ht="16.5" customHeight="1" x14ac:dyDescent="0.25">
      <c r="A19" s="89">
        <v>8</v>
      </c>
      <c r="B19" s="90"/>
      <c r="C19" s="153" t="str">
        <f>'SAF 011'!E36</f>
        <v>Biozima chagas recombinante x 192 Determinaciones. Tipo Wiener</v>
      </c>
      <c r="D19" s="154"/>
      <c r="E19" s="154"/>
      <c r="F19" s="154"/>
      <c r="G19" s="155"/>
      <c r="H19" s="82" t="s">
        <v>244</v>
      </c>
      <c r="I19" s="83" t="str">
        <f>'SAF 011'!F36</f>
        <v>CAJA</v>
      </c>
      <c r="J19" s="84">
        <f>'SAF 011'!H36</f>
        <v>11502.26</v>
      </c>
      <c r="K19" s="91" t="e">
        <f>'SAF 011'!#REF!</f>
        <v>#REF!</v>
      </c>
      <c r="M19" s="88" t="e">
        <f t="shared" si="0"/>
        <v>#REF!</v>
      </c>
    </row>
    <row r="20" spans="1:13" s="87" customFormat="1" ht="16.5" customHeight="1" x14ac:dyDescent="0.25">
      <c r="A20" s="89">
        <v>9</v>
      </c>
      <c r="B20" s="90"/>
      <c r="C20" s="153" t="str">
        <f>'SAF 011'!E37</f>
        <v>Biozima chagas x 192 Determinaciones. Tipo Wiener</v>
      </c>
      <c r="D20" s="154"/>
      <c r="E20" s="154"/>
      <c r="F20" s="154"/>
      <c r="G20" s="155"/>
      <c r="H20" s="82" t="s">
        <v>244</v>
      </c>
      <c r="I20" s="83" t="str">
        <f>'SAF 011'!F37</f>
        <v>CAJA</v>
      </c>
      <c r="J20" s="84">
        <f>'SAF 011'!H37</f>
        <v>10577.85</v>
      </c>
      <c r="K20" s="91" t="e">
        <f>'SAF 011'!#REF!</f>
        <v>#REF!</v>
      </c>
      <c r="M20" s="88" t="e">
        <f t="shared" si="0"/>
        <v>#REF!</v>
      </c>
    </row>
    <row r="21" spans="1:13" s="87" customFormat="1" ht="16.5" customHeight="1" x14ac:dyDescent="0.25">
      <c r="A21" s="89">
        <v>10</v>
      </c>
      <c r="B21" s="90"/>
      <c r="C21" s="153" t="str">
        <f>'SAF 011'!E38</f>
        <v>Buffer Tipo Wiener</v>
      </c>
      <c r="D21" s="154"/>
      <c r="E21" s="154"/>
      <c r="F21" s="154"/>
      <c r="G21" s="155"/>
      <c r="H21" s="82" t="s">
        <v>244</v>
      </c>
      <c r="I21" s="83" t="str">
        <f>'SAF 011'!F38</f>
        <v>CAJA</v>
      </c>
      <c r="J21" s="84">
        <f>'SAF 011'!H38</f>
        <v>8300</v>
      </c>
      <c r="K21" s="91" t="e">
        <f>'SAF 011'!#REF!</f>
        <v>#REF!</v>
      </c>
      <c r="M21" s="88" t="e">
        <f t="shared" si="0"/>
        <v>#REF!</v>
      </c>
    </row>
    <row r="22" spans="1:13" s="87" customFormat="1" ht="16.5" customHeight="1" x14ac:dyDescent="0.25">
      <c r="A22" s="89">
        <v>11</v>
      </c>
      <c r="B22" s="90"/>
      <c r="C22" s="153" t="str">
        <f>'SAF 011'!E44</f>
        <v>Celdas de Reaccion Tipo Wiener</v>
      </c>
      <c r="D22" s="154"/>
      <c r="E22" s="154"/>
      <c r="F22" s="154"/>
      <c r="G22" s="155"/>
      <c r="H22" s="82" t="s">
        <v>244</v>
      </c>
      <c r="I22" s="83" t="str">
        <f>'SAF 011'!F44</f>
        <v>CAJA</v>
      </c>
      <c r="J22" s="84">
        <f>'SAF 011'!H44</f>
        <v>11685</v>
      </c>
      <c r="K22" s="91" t="e">
        <f>'SAF 011'!#REF!</f>
        <v>#REF!</v>
      </c>
      <c r="M22" s="88" t="e">
        <f t="shared" si="0"/>
        <v>#REF!</v>
      </c>
    </row>
    <row r="23" spans="1:13" s="87" customFormat="1" ht="16.5" customHeight="1" x14ac:dyDescent="0.25">
      <c r="A23" s="89">
        <v>12</v>
      </c>
      <c r="B23" s="90"/>
      <c r="C23" s="153" t="str">
        <f>'SAF 011'!E49</f>
        <v>Chagatest Elisa Lisado 96 determinaciones Tipo WIENER</v>
      </c>
      <c r="D23" s="154"/>
      <c r="E23" s="154"/>
      <c r="F23" s="154"/>
      <c r="G23" s="155"/>
      <c r="H23" s="82" t="s">
        <v>244</v>
      </c>
      <c r="I23" s="83" t="str">
        <f>'SAF 011'!F49</f>
        <v>EQUIPO</v>
      </c>
      <c r="J23" s="84">
        <f>'SAF 011'!H49</f>
        <v>12000</v>
      </c>
      <c r="K23" s="91" t="e">
        <f>'SAF 011'!#REF!</f>
        <v>#REF!</v>
      </c>
      <c r="M23" s="88" t="e">
        <f t="shared" si="0"/>
        <v>#REF!</v>
      </c>
    </row>
    <row r="24" spans="1:13" s="87" customFormat="1" ht="16.5" customHeight="1" x14ac:dyDescent="0.25">
      <c r="A24" s="89">
        <v>13</v>
      </c>
      <c r="B24" s="90"/>
      <c r="C24" s="153" t="str">
        <f>'SAF 011'!E50</f>
        <v>CHAGATEST ELISA RECOMBINANTE (V 4.0) 96 DET Tipo WIENER</v>
      </c>
      <c r="D24" s="154"/>
      <c r="E24" s="154"/>
      <c r="F24" s="154"/>
      <c r="G24" s="155"/>
      <c r="H24" s="82" t="s">
        <v>244</v>
      </c>
      <c r="I24" s="83" t="str">
        <f>'SAF 011'!F50</f>
        <v>UNIDAD</v>
      </c>
      <c r="J24" s="84">
        <f>'SAF 011'!H50</f>
        <v>17121</v>
      </c>
      <c r="K24" s="91" t="e">
        <f>'SAF 011'!#REF!</f>
        <v>#REF!</v>
      </c>
      <c r="M24" s="88" t="e">
        <f t="shared" si="0"/>
        <v>#REF!</v>
      </c>
    </row>
    <row r="25" spans="1:13" s="87" customFormat="1" ht="16.5" customHeight="1" x14ac:dyDescent="0.25">
      <c r="A25" s="89">
        <v>14</v>
      </c>
      <c r="B25" s="90"/>
      <c r="C25" s="153" t="str">
        <f>'SAF 011'!E55</f>
        <v>CMV CITOMEGALOVIRUS IGM  METODO ELISA 96 DET. TIPO WIENER</v>
      </c>
      <c r="D25" s="154"/>
      <c r="E25" s="154"/>
      <c r="F25" s="154"/>
      <c r="G25" s="155"/>
      <c r="H25" s="82" t="s">
        <v>244</v>
      </c>
      <c r="I25" s="83" t="str">
        <f>'SAF 011'!F55</f>
        <v>UNIDAD</v>
      </c>
      <c r="J25" s="84">
        <f>'SAF 011'!H55</f>
        <v>19749</v>
      </c>
      <c r="K25" s="91" t="e">
        <f>'SAF 011'!#REF!</f>
        <v>#REF!</v>
      </c>
      <c r="M25" s="88" t="e">
        <f t="shared" si="0"/>
        <v>#REF!</v>
      </c>
    </row>
    <row r="26" spans="1:13" s="87" customFormat="1" ht="31.15" customHeight="1" x14ac:dyDescent="0.25">
      <c r="A26" s="89">
        <v>15</v>
      </c>
      <c r="B26" s="90"/>
      <c r="C26" s="153" t="str">
        <f>'SAF 011'!E68</f>
        <v>Equipo para la deteccion de Anti Hb Core, por metodo de Elisa  en microplacas en equipos de 96 det. Monolisa HBc Plus - Tipo Biorad</v>
      </c>
      <c r="D26" s="154"/>
      <c r="E26" s="154"/>
      <c r="F26" s="154"/>
      <c r="G26" s="155"/>
      <c r="H26" s="82" t="s">
        <v>244</v>
      </c>
      <c r="I26" s="83" t="str">
        <f>'SAF 011'!F68</f>
        <v>CAJA</v>
      </c>
      <c r="J26" s="84">
        <f>'SAF 011'!H68</f>
        <v>20160</v>
      </c>
      <c r="K26" s="91" t="e">
        <f>'SAF 011'!#REF!</f>
        <v>#REF!</v>
      </c>
      <c r="M26" s="88" t="e">
        <f t="shared" si="0"/>
        <v>#REF!</v>
      </c>
    </row>
    <row r="27" spans="1:13" s="87" customFormat="1" ht="16.5" customHeight="1" x14ac:dyDescent="0.25">
      <c r="A27" s="89">
        <v>16</v>
      </c>
      <c r="B27" s="90"/>
      <c r="C27" s="153" t="str">
        <f>'SAF 011'!E69</f>
        <v>Equipos Covidar IGG x 192 deterermibaciones tipo Lemos</v>
      </c>
      <c r="D27" s="154"/>
      <c r="E27" s="154"/>
      <c r="F27" s="154"/>
      <c r="G27" s="155"/>
      <c r="H27" s="82" t="s">
        <v>244</v>
      </c>
      <c r="I27" s="83" t="str">
        <f>'SAF 011'!F69</f>
        <v>CAJA</v>
      </c>
      <c r="J27" s="84">
        <f>'SAF 011'!H69</f>
        <v>19743.57</v>
      </c>
      <c r="K27" s="91" t="e">
        <f>'SAF 011'!#REF!</f>
        <v>#REF!</v>
      </c>
      <c r="M27" s="88" t="e">
        <f t="shared" si="0"/>
        <v>#REF!</v>
      </c>
    </row>
    <row r="28" spans="1:13" s="87" customFormat="1" ht="105" customHeight="1" x14ac:dyDescent="0.25">
      <c r="A28" s="89">
        <v>17</v>
      </c>
      <c r="B28" s="90"/>
      <c r="C28" s="153" t="str">
        <f>'SAF 011'!E70</f>
        <v>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v.2 - Tipo Biorad</v>
      </c>
      <c r="D28" s="154"/>
      <c r="E28" s="154"/>
      <c r="F28" s="154"/>
      <c r="G28" s="155"/>
      <c r="H28" s="82" t="s">
        <v>244</v>
      </c>
      <c r="I28" s="83" t="str">
        <f>'SAF 011'!F70</f>
        <v>CAJA</v>
      </c>
      <c r="J28" s="84">
        <f>'SAF 011'!H70</f>
        <v>36300</v>
      </c>
      <c r="K28" s="91" t="e">
        <f>'SAF 011'!#REF!</f>
        <v>#REF!</v>
      </c>
      <c r="M28" s="88" t="e">
        <f t="shared" si="0"/>
        <v>#REF!</v>
      </c>
    </row>
    <row r="29" spans="1:13" s="66" customFormat="1" ht="15" customHeight="1" x14ac:dyDescent="0.25">
      <c r="A29" s="89">
        <v>18</v>
      </c>
      <c r="B29" s="90"/>
      <c r="C29" s="153" t="str">
        <f>'SAF 011'!E83</f>
        <v>HEPATITIS B ELISA HBSAG 96 DET Tipo WIENER</v>
      </c>
      <c r="D29" s="154"/>
      <c r="E29" s="154"/>
      <c r="F29" s="154"/>
      <c r="G29" s="155"/>
      <c r="H29" s="82" t="s">
        <v>244</v>
      </c>
      <c r="I29" s="83" t="str">
        <f>'SAF 011'!F83</f>
        <v>CAJA</v>
      </c>
      <c r="J29" s="84">
        <f>'SAF 011'!H83</f>
        <v>22109</v>
      </c>
      <c r="K29" s="91" t="e">
        <f>'SAF 011'!#REF!</f>
        <v>#REF!</v>
      </c>
      <c r="L29" s="87"/>
      <c r="M29" s="88" t="e">
        <f t="shared" si="0"/>
        <v>#REF!</v>
      </c>
    </row>
    <row r="30" spans="1:13" s="66" customFormat="1" ht="16.5" customHeight="1" x14ac:dyDescent="0.25">
      <c r="A30" s="89">
        <v>19</v>
      </c>
      <c r="B30" s="90"/>
      <c r="C30" s="153" t="str">
        <f>'SAF 011'!E84</f>
        <v>HEPATITIS C HCV ELISA 3º GEN. 96 DET. - TIPO WIENER</v>
      </c>
      <c r="D30" s="154"/>
      <c r="E30" s="154"/>
      <c r="F30" s="154"/>
      <c r="G30" s="155"/>
      <c r="H30" s="82" t="s">
        <v>244</v>
      </c>
      <c r="I30" s="83" t="str">
        <f>'SAF 011'!F84</f>
        <v>UNIDAD</v>
      </c>
      <c r="J30" s="84">
        <f>'SAF 011'!H84</f>
        <v>39806</v>
      </c>
      <c r="K30" s="91" t="e">
        <f>'SAF 011'!#REF!</f>
        <v>#REF!</v>
      </c>
      <c r="L30" s="87"/>
      <c r="M30" s="88" t="e">
        <f t="shared" si="0"/>
        <v>#REF!</v>
      </c>
    </row>
    <row r="31" spans="1:13" s="66" customFormat="1" ht="16.5" customHeight="1" x14ac:dyDescent="0.25">
      <c r="A31" s="89">
        <v>20</v>
      </c>
      <c r="B31" s="90"/>
      <c r="C31" s="153" t="str">
        <f>'SAF 011'!E85</f>
        <v>HIV ELISA AG/AC 4° GENERACION -96 DET- TIPO WIENER</v>
      </c>
      <c r="D31" s="154"/>
      <c r="E31" s="154"/>
      <c r="F31" s="154"/>
      <c r="G31" s="155"/>
      <c r="H31" s="82" t="s">
        <v>244</v>
      </c>
      <c r="I31" s="83" t="str">
        <f>'SAF 011'!F85</f>
        <v xml:space="preserve">Unidad </v>
      </c>
      <c r="J31" s="84">
        <f>'SAF 011'!H85</f>
        <v>23147</v>
      </c>
      <c r="K31" s="91" t="e">
        <f>'SAF 011'!#REF!</f>
        <v>#REF!</v>
      </c>
      <c r="L31" s="87"/>
      <c r="M31" s="88" t="e">
        <f t="shared" si="0"/>
        <v>#REF!</v>
      </c>
    </row>
    <row r="32" spans="1:13" s="66" customFormat="1" ht="16.5" customHeight="1" x14ac:dyDescent="0.25">
      <c r="A32" s="89">
        <v>21</v>
      </c>
      <c r="B32" s="90"/>
      <c r="C32" s="153" t="str">
        <f>'SAF 011'!E86</f>
        <v>HTLV 1 Y 2 ELISA-96DET. - TIPO WIENER</v>
      </c>
      <c r="D32" s="154"/>
      <c r="E32" s="154"/>
      <c r="F32" s="154"/>
      <c r="G32" s="155"/>
      <c r="H32" s="82" t="s">
        <v>244</v>
      </c>
      <c r="I32" s="83" t="str">
        <f>'SAF 011'!F86</f>
        <v>UNIDAD</v>
      </c>
      <c r="J32" s="84">
        <f>'SAF 011'!H86</f>
        <v>25747</v>
      </c>
      <c r="K32" s="91" t="e">
        <f>'SAF 011'!#REF!</f>
        <v>#REF!</v>
      </c>
      <c r="L32" s="87"/>
      <c r="M32" s="88" t="e">
        <f t="shared" si="0"/>
        <v>#REF!</v>
      </c>
    </row>
    <row r="33" spans="1:13" s="66" customFormat="1" ht="16.5" customHeight="1" x14ac:dyDescent="0.25">
      <c r="A33" s="89">
        <v>22</v>
      </c>
      <c r="B33" s="90"/>
      <c r="C33" s="153" t="str">
        <f>'SAF 011'!E87</f>
        <v>HVC REACTIVO x 100 det - TIPO WIENER</v>
      </c>
      <c r="D33" s="154"/>
      <c r="E33" s="154"/>
      <c r="F33" s="154"/>
      <c r="G33" s="155"/>
      <c r="H33" s="82" t="s">
        <v>244</v>
      </c>
      <c r="I33" s="83" t="str">
        <f>'SAF 011'!F87</f>
        <v>UNIDAD</v>
      </c>
      <c r="J33" s="84">
        <f>'SAF 011'!H87</f>
        <v>50545</v>
      </c>
      <c r="K33" s="91" t="e">
        <f>'SAF 011'!#REF!</f>
        <v>#REF!</v>
      </c>
      <c r="L33" s="87"/>
      <c r="M33" s="88" t="e">
        <f t="shared" si="0"/>
        <v>#REF!</v>
      </c>
    </row>
    <row r="34" spans="1:13" s="66" customFormat="1" ht="16.5" customHeight="1" x14ac:dyDescent="0.25">
      <c r="A34" s="89">
        <v>23</v>
      </c>
      <c r="B34" s="90"/>
      <c r="C34" s="153" t="str">
        <f>'SAF 011'!E93</f>
        <v>KIT PLASMAFERESIS TIPO GRIFOLS</v>
      </c>
      <c r="D34" s="154"/>
      <c r="E34" s="154"/>
      <c r="F34" s="154"/>
      <c r="G34" s="155"/>
      <c r="H34" s="82" t="s">
        <v>244</v>
      </c>
      <c r="I34" s="83" t="str">
        <f>'SAF 011'!F93</f>
        <v>UNIDAD</v>
      </c>
      <c r="J34" s="84">
        <f>'SAF 011'!H93</f>
        <v>35090</v>
      </c>
      <c r="K34" s="91" t="e">
        <f>'SAF 011'!#REF!</f>
        <v>#REF!</v>
      </c>
      <c r="L34" s="87"/>
      <c r="M34" s="88" t="e">
        <f t="shared" si="0"/>
        <v>#REF!</v>
      </c>
    </row>
    <row r="35" spans="1:13" s="66" customFormat="1" ht="16.5" customHeight="1" x14ac:dyDescent="0.25">
      <c r="A35" s="89">
        <v>24</v>
      </c>
      <c r="B35" s="90"/>
      <c r="C35" s="153" t="str">
        <f>'SAF 011'!E94</f>
        <v>KITS PARA PLAQUETOFERESIS CON FILTRO TIPO GRIFOLS</v>
      </c>
      <c r="D35" s="154"/>
      <c r="E35" s="154"/>
      <c r="F35" s="154"/>
      <c r="G35" s="155"/>
      <c r="H35" s="82" t="s">
        <v>244</v>
      </c>
      <c r="I35" s="83" t="str">
        <f>'SAF 011'!F94</f>
        <v xml:space="preserve">UNIDAD </v>
      </c>
      <c r="J35" s="84">
        <f>'SAF 011'!H94</f>
        <v>35695</v>
      </c>
      <c r="K35" s="91" t="e">
        <f>'SAF 011'!#REF!</f>
        <v>#REF!</v>
      </c>
      <c r="L35" s="87"/>
      <c r="M35" s="88" t="e">
        <f t="shared" si="0"/>
        <v>#REF!</v>
      </c>
    </row>
    <row r="36" spans="1:13" s="86" customFormat="1" ht="14.45" customHeight="1" x14ac:dyDescent="0.25">
      <c r="A36" s="89">
        <v>25</v>
      </c>
      <c r="B36" s="90"/>
      <c r="C36" s="153" t="str">
        <f>'SAF 011'!E103</f>
        <v>PANEL IDENTISERA DIANA TIPO GRIFOLS</v>
      </c>
      <c r="D36" s="154"/>
      <c r="E36" s="154"/>
      <c r="F36" s="154"/>
      <c r="G36" s="155"/>
      <c r="H36" s="82" t="s">
        <v>244</v>
      </c>
      <c r="I36" s="83" t="str">
        <f>'SAF 011'!F103</f>
        <v>UNIDAD</v>
      </c>
      <c r="J36" s="84">
        <f>'SAF 011'!H103</f>
        <v>29160</v>
      </c>
      <c r="K36" s="91" t="e">
        <f>'SAF 011'!#REF!</f>
        <v>#REF!</v>
      </c>
      <c r="L36" s="87"/>
      <c r="M36" s="88" t="e">
        <f t="shared" si="0"/>
        <v>#REF!</v>
      </c>
    </row>
    <row r="37" spans="1:13" s="86" customFormat="1" ht="14.45" customHeight="1" x14ac:dyDescent="0.25">
      <c r="A37" s="89">
        <v>26</v>
      </c>
      <c r="B37" s="90"/>
      <c r="C37" s="153" t="str">
        <f>'SAF 011'!E104</f>
        <v>PANEL SARASCAN DIANA 2 TIPO GRIFOLS</v>
      </c>
      <c r="D37" s="154"/>
      <c r="E37" s="154"/>
      <c r="F37" s="154"/>
      <c r="G37" s="155"/>
      <c r="H37" s="82" t="s">
        <v>244</v>
      </c>
      <c r="I37" s="83" t="str">
        <f>'SAF 011'!F104</f>
        <v>UNIDAD</v>
      </c>
      <c r="J37" s="84">
        <f>'SAF 011'!H104</f>
        <v>22500</v>
      </c>
      <c r="K37" s="91" t="e">
        <f>'SAF 011'!#REF!</f>
        <v>#REF!</v>
      </c>
      <c r="L37" s="87"/>
      <c r="M37" s="88" t="e">
        <f t="shared" si="0"/>
        <v>#REF!</v>
      </c>
    </row>
    <row r="38" spans="1:13" s="86" customFormat="1" ht="14.45" customHeight="1" x14ac:dyDescent="0.25">
      <c r="A38" s="89">
        <v>27</v>
      </c>
      <c r="B38" s="90"/>
      <c r="C38" s="153" t="str">
        <f>'SAF 011'!E105</f>
        <v>PANEL SERIGRUP A1/B TIPO GRIFOLS</v>
      </c>
      <c r="D38" s="154"/>
      <c r="E38" s="154"/>
      <c r="F38" s="154"/>
      <c r="G38" s="155"/>
      <c r="H38" s="82" t="s">
        <v>244</v>
      </c>
      <c r="I38" s="83" t="str">
        <f>'SAF 011'!F105</f>
        <v xml:space="preserve">UNIDAD </v>
      </c>
      <c r="J38" s="84">
        <f>'SAF 011'!H105</f>
        <v>15588</v>
      </c>
      <c r="K38" s="91" t="e">
        <f>'SAF 011'!#REF!</f>
        <v>#REF!</v>
      </c>
      <c r="L38" s="87"/>
      <c r="M38" s="88" t="e">
        <f t="shared" si="0"/>
        <v>#REF!</v>
      </c>
    </row>
    <row r="39" spans="1:13" s="86" customFormat="1" ht="14.45" customHeight="1" x14ac:dyDescent="0.25">
      <c r="A39" s="89">
        <v>28</v>
      </c>
      <c r="B39" s="90"/>
      <c r="C39" s="153" t="str">
        <f>'SAF 011'!E106</f>
        <v>PANEL SERO cyte 0,8% TIPO GRIFOLS</v>
      </c>
      <c r="D39" s="154"/>
      <c r="E39" s="154"/>
      <c r="F39" s="154"/>
      <c r="G39" s="155"/>
      <c r="H39" s="82" t="s">
        <v>244</v>
      </c>
      <c r="I39" s="83" t="str">
        <f>'SAF 011'!F106</f>
        <v xml:space="preserve">UNIDAD </v>
      </c>
      <c r="J39" s="84">
        <f>'SAF 011'!H106</f>
        <v>16500</v>
      </c>
      <c r="K39" s="91" t="e">
        <f>'SAF 011'!#REF!</f>
        <v>#REF!</v>
      </c>
      <c r="L39" s="87"/>
      <c r="M39" s="88" t="e">
        <f t="shared" si="0"/>
        <v>#REF!</v>
      </c>
    </row>
    <row r="40" spans="1:13" s="86" customFormat="1" ht="14.45" customHeight="1" x14ac:dyDescent="0.25">
      <c r="A40" s="89">
        <v>29</v>
      </c>
      <c r="B40" s="90"/>
      <c r="C40" s="153" t="str">
        <f>'SAF 011'!E109</f>
        <v>Pre-trigger Tipo Abott</v>
      </c>
      <c r="D40" s="154"/>
      <c r="E40" s="154"/>
      <c r="F40" s="154"/>
      <c r="G40" s="155"/>
      <c r="H40" s="82" t="s">
        <v>244</v>
      </c>
      <c r="I40" s="83" t="str">
        <f>'SAF 011'!F109</f>
        <v>CAJA</v>
      </c>
      <c r="J40" s="84">
        <f>'SAF 011'!H109</f>
        <v>16980</v>
      </c>
      <c r="K40" s="91" t="e">
        <f>'SAF 011'!#REF!</f>
        <v>#REF!</v>
      </c>
      <c r="L40" s="87"/>
      <c r="M40" s="88" t="e">
        <f t="shared" si="0"/>
        <v>#REF!</v>
      </c>
    </row>
    <row r="41" spans="1:13" s="86" customFormat="1" ht="14.45" customHeight="1" x14ac:dyDescent="0.25">
      <c r="A41" s="89">
        <v>30</v>
      </c>
      <c r="B41" s="90"/>
      <c r="C41" s="153" t="str">
        <f>'SAF 011'!E118</f>
        <v>SARS- COV-2 Igm Control Tipo Abott</v>
      </c>
      <c r="D41" s="154"/>
      <c r="E41" s="154"/>
      <c r="F41" s="154"/>
      <c r="G41" s="155"/>
      <c r="H41" s="82" t="s">
        <v>244</v>
      </c>
      <c r="I41" s="83" t="str">
        <f>'SAF 011'!F118</f>
        <v>CAJA</v>
      </c>
      <c r="J41" s="84">
        <f>'SAF 011'!H118</f>
        <v>17788</v>
      </c>
      <c r="K41" s="91" t="e">
        <f>'SAF 011'!#REF!</f>
        <v>#REF!</v>
      </c>
      <c r="L41" s="87"/>
      <c r="M41" s="88" t="e">
        <f t="shared" si="0"/>
        <v>#REF!</v>
      </c>
    </row>
    <row r="42" spans="1:13" s="86" customFormat="1" ht="14.45" customHeight="1" x14ac:dyDescent="0.25">
      <c r="A42" s="89">
        <v>31</v>
      </c>
      <c r="B42" s="90"/>
      <c r="C42" s="153" t="str">
        <f>'SAF 011'!E119</f>
        <v>SARS-COV-2 IgG Reactivo x 100 det Tipo Abott</v>
      </c>
      <c r="D42" s="154"/>
      <c r="E42" s="154"/>
      <c r="F42" s="154"/>
      <c r="G42" s="155"/>
      <c r="H42" s="82" t="s">
        <v>244</v>
      </c>
      <c r="I42" s="83" t="str">
        <f>'SAF 011'!F119</f>
        <v>CAJA</v>
      </c>
      <c r="J42" s="84">
        <f>'SAF 011'!H119</f>
        <v>64700</v>
      </c>
      <c r="K42" s="91" t="e">
        <f>'SAF 011'!#REF!</f>
        <v>#REF!</v>
      </c>
      <c r="L42" s="87"/>
      <c r="M42" s="88" t="e">
        <f t="shared" si="0"/>
        <v>#REF!</v>
      </c>
    </row>
    <row r="43" spans="1:13" ht="14.45" customHeight="1" x14ac:dyDescent="0.25">
      <c r="A43" s="89">
        <v>32</v>
      </c>
      <c r="B43" s="90"/>
      <c r="C43" s="153" t="str">
        <f>'SAF 011'!E120</f>
        <v>SARS-COV-2 IgM Calibrador Tipo Abott</v>
      </c>
      <c r="D43" s="154"/>
      <c r="E43" s="154"/>
      <c r="F43" s="154"/>
      <c r="G43" s="155"/>
      <c r="H43" s="82" t="s">
        <v>244</v>
      </c>
      <c r="I43" s="83" t="str">
        <f>'SAF 011'!F120</f>
        <v>CAJA</v>
      </c>
      <c r="J43" s="84">
        <f>'SAF 011'!H120</f>
        <v>12540</v>
      </c>
      <c r="K43" s="91" t="e">
        <f>'SAF 011'!#REF!</f>
        <v>#REF!</v>
      </c>
      <c r="L43" s="87"/>
      <c r="M43" s="88" t="e">
        <f t="shared" si="0"/>
        <v>#REF!</v>
      </c>
    </row>
    <row r="44" spans="1:13" ht="14.45" customHeight="1" x14ac:dyDescent="0.25">
      <c r="A44" s="89">
        <v>33</v>
      </c>
      <c r="B44" s="90"/>
      <c r="C44" s="153" t="str">
        <f>'SAF 011'!E121</f>
        <v>SENSOR GLUCOSA-LACTATO COBAS B 221 TIPO ROCHE</v>
      </c>
      <c r="D44" s="154"/>
      <c r="E44" s="154"/>
      <c r="F44" s="154"/>
      <c r="G44" s="155"/>
      <c r="H44" s="82" t="s">
        <v>244</v>
      </c>
      <c r="I44" s="83" t="str">
        <f>'SAF 011'!F121</f>
        <v>UNIDAD</v>
      </c>
      <c r="J44" s="84">
        <f>'SAF 011'!H121</f>
        <v>16709</v>
      </c>
      <c r="K44" s="91" t="e">
        <f>'SAF 011'!#REF!</f>
        <v>#REF!</v>
      </c>
      <c r="L44" s="87"/>
      <c r="M44" s="88" t="e">
        <f t="shared" si="0"/>
        <v>#REF!</v>
      </c>
    </row>
    <row r="45" spans="1:13" ht="14.45" customHeight="1" x14ac:dyDescent="0.25">
      <c r="A45" s="89">
        <v>34</v>
      </c>
      <c r="B45" s="90"/>
      <c r="C45" s="153" t="str">
        <f>'SAF 011'!E122</f>
        <v>SET DE SUSTRATOS II X 1000 DET Tipo TOSOH</v>
      </c>
      <c r="D45" s="154"/>
      <c r="E45" s="154"/>
      <c r="F45" s="154"/>
      <c r="G45" s="155"/>
      <c r="H45" s="82" t="s">
        <v>244</v>
      </c>
      <c r="I45" s="83" t="str">
        <f>'SAF 011'!F122</f>
        <v>CAJA</v>
      </c>
      <c r="J45" s="84">
        <f>'SAF 011'!H122</f>
        <v>19487</v>
      </c>
      <c r="K45" s="91" t="e">
        <f>'SAF 011'!#REF!</f>
        <v>#REF!</v>
      </c>
      <c r="L45" s="87"/>
      <c r="M45" s="88" t="e">
        <f t="shared" si="0"/>
        <v>#REF!</v>
      </c>
    </row>
    <row r="46" spans="1:13" ht="14.45" customHeight="1" x14ac:dyDescent="0.25">
      <c r="A46" s="89">
        <v>35</v>
      </c>
      <c r="B46" s="90"/>
      <c r="C46" s="153" t="str">
        <f>'SAF 011'!E123</f>
        <v>solucion ACD X 500 ML ( ANTICOAGULANTE PARA EQUIPO DE AFERESIS) TIPO GRIFOLS</v>
      </c>
      <c r="D46" s="154"/>
      <c r="E46" s="154"/>
      <c r="F46" s="154"/>
      <c r="G46" s="155"/>
      <c r="H46" s="82" t="s">
        <v>244</v>
      </c>
      <c r="I46" s="83" t="str">
        <f>'SAF 011'!F123</f>
        <v>BOTELLA</v>
      </c>
      <c r="J46" s="84">
        <f>'SAF 011'!H123</f>
        <v>4350</v>
      </c>
      <c r="K46" s="91" t="e">
        <f>'SAF 011'!#REF!</f>
        <v>#REF!</v>
      </c>
      <c r="L46" s="87"/>
      <c r="M46" s="88" t="e">
        <f t="shared" si="0"/>
        <v>#REF!</v>
      </c>
    </row>
    <row r="47" spans="1:13" ht="14.45" customHeight="1" x14ac:dyDescent="0.25">
      <c r="A47" s="89">
        <v>36</v>
      </c>
      <c r="B47" s="90"/>
      <c r="C47" s="153" t="str">
        <f>'SAF 011'!E124</f>
        <v>SOLUCION DG SOL X 100ML TIPO GRIFOLS</v>
      </c>
      <c r="D47" s="154"/>
      <c r="E47" s="154"/>
      <c r="F47" s="154"/>
      <c r="G47" s="155"/>
      <c r="H47" s="82" t="s">
        <v>244</v>
      </c>
      <c r="I47" s="83" t="str">
        <f>'SAF 011'!F124</f>
        <v>BOTELLA</v>
      </c>
      <c r="J47" s="84">
        <f>'SAF 011'!H124</f>
        <v>6649.5</v>
      </c>
      <c r="K47" s="91" t="e">
        <f>'SAF 011'!#REF!</f>
        <v>#REF!</v>
      </c>
      <c r="L47" s="87"/>
      <c r="M47" s="88" t="e">
        <f t="shared" ref="M47:M54" si="1">+J47*K47</f>
        <v>#REF!</v>
      </c>
    </row>
    <row r="48" spans="1:13" ht="14.45" customHeight="1" x14ac:dyDescent="0.25">
      <c r="A48" s="89">
        <v>37</v>
      </c>
      <c r="B48" s="90"/>
      <c r="C48" s="153" t="str">
        <f>'SAF 011'!E126</f>
        <v>SUERO ANTI HUMANO COOMBS TIPO GRIFOLS</v>
      </c>
      <c r="D48" s="154"/>
      <c r="E48" s="154"/>
      <c r="F48" s="154"/>
      <c r="G48" s="155"/>
      <c r="H48" s="82" t="s">
        <v>244</v>
      </c>
      <c r="I48" s="83" t="str">
        <f>'SAF 011'!F126</f>
        <v>UNIDAD</v>
      </c>
      <c r="J48" s="84">
        <f>'SAF 011'!H126</f>
        <v>1325</v>
      </c>
      <c r="K48" s="91" t="e">
        <f>'SAF 011'!#REF!</f>
        <v>#REF!</v>
      </c>
      <c r="L48" s="87"/>
      <c r="M48" s="88" t="e">
        <f t="shared" si="1"/>
        <v>#REF!</v>
      </c>
    </row>
    <row r="49" spans="1:13" ht="14.45" customHeight="1" x14ac:dyDescent="0.25">
      <c r="A49" s="89">
        <v>38</v>
      </c>
      <c r="B49" s="90"/>
      <c r="C49" s="153" t="str">
        <f>'SAF 011'!E127</f>
        <v>TARJETA DE GEL ABO RH 2d TIPO GRIFOLS</v>
      </c>
      <c r="D49" s="154"/>
      <c r="E49" s="154"/>
      <c r="F49" s="154"/>
      <c r="G49" s="155"/>
      <c r="H49" s="82" t="s">
        <v>244</v>
      </c>
      <c r="I49" s="83" t="str">
        <f>'SAF 011'!F127</f>
        <v xml:space="preserve">UNIDAD </v>
      </c>
      <c r="J49" s="84">
        <f>'SAF 011'!H127</f>
        <v>665.5</v>
      </c>
      <c r="K49" s="91" t="e">
        <f>'SAF 011'!#REF!</f>
        <v>#REF!</v>
      </c>
      <c r="L49" s="87"/>
      <c r="M49" s="88" t="e">
        <f t="shared" si="1"/>
        <v>#REF!</v>
      </c>
    </row>
    <row r="50" spans="1:13" ht="14.45" customHeight="1" x14ac:dyDescent="0.25">
      <c r="A50" s="89">
        <v>39</v>
      </c>
      <c r="B50" s="90"/>
      <c r="C50" s="153" t="str">
        <f>'SAF 011'!E128</f>
        <v>TARJETA DE GEL COOMBS TIPO GRIFOLS</v>
      </c>
      <c r="D50" s="154"/>
      <c r="E50" s="154"/>
      <c r="F50" s="154"/>
      <c r="G50" s="155"/>
      <c r="H50" s="82" t="s">
        <v>244</v>
      </c>
      <c r="I50" s="83" t="str">
        <f>'SAF 011'!F128</f>
        <v xml:space="preserve">UNIDAD </v>
      </c>
      <c r="J50" s="84">
        <f>'SAF 011'!H128</f>
        <v>871.2</v>
      </c>
      <c r="K50" s="91" t="e">
        <f>'SAF 011'!#REF!</f>
        <v>#REF!</v>
      </c>
      <c r="L50" s="87"/>
      <c r="M50" s="88" t="e">
        <f t="shared" si="1"/>
        <v>#REF!</v>
      </c>
    </row>
    <row r="51" spans="1:13" ht="14.45" customHeight="1" x14ac:dyDescent="0.25">
      <c r="A51" s="89">
        <v>40</v>
      </c>
      <c r="B51" s="90"/>
      <c r="C51" s="153" t="str">
        <f>'SAF 011'!E129</f>
        <v>TARJETA DE GEL PHENO TIPO GRIFOLS</v>
      </c>
      <c r="D51" s="154"/>
      <c r="E51" s="154"/>
      <c r="F51" s="154"/>
      <c r="G51" s="155"/>
      <c r="H51" s="82" t="s">
        <v>244</v>
      </c>
      <c r="I51" s="83" t="str">
        <f>'SAF 011'!F129</f>
        <v>UNIDAD</v>
      </c>
      <c r="J51" s="84">
        <f>'SAF 011'!H129</f>
        <v>954</v>
      </c>
      <c r="K51" s="91" t="e">
        <f>'SAF 011'!#REF!</f>
        <v>#REF!</v>
      </c>
      <c r="L51" s="87"/>
      <c r="M51" s="88" t="e">
        <f t="shared" si="1"/>
        <v>#REF!</v>
      </c>
    </row>
    <row r="52" spans="1:13" ht="14.45" customHeight="1" x14ac:dyDescent="0.25">
      <c r="A52" s="89">
        <v>41</v>
      </c>
      <c r="B52" s="90"/>
      <c r="C52" s="153" t="str">
        <f>'SAF 011'!E132</f>
        <v>TOXO HAI 96 DET. - TIPO WIENER</v>
      </c>
      <c r="D52" s="154"/>
      <c r="E52" s="154"/>
      <c r="F52" s="154"/>
      <c r="G52" s="155"/>
      <c r="H52" s="82" t="s">
        <v>244</v>
      </c>
      <c r="I52" s="83" t="str">
        <f>'SAF 011'!F132</f>
        <v>UNIDAD</v>
      </c>
      <c r="J52" s="84">
        <f>'SAF 011'!H132</f>
        <v>16645</v>
      </c>
      <c r="K52" s="91" t="e">
        <f>'SAF 011'!#REF!</f>
        <v>#REF!</v>
      </c>
      <c r="L52" s="87"/>
      <c r="M52" s="88" t="e">
        <f t="shared" si="1"/>
        <v>#REF!</v>
      </c>
    </row>
    <row r="53" spans="1:13" ht="14.45" customHeight="1" x14ac:dyDescent="0.25">
      <c r="A53" s="89">
        <v>42</v>
      </c>
      <c r="B53" s="90"/>
      <c r="C53" s="153" t="str">
        <f>'SAF 011'!E133</f>
        <v>Trigger Tipo Abott</v>
      </c>
      <c r="D53" s="154"/>
      <c r="E53" s="154"/>
      <c r="F53" s="154"/>
      <c r="G53" s="155"/>
      <c r="H53" s="82" t="s">
        <v>244</v>
      </c>
      <c r="I53" s="83" t="str">
        <f>'SAF 011'!F133</f>
        <v>CAJA</v>
      </c>
      <c r="J53" s="84">
        <f>'SAF 011'!H133</f>
        <v>7395</v>
      </c>
      <c r="K53" s="91" t="e">
        <f>'SAF 011'!#REF!</f>
        <v>#REF!</v>
      </c>
      <c r="L53" s="87"/>
      <c r="M53" s="88" t="e">
        <f t="shared" si="1"/>
        <v>#REF!</v>
      </c>
    </row>
    <row r="54" spans="1:13" s="86" customFormat="1" ht="14.45" customHeight="1" x14ac:dyDescent="0.25">
      <c r="A54" s="89">
        <v>43</v>
      </c>
      <c r="B54" s="90"/>
      <c r="C54" s="153" t="str">
        <f>'SAF 011'!E141</f>
        <v>VDRL TEST-250 DET. Tipo Abott</v>
      </c>
      <c r="D54" s="154"/>
      <c r="E54" s="154"/>
      <c r="F54" s="154"/>
      <c r="G54" s="155"/>
      <c r="H54" s="82" t="s">
        <v>244</v>
      </c>
      <c r="I54" s="83" t="str">
        <f>'SAF 011'!F141</f>
        <v>UNIDAD</v>
      </c>
      <c r="J54" s="84">
        <f>'SAF 011'!H141</f>
        <v>1633</v>
      </c>
      <c r="K54" s="91" t="e">
        <f>'SAF 011'!#REF!</f>
        <v>#REF!</v>
      </c>
      <c r="L54" s="87"/>
      <c r="M54" s="88" t="e">
        <f t="shared" si="1"/>
        <v>#REF!</v>
      </c>
    </row>
    <row r="55" spans="1:13" ht="15.75" x14ac:dyDescent="0.25">
      <c r="A55" s="97"/>
      <c r="B55" s="92"/>
      <c r="C55" s="164"/>
      <c r="D55" s="164"/>
      <c r="E55" s="164"/>
      <c r="F55" s="164"/>
      <c r="G55" s="164"/>
      <c r="H55" s="98"/>
      <c r="I55" s="93"/>
      <c r="J55" s="94"/>
      <c r="K55" s="95"/>
      <c r="L55" s="86"/>
      <c r="M55" s="96"/>
    </row>
    <row r="56" spans="1:13" ht="39.75" customHeight="1" thickBot="1" x14ac:dyDescent="0.3">
      <c r="A56" s="162" t="s">
        <v>219</v>
      </c>
      <c r="B56" s="162"/>
      <c r="C56" s="162"/>
      <c r="D56" s="162"/>
      <c r="E56" s="162"/>
      <c r="F56" s="162"/>
      <c r="G56" s="162"/>
      <c r="H56" s="162"/>
      <c r="I56" s="162"/>
      <c r="J56" s="163" t="e">
        <f>+M56</f>
        <v>#REF!</v>
      </c>
      <c r="K56" s="163"/>
      <c r="L56" s="86"/>
      <c r="M56" s="88" t="e">
        <f>SUM(M12:M55)</f>
        <v>#REF!</v>
      </c>
    </row>
  </sheetData>
  <mergeCells count="66">
    <mergeCell ref="C23:G23"/>
    <mergeCell ref="C24:G24"/>
    <mergeCell ref="C41:G41"/>
    <mergeCell ref="C42:G42"/>
    <mergeCell ref="C54:G54"/>
    <mergeCell ref="C40:G40"/>
    <mergeCell ref="C36:G36"/>
    <mergeCell ref="C37:G37"/>
    <mergeCell ref="C38:G38"/>
    <mergeCell ref="C39:G39"/>
    <mergeCell ref="C51:G51"/>
    <mergeCell ref="C48:G48"/>
    <mergeCell ref="C49:G49"/>
    <mergeCell ref="C50:G50"/>
    <mergeCell ref="C47:G47"/>
    <mergeCell ref="C43:G43"/>
    <mergeCell ref="C55:G55"/>
    <mergeCell ref="A56:I56"/>
    <mergeCell ref="J56:K56"/>
    <mergeCell ref="C53:G53"/>
    <mergeCell ref="C52:G52"/>
    <mergeCell ref="C46:G46"/>
    <mergeCell ref="C35:G35"/>
    <mergeCell ref="C30:G30"/>
    <mergeCell ref="C33:G33"/>
    <mergeCell ref="C31:G31"/>
    <mergeCell ref="C32:G32"/>
    <mergeCell ref="C34:G34"/>
    <mergeCell ref="C44:G44"/>
    <mergeCell ref="C45:G45"/>
    <mergeCell ref="C29:G29"/>
    <mergeCell ref="C12:G12"/>
    <mergeCell ref="C13:G13"/>
    <mergeCell ref="C14:G14"/>
    <mergeCell ref="C15:G15"/>
    <mergeCell ref="C16:G16"/>
    <mergeCell ref="C22:G22"/>
    <mergeCell ref="C19:G19"/>
    <mergeCell ref="C20:G20"/>
    <mergeCell ref="C21:G21"/>
    <mergeCell ref="C17:G17"/>
    <mergeCell ref="C18:G18"/>
    <mergeCell ref="C26:G26"/>
    <mergeCell ref="C27:G27"/>
    <mergeCell ref="C28:G28"/>
    <mergeCell ref="C25:G25"/>
    <mergeCell ref="A1:I1"/>
    <mergeCell ref="A3:C3"/>
    <mergeCell ref="D3:K3"/>
    <mergeCell ref="A4:C4"/>
    <mergeCell ref="D4:K4"/>
    <mergeCell ref="A5:C5"/>
    <mergeCell ref="D5:K5"/>
    <mergeCell ref="A6:C6"/>
    <mergeCell ref="D6:K6"/>
    <mergeCell ref="A7:C7"/>
    <mergeCell ref="D7:K7"/>
    <mergeCell ref="A8:C8"/>
    <mergeCell ref="D8:K8"/>
    <mergeCell ref="K10:K11"/>
    <mergeCell ref="A10:A11"/>
    <mergeCell ref="B10:B11"/>
    <mergeCell ref="C10:G11"/>
    <mergeCell ref="H10:H11"/>
    <mergeCell ref="I10:I11"/>
    <mergeCell ref="J10:J11"/>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2"/>
  <sheetViews>
    <sheetView topLeftCell="A10" workbookViewId="0">
      <selection activeCell="T57" sqref="T57"/>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4.7109375" customWidth="1"/>
  </cols>
  <sheetData>
    <row r="1" spans="1:17" ht="15.75" thickBot="1" x14ac:dyDescent="0.3">
      <c r="A1" s="171" t="s">
        <v>5</v>
      </c>
      <c r="B1" s="171"/>
      <c r="C1" s="171"/>
      <c r="D1" s="172">
        <v>2022</v>
      </c>
      <c r="E1" s="172"/>
      <c r="F1" s="17"/>
      <c r="G1" s="17"/>
      <c r="H1" s="18"/>
      <c r="I1" s="18"/>
      <c r="J1" s="18"/>
      <c r="K1" s="18"/>
      <c r="L1" s="18"/>
      <c r="M1" s="18"/>
      <c r="N1" s="18"/>
      <c r="O1" s="19"/>
      <c r="P1" s="173" t="s">
        <v>103</v>
      </c>
      <c r="Q1" s="173"/>
    </row>
    <row r="2" spans="1:17" ht="15.75" thickBot="1" x14ac:dyDescent="0.3">
      <c r="A2" s="20"/>
      <c r="B2" s="21"/>
      <c r="C2" s="21"/>
      <c r="D2" s="21"/>
      <c r="E2" s="21"/>
      <c r="F2" s="21"/>
      <c r="G2" s="22"/>
      <c r="H2" s="23"/>
      <c r="I2" s="23"/>
      <c r="J2" s="23"/>
      <c r="K2" s="23"/>
      <c r="L2" s="23"/>
      <c r="M2" s="23"/>
      <c r="N2" s="23"/>
      <c r="O2" s="21"/>
      <c r="P2" s="173"/>
      <c r="Q2" s="173"/>
    </row>
    <row r="3" spans="1:17" ht="15.75" thickBot="1" x14ac:dyDescent="0.3">
      <c r="A3" s="20"/>
      <c r="B3" s="21"/>
      <c r="C3" s="21"/>
      <c r="D3" s="21"/>
      <c r="E3" s="21"/>
      <c r="F3" s="21"/>
      <c r="G3" s="22"/>
      <c r="H3" s="21"/>
      <c r="I3" s="21"/>
      <c r="J3" s="21"/>
      <c r="K3" s="21"/>
      <c r="L3" s="21"/>
      <c r="M3" s="21"/>
      <c r="N3" s="21"/>
      <c r="O3" s="21"/>
      <c r="P3" s="21"/>
      <c r="Q3" s="24"/>
    </row>
    <row r="4" spans="1:17" ht="15.75" thickBot="1" x14ac:dyDescent="0.3">
      <c r="A4" s="174" t="s">
        <v>104</v>
      </c>
      <c r="B4" s="174"/>
      <c r="C4" s="174"/>
      <c r="D4" s="174"/>
      <c r="E4" s="174"/>
      <c r="F4" s="174"/>
      <c r="G4" s="175" t="str">
        <f>'NP BANCO DE SANGRE'!D3</f>
        <v>040 - MINISTERIO DE SALUD</v>
      </c>
      <c r="H4" s="175"/>
      <c r="I4" s="175"/>
      <c r="J4" s="175"/>
      <c r="K4" s="175"/>
      <c r="L4" s="175"/>
      <c r="M4" s="175"/>
      <c r="N4" s="175"/>
      <c r="O4" s="175"/>
      <c r="P4" s="175"/>
      <c r="Q4" s="175"/>
    </row>
    <row r="5" spans="1:17" ht="15.75" thickBot="1" x14ac:dyDescent="0.3">
      <c r="A5" s="176" t="s">
        <v>91</v>
      </c>
      <c r="B5" s="176"/>
      <c r="C5" s="176"/>
      <c r="D5" s="176"/>
      <c r="E5" s="176"/>
      <c r="F5" s="176"/>
      <c r="G5" s="175" t="str">
        <f>'NP BANCO DE SANGRE'!D4</f>
        <v>011 - DIRECCION PROVINCIAL DE ADMINISTRACION - MINISTERIO DE SALUD</v>
      </c>
      <c r="H5" s="175"/>
      <c r="I5" s="175"/>
      <c r="J5" s="175"/>
      <c r="K5" s="175"/>
      <c r="L5" s="175"/>
      <c r="M5" s="175"/>
      <c r="N5" s="175"/>
      <c r="O5" s="175"/>
      <c r="P5" s="175"/>
      <c r="Q5" s="175"/>
    </row>
    <row r="6" spans="1:17" ht="15.75" thickBot="1" x14ac:dyDescent="0.3">
      <c r="A6" s="176" t="s">
        <v>92</v>
      </c>
      <c r="B6" s="176"/>
      <c r="C6" s="176"/>
      <c r="D6" s="176"/>
      <c r="E6" s="176"/>
      <c r="F6" s="176"/>
      <c r="G6" s="175" t="str">
        <f>'NP BANCO DE SANGRE'!D5</f>
        <v>DIRECCION PROVINCIAL BANCO DE SANGRE</v>
      </c>
      <c r="H6" s="175"/>
      <c r="I6" s="175"/>
      <c r="J6" s="175"/>
      <c r="K6" s="175"/>
      <c r="L6" s="175"/>
      <c r="M6" s="175"/>
      <c r="N6" s="175"/>
      <c r="O6" s="175"/>
      <c r="P6" s="175"/>
      <c r="Q6" s="175"/>
    </row>
    <row r="7" spans="1:17" ht="15.75" thickBot="1" x14ac:dyDescent="0.3">
      <c r="A7" s="176" t="s">
        <v>93</v>
      </c>
      <c r="B7" s="176"/>
      <c r="C7" s="176"/>
      <c r="D7" s="176"/>
      <c r="E7" s="176"/>
      <c r="F7" s="176"/>
      <c r="G7" s="175" t="str">
        <f>'NP BANCO DE SANGRE'!D6</f>
        <v>DIRECCION PROVINCIAL BANCO DE SANGRE</v>
      </c>
      <c r="H7" s="175"/>
      <c r="I7" s="175"/>
      <c r="J7" s="175"/>
      <c r="K7" s="175"/>
      <c r="L7" s="175"/>
      <c r="M7" s="175"/>
      <c r="N7" s="175"/>
      <c r="O7" s="175"/>
      <c r="P7" s="175"/>
      <c r="Q7" s="175"/>
    </row>
    <row r="8" spans="1:17" ht="15.75" thickBot="1" x14ac:dyDescent="0.3">
      <c r="A8" s="177" t="s">
        <v>105</v>
      </c>
      <c r="B8" s="177"/>
      <c r="C8" s="177"/>
      <c r="D8" s="177"/>
      <c r="E8" s="177"/>
      <c r="F8" s="177"/>
      <c r="G8" s="177"/>
      <c r="H8" s="177"/>
      <c r="I8" s="177"/>
      <c r="J8" s="177"/>
      <c r="K8" s="177"/>
      <c r="L8" s="177"/>
      <c r="M8" s="177"/>
      <c r="N8" s="177"/>
      <c r="O8" s="177"/>
      <c r="P8" s="177"/>
      <c r="Q8" s="177"/>
    </row>
    <row r="9" spans="1:17" ht="20.25" customHeight="1" x14ac:dyDescent="0.25">
      <c r="A9" s="170" t="s">
        <v>106</v>
      </c>
      <c r="B9" s="170"/>
      <c r="C9" s="170"/>
      <c r="D9" s="170"/>
      <c r="E9" s="170"/>
      <c r="F9" s="170"/>
      <c r="G9" s="170"/>
      <c r="H9" s="170"/>
      <c r="I9" s="170"/>
      <c r="J9" s="170"/>
      <c r="K9" s="170"/>
      <c r="L9" s="170"/>
      <c r="M9" s="170"/>
      <c r="N9" s="170"/>
      <c r="O9" s="170"/>
      <c r="P9" s="170"/>
      <c r="Q9" s="170"/>
    </row>
    <row r="10" spans="1:17" ht="69" customHeight="1" x14ac:dyDescent="0.25">
      <c r="A10" s="179" t="s">
        <v>142</v>
      </c>
      <c r="B10" s="179"/>
      <c r="C10" s="179"/>
      <c r="D10" s="179"/>
      <c r="E10" s="179"/>
      <c r="F10" s="179"/>
      <c r="G10" s="179"/>
      <c r="H10" s="179"/>
      <c r="I10" s="179"/>
      <c r="J10" s="179"/>
      <c r="K10" s="179"/>
      <c r="L10" s="179"/>
      <c r="M10" s="179"/>
      <c r="N10" s="179"/>
      <c r="O10" s="179"/>
      <c r="P10" s="179"/>
      <c r="Q10" s="179"/>
    </row>
    <row r="11" spans="1:17" ht="15.75" thickBot="1" x14ac:dyDescent="0.3">
      <c r="A11" s="25"/>
      <c r="B11" s="26"/>
      <c r="C11" s="26"/>
      <c r="D11" s="26"/>
      <c r="E11" s="26"/>
      <c r="F11" s="26"/>
      <c r="G11" s="27"/>
      <c r="H11" s="26"/>
      <c r="I11" s="26"/>
      <c r="J11" s="26"/>
      <c r="K11" s="26"/>
      <c r="L11" s="26"/>
      <c r="M11" s="26"/>
      <c r="N11" s="26"/>
      <c r="O11" s="26"/>
      <c r="P11" s="26"/>
      <c r="Q11" s="28"/>
    </row>
    <row r="12" spans="1:17" ht="15.75" thickBot="1" x14ac:dyDescent="0.3">
      <c r="A12" s="180" t="s">
        <v>107</v>
      </c>
      <c r="B12" s="180"/>
      <c r="C12" s="180"/>
      <c r="D12" s="180"/>
      <c r="E12" s="180"/>
      <c r="F12" s="180"/>
      <c r="G12" s="180"/>
      <c r="H12" s="180"/>
      <c r="I12" s="180"/>
      <c r="J12" s="180"/>
      <c r="K12" s="180"/>
      <c r="L12" s="180"/>
      <c r="M12" s="180"/>
      <c r="N12" s="180"/>
      <c r="O12" s="180"/>
      <c r="P12" s="180"/>
      <c r="Q12" s="180"/>
    </row>
    <row r="13" spans="1:17" ht="15.75" thickBot="1" x14ac:dyDescent="0.3">
      <c r="A13" s="181" t="s">
        <v>108</v>
      </c>
      <c r="B13" s="181"/>
      <c r="C13" s="181"/>
      <c r="D13" s="181"/>
      <c r="E13" s="181"/>
      <c r="F13" s="181"/>
      <c r="G13" s="181"/>
      <c r="H13" s="181"/>
      <c r="I13" s="181"/>
      <c r="J13" s="181"/>
      <c r="K13" s="181"/>
      <c r="L13" s="181"/>
      <c r="M13" s="181"/>
      <c r="N13" s="181"/>
      <c r="O13" s="182" t="s">
        <v>109</v>
      </c>
      <c r="P13" s="182"/>
      <c r="Q13" s="183" t="s">
        <v>110</v>
      </c>
    </row>
    <row r="14" spans="1:17" ht="15.75" thickBot="1" x14ac:dyDescent="0.3">
      <c r="A14" s="29" t="s">
        <v>111</v>
      </c>
      <c r="B14" s="30" t="s">
        <v>112</v>
      </c>
      <c r="C14" s="30" t="s">
        <v>113</v>
      </c>
      <c r="D14" s="30" t="s">
        <v>114</v>
      </c>
      <c r="E14" s="30" t="s">
        <v>115</v>
      </c>
      <c r="F14" s="30" t="s">
        <v>116</v>
      </c>
      <c r="G14" s="31" t="s">
        <v>117</v>
      </c>
      <c r="H14" s="30" t="s">
        <v>118</v>
      </c>
      <c r="I14" s="30" t="s">
        <v>119</v>
      </c>
      <c r="J14" s="30" t="s">
        <v>120</v>
      </c>
      <c r="K14" s="30" t="s">
        <v>120</v>
      </c>
      <c r="L14" s="30" t="s">
        <v>121</v>
      </c>
      <c r="M14" s="32" t="s">
        <v>122</v>
      </c>
      <c r="N14" s="33" t="s">
        <v>123</v>
      </c>
      <c r="O14" s="182"/>
      <c r="P14" s="182"/>
      <c r="Q14" s="183"/>
    </row>
    <row r="15" spans="1:17" x14ac:dyDescent="0.25">
      <c r="A15" s="34">
        <v>27</v>
      </c>
      <c r="B15" s="35"/>
      <c r="C15" s="35"/>
      <c r="D15" s="35">
        <v>1</v>
      </c>
      <c r="E15" s="35"/>
      <c r="F15" s="35">
        <v>4901</v>
      </c>
      <c r="G15" s="35">
        <v>3</v>
      </c>
      <c r="H15" s="35">
        <v>1</v>
      </c>
      <c r="I15" s="35">
        <v>2</v>
      </c>
      <c r="J15" s="35">
        <v>5</v>
      </c>
      <c r="K15" s="35">
        <v>1</v>
      </c>
      <c r="L15" s="35"/>
      <c r="M15" s="36">
        <v>1</v>
      </c>
      <c r="N15" s="35" t="s">
        <v>137</v>
      </c>
      <c r="O15" s="184" t="s">
        <v>138</v>
      </c>
      <c r="P15" s="184"/>
      <c r="Q15" s="37" t="e">
        <f>'NP BANCO DE SANGRE'!M56</f>
        <v>#REF!</v>
      </c>
    </row>
    <row r="16" spans="1:17" x14ac:dyDescent="0.25">
      <c r="A16" s="38"/>
      <c r="B16" s="39"/>
      <c r="C16" s="39"/>
      <c r="D16" s="39"/>
      <c r="E16" s="39"/>
      <c r="F16" s="39"/>
      <c r="G16" s="39"/>
      <c r="H16" s="39"/>
      <c r="I16" s="39"/>
      <c r="J16" s="39"/>
      <c r="K16" s="39"/>
      <c r="L16" s="39"/>
      <c r="M16" s="40"/>
      <c r="N16" s="55"/>
      <c r="O16" s="185"/>
      <c r="P16" s="185"/>
      <c r="Q16" s="42"/>
    </row>
    <row r="17" spans="1:17" x14ac:dyDescent="0.25">
      <c r="A17" s="38"/>
      <c r="B17" s="39"/>
      <c r="C17" s="39"/>
      <c r="D17" s="39"/>
      <c r="E17" s="39"/>
      <c r="F17" s="39"/>
      <c r="G17" s="39"/>
      <c r="H17" s="39"/>
      <c r="I17" s="39"/>
      <c r="J17" s="39"/>
      <c r="K17" s="39"/>
      <c r="L17" s="39"/>
      <c r="M17" s="40"/>
      <c r="N17" s="55"/>
      <c r="O17" s="186"/>
      <c r="P17" s="186"/>
      <c r="Q17" s="42"/>
    </row>
    <row r="18" spans="1:17" x14ac:dyDescent="0.25">
      <c r="A18" s="38"/>
      <c r="B18" s="39"/>
      <c r="C18" s="39"/>
      <c r="D18" s="39"/>
      <c r="E18" s="39"/>
      <c r="F18" s="39"/>
      <c r="G18" s="39"/>
      <c r="H18" s="39"/>
      <c r="I18" s="39"/>
      <c r="J18" s="39"/>
      <c r="K18" s="39"/>
      <c r="L18" s="39"/>
      <c r="M18" s="40"/>
      <c r="N18" s="55"/>
      <c r="O18" s="178"/>
      <c r="P18" s="178"/>
      <c r="Q18" s="42"/>
    </row>
    <row r="19" spans="1:17" x14ac:dyDescent="0.25">
      <c r="A19" s="38"/>
      <c r="B19" s="39"/>
      <c r="C19" s="39"/>
      <c r="D19" s="39"/>
      <c r="E19" s="39"/>
      <c r="F19" s="39"/>
      <c r="G19" s="39"/>
      <c r="H19" s="39"/>
      <c r="I19" s="39"/>
      <c r="J19" s="39"/>
      <c r="K19" s="39"/>
      <c r="L19" s="39"/>
      <c r="M19" s="40"/>
      <c r="N19" s="55"/>
      <c r="O19" s="178"/>
      <c r="P19" s="178"/>
      <c r="Q19" s="42"/>
    </row>
    <row r="20" spans="1:17" x14ac:dyDescent="0.25">
      <c r="A20" s="38"/>
      <c r="B20" s="39"/>
      <c r="C20" s="39"/>
      <c r="D20" s="39"/>
      <c r="E20" s="39"/>
      <c r="F20" s="39"/>
      <c r="G20" s="39"/>
      <c r="H20" s="39"/>
      <c r="I20" s="39"/>
      <c r="J20" s="39"/>
      <c r="K20" s="39"/>
      <c r="L20" s="39"/>
      <c r="M20" s="40"/>
      <c r="N20" s="55"/>
      <c r="O20" s="178"/>
      <c r="P20" s="178"/>
      <c r="Q20" s="42"/>
    </row>
    <row r="21" spans="1:17" x14ac:dyDescent="0.25">
      <c r="A21" s="38"/>
      <c r="B21" s="39"/>
      <c r="C21" s="39"/>
      <c r="D21" s="39"/>
      <c r="E21" s="39"/>
      <c r="F21" s="39"/>
      <c r="G21" s="39"/>
      <c r="H21" s="39"/>
      <c r="I21" s="39"/>
      <c r="J21" s="39"/>
      <c r="K21" s="39"/>
      <c r="L21" s="39"/>
      <c r="M21" s="40"/>
      <c r="N21" s="55"/>
      <c r="O21" s="178"/>
      <c r="P21" s="178"/>
      <c r="Q21" s="42"/>
    </row>
    <row r="22" spans="1:17" x14ac:dyDescent="0.25">
      <c r="A22" s="38"/>
      <c r="B22" s="39"/>
      <c r="C22" s="39"/>
      <c r="D22" s="39"/>
      <c r="E22" s="39"/>
      <c r="F22" s="39"/>
      <c r="G22" s="39"/>
      <c r="H22" s="39"/>
      <c r="I22" s="39"/>
      <c r="J22" s="39"/>
      <c r="K22" s="39"/>
      <c r="L22" s="39"/>
      <c r="M22" s="40"/>
      <c r="N22" s="55"/>
      <c r="O22" s="178"/>
      <c r="P22" s="178"/>
      <c r="Q22" s="42"/>
    </row>
    <row r="23" spans="1:17" x14ac:dyDescent="0.25">
      <c r="A23" s="38"/>
      <c r="B23" s="39"/>
      <c r="C23" s="39"/>
      <c r="D23" s="39"/>
      <c r="E23" s="39"/>
      <c r="F23" s="39"/>
      <c r="G23" s="39"/>
      <c r="H23" s="39"/>
      <c r="I23" s="39"/>
      <c r="J23" s="39"/>
      <c r="K23" s="39"/>
      <c r="L23" s="39"/>
      <c r="M23" s="40"/>
      <c r="N23" s="55"/>
      <c r="O23" s="178"/>
      <c r="P23" s="178"/>
      <c r="Q23" s="42"/>
    </row>
    <row r="24" spans="1:17" x14ac:dyDescent="0.25">
      <c r="A24" s="38"/>
      <c r="B24" s="39"/>
      <c r="C24" s="39"/>
      <c r="D24" s="39"/>
      <c r="E24" s="39"/>
      <c r="F24" s="39"/>
      <c r="G24" s="39"/>
      <c r="H24" s="39"/>
      <c r="I24" s="39"/>
      <c r="J24" s="39"/>
      <c r="K24" s="39"/>
      <c r="L24" s="39"/>
      <c r="M24" s="40"/>
      <c r="N24" s="55"/>
      <c r="O24" s="178"/>
      <c r="P24" s="178"/>
      <c r="Q24" s="42"/>
    </row>
    <row r="25" spans="1:17" x14ac:dyDescent="0.25">
      <c r="A25" s="38"/>
      <c r="B25" s="39"/>
      <c r="C25" s="39"/>
      <c r="D25" s="39"/>
      <c r="E25" s="39"/>
      <c r="F25" s="39"/>
      <c r="G25" s="39"/>
      <c r="H25" s="39"/>
      <c r="I25" s="39"/>
      <c r="J25" s="39"/>
      <c r="K25" s="39"/>
      <c r="L25" s="39"/>
      <c r="M25" s="40"/>
      <c r="N25" s="55"/>
      <c r="O25" s="178"/>
      <c r="P25" s="178"/>
      <c r="Q25" s="42"/>
    </row>
    <row r="26" spans="1:17" x14ac:dyDescent="0.25">
      <c r="A26" s="38"/>
      <c r="B26" s="39"/>
      <c r="C26" s="39"/>
      <c r="D26" s="39"/>
      <c r="E26" s="39"/>
      <c r="F26" s="39"/>
      <c r="G26" s="39"/>
      <c r="H26" s="39"/>
      <c r="I26" s="39"/>
      <c r="J26" s="39"/>
      <c r="K26" s="39"/>
      <c r="L26" s="39"/>
      <c r="M26" s="40"/>
      <c r="N26" s="55"/>
      <c r="O26" s="178"/>
      <c r="P26" s="178"/>
      <c r="Q26" s="42"/>
    </row>
    <row r="27" spans="1:17" x14ac:dyDescent="0.25">
      <c r="A27" s="38"/>
      <c r="B27" s="39"/>
      <c r="C27" s="39"/>
      <c r="D27" s="39"/>
      <c r="E27" s="39"/>
      <c r="F27" s="39"/>
      <c r="G27" s="39"/>
      <c r="H27" s="39"/>
      <c r="I27" s="39"/>
      <c r="J27" s="39"/>
      <c r="K27" s="39"/>
      <c r="L27" s="39"/>
      <c r="M27" s="40"/>
      <c r="N27" s="55"/>
      <c r="O27" s="178"/>
      <c r="P27" s="178"/>
      <c r="Q27" s="42"/>
    </row>
    <row r="28" spans="1:17" x14ac:dyDescent="0.25">
      <c r="A28" s="38"/>
      <c r="B28" s="39"/>
      <c r="C28" s="39"/>
      <c r="D28" s="39"/>
      <c r="E28" s="39"/>
      <c r="F28" s="39"/>
      <c r="G28" s="39"/>
      <c r="H28" s="39"/>
      <c r="I28" s="39"/>
      <c r="J28" s="39"/>
      <c r="K28" s="39"/>
      <c r="L28" s="39"/>
      <c r="M28" s="40"/>
      <c r="N28" s="55"/>
      <c r="O28" s="178"/>
      <c r="P28" s="178"/>
      <c r="Q28" s="42"/>
    </row>
    <row r="29" spans="1:17" x14ac:dyDescent="0.25">
      <c r="A29" s="38"/>
      <c r="B29" s="39"/>
      <c r="C29" s="39"/>
      <c r="D29" s="39"/>
      <c r="E29" s="39"/>
      <c r="F29" s="39"/>
      <c r="G29" s="39"/>
      <c r="H29" s="39"/>
      <c r="I29" s="39"/>
      <c r="J29" s="39"/>
      <c r="K29" s="39"/>
      <c r="L29" s="39"/>
      <c r="M29" s="40"/>
      <c r="N29" s="55"/>
      <c r="O29" s="178"/>
      <c r="P29" s="178"/>
      <c r="Q29" s="42"/>
    </row>
    <row r="30" spans="1:17" x14ac:dyDescent="0.25">
      <c r="A30" s="38"/>
      <c r="B30" s="39"/>
      <c r="C30" s="39"/>
      <c r="D30" s="39"/>
      <c r="E30" s="39"/>
      <c r="F30" s="39"/>
      <c r="G30" s="39"/>
      <c r="H30" s="39"/>
      <c r="I30" s="39"/>
      <c r="J30" s="39"/>
      <c r="K30" s="39"/>
      <c r="L30" s="39"/>
      <c r="M30" s="40"/>
      <c r="N30" s="55"/>
      <c r="O30" s="178"/>
      <c r="P30" s="178"/>
      <c r="Q30" s="42"/>
    </row>
    <row r="31" spans="1:17" x14ac:dyDescent="0.25">
      <c r="A31" s="38"/>
      <c r="B31" s="39"/>
      <c r="C31" s="39"/>
      <c r="D31" s="39"/>
      <c r="E31" s="39"/>
      <c r="F31" s="39"/>
      <c r="G31" s="39"/>
      <c r="H31" s="39"/>
      <c r="I31" s="39"/>
      <c r="J31" s="39"/>
      <c r="K31" s="39"/>
      <c r="L31" s="39"/>
      <c r="M31" s="40"/>
      <c r="N31" s="55"/>
      <c r="O31" s="178"/>
      <c r="P31" s="178"/>
      <c r="Q31" s="42"/>
    </row>
    <row r="32" spans="1:17" x14ac:dyDescent="0.25">
      <c r="A32" s="38"/>
      <c r="B32" s="39"/>
      <c r="C32" s="39"/>
      <c r="D32" s="39"/>
      <c r="E32" s="39"/>
      <c r="F32" s="55"/>
      <c r="G32" s="39"/>
      <c r="H32" s="39"/>
      <c r="I32" s="39"/>
      <c r="J32" s="39"/>
      <c r="K32" s="39"/>
      <c r="L32" s="39"/>
      <c r="M32" s="40"/>
      <c r="N32" s="55"/>
      <c r="O32" s="185"/>
      <c r="P32" s="185"/>
      <c r="Q32" s="42"/>
    </row>
    <row r="33" spans="1:17" x14ac:dyDescent="0.25">
      <c r="A33" s="38"/>
      <c r="B33" s="39"/>
      <c r="C33" s="39"/>
      <c r="D33" s="39"/>
      <c r="E33" s="39"/>
      <c r="F33" s="39"/>
      <c r="G33" s="39"/>
      <c r="H33" s="39"/>
      <c r="I33" s="39"/>
      <c r="J33" s="39"/>
      <c r="K33" s="39"/>
      <c r="L33" s="39"/>
      <c r="M33" s="40"/>
      <c r="N33" s="55"/>
      <c r="O33" s="185"/>
      <c r="P33" s="185"/>
      <c r="Q33" s="42"/>
    </row>
    <row r="34" spans="1:17" x14ac:dyDescent="0.25">
      <c r="A34" s="38"/>
      <c r="B34" s="39"/>
      <c r="C34" s="39"/>
      <c r="D34" s="39"/>
      <c r="E34" s="39"/>
      <c r="F34" s="55"/>
      <c r="G34" s="39"/>
      <c r="H34" s="39"/>
      <c r="I34" s="39"/>
      <c r="J34" s="39"/>
      <c r="K34" s="39"/>
      <c r="L34" s="39"/>
      <c r="M34" s="40"/>
      <c r="N34" s="55"/>
      <c r="O34" s="185"/>
      <c r="P34" s="185"/>
      <c r="Q34" s="42"/>
    </row>
    <row r="35" spans="1:17" x14ac:dyDescent="0.25">
      <c r="A35" s="38"/>
      <c r="B35" s="39"/>
      <c r="C35" s="39"/>
      <c r="D35" s="39"/>
      <c r="E35" s="39"/>
      <c r="F35" s="55"/>
      <c r="G35" s="39"/>
      <c r="H35" s="39"/>
      <c r="I35" s="39"/>
      <c r="J35" s="39"/>
      <c r="K35" s="39"/>
      <c r="L35" s="39"/>
      <c r="M35" s="40"/>
      <c r="N35" s="55"/>
      <c r="O35" s="185"/>
      <c r="P35" s="185"/>
      <c r="Q35" s="42"/>
    </row>
    <row r="36" spans="1:17" x14ac:dyDescent="0.25">
      <c r="A36" s="43"/>
      <c r="B36" s="44"/>
      <c r="C36" s="44"/>
      <c r="D36" s="44"/>
      <c r="E36" s="44"/>
      <c r="F36" s="45"/>
      <c r="G36" s="44"/>
      <c r="H36" s="44"/>
      <c r="I36" s="44"/>
      <c r="J36" s="44"/>
      <c r="K36" s="44"/>
      <c r="L36" s="44"/>
      <c r="M36" s="46"/>
      <c r="N36" s="47"/>
      <c r="O36" s="190"/>
      <c r="P36" s="190"/>
      <c r="Q36" s="42"/>
    </row>
    <row r="37" spans="1:17" ht="15.75" thickBot="1" x14ac:dyDescent="0.3">
      <c r="A37" s="48"/>
      <c r="B37" s="49"/>
      <c r="C37" s="49"/>
      <c r="D37" s="49"/>
      <c r="E37" s="49"/>
      <c r="F37" s="49"/>
      <c r="G37" s="49"/>
      <c r="H37" s="49"/>
      <c r="I37" s="49"/>
      <c r="J37" s="49"/>
      <c r="K37" s="49"/>
      <c r="L37" s="49"/>
      <c r="M37" s="50"/>
      <c r="N37" s="49"/>
      <c r="O37" s="191"/>
      <c r="P37" s="191"/>
      <c r="Q37" s="51"/>
    </row>
    <row r="38" spans="1:17" ht="35.25" customHeight="1" thickBot="1" x14ac:dyDescent="0.3">
      <c r="A38" s="192" t="s">
        <v>220</v>
      </c>
      <c r="B38" s="192"/>
      <c r="C38" s="192"/>
      <c r="D38" s="192"/>
      <c r="E38" s="192"/>
      <c r="F38" s="192"/>
      <c r="G38" s="192"/>
      <c r="H38" s="192"/>
      <c r="I38" s="192"/>
      <c r="J38" s="192"/>
      <c r="K38" s="192"/>
      <c r="L38" s="192"/>
      <c r="M38" s="192"/>
      <c r="N38" s="192"/>
      <c r="O38" s="192"/>
      <c r="P38" s="192"/>
      <c r="Q38" s="52" t="e">
        <f>SUM(Q15:Q37)</f>
        <v>#REF!</v>
      </c>
    </row>
    <row r="39" spans="1:17" ht="15.75" thickBot="1" x14ac:dyDescent="0.3">
      <c r="A39" s="193"/>
      <c r="B39" s="193"/>
      <c r="C39" s="193"/>
      <c r="D39" s="193"/>
      <c r="E39" s="193"/>
      <c r="F39" s="193"/>
      <c r="G39" s="193"/>
      <c r="H39" s="193"/>
      <c r="I39" s="193"/>
      <c r="J39" s="193"/>
      <c r="K39" s="193"/>
      <c r="L39" s="193"/>
      <c r="M39" s="193"/>
      <c r="N39" s="193"/>
      <c r="O39" s="193"/>
      <c r="P39" s="193"/>
      <c r="Q39" s="193"/>
    </row>
    <row r="40" spans="1:17" ht="15.75" thickBot="1" x14ac:dyDescent="0.3">
      <c r="A40" s="187" t="s">
        <v>124</v>
      </c>
      <c r="B40" s="187"/>
      <c r="C40" s="187"/>
      <c r="D40" s="187"/>
      <c r="E40" s="187"/>
      <c r="F40" s="187"/>
      <c r="G40" s="188"/>
      <c r="H40" s="188"/>
      <c r="I40" s="188"/>
      <c r="J40" s="188"/>
      <c r="K40" s="188"/>
      <c r="L40" s="188"/>
      <c r="M40" s="188"/>
      <c r="N40" s="188"/>
      <c r="O40" s="188"/>
      <c r="P40" s="188"/>
      <c r="Q40" s="188"/>
    </row>
    <row r="41" spans="1:17" ht="15.75" thickBot="1" x14ac:dyDescent="0.3">
      <c r="A41" s="189" t="str">
        <f>'NP BANCO DE SANGRE'!D8</f>
        <v>ADQUISICION DEL RUBRO REACTIVOS PARA LABORATORIO</v>
      </c>
      <c r="B41" s="189"/>
      <c r="C41" s="189"/>
      <c r="D41" s="189"/>
      <c r="E41" s="189"/>
      <c r="F41" s="189"/>
      <c r="G41" s="189"/>
      <c r="H41" s="189"/>
      <c r="I41" s="189"/>
      <c r="J41" s="189"/>
      <c r="K41" s="189"/>
      <c r="L41" s="189"/>
      <c r="M41" s="189"/>
      <c r="N41" s="189"/>
      <c r="O41" s="189"/>
      <c r="P41" s="189"/>
      <c r="Q41" s="189"/>
    </row>
    <row r="42" spans="1:17" ht="15.75" thickBot="1" x14ac:dyDescent="0.3">
      <c r="A42" s="189"/>
      <c r="B42" s="189"/>
      <c r="C42" s="189"/>
      <c r="D42" s="189"/>
      <c r="E42" s="189"/>
      <c r="F42" s="189"/>
      <c r="G42" s="189"/>
      <c r="H42" s="189"/>
      <c r="I42" s="189"/>
      <c r="J42" s="189"/>
      <c r="K42" s="189"/>
      <c r="L42" s="189"/>
      <c r="M42" s="189"/>
      <c r="N42" s="189"/>
      <c r="O42" s="189"/>
      <c r="P42" s="189"/>
      <c r="Q42" s="189"/>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4"/>
  <sheetViews>
    <sheetView topLeftCell="A5" workbookViewId="0">
      <selection activeCell="H12" sqref="H12:H22"/>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28.5703125" customWidth="1"/>
    <col min="8" max="8" width="9.28515625" customWidth="1"/>
    <col min="9" max="9" width="15.5703125" customWidth="1"/>
    <col min="10" max="10" width="14.7109375" style="63" customWidth="1"/>
    <col min="11" max="11" width="15.5703125" customWidth="1"/>
    <col min="13" max="13" width="13" style="79" bestFit="1" customWidth="1"/>
  </cols>
  <sheetData>
    <row r="1" spans="1:13" ht="30.75" thickBot="1" x14ac:dyDescent="0.3">
      <c r="A1" s="160" t="s">
        <v>88</v>
      </c>
      <c r="B1" s="160"/>
      <c r="C1" s="160"/>
      <c r="D1" s="160"/>
      <c r="E1" s="160"/>
      <c r="F1" s="160"/>
      <c r="G1" s="160"/>
      <c r="H1" s="160"/>
      <c r="I1" s="160"/>
      <c r="J1" s="59" t="s">
        <v>89</v>
      </c>
      <c r="K1" s="3" t="s">
        <v>144</v>
      </c>
    </row>
    <row r="2" spans="1:13" ht="16.5" thickBot="1" x14ac:dyDescent="0.3">
      <c r="A2" s="4"/>
      <c r="B2" s="5"/>
      <c r="C2" s="5"/>
      <c r="D2" s="6"/>
      <c r="E2" s="6"/>
      <c r="F2" s="6"/>
      <c r="G2" s="6"/>
      <c r="H2" s="6"/>
      <c r="I2" s="6"/>
      <c r="J2" s="60"/>
      <c r="K2" s="7"/>
    </row>
    <row r="3" spans="1:13" ht="16.5" thickBot="1" x14ac:dyDescent="0.3">
      <c r="A3" s="161" t="s">
        <v>90</v>
      </c>
      <c r="B3" s="161"/>
      <c r="C3" s="161"/>
      <c r="D3" s="157" t="str">
        <f>'SAF 011'!C4</f>
        <v>040 - MINISTERIO DE SALUD</v>
      </c>
      <c r="E3" s="157"/>
      <c r="F3" s="157"/>
      <c r="G3" s="157"/>
      <c r="H3" s="157"/>
      <c r="I3" s="157"/>
      <c r="J3" s="157"/>
      <c r="K3" s="157"/>
    </row>
    <row r="4" spans="1:13" ht="16.5" thickBot="1" x14ac:dyDescent="0.3">
      <c r="A4" s="156" t="s">
        <v>91</v>
      </c>
      <c r="B4" s="156"/>
      <c r="C4" s="156"/>
      <c r="D4" s="157" t="str">
        <f>'SAF 011'!C5</f>
        <v>011 - DIRECCION PROVINCIAL DE ADMINISTRACION - MINISTERIO DE SALUD</v>
      </c>
      <c r="E4" s="157"/>
      <c r="F4" s="157"/>
      <c r="G4" s="157"/>
      <c r="H4" s="157"/>
      <c r="I4" s="157"/>
      <c r="J4" s="157"/>
      <c r="K4" s="157"/>
    </row>
    <row r="5" spans="1:13" ht="16.5" thickBot="1" x14ac:dyDescent="0.3">
      <c r="A5" s="156" t="s">
        <v>92</v>
      </c>
      <c r="B5" s="156"/>
      <c r="C5" s="156"/>
      <c r="D5" s="157" t="s">
        <v>143</v>
      </c>
      <c r="E5" s="157"/>
      <c r="F5" s="157"/>
      <c r="G5" s="157"/>
      <c r="H5" s="157"/>
      <c r="I5" s="157"/>
      <c r="J5" s="157"/>
      <c r="K5" s="157"/>
    </row>
    <row r="6" spans="1:13" ht="16.5" thickBot="1" x14ac:dyDescent="0.3">
      <c r="A6" s="161" t="s">
        <v>93</v>
      </c>
      <c r="B6" s="161"/>
      <c r="C6" s="161"/>
      <c r="D6" s="157" t="s">
        <v>143</v>
      </c>
      <c r="E6" s="157"/>
      <c r="F6" s="157"/>
      <c r="G6" s="157"/>
      <c r="H6" s="157"/>
      <c r="I6" s="157"/>
      <c r="J6" s="157"/>
      <c r="K6" s="157"/>
    </row>
    <row r="7" spans="1:13" ht="16.5" thickBot="1" x14ac:dyDescent="0.3">
      <c r="A7" s="156" t="s">
        <v>94</v>
      </c>
      <c r="B7" s="156"/>
      <c r="C7" s="156"/>
      <c r="D7" s="157" t="s">
        <v>134</v>
      </c>
      <c r="E7" s="157"/>
      <c r="F7" s="157"/>
      <c r="G7" s="157"/>
      <c r="H7" s="157"/>
      <c r="I7" s="157"/>
      <c r="J7" s="157"/>
      <c r="K7" s="157"/>
    </row>
    <row r="8" spans="1:13" ht="16.5" thickBot="1" x14ac:dyDescent="0.3">
      <c r="A8" s="158" t="s">
        <v>95</v>
      </c>
      <c r="B8" s="158"/>
      <c r="C8" s="158"/>
      <c r="D8" s="159" t="s">
        <v>135</v>
      </c>
      <c r="E8" s="159"/>
      <c r="F8" s="159"/>
      <c r="G8" s="159"/>
      <c r="H8" s="159"/>
      <c r="I8" s="159"/>
      <c r="J8" s="159"/>
      <c r="K8" s="159"/>
    </row>
    <row r="9" spans="1:13" ht="16.5" thickBot="1" x14ac:dyDescent="0.3">
      <c r="A9" s="8"/>
      <c r="B9" s="9"/>
      <c r="C9" s="9"/>
      <c r="D9" s="10"/>
      <c r="E9" s="10"/>
      <c r="F9" s="10"/>
      <c r="G9" s="10"/>
      <c r="H9" s="10"/>
      <c r="I9" s="10"/>
      <c r="J9" s="61"/>
      <c r="K9" s="11"/>
    </row>
    <row r="10" spans="1:13" ht="15.75" customHeight="1" thickBot="1" x14ac:dyDescent="0.3">
      <c r="A10" s="169" t="s">
        <v>96</v>
      </c>
      <c r="B10" s="167" t="s">
        <v>97</v>
      </c>
      <c r="C10" s="167" t="s">
        <v>98</v>
      </c>
      <c r="D10" s="167"/>
      <c r="E10" s="167"/>
      <c r="F10" s="167"/>
      <c r="G10" s="167"/>
      <c r="H10" s="167" t="s">
        <v>99</v>
      </c>
      <c r="I10" s="167" t="s">
        <v>100</v>
      </c>
      <c r="J10" s="168" t="s">
        <v>101</v>
      </c>
      <c r="K10" s="165" t="s">
        <v>102</v>
      </c>
      <c r="L10" s="86"/>
      <c r="M10" s="86"/>
    </row>
    <row r="11" spans="1:13" ht="27.75" customHeight="1" thickBot="1" x14ac:dyDescent="0.3">
      <c r="A11" s="195"/>
      <c r="B11" s="196"/>
      <c r="C11" s="196"/>
      <c r="D11" s="196"/>
      <c r="E11" s="196"/>
      <c r="F11" s="196"/>
      <c r="G11" s="196"/>
      <c r="H11" s="196"/>
      <c r="I11" s="196"/>
      <c r="J11" s="197"/>
      <c r="K11" s="194"/>
      <c r="L11" s="86"/>
      <c r="M11" s="86"/>
    </row>
    <row r="12" spans="1:13" s="87" customFormat="1" ht="16.5" customHeight="1" x14ac:dyDescent="0.25">
      <c r="A12" s="89"/>
      <c r="B12" s="90"/>
      <c r="C12" s="198" t="str">
        <f>'SAF 011'!E12</f>
        <v>AGUA BIDESTILADA X 5 LITROS</v>
      </c>
      <c r="D12" s="199"/>
      <c r="E12" s="199"/>
      <c r="F12" s="199"/>
      <c r="G12" s="200"/>
      <c r="H12" s="82" t="s">
        <v>244</v>
      </c>
      <c r="I12" s="83" t="str">
        <f>'SAF 011'!F12</f>
        <v>BIDON</v>
      </c>
      <c r="J12" s="84">
        <f>'SAF 011'!H12</f>
        <v>574</v>
      </c>
      <c r="K12" s="91" t="e">
        <f>'SAF 011'!#REF!</f>
        <v>#REF!</v>
      </c>
      <c r="M12" s="88" t="e">
        <f>+J12*K12</f>
        <v>#REF!</v>
      </c>
    </row>
    <row r="13" spans="1:13" s="87" customFormat="1" ht="16.5" customHeight="1" x14ac:dyDescent="0.25">
      <c r="A13" s="89"/>
      <c r="B13" s="90"/>
      <c r="C13" s="198" t="str">
        <f>'SAF 011'!E24</f>
        <v>ARC ANTI HBC II RGT X 100 DET.</v>
      </c>
      <c r="D13" s="199"/>
      <c r="E13" s="199"/>
      <c r="F13" s="199"/>
      <c r="G13" s="200"/>
      <c r="H13" s="82" t="s">
        <v>244</v>
      </c>
      <c r="I13" s="83" t="str">
        <f>'SAF 011'!F24</f>
        <v>KIT</v>
      </c>
      <c r="J13" s="84">
        <f>'SAF 011'!H24</f>
        <v>40425</v>
      </c>
      <c r="K13" s="91" t="e">
        <f>'SAF 011'!#REF!</f>
        <v>#REF!</v>
      </c>
      <c r="M13" s="88" t="e">
        <f t="shared" ref="M13:M22" si="0">+J13*K13</f>
        <v>#REF!</v>
      </c>
    </row>
    <row r="14" spans="1:13" s="87" customFormat="1" ht="16.5" customHeight="1" x14ac:dyDescent="0.25">
      <c r="A14" s="89"/>
      <c r="B14" s="90"/>
      <c r="C14" s="198" t="str">
        <f>'SAF 011'!E25</f>
        <v>ARC ANTI HCV RGT X 100 DET.</v>
      </c>
      <c r="D14" s="199"/>
      <c r="E14" s="199"/>
      <c r="F14" s="199"/>
      <c r="G14" s="200"/>
      <c r="H14" s="82" t="s">
        <v>244</v>
      </c>
      <c r="I14" s="83" t="str">
        <f>'SAF 011'!F25</f>
        <v>KIT</v>
      </c>
      <c r="J14" s="84">
        <f>'SAF 011'!H25</f>
        <v>71500</v>
      </c>
      <c r="K14" s="91" t="e">
        <f>'SAF 011'!#REF!</f>
        <v>#REF!</v>
      </c>
      <c r="M14" s="88" t="e">
        <f t="shared" si="0"/>
        <v>#REF!</v>
      </c>
    </row>
    <row r="15" spans="1:13" s="87" customFormat="1" ht="16.5" customHeight="1" x14ac:dyDescent="0.25">
      <c r="A15" s="89"/>
      <c r="B15" s="90"/>
      <c r="C15" s="198" t="str">
        <f>'SAF 011'!E26</f>
        <v>ARC BUFFER CONCENTRADO x 4 lts</v>
      </c>
      <c r="D15" s="199"/>
      <c r="E15" s="199"/>
      <c r="F15" s="199"/>
      <c r="G15" s="200"/>
      <c r="H15" s="82" t="s">
        <v>244</v>
      </c>
      <c r="I15" s="83" t="str">
        <f>'SAF 011'!F26</f>
        <v>BIDON</v>
      </c>
      <c r="J15" s="84">
        <f>'SAF 011'!H26</f>
        <v>13810</v>
      </c>
      <c r="K15" s="91" t="e">
        <f>'SAF 011'!#REF!</f>
        <v>#REF!</v>
      </c>
      <c r="M15" s="88" t="e">
        <f t="shared" si="0"/>
        <v>#REF!</v>
      </c>
    </row>
    <row r="16" spans="1:13" s="87" customFormat="1" ht="16.5" customHeight="1" x14ac:dyDescent="0.25">
      <c r="A16" s="89"/>
      <c r="B16" s="90"/>
      <c r="C16" s="198" t="str">
        <f>'SAF 011'!E27</f>
        <v xml:space="preserve">ARC CELDAS DE REACCION </v>
      </c>
      <c r="D16" s="199"/>
      <c r="E16" s="199"/>
      <c r="F16" s="199"/>
      <c r="G16" s="200"/>
      <c r="H16" s="82" t="s">
        <v>244</v>
      </c>
      <c r="I16" s="83" t="str">
        <f>'SAF 011'!F27</f>
        <v>CAJA</v>
      </c>
      <c r="J16" s="84">
        <f>'SAF 011'!H27</f>
        <v>28000</v>
      </c>
      <c r="K16" s="91" t="e">
        <f>'SAF 011'!#REF!</f>
        <v>#REF!</v>
      </c>
      <c r="M16" s="88" t="e">
        <f t="shared" si="0"/>
        <v>#REF!</v>
      </c>
    </row>
    <row r="17" spans="1:13" s="87" customFormat="1" ht="16.5" customHeight="1" x14ac:dyDescent="0.25">
      <c r="A17" s="89"/>
      <c r="B17" s="90"/>
      <c r="C17" s="198" t="str">
        <f>'SAF 011'!E28</f>
        <v>ARC CMV M RGT X 100</v>
      </c>
      <c r="D17" s="199"/>
      <c r="E17" s="199"/>
      <c r="F17" s="199"/>
      <c r="G17" s="200"/>
      <c r="H17" s="82" t="s">
        <v>244</v>
      </c>
      <c r="I17" s="83" t="str">
        <f>'SAF 011'!F28</f>
        <v>KIT</v>
      </c>
      <c r="J17" s="84">
        <f>'SAF 011'!H28</f>
        <v>103000</v>
      </c>
      <c r="K17" s="91" t="e">
        <f>'SAF 011'!#REF!</f>
        <v>#REF!</v>
      </c>
      <c r="M17" s="88" t="e">
        <f t="shared" si="0"/>
        <v>#REF!</v>
      </c>
    </row>
    <row r="18" spans="1:13" s="87" customFormat="1" ht="16.5" customHeight="1" x14ac:dyDescent="0.25">
      <c r="A18" s="89"/>
      <c r="B18" s="90"/>
      <c r="C18" s="198" t="str">
        <f>'SAF 011'!E29</f>
        <v>ARC HBSAG RGT X 100 DET.</v>
      </c>
      <c r="D18" s="199"/>
      <c r="E18" s="199"/>
      <c r="F18" s="199"/>
      <c r="G18" s="200"/>
      <c r="H18" s="82" t="s">
        <v>244</v>
      </c>
      <c r="I18" s="83" t="str">
        <f>'SAF 011'!F29</f>
        <v>KIT</v>
      </c>
      <c r="J18" s="84">
        <f>'SAF 011'!H29</f>
        <v>26710</v>
      </c>
      <c r="K18" s="91" t="e">
        <f>'SAF 011'!#REF!</f>
        <v>#REF!</v>
      </c>
      <c r="M18" s="88" t="e">
        <f t="shared" si="0"/>
        <v>#REF!</v>
      </c>
    </row>
    <row r="19" spans="1:13" s="87" customFormat="1" ht="16.5" customHeight="1" x14ac:dyDescent="0.25">
      <c r="A19" s="89"/>
      <c r="B19" s="90"/>
      <c r="C19" s="198" t="str">
        <f>'SAF 011'!E30</f>
        <v>ARC HIV COMBO RGT X 100 DET.</v>
      </c>
      <c r="D19" s="199"/>
      <c r="E19" s="199"/>
      <c r="F19" s="199"/>
      <c r="G19" s="200"/>
      <c r="H19" s="82" t="s">
        <v>244</v>
      </c>
      <c r="I19" s="83" t="str">
        <f>'SAF 011'!F30</f>
        <v>KIT</v>
      </c>
      <c r="J19" s="84">
        <f>'SAF 011'!H30</f>
        <v>46450</v>
      </c>
      <c r="K19" s="91" t="e">
        <f>'SAF 011'!#REF!</f>
        <v>#REF!</v>
      </c>
      <c r="M19" s="88" t="e">
        <f t="shared" si="0"/>
        <v>#REF!</v>
      </c>
    </row>
    <row r="20" spans="1:13" s="87" customFormat="1" ht="16.5" customHeight="1" x14ac:dyDescent="0.25">
      <c r="A20" s="89"/>
      <c r="B20" s="90"/>
      <c r="C20" s="198" t="str">
        <f>'SAF 011'!E31</f>
        <v>ARC PRE TRIGGER x 4 lts</v>
      </c>
      <c r="D20" s="199"/>
      <c r="E20" s="199"/>
      <c r="F20" s="199"/>
      <c r="G20" s="200"/>
      <c r="H20" s="82" t="s">
        <v>244</v>
      </c>
      <c r="I20" s="83" t="str">
        <f>'SAF 011'!F31</f>
        <v>BIDON</v>
      </c>
      <c r="J20" s="84">
        <f>'SAF 011'!H31</f>
        <v>28050</v>
      </c>
      <c r="K20" s="91" t="e">
        <f>'SAF 011'!#REF!</f>
        <v>#REF!</v>
      </c>
      <c r="M20" s="88" t="e">
        <f t="shared" si="0"/>
        <v>#REF!</v>
      </c>
    </row>
    <row r="21" spans="1:13" s="87" customFormat="1" ht="16.5" customHeight="1" x14ac:dyDescent="0.25">
      <c r="A21" s="89"/>
      <c r="B21" s="90"/>
      <c r="C21" s="198" t="str">
        <f>'SAF 011'!E32</f>
        <v>ARC SIFILIS RGT X 100</v>
      </c>
      <c r="D21" s="199"/>
      <c r="E21" s="199"/>
      <c r="F21" s="199"/>
      <c r="G21" s="200"/>
      <c r="H21" s="82" t="s">
        <v>244</v>
      </c>
      <c r="I21" s="83" t="str">
        <f>'SAF 011'!F32</f>
        <v>KIT</v>
      </c>
      <c r="J21" s="84">
        <f>'SAF 011'!H32</f>
        <v>38400</v>
      </c>
      <c r="K21" s="91" t="e">
        <f>'SAF 011'!#REF!</f>
        <v>#REF!</v>
      </c>
      <c r="M21" s="88" t="e">
        <f t="shared" si="0"/>
        <v>#REF!</v>
      </c>
    </row>
    <row r="22" spans="1:13" s="87" customFormat="1" ht="16.5" customHeight="1" x14ac:dyDescent="0.25">
      <c r="A22" s="89"/>
      <c r="B22" s="90"/>
      <c r="C22" s="198" t="str">
        <f>'SAF 011'!E33</f>
        <v>ARC TRIGGER x 4 lts</v>
      </c>
      <c r="D22" s="199"/>
      <c r="E22" s="199"/>
      <c r="F22" s="199"/>
      <c r="G22" s="200"/>
      <c r="H22" s="82" t="s">
        <v>244</v>
      </c>
      <c r="I22" s="83" t="str">
        <f>'SAF 011'!F33</f>
        <v>BIDON</v>
      </c>
      <c r="J22" s="84">
        <f>'SAF 011'!H33</f>
        <v>12100</v>
      </c>
      <c r="K22" s="91" t="e">
        <f>'SAF 011'!#REF!</f>
        <v>#REF!</v>
      </c>
      <c r="M22" s="88" t="e">
        <f t="shared" si="0"/>
        <v>#REF!</v>
      </c>
    </row>
    <row r="23" spans="1:13" ht="15.75" x14ac:dyDescent="0.25">
      <c r="A23" s="97"/>
      <c r="B23" s="92"/>
      <c r="C23" s="164"/>
      <c r="D23" s="164"/>
      <c r="E23" s="164"/>
      <c r="F23" s="164"/>
      <c r="G23" s="164"/>
      <c r="H23" s="98"/>
      <c r="I23" s="93"/>
      <c r="J23" s="94"/>
      <c r="K23" s="95"/>
      <c r="L23" s="86"/>
      <c r="M23" s="96"/>
    </row>
    <row r="24" spans="1:13" ht="36.75" customHeight="1" thickBot="1" x14ac:dyDescent="0.3">
      <c r="A24" s="162" t="s">
        <v>145</v>
      </c>
      <c r="B24" s="162"/>
      <c r="C24" s="162"/>
      <c r="D24" s="162"/>
      <c r="E24" s="162"/>
      <c r="F24" s="162"/>
      <c r="G24" s="162"/>
      <c r="H24" s="162"/>
      <c r="I24" s="162"/>
      <c r="J24" s="163" t="e">
        <f>+M24</f>
        <v>#REF!</v>
      </c>
      <c r="K24" s="163"/>
      <c r="L24" s="86"/>
      <c r="M24" s="88" t="e">
        <f>SUM(M12:M23)</f>
        <v>#REF!</v>
      </c>
    </row>
  </sheetData>
  <mergeCells count="34">
    <mergeCell ref="C13:G13"/>
    <mergeCell ref="C14:G14"/>
    <mergeCell ref="C15:G15"/>
    <mergeCell ref="A24:I24"/>
    <mergeCell ref="J24:K24"/>
    <mergeCell ref="C23:G23"/>
    <mergeCell ref="C21:G21"/>
    <mergeCell ref="C22:G22"/>
    <mergeCell ref="C16:G16"/>
    <mergeCell ref="C17:G17"/>
    <mergeCell ref="C18:G18"/>
    <mergeCell ref="C19:G19"/>
    <mergeCell ref="C20:G20"/>
    <mergeCell ref="K10:K11"/>
    <mergeCell ref="J10:J11"/>
    <mergeCell ref="C12:G12"/>
    <mergeCell ref="A10:A11"/>
    <mergeCell ref="B10:B11"/>
    <mergeCell ref="C10:G11"/>
    <mergeCell ref="H10:H11"/>
    <mergeCell ref="I10:I11"/>
    <mergeCell ref="A6:C6"/>
    <mergeCell ref="D6:K6"/>
    <mergeCell ref="A7:C7"/>
    <mergeCell ref="D7:K7"/>
    <mergeCell ref="A8:C8"/>
    <mergeCell ref="D8:K8"/>
    <mergeCell ref="A5:C5"/>
    <mergeCell ref="D5:K5"/>
    <mergeCell ref="A1:I1"/>
    <mergeCell ref="A3:C3"/>
    <mergeCell ref="D3:K3"/>
    <mergeCell ref="A4:C4"/>
    <mergeCell ref="D4:K4"/>
  </mergeCell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2"/>
  <sheetViews>
    <sheetView topLeftCell="A7" workbookViewId="0">
      <selection activeCell="D16" sqref="D16"/>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4.7109375" customWidth="1"/>
  </cols>
  <sheetData>
    <row r="1" spans="1:17" ht="15.75" thickBot="1" x14ac:dyDescent="0.3">
      <c r="A1" s="171" t="s">
        <v>5</v>
      </c>
      <c r="B1" s="171"/>
      <c r="C1" s="171"/>
      <c r="D1" s="172">
        <v>2022</v>
      </c>
      <c r="E1" s="172"/>
      <c r="F1" s="17"/>
      <c r="G1" s="17"/>
      <c r="H1" s="18"/>
      <c r="I1" s="18"/>
      <c r="J1" s="18"/>
      <c r="K1" s="18"/>
      <c r="L1" s="18"/>
      <c r="M1" s="18"/>
      <c r="N1" s="18"/>
      <c r="O1" s="19"/>
      <c r="P1" s="173" t="s">
        <v>103</v>
      </c>
      <c r="Q1" s="173"/>
    </row>
    <row r="2" spans="1:17" ht="15.75" thickBot="1" x14ac:dyDescent="0.3">
      <c r="A2" s="20"/>
      <c r="B2" s="21"/>
      <c r="C2" s="21"/>
      <c r="D2" s="21"/>
      <c r="E2" s="21"/>
      <c r="F2" s="21"/>
      <c r="G2" s="22"/>
      <c r="H2" s="23"/>
      <c r="I2" s="23"/>
      <c r="J2" s="23"/>
      <c r="K2" s="23"/>
      <c r="L2" s="23"/>
      <c r="M2" s="23"/>
      <c r="N2" s="23"/>
      <c r="O2" s="21"/>
      <c r="P2" s="173"/>
      <c r="Q2" s="173"/>
    </row>
    <row r="3" spans="1:17" ht="15.75" thickBot="1" x14ac:dyDescent="0.3">
      <c r="A3" s="20"/>
      <c r="B3" s="21"/>
      <c r="C3" s="21"/>
      <c r="D3" s="21"/>
      <c r="E3" s="21"/>
      <c r="F3" s="21"/>
      <c r="G3" s="22"/>
      <c r="H3" s="21"/>
      <c r="I3" s="21"/>
      <c r="J3" s="21"/>
      <c r="K3" s="21"/>
      <c r="L3" s="21"/>
      <c r="M3" s="21"/>
      <c r="N3" s="21"/>
      <c r="O3" s="21"/>
      <c r="P3" s="21"/>
      <c r="Q3" s="24"/>
    </row>
    <row r="4" spans="1:17" ht="15.75" thickBot="1" x14ac:dyDescent="0.3">
      <c r="A4" s="174" t="s">
        <v>104</v>
      </c>
      <c r="B4" s="174"/>
      <c r="C4" s="174"/>
      <c r="D4" s="174"/>
      <c r="E4" s="174"/>
      <c r="F4" s="174"/>
      <c r="G4" s="175" t="str">
        <f>'NP CUR'!D3</f>
        <v>040 - MINISTERIO DE SALUD</v>
      </c>
      <c r="H4" s="175"/>
      <c r="I4" s="175"/>
      <c r="J4" s="175"/>
      <c r="K4" s="175"/>
      <c r="L4" s="175"/>
      <c r="M4" s="175"/>
      <c r="N4" s="175"/>
      <c r="O4" s="175"/>
      <c r="P4" s="175"/>
      <c r="Q4" s="175"/>
    </row>
    <row r="5" spans="1:17" ht="15.75" thickBot="1" x14ac:dyDescent="0.3">
      <c r="A5" s="176" t="s">
        <v>91</v>
      </c>
      <c r="B5" s="176"/>
      <c r="C5" s="176"/>
      <c r="D5" s="176"/>
      <c r="E5" s="176"/>
      <c r="F5" s="176"/>
      <c r="G5" s="175" t="str">
        <f>'NP CUR'!D4</f>
        <v>011 - DIRECCION PROVINCIAL DE ADMINISTRACION - MINISTERIO DE SALUD</v>
      </c>
      <c r="H5" s="175"/>
      <c r="I5" s="175"/>
      <c r="J5" s="175"/>
      <c r="K5" s="175"/>
      <c r="L5" s="175"/>
      <c r="M5" s="175"/>
      <c r="N5" s="175"/>
      <c r="O5" s="175"/>
      <c r="P5" s="175"/>
      <c r="Q5" s="175"/>
    </row>
    <row r="6" spans="1:17" ht="15.75" thickBot="1" x14ac:dyDescent="0.3">
      <c r="A6" s="176" t="s">
        <v>92</v>
      </c>
      <c r="B6" s="176"/>
      <c r="C6" s="176"/>
      <c r="D6" s="176"/>
      <c r="E6" s="176"/>
      <c r="F6" s="176"/>
      <c r="G6" s="175" t="str">
        <f>'NP CUR'!D5</f>
        <v>DIRECCION PROVINCIAL CENTRO UNICO DE REFERENCIA</v>
      </c>
      <c r="H6" s="175"/>
      <c r="I6" s="175"/>
      <c r="J6" s="175"/>
      <c r="K6" s="175"/>
      <c r="L6" s="175"/>
      <c r="M6" s="175"/>
      <c r="N6" s="175"/>
      <c r="O6" s="175"/>
      <c r="P6" s="175"/>
      <c r="Q6" s="175"/>
    </row>
    <row r="7" spans="1:17" ht="15.75" thickBot="1" x14ac:dyDescent="0.3">
      <c r="A7" s="176" t="s">
        <v>93</v>
      </c>
      <c r="B7" s="176"/>
      <c r="C7" s="176"/>
      <c r="D7" s="176"/>
      <c r="E7" s="176"/>
      <c r="F7" s="176"/>
      <c r="G7" s="175" t="str">
        <f>'NP CUR'!D6</f>
        <v>DIRECCION PROVINCIAL CENTRO UNICO DE REFERENCIA</v>
      </c>
      <c r="H7" s="175"/>
      <c r="I7" s="175"/>
      <c r="J7" s="175"/>
      <c r="K7" s="175"/>
      <c r="L7" s="175"/>
      <c r="M7" s="175"/>
      <c r="N7" s="175"/>
      <c r="O7" s="175"/>
      <c r="P7" s="175"/>
      <c r="Q7" s="175"/>
    </row>
    <row r="8" spans="1:17" ht="15.75" thickBot="1" x14ac:dyDescent="0.3">
      <c r="A8" s="177" t="s">
        <v>105</v>
      </c>
      <c r="B8" s="177"/>
      <c r="C8" s="177"/>
      <c r="D8" s="177"/>
      <c r="E8" s="177"/>
      <c r="F8" s="177"/>
      <c r="G8" s="177"/>
      <c r="H8" s="177"/>
      <c r="I8" s="177"/>
      <c r="J8" s="177"/>
      <c r="K8" s="177"/>
      <c r="L8" s="177"/>
      <c r="M8" s="177"/>
      <c r="N8" s="177"/>
      <c r="O8" s="177"/>
      <c r="P8" s="177"/>
      <c r="Q8" s="177"/>
    </row>
    <row r="9" spans="1:17" ht="20.25" customHeight="1" x14ac:dyDescent="0.25">
      <c r="A9" s="170" t="s">
        <v>106</v>
      </c>
      <c r="B9" s="170"/>
      <c r="C9" s="170"/>
      <c r="D9" s="170"/>
      <c r="E9" s="170"/>
      <c r="F9" s="170"/>
      <c r="G9" s="170"/>
      <c r="H9" s="170"/>
      <c r="I9" s="170"/>
      <c r="J9" s="170"/>
      <c r="K9" s="170"/>
      <c r="L9" s="170"/>
      <c r="M9" s="170"/>
      <c r="N9" s="170"/>
      <c r="O9" s="170"/>
      <c r="P9" s="170"/>
      <c r="Q9" s="170"/>
    </row>
    <row r="10" spans="1:17" ht="69" customHeight="1" x14ac:dyDescent="0.25">
      <c r="A10" s="179" t="s">
        <v>146</v>
      </c>
      <c r="B10" s="179"/>
      <c r="C10" s="179"/>
      <c r="D10" s="179"/>
      <c r="E10" s="179"/>
      <c r="F10" s="179"/>
      <c r="G10" s="179"/>
      <c r="H10" s="179"/>
      <c r="I10" s="179"/>
      <c r="J10" s="179"/>
      <c r="K10" s="179"/>
      <c r="L10" s="179"/>
      <c r="M10" s="179"/>
      <c r="N10" s="179"/>
      <c r="O10" s="179"/>
      <c r="P10" s="179"/>
      <c r="Q10" s="179"/>
    </row>
    <row r="11" spans="1:17" ht="15.75" thickBot="1" x14ac:dyDescent="0.3">
      <c r="A11" s="25"/>
      <c r="B11" s="26"/>
      <c r="C11" s="26"/>
      <c r="D11" s="26"/>
      <c r="E11" s="26"/>
      <c r="F11" s="26"/>
      <c r="G11" s="27"/>
      <c r="H11" s="26"/>
      <c r="I11" s="26"/>
      <c r="J11" s="26"/>
      <c r="K11" s="26"/>
      <c r="L11" s="26"/>
      <c r="M11" s="26"/>
      <c r="N11" s="26"/>
      <c r="O11" s="26"/>
      <c r="P11" s="26"/>
      <c r="Q11" s="28"/>
    </row>
    <row r="12" spans="1:17" ht="15.75" thickBot="1" x14ac:dyDescent="0.3">
      <c r="A12" s="180" t="s">
        <v>107</v>
      </c>
      <c r="B12" s="180"/>
      <c r="C12" s="180"/>
      <c r="D12" s="180"/>
      <c r="E12" s="180"/>
      <c r="F12" s="180"/>
      <c r="G12" s="180"/>
      <c r="H12" s="180"/>
      <c r="I12" s="180"/>
      <c r="J12" s="180"/>
      <c r="K12" s="180"/>
      <c r="L12" s="180"/>
      <c r="M12" s="180"/>
      <c r="N12" s="180"/>
      <c r="O12" s="180"/>
      <c r="P12" s="180"/>
      <c r="Q12" s="180"/>
    </row>
    <row r="13" spans="1:17" ht="15.75" thickBot="1" x14ac:dyDescent="0.3">
      <c r="A13" s="181" t="s">
        <v>108</v>
      </c>
      <c r="B13" s="181"/>
      <c r="C13" s="181"/>
      <c r="D13" s="181"/>
      <c r="E13" s="181"/>
      <c r="F13" s="181"/>
      <c r="G13" s="181"/>
      <c r="H13" s="181"/>
      <c r="I13" s="181"/>
      <c r="J13" s="181"/>
      <c r="K13" s="181"/>
      <c r="L13" s="181"/>
      <c r="M13" s="181"/>
      <c r="N13" s="181"/>
      <c r="O13" s="182" t="s">
        <v>109</v>
      </c>
      <c r="P13" s="182"/>
      <c r="Q13" s="183" t="s">
        <v>110</v>
      </c>
    </row>
    <row r="14" spans="1:17" ht="15.75" thickBot="1" x14ac:dyDescent="0.3">
      <c r="A14" s="29" t="s">
        <v>111</v>
      </c>
      <c r="B14" s="30" t="s">
        <v>112</v>
      </c>
      <c r="C14" s="30" t="s">
        <v>113</v>
      </c>
      <c r="D14" s="30" t="s">
        <v>114</v>
      </c>
      <c r="E14" s="30" t="s">
        <v>115</v>
      </c>
      <c r="F14" s="30" t="s">
        <v>116</v>
      </c>
      <c r="G14" s="31" t="s">
        <v>117</v>
      </c>
      <c r="H14" s="30" t="s">
        <v>118</v>
      </c>
      <c r="I14" s="30" t="s">
        <v>119</v>
      </c>
      <c r="J14" s="30" t="s">
        <v>120</v>
      </c>
      <c r="K14" s="30" t="s">
        <v>120</v>
      </c>
      <c r="L14" s="30" t="s">
        <v>121</v>
      </c>
      <c r="M14" s="32" t="s">
        <v>122</v>
      </c>
      <c r="N14" s="33" t="s">
        <v>123</v>
      </c>
      <c r="O14" s="182"/>
      <c r="P14" s="182"/>
      <c r="Q14" s="183"/>
    </row>
    <row r="15" spans="1:17" x14ac:dyDescent="0.25">
      <c r="A15" s="34">
        <v>35</v>
      </c>
      <c r="B15" s="35"/>
      <c r="C15" s="35"/>
      <c r="D15" s="35">
        <v>2</v>
      </c>
      <c r="E15" s="35"/>
      <c r="F15" s="35">
        <v>4901</v>
      </c>
      <c r="G15" s="35">
        <v>3</v>
      </c>
      <c r="H15" s="35">
        <v>1</v>
      </c>
      <c r="I15" s="35">
        <v>2</v>
      </c>
      <c r="J15" s="35">
        <v>5</v>
      </c>
      <c r="K15" s="35">
        <v>1</v>
      </c>
      <c r="L15" s="35"/>
      <c r="M15" s="36">
        <v>1</v>
      </c>
      <c r="N15" s="35" t="s">
        <v>137</v>
      </c>
      <c r="O15" s="184" t="s">
        <v>138</v>
      </c>
      <c r="P15" s="184"/>
      <c r="Q15" s="37" t="e">
        <f>'NP CUR'!M24</f>
        <v>#REF!</v>
      </c>
    </row>
    <row r="16" spans="1:17" x14ac:dyDescent="0.25">
      <c r="A16" s="38"/>
      <c r="B16" s="39"/>
      <c r="C16" s="39"/>
      <c r="D16" s="39"/>
      <c r="E16" s="39"/>
      <c r="F16" s="39"/>
      <c r="G16" s="39"/>
      <c r="H16" s="39"/>
      <c r="I16" s="39"/>
      <c r="J16" s="39"/>
      <c r="K16" s="39"/>
      <c r="L16" s="39"/>
      <c r="M16" s="40"/>
      <c r="N16" s="55"/>
      <c r="O16" s="185"/>
      <c r="P16" s="185"/>
      <c r="Q16" s="42"/>
    </row>
    <row r="17" spans="1:17" x14ac:dyDescent="0.25">
      <c r="A17" s="38"/>
      <c r="B17" s="39"/>
      <c r="C17" s="39"/>
      <c r="D17" s="39"/>
      <c r="E17" s="39"/>
      <c r="F17" s="39"/>
      <c r="G17" s="39"/>
      <c r="H17" s="39"/>
      <c r="I17" s="39"/>
      <c r="J17" s="39"/>
      <c r="K17" s="39"/>
      <c r="L17" s="39"/>
      <c r="M17" s="40"/>
      <c r="N17" s="55"/>
      <c r="O17" s="186"/>
      <c r="P17" s="186"/>
      <c r="Q17" s="42"/>
    </row>
    <row r="18" spans="1:17" x14ac:dyDescent="0.25">
      <c r="A18" s="38"/>
      <c r="B18" s="39"/>
      <c r="C18" s="39"/>
      <c r="D18" s="39"/>
      <c r="E18" s="39"/>
      <c r="F18" s="39"/>
      <c r="G18" s="39"/>
      <c r="H18" s="39"/>
      <c r="I18" s="39"/>
      <c r="J18" s="39"/>
      <c r="K18" s="39"/>
      <c r="L18" s="39"/>
      <c r="M18" s="40"/>
      <c r="N18" s="55"/>
      <c r="O18" s="178"/>
      <c r="P18" s="178"/>
      <c r="Q18" s="42"/>
    </row>
    <row r="19" spans="1:17" x14ac:dyDescent="0.25">
      <c r="A19" s="38"/>
      <c r="B19" s="39"/>
      <c r="C19" s="39"/>
      <c r="D19" s="39"/>
      <c r="E19" s="39"/>
      <c r="F19" s="39"/>
      <c r="G19" s="39"/>
      <c r="H19" s="39"/>
      <c r="I19" s="39"/>
      <c r="J19" s="39"/>
      <c r="K19" s="39"/>
      <c r="L19" s="39"/>
      <c r="M19" s="40"/>
      <c r="N19" s="55"/>
      <c r="O19" s="178"/>
      <c r="P19" s="178"/>
      <c r="Q19" s="42"/>
    </row>
    <row r="20" spans="1:17" x14ac:dyDescent="0.25">
      <c r="A20" s="38"/>
      <c r="B20" s="39"/>
      <c r="C20" s="39"/>
      <c r="D20" s="39"/>
      <c r="E20" s="39"/>
      <c r="F20" s="39"/>
      <c r="G20" s="39"/>
      <c r="H20" s="39"/>
      <c r="I20" s="39"/>
      <c r="J20" s="39"/>
      <c r="K20" s="39"/>
      <c r="L20" s="39"/>
      <c r="M20" s="40"/>
      <c r="N20" s="55"/>
      <c r="O20" s="178"/>
      <c r="P20" s="178"/>
      <c r="Q20" s="42"/>
    </row>
    <row r="21" spans="1:17" x14ac:dyDescent="0.25">
      <c r="A21" s="38"/>
      <c r="B21" s="39"/>
      <c r="C21" s="39"/>
      <c r="D21" s="39"/>
      <c r="E21" s="39"/>
      <c r="F21" s="39"/>
      <c r="G21" s="39"/>
      <c r="H21" s="39"/>
      <c r="I21" s="39"/>
      <c r="J21" s="39"/>
      <c r="K21" s="39"/>
      <c r="L21" s="39"/>
      <c r="M21" s="40"/>
      <c r="N21" s="55"/>
      <c r="O21" s="178"/>
      <c r="P21" s="178"/>
      <c r="Q21" s="42"/>
    </row>
    <row r="22" spans="1:17" x14ac:dyDescent="0.25">
      <c r="A22" s="38"/>
      <c r="B22" s="39"/>
      <c r="C22" s="39"/>
      <c r="D22" s="39"/>
      <c r="E22" s="39"/>
      <c r="F22" s="39"/>
      <c r="G22" s="39"/>
      <c r="H22" s="39"/>
      <c r="I22" s="39"/>
      <c r="J22" s="39"/>
      <c r="K22" s="39"/>
      <c r="L22" s="39"/>
      <c r="M22" s="40"/>
      <c r="N22" s="55"/>
      <c r="O22" s="178"/>
      <c r="P22" s="178"/>
      <c r="Q22" s="42"/>
    </row>
    <row r="23" spans="1:17" x14ac:dyDescent="0.25">
      <c r="A23" s="38"/>
      <c r="B23" s="39"/>
      <c r="C23" s="39"/>
      <c r="D23" s="39"/>
      <c r="E23" s="39"/>
      <c r="F23" s="39"/>
      <c r="G23" s="39"/>
      <c r="H23" s="39"/>
      <c r="I23" s="39"/>
      <c r="J23" s="39"/>
      <c r="K23" s="39"/>
      <c r="L23" s="39"/>
      <c r="M23" s="40"/>
      <c r="N23" s="55"/>
      <c r="O23" s="178"/>
      <c r="P23" s="178"/>
      <c r="Q23" s="42"/>
    </row>
    <row r="24" spans="1:17" x14ac:dyDescent="0.25">
      <c r="A24" s="38"/>
      <c r="B24" s="39"/>
      <c r="C24" s="39"/>
      <c r="D24" s="39"/>
      <c r="E24" s="39"/>
      <c r="F24" s="39"/>
      <c r="G24" s="39"/>
      <c r="H24" s="39"/>
      <c r="I24" s="39"/>
      <c r="J24" s="39"/>
      <c r="K24" s="39"/>
      <c r="L24" s="39"/>
      <c r="M24" s="40"/>
      <c r="N24" s="55"/>
      <c r="O24" s="178"/>
      <c r="P24" s="178"/>
      <c r="Q24" s="42"/>
    </row>
    <row r="25" spans="1:17" x14ac:dyDescent="0.25">
      <c r="A25" s="38"/>
      <c r="B25" s="39"/>
      <c r="C25" s="39"/>
      <c r="D25" s="39"/>
      <c r="E25" s="39"/>
      <c r="F25" s="39"/>
      <c r="G25" s="39"/>
      <c r="H25" s="39"/>
      <c r="I25" s="39"/>
      <c r="J25" s="39"/>
      <c r="K25" s="39"/>
      <c r="L25" s="39"/>
      <c r="M25" s="40"/>
      <c r="N25" s="55"/>
      <c r="O25" s="178"/>
      <c r="P25" s="178"/>
      <c r="Q25" s="42"/>
    </row>
    <row r="26" spans="1:17" x14ac:dyDescent="0.25">
      <c r="A26" s="38"/>
      <c r="B26" s="39"/>
      <c r="C26" s="39"/>
      <c r="D26" s="39"/>
      <c r="E26" s="39"/>
      <c r="F26" s="39"/>
      <c r="G26" s="39"/>
      <c r="H26" s="39"/>
      <c r="I26" s="39"/>
      <c r="J26" s="39"/>
      <c r="K26" s="39"/>
      <c r="L26" s="39"/>
      <c r="M26" s="40"/>
      <c r="N26" s="55"/>
      <c r="O26" s="178"/>
      <c r="P26" s="178"/>
      <c r="Q26" s="42"/>
    </row>
    <row r="27" spans="1:17" x14ac:dyDescent="0.25">
      <c r="A27" s="38"/>
      <c r="B27" s="39"/>
      <c r="C27" s="39"/>
      <c r="D27" s="39"/>
      <c r="E27" s="39"/>
      <c r="F27" s="39"/>
      <c r="G27" s="39"/>
      <c r="H27" s="39"/>
      <c r="I27" s="39"/>
      <c r="J27" s="39"/>
      <c r="K27" s="39"/>
      <c r="L27" s="39"/>
      <c r="M27" s="40"/>
      <c r="N27" s="55"/>
      <c r="O27" s="178"/>
      <c r="P27" s="178"/>
      <c r="Q27" s="42"/>
    </row>
    <row r="28" spans="1:17" x14ac:dyDescent="0.25">
      <c r="A28" s="38"/>
      <c r="B28" s="39"/>
      <c r="C28" s="39"/>
      <c r="D28" s="39"/>
      <c r="E28" s="39"/>
      <c r="F28" s="39"/>
      <c r="G28" s="39"/>
      <c r="H28" s="39"/>
      <c r="I28" s="39"/>
      <c r="J28" s="39"/>
      <c r="K28" s="39"/>
      <c r="L28" s="39"/>
      <c r="M28" s="40"/>
      <c r="N28" s="55"/>
      <c r="O28" s="178"/>
      <c r="P28" s="178"/>
      <c r="Q28" s="42"/>
    </row>
    <row r="29" spans="1:17" x14ac:dyDescent="0.25">
      <c r="A29" s="38"/>
      <c r="B29" s="39"/>
      <c r="C29" s="39"/>
      <c r="D29" s="39"/>
      <c r="E29" s="39"/>
      <c r="F29" s="39"/>
      <c r="G29" s="39"/>
      <c r="H29" s="39"/>
      <c r="I29" s="39"/>
      <c r="J29" s="39"/>
      <c r="K29" s="39"/>
      <c r="L29" s="39"/>
      <c r="M29" s="40"/>
      <c r="N29" s="55"/>
      <c r="O29" s="178"/>
      <c r="P29" s="178"/>
      <c r="Q29" s="42"/>
    </row>
    <row r="30" spans="1:17" x14ac:dyDescent="0.25">
      <c r="A30" s="38"/>
      <c r="B30" s="39"/>
      <c r="C30" s="39"/>
      <c r="D30" s="39"/>
      <c r="E30" s="39"/>
      <c r="F30" s="39"/>
      <c r="G30" s="39"/>
      <c r="H30" s="39"/>
      <c r="I30" s="39"/>
      <c r="J30" s="39"/>
      <c r="K30" s="39"/>
      <c r="L30" s="39"/>
      <c r="M30" s="40"/>
      <c r="N30" s="55"/>
      <c r="O30" s="178"/>
      <c r="P30" s="178"/>
      <c r="Q30" s="42"/>
    </row>
    <row r="31" spans="1:17" x14ac:dyDescent="0.25">
      <c r="A31" s="38"/>
      <c r="B31" s="39"/>
      <c r="C31" s="39"/>
      <c r="D31" s="39"/>
      <c r="E31" s="39"/>
      <c r="F31" s="39"/>
      <c r="G31" s="39"/>
      <c r="H31" s="39"/>
      <c r="I31" s="39"/>
      <c r="J31" s="39"/>
      <c r="K31" s="39"/>
      <c r="L31" s="39"/>
      <c r="M31" s="40"/>
      <c r="N31" s="55"/>
      <c r="O31" s="178"/>
      <c r="P31" s="178"/>
      <c r="Q31" s="42"/>
    </row>
    <row r="32" spans="1:17" x14ac:dyDescent="0.25">
      <c r="A32" s="38"/>
      <c r="B32" s="39"/>
      <c r="C32" s="39"/>
      <c r="D32" s="39"/>
      <c r="E32" s="39"/>
      <c r="F32" s="55"/>
      <c r="G32" s="39"/>
      <c r="H32" s="39"/>
      <c r="I32" s="39"/>
      <c r="J32" s="39"/>
      <c r="K32" s="39"/>
      <c r="L32" s="39"/>
      <c r="M32" s="40"/>
      <c r="N32" s="55"/>
      <c r="O32" s="185"/>
      <c r="P32" s="185"/>
      <c r="Q32" s="42"/>
    </row>
    <row r="33" spans="1:17" x14ac:dyDescent="0.25">
      <c r="A33" s="38"/>
      <c r="B33" s="39"/>
      <c r="C33" s="39"/>
      <c r="D33" s="39"/>
      <c r="E33" s="39"/>
      <c r="F33" s="39"/>
      <c r="G33" s="39"/>
      <c r="H33" s="39"/>
      <c r="I33" s="39"/>
      <c r="J33" s="39"/>
      <c r="K33" s="39"/>
      <c r="L33" s="39"/>
      <c r="M33" s="40"/>
      <c r="N33" s="55"/>
      <c r="O33" s="185"/>
      <c r="P33" s="185"/>
      <c r="Q33" s="42"/>
    </row>
    <row r="34" spans="1:17" x14ac:dyDescent="0.25">
      <c r="A34" s="38"/>
      <c r="B34" s="39"/>
      <c r="C34" s="39"/>
      <c r="D34" s="39"/>
      <c r="E34" s="39"/>
      <c r="F34" s="55"/>
      <c r="G34" s="39"/>
      <c r="H34" s="39"/>
      <c r="I34" s="39"/>
      <c r="J34" s="39"/>
      <c r="K34" s="39"/>
      <c r="L34" s="39"/>
      <c r="M34" s="40"/>
      <c r="N34" s="55"/>
      <c r="O34" s="185"/>
      <c r="P34" s="185"/>
      <c r="Q34" s="42"/>
    </row>
    <row r="35" spans="1:17" x14ac:dyDescent="0.25">
      <c r="A35" s="38"/>
      <c r="B35" s="39"/>
      <c r="C35" s="39"/>
      <c r="D35" s="39"/>
      <c r="E35" s="39"/>
      <c r="F35" s="55"/>
      <c r="G35" s="39"/>
      <c r="H35" s="39"/>
      <c r="I35" s="39"/>
      <c r="J35" s="39"/>
      <c r="K35" s="39"/>
      <c r="L35" s="39"/>
      <c r="M35" s="40"/>
      <c r="N35" s="55"/>
      <c r="O35" s="185"/>
      <c r="P35" s="185"/>
      <c r="Q35" s="42"/>
    </row>
    <row r="36" spans="1:17" x14ac:dyDescent="0.25">
      <c r="A36" s="43"/>
      <c r="B36" s="44"/>
      <c r="C36" s="44"/>
      <c r="D36" s="44"/>
      <c r="E36" s="44"/>
      <c r="F36" s="45"/>
      <c r="G36" s="44"/>
      <c r="H36" s="44"/>
      <c r="I36" s="44"/>
      <c r="J36" s="44"/>
      <c r="K36" s="44"/>
      <c r="L36" s="44"/>
      <c r="M36" s="46"/>
      <c r="N36" s="47"/>
      <c r="O36" s="190"/>
      <c r="P36" s="190"/>
      <c r="Q36" s="42"/>
    </row>
    <row r="37" spans="1:17" ht="15.75" thickBot="1" x14ac:dyDescent="0.3">
      <c r="A37" s="48"/>
      <c r="B37" s="49"/>
      <c r="C37" s="49"/>
      <c r="D37" s="49"/>
      <c r="E37" s="49"/>
      <c r="F37" s="49"/>
      <c r="G37" s="49"/>
      <c r="H37" s="49"/>
      <c r="I37" s="49"/>
      <c r="J37" s="49"/>
      <c r="K37" s="49"/>
      <c r="L37" s="49"/>
      <c r="M37" s="50"/>
      <c r="N37" s="49"/>
      <c r="O37" s="191"/>
      <c r="P37" s="191"/>
      <c r="Q37" s="51"/>
    </row>
    <row r="38" spans="1:17" ht="33" customHeight="1" thickBot="1" x14ac:dyDescent="0.3">
      <c r="A38" s="192" t="s">
        <v>189</v>
      </c>
      <c r="B38" s="192"/>
      <c r="C38" s="192"/>
      <c r="D38" s="192"/>
      <c r="E38" s="192"/>
      <c r="F38" s="192"/>
      <c r="G38" s="192"/>
      <c r="H38" s="192"/>
      <c r="I38" s="192"/>
      <c r="J38" s="192"/>
      <c r="K38" s="192"/>
      <c r="L38" s="192"/>
      <c r="M38" s="192"/>
      <c r="N38" s="192"/>
      <c r="O38" s="192"/>
      <c r="P38" s="192"/>
      <c r="Q38" s="52" t="e">
        <f>SUM(Q15:Q37)</f>
        <v>#REF!</v>
      </c>
    </row>
    <row r="39" spans="1:17" ht="15.75" thickBot="1" x14ac:dyDescent="0.3">
      <c r="A39" s="193"/>
      <c r="B39" s="193"/>
      <c r="C39" s="193"/>
      <c r="D39" s="193"/>
      <c r="E39" s="193"/>
      <c r="F39" s="193"/>
      <c r="G39" s="193"/>
      <c r="H39" s="193"/>
      <c r="I39" s="193"/>
      <c r="J39" s="193"/>
      <c r="K39" s="193"/>
      <c r="L39" s="193"/>
      <c r="M39" s="193"/>
      <c r="N39" s="193"/>
      <c r="O39" s="193"/>
      <c r="P39" s="193"/>
      <c r="Q39" s="193"/>
    </row>
    <row r="40" spans="1:17" ht="15.75" thickBot="1" x14ac:dyDescent="0.3">
      <c r="A40" s="187" t="s">
        <v>124</v>
      </c>
      <c r="B40" s="187"/>
      <c r="C40" s="187"/>
      <c r="D40" s="187"/>
      <c r="E40" s="187"/>
      <c r="F40" s="187"/>
      <c r="G40" s="188"/>
      <c r="H40" s="188"/>
      <c r="I40" s="188"/>
      <c r="J40" s="188"/>
      <c r="K40" s="188"/>
      <c r="L40" s="188"/>
      <c r="M40" s="188"/>
      <c r="N40" s="188"/>
      <c r="O40" s="188"/>
      <c r="P40" s="188"/>
      <c r="Q40" s="188"/>
    </row>
    <row r="41" spans="1:17" ht="15.75" thickBot="1" x14ac:dyDescent="0.3">
      <c r="A41" s="189" t="str">
        <f>'NP CUR'!D8</f>
        <v>ADQUISICION DEL RUBRO REACTIVOS PARA LABORATORIO</v>
      </c>
      <c r="B41" s="189"/>
      <c r="C41" s="189"/>
      <c r="D41" s="189"/>
      <c r="E41" s="189"/>
      <c r="F41" s="189"/>
      <c r="G41" s="189"/>
      <c r="H41" s="189"/>
      <c r="I41" s="189"/>
      <c r="J41" s="189"/>
      <c r="K41" s="189"/>
      <c r="L41" s="189"/>
      <c r="M41" s="189"/>
      <c r="N41" s="189"/>
      <c r="O41" s="189"/>
      <c r="P41" s="189"/>
      <c r="Q41" s="189"/>
    </row>
    <row r="42" spans="1:17" ht="15.75" thickBot="1" x14ac:dyDescent="0.3">
      <c r="A42" s="189"/>
      <c r="B42" s="189"/>
      <c r="C42" s="189"/>
      <c r="D42" s="189"/>
      <c r="E42" s="189"/>
      <c r="F42" s="189"/>
      <c r="G42" s="189"/>
      <c r="H42" s="189"/>
      <c r="I42" s="189"/>
      <c r="J42" s="189"/>
      <c r="K42" s="189"/>
      <c r="L42" s="189"/>
      <c r="M42" s="189"/>
      <c r="N42" s="189"/>
      <c r="O42" s="189"/>
      <c r="P42" s="189"/>
      <c r="Q42" s="189"/>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6"/>
  <sheetViews>
    <sheetView workbookViewId="0">
      <selection activeCell="H12" sqref="H12:H14"/>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28.5703125" customWidth="1"/>
    <col min="8" max="8" width="9.28515625" customWidth="1"/>
    <col min="9" max="9" width="15.5703125" customWidth="1"/>
    <col min="10" max="10" width="14.7109375" style="63" customWidth="1"/>
    <col min="11" max="11" width="15.5703125" customWidth="1"/>
    <col min="13" max="13" width="14.5703125" style="79" bestFit="1" customWidth="1"/>
  </cols>
  <sheetData>
    <row r="1" spans="1:13" ht="30.75" thickBot="1" x14ac:dyDescent="0.3">
      <c r="A1" s="160" t="s">
        <v>88</v>
      </c>
      <c r="B1" s="160"/>
      <c r="C1" s="160"/>
      <c r="D1" s="160"/>
      <c r="E1" s="160"/>
      <c r="F1" s="160"/>
      <c r="G1" s="160"/>
      <c r="H1" s="160"/>
      <c r="I1" s="160"/>
      <c r="J1" s="59" t="s">
        <v>89</v>
      </c>
      <c r="K1" s="3" t="s">
        <v>148</v>
      </c>
    </row>
    <row r="2" spans="1:13" ht="16.5" thickBot="1" x14ac:dyDescent="0.3">
      <c r="A2" s="4"/>
      <c r="B2" s="5"/>
      <c r="C2" s="5"/>
      <c r="D2" s="6"/>
      <c r="E2" s="6"/>
      <c r="F2" s="6"/>
      <c r="G2" s="6"/>
      <c r="H2" s="6"/>
      <c r="I2" s="6"/>
      <c r="J2" s="60"/>
      <c r="K2" s="7"/>
    </row>
    <row r="3" spans="1:13" ht="16.5" thickBot="1" x14ac:dyDescent="0.3">
      <c r="A3" s="161" t="s">
        <v>90</v>
      </c>
      <c r="B3" s="161"/>
      <c r="C3" s="161"/>
      <c r="D3" s="157" t="str">
        <f>'SAF 011'!C4</f>
        <v>040 - MINISTERIO DE SALUD</v>
      </c>
      <c r="E3" s="157"/>
      <c r="F3" s="157"/>
      <c r="G3" s="157"/>
      <c r="H3" s="157"/>
      <c r="I3" s="157"/>
      <c r="J3" s="157"/>
      <c r="K3" s="157"/>
    </row>
    <row r="4" spans="1:13" ht="16.5" thickBot="1" x14ac:dyDescent="0.3">
      <c r="A4" s="156" t="s">
        <v>91</v>
      </c>
      <c r="B4" s="156"/>
      <c r="C4" s="156"/>
      <c r="D4" s="157" t="str">
        <f>'SAF 011'!C5</f>
        <v>011 - DIRECCION PROVINCIAL DE ADMINISTRACION - MINISTERIO DE SALUD</v>
      </c>
      <c r="E4" s="157"/>
      <c r="F4" s="157"/>
      <c r="G4" s="157"/>
      <c r="H4" s="157"/>
      <c r="I4" s="157"/>
      <c r="J4" s="157"/>
      <c r="K4" s="157"/>
    </row>
    <row r="5" spans="1:13" ht="16.5" thickBot="1" x14ac:dyDescent="0.3">
      <c r="A5" s="156" t="s">
        <v>92</v>
      </c>
      <c r="B5" s="156"/>
      <c r="C5" s="156"/>
      <c r="D5" s="157" t="s">
        <v>147</v>
      </c>
      <c r="E5" s="157"/>
      <c r="F5" s="157"/>
      <c r="G5" s="157"/>
      <c r="H5" s="157"/>
      <c r="I5" s="157"/>
      <c r="J5" s="157"/>
      <c r="K5" s="157"/>
    </row>
    <row r="6" spans="1:13" ht="16.5" thickBot="1" x14ac:dyDescent="0.3">
      <c r="A6" s="161" t="s">
        <v>93</v>
      </c>
      <c r="B6" s="161"/>
      <c r="C6" s="161"/>
      <c r="D6" s="157" t="s">
        <v>147</v>
      </c>
      <c r="E6" s="157"/>
      <c r="F6" s="157"/>
      <c r="G6" s="157"/>
      <c r="H6" s="157"/>
      <c r="I6" s="157"/>
      <c r="J6" s="157"/>
      <c r="K6" s="157"/>
    </row>
    <row r="7" spans="1:13" ht="16.5" thickBot="1" x14ac:dyDescent="0.3">
      <c r="A7" s="156" t="s">
        <v>94</v>
      </c>
      <c r="B7" s="156"/>
      <c r="C7" s="156"/>
      <c r="D7" s="157" t="s">
        <v>134</v>
      </c>
      <c r="E7" s="157"/>
      <c r="F7" s="157"/>
      <c r="G7" s="157"/>
      <c r="H7" s="157"/>
      <c r="I7" s="157"/>
      <c r="J7" s="157"/>
      <c r="K7" s="157"/>
    </row>
    <row r="8" spans="1:13" ht="16.5" thickBot="1" x14ac:dyDescent="0.3">
      <c r="A8" s="158" t="s">
        <v>95</v>
      </c>
      <c r="B8" s="158"/>
      <c r="C8" s="158"/>
      <c r="D8" s="159" t="s">
        <v>135</v>
      </c>
      <c r="E8" s="159"/>
      <c r="F8" s="159"/>
      <c r="G8" s="159"/>
      <c r="H8" s="159"/>
      <c r="I8" s="159"/>
      <c r="J8" s="159"/>
      <c r="K8" s="159"/>
    </row>
    <row r="9" spans="1:13" ht="16.5" thickBot="1" x14ac:dyDescent="0.3">
      <c r="A9" s="8"/>
      <c r="B9" s="9"/>
      <c r="C9" s="9"/>
      <c r="D9" s="10"/>
      <c r="E9" s="10"/>
      <c r="F9" s="10"/>
      <c r="G9" s="10"/>
      <c r="H9" s="10"/>
      <c r="I9" s="10"/>
      <c r="J9" s="61"/>
      <c r="K9" s="11"/>
    </row>
    <row r="10" spans="1:13" ht="15.75" customHeight="1" thickBot="1" x14ac:dyDescent="0.3">
      <c r="A10" s="169" t="s">
        <v>96</v>
      </c>
      <c r="B10" s="167" t="s">
        <v>97</v>
      </c>
      <c r="C10" s="167" t="s">
        <v>98</v>
      </c>
      <c r="D10" s="167"/>
      <c r="E10" s="167"/>
      <c r="F10" s="167"/>
      <c r="G10" s="167"/>
      <c r="H10" s="167" t="s">
        <v>99</v>
      </c>
      <c r="I10" s="167" t="s">
        <v>100</v>
      </c>
      <c r="J10" s="168" t="s">
        <v>101</v>
      </c>
      <c r="K10" s="165" t="s">
        <v>102</v>
      </c>
      <c r="L10" s="86"/>
      <c r="M10" s="86"/>
    </row>
    <row r="11" spans="1:13" ht="27.75" customHeight="1" thickBot="1" x14ac:dyDescent="0.3">
      <c r="A11" s="195"/>
      <c r="B11" s="196"/>
      <c r="C11" s="196"/>
      <c r="D11" s="196"/>
      <c r="E11" s="196"/>
      <c r="F11" s="196"/>
      <c r="G11" s="196"/>
      <c r="H11" s="196"/>
      <c r="I11" s="196"/>
      <c r="J11" s="197"/>
      <c r="K11" s="194"/>
      <c r="L11" s="86"/>
      <c r="M11" s="86"/>
    </row>
    <row r="12" spans="1:13" s="86" customFormat="1" ht="14.45" customHeight="1" x14ac:dyDescent="0.25">
      <c r="A12" s="89">
        <v>1</v>
      </c>
      <c r="B12" s="90"/>
      <c r="C12" s="198" t="str">
        <f>'SAF 011'!E49</f>
        <v>Chagatest Elisa Lisado 96 determinaciones Tipo WIENER</v>
      </c>
      <c r="D12" s="199"/>
      <c r="E12" s="199"/>
      <c r="F12" s="199"/>
      <c r="G12" s="200"/>
      <c r="H12" s="82" t="s">
        <v>244</v>
      </c>
      <c r="I12" s="83" t="str">
        <f>'SAF 011'!F49</f>
        <v>EQUIPO</v>
      </c>
      <c r="J12" s="84">
        <f>'SAF 011'!H49</f>
        <v>12000</v>
      </c>
      <c r="K12" s="91" t="e">
        <f>'SAF 011'!#REF!</f>
        <v>#REF!</v>
      </c>
      <c r="L12" s="87"/>
      <c r="M12" s="88" t="e">
        <f>+J12*K12</f>
        <v>#REF!</v>
      </c>
    </row>
    <row r="13" spans="1:13" s="86" customFormat="1" ht="14.45" customHeight="1" x14ac:dyDescent="0.25">
      <c r="A13" s="89">
        <v>2</v>
      </c>
      <c r="B13" s="90"/>
      <c r="C13" s="198" t="str">
        <f>'SAF 011'!E51</f>
        <v>CHAGATEST HAI 5 TITULOS 96 DET Tipo WIENER</v>
      </c>
      <c r="D13" s="199"/>
      <c r="E13" s="199"/>
      <c r="F13" s="199"/>
      <c r="G13" s="200"/>
      <c r="H13" s="82" t="s">
        <v>244</v>
      </c>
      <c r="I13" s="83" t="str">
        <f>'SAF 011'!F51</f>
        <v>UNIDAD</v>
      </c>
      <c r="J13" s="84">
        <f>'SAF 011'!H51</f>
        <v>16429</v>
      </c>
      <c r="K13" s="91" t="e">
        <f>'SAF 011'!#REF!</f>
        <v>#REF!</v>
      </c>
      <c r="L13" s="87"/>
      <c r="M13" s="88" t="e">
        <f t="shared" ref="M13:M14" si="0">+J13*K13</f>
        <v>#REF!</v>
      </c>
    </row>
    <row r="14" spans="1:13" s="86" customFormat="1" ht="14.45" customHeight="1" x14ac:dyDescent="0.25">
      <c r="A14" s="89">
        <v>3</v>
      </c>
      <c r="B14" s="90"/>
      <c r="C14" s="198" t="str">
        <f>'SAF 011'!E145</f>
        <v>WL CHECK CHAGAS - 25 CASSETTES - TIPO WIENER</v>
      </c>
      <c r="D14" s="199"/>
      <c r="E14" s="199"/>
      <c r="F14" s="199"/>
      <c r="G14" s="200"/>
      <c r="H14" s="82" t="s">
        <v>244</v>
      </c>
      <c r="I14" s="83" t="str">
        <f>'SAF 011'!F145</f>
        <v>EQUIPO</v>
      </c>
      <c r="J14" s="84">
        <f>'SAF 011'!H145</f>
        <v>10000</v>
      </c>
      <c r="K14" s="91" t="e">
        <f>'SAF 011'!#REF!</f>
        <v>#REF!</v>
      </c>
      <c r="L14" s="87"/>
      <c r="M14" s="88" t="e">
        <f t="shared" si="0"/>
        <v>#REF!</v>
      </c>
    </row>
    <row r="15" spans="1:13" ht="15.75" x14ac:dyDescent="0.25">
      <c r="A15" s="97"/>
      <c r="B15" s="92"/>
      <c r="C15" s="164"/>
      <c r="D15" s="164"/>
      <c r="E15" s="164"/>
      <c r="F15" s="164"/>
      <c r="G15" s="164"/>
      <c r="H15" s="98"/>
      <c r="I15" s="93"/>
      <c r="J15" s="94"/>
      <c r="K15" s="95"/>
      <c r="L15" s="86"/>
      <c r="M15" s="96"/>
    </row>
    <row r="16" spans="1:13" ht="35.25" customHeight="1" thickBot="1" x14ac:dyDescent="0.3">
      <c r="A16" s="162" t="s">
        <v>221</v>
      </c>
      <c r="B16" s="162"/>
      <c r="C16" s="162"/>
      <c r="D16" s="162"/>
      <c r="E16" s="162"/>
      <c r="F16" s="162"/>
      <c r="G16" s="162"/>
      <c r="H16" s="162"/>
      <c r="I16" s="162"/>
      <c r="J16" s="163" t="e">
        <f>+M16</f>
        <v>#REF!</v>
      </c>
      <c r="K16" s="163"/>
      <c r="L16" s="86"/>
      <c r="M16" s="88" t="e">
        <f>SUM(M12:M15)</f>
        <v>#REF!</v>
      </c>
    </row>
  </sheetData>
  <mergeCells count="26">
    <mergeCell ref="J16:K16"/>
    <mergeCell ref="K10:K11"/>
    <mergeCell ref="A10:A11"/>
    <mergeCell ref="B10:B11"/>
    <mergeCell ref="C10:G11"/>
    <mergeCell ref="H10:H11"/>
    <mergeCell ref="I10:I11"/>
    <mergeCell ref="J10:J11"/>
    <mergeCell ref="C12:G12"/>
    <mergeCell ref="C13:G13"/>
    <mergeCell ref="C14:G14"/>
    <mergeCell ref="C15:G15"/>
    <mergeCell ref="A16:I16"/>
    <mergeCell ref="A6:C6"/>
    <mergeCell ref="D6:K6"/>
    <mergeCell ref="A7:C7"/>
    <mergeCell ref="D7:K7"/>
    <mergeCell ref="A8:C8"/>
    <mergeCell ref="D8:K8"/>
    <mergeCell ref="A5:C5"/>
    <mergeCell ref="D5:K5"/>
    <mergeCell ref="A1:I1"/>
    <mergeCell ref="A3:C3"/>
    <mergeCell ref="D3:K3"/>
    <mergeCell ref="A4:C4"/>
    <mergeCell ref="D4:K4"/>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2"/>
  <sheetViews>
    <sheetView topLeftCell="A7" workbookViewId="0">
      <selection activeCell="N26" sqref="N26"/>
    </sheetView>
  </sheetViews>
  <sheetFormatPr baseColWidth="10" defaultRowHeight="15" x14ac:dyDescent="0.25"/>
  <cols>
    <col min="1" max="5" width="4.42578125" customWidth="1"/>
    <col min="6" max="6" width="5" bestFit="1" customWidth="1"/>
    <col min="7" max="14" width="4.42578125" customWidth="1"/>
    <col min="15" max="16" width="14.85546875" customWidth="1"/>
    <col min="17" max="17" width="14.7109375" customWidth="1"/>
  </cols>
  <sheetData>
    <row r="1" spans="1:17" ht="15.75" thickBot="1" x14ac:dyDescent="0.3">
      <c r="A1" s="171" t="s">
        <v>5</v>
      </c>
      <c r="B1" s="171"/>
      <c r="C1" s="171"/>
      <c r="D1" s="172">
        <v>2022</v>
      </c>
      <c r="E1" s="172"/>
      <c r="F1" s="17"/>
      <c r="G1" s="17"/>
      <c r="H1" s="18"/>
      <c r="I1" s="18"/>
      <c r="J1" s="18"/>
      <c r="K1" s="18"/>
      <c r="L1" s="18"/>
      <c r="M1" s="18"/>
      <c r="N1" s="18"/>
      <c r="O1" s="19"/>
      <c r="P1" s="173" t="s">
        <v>103</v>
      </c>
      <c r="Q1" s="173"/>
    </row>
    <row r="2" spans="1:17" ht="15.75" thickBot="1" x14ac:dyDescent="0.3">
      <c r="A2" s="20"/>
      <c r="B2" s="21"/>
      <c r="C2" s="21"/>
      <c r="D2" s="21"/>
      <c r="E2" s="21"/>
      <c r="F2" s="21"/>
      <c r="G2" s="22"/>
      <c r="H2" s="23"/>
      <c r="I2" s="23"/>
      <c r="J2" s="23"/>
      <c r="K2" s="23"/>
      <c r="L2" s="23"/>
      <c r="M2" s="23"/>
      <c r="N2" s="23"/>
      <c r="O2" s="21"/>
      <c r="P2" s="173"/>
      <c r="Q2" s="173"/>
    </row>
    <row r="3" spans="1:17" ht="15.75" thickBot="1" x14ac:dyDescent="0.3">
      <c r="A3" s="20"/>
      <c r="B3" s="21"/>
      <c r="C3" s="21"/>
      <c r="D3" s="21"/>
      <c r="E3" s="21"/>
      <c r="F3" s="21"/>
      <c r="G3" s="22"/>
      <c r="H3" s="21"/>
      <c r="I3" s="21"/>
      <c r="J3" s="21"/>
      <c r="K3" s="21"/>
      <c r="L3" s="21"/>
      <c r="M3" s="21"/>
      <c r="N3" s="21"/>
      <c r="O3" s="21"/>
      <c r="P3" s="21"/>
      <c r="Q3" s="24"/>
    </row>
    <row r="4" spans="1:17" ht="15.75" thickBot="1" x14ac:dyDescent="0.3">
      <c r="A4" s="174" t="s">
        <v>104</v>
      </c>
      <c r="B4" s="174"/>
      <c r="C4" s="174"/>
      <c r="D4" s="174"/>
      <c r="E4" s="174"/>
      <c r="F4" s="174"/>
      <c r="G4" s="175" t="str">
        <f>'NP VECTORES'!D3</f>
        <v>040 - MINISTERIO DE SALUD</v>
      </c>
      <c r="H4" s="175"/>
      <c r="I4" s="175"/>
      <c r="J4" s="175"/>
      <c r="K4" s="175"/>
      <c r="L4" s="175"/>
      <c r="M4" s="175"/>
      <c r="N4" s="175"/>
      <c r="O4" s="175"/>
      <c r="P4" s="175"/>
      <c r="Q4" s="175"/>
    </row>
    <row r="5" spans="1:17" ht="15.75" thickBot="1" x14ac:dyDescent="0.3">
      <c r="A5" s="176" t="s">
        <v>91</v>
      </c>
      <c r="B5" s="176"/>
      <c r="C5" s="176"/>
      <c r="D5" s="176"/>
      <c r="E5" s="176"/>
      <c r="F5" s="176"/>
      <c r="G5" s="175" t="str">
        <f>'NP VECTORES'!D4</f>
        <v>011 - DIRECCION PROVINCIAL DE ADMINISTRACION - MINISTERIO DE SALUD</v>
      </c>
      <c r="H5" s="175"/>
      <c r="I5" s="175"/>
      <c r="J5" s="175"/>
      <c r="K5" s="175"/>
      <c r="L5" s="175"/>
      <c r="M5" s="175"/>
      <c r="N5" s="175"/>
      <c r="O5" s="175"/>
      <c r="P5" s="175"/>
      <c r="Q5" s="175"/>
    </row>
    <row r="6" spans="1:17" ht="15.75" thickBot="1" x14ac:dyDescent="0.3">
      <c r="A6" s="176" t="s">
        <v>92</v>
      </c>
      <c r="B6" s="176"/>
      <c r="C6" s="176"/>
      <c r="D6" s="176"/>
      <c r="E6" s="176"/>
      <c r="F6" s="176"/>
      <c r="G6" s="175" t="str">
        <f>'NP VECTORES'!D5</f>
        <v>DIRECCION DE CONTROL DE VECTORES Y ZOONOSIS</v>
      </c>
      <c r="H6" s="175"/>
      <c r="I6" s="175"/>
      <c r="J6" s="175"/>
      <c r="K6" s="175"/>
      <c r="L6" s="175"/>
      <c r="M6" s="175"/>
      <c r="N6" s="175"/>
      <c r="O6" s="175"/>
      <c r="P6" s="175"/>
      <c r="Q6" s="175"/>
    </row>
    <row r="7" spans="1:17" ht="15.75" thickBot="1" x14ac:dyDescent="0.3">
      <c r="A7" s="176" t="s">
        <v>93</v>
      </c>
      <c r="B7" s="176"/>
      <c r="C7" s="176"/>
      <c r="D7" s="176"/>
      <c r="E7" s="176"/>
      <c r="F7" s="176"/>
      <c r="G7" s="175" t="str">
        <f>'NP VECTORES'!D6</f>
        <v>DIRECCION DE CONTROL DE VECTORES Y ZOONOSIS</v>
      </c>
      <c r="H7" s="175"/>
      <c r="I7" s="175"/>
      <c r="J7" s="175"/>
      <c r="K7" s="175"/>
      <c r="L7" s="175"/>
      <c r="M7" s="175"/>
      <c r="N7" s="175"/>
      <c r="O7" s="175"/>
      <c r="P7" s="175"/>
      <c r="Q7" s="175"/>
    </row>
    <row r="8" spans="1:17" ht="15.75" thickBot="1" x14ac:dyDescent="0.3">
      <c r="A8" s="177" t="s">
        <v>105</v>
      </c>
      <c r="B8" s="177"/>
      <c r="C8" s="177"/>
      <c r="D8" s="177"/>
      <c r="E8" s="177"/>
      <c r="F8" s="177"/>
      <c r="G8" s="177"/>
      <c r="H8" s="177"/>
      <c r="I8" s="177"/>
      <c r="J8" s="177"/>
      <c r="K8" s="177"/>
      <c r="L8" s="177"/>
      <c r="M8" s="177"/>
      <c r="N8" s="177"/>
      <c r="O8" s="177"/>
      <c r="P8" s="177"/>
      <c r="Q8" s="177"/>
    </row>
    <row r="9" spans="1:17" ht="20.25" customHeight="1" x14ac:dyDescent="0.25">
      <c r="A9" s="170" t="s">
        <v>106</v>
      </c>
      <c r="B9" s="170"/>
      <c r="C9" s="170"/>
      <c r="D9" s="170"/>
      <c r="E9" s="170"/>
      <c r="F9" s="170"/>
      <c r="G9" s="170"/>
      <c r="H9" s="170"/>
      <c r="I9" s="170"/>
      <c r="J9" s="170"/>
      <c r="K9" s="170"/>
      <c r="L9" s="170"/>
      <c r="M9" s="170"/>
      <c r="N9" s="170"/>
      <c r="O9" s="170"/>
      <c r="P9" s="170"/>
      <c r="Q9" s="170"/>
    </row>
    <row r="10" spans="1:17" ht="69" customHeight="1" x14ac:dyDescent="0.25">
      <c r="A10" s="179" t="s">
        <v>149</v>
      </c>
      <c r="B10" s="179"/>
      <c r="C10" s="179"/>
      <c r="D10" s="179"/>
      <c r="E10" s="179"/>
      <c r="F10" s="179"/>
      <c r="G10" s="179"/>
      <c r="H10" s="179"/>
      <c r="I10" s="179"/>
      <c r="J10" s="179"/>
      <c r="K10" s="179"/>
      <c r="L10" s="179"/>
      <c r="M10" s="179"/>
      <c r="N10" s="179"/>
      <c r="O10" s="179"/>
      <c r="P10" s="179"/>
      <c r="Q10" s="179"/>
    </row>
    <row r="11" spans="1:17" ht="15.75" thickBot="1" x14ac:dyDescent="0.3">
      <c r="A11" s="25"/>
      <c r="B11" s="26"/>
      <c r="C11" s="26"/>
      <c r="D11" s="26"/>
      <c r="E11" s="26"/>
      <c r="F11" s="26"/>
      <c r="G11" s="27"/>
      <c r="H11" s="26"/>
      <c r="I11" s="26"/>
      <c r="J11" s="26"/>
      <c r="K11" s="26"/>
      <c r="L11" s="26"/>
      <c r="M11" s="26"/>
      <c r="N11" s="26"/>
      <c r="O11" s="26"/>
      <c r="P11" s="26"/>
      <c r="Q11" s="28"/>
    </row>
    <row r="12" spans="1:17" ht="15.75" thickBot="1" x14ac:dyDescent="0.3">
      <c r="A12" s="180" t="s">
        <v>107</v>
      </c>
      <c r="B12" s="180"/>
      <c r="C12" s="180"/>
      <c r="D12" s="180"/>
      <c r="E12" s="180"/>
      <c r="F12" s="180"/>
      <c r="G12" s="180"/>
      <c r="H12" s="180"/>
      <c r="I12" s="180"/>
      <c r="J12" s="180"/>
      <c r="K12" s="180"/>
      <c r="L12" s="180"/>
      <c r="M12" s="180"/>
      <c r="N12" s="180"/>
      <c r="O12" s="180"/>
      <c r="P12" s="180"/>
      <c r="Q12" s="180"/>
    </row>
    <row r="13" spans="1:17" ht="15.75" thickBot="1" x14ac:dyDescent="0.3">
      <c r="A13" s="181" t="s">
        <v>108</v>
      </c>
      <c r="B13" s="181"/>
      <c r="C13" s="181"/>
      <c r="D13" s="181"/>
      <c r="E13" s="181"/>
      <c r="F13" s="181"/>
      <c r="G13" s="181"/>
      <c r="H13" s="181"/>
      <c r="I13" s="181"/>
      <c r="J13" s="181"/>
      <c r="K13" s="181"/>
      <c r="L13" s="181"/>
      <c r="M13" s="181"/>
      <c r="N13" s="181"/>
      <c r="O13" s="182" t="s">
        <v>109</v>
      </c>
      <c r="P13" s="182"/>
      <c r="Q13" s="183" t="s">
        <v>110</v>
      </c>
    </row>
    <row r="14" spans="1:17" ht="15.75" thickBot="1" x14ac:dyDescent="0.3">
      <c r="A14" s="29" t="s">
        <v>111</v>
      </c>
      <c r="B14" s="30" t="s">
        <v>112</v>
      </c>
      <c r="C14" s="30" t="s">
        <v>113</v>
      </c>
      <c r="D14" s="30" t="s">
        <v>114</v>
      </c>
      <c r="E14" s="30" t="s">
        <v>115</v>
      </c>
      <c r="F14" s="30" t="s">
        <v>116</v>
      </c>
      <c r="G14" s="31" t="s">
        <v>117</v>
      </c>
      <c r="H14" s="30" t="s">
        <v>118</v>
      </c>
      <c r="I14" s="30" t="s">
        <v>119</v>
      </c>
      <c r="J14" s="30" t="s">
        <v>120</v>
      </c>
      <c r="K14" s="30" t="s">
        <v>120</v>
      </c>
      <c r="L14" s="30" t="s">
        <v>121</v>
      </c>
      <c r="M14" s="32" t="s">
        <v>122</v>
      </c>
      <c r="N14" s="33" t="s">
        <v>123</v>
      </c>
      <c r="O14" s="182"/>
      <c r="P14" s="182"/>
      <c r="Q14" s="183"/>
    </row>
    <row r="15" spans="1:17" x14ac:dyDescent="0.25">
      <c r="A15" s="34">
        <v>23</v>
      </c>
      <c r="B15" s="35"/>
      <c r="C15" s="35"/>
      <c r="D15" s="35">
        <v>1</v>
      </c>
      <c r="E15" s="35"/>
      <c r="F15" s="35">
        <v>4901</v>
      </c>
      <c r="G15" s="35">
        <v>3</v>
      </c>
      <c r="H15" s="35">
        <v>1</v>
      </c>
      <c r="I15" s="35">
        <v>2</v>
      </c>
      <c r="J15" s="35">
        <v>5</v>
      </c>
      <c r="K15" s="35">
        <v>1</v>
      </c>
      <c r="L15" s="35"/>
      <c r="M15" s="36">
        <v>1</v>
      </c>
      <c r="N15" s="35" t="s">
        <v>137</v>
      </c>
      <c r="O15" s="184" t="s">
        <v>138</v>
      </c>
      <c r="P15" s="184"/>
      <c r="Q15" s="37" t="e">
        <f>'NP VECTORES'!M16</f>
        <v>#REF!</v>
      </c>
    </row>
    <row r="16" spans="1:17" x14ac:dyDescent="0.25">
      <c r="A16" s="38"/>
      <c r="B16" s="39"/>
      <c r="C16" s="39"/>
      <c r="D16" s="39"/>
      <c r="E16" s="39"/>
      <c r="F16" s="39"/>
      <c r="G16" s="39"/>
      <c r="H16" s="39"/>
      <c r="I16" s="39"/>
      <c r="J16" s="39"/>
      <c r="K16" s="39"/>
      <c r="L16" s="39"/>
      <c r="M16" s="40"/>
      <c r="N16" s="55"/>
      <c r="O16" s="185"/>
      <c r="P16" s="185"/>
      <c r="Q16" s="42"/>
    </row>
    <row r="17" spans="1:17" x14ac:dyDescent="0.25">
      <c r="A17" s="38"/>
      <c r="B17" s="39"/>
      <c r="C17" s="39"/>
      <c r="D17" s="39"/>
      <c r="E17" s="39"/>
      <c r="F17" s="39"/>
      <c r="G17" s="39"/>
      <c r="H17" s="39"/>
      <c r="I17" s="39"/>
      <c r="J17" s="39"/>
      <c r="K17" s="39"/>
      <c r="L17" s="39"/>
      <c r="M17" s="40"/>
      <c r="N17" s="55"/>
      <c r="O17" s="186"/>
      <c r="P17" s="186"/>
      <c r="Q17" s="42"/>
    </row>
    <row r="18" spans="1:17" x14ac:dyDescent="0.25">
      <c r="A18" s="38"/>
      <c r="B18" s="39"/>
      <c r="C18" s="39"/>
      <c r="D18" s="39"/>
      <c r="E18" s="39"/>
      <c r="F18" s="39"/>
      <c r="G18" s="39"/>
      <c r="H18" s="39"/>
      <c r="I18" s="39"/>
      <c r="J18" s="39"/>
      <c r="K18" s="39"/>
      <c r="L18" s="39"/>
      <c r="M18" s="40"/>
      <c r="N18" s="55"/>
      <c r="O18" s="178"/>
      <c r="P18" s="178"/>
      <c r="Q18" s="42"/>
    </row>
    <row r="19" spans="1:17" x14ac:dyDescent="0.25">
      <c r="A19" s="38"/>
      <c r="B19" s="39"/>
      <c r="C19" s="39"/>
      <c r="D19" s="39"/>
      <c r="E19" s="39"/>
      <c r="F19" s="39"/>
      <c r="G19" s="39"/>
      <c r="H19" s="39"/>
      <c r="I19" s="39"/>
      <c r="J19" s="39"/>
      <c r="K19" s="39"/>
      <c r="L19" s="39"/>
      <c r="M19" s="40"/>
      <c r="N19" s="55"/>
      <c r="O19" s="178"/>
      <c r="P19" s="178"/>
      <c r="Q19" s="42"/>
    </row>
    <row r="20" spans="1:17" x14ac:dyDescent="0.25">
      <c r="A20" s="38"/>
      <c r="B20" s="39"/>
      <c r="C20" s="39"/>
      <c r="D20" s="39"/>
      <c r="E20" s="39"/>
      <c r="F20" s="39"/>
      <c r="G20" s="39"/>
      <c r="H20" s="39"/>
      <c r="I20" s="39"/>
      <c r="J20" s="39"/>
      <c r="K20" s="39"/>
      <c r="L20" s="39"/>
      <c r="M20" s="40"/>
      <c r="N20" s="55"/>
      <c r="O20" s="178"/>
      <c r="P20" s="178"/>
      <c r="Q20" s="42"/>
    </row>
    <row r="21" spans="1:17" x14ac:dyDescent="0.25">
      <c r="A21" s="38"/>
      <c r="B21" s="39"/>
      <c r="C21" s="39"/>
      <c r="D21" s="39"/>
      <c r="E21" s="39"/>
      <c r="F21" s="39"/>
      <c r="G21" s="39"/>
      <c r="H21" s="39"/>
      <c r="I21" s="39"/>
      <c r="J21" s="39"/>
      <c r="K21" s="39"/>
      <c r="L21" s="39"/>
      <c r="M21" s="40"/>
      <c r="N21" s="55"/>
      <c r="O21" s="178"/>
      <c r="P21" s="178"/>
      <c r="Q21" s="42"/>
    </row>
    <row r="22" spans="1:17" x14ac:dyDescent="0.25">
      <c r="A22" s="38"/>
      <c r="B22" s="39"/>
      <c r="C22" s="39"/>
      <c r="D22" s="39"/>
      <c r="E22" s="39"/>
      <c r="F22" s="39"/>
      <c r="G22" s="39"/>
      <c r="H22" s="39"/>
      <c r="I22" s="39"/>
      <c r="J22" s="39"/>
      <c r="K22" s="39"/>
      <c r="L22" s="39"/>
      <c r="M22" s="40"/>
      <c r="N22" s="55"/>
      <c r="O22" s="178"/>
      <c r="P22" s="178"/>
      <c r="Q22" s="42"/>
    </row>
    <row r="23" spans="1:17" x14ac:dyDescent="0.25">
      <c r="A23" s="38"/>
      <c r="B23" s="39"/>
      <c r="C23" s="39"/>
      <c r="D23" s="39"/>
      <c r="E23" s="39"/>
      <c r="F23" s="39"/>
      <c r="G23" s="39"/>
      <c r="H23" s="39"/>
      <c r="I23" s="39"/>
      <c r="J23" s="39"/>
      <c r="K23" s="39"/>
      <c r="L23" s="39"/>
      <c r="M23" s="40"/>
      <c r="N23" s="55"/>
      <c r="O23" s="178"/>
      <c r="P23" s="178"/>
      <c r="Q23" s="42"/>
    </row>
    <row r="24" spans="1:17" x14ac:dyDescent="0.25">
      <c r="A24" s="38"/>
      <c r="B24" s="39"/>
      <c r="C24" s="39"/>
      <c r="D24" s="39"/>
      <c r="E24" s="39"/>
      <c r="F24" s="39"/>
      <c r="G24" s="39"/>
      <c r="H24" s="39"/>
      <c r="I24" s="39"/>
      <c r="J24" s="39"/>
      <c r="K24" s="39"/>
      <c r="L24" s="39"/>
      <c r="M24" s="40"/>
      <c r="N24" s="55"/>
      <c r="O24" s="178"/>
      <c r="P24" s="178"/>
      <c r="Q24" s="42"/>
    </row>
    <row r="25" spans="1:17" x14ac:dyDescent="0.25">
      <c r="A25" s="38"/>
      <c r="B25" s="39"/>
      <c r="C25" s="39"/>
      <c r="D25" s="39"/>
      <c r="E25" s="39"/>
      <c r="F25" s="39"/>
      <c r="G25" s="39"/>
      <c r="H25" s="39"/>
      <c r="I25" s="39"/>
      <c r="J25" s="39"/>
      <c r="K25" s="39"/>
      <c r="L25" s="39"/>
      <c r="M25" s="40"/>
      <c r="N25" s="55"/>
      <c r="O25" s="178"/>
      <c r="P25" s="178"/>
      <c r="Q25" s="42"/>
    </row>
    <row r="26" spans="1:17" x14ac:dyDescent="0.25">
      <c r="A26" s="38"/>
      <c r="B26" s="39"/>
      <c r="C26" s="39"/>
      <c r="D26" s="39"/>
      <c r="E26" s="39"/>
      <c r="F26" s="39"/>
      <c r="G26" s="39"/>
      <c r="H26" s="39"/>
      <c r="I26" s="39"/>
      <c r="J26" s="39"/>
      <c r="K26" s="39"/>
      <c r="L26" s="39"/>
      <c r="M26" s="40"/>
      <c r="N26" s="55"/>
      <c r="O26" s="178"/>
      <c r="P26" s="178"/>
      <c r="Q26" s="42"/>
    </row>
    <row r="27" spans="1:17" x14ac:dyDescent="0.25">
      <c r="A27" s="38"/>
      <c r="B27" s="39"/>
      <c r="C27" s="39"/>
      <c r="D27" s="39"/>
      <c r="E27" s="39"/>
      <c r="F27" s="39"/>
      <c r="G27" s="39"/>
      <c r="H27" s="39"/>
      <c r="I27" s="39"/>
      <c r="J27" s="39"/>
      <c r="K27" s="39"/>
      <c r="L27" s="39"/>
      <c r="M27" s="40"/>
      <c r="N27" s="55"/>
      <c r="O27" s="178"/>
      <c r="P27" s="178"/>
      <c r="Q27" s="42"/>
    </row>
    <row r="28" spans="1:17" x14ac:dyDescent="0.25">
      <c r="A28" s="38"/>
      <c r="B28" s="39"/>
      <c r="C28" s="39"/>
      <c r="D28" s="39"/>
      <c r="E28" s="39"/>
      <c r="F28" s="39"/>
      <c r="G28" s="39"/>
      <c r="H28" s="39"/>
      <c r="I28" s="39"/>
      <c r="J28" s="39"/>
      <c r="K28" s="39"/>
      <c r="L28" s="39"/>
      <c r="M28" s="40"/>
      <c r="N28" s="55"/>
      <c r="O28" s="178"/>
      <c r="P28" s="178"/>
      <c r="Q28" s="42"/>
    </row>
    <row r="29" spans="1:17" x14ac:dyDescent="0.25">
      <c r="A29" s="38"/>
      <c r="B29" s="39"/>
      <c r="C29" s="39"/>
      <c r="D29" s="39"/>
      <c r="E29" s="39"/>
      <c r="F29" s="39"/>
      <c r="G29" s="39"/>
      <c r="H29" s="39"/>
      <c r="I29" s="39"/>
      <c r="J29" s="39"/>
      <c r="K29" s="39"/>
      <c r="L29" s="39"/>
      <c r="M29" s="40"/>
      <c r="N29" s="55"/>
      <c r="O29" s="178"/>
      <c r="P29" s="178"/>
      <c r="Q29" s="42"/>
    </row>
    <row r="30" spans="1:17" x14ac:dyDescent="0.25">
      <c r="A30" s="38"/>
      <c r="B30" s="39"/>
      <c r="C30" s="39"/>
      <c r="D30" s="39"/>
      <c r="E30" s="39"/>
      <c r="F30" s="39"/>
      <c r="G30" s="39"/>
      <c r="H30" s="39"/>
      <c r="I30" s="39"/>
      <c r="J30" s="39"/>
      <c r="K30" s="39"/>
      <c r="L30" s="39"/>
      <c r="M30" s="40"/>
      <c r="N30" s="55"/>
      <c r="O30" s="178"/>
      <c r="P30" s="178"/>
      <c r="Q30" s="42"/>
    </row>
    <row r="31" spans="1:17" x14ac:dyDescent="0.25">
      <c r="A31" s="38"/>
      <c r="B31" s="39"/>
      <c r="C31" s="39"/>
      <c r="D31" s="39"/>
      <c r="E31" s="39"/>
      <c r="F31" s="39"/>
      <c r="G31" s="39"/>
      <c r="H31" s="39"/>
      <c r="I31" s="39"/>
      <c r="J31" s="39"/>
      <c r="K31" s="39"/>
      <c r="L31" s="39"/>
      <c r="M31" s="40"/>
      <c r="N31" s="55"/>
      <c r="O31" s="178"/>
      <c r="P31" s="178"/>
      <c r="Q31" s="42"/>
    </row>
    <row r="32" spans="1:17" x14ac:dyDescent="0.25">
      <c r="A32" s="38"/>
      <c r="B32" s="39"/>
      <c r="C32" s="39"/>
      <c r="D32" s="39"/>
      <c r="E32" s="39"/>
      <c r="F32" s="55"/>
      <c r="G32" s="39"/>
      <c r="H32" s="39"/>
      <c r="I32" s="39"/>
      <c r="J32" s="39"/>
      <c r="K32" s="39"/>
      <c r="L32" s="39"/>
      <c r="M32" s="40"/>
      <c r="N32" s="55"/>
      <c r="O32" s="185"/>
      <c r="P32" s="185"/>
      <c r="Q32" s="42"/>
    </row>
    <row r="33" spans="1:17" x14ac:dyDescent="0.25">
      <c r="A33" s="38"/>
      <c r="B33" s="39"/>
      <c r="C33" s="39"/>
      <c r="D33" s="39"/>
      <c r="E33" s="39"/>
      <c r="F33" s="39"/>
      <c r="G33" s="39"/>
      <c r="H33" s="39"/>
      <c r="I33" s="39"/>
      <c r="J33" s="39"/>
      <c r="K33" s="39"/>
      <c r="L33" s="39"/>
      <c r="M33" s="40"/>
      <c r="N33" s="55"/>
      <c r="O33" s="185"/>
      <c r="P33" s="185"/>
      <c r="Q33" s="42"/>
    </row>
    <row r="34" spans="1:17" x14ac:dyDescent="0.25">
      <c r="A34" s="38"/>
      <c r="B34" s="39"/>
      <c r="C34" s="39"/>
      <c r="D34" s="39"/>
      <c r="E34" s="39"/>
      <c r="F34" s="55"/>
      <c r="G34" s="39"/>
      <c r="H34" s="39"/>
      <c r="I34" s="39"/>
      <c r="J34" s="39"/>
      <c r="K34" s="39"/>
      <c r="L34" s="39"/>
      <c r="M34" s="40"/>
      <c r="N34" s="55"/>
      <c r="O34" s="185"/>
      <c r="P34" s="185"/>
      <c r="Q34" s="42"/>
    </row>
    <row r="35" spans="1:17" x14ac:dyDescent="0.25">
      <c r="A35" s="38"/>
      <c r="B35" s="39"/>
      <c r="C35" s="39"/>
      <c r="D35" s="39"/>
      <c r="E35" s="39"/>
      <c r="F35" s="55"/>
      <c r="G35" s="39"/>
      <c r="H35" s="39"/>
      <c r="I35" s="39"/>
      <c r="J35" s="39"/>
      <c r="K35" s="39"/>
      <c r="L35" s="39"/>
      <c r="M35" s="40"/>
      <c r="N35" s="55"/>
      <c r="O35" s="185"/>
      <c r="P35" s="185"/>
      <c r="Q35" s="42"/>
    </row>
    <row r="36" spans="1:17" x14ac:dyDescent="0.25">
      <c r="A36" s="43"/>
      <c r="B36" s="44"/>
      <c r="C36" s="44"/>
      <c r="D36" s="44"/>
      <c r="E36" s="44"/>
      <c r="F36" s="45"/>
      <c r="G36" s="44"/>
      <c r="H36" s="44"/>
      <c r="I36" s="44"/>
      <c r="J36" s="44"/>
      <c r="K36" s="44"/>
      <c r="L36" s="44"/>
      <c r="M36" s="46"/>
      <c r="N36" s="47"/>
      <c r="O36" s="190"/>
      <c r="P36" s="190"/>
      <c r="Q36" s="42"/>
    </row>
    <row r="37" spans="1:17" ht="15.75" thickBot="1" x14ac:dyDescent="0.3">
      <c r="A37" s="48"/>
      <c r="B37" s="49"/>
      <c r="C37" s="49"/>
      <c r="D37" s="49"/>
      <c r="E37" s="49"/>
      <c r="F37" s="49"/>
      <c r="G37" s="49"/>
      <c r="H37" s="49"/>
      <c r="I37" s="49"/>
      <c r="J37" s="49"/>
      <c r="K37" s="49"/>
      <c r="L37" s="49"/>
      <c r="M37" s="50"/>
      <c r="N37" s="49"/>
      <c r="O37" s="191"/>
      <c r="P37" s="191"/>
      <c r="Q37" s="51"/>
    </row>
    <row r="38" spans="1:17" ht="29.45" customHeight="1" thickBot="1" x14ac:dyDescent="0.3">
      <c r="A38" s="192" t="s">
        <v>229</v>
      </c>
      <c r="B38" s="192"/>
      <c r="C38" s="192"/>
      <c r="D38" s="192"/>
      <c r="E38" s="192"/>
      <c r="F38" s="192"/>
      <c r="G38" s="192"/>
      <c r="H38" s="192"/>
      <c r="I38" s="192"/>
      <c r="J38" s="192"/>
      <c r="K38" s="192"/>
      <c r="L38" s="192"/>
      <c r="M38" s="192"/>
      <c r="N38" s="192"/>
      <c r="O38" s="192"/>
      <c r="P38" s="192"/>
      <c r="Q38" s="52" t="e">
        <f>SUM(Q15:Q37)</f>
        <v>#REF!</v>
      </c>
    </row>
    <row r="39" spans="1:17" ht="15.75" thickBot="1" x14ac:dyDescent="0.3">
      <c r="A39" s="193"/>
      <c r="B39" s="193"/>
      <c r="C39" s="193"/>
      <c r="D39" s="193"/>
      <c r="E39" s="193"/>
      <c r="F39" s="193"/>
      <c r="G39" s="193"/>
      <c r="H39" s="193"/>
      <c r="I39" s="193"/>
      <c r="J39" s="193"/>
      <c r="K39" s="193"/>
      <c r="L39" s="193"/>
      <c r="M39" s="193"/>
      <c r="N39" s="193"/>
      <c r="O39" s="193"/>
      <c r="P39" s="193"/>
      <c r="Q39" s="193"/>
    </row>
    <row r="40" spans="1:17" ht="15.75" thickBot="1" x14ac:dyDescent="0.3">
      <c r="A40" s="187" t="s">
        <v>124</v>
      </c>
      <c r="B40" s="187"/>
      <c r="C40" s="187"/>
      <c r="D40" s="187"/>
      <c r="E40" s="187"/>
      <c r="F40" s="187"/>
      <c r="G40" s="188"/>
      <c r="H40" s="188"/>
      <c r="I40" s="188"/>
      <c r="J40" s="188"/>
      <c r="K40" s="188"/>
      <c r="L40" s="188"/>
      <c r="M40" s="188"/>
      <c r="N40" s="188"/>
      <c r="O40" s="188"/>
      <c r="P40" s="188"/>
      <c r="Q40" s="188"/>
    </row>
    <row r="41" spans="1:17" ht="15.75" thickBot="1" x14ac:dyDescent="0.3">
      <c r="A41" s="189" t="str">
        <f>'NP VECTORES'!D8</f>
        <v>ADQUISICION DEL RUBRO REACTIVOS PARA LABORATORIO</v>
      </c>
      <c r="B41" s="189"/>
      <c r="C41" s="189"/>
      <c r="D41" s="189"/>
      <c r="E41" s="189"/>
      <c r="F41" s="189"/>
      <c r="G41" s="189"/>
      <c r="H41" s="189"/>
      <c r="I41" s="189"/>
      <c r="J41" s="189"/>
      <c r="K41" s="189"/>
      <c r="L41" s="189"/>
      <c r="M41" s="189"/>
      <c r="N41" s="189"/>
      <c r="O41" s="189"/>
      <c r="P41" s="189"/>
      <c r="Q41" s="189"/>
    </row>
    <row r="42" spans="1:17" ht="15.75" thickBot="1" x14ac:dyDescent="0.3">
      <c r="A42" s="189"/>
      <c r="B42" s="189"/>
      <c r="C42" s="189"/>
      <c r="D42" s="189"/>
      <c r="E42" s="189"/>
      <c r="F42" s="189"/>
      <c r="G42" s="189"/>
      <c r="H42" s="189"/>
      <c r="I42" s="189"/>
      <c r="J42" s="189"/>
      <c r="K42" s="189"/>
      <c r="L42" s="189"/>
      <c r="M42" s="189"/>
      <c r="N42" s="189"/>
      <c r="O42" s="189"/>
      <c r="P42" s="189"/>
      <c r="Q42" s="189"/>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SAF 011</vt:lpstr>
      <vt:lpstr>NP LABORATORIO</vt:lpstr>
      <vt:lpstr>APG LABORATORIO</vt:lpstr>
      <vt:lpstr>NP BANCO DE SANGRE</vt:lpstr>
      <vt:lpstr>APG BANCO DE SANGRE</vt:lpstr>
      <vt:lpstr>NP CUR</vt:lpstr>
      <vt:lpstr>APG CUR</vt:lpstr>
      <vt:lpstr>NP VECTORES</vt:lpstr>
      <vt:lpstr>APG VECTORES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dcterms:created xsi:type="dcterms:W3CDTF">2021-12-21T17:55:07Z</dcterms:created>
  <dcterms:modified xsi:type="dcterms:W3CDTF">2022-02-08T12:33:45Z</dcterms:modified>
</cp:coreProperties>
</file>