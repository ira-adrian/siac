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\Desktop\"/>
    </mc:Choice>
  </mc:AlternateContent>
  <bookViews>
    <workbookView xWindow="0" yWindow="0" windowWidth="20490" windowHeight="765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Trimestrales'!$A$9:$I$34</definedName>
    <definedName name="_xlnm.Print_Area" localSheetId="1">' NotaPedido'!$A$1:$K$37</definedName>
    <definedName name="_xlnm.Print_Area" localSheetId="2">'Autor Gastar'!$A$1:$Q$25</definedName>
  </definedNames>
  <calcPr calcId="162913"/>
</workbook>
</file>

<file path=xl/calcChain.xml><?xml version="1.0" encoding="utf-8"?>
<calcChain xmlns="http://schemas.openxmlformats.org/spreadsheetml/2006/main">
  <c r="K33" i="2" l="1"/>
  <c r="J33" i="2"/>
  <c r="I33" i="2"/>
  <c r="C33" i="2"/>
  <c r="B33" i="2"/>
  <c r="A33" i="2"/>
  <c r="I31" i="1"/>
  <c r="A12" i="2" l="1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4" i="2"/>
  <c r="A35" i="2"/>
  <c r="A36" i="2"/>
  <c r="C27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4" i="2"/>
  <c r="B35" i="2"/>
  <c r="B36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4" i="2"/>
  <c r="J35" i="2"/>
  <c r="J36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8" i="2"/>
  <c r="C29" i="2"/>
  <c r="C30" i="2"/>
  <c r="C31" i="2"/>
  <c r="C32" i="2"/>
  <c r="C34" i="2"/>
  <c r="C35" i="2"/>
  <c r="C36" i="2"/>
  <c r="Q21" i="3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4" i="2"/>
  <c r="K35" i="2"/>
  <c r="K36" i="2"/>
  <c r="J37" i="2" l="1"/>
  <c r="I12" i="2" l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2" i="2"/>
  <c r="I34" i="2"/>
  <c r="I35" i="2"/>
  <c r="I36" i="2"/>
  <c r="I22" i="1" l="1"/>
  <c r="I23" i="1"/>
  <c r="I24" i="1"/>
  <c r="I25" i="1"/>
  <c r="I26" i="1"/>
  <c r="I27" i="1"/>
  <c r="I28" i="1"/>
  <c r="I29" i="1"/>
  <c r="I30" i="1"/>
  <c r="I32" i="1"/>
  <c r="I33" i="1"/>
  <c r="I34" i="1"/>
  <c r="I21" i="1"/>
  <c r="I20" i="1"/>
  <c r="I19" i="1"/>
  <c r="I18" i="1"/>
  <c r="I17" i="1"/>
  <c r="I16" i="1"/>
  <c r="I15" i="1"/>
  <c r="I14" i="1"/>
  <c r="I13" i="1"/>
  <c r="I12" i="1"/>
  <c r="I11" i="1"/>
  <c r="I10" i="1"/>
  <c r="G6" i="3" l="1"/>
  <c r="G7" i="3"/>
  <c r="G4" i="3"/>
  <c r="G5" i="3"/>
</calcChain>
</file>

<file path=xl/sharedStrings.xml><?xml version="1.0" encoding="utf-8"?>
<sst xmlns="http://schemas.openxmlformats.org/spreadsheetml/2006/main" count="208" uniqueCount="105">
  <si>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</si>
  <si>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</si>
  <si>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</si>
  <si>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</si>
  <si>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</si>
  <si>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</si>
  <si>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</si>
  <si>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</si>
  <si>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</si>
  <si>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</si>
  <si>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</si>
  <si>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</si>
  <si>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</si>
  <si>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</si>
  <si>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</si>
  <si>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</si>
  <si>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</si>
  <si>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</si>
  <si>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</si>
  <si>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</si>
  <si>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</si>
  <si>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</si>
  <si>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</si>
  <si>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</si>
  <si>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</si>
  <si>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</si>
  <si>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</si>
  <si>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</si>
  <si>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</si>
  <si>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</si>
  <si>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</si>
  <si>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</si>
  <si>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</si>
  <si>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</si>
  <si>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</si>
  <si>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</si>
  <si>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</si>
  <si>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</si>
  <si>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</si>
  <si>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</si>
  <si>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</si>
  <si>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</si>
  <si>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</si>
  <si>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</si>
  <si>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</si>
  <si>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</si>
  <si>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</si>
  <si>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</si>
  <si>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</si>
  <si>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</si>
  <si>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</si>
  <si>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</si>
  <si>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</si>
  <si>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</si>
  <si>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</si>
  <si>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PROD. MEDICO/FARMACEUTICOS/LAB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</si>
  <si>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</si>
  <si>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</si>
  <si>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</si>
  <si>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</si>
  <si>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</si>
  <si>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</si>
  <si>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</si>
  <si>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</si>
  <si>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</si>
  <si>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</si>
  <si>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 TRIMESTRE- AÑO 2021</t>
  </si>
  <si>
    <t>2° trimestre</t>
  </si>
  <si>
    <t>10 dias corridos desde la firma del instrumento contractual</t>
  </si>
  <si>
    <t>30 dias corridos</t>
  </si>
  <si>
    <t>CEFALOTINA 1 GR. AMP.</t>
  </si>
  <si>
    <t>GENTAMICINA 80 MG AMPOLLA</t>
  </si>
  <si>
    <t>AMIKACINA 500 MG AMPOLLA</t>
  </si>
  <si>
    <t>AMOXICILINA 500 MG COMPRIMIDO</t>
  </si>
  <si>
    <t>METRONIDAZOL 500 MG COMP</t>
  </si>
  <si>
    <t xml:space="preserve">AZITROMICINA 500 MG COMPRIMIDOS </t>
  </si>
  <si>
    <t>AMPICILINA 1G FCO AMPOLLA</t>
  </si>
  <si>
    <t>METRONIDAZOL 500 MG SACHET</t>
  </si>
  <si>
    <t>CLARITROMICINA 250 MG SUSPENSIÓN X 90 ML</t>
  </si>
  <si>
    <t>CEFALEXINA 500 MG COMPRIMIDOS</t>
  </si>
  <si>
    <t>IMIPENEM+CILASTATINA 500MG</t>
  </si>
  <si>
    <t>INMUNOGLOBULINA HUMANA INESPECIFICA 2,5 GRS</t>
  </si>
  <si>
    <t>INMUNOGLOBULINA HUMANA INESPECIFICA 5 GRS</t>
  </si>
  <si>
    <t xml:space="preserve">GAMMAGLOBULINA + TOXOIDE 500 MG </t>
  </si>
  <si>
    <t>AMPICILINA + SULBACTAM 1,5 MG FCO AMPOLLA</t>
  </si>
  <si>
    <t>CLINDAMICINA 600 MG AMPOLLA</t>
  </si>
  <si>
    <t>MEROPENEM 500MG</t>
  </si>
  <si>
    <t>PENICILINA BENZATINICA 2.400.000 FCO AMPOLLA</t>
  </si>
  <si>
    <t>PENICILINA G SODICA 3.000.000 UI FCO AMPOLLA</t>
  </si>
  <si>
    <t>CIPROFLOXACINA 500 MG COMP</t>
  </si>
  <si>
    <t>CEFTAZIDIMA 1G FCO AMPOLLA</t>
  </si>
  <si>
    <t>PIPERACILINA 4 GRS + TAZOBACTAM 500 MG FCO AMPOLLA * USO RESTRINGIDO</t>
  </si>
  <si>
    <t>No deben tener vencimiento menor a un (1) año</t>
  </si>
  <si>
    <t xml:space="preserve"> CEFAZOLINA, 1 GR FCO AMPOLLA</t>
  </si>
  <si>
    <t xml:space="preserve"> CEFUROXIMA 750 Mg FCO AMPOLLA</t>
  </si>
  <si>
    <t>2.5.2</t>
  </si>
  <si>
    <t>N° 44/2021</t>
  </si>
  <si>
    <t xml:space="preserve">Servicio de Farmcia </t>
  </si>
  <si>
    <t xml:space="preserve"> Adquisición de Productos Medicos para terapias anti-infecciosas, sistemicas, sueros inmunes e inmunoglobulinas</t>
  </si>
  <si>
    <t>"Autorizo la realización de los  trámites correspondientes, a fin de proveer a  este Organismo los bienes y/o servicios que se detallan en Nota  de Pedido N° 44/2021 ,  afectando la erogación resultante a los créditos presupuestarios aprobados a favor de esta Unidad Ejecutora, conforme al siguiente detalle:"</t>
  </si>
  <si>
    <t>Para la adquisición de Adquisición de Productos Medicos para terapias anti-infecciosas, sistemicas, sueros inmunes e inmunoglobulinas, para ser destinados Servicio de Farmacia, de  la Maternidad Provincial 25 de Mayo.-</t>
  </si>
  <si>
    <t>CIPROFLOXACINA 200 MG AMPOLLA</t>
  </si>
  <si>
    <t>Costo total estimado: CUATRO MILLONES TRESCIENTOS TREINTA Y SIETE MIL OCHOCIENTOS NOVENTA Y SEIS CON 00/100</t>
  </si>
  <si>
    <t>Especificidades Item N° : 1 A 25</t>
  </si>
  <si>
    <t>TOTAL DE PESOS: CUATRO MILLONES TRESCIENTOS TREINTA Y SIETE MIL OCHOCIENTOS NOVENTA Y SEIS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</si>
</sst>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</borders>
  <cellStyleXfs count="9">
    <xf numFmtId="0" fontId="0" fillId="0" borderId="0"/>
    <xf numFmtId="0" fontId="8" fillId="0" borderId="1" applyProtection="0"/>
    <xf numFmtId="164" fontId="9" fillId="0" borderId="0" applyBorder="0" applyProtection="0"/>
    <xf numFmtId="0" fontId="10" fillId="2" borderId="0" applyBorder="0" applyProtection="0"/>
    <xf numFmtId="165" fontId="17" fillId="0" borderId="0" applyBorder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7" fillId="6" borderId="0" applyNumberFormat="0" applyBorder="0" applyAlignment="0" applyProtection="0"/>
    <xf numFmtId="0" fontId="4" fillId="7" borderId="0" applyNumberFormat="0" applyBorder="0" applyAlignment="0" applyProtection="0"/>
  </cellStyleXfs>
  <cellXfs count="177">
    <xf numFmtId="0" fontId="0" fillId="0" borderId="0" xfId="0"/>
    <xf numFmtId="0" fontId="0" fillId="0" borderId="0" xfId="0" applyBorder="1"/>
    <xf numFmtId="0" fontId="9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9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165" fontId="16" fillId="0" borderId="25" xfId="0" applyNumberFormat="1" applyFont="1" applyBorder="1" applyAlignment="1">
      <alignment horizontal="center" vertical="center"/>
    </xf>
    <xf numFmtId="0" fontId="18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5" fontId="17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1" fillId="3" borderId="0" xfId="0" applyFont="1" applyFill="1"/>
    <xf numFmtId="0" fontId="21" fillId="3" borderId="0" xfId="0" applyFont="1" applyFill="1" applyAlignment="1">
      <alignment horizontal="left" wrapText="1"/>
    </xf>
    <xf numFmtId="0" fontId="6" fillId="3" borderId="3" xfId="7" applyFont="1" applyFill="1" applyBorder="1" applyAlignment="1">
      <alignment horizontal="center" vertical="center" wrapText="1"/>
    </xf>
    <xf numFmtId="0" fontId="6" fillId="3" borderId="3" xfId="7" applyFont="1" applyFill="1" applyBorder="1" applyAlignment="1">
      <alignment horizontal="center" vertical="center"/>
    </xf>
    <xf numFmtId="0" fontId="5" fillId="3" borderId="3" xfId="7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left" wrapText="1"/>
    </xf>
    <xf numFmtId="0" fontId="24" fillId="3" borderId="0" xfId="0" applyFont="1" applyFill="1" applyAlignment="1"/>
    <xf numFmtId="0" fontId="18" fillId="0" borderId="49" xfId="0" applyFont="1" applyBorder="1"/>
    <xf numFmtId="0" fontId="18" fillId="0" borderId="0" xfId="0" applyFont="1" applyAlignment="1">
      <alignment horizontal="center" wrapText="1"/>
    </xf>
    <xf numFmtId="0" fontId="18" fillId="0" borderId="53" xfId="0" applyFont="1" applyBorder="1"/>
    <xf numFmtId="0" fontId="18" fillId="0" borderId="0" xfId="0" applyFont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47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18" fillId="0" borderId="0" xfId="0" applyFont="1" applyAlignment="1"/>
    <xf numFmtId="0" fontId="18" fillId="0" borderId="0" xfId="0" applyFont="1" applyAlignment="1">
      <alignment wrapText="1"/>
    </xf>
    <xf numFmtId="0" fontId="31" fillId="3" borderId="5" xfId="0" applyFont="1" applyFill="1" applyBorder="1" applyAlignment="1">
      <alignment horizontal="right" vertical="center"/>
    </xf>
    <xf numFmtId="0" fontId="31" fillId="3" borderId="7" xfId="0" applyFont="1" applyFill="1" applyBorder="1" applyAlignment="1">
      <alignment vertical="center"/>
    </xf>
    <xf numFmtId="0" fontId="31" fillId="3" borderId="0" xfId="0" applyFont="1" applyFill="1" applyBorder="1" applyAlignment="1">
      <alignment vertical="center"/>
    </xf>
    <xf numFmtId="0" fontId="33" fillId="3" borderId="0" xfId="0" applyFont="1" applyFill="1" applyBorder="1" applyAlignment="1">
      <alignment horizontal="left" vertical="center"/>
    </xf>
    <xf numFmtId="0" fontId="32" fillId="3" borderId="0" xfId="0" applyFont="1" applyFill="1" applyBorder="1" applyAlignment="1">
      <alignment horizontal="left" vertical="center" wrapText="1" indent="1"/>
    </xf>
    <xf numFmtId="0" fontId="30" fillId="3" borderId="2" xfId="5" applyFont="1" applyFill="1" applyBorder="1" applyAlignment="1">
      <alignment horizontal="center" vertical="center"/>
    </xf>
    <xf numFmtId="0" fontId="30" fillId="3" borderId="3" xfId="5" applyFont="1" applyFill="1" applyBorder="1" applyAlignment="1">
      <alignment horizontal="center" vertical="center"/>
    </xf>
    <xf numFmtId="0" fontId="30" fillId="3" borderId="3" xfId="5" applyFont="1" applyFill="1" applyBorder="1" applyAlignment="1">
      <alignment horizontal="center" wrapText="1"/>
    </xf>
    <xf numFmtId="0" fontId="30" fillId="3" borderId="33" xfId="5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166" fontId="30" fillId="3" borderId="3" xfId="6" applyNumberFormat="1" applyFont="1" applyFill="1" applyBorder="1" applyAlignment="1" applyProtection="1">
      <alignment horizontal="center" vertical="center" wrapText="1"/>
    </xf>
    <xf numFmtId="1" fontId="31" fillId="3" borderId="0" xfId="0" applyNumberFormat="1" applyFont="1" applyFill="1" applyBorder="1" applyAlignment="1">
      <alignment vertical="center"/>
    </xf>
    <xf numFmtId="1" fontId="32" fillId="3" borderId="0" xfId="0" applyNumberFormat="1" applyFont="1" applyFill="1" applyBorder="1" applyAlignment="1">
      <alignment horizontal="left" vertical="center" wrapText="1" indent="1"/>
    </xf>
    <xf numFmtId="1" fontId="30" fillId="3" borderId="4" xfId="5" applyNumberFormat="1" applyFont="1" applyFill="1" applyBorder="1" applyAlignment="1">
      <alignment horizontal="center" vertical="center"/>
    </xf>
    <xf numFmtId="1" fontId="9" fillId="3" borderId="0" xfId="0" applyNumberFormat="1" applyFont="1" applyFill="1" applyBorder="1" applyAlignment="1">
      <alignment vertical="center"/>
    </xf>
    <xf numFmtId="0" fontId="26" fillId="3" borderId="56" xfId="0" applyFont="1" applyFill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center" vertical="center" wrapText="1"/>
    </xf>
    <xf numFmtId="0" fontId="32" fillId="3" borderId="59" xfId="0" applyFont="1" applyFill="1" applyBorder="1" applyAlignment="1">
      <alignment horizontal="right" vertical="center"/>
    </xf>
    <xf numFmtId="169" fontId="26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39" fillId="3" borderId="0" xfId="0" applyFont="1" applyFill="1"/>
    <xf numFmtId="169" fontId="6" fillId="3" borderId="38" xfId="7" applyNumberFormat="1" applyFont="1" applyFill="1" applyBorder="1" applyAlignment="1">
      <alignment horizontal="center" vertical="center" wrapText="1"/>
    </xf>
    <xf numFmtId="170" fontId="28" fillId="0" borderId="60" xfId="0" applyNumberFormat="1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6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1" fontId="30" fillId="3" borderId="44" xfId="5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7" fillId="3" borderId="55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169" fontId="24" fillId="3" borderId="0" xfId="0" applyNumberFormat="1" applyFont="1" applyFill="1" applyAlignment="1">
      <alignment horizontal="center"/>
    </xf>
    <xf numFmtId="169" fontId="21" fillId="3" borderId="0" xfId="0" applyNumberFormat="1" applyFont="1" applyFill="1" applyAlignment="1">
      <alignment horizontal="center"/>
    </xf>
    <xf numFmtId="169" fontId="18" fillId="0" borderId="0" xfId="0" applyNumberFormat="1" applyFont="1" applyAlignment="1">
      <alignment horizontal="center"/>
    </xf>
    <xf numFmtId="0" fontId="21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53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Border="1"/>
    <xf numFmtId="168" fontId="0" fillId="0" borderId="3" xfId="0" applyNumberFormat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2" fillId="3" borderId="33" xfId="6" applyFont="1" applyFill="1" applyBorder="1" applyAlignment="1">
      <alignment horizontal="center" vertical="center" wrapText="1"/>
    </xf>
    <xf numFmtId="0" fontId="24" fillId="0" borderId="0" xfId="0" applyFont="1" applyFill="1" applyAlignment="1"/>
    <xf numFmtId="0" fontId="22" fillId="0" borderId="0" xfId="0" applyFont="1" applyFill="1" applyAlignment="1">
      <alignment horizontal="left" wrapText="1" indent="1"/>
    </xf>
    <xf numFmtId="0" fontId="21" fillId="0" borderId="0" xfId="0" applyFont="1" applyFill="1" applyAlignment="1">
      <alignment horizontal="center" wrapText="1"/>
    </xf>
    <xf numFmtId="0" fontId="26" fillId="0" borderId="57" xfId="0" applyFont="1" applyFill="1" applyBorder="1" applyAlignment="1">
      <alignment horizontal="center" vertical="center" wrapText="1"/>
    </xf>
    <xf numFmtId="0" fontId="6" fillId="0" borderId="3" xfId="7" applyFont="1" applyFill="1" applyBorder="1" applyAlignment="1">
      <alignment horizontal="center" vertical="center" wrapText="1"/>
    </xf>
    <xf numFmtId="0" fontId="3" fillId="0" borderId="3" xfId="7" applyFont="1" applyFill="1" applyBorder="1" applyAlignment="1">
      <alignment horizontal="center" vertical="center" wrapText="1"/>
    </xf>
    <xf numFmtId="0" fontId="21" fillId="0" borderId="0" xfId="0" applyFont="1" applyFill="1"/>
    <xf numFmtId="0" fontId="18" fillId="0" borderId="0" xfId="0" applyFont="1" applyFill="1"/>
    <xf numFmtId="0" fontId="0" fillId="0" borderId="0" xfId="0" applyFill="1"/>
    <xf numFmtId="0" fontId="18" fillId="0" borderId="50" xfId="0" applyFont="1" applyFill="1" applyBorder="1" applyAlignment="1">
      <alignment vertical="center"/>
    </xf>
    <xf numFmtId="0" fontId="18" fillId="0" borderId="51" xfId="0" applyFont="1" applyFill="1" applyBorder="1" applyAlignment="1">
      <alignment vertical="center"/>
    </xf>
    <xf numFmtId="0" fontId="18" fillId="0" borderId="51" xfId="0" applyFont="1" applyFill="1" applyBorder="1" applyAlignment="1"/>
    <xf numFmtId="0" fontId="18" fillId="0" borderId="51" xfId="0" applyFont="1" applyFill="1" applyBorder="1" applyAlignment="1">
      <alignment wrapText="1"/>
    </xf>
    <xf numFmtId="0" fontId="18" fillId="0" borderId="51" xfId="0" applyFont="1" applyFill="1" applyBorder="1" applyAlignment="1">
      <alignment horizontal="center" vertical="center" wrapText="1"/>
    </xf>
    <xf numFmtId="0" fontId="18" fillId="0" borderId="54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1" fillId="0" borderId="0" xfId="0" applyFont="1" applyFill="1" applyAlignment="1">
      <alignment horizontal="center"/>
    </xf>
    <xf numFmtId="0" fontId="1" fillId="3" borderId="3" xfId="7" applyFont="1" applyFill="1" applyBorder="1" applyAlignment="1">
      <alignment horizontal="center" vertical="center" wrapText="1"/>
    </xf>
    <xf numFmtId="0" fontId="1" fillId="3" borderId="33" xfId="6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0" fontId="18" fillId="0" borderId="51" xfId="0" applyFont="1" applyBorder="1" applyAlignment="1">
      <alignment horizontal="center" vertical="top" wrapText="1"/>
    </xf>
    <xf numFmtId="0" fontId="40" fillId="3" borderId="0" xfId="8" applyFont="1" applyFill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5" fillId="3" borderId="0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left" wrapText="1" indent="1"/>
    </xf>
    <xf numFmtId="0" fontId="31" fillId="3" borderId="0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left" vertical="center" wrapText="1"/>
    </xf>
    <xf numFmtId="0" fontId="32" fillId="3" borderId="9" xfId="0" applyFont="1" applyFill="1" applyBorder="1" applyAlignment="1">
      <alignment horizontal="left" vertical="center" wrapText="1" indent="1"/>
    </xf>
    <xf numFmtId="0" fontId="33" fillId="3" borderId="10" xfId="0" applyFont="1" applyFill="1" applyBorder="1" applyAlignment="1">
      <alignment horizontal="left" vertical="center" wrapText="1"/>
    </xf>
    <xf numFmtId="0" fontId="30" fillId="3" borderId="3" xfId="5" applyFont="1" applyFill="1" applyBorder="1" applyAlignment="1">
      <alignment horizontal="center" vertical="center" wrapText="1"/>
    </xf>
    <xf numFmtId="0" fontId="33" fillId="3" borderId="11" xfId="0" applyFont="1" applyFill="1" applyBorder="1" applyAlignment="1">
      <alignment horizontal="left" vertical="center"/>
    </xf>
    <xf numFmtId="0" fontId="32" fillId="3" borderId="12" xfId="0" applyFont="1" applyFill="1" applyBorder="1" applyAlignment="1">
      <alignment horizontal="left" vertical="center" wrapText="1" indent="1"/>
    </xf>
    <xf numFmtId="0" fontId="34" fillId="3" borderId="11" xfId="0" applyFont="1" applyFill="1" applyBorder="1" applyAlignment="1">
      <alignment horizontal="center" vertical="center"/>
    </xf>
    <xf numFmtId="0" fontId="34" fillId="3" borderId="29" xfId="0" applyFont="1" applyFill="1" applyBorder="1" applyAlignment="1">
      <alignment horizontal="center" vertical="center"/>
    </xf>
    <xf numFmtId="0" fontId="34" fillId="3" borderId="13" xfId="0" applyFont="1" applyFill="1" applyBorder="1" applyAlignment="1">
      <alignment horizontal="center" vertical="center" wrapText="1"/>
    </xf>
    <xf numFmtId="0" fontId="34" fillId="3" borderId="30" xfId="0" applyFont="1" applyFill="1" applyBorder="1" applyAlignment="1">
      <alignment horizontal="center" vertical="center" wrapText="1"/>
    </xf>
    <xf numFmtId="1" fontId="34" fillId="3" borderId="12" xfId="0" applyNumberFormat="1" applyFont="1" applyFill="1" applyBorder="1" applyAlignment="1">
      <alignment horizontal="center" vertical="center" wrapText="1"/>
    </xf>
    <xf numFmtId="1" fontId="34" fillId="3" borderId="31" xfId="0" applyNumberFormat="1" applyFont="1" applyFill="1" applyBorder="1" applyAlignment="1">
      <alignment horizontal="center" vertical="center" wrapText="1"/>
    </xf>
    <xf numFmtId="165" fontId="9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32" fillId="3" borderId="32" xfId="0" applyFont="1" applyFill="1" applyBorder="1" applyAlignment="1">
      <alignment horizontal="left" vertical="center" wrapText="1" indent="1"/>
    </xf>
    <xf numFmtId="0" fontId="32" fillId="3" borderId="52" xfId="0" applyFont="1" applyFill="1" applyBorder="1" applyAlignment="1">
      <alignment horizontal="left" vertical="center" wrapText="1" indent="1"/>
    </xf>
    <xf numFmtId="166" fontId="35" fillId="3" borderId="45" xfId="0" applyNumberFormat="1" applyFont="1" applyFill="1" applyBorder="1" applyAlignment="1">
      <alignment horizontal="center" vertical="center"/>
    </xf>
    <xf numFmtId="0" fontId="14" fillId="0" borderId="17" xfId="0" applyFont="1" applyBorder="1" applyAlignment="1"/>
    <xf numFmtId="0" fontId="14" fillId="0" borderId="18" xfId="0" applyFont="1" applyBorder="1" applyAlignment="1">
      <alignment horizontal="left" vertical="center" wrapText="1" indent="1"/>
    </xf>
    <xf numFmtId="0" fontId="16" fillId="0" borderId="16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indent="1"/>
    </xf>
    <xf numFmtId="0" fontId="15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2" fillId="0" borderId="15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9" fillId="0" borderId="6" xfId="0" applyFont="1" applyBorder="1" applyAlignment="1"/>
    <xf numFmtId="0" fontId="16" fillId="0" borderId="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left" vertical="center" wrapText="1" indent="1"/>
    </xf>
    <xf numFmtId="0" fontId="42" fillId="0" borderId="25" xfId="0" applyFont="1" applyBorder="1" applyAlignment="1">
      <alignment horizontal="left" vertical="center" wrapText="1"/>
    </xf>
    <xf numFmtId="0" fontId="17" fillId="0" borderId="16" xfId="0" applyFont="1" applyBorder="1" applyAlignment="1"/>
    <xf numFmtId="0" fontId="0" fillId="0" borderId="16" xfId="0" applyBorder="1" applyAlignment="1"/>
    <xf numFmtId="0" fontId="17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7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2" fillId="0" borderId="14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7" fillId="0" borderId="61" xfId="0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</cellXfs>
  <cellStyles count="9">
    <cellStyle name="20% - Énfasis2" xfId="7" builtinId="34"/>
    <cellStyle name="20% - Énfasis5" xfId="8" builtinId="46"/>
    <cellStyle name="Bueno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5"/>
  <sheetViews>
    <sheetView topLeftCell="A25" zoomScale="80" zoomScaleNormal="80" workbookViewId="0">
      <selection activeCell="C45" sqref="C45"/>
    </sheetView>
  </sheetViews>
  <sheetFormatPr baseColWidth="10" defaultColWidth="11" defaultRowHeight="12.75" x14ac:dyDescent="0.2"/>
  <cols>
    <col min="1" max="1" width="7" style="84" customWidth="1"/>
    <col min="2" max="2" width="16.85546875" style="33" customWidth="1"/>
    <col min="3" max="3" width="23.5703125" style="90" customWidth="1"/>
    <col min="4" max="4" width="12.140625" style="33" customWidth="1"/>
    <col min="5" max="5" width="79" style="115" customWidth="1"/>
    <col min="6" max="6" width="11" style="33"/>
    <col min="7" max="7" width="12.7109375" style="84" customWidth="1"/>
    <col min="8" max="8" width="13.85546875" style="75" customWidth="1"/>
    <col min="9" max="9" width="27" style="88" customWidth="1"/>
    <col min="10" max="16384" width="11" style="18"/>
  </cols>
  <sheetData>
    <row r="2" spans="1:9" ht="27" x14ac:dyDescent="0.35">
      <c r="E2" s="99" t="s">
        <v>0</v>
      </c>
      <c r="F2" s="39"/>
      <c r="G2" s="80"/>
      <c r="I2" s="87"/>
    </row>
    <row r="4" spans="1:9" ht="18" customHeight="1" x14ac:dyDescent="0.25">
      <c r="A4" s="124" t="s">
        <v>1</v>
      </c>
      <c r="B4" s="124"/>
      <c r="C4" s="124"/>
      <c r="D4" s="124"/>
      <c r="E4" s="125" t="s">
        <v>61</v>
      </c>
      <c r="F4" s="125"/>
      <c r="G4" s="125"/>
    </row>
    <row r="5" spans="1:9" ht="18" customHeight="1" x14ac:dyDescent="0.25">
      <c r="A5" s="124" t="s">
        <v>2</v>
      </c>
      <c r="B5" s="124"/>
      <c r="C5" s="124"/>
      <c r="D5" s="124"/>
      <c r="E5" s="125" t="s">
        <v>56</v>
      </c>
      <c r="F5" s="125"/>
      <c r="G5" s="125"/>
    </row>
    <row r="6" spans="1:9" ht="16.5" customHeight="1" x14ac:dyDescent="0.25">
      <c r="A6" s="124" t="s">
        <v>3</v>
      </c>
      <c r="B6" s="124"/>
      <c r="C6" s="124"/>
      <c r="D6" s="124"/>
      <c r="E6" s="100">
        <v>2021</v>
      </c>
      <c r="F6" s="38"/>
      <c r="G6" s="81"/>
    </row>
    <row r="7" spans="1:9" ht="16.5" customHeight="1" x14ac:dyDescent="0.25">
      <c r="A7" s="124" t="s">
        <v>4</v>
      </c>
      <c r="B7" s="124"/>
      <c r="C7" s="124"/>
      <c r="D7" s="124"/>
      <c r="E7" s="100" t="s">
        <v>67</v>
      </c>
      <c r="F7" s="38"/>
      <c r="G7" s="81"/>
    </row>
    <row r="8" spans="1:9" ht="13.5" thickBot="1" x14ac:dyDescent="0.25">
      <c r="E8" s="101"/>
      <c r="F8" s="34"/>
      <c r="G8" s="82"/>
    </row>
    <row r="9" spans="1:9" ht="39" thickBot="1" x14ac:dyDescent="0.25">
      <c r="A9" s="70" t="s">
        <v>5</v>
      </c>
      <c r="B9" s="71" t="s">
        <v>6</v>
      </c>
      <c r="C9" s="71" t="s">
        <v>53</v>
      </c>
      <c r="D9" s="71" t="s">
        <v>54</v>
      </c>
      <c r="E9" s="102" t="s">
        <v>7</v>
      </c>
      <c r="F9" s="71" t="s">
        <v>8</v>
      </c>
      <c r="G9" s="72" t="s">
        <v>9</v>
      </c>
      <c r="H9" s="78" t="s">
        <v>10</v>
      </c>
      <c r="I9" s="74" t="s">
        <v>11</v>
      </c>
    </row>
    <row r="10" spans="1:9" s="27" customFormat="1" ht="42" customHeight="1" thickBot="1" x14ac:dyDescent="0.25">
      <c r="A10" s="85">
        <v>1</v>
      </c>
      <c r="B10" s="35"/>
      <c r="C10" s="37" t="s">
        <v>55</v>
      </c>
      <c r="D10" s="98" t="s">
        <v>95</v>
      </c>
      <c r="E10" s="103" t="s">
        <v>70</v>
      </c>
      <c r="F10" s="35" t="s">
        <v>12</v>
      </c>
      <c r="G10" s="83">
        <v>4000</v>
      </c>
      <c r="H10" s="96">
        <v>370</v>
      </c>
      <c r="I10" s="77">
        <f t="shared" ref="I10:I23" si="0">G10*H10</f>
        <v>1480000</v>
      </c>
    </row>
    <row r="11" spans="1:9" s="27" customFormat="1" ht="42" customHeight="1" thickBot="1" x14ac:dyDescent="0.25">
      <c r="A11" s="86">
        <v>2</v>
      </c>
      <c r="B11" s="35"/>
      <c r="C11" s="37" t="s">
        <v>55</v>
      </c>
      <c r="D11" s="98" t="s">
        <v>95</v>
      </c>
      <c r="E11" s="103" t="s">
        <v>71</v>
      </c>
      <c r="F11" s="35" t="s">
        <v>12</v>
      </c>
      <c r="G11" s="83">
        <v>600</v>
      </c>
      <c r="H11" s="97">
        <v>60</v>
      </c>
      <c r="I11" s="77">
        <f t="shared" si="0"/>
        <v>36000</v>
      </c>
    </row>
    <row r="12" spans="1:9" s="27" customFormat="1" ht="42" customHeight="1" thickBot="1" x14ac:dyDescent="0.25">
      <c r="A12" s="85">
        <v>3</v>
      </c>
      <c r="B12" s="35"/>
      <c r="C12" s="37" t="s">
        <v>55</v>
      </c>
      <c r="D12" s="98" t="s">
        <v>95</v>
      </c>
      <c r="E12" s="103" t="s">
        <v>72</v>
      </c>
      <c r="F12" s="35" t="s">
        <v>12</v>
      </c>
      <c r="G12" s="83">
        <v>200</v>
      </c>
      <c r="H12" s="96">
        <v>160</v>
      </c>
      <c r="I12" s="77">
        <f t="shared" si="0"/>
        <v>32000</v>
      </c>
    </row>
    <row r="13" spans="1:9" s="27" customFormat="1" ht="42" customHeight="1" thickBot="1" x14ac:dyDescent="0.25">
      <c r="A13" s="86">
        <v>4</v>
      </c>
      <c r="B13" s="35"/>
      <c r="C13" s="37" t="s">
        <v>55</v>
      </c>
      <c r="D13" s="98" t="s">
        <v>95</v>
      </c>
      <c r="E13" s="103" t="s">
        <v>73</v>
      </c>
      <c r="F13" s="35" t="s">
        <v>12</v>
      </c>
      <c r="G13" s="83">
        <v>300</v>
      </c>
      <c r="H13" s="96">
        <v>10</v>
      </c>
      <c r="I13" s="77">
        <f t="shared" si="0"/>
        <v>3000</v>
      </c>
    </row>
    <row r="14" spans="1:9" s="27" customFormat="1" ht="42" customHeight="1" thickBot="1" x14ac:dyDescent="0.25">
      <c r="A14" s="85">
        <v>5</v>
      </c>
      <c r="B14" s="35"/>
      <c r="C14" s="37" t="s">
        <v>55</v>
      </c>
      <c r="D14" s="98" t="s">
        <v>95</v>
      </c>
      <c r="E14" s="103" t="s">
        <v>74</v>
      </c>
      <c r="F14" s="35" t="s">
        <v>12</v>
      </c>
      <c r="G14" s="83">
        <v>300</v>
      </c>
      <c r="H14" s="96">
        <v>5</v>
      </c>
      <c r="I14" s="77">
        <f t="shared" si="0"/>
        <v>1500</v>
      </c>
    </row>
    <row r="15" spans="1:9" s="27" customFormat="1" ht="42" customHeight="1" thickBot="1" x14ac:dyDescent="0.25">
      <c r="A15" s="85">
        <v>6</v>
      </c>
      <c r="B15" s="35"/>
      <c r="C15" s="37" t="s">
        <v>55</v>
      </c>
      <c r="D15" s="98" t="s">
        <v>95</v>
      </c>
      <c r="E15" s="103" t="s">
        <v>75</v>
      </c>
      <c r="F15" s="35" t="s">
        <v>12</v>
      </c>
      <c r="G15" s="83">
        <v>300</v>
      </c>
      <c r="H15" s="96">
        <v>63</v>
      </c>
      <c r="I15" s="77">
        <f t="shared" si="0"/>
        <v>18900</v>
      </c>
    </row>
    <row r="16" spans="1:9" ht="42" customHeight="1" thickBot="1" x14ac:dyDescent="0.25">
      <c r="A16" s="85">
        <v>7</v>
      </c>
      <c r="B16" s="35"/>
      <c r="C16" s="37" t="s">
        <v>55</v>
      </c>
      <c r="D16" s="98" t="s">
        <v>95</v>
      </c>
      <c r="E16" s="103" t="s">
        <v>76</v>
      </c>
      <c r="F16" s="35" t="s">
        <v>12</v>
      </c>
      <c r="G16" s="83">
        <v>2000</v>
      </c>
      <c r="H16" s="96">
        <v>35</v>
      </c>
      <c r="I16" s="77">
        <f t="shared" si="0"/>
        <v>70000</v>
      </c>
    </row>
    <row r="17" spans="1:9" ht="42" customHeight="1" thickBot="1" x14ac:dyDescent="0.25">
      <c r="A17" s="86">
        <v>8</v>
      </c>
      <c r="B17" s="35"/>
      <c r="C17" s="37" t="s">
        <v>55</v>
      </c>
      <c r="D17" s="98" t="s">
        <v>95</v>
      </c>
      <c r="E17" s="103" t="s">
        <v>77</v>
      </c>
      <c r="F17" s="35" t="s">
        <v>12</v>
      </c>
      <c r="G17" s="83">
        <v>100</v>
      </c>
      <c r="H17" s="96">
        <v>180</v>
      </c>
      <c r="I17" s="77">
        <f t="shared" si="0"/>
        <v>18000</v>
      </c>
    </row>
    <row r="18" spans="1:9" ht="42" customHeight="1" thickBot="1" x14ac:dyDescent="0.25">
      <c r="A18" s="85">
        <v>9</v>
      </c>
      <c r="B18" s="35"/>
      <c r="C18" s="37" t="s">
        <v>55</v>
      </c>
      <c r="D18" s="98" t="s">
        <v>95</v>
      </c>
      <c r="E18" s="103" t="s">
        <v>78</v>
      </c>
      <c r="F18" s="35" t="s">
        <v>12</v>
      </c>
      <c r="G18" s="83">
        <v>10</v>
      </c>
      <c r="H18" s="96">
        <v>840</v>
      </c>
      <c r="I18" s="77">
        <f t="shared" si="0"/>
        <v>8400</v>
      </c>
    </row>
    <row r="19" spans="1:9" ht="42" customHeight="1" thickBot="1" x14ac:dyDescent="0.25">
      <c r="A19" s="86">
        <v>10</v>
      </c>
      <c r="B19" s="35"/>
      <c r="C19" s="37" t="s">
        <v>55</v>
      </c>
      <c r="D19" s="98" t="s">
        <v>95</v>
      </c>
      <c r="E19" s="103" t="s">
        <v>79</v>
      </c>
      <c r="F19" s="35" t="s">
        <v>12</v>
      </c>
      <c r="G19" s="83">
        <v>2500</v>
      </c>
      <c r="H19" s="96">
        <v>20</v>
      </c>
      <c r="I19" s="77">
        <f t="shared" si="0"/>
        <v>50000</v>
      </c>
    </row>
    <row r="20" spans="1:9" ht="42" customHeight="1" thickBot="1" x14ac:dyDescent="0.25">
      <c r="A20" s="85">
        <v>11</v>
      </c>
      <c r="B20" s="35"/>
      <c r="C20" s="37" t="s">
        <v>55</v>
      </c>
      <c r="D20" s="98" t="s">
        <v>95</v>
      </c>
      <c r="E20" s="103" t="s">
        <v>80</v>
      </c>
      <c r="F20" s="35" t="s">
        <v>12</v>
      </c>
      <c r="G20" s="83">
        <v>200</v>
      </c>
      <c r="H20" s="96">
        <v>1092</v>
      </c>
      <c r="I20" s="77">
        <f t="shared" si="0"/>
        <v>218400</v>
      </c>
    </row>
    <row r="21" spans="1:9" ht="42" customHeight="1" thickBot="1" x14ac:dyDescent="0.25">
      <c r="A21" s="85">
        <v>12</v>
      </c>
      <c r="B21" s="35"/>
      <c r="C21" s="37" t="s">
        <v>55</v>
      </c>
      <c r="D21" s="98" t="s">
        <v>95</v>
      </c>
      <c r="E21" s="104" t="s">
        <v>93</v>
      </c>
      <c r="F21" s="35" t="s">
        <v>12</v>
      </c>
      <c r="G21" s="83">
        <v>300</v>
      </c>
      <c r="H21" s="96">
        <v>250</v>
      </c>
      <c r="I21" s="77">
        <f t="shared" si="0"/>
        <v>75000</v>
      </c>
    </row>
    <row r="22" spans="1:9" ht="42" customHeight="1" thickBot="1" x14ac:dyDescent="0.25">
      <c r="A22" s="85">
        <v>13</v>
      </c>
      <c r="B22" s="35"/>
      <c r="C22" s="37" t="s">
        <v>55</v>
      </c>
      <c r="D22" s="98" t="s">
        <v>95</v>
      </c>
      <c r="E22" s="103" t="s">
        <v>81</v>
      </c>
      <c r="F22" s="35" t="s">
        <v>12</v>
      </c>
      <c r="G22" s="83">
        <v>3</v>
      </c>
      <c r="H22" s="96">
        <v>81150</v>
      </c>
      <c r="I22" s="77">
        <f t="shared" si="0"/>
        <v>243450</v>
      </c>
    </row>
    <row r="23" spans="1:9" ht="42" customHeight="1" thickBot="1" x14ac:dyDescent="0.25">
      <c r="A23" s="86">
        <v>14</v>
      </c>
      <c r="B23" s="35"/>
      <c r="C23" s="37" t="s">
        <v>55</v>
      </c>
      <c r="D23" s="98" t="s">
        <v>95</v>
      </c>
      <c r="E23" s="103" t="s">
        <v>82</v>
      </c>
      <c r="F23" s="35" t="s">
        <v>12</v>
      </c>
      <c r="G23" s="83">
        <v>3</v>
      </c>
      <c r="H23" s="96">
        <v>162300</v>
      </c>
      <c r="I23" s="77">
        <f t="shared" si="0"/>
        <v>486900</v>
      </c>
    </row>
    <row r="24" spans="1:9" customFormat="1" ht="42" customHeight="1" thickBot="1" x14ac:dyDescent="0.25">
      <c r="A24" s="85">
        <v>15</v>
      </c>
      <c r="B24" s="35"/>
      <c r="C24" s="37" t="s">
        <v>55</v>
      </c>
      <c r="D24" s="98" t="s">
        <v>95</v>
      </c>
      <c r="E24" s="103" t="s">
        <v>83</v>
      </c>
      <c r="F24" s="35" t="s">
        <v>12</v>
      </c>
      <c r="G24" s="83">
        <v>5</v>
      </c>
      <c r="H24" s="96">
        <v>6600</v>
      </c>
      <c r="I24" s="77">
        <f t="shared" ref="I24:I29" si="1">G24*H24</f>
        <v>33000</v>
      </c>
    </row>
    <row r="25" spans="1:9" ht="42" customHeight="1" thickBot="1" x14ac:dyDescent="0.25">
      <c r="A25" s="86">
        <v>16</v>
      </c>
      <c r="B25" s="35"/>
      <c r="C25" s="37" t="s">
        <v>55</v>
      </c>
      <c r="D25" s="98" t="s">
        <v>95</v>
      </c>
      <c r="E25" s="103" t="s">
        <v>84</v>
      </c>
      <c r="F25" s="35" t="s">
        <v>12</v>
      </c>
      <c r="G25" s="83">
        <v>2000</v>
      </c>
      <c r="H25" s="96">
        <v>285</v>
      </c>
      <c r="I25" s="77">
        <f t="shared" si="1"/>
        <v>570000</v>
      </c>
    </row>
    <row r="26" spans="1:9" ht="42" customHeight="1" thickBot="1" x14ac:dyDescent="0.25">
      <c r="A26" s="85">
        <v>17</v>
      </c>
      <c r="B26" s="35"/>
      <c r="C26" s="37" t="s">
        <v>55</v>
      </c>
      <c r="D26" s="98" t="s">
        <v>95</v>
      </c>
      <c r="E26" s="103" t="s">
        <v>85</v>
      </c>
      <c r="F26" s="35" t="s">
        <v>12</v>
      </c>
      <c r="G26" s="83">
        <v>500</v>
      </c>
      <c r="H26" s="96">
        <v>185</v>
      </c>
      <c r="I26" s="77">
        <f t="shared" si="1"/>
        <v>92500</v>
      </c>
    </row>
    <row r="27" spans="1:9" ht="42" customHeight="1" thickBot="1" x14ac:dyDescent="0.25">
      <c r="A27" s="85">
        <v>18</v>
      </c>
      <c r="B27" s="35"/>
      <c r="C27" s="37" t="s">
        <v>55</v>
      </c>
      <c r="D27" s="98" t="s">
        <v>95</v>
      </c>
      <c r="E27" s="103" t="s">
        <v>86</v>
      </c>
      <c r="F27" s="35" t="s">
        <v>12</v>
      </c>
      <c r="G27" s="83">
        <v>25</v>
      </c>
      <c r="H27" s="96">
        <v>670</v>
      </c>
      <c r="I27" s="77">
        <f t="shared" si="1"/>
        <v>16750</v>
      </c>
    </row>
    <row r="28" spans="1:9" ht="42" customHeight="1" thickBot="1" x14ac:dyDescent="0.25">
      <c r="A28" s="85">
        <v>19</v>
      </c>
      <c r="B28" s="35"/>
      <c r="C28" s="37" t="s">
        <v>55</v>
      </c>
      <c r="D28" s="98" t="s">
        <v>95</v>
      </c>
      <c r="E28" s="103" t="s">
        <v>87</v>
      </c>
      <c r="F28" s="35" t="s">
        <v>12</v>
      </c>
      <c r="G28" s="83">
        <v>800</v>
      </c>
      <c r="H28" s="96">
        <v>465</v>
      </c>
      <c r="I28" s="77">
        <f t="shared" si="1"/>
        <v>372000</v>
      </c>
    </row>
    <row r="29" spans="1:9" ht="42" customHeight="1" thickBot="1" x14ac:dyDescent="0.25">
      <c r="A29" s="85">
        <v>20</v>
      </c>
      <c r="B29" s="35"/>
      <c r="C29" s="37" t="s">
        <v>55</v>
      </c>
      <c r="D29" s="98" t="s">
        <v>95</v>
      </c>
      <c r="E29" s="103" t="s">
        <v>88</v>
      </c>
      <c r="F29" s="35" t="s">
        <v>12</v>
      </c>
      <c r="G29" s="83">
        <v>400</v>
      </c>
      <c r="H29" s="96">
        <v>305</v>
      </c>
      <c r="I29" s="77">
        <f t="shared" si="1"/>
        <v>122000</v>
      </c>
    </row>
    <row r="30" spans="1:9" ht="42" customHeight="1" thickBot="1" x14ac:dyDescent="0.25">
      <c r="A30" s="85">
        <v>21</v>
      </c>
      <c r="B30" s="35"/>
      <c r="C30" s="37" t="s">
        <v>55</v>
      </c>
      <c r="D30" s="98" t="s">
        <v>95</v>
      </c>
      <c r="E30" s="103" t="s">
        <v>89</v>
      </c>
      <c r="F30" s="35" t="s">
        <v>12</v>
      </c>
      <c r="G30" s="83">
        <v>100</v>
      </c>
      <c r="H30" s="96">
        <v>85</v>
      </c>
      <c r="I30" s="77">
        <f t="shared" ref="I30:I34" si="2">G30*H30</f>
        <v>8500</v>
      </c>
    </row>
    <row r="31" spans="1:9" ht="42" customHeight="1" thickBot="1" x14ac:dyDescent="0.25">
      <c r="A31" s="85">
        <v>22</v>
      </c>
      <c r="B31" s="35"/>
      <c r="C31" s="116" t="s">
        <v>55</v>
      </c>
      <c r="D31" s="117" t="s">
        <v>95</v>
      </c>
      <c r="E31" s="116" t="s">
        <v>101</v>
      </c>
      <c r="F31" s="116" t="s">
        <v>12</v>
      </c>
      <c r="G31" s="83">
        <v>30</v>
      </c>
      <c r="H31" s="96">
        <v>200</v>
      </c>
      <c r="I31" s="77">
        <f t="shared" ref="I31" si="3">G31*H31</f>
        <v>6000</v>
      </c>
    </row>
    <row r="32" spans="1:9" ht="42" customHeight="1" thickBot="1" x14ac:dyDescent="0.25">
      <c r="A32" s="85">
        <v>23</v>
      </c>
      <c r="B32" s="35"/>
      <c r="C32" s="37" t="s">
        <v>55</v>
      </c>
      <c r="D32" s="98" t="s">
        <v>95</v>
      </c>
      <c r="E32" s="103" t="s">
        <v>90</v>
      </c>
      <c r="F32" s="35" t="s">
        <v>12</v>
      </c>
      <c r="G32" s="83">
        <v>300</v>
      </c>
      <c r="H32" s="96">
        <v>600</v>
      </c>
      <c r="I32" s="77">
        <f t="shared" si="2"/>
        <v>180000</v>
      </c>
    </row>
    <row r="33" spans="1:9" ht="42" customHeight="1" thickBot="1" x14ac:dyDescent="0.25">
      <c r="A33" s="85">
        <v>24</v>
      </c>
      <c r="B33" s="35"/>
      <c r="C33" s="37" t="s">
        <v>55</v>
      </c>
      <c r="D33" s="98" t="s">
        <v>95</v>
      </c>
      <c r="E33" s="104" t="s">
        <v>94</v>
      </c>
      <c r="F33" s="35" t="s">
        <v>12</v>
      </c>
      <c r="G33" s="83">
        <v>300</v>
      </c>
      <c r="H33" s="96">
        <v>212.32</v>
      </c>
      <c r="I33" s="77">
        <f t="shared" si="2"/>
        <v>63696</v>
      </c>
    </row>
    <row r="34" spans="1:9" ht="42" customHeight="1" x14ac:dyDescent="0.2">
      <c r="A34" s="85">
        <v>25</v>
      </c>
      <c r="B34" s="36"/>
      <c r="C34" s="37" t="s">
        <v>55</v>
      </c>
      <c r="D34" s="98" t="s">
        <v>95</v>
      </c>
      <c r="E34" s="103" t="s">
        <v>91</v>
      </c>
      <c r="F34" s="35" t="s">
        <v>12</v>
      </c>
      <c r="G34" s="83">
        <v>50</v>
      </c>
      <c r="H34" s="96">
        <v>2638</v>
      </c>
      <c r="I34" s="77">
        <f t="shared" si="2"/>
        <v>131900</v>
      </c>
    </row>
    <row r="35" spans="1:9" ht="15.75" x14ac:dyDescent="0.25">
      <c r="A35" s="45"/>
      <c r="B35" s="76"/>
      <c r="E35" s="105"/>
      <c r="I35" s="89"/>
    </row>
    <row r="36" spans="1:9" x14ac:dyDescent="0.2">
      <c r="A36" s="45"/>
      <c r="B36" s="18"/>
      <c r="D36" s="18"/>
      <c r="E36" s="106"/>
      <c r="F36" s="18"/>
      <c r="I36" s="89"/>
    </row>
    <row r="37" spans="1:9" ht="13.5" customHeight="1" thickBot="1" x14ac:dyDescent="0.25">
      <c r="A37" s="45"/>
      <c r="B37" s="79"/>
      <c r="C37" s="91"/>
      <c r="D37" s="44"/>
      <c r="E37" s="107"/>
      <c r="F37" s="18"/>
      <c r="G37" s="121"/>
      <c r="H37" s="18"/>
      <c r="I37" s="18"/>
    </row>
    <row r="38" spans="1:9" ht="15" customHeight="1" x14ac:dyDescent="0.2">
      <c r="A38" s="45"/>
      <c r="B38" s="50" t="s">
        <v>103</v>
      </c>
      <c r="C38" s="92"/>
      <c r="D38" s="40"/>
      <c r="E38" s="108"/>
      <c r="F38" s="18"/>
      <c r="G38" s="121"/>
      <c r="H38" s="18"/>
      <c r="I38" s="18"/>
    </row>
    <row r="39" spans="1:9" ht="15" customHeight="1" x14ac:dyDescent="0.2">
      <c r="A39" s="45"/>
      <c r="B39" s="46"/>
      <c r="C39" s="92"/>
      <c r="D39" s="18"/>
      <c r="E39" s="109"/>
      <c r="F39" s="18"/>
      <c r="G39" s="121"/>
      <c r="H39" s="18"/>
      <c r="I39" s="18"/>
    </row>
    <row r="40" spans="1:9" ht="15" customHeight="1" x14ac:dyDescent="0.2">
      <c r="A40" s="45"/>
      <c r="B40" s="47" t="s">
        <v>57</v>
      </c>
      <c r="C40" s="92"/>
      <c r="D40" s="18"/>
      <c r="E40" s="109"/>
      <c r="F40" s="18"/>
      <c r="G40" s="121"/>
      <c r="H40" s="18"/>
      <c r="I40" s="18"/>
    </row>
    <row r="41" spans="1:9" ht="24" customHeight="1" x14ac:dyDescent="0.2">
      <c r="A41" s="45"/>
      <c r="B41" s="47"/>
      <c r="C41" s="119" t="s">
        <v>92</v>
      </c>
      <c r="D41" s="119"/>
      <c r="E41" s="120"/>
      <c r="F41" s="18"/>
      <c r="G41" s="121"/>
      <c r="H41" s="18"/>
      <c r="I41" s="18"/>
    </row>
    <row r="42" spans="1:9" ht="15" customHeight="1" x14ac:dyDescent="0.2">
      <c r="A42" s="45"/>
      <c r="B42" s="48" t="s">
        <v>63</v>
      </c>
      <c r="C42" s="118" t="s">
        <v>68</v>
      </c>
      <c r="D42" s="118"/>
      <c r="E42" s="118"/>
      <c r="F42" s="18"/>
      <c r="G42" s="121"/>
      <c r="H42" s="18"/>
      <c r="I42" s="18"/>
    </row>
    <row r="43" spans="1:9" ht="15" customHeight="1" x14ac:dyDescent="0.2">
      <c r="A43" s="45"/>
      <c r="B43" s="123"/>
      <c r="C43" s="123"/>
      <c r="D43" s="123"/>
      <c r="E43" s="123"/>
      <c r="F43" s="18"/>
      <c r="G43" s="121"/>
      <c r="H43" s="18"/>
      <c r="I43" s="18"/>
    </row>
    <row r="44" spans="1:9" ht="24.75" customHeight="1" x14ac:dyDescent="0.2">
      <c r="A44" s="45"/>
      <c r="B44" s="46" t="s">
        <v>64</v>
      </c>
      <c r="C44" s="118" t="s">
        <v>65</v>
      </c>
      <c r="D44" s="118"/>
      <c r="E44" s="122"/>
      <c r="F44" s="18"/>
      <c r="G44" s="121"/>
      <c r="H44" s="18"/>
      <c r="I44" s="18"/>
    </row>
    <row r="45" spans="1:9" ht="15" customHeight="1" x14ac:dyDescent="0.2">
      <c r="A45" s="45"/>
      <c r="B45" s="46"/>
      <c r="C45" s="52"/>
      <c r="D45" s="51"/>
      <c r="E45" s="110"/>
      <c r="F45" s="18"/>
      <c r="G45" s="121"/>
      <c r="H45" s="18"/>
      <c r="I45" s="18"/>
    </row>
    <row r="46" spans="1:9" ht="12.75" customHeight="1" x14ac:dyDescent="0.2">
      <c r="A46" s="45"/>
      <c r="B46" s="47" t="s">
        <v>58</v>
      </c>
      <c r="C46" s="118"/>
      <c r="D46" s="118"/>
      <c r="E46" s="122"/>
      <c r="F46" s="18"/>
      <c r="G46" s="121"/>
      <c r="H46" s="18"/>
      <c r="I46" s="18"/>
    </row>
    <row r="47" spans="1:9" ht="12.75" customHeight="1" x14ac:dyDescent="0.2">
      <c r="A47" s="45"/>
      <c r="B47" s="46"/>
      <c r="C47" s="52"/>
      <c r="D47" s="52"/>
      <c r="E47" s="111"/>
      <c r="F47" s="18"/>
      <c r="G47" s="121"/>
      <c r="H47" s="18"/>
      <c r="I47" s="18"/>
    </row>
    <row r="48" spans="1:9" ht="15" customHeight="1" x14ac:dyDescent="0.2">
      <c r="A48" s="45"/>
      <c r="B48" s="47" t="s">
        <v>59</v>
      </c>
      <c r="C48" s="43"/>
      <c r="D48" s="41"/>
      <c r="E48" s="112"/>
      <c r="F48" s="18"/>
      <c r="G48" s="121"/>
      <c r="H48" s="18"/>
      <c r="I48" s="18"/>
    </row>
    <row r="49" spans="1:9" ht="15" customHeight="1" x14ac:dyDescent="0.2">
      <c r="A49" s="45"/>
      <c r="B49" s="46"/>
      <c r="C49" s="52"/>
      <c r="D49" s="52"/>
      <c r="E49" s="111" t="s">
        <v>69</v>
      </c>
      <c r="F49" s="18"/>
      <c r="G49" s="121"/>
      <c r="H49" s="18"/>
      <c r="I49" s="18"/>
    </row>
    <row r="50" spans="1:9" ht="15" customHeight="1" x14ac:dyDescent="0.2">
      <c r="A50" s="45"/>
      <c r="B50" s="47" t="s">
        <v>60</v>
      </c>
      <c r="C50" s="92"/>
      <c r="D50" s="18"/>
      <c r="E50" s="109"/>
      <c r="F50" s="18"/>
      <c r="G50" s="121"/>
      <c r="H50" s="18"/>
      <c r="I50" s="18"/>
    </row>
    <row r="51" spans="1:9" ht="15" customHeight="1" x14ac:dyDescent="0.2">
      <c r="A51" s="45"/>
      <c r="B51" s="47"/>
      <c r="C51" s="52"/>
      <c r="D51" s="51"/>
      <c r="E51" s="110"/>
      <c r="F51" s="18"/>
      <c r="G51" s="121"/>
      <c r="H51" s="18"/>
      <c r="I51" s="18"/>
    </row>
    <row r="52" spans="1:9" ht="12.75" customHeight="1" thickBot="1" x14ac:dyDescent="0.25">
      <c r="A52" s="45"/>
      <c r="B52" s="49"/>
      <c r="C52" s="93"/>
      <c r="D52" s="42"/>
      <c r="E52" s="113"/>
      <c r="F52" s="18"/>
      <c r="G52" s="121"/>
      <c r="H52" s="18"/>
      <c r="I52" s="18"/>
    </row>
    <row r="53" spans="1:9" ht="12.75" customHeight="1" x14ac:dyDescent="0.2">
      <c r="A53" s="45"/>
      <c r="B53" s="79"/>
      <c r="C53" s="94"/>
      <c r="D53" s="95"/>
      <c r="E53" s="114"/>
      <c r="F53" s="18"/>
      <c r="G53" s="121"/>
      <c r="H53" s="18"/>
      <c r="I53" s="18"/>
    </row>
    <row r="54" spans="1:9" x14ac:dyDescent="0.2">
      <c r="I54" s="89"/>
    </row>
    <row r="55" spans="1:9" x14ac:dyDescent="0.2">
      <c r="I55" s="89"/>
    </row>
    <row r="56" spans="1:9" x14ac:dyDescent="0.2">
      <c r="I56" s="89"/>
    </row>
    <row r="57" spans="1:9" x14ac:dyDescent="0.2">
      <c r="I57" s="89"/>
    </row>
    <row r="58" spans="1:9" x14ac:dyDescent="0.2">
      <c r="I58" s="89"/>
    </row>
    <row r="59" spans="1:9" ht="27" customHeight="1" x14ac:dyDescent="0.2">
      <c r="I59" s="89"/>
    </row>
    <row r="60" spans="1:9" x14ac:dyDescent="0.2">
      <c r="I60" s="89"/>
    </row>
    <row r="61" spans="1:9" x14ac:dyDescent="0.2">
      <c r="I61" s="89"/>
    </row>
    <row r="62" spans="1:9" x14ac:dyDescent="0.2">
      <c r="I62" s="89"/>
    </row>
    <row r="63" spans="1:9" x14ac:dyDescent="0.2">
      <c r="I63" s="89"/>
    </row>
    <row r="64" spans="1:9" x14ac:dyDescent="0.2">
      <c r="I64" s="89"/>
    </row>
    <row r="65" spans="9:9" x14ac:dyDescent="0.2">
      <c r="I65" s="89"/>
    </row>
    <row r="66" spans="9:9" x14ac:dyDescent="0.2">
      <c r="I66" s="89"/>
    </row>
    <row r="67" spans="9:9" x14ac:dyDescent="0.2">
      <c r="I67" s="89"/>
    </row>
    <row r="68" spans="9:9" x14ac:dyDescent="0.2">
      <c r="I68" s="89"/>
    </row>
    <row r="69" spans="9:9" x14ac:dyDescent="0.2">
      <c r="I69" s="89"/>
    </row>
    <row r="70" spans="9:9" x14ac:dyDescent="0.2">
      <c r="I70" s="89"/>
    </row>
    <row r="71" spans="9:9" x14ac:dyDescent="0.2">
      <c r="I71" s="89"/>
    </row>
    <row r="72" spans="9:9" x14ac:dyDescent="0.2">
      <c r="I72" s="89"/>
    </row>
    <row r="73" spans="9:9" x14ac:dyDescent="0.2">
      <c r="I73" s="89"/>
    </row>
    <row r="74" spans="9:9" x14ac:dyDescent="0.2">
      <c r="I74" s="89"/>
    </row>
    <row r="75" spans="9:9" x14ac:dyDescent="0.2">
      <c r="I75" s="89"/>
    </row>
    <row r="76" spans="9:9" x14ac:dyDescent="0.2">
      <c r="I76" s="89"/>
    </row>
    <row r="77" spans="9:9" x14ac:dyDescent="0.2">
      <c r="I77" s="89"/>
    </row>
    <row r="78" spans="9:9" x14ac:dyDescent="0.2">
      <c r="I78" s="89"/>
    </row>
    <row r="79" spans="9:9" x14ac:dyDescent="0.2">
      <c r="I79" s="89"/>
    </row>
    <row r="80" spans="9:9" x14ac:dyDescent="0.2">
      <c r="I80" s="89"/>
    </row>
    <row r="81" spans="9:9" x14ac:dyDescent="0.2">
      <c r="I81" s="89"/>
    </row>
    <row r="82" spans="9:9" x14ac:dyDescent="0.2">
      <c r="I82" s="89"/>
    </row>
    <row r="83" spans="9:9" x14ac:dyDescent="0.2">
      <c r="I83" s="89"/>
    </row>
    <row r="84" spans="9:9" x14ac:dyDescent="0.2">
      <c r="I84" s="89"/>
    </row>
    <row r="85" spans="9:9" x14ac:dyDescent="0.2">
      <c r="I85" s="89"/>
    </row>
    <row r="86" spans="9:9" x14ac:dyDescent="0.2">
      <c r="I86" s="89"/>
    </row>
    <row r="87" spans="9:9" x14ac:dyDescent="0.2">
      <c r="I87" s="89"/>
    </row>
    <row r="88" spans="9:9" x14ac:dyDescent="0.2">
      <c r="I88" s="89"/>
    </row>
    <row r="89" spans="9:9" x14ac:dyDescent="0.2">
      <c r="I89" s="89"/>
    </row>
    <row r="90" spans="9:9" x14ac:dyDescent="0.2">
      <c r="I90" s="89"/>
    </row>
    <row r="91" spans="9:9" x14ac:dyDescent="0.2">
      <c r="I91" s="89"/>
    </row>
    <row r="92" spans="9:9" x14ac:dyDescent="0.2">
      <c r="I92" s="89"/>
    </row>
    <row r="93" spans="9:9" x14ac:dyDescent="0.2">
      <c r="I93" s="89"/>
    </row>
    <row r="94" spans="9:9" x14ac:dyDescent="0.2">
      <c r="I94" s="89"/>
    </row>
    <row r="95" spans="9:9" x14ac:dyDescent="0.2">
      <c r="I95" s="89"/>
    </row>
    <row r="96" spans="9:9" x14ac:dyDescent="0.2">
      <c r="I96" s="89"/>
    </row>
    <row r="97" spans="9:9" x14ac:dyDescent="0.2">
      <c r="I97" s="89"/>
    </row>
    <row r="98" spans="9:9" x14ac:dyDescent="0.2">
      <c r="I98" s="89"/>
    </row>
    <row r="99" spans="9:9" x14ac:dyDescent="0.2">
      <c r="I99" s="89"/>
    </row>
    <row r="100" spans="9:9" x14ac:dyDescent="0.2">
      <c r="I100" s="89"/>
    </row>
    <row r="101" spans="9:9" x14ac:dyDescent="0.2">
      <c r="I101" s="89"/>
    </row>
    <row r="102" spans="9:9" x14ac:dyDescent="0.2">
      <c r="I102" s="89"/>
    </row>
    <row r="103" spans="9:9" x14ac:dyDescent="0.2">
      <c r="I103" s="89"/>
    </row>
    <row r="104" spans="9:9" x14ac:dyDescent="0.2">
      <c r="I104" s="89"/>
    </row>
    <row r="105" spans="9:9" x14ac:dyDescent="0.2">
      <c r="I105" s="89"/>
    </row>
    <row r="106" spans="9:9" x14ac:dyDescent="0.2">
      <c r="I106" s="89"/>
    </row>
    <row r="107" spans="9:9" x14ac:dyDescent="0.2">
      <c r="I107" s="89"/>
    </row>
    <row r="108" spans="9:9" x14ac:dyDescent="0.2">
      <c r="I108" s="89"/>
    </row>
    <row r="109" spans="9:9" x14ac:dyDescent="0.2">
      <c r="I109" s="89"/>
    </row>
    <row r="110" spans="9:9" x14ac:dyDescent="0.2">
      <c r="I110" s="89"/>
    </row>
    <row r="111" spans="9:9" x14ac:dyDescent="0.2">
      <c r="I111" s="89"/>
    </row>
    <row r="112" spans="9:9" x14ac:dyDescent="0.2">
      <c r="I112" s="89"/>
    </row>
    <row r="113" spans="9:9" x14ac:dyDescent="0.2">
      <c r="I113" s="89"/>
    </row>
    <row r="114" spans="9:9" x14ac:dyDescent="0.2">
      <c r="I114" s="89"/>
    </row>
    <row r="115" spans="9:9" x14ac:dyDescent="0.2">
      <c r="I115" s="89"/>
    </row>
    <row r="116" spans="9:9" x14ac:dyDescent="0.2">
      <c r="I116" s="89"/>
    </row>
    <row r="117" spans="9:9" x14ac:dyDescent="0.2">
      <c r="I117" s="89"/>
    </row>
    <row r="118" spans="9:9" x14ac:dyDescent="0.2">
      <c r="I118" s="89"/>
    </row>
    <row r="119" spans="9:9" x14ac:dyDescent="0.2">
      <c r="I119" s="89"/>
    </row>
    <row r="120" spans="9:9" x14ac:dyDescent="0.2">
      <c r="I120" s="89"/>
    </row>
    <row r="121" spans="9:9" x14ac:dyDescent="0.2">
      <c r="I121" s="89"/>
    </row>
    <row r="122" spans="9:9" x14ac:dyDescent="0.2">
      <c r="I122" s="89"/>
    </row>
    <row r="123" spans="9:9" x14ac:dyDescent="0.2">
      <c r="I123" s="89"/>
    </row>
    <row r="124" spans="9:9" x14ac:dyDescent="0.2">
      <c r="I124" s="89"/>
    </row>
    <row r="125" spans="9:9" x14ac:dyDescent="0.2">
      <c r="I125" s="89"/>
    </row>
    <row r="126" spans="9:9" x14ac:dyDescent="0.2">
      <c r="I126" s="89"/>
    </row>
    <row r="127" spans="9:9" x14ac:dyDescent="0.2">
      <c r="I127" s="89"/>
    </row>
    <row r="128" spans="9:9" x14ac:dyDescent="0.2">
      <c r="I128" s="89"/>
    </row>
    <row r="129" spans="9:9" x14ac:dyDescent="0.2">
      <c r="I129" s="89"/>
    </row>
    <row r="130" spans="9:9" x14ac:dyDescent="0.2">
      <c r="I130" s="89"/>
    </row>
    <row r="131" spans="9:9" x14ac:dyDescent="0.2">
      <c r="I131" s="89"/>
    </row>
    <row r="132" spans="9:9" x14ac:dyDescent="0.2">
      <c r="I132" s="89"/>
    </row>
    <row r="133" spans="9:9" x14ac:dyDescent="0.2">
      <c r="I133" s="89"/>
    </row>
    <row r="134" spans="9:9" x14ac:dyDescent="0.2">
      <c r="I134" s="89"/>
    </row>
    <row r="135" spans="9:9" x14ac:dyDescent="0.2">
      <c r="I135" s="89"/>
    </row>
    <row r="136" spans="9:9" x14ac:dyDescent="0.2">
      <c r="I136" s="89"/>
    </row>
    <row r="137" spans="9:9" x14ac:dyDescent="0.2">
      <c r="I137" s="89"/>
    </row>
    <row r="138" spans="9:9" x14ac:dyDescent="0.2">
      <c r="I138" s="89"/>
    </row>
    <row r="139" spans="9:9" x14ac:dyDescent="0.2">
      <c r="I139" s="89"/>
    </row>
    <row r="140" spans="9:9" x14ac:dyDescent="0.2">
      <c r="I140" s="89"/>
    </row>
    <row r="141" spans="9:9" x14ac:dyDescent="0.2">
      <c r="I141" s="89"/>
    </row>
    <row r="142" spans="9:9" x14ac:dyDescent="0.2">
      <c r="I142" s="89"/>
    </row>
    <row r="143" spans="9:9" x14ac:dyDescent="0.2">
      <c r="I143" s="89"/>
    </row>
    <row r="144" spans="9:9" x14ac:dyDescent="0.2">
      <c r="I144" s="89"/>
    </row>
    <row r="145" spans="9:9" x14ac:dyDescent="0.2">
      <c r="I145" s="89"/>
    </row>
    <row r="146" spans="9:9" x14ac:dyDescent="0.2">
      <c r="I146" s="89"/>
    </row>
    <row r="147" spans="9:9" x14ac:dyDescent="0.2">
      <c r="I147" s="89"/>
    </row>
    <row r="148" spans="9:9" x14ac:dyDescent="0.2">
      <c r="I148" s="89"/>
    </row>
    <row r="149" spans="9:9" x14ac:dyDescent="0.2">
      <c r="I149" s="89"/>
    </row>
    <row r="150" spans="9:9" x14ac:dyDescent="0.2">
      <c r="I150" s="89"/>
    </row>
    <row r="151" spans="9:9" x14ac:dyDescent="0.2">
      <c r="I151" s="89"/>
    </row>
    <row r="152" spans="9:9" x14ac:dyDescent="0.2">
      <c r="I152" s="89"/>
    </row>
    <row r="153" spans="9:9" x14ac:dyDescent="0.2">
      <c r="I153" s="89"/>
    </row>
    <row r="154" spans="9:9" x14ac:dyDescent="0.2">
      <c r="I154" s="89"/>
    </row>
    <row r="155" spans="9:9" x14ac:dyDescent="0.2">
      <c r="I155" s="89"/>
    </row>
    <row r="156" spans="9:9" x14ac:dyDescent="0.2">
      <c r="I156" s="89"/>
    </row>
    <row r="157" spans="9:9" x14ac:dyDescent="0.2">
      <c r="I157" s="89"/>
    </row>
    <row r="158" spans="9:9" x14ac:dyDescent="0.2">
      <c r="I158" s="89"/>
    </row>
    <row r="159" spans="9:9" x14ac:dyDescent="0.2">
      <c r="I159" s="89"/>
    </row>
    <row r="160" spans="9:9" x14ac:dyDescent="0.2">
      <c r="I160" s="89"/>
    </row>
    <row r="161" spans="9:9" x14ac:dyDescent="0.2">
      <c r="I161" s="89"/>
    </row>
    <row r="162" spans="9:9" x14ac:dyDescent="0.2">
      <c r="I162" s="89"/>
    </row>
    <row r="163" spans="9:9" x14ac:dyDescent="0.2">
      <c r="I163" s="89"/>
    </row>
    <row r="164" spans="9:9" x14ac:dyDescent="0.2">
      <c r="I164" s="89"/>
    </row>
    <row r="165" spans="9:9" x14ac:dyDescent="0.2">
      <c r="I165" s="89"/>
    </row>
    <row r="166" spans="9:9" x14ac:dyDescent="0.2">
      <c r="I166" s="89"/>
    </row>
    <row r="167" spans="9:9" x14ac:dyDescent="0.2">
      <c r="I167" s="89"/>
    </row>
    <row r="168" spans="9:9" x14ac:dyDescent="0.2">
      <c r="I168" s="89"/>
    </row>
    <row r="169" spans="9:9" x14ac:dyDescent="0.2">
      <c r="I169" s="89"/>
    </row>
    <row r="170" spans="9:9" x14ac:dyDescent="0.2">
      <c r="I170" s="89"/>
    </row>
    <row r="171" spans="9:9" x14ac:dyDescent="0.2">
      <c r="I171" s="89"/>
    </row>
    <row r="172" spans="9:9" x14ac:dyDescent="0.2">
      <c r="I172" s="89"/>
    </row>
    <row r="173" spans="9:9" x14ac:dyDescent="0.2">
      <c r="I173" s="89"/>
    </row>
    <row r="174" spans="9:9" x14ac:dyDescent="0.2">
      <c r="I174" s="89"/>
    </row>
    <row r="175" spans="9:9" x14ac:dyDescent="0.2">
      <c r="I175" s="89"/>
    </row>
  </sheetData>
  <mergeCells count="12">
    <mergeCell ref="A4:D4"/>
    <mergeCell ref="A5:D5"/>
    <mergeCell ref="A6:D6"/>
    <mergeCell ref="A7:D7"/>
    <mergeCell ref="E4:G4"/>
    <mergeCell ref="E5:G5"/>
    <mergeCell ref="C42:E42"/>
    <mergeCell ref="C41:E41"/>
    <mergeCell ref="G37:G53"/>
    <mergeCell ref="C44:E44"/>
    <mergeCell ref="B43:E43"/>
    <mergeCell ref="C46:E46"/>
  </mergeCells>
  <phoneticPr fontId="23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44"/>
  <sheetViews>
    <sheetView topLeftCell="A22" zoomScale="68" zoomScaleNormal="68" workbookViewId="0">
      <selection activeCell="A37" sqref="A37:I37"/>
    </sheetView>
  </sheetViews>
  <sheetFormatPr baseColWidth="10" defaultColWidth="9.140625" defaultRowHeight="12.75" x14ac:dyDescent="0.2"/>
  <cols>
    <col min="1" max="1" width="13.140625" style="62" customWidth="1"/>
    <col min="2" max="2" width="19.5703125" style="62" customWidth="1"/>
    <col min="3" max="3" width="14.140625" style="62" customWidth="1"/>
    <col min="4" max="4" width="26" style="62" customWidth="1"/>
    <col min="5" max="5" width="8" style="62" customWidth="1"/>
    <col min="6" max="6" width="7.85546875" style="62" customWidth="1"/>
    <col min="7" max="7" width="42" style="62" customWidth="1"/>
    <col min="8" max="8" width="9.28515625" style="62" customWidth="1"/>
    <col min="9" max="9" width="15.5703125" style="62" customWidth="1"/>
    <col min="10" max="10" width="20.42578125" style="62" customWidth="1"/>
    <col min="11" max="11" width="30.42578125" style="69" customWidth="1"/>
    <col min="12" max="1013" width="9.140625" style="2"/>
  </cols>
  <sheetData>
    <row r="1" spans="1:1013" ht="18" customHeight="1" x14ac:dyDescent="0.2">
      <c r="A1" s="126" t="s">
        <v>13</v>
      </c>
      <c r="B1" s="126"/>
      <c r="C1" s="126"/>
      <c r="D1" s="126"/>
      <c r="E1" s="126"/>
      <c r="F1" s="126"/>
      <c r="G1" s="126"/>
      <c r="H1" s="126"/>
      <c r="I1" s="126"/>
      <c r="J1" s="53"/>
      <c r="K1" s="73" t="s">
        <v>96</v>
      </c>
    </row>
    <row r="2" spans="1:10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66"/>
    </row>
    <row r="3" spans="1:1013" ht="18.75" customHeight="1" thickBot="1" x14ac:dyDescent="0.25">
      <c r="A3" s="127" t="s">
        <v>14</v>
      </c>
      <c r="B3" s="127"/>
      <c r="C3" s="127"/>
      <c r="D3" s="128" t="s">
        <v>62</v>
      </c>
      <c r="E3" s="128"/>
      <c r="F3" s="128"/>
      <c r="G3" s="128"/>
      <c r="H3" s="128"/>
      <c r="I3" s="128"/>
      <c r="J3" s="128"/>
      <c r="K3" s="128"/>
    </row>
    <row r="4" spans="1:1013" ht="18.75" customHeight="1" thickBot="1" x14ac:dyDescent="0.25">
      <c r="A4" s="129" t="s">
        <v>15</v>
      </c>
      <c r="B4" s="129"/>
      <c r="C4" s="129"/>
      <c r="D4" s="128" t="s">
        <v>56</v>
      </c>
      <c r="E4" s="128"/>
      <c r="F4" s="128"/>
      <c r="G4" s="128"/>
      <c r="H4" s="128"/>
      <c r="I4" s="128"/>
      <c r="J4" s="128"/>
      <c r="K4" s="128"/>
    </row>
    <row r="5" spans="1:1013" ht="18.75" customHeight="1" thickBot="1" x14ac:dyDescent="0.25">
      <c r="A5" s="129" t="s">
        <v>16</v>
      </c>
      <c r="B5" s="129"/>
      <c r="C5" s="129"/>
      <c r="D5" s="128" t="s">
        <v>51</v>
      </c>
      <c r="E5" s="128"/>
      <c r="F5" s="128"/>
      <c r="G5" s="128"/>
      <c r="H5" s="128"/>
      <c r="I5" s="128"/>
      <c r="J5" s="128"/>
      <c r="K5" s="128"/>
    </row>
    <row r="6" spans="1:1013" ht="16.5" customHeight="1" thickBot="1" x14ac:dyDescent="0.25">
      <c r="A6" s="127" t="s">
        <v>17</v>
      </c>
      <c r="B6" s="127"/>
      <c r="C6" s="127"/>
      <c r="D6" s="128" t="s">
        <v>97</v>
      </c>
      <c r="E6" s="128"/>
      <c r="F6" s="128"/>
      <c r="G6" s="128"/>
      <c r="H6" s="128"/>
      <c r="I6" s="128"/>
      <c r="J6" s="128"/>
      <c r="K6" s="128"/>
    </row>
    <row r="7" spans="1:1013" ht="16.5" customHeight="1" thickBot="1" x14ac:dyDescent="0.25">
      <c r="A7" s="129" t="s">
        <v>18</v>
      </c>
      <c r="B7" s="129"/>
      <c r="C7" s="129"/>
      <c r="D7" s="128" t="s">
        <v>66</v>
      </c>
      <c r="E7" s="128"/>
      <c r="F7" s="128"/>
      <c r="G7" s="128"/>
      <c r="H7" s="128"/>
      <c r="I7" s="128"/>
      <c r="J7" s="128"/>
      <c r="K7" s="128"/>
    </row>
    <row r="8" spans="1:1013" ht="16.5" customHeight="1" thickBot="1" x14ac:dyDescent="0.25">
      <c r="A8" s="131" t="s">
        <v>19</v>
      </c>
      <c r="B8" s="131"/>
      <c r="C8" s="131"/>
      <c r="D8" s="132" t="s">
        <v>98</v>
      </c>
      <c r="E8" s="132"/>
      <c r="F8" s="132"/>
      <c r="G8" s="132"/>
      <c r="H8" s="132"/>
      <c r="I8" s="132"/>
      <c r="J8" s="132"/>
      <c r="K8" s="132"/>
    </row>
    <row r="9" spans="1:10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67"/>
    </row>
    <row r="10" spans="1:1013" ht="18.75" customHeight="1" thickBot="1" x14ac:dyDescent="0.25">
      <c r="A10" s="133" t="s">
        <v>20</v>
      </c>
      <c r="B10" s="135" t="s">
        <v>21</v>
      </c>
      <c r="C10" s="135" t="s">
        <v>22</v>
      </c>
      <c r="D10" s="135"/>
      <c r="E10" s="135"/>
      <c r="F10" s="135"/>
      <c r="G10" s="135"/>
      <c r="H10" s="135" t="s">
        <v>23</v>
      </c>
      <c r="I10" s="135" t="s">
        <v>24</v>
      </c>
      <c r="J10" s="135" t="s">
        <v>25</v>
      </c>
      <c r="K10" s="137" t="s">
        <v>26</v>
      </c>
    </row>
    <row r="11" spans="1:1013" ht="24" customHeight="1" thickBot="1" x14ac:dyDescent="0.25">
      <c r="A11" s="134"/>
      <c r="B11" s="136"/>
      <c r="C11" s="136"/>
      <c r="D11" s="136"/>
      <c r="E11" s="136"/>
      <c r="F11" s="136"/>
      <c r="G11" s="136"/>
      <c r="H11" s="136"/>
      <c r="I11" s="136"/>
      <c r="J11" s="136"/>
      <c r="K11" s="138"/>
      <c r="ALW11"/>
      <c r="ALX11"/>
      <c r="ALY11"/>
    </row>
    <row r="12" spans="1:1013" ht="43.5" customHeight="1" thickBot="1" x14ac:dyDescent="0.3">
      <c r="A12" s="58">
        <f>'Necesidades Trimestrales'!A10</f>
        <v>1</v>
      </c>
      <c r="B12" s="61">
        <f>'Necesidades Trimestrales'!B10</f>
        <v>0</v>
      </c>
      <c r="C12" s="130" t="str">
        <f>'Necesidades Trimestrales'!E10</f>
        <v>CEFALOTINA 1 GR. AMP.</v>
      </c>
      <c r="D12" s="130"/>
      <c r="E12" s="130"/>
      <c r="F12" s="130"/>
      <c r="G12" s="130"/>
      <c r="H12" s="59" t="s">
        <v>27</v>
      </c>
      <c r="I12" s="60" t="str">
        <f>'Necesidades Trimestrales'!F10</f>
        <v>UNIDAD</v>
      </c>
      <c r="J12" s="65">
        <f>'Necesidades Trimestrales'!H10</f>
        <v>370</v>
      </c>
      <c r="K12" s="68">
        <f>'Necesidades Trimestrales'!G10</f>
        <v>4000</v>
      </c>
    </row>
    <row r="13" spans="1:1013" ht="43.5" customHeight="1" thickBot="1" x14ac:dyDescent="0.3">
      <c r="A13" s="58">
        <f>'Necesidades Trimestrales'!A11</f>
        <v>2</v>
      </c>
      <c r="B13" s="61">
        <f>'Necesidades Trimestrales'!B11</f>
        <v>0</v>
      </c>
      <c r="C13" s="130" t="str">
        <f>'Necesidades Trimestrales'!E11</f>
        <v>GENTAMICINA 80 MG AMPOLLA</v>
      </c>
      <c r="D13" s="130"/>
      <c r="E13" s="130"/>
      <c r="F13" s="130"/>
      <c r="G13" s="130"/>
      <c r="H13" s="59" t="s">
        <v>27</v>
      </c>
      <c r="I13" s="60" t="str">
        <f>'Necesidades Trimestrales'!F11</f>
        <v>UNIDAD</v>
      </c>
      <c r="J13" s="65">
        <f>'Necesidades Trimestrales'!H11</f>
        <v>60</v>
      </c>
      <c r="K13" s="68">
        <f>'Necesidades Trimestrales'!G11</f>
        <v>600</v>
      </c>
    </row>
    <row r="14" spans="1:1013" ht="43.5" customHeight="1" thickBot="1" x14ac:dyDescent="0.3">
      <c r="A14" s="58">
        <f>'Necesidades Trimestrales'!A12</f>
        <v>3</v>
      </c>
      <c r="B14" s="61">
        <f>'Necesidades Trimestrales'!B12</f>
        <v>0</v>
      </c>
      <c r="C14" s="130" t="str">
        <f>'Necesidades Trimestrales'!E12</f>
        <v>AMIKACINA 500 MG AMPOLLA</v>
      </c>
      <c r="D14" s="130"/>
      <c r="E14" s="130"/>
      <c r="F14" s="130"/>
      <c r="G14" s="130"/>
      <c r="H14" s="59" t="s">
        <v>27</v>
      </c>
      <c r="I14" s="60" t="str">
        <f>'Necesidades Trimestrales'!F12</f>
        <v>UNIDAD</v>
      </c>
      <c r="J14" s="65">
        <f>'Necesidades Trimestrales'!H12</f>
        <v>160</v>
      </c>
      <c r="K14" s="68">
        <f>'Necesidades Trimestrales'!G12</f>
        <v>200</v>
      </c>
    </row>
    <row r="15" spans="1:1013" ht="43.5" customHeight="1" thickBot="1" x14ac:dyDescent="0.3">
      <c r="A15" s="58">
        <f>'Necesidades Trimestrales'!A13</f>
        <v>4</v>
      </c>
      <c r="B15" s="61">
        <f>'Necesidades Trimestrales'!B13</f>
        <v>0</v>
      </c>
      <c r="C15" s="130" t="str">
        <f>'Necesidades Trimestrales'!E13</f>
        <v>AMOXICILINA 500 MG COMPRIMIDO</v>
      </c>
      <c r="D15" s="130"/>
      <c r="E15" s="130"/>
      <c r="F15" s="130"/>
      <c r="G15" s="130"/>
      <c r="H15" s="59" t="s">
        <v>27</v>
      </c>
      <c r="I15" s="60" t="str">
        <f>'Necesidades Trimestrales'!F13</f>
        <v>UNIDAD</v>
      </c>
      <c r="J15" s="65">
        <f>'Necesidades Trimestrales'!H13</f>
        <v>10</v>
      </c>
      <c r="K15" s="68">
        <f>'Necesidades Trimestrales'!G13</f>
        <v>300</v>
      </c>
    </row>
    <row r="16" spans="1:1013" ht="43.5" customHeight="1" thickBot="1" x14ac:dyDescent="0.3">
      <c r="A16" s="58">
        <f>'Necesidades Trimestrales'!A14</f>
        <v>5</v>
      </c>
      <c r="B16" s="61">
        <f>'Necesidades Trimestrales'!B14</f>
        <v>0</v>
      </c>
      <c r="C16" s="130" t="str">
        <f>'Necesidades Trimestrales'!E14</f>
        <v>METRONIDAZOL 500 MG COMP</v>
      </c>
      <c r="D16" s="130"/>
      <c r="E16" s="130"/>
      <c r="F16" s="130"/>
      <c r="G16" s="130"/>
      <c r="H16" s="59" t="s">
        <v>27</v>
      </c>
      <c r="I16" s="60" t="str">
        <f>'Necesidades Trimestrales'!F14</f>
        <v>UNIDAD</v>
      </c>
      <c r="J16" s="65">
        <f>'Necesidades Trimestrales'!H14</f>
        <v>5</v>
      </c>
      <c r="K16" s="68">
        <f>'Necesidades Trimestrales'!G14</f>
        <v>300</v>
      </c>
    </row>
    <row r="17" spans="1:11" ht="43.5" customHeight="1" thickBot="1" x14ac:dyDescent="0.3">
      <c r="A17" s="58">
        <f>'Necesidades Trimestrales'!A15</f>
        <v>6</v>
      </c>
      <c r="B17" s="61">
        <f>'Necesidades Trimestrales'!B15</f>
        <v>0</v>
      </c>
      <c r="C17" s="130" t="str">
        <f>'Necesidades Trimestrales'!E15</f>
        <v xml:space="preserve">AZITROMICINA 500 MG COMPRIMIDOS </v>
      </c>
      <c r="D17" s="130"/>
      <c r="E17" s="130"/>
      <c r="F17" s="130"/>
      <c r="G17" s="130"/>
      <c r="H17" s="59" t="s">
        <v>27</v>
      </c>
      <c r="I17" s="60" t="str">
        <f>'Necesidades Trimestrales'!F15</f>
        <v>UNIDAD</v>
      </c>
      <c r="J17" s="65">
        <f>'Necesidades Trimestrales'!H15</f>
        <v>63</v>
      </c>
      <c r="K17" s="68">
        <f>'Necesidades Trimestrales'!G15</f>
        <v>300</v>
      </c>
    </row>
    <row r="18" spans="1:11" ht="43.5" customHeight="1" thickBot="1" x14ac:dyDescent="0.3">
      <c r="A18" s="58">
        <f>'Necesidades Trimestrales'!A16</f>
        <v>7</v>
      </c>
      <c r="B18" s="61">
        <f>'Necesidades Trimestrales'!B16</f>
        <v>0</v>
      </c>
      <c r="C18" s="130" t="str">
        <f>'Necesidades Trimestrales'!E16</f>
        <v>AMPICILINA 1G FCO AMPOLLA</v>
      </c>
      <c r="D18" s="130"/>
      <c r="E18" s="130"/>
      <c r="F18" s="130"/>
      <c r="G18" s="130"/>
      <c r="H18" s="59" t="s">
        <v>27</v>
      </c>
      <c r="I18" s="60" t="str">
        <f>'Necesidades Trimestrales'!F16</f>
        <v>UNIDAD</v>
      </c>
      <c r="J18" s="65">
        <f>'Necesidades Trimestrales'!H16</f>
        <v>35</v>
      </c>
      <c r="K18" s="68">
        <f>'Necesidades Trimestrales'!G16</f>
        <v>2000</v>
      </c>
    </row>
    <row r="19" spans="1:11" ht="43.5" customHeight="1" thickBot="1" x14ac:dyDescent="0.3">
      <c r="A19" s="58">
        <f>'Necesidades Trimestrales'!A17</f>
        <v>8</v>
      </c>
      <c r="B19" s="61">
        <f>'Necesidades Trimestrales'!B17</f>
        <v>0</v>
      </c>
      <c r="C19" s="130" t="str">
        <f>'Necesidades Trimestrales'!E17</f>
        <v>METRONIDAZOL 500 MG SACHET</v>
      </c>
      <c r="D19" s="130"/>
      <c r="E19" s="130"/>
      <c r="F19" s="130"/>
      <c r="G19" s="130"/>
      <c r="H19" s="59" t="s">
        <v>27</v>
      </c>
      <c r="I19" s="60" t="str">
        <f>'Necesidades Trimestrales'!F17</f>
        <v>UNIDAD</v>
      </c>
      <c r="J19" s="65">
        <f>'Necesidades Trimestrales'!H17</f>
        <v>180</v>
      </c>
      <c r="K19" s="68">
        <f>'Necesidades Trimestrales'!G17</f>
        <v>100</v>
      </c>
    </row>
    <row r="20" spans="1:11" ht="43.5" customHeight="1" thickBot="1" x14ac:dyDescent="0.3">
      <c r="A20" s="58">
        <f>'Necesidades Trimestrales'!A18</f>
        <v>9</v>
      </c>
      <c r="B20" s="61">
        <f>'Necesidades Trimestrales'!B18</f>
        <v>0</v>
      </c>
      <c r="C20" s="130" t="str">
        <f>'Necesidades Trimestrales'!E18</f>
        <v>CLARITROMICINA 250 MG SUSPENSIÓN X 90 ML</v>
      </c>
      <c r="D20" s="130"/>
      <c r="E20" s="130"/>
      <c r="F20" s="130"/>
      <c r="G20" s="130"/>
      <c r="H20" s="59" t="s">
        <v>27</v>
      </c>
      <c r="I20" s="60" t="str">
        <f>'Necesidades Trimestrales'!F18</f>
        <v>UNIDAD</v>
      </c>
      <c r="J20" s="65">
        <f>'Necesidades Trimestrales'!H18</f>
        <v>840</v>
      </c>
      <c r="K20" s="68">
        <f>'Necesidades Trimestrales'!G18</f>
        <v>10</v>
      </c>
    </row>
    <row r="21" spans="1:11" ht="43.5" customHeight="1" thickBot="1" x14ac:dyDescent="0.3">
      <c r="A21" s="58">
        <f>'Necesidades Trimestrales'!A19</f>
        <v>10</v>
      </c>
      <c r="B21" s="61">
        <f>'Necesidades Trimestrales'!B19</f>
        <v>0</v>
      </c>
      <c r="C21" s="130" t="str">
        <f>'Necesidades Trimestrales'!E19</f>
        <v>CEFALEXINA 500 MG COMPRIMIDOS</v>
      </c>
      <c r="D21" s="130"/>
      <c r="E21" s="130"/>
      <c r="F21" s="130"/>
      <c r="G21" s="130"/>
      <c r="H21" s="59" t="s">
        <v>27</v>
      </c>
      <c r="I21" s="60" t="str">
        <f>'Necesidades Trimestrales'!F19</f>
        <v>UNIDAD</v>
      </c>
      <c r="J21" s="65">
        <f>'Necesidades Trimestrales'!H19</f>
        <v>20</v>
      </c>
      <c r="K21" s="68">
        <f>'Necesidades Trimestrales'!G19</f>
        <v>2500</v>
      </c>
    </row>
    <row r="22" spans="1:11" ht="43.5" customHeight="1" thickBot="1" x14ac:dyDescent="0.3">
      <c r="A22" s="58">
        <f>'Necesidades Trimestrales'!A20</f>
        <v>11</v>
      </c>
      <c r="B22" s="61">
        <f>'Necesidades Trimestrales'!B20</f>
        <v>0</v>
      </c>
      <c r="C22" s="130" t="str">
        <f>'Necesidades Trimestrales'!E20</f>
        <v>IMIPENEM+CILASTATINA 500MG</v>
      </c>
      <c r="D22" s="130"/>
      <c r="E22" s="130"/>
      <c r="F22" s="130"/>
      <c r="G22" s="130"/>
      <c r="H22" s="59" t="s">
        <v>27</v>
      </c>
      <c r="I22" s="60" t="str">
        <f>'Necesidades Trimestrales'!F20</f>
        <v>UNIDAD</v>
      </c>
      <c r="J22" s="65">
        <f>'Necesidades Trimestrales'!H20</f>
        <v>1092</v>
      </c>
      <c r="K22" s="68">
        <f>'Necesidades Trimestrales'!G20</f>
        <v>200</v>
      </c>
    </row>
    <row r="23" spans="1:11" ht="43.5" customHeight="1" thickBot="1" x14ac:dyDescent="0.3">
      <c r="A23" s="58">
        <f>'Necesidades Trimestrales'!A21</f>
        <v>12</v>
      </c>
      <c r="B23" s="61">
        <f>'Necesidades Trimestrales'!B21</f>
        <v>0</v>
      </c>
      <c r="C23" s="130" t="str">
        <f>'Necesidades Trimestrales'!E21</f>
        <v xml:space="preserve"> CEFAZOLINA, 1 GR FCO AMPOLLA</v>
      </c>
      <c r="D23" s="130"/>
      <c r="E23" s="130"/>
      <c r="F23" s="130"/>
      <c r="G23" s="130"/>
      <c r="H23" s="59" t="s">
        <v>27</v>
      </c>
      <c r="I23" s="60" t="str">
        <f>'Necesidades Trimestrales'!F21</f>
        <v>UNIDAD</v>
      </c>
      <c r="J23" s="65">
        <f>'Necesidades Trimestrales'!H21</f>
        <v>250</v>
      </c>
      <c r="K23" s="68">
        <f>'Necesidades Trimestrales'!G21</f>
        <v>300</v>
      </c>
    </row>
    <row r="24" spans="1:11" ht="43.5" customHeight="1" thickBot="1" x14ac:dyDescent="0.3">
      <c r="A24" s="58">
        <f>'Necesidades Trimestrales'!A22</f>
        <v>13</v>
      </c>
      <c r="B24" s="61">
        <f>'Necesidades Trimestrales'!B22</f>
        <v>0</v>
      </c>
      <c r="C24" s="130" t="str">
        <f>'Necesidades Trimestrales'!E22</f>
        <v>INMUNOGLOBULINA HUMANA INESPECIFICA 2,5 GRS</v>
      </c>
      <c r="D24" s="130"/>
      <c r="E24" s="130"/>
      <c r="F24" s="130"/>
      <c r="G24" s="130"/>
      <c r="H24" s="59" t="s">
        <v>27</v>
      </c>
      <c r="I24" s="60" t="str">
        <f>'Necesidades Trimestrales'!F22</f>
        <v>UNIDAD</v>
      </c>
      <c r="J24" s="65">
        <f>'Necesidades Trimestrales'!H22</f>
        <v>81150</v>
      </c>
      <c r="K24" s="68">
        <f>'Necesidades Trimestrales'!G22</f>
        <v>3</v>
      </c>
    </row>
    <row r="25" spans="1:11" ht="43.5" customHeight="1" thickBot="1" x14ac:dyDescent="0.3">
      <c r="A25" s="58">
        <f>'Necesidades Trimestrales'!A23</f>
        <v>14</v>
      </c>
      <c r="B25" s="61">
        <f>'Necesidades Trimestrales'!B23</f>
        <v>0</v>
      </c>
      <c r="C25" s="130" t="str">
        <f>'Necesidades Trimestrales'!E23</f>
        <v>INMUNOGLOBULINA HUMANA INESPECIFICA 5 GRS</v>
      </c>
      <c r="D25" s="130"/>
      <c r="E25" s="130"/>
      <c r="F25" s="130"/>
      <c r="G25" s="130"/>
      <c r="H25" s="59" t="s">
        <v>27</v>
      </c>
      <c r="I25" s="60" t="str">
        <f>'Necesidades Trimestrales'!F23</f>
        <v>UNIDAD</v>
      </c>
      <c r="J25" s="65">
        <f>'Necesidades Trimestrales'!H23</f>
        <v>162300</v>
      </c>
      <c r="K25" s="68">
        <f>'Necesidades Trimestrales'!G23</f>
        <v>3</v>
      </c>
    </row>
    <row r="26" spans="1:11" ht="43.5" customHeight="1" thickBot="1" x14ac:dyDescent="0.3">
      <c r="A26" s="58">
        <f>'Necesidades Trimestrales'!A24</f>
        <v>15</v>
      </c>
      <c r="B26" s="61">
        <f>'Necesidades Trimestrales'!B24</f>
        <v>0</v>
      </c>
      <c r="C26" s="130" t="str">
        <f>'Necesidades Trimestrales'!E24</f>
        <v xml:space="preserve">GAMMAGLOBULINA + TOXOIDE 500 MG </v>
      </c>
      <c r="D26" s="130"/>
      <c r="E26" s="130"/>
      <c r="F26" s="130"/>
      <c r="G26" s="130"/>
      <c r="H26" s="59" t="s">
        <v>27</v>
      </c>
      <c r="I26" s="60" t="str">
        <f>'Necesidades Trimestrales'!F24</f>
        <v>UNIDAD</v>
      </c>
      <c r="J26" s="65">
        <f>'Necesidades Trimestrales'!H24</f>
        <v>6600</v>
      </c>
      <c r="K26" s="68">
        <f>'Necesidades Trimestrales'!G24</f>
        <v>5</v>
      </c>
    </row>
    <row r="27" spans="1:11" ht="43.5" customHeight="1" thickBot="1" x14ac:dyDescent="0.3">
      <c r="A27" s="58">
        <f>'Necesidades Trimestrales'!A25</f>
        <v>16</v>
      </c>
      <c r="B27" s="61">
        <f>'Necesidades Trimestrales'!B25</f>
        <v>0</v>
      </c>
      <c r="C27" s="130" t="str">
        <f>'Necesidades Trimestrales'!E25</f>
        <v>AMPICILINA + SULBACTAM 1,5 MG FCO AMPOLLA</v>
      </c>
      <c r="D27" s="130"/>
      <c r="E27" s="130"/>
      <c r="F27" s="130"/>
      <c r="G27" s="130"/>
      <c r="H27" s="59" t="s">
        <v>27</v>
      </c>
      <c r="I27" s="60" t="str">
        <f>'Necesidades Trimestrales'!F25</f>
        <v>UNIDAD</v>
      </c>
      <c r="J27" s="65">
        <f>'Necesidades Trimestrales'!H25</f>
        <v>285</v>
      </c>
      <c r="K27" s="68">
        <f>'Necesidades Trimestrales'!G25</f>
        <v>2000</v>
      </c>
    </row>
    <row r="28" spans="1:11" ht="43.5" customHeight="1" thickBot="1" x14ac:dyDescent="0.3">
      <c r="A28" s="58">
        <f>'Necesidades Trimestrales'!A26</f>
        <v>17</v>
      </c>
      <c r="B28" s="61">
        <f>'Necesidades Trimestrales'!B26</f>
        <v>0</v>
      </c>
      <c r="C28" s="130" t="str">
        <f>'Necesidades Trimestrales'!E26</f>
        <v>CLINDAMICINA 600 MG AMPOLLA</v>
      </c>
      <c r="D28" s="130"/>
      <c r="E28" s="130"/>
      <c r="F28" s="130"/>
      <c r="G28" s="130"/>
      <c r="H28" s="59" t="s">
        <v>27</v>
      </c>
      <c r="I28" s="60" t="str">
        <f>'Necesidades Trimestrales'!F26</f>
        <v>UNIDAD</v>
      </c>
      <c r="J28" s="65">
        <f>'Necesidades Trimestrales'!H26</f>
        <v>185</v>
      </c>
      <c r="K28" s="68">
        <f>'Necesidades Trimestrales'!G26</f>
        <v>500</v>
      </c>
    </row>
    <row r="29" spans="1:11" ht="43.5" customHeight="1" thickBot="1" x14ac:dyDescent="0.3">
      <c r="A29" s="58">
        <f>'Necesidades Trimestrales'!A27</f>
        <v>18</v>
      </c>
      <c r="B29" s="61">
        <f>'Necesidades Trimestrales'!B27</f>
        <v>0</v>
      </c>
      <c r="C29" s="130" t="str">
        <f>'Necesidades Trimestrales'!E27</f>
        <v>MEROPENEM 500MG</v>
      </c>
      <c r="D29" s="130"/>
      <c r="E29" s="130"/>
      <c r="F29" s="130"/>
      <c r="G29" s="130"/>
      <c r="H29" s="59" t="s">
        <v>27</v>
      </c>
      <c r="I29" s="60" t="str">
        <f>'Necesidades Trimestrales'!F27</f>
        <v>UNIDAD</v>
      </c>
      <c r="J29" s="65">
        <f>'Necesidades Trimestrales'!H27</f>
        <v>670</v>
      </c>
      <c r="K29" s="68">
        <f>'Necesidades Trimestrales'!G27</f>
        <v>25</v>
      </c>
    </row>
    <row r="30" spans="1:11" ht="43.5" customHeight="1" thickBot="1" x14ac:dyDescent="0.3">
      <c r="A30" s="58">
        <f>'Necesidades Trimestrales'!A28</f>
        <v>19</v>
      </c>
      <c r="B30" s="61">
        <f>'Necesidades Trimestrales'!B28</f>
        <v>0</v>
      </c>
      <c r="C30" s="130" t="str">
        <f>'Necesidades Trimestrales'!E28</f>
        <v>PENICILINA BENZATINICA 2.400.000 FCO AMPOLLA</v>
      </c>
      <c r="D30" s="130"/>
      <c r="E30" s="130"/>
      <c r="F30" s="130"/>
      <c r="G30" s="130"/>
      <c r="H30" s="59" t="s">
        <v>27</v>
      </c>
      <c r="I30" s="60" t="str">
        <f>'Necesidades Trimestrales'!F28</f>
        <v>UNIDAD</v>
      </c>
      <c r="J30" s="65">
        <f>'Necesidades Trimestrales'!H28</f>
        <v>465</v>
      </c>
      <c r="K30" s="68">
        <f>'Necesidades Trimestrales'!G28</f>
        <v>800</v>
      </c>
    </row>
    <row r="31" spans="1:11" ht="43.5" customHeight="1" thickBot="1" x14ac:dyDescent="0.3">
      <c r="A31" s="58">
        <f>'Necesidades Trimestrales'!A29</f>
        <v>20</v>
      </c>
      <c r="B31" s="61">
        <f>'Necesidades Trimestrales'!B29</f>
        <v>0</v>
      </c>
      <c r="C31" s="130" t="str">
        <f>'Necesidades Trimestrales'!E29</f>
        <v>PENICILINA G SODICA 3.000.000 UI FCO AMPOLLA</v>
      </c>
      <c r="D31" s="130"/>
      <c r="E31" s="130"/>
      <c r="F31" s="130"/>
      <c r="G31" s="130"/>
      <c r="H31" s="59" t="s">
        <v>27</v>
      </c>
      <c r="I31" s="60" t="s">
        <v>12</v>
      </c>
      <c r="J31" s="65">
        <f>'Necesidades Trimestrales'!H29</f>
        <v>305</v>
      </c>
      <c r="K31" s="68">
        <f>'Necesidades Trimestrales'!G29</f>
        <v>400</v>
      </c>
    </row>
    <row r="32" spans="1:11" ht="43.5" customHeight="1" thickBot="1" x14ac:dyDescent="0.3">
      <c r="A32" s="58">
        <f>'Necesidades Trimestrales'!A30</f>
        <v>21</v>
      </c>
      <c r="B32" s="61">
        <f>'Necesidades Trimestrales'!B30</f>
        <v>0</v>
      </c>
      <c r="C32" s="130" t="str">
        <f>'Necesidades Trimestrales'!E30</f>
        <v>CIPROFLOXACINA 500 MG COMP</v>
      </c>
      <c r="D32" s="130"/>
      <c r="E32" s="130"/>
      <c r="F32" s="130"/>
      <c r="G32" s="130"/>
      <c r="H32" s="59" t="s">
        <v>27</v>
      </c>
      <c r="I32" s="60" t="str">
        <f>'Necesidades Trimestrales'!F30</f>
        <v>UNIDAD</v>
      </c>
      <c r="J32" s="65">
        <f>'Necesidades Trimestrales'!H30</f>
        <v>85</v>
      </c>
      <c r="K32" s="68">
        <f>'Necesidades Trimestrales'!G30</f>
        <v>100</v>
      </c>
    </row>
    <row r="33" spans="1:11" ht="43.5" customHeight="1" thickBot="1" x14ac:dyDescent="0.3">
      <c r="A33" s="58">
        <f>'Necesidades Trimestrales'!A31</f>
        <v>22</v>
      </c>
      <c r="B33" s="61">
        <f>'Necesidades Trimestrales'!B31</f>
        <v>0</v>
      </c>
      <c r="C33" s="130" t="str">
        <f>'Necesidades Trimestrales'!E31</f>
        <v>CIPROFLOXACINA 200 MG AMPOLLA</v>
      </c>
      <c r="D33" s="130"/>
      <c r="E33" s="130"/>
      <c r="F33" s="130"/>
      <c r="G33" s="130"/>
      <c r="H33" s="59" t="s">
        <v>27</v>
      </c>
      <c r="I33" s="60" t="str">
        <f>'Necesidades Trimestrales'!F31</f>
        <v>UNIDAD</v>
      </c>
      <c r="J33" s="65">
        <f>'Necesidades Trimestrales'!H31</f>
        <v>200</v>
      </c>
      <c r="K33" s="68">
        <f>'Necesidades Trimestrales'!G31</f>
        <v>30</v>
      </c>
    </row>
    <row r="34" spans="1:11" ht="43.5" customHeight="1" thickBot="1" x14ac:dyDescent="0.3">
      <c r="A34" s="58">
        <f>'Necesidades Trimestrales'!A32</f>
        <v>23</v>
      </c>
      <c r="B34" s="61">
        <f>'Necesidades Trimestrales'!B32</f>
        <v>0</v>
      </c>
      <c r="C34" s="130" t="str">
        <f>'Necesidades Trimestrales'!E32</f>
        <v>CEFTAZIDIMA 1G FCO AMPOLLA</v>
      </c>
      <c r="D34" s="130"/>
      <c r="E34" s="130"/>
      <c r="F34" s="130"/>
      <c r="G34" s="130"/>
      <c r="H34" s="59" t="s">
        <v>27</v>
      </c>
      <c r="I34" s="60" t="str">
        <f>'Necesidades Trimestrales'!F32</f>
        <v>UNIDAD</v>
      </c>
      <c r="J34" s="65">
        <f>'Necesidades Trimestrales'!H32</f>
        <v>600</v>
      </c>
      <c r="K34" s="68">
        <f>'Necesidades Trimestrales'!G32</f>
        <v>300</v>
      </c>
    </row>
    <row r="35" spans="1:11" ht="43.5" customHeight="1" thickBot="1" x14ac:dyDescent="0.3">
      <c r="A35" s="58">
        <f>'Necesidades Trimestrales'!A33</f>
        <v>24</v>
      </c>
      <c r="B35" s="61">
        <f>'Necesidades Trimestrales'!B33</f>
        <v>0</v>
      </c>
      <c r="C35" s="130" t="str">
        <f>'Necesidades Trimestrales'!E33</f>
        <v xml:space="preserve"> CEFUROXIMA 750 Mg FCO AMPOLLA</v>
      </c>
      <c r="D35" s="130"/>
      <c r="E35" s="130"/>
      <c r="F35" s="130"/>
      <c r="G35" s="130"/>
      <c r="H35" s="59" t="s">
        <v>27</v>
      </c>
      <c r="I35" s="60" t="str">
        <f>'Necesidades Trimestrales'!F33</f>
        <v>UNIDAD</v>
      </c>
      <c r="J35" s="65">
        <f>'Necesidades Trimestrales'!H33</f>
        <v>212.32</v>
      </c>
      <c r="K35" s="68">
        <f>'Necesidades Trimestrales'!G33</f>
        <v>300</v>
      </c>
    </row>
    <row r="36" spans="1:11" ht="43.5" customHeight="1" x14ac:dyDescent="0.25">
      <c r="A36" s="58">
        <f>'Necesidades Trimestrales'!A34</f>
        <v>25</v>
      </c>
      <c r="B36" s="61">
        <f>'Necesidades Trimestrales'!B34</f>
        <v>0</v>
      </c>
      <c r="C36" s="130" t="str">
        <f>'Necesidades Trimestrales'!E34</f>
        <v>PIPERACILINA 4 GRS + TAZOBACTAM 500 MG FCO AMPOLLA * USO RESTRINGIDO</v>
      </c>
      <c r="D36" s="130"/>
      <c r="E36" s="130"/>
      <c r="F36" s="130"/>
      <c r="G36" s="130"/>
      <c r="H36" s="59" t="s">
        <v>27</v>
      </c>
      <c r="I36" s="60" t="str">
        <f>'Necesidades Trimestrales'!F34</f>
        <v>UNIDAD</v>
      </c>
      <c r="J36" s="65">
        <f>'Necesidades Trimestrales'!H34</f>
        <v>2638</v>
      </c>
      <c r="K36" s="68">
        <f>'Necesidades Trimestrales'!G34</f>
        <v>50</v>
      </c>
    </row>
    <row r="37" spans="1:11" ht="41.25" customHeight="1" thickBot="1" x14ac:dyDescent="0.25">
      <c r="A37" s="141" t="s">
        <v>102</v>
      </c>
      <c r="B37" s="141"/>
      <c r="C37" s="141"/>
      <c r="D37" s="141"/>
      <c r="E37" s="141"/>
      <c r="F37" s="141"/>
      <c r="G37" s="141"/>
      <c r="H37" s="141"/>
      <c r="I37" s="142"/>
      <c r="J37" s="143">
        <f>SUMPRODUCT(J12:J36*K12:K36)</f>
        <v>4337896</v>
      </c>
      <c r="K37" s="143"/>
    </row>
    <row r="40" spans="1:11" x14ac:dyDescent="0.2">
      <c r="J40" s="139"/>
      <c r="K40" s="140"/>
    </row>
    <row r="41" spans="1:11" ht="15" x14ac:dyDescent="0.2">
      <c r="D41" s="63"/>
      <c r="E41" s="63"/>
      <c r="F41" s="63"/>
      <c r="G41" s="63"/>
      <c r="H41" s="63"/>
      <c r="I41" s="63"/>
    </row>
    <row r="42" spans="1:11" ht="15" x14ac:dyDescent="0.2">
      <c r="D42" s="63"/>
      <c r="E42" s="63"/>
      <c r="F42" s="63"/>
      <c r="G42" s="63"/>
      <c r="H42" s="63"/>
      <c r="I42" s="63"/>
    </row>
    <row r="43" spans="1:11" ht="15" x14ac:dyDescent="0.2">
      <c r="D43" s="63"/>
      <c r="E43" s="63"/>
      <c r="F43" s="63"/>
      <c r="G43" s="63"/>
      <c r="H43" s="63"/>
      <c r="I43" s="63"/>
    </row>
    <row r="44" spans="1:11" ht="15.75" x14ac:dyDescent="0.2">
      <c r="D44" s="64"/>
      <c r="E44" s="63"/>
      <c r="F44" s="63"/>
      <c r="G44" s="63"/>
      <c r="H44" s="63"/>
      <c r="I44" s="63"/>
    </row>
  </sheetData>
  <mergeCells count="48">
    <mergeCell ref="C25:G25"/>
    <mergeCell ref="C36:G36"/>
    <mergeCell ref="C35:G35"/>
    <mergeCell ref="C32:G32"/>
    <mergeCell ref="C34:G34"/>
    <mergeCell ref="C29:G29"/>
    <mergeCell ref="C30:G30"/>
    <mergeCell ref="C31:G31"/>
    <mergeCell ref="C16:G16"/>
    <mergeCell ref="C21:G21"/>
    <mergeCell ref="C22:G22"/>
    <mergeCell ref="J40:K40"/>
    <mergeCell ref="A37:I37"/>
    <mergeCell ref="J37:K37"/>
    <mergeCell ref="C33:G33"/>
    <mergeCell ref="C23:G23"/>
    <mergeCell ref="C17:G17"/>
    <mergeCell ref="C18:G18"/>
    <mergeCell ref="C19:G19"/>
    <mergeCell ref="C20:G20"/>
    <mergeCell ref="C27:G27"/>
    <mergeCell ref="C28:G28"/>
    <mergeCell ref="C26:G26"/>
    <mergeCell ref="C24:G24"/>
    <mergeCell ref="C12:G12"/>
    <mergeCell ref="C13:G13"/>
    <mergeCell ref="C14:G14"/>
    <mergeCell ref="C15:G1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38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workbookViewId="0">
      <selection activeCell="A24" sqref="A24:Q2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52" t="s">
        <v>3</v>
      </c>
      <c r="B1" s="152"/>
      <c r="C1" s="152"/>
      <c r="D1" s="153">
        <v>2021</v>
      </c>
      <c r="E1" s="153"/>
      <c r="F1" s="4"/>
      <c r="G1" s="4"/>
      <c r="H1" s="5"/>
      <c r="I1" s="5"/>
      <c r="J1" s="5"/>
      <c r="K1" s="5"/>
      <c r="L1" s="5"/>
      <c r="M1" s="5"/>
      <c r="N1" s="5"/>
      <c r="P1" s="154" t="s">
        <v>28</v>
      </c>
      <c r="Q1" s="154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54"/>
      <c r="Q2" s="154"/>
    </row>
    <row r="4" spans="1:17" s="6" customFormat="1" ht="18" customHeight="1" thickBot="1" x14ac:dyDescent="0.25">
      <c r="A4" s="155" t="s">
        <v>29</v>
      </c>
      <c r="B4" s="155"/>
      <c r="C4" s="155"/>
      <c r="D4" s="155"/>
      <c r="E4" s="155"/>
      <c r="F4" s="155"/>
      <c r="G4" s="150" t="str">
        <f>' NotaPedido'!D3</f>
        <v>40- Ministerio de Salud</v>
      </c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1:17" s="6" customFormat="1" ht="18" customHeight="1" thickBot="1" x14ac:dyDescent="0.25">
      <c r="A5" s="147" t="s">
        <v>15</v>
      </c>
      <c r="B5" s="148"/>
      <c r="C5" s="148"/>
      <c r="D5" s="148"/>
      <c r="E5" s="148"/>
      <c r="F5" s="149"/>
      <c r="G5" s="150" t="str">
        <f>' NotaPedido'!D4</f>
        <v>28- Maternidad Provincial 25 de Mayo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1:17" s="6" customFormat="1" ht="18" customHeight="1" thickBot="1" x14ac:dyDescent="0.25">
      <c r="A6" s="147" t="s">
        <v>16</v>
      </c>
      <c r="B6" s="148"/>
      <c r="C6" s="148"/>
      <c r="D6" s="148"/>
      <c r="E6" s="148"/>
      <c r="F6" s="149"/>
      <c r="G6" s="150" t="str">
        <f>' NotaPedido'!D5</f>
        <v xml:space="preserve">169- Direccion Asistencial </v>
      </c>
      <c r="H6" s="150"/>
      <c r="I6" s="150"/>
      <c r="J6" s="150"/>
      <c r="K6" s="150"/>
      <c r="L6" s="150"/>
      <c r="M6" s="150"/>
      <c r="N6" s="150"/>
      <c r="O6" s="150"/>
      <c r="P6" s="150"/>
      <c r="Q6" s="150"/>
    </row>
    <row r="7" spans="1:17" s="6" customFormat="1" ht="18" customHeight="1" thickBot="1" x14ac:dyDescent="0.25">
      <c r="A7" s="147" t="s">
        <v>17</v>
      </c>
      <c r="B7" s="148"/>
      <c r="C7" s="148"/>
      <c r="D7" s="148"/>
      <c r="E7" s="148"/>
      <c r="F7" s="149"/>
      <c r="G7" s="150" t="str">
        <f>' NotaPedido'!D6</f>
        <v xml:space="preserve">Servicio de Farmcia </v>
      </c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1:17" ht="18" customHeight="1" thickBot="1" x14ac:dyDescent="0.25">
      <c r="A8" s="151" t="s">
        <v>30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</row>
    <row r="9" spans="1:17" ht="18" customHeight="1" x14ac:dyDescent="0.2">
      <c r="A9" s="144" t="s">
        <v>31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"/>
      <c r="P9" s="1"/>
      <c r="Q9" s="7"/>
    </row>
    <row r="10" spans="1:17" ht="54.75" customHeight="1" x14ac:dyDescent="0.2">
      <c r="A10" s="145" t="s">
        <v>99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46" t="s">
        <v>32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</row>
    <row r="13" spans="1:17" ht="15.75" customHeight="1" thickBot="1" x14ac:dyDescent="0.25">
      <c r="A13" s="156" t="s">
        <v>33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34</v>
      </c>
      <c r="P13" s="157"/>
      <c r="Q13" s="158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57"/>
      <c r="P14" s="157"/>
      <c r="Q14" s="158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5</v>
      </c>
      <c r="K15" s="25">
        <v>2</v>
      </c>
      <c r="L15" s="25"/>
      <c r="M15" s="26">
        <v>1</v>
      </c>
      <c r="N15" s="25" t="s">
        <v>49</v>
      </c>
      <c r="O15" s="165" t="s">
        <v>52</v>
      </c>
      <c r="P15" s="166"/>
      <c r="Q15" s="32">
        <v>4337896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75"/>
      <c r="P16" s="176"/>
      <c r="Q16" s="32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75"/>
      <c r="P17" s="176"/>
      <c r="Q17" s="32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67"/>
      <c r="P18" s="168"/>
      <c r="Q18" s="21"/>
    </row>
    <row r="19" spans="1:17" ht="28.5" customHeight="1" x14ac:dyDescent="0.2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  <c r="O19" s="169"/>
      <c r="P19" s="170"/>
      <c r="Q19" s="31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59"/>
      <c r="P20" s="160"/>
      <c r="Q20" s="32"/>
    </row>
    <row r="21" spans="1:17" ht="31.5" customHeight="1" thickBot="1" x14ac:dyDescent="0.25">
      <c r="A21" s="162" t="s">
        <v>104</v>
      </c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7">
        <f>SUM(Q15:Q19)</f>
        <v>4337896</v>
      </c>
    </row>
    <row r="22" spans="1:17" ht="18" customHeight="1" thickBot="1" x14ac:dyDescent="0.25">
      <c r="A22" s="163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</row>
    <row r="23" spans="1:17" ht="17.25" customHeight="1" thickBot="1" x14ac:dyDescent="0.25">
      <c r="A23" s="171" t="s">
        <v>50</v>
      </c>
      <c r="B23" s="172"/>
      <c r="C23" s="172"/>
      <c r="D23" s="172"/>
      <c r="E23" s="172"/>
      <c r="F23" s="173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</row>
    <row r="24" spans="1:17" ht="18" customHeight="1" thickBot="1" x14ac:dyDescent="0.25">
      <c r="A24" s="161" t="s">
        <v>100</v>
      </c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</row>
    <row r="25" spans="1:17" ht="26.25" customHeight="1" thickBot="1" x14ac:dyDescent="0.25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1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 de Windows</cp:lastModifiedBy>
  <cp:revision>2</cp:revision>
  <cp:lastPrinted>2021-02-26T14:25:47Z</cp:lastPrinted>
  <dcterms:created xsi:type="dcterms:W3CDTF">2020-07-17T23:44:49Z</dcterms:created>
  <dcterms:modified xsi:type="dcterms:W3CDTF">2021-03-26T22:32:44Z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