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1\2° trimestre 2021\Enviado a la SCA Pos informe\Contrata la SCA\Alquiler\"/>
    </mc:Choice>
  </mc:AlternateContent>
  <bookViews>
    <workbookView xWindow="-120" yWindow="-120" windowWidth="29040" windowHeight="1584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Trimestrales'!$A$9:$BG$11</definedName>
    <definedName name="_xlnm.Print_Area" localSheetId="1">' NotaPedido'!$A$1:$K$14</definedName>
    <definedName name="_xlnm.Print_Area" localSheetId="2">'Autor Gastar'!$A$1:$Q$21</definedName>
  </definedNames>
  <calcPr calcId="152511"/>
</workbook>
</file>

<file path=xl/calcChain.xml><?xml version="1.0" encoding="utf-8"?>
<calcChain xmlns="http://schemas.openxmlformats.org/spreadsheetml/2006/main">
  <c r="G7" i="3" l="1"/>
  <c r="Q17" i="3" l="1"/>
  <c r="A13" i="2"/>
  <c r="A12" i="2"/>
  <c r="K13" i="2"/>
  <c r="K12" i="2"/>
  <c r="J13" i="2"/>
  <c r="J12" i="2"/>
  <c r="I13" i="2"/>
  <c r="I12" i="2"/>
  <c r="B13" i="2"/>
  <c r="B12" i="2"/>
  <c r="C13" i="2"/>
  <c r="C12" i="2"/>
  <c r="D11" i="1" l="1"/>
  <c r="D10" i="1"/>
  <c r="I10" i="1" l="1"/>
  <c r="I11" i="1"/>
  <c r="G6" i="3" l="1"/>
  <c r="G4" i="3"/>
  <c r="G5" i="3"/>
</calcChain>
</file>

<file path=xl/sharedStrings.xml><?xml version="1.0" encoding="utf-8"?>
<sst xmlns="http://schemas.openxmlformats.org/spreadsheetml/2006/main" count="105" uniqueCount="87">
  <si>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</si>
  <si>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</si>
  <si>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</si>
  <si>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</si>
  <si>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</si>
  <si>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</si>
  <si>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</si>
  <si>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</si>
  <si>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</si>
  <si>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</si>
  <si>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</si>
  <si>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</si>
  <si>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</si>
  <si>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</si>
  <si>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</si>
  <si>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</si>
  <si>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</si>
  <si>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</si>
  <si>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</si>
  <si>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</si>
  <si>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</si>
  <si>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</si>
  <si>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</si>
  <si>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</si>
  <si>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</si>
  <si>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</si>
  <si>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</si>
  <si>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</si>
  <si>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</si>
  <si>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</si>
  <si>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</si>
  <si>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</si>
  <si>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</si>
  <si>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</si>
  <si>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</si>
  <si>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</si>
  <si>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</si>
  <si>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</si>
  <si>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</si>
  <si>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</si>
  <si>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</si>
  <si>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</si>
  <si>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</si>
  <si>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</si>
  <si>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</si>
  <si>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</si>
  <si>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</si>
  <si>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</si>
  <si>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</si>
  <si>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</si>
  <si>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</si>
  <si>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</si>
  <si>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</si>
  <si>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</si>
  <si>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</si>
  <si>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</si>
  <si>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</si>
  <si>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Especificidades Item N° 1:</t>
  </si>
  <si>
    <t>40-Ministerio de Salud</t>
  </si>
  <si>
    <t>40- Ministerio de Salud</t>
  </si>
  <si>
    <t xml:space="preserve">ALQUILER QUIMICA  (Analizador COBAS c-311) Inclute Servicio Técnico 24 hs. los 365 días </t>
  </si>
  <si>
    <t>CUOTA ALQUILER EQUIPAMIENTO (Cobas e-411 de alta complejidad, incluye Servicio Técnico los 365 días las 24 hs.</t>
  </si>
  <si>
    <t>MES</t>
  </si>
  <si>
    <t>ALQ. EQ. DE LABORATORIO; DESCRIPCION: ALQUILER EQUIPO DE LABORATORIO</t>
  </si>
  <si>
    <t>3.2.2-8698.1</t>
  </si>
  <si>
    <t>ALQUILER</t>
  </si>
  <si>
    <t>Especificidades Item N° 2:</t>
  </si>
  <si>
    <t>Plazos de entrega</t>
  </si>
  <si>
    <t>Lugar de Entrega:</t>
  </si>
  <si>
    <t>Plazos de entrega:</t>
  </si>
  <si>
    <t>SERVICIO DE LABORATORIO -MATERNIDAD PROVINCIAL 25 DE MAYO - HERNANDO DE PEDRAZA 1650</t>
  </si>
  <si>
    <t>SI</t>
  </si>
  <si>
    <t>2°  TRIMESTRE- AÑO 2021</t>
  </si>
  <si>
    <t>2° trimestre</t>
  </si>
  <si>
    <t>Alquiler de maquinaria , equipos y medios de transporte</t>
  </si>
  <si>
    <t xml:space="preserve">ALQUILER DE EQUIPOS </t>
  </si>
  <si>
    <t>N°34/2021</t>
  </si>
  <si>
    <t>Servicio de Laboratorio</t>
  </si>
  <si>
    <t>Para el alquiler de equipos , para ser destinados al servicios de Laboratorio de  la Maternidad Provincial 25 de Mayo.-</t>
  </si>
  <si>
    <t xml:space="preserve"> CONTRATACION ES POR TRES MESES CON UNA OPCION A PRORROGA POR  EL MISMO PERIODO</t>
  </si>
  <si>
    <t>CONTRATACION ES POR TRES MESES CON UNA OPCION A PRORROGA POR  EL MISMO PERIODO</t>
  </si>
  <si>
    <t>10 Dias corridos desde la firma del documento contractual</t>
  </si>
  <si>
    <t>30 dias corridos</t>
  </si>
  <si>
    <t>"Autorizo la realización de los  trámites correspondientes, a fin de proveer a  este Organismo los bienes y/o servicios que se detallan en Nota  de Pedido N°34/2021 ,  afectando la erogación resultante a los créditos presupuestarios aprobados a favor de esta Unidad Ejecutora, conforme al siguiente detalle:"</t>
  </si>
  <si>
    <t>10 Dias Corrido desde la firma del docuemnto contractual</t>
  </si>
  <si>
    <t>Costo total estimado: NOVECIENTOS DIEZ MIL OCHOCIENTOS CON 00/100</t>
  </si>
  <si>
    <t>TOTAL DE PESOS:  NOVECIENTOS DIEZ MIL OCHOCIENTOS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</si>
</sst>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3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9"/>
      <name val="Arial"/>
      <family val="2"/>
      <charset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sz val="8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165" fontId="13" fillId="0" borderId="0" applyBorder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</cellStyleXfs>
  <cellXfs count="148">
    <xf numFmtId="0" fontId="0" fillId="0" borderId="0" xfId="0"/>
    <xf numFmtId="0" fontId="0" fillId="0" borderId="0" xfId="0" applyBorder="1"/>
    <xf numFmtId="0" fontId="5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8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5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65" fontId="12" fillId="0" borderId="25" xfId="0" applyNumberFormat="1" applyFont="1" applyBorder="1" applyAlignment="1">
      <alignment horizontal="center" vertical="center"/>
    </xf>
    <xf numFmtId="0" fontId="14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168" fontId="13" fillId="0" borderId="3" xfId="0" applyNumberFormat="1" applyFont="1" applyBorder="1" applyAlignment="1">
      <alignment horizontal="center" vertical="center"/>
    </xf>
    <xf numFmtId="0" fontId="18" fillId="3" borderId="0" xfId="0" applyFont="1" applyFill="1"/>
    <xf numFmtId="0" fontId="18" fillId="3" borderId="0" xfId="0" applyFont="1" applyFill="1" applyAlignment="1">
      <alignment horizontal="left" wrapText="1"/>
    </xf>
    <xf numFmtId="0" fontId="18" fillId="3" borderId="0" xfId="0" applyFont="1" applyFill="1" applyAlignment="1">
      <alignment horizontal="center" wrapText="1"/>
    </xf>
    <xf numFmtId="0" fontId="23" fillId="3" borderId="0" xfId="0" applyFont="1" applyFill="1" applyAlignment="1">
      <alignment horizontal="center" wrapText="1"/>
    </xf>
    <xf numFmtId="0" fontId="18" fillId="3" borderId="0" xfId="0" applyFont="1" applyFill="1" applyAlignment="1">
      <alignment horizontal="center"/>
    </xf>
    <xf numFmtId="0" fontId="19" fillId="3" borderId="0" xfId="0" applyFont="1" applyFill="1" applyAlignment="1">
      <alignment horizontal="left" wrapText="1" indent="1"/>
    </xf>
    <xf numFmtId="0" fontId="23" fillId="3" borderId="0" xfId="0" applyFont="1" applyFill="1" applyAlignment="1">
      <alignment horizontal="left" wrapText="1"/>
    </xf>
    <xf numFmtId="0" fontId="21" fillId="3" borderId="0" xfId="0" applyFont="1" applyFill="1" applyAlignment="1"/>
    <xf numFmtId="0" fontId="26" fillId="0" borderId="39" xfId="0" applyFont="1" applyBorder="1"/>
    <xf numFmtId="0" fontId="14" fillId="0" borderId="40" xfId="0" applyFont="1" applyBorder="1"/>
    <xf numFmtId="0" fontId="14" fillId="0" borderId="41" xfId="0" applyFont="1" applyBorder="1"/>
    <xf numFmtId="0" fontId="14" fillId="0" borderId="38" xfId="0" applyFont="1" applyBorder="1"/>
    <xf numFmtId="0" fontId="14" fillId="0" borderId="42" xfId="0" applyFont="1" applyBorder="1"/>
    <xf numFmtId="0" fontId="26" fillId="0" borderId="38" xfId="0" applyFont="1" applyBorder="1" applyAlignment="1">
      <alignment horizontal="left" indent="3"/>
    </xf>
    <xf numFmtId="0" fontId="14" fillId="0" borderId="38" xfId="0" applyFont="1" applyBorder="1" applyAlignment="1">
      <alignment horizontal="left" indent="3"/>
    </xf>
    <xf numFmtId="0" fontId="14" fillId="0" borderId="0" xfId="0" applyFont="1" applyAlignment="1">
      <alignment horizontal="center" wrapText="1"/>
    </xf>
    <xf numFmtId="0" fontId="14" fillId="0" borderId="42" xfId="0" applyFont="1" applyBorder="1" applyAlignment="1">
      <alignment horizontal="center" wrapText="1"/>
    </xf>
    <xf numFmtId="0" fontId="14" fillId="0" borderId="43" xfId="0" applyFont="1" applyBorder="1" applyAlignment="1">
      <alignment horizontal="left" indent="3"/>
    </xf>
    <xf numFmtId="0" fontId="14" fillId="0" borderId="44" xfId="0" applyFont="1" applyBorder="1"/>
    <xf numFmtId="0" fontId="14" fillId="0" borderId="45" xfId="0" applyFont="1" applyBorder="1"/>
    <xf numFmtId="0" fontId="28" fillId="3" borderId="5" xfId="0" applyFont="1" applyFill="1" applyBorder="1" applyAlignment="1">
      <alignment horizontal="right" vertical="center"/>
    </xf>
    <xf numFmtId="0" fontId="28" fillId="3" borderId="7" xfId="0" applyFont="1" applyFill="1" applyBorder="1" applyAlignment="1">
      <alignment vertical="center"/>
    </xf>
    <xf numFmtId="0" fontId="28" fillId="3" borderId="0" xfId="0" applyFont="1" applyFill="1" applyBorder="1" applyAlignment="1">
      <alignment vertical="center"/>
    </xf>
    <xf numFmtId="0" fontId="30" fillId="3" borderId="0" xfId="0" applyFont="1" applyFill="1" applyBorder="1" applyAlignment="1">
      <alignment horizontal="left" vertical="center"/>
    </xf>
    <xf numFmtId="0" fontId="29" fillId="3" borderId="0" xfId="0" applyFont="1" applyFill="1" applyBorder="1" applyAlignment="1">
      <alignment horizontal="left" vertical="center" wrapText="1" indent="1"/>
    </xf>
    <xf numFmtId="0" fontId="27" fillId="3" borderId="2" xfId="5" applyFont="1" applyFill="1" applyBorder="1" applyAlignment="1">
      <alignment horizontal="center" vertical="center"/>
    </xf>
    <xf numFmtId="0" fontId="27" fillId="3" borderId="35" xfId="5" applyFont="1" applyFill="1" applyBorder="1" applyAlignment="1">
      <alignment horizontal="center" vertical="center" wrapText="1"/>
    </xf>
    <xf numFmtId="0" fontId="27" fillId="3" borderId="3" xfId="5" applyFont="1" applyFill="1" applyBorder="1" applyAlignment="1">
      <alignment horizontal="center" vertical="center"/>
    </xf>
    <xf numFmtId="0" fontId="27" fillId="3" borderId="3" xfId="5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/>
    </xf>
    <xf numFmtId="0" fontId="33" fillId="3" borderId="0" xfId="0" applyFont="1" applyFill="1" applyBorder="1" applyAlignment="1">
      <alignment vertical="center"/>
    </xf>
    <xf numFmtId="0" fontId="34" fillId="3" borderId="0" xfId="0" applyFont="1" applyFill="1" applyBorder="1" applyAlignment="1">
      <alignment vertical="center"/>
    </xf>
    <xf numFmtId="166" fontId="27" fillId="3" borderId="3" xfId="6" applyNumberFormat="1" applyFont="1" applyFill="1" applyBorder="1" applyAlignment="1" applyProtection="1">
      <alignment horizontal="center" vertical="center" wrapText="1"/>
    </xf>
    <xf numFmtId="1" fontId="28" fillId="3" borderId="0" xfId="0" applyNumberFormat="1" applyFont="1" applyFill="1" applyBorder="1" applyAlignment="1">
      <alignment vertical="center"/>
    </xf>
    <xf numFmtId="1" fontId="29" fillId="3" borderId="0" xfId="0" applyNumberFormat="1" applyFont="1" applyFill="1" applyBorder="1" applyAlignment="1">
      <alignment horizontal="left" vertical="center" wrapText="1" indent="1"/>
    </xf>
    <xf numFmtId="1" fontId="27" fillId="3" borderId="4" xfId="5" applyNumberFormat="1" applyFont="1" applyFill="1" applyBorder="1" applyAlignment="1">
      <alignment horizontal="center" vertical="center"/>
    </xf>
    <xf numFmtId="1" fontId="5" fillId="3" borderId="0" xfId="0" applyNumberFormat="1" applyFont="1" applyFill="1" applyBorder="1" applyAlignment="1">
      <alignment vertical="center"/>
    </xf>
    <xf numFmtId="169" fontId="14" fillId="0" borderId="0" xfId="0" applyNumberFormat="1" applyFont="1"/>
    <xf numFmtId="0" fontId="2" fillId="3" borderId="33" xfId="6" applyFont="1" applyFill="1" applyBorder="1" applyAlignment="1">
      <alignment horizontal="center" vertical="center" wrapText="1"/>
    </xf>
    <xf numFmtId="0" fontId="23" fillId="3" borderId="47" xfId="0" applyFont="1" applyFill="1" applyBorder="1" applyAlignment="1">
      <alignment horizontal="center" vertical="center" wrapText="1"/>
    </xf>
    <xf numFmtId="0" fontId="23" fillId="3" borderId="48" xfId="0" applyFont="1" applyFill="1" applyBorder="1" applyAlignment="1">
      <alignment horizontal="center" vertical="center" wrapText="1"/>
    </xf>
    <xf numFmtId="0" fontId="23" fillId="3" borderId="49" xfId="0" applyFont="1" applyFill="1" applyBorder="1" applyAlignment="1">
      <alignment horizontal="center" vertical="center" wrapText="1"/>
    </xf>
    <xf numFmtId="0" fontId="29" fillId="3" borderId="50" xfId="0" applyFont="1" applyFill="1" applyBorder="1" applyAlignment="1">
      <alignment horizontal="right" vertical="center"/>
    </xf>
    <xf numFmtId="169" fontId="18" fillId="3" borderId="0" xfId="0" applyNumberFormat="1" applyFont="1" applyFill="1"/>
    <xf numFmtId="169" fontId="21" fillId="3" borderId="0" xfId="0" applyNumberFormat="1" applyFont="1" applyFill="1" applyAlignment="1"/>
    <xf numFmtId="169" fontId="23" fillId="3" borderId="15" xfId="0" applyNumberFormat="1" applyFont="1" applyFill="1" applyBorder="1" applyAlignment="1">
      <alignment horizontal="center" vertical="center" wrapText="1"/>
    </xf>
    <xf numFmtId="169" fontId="5" fillId="0" borderId="0" xfId="0" applyNumberFormat="1" applyFont="1" applyBorder="1" applyAlignment="1">
      <alignment vertical="center"/>
    </xf>
    <xf numFmtId="170" fontId="0" fillId="0" borderId="0" xfId="0" applyNumberFormat="1" applyBorder="1" applyAlignment="1">
      <alignment horizontal="center" vertical="center"/>
    </xf>
    <xf numFmtId="0" fontId="36" fillId="3" borderId="0" xfId="0" applyFont="1" applyFill="1"/>
    <xf numFmtId="1" fontId="27" fillId="3" borderId="51" xfId="5" applyNumberFormat="1" applyFont="1" applyFill="1" applyBorder="1" applyAlignment="1">
      <alignment horizontal="center" vertical="center"/>
    </xf>
    <xf numFmtId="1" fontId="27" fillId="3" borderId="36" xfId="5" applyNumberFormat="1" applyFont="1" applyFill="1" applyBorder="1" applyAlignment="1">
      <alignment horizontal="center" vertical="center"/>
    </xf>
    <xf numFmtId="169" fontId="3" fillId="3" borderId="52" xfId="6" applyNumberFormat="1" applyFont="1" applyFill="1" applyBorder="1" applyAlignment="1">
      <alignment horizontal="center" vertical="center" wrapText="1"/>
    </xf>
    <xf numFmtId="169" fontId="3" fillId="3" borderId="34" xfId="6" applyNumberFormat="1" applyFont="1" applyFill="1" applyBorder="1" applyAlignment="1">
      <alignment horizontal="center" vertical="center" wrapText="1"/>
    </xf>
    <xf numFmtId="170" fontId="25" fillId="0" borderId="53" xfId="0" applyNumberFormat="1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" fillId="3" borderId="33" xfId="6" applyFont="1" applyFill="1" applyBorder="1" applyAlignment="1">
      <alignment horizontal="center" vertical="center" wrapText="1"/>
    </xf>
    <xf numFmtId="0" fontId="1" fillId="3" borderId="3" xfId="6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0" fontId="26" fillId="0" borderId="38" xfId="0" applyFont="1" applyBorder="1" applyAlignment="1"/>
    <xf numFmtId="0" fontId="14" fillId="0" borderId="0" xfId="0" applyFont="1" applyAlignment="1">
      <alignment vertical="center" wrapText="1"/>
    </xf>
    <xf numFmtId="0" fontId="14" fillId="0" borderId="42" xfId="0" applyFont="1" applyBorder="1" applyAlignment="1">
      <alignment vertical="center" wrapText="1"/>
    </xf>
    <xf numFmtId="0" fontId="14" fillId="0" borderId="38" xfId="0" applyFont="1" applyBorder="1" applyAlignment="1"/>
    <xf numFmtId="0" fontId="23" fillId="3" borderId="54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166" fontId="5" fillId="0" borderId="0" xfId="0" applyNumberFormat="1" applyFont="1" applyBorder="1" applyAlignment="1">
      <alignment vertical="center"/>
    </xf>
    <xf numFmtId="0" fontId="14" fillId="0" borderId="0" xfId="0" applyFont="1" applyBorder="1"/>
    <xf numFmtId="0" fontId="18" fillId="3" borderId="0" xfId="0" applyFont="1" applyFill="1" applyBorder="1"/>
    <xf numFmtId="169" fontId="14" fillId="0" borderId="0" xfId="0" applyNumberFormat="1" applyFont="1" applyBorder="1"/>
    <xf numFmtId="0" fontId="14" fillId="0" borderId="0" xfId="0" applyFont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22" fillId="3" borderId="0" xfId="0" applyFont="1" applyFill="1" applyBorder="1" applyAlignment="1">
      <alignment horizontal="left" vertical="center" wrapText="1"/>
    </xf>
    <xf numFmtId="0" fontId="19" fillId="3" borderId="0" xfId="0" applyFont="1" applyFill="1" applyAlignment="1">
      <alignment horizontal="left" wrapText="1" indent="1"/>
    </xf>
    <xf numFmtId="0" fontId="28" fillId="3" borderId="0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left" vertical="center" wrapText="1"/>
    </xf>
    <xf numFmtId="0" fontId="29" fillId="3" borderId="9" xfId="0" applyFont="1" applyFill="1" applyBorder="1" applyAlignment="1">
      <alignment horizontal="left" vertical="center" wrapText="1" indent="1"/>
    </xf>
    <xf numFmtId="0" fontId="30" fillId="3" borderId="10" xfId="0" applyFont="1" applyFill="1" applyBorder="1" applyAlignment="1">
      <alignment horizontal="left" vertical="center" wrapText="1"/>
    </xf>
    <xf numFmtId="0" fontId="30" fillId="3" borderId="11" xfId="0" applyFont="1" applyFill="1" applyBorder="1" applyAlignment="1">
      <alignment horizontal="left" vertical="center"/>
    </xf>
    <xf numFmtId="0" fontId="29" fillId="3" borderId="12" xfId="0" applyFont="1" applyFill="1" applyBorder="1" applyAlignment="1">
      <alignment horizontal="left" vertical="center" wrapText="1" indent="1"/>
    </xf>
    <xf numFmtId="0" fontId="31" fillId="3" borderId="11" xfId="0" applyFont="1" applyFill="1" applyBorder="1" applyAlignment="1">
      <alignment horizontal="center" vertical="center"/>
    </xf>
    <xf numFmtId="0" fontId="31" fillId="3" borderId="29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 wrapText="1"/>
    </xf>
    <xf numFmtId="0" fontId="31" fillId="3" borderId="30" xfId="0" applyFont="1" applyFill="1" applyBorder="1" applyAlignment="1">
      <alignment horizontal="center" vertical="center" wrapText="1"/>
    </xf>
    <xf numFmtId="1" fontId="31" fillId="3" borderId="12" xfId="0" applyNumberFormat="1" applyFont="1" applyFill="1" applyBorder="1" applyAlignment="1">
      <alignment horizontal="center" vertical="center" wrapText="1"/>
    </xf>
    <xf numFmtId="1" fontId="31" fillId="3" borderId="31" xfId="0" applyNumberFormat="1" applyFont="1" applyFill="1" applyBorder="1" applyAlignment="1">
      <alignment horizontal="center" vertical="center" wrapText="1"/>
    </xf>
    <xf numFmtId="165" fontId="5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29" fillId="3" borderId="32" xfId="0" applyFont="1" applyFill="1" applyBorder="1" applyAlignment="1">
      <alignment horizontal="left" vertical="center" wrapText="1" indent="1"/>
    </xf>
    <xf numFmtId="0" fontId="29" fillId="3" borderId="43" xfId="0" applyFont="1" applyFill="1" applyBorder="1" applyAlignment="1">
      <alignment horizontal="left" vertical="center" wrapText="1" indent="1"/>
    </xf>
    <xf numFmtId="166" fontId="32" fillId="3" borderId="37" xfId="0" applyNumberFormat="1" applyFont="1" applyFill="1" applyBorder="1" applyAlignment="1">
      <alignment horizontal="center" vertical="center"/>
    </xf>
    <xf numFmtId="166" fontId="32" fillId="3" borderId="3" xfId="0" applyNumberFormat="1" applyFont="1" applyFill="1" applyBorder="1" applyAlignment="1">
      <alignment horizontal="center" vertical="center"/>
    </xf>
    <xf numFmtId="0" fontId="27" fillId="3" borderId="3" xfId="5" applyFont="1" applyFill="1" applyBorder="1" applyAlignment="1">
      <alignment horizontal="left" vertical="center" wrapText="1"/>
    </xf>
    <xf numFmtId="0" fontId="12" fillId="0" borderId="16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indent="1"/>
    </xf>
    <xf numFmtId="0" fontId="11" fillId="0" borderId="6" xfId="0" applyFont="1" applyBorder="1" applyAlignment="1">
      <alignment horizontal="left"/>
    </xf>
    <xf numFmtId="0" fontId="10" fillId="0" borderId="17" xfId="0" applyFont="1" applyBorder="1" applyAlignment="1"/>
    <xf numFmtId="0" fontId="10" fillId="0" borderId="18" xfId="0" applyFont="1" applyBorder="1" applyAlignment="1">
      <alignment horizontal="left" vertical="center" wrapText="1" indent="1"/>
    </xf>
    <xf numFmtId="0" fontId="0" fillId="0" borderId="14" xfId="0" applyFont="1" applyBorder="1" applyAlignment="1">
      <alignment horizontal="center"/>
    </xf>
    <xf numFmtId="3" fontId="8" fillId="0" borderId="15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5" fillId="0" borderId="6" xfId="0" applyFont="1" applyBorder="1" applyAlignment="1"/>
    <xf numFmtId="0" fontId="10" fillId="0" borderId="25" xfId="0" applyFont="1" applyFill="1" applyBorder="1" applyAlignment="1">
      <alignment horizontal="left" vertical="center" wrapText="1" indent="1"/>
    </xf>
    <xf numFmtId="0" fontId="15" fillId="0" borderId="25" xfId="0" applyFont="1" applyBorder="1" applyAlignment="1">
      <alignment horizontal="left" vertical="center" wrapText="1"/>
    </xf>
    <xf numFmtId="0" fontId="13" fillId="0" borderId="16" xfId="0" applyFont="1" applyBorder="1" applyAlignment="1"/>
    <xf numFmtId="0" fontId="0" fillId="0" borderId="16" xfId="0" applyBorder="1" applyAlignment="1"/>
    <xf numFmtId="0" fontId="8" fillId="0" borderId="14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</cellXfs>
  <cellStyles count="7">
    <cellStyle name="Buena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03"/>
  <sheetViews>
    <sheetView tabSelected="1" zoomScale="70" zoomScaleNormal="70" workbookViewId="0">
      <selection activeCell="H30" sqref="H30"/>
    </sheetView>
  </sheetViews>
  <sheetFormatPr baseColWidth="10" defaultColWidth="11" defaultRowHeight="12.75" x14ac:dyDescent="0.2"/>
  <cols>
    <col min="1" max="1" width="7" style="24" customWidth="1"/>
    <col min="2" max="2" width="16.85546875" style="24" customWidth="1"/>
    <col min="3" max="3" width="18.5703125" style="24" customWidth="1"/>
    <col min="4" max="4" width="12.140625" style="24" customWidth="1"/>
    <col min="5" max="5" width="79" style="28" customWidth="1"/>
    <col min="6" max="6" width="11" style="24"/>
    <col min="7" max="7" width="12.7109375" style="24" customWidth="1"/>
    <col min="8" max="8" width="13.85546875" style="71" customWidth="1"/>
    <col min="9" max="9" width="27" style="67" customWidth="1"/>
    <col min="10" max="16384" width="11" style="18"/>
  </cols>
  <sheetData>
    <row r="2" spans="1:9" ht="27" x14ac:dyDescent="0.35">
      <c r="E2" s="31" t="s">
        <v>0</v>
      </c>
      <c r="F2" s="31"/>
      <c r="G2" s="31"/>
      <c r="I2" s="68"/>
    </row>
    <row r="4" spans="1:9" ht="18" customHeight="1" x14ac:dyDescent="0.25">
      <c r="A4" s="101" t="s">
        <v>1</v>
      </c>
      <c r="B4" s="101"/>
      <c r="C4" s="101"/>
      <c r="D4" s="101"/>
      <c r="E4" s="102" t="s">
        <v>58</v>
      </c>
      <c r="F4" s="102"/>
      <c r="G4" s="102"/>
    </row>
    <row r="5" spans="1:9" ht="18" customHeight="1" x14ac:dyDescent="0.25">
      <c r="A5" s="101" t="s">
        <v>2</v>
      </c>
      <c r="B5" s="101"/>
      <c r="C5" s="101"/>
      <c r="D5" s="101"/>
      <c r="E5" s="102" t="s">
        <v>52</v>
      </c>
      <c r="F5" s="102"/>
      <c r="G5" s="102"/>
    </row>
    <row r="6" spans="1:9" ht="16.5" customHeight="1" x14ac:dyDescent="0.25">
      <c r="A6" s="101" t="s">
        <v>3</v>
      </c>
      <c r="B6" s="101"/>
      <c r="C6" s="101"/>
      <c r="D6" s="101"/>
      <c r="E6" s="29">
        <v>2021</v>
      </c>
      <c r="F6" s="30"/>
      <c r="G6" s="27"/>
    </row>
    <row r="7" spans="1:9" ht="16.5" customHeight="1" x14ac:dyDescent="0.25">
      <c r="A7" s="101" t="s">
        <v>4</v>
      </c>
      <c r="B7" s="101"/>
      <c r="C7" s="101"/>
      <c r="D7" s="101"/>
      <c r="E7" s="29" t="s">
        <v>73</v>
      </c>
      <c r="F7" s="30"/>
      <c r="G7" s="27"/>
    </row>
    <row r="8" spans="1:9" ht="13.5" thickBot="1" x14ac:dyDescent="0.25">
      <c r="E8" s="26"/>
      <c r="F8" s="25"/>
      <c r="G8" s="26"/>
    </row>
    <row r="9" spans="1:9" ht="39" thickBot="1" x14ac:dyDescent="0.25">
      <c r="A9" s="63" t="s">
        <v>5</v>
      </c>
      <c r="B9" s="87" t="s">
        <v>6</v>
      </c>
      <c r="C9" s="87" t="s">
        <v>50</v>
      </c>
      <c r="D9" s="64" t="s">
        <v>51</v>
      </c>
      <c r="E9" s="87" t="s">
        <v>7</v>
      </c>
      <c r="F9" s="64" t="s">
        <v>8</v>
      </c>
      <c r="G9" s="65" t="s">
        <v>9</v>
      </c>
      <c r="H9" s="77" t="s">
        <v>10</v>
      </c>
      <c r="I9" s="69" t="s">
        <v>11</v>
      </c>
    </row>
    <row r="10" spans="1:9" ht="42" customHeight="1" thickBot="1" x14ac:dyDescent="0.25">
      <c r="A10" s="88">
        <v>1</v>
      </c>
      <c r="B10" s="20" t="s">
        <v>64</v>
      </c>
      <c r="C10" s="20" t="s">
        <v>65</v>
      </c>
      <c r="D10" s="62" t="str">
        <f>LEFT(B10,5)</f>
        <v>3.2.2</v>
      </c>
      <c r="E10" s="20" t="s">
        <v>63</v>
      </c>
      <c r="F10" s="80" t="s">
        <v>62</v>
      </c>
      <c r="G10" s="73">
        <v>3</v>
      </c>
      <c r="H10" s="56">
        <v>167200</v>
      </c>
      <c r="I10" s="75">
        <f t="shared" ref="I10:I11" si="0">G10*H10</f>
        <v>501600</v>
      </c>
    </row>
    <row r="11" spans="1:9" ht="42" customHeight="1" x14ac:dyDescent="0.2">
      <c r="A11" s="89">
        <v>2</v>
      </c>
      <c r="B11" s="20" t="s">
        <v>64</v>
      </c>
      <c r="C11" s="20" t="s">
        <v>65</v>
      </c>
      <c r="D11" s="62" t="str">
        <f t="shared" ref="D11" si="1">LEFT(B11,5)</f>
        <v>3.2.2</v>
      </c>
      <c r="E11" s="20" t="s">
        <v>63</v>
      </c>
      <c r="F11" s="81" t="s">
        <v>62</v>
      </c>
      <c r="G11" s="74">
        <v>3</v>
      </c>
      <c r="H11" s="56">
        <v>136400</v>
      </c>
      <c r="I11" s="76">
        <f t="shared" si="0"/>
        <v>409200</v>
      </c>
    </row>
    <row r="12" spans="1:9" ht="12" customHeight="1" x14ac:dyDescent="0.2">
      <c r="E12" s="24"/>
      <c r="I12" s="61"/>
    </row>
    <row r="13" spans="1:9" ht="15.75" x14ac:dyDescent="0.25">
      <c r="B13" s="72"/>
      <c r="E13" s="24"/>
      <c r="I13" s="61"/>
    </row>
    <row r="14" spans="1:9" x14ac:dyDescent="0.2">
      <c r="E14" s="24"/>
      <c r="I14" s="61"/>
    </row>
    <row r="15" spans="1:9" x14ac:dyDescent="0.2">
      <c r="E15" s="24"/>
      <c r="I15" s="70"/>
    </row>
    <row r="16" spans="1:9" x14ac:dyDescent="0.2">
      <c r="E16" s="24"/>
      <c r="I16" s="61"/>
    </row>
    <row r="17" spans="1:9" ht="13.5" thickBot="1" x14ac:dyDescent="0.25">
      <c r="A17" s="18"/>
      <c r="B17" s="18"/>
      <c r="C17" s="18"/>
      <c r="D17" s="18"/>
      <c r="E17" s="18"/>
      <c r="F17" s="18"/>
      <c r="I17" s="61"/>
    </row>
    <row r="18" spans="1:9" x14ac:dyDescent="0.2">
      <c r="A18" s="18"/>
      <c r="B18" s="32" t="s">
        <v>57</v>
      </c>
      <c r="C18" s="33"/>
      <c r="D18" s="33"/>
      <c r="E18" s="34"/>
      <c r="F18" s="18"/>
      <c r="I18" s="61"/>
    </row>
    <row r="19" spans="1:9" x14ac:dyDescent="0.2">
      <c r="A19" s="18"/>
      <c r="B19" s="35"/>
      <c r="C19" s="18"/>
      <c r="D19" s="18"/>
      <c r="E19" s="36"/>
      <c r="F19" s="18"/>
      <c r="I19" s="61"/>
    </row>
    <row r="20" spans="1:9" x14ac:dyDescent="0.2">
      <c r="A20" s="18"/>
      <c r="B20" s="83" t="s">
        <v>53</v>
      </c>
      <c r="C20" s="97" t="s">
        <v>60</v>
      </c>
      <c r="D20" s="97"/>
      <c r="E20" s="97"/>
      <c r="F20" s="84"/>
      <c r="G20" s="85"/>
      <c r="I20" s="61"/>
    </row>
    <row r="21" spans="1:9" x14ac:dyDescent="0.2">
      <c r="A21" s="18"/>
      <c r="B21" s="37"/>
      <c r="C21" s="97" t="s">
        <v>79</v>
      </c>
      <c r="D21" s="97"/>
      <c r="E21" s="98"/>
      <c r="F21" s="18"/>
      <c r="I21" s="61"/>
    </row>
    <row r="22" spans="1:9" x14ac:dyDescent="0.2">
      <c r="A22" s="18"/>
      <c r="B22" s="37"/>
      <c r="C22" s="94"/>
      <c r="D22" s="94"/>
      <c r="E22" s="95"/>
      <c r="F22" s="18"/>
      <c r="I22" s="61"/>
    </row>
    <row r="23" spans="1:9" x14ac:dyDescent="0.2">
      <c r="A23" s="18"/>
      <c r="B23" s="83" t="s">
        <v>67</v>
      </c>
      <c r="C23" s="100" t="s">
        <v>84</v>
      </c>
      <c r="D23" s="100"/>
      <c r="E23" s="96"/>
      <c r="F23" s="18"/>
      <c r="I23" s="61"/>
    </row>
    <row r="24" spans="1:9" x14ac:dyDescent="0.2">
      <c r="A24" s="18"/>
      <c r="B24" s="37"/>
      <c r="C24" s="18"/>
      <c r="D24" s="79"/>
      <c r="E24" s="78"/>
      <c r="F24" s="18"/>
      <c r="I24" s="61"/>
    </row>
    <row r="25" spans="1:9" x14ac:dyDescent="0.2">
      <c r="A25" s="18"/>
      <c r="B25" s="83" t="s">
        <v>68</v>
      </c>
      <c r="C25" s="96" t="s">
        <v>70</v>
      </c>
      <c r="D25" s="96"/>
      <c r="E25" s="96"/>
      <c r="F25" s="18"/>
      <c r="I25" s="61"/>
    </row>
    <row r="26" spans="1:9" x14ac:dyDescent="0.2">
      <c r="A26" s="18"/>
      <c r="B26" s="38"/>
      <c r="C26" s="96"/>
      <c r="D26" s="96"/>
      <c r="E26" s="96"/>
      <c r="F26" s="18"/>
      <c r="I26" s="61"/>
    </row>
    <row r="27" spans="1:9" x14ac:dyDescent="0.2">
      <c r="A27" s="18"/>
      <c r="B27" s="38"/>
      <c r="C27" s="82"/>
      <c r="D27" s="82"/>
      <c r="E27" s="78"/>
      <c r="F27" s="18"/>
      <c r="I27" s="61"/>
    </row>
    <row r="28" spans="1:9" x14ac:dyDescent="0.2">
      <c r="A28" s="18"/>
      <c r="B28" s="83" t="s">
        <v>54</v>
      </c>
      <c r="C28" s="18"/>
      <c r="D28" s="18"/>
      <c r="E28" s="36"/>
      <c r="F28" s="18"/>
      <c r="I28" s="61"/>
    </row>
    <row r="29" spans="1:9" x14ac:dyDescent="0.2">
      <c r="A29" s="18"/>
      <c r="B29" s="86"/>
      <c r="C29" s="99"/>
      <c r="D29" s="99"/>
      <c r="E29" s="99"/>
      <c r="F29" s="18"/>
      <c r="I29" s="61"/>
    </row>
    <row r="30" spans="1:9" x14ac:dyDescent="0.2">
      <c r="A30" s="18"/>
      <c r="B30" s="83" t="s">
        <v>55</v>
      </c>
      <c r="C30" s="39"/>
      <c r="D30" s="39"/>
      <c r="E30" s="40"/>
      <c r="F30" s="18"/>
      <c r="I30" s="61"/>
    </row>
    <row r="31" spans="1:9" x14ac:dyDescent="0.2">
      <c r="A31" s="18"/>
      <c r="B31" s="86"/>
      <c r="C31" s="99" t="s">
        <v>82</v>
      </c>
      <c r="D31" s="99"/>
      <c r="E31" s="99"/>
      <c r="F31" s="18"/>
      <c r="I31" s="61"/>
    </row>
    <row r="32" spans="1:9" x14ac:dyDescent="0.2">
      <c r="A32" s="18"/>
      <c r="B32" s="83" t="s">
        <v>56</v>
      </c>
      <c r="C32" s="18"/>
      <c r="D32" s="18"/>
      <c r="E32" s="36"/>
      <c r="F32" s="18"/>
      <c r="I32" s="61"/>
    </row>
    <row r="33" spans="1:9" x14ac:dyDescent="0.2">
      <c r="A33" s="18"/>
      <c r="B33" s="37"/>
      <c r="C33" s="96"/>
      <c r="D33" s="96"/>
      <c r="E33" s="96"/>
      <c r="F33" s="18"/>
      <c r="I33" s="61"/>
    </row>
    <row r="34" spans="1:9" ht="13.5" thickBot="1" x14ac:dyDescent="0.25">
      <c r="A34" s="18"/>
      <c r="B34" s="41"/>
      <c r="C34" s="42"/>
      <c r="D34" s="42"/>
      <c r="E34" s="43"/>
      <c r="F34" s="18"/>
      <c r="I34" s="61"/>
    </row>
    <row r="35" spans="1:9" x14ac:dyDescent="0.2">
      <c r="A35" s="18"/>
      <c r="B35" s="18"/>
      <c r="C35" s="18"/>
      <c r="D35" s="18"/>
      <c r="E35" s="18"/>
      <c r="F35" s="18"/>
      <c r="I35" s="61"/>
    </row>
    <row r="36" spans="1:9" ht="13.5" thickBot="1" x14ac:dyDescent="0.25">
      <c r="A36" s="18"/>
      <c r="B36" s="18"/>
      <c r="C36" s="18"/>
      <c r="D36" s="18"/>
      <c r="E36" s="18"/>
      <c r="F36" s="18"/>
      <c r="I36" s="61"/>
    </row>
    <row r="37" spans="1:9" x14ac:dyDescent="0.2">
      <c r="A37" s="18"/>
      <c r="B37" s="32" t="s">
        <v>66</v>
      </c>
      <c r="C37" s="33"/>
      <c r="D37" s="33"/>
      <c r="E37" s="34"/>
      <c r="F37" s="18"/>
      <c r="I37" s="61"/>
    </row>
    <row r="38" spans="1:9" x14ac:dyDescent="0.2">
      <c r="A38" s="18"/>
      <c r="B38" s="35"/>
      <c r="C38" s="18"/>
      <c r="D38" s="18"/>
      <c r="E38" s="36"/>
      <c r="F38" s="18"/>
      <c r="I38" s="61"/>
    </row>
    <row r="39" spans="1:9" x14ac:dyDescent="0.2">
      <c r="A39" s="18"/>
      <c r="B39" s="83" t="s">
        <v>53</v>
      </c>
      <c r="C39" s="97" t="s">
        <v>61</v>
      </c>
      <c r="D39" s="97"/>
      <c r="E39" s="98"/>
      <c r="F39" s="18"/>
      <c r="I39" s="61"/>
    </row>
    <row r="40" spans="1:9" x14ac:dyDescent="0.2">
      <c r="A40" s="18"/>
      <c r="B40" s="83"/>
      <c r="C40" s="97" t="s">
        <v>80</v>
      </c>
      <c r="D40" s="97"/>
      <c r="E40" s="98"/>
      <c r="F40" s="18"/>
      <c r="I40" s="61"/>
    </row>
    <row r="41" spans="1:9" x14ac:dyDescent="0.2">
      <c r="A41" s="18"/>
      <c r="B41" s="83"/>
      <c r="C41" s="94"/>
      <c r="D41" s="94"/>
      <c r="E41" s="95"/>
      <c r="F41" s="18"/>
      <c r="I41" s="61"/>
    </row>
    <row r="42" spans="1:9" x14ac:dyDescent="0.2">
      <c r="A42" s="18"/>
      <c r="B42" s="83" t="s">
        <v>69</v>
      </c>
      <c r="C42" s="100" t="s">
        <v>81</v>
      </c>
      <c r="D42" s="100"/>
      <c r="E42" s="96"/>
      <c r="F42" s="18"/>
      <c r="I42" s="61"/>
    </row>
    <row r="43" spans="1:9" x14ac:dyDescent="0.2">
      <c r="A43" s="18"/>
      <c r="B43" s="83"/>
      <c r="C43" s="79"/>
      <c r="D43" s="79"/>
      <c r="E43" s="78"/>
      <c r="F43" s="18"/>
      <c r="I43" s="61"/>
    </row>
    <row r="44" spans="1:9" x14ac:dyDescent="0.2">
      <c r="A44" s="18"/>
      <c r="B44" s="83" t="s">
        <v>68</v>
      </c>
      <c r="C44" s="96" t="s">
        <v>70</v>
      </c>
      <c r="D44" s="96"/>
      <c r="E44" s="96"/>
      <c r="F44" s="18"/>
      <c r="I44" s="61"/>
    </row>
    <row r="45" spans="1:9" x14ac:dyDescent="0.2">
      <c r="A45" s="18"/>
      <c r="B45" s="86"/>
      <c r="C45" s="96"/>
      <c r="D45" s="96"/>
      <c r="E45" s="96"/>
      <c r="F45" s="18"/>
      <c r="I45" s="61"/>
    </row>
    <row r="46" spans="1:9" x14ac:dyDescent="0.2">
      <c r="A46" s="18"/>
      <c r="B46" s="83" t="s">
        <v>54</v>
      </c>
      <c r="C46" s="18"/>
      <c r="D46" s="18"/>
      <c r="E46" s="36"/>
      <c r="F46" s="18"/>
      <c r="I46" s="61"/>
    </row>
    <row r="47" spans="1:9" x14ac:dyDescent="0.2">
      <c r="A47" s="18"/>
      <c r="B47" s="86"/>
      <c r="C47" s="99"/>
      <c r="D47" s="99"/>
      <c r="E47" s="99"/>
      <c r="F47" s="18"/>
      <c r="I47" s="61"/>
    </row>
    <row r="48" spans="1:9" x14ac:dyDescent="0.2">
      <c r="A48" s="18"/>
      <c r="B48" s="83" t="s">
        <v>55</v>
      </c>
      <c r="C48" s="39"/>
      <c r="D48" s="39"/>
      <c r="E48" s="40"/>
      <c r="F48" s="18"/>
      <c r="I48" s="61"/>
    </row>
    <row r="49" spans="1:9" x14ac:dyDescent="0.2">
      <c r="A49" s="18"/>
      <c r="B49" s="86"/>
      <c r="C49" s="99" t="s">
        <v>82</v>
      </c>
      <c r="D49" s="99"/>
      <c r="E49" s="99"/>
      <c r="F49" s="18"/>
      <c r="I49" s="61"/>
    </row>
    <row r="50" spans="1:9" x14ac:dyDescent="0.2">
      <c r="A50" s="18"/>
      <c r="B50" s="83" t="s">
        <v>56</v>
      </c>
      <c r="C50" s="18"/>
      <c r="D50" s="18"/>
      <c r="E50" s="36"/>
      <c r="F50" s="18"/>
      <c r="I50" s="61"/>
    </row>
    <row r="51" spans="1:9" x14ac:dyDescent="0.2">
      <c r="A51" s="18"/>
      <c r="B51" s="37"/>
      <c r="C51" s="96"/>
      <c r="D51" s="96"/>
      <c r="E51" s="96"/>
      <c r="F51" s="18"/>
      <c r="I51" s="61"/>
    </row>
    <row r="52" spans="1:9" ht="13.5" thickBot="1" x14ac:dyDescent="0.25">
      <c r="A52" s="18"/>
      <c r="B52" s="41"/>
      <c r="C52" s="42"/>
      <c r="D52" s="42"/>
      <c r="E52" s="43"/>
      <c r="F52" s="18"/>
      <c r="I52" s="61"/>
    </row>
    <row r="53" spans="1:9" x14ac:dyDescent="0.2">
      <c r="A53" s="18"/>
      <c r="B53" s="18"/>
      <c r="C53" s="18"/>
      <c r="D53" s="18"/>
      <c r="E53" s="18"/>
      <c r="F53" s="18"/>
      <c r="I53" s="61"/>
    </row>
    <row r="54" spans="1:9" x14ac:dyDescent="0.2">
      <c r="A54" s="18"/>
      <c r="B54" s="91"/>
      <c r="C54" s="92"/>
      <c r="D54" s="71"/>
      <c r="E54" s="93"/>
      <c r="F54" s="18"/>
      <c r="G54" s="18"/>
      <c r="H54" s="18"/>
      <c r="I54" s="18"/>
    </row>
    <row r="55" spans="1:9" x14ac:dyDescent="0.2">
      <c r="B55" s="92"/>
      <c r="C55" s="92"/>
      <c r="D55" s="71"/>
      <c r="E55" s="93"/>
      <c r="F55" s="18"/>
      <c r="G55" s="18"/>
      <c r="H55" s="18"/>
      <c r="I55" s="18"/>
    </row>
    <row r="56" spans="1:9" ht="12.75" customHeight="1" x14ac:dyDescent="0.2">
      <c r="B56" s="92"/>
      <c r="C56" s="92"/>
      <c r="D56" s="71"/>
      <c r="E56" s="93"/>
      <c r="F56" s="18"/>
      <c r="G56" s="18"/>
      <c r="H56" s="18"/>
      <c r="I56" s="18"/>
    </row>
    <row r="57" spans="1:9" x14ac:dyDescent="0.2">
      <c r="B57" s="92"/>
      <c r="C57" s="92"/>
      <c r="D57" s="71"/>
      <c r="E57" s="93"/>
      <c r="F57" s="18"/>
      <c r="G57" s="18"/>
      <c r="H57" s="18"/>
      <c r="I57" s="18"/>
    </row>
    <row r="58" spans="1:9" x14ac:dyDescent="0.2">
      <c r="B58" s="92"/>
      <c r="C58" s="92"/>
      <c r="D58" s="71"/>
      <c r="E58" s="93"/>
      <c r="F58" s="18"/>
      <c r="G58" s="18"/>
      <c r="H58" s="18"/>
      <c r="I58" s="18"/>
    </row>
    <row r="59" spans="1:9" ht="12.75" customHeight="1" x14ac:dyDescent="0.2">
      <c r="B59" s="92"/>
      <c r="C59" s="92"/>
      <c r="D59" s="71"/>
      <c r="E59" s="93"/>
      <c r="F59" s="18"/>
      <c r="G59" s="18"/>
      <c r="H59" s="18"/>
      <c r="I59" s="18"/>
    </row>
    <row r="60" spans="1:9" x14ac:dyDescent="0.2">
      <c r="B60" s="92"/>
      <c r="C60" s="92"/>
      <c r="D60" s="71"/>
      <c r="E60" s="93"/>
      <c r="F60" s="18"/>
      <c r="G60" s="18"/>
      <c r="H60" s="18"/>
      <c r="I60" s="18"/>
    </row>
    <row r="61" spans="1:9" ht="48.75" customHeight="1" x14ac:dyDescent="0.2">
      <c r="B61" s="92"/>
      <c r="C61" s="92"/>
      <c r="D61" s="71"/>
      <c r="E61" s="93"/>
      <c r="F61" s="18"/>
      <c r="G61" s="18"/>
      <c r="H61" s="18"/>
      <c r="I61" s="18"/>
    </row>
    <row r="62" spans="1:9" x14ac:dyDescent="0.2">
      <c r="B62" s="92"/>
      <c r="C62" s="92"/>
      <c r="D62" s="71"/>
      <c r="E62" s="93"/>
      <c r="F62" s="18"/>
      <c r="G62" s="18"/>
      <c r="H62" s="18"/>
      <c r="I62" s="18"/>
    </row>
    <row r="63" spans="1:9" x14ac:dyDescent="0.2">
      <c r="B63" s="92"/>
      <c r="C63" s="92"/>
      <c r="D63" s="71"/>
      <c r="E63" s="93"/>
      <c r="F63" s="18"/>
      <c r="G63" s="18"/>
      <c r="H63" s="18"/>
      <c r="I63" s="18"/>
    </row>
    <row r="64" spans="1:9" x14ac:dyDescent="0.2">
      <c r="B64" s="92"/>
      <c r="C64" s="92"/>
      <c r="D64" s="71"/>
      <c r="E64" s="93"/>
      <c r="F64" s="18"/>
      <c r="G64" s="18"/>
      <c r="H64" s="18"/>
      <c r="I64" s="18"/>
    </row>
    <row r="65" spans="2:9" x14ac:dyDescent="0.2">
      <c r="B65" s="92"/>
      <c r="C65" s="92"/>
      <c r="D65" s="71"/>
      <c r="E65" s="93"/>
      <c r="F65" s="18"/>
      <c r="G65" s="18"/>
      <c r="H65" s="18"/>
      <c r="I65" s="18"/>
    </row>
    <row r="66" spans="2:9" x14ac:dyDescent="0.2">
      <c r="B66" s="92"/>
      <c r="C66" s="92"/>
      <c r="D66" s="71"/>
      <c r="E66" s="93"/>
      <c r="F66" s="18"/>
      <c r="G66" s="18"/>
      <c r="H66" s="18"/>
      <c r="I66" s="18"/>
    </row>
    <row r="67" spans="2:9" x14ac:dyDescent="0.2">
      <c r="B67" s="92"/>
      <c r="C67" s="92"/>
      <c r="D67" s="71"/>
      <c r="E67" s="93"/>
      <c r="F67" s="18"/>
      <c r="G67" s="18"/>
      <c r="H67" s="18"/>
      <c r="I67" s="18"/>
    </row>
    <row r="68" spans="2:9" x14ac:dyDescent="0.2">
      <c r="B68" s="92"/>
      <c r="C68" s="92"/>
      <c r="D68" s="71"/>
      <c r="E68" s="93"/>
      <c r="F68" s="18"/>
      <c r="G68" s="18"/>
      <c r="H68" s="18"/>
      <c r="I68" s="18"/>
    </row>
    <row r="69" spans="2:9" x14ac:dyDescent="0.2">
      <c r="B69" s="92"/>
      <c r="C69" s="92"/>
      <c r="D69" s="71"/>
      <c r="E69" s="93"/>
      <c r="F69" s="18"/>
      <c r="G69" s="18"/>
      <c r="H69" s="18"/>
      <c r="I69" s="18"/>
    </row>
    <row r="70" spans="2:9" x14ac:dyDescent="0.2">
      <c r="I70" s="61"/>
    </row>
    <row r="71" spans="2:9" x14ac:dyDescent="0.2">
      <c r="I71" s="61"/>
    </row>
    <row r="72" spans="2:9" x14ac:dyDescent="0.2">
      <c r="I72" s="61"/>
    </row>
    <row r="73" spans="2:9" x14ac:dyDescent="0.2">
      <c r="I73" s="61"/>
    </row>
    <row r="74" spans="2:9" x14ac:dyDescent="0.2">
      <c r="I74" s="61"/>
    </row>
    <row r="75" spans="2:9" x14ac:dyDescent="0.2">
      <c r="I75" s="61"/>
    </row>
    <row r="76" spans="2:9" x14ac:dyDescent="0.2">
      <c r="I76" s="61"/>
    </row>
    <row r="77" spans="2:9" x14ac:dyDescent="0.2">
      <c r="I77" s="61"/>
    </row>
    <row r="78" spans="2:9" x14ac:dyDescent="0.2">
      <c r="I78" s="61"/>
    </row>
    <row r="79" spans="2:9" x14ac:dyDescent="0.2">
      <c r="I79" s="61"/>
    </row>
    <row r="80" spans="2:9" x14ac:dyDescent="0.2">
      <c r="I80" s="61"/>
    </row>
    <row r="81" spans="9:9" x14ac:dyDescent="0.2">
      <c r="I81" s="61"/>
    </row>
    <row r="82" spans="9:9" x14ac:dyDescent="0.2">
      <c r="I82" s="61"/>
    </row>
    <row r="83" spans="9:9" x14ac:dyDescent="0.2">
      <c r="I83" s="61"/>
    </row>
    <row r="84" spans="9:9" x14ac:dyDescent="0.2">
      <c r="I84" s="61"/>
    </row>
    <row r="85" spans="9:9" x14ac:dyDescent="0.2">
      <c r="I85" s="61"/>
    </row>
    <row r="86" spans="9:9" x14ac:dyDescent="0.2">
      <c r="I86" s="61"/>
    </row>
    <row r="87" spans="9:9" x14ac:dyDescent="0.2">
      <c r="I87" s="61"/>
    </row>
    <row r="88" spans="9:9" x14ac:dyDescent="0.2">
      <c r="I88" s="61"/>
    </row>
    <row r="89" spans="9:9" x14ac:dyDescent="0.2">
      <c r="I89" s="61"/>
    </row>
    <row r="90" spans="9:9" x14ac:dyDescent="0.2">
      <c r="I90" s="61"/>
    </row>
    <row r="91" spans="9:9" ht="27" customHeight="1" x14ac:dyDescent="0.2">
      <c r="I91" s="61"/>
    </row>
    <row r="92" spans="9:9" x14ac:dyDescent="0.2">
      <c r="I92" s="61"/>
    </row>
    <row r="93" spans="9:9" x14ac:dyDescent="0.2">
      <c r="I93" s="61"/>
    </row>
    <row r="94" spans="9:9" x14ac:dyDescent="0.2">
      <c r="I94" s="61"/>
    </row>
    <row r="95" spans="9:9" x14ac:dyDescent="0.2">
      <c r="I95" s="61"/>
    </row>
    <row r="96" spans="9:9" x14ac:dyDescent="0.2">
      <c r="I96" s="61"/>
    </row>
    <row r="97" spans="9:9" x14ac:dyDescent="0.2">
      <c r="I97" s="61"/>
    </row>
    <row r="98" spans="9:9" x14ac:dyDescent="0.2">
      <c r="I98" s="61"/>
    </row>
    <row r="99" spans="9:9" x14ac:dyDescent="0.2">
      <c r="I99" s="61"/>
    </row>
    <row r="100" spans="9:9" x14ac:dyDescent="0.2">
      <c r="I100" s="61"/>
    </row>
    <row r="101" spans="9:9" x14ac:dyDescent="0.2">
      <c r="I101" s="61"/>
    </row>
    <row r="102" spans="9:9" x14ac:dyDescent="0.2">
      <c r="I102" s="61"/>
    </row>
    <row r="103" spans="9:9" x14ac:dyDescent="0.2">
      <c r="I103" s="61"/>
    </row>
    <row r="104" spans="9:9" x14ac:dyDescent="0.2">
      <c r="I104" s="61"/>
    </row>
    <row r="105" spans="9:9" x14ac:dyDescent="0.2">
      <c r="I105" s="61"/>
    </row>
    <row r="106" spans="9:9" x14ac:dyDescent="0.2">
      <c r="I106" s="61"/>
    </row>
    <row r="107" spans="9:9" x14ac:dyDescent="0.2">
      <c r="I107" s="61"/>
    </row>
    <row r="108" spans="9:9" x14ac:dyDescent="0.2">
      <c r="I108" s="61"/>
    </row>
    <row r="109" spans="9:9" x14ac:dyDescent="0.2">
      <c r="I109" s="61"/>
    </row>
    <row r="110" spans="9:9" x14ac:dyDescent="0.2">
      <c r="I110" s="61"/>
    </row>
    <row r="111" spans="9:9" x14ac:dyDescent="0.2">
      <c r="I111" s="61"/>
    </row>
    <row r="112" spans="9:9" x14ac:dyDescent="0.2">
      <c r="I112" s="61"/>
    </row>
    <row r="113" spans="9:9" x14ac:dyDescent="0.2">
      <c r="I113" s="61"/>
    </row>
    <row r="114" spans="9:9" x14ac:dyDescent="0.2">
      <c r="I114" s="61"/>
    </row>
    <row r="115" spans="9:9" x14ac:dyDescent="0.2">
      <c r="I115" s="61"/>
    </row>
    <row r="116" spans="9:9" x14ac:dyDescent="0.2">
      <c r="I116" s="61"/>
    </row>
    <row r="117" spans="9:9" x14ac:dyDescent="0.2">
      <c r="I117" s="61"/>
    </row>
    <row r="118" spans="9:9" x14ac:dyDescent="0.2">
      <c r="I118" s="61"/>
    </row>
    <row r="119" spans="9:9" x14ac:dyDescent="0.2">
      <c r="I119" s="61"/>
    </row>
    <row r="120" spans="9:9" x14ac:dyDescent="0.2">
      <c r="I120" s="61"/>
    </row>
    <row r="121" spans="9:9" x14ac:dyDescent="0.2">
      <c r="I121" s="61"/>
    </row>
    <row r="122" spans="9:9" x14ac:dyDescent="0.2">
      <c r="I122" s="61"/>
    </row>
    <row r="123" spans="9:9" x14ac:dyDescent="0.2">
      <c r="I123" s="61"/>
    </row>
    <row r="124" spans="9:9" x14ac:dyDescent="0.2">
      <c r="I124" s="61"/>
    </row>
    <row r="125" spans="9:9" x14ac:dyDescent="0.2">
      <c r="I125" s="61"/>
    </row>
    <row r="126" spans="9:9" x14ac:dyDescent="0.2">
      <c r="I126" s="61"/>
    </row>
    <row r="127" spans="9:9" x14ac:dyDescent="0.2">
      <c r="I127" s="61"/>
    </row>
    <row r="128" spans="9:9" x14ac:dyDescent="0.2">
      <c r="I128" s="61"/>
    </row>
    <row r="129" spans="9:9" x14ac:dyDescent="0.2">
      <c r="I129" s="61"/>
    </row>
    <row r="130" spans="9:9" x14ac:dyDescent="0.2">
      <c r="I130" s="61"/>
    </row>
    <row r="131" spans="9:9" x14ac:dyDescent="0.2">
      <c r="I131" s="61"/>
    </row>
    <row r="132" spans="9:9" x14ac:dyDescent="0.2">
      <c r="I132" s="61"/>
    </row>
    <row r="133" spans="9:9" x14ac:dyDescent="0.2">
      <c r="I133" s="61"/>
    </row>
    <row r="134" spans="9:9" x14ac:dyDescent="0.2">
      <c r="I134" s="61"/>
    </row>
    <row r="135" spans="9:9" x14ac:dyDescent="0.2">
      <c r="I135" s="61"/>
    </row>
    <row r="136" spans="9:9" x14ac:dyDescent="0.2">
      <c r="I136" s="61"/>
    </row>
    <row r="137" spans="9:9" x14ac:dyDescent="0.2">
      <c r="I137" s="61"/>
    </row>
    <row r="138" spans="9:9" x14ac:dyDescent="0.2">
      <c r="I138" s="61"/>
    </row>
    <row r="139" spans="9:9" x14ac:dyDescent="0.2">
      <c r="I139" s="61"/>
    </row>
    <row r="140" spans="9:9" x14ac:dyDescent="0.2">
      <c r="I140" s="61"/>
    </row>
    <row r="141" spans="9:9" x14ac:dyDescent="0.2">
      <c r="I141" s="61"/>
    </row>
    <row r="142" spans="9:9" x14ac:dyDescent="0.2">
      <c r="I142" s="61"/>
    </row>
    <row r="143" spans="9:9" x14ac:dyDescent="0.2">
      <c r="I143" s="61"/>
    </row>
    <row r="144" spans="9:9" x14ac:dyDescent="0.2">
      <c r="I144" s="61"/>
    </row>
    <row r="145" spans="9:9" x14ac:dyDescent="0.2">
      <c r="I145" s="61"/>
    </row>
    <row r="146" spans="9:9" x14ac:dyDescent="0.2">
      <c r="I146" s="61"/>
    </row>
    <row r="147" spans="9:9" x14ac:dyDescent="0.2">
      <c r="I147" s="61"/>
    </row>
    <row r="148" spans="9:9" x14ac:dyDescent="0.2">
      <c r="I148" s="61"/>
    </row>
    <row r="149" spans="9:9" x14ac:dyDescent="0.2">
      <c r="I149" s="61"/>
    </row>
    <row r="150" spans="9:9" x14ac:dyDescent="0.2">
      <c r="I150" s="61"/>
    </row>
    <row r="151" spans="9:9" x14ac:dyDescent="0.2">
      <c r="I151" s="61"/>
    </row>
    <row r="152" spans="9:9" x14ac:dyDescent="0.2">
      <c r="I152" s="61"/>
    </row>
    <row r="153" spans="9:9" x14ac:dyDescent="0.2">
      <c r="I153" s="61"/>
    </row>
    <row r="154" spans="9:9" x14ac:dyDescent="0.2">
      <c r="I154" s="61"/>
    </row>
    <row r="155" spans="9:9" x14ac:dyDescent="0.2">
      <c r="I155" s="61"/>
    </row>
    <row r="156" spans="9:9" x14ac:dyDescent="0.2">
      <c r="I156" s="61"/>
    </row>
    <row r="157" spans="9:9" x14ac:dyDescent="0.2">
      <c r="I157" s="61"/>
    </row>
    <row r="158" spans="9:9" x14ac:dyDescent="0.2">
      <c r="I158" s="61"/>
    </row>
    <row r="159" spans="9:9" x14ac:dyDescent="0.2">
      <c r="I159" s="61"/>
    </row>
    <row r="160" spans="9:9" x14ac:dyDescent="0.2">
      <c r="I160" s="61"/>
    </row>
    <row r="161" spans="9:9" x14ac:dyDescent="0.2">
      <c r="I161" s="61"/>
    </row>
    <row r="162" spans="9:9" x14ac:dyDescent="0.2">
      <c r="I162" s="61"/>
    </row>
    <row r="163" spans="9:9" x14ac:dyDescent="0.2">
      <c r="I163" s="61"/>
    </row>
    <row r="164" spans="9:9" x14ac:dyDescent="0.2">
      <c r="I164" s="61"/>
    </row>
    <row r="165" spans="9:9" x14ac:dyDescent="0.2">
      <c r="I165" s="61"/>
    </row>
    <row r="166" spans="9:9" x14ac:dyDescent="0.2">
      <c r="I166" s="61"/>
    </row>
    <row r="167" spans="9:9" x14ac:dyDescent="0.2">
      <c r="I167" s="61"/>
    </row>
    <row r="168" spans="9:9" x14ac:dyDescent="0.2">
      <c r="I168" s="61"/>
    </row>
    <row r="169" spans="9:9" x14ac:dyDescent="0.2">
      <c r="I169" s="61"/>
    </row>
    <row r="170" spans="9:9" x14ac:dyDescent="0.2">
      <c r="I170" s="61"/>
    </row>
    <row r="171" spans="9:9" x14ac:dyDescent="0.2">
      <c r="I171" s="61"/>
    </row>
    <row r="172" spans="9:9" x14ac:dyDescent="0.2">
      <c r="I172" s="61"/>
    </row>
    <row r="173" spans="9:9" x14ac:dyDescent="0.2">
      <c r="I173" s="61"/>
    </row>
    <row r="174" spans="9:9" x14ac:dyDescent="0.2">
      <c r="I174" s="61"/>
    </row>
    <row r="175" spans="9:9" x14ac:dyDescent="0.2">
      <c r="I175" s="61"/>
    </row>
    <row r="176" spans="9:9" x14ac:dyDescent="0.2">
      <c r="I176" s="61"/>
    </row>
    <row r="177" spans="9:9" x14ac:dyDescent="0.2">
      <c r="I177" s="61"/>
    </row>
    <row r="178" spans="9:9" x14ac:dyDescent="0.2">
      <c r="I178" s="61"/>
    </row>
    <row r="179" spans="9:9" x14ac:dyDescent="0.2">
      <c r="I179" s="61"/>
    </row>
    <row r="180" spans="9:9" x14ac:dyDescent="0.2">
      <c r="I180" s="61"/>
    </row>
    <row r="181" spans="9:9" x14ac:dyDescent="0.2">
      <c r="I181" s="61"/>
    </row>
    <row r="182" spans="9:9" x14ac:dyDescent="0.2">
      <c r="I182" s="61"/>
    </row>
    <row r="183" spans="9:9" x14ac:dyDescent="0.2">
      <c r="I183" s="61"/>
    </row>
    <row r="184" spans="9:9" x14ac:dyDescent="0.2">
      <c r="I184" s="61"/>
    </row>
    <row r="185" spans="9:9" x14ac:dyDescent="0.2">
      <c r="I185" s="61"/>
    </row>
    <row r="186" spans="9:9" x14ac:dyDescent="0.2">
      <c r="I186" s="61"/>
    </row>
    <row r="187" spans="9:9" x14ac:dyDescent="0.2">
      <c r="I187" s="61"/>
    </row>
    <row r="188" spans="9:9" x14ac:dyDescent="0.2">
      <c r="I188" s="61"/>
    </row>
    <row r="189" spans="9:9" x14ac:dyDescent="0.2">
      <c r="I189" s="61"/>
    </row>
    <row r="190" spans="9:9" x14ac:dyDescent="0.2">
      <c r="I190" s="61"/>
    </row>
    <row r="191" spans="9:9" x14ac:dyDescent="0.2">
      <c r="I191" s="61"/>
    </row>
    <row r="192" spans="9:9" x14ac:dyDescent="0.2">
      <c r="I192" s="61"/>
    </row>
    <row r="193" spans="9:9" x14ac:dyDescent="0.2">
      <c r="I193" s="61"/>
    </row>
    <row r="194" spans="9:9" x14ac:dyDescent="0.2">
      <c r="I194" s="61"/>
    </row>
    <row r="195" spans="9:9" x14ac:dyDescent="0.2">
      <c r="I195" s="61"/>
    </row>
    <row r="196" spans="9:9" x14ac:dyDescent="0.2">
      <c r="I196" s="61"/>
    </row>
    <row r="197" spans="9:9" x14ac:dyDescent="0.2">
      <c r="I197" s="61"/>
    </row>
    <row r="198" spans="9:9" x14ac:dyDescent="0.2">
      <c r="I198" s="61"/>
    </row>
    <row r="199" spans="9:9" x14ac:dyDescent="0.2">
      <c r="I199" s="61"/>
    </row>
    <row r="200" spans="9:9" x14ac:dyDescent="0.2">
      <c r="I200" s="61"/>
    </row>
    <row r="201" spans="9:9" x14ac:dyDescent="0.2">
      <c r="I201" s="61"/>
    </row>
    <row r="202" spans="9:9" x14ac:dyDescent="0.2">
      <c r="I202" s="61"/>
    </row>
    <row r="203" spans="9:9" x14ac:dyDescent="0.2">
      <c r="I203" s="61"/>
    </row>
  </sheetData>
  <mergeCells count="22">
    <mergeCell ref="C23:E23"/>
    <mergeCell ref="C20:E20"/>
    <mergeCell ref="C39:E39"/>
    <mergeCell ref="C42:E42"/>
    <mergeCell ref="A4:D4"/>
    <mergeCell ref="A5:D5"/>
    <mergeCell ref="A6:D6"/>
    <mergeCell ref="A7:D7"/>
    <mergeCell ref="E4:G4"/>
    <mergeCell ref="E5:G5"/>
    <mergeCell ref="C21:E21"/>
    <mergeCell ref="C25:E25"/>
    <mergeCell ref="C26:E26"/>
    <mergeCell ref="C29:E29"/>
    <mergeCell ref="C31:E31"/>
    <mergeCell ref="C33:E33"/>
    <mergeCell ref="C51:E51"/>
    <mergeCell ref="C40:E40"/>
    <mergeCell ref="C44:E44"/>
    <mergeCell ref="C45:E45"/>
    <mergeCell ref="C47:E47"/>
    <mergeCell ref="C49:E49"/>
  </mergeCells>
  <phoneticPr fontId="20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21"/>
  <sheetViews>
    <sheetView zoomScale="60" zoomScaleNormal="60" workbookViewId="0">
      <selection activeCell="A14" sqref="A14:I14"/>
    </sheetView>
  </sheetViews>
  <sheetFormatPr baseColWidth="10" defaultColWidth="9.140625" defaultRowHeight="12.75" x14ac:dyDescent="0.2"/>
  <cols>
    <col min="1" max="1" width="5.5703125" style="53" customWidth="1"/>
    <col min="2" max="2" width="19.5703125" style="53" customWidth="1"/>
    <col min="3" max="3" width="14.140625" style="53" customWidth="1"/>
    <col min="4" max="4" width="26" style="53" customWidth="1"/>
    <col min="5" max="5" width="8" style="53" customWidth="1"/>
    <col min="6" max="6" width="7.85546875" style="53" customWidth="1"/>
    <col min="7" max="7" width="42" style="53" customWidth="1"/>
    <col min="8" max="8" width="9.28515625" style="53" customWidth="1"/>
    <col min="9" max="9" width="15.5703125" style="53" customWidth="1"/>
    <col min="10" max="10" width="20.42578125" style="53" customWidth="1"/>
    <col min="11" max="11" width="28.5703125" style="60" customWidth="1"/>
    <col min="12" max="12" width="9.140625" style="2"/>
    <col min="13" max="13" width="11.7109375" style="2" bestFit="1" customWidth="1"/>
    <col min="14" max="1013" width="9.140625" style="2"/>
  </cols>
  <sheetData>
    <row r="1" spans="1:1013" ht="18" customHeight="1" x14ac:dyDescent="0.2">
      <c r="A1" s="103" t="s">
        <v>12</v>
      </c>
      <c r="B1" s="103"/>
      <c r="C1" s="103"/>
      <c r="D1" s="103"/>
      <c r="E1" s="103"/>
      <c r="F1" s="103"/>
      <c r="G1" s="103"/>
      <c r="H1" s="103"/>
      <c r="I1" s="103"/>
      <c r="J1" s="44"/>
      <c r="K1" s="66" t="s">
        <v>76</v>
      </c>
    </row>
    <row r="2" spans="1:1013" ht="18.75" customHeight="1" thickBot="1" x14ac:dyDescent="0.25">
      <c r="A2" s="45"/>
      <c r="B2" s="45"/>
      <c r="C2" s="45"/>
      <c r="D2" s="46"/>
      <c r="E2" s="46"/>
      <c r="F2" s="46"/>
      <c r="G2" s="46"/>
      <c r="H2" s="46"/>
      <c r="I2" s="46"/>
      <c r="J2" s="46"/>
      <c r="K2" s="57"/>
    </row>
    <row r="3" spans="1:1013" ht="18.75" customHeight="1" thickBot="1" x14ac:dyDescent="0.25">
      <c r="A3" s="104" t="s">
        <v>13</v>
      </c>
      <c r="B3" s="104"/>
      <c r="C3" s="104"/>
      <c r="D3" s="105" t="s">
        <v>59</v>
      </c>
      <c r="E3" s="105"/>
      <c r="F3" s="105"/>
      <c r="G3" s="105"/>
      <c r="H3" s="105"/>
      <c r="I3" s="105"/>
      <c r="J3" s="105"/>
      <c r="K3" s="105"/>
    </row>
    <row r="4" spans="1:1013" ht="18.75" customHeight="1" thickBot="1" x14ac:dyDescent="0.25">
      <c r="A4" s="106" t="s">
        <v>14</v>
      </c>
      <c r="B4" s="106"/>
      <c r="C4" s="106"/>
      <c r="D4" s="105" t="s">
        <v>52</v>
      </c>
      <c r="E4" s="105"/>
      <c r="F4" s="105"/>
      <c r="G4" s="105"/>
      <c r="H4" s="105"/>
      <c r="I4" s="105"/>
      <c r="J4" s="105"/>
      <c r="K4" s="105"/>
    </row>
    <row r="5" spans="1:1013" ht="18.75" customHeight="1" thickBot="1" x14ac:dyDescent="0.25">
      <c r="A5" s="106" t="s">
        <v>15</v>
      </c>
      <c r="B5" s="106"/>
      <c r="C5" s="106"/>
      <c r="D5" s="105" t="s">
        <v>49</v>
      </c>
      <c r="E5" s="105"/>
      <c r="F5" s="105"/>
      <c r="G5" s="105"/>
      <c r="H5" s="105"/>
      <c r="I5" s="105"/>
      <c r="J5" s="105"/>
      <c r="K5" s="105"/>
    </row>
    <row r="6" spans="1:1013" ht="16.5" customHeight="1" thickBot="1" x14ac:dyDescent="0.25">
      <c r="A6" s="104" t="s">
        <v>16</v>
      </c>
      <c r="B6" s="104"/>
      <c r="C6" s="104"/>
      <c r="D6" s="105" t="s">
        <v>77</v>
      </c>
      <c r="E6" s="105"/>
      <c r="F6" s="105"/>
      <c r="G6" s="105"/>
      <c r="H6" s="105"/>
      <c r="I6" s="105"/>
      <c r="J6" s="105"/>
      <c r="K6" s="105"/>
    </row>
    <row r="7" spans="1:1013" ht="16.5" customHeight="1" thickBot="1" x14ac:dyDescent="0.25">
      <c r="A7" s="106" t="s">
        <v>17</v>
      </c>
      <c r="B7" s="106"/>
      <c r="C7" s="106"/>
      <c r="D7" s="105" t="s">
        <v>72</v>
      </c>
      <c r="E7" s="105"/>
      <c r="F7" s="105"/>
      <c r="G7" s="105"/>
      <c r="H7" s="105"/>
      <c r="I7" s="105"/>
      <c r="J7" s="105"/>
      <c r="K7" s="105"/>
    </row>
    <row r="8" spans="1:1013" ht="16.5" customHeight="1" thickBot="1" x14ac:dyDescent="0.25">
      <c r="A8" s="107" t="s">
        <v>18</v>
      </c>
      <c r="B8" s="107"/>
      <c r="C8" s="107"/>
      <c r="D8" s="108" t="s">
        <v>75</v>
      </c>
      <c r="E8" s="108"/>
      <c r="F8" s="108"/>
      <c r="G8" s="108"/>
      <c r="H8" s="108"/>
      <c r="I8" s="108"/>
      <c r="J8" s="108"/>
      <c r="K8" s="108"/>
    </row>
    <row r="9" spans="1:1013" ht="16.5" thickBot="1" x14ac:dyDescent="0.25">
      <c r="A9" s="47"/>
      <c r="B9" s="47"/>
      <c r="C9" s="47"/>
      <c r="D9" s="48"/>
      <c r="E9" s="48"/>
      <c r="F9" s="48"/>
      <c r="G9" s="48"/>
      <c r="H9" s="48"/>
      <c r="I9" s="48"/>
      <c r="J9" s="48"/>
      <c r="K9" s="58"/>
    </row>
    <row r="10" spans="1:1013" ht="18.75" customHeight="1" thickBot="1" x14ac:dyDescent="0.25">
      <c r="A10" s="109" t="s">
        <v>19</v>
      </c>
      <c r="B10" s="111" t="s">
        <v>20</v>
      </c>
      <c r="C10" s="111" t="s">
        <v>21</v>
      </c>
      <c r="D10" s="111"/>
      <c r="E10" s="111"/>
      <c r="F10" s="111"/>
      <c r="G10" s="111"/>
      <c r="H10" s="111" t="s">
        <v>22</v>
      </c>
      <c r="I10" s="111" t="s">
        <v>23</v>
      </c>
      <c r="J10" s="111" t="s">
        <v>24</v>
      </c>
      <c r="K10" s="113" t="s">
        <v>25</v>
      </c>
      <c r="M10" s="90"/>
    </row>
    <row r="11" spans="1:1013" ht="24" customHeight="1" x14ac:dyDescent="0.2">
      <c r="A11" s="110"/>
      <c r="B11" s="112"/>
      <c r="C11" s="112"/>
      <c r="D11" s="112"/>
      <c r="E11" s="112"/>
      <c r="F11" s="112"/>
      <c r="G11" s="112"/>
      <c r="H11" s="112"/>
      <c r="I11" s="112"/>
      <c r="J11" s="112"/>
      <c r="K11" s="114"/>
      <c r="M11" s="90"/>
      <c r="ALW11"/>
      <c r="ALX11"/>
      <c r="ALY11"/>
    </row>
    <row r="12" spans="1:1013" ht="43.5" customHeight="1" x14ac:dyDescent="0.2">
      <c r="A12" s="49">
        <f>'Necesidades Trimestrales'!A10</f>
        <v>1</v>
      </c>
      <c r="B12" s="50" t="str">
        <f>'Necesidades Trimestrales'!B10</f>
        <v>3.2.2-8698.1</v>
      </c>
      <c r="C12" s="121" t="str">
        <f>'Necesidades Trimestrales'!E10</f>
        <v>ALQ. EQ. DE LABORATORIO; DESCRIPCION: ALQUILER EQUIPO DE LABORATORIO</v>
      </c>
      <c r="D12" s="121"/>
      <c r="E12" s="121"/>
      <c r="F12" s="121"/>
      <c r="G12" s="121"/>
      <c r="H12" s="51" t="s">
        <v>71</v>
      </c>
      <c r="I12" s="52" t="str">
        <f>'Necesidades Trimestrales'!F10</f>
        <v>MES</v>
      </c>
      <c r="J12" s="56">
        <f>'Necesidades Trimestrales'!H10</f>
        <v>167200</v>
      </c>
      <c r="K12" s="59">
        <f>'Necesidades Trimestrales'!G10</f>
        <v>3</v>
      </c>
      <c r="M12" s="90"/>
      <c r="ALW12"/>
      <c r="ALX12"/>
      <c r="ALY12"/>
    </row>
    <row r="13" spans="1:1013" ht="43.5" customHeight="1" x14ac:dyDescent="0.2">
      <c r="A13" s="49">
        <f>'Necesidades Trimestrales'!A11</f>
        <v>2</v>
      </c>
      <c r="B13" s="50" t="str">
        <f>'Necesidades Trimestrales'!B11</f>
        <v>3.2.2-8698.1</v>
      </c>
      <c r="C13" s="121" t="str">
        <f>'Necesidades Trimestrales'!E11</f>
        <v>ALQ. EQ. DE LABORATORIO; DESCRIPCION: ALQUILER EQUIPO DE LABORATORIO</v>
      </c>
      <c r="D13" s="121"/>
      <c r="E13" s="121"/>
      <c r="F13" s="121"/>
      <c r="G13" s="121"/>
      <c r="H13" s="51" t="s">
        <v>71</v>
      </c>
      <c r="I13" s="52" t="str">
        <f>'Necesidades Trimestrales'!F11</f>
        <v>MES</v>
      </c>
      <c r="J13" s="56">
        <f>'Necesidades Trimestrales'!H11</f>
        <v>136400</v>
      </c>
      <c r="K13" s="59">
        <f>'Necesidades Trimestrales'!G11</f>
        <v>3</v>
      </c>
      <c r="ALW13"/>
      <c r="ALX13"/>
      <c r="ALY13"/>
    </row>
    <row r="14" spans="1:1013" ht="41.25" customHeight="1" thickBot="1" x14ac:dyDescent="0.25">
      <c r="A14" s="117" t="s">
        <v>85</v>
      </c>
      <c r="B14" s="117"/>
      <c r="C14" s="117"/>
      <c r="D14" s="117"/>
      <c r="E14" s="117"/>
      <c r="F14" s="117"/>
      <c r="G14" s="117"/>
      <c r="H14" s="117"/>
      <c r="I14" s="118"/>
      <c r="J14" s="119">
        <v>910800</v>
      </c>
      <c r="K14" s="120">
        <v>255383</v>
      </c>
    </row>
    <row r="17" spans="4:11" ht="30" customHeight="1" x14ac:dyDescent="0.2">
      <c r="J17" s="115"/>
      <c r="K17" s="116"/>
    </row>
    <row r="18" spans="4:11" ht="15" x14ac:dyDescent="0.2">
      <c r="D18" s="54"/>
      <c r="E18" s="54"/>
      <c r="F18" s="54"/>
      <c r="G18" s="54"/>
      <c r="H18" s="54"/>
      <c r="I18" s="54"/>
    </row>
    <row r="19" spans="4:11" ht="15" x14ac:dyDescent="0.2">
      <c r="D19" s="54"/>
      <c r="E19" s="54"/>
      <c r="F19" s="54"/>
      <c r="G19" s="54"/>
      <c r="H19" s="54"/>
      <c r="I19" s="54"/>
    </row>
    <row r="20" spans="4:11" ht="15" x14ac:dyDescent="0.2">
      <c r="D20" s="54"/>
      <c r="E20" s="54"/>
      <c r="F20" s="54"/>
      <c r="G20" s="54"/>
      <c r="H20" s="54"/>
      <c r="I20" s="54"/>
    </row>
    <row r="21" spans="4:11" ht="15.75" x14ac:dyDescent="0.2">
      <c r="D21" s="55"/>
      <c r="E21" s="54"/>
      <c r="F21" s="54"/>
      <c r="G21" s="54"/>
      <c r="H21" s="54"/>
      <c r="I21" s="54"/>
    </row>
  </sheetData>
  <mergeCells count="25">
    <mergeCell ref="J17:K17"/>
    <mergeCell ref="A14:I14"/>
    <mergeCell ref="J14:K14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honeticPr fontId="35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R19" sqref="R19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0" t="s">
        <v>3</v>
      </c>
      <c r="B1" s="130"/>
      <c r="C1" s="130"/>
      <c r="D1" s="131">
        <v>2021</v>
      </c>
      <c r="E1" s="131"/>
      <c r="F1" s="4"/>
      <c r="G1" s="4"/>
      <c r="H1" s="5"/>
      <c r="I1" s="5"/>
      <c r="J1" s="5"/>
      <c r="K1" s="5"/>
      <c r="L1" s="5"/>
      <c r="M1" s="5"/>
      <c r="N1" s="5"/>
      <c r="P1" s="132" t="s">
        <v>26</v>
      </c>
      <c r="Q1" s="132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32"/>
      <c r="Q2" s="132"/>
    </row>
    <row r="4" spans="1:17" s="6" customFormat="1" ht="18" customHeight="1" thickBot="1" x14ac:dyDescent="0.25">
      <c r="A4" s="133" t="s">
        <v>27</v>
      </c>
      <c r="B4" s="133"/>
      <c r="C4" s="133"/>
      <c r="D4" s="133"/>
      <c r="E4" s="133"/>
      <c r="F4" s="133"/>
      <c r="G4" s="126" t="str">
        <f>' NotaPedido'!D3</f>
        <v>40- Ministerio de Salud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</row>
    <row r="5" spans="1:17" s="6" customFormat="1" ht="18" customHeight="1" thickBot="1" x14ac:dyDescent="0.25">
      <c r="A5" s="123" t="s">
        <v>14</v>
      </c>
      <c r="B5" s="124"/>
      <c r="C5" s="124"/>
      <c r="D5" s="124"/>
      <c r="E5" s="124"/>
      <c r="F5" s="125"/>
      <c r="G5" s="126" t="str">
        <f>' NotaPedido'!D4</f>
        <v>28- Maternidad Provincial 25 de Mayo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1:17" s="6" customFormat="1" ht="18" customHeight="1" thickBot="1" x14ac:dyDescent="0.25">
      <c r="A6" s="123" t="s">
        <v>15</v>
      </c>
      <c r="B6" s="124"/>
      <c r="C6" s="124"/>
      <c r="D6" s="124"/>
      <c r="E6" s="124"/>
      <c r="F6" s="125"/>
      <c r="G6" s="126" t="str">
        <f>' NotaPedido'!D5</f>
        <v xml:space="preserve">169- Direccion Asistencial </v>
      </c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s="6" customFormat="1" ht="18" customHeight="1" thickBot="1" x14ac:dyDescent="0.25">
      <c r="A7" s="123" t="s">
        <v>16</v>
      </c>
      <c r="B7" s="124"/>
      <c r="C7" s="124"/>
      <c r="D7" s="124"/>
      <c r="E7" s="124"/>
      <c r="F7" s="125"/>
      <c r="G7" s="126" t="str">
        <f>' NotaPedido'!D6</f>
        <v>Servicio de Laboratorio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</row>
    <row r="8" spans="1:17" ht="18" customHeight="1" thickBot="1" x14ac:dyDescent="0.25">
      <c r="A8" s="127" t="s">
        <v>28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8" customHeight="1" x14ac:dyDescent="0.2">
      <c r="A9" s="128" t="s">
        <v>29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"/>
      <c r="P9" s="1"/>
      <c r="Q9" s="7"/>
    </row>
    <row r="10" spans="1:17" ht="54.75" customHeight="1" x14ac:dyDescent="0.2">
      <c r="A10" s="129" t="s">
        <v>83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22" t="s">
        <v>30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7" ht="15.75" customHeight="1" x14ac:dyDescent="0.2">
      <c r="A13" s="142" t="s">
        <v>31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3" t="s">
        <v>32</v>
      </c>
      <c r="P13" s="143"/>
      <c r="Q13" s="144" t="s">
        <v>33</v>
      </c>
    </row>
    <row r="14" spans="1:17" ht="15.75" customHeight="1" x14ac:dyDescent="0.2">
      <c r="A14" s="12" t="s">
        <v>34</v>
      </c>
      <c r="B14" s="13" t="s">
        <v>35</v>
      </c>
      <c r="C14" s="13" t="s">
        <v>36</v>
      </c>
      <c r="D14" s="13" t="s">
        <v>37</v>
      </c>
      <c r="E14" s="13" t="s">
        <v>38</v>
      </c>
      <c r="F14" s="13" t="s">
        <v>39</v>
      </c>
      <c r="G14" s="14" t="s">
        <v>40</v>
      </c>
      <c r="H14" s="13" t="s">
        <v>41</v>
      </c>
      <c r="I14" s="13" t="s">
        <v>42</v>
      </c>
      <c r="J14" s="13" t="s">
        <v>43</v>
      </c>
      <c r="K14" s="13" t="s">
        <v>43</v>
      </c>
      <c r="L14" s="13" t="s">
        <v>44</v>
      </c>
      <c r="M14" s="15" t="s">
        <v>45</v>
      </c>
      <c r="N14" s="16" t="s">
        <v>46</v>
      </c>
      <c r="O14" s="143"/>
      <c r="P14" s="143"/>
      <c r="Q14" s="144"/>
    </row>
    <row r="15" spans="1:17" ht="26.25" customHeight="1" x14ac:dyDescent="0.2">
      <c r="A15" s="21">
        <v>42</v>
      </c>
      <c r="B15" s="21"/>
      <c r="C15" s="21"/>
      <c r="D15" s="21">
        <v>2</v>
      </c>
      <c r="E15" s="21"/>
      <c r="F15" s="21">
        <v>4901</v>
      </c>
      <c r="G15" s="21">
        <v>3</v>
      </c>
      <c r="H15" s="21">
        <v>1</v>
      </c>
      <c r="I15" s="21">
        <v>3</v>
      </c>
      <c r="J15" s="21">
        <v>2</v>
      </c>
      <c r="K15" s="21">
        <v>2</v>
      </c>
      <c r="L15" s="21"/>
      <c r="M15" s="21">
        <v>1</v>
      </c>
      <c r="N15" s="21" t="s">
        <v>47</v>
      </c>
      <c r="O15" s="145" t="s">
        <v>74</v>
      </c>
      <c r="P15" s="145"/>
      <c r="Q15" s="23">
        <v>910800</v>
      </c>
    </row>
    <row r="16" spans="1:17" ht="28.5" customHeight="1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21"/>
      <c r="O16" s="146"/>
      <c r="P16" s="147"/>
      <c r="Q16" s="22"/>
    </row>
    <row r="17" spans="1:17" ht="31.5" customHeight="1" thickBot="1" x14ac:dyDescent="0.25">
      <c r="A17" s="135" t="s">
        <v>86</v>
      </c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7">
        <f>SUM(Q15:Q15)</f>
        <v>910800</v>
      </c>
    </row>
    <row r="18" spans="1:17" ht="18" customHeight="1" thickBot="1" x14ac:dyDescent="0.25">
      <c r="A18" s="136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</row>
    <row r="19" spans="1:17" ht="17.25" customHeight="1" thickBot="1" x14ac:dyDescent="0.25">
      <c r="A19" s="138" t="s">
        <v>48</v>
      </c>
      <c r="B19" s="139"/>
      <c r="C19" s="139"/>
      <c r="D19" s="139"/>
      <c r="E19" s="139"/>
      <c r="F19" s="140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</row>
    <row r="20" spans="1:17" ht="18" customHeight="1" thickBot="1" x14ac:dyDescent="0.25">
      <c r="A20" s="134" t="s">
        <v>78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</row>
    <row r="21" spans="1:17" ht="26.25" customHeight="1" x14ac:dyDescent="0.2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</row>
  </sheetData>
  <mergeCells count="25">
    <mergeCell ref="A13:N13"/>
    <mergeCell ref="O13:P14"/>
    <mergeCell ref="Q13:Q14"/>
    <mergeCell ref="O15:P15"/>
    <mergeCell ref="O16:P16"/>
    <mergeCell ref="A20:Q21"/>
    <mergeCell ref="A17:P17"/>
    <mergeCell ref="A18:Q18"/>
    <mergeCell ref="A19:F19"/>
    <mergeCell ref="G19:Q19"/>
    <mergeCell ref="A1:C1"/>
    <mergeCell ref="D1:E1"/>
    <mergeCell ref="P1:Q2"/>
    <mergeCell ref="A4:F4"/>
    <mergeCell ref="G4:Q4"/>
    <mergeCell ref="A12:Q12"/>
    <mergeCell ref="A5:F5"/>
    <mergeCell ref="G5:Q5"/>
    <mergeCell ref="A8:Q8"/>
    <mergeCell ref="A6:F6"/>
    <mergeCell ref="G6:Q6"/>
    <mergeCell ref="A7:F7"/>
    <mergeCell ref="G7:Q7"/>
    <mergeCell ref="A9:N9"/>
    <mergeCell ref="A10:Q10"/>
  </mergeCells>
  <phoneticPr fontId="37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2021-02-12T11:55:53Z</cp:lastPrinted>
  <dcterms:created xsi:type="dcterms:W3CDTF">2020-07-17T23:44:49Z</dcterms:created>
  <dcterms:modified xsi:type="dcterms:W3CDTF">2021-03-16T20:07:20Z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