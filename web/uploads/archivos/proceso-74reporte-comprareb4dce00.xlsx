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mc:AlternateContent xmlns:mc="http://schemas.openxmlformats.org/markup-compatibility/2006">
    <mc:Choice Requires="x15">
      <x15ac:absPath xmlns:x15ac="http://schemas.microsoft.com/office/spreadsheetml/2010/11/ac" url="G:\Mi unidad\COMPARTIDA\HJO\12. elementos de Limpieza MAEMA\3. Analisis\"/>
    </mc:Choice>
  </mc:AlternateContent>
  <xr:revisionPtr revIDLastSave="0" documentId="13_ncr:1_{20D2F7AE-FC99-4894-9C3D-823A4F406A57}" xr6:coauthVersionLast="47" xr6:coauthVersionMax="47" xr10:uidLastSave="{00000000-0000-0000-0000-000000000000}"/>
  <bookViews>
    <workbookView xWindow="-120" yWindow="-120" windowWidth="29040" windowHeight="15840"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comparativo'!$G$8:$J$8,'Cuadro comparativo'!$K$8:$N$8,'Cuadro comparativo'!$O$8:$R$8,'Cuadro comparativo'!$S$8:$V$8</definedName>
    <definedName name="Titles">'Cuadro comparativo'!$A$8:$F$8</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45" i="2" l="1"/>
  <c r="M45" i="2"/>
  <c r="Q45" i="2"/>
  <c r="U45" i="2"/>
</calcChain>
</file>

<file path=xl/sharedStrings.xml><?xml version="1.0" encoding="utf-8"?>
<sst xmlns="http://schemas.openxmlformats.org/spreadsheetml/2006/main" count="308" uniqueCount="224">
  <si>
    <t>Número expediente:</t>
  </si>
  <si>
    <t>EX-2022-00421705-   -CAT-SCA#MEC</t>
  </si>
  <si>
    <t>Número proceso de compra:</t>
  </si>
  <si>
    <t>100-0040-CDI22</t>
  </si>
  <si>
    <t>Nombre descriptivo proceso de compra:</t>
  </si>
  <si>
    <t>Adquisición de Elementos de Limpieza para el Ministerio de Agua, Energía y Medio Ambiente</t>
  </si>
  <si>
    <t>Unidad Operativa de Compras:</t>
  </si>
  <si>
    <t>Secretaria de Compras y Abastecimiento</t>
  </si>
  <si>
    <t>Fecha de Apertura:</t>
  </si>
  <si>
    <t>01/04/2022</t>
  </si>
  <si>
    <t>Renglón</t>
  </si>
  <si>
    <t>GUSTAVORAFAEL ROCO</t>
  </si>
  <si>
    <t>M.A. COMERCIAL S.R.L.</t>
  </si>
  <si>
    <t>SAMSA S.R.L.</t>
  </si>
  <si>
    <t>INDUSTRIAS QUIMICAS CATAMARCA S.R.L</t>
  </si>
  <si>
    <t>Alternativa</t>
  </si>
  <si>
    <t>Código</t>
  </si>
  <si>
    <t>Descripción</t>
  </si>
  <si>
    <t>Cantidad solicitada</t>
  </si>
  <si>
    <t>Unidad de medida</t>
  </si>
  <si>
    <t>Precio unitario</t>
  </si>
  <si>
    <t>Cantidad ofertada</t>
  </si>
  <si>
    <t>Total por renglón</t>
  </si>
  <si>
    <t>Especificacion técnica</t>
  </si>
  <si>
    <t xml:space="preserve">1 </t>
  </si>
  <si>
    <t xml:space="preserve">2.9.1-6951.31 </t>
  </si>
  <si>
    <t xml:space="preserve">LIMPIADORES; TIPO: LAVANDINA, PRESENTACION: ENVASE X 10 L </t>
  </si>
  <si>
    <t xml:space="preserve">UNIDAD </t>
  </si>
  <si>
    <t xml:space="preserve">LAVANDINA PIRELUXS X 10 LTS - PUEDE PROVOCAR O AGRAVAR 
UN INCENDIO , QUEMADURAS EN LA PIEL Y LESIONES OCULARES 
, EVITAR MEZLCLAR CON AMONIO Y MATERIALES COMBUSTIBLES - FECHA 
VTO - 31/06/2023 MODO DE USO : DILUIR CON AGUA 
ANTES DE USARLA  </t>
  </si>
  <si>
    <t xml:space="preserve">Pireluxs </t>
  </si>
  <si>
    <t xml:space="preserve">LIMPIADORES; TIPO: LAVANDINA, PRESENTACION: ENVASE X 10 L. MARCA: QUALITY 
</t>
  </si>
  <si>
    <t xml:space="preserve">2 </t>
  </si>
  <si>
    <t xml:space="preserve">2.9.1-6951.214 </t>
  </si>
  <si>
    <t xml:space="preserve">LIMPIADORES; TIPO: DETERGENTE NEUTRO, PRESENTACION: ENVASE X 5 L </t>
  </si>
  <si>
    <t xml:space="preserve">DETERGENTE NEUTRO PIRELUX  X  5 LTS DE GRAN 
ACCION LIMPIADORA MATERIA ACTIVA 30% , PRODUCTO LISTO PARA DILUIR 
EN AGUA , NO MEZCLAR CON PRODUCTOS CLORADOS , VTO 
31/08/2023 </t>
  </si>
  <si>
    <t xml:space="preserve">Cif Active Gel Det. Neutro </t>
  </si>
  <si>
    <t xml:space="preserve">LIMPIADORES; TIPO: DETERGENTE NEUTRO, PRESENTACION: ENVASE X 5 L. MARCA: 
QUALITY </t>
  </si>
  <si>
    <t xml:space="preserve">LIMPIADORES; TIPO: DETERGENTE NEUTRO, PRESENTACION: ENVASE X 5 L-MARCA HAUSER 
</t>
  </si>
  <si>
    <t xml:space="preserve">3 </t>
  </si>
  <si>
    <t xml:space="preserve">2.9.1-6951.157 </t>
  </si>
  <si>
    <t xml:space="preserve">LIMPIADORES; TIPO: DESODORANTE LIQUIDO , PRESENTACION: BIDON X 5 L 
</t>
  </si>
  <si>
    <t xml:space="preserve">DESODORANTE LIQUIDO PIRELUXS X 5 LTS . ESFECIFICACIONES DEL PRODUCOT 
: MANTENER FUERA DEL ALCANCE DE LOS NIÑOS , SI 
SE INGIERE ENJUEGUE LA BOCA . MODO DE USO : 
DILUIR EN AGUA , VTO 31/0/2023 </t>
  </si>
  <si>
    <t xml:space="preserve">LDD 101, 102, 103, 104 </t>
  </si>
  <si>
    <t xml:space="preserve">LIMPIADORES; TIPO: DESODORANTE LIQUIDO , PRESENTACION: BIDON X 5 L. 
MARCA: QUALITY </t>
  </si>
  <si>
    <t xml:space="preserve">LIMPIADORES; TIPO: DESODORANTE LIQUIDO , PRESENTACION: BIDON X 5 L- 
MARCA HAUSER </t>
  </si>
  <si>
    <t xml:space="preserve">4 </t>
  </si>
  <si>
    <t xml:space="preserve">2.9.1-6951.281 </t>
  </si>
  <si>
    <t xml:space="preserve">LIMPIADORES; TIPO: QUITASARRO, PRESENTACION: ENVASE X 1 L, BIODEGRADABLE: SI 
</t>
  </si>
  <si>
    <t xml:space="preserve">QUITA SARRO X 1L PIRELUXS  </t>
  </si>
  <si>
    <t xml:space="preserve">WC Rein Gel  </t>
  </si>
  <si>
    <t xml:space="preserve">LIMPIADORES; TIPO: QUITASARRO, PRESENTACION: ENVASE X 1 L, BIODEGRADABLE: SI. 
MARCA: QUALITY </t>
  </si>
  <si>
    <t xml:space="preserve">5 </t>
  </si>
  <si>
    <t xml:space="preserve">2.9.1-6951.116 </t>
  </si>
  <si>
    <t xml:space="preserve">LIMPIADORES; TIPO: LIMPIAVIDRIOS, PRESENTACION: ENVASE X 5 L </t>
  </si>
  <si>
    <t xml:space="preserve">LIMPIAVIDRIO MULTIUSO X 5 LTS , ESPECIFICACIONES DEL PRODUCTO : 
PUEDE PROVOCAR REACCION ALERGICA EN LA PIEL , PROVOCA IRRITACION 
OCULAR  MODO DE USO : LISTO PARA SER USADO 
PARA TAL  VTO: 31/03/2023 </t>
  </si>
  <si>
    <t xml:space="preserve">MLV </t>
  </si>
  <si>
    <t xml:space="preserve">LIMPIADORES; TIPO: LIMPIAVIDRIOS, PRESENTACION: ENVASE X 5 L. MARCA: QUALITY 
</t>
  </si>
  <si>
    <t xml:space="preserve">LIMPIADORES; TIPO: LIMPIAVIDRIOS, PRESENTACION: ENVASE X 5 L - MARCA 
HAUSER </t>
  </si>
  <si>
    <t xml:space="preserve">6 </t>
  </si>
  <si>
    <t xml:space="preserve">2.9.1-6952.91 </t>
  </si>
  <si>
    <t xml:space="preserve">CEPILLOS; TIPO: ESCOBA, MATERIAL: PVC </t>
  </si>
  <si>
    <t xml:space="preserve">ESCOBILLON ACHU ANCHO 30 CM  </t>
  </si>
  <si>
    <t xml:space="preserve">Make 6 hileras </t>
  </si>
  <si>
    <t xml:space="preserve">CEPILLOS; TIPO: ESCOBA, MATERIAL: PVC. MARCA: MICA </t>
  </si>
  <si>
    <t xml:space="preserve">CEPILLOS; TIPO: ESCOBA, MATERIAL: PVC - MARCA LA GAUCHITA </t>
  </si>
  <si>
    <t xml:space="preserve">7 </t>
  </si>
  <si>
    <t xml:space="preserve">2.9.6-8963.6 </t>
  </si>
  <si>
    <t xml:space="preserve">R. Y A. P/EQ. Y ELEM. LIMPIEZA; ELEMENTO: PALO DE 
ESCOBA, MARCA EQUIPO: UNIVERSAL, MODELO EQUIPO: UNIVERSAL </t>
  </si>
  <si>
    <t xml:space="preserve">PALO DE ESCOBA 1.20 ROSCA UNIVERSAL LA NACIONAL  </t>
  </si>
  <si>
    <t xml:space="preserve">R. Y A. P/EQ. Y ELEM. LIMPIEZA; ELEMENTO: PALO DE 
ESCOBA, MARCA EQUIPO: UNIVERSAL, MODELO EQUIPO: UNIVERSAL. MARCA: HB </t>
  </si>
  <si>
    <t xml:space="preserve">R. Y A. P/EQ. Y ELEM. LIMPIEZA; ELEMENTO: PALO DE 
ESCOBA, MARCA EQUIPO: UNIVERSAL, MODELO EQUIPO: UNIVERSAL - MARCA LA 
GAUCHITA </t>
  </si>
  <si>
    <t xml:space="preserve">8 </t>
  </si>
  <si>
    <t xml:space="preserve">2.9.1-2425.2 </t>
  </si>
  <si>
    <t xml:space="preserve">LAMPAZOS; MATERIAL: HILO, MANGO: MADERA </t>
  </si>
  <si>
    <t xml:space="preserve">LAMPAZO AZUL N 7 MATERIAL HILO TRENZADO ALGODON MARCA TITO 
 </t>
  </si>
  <si>
    <t xml:space="preserve">LAMPAZOS; MATERIAL: HILO, MANGO: MADERA. MARCA: MOP </t>
  </si>
  <si>
    <t xml:space="preserve">LAMPAZOS; MATERIAL: HILO, MANGO: MADERA - MARCA LA GAUCHITA </t>
  </si>
  <si>
    <t xml:space="preserve">9 </t>
  </si>
  <si>
    <t xml:space="preserve">2.9.1-714.5 </t>
  </si>
  <si>
    <t xml:space="preserve">FRANELAS; DIMENSION: 40 X 50 Cm </t>
  </si>
  <si>
    <t xml:space="preserve">FRANELLAS 40 X 50  ALGODON NARANJA LA NACIONAL  
</t>
  </si>
  <si>
    <t xml:space="preserve">La Nacional  </t>
  </si>
  <si>
    <t xml:space="preserve">FRANELAS; DIMENSIÓN: 40 X 50 Cm ALGODÓN NARANJA. MARCA: SINA 
</t>
  </si>
  <si>
    <t xml:space="preserve">FRANELAS; DIMENSION: 40 X 50 Cm - MARCA MEDIA NARANJA 
</t>
  </si>
  <si>
    <t xml:space="preserve">10 </t>
  </si>
  <si>
    <t xml:space="preserve">2.9.1-564.10 </t>
  </si>
  <si>
    <t xml:space="preserve">BALDES DE PLASTICO; CAPACIDAD: 20 L, COLOR: AZUL </t>
  </si>
  <si>
    <t xml:space="preserve">Italimpia </t>
  </si>
  <si>
    <t xml:space="preserve">11 </t>
  </si>
  <si>
    <t xml:space="preserve">2.9.1-544.65 </t>
  </si>
  <si>
    <t xml:space="preserve">DESODORANTES DE AMBIENTE; FORMATO: AEROSOL, FRAGANCIA: VAINILLA, PRESENTACION: ENVASE X 
360 CM3, LIBRE DE CFC: SI </t>
  </si>
  <si>
    <t xml:space="preserve">DESODORANTE DE AMBIETEN CLIO X 360 CM3  </t>
  </si>
  <si>
    <t xml:space="preserve">Clio Lavanda - Marina- Flores silvestres- Dulce Vainilla Algodón - 
Aire Libre  </t>
  </si>
  <si>
    <t xml:space="preserve">DESODORANTES DE AMBIENTE; FORMATO: AEROSOL, FRAGANCIA: VAINILLA, PRESENTACION: ENVASE X 
360 CM3, LIBRE DE CFC: SI. MARCA: TIBU </t>
  </si>
  <si>
    <t xml:space="preserve">12 </t>
  </si>
  <si>
    <t xml:space="preserve">2.9.1-544.64 </t>
  </si>
  <si>
    <t xml:space="preserve">DESODORANTES DE AMBIENTE; FORMATO: AEROSOL, FRAGANCIA: CAMPOS DE JAZMIN, PRESENTACION: 
ENVASE X 360 CM3, LIBRE DE CFC: SI </t>
  </si>
  <si>
    <t xml:space="preserve">DDESODORANTE DE AMBIENTE POET X 360 CM3  </t>
  </si>
  <si>
    <t xml:space="preserve">Clio </t>
  </si>
  <si>
    <t xml:space="preserve">DESODORANTES DE AMBIENTE; FORMATO: AEROSOL, FRAGANCIA: CAMPOS DE JAZMIN, PRESENTACION: 
ENVASE X 360 CM3, LIBRE DE CFC: SI. MARCA: TIBU 
</t>
  </si>
  <si>
    <t xml:space="preserve">13 </t>
  </si>
  <si>
    <t xml:space="preserve">2.9.1-6950.30 </t>
  </si>
  <si>
    <t xml:space="preserve">LUSTRADORES; TIPO: LUSTRAMUEBLES, PRESENTACION: AEROSOL X 360 CM3 </t>
  </si>
  <si>
    <t xml:space="preserve">LUSTRAMUEBLES FACILIM AEROSOL X 360 CM3  </t>
  </si>
  <si>
    <t xml:space="preserve">Facilim </t>
  </si>
  <si>
    <t xml:space="preserve">LUSTRADORES; TIPO: LUSTRAMUEBLES, PRESENTACION: AEROSOL X 360 CM3. MARCA: DANUBIO 
</t>
  </si>
  <si>
    <t xml:space="preserve">14 </t>
  </si>
  <si>
    <t xml:space="preserve">2.9.1-761.1 </t>
  </si>
  <si>
    <t xml:space="preserve">GUANTES P/LIMPIEZA; TAMAÑO: GRANDE, MATERIAL: LATEX </t>
  </si>
  <si>
    <t xml:space="preserve">GUANTES DE LATEX MAKE TAMAÑO GRANDE  </t>
  </si>
  <si>
    <t xml:space="preserve">Make </t>
  </si>
  <si>
    <t xml:space="preserve">GUANTES P/LIMPIEZA; TAMAÑO: GRANDE, MATERIAL: LATEX. MARCA MEDIG </t>
  </si>
  <si>
    <t xml:space="preserve">GUANTES P/LIMPIEZA; TAMAÑO: GRANDE, MATERIAL: LATEX- MARCA GO </t>
  </si>
  <si>
    <t xml:space="preserve">15 </t>
  </si>
  <si>
    <t xml:space="preserve">2.5.2-711.24 </t>
  </si>
  <si>
    <t xml:space="preserve">ALCOHOL USO MEDICINAL; PUREZA: 70 %, PRESENTACION: GEL EN ENVASE 
X 5 L </t>
  </si>
  <si>
    <t xml:space="preserve">ALCOHOL USO MEDICINAL AL 70 % GEL X 5 LTS 
PIRELUXS  . DESINFECTANTE -BACTERICIDA GERMICIDA INSTANTANEO.SANITIZACION DE MANOS , 
NO IRRITA LA PIEL .MEDIDAS PRECAUCION EVITAR EL CONTACTO EN 
LOS OJOS , NO INGERIR MANTENER LEJOS DE LOS NIÑOS 
. VTA 01/04/2023 </t>
  </si>
  <si>
    <t xml:space="preserve">Porta </t>
  </si>
  <si>
    <t xml:space="preserve">ALCOHOL USO MEDICINAL; PUREZA: 70 %, PRESENTACION: GEL EN ENVASE 
X 5 L. MARCA: QUALITY </t>
  </si>
  <si>
    <t xml:space="preserve">ALCOHOL USO MEDICINAL; PUREZA: 70 %, PRESENTACION: GEL EN ENVASE 
X 5 L- MARCA BIALCOHOL PORTA  El alcohol en 
gel Bialcohol elimina el 99,9% de gérmenes y bacterias causantes 
de las enfermedades infectocontagiosas mas comunes. Es una de las 
formas más eficaces y prácticas de sanitización e higiene de 
manos. Usos: Sanitización de manos sin enjuague y sin toallas, 
rápida absorción. Precaución: No ingerir. Evitar contacto con los ojos. 
</t>
  </si>
  <si>
    <t xml:space="preserve">16 </t>
  </si>
  <si>
    <t xml:space="preserve">2.5.2-711.49 </t>
  </si>
  <si>
    <t xml:space="preserve">ALCOHOL USO MEDICINAL; PUREZA: 70 %, PRESENTACIÓN: SEGÚN PLIEGO, CANTIDAD: 
SEGÚN PLIEGO </t>
  </si>
  <si>
    <t xml:space="preserve">ALCOHOL USO MEDICINAL AL 70 % PIRELUXS X 5 LTS. 
DESINFECTANTE -BACTERICIDA GERMICIDA INSTANTANEO.SANITIZACION DE MANOS, NO IRRITA LA PIEL. 
MEDIDAS PRECAUCION EVITAR EL CONTACTO EN LOS OJOS, NO INGERIR 
MANTENER LEJOS DE LOS NIÑOS. VTA 01/04/2023 </t>
  </si>
  <si>
    <t xml:space="preserve">ALCOHOL USO MEDICINAL; PUREZA: 70 %, PRESENTACIÓN: SEGÚN PLIEGO, CANTIDAD: 
SEGÚN. MARCA: QUALITY  </t>
  </si>
  <si>
    <t xml:space="preserve">ALCOHOL USO MEDICINAL; PUREZA: 70 %, PRESENTACIÓN LIQUIDO EN ENVASE 
POR 5 LT- MARCA PORTA    Alcohol al 
70% listo para usar!  Al estar diluido con 30% 
de agua, permite una eficiente desinfección de superficies, ropa, manos 
y objetos.  Para que conserve el poder desinfectante, una 
vez abierto se debe garantizar su graduación alcohólica. Para esto 
recomendamos dejar bien tapado el envase luego de cada uso, 
guardarlo en lugares que no tengan exposición al calor, y 
no rellenar con agua. Nuestro alcohol se hace con agua 
deionizada, lo que permite que conserve la pureza del mismo, 
sin el agregado de los contaminantes normales del agua común. 
Precaución inflamable. Usos: sirve para desinfectar superficies, objetos, ropa y 
manos. </t>
  </si>
  <si>
    <t xml:space="preserve">17 </t>
  </si>
  <si>
    <t xml:space="preserve">2.5.8-3964.102 </t>
  </si>
  <si>
    <t xml:space="preserve">ENVASES PLASTICOS; MATERIAL: PLASTICO OPACO, SISTEMA DE CIERRE: CON DOSIFICADOR, 
CAPACIDAD: 250 mL </t>
  </si>
  <si>
    <t xml:space="preserve">18 </t>
  </si>
  <si>
    <t xml:space="preserve">2.9.9-3919.8 </t>
  </si>
  <si>
    <t xml:space="preserve">DISPENSADOR P/JABON LIQUIDO; MATERIAL: PLASTICO, CAPACIDAD: 360 CM3, ACCIONAMIENTO: MANUAL 
</t>
  </si>
  <si>
    <t xml:space="preserve">19 </t>
  </si>
  <si>
    <t xml:space="preserve">2.9.1-6952.29 </t>
  </si>
  <si>
    <t xml:space="preserve">CEPILLOS; TIPO: ESCOBILLA LIMPIA INODORO, MATERIAL: PLASTICO </t>
  </si>
  <si>
    <t xml:space="preserve">ESCOBILLA INODORO LA GAUCHITA  </t>
  </si>
  <si>
    <t xml:space="preserve">CEPILLOS; TIPO: ESCOBILLA LIMPIA INODORO, MATERIAL: PLÁSTICO. MARCA SINA </t>
  </si>
  <si>
    <t xml:space="preserve">CEPILLOS; TIPO: ESCOBILLA LIMPIA INODORO, MATERIAL: PLASTICO - MARCA LA 
GAUCHITA </t>
  </si>
  <si>
    <t xml:space="preserve">20 </t>
  </si>
  <si>
    <t xml:space="preserve">2.9.1-1156.1 </t>
  </si>
  <si>
    <t xml:space="preserve">PLUMEROS; PLUMA: SINTETICA, CLASE: SUAVE, MATERIAL MANGO: MADERA, LARGO MANGO: 
60 Cm, Nº VUELTAS PENACHO: 6, TIPO: SUAVE </t>
  </si>
  <si>
    <t xml:space="preserve">PLUMERO AVEZTRUZ N 1  </t>
  </si>
  <si>
    <t xml:space="preserve">PLUMEROS; PLUMA: SINTETICA, CLASE: SUAVE, MATERIAL MANGO: MADERA, LARGO MANGO: 
60 Cm, Nº VUELTAS PENACHO: 6, TIPO: SUAVE - MARCA 
HAUSER </t>
  </si>
  <si>
    <t xml:space="preserve">21 </t>
  </si>
  <si>
    <t xml:space="preserve">2.9.1-1081.1 </t>
  </si>
  <si>
    <t xml:space="preserve">VIRUTAS; PRESENTACION: ROLLITO, CONTENIDO: 10 UNIDADES, MATERIAL: ACERO </t>
  </si>
  <si>
    <t xml:space="preserve">VIRULANA DUCOLIN X 10 UNIDADES </t>
  </si>
  <si>
    <t xml:space="preserve">VIRUTAS; PRESENTACION: ROLLITO, CONTENIDO: 10 UNIDADES, MATERIAL: ACERO. MARCA: OK 
</t>
  </si>
  <si>
    <t xml:space="preserve">VIRUTAS; PRESENTACION: ROLLITO, CONTENIDO: 10 UNIDADES, MATERIAL: ACERO - MARCA 
GO </t>
  </si>
  <si>
    <t xml:space="preserve">22 </t>
  </si>
  <si>
    <t xml:space="preserve">2.9.1-2661.40 </t>
  </si>
  <si>
    <t xml:space="preserve">TACHOS DE RESIDUOS; MATERIAL: POLIETILENO, SECCION: RECTANGULAR, DIMENSION: 120 L, 
TAPA: CON </t>
  </si>
  <si>
    <t xml:space="preserve">Conte 120 l.  </t>
  </si>
  <si>
    <t xml:space="preserve">23 </t>
  </si>
  <si>
    <t xml:space="preserve">2.9.1-2661.28 </t>
  </si>
  <si>
    <t xml:space="preserve">TACHOS DE RESIDUOS; MATERIAL: PLASTICO, SECCION: RECTANGULAR, DIMENSION: 70 L, 
TAPA: VAIVEN </t>
  </si>
  <si>
    <t xml:space="preserve">24 </t>
  </si>
  <si>
    <t xml:space="preserve">2.9.1-646.76 </t>
  </si>
  <si>
    <t xml:space="preserve">BOLSAS DE RESIDUOS; DIMENSION: 60 X 40 Cm, PRESENTACION: ENVASE 
X 10 UN, ESPESOR: 30 Mn </t>
  </si>
  <si>
    <t xml:space="preserve">BOLSA CONSORCIO SOL AZUL 60 X 90  CM 10 
UNIDADES  </t>
  </si>
  <si>
    <t xml:space="preserve">BOLSAS DE RESIDUOS; DIMENSION: 60 X 40 Cm, PRESENTACION: ENVASE 
X 10 UN, ESPESOR: 30 Mn. MARCA: BOL </t>
  </si>
  <si>
    <t xml:space="preserve">BOLSAS DE RESIDUOS; DIMENSION: 60 X 40 Cm, PRESENTACION: ENVASE 
X 10 UN, ESPESOR: 30 Mn - MARCA NOBLEZA </t>
  </si>
  <si>
    <t xml:space="preserve">25 </t>
  </si>
  <si>
    <t xml:space="preserve">2.9.1-646.52 </t>
  </si>
  <si>
    <t xml:space="preserve">BOLSAS DE RESIDUOS; DIMENSION: 60 X 90 Cm, PRESENTACION: PAQUETE 
X 50 UN, ESPESOR: 25 Mn, COLOR: NEGRO </t>
  </si>
  <si>
    <t xml:space="preserve">BOLSA DE CONSORCIO 60 X 90 CM SOL AZUL X 
10 UNIDADES  </t>
  </si>
  <si>
    <t xml:space="preserve">BOLSAS DE RESIDUOS; DIMENSION: 60 X 90 Cm, PRESENTACION: PAQUETE 
X 50 UN, ESPESOR: 25 Mn, COLOR: NEGRO. MARCA: BOL 
</t>
  </si>
  <si>
    <t xml:space="preserve">26 </t>
  </si>
  <si>
    <t xml:space="preserve">2.9.1-646.75 </t>
  </si>
  <si>
    <t xml:space="preserve">BOLSAS DE RESIDUOS; DIMENSION: 90 X 120 Cm, PRESENTACION: ENVASE 
X 10 UN, ESPESOR: 80 µm </t>
  </si>
  <si>
    <t xml:space="preserve">BOLSA COMPACTADORA 90 X 120 CM SOL AZUL 10 UNIDADES 
 </t>
  </si>
  <si>
    <t xml:space="preserve">BOLSAS DE RESIDUOS; DIMENSION: 90 X 120 Cm, PRESENTACION: ENVASE 
X 10 UN, ESPESOR: 80 µm. MARCA : BOL </t>
  </si>
  <si>
    <t xml:space="preserve">27 </t>
  </si>
  <si>
    <t xml:space="preserve">2.9.1-678.5 </t>
  </si>
  <si>
    <t xml:space="preserve">TRAPOS REJILLA; DIMENSION: 50 X 60 Cm, COLOR: BLANCO, MATERIAL: 
PURO ALGODON </t>
  </si>
  <si>
    <t xml:space="preserve">REJILLA DINEX MATERIAL ALGODON  DOBLE PESADA  </t>
  </si>
  <si>
    <t xml:space="preserve">TRAPOS REJILLA; DIMENSION: 50 X 60 Cm, COLOR: BLANCO, MATERIAL: 
PURO ALGODON. MARCA: SINA  </t>
  </si>
  <si>
    <t xml:space="preserve">TRAPOS REJILLA; DIMENSION: 50 X 60 Cm, COLOR: BLANCO, MATERIAL: 
PURO ALGODON- MARCA MEDIA NARANJA </t>
  </si>
  <si>
    <t xml:space="preserve">28 </t>
  </si>
  <si>
    <t xml:space="preserve">2.9.1-6961.15 </t>
  </si>
  <si>
    <t xml:space="preserve">ELEM. P/LIMPIEZA SANITARIOS; TIPO: REJILLA DESODORANTE, PRESENTACION: UNIDAD </t>
  </si>
  <si>
    <t xml:space="preserve">REJILLA URINAL MIGITORIO MARCA  MS  </t>
  </si>
  <si>
    <t xml:space="preserve">ELÉM. P/LIMPIEZA SANITARIOS; TIPO: REJILLA DESODORANTE, PRESENTACION: UNIDAD, PASTILLA POR 
25 GR- FRAGANCIA. MARCA: SALOME </t>
  </si>
  <si>
    <t xml:space="preserve">29 </t>
  </si>
  <si>
    <t xml:space="preserve">2.9.1-4784.4 </t>
  </si>
  <si>
    <t xml:space="preserve">LIMPIADORES MULTIUSO; TIPO: P/LAMPAZO, PRESENTACION: ENVASE X 1 L </t>
  </si>
  <si>
    <t xml:space="preserve">LIQUIDO P/ LAMPAZO PERFUMADO 1 L  </t>
  </si>
  <si>
    <t xml:space="preserve">LIMPIADORES MULTIUSO; TIPO: P/LAMPAZO, PRESENTACION: ENVASE X 1 L - 
MARCA HAUSER </t>
  </si>
  <si>
    <t xml:space="preserve">30 </t>
  </si>
  <si>
    <t xml:space="preserve">2.9.1-713.14 </t>
  </si>
  <si>
    <t xml:space="preserve">TRAPOS DE PISO; DIMENSION: 80 X 80 Cm </t>
  </si>
  <si>
    <t xml:space="preserve">TRAPO DE PISO GRIS PROFESIONAL MR  </t>
  </si>
  <si>
    <t xml:space="preserve">TRAPOS DE PISO; DIMENSIÓN: 80 X 80 Cm . MARCA: 
SOFT </t>
  </si>
  <si>
    <t xml:space="preserve">TRAPOS DE PISO; DIMENSION: 80 X 80 Cm - MARCA 
MR TRAPO </t>
  </si>
  <si>
    <t xml:space="preserve">31 </t>
  </si>
  <si>
    <t xml:space="preserve">2.9.1-683.3 </t>
  </si>
  <si>
    <t xml:space="preserve">SECADORES DE GOMA; LARGO: 50 Cm, COLOR: ROJO </t>
  </si>
  <si>
    <t xml:space="preserve">SECADOR DE GOMA NEGRA REFORZADA 50 CM COLOR NEGRO  
</t>
  </si>
  <si>
    <t xml:space="preserve">SECADORES DE GOMA; LARGO: 50 Cm, COLOR: ROJO. MARCA: JOS 
</t>
  </si>
  <si>
    <t xml:space="preserve">32 </t>
  </si>
  <si>
    <t xml:space="preserve">2.5.1-9065.4 </t>
  </si>
  <si>
    <t xml:space="preserve">DESINFECTANTES Y DETERGENTES; PRINCIPIO ACTIVO: DETERGENTE, CALIDAD: COMERCIAL, CONCENTRACION/PUREZA: 99 
%, PRESENTACION: ENVASE X 500 mL </t>
  </si>
  <si>
    <t xml:space="preserve">DESINFECTANTES Y DETERGENTES; PRINCIPIO ACTIVO: DETERGENTE, CALIDAD: COMERCIAL, CONCENTRACION/PUREZA: 99 
%, PRESENTACION: ENVASE X 500 mL, JABÓN LÍQUIDO PARA MANOS 
FRAGANCIA INDISTINTO. MARCA: TIBU </t>
  </si>
  <si>
    <t xml:space="preserve">DESINFECTANTES Y DETERGENTES; PRINCIPIO ACTIVO: DETERGENTE, CALIDAD: COMERCIAL, CONCENTRACION/PUREZA: 99 
%, PRESENTACION: ENVASE X 500 mL  - MARCA HAUSER 
</t>
  </si>
  <si>
    <t xml:space="preserve">33 </t>
  </si>
  <si>
    <t xml:space="preserve">2.9.1-1164.1 </t>
  </si>
  <si>
    <t xml:space="preserve">ESPONJAS; MATERIAL: POLIURETANO POLIETER, USO: P/COCINA, ADITAMENTO: FIBRA POLIESTER SUAVE, 
FORMA: PRISMATICA, LARGO X ANCHO X ESP: 10 X 6 
X 3,5 Cm, COLOR: AMARILLO </t>
  </si>
  <si>
    <t xml:space="preserve">ESPONJA FIBRA C / SALVAUÑAS FLEXO COLOR AMARILLO  </t>
  </si>
  <si>
    <t xml:space="preserve">ESPONJAS; MATERIAL: POLIURETANO POLIETER, USO: P/COCINA, ADITAMENTO: FIBRA POLIESTER SUAVE, 
FORMA: PRISMATICA, LARGO X ANCHO X ESP: 10 X 6 
X 3,5 Cm, ??COLOR: AMARILLO. MARCA FIBRALIMP </t>
  </si>
  <si>
    <t xml:space="preserve">ESPONJAS; MATERIAL: POLIURETANO POLIETER, USO: P/COCINA, ADITAMENTO: FIBRA POLIESTER SUAVE, 
FORMA: PRISMATICA, LARGO X ANCHO X ESP: 10 X 6 
X 3,5 Cm, COLOR: AMARILLO - MARCA GO </t>
  </si>
  <si>
    <t xml:space="preserve">34 </t>
  </si>
  <si>
    <t xml:space="preserve">2.3.4-5442.11 </t>
  </si>
  <si>
    <t xml:space="preserve">ROLLOS P/COCINA; DIMENSION: 22 X 20 Cm, PRESENTACION: ENVASE X 
3 UN </t>
  </si>
  <si>
    <t xml:space="preserve">ROLOO DE COCINA CARTABELLA X 3 UNIDADES  </t>
  </si>
  <si>
    <t xml:space="preserve">Elegante </t>
  </si>
  <si>
    <t xml:space="preserve">ROLLOS P/COCINA; DIMENSION: 22 X 20 Cm, PRESENTACION: ENVASE X 
3 UN. MARCA NITIDESS </t>
  </si>
  <si>
    <t xml:space="preserve">ROLLOS P/COCINA; DIMENSION: 22 X 20 Cm, PRESENTACION: ENVASE X 
3 UN - MARCA NITIDEZ </t>
  </si>
  <si>
    <t xml:space="preserve">35 </t>
  </si>
  <si>
    <t xml:space="preserve">2.3.4-786.1 </t>
  </si>
  <si>
    <t xml:space="preserve">PAPEL HIGIENICO; TIPO: ROLLO, LARGO: 300 Cm, PRESENTACION: UNIDAD, ANCHO: 
10 Cm, MATERIAL HOJA: SIMPLE, HOJA: SIMPLE, TIPO DE HOJA: 
SIMPLE </t>
  </si>
  <si>
    <t xml:space="preserve">PAPEL HIGIENICO JUMBO SOL AZUL 300 CM LARGO </t>
  </si>
  <si>
    <t xml:space="preserve">Ecopapel  </t>
  </si>
  <si>
    <t xml:space="preserve">PAPEL HIGIENICO; TIPO: ROLLO, LARGO: 300 Cm, PRESENTACION: UNIDAD, ANCHO: 
10 Cm, MATERIAL HOJA: SIMPLE, HOJA: SIMPLE, TIPO DE HOJA: 
SIMPLE. NARCA: PEL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</si>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</sst>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A2ADD0"/>
        <bgColor rgb="FFA2ADD0"/>
      </patternFill>
    </fill>
  </fills>
  <borders count="1">
    <border>
      <left/>
      <right/>
      <top/>
      <bottom/>
      <diagonal/>
    </border>
  </borders>
  <cellStyleXfs count="1">
    <xf numFmtId="0" fontId="0" fillId="0" borderId="0" applyBorder="0"/>
  </cellStyleXfs>
  <cellXfs count="6">
    <xf numFmtId="0" fontId="0" fillId="0" borderId="0" xfId="0" applyNumberFormat="1" applyFill="1" applyAlignment="1" applyProtection="1"/>
    <xf numFmtId="0" fontId="1" fillId="2" borderId="0" xfId="0" applyNumberFormat="1" applyFont="1" applyFill="1" applyAlignment="1" applyProtection="1">
      <alignment horizontal="center"/>
    </xf>
    <xf numFmtId="0" fontId="1" fillId="2" borderId="0" xfId="0" applyNumberFormat="1" applyFont="1" applyFill="1" applyAlignment="1" applyProtection="1">
      <alignment horizontal="left"/>
    </xf>
    <xf numFmtId="164" fontId="0" fillId="0" borderId="0" xfId="0" applyNumberFormat="1" applyFill="1" applyAlignment="1" applyProtection="1"/>
    <xf numFmtId="165" fontId="0" fillId="0" borderId="0" xfId="0" applyNumberFormat="1" applyFill="1" applyAlignment="1" applyProtection="1"/>
    <xf numFmtId="0" fontId="0" fillId="0" borderId="0" xfId="0" applyNumberFormat="1" applyFill="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45" totalsRowCount="1">
  <tableColumns count="6">
    <tableColumn id="1" xr3:uid="{00000000-0010-0000-0000-000001000000}" name="Renglón"/>
    <tableColumn id="2" xr3:uid="{00000000-0010-0000-0000-000002000000}" name="Alternativa"/>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J45" totalsRowCount="1">
  <tableColumns count="4">
    <tableColumn id="1" xr3:uid="{00000000-0010-0000-0100-000001000000}" name="Precio unitario"/>
    <tableColumn id="2" xr3:uid="{00000000-0010-0000-0100-000002000000}" name="Cantidad ofertada"/>
    <tableColumn id="3" xr3:uid="{00000000-0010-0000-0100-000003000000}" name="Total por renglón" totalsRowFunction="sum"/>
    <tableColumn id="4" xr3:uid="{00000000-0010-0000-0100-000004000000}" name="Especificacion técnica"/>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K9:N45" totalsRowCount="1">
  <tableColumns count="4">
    <tableColumn id="1" xr3:uid="{00000000-0010-0000-0200-000001000000}" name="Precio unitario"/>
    <tableColumn id="2" xr3:uid="{00000000-0010-0000-0200-000002000000}" name="Cantidad ofertada"/>
    <tableColumn id="3" xr3:uid="{00000000-0010-0000-0200-000003000000}" name="Total por renglón" totalsRowFunction="sum"/>
    <tableColumn id="4" xr3:uid="{00000000-0010-0000-0200-000004000000}" name="Especificacion técnica"/>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O9:R45" totalsRowCount="1">
  <tableColumns count="4">
    <tableColumn id="1" xr3:uid="{00000000-0010-0000-0300-000001000000}" name="Precio unitario"/>
    <tableColumn id="2" xr3:uid="{00000000-0010-0000-0300-000002000000}" name="Cantidad ofertada"/>
    <tableColumn id="3" xr3:uid="{00000000-0010-0000-0300-000003000000}" name="Total por renglón" totalsRowFunction="sum"/>
    <tableColumn id="4" xr3:uid="{00000000-0010-0000-0300-000004000000}" name="Especificacion técnica"/>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S9:V45" totalsRowCount="1">
  <tableColumns count="4">
    <tableColumn id="1" xr3:uid="{00000000-0010-0000-0400-000001000000}" name="Precio unitario"/>
    <tableColumn id="2" xr3:uid="{00000000-0010-0000-0400-000002000000}" name="Cantidad ofertada"/>
    <tableColumn id="3" xr3:uid="{00000000-0010-0000-0400-000003000000}" name="Total por renglón" totalsRowFunction="sum"/>
    <tableColumn id="4" xr3:uid="{00000000-0010-0000-0400-000004000000}" name="Especificacion técnic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5"/>
  <sheetViews>
    <sheetView tabSelected="1" workbookViewId="0">
      <pane xSplit="3" ySplit="9" topLeftCell="D10" activePane="bottomRight" state="frozenSplit"/>
      <selection pane="topRight"/>
      <selection pane="bottomLeft"/>
      <selection pane="bottomRight" activeCell="D10" sqref="D10"/>
    </sheetView>
  </sheetViews>
  <sheetFormatPr baseColWidth="10" defaultColWidth="9.140625" defaultRowHeight="15" x14ac:dyDescent="0.25"/>
  <cols>
    <col min="1" max="1" width="8.85546875" customWidth="1"/>
    <col min="2" max="2" width="11.28515625" customWidth="1"/>
    <col min="3" max="3" width="14.7109375" customWidth="1"/>
    <col min="4" max="4" width="106.42578125" customWidth="1"/>
    <col min="5" max="5" width="82.7109375" customWidth="1"/>
    <col min="6" max="6" width="17.42578125" customWidth="1"/>
    <col min="7" max="7" width="14.28515625" customWidth="1"/>
    <col min="8" max="8" width="17.28515625" customWidth="1"/>
    <col min="9" max="9" width="16.5703125" customWidth="1"/>
    <col min="10" max="10" width="91" customWidth="1"/>
    <col min="11" max="11" width="14.28515625" customWidth="1"/>
    <col min="12" max="12" width="17.28515625" customWidth="1"/>
    <col min="13" max="13" width="16.5703125" customWidth="1"/>
    <col min="14" max="14" width="56.140625" customWidth="1"/>
    <col min="15" max="15" width="14.28515625" customWidth="1"/>
    <col min="16" max="16" width="17.28515625" customWidth="1"/>
    <col min="17" max="17" width="16.5703125" customWidth="1"/>
    <col min="18" max="18" width="106.42578125" customWidth="1"/>
    <col min="19" max="19" width="14.28515625" customWidth="1"/>
    <col min="20" max="20" width="17.28515625" customWidth="1"/>
    <col min="21" max="21" width="16.5703125" customWidth="1"/>
    <col min="22" max="22" width="106.42578125" customWidth="1"/>
  </cols>
  <sheetData>
    <row r="1" spans="1:22" x14ac:dyDescent="0.25">
      <c r="D1" s="2" t="s">
        <v>0</v>
      </c>
      <c r="E1" s="2" t="s">
        <v>1</v>
      </c>
    </row>
    <row r="2" spans="1:22" x14ac:dyDescent="0.25">
      <c r="D2" s="2" t="s">
        <v>2</v>
      </c>
      <c r="E2" s="2" t="s">
        <v>3</v>
      </c>
    </row>
    <row r="3" spans="1:22" x14ac:dyDescent="0.25">
      <c r="D3" s="2" t="s">
        <v>4</v>
      </c>
      <c r="E3" s="2" t="s">
        <v>5</v>
      </c>
    </row>
    <row r="4" spans="1:22" x14ac:dyDescent="0.25">
      <c r="D4" s="2" t="s">
        <v>6</v>
      </c>
      <c r="E4" s="2" t="s">
        <v>7</v>
      </c>
    </row>
    <row r="5" spans="1:22" x14ac:dyDescent="0.25">
      <c r="D5" s="2" t="s">
        <v>8</v>
      </c>
      <c r="E5" s="2" t="s">
        <v>9</v>
      </c>
    </row>
    <row r="8" spans="1:22" x14ac:dyDescent="0.25">
      <c r="A8" s="1" t="s">
        <v>10</v>
      </c>
      <c r="B8" s="1"/>
      <c r="C8" s="1"/>
      <c r="D8" s="1"/>
      <c r="E8" s="1"/>
      <c r="F8" s="1"/>
      <c r="G8" s="1" t="s">
        <v>11</v>
      </c>
      <c r="H8" s="1"/>
      <c r="I8" s="1"/>
      <c r="J8" s="1"/>
      <c r="K8" s="1" t="s">
        <v>12</v>
      </c>
      <c r="L8" s="1"/>
      <c r="M8" s="1"/>
      <c r="N8" s="1"/>
      <c r="O8" s="1" t="s">
        <v>13</v>
      </c>
      <c r="P8" s="1"/>
      <c r="Q8" s="1"/>
      <c r="R8" s="1"/>
      <c r="S8" s="1" t="s">
        <v>14</v>
      </c>
      <c r="T8" s="1"/>
      <c r="U8" s="1"/>
      <c r="V8" s="1"/>
    </row>
    <row r="9" spans="1:22" x14ac:dyDescent="0.25">
      <c r="A9" t="s">
        <v>10</v>
      </c>
      <c r="B9" t="s">
        <v>15</v>
      </c>
      <c r="C9" t="s">
        <v>16</v>
      </c>
      <c r="D9" t="s">
        <v>17</v>
      </c>
      <c r="E9" t="s">
        <v>18</v>
      </c>
      <c r="F9" t="s">
        <v>19</v>
      </c>
      <c r="G9" s="3" t="s">
        <v>20</v>
      </c>
      <c r="H9" s="3" t="s">
        <v>21</v>
      </c>
      <c r="I9" t="s">
        <v>22</v>
      </c>
      <c r="J9" t="s">
        <v>23</v>
      </c>
      <c r="K9" s="3" t="s">
        <v>20</v>
      </c>
      <c r="L9" s="3" t="s">
        <v>21</v>
      </c>
      <c r="M9" t="s">
        <v>22</v>
      </c>
      <c r="N9" t="s">
        <v>23</v>
      </c>
      <c r="O9" s="3" t="s">
        <v>20</v>
      </c>
      <c r="P9" s="3" t="s">
        <v>21</v>
      </c>
      <c r="Q9" t="s">
        <v>22</v>
      </c>
      <c r="R9" t="s">
        <v>23</v>
      </c>
      <c r="S9" s="3" t="s">
        <v>20</v>
      </c>
      <c r="T9" s="3" t="s">
        <v>21</v>
      </c>
      <c r="U9" t="s">
        <v>22</v>
      </c>
      <c r="V9" t="s">
        <v>23</v>
      </c>
    </row>
    <row r="10" spans="1:22" ht="75" x14ac:dyDescent="0.25">
      <c r="A10" t="s">
        <v>24</v>
      </c>
      <c r="B10" t="s">
        <v>24</v>
      </c>
      <c r="C10" t="s">
        <v>25</v>
      </c>
      <c r="D10" t="s">
        <v>26</v>
      </c>
      <c r="E10">
        <v>100</v>
      </c>
      <c r="F10" t="s">
        <v>27</v>
      </c>
      <c r="G10" s="3">
        <v>600</v>
      </c>
      <c r="H10" s="3">
        <v>100</v>
      </c>
      <c r="I10" s="4">
        <v>60000</v>
      </c>
      <c r="J10" s="5" t="s">
        <v>28</v>
      </c>
      <c r="K10" s="3">
        <v>538.97</v>
      </c>
      <c r="L10" s="3">
        <v>100</v>
      </c>
      <c r="M10" s="4">
        <v>53897</v>
      </c>
      <c r="N10" t="s">
        <v>29</v>
      </c>
      <c r="O10" s="3">
        <v>650</v>
      </c>
      <c r="P10" s="3">
        <v>100</v>
      </c>
      <c r="Q10" s="4">
        <v>65000</v>
      </c>
      <c r="R10" s="5" t="s">
        <v>30</v>
      </c>
      <c r="S10" s="3"/>
      <c r="T10" s="3"/>
      <c r="U10" s="4"/>
    </row>
    <row r="11" spans="1:22" ht="60" x14ac:dyDescent="0.25">
      <c r="A11" t="s">
        <v>31</v>
      </c>
      <c r="B11" t="s">
        <v>24</v>
      </c>
      <c r="C11" t="s">
        <v>32</v>
      </c>
      <c r="D11" t="s">
        <v>33</v>
      </c>
      <c r="E11">
        <v>100</v>
      </c>
      <c r="F11" t="s">
        <v>27</v>
      </c>
      <c r="G11" s="3">
        <v>560</v>
      </c>
      <c r="H11" s="3">
        <v>100</v>
      </c>
      <c r="I11" s="4">
        <v>56000</v>
      </c>
      <c r="J11" s="5" t="s">
        <v>34</v>
      </c>
      <c r="K11" s="3">
        <v>1758.85</v>
      </c>
      <c r="L11" s="3">
        <v>100</v>
      </c>
      <c r="M11" s="4">
        <v>175885</v>
      </c>
      <c r="N11" t="s">
        <v>35</v>
      </c>
      <c r="O11" s="3">
        <v>500</v>
      </c>
      <c r="P11" s="3">
        <v>100</v>
      </c>
      <c r="Q11" s="4">
        <v>50000</v>
      </c>
      <c r="R11" s="5" t="s">
        <v>36</v>
      </c>
      <c r="S11" s="3">
        <v>340</v>
      </c>
      <c r="T11" s="3">
        <v>100</v>
      </c>
      <c r="U11" s="4">
        <v>34000</v>
      </c>
      <c r="V11" s="5" t="s">
        <v>37</v>
      </c>
    </row>
    <row r="12" spans="1:22" ht="60" x14ac:dyDescent="0.25">
      <c r="A12" t="s">
        <v>38</v>
      </c>
      <c r="B12" t="s">
        <v>24</v>
      </c>
      <c r="C12" t="s">
        <v>39</v>
      </c>
      <c r="D12" s="5" t="s">
        <v>40</v>
      </c>
      <c r="E12">
        <v>100</v>
      </c>
      <c r="F12" t="s">
        <v>27</v>
      </c>
      <c r="G12" s="3">
        <v>285</v>
      </c>
      <c r="H12" s="3">
        <v>100</v>
      </c>
      <c r="I12" s="4">
        <v>28500</v>
      </c>
      <c r="J12" s="5" t="s">
        <v>41</v>
      </c>
      <c r="K12" s="3">
        <v>641.79999999999995</v>
      </c>
      <c r="L12" s="3">
        <v>100</v>
      </c>
      <c r="M12" s="4">
        <v>64180</v>
      </c>
      <c r="N12" t="s">
        <v>42</v>
      </c>
      <c r="O12" s="3">
        <v>250</v>
      </c>
      <c r="P12" s="3">
        <v>100</v>
      </c>
      <c r="Q12" s="4">
        <v>25000</v>
      </c>
      <c r="R12" s="5" t="s">
        <v>43</v>
      </c>
      <c r="S12" s="3">
        <v>200</v>
      </c>
      <c r="T12" s="3">
        <v>100</v>
      </c>
      <c r="U12" s="4">
        <v>20000</v>
      </c>
      <c r="V12" s="5" t="s">
        <v>44</v>
      </c>
    </row>
    <row r="13" spans="1:22" ht="30" x14ac:dyDescent="0.25">
      <c r="A13" t="s">
        <v>45</v>
      </c>
      <c r="B13" t="s">
        <v>24</v>
      </c>
      <c r="C13" t="s">
        <v>46</v>
      </c>
      <c r="D13" s="5" t="s">
        <v>47</v>
      </c>
      <c r="E13">
        <v>50</v>
      </c>
      <c r="F13" t="s">
        <v>27</v>
      </c>
      <c r="G13" s="3">
        <v>300</v>
      </c>
      <c r="H13" s="3">
        <v>50</v>
      </c>
      <c r="I13" s="4">
        <v>15000</v>
      </c>
      <c r="J13" t="s">
        <v>48</v>
      </c>
      <c r="K13" s="3">
        <v>809.3</v>
      </c>
      <c r="L13" s="3">
        <v>50</v>
      </c>
      <c r="M13" s="4">
        <v>40465</v>
      </c>
      <c r="N13" t="s">
        <v>49</v>
      </c>
      <c r="O13" s="3">
        <v>350</v>
      </c>
      <c r="P13" s="3">
        <v>50</v>
      </c>
      <c r="Q13" s="4">
        <v>17500</v>
      </c>
      <c r="R13" s="5" t="s">
        <v>50</v>
      </c>
      <c r="S13" s="3"/>
      <c r="T13" s="3"/>
      <c r="U13" s="4"/>
    </row>
    <row r="14" spans="1:22" ht="60" x14ac:dyDescent="0.25">
      <c r="A14" t="s">
        <v>51</v>
      </c>
      <c r="B14" t="s">
        <v>24</v>
      </c>
      <c r="C14" t="s">
        <v>52</v>
      </c>
      <c r="D14" t="s">
        <v>53</v>
      </c>
      <c r="E14">
        <v>100</v>
      </c>
      <c r="F14" t="s">
        <v>27</v>
      </c>
      <c r="G14" s="3">
        <v>570</v>
      </c>
      <c r="H14" s="3">
        <v>100</v>
      </c>
      <c r="I14" s="4">
        <v>57000</v>
      </c>
      <c r="J14" s="5" t="s">
        <v>54</v>
      </c>
      <c r="K14" s="3">
        <v>641.78</v>
      </c>
      <c r="L14" s="3">
        <v>100</v>
      </c>
      <c r="M14" s="4">
        <v>64178</v>
      </c>
      <c r="N14" t="s">
        <v>55</v>
      </c>
      <c r="O14" s="3">
        <v>379</v>
      </c>
      <c r="P14" s="3">
        <v>100</v>
      </c>
      <c r="Q14" s="4">
        <v>37900</v>
      </c>
      <c r="R14" s="5" t="s">
        <v>56</v>
      </c>
      <c r="S14" s="3">
        <v>390</v>
      </c>
      <c r="T14" s="3">
        <v>100</v>
      </c>
      <c r="U14" s="4">
        <v>39000</v>
      </c>
      <c r="V14" s="5" t="s">
        <v>57</v>
      </c>
    </row>
    <row r="15" spans="1:22" x14ac:dyDescent="0.25">
      <c r="A15" t="s">
        <v>58</v>
      </c>
      <c r="B15" t="s">
        <v>24</v>
      </c>
      <c r="C15" t="s">
        <v>59</v>
      </c>
      <c r="D15" t="s">
        <v>60</v>
      </c>
      <c r="E15">
        <v>90</v>
      </c>
      <c r="F15" t="s">
        <v>27</v>
      </c>
      <c r="G15" s="3">
        <v>390</v>
      </c>
      <c r="H15" s="3">
        <v>90</v>
      </c>
      <c r="I15" s="4">
        <v>35100</v>
      </c>
      <c r="J15" t="s">
        <v>61</v>
      </c>
      <c r="K15" s="3">
        <v>355.61</v>
      </c>
      <c r="L15" s="3">
        <v>90</v>
      </c>
      <c r="M15" s="4">
        <v>32004.9</v>
      </c>
      <c r="N15" t="s">
        <v>62</v>
      </c>
      <c r="O15" s="3">
        <v>290</v>
      </c>
      <c r="P15" s="3">
        <v>90</v>
      </c>
      <c r="Q15" s="4">
        <v>26100</v>
      </c>
      <c r="R15" t="s">
        <v>63</v>
      </c>
      <c r="S15" s="3">
        <v>260</v>
      </c>
      <c r="T15" s="3">
        <v>90</v>
      </c>
      <c r="U15" s="4">
        <v>23400</v>
      </c>
      <c r="V15" t="s">
        <v>64</v>
      </c>
    </row>
    <row r="16" spans="1:22" ht="45" x14ac:dyDescent="0.25">
      <c r="A16" t="s">
        <v>65</v>
      </c>
      <c r="B16" t="s">
        <v>24</v>
      </c>
      <c r="C16" t="s">
        <v>66</v>
      </c>
      <c r="D16" s="5" t="s">
        <v>67</v>
      </c>
      <c r="E16">
        <v>90</v>
      </c>
      <c r="F16" t="s">
        <v>27</v>
      </c>
      <c r="G16" s="3">
        <v>170</v>
      </c>
      <c r="H16" s="3">
        <v>90</v>
      </c>
      <c r="I16" s="4">
        <v>15300</v>
      </c>
      <c r="J16" t="s">
        <v>68</v>
      </c>
      <c r="K16" s="3"/>
      <c r="L16" s="3"/>
      <c r="M16" s="4"/>
      <c r="O16" s="3">
        <v>390</v>
      </c>
      <c r="P16" s="3">
        <v>90</v>
      </c>
      <c r="Q16" s="4">
        <v>35100</v>
      </c>
      <c r="R16" s="5" t="s">
        <v>69</v>
      </c>
      <c r="S16" s="3">
        <v>150</v>
      </c>
      <c r="T16" s="3">
        <v>90</v>
      </c>
      <c r="U16" s="4">
        <v>13500</v>
      </c>
      <c r="V16" s="5" t="s">
        <v>70</v>
      </c>
    </row>
    <row r="17" spans="1:22" ht="30" x14ac:dyDescent="0.25">
      <c r="A17" t="s">
        <v>71</v>
      </c>
      <c r="B17" t="s">
        <v>24</v>
      </c>
      <c r="C17" t="s">
        <v>72</v>
      </c>
      <c r="D17" t="s">
        <v>73</v>
      </c>
      <c r="E17">
        <v>100</v>
      </c>
      <c r="F17" t="s">
        <v>27</v>
      </c>
      <c r="G17" s="3">
        <v>417</v>
      </c>
      <c r="H17" s="3">
        <v>100</v>
      </c>
      <c r="I17" s="4">
        <v>41700</v>
      </c>
      <c r="J17" s="5" t="s">
        <v>74</v>
      </c>
      <c r="K17" s="3"/>
      <c r="L17" s="3"/>
      <c r="M17" s="4"/>
      <c r="O17" s="3">
        <v>580</v>
      </c>
      <c r="P17" s="3">
        <v>100</v>
      </c>
      <c r="Q17" s="4">
        <v>58000</v>
      </c>
      <c r="R17" t="s">
        <v>75</v>
      </c>
      <c r="S17" s="3">
        <v>320</v>
      </c>
      <c r="T17" s="3">
        <v>100</v>
      </c>
      <c r="U17" s="4">
        <v>32000</v>
      </c>
      <c r="V17" t="s">
        <v>76</v>
      </c>
    </row>
    <row r="18" spans="1:22" ht="30" x14ac:dyDescent="0.25">
      <c r="A18" t="s">
        <v>77</v>
      </c>
      <c r="B18" t="s">
        <v>24</v>
      </c>
      <c r="C18" t="s">
        <v>78</v>
      </c>
      <c r="D18" t="s">
        <v>79</v>
      </c>
      <c r="E18">
        <v>300</v>
      </c>
      <c r="F18" t="s">
        <v>27</v>
      </c>
      <c r="G18" s="3">
        <v>125</v>
      </c>
      <c r="H18" s="3">
        <v>300</v>
      </c>
      <c r="I18" s="4">
        <v>37500</v>
      </c>
      <c r="J18" s="5" t="s">
        <v>80</v>
      </c>
      <c r="K18" s="3">
        <v>117.99</v>
      </c>
      <c r="L18" s="3">
        <v>300</v>
      </c>
      <c r="M18" s="4">
        <v>35397</v>
      </c>
      <c r="N18" t="s">
        <v>81</v>
      </c>
      <c r="O18" s="3">
        <v>119</v>
      </c>
      <c r="P18" s="3">
        <v>300</v>
      </c>
      <c r="Q18" s="4">
        <v>35700</v>
      </c>
      <c r="R18" s="5" t="s">
        <v>82</v>
      </c>
      <c r="S18" s="3">
        <v>170</v>
      </c>
      <c r="T18" s="3">
        <v>300</v>
      </c>
      <c r="U18" s="4">
        <v>51000</v>
      </c>
      <c r="V18" s="5" t="s">
        <v>83</v>
      </c>
    </row>
    <row r="19" spans="1:22" x14ac:dyDescent="0.25">
      <c r="A19" t="s">
        <v>84</v>
      </c>
      <c r="B19" t="s">
        <v>24</v>
      </c>
      <c r="C19" t="s">
        <v>85</v>
      </c>
      <c r="D19" t="s">
        <v>86</v>
      </c>
      <c r="E19">
        <v>50</v>
      </c>
      <c r="F19" t="s">
        <v>27</v>
      </c>
      <c r="G19" s="3"/>
      <c r="H19" s="3"/>
      <c r="I19" s="4"/>
      <c r="K19" s="3">
        <v>3019.9</v>
      </c>
      <c r="L19" s="3">
        <v>50</v>
      </c>
      <c r="M19" s="4">
        <v>150995</v>
      </c>
      <c r="N19" t="s">
        <v>87</v>
      </c>
      <c r="O19" s="3"/>
      <c r="P19" s="3"/>
      <c r="Q19" s="4"/>
      <c r="S19" s="3"/>
      <c r="T19" s="3"/>
      <c r="U19" s="4"/>
    </row>
    <row r="20" spans="1:22" ht="45" x14ac:dyDescent="0.25">
      <c r="A20" t="s">
        <v>88</v>
      </c>
      <c r="B20" t="s">
        <v>24</v>
      </c>
      <c r="C20" t="s">
        <v>89</v>
      </c>
      <c r="D20" s="5" t="s">
        <v>90</v>
      </c>
      <c r="E20">
        <v>200</v>
      </c>
      <c r="F20" t="s">
        <v>27</v>
      </c>
      <c r="G20" s="3">
        <v>190</v>
      </c>
      <c r="H20" s="3">
        <v>200</v>
      </c>
      <c r="I20" s="4">
        <v>38000</v>
      </c>
      <c r="J20" t="s">
        <v>91</v>
      </c>
      <c r="K20" s="3">
        <v>215.99</v>
      </c>
      <c r="L20" s="3">
        <v>200</v>
      </c>
      <c r="M20" s="4">
        <v>43198</v>
      </c>
      <c r="N20" s="5" t="s">
        <v>92</v>
      </c>
      <c r="O20" s="3">
        <v>178</v>
      </c>
      <c r="P20" s="3">
        <v>200</v>
      </c>
      <c r="Q20" s="4">
        <v>35600</v>
      </c>
      <c r="R20" s="5" t="s">
        <v>93</v>
      </c>
      <c r="S20" s="3"/>
      <c r="T20" s="3"/>
      <c r="U20" s="4"/>
    </row>
    <row r="21" spans="1:22" ht="45" x14ac:dyDescent="0.25">
      <c r="A21" t="s">
        <v>94</v>
      </c>
      <c r="B21" t="s">
        <v>24</v>
      </c>
      <c r="C21" t="s">
        <v>95</v>
      </c>
      <c r="D21" s="5" t="s">
        <v>96</v>
      </c>
      <c r="E21">
        <v>200</v>
      </c>
      <c r="F21" t="s">
        <v>27</v>
      </c>
      <c r="G21" s="3">
        <v>282</v>
      </c>
      <c r="H21" s="3">
        <v>200</v>
      </c>
      <c r="I21" s="4">
        <v>56400</v>
      </c>
      <c r="J21" t="s">
        <v>97</v>
      </c>
      <c r="K21" s="3">
        <v>189.7</v>
      </c>
      <c r="L21" s="3">
        <v>200</v>
      </c>
      <c r="M21" s="4">
        <v>37940</v>
      </c>
      <c r="N21" t="s">
        <v>98</v>
      </c>
      <c r="O21" s="3">
        <v>178</v>
      </c>
      <c r="P21" s="3">
        <v>200</v>
      </c>
      <c r="Q21" s="4">
        <v>35600</v>
      </c>
      <c r="R21" s="5" t="s">
        <v>99</v>
      </c>
      <c r="S21" s="3"/>
      <c r="T21" s="3"/>
      <c r="U21" s="4"/>
    </row>
    <row r="22" spans="1:22" ht="30" x14ac:dyDescent="0.25">
      <c r="A22" t="s">
        <v>100</v>
      </c>
      <c r="B22" t="s">
        <v>24</v>
      </c>
      <c r="C22" t="s">
        <v>101</v>
      </c>
      <c r="D22" t="s">
        <v>102</v>
      </c>
      <c r="E22">
        <v>400</v>
      </c>
      <c r="F22" t="s">
        <v>27</v>
      </c>
      <c r="G22" s="3">
        <v>194</v>
      </c>
      <c r="H22" s="3">
        <v>400</v>
      </c>
      <c r="I22" s="4">
        <v>77600</v>
      </c>
      <c r="J22" t="s">
        <v>103</v>
      </c>
      <c r="K22" s="3">
        <v>209.69</v>
      </c>
      <c r="L22" s="3">
        <v>400</v>
      </c>
      <c r="M22" s="4">
        <v>83876</v>
      </c>
      <c r="N22" t="s">
        <v>104</v>
      </c>
      <c r="O22" s="3">
        <v>188</v>
      </c>
      <c r="P22" s="3">
        <v>400</v>
      </c>
      <c r="Q22" s="4">
        <v>75200</v>
      </c>
      <c r="R22" s="5" t="s">
        <v>105</v>
      </c>
      <c r="S22" s="3"/>
      <c r="T22" s="3"/>
      <c r="U22" s="4"/>
    </row>
    <row r="23" spans="1:22" x14ac:dyDescent="0.25">
      <c r="A23" t="s">
        <v>106</v>
      </c>
      <c r="B23" t="s">
        <v>24</v>
      </c>
      <c r="C23" t="s">
        <v>107</v>
      </c>
      <c r="D23" t="s">
        <v>108</v>
      </c>
      <c r="E23">
        <v>400</v>
      </c>
      <c r="F23" t="s">
        <v>27</v>
      </c>
      <c r="G23" s="3">
        <v>194.9</v>
      </c>
      <c r="H23" s="3">
        <v>400</v>
      </c>
      <c r="I23" s="4">
        <v>77960</v>
      </c>
      <c r="J23" t="s">
        <v>109</v>
      </c>
      <c r="K23" s="3">
        <v>141.69999999999999</v>
      </c>
      <c r="L23" s="3">
        <v>400</v>
      </c>
      <c r="M23" s="4">
        <v>56680</v>
      </c>
      <c r="N23" t="s">
        <v>110</v>
      </c>
      <c r="O23" s="3">
        <v>200</v>
      </c>
      <c r="P23" s="3">
        <v>400</v>
      </c>
      <c r="Q23" s="4">
        <v>80000</v>
      </c>
      <c r="R23" t="s">
        <v>111</v>
      </c>
      <c r="S23" s="3">
        <v>260</v>
      </c>
      <c r="T23" s="3">
        <v>400</v>
      </c>
      <c r="U23" s="4">
        <v>104000</v>
      </c>
      <c r="V23" t="s">
        <v>112</v>
      </c>
    </row>
    <row r="24" spans="1:22" ht="120" x14ac:dyDescent="0.25">
      <c r="A24" t="s">
        <v>113</v>
      </c>
      <c r="B24" t="s">
        <v>24</v>
      </c>
      <c r="C24" t="s">
        <v>114</v>
      </c>
      <c r="D24" s="5" t="s">
        <v>115</v>
      </c>
      <c r="E24">
        <v>15</v>
      </c>
      <c r="F24" t="s">
        <v>27</v>
      </c>
      <c r="G24" s="3">
        <v>1139</v>
      </c>
      <c r="H24" s="3">
        <v>15</v>
      </c>
      <c r="I24" s="4">
        <v>17085</v>
      </c>
      <c r="J24" s="5" t="s">
        <v>116</v>
      </c>
      <c r="K24" s="3">
        <v>1369.15</v>
      </c>
      <c r="L24" s="3">
        <v>15</v>
      </c>
      <c r="M24" s="4">
        <v>20537.25</v>
      </c>
      <c r="N24" t="s">
        <v>117</v>
      </c>
      <c r="O24" s="3">
        <v>1125</v>
      </c>
      <c r="P24" s="3">
        <v>15</v>
      </c>
      <c r="Q24" s="4">
        <v>16875</v>
      </c>
      <c r="R24" s="5" t="s">
        <v>118</v>
      </c>
      <c r="S24" s="3">
        <v>2100</v>
      </c>
      <c r="T24" s="3">
        <v>15</v>
      </c>
      <c r="U24" s="4">
        <v>31500</v>
      </c>
      <c r="V24" s="5" t="s">
        <v>119</v>
      </c>
    </row>
    <row r="25" spans="1:22" ht="195" x14ac:dyDescent="0.25">
      <c r="A25" t="s">
        <v>120</v>
      </c>
      <c r="B25" t="s">
        <v>24</v>
      </c>
      <c r="C25" t="s">
        <v>121</v>
      </c>
      <c r="D25" s="5" t="s">
        <v>122</v>
      </c>
      <c r="E25">
        <v>50</v>
      </c>
      <c r="F25" t="s">
        <v>27</v>
      </c>
      <c r="G25" s="3">
        <v>930</v>
      </c>
      <c r="H25" s="3">
        <v>50</v>
      </c>
      <c r="I25" s="4">
        <v>46500</v>
      </c>
      <c r="J25" s="5" t="s">
        <v>123</v>
      </c>
      <c r="K25" s="3">
        <v>1369.15</v>
      </c>
      <c r="L25" s="3">
        <v>50</v>
      </c>
      <c r="M25" s="4">
        <v>68457.5</v>
      </c>
      <c r="N25" t="s">
        <v>117</v>
      </c>
      <c r="O25" s="3">
        <v>925</v>
      </c>
      <c r="P25" s="3">
        <v>50</v>
      </c>
      <c r="Q25" s="4">
        <v>46250</v>
      </c>
      <c r="R25" s="5" t="s">
        <v>124</v>
      </c>
      <c r="S25" s="3">
        <v>1650</v>
      </c>
      <c r="T25" s="3">
        <v>50</v>
      </c>
      <c r="U25" s="4">
        <v>82500</v>
      </c>
      <c r="V25" s="5" t="s">
        <v>125</v>
      </c>
    </row>
    <row r="26" spans="1:22" ht="30" x14ac:dyDescent="0.25">
      <c r="A26" t="s">
        <v>126</v>
      </c>
      <c r="B26" t="s">
        <v>24</v>
      </c>
      <c r="C26" t="s">
        <v>127</v>
      </c>
      <c r="D26" s="5" t="s">
        <v>128</v>
      </c>
      <c r="E26">
        <v>80</v>
      </c>
      <c r="F26" t="s">
        <v>27</v>
      </c>
      <c r="G26" s="3"/>
      <c r="H26" s="3"/>
      <c r="I26" s="4"/>
      <c r="K26" s="3"/>
      <c r="L26" s="3"/>
      <c r="M26" s="4"/>
      <c r="O26" s="3"/>
      <c r="P26" s="3"/>
      <c r="Q26" s="4"/>
      <c r="S26" s="3"/>
      <c r="T26" s="3"/>
      <c r="U26" s="4"/>
    </row>
    <row r="27" spans="1:22" ht="30" x14ac:dyDescent="0.25">
      <c r="A27" t="s">
        <v>129</v>
      </c>
      <c r="B27" t="s">
        <v>24</v>
      </c>
      <c r="C27" t="s">
        <v>130</v>
      </c>
      <c r="D27" s="5" t="s">
        <v>131</v>
      </c>
      <c r="E27">
        <v>80</v>
      </c>
      <c r="F27" t="s">
        <v>27</v>
      </c>
      <c r="G27" s="3"/>
      <c r="H27" s="3"/>
      <c r="I27" s="4"/>
      <c r="K27" s="3"/>
      <c r="L27" s="3"/>
      <c r="M27" s="4"/>
      <c r="O27" s="3"/>
      <c r="P27" s="3"/>
      <c r="Q27" s="4"/>
      <c r="S27" s="3"/>
      <c r="T27" s="3"/>
      <c r="U27" s="4"/>
    </row>
    <row r="28" spans="1:22" ht="30" x14ac:dyDescent="0.25">
      <c r="A28" t="s">
        <v>132</v>
      </c>
      <c r="B28" t="s">
        <v>24</v>
      </c>
      <c r="C28" t="s">
        <v>133</v>
      </c>
      <c r="D28" t="s">
        <v>134</v>
      </c>
      <c r="E28">
        <v>100</v>
      </c>
      <c r="F28" t="s">
        <v>27</v>
      </c>
      <c r="G28" s="3">
        <v>149</v>
      </c>
      <c r="H28" s="3">
        <v>100</v>
      </c>
      <c r="I28" s="4">
        <v>14900</v>
      </c>
      <c r="J28" t="s">
        <v>135</v>
      </c>
      <c r="K28" s="3"/>
      <c r="L28" s="3"/>
      <c r="M28" s="4"/>
      <c r="O28" s="3">
        <v>140</v>
      </c>
      <c r="P28" s="3">
        <v>100</v>
      </c>
      <c r="Q28" s="4">
        <v>14000</v>
      </c>
      <c r="R28" t="s">
        <v>136</v>
      </c>
      <c r="S28" s="3">
        <v>180</v>
      </c>
      <c r="T28" s="3">
        <v>100</v>
      </c>
      <c r="U28" s="4">
        <v>18000</v>
      </c>
      <c r="V28" s="5" t="s">
        <v>137</v>
      </c>
    </row>
    <row r="29" spans="1:22" ht="45" x14ac:dyDescent="0.25">
      <c r="A29" t="s">
        <v>138</v>
      </c>
      <c r="B29" t="s">
        <v>24</v>
      </c>
      <c r="C29" t="s">
        <v>139</v>
      </c>
      <c r="D29" s="5" t="s">
        <v>140</v>
      </c>
      <c r="E29">
        <v>80</v>
      </c>
      <c r="F29" t="s">
        <v>27</v>
      </c>
      <c r="G29" s="3">
        <v>1110</v>
      </c>
      <c r="H29" s="3">
        <v>80</v>
      </c>
      <c r="I29" s="4">
        <v>88800</v>
      </c>
      <c r="J29" t="s">
        <v>141</v>
      </c>
      <c r="K29" s="3"/>
      <c r="L29" s="3"/>
      <c r="M29" s="4"/>
      <c r="O29" s="3"/>
      <c r="P29" s="3"/>
      <c r="Q29" s="4"/>
      <c r="S29" s="3">
        <v>900</v>
      </c>
      <c r="T29" s="3">
        <v>80</v>
      </c>
      <c r="U29" s="4">
        <v>72000</v>
      </c>
      <c r="V29" s="5" t="s">
        <v>142</v>
      </c>
    </row>
    <row r="30" spans="1:22" ht="30" x14ac:dyDescent="0.25">
      <c r="A30" t="s">
        <v>143</v>
      </c>
      <c r="B30" t="s">
        <v>24</v>
      </c>
      <c r="C30" t="s">
        <v>144</v>
      </c>
      <c r="D30" t="s">
        <v>145</v>
      </c>
      <c r="E30">
        <v>100</v>
      </c>
      <c r="F30" t="s">
        <v>27</v>
      </c>
      <c r="G30" s="3">
        <v>90</v>
      </c>
      <c r="H30" s="3">
        <v>100</v>
      </c>
      <c r="I30" s="4">
        <v>9000</v>
      </c>
      <c r="J30" t="s">
        <v>146</v>
      </c>
      <c r="K30" s="3"/>
      <c r="L30" s="3"/>
      <c r="M30" s="4"/>
      <c r="O30" s="3">
        <v>55</v>
      </c>
      <c r="P30" s="3">
        <v>100</v>
      </c>
      <c r="Q30" s="4">
        <v>5500</v>
      </c>
      <c r="R30" s="5" t="s">
        <v>147</v>
      </c>
      <c r="S30" s="3">
        <v>400</v>
      </c>
      <c r="T30" s="3">
        <v>100</v>
      </c>
      <c r="U30" s="4">
        <v>40000</v>
      </c>
      <c r="V30" s="5" t="s">
        <v>148</v>
      </c>
    </row>
    <row r="31" spans="1:22" ht="30" x14ac:dyDescent="0.25">
      <c r="A31" t="s">
        <v>149</v>
      </c>
      <c r="B31" t="s">
        <v>24</v>
      </c>
      <c r="C31" t="s">
        <v>150</v>
      </c>
      <c r="D31" s="5" t="s">
        <v>151</v>
      </c>
      <c r="E31">
        <v>10</v>
      </c>
      <c r="F31" t="s">
        <v>27</v>
      </c>
      <c r="G31" s="3"/>
      <c r="H31" s="3"/>
      <c r="I31" s="4"/>
      <c r="K31" s="3">
        <v>16365.49</v>
      </c>
      <c r="L31" s="3">
        <v>10</v>
      </c>
      <c r="M31" s="4">
        <v>163654.9</v>
      </c>
      <c r="N31" t="s">
        <v>152</v>
      </c>
      <c r="O31" s="3"/>
      <c r="P31" s="3"/>
      <c r="Q31" s="4"/>
      <c r="S31" s="3"/>
      <c r="T31" s="3"/>
      <c r="U31" s="4"/>
    </row>
    <row r="32" spans="1:22" ht="30" x14ac:dyDescent="0.25">
      <c r="A32" t="s">
        <v>153</v>
      </c>
      <c r="B32" t="s">
        <v>24</v>
      </c>
      <c r="C32" t="s">
        <v>154</v>
      </c>
      <c r="D32" s="5" t="s">
        <v>155</v>
      </c>
      <c r="E32">
        <v>5</v>
      </c>
      <c r="F32" t="s">
        <v>27</v>
      </c>
      <c r="G32" s="3"/>
      <c r="H32" s="3"/>
      <c r="I32" s="4"/>
      <c r="K32" s="3"/>
      <c r="L32" s="3"/>
      <c r="M32" s="4"/>
      <c r="O32" s="3"/>
      <c r="P32" s="3"/>
      <c r="Q32" s="4"/>
      <c r="S32" s="3"/>
      <c r="T32" s="3"/>
      <c r="U32" s="4"/>
    </row>
    <row r="33" spans="1:22" ht="30" x14ac:dyDescent="0.25">
      <c r="A33" t="s">
        <v>156</v>
      </c>
      <c r="B33" t="s">
        <v>24</v>
      </c>
      <c r="C33" t="s">
        <v>157</v>
      </c>
      <c r="D33" s="5" t="s">
        <v>158</v>
      </c>
      <c r="E33">
        <v>300</v>
      </c>
      <c r="F33" t="s">
        <v>27</v>
      </c>
      <c r="G33" s="3">
        <v>128</v>
      </c>
      <c r="H33" s="3">
        <v>300</v>
      </c>
      <c r="I33" s="4">
        <v>38400</v>
      </c>
      <c r="J33" s="5" t="s">
        <v>159</v>
      </c>
      <c r="K33" s="3"/>
      <c r="L33" s="3"/>
      <c r="M33" s="4"/>
      <c r="O33" s="3">
        <v>69.989999999999995</v>
      </c>
      <c r="P33" s="3">
        <v>300</v>
      </c>
      <c r="Q33" s="4">
        <v>20997</v>
      </c>
      <c r="R33" s="5" t="s">
        <v>160</v>
      </c>
      <c r="S33" s="3">
        <v>60</v>
      </c>
      <c r="T33" s="3">
        <v>300</v>
      </c>
      <c r="U33" s="4">
        <v>18000</v>
      </c>
      <c r="V33" s="5" t="s">
        <v>161</v>
      </c>
    </row>
    <row r="34" spans="1:22" ht="45" x14ac:dyDescent="0.25">
      <c r="A34" t="s">
        <v>162</v>
      </c>
      <c r="B34" t="s">
        <v>24</v>
      </c>
      <c r="C34" t="s">
        <v>163</v>
      </c>
      <c r="D34" s="5" t="s">
        <v>164</v>
      </c>
      <c r="E34">
        <v>300</v>
      </c>
      <c r="F34" t="s">
        <v>27</v>
      </c>
      <c r="G34" s="3">
        <v>640</v>
      </c>
      <c r="H34" s="3">
        <v>300</v>
      </c>
      <c r="I34" s="4">
        <v>192000</v>
      </c>
      <c r="J34" s="5" t="s">
        <v>165</v>
      </c>
      <c r="K34" s="3"/>
      <c r="L34" s="3"/>
      <c r="M34" s="4"/>
      <c r="O34" s="3">
        <v>675</v>
      </c>
      <c r="P34" s="3">
        <v>300</v>
      </c>
      <c r="Q34" s="4">
        <v>202500</v>
      </c>
      <c r="R34" s="5" t="s">
        <v>166</v>
      </c>
      <c r="S34" s="3"/>
      <c r="T34" s="3"/>
      <c r="U34" s="4"/>
    </row>
    <row r="35" spans="1:22" ht="30" x14ac:dyDescent="0.25">
      <c r="A35" t="s">
        <v>167</v>
      </c>
      <c r="B35" t="s">
        <v>24</v>
      </c>
      <c r="C35" t="s">
        <v>168</v>
      </c>
      <c r="D35" s="5" t="s">
        <v>169</v>
      </c>
      <c r="E35">
        <v>300</v>
      </c>
      <c r="F35" t="s">
        <v>27</v>
      </c>
      <c r="G35" s="3">
        <v>390</v>
      </c>
      <c r="H35" s="3">
        <v>300</v>
      </c>
      <c r="I35" s="4">
        <v>117000</v>
      </c>
      <c r="J35" s="5" t="s">
        <v>170</v>
      </c>
      <c r="K35" s="3"/>
      <c r="L35" s="3"/>
      <c r="M35" s="4"/>
      <c r="O35" s="3">
        <v>310</v>
      </c>
      <c r="P35" s="3">
        <v>300</v>
      </c>
      <c r="Q35" s="4">
        <v>93000</v>
      </c>
      <c r="R35" s="5" t="s">
        <v>171</v>
      </c>
      <c r="S35" s="3"/>
      <c r="T35" s="3"/>
      <c r="U35" s="4"/>
    </row>
    <row r="36" spans="1:22" ht="30" x14ac:dyDescent="0.25">
      <c r="A36" t="s">
        <v>172</v>
      </c>
      <c r="B36" t="s">
        <v>24</v>
      </c>
      <c r="C36" t="s">
        <v>173</v>
      </c>
      <c r="D36" s="5" t="s">
        <v>174</v>
      </c>
      <c r="E36">
        <v>100</v>
      </c>
      <c r="F36" t="s">
        <v>27</v>
      </c>
      <c r="G36" s="3">
        <v>281</v>
      </c>
      <c r="H36" s="3">
        <v>100</v>
      </c>
      <c r="I36" s="4">
        <v>28100</v>
      </c>
      <c r="J36" t="s">
        <v>175</v>
      </c>
      <c r="K36" s="3"/>
      <c r="L36" s="3"/>
      <c r="M36" s="4"/>
      <c r="O36" s="3">
        <v>135.04</v>
      </c>
      <c r="P36" s="3">
        <v>100</v>
      </c>
      <c r="Q36" s="4">
        <v>13504</v>
      </c>
      <c r="R36" s="5" t="s">
        <v>176</v>
      </c>
      <c r="S36" s="3">
        <v>80</v>
      </c>
      <c r="T36" s="3">
        <v>100</v>
      </c>
      <c r="U36" s="4">
        <v>8000</v>
      </c>
      <c r="V36" s="5" t="s">
        <v>177</v>
      </c>
    </row>
    <row r="37" spans="1:22" ht="30" x14ac:dyDescent="0.25">
      <c r="A37" t="s">
        <v>178</v>
      </c>
      <c r="B37" t="s">
        <v>24</v>
      </c>
      <c r="C37" t="s">
        <v>179</v>
      </c>
      <c r="D37" t="s">
        <v>180</v>
      </c>
      <c r="E37">
        <v>100</v>
      </c>
      <c r="F37" t="s">
        <v>27</v>
      </c>
      <c r="G37" s="3">
        <v>150</v>
      </c>
      <c r="H37" s="3">
        <v>100</v>
      </c>
      <c r="I37" s="4">
        <v>15000</v>
      </c>
      <c r="J37" t="s">
        <v>181</v>
      </c>
      <c r="K37" s="3"/>
      <c r="L37" s="3"/>
      <c r="M37" s="4"/>
      <c r="O37" s="3">
        <v>51</v>
      </c>
      <c r="P37" s="3">
        <v>100</v>
      </c>
      <c r="Q37" s="4">
        <v>5100</v>
      </c>
      <c r="R37" s="5" t="s">
        <v>182</v>
      </c>
      <c r="S37" s="3"/>
      <c r="T37" s="3"/>
      <c r="U37" s="4"/>
    </row>
    <row r="38" spans="1:22" ht="30" x14ac:dyDescent="0.25">
      <c r="A38" t="s">
        <v>183</v>
      </c>
      <c r="B38" t="s">
        <v>24</v>
      </c>
      <c r="C38" t="s">
        <v>184</v>
      </c>
      <c r="D38" t="s">
        <v>185</v>
      </c>
      <c r="E38">
        <v>100</v>
      </c>
      <c r="F38" t="s">
        <v>27</v>
      </c>
      <c r="G38" s="3">
        <v>460</v>
      </c>
      <c r="H38" s="3">
        <v>100</v>
      </c>
      <c r="I38" s="4">
        <v>46000</v>
      </c>
      <c r="J38" t="s">
        <v>186</v>
      </c>
      <c r="K38" s="3"/>
      <c r="L38" s="3"/>
      <c r="M38" s="4"/>
      <c r="O38" s="3"/>
      <c r="P38" s="3"/>
      <c r="Q38" s="4"/>
      <c r="S38" s="3">
        <v>220</v>
      </c>
      <c r="T38" s="3">
        <v>100</v>
      </c>
      <c r="U38" s="4">
        <v>22000</v>
      </c>
      <c r="V38" s="5" t="s">
        <v>187</v>
      </c>
    </row>
    <row r="39" spans="1:22" ht="30" x14ac:dyDescent="0.25">
      <c r="A39" t="s">
        <v>188</v>
      </c>
      <c r="B39" t="s">
        <v>24</v>
      </c>
      <c r="C39" t="s">
        <v>189</v>
      </c>
      <c r="D39" t="s">
        <v>190</v>
      </c>
      <c r="E39">
        <v>300</v>
      </c>
      <c r="F39" t="s">
        <v>27</v>
      </c>
      <c r="G39" s="3">
        <v>251</v>
      </c>
      <c r="H39" s="3">
        <v>300</v>
      </c>
      <c r="I39" s="4">
        <v>75300</v>
      </c>
      <c r="J39" t="s">
        <v>191</v>
      </c>
      <c r="K39" s="3"/>
      <c r="L39" s="3"/>
      <c r="M39" s="4"/>
      <c r="O39" s="3">
        <v>149</v>
      </c>
      <c r="P39" s="3">
        <v>300</v>
      </c>
      <c r="Q39" s="4">
        <v>44700</v>
      </c>
      <c r="R39" s="5" t="s">
        <v>192</v>
      </c>
      <c r="S39" s="3">
        <v>100</v>
      </c>
      <c r="T39" s="3">
        <v>300</v>
      </c>
      <c r="U39" s="4">
        <v>30000</v>
      </c>
      <c r="V39" s="5" t="s">
        <v>193</v>
      </c>
    </row>
    <row r="40" spans="1:22" ht="30" x14ac:dyDescent="0.25">
      <c r="A40" t="s">
        <v>194</v>
      </c>
      <c r="B40" t="s">
        <v>24</v>
      </c>
      <c r="C40" t="s">
        <v>195</v>
      </c>
      <c r="D40" t="s">
        <v>196</v>
      </c>
      <c r="E40">
        <v>100</v>
      </c>
      <c r="F40" t="s">
        <v>27</v>
      </c>
      <c r="G40" s="3">
        <v>350</v>
      </c>
      <c r="H40" s="3">
        <v>100</v>
      </c>
      <c r="I40" s="4">
        <v>35000</v>
      </c>
      <c r="J40" s="5" t="s">
        <v>197</v>
      </c>
      <c r="K40" s="3"/>
      <c r="L40" s="3"/>
      <c r="M40" s="4"/>
      <c r="O40" s="3">
        <v>315</v>
      </c>
      <c r="P40" s="3">
        <v>100</v>
      </c>
      <c r="Q40" s="4">
        <v>31500</v>
      </c>
      <c r="R40" s="5" t="s">
        <v>198</v>
      </c>
      <c r="S40" s="3"/>
      <c r="T40" s="3"/>
      <c r="U40" s="4"/>
    </row>
    <row r="41" spans="1:22" ht="60" x14ac:dyDescent="0.25">
      <c r="A41" t="s">
        <v>199</v>
      </c>
      <c r="B41" t="s">
        <v>24</v>
      </c>
      <c r="C41" t="s">
        <v>200</v>
      </c>
      <c r="D41" s="5" t="s">
        <v>201</v>
      </c>
      <c r="E41">
        <v>300</v>
      </c>
      <c r="F41" t="s">
        <v>27</v>
      </c>
      <c r="G41" s="3"/>
      <c r="H41" s="3"/>
      <c r="I41" s="4"/>
      <c r="K41" s="3"/>
      <c r="L41" s="3"/>
      <c r="M41" s="4"/>
      <c r="O41" s="3">
        <v>185</v>
      </c>
      <c r="P41" s="3">
        <v>300</v>
      </c>
      <c r="Q41" s="4">
        <v>55500</v>
      </c>
      <c r="R41" s="5" t="s">
        <v>202</v>
      </c>
      <c r="S41" s="3">
        <v>180</v>
      </c>
      <c r="T41" s="3">
        <v>300</v>
      </c>
      <c r="U41" s="4">
        <v>54000</v>
      </c>
      <c r="V41" s="5" t="s">
        <v>203</v>
      </c>
    </row>
    <row r="42" spans="1:22" ht="45" x14ac:dyDescent="0.25">
      <c r="A42" t="s">
        <v>204</v>
      </c>
      <c r="B42" t="s">
        <v>24</v>
      </c>
      <c r="C42" t="s">
        <v>205</v>
      </c>
      <c r="D42" s="5" t="s">
        <v>206</v>
      </c>
      <c r="E42">
        <v>100</v>
      </c>
      <c r="F42" t="s">
        <v>27</v>
      </c>
      <c r="G42" s="3">
        <v>60</v>
      </c>
      <c r="H42" s="3">
        <v>100</v>
      </c>
      <c r="I42" s="4">
        <v>6000</v>
      </c>
      <c r="J42" t="s">
        <v>207</v>
      </c>
      <c r="K42" s="3">
        <v>44.84</v>
      </c>
      <c r="L42" s="3">
        <v>100</v>
      </c>
      <c r="M42" s="4">
        <v>4484</v>
      </c>
      <c r="N42" t="s">
        <v>110</v>
      </c>
      <c r="O42" s="3">
        <v>49.99</v>
      </c>
      <c r="P42" s="3">
        <v>100</v>
      </c>
      <c r="Q42" s="4">
        <v>4999</v>
      </c>
      <c r="R42" s="5" t="s">
        <v>208</v>
      </c>
      <c r="S42" s="3">
        <v>60</v>
      </c>
      <c r="T42" s="3">
        <v>100</v>
      </c>
      <c r="U42" s="4">
        <v>6000</v>
      </c>
      <c r="V42" s="5" t="s">
        <v>209</v>
      </c>
    </row>
    <row r="43" spans="1:22" ht="30" x14ac:dyDescent="0.25">
      <c r="A43" t="s">
        <v>210</v>
      </c>
      <c r="B43" t="s">
        <v>24</v>
      </c>
      <c r="C43" t="s">
        <v>211</v>
      </c>
      <c r="D43" s="5" t="s">
        <v>212</v>
      </c>
      <c r="E43">
        <v>100</v>
      </c>
      <c r="F43" t="s">
        <v>27</v>
      </c>
      <c r="G43" s="3">
        <v>200</v>
      </c>
      <c r="H43" s="3">
        <v>100</v>
      </c>
      <c r="I43" s="4">
        <v>20000</v>
      </c>
      <c r="J43" t="s">
        <v>213</v>
      </c>
      <c r="K43" s="3">
        <v>162.15</v>
      </c>
      <c r="L43" s="3">
        <v>100</v>
      </c>
      <c r="M43" s="4">
        <v>16215</v>
      </c>
      <c r="N43" t="s">
        <v>214</v>
      </c>
      <c r="O43" s="3">
        <v>120</v>
      </c>
      <c r="P43" s="3">
        <v>100</v>
      </c>
      <c r="Q43" s="4">
        <v>12000</v>
      </c>
      <c r="R43" s="5" t="s">
        <v>215</v>
      </c>
      <c r="S43" s="3">
        <v>150</v>
      </c>
      <c r="T43" s="3">
        <v>100</v>
      </c>
      <c r="U43" s="4">
        <v>15000</v>
      </c>
      <c r="V43" s="5" t="s">
        <v>216</v>
      </c>
    </row>
    <row r="44" spans="1:22" ht="45" x14ac:dyDescent="0.25">
      <c r="A44" t="s">
        <v>217</v>
      </c>
      <c r="B44" t="s">
        <v>24</v>
      </c>
      <c r="C44" t="s">
        <v>218</v>
      </c>
      <c r="D44" s="5" t="s">
        <v>219</v>
      </c>
      <c r="E44">
        <v>150</v>
      </c>
      <c r="F44" t="s">
        <v>27</v>
      </c>
      <c r="G44" s="3">
        <v>30</v>
      </c>
      <c r="H44" s="3">
        <v>150</v>
      </c>
      <c r="I44" s="4">
        <v>4500</v>
      </c>
      <c r="J44" t="s">
        <v>220</v>
      </c>
      <c r="K44" s="3">
        <v>290.39999999999998</v>
      </c>
      <c r="L44" s="3">
        <v>150</v>
      </c>
      <c r="M44" s="4">
        <v>43560</v>
      </c>
      <c r="N44" t="s">
        <v>221</v>
      </c>
      <c r="O44" s="3">
        <v>250</v>
      </c>
      <c r="P44" s="3">
        <v>150</v>
      </c>
      <c r="Q44" s="4">
        <v>37500</v>
      </c>
      <c r="R44" s="5" t="s">
        <v>222</v>
      </c>
      <c r="S44" s="3"/>
      <c r="T44" s="3"/>
      <c r="U44" s="4"/>
    </row>
    <row r="45" spans="1:22" x14ac:dyDescent="0.25">
      <c r="C45" t="s">
        <v>223</v>
      </c>
      <c r="D45" s="5"/>
      <c r="G45" s="3"/>
      <c r="H45" s="3"/>
      <c r="I45" s="4">
        <f>SUBTOTAL(109,Table2[Total por renglón])</f>
        <v>1349645</v>
      </c>
      <c r="K45" s="3"/>
      <c r="L45" s="3"/>
      <c r="M45" s="4">
        <f>SUBTOTAL(109,Table3[Total por renglón])</f>
        <v>1155604.55</v>
      </c>
      <c r="O45" s="3"/>
      <c r="P45" s="3"/>
      <c r="Q45" s="4">
        <f>SUBTOTAL(109,Table4[Total por renglón])</f>
        <v>1180625</v>
      </c>
      <c r="R45" s="5"/>
      <c r="S45" s="3"/>
      <c r="T45" s="3"/>
      <c r="U45" s="4">
        <f>SUBTOTAL(109,Table5[Total por renglón])</f>
        <v>713900</v>
      </c>
    </row>
  </sheetData>
  <mergeCells count="5">
    <mergeCell ref="G8:J8"/>
    <mergeCell ref="K8:N8"/>
    <mergeCell ref="O8:R8"/>
    <mergeCell ref="S8:V8"/>
    <mergeCell ref="A8:F8"/>
  </mergeCells>
  <pageMargins left="0.75" right="0.75" top="0.75" bottom="0.5" header="0.5" footer="0.75"/>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HERNAN OLIMA</cp:lastModifiedBy>
  <dcterms:created xsi:type="dcterms:W3CDTF">2022-04-01T19:07:59Z</dcterms:created>
  <dcterms:modified xsi:type="dcterms:W3CDTF">2022-05-25T00:36:20Z</dcterms:modified>
</cp:coreProperties>
</file>