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F7CFFBFA-8C32-4537-983C-1B2D183C0ACD}" xr6:coauthVersionLast="46" xr6:coauthVersionMax="46" xr10:uidLastSave="{00000000-0000-0000-0000-000000000000}"/>
  <bookViews>
    <workbookView xWindow="-120" yWindow="-120" windowWidth="29040" windowHeight="15840" xr2:uid="{72D20C66-50FB-4104-90DC-EFEA82907D2E}"/>
  </bookViews>
  <sheets>
    <sheet name="MINISTERIO SALUD 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" i="1" l="1"/>
  <c r="H44" i="1" s="1"/>
  <c r="L10" i="1"/>
  <c r="N10" i="1"/>
  <c r="P10" i="1"/>
  <c r="R10" i="1"/>
  <c r="T10" i="1"/>
  <c r="V10" i="1"/>
  <c r="V44" i="1" s="1"/>
  <c r="W10" i="1"/>
  <c r="AQ10" i="1" s="1"/>
  <c r="AS10" i="1" s="1"/>
  <c r="X10" i="1"/>
  <c r="AJ10" i="1"/>
  <c r="AL10" i="1"/>
  <c r="AN10" i="1"/>
  <c r="H11" i="1"/>
  <c r="L11" i="1"/>
  <c r="L44" i="1" s="1"/>
  <c r="N11" i="1"/>
  <c r="P11" i="1"/>
  <c r="R11" i="1"/>
  <c r="Z11" i="1"/>
  <c r="AJ11" i="1"/>
  <c r="AL11" i="1"/>
  <c r="AN11" i="1"/>
  <c r="AQ11" i="1"/>
  <c r="AS11" i="1"/>
  <c r="H12" i="1"/>
  <c r="L12" i="1"/>
  <c r="N12" i="1"/>
  <c r="P12" i="1"/>
  <c r="R12" i="1"/>
  <c r="T12" i="1"/>
  <c r="V12" i="1"/>
  <c r="W12" i="1"/>
  <c r="X12" i="1"/>
  <c r="Z12" i="1"/>
  <c r="AJ12" i="1"/>
  <c r="AL12" i="1"/>
  <c r="AM12" i="1"/>
  <c r="AN12" i="1"/>
  <c r="AQ12" i="1"/>
  <c r="AS12" i="1" s="1"/>
  <c r="H13" i="1"/>
  <c r="L13" i="1"/>
  <c r="N13" i="1"/>
  <c r="P13" i="1"/>
  <c r="R13" i="1"/>
  <c r="T13" i="1"/>
  <c r="AJ13" i="1"/>
  <c r="AL13" i="1"/>
  <c r="AN13" i="1"/>
  <c r="AQ13" i="1"/>
  <c r="AS13" i="1"/>
  <c r="H14" i="1"/>
  <c r="L14" i="1"/>
  <c r="N14" i="1"/>
  <c r="P14" i="1"/>
  <c r="R14" i="1"/>
  <c r="AB14" i="1"/>
  <c r="AB44" i="1" s="1"/>
  <c r="AJ14" i="1"/>
  <c r="AL14" i="1"/>
  <c r="AN14" i="1"/>
  <c r="AQ14" i="1"/>
  <c r="AS14" i="1"/>
  <c r="H15" i="1"/>
  <c r="L15" i="1"/>
  <c r="N15" i="1"/>
  <c r="P15" i="1"/>
  <c r="R15" i="1"/>
  <c r="T15" i="1"/>
  <c r="W15" i="1"/>
  <c r="X15" i="1" s="1"/>
  <c r="AB15" i="1"/>
  <c r="AJ15" i="1"/>
  <c r="AL15" i="1"/>
  <c r="AN15" i="1"/>
  <c r="AQ15" i="1"/>
  <c r="AS15" i="1" s="1"/>
  <c r="L16" i="1"/>
  <c r="N16" i="1"/>
  <c r="P16" i="1"/>
  <c r="R16" i="1"/>
  <c r="W16" i="1"/>
  <c r="X16" i="1" s="1"/>
  <c r="AJ16" i="1"/>
  <c r="AL16" i="1"/>
  <c r="AN16" i="1"/>
  <c r="H17" i="1"/>
  <c r="L17" i="1"/>
  <c r="N17" i="1"/>
  <c r="P17" i="1"/>
  <c r="R17" i="1"/>
  <c r="T17" i="1"/>
  <c r="W17" i="1"/>
  <c r="X17" i="1"/>
  <c r="Z17" i="1"/>
  <c r="AB17" i="1"/>
  <c r="AJ17" i="1"/>
  <c r="AL17" i="1"/>
  <c r="AN17" i="1"/>
  <c r="AQ17" i="1"/>
  <c r="AS17" i="1"/>
  <c r="H18" i="1"/>
  <c r="L18" i="1"/>
  <c r="N18" i="1"/>
  <c r="P18" i="1"/>
  <c r="R18" i="1"/>
  <c r="V18" i="1"/>
  <c r="AB18" i="1"/>
  <c r="AJ18" i="1"/>
  <c r="AL18" i="1"/>
  <c r="AM18" i="1"/>
  <c r="AN18" i="1"/>
  <c r="AQ18" i="1"/>
  <c r="AS18" i="1"/>
  <c r="L19" i="1"/>
  <c r="N19" i="1"/>
  <c r="P19" i="1"/>
  <c r="R19" i="1"/>
  <c r="AJ19" i="1"/>
  <c r="AL19" i="1"/>
  <c r="AN19" i="1"/>
  <c r="AQ19" i="1"/>
  <c r="AS19" i="1" s="1"/>
  <c r="L20" i="1"/>
  <c r="N20" i="1"/>
  <c r="P20" i="1"/>
  <c r="R20" i="1"/>
  <c r="T20" i="1"/>
  <c r="AJ20" i="1"/>
  <c r="AL20" i="1"/>
  <c r="AN20" i="1"/>
  <c r="AQ20" i="1"/>
  <c r="AS20" i="1"/>
  <c r="L21" i="1"/>
  <c r="N21" i="1"/>
  <c r="P21" i="1"/>
  <c r="R21" i="1"/>
  <c r="AJ21" i="1"/>
  <c r="AL21" i="1"/>
  <c r="AN21" i="1"/>
  <c r="AQ21" i="1"/>
  <c r="AS21" i="1"/>
  <c r="L22" i="1"/>
  <c r="N22" i="1"/>
  <c r="P22" i="1"/>
  <c r="R22" i="1"/>
  <c r="AJ22" i="1"/>
  <c r="AL22" i="1"/>
  <c r="AN22" i="1"/>
  <c r="AQ22" i="1"/>
  <c r="AS22" i="1"/>
  <c r="L23" i="1"/>
  <c r="N23" i="1"/>
  <c r="P23" i="1"/>
  <c r="R23" i="1"/>
  <c r="AJ23" i="1"/>
  <c r="AL23" i="1"/>
  <c r="AN23" i="1"/>
  <c r="AQ23" i="1"/>
  <c r="AS23" i="1"/>
  <c r="L24" i="1"/>
  <c r="N24" i="1"/>
  <c r="P24" i="1"/>
  <c r="R24" i="1"/>
  <c r="AJ24" i="1"/>
  <c r="AL24" i="1"/>
  <c r="AN24" i="1"/>
  <c r="AQ24" i="1"/>
  <c r="AS24" i="1"/>
  <c r="L25" i="1"/>
  <c r="N25" i="1"/>
  <c r="P25" i="1"/>
  <c r="R25" i="1"/>
  <c r="AJ25" i="1"/>
  <c r="AL25" i="1"/>
  <c r="AN25" i="1"/>
  <c r="AQ25" i="1"/>
  <c r="AS25" i="1"/>
  <c r="L26" i="1"/>
  <c r="N26" i="1"/>
  <c r="P26" i="1"/>
  <c r="R26" i="1"/>
  <c r="AB26" i="1"/>
  <c r="AJ26" i="1"/>
  <c r="AL26" i="1"/>
  <c r="AM26" i="1"/>
  <c r="AN26" i="1"/>
  <c r="AQ26" i="1"/>
  <c r="AS26" i="1" s="1"/>
  <c r="L27" i="1"/>
  <c r="N27" i="1"/>
  <c r="P27" i="1"/>
  <c r="R27" i="1"/>
  <c r="Z27" i="1"/>
  <c r="Z44" i="1" s="1"/>
  <c r="AJ27" i="1"/>
  <c r="AL27" i="1"/>
  <c r="AN27" i="1"/>
  <c r="AQ27" i="1"/>
  <c r="AS27" i="1"/>
  <c r="L28" i="1"/>
  <c r="N28" i="1"/>
  <c r="P28" i="1"/>
  <c r="R28" i="1"/>
  <c r="W28" i="1"/>
  <c r="X28" i="1"/>
  <c r="Z28" i="1"/>
  <c r="AJ28" i="1"/>
  <c r="AL28" i="1"/>
  <c r="AN28" i="1"/>
  <c r="AQ28" i="1"/>
  <c r="AS28" i="1"/>
  <c r="L29" i="1"/>
  <c r="N29" i="1"/>
  <c r="P29" i="1"/>
  <c r="R29" i="1"/>
  <c r="AJ29" i="1"/>
  <c r="AL29" i="1"/>
  <c r="AN29" i="1"/>
  <c r="AQ29" i="1"/>
  <c r="AS29" i="1"/>
  <c r="L30" i="1"/>
  <c r="N30" i="1"/>
  <c r="P30" i="1"/>
  <c r="R30" i="1"/>
  <c r="AJ30" i="1"/>
  <c r="AL30" i="1"/>
  <c r="AN30" i="1"/>
  <c r="AQ30" i="1"/>
  <c r="AS30" i="1"/>
  <c r="R31" i="1"/>
  <c r="V31" i="1"/>
  <c r="AJ31" i="1"/>
  <c r="AL31" i="1"/>
  <c r="AN31" i="1"/>
  <c r="AQ31" i="1"/>
  <c r="AS31" i="1"/>
  <c r="J32" i="1"/>
  <c r="L32" i="1"/>
  <c r="R32" i="1"/>
  <c r="V32" i="1"/>
  <c r="W32" i="1"/>
  <c r="AQ32" i="1" s="1"/>
  <c r="AS32" i="1" s="1"/>
  <c r="X32" i="1"/>
  <c r="AJ32" i="1"/>
  <c r="AL32" i="1"/>
  <c r="AN32" i="1"/>
  <c r="AB33" i="1"/>
  <c r="AJ33" i="1"/>
  <c r="AL33" i="1"/>
  <c r="AN33" i="1"/>
  <c r="AQ33" i="1"/>
  <c r="AS33" i="1"/>
  <c r="AB34" i="1"/>
  <c r="AJ34" i="1"/>
  <c r="AL34" i="1"/>
  <c r="AN34" i="1"/>
  <c r="AQ34" i="1"/>
  <c r="AS34" i="1"/>
  <c r="AJ35" i="1"/>
  <c r="AL35" i="1"/>
  <c r="AN35" i="1"/>
  <c r="AQ35" i="1"/>
  <c r="AS35" i="1"/>
  <c r="AJ36" i="1"/>
  <c r="AL36" i="1"/>
  <c r="AN36" i="1"/>
  <c r="AQ36" i="1"/>
  <c r="AS36" i="1"/>
  <c r="H37" i="1"/>
  <c r="L37" i="1"/>
  <c r="R37" i="1"/>
  <c r="V37" i="1"/>
  <c r="W37" i="1"/>
  <c r="X37" i="1"/>
  <c r="Z37" i="1"/>
  <c r="AB37" i="1"/>
  <c r="AJ37" i="1"/>
  <c r="AL37" i="1"/>
  <c r="AM37" i="1"/>
  <c r="AN37" i="1"/>
  <c r="AQ37" i="1"/>
  <c r="AS37" i="1"/>
  <c r="H38" i="1"/>
  <c r="L38" i="1"/>
  <c r="R38" i="1"/>
  <c r="AB38" i="1"/>
  <c r="AJ38" i="1"/>
  <c r="AL38" i="1"/>
  <c r="AN38" i="1"/>
  <c r="AQ38" i="1"/>
  <c r="AS38" i="1"/>
  <c r="J39" i="1"/>
  <c r="L39" i="1"/>
  <c r="R39" i="1"/>
  <c r="X39" i="1"/>
  <c r="Z39" i="1"/>
  <c r="AJ39" i="1"/>
  <c r="AL39" i="1"/>
  <c r="AN39" i="1"/>
  <c r="AQ39" i="1"/>
  <c r="AS39" i="1"/>
  <c r="L40" i="1"/>
  <c r="N40" i="1"/>
  <c r="P40" i="1"/>
  <c r="R40" i="1"/>
  <c r="T40" i="1"/>
  <c r="W40" i="1"/>
  <c r="X40" i="1" s="1"/>
  <c r="AF40" i="1"/>
  <c r="AJ40" i="1"/>
  <c r="AL40" i="1"/>
  <c r="AN40" i="1"/>
  <c r="AQ40" i="1"/>
  <c r="AS40" i="1" s="1"/>
  <c r="L41" i="1"/>
  <c r="R41" i="1"/>
  <c r="T41" i="1"/>
  <c r="AJ41" i="1"/>
  <c r="AL41" i="1"/>
  <c r="AN41" i="1"/>
  <c r="AQ41" i="1"/>
  <c r="AS41" i="1"/>
  <c r="AF42" i="1"/>
  <c r="AJ42" i="1"/>
  <c r="AQ42" i="1"/>
  <c r="AR42" i="1"/>
  <c r="AL42" i="1" s="1"/>
  <c r="AS42" i="1"/>
  <c r="AQ43" i="1"/>
  <c r="AS43" i="1" s="1"/>
  <c r="AR43" i="1"/>
  <c r="AL43" i="1" s="1"/>
  <c r="J44" i="1"/>
  <c r="P44" i="1"/>
  <c r="T44" i="1"/>
  <c r="AS45" i="1"/>
  <c r="AN44" i="1" l="1"/>
  <c r="X44" i="1"/>
  <c r="AL44" i="1"/>
  <c r="AQ16" i="1"/>
  <c r="AS16" i="1" s="1"/>
  <c r="AS44" i="1" s="1"/>
  <c r="AN43" i="1"/>
  <c r="R42" i="1"/>
  <c r="AJ43" i="1"/>
  <c r="AJ44" i="1" s="1"/>
  <c r="AN42" i="1"/>
  <c r="AF43" i="1"/>
  <c r="AF44" i="1" s="1"/>
  <c r="R43" i="1"/>
</calcChain>
</file>

<file path=xl/sharedStrings.xml><?xml version="1.0" encoding="utf-8"?>
<sst xmlns="http://schemas.openxmlformats.org/spreadsheetml/2006/main" count="232" uniqueCount="143">
  <si>
    <t>cuarenta y cinco (45) días</t>
  </si>
  <si>
    <t>Mantenimiento</t>
  </si>
  <si>
    <t>Calidad Minima esperada</t>
  </si>
  <si>
    <t>DIR. PROV. DE AMINISTRACION - CHACABUCO N° 169 - en el horario de 8:00hs a 12:00hs de lunes a viernes</t>
  </si>
  <si>
    <t>Lugar de Entrega:</t>
  </si>
  <si>
    <t>diez (10) dias habiles</t>
  </si>
  <si>
    <t>Plazos de entrega</t>
  </si>
  <si>
    <t>Descripción técnica</t>
  </si>
  <si>
    <t>TOTAL DEL RUBRO DE ELEMENTOS DE LIMPIEZA</t>
  </si>
  <si>
    <t>LITRO</t>
  </si>
  <si>
    <t>INSECTICIDAS; PRINCIPIO ACTIVO: SIN VALOR, PRESENTACION: BOTELLA X 1 L, 
CAPACIDAD: 1 L, ACCION: VOLTEO, CONTROL: MOSCAS Y MOSQUITOS, 
USO P/CONTROL: MOSCAS Y MOSQUITOS</t>
  </si>
  <si>
    <t>2.5.4</t>
  </si>
  <si>
    <t>ELEMENTOS DE LIMPIEZA</t>
  </si>
  <si>
    <t>2.5.4-506.68</t>
  </si>
  <si>
    <t>INSECTICIDAS; PRINCIPIO ACTIVO: ALFA CIPERMETRINA 5 %, USO P/CONTROL: 
INSECTOS VOLADORES, ACCION: VOLTEO, PRESENTACION: LIQUIDO X 1 L, 
CAPACIDAD: 1 L, CONTROL: INSECTOS VOLADORES</t>
  </si>
  <si>
    <t>2.5.4-506.66</t>
  </si>
  <si>
    <t>UNIDAD</t>
  </si>
  <si>
    <t>INSECTICIDAS; PRESENTACION: AEROSOL X 440 CM3, CAPACIDAD: 440 CM3, USO P/CONTROL: CUCARACHA, ACCION: SIN VALOR, PRINCIPIO ACTIVO: SIN VALOR, CONTROL: CUCARACHA</t>
  </si>
  <si>
    <t>2.5.4-506.28</t>
  </si>
  <si>
    <t>INSECTICIDAS; CAPACIDAD: 440 CM3, ACCION: SIN VALOR, PRINCIPIO ACTIVO: SIN VALOR, PRESENTACION: AEROSOL X 440 CM3, CONTROL: MOSCAS Y MOSQUITOS, USO P/CONTROL: MOSCAS Y MOSQUITOS</t>
  </si>
  <si>
    <t>2.5.4-506.36</t>
  </si>
  <si>
    <t>paquete</t>
  </si>
  <si>
    <t>TOALLAS DE PAPEL; MATERIAL: PAPEL NATURAL, GRAMAJE: 50 GR/CM2, DIMENSION: 24 X 20 Cm, PRESENTACION: ENVASE X 2500 UN</t>
  </si>
  <si>
    <t>2.3.4</t>
  </si>
  <si>
    <t>2.3.4-783.70</t>
  </si>
  <si>
    <t>PAQUETE</t>
  </si>
  <si>
    <t>SERVILLETAS DE PAPEL; TIPO: ROLLO, MOTIVO: SIN, DIMENSION: 25 X 10 Cm, PRESENTACION: ENVASE X 3 UN</t>
  </si>
  <si>
    <t>2.3.4-938.59</t>
  </si>
  <si>
    <t>PAPEL HIGIENICO; TIPO: ROLLO, ANCHO: 10 Cm, LARGO: 74 M, PRESENTACION: PAQUETE X 4 UN, MATERIAL HOJA: DOBLE, HOJA: DOBLE, TIPO DE HOJA: DOBLE</t>
  </si>
  <si>
    <t>2.3.4-786.29</t>
  </si>
  <si>
    <t>ESPONJA DE ACERO; PESO: 25 GR, MATERIAL: ACERO</t>
  </si>
  <si>
    <t>2.9.1</t>
  </si>
  <si>
    <t>2.9.1-1083.8</t>
  </si>
  <si>
    <t>PARES</t>
  </si>
  <si>
    <t>GUANTES P/LIMPIEZA; MATERIAL: LATEX, TAMAÑO: MEDIANO</t>
  </si>
  <si>
    <t>2.9.1-761.2</t>
  </si>
  <si>
    <t>BALDES DE PLASTICO; CAPACIDAD: 17 L, COLOR: SIN VALOR</t>
  </si>
  <si>
    <t>2.9.1-564.13</t>
  </si>
  <si>
    <t>CEPILLOS; TIPO: ESCOBA REFORZADA, MATERIAL: PLASTICO</t>
  </si>
  <si>
    <t>2.9.1-6952.61</t>
  </si>
  <si>
    <t>BIDON</t>
  </si>
  <si>
    <t>LIMPIADORES; TIPO: LIMPIADOR DE PISOS, PRESENTACION: ENVASE X 5 L</t>
  </si>
  <si>
    <t>2.9.1-6951.139</t>
  </si>
  <si>
    <t>LIMPIADORES; TIPO: DESENGRASANTE, PRESENTACION: ENVASE X 5 L</t>
  </si>
  <si>
    <t>2.9.1-6951.60</t>
  </si>
  <si>
    <t>TACHOS DE RESIDUOS; MATERIAL: PLASTICO, SECCION: CIRCULAR, DIMENSION: 46 X 67  Cm, TAPA: CON</t>
  </si>
  <si>
    <t>2.9.1-2661.13</t>
  </si>
  <si>
    <t>TACHOS DE RESIDUOS; MATERIAL: PLASTICO, SECCION: RECTANGULAR, DIMENSION: 20 L, TAPA: A PEDAL</t>
  </si>
  <si>
    <t>2.9.1-2661.34</t>
  </si>
  <si>
    <t>ARTICULOS DE TOCADOR; TIPO: JABON DE TOCADOR LIQUIDO, PRESENTACION: ENVASE X 5 L</t>
  </si>
  <si>
    <t>2.9.1-6956.27</t>
  </si>
  <si>
    <t>DESODORANTES DE AMBIENTE; FORMATO: AEROSOL, FRAGANCIA: ORIGINAL, PRESENTACION: ENVASE X 360 CM3, LIBRE DE CFC: SI</t>
  </si>
  <si>
    <t>2.9.1-544.82</t>
  </si>
  <si>
    <t xml:space="preserve">BIDON </t>
  </si>
  <si>
    <t>LIMPIADORES; TIPO: MULTIUSO, PRESENTACION: ENVASE X 5 L</t>
  </si>
  <si>
    <t>2.9.1-6951.84</t>
  </si>
  <si>
    <t>PACK</t>
  </si>
  <si>
    <t>VIRUTAS; PRESENTACION: ROLLITO, CONTENIDO: 10 UNIDADES, MATERIAL: ACERO</t>
  </si>
  <si>
    <t>2.9.1-1081.1</t>
  </si>
  <si>
    <t>PALAS DE RESIDUOS; MATERIAL: PLASTICO, MANGO: CORTO</t>
  </si>
  <si>
    <t>2.9.1-2437.1</t>
  </si>
  <si>
    <t>CEPILLOS; TIPO: DE MANO, MATERIAL: PVC</t>
  </si>
  <si>
    <t>2.9.1-6952.3</t>
  </si>
  <si>
    <t>PLUMEROS; PLUMA: SINTETICA, CLASE: EXTRADURO, MATERIAL MANGO: MADERA, LARGO MANGO: 40 Cm, Nº VUELTAS PENACHO: 4, TIPO: EXTRADURO</t>
  </si>
  <si>
    <t>2.9.1-1156.5</t>
  </si>
  <si>
    <t>SECADORES DE GOMA; LARGO: 80 Cm, COLOR: ROJO</t>
  </si>
  <si>
    <t>2.9.1-683.4</t>
  </si>
  <si>
    <t>SECADORES DE GOMA; LARGO: 45 Cm</t>
  </si>
  <si>
    <t>2.9.1-683.18</t>
  </si>
  <si>
    <t>TRAPOS REJILLA; DIMENSION: 38 X 42 Cm, MATERIAL: PURO ALGODON, COLOR: BLANCO</t>
  </si>
  <si>
    <t>2.9.1-678.1</t>
  </si>
  <si>
    <t>LIMPIADORES; TIPO: DETERGENTE, PRESENTACION: ENVASE X 500 CM3</t>
  </si>
  <si>
    <t>2.9.1-6951.5</t>
  </si>
  <si>
    <t>TRAPOS; TIPO: MICROFIBRA MULTIUSO, PRESENTACION: UNIDAD</t>
  </si>
  <si>
    <t>2.9.1-1654.13</t>
  </si>
  <si>
    <t>BOLSA</t>
  </si>
  <si>
    <t>BOLSAS DE RESIDUOS; DIMENSION: 80 X 110 Cm, PRESENTACION: BOLSA X 30 UN, ESPESOR: 100 Mn</t>
  </si>
  <si>
    <t>2.9.1-646.83</t>
  </si>
  <si>
    <t>BOLSAS DE RESIDUOS; ESPESOR: 30 Mn, PRESENTACION: BOLSA X 10, DIMENSION: 60 X 90 Cm, COLOR: OSCURO</t>
  </si>
  <si>
    <t>2.9.1-646.23</t>
  </si>
  <si>
    <t>BOLSAS DE RESIDUOS; PRESENTACION: BOLSA X 30, ESPESOR: SIN VALOR, DIMENSION: 45 X 60 Cm, COLOR: SIN VALOR</t>
  </si>
  <si>
    <t>2.9.1-646.1</t>
  </si>
  <si>
    <t>ESPONJAS; USO: P/COCINA, ADITAMENTO: FIBRA POLIESTER SUAVE, FORMA: PRISMATICA, LARGO X ANCHO X ESP: 12 X 8 X 2 Cm, COLOR: AMARILLO, MATERIAL: POLIURETANO POLIESTER</t>
  </si>
  <si>
    <t>2.9.1-1164.6</t>
  </si>
  <si>
    <t>LIMPIADORES; TIPO: LAVANDINA, PRESENTACION: ENVASE X 5 L</t>
  </si>
  <si>
    <t>2.9.1-6951.30</t>
  </si>
  <si>
    <t>LUSTRADORES; PRESENTACION: AEROSOL X 440 CM3, TIPO: LUSTRAMUEBLES</t>
  </si>
  <si>
    <t>2.9.1-6950.1</t>
  </si>
  <si>
    <t>TRAPOS DE PISO; DIMENSION: 48 X 60 Cm</t>
  </si>
  <si>
    <t>2.9.1-713.18</t>
  </si>
  <si>
    <t xml:space="preserve">IMPORTE TOTAL ESTIMADO </t>
  </si>
  <si>
    <t>PRECIO UNITARIO ESTIMADO</t>
  </si>
  <si>
    <t>CANTIDAD TOTAL</t>
  </si>
  <si>
    <t>TOTAL DPAS</t>
  </si>
  <si>
    <t>AREAS Y DPAS</t>
  </si>
  <si>
    <t>TOTAL SALUD MENTAL</t>
  </si>
  <si>
    <t>SALUD MENTAL</t>
  </si>
  <si>
    <t>TOTAL PLANIFICA</t>
  </si>
  <si>
    <t>PLANIFICACION</t>
  </si>
  <si>
    <t>TOTAL CUR</t>
  </si>
  <si>
    <t>CUR</t>
  </si>
  <si>
    <t xml:space="preserve">TOTAL SUMAR </t>
  </si>
  <si>
    <t>SUMAR</t>
  </si>
  <si>
    <t>TOTAL DE VECT Y ZOON</t>
  </si>
  <si>
    <t>VECTORES Y ZOONOSIS</t>
  </si>
  <si>
    <t>TOTAL SALUD Y MEDIO AMBIENTE</t>
  </si>
  <si>
    <t>SALUD Y MEDIO AMBIENTE</t>
  </si>
  <si>
    <t>TOTAL SEC EN ASIS EN SAL</t>
  </si>
  <si>
    <t>SEC DE ASIST EN SALUD PUB</t>
  </si>
  <si>
    <t xml:space="preserve">total maternidad </t>
  </si>
  <si>
    <t>maternidade e infancia</t>
  </si>
  <si>
    <t>HOSPITAL MALBRAN</t>
  </si>
  <si>
    <t>MALBRAN</t>
  </si>
  <si>
    <t>TOTAL DE SAME</t>
  </si>
  <si>
    <t>SAME</t>
  </si>
  <si>
    <t>TOTAL DE ODONTOLOG</t>
  </si>
  <si>
    <t>ODONTOLOGIA</t>
  </si>
  <si>
    <t>TOTAL FARMACIA</t>
  </si>
  <si>
    <t>FARMACIA</t>
  </si>
  <si>
    <t>TOTAL DE DIR DE CANCER</t>
  </si>
  <si>
    <t xml:space="preserve">DIR DE CANCER </t>
  </si>
  <si>
    <t>TOTAL ATENCION PRI</t>
  </si>
  <si>
    <t>ATENCION PRIMARIA</t>
  </si>
  <si>
    <t xml:space="preserve">TOTAL BANCO DE SANGRE </t>
  </si>
  <si>
    <t xml:space="preserve">BCO DE SANGRE </t>
  </si>
  <si>
    <t>TOTAL DE LAB CENTRAL</t>
  </si>
  <si>
    <t>DIR. LAB. CENTRAL</t>
  </si>
  <si>
    <t>TOTAL DIR DE ADM</t>
  </si>
  <si>
    <t>DIR. ADM.</t>
  </si>
  <si>
    <t>UNIDAD DE MEDIDA</t>
  </si>
  <si>
    <t>DESCRIPCION</t>
  </si>
  <si>
    <t xml:space="preserve">I.P.P. </t>
  </si>
  <si>
    <t>RUBRO DE COMPRA</t>
  </si>
  <si>
    <t>CODIGO ITEM</t>
  </si>
  <si>
    <t>ID</t>
  </si>
  <si>
    <t>SEGUNDO TRIMESTRE</t>
  </si>
  <si>
    <t>TRIMESTRE:</t>
  </si>
  <si>
    <t>EJERCICIO:</t>
  </si>
  <si>
    <t>11 - DIRE PROV DE ADMINISTRACION - MINISTERIO DE SALUD</t>
  </si>
  <si>
    <t xml:space="preserve">SAF N°: </t>
  </si>
  <si>
    <t>40 - MINISTERIO DE SALUD</t>
  </si>
  <si>
    <t>JURISDICCION:</t>
  </si>
  <si>
    <t>Pedido de Necesidades Trimestrales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</si>
</sst>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_-[$$-2C0A]\ * #,##0.00_-;\-[$$-2C0A]\ * #,##0.00_-;_-[$$-2C0A]\ * &quot;-&quot;??_-;_-@_-"/>
    <numFmt numFmtId="165" formatCode="&quot;$&quot;\ #,##0.00"/>
    <numFmt numFmtId="166" formatCode="[$$-2C0A]\ #,##0.00"/>
    <numFmt numFmtId="167" formatCode="_ [$$-2C0A]\ * #,##0.00_ ;_ [$$-2C0A]\ * \-#,##0.00_ ;_ [$$-2C0A]\ * &quot;-&quot;??_ ;_ @_ 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1"/>
      <name val="Arial"/>
      <family val="2"/>
    </font>
    <font>
      <sz val="11"/>
      <name val="Times New Roman"/>
      <family val="1"/>
    </font>
    <font>
      <sz val="10"/>
      <color theme="0"/>
      <name val="Times New Roman"/>
      <family val="1"/>
    </font>
    <font>
      <sz val="10"/>
      <name val="Arial"/>
      <family val="2"/>
    </font>
    <font>
      <b/>
      <sz val="12"/>
      <color rgb="FFFF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333333"/>
      <name val="Arial"/>
      <family val="2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2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CC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6" fillId="0" borderId="0"/>
    <xf numFmtId="0" fontId="6" fillId="0" borderId="0"/>
  </cellStyleXfs>
  <cellXfs count="90">
    <xf numFmtId="0" fontId="0" fillId="0" borderId="0" xfId="0"/>
    <xf numFmtId="0" fontId="2" fillId="0" borderId="0" xfId="0" applyFont="1"/>
    <xf numFmtId="164" fontId="2" fillId="0" borderId="0" xfId="0" applyNumberFormat="1" applyFont="1" applyAlignment="1">
      <alignment vertical="center"/>
    </xf>
    <xf numFmtId="165" fontId="3" fillId="0" borderId="0" xfId="1" applyNumberFormat="1" applyFont="1" applyAlignment="1">
      <alignment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/>
    </xf>
    <xf numFmtId="164" fontId="5" fillId="0" borderId="0" xfId="0" applyNumberFormat="1" applyFont="1" applyAlignment="1">
      <alignment vertical="center"/>
    </xf>
    <xf numFmtId="164" fontId="7" fillId="2" borderId="1" xfId="2" applyNumberFormat="1" applyFont="1" applyFill="1" applyBorder="1" applyAlignment="1">
      <alignment vertical="center" wrapText="1"/>
    </xf>
    <xf numFmtId="167" fontId="3" fillId="2" borderId="1" xfId="0" applyNumberFormat="1" applyFont="1" applyFill="1" applyBorder="1" applyAlignment="1">
      <alignment horizontal="center" vertical="center" wrapText="1"/>
    </xf>
    <xf numFmtId="3" fontId="3" fillId="0" borderId="1" xfId="2" applyNumberFormat="1" applyFont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8" fillId="3" borderId="1" xfId="0" applyFont="1" applyFill="1" applyBorder="1" applyAlignment="1">
      <alignment horizontal="center" vertical="center" wrapText="1"/>
    </xf>
    <xf numFmtId="166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0" fontId="7" fillId="2" borderId="1" xfId="2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64" fontId="3" fillId="2" borderId="1" xfId="2" applyNumberFormat="1" applyFont="1" applyFill="1" applyBorder="1" applyAlignment="1">
      <alignment vertical="center" wrapText="1"/>
    </xf>
    <xf numFmtId="165" fontId="3" fillId="4" borderId="1" xfId="3" applyNumberFormat="1" applyFont="1" applyFill="1" applyBorder="1" applyAlignment="1">
      <alignment vertical="center" wrapText="1"/>
    </xf>
    <xf numFmtId="166" fontId="3" fillId="0" borderId="1" xfId="2" applyNumberFormat="1" applyFont="1" applyBorder="1" applyAlignment="1">
      <alignment horizontal="center" vertical="center" wrapText="1"/>
    </xf>
    <xf numFmtId="1" fontId="3" fillId="0" borderId="1" xfId="2" applyNumberFormat="1" applyFont="1" applyBorder="1" applyAlignment="1">
      <alignment horizontal="center" vertical="center" wrapText="1"/>
    </xf>
    <xf numFmtId="165" fontId="3" fillId="0" borderId="1" xfId="2" applyNumberFormat="1" applyFont="1" applyBorder="1" applyAlignment="1">
      <alignment horizontal="center" vertical="center" wrapText="1"/>
    </xf>
    <xf numFmtId="167" fontId="3" fillId="0" borderId="1" xfId="2" applyNumberFormat="1" applyFont="1" applyBorder="1" applyAlignment="1">
      <alignment horizontal="center" vertical="center" wrapText="1"/>
    </xf>
    <xf numFmtId="0" fontId="3" fillId="0" borderId="1" xfId="3" applyFont="1" applyBorder="1" applyAlignment="1">
      <alignment horizontal="center" vertical="center" wrapText="1"/>
    </xf>
    <xf numFmtId="0" fontId="9" fillId="0" borderId="1" xfId="3" applyFont="1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3" fontId="9" fillId="0" borderId="1" xfId="0" applyNumberFormat="1" applyFont="1" applyBorder="1" applyAlignment="1">
      <alignment horizontal="center" vertical="center"/>
    </xf>
    <xf numFmtId="165" fontId="3" fillId="3" borderId="1" xfId="1" applyNumberFormat="1" applyFont="1" applyFill="1" applyBorder="1" applyAlignment="1" applyProtection="1">
      <alignment vertical="center" wrapText="1"/>
    </xf>
    <xf numFmtId="165" fontId="3" fillId="0" borderId="1" xfId="0" applyNumberFormat="1" applyFont="1" applyBorder="1" applyAlignment="1">
      <alignment horizontal="center"/>
    </xf>
    <xf numFmtId="166" fontId="9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3" fillId="0" borderId="1" xfId="3" applyFont="1" applyBorder="1" applyAlignment="1">
      <alignment horizontal="center" vertical="center"/>
    </xf>
    <xf numFmtId="0" fontId="2" fillId="2" borderId="0" xfId="0" applyFont="1" applyFill="1"/>
    <xf numFmtId="3" fontId="3" fillId="2" borderId="1" xfId="2" applyNumberFormat="1" applyFont="1" applyFill="1" applyBorder="1" applyAlignment="1">
      <alignment horizontal="center" vertical="center" wrapText="1"/>
    </xf>
    <xf numFmtId="166" fontId="3" fillId="2" borderId="1" xfId="2" applyNumberFormat="1" applyFont="1" applyFill="1" applyBorder="1" applyAlignment="1">
      <alignment horizontal="center" vertical="center" wrapText="1"/>
    </xf>
    <xf numFmtId="1" fontId="3" fillId="2" borderId="1" xfId="2" applyNumberFormat="1" applyFont="1" applyFill="1" applyBorder="1" applyAlignment="1">
      <alignment horizontal="center" vertical="center" wrapText="1"/>
    </xf>
    <xf numFmtId="165" fontId="3" fillId="2" borderId="1" xfId="2" applyNumberFormat="1" applyFont="1" applyFill="1" applyBorder="1" applyAlignment="1">
      <alignment horizontal="center" vertical="center" wrapText="1"/>
    </xf>
    <xf numFmtId="167" fontId="3" fillId="2" borderId="1" xfId="2" applyNumberFormat="1" applyFont="1" applyFill="1" applyBorder="1" applyAlignment="1">
      <alignment horizontal="center" vertical="center" wrapText="1"/>
    </xf>
    <xf numFmtId="0" fontId="3" fillId="2" borderId="1" xfId="3" applyFont="1" applyFill="1" applyBorder="1" applyAlignment="1">
      <alignment horizontal="center" vertical="center" wrapText="1"/>
    </xf>
    <xf numFmtId="0" fontId="3" fillId="2" borderId="1" xfId="2" applyFont="1" applyFill="1" applyBorder="1" applyAlignment="1">
      <alignment horizontal="center" vertical="center" wrapText="1"/>
    </xf>
    <xf numFmtId="0" fontId="3" fillId="2" borderId="1" xfId="2" applyFont="1" applyFill="1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center"/>
    </xf>
    <xf numFmtId="165" fontId="3" fillId="0" borderId="1" xfId="1" applyNumberFormat="1" applyFont="1" applyFill="1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3" fillId="0" borderId="1" xfId="2" applyNumberFormat="1" applyFont="1" applyBorder="1" applyAlignment="1">
      <alignment vertical="center" wrapText="1"/>
    </xf>
    <xf numFmtId="165" fontId="9" fillId="0" borderId="1" xfId="1" applyNumberFormat="1" applyFont="1" applyFill="1" applyBorder="1" applyAlignment="1" applyProtection="1">
      <alignment vertical="center"/>
    </xf>
    <xf numFmtId="1" fontId="9" fillId="0" borderId="1" xfId="0" applyNumberFormat="1" applyFont="1" applyBorder="1" applyAlignment="1">
      <alignment horizontal="center"/>
    </xf>
    <xf numFmtId="166" fontId="3" fillId="0" borderId="1" xfId="3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vertical="center" wrapText="1"/>
    </xf>
    <xf numFmtId="165" fontId="3" fillId="0" borderId="1" xfId="1" applyNumberFormat="1" applyFont="1" applyBorder="1" applyAlignment="1">
      <alignment vertical="center" wrapText="1"/>
    </xf>
    <xf numFmtId="3" fontId="8" fillId="0" borderId="1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166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3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wrapText="1"/>
    </xf>
    <xf numFmtId="3" fontId="11" fillId="0" borderId="0" xfId="0" applyNumberFormat="1" applyFont="1" applyAlignment="1">
      <alignment horizontal="center" wrapText="1"/>
    </xf>
    <xf numFmtId="1" fontId="11" fillId="0" borderId="0" xfId="0" applyNumberFormat="1" applyFont="1" applyAlignment="1">
      <alignment horizontal="center" wrapText="1"/>
    </xf>
    <xf numFmtId="165" fontId="11" fillId="0" borderId="0" xfId="0" applyNumberFormat="1" applyFont="1" applyAlignment="1">
      <alignment horizontal="center" wrapText="1"/>
    </xf>
    <xf numFmtId="166" fontId="11" fillId="0" borderId="0" xfId="0" applyNumberFormat="1" applyFont="1" applyAlignment="1">
      <alignment horizont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wrapText="1"/>
    </xf>
    <xf numFmtId="0" fontId="11" fillId="0" borderId="0" xfId="0" applyFont="1" applyAlignment="1">
      <alignment horizontal="left" wrapText="1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wrapText="1"/>
    </xf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3" fontId="3" fillId="2" borderId="1" xfId="0" applyNumberFormat="1" applyFont="1" applyFill="1" applyBorder="1" applyAlignment="1">
      <alignment horizontal="center" vertical="center" wrapText="1"/>
    </xf>
  </cellXfs>
  <cellStyles count="4">
    <cellStyle name="Moneda" xfId="1" builtinId="4"/>
    <cellStyle name="Normal" xfId="0" builtinId="0"/>
    <cellStyle name="Normal 2" xfId="2" xr:uid="{3AE961FB-C466-4BD0-B40D-C87EFA96BCBF}"/>
    <cellStyle name="Normal 2 2" xfId="3" xr:uid="{52DAE226-0C9B-4329-9BD0-DF2B9EB691CE}"/>
  </cellStyles>
  <dxfs count="56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ilvina/AppData/Local/Temp/limpiez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 (2)"/>
      <sheetName val="NP salud mental"/>
      <sheetName val="APG salud mental"/>
      <sheetName val="NP PLANIFIC"/>
      <sheetName val="APG PLANIFIC"/>
      <sheetName val="NP CUR"/>
      <sheetName val="APG CUR"/>
      <sheetName val="NP vectore"/>
      <sheetName val="APG vectores"/>
      <sheetName val="NP SASP"/>
      <sheetName val="APG SAP"/>
      <sheetName val="NP materno"/>
      <sheetName val="APG materno"/>
      <sheetName val="NP MALBRAN"/>
      <sheetName val="APG MALBRAN"/>
      <sheetName val="NP SAME"/>
      <sheetName val="APG SAME"/>
      <sheetName val="NP odontologia"/>
      <sheetName val="APG odontologia"/>
      <sheetName val="NP CANCER"/>
      <sheetName val="APG CANCER"/>
      <sheetName val="NP BCO DE SANGRE"/>
      <sheetName val="APG BCO DE SANGRE"/>
      <sheetName val="NP DIR ADM "/>
      <sheetName val="APG DIR ADM "/>
    </sheetNames>
    <sheetDataSet>
      <sheetData sheetId="0"/>
      <sheetData sheetId="1"/>
      <sheetData sheetId="2">
        <row r="24">
          <cell r="Q24">
            <v>197360.3</v>
          </cell>
        </row>
      </sheetData>
      <sheetData sheetId="3"/>
      <sheetData sheetId="4">
        <row r="24">
          <cell r="Q24">
            <v>409046.5</v>
          </cell>
        </row>
      </sheetData>
      <sheetData sheetId="5"/>
      <sheetData sheetId="6">
        <row r="24">
          <cell r="Q24">
            <v>77336.3</v>
          </cell>
        </row>
      </sheetData>
      <sheetData sheetId="7"/>
      <sheetData sheetId="8">
        <row r="15">
          <cell r="Q15">
            <v>791200</v>
          </cell>
        </row>
      </sheetData>
      <sheetData sheetId="9"/>
      <sheetData sheetId="10">
        <row r="24">
          <cell r="Q24">
            <v>32249.066666666666</v>
          </cell>
        </row>
      </sheetData>
      <sheetData sheetId="11"/>
      <sheetData sheetId="12">
        <row r="24">
          <cell r="Q24">
            <v>19800</v>
          </cell>
        </row>
      </sheetData>
      <sheetData sheetId="13"/>
      <sheetData sheetId="14">
        <row r="24">
          <cell r="Q24">
            <v>1142760</v>
          </cell>
        </row>
      </sheetData>
      <sheetData sheetId="15"/>
      <sheetData sheetId="16">
        <row r="24">
          <cell r="Q24">
            <v>99420</v>
          </cell>
        </row>
      </sheetData>
      <sheetData sheetId="17"/>
      <sheetData sheetId="18">
        <row r="22">
          <cell r="Q22">
            <v>148000</v>
          </cell>
        </row>
      </sheetData>
      <sheetData sheetId="19"/>
      <sheetData sheetId="20">
        <row r="23">
          <cell r="Q23">
            <v>36800</v>
          </cell>
        </row>
      </sheetData>
      <sheetData sheetId="21"/>
      <sheetData sheetId="22">
        <row r="24">
          <cell r="Q24">
            <v>80915</v>
          </cell>
        </row>
      </sheetData>
      <sheetData sheetId="23"/>
      <sheetData sheetId="24">
        <row r="23">
          <cell r="Q23">
            <v>35694.300000000003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78747-E951-4BFC-8DAF-6934FFDBB53C}">
  <dimension ref="A1:AU77"/>
  <sheetViews>
    <sheetView tabSelected="1" workbookViewId="0">
      <selection activeCell="AQ10" sqref="AQ10:AQ44"/>
    </sheetView>
  </sheetViews>
  <sheetFormatPr baseColWidth="10" defaultRowHeight="15" x14ac:dyDescent="0.25"/>
  <cols>
    <col min="1" max="1" width="6.42578125" customWidth="1"/>
    <col min="2" max="2" width="16" customWidth="1"/>
    <col min="3" max="3" width="20.5703125" customWidth="1"/>
    <col min="4" max="4" width="8.42578125" customWidth="1"/>
    <col min="5" max="5" width="40.28515625" customWidth="1"/>
    <col min="6" max="6" width="11" customWidth="1"/>
    <col min="7" max="42" width="0" hidden="1" customWidth="1"/>
    <col min="43" max="43" width="16.42578125" customWidth="1"/>
    <col min="44" max="44" width="16.5703125" bestFit="1" customWidth="1"/>
    <col min="45" max="45" width="22.5703125" customWidth="1"/>
  </cols>
  <sheetData>
    <row r="1" spans="1:47" x14ac:dyDescent="0.25">
      <c r="A1" s="89">
        <v>2021</v>
      </c>
      <c r="B1" s="12"/>
      <c r="C1" s="11"/>
      <c r="D1" s="5"/>
      <c r="E1" s="10"/>
      <c r="F1" s="5"/>
      <c r="G1" s="5"/>
      <c r="H1" s="9"/>
      <c r="I1" s="5"/>
      <c r="J1" s="5"/>
      <c r="K1" s="7"/>
      <c r="L1" s="8"/>
      <c r="M1" s="6"/>
      <c r="N1" s="5"/>
      <c r="O1" s="7"/>
      <c r="P1" s="5"/>
      <c r="Q1" s="6"/>
      <c r="R1" s="5"/>
      <c r="S1" s="7"/>
      <c r="T1" s="5"/>
      <c r="U1" s="6"/>
      <c r="V1" s="5"/>
      <c r="W1" s="6"/>
      <c r="X1" s="5"/>
      <c r="Y1" s="6"/>
      <c r="Z1" s="5"/>
      <c r="AA1" s="6"/>
      <c r="AB1" s="5"/>
      <c r="AC1" s="6"/>
      <c r="AD1" s="5"/>
      <c r="AE1" s="6"/>
      <c r="AF1" s="5"/>
      <c r="AG1" s="6"/>
      <c r="AH1" s="5"/>
      <c r="AI1" s="6"/>
      <c r="AJ1" s="5"/>
      <c r="AK1" s="6"/>
      <c r="AL1" s="5"/>
      <c r="AM1" s="6"/>
      <c r="AN1" s="5"/>
      <c r="AO1" s="6"/>
      <c r="AP1" s="5"/>
      <c r="AQ1" s="4"/>
      <c r="AR1" s="3"/>
      <c r="AS1" s="2"/>
      <c r="AT1" s="1"/>
      <c r="AU1" s="1"/>
    </row>
    <row r="2" spans="1:47" ht="25.5" x14ac:dyDescent="0.35">
      <c r="A2" s="11"/>
      <c r="B2" s="88" t="s">
        <v>142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7"/>
      <c r="AR2" s="86"/>
      <c r="AS2" s="2"/>
      <c r="AT2" s="1"/>
      <c r="AU2" s="1"/>
    </row>
    <row r="3" spans="1:47" x14ac:dyDescent="0.25">
      <c r="A3" s="11"/>
      <c r="B3" s="12"/>
      <c r="C3" s="11"/>
      <c r="D3" s="5"/>
      <c r="E3" s="10"/>
      <c r="F3" s="5"/>
      <c r="G3" s="5"/>
      <c r="H3" s="9"/>
      <c r="I3" s="5"/>
      <c r="J3" s="5"/>
      <c r="K3" s="7"/>
      <c r="L3" s="8"/>
      <c r="M3" s="6"/>
      <c r="N3" s="5"/>
      <c r="O3" s="7"/>
      <c r="P3" s="5"/>
      <c r="Q3" s="6"/>
      <c r="R3" s="5"/>
      <c r="S3" s="7"/>
      <c r="T3" s="5"/>
      <c r="U3" s="6"/>
      <c r="V3" s="5"/>
      <c r="W3" s="6"/>
      <c r="X3" s="5"/>
      <c r="Y3" s="6"/>
      <c r="Z3" s="5"/>
      <c r="AA3" s="6"/>
      <c r="AB3" s="5"/>
      <c r="AC3" s="6"/>
      <c r="AD3" s="5"/>
      <c r="AE3" s="6"/>
      <c r="AF3" s="5"/>
      <c r="AG3" s="6"/>
      <c r="AH3" s="5"/>
      <c r="AI3" s="6"/>
      <c r="AJ3" s="5"/>
      <c r="AK3" s="6"/>
      <c r="AL3" s="5"/>
      <c r="AM3" s="6"/>
      <c r="AN3" s="5"/>
      <c r="AO3" s="6"/>
      <c r="AP3" s="5"/>
      <c r="AQ3" s="4"/>
      <c r="AR3" s="3"/>
      <c r="AS3" s="2"/>
      <c r="AT3" s="1"/>
      <c r="AU3" s="1"/>
    </row>
    <row r="4" spans="1:47" ht="15.75" x14ac:dyDescent="0.25">
      <c r="A4" s="81" t="s">
        <v>141</v>
      </c>
      <c r="B4" s="81"/>
      <c r="C4" s="85" t="s">
        <v>140</v>
      </c>
      <c r="D4" s="85"/>
      <c r="E4" s="85"/>
      <c r="F4" s="79"/>
      <c r="G4" s="72"/>
      <c r="H4" s="76"/>
      <c r="I4" s="72"/>
      <c r="J4" s="72"/>
      <c r="K4" s="74"/>
      <c r="L4" s="75"/>
      <c r="M4" s="73"/>
      <c r="N4" s="72"/>
      <c r="O4" s="74"/>
      <c r="P4" s="72"/>
      <c r="Q4" s="73"/>
      <c r="R4" s="72"/>
      <c r="S4" s="74"/>
      <c r="T4" s="72"/>
      <c r="U4" s="73"/>
      <c r="V4" s="72"/>
      <c r="W4" s="73"/>
      <c r="X4" s="72"/>
      <c r="Y4" s="73"/>
      <c r="Z4" s="72"/>
      <c r="AA4" s="73"/>
      <c r="AB4" s="72"/>
      <c r="AC4" s="73"/>
      <c r="AD4" s="72"/>
      <c r="AE4" s="73"/>
      <c r="AF4" s="72"/>
      <c r="AG4" s="73"/>
      <c r="AH4" s="72"/>
      <c r="AI4" s="73"/>
      <c r="AJ4" s="72"/>
      <c r="AK4" s="73"/>
      <c r="AL4" s="72"/>
      <c r="AM4" s="73"/>
      <c r="AN4" s="72"/>
      <c r="AO4" s="73"/>
      <c r="AP4" s="72"/>
      <c r="AQ4" s="71"/>
      <c r="AR4" s="3"/>
      <c r="AS4" s="2"/>
      <c r="AT4" s="1"/>
      <c r="AU4" s="1"/>
    </row>
    <row r="5" spans="1:47" ht="15.75" x14ac:dyDescent="0.25">
      <c r="A5" s="81" t="s">
        <v>139</v>
      </c>
      <c r="B5" s="81"/>
      <c r="C5" s="85" t="s">
        <v>138</v>
      </c>
      <c r="D5" s="85"/>
      <c r="E5" s="85"/>
      <c r="F5" s="79"/>
      <c r="G5" s="72"/>
      <c r="H5" s="76"/>
      <c r="I5" s="72"/>
      <c r="J5" s="72"/>
      <c r="K5" s="74"/>
      <c r="L5" s="75"/>
      <c r="M5" s="73"/>
      <c r="N5" s="72"/>
      <c r="O5" s="74"/>
      <c r="P5" s="72"/>
      <c r="Q5" s="73"/>
      <c r="R5" s="72"/>
      <c r="S5" s="74"/>
      <c r="T5" s="72"/>
      <c r="U5" s="73"/>
      <c r="V5" s="72"/>
      <c r="W5" s="73"/>
      <c r="X5" s="72"/>
      <c r="Y5" s="73"/>
      <c r="Z5" s="72"/>
      <c r="AA5" s="73"/>
      <c r="AB5" s="72"/>
      <c r="AC5" s="73"/>
      <c r="AD5" s="72"/>
      <c r="AE5" s="73"/>
      <c r="AF5" s="72"/>
      <c r="AG5" s="73"/>
      <c r="AH5" s="72"/>
      <c r="AI5" s="73"/>
      <c r="AJ5" s="72"/>
      <c r="AK5" s="73"/>
      <c r="AL5" s="72"/>
      <c r="AM5" s="73"/>
      <c r="AN5" s="72"/>
      <c r="AO5" s="73"/>
      <c r="AP5" s="72"/>
      <c r="AQ5" s="71"/>
      <c r="AR5" s="3"/>
      <c r="AS5" s="2"/>
      <c r="AT5" s="1"/>
      <c r="AU5" s="1"/>
    </row>
    <row r="6" spans="1:47" ht="15.75" x14ac:dyDescent="0.25">
      <c r="A6" s="81" t="s">
        <v>137</v>
      </c>
      <c r="B6" s="81"/>
      <c r="C6" s="84">
        <v>2021</v>
      </c>
      <c r="D6" s="83"/>
      <c r="E6" s="82"/>
      <c r="F6" s="79"/>
      <c r="G6" s="72"/>
      <c r="H6" s="76"/>
      <c r="I6" s="72"/>
      <c r="J6" s="72"/>
      <c r="K6" s="74"/>
      <c r="L6" s="75"/>
      <c r="M6" s="73"/>
      <c r="N6" s="72"/>
      <c r="O6" s="74"/>
      <c r="P6" s="72"/>
      <c r="Q6" s="73"/>
      <c r="R6" s="72"/>
      <c r="S6" s="74"/>
      <c r="T6" s="72"/>
      <c r="U6" s="73"/>
      <c r="V6" s="72"/>
      <c r="W6" s="73"/>
      <c r="X6" s="72"/>
      <c r="Y6" s="73"/>
      <c r="Z6" s="72"/>
      <c r="AA6" s="73"/>
      <c r="AB6" s="72"/>
      <c r="AC6" s="73"/>
      <c r="AD6" s="72"/>
      <c r="AE6" s="73"/>
      <c r="AF6" s="72"/>
      <c r="AG6" s="73"/>
      <c r="AH6" s="72"/>
      <c r="AI6" s="73"/>
      <c r="AJ6" s="72"/>
      <c r="AK6" s="73"/>
      <c r="AL6" s="72"/>
      <c r="AM6" s="73"/>
      <c r="AN6" s="72"/>
      <c r="AO6" s="73"/>
      <c r="AP6" s="72"/>
      <c r="AQ6" s="71"/>
      <c r="AR6" s="3"/>
      <c r="AS6" s="2"/>
      <c r="AT6" s="1"/>
      <c r="AU6" s="1"/>
    </row>
    <row r="7" spans="1:47" ht="15.75" x14ac:dyDescent="0.25">
      <c r="A7" s="81" t="s">
        <v>136</v>
      </c>
      <c r="B7" s="81"/>
      <c r="C7" s="80" t="s">
        <v>135</v>
      </c>
      <c r="D7" s="80"/>
      <c r="E7" s="80"/>
      <c r="F7" s="79"/>
      <c r="G7" s="72"/>
      <c r="H7" s="76"/>
      <c r="I7" s="72"/>
      <c r="J7" s="72"/>
      <c r="K7" s="74"/>
      <c r="L7" s="75"/>
      <c r="M7" s="73"/>
      <c r="N7" s="72"/>
      <c r="O7" s="74"/>
      <c r="P7" s="72"/>
      <c r="Q7" s="73"/>
      <c r="R7" s="72"/>
      <c r="S7" s="74"/>
      <c r="T7" s="72"/>
      <c r="U7" s="73"/>
      <c r="V7" s="72"/>
      <c r="W7" s="73"/>
      <c r="X7" s="72"/>
      <c r="Y7" s="73"/>
      <c r="Z7" s="72"/>
      <c r="AA7" s="73"/>
      <c r="AB7" s="72"/>
      <c r="AC7" s="73"/>
      <c r="AD7" s="72"/>
      <c r="AE7" s="73"/>
      <c r="AF7" s="72"/>
      <c r="AG7" s="73"/>
      <c r="AH7" s="72"/>
      <c r="AI7" s="73"/>
      <c r="AJ7" s="72"/>
      <c r="AK7" s="73"/>
      <c r="AL7" s="72"/>
      <c r="AM7" s="73"/>
      <c r="AN7" s="72"/>
      <c r="AO7" s="73"/>
      <c r="AP7" s="72"/>
      <c r="AQ7" s="71"/>
      <c r="AR7" s="3"/>
      <c r="AS7" s="2"/>
      <c r="AT7" s="1"/>
      <c r="AU7" s="1"/>
    </row>
    <row r="8" spans="1:47" x14ac:dyDescent="0.25">
      <c r="A8" s="11"/>
      <c r="B8" s="78"/>
      <c r="C8" s="77"/>
      <c r="D8" s="72"/>
      <c r="E8" s="77"/>
      <c r="F8" s="72"/>
      <c r="G8" s="72"/>
      <c r="H8" s="76"/>
      <c r="I8" s="72"/>
      <c r="J8" s="72"/>
      <c r="K8" s="74"/>
      <c r="L8" s="75"/>
      <c r="M8" s="73"/>
      <c r="N8" s="72"/>
      <c r="O8" s="74"/>
      <c r="P8" s="72"/>
      <c r="Q8" s="73"/>
      <c r="R8" s="72"/>
      <c r="S8" s="74"/>
      <c r="T8" s="72"/>
      <c r="U8" s="73"/>
      <c r="V8" s="72"/>
      <c r="W8" s="73"/>
      <c r="X8" s="72"/>
      <c r="Y8" s="73"/>
      <c r="Z8" s="72"/>
      <c r="AA8" s="73"/>
      <c r="AB8" s="72"/>
      <c r="AC8" s="73"/>
      <c r="AD8" s="72"/>
      <c r="AE8" s="73"/>
      <c r="AF8" s="72"/>
      <c r="AG8" s="73"/>
      <c r="AH8" s="72"/>
      <c r="AI8" s="73"/>
      <c r="AJ8" s="72"/>
      <c r="AK8" s="73"/>
      <c r="AL8" s="72"/>
      <c r="AM8" s="73"/>
      <c r="AN8" s="72"/>
      <c r="AO8" s="73"/>
      <c r="AP8" s="72"/>
      <c r="AQ8" s="71"/>
      <c r="AR8" s="3"/>
      <c r="AS8" s="2"/>
      <c r="AT8" s="1"/>
      <c r="AU8" s="1"/>
    </row>
    <row r="9" spans="1:47" ht="57" x14ac:dyDescent="0.25">
      <c r="A9" s="70" t="s">
        <v>134</v>
      </c>
      <c r="B9" s="70" t="s">
        <v>133</v>
      </c>
      <c r="C9" s="55" t="s">
        <v>132</v>
      </c>
      <c r="D9" s="70" t="s">
        <v>131</v>
      </c>
      <c r="E9" s="55" t="s">
        <v>130</v>
      </c>
      <c r="F9" s="55" t="s">
        <v>129</v>
      </c>
      <c r="G9" s="55" t="s">
        <v>128</v>
      </c>
      <c r="H9" s="69" t="s">
        <v>127</v>
      </c>
      <c r="I9" s="55" t="s">
        <v>126</v>
      </c>
      <c r="J9" s="55" t="s">
        <v>125</v>
      </c>
      <c r="K9" s="67" t="s">
        <v>124</v>
      </c>
      <c r="L9" s="68" t="s">
        <v>123</v>
      </c>
      <c r="M9" s="66" t="s">
        <v>122</v>
      </c>
      <c r="N9" s="55" t="s">
        <v>121</v>
      </c>
      <c r="O9" s="67" t="s">
        <v>120</v>
      </c>
      <c r="P9" s="55" t="s">
        <v>119</v>
      </c>
      <c r="Q9" s="66" t="s">
        <v>118</v>
      </c>
      <c r="R9" s="55" t="s">
        <v>117</v>
      </c>
      <c r="S9" s="67" t="s">
        <v>116</v>
      </c>
      <c r="T9" s="55" t="s">
        <v>115</v>
      </c>
      <c r="U9" s="66" t="s">
        <v>114</v>
      </c>
      <c r="V9" s="55" t="s">
        <v>113</v>
      </c>
      <c r="W9" s="66" t="s">
        <v>112</v>
      </c>
      <c r="X9" s="55" t="s">
        <v>111</v>
      </c>
      <c r="Y9" s="66" t="s">
        <v>110</v>
      </c>
      <c r="Z9" s="55" t="s">
        <v>109</v>
      </c>
      <c r="AA9" s="66" t="s">
        <v>108</v>
      </c>
      <c r="AB9" s="55" t="s">
        <v>107</v>
      </c>
      <c r="AC9" s="66" t="s">
        <v>106</v>
      </c>
      <c r="AD9" s="55" t="s">
        <v>105</v>
      </c>
      <c r="AE9" s="66" t="s">
        <v>104</v>
      </c>
      <c r="AF9" s="55" t="s">
        <v>103</v>
      </c>
      <c r="AG9" s="66" t="s">
        <v>102</v>
      </c>
      <c r="AH9" s="55" t="s">
        <v>101</v>
      </c>
      <c r="AI9" s="66" t="s">
        <v>100</v>
      </c>
      <c r="AJ9" s="55" t="s">
        <v>99</v>
      </c>
      <c r="AK9" s="66" t="s">
        <v>98</v>
      </c>
      <c r="AL9" s="55" t="s">
        <v>97</v>
      </c>
      <c r="AM9" s="66" t="s">
        <v>96</v>
      </c>
      <c r="AN9" s="55" t="s">
        <v>95</v>
      </c>
      <c r="AO9" s="66" t="s">
        <v>94</v>
      </c>
      <c r="AP9" s="55" t="s">
        <v>93</v>
      </c>
      <c r="AQ9" s="66" t="s">
        <v>92</v>
      </c>
      <c r="AR9" s="65" t="s">
        <v>91</v>
      </c>
      <c r="AS9" s="64" t="s">
        <v>90</v>
      </c>
      <c r="AT9" s="1"/>
      <c r="AU9" s="1"/>
    </row>
    <row r="10" spans="1:47" ht="28.5" x14ac:dyDescent="0.25">
      <c r="A10" s="35">
        <v>1</v>
      </c>
      <c r="B10" s="36" t="s">
        <v>89</v>
      </c>
      <c r="C10" s="37" t="s">
        <v>12</v>
      </c>
      <c r="D10" s="36" t="s">
        <v>31</v>
      </c>
      <c r="E10" s="37" t="s">
        <v>88</v>
      </c>
      <c r="F10" s="24" t="s">
        <v>16</v>
      </c>
      <c r="G10" s="33">
        <v>6</v>
      </c>
      <c r="H10" s="29">
        <f>+AR10*G10</f>
        <v>1200</v>
      </c>
      <c r="I10" s="32"/>
      <c r="J10" s="32"/>
      <c r="K10" s="30"/>
      <c r="L10" s="31">
        <f>+K10*AR10</f>
        <v>0</v>
      </c>
      <c r="M10" s="17"/>
      <c r="N10" s="29">
        <f>+M10*AR10</f>
        <v>0</v>
      </c>
      <c r="O10" s="30">
        <v>30</v>
      </c>
      <c r="P10" s="29">
        <f>+O10*AR10</f>
        <v>6000</v>
      </c>
      <c r="Q10" s="17"/>
      <c r="R10" s="29">
        <f>+Q10*AR10</f>
        <v>0</v>
      </c>
      <c r="S10" s="30">
        <v>60</v>
      </c>
      <c r="T10" s="29">
        <f>+S10*AR10</f>
        <v>12000</v>
      </c>
      <c r="U10" s="17">
        <v>50</v>
      </c>
      <c r="V10" s="29">
        <f>+U10*AR10</f>
        <v>10000</v>
      </c>
      <c r="W10" s="17">
        <f>20*3</f>
        <v>60</v>
      </c>
      <c r="X10" s="29">
        <f>+W10*AR10</f>
        <v>12000</v>
      </c>
      <c r="Y10" s="17"/>
      <c r="Z10" s="29"/>
      <c r="AA10" s="17"/>
      <c r="AB10" s="29"/>
      <c r="AC10" s="17"/>
      <c r="AD10" s="29"/>
      <c r="AE10" s="17"/>
      <c r="AF10" s="29"/>
      <c r="AG10" s="17"/>
      <c r="AH10" s="29"/>
      <c r="AI10" s="17">
        <v>15</v>
      </c>
      <c r="AJ10" s="29">
        <f>+AI10*AR10</f>
        <v>3000</v>
      </c>
      <c r="AK10" s="17">
        <v>301</v>
      </c>
      <c r="AL10" s="29">
        <f>+AK10*AR10</f>
        <v>60200</v>
      </c>
      <c r="AM10" s="17">
        <v>30</v>
      </c>
      <c r="AN10" s="29">
        <f>+AM10*AR10</f>
        <v>6000</v>
      </c>
      <c r="AO10" s="17"/>
      <c r="AP10" s="29"/>
      <c r="AQ10" s="17">
        <f>+AM10+AK10+AI10+AE10+AA10+Y10+W10+U10+S10+O10+K10+G10</f>
        <v>552</v>
      </c>
      <c r="AR10" s="28">
        <v>200</v>
      </c>
      <c r="AS10" s="27">
        <f>+AQ10*AR10</f>
        <v>110400</v>
      </c>
      <c r="AT10" s="1"/>
      <c r="AU10" s="1"/>
    </row>
    <row r="11" spans="1:47" ht="42.75" x14ac:dyDescent="0.25">
      <c r="A11" s="35">
        <v>2</v>
      </c>
      <c r="B11" s="43" t="s">
        <v>87</v>
      </c>
      <c r="C11" s="37" t="s">
        <v>12</v>
      </c>
      <c r="D11" s="36" t="s">
        <v>31</v>
      </c>
      <c r="E11" s="37" t="s">
        <v>86</v>
      </c>
      <c r="F11" s="24" t="s">
        <v>16</v>
      </c>
      <c r="G11" s="33"/>
      <c r="H11" s="29">
        <f>+AR11*G11</f>
        <v>0</v>
      </c>
      <c r="I11" s="32"/>
      <c r="J11" s="32"/>
      <c r="K11" s="30"/>
      <c r="L11" s="31">
        <f>+K11*AR11</f>
        <v>0</v>
      </c>
      <c r="M11" s="17"/>
      <c r="N11" s="29">
        <f>+M11*AR11</f>
        <v>0</v>
      </c>
      <c r="O11" s="30">
        <v>10</v>
      </c>
      <c r="P11" s="29">
        <f>+O11*AR11</f>
        <v>550</v>
      </c>
      <c r="Q11" s="17"/>
      <c r="R11" s="29">
        <f>+Q11*AR11</f>
        <v>0</v>
      </c>
      <c r="S11" s="30"/>
      <c r="T11" s="29"/>
      <c r="U11" s="17"/>
      <c r="V11" s="29"/>
      <c r="W11" s="17"/>
      <c r="X11" s="29"/>
      <c r="Y11" s="17">
        <v>10</v>
      </c>
      <c r="Z11" s="29">
        <f>+Y11*AR11</f>
        <v>550</v>
      </c>
      <c r="AA11" s="17"/>
      <c r="AB11" s="29"/>
      <c r="AC11" s="17"/>
      <c r="AD11" s="29"/>
      <c r="AE11" s="17"/>
      <c r="AF11" s="29"/>
      <c r="AG11" s="17"/>
      <c r="AH11" s="29"/>
      <c r="AI11" s="17">
        <v>30</v>
      </c>
      <c r="AJ11" s="29">
        <f>+AI11*AR11</f>
        <v>1650</v>
      </c>
      <c r="AK11" s="17">
        <v>50</v>
      </c>
      <c r="AL11" s="29">
        <f>+AK11*AR11</f>
        <v>2750</v>
      </c>
      <c r="AM11" s="17">
        <v>12</v>
      </c>
      <c r="AN11" s="29">
        <f>+AM11*AR11</f>
        <v>660</v>
      </c>
      <c r="AO11" s="17"/>
      <c r="AP11" s="29"/>
      <c r="AQ11" s="17">
        <f>+AM11+AK11+AI11+AE11+AA11+Y11+W11+U11+S11+O11+K11+G11</f>
        <v>112</v>
      </c>
      <c r="AR11" s="28">
        <v>55</v>
      </c>
      <c r="AS11" s="27">
        <f>+AQ11*AR11</f>
        <v>6160</v>
      </c>
      <c r="AT11" s="1"/>
      <c r="AU11" s="1"/>
    </row>
    <row r="12" spans="1:47" ht="28.5" x14ac:dyDescent="0.25">
      <c r="A12" s="35">
        <v>3</v>
      </c>
      <c r="B12" s="43" t="s">
        <v>85</v>
      </c>
      <c r="C12" s="37" t="s">
        <v>12</v>
      </c>
      <c r="D12" s="36" t="s">
        <v>31</v>
      </c>
      <c r="E12" s="37" t="s">
        <v>84</v>
      </c>
      <c r="F12" s="24" t="s">
        <v>40</v>
      </c>
      <c r="G12" s="33">
        <v>10</v>
      </c>
      <c r="H12" s="29">
        <f>+AR12*G12</f>
        <v>3300</v>
      </c>
      <c r="I12" s="32"/>
      <c r="J12" s="32"/>
      <c r="K12" s="30"/>
      <c r="L12" s="31">
        <f>+K12*AR12</f>
        <v>0</v>
      </c>
      <c r="M12" s="17"/>
      <c r="N12" s="29">
        <f>+M12*AR12</f>
        <v>0</v>
      </c>
      <c r="O12" s="30">
        <v>25</v>
      </c>
      <c r="P12" s="29">
        <f>+O12*AR12</f>
        <v>8250</v>
      </c>
      <c r="Q12" s="17"/>
      <c r="R12" s="29">
        <f>+Q12*AR12</f>
        <v>0</v>
      </c>
      <c r="S12" s="30">
        <v>100</v>
      </c>
      <c r="T12" s="29">
        <f>+S12*AR12</f>
        <v>33000</v>
      </c>
      <c r="U12" s="17">
        <v>50</v>
      </c>
      <c r="V12" s="29">
        <f>+U12*AR12</f>
        <v>16500</v>
      </c>
      <c r="W12" s="17">
        <f>50*3</f>
        <v>150</v>
      </c>
      <c r="X12" s="29">
        <f>+W12*AR12</f>
        <v>49500</v>
      </c>
      <c r="Y12" s="17">
        <v>10</v>
      </c>
      <c r="Z12" s="29">
        <f>+Y12*AR12</f>
        <v>3300</v>
      </c>
      <c r="AA12" s="17"/>
      <c r="AB12" s="29"/>
      <c r="AC12" s="17"/>
      <c r="AD12" s="29"/>
      <c r="AE12" s="17"/>
      <c r="AF12" s="29"/>
      <c r="AG12" s="17"/>
      <c r="AH12" s="29"/>
      <c r="AI12" s="17">
        <v>10</v>
      </c>
      <c r="AJ12" s="29">
        <f>+AI12*AR12</f>
        <v>3300</v>
      </c>
      <c r="AK12" s="17">
        <v>50</v>
      </c>
      <c r="AL12" s="29">
        <f>+AK12*AR12</f>
        <v>16500</v>
      </c>
      <c r="AM12" s="17">
        <f>20+51+5+36+4</f>
        <v>116</v>
      </c>
      <c r="AN12" s="29">
        <f>+AM12*AR12</f>
        <v>38280</v>
      </c>
      <c r="AO12" s="17"/>
      <c r="AP12" s="29"/>
      <c r="AQ12" s="17">
        <f>+AM12+AK12+AI12+AE12+AA12+Y12+W12+U12+S12+O12+K12+G12</f>
        <v>521</v>
      </c>
      <c r="AR12" s="28">
        <v>330</v>
      </c>
      <c r="AS12" s="27">
        <f>+AQ12*AR12</f>
        <v>171930</v>
      </c>
      <c r="AT12" s="1"/>
      <c r="AU12" s="1"/>
    </row>
    <row r="13" spans="1:47" ht="85.5" x14ac:dyDescent="0.25">
      <c r="A13" s="35">
        <v>4</v>
      </c>
      <c r="B13" s="43" t="s">
        <v>83</v>
      </c>
      <c r="C13" s="37" t="s">
        <v>12</v>
      </c>
      <c r="D13" s="36" t="s">
        <v>31</v>
      </c>
      <c r="E13" s="37" t="s">
        <v>82</v>
      </c>
      <c r="F13" s="24" t="s">
        <v>16</v>
      </c>
      <c r="G13" s="35">
        <v>10</v>
      </c>
      <c r="H13" s="62">
        <f>+G13*AR13</f>
        <v>2200</v>
      </c>
      <c r="I13" s="33"/>
      <c r="J13" s="33"/>
      <c r="K13" s="30"/>
      <c r="L13" s="31">
        <f>+K13*AR13</f>
        <v>0</v>
      </c>
      <c r="M13" s="17"/>
      <c r="N13" s="29">
        <f>+M13*AR13</f>
        <v>0</v>
      </c>
      <c r="O13" s="30">
        <v>25</v>
      </c>
      <c r="P13" s="29">
        <f>+O13*AR13</f>
        <v>5500</v>
      </c>
      <c r="Q13" s="17"/>
      <c r="R13" s="29">
        <f>+Q13*AR13</f>
        <v>0</v>
      </c>
      <c r="S13" s="30">
        <v>50</v>
      </c>
      <c r="T13" s="29">
        <f>+S13*AR13</f>
        <v>11000</v>
      </c>
      <c r="U13" s="17"/>
      <c r="V13" s="29"/>
      <c r="W13" s="17"/>
      <c r="X13" s="29"/>
      <c r="Y13" s="17"/>
      <c r="Z13" s="29"/>
      <c r="AA13" s="17"/>
      <c r="AB13" s="29"/>
      <c r="AC13" s="17"/>
      <c r="AD13" s="29"/>
      <c r="AE13" s="17"/>
      <c r="AF13" s="29"/>
      <c r="AG13" s="17"/>
      <c r="AH13" s="29"/>
      <c r="AI13" s="17">
        <v>20</v>
      </c>
      <c r="AJ13" s="29">
        <f>+AI13*AR13</f>
        <v>4400</v>
      </c>
      <c r="AK13" s="17">
        <v>100</v>
      </c>
      <c r="AL13" s="29">
        <f>+AK13*AR13</f>
        <v>22000</v>
      </c>
      <c r="AM13" s="17">
        <v>3</v>
      </c>
      <c r="AN13" s="29">
        <f>+AM13*AR13</f>
        <v>660</v>
      </c>
      <c r="AO13" s="17"/>
      <c r="AP13" s="29"/>
      <c r="AQ13" s="17">
        <f>+AM13+AK13+AI13+AE13+AA13+Y13+W13+U13+S13+O13+K13+G13</f>
        <v>208</v>
      </c>
      <c r="AR13" s="28">
        <v>220</v>
      </c>
      <c r="AS13" s="27">
        <f>+AQ13*AR13</f>
        <v>45760</v>
      </c>
      <c r="AT13" s="1"/>
      <c r="AU13" s="1"/>
    </row>
    <row r="14" spans="1:47" ht="57" x14ac:dyDescent="0.25">
      <c r="A14" s="35">
        <v>5</v>
      </c>
      <c r="B14" s="43" t="s">
        <v>81</v>
      </c>
      <c r="C14" s="37" t="s">
        <v>12</v>
      </c>
      <c r="D14" s="36" t="s">
        <v>31</v>
      </c>
      <c r="E14" s="37" t="s">
        <v>80</v>
      </c>
      <c r="F14" s="24" t="s">
        <v>75</v>
      </c>
      <c r="G14" s="35">
        <v>10</v>
      </c>
      <c r="H14" s="62">
        <f>+AR14*G14</f>
        <v>1844.3000000000002</v>
      </c>
      <c r="I14" s="33"/>
      <c r="J14" s="33"/>
      <c r="K14" s="30"/>
      <c r="L14" s="31">
        <f>+K14*AR14</f>
        <v>0</v>
      </c>
      <c r="M14" s="17"/>
      <c r="N14" s="29">
        <f>+M14*AR14</f>
        <v>0</v>
      </c>
      <c r="O14" s="30"/>
      <c r="P14" s="29">
        <f>+O14*AR14</f>
        <v>0</v>
      </c>
      <c r="Q14" s="17"/>
      <c r="R14" s="29">
        <f>+Q14*AR14</f>
        <v>0</v>
      </c>
      <c r="S14" s="30"/>
      <c r="T14" s="29"/>
      <c r="U14" s="17"/>
      <c r="V14" s="29"/>
      <c r="W14" s="17"/>
      <c r="X14" s="29"/>
      <c r="Y14" s="17"/>
      <c r="Z14" s="29"/>
      <c r="AA14" s="17">
        <v>13.333333333333334</v>
      </c>
      <c r="AB14" s="29">
        <f>+AA14*AR14</f>
        <v>2459.0666666666671</v>
      </c>
      <c r="AC14" s="17"/>
      <c r="AD14" s="29"/>
      <c r="AE14" s="17"/>
      <c r="AF14" s="29"/>
      <c r="AG14" s="17"/>
      <c r="AH14" s="29"/>
      <c r="AI14" s="17">
        <v>10</v>
      </c>
      <c r="AJ14" s="29">
        <f>+AI14*AR14</f>
        <v>1844.3000000000002</v>
      </c>
      <c r="AK14" s="17">
        <v>50</v>
      </c>
      <c r="AL14" s="29">
        <f>+AK14*AR14</f>
        <v>9221.5</v>
      </c>
      <c r="AM14" s="17">
        <v>10</v>
      </c>
      <c r="AN14" s="29">
        <f>+AM14*AR14</f>
        <v>1844.3000000000002</v>
      </c>
      <c r="AO14" s="17"/>
      <c r="AP14" s="29"/>
      <c r="AQ14" s="17">
        <f>+AM14+AK14+AI14+AE14+AA14+Y14+W14+U14+S14+O14+K14+G14</f>
        <v>93.333333333333329</v>
      </c>
      <c r="AR14" s="28">
        <v>184.43</v>
      </c>
      <c r="AS14" s="27">
        <f>+AQ14*AR14</f>
        <v>17213.466666666667</v>
      </c>
      <c r="AT14" s="1"/>
      <c r="AU14" s="1"/>
    </row>
    <row r="15" spans="1:47" ht="57" x14ac:dyDescent="0.25">
      <c r="A15" s="35">
        <v>6</v>
      </c>
      <c r="B15" s="43" t="s">
        <v>79</v>
      </c>
      <c r="C15" s="37" t="s">
        <v>12</v>
      </c>
      <c r="D15" s="36" t="s">
        <v>31</v>
      </c>
      <c r="E15" s="37" t="s">
        <v>78</v>
      </c>
      <c r="F15" s="24" t="s">
        <v>75</v>
      </c>
      <c r="G15" s="35">
        <v>20</v>
      </c>
      <c r="H15" s="62">
        <f>+AR15*G15</f>
        <v>4000</v>
      </c>
      <c r="I15" s="33"/>
      <c r="J15" s="33"/>
      <c r="K15" s="61"/>
      <c r="L15" s="31">
        <f>+K15*AR15</f>
        <v>0</v>
      </c>
      <c r="M15" s="17"/>
      <c r="N15" s="29">
        <f>+M15*AR15</f>
        <v>0</v>
      </c>
      <c r="O15" s="30"/>
      <c r="P15" s="29">
        <f>+O15*AR15</f>
        <v>0</v>
      </c>
      <c r="Q15" s="17">
        <v>100</v>
      </c>
      <c r="R15" s="29">
        <f>+Q15*AR15</f>
        <v>20000</v>
      </c>
      <c r="S15" s="30">
        <v>100</v>
      </c>
      <c r="T15" s="29">
        <f>+S15*AR15</f>
        <v>20000</v>
      </c>
      <c r="U15" s="17"/>
      <c r="V15" s="29"/>
      <c r="W15" s="17">
        <f>1000*3</f>
        <v>3000</v>
      </c>
      <c r="X15" s="29">
        <f>+W15*AR15</f>
        <v>600000</v>
      </c>
      <c r="Y15" s="17"/>
      <c r="Z15" s="29"/>
      <c r="AA15" s="17">
        <v>13</v>
      </c>
      <c r="AB15" s="29">
        <f>+AA15*AR15</f>
        <v>2600</v>
      </c>
      <c r="AC15" s="17"/>
      <c r="AD15" s="29"/>
      <c r="AE15" s="17"/>
      <c r="AF15" s="29"/>
      <c r="AG15" s="17"/>
      <c r="AH15" s="29"/>
      <c r="AI15" s="17">
        <v>100</v>
      </c>
      <c r="AJ15" s="29">
        <f>+AI15*AR15</f>
        <v>20000</v>
      </c>
      <c r="AK15" s="17">
        <v>200</v>
      </c>
      <c r="AL15" s="29">
        <f>+AK15*AR15</f>
        <v>40000</v>
      </c>
      <c r="AM15" s="17">
        <v>10</v>
      </c>
      <c r="AN15" s="29">
        <f>+AM15*AR15</f>
        <v>2000</v>
      </c>
      <c r="AO15" s="17"/>
      <c r="AP15" s="29"/>
      <c r="AQ15" s="17">
        <f>+AM15+AK15+AI15+AE15+AA15+Y15+W15+U15+S15+O15+K15+G15</f>
        <v>3443</v>
      </c>
      <c r="AR15" s="60">
        <v>200</v>
      </c>
      <c r="AS15" s="27">
        <f>+AQ15*AR15</f>
        <v>688600</v>
      </c>
      <c r="AT15" s="1"/>
      <c r="AU15" s="1"/>
    </row>
    <row r="16" spans="1:47" ht="42.75" x14ac:dyDescent="0.25">
      <c r="A16" s="35">
        <v>7</v>
      </c>
      <c r="B16" s="43" t="s">
        <v>77</v>
      </c>
      <c r="C16" s="37" t="s">
        <v>12</v>
      </c>
      <c r="D16" s="36" t="s">
        <v>31</v>
      </c>
      <c r="E16" s="37" t="s">
        <v>76</v>
      </c>
      <c r="F16" s="24" t="s">
        <v>75</v>
      </c>
      <c r="G16" s="35"/>
      <c r="H16" s="62"/>
      <c r="I16" s="33"/>
      <c r="J16" s="33"/>
      <c r="K16" s="61"/>
      <c r="L16" s="31">
        <f>+K16*AR16</f>
        <v>0</v>
      </c>
      <c r="M16" s="17"/>
      <c r="N16" s="29">
        <f>+M16*AR16</f>
        <v>0</v>
      </c>
      <c r="O16" s="30"/>
      <c r="P16" s="29">
        <f>+O16*AR16</f>
        <v>0</v>
      </c>
      <c r="Q16" s="17">
        <v>30</v>
      </c>
      <c r="R16" s="29">
        <f>+Q16*AR16</f>
        <v>5550</v>
      </c>
      <c r="S16" s="30"/>
      <c r="T16" s="29"/>
      <c r="U16" s="17"/>
      <c r="V16" s="29"/>
      <c r="W16" s="17">
        <f>500*3</f>
        <v>1500</v>
      </c>
      <c r="X16" s="29">
        <f>+W16*AR16</f>
        <v>277500</v>
      </c>
      <c r="Y16" s="17"/>
      <c r="Z16" s="29"/>
      <c r="AA16" s="17"/>
      <c r="AB16" s="29"/>
      <c r="AC16" s="17"/>
      <c r="AD16" s="29"/>
      <c r="AE16" s="17"/>
      <c r="AF16" s="29"/>
      <c r="AG16" s="17"/>
      <c r="AH16" s="29"/>
      <c r="AI16" s="17"/>
      <c r="AJ16" s="29">
        <f>+AI16*AR16</f>
        <v>0</v>
      </c>
      <c r="AK16" s="17"/>
      <c r="AL16" s="29">
        <f>+AK16*AR16</f>
        <v>0</v>
      </c>
      <c r="AM16" s="17">
        <v>30</v>
      </c>
      <c r="AN16" s="29">
        <f>+AM16*AR16</f>
        <v>5550</v>
      </c>
      <c r="AO16" s="17"/>
      <c r="AP16" s="29"/>
      <c r="AQ16" s="17">
        <f>+AM16+AK16+AI16+AE16+AA16+Y16+W16+U16+S16+O16+K16+G16</f>
        <v>1530</v>
      </c>
      <c r="AR16" s="60">
        <v>185</v>
      </c>
      <c r="AS16" s="27">
        <f>+AQ16*AR16</f>
        <v>283050</v>
      </c>
      <c r="AT16" s="1"/>
      <c r="AU16" s="1"/>
    </row>
    <row r="17" spans="1:47" ht="28.5" x14ac:dyDescent="0.25">
      <c r="A17" s="35">
        <v>8</v>
      </c>
      <c r="B17" s="63" t="s">
        <v>74</v>
      </c>
      <c r="C17" s="37" t="s">
        <v>12</v>
      </c>
      <c r="D17" s="36" t="s">
        <v>31</v>
      </c>
      <c r="E17" s="35" t="s">
        <v>73</v>
      </c>
      <c r="F17" s="35" t="s">
        <v>16</v>
      </c>
      <c r="G17" s="35">
        <v>10</v>
      </c>
      <c r="H17" s="62">
        <f>+G17*AR17</f>
        <v>1500</v>
      </c>
      <c r="I17" s="33"/>
      <c r="J17" s="33"/>
      <c r="K17" s="61">
        <v>30</v>
      </c>
      <c r="L17" s="31">
        <f>+K17*AR17</f>
        <v>4500</v>
      </c>
      <c r="M17" s="17"/>
      <c r="N17" s="29">
        <f>+M17*AR17</f>
        <v>0</v>
      </c>
      <c r="O17" s="30">
        <v>30</v>
      </c>
      <c r="P17" s="29">
        <f>+O17*AR17</f>
        <v>4500</v>
      </c>
      <c r="Q17" s="17"/>
      <c r="R17" s="29">
        <f>+Q17*AR17</f>
        <v>0</v>
      </c>
      <c r="S17" s="30">
        <v>200</v>
      </c>
      <c r="T17" s="29">
        <f>+S17*AR17</f>
        <v>30000</v>
      </c>
      <c r="U17" s="17"/>
      <c r="V17" s="29"/>
      <c r="W17" s="17">
        <f>20*3</f>
        <v>60</v>
      </c>
      <c r="X17" s="29">
        <f>+W17*AR17</f>
        <v>9000</v>
      </c>
      <c r="Y17" s="17">
        <v>15</v>
      </c>
      <c r="Z17" s="29">
        <f>+Y17*AR17</f>
        <v>2250</v>
      </c>
      <c r="AA17" s="17">
        <v>15</v>
      </c>
      <c r="AB17" s="29">
        <f>+AA17*AR17</f>
        <v>2250</v>
      </c>
      <c r="AC17" s="17"/>
      <c r="AD17" s="29"/>
      <c r="AE17" s="17"/>
      <c r="AF17" s="29"/>
      <c r="AG17" s="17"/>
      <c r="AH17" s="29"/>
      <c r="AI17" s="17">
        <v>30</v>
      </c>
      <c r="AJ17" s="29">
        <f>+AI17*AR17</f>
        <v>4500</v>
      </c>
      <c r="AK17" s="17">
        <v>101</v>
      </c>
      <c r="AL17" s="29">
        <f>+AK17*AR17</f>
        <v>15150</v>
      </c>
      <c r="AM17" s="17">
        <v>36</v>
      </c>
      <c r="AN17" s="29">
        <f>+AM17*AR17</f>
        <v>5400</v>
      </c>
      <c r="AO17" s="17"/>
      <c r="AP17" s="29"/>
      <c r="AQ17" s="17">
        <f>+AM17+AK17+AI17+AE17+AA17+Y17+W17+U17+S17+O17+K17+G17</f>
        <v>527</v>
      </c>
      <c r="AR17" s="60">
        <v>150</v>
      </c>
      <c r="AS17" s="27">
        <f>+AQ17*AR17</f>
        <v>79050</v>
      </c>
      <c r="AT17" s="1"/>
      <c r="AU17" s="1"/>
    </row>
    <row r="18" spans="1:47" ht="28.5" x14ac:dyDescent="0.25">
      <c r="A18" s="35">
        <v>9</v>
      </c>
      <c r="B18" s="63" t="s">
        <v>72</v>
      </c>
      <c r="C18" s="37" t="s">
        <v>12</v>
      </c>
      <c r="D18" s="36" t="s">
        <v>31</v>
      </c>
      <c r="E18" s="35" t="s">
        <v>71</v>
      </c>
      <c r="F18" s="35" t="s">
        <v>16</v>
      </c>
      <c r="G18" s="35">
        <v>20</v>
      </c>
      <c r="H18" s="62">
        <f>+G18*AR18</f>
        <v>9000</v>
      </c>
      <c r="I18" s="33"/>
      <c r="J18" s="33"/>
      <c r="K18" s="61">
        <v>12</v>
      </c>
      <c r="L18" s="31">
        <f>+K18*AR18</f>
        <v>5400</v>
      </c>
      <c r="M18" s="17"/>
      <c r="N18" s="29">
        <f>+M18*AR18</f>
        <v>0</v>
      </c>
      <c r="O18" s="30">
        <v>10</v>
      </c>
      <c r="P18" s="29">
        <f>+O18*AR18</f>
        <v>4500</v>
      </c>
      <c r="Q18" s="17"/>
      <c r="R18" s="29">
        <f>+Q18*AR18</f>
        <v>0</v>
      </c>
      <c r="S18" s="30"/>
      <c r="T18" s="29"/>
      <c r="U18" s="17">
        <v>60</v>
      </c>
      <c r="V18" s="29">
        <f>+U18*AR18</f>
        <v>27000</v>
      </c>
      <c r="W18" s="17"/>
      <c r="X18" s="29"/>
      <c r="Y18" s="17"/>
      <c r="Z18" s="29"/>
      <c r="AA18" s="17">
        <v>10</v>
      </c>
      <c r="AB18" s="29">
        <f>+AA18*AR18</f>
        <v>4500</v>
      </c>
      <c r="AC18" s="17"/>
      <c r="AD18" s="29"/>
      <c r="AE18" s="17"/>
      <c r="AF18" s="29"/>
      <c r="AG18" s="17"/>
      <c r="AH18" s="29"/>
      <c r="AI18" s="17"/>
      <c r="AJ18" s="29">
        <f>+AI18*AR18</f>
        <v>0</v>
      </c>
      <c r="AK18" s="17">
        <v>50</v>
      </c>
      <c r="AL18" s="29">
        <f>+AK18*AR18</f>
        <v>22500</v>
      </c>
      <c r="AM18" s="17">
        <f>15+36</f>
        <v>51</v>
      </c>
      <c r="AN18" s="29">
        <f>+AM18*AR18</f>
        <v>22950</v>
      </c>
      <c r="AO18" s="17"/>
      <c r="AP18" s="29"/>
      <c r="AQ18" s="17">
        <f>+AM18+AK18+AI18+AE18+AA18+Y18+W18+U18+S18+O18+K18+G18</f>
        <v>213</v>
      </c>
      <c r="AR18" s="60">
        <v>450</v>
      </c>
      <c r="AS18" s="27">
        <f>+AQ18*AR18</f>
        <v>95850</v>
      </c>
      <c r="AT18" s="1"/>
      <c r="AU18" s="1"/>
    </row>
    <row r="19" spans="1:47" ht="42.75" x14ac:dyDescent="0.25">
      <c r="A19" s="35">
        <v>10</v>
      </c>
      <c r="B19" s="38" t="s">
        <v>70</v>
      </c>
      <c r="C19" s="37" t="s">
        <v>12</v>
      </c>
      <c r="D19" s="36" t="s">
        <v>31</v>
      </c>
      <c r="E19" s="35" t="s">
        <v>69</v>
      </c>
      <c r="F19" s="34" t="s">
        <v>16</v>
      </c>
      <c r="G19" s="35"/>
      <c r="H19" s="62"/>
      <c r="I19" s="33"/>
      <c r="J19" s="33"/>
      <c r="K19" s="61">
        <v>40</v>
      </c>
      <c r="L19" s="31">
        <f>+K19*AR19</f>
        <v>6000</v>
      </c>
      <c r="M19" s="17"/>
      <c r="N19" s="29">
        <f>+M19*AR19</f>
        <v>0</v>
      </c>
      <c r="O19" s="30"/>
      <c r="P19" s="29">
        <f>+O19*AR19</f>
        <v>0</v>
      </c>
      <c r="Q19" s="17"/>
      <c r="R19" s="29">
        <f>+Q19*AR19</f>
        <v>0</v>
      </c>
      <c r="S19" s="30"/>
      <c r="T19" s="29"/>
      <c r="U19" s="17"/>
      <c r="V19" s="29"/>
      <c r="W19" s="17"/>
      <c r="X19" s="29"/>
      <c r="Y19" s="17"/>
      <c r="Z19" s="29"/>
      <c r="AA19" s="17"/>
      <c r="AB19" s="29"/>
      <c r="AC19" s="17"/>
      <c r="AD19" s="29"/>
      <c r="AE19" s="17"/>
      <c r="AF19" s="29"/>
      <c r="AG19" s="17"/>
      <c r="AH19" s="29"/>
      <c r="AI19" s="17">
        <v>30</v>
      </c>
      <c r="AJ19" s="29">
        <f>+AI19*AR19</f>
        <v>4500</v>
      </c>
      <c r="AK19" s="17">
        <v>100</v>
      </c>
      <c r="AL19" s="29">
        <f>+AK19*AR19</f>
        <v>15000</v>
      </c>
      <c r="AM19" s="17">
        <v>30</v>
      </c>
      <c r="AN19" s="29">
        <f>+AM19*AR19</f>
        <v>4500</v>
      </c>
      <c r="AO19" s="17"/>
      <c r="AP19" s="29"/>
      <c r="AQ19" s="17">
        <f>+AM19+AK19+AI19+AE19+AA19+Y19+W19+U19+S19+O19+K19+G19</f>
        <v>200</v>
      </c>
      <c r="AR19" s="60">
        <v>150</v>
      </c>
      <c r="AS19" s="27">
        <f>+AQ19*AR19</f>
        <v>30000</v>
      </c>
      <c r="AT19" s="1"/>
      <c r="AU19" s="1"/>
    </row>
    <row r="20" spans="1:47" ht="28.5" x14ac:dyDescent="0.25">
      <c r="A20" s="35">
        <v>11</v>
      </c>
      <c r="B20" s="38" t="s">
        <v>68</v>
      </c>
      <c r="C20" s="37" t="s">
        <v>12</v>
      </c>
      <c r="D20" s="36" t="s">
        <v>31</v>
      </c>
      <c r="E20" s="35" t="s">
        <v>67</v>
      </c>
      <c r="F20" s="34" t="s">
        <v>16</v>
      </c>
      <c r="G20" s="35"/>
      <c r="H20" s="62"/>
      <c r="I20" s="33"/>
      <c r="J20" s="33"/>
      <c r="K20" s="61"/>
      <c r="L20" s="31">
        <f>+K20*AR20</f>
        <v>0</v>
      </c>
      <c r="M20" s="17"/>
      <c r="N20" s="29">
        <f>+M20*AR20</f>
        <v>0</v>
      </c>
      <c r="O20" s="30"/>
      <c r="P20" s="29">
        <f>+O20*AR20</f>
        <v>0</v>
      </c>
      <c r="Q20" s="17"/>
      <c r="R20" s="29">
        <f>+Q20*AR20</f>
        <v>0</v>
      </c>
      <c r="S20" s="30">
        <v>50</v>
      </c>
      <c r="T20" s="29">
        <f>+S20*AR20</f>
        <v>15000</v>
      </c>
      <c r="U20" s="17"/>
      <c r="V20" s="29"/>
      <c r="W20" s="17"/>
      <c r="X20" s="29"/>
      <c r="Y20" s="17"/>
      <c r="Z20" s="29"/>
      <c r="AA20" s="17"/>
      <c r="AB20" s="29"/>
      <c r="AC20" s="17"/>
      <c r="AD20" s="29"/>
      <c r="AE20" s="17"/>
      <c r="AF20" s="29"/>
      <c r="AG20" s="17"/>
      <c r="AH20" s="29"/>
      <c r="AI20" s="17">
        <v>2</v>
      </c>
      <c r="AJ20" s="29">
        <f>+AI20*AR20</f>
        <v>600</v>
      </c>
      <c r="AK20" s="17">
        <v>150</v>
      </c>
      <c r="AL20" s="29">
        <f>+AK20*AR20</f>
        <v>45000</v>
      </c>
      <c r="AM20" s="17">
        <v>10</v>
      </c>
      <c r="AN20" s="29">
        <f>+AM20*AR20</f>
        <v>3000</v>
      </c>
      <c r="AO20" s="17"/>
      <c r="AP20" s="29"/>
      <c r="AQ20" s="17">
        <f>+AM20+AK20+AI20+AE20+AA20+Y20+W20+U20+S20+O20+K20+G20</f>
        <v>212</v>
      </c>
      <c r="AR20" s="60">
        <v>300</v>
      </c>
      <c r="AS20" s="27">
        <f>+AQ20*AR20</f>
        <v>63600</v>
      </c>
      <c r="AT20" s="1"/>
      <c r="AU20" s="1"/>
    </row>
    <row r="21" spans="1:47" ht="28.5" x14ac:dyDescent="0.25">
      <c r="A21" s="35">
        <v>12</v>
      </c>
      <c r="B21" s="38" t="s">
        <v>66</v>
      </c>
      <c r="C21" s="37" t="s">
        <v>12</v>
      </c>
      <c r="D21" s="36" t="s">
        <v>31</v>
      </c>
      <c r="E21" s="35" t="s">
        <v>65</v>
      </c>
      <c r="F21" s="34" t="s">
        <v>16</v>
      </c>
      <c r="G21" s="35"/>
      <c r="H21" s="62"/>
      <c r="I21" s="33"/>
      <c r="J21" s="33"/>
      <c r="K21" s="61">
        <v>10</v>
      </c>
      <c r="L21" s="31">
        <f>+K21*AR21</f>
        <v>1850</v>
      </c>
      <c r="M21" s="17"/>
      <c r="N21" s="29">
        <f>+M21*AR21</f>
        <v>0</v>
      </c>
      <c r="O21" s="30"/>
      <c r="P21" s="29">
        <f>+O21*AR21</f>
        <v>0</v>
      </c>
      <c r="Q21" s="17"/>
      <c r="R21" s="29">
        <f>+Q21*AR21</f>
        <v>0</v>
      </c>
      <c r="S21" s="30"/>
      <c r="T21" s="29"/>
      <c r="U21" s="17"/>
      <c r="V21" s="29"/>
      <c r="W21" s="17"/>
      <c r="X21" s="29"/>
      <c r="Y21" s="17"/>
      <c r="Z21" s="29"/>
      <c r="AA21" s="17"/>
      <c r="AB21" s="29"/>
      <c r="AC21" s="17"/>
      <c r="AD21" s="29"/>
      <c r="AE21" s="17"/>
      <c r="AF21" s="29"/>
      <c r="AG21" s="17"/>
      <c r="AH21" s="29"/>
      <c r="AI21" s="17"/>
      <c r="AJ21" s="29">
        <f>+AI21*AR21</f>
        <v>0</v>
      </c>
      <c r="AK21" s="17"/>
      <c r="AL21" s="29">
        <f>+AK21*AR21</f>
        <v>0</v>
      </c>
      <c r="AM21" s="17">
        <v>10</v>
      </c>
      <c r="AN21" s="29">
        <f>+AM21*AR21</f>
        <v>1850</v>
      </c>
      <c r="AO21" s="17"/>
      <c r="AP21" s="29"/>
      <c r="AQ21" s="17">
        <f>+AM21+AK21+AI21+AE21+AA21+Y21+W21+U21+S21+O21+K21+G21</f>
        <v>20</v>
      </c>
      <c r="AR21" s="60">
        <v>185</v>
      </c>
      <c r="AS21" s="27">
        <f>+AQ21*AR21</f>
        <v>3700</v>
      </c>
      <c r="AT21" s="1"/>
      <c r="AU21" s="1"/>
    </row>
    <row r="22" spans="1:47" ht="71.25" x14ac:dyDescent="0.25">
      <c r="A22" s="35">
        <v>13</v>
      </c>
      <c r="B22" s="38" t="s">
        <v>64</v>
      </c>
      <c r="C22" s="37" t="s">
        <v>12</v>
      </c>
      <c r="D22" s="36" t="s">
        <v>31</v>
      </c>
      <c r="E22" s="35" t="s">
        <v>63</v>
      </c>
      <c r="F22" s="34" t="s">
        <v>16</v>
      </c>
      <c r="G22" s="35"/>
      <c r="H22" s="62"/>
      <c r="I22" s="33"/>
      <c r="J22" s="33"/>
      <c r="K22" s="61">
        <v>5</v>
      </c>
      <c r="L22" s="31">
        <f>+K22*AR22</f>
        <v>2250</v>
      </c>
      <c r="M22" s="17"/>
      <c r="N22" s="29">
        <f>+M22*AR22</f>
        <v>0</v>
      </c>
      <c r="O22" s="30">
        <v>2</v>
      </c>
      <c r="P22" s="29">
        <f>+O22*AR22</f>
        <v>900</v>
      </c>
      <c r="Q22" s="17"/>
      <c r="R22" s="29">
        <f>+Q22*AR22</f>
        <v>0</v>
      </c>
      <c r="S22" s="30"/>
      <c r="T22" s="29"/>
      <c r="U22" s="17"/>
      <c r="V22" s="29"/>
      <c r="W22" s="17"/>
      <c r="X22" s="29"/>
      <c r="Y22" s="17"/>
      <c r="Z22" s="29"/>
      <c r="AA22" s="17"/>
      <c r="AB22" s="29"/>
      <c r="AC22" s="17"/>
      <c r="AD22" s="29"/>
      <c r="AE22" s="17"/>
      <c r="AF22" s="29"/>
      <c r="AG22" s="17"/>
      <c r="AH22" s="29"/>
      <c r="AI22" s="17"/>
      <c r="AJ22" s="29">
        <f>+AI22*AR22</f>
        <v>0</v>
      </c>
      <c r="AK22" s="17"/>
      <c r="AL22" s="29">
        <f>+AK22*AR22</f>
        <v>0</v>
      </c>
      <c r="AM22" s="17"/>
      <c r="AN22" s="29">
        <f>+AM22*AR22</f>
        <v>0</v>
      </c>
      <c r="AO22" s="17"/>
      <c r="AP22" s="29"/>
      <c r="AQ22" s="17">
        <f>+AM22+AK22+AI22+AE22+AA22+Y22+W22+U22+S22+O22+K22+G22</f>
        <v>7</v>
      </c>
      <c r="AR22" s="60">
        <v>450</v>
      </c>
      <c r="AS22" s="27">
        <f>+AQ22*AR22</f>
        <v>3150</v>
      </c>
      <c r="AT22" s="1"/>
      <c r="AU22" s="1"/>
    </row>
    <row r="23" spans="1:47" ht="28.5" x14ac:dyDescent="0.25">
      <c r="A23" s="35">
        <v>14</v>
      </c>
      <c r="B23" s="38" t="s">
        <v>62</v>
      </c>
      <c r="C23" s="37" t="s">
        <v>12</v>
      </c>
      <c r="D23" s="36" t="s">
        <v>31</v>
      </c>
      <c r="E23" s="35" t="s">
        <v>61</v>
      </c>
      <c r="F23" s="34" t="s">
        <v>16</v>
      </c>
      <c r="G23" s="35"/>
      <c r="H23" s="62"/>
      <c r="I23" s="33"/>
      <c r="J23" s="33"/>
      <c r="K23" s="61">
        <v>8</v>
      </c>
      <c r="L23" s="31">
        <f>+K23*AR23</f>
        <v>2040</v>
      </c>
      <c r="M23" s="17"/>
      <c r="N23" s="29">
        <f>+M23*AR23</f>
        <v>0</v>
      </c>
      <c r="O23" s="30"/>
      <c r="P23" s="29">
        <f>+O23*AR23</f>
        <v>0</v>
      </c>
      <c r="Q23" s="17"/>
      <c r="R23" s="29">
        <f>+Q23*AR23</f>
        <v>0</v>
      </c>
      <c r="S23" s="30"/>
      <c r="T23" s="29"/>
      <c r="U23" s="17"/>
      <c r="V23" s="29"/>
      <c r="W23" s="17"/>
      <c r="X23" s="29"/>
      <c r="Y23" s="17"/>
      <c r="Z23" s="29"/>
      <c r="AA23" s="17"/>
      <c r="AB23" s="29"/>
      <c r="AC23" s="17"/>
      <c r="AD23" s="29"/>
      <c r="AE23" s="17"/>
      <c r="AF23" s="29"/>
      <c r="AG23" s="17"/>
      <c r="AH23" s="29"/>
      <c r="AI23" s="17"/>
      <c r="AJ23" s="29">
        <f>+AI23*AR23</f>
        <v>0</v>
      </c>
      <c r="AK23" s="17">
        <v>30</v>
      </c>
      <c r="AL23" s="29">
        <f>+AK23*AR23</f>
        <v>7650</v>
      </c>
      <c r="AM23" s="17"/>
      <c r="AN23" s="29">
        <f>+AM23*AR23</f>
        <v>0</v>
      </c>
      <c r="AO23" s="17"/>
      <c r="AP23" s="29"/>
      <c r="AQ23" s="17">
        <f>+AM23+AK23+AI23+AE23+AA23+Y23+W23+U23+S23+O23+K23+G23</f>
        <v>38</v>
      </c>
      <c r="AR23" s="60">
        <v>255</v>
      </c>
      <c r="AS23" s="27">
        <f>+AQ23*AR23</f>
        <v>9690</v>
      </c>
      <c r="AT23" s="1"/>
      <c r="AU23" s="1"/>
    </row>
    <row r="24" spans="1:47" ht="28.5" x14ac:dyDescent="0.25">
      <c r="A24" s="35">
        <v>15</v>
      </c>
      <c r="B24" s="38" t="s">
        <v>60</v>
      </c>
      <c r="C24" s="37" t="s">
        <v>12</v>
      </c>
      <c r="D24" s="36" t="s">
        <v>31</v>
      </c>
      <c r="E24" s="35" t="s">
        <v>59</v>
      </c>
      <c r="F24" s="34" t="s">
        <v>16</v>
      </c>
      <c r="G24" s="35"/>
      <c r="H24" s="62"/>
      <c r="I24" s="33"/>
      <c r="J24" s="33"/>
      <c r="K24" s="61">
        <v>5</v>
      </c>
      <c r="L24" s="31">
        <f>+K24*AR24</f>
        <v>2000</v>
      </c>
      <c r="M24" s="17"/>
      <c r="N24" s="29">
        <f>+M24*AR24</f>
        <v>0</v>
      </c>
      <c r="O24" s="30"/>
      <c r="P24" s="29">
        <f>+O24*AR24</f>
        <v>0</v>
      </c>
      <c r="Q24" s="17"/>
      <c r="R24" s="29">
        <f>+Q24*AR24</f>
        <v>0</v>
      </c>
      <c r="S24" s="30"/>
      <c r="T24" s="29"/>
      <c r="U24" s="17"/>
      <c r="V24" s="29"/>
      <c r="W24" s="17"/>
      <c r="X24" s="29"/>
      <c r="Y24" s="17"/>
      <c r="Z24" s="29"/>
      <c r="AA24" s="17"/>
      <c r="AB24" s="29"/>
      <c r="AC24" s="17"/>
      <c r="AD24" s="29"/>
      <c r="AE24" s="17"/>
      <c r="AF24" s="29"/>
      <c r="AG24" s="17"/>
      <c r="AH24" s="29"/>
      <c r="AI24" s="17"/>
      <c r="AJ24" s="29">
        <f>+AI24*AR24</f>
        <v>0</v>
      </c>
      <c r="AK24" s="17">
        <v>25</v>
      </c>
      <c r="AL24" s="29">
        <f>+AK24*AR24</f>
        <v>10000</v>
      </c>
      <c r="AM24" s="17"/>
      <c r="AN24" s="29">
        <f>+AM24*AR24</f>
        <v>0</v>
      </c>
      <c r="AO24" s="17"/>
      <c r="AP24" s="29"/>
      <c r="AQ24" s="17">
        <f>+AM24+AK24+AI24+AE24+AA24+Y24+W24+U24+S24+O24+K24+G24</f>
        <v>30</v>
      </c>
      <c r="AR24" s="60">
        <v>400</v>
      </c>
      <c r="AS24" s="27">
        <f>+AQ24*AR24</f>
        <v>12000</v>
      </c>
      <c r="AT24" s="1"/>
      <c r="AU24" s="1"/>
    </row>
    <row r="25" spans="1:47" ht="42.75" x14ac:dyDescent="0.25">
      <c r="A25" s="35">
        <v>16</v>
      </c>
      <c r="B25" s="38" t="s">
        <v>58</v>
      </c>
      <c r="C25" s="37" t="s">
        <v>12</v>
      </c>
      <c r="D25" s="36" t="s">
        <v>31</v>
      </c>
      <c r="E25" s="35" t="s">
        <v>57</v>
      </c>
      <c r="F25" s="34" t="s">
        <v>56</v>
      </c>
      <c r="G25" s="35"/>
      <c r="H25" s="62"/>
      <c r="I25" s="33"/>
      <c r="J25" s="33"/>
      <c r="K25" s="61">
        <v>10</v>
      </c>
      <c r="L25" s="31">
        <f>+K25*AR25</f>
        <v>450</v>
      </c>
      <c r="M25" s="17"/>
      <c r="N25" s="29">
        <f>+M25*AR25</f>
        <v>0</v>
      </c>
      <c r="O25" s="30"/>
      <c r="P25" s="29">
        <f>+O25*AR25</f>
        <v>0</v>
      </c>
      <c r="Q25" s="17"/>
      <c r="R25" s="29">
        <f>+Q25*AR25</f>
        <v>0</v>
      </c>
      <c r="S25" s="30"/>
      <c r="T25" s="29"/>
      <c r="U25" s="17"/>
      <c r="V25" s="29"/>
      <c r="W25" s="17"/>
      <c r="X25" s="29"/>
      <c r="Y25" s="17"/>
      <c r="Z25" s="29"/>
      <c r="AA25" s="17"/>
      <c r="AB25" s="29"/>
      <c r="AC25" s="17"/>
      <c r="AD25" s="29"/>
      <c r="AE25" s="17"/>
      <c r="AF25" s="29"/>
      <c r="AG25" s="17"/>
      <c r="AH25" s="29"/>
      <c r="AI25" s="17"/>
      <c r="AJ25" s="29">
        <f>+AI25*AR25</f>
        <v>0</v>
      </c>
      <c r="AK25" s="17">
        <v>15</v>
      </c>
      <c r="AL25" s="29">
        <f>+AK25*AR25</f>
        <v>675</v>
      </c>
      <c r="AM25" s="17"/>
      <c r="AN25" s="29">
        <f>+AM25*AR25</f>
        <v>0</v>
      </c>
      <c r="AO25" s="17"/>
      <c r="AP25" s="29"/>
      <c r="AQ25" s="17">
        <f>+AM25+AK25+AI25+AE25+AA25+Y25+W25+U25+S25+O25+K25+G25</f>
        <v>25</v>
      </c>
      <c r="AR25" s="60">
        <v>45</v>
      </c>
      <c r="AS25" s="27">
        <f>+AQ25*AR25</f>
        <v>1125</v>
      </c>
      <c r="AT25" s="1"/>
      <c r="AU25" s="1"/>
    </row>
    <row r="26" spans="1:47" ht="28.5" x14ac:dyDescent="0.25">
      <c r="A26" s="35">
        <v>17</v>
      </c>
      <c r="B26" s="38" t="s">
        <v>55</v>
      </c>
      <c r="C26" s="37" t="s">
        <v>12</v>
      </c>
      <c r="D26" s="36" t="s">
        <v>31</v>
      </c>
      <c r="E26" s="35" t="s">
        <v>54</v>
      </c>
      <c r="F26" s="34" t="s">
        <v>53</v>
      </c>
      <c r="G26" s="35"/>
      <c r="H26" s="62"/>
      <c r="I26" s="33"/>
      <c r="J26" s="33"/>
      <c r="K26" s="61">
        <v>10</v>
      </c>
      <c r="L26" s="31">
        <f>+K26*AR26</f>
        <v>9000</v>
      </c>
      <c r="M26" s="17"/>
      <c r="N26" s="29">
        <f>+M26*AR26</f>
        <v>0</v>
      </c>
      <c r="O26" s="30"/>
      <c r="P26" s="29">
        <f>+O26*AR26</f>
        <v>0</v>
      </c>
      <c r="Q26" s="17"/>
      <c r="R26" s="29">
        <f>+Q26*AR26</f>
        <v>0</v>
      </c>
      <c r="S26" s="30"/>
      <c r="T26" s="29"/>
      <c r="U26" s="17"/>
      <c r="V26" s="29"/>
      <c r="W26" s="17"/>
      <c r="X26" s="29"/>
      <c r="Y26" s="17"/>
      <c r="Z26" s="29"/>
      <c r="AA26" s="17">
        <v>8</v>
      </c>
      <c r="AB26" s="29">
        <f>+AA26*AR26</f>
        <v>7200</v>
      </c>
      <c r="AC26" s="17"/>
      <c r="AD26" s="29"/>
      <c r="AE26" s="17"/>
      <c r="AF26" s="29"/>
      <c r="AG26" s="17"/>
      <c r="AH26" s="29"/>
      <c r="AI26" s="17"/>
      <c r="AJ26" s="29">
        <f>+AI26*AR26</f>
        <v>0</v>
      </c>
      <c r="AK26" s="17">
        <v>5</v>
      </c>
      <c r="AL26" s="29">
        <f>+AK26*AR26</f>
        <v>4500</v>
      </c>
      <c r="AM26" s="17">
        <f>20+10+36</f>
        <v>66</v>
      </c>
      <c r="AN26" s="29">
        <f>+AM26*AR26</f>
        <v>59400</v>
      </c>
      <c r="AO26" s="17"/>
      <c r="AP26" s="29"/>
      <c r="AQ26" s="17">
        <f>+AM26+AK26+AI26+AE26+AA26+Y26+W26+U26+S26+O26+K26+G26</f>
        <v>89</v>
      </c>
      <c r="AR26" s="60">
        <v>900</v>
      </c>
      <c r="AS26" s="27">
        <f>+AQ26*AR26</f>
        <v>80100</v>
      </c>
      <c r="AT26" s="1"/>
      <c r="AU26" s="1"/>
    </row>
    <row r="27" spans="1:47" ht="57" x14ac:dyDescent="0.25">
      <c r="A27" s="35">
        <v>18</v>
      </c>
      <c r="B27" s="38" t="s">
        <v>52</v>
      </c>
      <c r="C27" s="37" t="s">
        <v>12</v>
      </c>
      <c r="D27" s="36" t="s">
        <v>31</v>
      </c>
      <c r="E27" s="35" t="s">
        <v>51</v>
      </c>
      <c r="F27" s="34" t="s">
        <v>16</v>
      </c>
      <c r="G27" s="35"/>
      <c r="H27" s="62"/>
      <c r="I27" s="33"/>
      <c r="J27" s="33"/>
      <c r="K27" s="61">
        <v>30</v>
      </c>
      <c r="L27" s="31">
        <f>+K27*AR27</f>
        <v>3900</v>
      </c>
      <c r="M27" s="17"/>
      <c r="N27" s="29">
        <f>+M27*AR27</f>
        <v>0</v>
      </c>
      <c r="O27" s="30">
        <v>20</v>
      </c>
      <c r="P27" s="29">
        <f>+O27*AR27</f>
        <v>2600</v>
      </c>
      <c r="Q27" s="17"/>
      <c r="R27" s="29">
        <f>+Q27*AR27</f>
        <v>0</v>
      </c>
      <c r="S27" s="30"/>
      <c r="T27" s="29"/>
      <c r="U27" s="17"/>
      <c r="V27" s="29"/>
      <c r="W27" s="17"/>
      <c r="X27" s="29"/>
      <c r="Y27" s="17">
        <v>20</v>
      </c>
      <c r="Z27" s="29">
        <f>+Y27*AR27</f>
        <v>2600</v>
      </c>
      <c r="AA27" s="17"/>
      <c r="AB27" s="29"/>
      <c r="AC27" s="17"/>
      <c r="AD27" s="29"/>
      <c r="AE27" s="17"/>
      <c r="AF27" s="29"/>
      <c r="AG27" s="17"/>
      <c r="AH27" s="29"/>
      <c r="AI27" s="17">
        <v>60</v>
      </c>
      <c r="AJ27" s="29">
        <f>+AI27*AR27</f>
        <v>7800</v>
      </c>
      <c r="AK27" s="17">
        <v>50</v>
      </c>
      <c r="AL27" s="29">
        <f>+AK27*AR27</f>
        <v>6500</v>
      </c>
      <c r="AM27" s="17">
        <v>30</v>
      </c>
      <c r="AN27" s="29">
        <f>+AM27*AR27</f>
        <v>3900</v>
      </c>
      <c r="AO27" s="17"/>
      <c r="AP27" s="29"/>
      <c r="AQ27" s="17">
        <f>+AM27+AK27+AI27+AE27+AA27+Y27+W27+U27+S27+O27+K27+G27</f>
        <v>210</v>
      </c>
      <c r="AR27" s="60">
        <v>130</v>
      </c>
      <c r="AS27" s="27">
        <f>+AQ27*AR27</f>
        <v>27300</v>
      </c>
      <c r="AT27" s="1"/>
      <c r="AU27" s="1"/>
    </row>
    <row r="28" spans="1:47" ht="42.75" x14ac:dyDescent="0.25">
      <c r="A28" s="35">
        <v>19</v>
      </c>
      <c r="B28" s="38" t="s">
        <v>50</v>
      </c>
      <c r="C28" s="37" t="s">
        <v>12</v>
      </c>
      <c r="D28" s="36" t="s">
        <v>31</v>
      </c>
      <c r="E28" s="35" t="s">
        <v>49</v>
      </c>
      <c r="F28" s="34" t="s">
        <v>16</v>
      </c>
      <c r="G28" s="35"/>
      <c r="H28" s="62"/>
      <c r="I28" s="33"/>
      <c r="J28" s="33"/>
      <c r="K28" s="61">
        <v>40</v>
      </c>
      <c r="L28" s="31">
        <f>+K28*AR28</f>
        <v>16000</v>
      </c>
      <c r="M28" s="17"/>
      <c r="N28" s="29">
        <f>+M28*AR28</f>
        <v>0</v>
      </c>
      <c r="O28" s="30">
        <v>10</v>
      </c>
      <c r="P28" s="29">
        <f>+O28*AR28</f>
        <v>4000</v>
      </c>
      <c r="Q28" s="17"/>
      <c r="R28" s="29">
        <f>+Q28*AR28</f>
        <v>0</v>
      </c>
      <c r="S28" s="30"/>
      <c r="T28" s="29"/>
      <c r="U28" s="17"/>
      <c r="V28" s="29"/>
      <c r="W28" s="17">
        <f>30*3</f>
        <v>90</v>
      </c>
      <c r="X28" s="29">
        <f>+W28*AR28</f>
        <v>36000</v>
      </c>
      <c r="Y28" s="17">
        <v>3</v>
      </c>
      <c r="Z28" s="29">
        <f>+Y28*AR28</f>
        <v>1200</v>
      </c>
      <c r="AA28" s="17"/>
      <c r="AB28" s="29"/>
      <c r="AC28" s="17"/>
      <c r="AD28" s="29"/>
      <c r="AE28" s="17"/>
      <c r="AF28" s="29"/>
      <c r="AG28" s="17"/>
      <c r="AH28" s="29"/>
      <c r="AI28" s="17">
        <v>2</v>
      </c>
      <c r="AJ28" s="29">
        <f>+AI28*AR28</f>
        <v>800</v>
      </c>
      <c r="AK28" s="17">
        <v>9</v>
      </c>
      <c r="AL28" s="29">
        <f>+AK28*AR28</f>
        <v>3600</v>
      </c>
      <c r="AM28" s="17">
        <v>4</v>
      </c>
      <c r="AN28" s="29">
        <f>+AM28*AR28</f>
        <v>1600</v>
      </c>
      <c r="AO28" s="17"/>
      <c r="AP28" s="29"/>
      <c r="AQ28" s="17">
        <f>+AM28+AK28+AI28+AE28+AA28+Y28+W28+U28+S28+O28+K28+G28</f>
        <v>158</v>
      </c>
      <c r="AR28" s="60">
        <v>400</v>
      </c>
      <c r="AS28" s="27">
        <f>+AQ28*AR28</f>
        <v>63200</v>
      </c>
      <c r="AT28" s="1"/>
      <c r="AU28" s="1"/>
    </row>
    <row r="29" spans="1:47" ht="42.75" x14ac:dyDescent="0.25">
      <c r="A29" s="35">
        <v>20</v>
      </c>
      <c r="B29" s="38" t="s">
        <v>48</v>
      </c>
      <c r="C29" s="37" t="s">
        <v>12</v>
      </c>
      <c r="D29" s="36" t="s">
        <v>31</v>
      </c>
      <c r="E29" s="35" t="s">
        <v>47</v>
      </c>
      <c r="F29" s="34" t="s">
        <v>16</v>
      </c>
      <c r="G29" s="35"/>
      <c r="H29" s="62"/>
      <c r="I29" s="33"/>
      <c r="J29" s="33"/>
      <c r="K29" s="61">
        <v>7</v>
      </c>
      <c r="L29" s="31">
        <f>+K29*AR29</f>
        <v>2415</v>
      </c>
      <c r="M29" s="17"/>
      <c r="N29" s="29">
        <f>+M29*AR29</f>
        <v>0</v>
      </c>
      <c r="O29" s="30"/>
      <c r="P29" s="29">
        <f>+O29*AR29</f>
        <v>0</v>
      </c>
      <c r="Q29" s="17"/>
      <c r="R29" s="29">
        <f>+Q29*AR29</f>
        <v>0</v>
      </c>
      <c r="S29" s="30"/>
      <c r="T29" s="29"/>
      <c r="U29" s="17"/>
      <c r="V29" s="29"/>
      <c r="W29" s="17"/>
      <c r="X29" s="29"/>
      <c r="Y29" s="17"/>
      <c r="Z29" s="29"/>
      <c r="AA29" s="17"/>
      <c r="AB29" s="29"/>
      <c r="AC29" s="17"/>
      <c r="AD29" s="29"/>
      <c r="AE29" s="17"/>
      <c r="AF29" s="29"/>
      <c r="AG29" s="17"/>
      <c r="AH29" s="29"/>
      <c r="AI29" s="17"/>
      <c r="AJ29" s="29">
        <f>+AI29*AR29</f>
        <v>0</v>
      </c>
      <c r="AK29" s="17">
        <v>20</v>
      </c>
      <c r="AL29" s="29">
        <f>+AK29*AR29</f>
        <v>6900</v>
      </c>
      <c r="AM29" s="17"/>
      <c r="AN29" s="29">
        <f>+AM29*AR29</f>
        <v>0</v>
      </c>
      <c r="AO29" s="17"/>
      <c r="AP29" s="29"/>
      <c r="AQ29" s="17">
        <f>+AM29+AK29+AI29+AE29+AA29+Y29+W29+U29+S29+O29+K29+G29</f>
        <v>27</v>
      </c>
      <c r="AR29" s="60">
        <v>345</v>
      </c>
      <c r="AS29" s="27">
        <f>+AQ29*AR29</f>
        <v>9315</v>
      </c>
      <c r="AT29" s="1"/>
      <c r="AU29" s="1"/>
    </row>
    <row r="30" spans="1:47" ht="42.75" x14ac:dyDescent="0.25">
      <c r="A30" s="35">
        <v>21</v>
      </c>
      <c r="B30" s="38" t="s">
        <v>46</v>
      </c>
      <c r="C30" s="37" t="s">
        <v>12</v>
      </c>
      <c r="D30" s="36" t="s">
        <v>31</v>
      </c>
      <c r="E30" s="35" t="s">
        <v>45</v>
      </c>
      <c r="F30" s="34" t="s">
        <v>16</v>
      </c>
      <c r="G30" s="33"/>
      <c r="H30" s="29"/>
      <c r="I30" s="32"/>
      <c r="J30" s="32"/>
      <c r="K30" s="30">
        <v>8</v>
      </c>
      <c r="L30" s="31">
        <f>+K30*AR30</f>
        <v>2720</v>
      </c>
      <c r="M30" s="17"/>
      <c r="N30" s="29">
        <f>+M30*AR30</f>
        <v>0</v>
      </c>
      <c r="O30" s="30"/>
      <c r="P30" s="29">
        <f>+O30*AR30</f>
        <v>0</v>
      </c>
      <c r="Q30" s="17"/>
      <c r="R30" s="29">
        <f>+Q30*AR30</f>
        <v>0</v>
      </c>
      <c r="S30" s="30"/>
      <c r="T30" s="29"/>
      <c r="U30" s="17"/>
      <c r="V30" s="29"/>
      <c r="W30" s="17"/>
      <c r="X30" s="29"/>
      <c r="Y30" s="17"/>
      <c r="Z30" s="29"/>
      <c r="AA30" s="17"/>
      <c r="AB30" s="29"/>
      <c r="AC30" s="17"/>
      <c r="AD30" s="29"/>
      <c r="AE30" s="17"/>
      <c r="AF30" s="29"/>
      <c r="AG30" s="17"/>
      <c r="AH30" s="29"/>
      <c r="AI30" s="17"/>
      <c r="AJ30" s="29">
        <f>+AI30*AR30</f>
        <v>0</v>
      </c>
      <c r="AK30" s="17">
        <v>20</v>
      </c>
      <c r="AL30" s="29">
        <f>+AK30*AR30</f>
        <v>6800</v>
      </c>
      <c r="AM30" s="17"/>
      <c r="AN30" s="29">
        <f>+AM30*AR30</f>
        <v>0</v>
      </c>
      <c r="AO30" s="17"/>
      <c r="AP30" s="29"/>
      <c r="AQ30" s="17">
        <f>+AM30+AK30+AI30+AE30+AA30+Y30+W30+U30+S30+O30+K30+G30</f>
        <v>28</v>
      </c>
      <c r="AR30" s="28">
        <v>340</v>
      </c>
      <c r="AS30" s="27">
        <f>+AQ30*AR30</f>
        <v>9520</v>
      </c>
      <c r="AT30" s="1"/>
      <c r="AU30" s="1"/>
    </row>
    <row r="31" spans="1:47" ht="42.75" x14ac:dyDescent="0.25">
      <c r="A31" s="35">
        <v>22</v>
      </c>
      <c r="B31" s="58" t="s">
        <v>44</v>
      </c>
      <c r="C31" s="23" t="s">
        <v>12</v>
      </c>
      <c r="D31" s="36" t="s">
        <v>31</v>
      </c>
      <c r="E31" s="37" t="s">
        <v>43</v>
      </c>
      <c r="F31" s="24" t="s">
        <v>40</v>
      </c>
      <c r="G31" s="24"/>
      <c r="H31" s="29"/>
      <c r="I31" s="24"/>
      <c r="J31" s="24"/>
      <c r="K31" s="30"/>
      <c r="L31" s="31"/>
      <c r="M31" s="17"/>
      <c r="N31" s="32"/>
      <c r="O31" s="30"/>
      <c r="P31" s="32"/>
      <c r="Q31" s="17"/>
      <c r="R31" s="32">
        <f>+Q31*AR31</f>
        <v>0</v>
      </c>
      <c r="S31" s="30"/>
      <c r="T31" s="32"/>
      <c r="U31" s="17">
        <v>20</v>
      </c>
      <c r="V31" s="32">
        <f>+U31*AR31</f>
        <v>9100</v>
      </c>
      <c r="W31" s="17"/>
      <c r="X31" s="32"/>
      <c r="Y31" s="17"/>
      <c r="Z31" s="32"/>
      <c r="AA31" s="17"/>
      <c r="AB31" s="32"/>
      <c r="AC31" s="17"/>
      <c r="AD31" s="32"/>
      <c r="AE31" s="17"/>
      <c r="AF31" s="32"/>
      <c r="AG31" s="17"/>
      <c r="AH31" s="32"/>
      <c r="AI31" s="17"/>
      <c r="AJ31" s="29">
        <f>+AI31*AR31</f>
        <v>0</v>
      </c>
      <c r="AK31" s="17">
        <v>50</v>
      </c>
      <c r="AL31" s="29">
        <f>+AK31*AR31</f>
        <v>22750</v>
      </c>
      <c r="AM31" s="17"/>
      <c r="AN31" s="29">
        <f>+AM31*AR31</f>
        <v>0</v>
      </c>
      <c r="AO31" s="17"/>
      <c r="AP31" s="29"/>
      <c r="AQ31" s="17">
        <f>+AM31+AK31+AI31+AE31+AA31+Y31+W31+U31+S31+O31+K31+G31</f>
        <v>70</v>
      </c>
      <c r="AR31" s="59">
        <v>455</v>
      </c>
      <c r="AS31" s="27">
        <f>+AQ31*AR31</f>
        <v>31850</v>
      </c>
      <c r="AT31" s="1"/>
      <c r="AU31" s="1"/>
    </row>
    <row r="32" spans="1:47" ht="42.75" x14ac:dyDescent="0.25">
      <c r="A32" s="35">
        <v>23</v>
      </c>
      <c r="B32" s="58" t="s">
        <v>42</v>
      </c>
      <c r="C32" s="23" t="s">
        <v>12</v>
      </c>
      <c r="D32" s="36" t="s">
        <v>31</v>
      </c>
      <c r="E32" s="37" t="s">
        <v>41</v>
      </c>
      <c r="F32" s="24" t="s">
        <v>40</v>
      </c>
      <c r="G32" s="51"/>
      <c r="H32" s="46"/>
      <c r="I32" s="21"/>
      <c r="J32" s="18">
        <f>+I32*AR32</f>
        <v>0</v>
      </c>
      <c r="K32" s="20"/>
      <c r="L32" s="40">
        <f>+K32*AR32</f>
        <v>0</v>
      </c>
      <c r="M32" s="19"/>
      <c r="N32" s="18"/>
      <c r="O32" s="20"/>
      <c r="P32" s="18"/>
      <c r="Q32" s="19"/>
      <c r="R32" s="18">
        <f>+Q32*AR32</f>
        <v>0</v>
      </c>
      <c r="S32" s="20"/>
      <c r="T32" s="18"/>
      <c r="U32" s="19">
        <v>50</v>
      </c>
      <c r="V32" s="18">
        <f>+U32*AR32</f>
        <v>26200</v>
      </c>
      <c r="W32" s="19">
        <f>30*3</f>
        <v>90</v>
      </c>
      <c r="X32" s="18">
        <f>+W32*AR32</f>
        <v>47160</v>
      </c>
      <c r="Y32" s="19"/>
      <c r="Z32" s="18"/>
      <c r="AA32" s="19"/>
      <c r="AB32" s="18"/>
      <c r="AC32" s="19"/>
      <c r="AD32" s="18"/>
      <c r="AE32" s="19"/>
      <c r="AF32" s="18"/>
      <c r="AG32" s="19"/>
      <c r="AH32" s="18"/>
      <c r="AI32" s="19">
        <v>18</v>
      </c>
      <c r="AJ32" s="29">
        <f>+AI32*AR32</f>
        <v>9432</v>
      </c>
      <c r="AK32" s="17">
        <v>50</v>
      </c>
      <c r="AL32" s="29">
        <f>+AK32*AR32</f>
        <v>26200</v>
      </c>
      <c r="AM32" s="17"/>
      <c r="AN32" s="29">
        <f>+AM32*AR32</f>
        <v>0</v>
      </c>
      <c r="AO32" s="17"/>
      <c r="AP32" s="29"/>
      <c r="AQ32" s="17">
        <f>+AM32+AK32+AI32+AE32+AA32+Y32+W32+U32+S32+O32+K32+G32</f>
        <v>208</v>
      </c>
      <c r="AR32" s="39">
        <v>524</v>
      </c>
      <c r="AS32" s="27">
        <f>+AQ32*AR32</f>
        <v>108992</v>
      </c>
      <c r="AT32" s="1"/>
      <c r="AU32" s="1"/>
    </row>
    <row r="33" spans="1:47" ht="28.5" x14ac:dyDescent="0.25">
      <c r="A33" s="35">
        <v>24</v>
      </c>
      <c r="B33" s="57" t="s">
        <v>39</v>
      </c>
      <c r="C33" s="23" t="s">
        <v>12</v>
      </c>
      <c r="D33" s="36" t="s">
        <v>31</v>
      </c>
      <c r="E33" s="37" t="s">
        <v>38</v>
      </c>
      <c r="F33" s="24" t="s">
        <v>16</v>
      </c>
      <c r="G33" s="42"/>
      <c r="H33" s="41"/>
      <c r="I33" s="21"/>
      <c r="J33" s="18"/>
      <c r="K33" s="20"/>
      <c r="L33" s="40"/>
      <c r="M33" s="19"/>
      <c r="N33" s="18"/>
      <c r="O33" s="20"/>
      <c r="P33" s="18"/>
      <c r="Q33" s="19"/>
      <c r="R33" s="18"/>
      <c r="S33" s="20"/>
      <c r="T33" s="18"/>
      <c r="U33" s="19"/>
      <c r="V33" s="18"/>
      <c r="W33" s="19"/>
      <c r="X33" s="18"/>
      <c r="Y33" s="19"/>
      <c r="Z33" s="18"/>
      <c r="AA33" s="19">
        <v>4</v>
      </c>
      <c r="AB33" s="18">
        <f>+AR33*AA33</f>
        <v>2200</v>
      </c>
      <c r="AC33" s="19"/>
      <c r="AD33" s="18"/>
      <c r="AE33" s="19"/>
      <c r="AF33" s="18"/>
      <c r="AG33" s="19"/>
      <c r="AH33" s="18"/>
      <c r="AI33" s="19">
        <v>3</v>
      </c>
      <c r="AJ33" s="29">
        <f>+AI33*AR33</f>
        <v>1650</v>
      </c>
      <c r="AK33" s="17">
        <v>15</v>
      </c>
      <c r="AL33" s="29">
        <f>+AK33*AR33</f>
        <v>8250</v>
      </c>
      <c r="AM33" s="17">
        <v>6</v>
      </c>
      <c r="AN33" s="29">
        <f>+AM33*AR33</f>
        <v>3300</v>
      </c>
      <c r="AO33" s="17"/>
      <c r="AP33" s="29"/>
      <c r="AQ33" s="17">
        <f>+AM33+AK33+AI33+AE33+AA33+Y33+W33+U33+S33+O33+K33+G33</f>
        <v>28</v>
      </c>
      <c r="AR33" s="39">
        <v>550</v>
      </c>
      <c r="AS33" s="27">
        <f>+AQ33*AR33</f>
        <v>15400</v>
      </c>
      <c r="AT33" s="1"/>
      <c r="AU33" s="1"/>
    </row>
    <row r="34" spans="1:47" ht="28.5" x14ac:dyDescent="0.25">
      <c r="A34" s="35">
        <v>25</v>
      </c>
      <c r="B34" s="57" t="s">
        <v>37</v>
      </c>
      <c r="C34" s="23" t="s">
        <v>12</v>
      </c>
      <c r="D34" s="36" t="s">
        <v>31</v>
      </c>
      <c r="E34" s="37" t="s">
        <v>36</v>
      </c>
      <c r="F34" s="24" t="s">
        <v>16</v>
      </c>
      <c r="G34" s="42"/>
      <c r="H34" s="41"/>
      <c r="I34" s="21"/>
      <c r="J34" s="18"/>
      <c r="K34" s="20"/>
      <c r="L34" s="40"/>
      <c r="M34" s="19"/>
      <c r="N34" s="18"/>
      <c r="O34" s="20"/>
      <c r="P34" s="18"/>
      <c r="Q34" s="19"/>
      <c r="R34" s="18"/>
      <c r="S34" s="20"/>
      <c r="T34" s="18"/>
      <c r="U34" s="19"/>
      <c r="V34" s="18"/>
      <c r="W34" s="19"/>
      <c r="X34" s="18"/>
      <c r="Y34" s="19"/>
      <c r="Z34" s="18"/>
      <c r="AA34" s="19">
        <v>2</v>
      </c>
      <c r="AB34" s="18">
        <f>+AA34*AR34</f>
        <v>1260</v>
      </c>
      <c r="AC34" s="19"/>
      <c r="AD34" s="18"/>
      <c r="AE34" s="19"/>
      <c r="AF34" s="18"/>
      <c r="AG34" s="19"/>
      <c r="AH34" s="18"/>
      <c r="AI34" s="19"/>
      <c r="AJ34" s="29">
        <f>+AI34*AR34</f>
        <v>0</v>
      </c>
      <c r="AK34" s="17">
        <v>31</v>
      </c>
      <c r="AL34" s="29">
        <f>+AK34*AR34</f>
        <v>19530</v>
      </c>
      <c r="AM34" s="17">
        <v>6</v>
      </c>
      <c r="AN34" s="29">
        <f>+AM34*AR34</f>
        <v>3780</v>
      </c>
      <c r="AO34" s="17"/>
      <c r="AP34" s="29"/>
      <c r="AQ34" s="17">
        <f>+AM34+AK34+AI34+AE34+AA34+Y34+W34+U34+S34+O34+K34+G34</f>
        <v>39</v>
      </c>
      <c r="AR34" s="39">
        <v>630</v>
      </c>
      <c r="AS34" s="27">
        <f>+AQ34*AR34</f>
        <v>24570</v>
      </c>
      <c r="AT34" s="1"/>
      <c r="AU34" s="1"/>
    </row>
    <row r="35" spans="1:47" ht="28.5" x14ac:dyDescent="0.25">
      <c r="A35" s="35">
        <v>26</v>
      </c>
      <c r="B35" s="56" t="s">
        <v>35</v>
      </c>
      <c r="C35" s="55" t="s">
        <v>12</v>
      </c>
      <c r="D35" s="55" t="s">
        <v>31</v>
      </c>
      <c r="E35" s="55" t="s">
        <v>34</v>
      </c>
      <c r="F35" s="37" t="s">
        <v>33</v>
      </c>
      <c r="G35" s="42"/>
      <c r="H35" s="41"/>
      <c r="I35" s="21"/>
      <c r="J35" s="18"/>
      <c r="K35" s="20"/>
      <c r="L35" s="40"/>
      <c r="M35" s="19"/>
      <c r="N35" s="18"/>
      <c r="O35" s="20"/>
      <c r="P35" s="18"/>
      <c r="Q35" s="19"/>
      <c r="R35" s="18"/>
      <c r="S35" s="20"/>
      <c r="T35" s="18"/>
      <c r="U35" s="19"/>
      <c r="V35" s="18"/>
      <c r="W35" s="19"/>
      <c r="X35" s="18"/>
      <c r="Y35" s="19"/>
      <c r="Z35" s="18"/>
      <c r="AA35" s="19"/>
      <c r="AB35" s="18"/>
      <c r="AC35" s="19"/>
      <c r="AD35" s="18"/>
      <c r="AE35" s="19"/>
      <c r="AF35" s="18"/>
      <c r="AG35" s="19"/>
      <c r="AH35" s="18"/>
      <c r="AI35" s="19">
        <v>10</v>
      </c>
      <c r="AJ35" s="29">
        <f>+AI35*AR35</f>
        <v>2200</v>
      </c>
      <c r="AK35" s="17">
        <v>31</v>
      </c>
      <c r="AL35" s="29">
        <f>+AK35*AR35</f>
        <v>6820</v>
      </c>
      <c r="AM35" s="17">
        <v>30</v>
      </c>
      <c r="AN35" s="29">
        <f>+AM35*AR35</f>
        <v>6600</v>
      </c>
      <c r="AO35" s="17"/>
      <c r="AP35" s="29"/>
      <c r="AQ35" s="17">
        <f>+AM35+AK35+AI35+AE35+AA35+Y35+W35+U35+S35+O35+K35+G35</f>
        <v>71</v>
      </c>
      <c r="AR35" s="54">
        <v>220</v>
      </c>
      <c r="AS35" s="27">
        <f>+AQ35*AR35</f>
        <v>15620</v>
      </c>
      <c r="AT35" s="1"/>
      <c r="AU35" s="1"/>
    </row>
    <row r="36" spans="1:47" ht="28.5" x14ac:dyDescent="0.25">
      <c r="A36" s="35">
        <v>27</v>
      </c>
      <c r="B36" s="56" t="s">
        <v>32</v>
      </c>
      <c r="C36" s="55" t="s">
        <v>12</v>
      </c>
      <c r="D36" s="55" t="s">
        <v>31</v>
      </c>
      <c r="E36" s="55" t="s">
        <v>30</v>
      </c>
      <c r="F36" s="37" t="s">
        <v>16</v>
      </c>
      <c r="G36" s="42"/>
      <c r="H36" s="41"/>
      <c r="I36" s="21"/>
      <c r="J36" s="18"/>
      <c r="K36" s="20"/>
      <c r="L36" s="40"/>
      <c r="M36" s="19"/>
      <c r="N36" s="18"/>
      <c r="O36" s="20"/>
      <c r="P36" s="18"/>
      <c r="Q36" s="19"/>
      <c r="R36" s="18"/>
      <c r="S36" s="20"/>
      <c r="T36" s="18"/>
      <c r="U36" s="19"/>
      <c r="V36" s="18"/>
      <c r="W36" s="19"/>
      <c r="X36" s="18"/>
      <c r="Y36" s="19"/>
      <c r="Z36" s="18"/>
      <c r="AA36" s="19"/>
      <c r="AB36" s="18"/>
      <c r="AC36" s="19"/>
      <c r="AD36" s="18"/>
      <c r="AE36" s="19"/>
      <c r="AF36" s="18"/>
      <c r="AG36" s="19"/>
      <c r="AH36" s="18"/>
      <c r="AI36" s="19">
        <v>20</v>
      </c>
      <c r="AJ36" s="29">
        <f>+AI36*AR36</f>
        <v>1200</v>
      </c>
      <c r="AK36" s="17"/>
      <c r="AL36" s="29">
        <f>+AK36*AR36</f>
        <v>0</v>
      </c>
      <c r="AM36" s="17"/>
      <c r="AN36" s="29">
        <f>+AM36*AR36</f>
        <v>0</v>
      </c>
      <c r="AO36" s="17"/>
      <c r="AP36" s="29"/>
      <c r="AQ36" s="17">
        <f>+AM36+AK36+AI36+AE36+AA36+Y36+W36+U36+S36+O36+K36+G36</f>
        <v>20</v>
      </c>
      <c r="AR36" s="54">
        <v>60</v>
      </c>
      <c r="AS36" s="27">
        <f>+AQ36*AR36</f>
        <v>1200</v>
      </c>
      <c r="AT36" s="1"/>
      <c r="AU36" s="1"/>
    </row>
    <row r="37" spans="1:47" ht="71.25" x14ac:dyDescent="0.25">
      <c r="A37" s="35">
        <v>28</v>
      </c>
      <c r="B37" s="53" t="s">
        <v>29</v>
      </c>
      <c r="C37" s="23" t="s">
        <v>12</v>
      </c>
      <c r="D37" s="52" t="s">
        <v>23</v>
      </c>
      <c r="E37" s="23" t="s">
        <v>28</v>
      </c>
      <c r="F37" s="51" t="s">
        <v>25</v>
      </c>
      <c r="G37" s="50">
        <v>50</v>
      </c>
      <c r="H37" s="46">
        <f>+G37*AR37</f>
        <v>5900</v>
      </c>
      <c r="I37" s="49"/>
      <c r="J37" s="49"/>
      <c r="K37" s="47">
        <v>25</v>
      </c>
      <c r="L37" s="48">
        <f>+K37*AR37</f>
        <v>2950</v>
      </c>
      <c r="M37" s="45"/>
      <c r="N37" s="46"/>
      <c r="O37" s="47"/>
      <c r="P37" s="46"/>
      <c r="Q37" s="45"/>
      <c r="R37" s="46">
        <f>+Q37*AR37</f>
        <v>0</v>
      </c>
      <c r="S37" s="47"/>
      <c r="T37" s="46"/>
      <c r="U37" s="45">
        <v>90</v>
      </c>
      <c r="V37" s="46">
        <f>+U37*AR37</f>
        <v>10620</v>
      </c>
      <c r="W37" s="45">
        <f>200*3</f>
        <v>600</v>
      </c>
      <c r="X37" s="46">
        <f>+W37*AR37</f>
        <v>70800</v>
      </c>
      <c r="Y37" s="45">
        <v>50</v>
      </c>
      <c r="Z37" s="46">
        <f>+Y37*AR37</f>
        <v>5900</v>
      </c>
      <c r="AA37" s="45">
        <v>60</v>
      </c>
      <c r="AB37" s="46">
        <f>+AA37*AR37</f>
        <v>7080</v>
      </c>
      <c r="AC37" s="45"/>
      <c r="AD37" s="46"/>
      <c r="AE37" s="45"/>
      <c r="AF37" s="46"/>
      <c r="AG37" s="45"/>
      <c r="AH37" s="46"/>
      <c r="AI37" s="45">
        <v>20</v>
      </c>
      <c r="AJ37" s="29">
        <f>+AI37*AR37</f>
        <v>2360</v>
      </c>
      <c r="AK37" s="17">
        <v>100</v>
      </c>
      <c r="AL37" s="29">
        <f>+AK37*AR37</f>
        <v>11800</v>
      </c>
      <c r="AM37" s="17">
        <f>10+6+36</f>
        <v>52</v>
      </c>
      <c r="AN37" s="29">
        <f>+AM37*AR37</f>
        <v>6136</v>
      </c>
      <c r="AO37" s="17"/>
      <c r="AP37" s="29"/>
      <c r="AQ37" s="17">
        <f>+AM37+AK37+AI37+AE37+AA37+Y37+W37+U37+S37+O37+K37+G37</f>
        <v>1047</v>
      </c>
      <c r="AR37" s="28">
        <v>118</v>
      </c>
      <c r="AS37" s="27">
        <f>+AQ37*AR37</f>
        <v>123546</v>
      </c>
      <c r="AT37" s="44"/>
      <c r="AU37" s="44"/>
    </row>
    <row r="38" spans="1:47" ht="57" x14ac:dyDescent="0.25">
      <c r="A38" s="35">
        <v>29</v>
      </c>
      <c r="B38" s="53" t="s">
        <v>27</v>
      </c>
      <c r="C38" s="23" t="s">
        <v>12</v>
      </c>
      <c r="D38" s="52" t="s">
        <v>23</v>
      </c>
      <c r="E38" s="23" t="s">
        <v>26</v>
      </c>
      <c r="F38" s="51" t="s">
        <v>25</v>
      </c>
      <c r="G38" s="50">
        <v>50</v>
      </c>
      <c r="H38" s="46">
        <f>+G38*AR38</f>
        <v>6750</v>
      </c>
      <c r="I38" s="49"/>
      <c r="J38" s="49"/>
      <c r="K38" s="47">
        <v>24</v>
      </c>
      <c r="L38" s="48">
        <f>+K38*AR38</f>
        <v>3240</v>
      </c>
      <c r="M38" s="45"/>
      <c r="N38" s="46"/>
      <c r="O38" s="47"/>
      <c r="P38" s="46"/>
      <c r="Q38" s="45"/>
      <c r="R38" s="46">
        <f>+Q38*AR38</f>
        <v>0</v>
      </c>
      <c r="S38" s="47"/>
      <c r="T38" s="46"/>
      <c r="U38" s="45"/>
      <c r="V38" s="46"/>
      <c r="W38" s="45"/>
      <c r="X38" s="46"/>
      <c r="Y38" s="45"/>
      <c r="Z38" s="46"/>
      <c r="AA38" s="45">
        <v>20</v>
      </c>
      <c r="AB38" s="46">
        <f>+AA38*AR38</f>
        <v>2700</v>
      </c>
      <c r="AC38" s="45"/>
      <c r="AD38" s="46"/>
      <c r="AE38" s="45"/>
      <c r="AF38" s="46"/>
      <c r="AG38" s="45"/>
      <c r="AH38" s="46"/>
      <c r="AI38" s="45">
        <v>60</v>
      </c>
      <c r="AJ38" s="29">
        <f>+AI38*AR38</f>
        <v>8100</v>
      </c>
      <c r="AK38" s="17">
        <v>50</v>
      </c>
      <c r="AL38" s="29">
        <f>+AK38*AR38</f>
        <v>6750</v>
      </c>
      <c r="AM38" s="17">
        <v>50</v>
      </c>
      <c r="AN38" s="29">
        <f>+AM38*AR38</f>
        <v>6750</v>
      </c>
      <c r="AO38" s="17"/>
      <c r="AP38" s="29"/>
      <c r="AQ38" s="17">
        <f>+AM38+AK38+AI38+AE38+AA38+Y38+W38+U38+S38+O38+K38+G38</f>
        <v>254</v>
      </c>
      <c r="AR38" s="28">
        <v>135</v>
      </c>
      <c r="AS38" s="27">
        <f>+AQ38*AR38</f>
        <v>34290</v>
      </c>
      <c r="AT38" s="44"/>
      <c r="AU38" s="44"/>
    </row>
    <row r="39" spans="1:47" ht="57" x14ac:dyDescent="0.25">
      <c r="A39" s="35">
        <v>30</v>
      </c>
      <c r="B39" s="43" t="s">
        <v>24</v>
      </c>
      <c r="C39" s="23" t="s">
        <v>12</v>
      </c>
      <c r="D39" s="36" t="s">
        <v>23</v>
      </c>
      <c r="E39" s="37" t="s">
        <v>22</v>
      </c>
      <c r="F39" s="24" t="s">
        <v>21</v>
      </c>
      <c r="G39" s="42"/>
      <c r="H39" s="41"/>
      <c r="I39" s="21"/>
      <c r="J39" s="18">
        <f>+I39*AR39</f>
        <v>0</v>
      </c>
      <c r="K39" s="20"/>
      <c r="L39" s="40">
        <f>+K39*AR39</f>
        <v>0</v>
      </c>
      <c r="M39" s="19"/>
      <c r="N39" s="18"/>
      <c r="O39" s="20"/>
      <c r="P39" s="18"/>
      <c r="Q39" s="19"/>
      <c r="R39" s="18">
        <f>+Q39*AR39</f>
        <v>0</v>
      </c>
      <c r="S39" s="20"/>
      <c r="T39" s="18"/>
      <c r="U39" s="19"/>
      <c r="V39" s="18"/>
      <c r="W39" s="19">
        <v>30</v>
      </c>
      <c r="X39" s="18">
        <f>+W39*AR39</f>
        <v>24000</v>
      </c>
      <c r="Y39" s="19">
        <v>5</v>
      </c>
      <c r="Z39" s="18">
        <f>+Y39*AR39</f>
        <v>4000</v>
      </c>
      <c r="AA39" s="19"/>
      <c r="AB39" s="18"/>
      <c r="AC39" s="19"/>
      <c r="AD39" s="18"/>
      <c r="AE39" s="19"/>
      <c r="AF39" s="18"/>
      <c r="AG39" s="19"/>
      <c r="AH39" s="18"/>
      <c r="AI39" s="19"/>
      <c r="AJ39" s="29">
        <f>+AI39*AR39</f>
        <v>0</v>
      </c>
      <c r="AK39" s="17">
        <v>15</v>
      </c>
      <c r="AL39" s="29">
        <f>+AK39*AR39</f>
        <v>12000</v>
      </c>
      <c r="AM39" s="17">
        <v>10</v>
      </c>
      <c r="AN39" s="29">
        <f>+AM39*AR39</f>
        <v>8000</v>
      </c>
      <c r="AO39" s="17"/>
      <c r="AP39" s="29"/>
      <c r="AQ39" s="17">
        <f>+AM39+AK39+AI39+AE39+AA39+Y39+W39+U39+S39+O39+K39+G39</f>
        <v>60</v>
      </c>
      <c r="AR39" s="39">
        <v>800</v>
      </c>
      <c r="AS39" s="27">
        <f>+AQ39*AR39</f>
        <v>48000</v>
      </c>
      <c r="AT39" s="1"/>
      <c r="AU39" s="1"/>
    </row>
    <row r="40" spans="1:47" ht="85.5" x14ac:dyDescent="0.25">
      <c r="A40" s="35">
        <v>31</v>
      </c>
      <c r="B40" s="38" t="s">
        <v>20</v>
      </c>
      <c r="C40" s="37" t="s">
        <v>12</v>
      </c>
      <c r="D40" s="36" t="s">
        <v>11</v>
      </c>
      <c r="E40" s="35" t="s">
        <v>19</v>
      </c>
      <c r="F40" s="34" t="s">
        <v>16</v>
      </c>
      <c r="G40" s="33"/>
      <c r="H40" s="29"/>
      <c r="I40" s="32"/>
      <c r="J40" s="32"/>
      <c r="K40" s="30">
        <v>30</v>
      </c>
      <c r="L40" s="31">
        <f>+K40*AR40</f>
        <v>8400</v>
      </c>
      <c r="M40" s="17"/>
      <c r="N40" s="29">
        <f>+M40*AR40</f>
        <v>0</v>
      </c>
      <c r="O40" s="30"/>
      <c r="P40" s="29">
        <f>+O40*AR40</f>
        <v>0</v>
      </c>
      <c r="Q40" s="17"/>
      <c r="R40" s="29">
        <f>+Q40*AR40</f>
        <v>0</v>
      </c>
      <c r="S40" s="30">
        <v>50</v>
      </c>
      <c r="T40" s="29">
        <f>+S40*AR40</f>
        <v>14000</v>
      </c>
      <c r="U40" s="17"/>
      <c r="V40" s="29"/>
      <c r="W40" s="17">
        <f>20*3</f>
        <v>60</v>
      </c>
      <c r="X40" s="29">
        <f>+W40*AR40</f>
        <v>16800</v>
      </c>
      <c r="Y40" s="17"/>
      <c r="Z40" s="29"/>
      <c r="AA40" s="17"/>
      <c r="AB40" s="29"/>
      <c r="AC40" s="17"/>
      <c r="AD40" s="29"/>
      <c r="AE40" s="17">
        <v>100</v>
      </c>
      <c r="AF40" s="29">
        <f>+AE40*AR40</f>
        <v>28000</v>
      </c>
      <c r="AG40" s="17"/>
      <c r="AH40" s="29"/>
      <c r="AI40" s="17"/>
      <c r="AJ40" s="29">
        <f>+AI40*AR40</f>
        <v>0</v>
      </c>
      <c r="AK40" s="17"/>
      <c r="AL40" s="29">
        <f>+AK40*AR40</f>
        <v>0</v>
      </c>
      <c r="AM40" s="17"/>
      <c r="AN40" s="29">
        <f>+AM40*AR40</f>
        <v>0</v>
      </c>
      <c r="AO40" s="17"/>
      <c r="AP40" s="29"/>
      <c r="AQ40" s="17">
        <f>+AM40+AK40+AI40+AE40+AA40+Y40+W40+U40+S40+O40+K40+G40</f>
        <v>240</v>
      </c>
      <c r="AR40" s="28">
        <v>280</v>
      </c>
      <c r="AS40" s="27">
        <f>+AQ40*AR40</f>
        <v>67200</v>
      </c>
      <c r="AT40" s="1"/>
      <c r="AU40" s="1"/>
    </row>
    <row r="41" spans="1:47" ht="85.5" x14ac:dyDescent="0.25">
      <c r="A41" s="35">
        <v>32</v>
      </c>
      <c r="B41" s="38" t="s">
        <v>18</v>
      </c>
      <c r="C41" s="37" t="s">
        <v>12</v>
      </c>
      <c r="D41" s="36" t="s">
        <v>11</v>
      </c>
      <c r="E41" s="35" t="s">
        <v>17</v>
      </c>
      <c r="F41" s="34" t="s">
        <v>16</v>
      </c>
      <c r="G41" s="33"/>
      <c r="H41" s="29"/>
      <c r="I41" s="32"/>
      <c r="J41" s="32"/>
      <c r="K41" s="30">
        <v>30</v>
      </c>
      <c r="L41" s="31">
        <f>+K41*AR41</f>
        <v>7800</v>
      </c>
      <c r="M41" s="17"/>
      <c r="N41" s="29"/>
      <c r="O41" s="30"/>
      <c r="P41" s="29"/>
      <c r="Q41" s="17"/>
      <c r="R41" s="29">
        <f>+Q41*AR41</f>
        <v>0</v>
      </c>
      <c r="S41" s="30">
        <v>50</v>
      </c>
      <c r="T41" s="29">
        <f>+S41*AR41</f>
        <v>13000</v>
      </c>
      <c r="U41" s="17"/>
      <c r="V41" s="29"/>
      <c r="W41" s="17"/>
      <c r="X41" s="29"/>
      <c r="Y41" s="17"/>
      <c r="Z41" s="29"/>
      <c r="AA41" s="17"/>
      <c r="AB41" s="29"/>
      <c r="AC41" s="17"/>
      <c r="AD41" s="29"/>
      <c r="AE41" s="17"/>
      <c r="AF41" s="29"/>
      <c r="AG41" s="17"/>
      <c r="AH41" s="29"/>
      <c r="AI41" s="17"/>
      <c r="AJ41" s="29">
        <f>+AI41*AR41</f>
        <v>0</v>
      </c>
      <c r="AK41" s="17"/>
      <c r="AL41" s="29">
        <f>+AK41*AR41</f>
        <v>0</v>
      </c>
      <c r="AM41" s="17">
        <v>20</v>
      </c>
      <c r="AN41" s="29">
        <f>+AM41*AR41</f>
        <v>5200</v>
      </c>
      <c r="AO41" s="17"/>
      <c r="AP41" s="29"/>
      <c r="AQ41" s="17">
        <f>+AM41+AK41+AI41+AE41+AA41+Y41+W41+U41+S41+O41+K41+G41</f>
        <v>100</v>
      </c>
      <c r="AR41" s="28">
        <v>260</v>
      </c>
      <c r="AS41" s="27">
        <f>+AQ41*AR41</f>
        <v>26000</v>
      </c>
      <c r="AT41" s="1"/>
      <c r="AU41" s="1"/>
    </row>
    <row r="42" spans="1:47" ht="114" x14ac:dyDescent="0.25">
      <c r="A42" s="35">
        <v>33</v>
      </c>
      <c r="B42" s="38" t="s">
        <v>15</v>
      </c>
      <c r="C42" s="37" t="s">
        <v>12</v>
      </c>
      <c r="D42" s="36" t="s">
        <v>11</v>
      </c>
      <c r="E42" s="35" t="s">
        <v>14</v>
      </c>
      <c r="F42" s="34" t="s">
        <v>9</v>
      </c>
      <c r="G42" s="33"/>
      <c r="H42" s="29"/>
      <c r="I42" s="32"/>
      <c r="J42" s="32"/>
      <c r="K42" s="30"/>
      <c r="L42" s="31"/>
      <c r="M42" s="17"/>
      <c r="N42" s="29"/>
      <c r="O42" s="30"/>
      <c r="P42" s="29"/>
      <c r="Q42" s="17"/>
      <c r="R42" s="29">
        <f>+Q42*AR42</f>
        <v>0</v>
      </c>
      <c r="S42" s="30"/>
      <c r="T42" s="29"/>
      <c r="U42" s="17"/>
      <c r="V42" s="29"/>
      <c r="W42" s="17"/>
      <c r="X42" s="29"/>
      <c r="Y42" s="17"/>
      <c r="Z42" s="29"/>
      <c r="AA42" s="17"/>
      <c r="AB42" s="29"/>
      <c r="AC42" s="17"/>
      <c r="AD42" s="29"/>
      <c r="AE42" s="17">
        <v>120</v>
      </c>
      <c r="AF42" s="29">
        <f>+AE42*AR42</f>
        <v>540000</v>
      </c>
      <c r="AG42" s="17"/>
      <c r="AH42" s="29"/>
      <c r="AI42" s="17"/>
      <c r="AJ42" s="29">
        <f>+AI42*AR42</f>
        <v>0</v>
      </c>
      <c r="AK42" s="17"/>
      <c r="AL42" s="29">
        <f>+AK42*AR42</f>
        <v>0</v>
      </c>
      <c r="AM42" s="17"/>
      <c r="AN42" s="29">
        <f>+AM42*AR42</f>
        <v>0</v>
      </c>
      <c r="AO42" s="17"/>
      <c r="AP42" s="29"/>
      <c r="AQ42" s="17">
        <f>+AM42+AK42+AI42+AE42+AA42+Y42+W42+U42+S42+O42+K42+G42</f>
        <v>120</v>
      </c>
      <c r="AR42" s="28">
        <f>3000*1.5</f>
        <v>4500</v>
      </c>
      <c r="AS42" s="27">
        <f>+AQ42*AR42</f>
        <v>540000</v>
      </c>
      <c r="AT42" s="1"/>
      <c r="AU42" s="1"/>
    </row>
    <row r="43" spans="1:47" ht="99.75" x14ac:dyDescent="0.25">
      <c r="A43" s="35">
        <v>34</v>
      </c>
      <c r="B43" s="38" t="s">
        <v>13</v>
      </c>
      <c r="C43" s="37" t="s">
        <v>12</v>
      </c>
      <c r="D43" s="36" t="s">
        <v>11</v>
      </c>
      <c r="E43" s="35" t="s">
        <v>10</v>
      </c>
      <c r="F43" s="34" t="s">
        <v>9</v>
      </c>
      <c r="G43" s="33"/>
      <c r="H43" s="29"/>
      <c r="I43" s="32"/>
      <c r="J43" s="32"/>
      <c r="K43" s="30"/>
      <c r="L43" s="31"/>
      <c r="M43" s="17"/>
      <c r="N43" s="29"/>
      <c r="O43" s="30"/>
      <c r="P43" s="29"/>
      <c r="Q43" s="17"/>
      <c r="R43" s="29">
        <f>+Q43*AR43</f>
        <v>0</v>
      </c>
      <c r="S43" s="30"/>
      <c r="T43" s="29"/>
      <c r="U43" s="17"/>
      <c r="V43" s="29"/>
      <c r="W43" s="17"/>
      <c r="X43" s="29"/>
      <c r="Y43" s="17"/>
      <c r="Z43" s="29"/>
      <c r="AA43" s="17"/>
      <c r="AB43" s="29"/>
      <c r="AC43" s="17"/>
      <c r="AD43" s="29"/>
      <c r="AE43" s="17">
        <v>48</v>
      </c>
      <c r="AF43" s="29">
        <f>+AE43*AR43</f>
        <v>223200</v>
      </c>
      <c r="AG43" s="17"/>
      <c r="AH43" s="29"/>
      <c r="AI43" s="17"/>
      <c r="AJ43" s="29">
        <f>+AI43*AR43</f>
        <v>0</v>
      </c>
      <c r="AK43" s="17"/>
      <c r="AL43" s="29">
        <f>+AK43*AR43</f>
        <v>0</v>
      </c>
      <c r="AM43" s="17"/>
      <c r="AN43" s="29">
        <f>+AM43*AR43</f>
        <v>0</v>
      </c>
      <c r="AO43" s="17"/>
      <c r="AP43" s="29"/>
      <c r="AQ43" s="17">
        <f>+AM43+AK43+AI43+AE43+AA43+Y43+W43+U43+S43+O43+K43+G43</f>
        <v>48</v>
      </c>
      <c r="AR43" s="28">
        <f>3100*1.5</f>
        <v>4650</v>
      </c>
      <c r="AS43" s="27">
        <f>+AQ43*AR43</f>
        <v>223200</v>
      </c>
      <c r="AT43" s="1"/>
      <c r="AU43" s="1"/>
    </row>
    <row r="44" spans="1:47" ht="31.5" x14ac:dyDescent="0.25">
      <c r="A44" s="26"/>
      <c r="B44" s="24"/>
      <c r="C44" s="24"/>
      <c r="D44" s="24"/>
      <c r="E44" s="25" t="s">
        <v>8</v>
      </c>
      <c r="F44" s="24"/>
      <c r="G44" s="23"/>
      <c r="H44" s="22">
        <f>SUM(H10:H43)</f>
        <v>35694.300000000003</v>
      </c>
      <c r="I44" s="21"/>
      <c r="J44" s="18">
        <f>+I44*AR44</f>
        <v>0</v>
      </c>
      <c r="K44" s="20"/>
      <c r="L44" s="16">
        <f>SUM(L10:L43)</f>
        <v>80915</v>
      </c>
      <c r="M44" s="19"/>
      <c r="N44" s="18"/>
      <c r="O44" s="20"/>
      <c r="P44" s="16">
        <f>SUM(P10:P43)</f>
        <v>36800</v>
      </c>
      <c r="Q44" s="19"/>
      <c r="R44" s="18"/>
      <c r="S44" s="20"/>
      <c r="T44" s="16">
        <f>SUM(T10:T43)</f>
        <v>148000</v>
      </c>
      <c r="U44" s="19"/>
      <c r="V44" s="16">
        <f>SUM(V10:V43)</f>
        <v>99420</v>
      </c>
      <c r="W44" s="19"/>
      <c r="X44" s="16">
        <f>SUM(X10:X43)</f>
        <v>1142760</v>
      </c>
      <c r="Y44" s="19"/>
      <c r="Z44" s="16">
        <f>SUM(Z10:Z43)</f>
        <v>19800</v>
      </c>
      <c r="AA44" s="19"/>
      <c r="AB44" s="16">
        <f>SUM(AB10:AB43)</f>
        <v>32249.066666666666</v>
      </c>
      <c r="AC44" s="19"/>
      <c r="AD44" s="18"/>
      <c r="AE44" s="19"/>
      <c r="AF44" s="16">
        <f>SUM(AF10:AF43)</f>
        <v>791200</v>
      </c>
      <c r="AG44" s="19"/>
      <c r="AH44" s="18"/>
      <c r="AI44" s="19"/>
      <c r="AJ44" s="16">
        <f>SUM(AJ10:AJ43)</f>
        <v>77336.3</v>
      </c>
      <c r="AK44" s="19"/>
      <c r="AL44" s="16">
        <f>SUM(AL10:AL43)</f>
        <v>409046.5</v>
      </c>
      <c r="AM44" s="19"/>
      <c r="AN44" s="16">
        <f>SUM(AN10:AN43)</f>
        <v>197360.3</v>
      </c>
      <c r="AO44" s="19"/>
      <c r="AP44" s="18"/>
      <c r="AQ44" s="17"/>
      <c r="AR44" s="16"/>
      <c r="AS44" s="15">
        <f>SUM(AS10:AS43)</f>
        <v>3070581.4666666668</v>
      </c>
      <c r="AT44" s="1"/>
      <c r="AU44" s="1"/>
    </row>
    <row r="45" spans="1:47" x14ac:dyDescent="0.25">
      <c r="A45" s="11"/>
      <c r="B45" s="12"/>
      <c r="C45" s="11"/>
      <c r="D45" s="5"/>
      <c r="E45" s="10"/>
      <c r="F45" s="5"/>
      <c r="G45" s="5"/>
      <c r="H45" s="9"/>
      <c r="I45" s="5"/>
      <c r="J45" s="5"/>
      <c r="K45" s="7"/>
      <c r="L45" s="8"/>
      <c r="M45" s="6"/>
      <c r="N45" s="5"/>
      <c r="O45" s="7"/>
      <c r="P45" s="5"/>
      <c r="Q45" s="6"/>
      <c r="R45" s="5"/>
      <c r="S45" s="7"/>
      <c r="T45" s="5"/>
      <c r="U45" s="6"/>
      <c r="V45" s="5"/>
      <c r="W45" s="6"/>
      <c r="X45" s="5"/>
      <c r="Y45" s="6"/>
      <c r="Z45" s="5"/>
      <c r="AA45" s="6"/>
      <c r="AB45" s="5"/>
      <c r="AC45" s="6"/>
      <c r="AD45" s="5"/>
      <c r="AE45" s="6"/>
      <c r="AF45" s="5"/>
      <c r="AG45" s="6"/>
      <c r="AH45" s="5"/>
      <c r="AI45" s="6"/>
      <c r="AJ45" s="5"/>
      <c r="AK45" s="6"/>
      <c r="AL45" s="5"/>
      <c r="AM45" s="6"/>
      <c r="AN45" s="5"/>
      <c r="AO45" s="6"/>
      <c r="AP45" s="5"/>
      <c r="AQ45" s="4"/>
      <c r="AR45" s="3"/>
      <c r="AS45" s="14">
        <f>+'[1]APG salud mental'!Q24+'[1]APG PLANIFIC'!Q24+'[1]APG CUR'!Q24+'[1]APG vectores'!Q15+'[1]APG SAP'!Q24+'[1]APG materno'!Q24+'[1]APG MALBRAN'!Q24+'[1]APG SAME'!Q24+'[1]APG odontologia'!Q22+'[1]APG CANCER'!Q23+'[1]APG BCO DE SANGRE'!Q24+'[1]APG DIR ADM '!Q23</f>
        <v>3070581.4666666668</v>
      </c>
      <c r="AT45" s="1"/>
      <c r="AU45" s="1"/>
    </row>
    <row r="46" spans="1:47" ht="30" x14ac:dyDescent="0.25">
      <c r="A46" s="11"/>
      <c r="B46" s="12" t="s">
        <v>7</v>
      </c>
      <c r="C46" s="11"/>
      <c r="D46" s="5"/>
      <c r="E46" s="10"/>
      <c r="F46" s="5"/>
      <c r="G46" s="5"/>
      <c r="H46" s="9"/>
      <c r="I46" s="5"/>
      <c r="J46" s="5"/>
      <c r="K46" s="7"/>
      <c r="L46" s="8"/>
      <c r="M46" s="6"/>
      <c r="N46" s="5"/>
      <c r="O46" s="7"/>
      <c r="P46" s="5"/>
      <c r="Q46" s="6"/>
      <c r="R46" s="5"/>
      <c r="S46" s="7"/>
      <c r="T46" s="5"/>
      <c r="U46" s="6"/>
      <c r="V46" s="5"/>
      <c r="W46" s="6"/>
      <c r="X46" s="5"/>
      <c r="Y46" s="6"/>
      <c r="Z46" s="5"/>
      <c r="AA46" s="6"/>
      <c r="AB46" s="5"/>
      <c r="AC46" s="6"/>
      <c r="AD46" s="5"/>
      <c r="AE46" s="6"/>
      <c r="AF46" s="5"/>
      <c r="AG46" s="6"/>
      <c r="AH46" s="5"/>
      <c r="AI46" s="6"/>
      <c r="AJ46" s="5"/>
      <c r="AK46" s="6"/>
      <c r="AL46" s="5"/>
      <c r="AM46" s="6"/>
      <c r="AN46" s="5"/>
      <c r="AO46" s="6"/>
      <c r="AP46" s="5"/>
      <c r="AQ46" s="4"/>
      <c r="AR46" s="3"/>
      <c r="AS46" s="2"/>
      <c r="AT46" s="1"/>
      <c r="AU46" s="1"/>
    </row>
    <row r="47" spans="1:47" x14ac:dyDescent="0.25">
      <c r="A47" s="11"/>
      <c r="B47" s="12"/>
      <c r="C47" s="11"/>
      <c r="D47" s="5"/>
      <c r="E47" s="10"/>
      <c r="F47" s="5"/>
      <c r="G47" s="5"/>
      <c r="H47" s="9"/>
      <c r="I47" s="5"/>
      <c r="J47" s="5"/>
      <c r="K47" s="7"/>
      <c r="L47" s="8"/>
      <c r="M47" s="6"/>
      <c r="N47" s="5"/>
      <c r="O47" s="7"/>
      <c r="P47" s="5"/>
      <c r="Q47" s="6"/>
      <c r="R47" s="5"/>
      <c r="S47" s="7"/>
      <c r="T47" s="5"/>
      <c r="U47" s="6"/>
      <c r="V47" s="5"/>
      <c r="W47" s="6"/>
      <c r="X47" s="5"/>
      <c r="Y47" s="6"/>
      <c r="Z47" s="5"/>
      <c r="AA47" s="6"/>
      <c r="AB47" s="5"/>
      <c r="AC47" s="6"/>
      <c r="AD47" s="5"/>
      <c r="AE47" s="6"/>
      <c r="AF47" s="5"/>
      <c r="AG47" s="6"/>
      <c r="AH47" s="5"/>
      <c r="AI47" s="6"/>
      <c r="AJ47" s="5"/>
      <c r="AK47" s="6"/>
      <c r="AL47" s="5"/>
      <c r="AM47" s="6"/>
      <c r="AN47" s="5"/>
      <c r="AO47" s="6"/>
      <c r="AP47" s="5"/>
      <c r="AQ47" s="4"/>
      <c r="AR47" s="3"/>
      <c r="AS47" s="2"/>
      <c r="AT47" s="1"/>
      <c r="AU47" s="1"/>
    </row>
    <row r="48" spans="1:47" x14ac:dyDescent="0.25">
      <c r="A48" s="11"/>
      <c r="B48" s="12" t="s">
        <v>6</v>
      </c>
      <c r="C48" s="11" t="s">
        <v>5</v>
      </c>
      <c r="D48" s="5"/>
      <c r="E48" s="10"/>
      <c r="F48" s="5"/>
      <c r="G48" s="5"/>
      <c r="H48" s="9"/>
      <c r="I48" s="5"/>
      <c r="J48" s="5"/>
      <c r="K48" s="7"/>
      <c r="L48" s="8"/>
      <c r="M48" s="6"/>
      <c r="N48" s="5"/>
      <c r="O48" s="7"/>
      <c r="P48" s="5"/>
      <c r="Q48" s="6"/>
      <c r="R48" s="5"/>
      <c r="S48" s="7"/>
      <c r="T48" s="5"/>
      <c r="U48" s="6"/>
      <c r="V48" s="5"/>
      <c r="W48" s="6"/>
      <c r="X48" s="5"/>
      <c r="Y48" s="6"/>
      <c r="Z48" s="5"/>
      <c r="AA48" s="6"/>
      <c r="AB48" s="5"/>
      <c r="AC48" s="6"/>
      <c r="AD48" s="5"/>
      <c r="AE48" s="6"/>
      <c r="AF48" s="5"/>
      <c r="AG48" s="6"/>
      <c r="AH48" s="5"/>
      <c r="AI48" s="6"/>
      <c r="AJ48" s="5"/>
      <c r="AK48" s="6"/>
      <c r="AL48" s="5"/>
      <c r="AM48" s="6"/>
      <c r="AN48" s="5"/>
      <c r="AO48" s="6"/>
      <c r="AP48" s="5"/>
      <c r="AQ48" s="4"/>
      <c r="AR48" s="3"/>
      <c r="AS48" s="2"/>
      <c r="AT48" s="1"/>
      <c r="AU48" s="1"/>
    </row>
    <row r="49" spans="1:47" x14ac:dyDescent="0.25">
      <c r="A49" s="11"/>
      <c r="B49" s="12"/>
      <c r="C49" s="11"/>
      <c r="D49" s="5"/>
      <c r="E49" s="10"/>
      <c r="F49" s="5"/>
      <c r="G49" s="5"/>
      <c r="H49" s="9"/>
      <c r="I49" s="5"/>
      <c r="J49" s="5"/>
      <c r="K49" s="7"/>
      <c r="L49" s="8"/>
      <c r="M49" s="6"/>
      <c r="N49" s="5"/>
      <c r="O49" s="7"/>
      <c r="P49" s="5"/>
      <c r="Q49" s="6"/>
      <c r="R49" s="5"/>
      <c r="S49" s="7"/>
      <c r="T49" s="5"/>
      <c r="U49" s="6"/>
      <c r="V49" s="5"/>
      <c r="W49" s="6"/>
      <c r="X49" s="5"/>
      <c r="Y49" s="6"/>
      <c r="Z49" s="5"/>
      <c r="AA49" s="6"/>
      <c r="AB49" s="5"/>
      <c r="AC49" s="6"/>
      <c r="AD49" s="5"/>
      <c r="AE49" s="6"/>
      <c r="AF49" s="5"/>
      <c r="AG49" s="6"/>
      <c r="AH49" s="5"/>
      <c r="AI49" s="6"/>
      <c r="AJ49" s="5"/>
      <c r="AK49" s="6"/>
      <c r="AL49" s="5"/>
      <c r="AM49" s="6"/>
      <c r="AN49" s="5"/>
      <c r="AO49" s="6"/>
      <c r="AP49" s="5"/>
      <c r="AQ49" s="4"/>
      <c r="AR49" s="3"/>
      <c r="AS49" s="2"/>
      <c r="AT49" s="1"/>
      <c r="AU49" s="1"/>
    </row>
    <row r="50" spans="1:47" ht="30" x14ac:dyDescent="0.25">
      <c r="A50" s="11"/>
      <c r="B50" s="12" t="s">
        <v>4</v>
      </c>
      <c r="C50" s="13" t="s">
        <v>3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5"/>
      <c r="AG50" s="6"/>
      <c r="AH50" s="5"/>
      <c r="AI50" s="6"/>
      <c r="AJ50" s="5"/>
      <c r="AK50" s="6"/>
      <c r="AL50" s="5"/>
      <c r="AM50" s="6"/>
      <c r="AN50" s="5"/>
      <c r="AO50" s="6"/>
      <c r="AP50" s="5"/>
      <c r="AQ50" s="4"/>
      <c r="AR50" s="3"/>
      <c r="AS50" s="2"/>
      <c r="AT50" s="1"/>
      <c r="AU50" s="1"/>
    </row>
    <row r="51" spans="1:47" x14ac:dyDescent="0.25">
      <c r="A51" s="11"/>
      <c r="B51" s="12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5"/>
      <c r="AG51" s="6"/>
      <c r="AH51" s="5"/>
      <c r="AI51" s="6"/>
      <c r="AJ51" s="5"/>
      <c r="AK51" s="6"/>
      <c r="AL51" s="5"/>
      <c r="AM51" s="6"/>
      <c r="AN51" s="5"/>
      <c r="AO51" s="6"/>
      <c r="AP51" s="5"/>
      <c r="AQ51" s="4"/>
      <c r="AR51" s="3"/>
      <c r="AS51" s="2"/>
      <c r="AT51" s="1"/>
      <c r="AU51" s="1"/>
    </row>
    <row r="52" spans="1:47" x14ac:dyDescent="0.25">
      <c r="A52" s="11"/>
      <c r="B52" s="12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5"/>
      <c r="AG52" s="6"/>
      <c r="AH52" s="5"/>
      <c r="AI52" s="6"/>
      <c r="AJ52" s="5"/>
      <c r="AK52" s="6"/>
      <c r="AL52" s="5"/>
      <c r="AM52" s="6"/>
      <c r="AN52" s="5"/>
      <c r="AO52" s="6"/>
      <c r="AP52" s="5"/>
      <c r="AQ52" s="4"/>
      <c r="AR52" s="3"/>
      <c r="AS52" s="2"/>
      <c r="AT52" s="1"/>
      <c r="AU52" s="1"/>
    </row>
    <row r="53" spans="1:47" x14ac:dyDescent="0.25">
      <c r="A53" s="11"/>
      <c r="B53" s="12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5"/>
      <c r="AG53" s="6"/>
      <c r="AH53" s="5"/>
      <c r="AI53" s="6"/>
      <c r="AJ53" s="5"/>
      <c r="AK53" s="6"/>
      <c r="AL53" s="5"/>
      <c r="AM53" s="6"/>
      <c r="AN53" s="5"/>
      <c r="AO53" s="6"/>
      <c r="AP53" s="5"/>
      <c r="AQ53" s="4"/>
      <c r="AR53" s="3"/>
      <c r="AS53" s="2"/>
      <c r="AT53" s="1"/>
      <c r="AU53" s="1"/>
    </row>
    <row r="54" spans="1:47" ht="30" x14ac:dyDescent="0.25">
      <c r="A54" s="11"/>
      <c r="B54" s="12" t="s">
        <v>2</v>
      </c>
      <c r="C54" s="11"/>
      <c r="D54" s="5"/>
      <c r="E54" s="10"/>
      <c r="F54" s="5"/>
      <c r="G54" s="5"/>
      <c r="H54" s="9"/>
      <c r="I54" s="5"/>
      <c r="J54" s="5"/>
      <c r="K54" s="7"/>
      <c r="L54" s="8"/>
      <c r="M54" s="6"/>
      <c r="N54" s="5"/>
      <c r="O54" s="7"/>
      <c r="P54" s="5"/>
      <c r="Q54" s="6"/>
      <c r="R54" s="5"/>
      <c r="S54" s="7"/>
      <c r="T54" s="5"/>
      <c r="U54" s="6"/>
      <c r="V54" s="5"/>
      <c r="W54" s="6"/>
      <c r="X54" s="5"/>
      <c r="Y54" s="6"/>
      <c r="Z54" s="5"/>
      <c r="AA54" s="6"/>
      <c r="AB54" s="5"/>
      <c r="AC54" s="6"/>
      <c r="AD54" s="5"/>
      <c r="AE54" s="6"/>
      <c r="AF54" s="5"/>
      <c r="AG54" s="6"/>
      <c r="AH54" s="5"/>
      <c r="AI54" s="6"/>
      <c r="AJ54" s="5"/>
      <c r="AK54" s="6"/>
      <c r="AL54" s="5"/>
      <c r="AM54" s="6"/>
      <c r="AN54" s="5"/>
      <c r="AO54" s="6"/>
      <c r="AP54" s="5"/>
      <c r="AQ54" s="4"/>
      <c r="AR54" s="3"/>
      <c r="AS54" s="2"/>
      <c r="AT54" s="1"/>
      <c r="AU54" s="1"/>
    </row>
    <row r="55" spans="1:47" x14ac:dyDescent="0.25">
      <c r="A55" s="11"/>
      <c r="B55" s="12"/>
      <c r="C55" s="11"/>
      <c r="D55" s="5"/>
      <c r="E55" s="10"/>
      <c r="F55" s="5"/>
      <c r="G55" s="5"/>
      <c r="H55" s="9"/>
      <c r="I55" s="5"/>
      <c r="J55" s="5"/>
      <c r="K55" s="7"/>
      <c r="L55" s="8"/>
      <c r="M55" s="6"/>
      <c r="N55" s="5"/>
      <c r="O55" s="7"/>
      <c r="P55" s="5"/>
      <c r="Q55" s="6"/>
      <c r="R55" s="5"/>
      <c r="S55" s="7"/>
      <c r="T55" s="5"/>
      <c r="U55" s="6"/>
      <c r="V55" s="5"/>
      <c r="W55" s="6"/>
      <c r="X55" s="5"/>
      <c r="Y55" s="6"/>
      <c r="Z55" s="5"/>
      <c r="AA55" s="6"/>
      <c r="AB55" s="5"/>
      <c r="AC55" s="6"/>
      <c r="AD55" s="5"/>
      <c r="AE55" s="6"/>
      <c r="AF55" s="5"/>
      <c r="AG55" s="6"/>
      <c r="AH55" s="5"/>
      <c r="AI55" s="6"/>
      <c r="AJ55" s="5"/>
      <c r="AK55" s="6"/>
      <c r="AL55" s="5"/>
      <c r="AM55" s="6"/>
      <c r="AN55" s="5"/>
      <c r="AO55" s="6"/>
      <c r="AP55" s="5"/>
      <c r="AQ55" s="4"/>
      <c r="AR55" s="3"/>
      <c r="AS55" s="2"/>
      <c r="AT55" s="1"/>
      <c r="AU55" s="1"/>
    </row>
    <row r="56" spans="1:47" x14ac:dyDescent="0.25">
      <c r="A56" s="11"/>
      <c r="B56" s="12" t="s">
        <v>1</v>
      </c>
      <c r="C56" s="13" t="s">
        <v>0</v>
      </c>
      <c r="D56" s="13"/>
      <c r="E56" s="13"/>
      <c r="F56" s="5"/>
      <c r="G56" s="5"/>
      <c r="H56" s="9"/>
      <c r="I56" s="5"/>
      <c r="J56" s="5"/>
      <c r="K56" s="7"/>
      <c r="L56" s="8"/>
      <c r="M56" s="6"/>
      <c r="N56" s="5"/>
      <c r="O56" s="7"/>
      <c r="P56" s="5"/>
      <c r="Q56" s="6"/>
      <c r="R56" s="5"/>
      <c r="S56" s="7"/>
      <c r="T56" s="5"/>
      <c r="U56" s="6"/>
      <c r="V56" s="5"/>
      <c r="W56" s="6"/>
      <c r="X56" s="5"/>
      <c r="Y56" s="6"/>
      <c r="Z56" s="5"/>
      <c r="AA56" s="6"/>
      <c r="AB56" s="5"/>
      <c r="AC56" s="6"/>
      <c r="AD56" s="5"/>
      <c r="AE56" s="6"/>
      <c r="AF56" s="5"/>
      <c r="AG56" s="6"/>
      <c r="AH56" s="5"/>
      <c r="AI56" s="6"/>
      <c r="AJ56" s="5"/>
      <c r="AK56" s="6"/>
      <c r="AL56" s="5"/>
      <c r="AM56" s="6"/>
      <c r="AN56" s="5"/>
      <c r="AO56" s="6"/>
      <c r="AP56" s="5"/>
      <c r="AQ56" s="4"/>
      <c r="AR56" s="3"/>
      <c r="AS56" s="2"/>
      <c r="AT56" s="1"/>
      <c r="AU56" s="1"/>
    </row>
    <row r="57" spans="1:47" x14ac:dyDescent="0.25">
      <c r="A57" s="11"/>
      <c r="B57" s="12"/>
      <c r="C57" s="11"/>
      <c r="D57" s="5"/>
      <c r="E57" s="10"/>
      <c r="F57" s="5"/>
      <c r="G57" s="5"/>
      <c r="H57" s="9"/>
      <c r="I57" s="5"/>
      <c r="J57" s="5"/>
      <c r="K57" s="7"/>
      <c r="L57" s="8"/>
      <c r="M57" s="6"/>
      <c r="N57" s="5"/>
      <c r="O57" s="7"/>
      <c r="P57" s="5"/>
      <c r="Q57" s="6"/>
      <c r="R57" s="5"/>
      <c r="S57" s="7"/>
      <c r="T57" s="5"/>
      <c r="U57" s="6"/>
      <c r="V57" s="5"/>
      <c r="W57" s="6"/>
      <c r="X57" s="5"/>
      <c r="Y57" s="6"/>
      <c r="Z57" s="5"/>
      <c r="AA57" s="6"/>
      <c r="AB57" s="5"/>
      <c r="AC57" s="6"/>
      <c r="AD57" s="5"/>
      <c r="AE57" s="6"/>
      <c r="AF57" s="5"/>
      <c r="AG57" s="6"/>
      <c r="AH57" s="5"/>
      <c r="AI57" s="6"/>
      <c r="AJ57" s="5"/>
      <c r="AK57" s="6"/>
      <c r="AL57" s="5"/>
      <c r="AM57" s="6"/>
      <c r="AN57" s="5"/>
      <c r="AO57" s="6"/>
      <c r="AP57" s="5"/>
      <c r="AQ57" s="4"/>
      <c r="AR57" s="3"/>
      <c r="AS57" s="2"/>
      <c r="AT57" s="1"/>
      <c r="AU57" s="1"/>
    </row>
    <row r="58" spans="1:47" x14ac:dyDescent="0.25">
      <c r="A58" s="11"/>
      <c r="B58" s="12"/>
      <c r="C58" s="11"/>
      <c r="D58" s="5"/>
      <c r="E58" s="10"/>
      <c r="F58" s="5"/>
      <c r="G58" s="5"/>
      <c r="H58" s="9"/>
      <c r="I58" s="5"/>
      <c r="J58" s="5"/>
      <c r="K58" s="7"/>
      <c r="L58" s="8"/>
      <c r="M58" s="6"/>
      <c r="N58" s="5"/>
      <c r="O58" s="7"/>
      <c r="P58" s="5"/>
      <c r="Q58" s="6"/>
      <c r="R58" s="5"/>
      <c r="S58" s="7"/>
      <c r="T58" s="5"/>
      <c r="U58" s="6"/>
      <c r="V58" s="5"/>
      <c r="W58" s="6"/>
      <c r="X58" s="5"/>
      <c r="Y58" s="6"/>
      <c r="Z58" s="5"/>
      <c r="AA58" s="6"/>
      <c r="AB58" s="5"/>
      <c r="AC58" s="6"/>
      <c r="AD58" s="5"/>
      <c r="AE58" s="6"/>
      <c r="AF58" s="5"/>
      <c r="AG58" s="6"/>
      <c r="AH58" s="5"/>
      <c r="AI58" s="6"/>
      <c r="AJ58" s="5"/>
      <c r="AK58" s="6"/>
      <c r="AL58" s="5"/>
      <c r="AM58" s="6"/>
      <c r="AN58" s="5"/>
      <c r="AO58" s="6"/>
      <c r="AP58" s="5"/>
      <c r="AQ58" s="4"/>
      <c r="AR58" s="3"/>
      <c r="AS58" s="2"/>
      <c r="AT58" s="1"/>
      <c r="AU58" s="1"/>
    </row>
    <row r="59" spans="1:47" x14ac:dyDescent="0.25">
      <c r="A59" s="11"/>
      <c r="B59" s="12"/>
      <c r="C59" s="11"/>
      <c r="D59" s="5"/>
      <c r="E59" s="10"/>
      <c r="F59" s="5"/>
      <c r="G59" s="5"/>
      <c r="H59" s="9"/>
      <c r="I59" s="5"/>
      <c r="J59" s="5"/>
      <c r="K59" s="7"/>
      <c r="L59" s="8"/>
      <c r="M59" s="6"/>
      <c r="N59" s="5"/>
      <c r="O59" s="7"/>
      <c r="P59" s="5"/>
      <c r="Q59" s="6"/>
      <c r="R59" s="5"/>
      <c r="S59" s="7"/>
      <c r="T59" s="5"/>
      <c r="U59" s="6"/>
      <c r="V59" s="5"/>
      <c r="W59" s="6"/>
      <c r="X59" s="5"/>
      <c r="Y59" s="6"/>
      <c r="Z59" s="5"/>
      <c r="AA59" s="6"/>
      <c r="AB59" s="5"/>
      <c r="AC59" s="6"/>
      <c r="AD59" s="5"/>
      <c r="AE59" s="6"/>
      <c r="AF59" s="5"/>
      <c r="AG59" s="6"/>
      <c r="AH59" s="5"/>
      <c r="AI59" s="6"/>
      <c r="AJ59" s="5"/>
      <c r="AK59" s="6"/>
      <c r="AL59" s="5"/>
      <c r="AM59" s="6"/>
      <c r="AN59" s="5"/>
      <c r="AO59" s="6"/>
      <c r="AP59" s="5"/>
      <c r="AQ59" s="4"/>
      <c r="AR59" s="3"/>
      <c r="AS59" s="2"/>
      <c r="AT59" s="1"/>
      <c r="AU59" s="1"/>
    </row>
    <row r="60" spans="1:47" x14ac:dyDescent="0.25">
      <c r="A60" s="11"/>
      <c r="B60" s="12"/>
      <c r="C60" s="11"/>
      <c r="D60" s="5"/>
      <c r="E60" s="10"/>
      <c r="F60" s="5"/>
      <c r="G60" s="5"/>
      <c r="H60" s="9"/>
      <c r="I60" s="5"/>
      <c r="J60" s="5"/>
      <c r="K60" s="7"/>
      <c r="L60" s="8"/>
      <c r="M60" s="6"/>
      <c r="N60" s="5"/>
      <c r="O60" s="7"/>
      <c r="P60" s="5"/>
      <c r="Q60" s="6"/>
      <c r="R60" s="5"/>
      <c r="S60" s="7"/>
      <c r="T60" s="5"/>
      <c r="U60" s="6"/>
      <c r="V60" s="5"/>
      <c r="W60" s="6"/>
      <c r="X60" s="5"/>
      <c r="Y60" s="6"/>
      <c r="Z60" s="5"/>
      <c r="AA60" s="6"/>
      <c r="AB60" s="5"/>
      <c r="AC60" s="6"/>
      <c r="AD60" s="5"/>
      <c r="AE60" s="6"/>
      <c r="AF60" s="5"/>
      <c r="AG60" s="6"/>
      <c r="AH60" s="5"/>
      <c r="AI60" s="6"/>
      <c r="AJ60" s="5"/>
      <c r="AK60" s="6"/>
      <c r="AL60" s="5"/>
      <c r="AM60" s="6"/>
      <c r="AN60" s="5"/>
      <c r="AO60" s="6"/>
      <c r="AP60" s="5"/>
      <c r="AQ60" s="4"/>
      <c r="AR60" s="3"/>
      <c r="AS60" s="2"/>
      <c r="AT60" s="1"/>
      <c r="AU60" s="1"/>
    </row>
    <row r="61" spans="1:47" x14ac:dyDescent="0.25">
      <c r="A61" s="11"/>
      <c r="B61" s="12"/>
      <c r="C61" s="11"/>
      <c r="D61" s="5"/>
      <c r="E61" s="10"/>
      <c r="F61" s="5"/>
      <c r="G61" s="5"/>
      <c r="H61" s="9"/>
      <c r="I61" s="5"/>
      <c r="J61" s="5"/>
      <c r="K61" s="7"/>
      <c r="L61" s="8"/>
      <c r="M61" s="6"/>
      <c r="N61" s="5"/>
      <c r="O61" s="7"/>
      <c r="P61" s="5"/>
      <c r="Q61" s="6"/>
      <c r="R61" s="5"/>
      <c r="S61" s="7"/>
      <c r="T61" s="5"/>
      <c r="U61" s="6"/>
      <c r="V61" s="5"/>
      <c r="W61" s="6"/>
      <c r="X61" s="5"/>
      <c r="Y61" s="6"/>
      <c r="Z61" s="5"/>
      <c r="AA61" s="6"/>
      <c r="AB61" s="5"/>
      <c r="AC61" s="6"/>
      <c r="AD61" s="5"/>
      <c r="AE61" s="6"/>
      <c r="AF61" s="5"/>
      <c r="AG61" s="6"/>
      <c r="AH61" s="5"/>
      <c r="AI61" s="6"/>
      <c r="AJ61" s="5"/>
      <c r="AK61" s="6"/>
      <c r="AL61" s="5"/>
      <c r="AM61" s="6"/>
      <c r="AN61" s="5"/>
      <c r="AO61" s="6"/>
      <c r="AP61" s="5"/>
      <c r="AQ61" s="4"/>
      <c r="AR61" s="3"/>
      <c r="AS61" s="2"/>
      <c r="AT61" s="1"/>
      <c r="AU61" s="1"/>
    </row>
    <row r="62" spans="1:47" x14ac:dyDescent="0.25">
      <c r="A62" s="11"/>
      <c r="B62" s="12"/>
      <c r="C62" s="11"/>
      <c r="D62" s="5"/>
      <c r="E62" s="10"/>
      <c r="F62" s="5"/>
      <c r="G62" s="5"/>
      <c r="H62" s="9"/>
      <c r="I62" s="5"/>
      <c r="J62" s="5"/>
      <c r="K62" s="7"/>
      <c r="L62" s="8"/>
      <c r="M62" s="6"/>
      <c r="N62" s="5"/>
      <c r="O62" s="7"/>
      <c r="P62" s="5"/>
      <c r="Q62" s="6"/>
      <c r="R62" s="5"/>
      <c r="S62" s="7"/>
      <c r="T62" s="5"/>
      <c r="U62" s="6"/>
      <c r="V62" s="5"/>
      <c r="W62" s="6"/>
      <c r="X62" s="5"/>
      <c r="Y62" s="6"/>
      <c r="Z62" s="5"/>
      <c r="AA62" s="6"/>
      <c r="AB62" s="5"/>
      <c r="AC62" s="6"/>
      <c r="AD62" s="5"/>
      <c r="AE62" s="6"/>
      <c r="AF62" s="5"/>
      <c r="AG62" s="6"/>
      <c r="AH62" s="5"/>
      <c r="AI62" s="6"/>
      <c r="AJ62" s="5"/>
      <c r="AK62" s="6"/>
      <c r="AL62" s="5"/>
      <c r="AM62" s="6"/>
      <c r="AN62" s="5"/>
      <c r="AO62" s="6"/>
      <c r="AP62" s="5"/>
      <c r="AQ62" s="4"/>
      <c r="AR62" s="3"/>
      <c r="AS62" s="2"/>
      <c r="AT62" s="1"/>
      <c r="AU62" s="1"/>
    </row>
    <row r="63" spans="1:47" x14ac:dyDescent="0.25">
      <c r="A63" s="11"/>
      <c r="B63" s="12"/>
      <c r="C63" s="11"/>
      <c r="D63" s="5"/>
      <c r="E63" s="10"/>
      <c r="F63" s="5"/>
      <c r="G63" s="5"/>
      <c r="H63" s="9"/>
      <c r="I63" s="5"/>
      <c r="J63" s="5"/>
      <c r="K63" s="7"/>
      <c r="L63" s="8"/>
      <c r="M63" s="6"/>
      <c r="N63" s="5"/>
      <c r="O63" s="7"/>
      <c r="P63" s="5"/>
      <c r="Q63" s="6"/>
      <c r="R63" s="5"/>
      <c r="S63" s="7"/>
      <c r="T63" s="5"/>
      <c r="U63" s="6"/>
      <c r="V63" s="5"/>
      <c r="W63" s="6"/>
      <c r="X63" s="5"/>
      <c r="Y63" s="6"/>
      <c r="Z63" s="5"/>
      <c r="AA63" s="6"/>
      <c r="AB63" s="5"/>
      <c r="AC63" s="6"/>
      <c r="AD63" s="5"/>
      <c r="AE63" s="6"/>
      <c r="AF63" s="5"/>
      <c r="AG63" s="6"/>
      <c r="AH63" s="5"/>
      <c r="AI63" s="6"/>
      <c r="AJ63" s="5"/>
      <c r="AK63" s="6"/>
      <c r="AL63" s="5"/>
      <c r="AM63" s="6"/>
      <c r="AN63" s="5"/>
      <c r="AO63" s="6"/>
      <c r="AP63" s="5"/>
      <c r="AQ63" s="4"/>
      <c r="AR63" s="3"/>
      <c r="AS63" s="2"/>
      <c r="AT63" s="1"/>
      <c r="AU63" s="1"/>
    </row>
    <row r="64" spans="1:47" x14ac:dyDescent="0.25">
      <c r="A64" s="11"/>
      <c r="B64" s="12"/>
      <c r="C64" s="11"/>
      <c r="D64" s="5"/>
      <c r="E64" s="10"/>
      <c r="F64" s="5"/>
      <c r="G64" s="5"/>
      <c r="H64" s="9"/>
      <c r="I64" s="5"/>
      <c r="J64" s="5"/>
      <c r="K64" s="7"/>
      <c r="L64" s="8"/>
      <c r="M64" s="6"/>
      <c r="N64" s="5"/>
      <c r="O64" s="7"/>
      <c r="P64" s="5"/>
      <c r="Q64" s="6"/>
      <c r="R64" s="5"/>
      <c r="S64" s="7"/>
      <c r="T64" s="5"/>
      <c r="U64" s="6"/>
      <c r="V64" s="5"/>
      <c r="W64" s="6"/>
      <c r="X64" s="5"/>
      <c r="Y64" s="6"/>
      <c r="Z64" s="5"/>
      <c r="AA64" s="6"/>
      <c r="AB64" s="5"/>
      <c r="AC64" s="6"/>
      <c r="AD64" s="5"/>
      <c r="AE64" s="6"/>
      <c r="AF64" s="5"/>
      <c r="AG64" s="6"/>
      <c r="AH64" s="5"/>
      <c r="AI64" s="6"/>
      <c r="AJ64" s="5"/>
      <c r="AK64" s="6"/>
      <c r="AL64" s="5"/>
      <c r="AM64" s="6"/>
      <c r="AN64" s="5"/>
      <c r="AO64" s="6"/>
      <c r="AP64" s="5"/>
      <c r="AQ64" s="4"/>
      <c r="AR64" s="3"/>
      <c r="AS64" s="2"/>
      <c r="AT64" s="1"/>
      <c r="AU64" s="1"/>
    </row>
    <row r="65" spans="1:47" x14ac:dyDescent="0.25">
      <c r="A65" s="11"/>
      <c r="B65" s="12"/>
      <c r="C65" s="11"/>
      <c r="D65" s="5"/>
      <c r="E65" s="10"/>
      <c r="F65" s="5"/>
      <c r="G65" s="5"/>
      <c r="H65" s="9"/>
      <c r="I65" s="5"/>
      <c r="J65" s="5"/>
      <c r="K65" s="7"/>
      <c r="L65" s="8"/>
      <c r="M65" s="6"/>
      <c r="N65" s="5"/>
      <c r="O65" s="7"/>
      <c r="P65" s="5"/>
      <c r="Q65" s="6"/>
      <c r="R65" s="5"/>
      <c r="S65" s="7"/>
      <c r="T65" s="5"/>
      <c r="U65" s="6"/>
      <c r="V65" s="5"/>
      <c r="W65" s="6"/>
      <c r="X65" s="5"/>
      <c r="Y65" s="6"/>
      <c r="Z65" s="5"/>
      <c r="AA65" s="6"/>
      <c r="AB65" s="5"/>
      <c r="AC65" s="6"/>
      <c r="AD65" s="5"/>
      <c r="AE65" s="6"/>
      <c r="AF65" s="5"/>
      <c r="AG65" s="6"/>
      <c r="AH65" s="5"/>
      <c r="AI65" s="6"/>
      <c r="AJ65" s="5"/>
      <c r="AK65" s="6"/>
      <c r="AL65" s="5"/>
      <c r="AM65" s="6"/>
      <c r="AN65" s="5"/>
      <c r="AO65" s="6"/>
      <c r="AP65" s="5"/>
      <c r="AQ65" s="4"/>
      <c r="AR65" s="3"/>
      <c r="AS65" s="2"/>
      <c r="AT65" s="1"/>
      <c r="AU65" s="1"/>
    </row>
    <row r="66" spans="1:47" x14ac:dyDescent="0.25">
      <c r="A66" s="11"/>
      <c r="B66" s="12"/>
      <c r="C66" s="11"/>
      <c r="D66" s="5"/>
      <c r="E66" s="10"/>
      <c r="F66" s="5"/>
      <c r="G66" s="5"/>
      <c r="H66" s="9"/>
      <c r="I66" s="5"/>
      <c r="J66" s="5"/>
      <c r="K66" s="7"/>
      <c r="L66" s="8"/>
      <c r="M66" s="6"/>
      <c r="N66" s="5"/>
      <c r="O66" s="7"/>
      <c r="P66" s="5"/>
      <c r="Q66" s="6"/>
      <c r="R66" s="5"/>
      <c r="S66" s="7"/>
      <c r="T66" s="5"/>
      <c r="U66" s="6"/>
      <c r="V66" s="5"/>
      <c r="W66" s="6"/>
      <c r="X66" s="5"/>
      <c r="Y66" s="6"/>
      <c r="Z66" s="5"/>
      <c r="AA66" s="6"/>
      <c r="AB66" s="5"/>
      <c r="AC66" s="6"/>
      <c r="AD66" s="5"/>
      <c r="AE66" s="6"/>
      <c r="AF66" s="5"/>
      <c r="AG66" s="6"/>
      <c r="AH66" s="5"/>
      <c r="AI66" s="6"/>
      <c r="AJ66" s="5"/>
      <c r="AK66" s="6"/>
      <c r="AL66" s="5"/>
      <c r="AM66" s="6"/>
      <c r="AN66" s="5"/>
      <c r="AO66" s="6"/>
      <c r="AP66" s="5"/>
      <c r="AQ66" s="4"/>
      <c r="AR66" s="3"/>
      <c r="AS66" s="2"/>
      <c r="AT66" s="1"/>
      <c r="AU66" s="1"/>
    </row>
    <row r="67" spans="1:47" x14ac:dyDescent="0.25">
      <c r="A67" s="11"/>
      <c r="B67" s="12"/>
      <c r="C67" s="11"/>
      <c r="D67" s="5"/>
      <c r="E67" s="10"/>
      <c r="F67" s="5"/>
      <c r="G67" s="5"/>
      <c r="H67" s="9"/>
      <c r="I67" s="5"/>
      <c r="J67" s="5"/>
      <c r="K67" s="7"/>
      <c r="L67" s="8"/>
      <c r="M67" s="6"/>
      <c r="N67" s="5"/>
      <c r="O67" s="7"/>
      <c r="P67" s="5"/>
      <c r="Q67" s="6"/>
      <c r="R67" s="5"/>
      <c r="S67" s="7"/>
      <c r="T67" s="5"/>
      <c r="U67" s="6"/>
      <c r="V67" s="5"/>
      <c r="W67" s="6"/>
      <c r="X67" s="5"/>
      <c r="Y67" s="6"/>
      <c r="Z67" s="5"/>
      <c r="AA67" s="6"/>
      <c r="AB67" s="5"/>
      <c r="AC67" s="6"/>
      <c r="AD67" s="5"/>
      <c r="AE67" s="6"/>
      <c r="AF67" s="5"/>
      <c r="AG67" s="6"/>
      <c r="AH67" s="5"/>
      <c r="AI67" s="6"/>
      <c r="AJ67" s="5"/>
      <c r="AK67" s="6"/>
      <c r="AL67" s="5"/>
      <c r="AM67" s="6"/>
      <c r="AN67" s="5"/>
      <c r="AO67" s="6"/>
      <c r="AP67" s="5"/>
      <c r="AQ67" s="4"/>
      <c r="AR67" s="3"/>
      <c r="AS67" s="2"/>
      <c r="AT67" s="1"/>
      <c r="AU67" s="1"/>
    </row>
    <row r="68" spans="1:47" x14ac:dyDescent="0.25">
      <c r="A68" s="11"/>
      <c r="B68" s="12"/>
      <c r="C68" s="11"/>
      <c r="D68" s="5"/>
      <c r="E68" s="10"/>
      <c r="F68" s="5"/>
      <c r="G68" s="5"/>
      <c r="H68" s="9"/>
      <c r="I68" s="5"/>
      <c r="J68" s="5"/>
      <c r="K68" s="7"/>
      <c r="L68" s="8"/>
      <c r="M68" s="6"/>
      <c r="N68" s="5"/>
      <c r="O68" s="7"/>
      <c r="P68" s="5"/>
      <c r="Q68" s="6"/>
      <c r="R68" s="5"/>
      <c r="S68" s="7"/>
      <c r="T68" s="5"/>
      <c r="U68" s="6"/>
      <c r="V68" s="5"/>
      <c r="W68" s="6"/>
      <c r="X68" s="5"/>
      <c r="Y68" s="6"/>
      <c r="Z68" s="5"/>
      <c r="AA68" s="6"/>
      <c r="AB68" s="5"/>
      <c r="AC68" s="6"/>
      <c r="AD68" s="5"/>
      <c r="AE68" s="6"/>
      <c r="AF68" s="5"/>
      <c r="AG68" s="6"/>
      <c r="AH68" s="5"/>
      <c r="AI68" s="6"/>
      <c r="AJ68" s="5"/>
      <c r="AK68" s="6"/>
      <c r="AL68" s="5"/>
      <c r="AM68" s="6"/>
      <c r="AN68" s="5"/>
      <c r="AO68" s="6"/>
      <c r="AP68" s="5"/>
      <c r="AQ68" s="4"/>
      <c r="AR68" s="3"/>
      <c r="AS68" s="2"/>
      <c r="AT68" s="1"/>
      <c r="AU68" s="1"/>
    </row>
    <row r="69" spans="1:47" x14ac:dyDescent="0.25">
      <c r="A69" s="11"/>
      <c r="B69" s="12"/>
      <c r="C69" s="11"/>
      <c r="D69" s="5"/>
      <c r="E69" s="10"/>
      <c r="F69" s="5"/>
      <c r="G69" s="5"/>
      <c r="H69" s="9"/>
      <c r="I69" s="5"/>
      <c r="J69" s="5"/>
      <c r="K69" s="7"/>
      <c r="L69" s="8"/>
      <c r="M69" s="6"/>
      <c r="N69" s="5"/>
      <c r="O69" s="7"/>
      <c r="P69" s="5"/>
      <c r="Q69" s="6"/>
      <c r="R69" s="5"/>
      <c r="S69" s="7"/>
      <c r="T69" s="5"/>
      <c r="U69" s="6"/>
      <c r="V69" s="5"/>
      <c r="W69" s="6"/>
      <c r="X69" s="5"/>
      <c r="Y69" s="6"/>
      <c r="Z69" s="5"/>
      <c r="AA69" s="6"/>
      <c r="AB69" s="5"/>
      <c r="AC69" s="6"/>
      <c r="AD69" s="5"/>
      <c r="AE69" s="6"/>
      <c r="AF69" s="5"/>
      <c r="AG69" s="6"/>
      <c r="AH69" s="5"/>
      <c r="AI69" s="6"/>
      <c r="AJ69" s="5"/>
      <c r="AK69" s="6"/>
      <c r="AL69" s="5"/>
      <c r="AM69" s="6"/>
      <c r="AN69" s="5"/>
      <c r="AO69" s="6"/>
      <c r="AP69" s="5"/>
      <c r="AQ69" s="4"/>
      <c r="AR69" s="3"/>
      <c r="AS69" s="2"/>
      <c r="AT69" s="1"/>
      <c r="AU69" s="1"/>
    </row>
    <row r="70" spans="1:47" x14ac:dyDescent="0.25">
      <c r="A70" s="11"/>
      <c r="B70" s="12"/>
      <c r="C70" s="11"/>
      <c r="D70" s="5"/>
      <c r="E70" s="10"/>
      <c r="F70" s="5"/>
      <c r="G70" s="5"/>
      <c r="H70" s="9"/>
      <c r="I70" s="5"/>
      <c r="J70" s="5"/>
      <c r="K70" s="7"/>
      <c r="L70" s="8"/>
      <c r="M70" s="6"/>
      <c r="N70" s="5"/>
      <c r="O70" s="7"/>
      <c r="P70" s="5"/>
      <c r="Q70" s="6"/>
      <c r="R70" s="5"/>
      <c r="S70" s="7"/>
      <c r="T70" s="5"/>
      <c r="U70" s="6"/>
      <c r="V70" s="5"/>
      <c r="W70" s="6"/>
      <c r="X70" s="5"/>
      <c r="Y70" s="6"/>
      <c r="Z70" s="5"/>
      <c r="AA70" s="6"/>
      <c r="AB70" s="5"/>
      <c r="AC70" s="6"/>
      <c r="AD70" s="5"/>
      <c r="AE70" s="6"/>
      <c r="AF70" s="5"/>
      <c r="AG70" s="6"/>
      <c r="AH70" s="5"/>
      <c r="AI70" s="6"/>
      <c r="AJ70" s="5"/>
      <c r="AK70" s="6"/>
      <c r="AL70" s="5"/>
      <c r="AM70" s="6"/>
      <c r="AN70" s="5"/>
      <c r="AO70" s="6"/>
      <c r="AP70" s="5"/>
      <c r="AQ70" s="4"/>
      <c r="AR70" s="3"/>
      <c r="AS70" s="2"/>
      <c r="AT70" s="1"/>
      <c r="AU70" s="1"/>
    </row>
    <row r="71" spans="1:47" x14ac:dyDescent="0.25">
      <c r="A71" s="11"/>
      <c r="B71" s="12"/>
      <c r="C71" s="11"/>
      <c r="D71" s="5"/>
      <c r="E71" s="10"/>
      <c r="F71" s="5"/>
      <c r="G71" s="5"/>
      <c r="H71" s="9"/>
      <c r="I71" s="5"/>
      <c r="J71" s="5"/>
      <c r="K71" s="7"/>
      <c r="L71" s="8"/>
      <c r="M71" s="6"/>
      <c r="N71" s="5"/>
      <c r="O71" s="7"/>
      <c r="P71" s="5"/>
      <c r="Q71" s="6"/>
      <c r="R71" s="5"/>
      <c r="S71" s="7"/>
      <c r="T71" s="5"/>
      <c r="U71" s="6"/>
      <c r="V71" s="5"/>
      <c r="W71" s="6"/>
      <c r="X71" s="5"/>
      <c r="Y71" s="6"/>
      <c r="Z71" s="5"/>
      <c r="AA71" s="6"/>
      <c r="AB71" s="5"/>
      <c r="AC71" s="6"/>
      <c r="AD71" s="5"/>
      <c r="AE71" s="6"/>
      <c r="AF71" s="5"/>
      <c r="AG71" s="6"/>
      <c r="AH71" s="5"/>
      <c r="AI71" s="6"/>
      <c r="AJ71" s="5"/>
      <c r="AK71" s="6"/>
      <c r="AL71" s="5"/>
      <c r="AM71" s="6"/>
      <c r="AN71" s="5"/>
      <c r="AO71" s="6"/>
      <c r="AP71" s="5"/>
      <c r="AQ71" s="4"/>
      <c r="AR71" s="3"/>
      <c r="AS71" s="2"/>
      <c r="AT71" s="1"/>
      <c r="AU71" s="1"/>
    </row>
    <row r="72" spans="1:47" x14ac:dyDescent="0.25">
      <c r="A72" s="11"/>
      <c r="B72" s="12"/>
      <c r="C72" s="11"/>
      <c r="D72" s="5"/>
      <c r="E72" s="10"/>
      <c r="F72" s="5"/>
      <c r="G72" s="5"/>
      <c r="H72" s="9"/>
      <c r="I72" s="5"/>
      <c r="J72" s="5"/>
      <c r="K72" s="7"/>
      <c r="L72" s="8"/>
      <c r="M72" s="6"/>
      <c r="N72" s="5"/>
      <c r="O72" s="7"/>
      <c r="P72" s="5"/>
      <c r="Q72" s="6"/>
      <c r="R72" s="5"/>
      <c r="S72" s="7"/>
      <c r="T72" s="5"/>
      <c r="U72" s="6"/>
      <c r="V72" s="5"/>
      <c r="W72" s="6"/>
      <c r="X72" s="5"/>
      <c r="Y72" s="6"/>
      <c r="Z72" s="5"/>
      <c r="AA72" s="6"/>
      <c r="AB72" s="5"/>
      <c r="AC72" s="6"/>
      <c r="AD72" s="5"/>
      <c r="AE72" s="6"/>
      <c r="AF72" s="5"/>
      <c r="AG72" s="6"/>
      <c r="AH72" s="5"/>
      <c r="AI72" s="6"/>
      <c r="AJ72" s="5"/>
      <c r="AK72" s="6"/>
      <c r="AL72" s="5"/>
      <c r="AM72" s="6"/>
      <c r="AN72" s="5"/>
      <c r="AO72" s="6"/>
      <c r="AP72" s="5"/>
      <c r="AQ72" s="4"/>
      <c r="AR72" s="3"/>
      <c r="AS72" s="2"/>
      <c r="AT72" s="1"/>
      <c r="AU72" s="1"/>
    </row>
    <row r="73" spans="1:47" x14ac:dyDescent="0.25">
      <c r="A73" s="11"/>
      <c r="B73" s="12"/>
      <c r="C73" s="11"/>
      <c r="D73" s="5"/>
      <c r="E73" s="10"/>
      <c r="F73" s="5"/>
      <c r="G73" s="5"/>
      <c r="H73" s="9"/>
      <c r="I73" s="5"/>
      <c r="J73" s="5"/>
      <c r="K73" s="7"/>
      <c r="L73" s="8"/>
      <c r="M73" s="6"/>
      <c r="N73" s="5"/>
      <c r="O73" s="7"/>
      <c r="P73" s="5"/>
      <c r="Q73" s="6"/>
      <c r="R73" s="5"/>
      <c r="S73" s="7"/>
      <c r="T73" s="5"/>
      <c r="U73" s="6"/>
      <c r="V73" s="5"/>
      <c r="W73" s="6"/>
      <c r="X73" s="5"/>
      <c r="Y73" s="6"/>
      <c r="Z73" s="5"/>
      <c r="AA73" s="6"/>
      <c r="AB73" s="5"/>
      <c r="AC73" s="6"/>
      <c r="AD73" s="5"/>
      <c r="AE73" s="6"/>
      <c r="AF73" s="5"/>
      <c r="AG73" s="6"/>
      <c r="AH73" s="5"/>
      <c r="AI73" s="6"/>
      <c r="AJ73" s="5"/>
      <c r="AK73" s="6"/>
      <c r="AL73" s="5"/>
      <c r="AM73" s="6"/>
      <c r="AN73" s="5"/>
      <c r="AO73" s="6"/>
      <c r="AP73" s="5"/>
      <c r="AQ73" s="4"/>
      <c r="AR73" s="3"/>
      <c r="AS73" s="2"/>
      <c r="AT73" s="1"/>
      <c r="AU73" s="1"/>
    </row>
    <row r="74" spans="1:47" x14ac:dyDescent="0.25">
      <c r="A74" s="11"/>
      <c r="B74" s="12"/>
      <c r="C74" s="11"/>
      <c r="D74" s="5"/>
      <c r="E74" s="10"/>
      <c r="F74" s="5"/>
      <c r="G74" s="5"/>
      <c r="H74" s="9"/>
      <c r="I74" s="5"/>
      <c r="J74" s="5"/>
      <c r="K74" s="7"/>
      <c r="L74" s="8"/>
      <c r="M74" s="6"/>
      <c r="N74" s="5"/>
      <c r="O74" s="7"/>
      <c r="P74" s="5"/>
      <c r="Q74" s="6"/>
      <c r="R74" s="5"/>
      <c r="S74" s="7"/>
      <c r="T74" s="5"/>
      <c r="U74" s="6"/>
      <c r="V74" s="5"/>
      <c r="W74" s="6"/>
      <c r="X74" s="5"/>
      <c r="Y74" s="6"/>
      <c r="Z74" s="5"/>
      <c r="AA74" s="6"/>
      <c r="AB74" s="5"/>
      <c r="AC74" s="6"/>
      <c r="AD74" s="5"/>
      <c r="AE74" s="6"/>
      <c r="AF74" s="5"/>
      <c r="AG74" s="6"/>
      <c r="AH74" s="5"/>
      <c r="AI74" s="6"/>
      <c r="AJ74" s="5"/>
      <c r="AK74" s="6"/>
      <c r="AL74" s="5"/>
      <c r="AM74" s="6"/>
      <c r="AN74" s="5"/>
      <c r="AO74" s="6"/>
      <c r="AP74" s="5"/>
      <c r="AQ74" s="4"/>
      <c r="AR74" s="3"/>
      <c r="AS74" s="2"/>
      <c r="AT74" s="1"/>
      <c r="AU74" s="1"/>
    </row>
    <row r="75" spans="1:47" x14ac:dyDescent="0.25">
      <c r="A75" s="11"/>
      <c r="B75" s="12"/>
      <c r="C75" s="11"/>
      <c r="D75" s="5"/>
      <c r="E75" s="10"/>
      <c r="F75" s="5"/>
      <c r="G75" s="5"/>
      <c r="H75" s="9"/>
      <c r="I75" s="5"/>
      <c r="J75" s="5"/>
      <c r="K75" s="7"/>
      <c r="L75" s="8"/>
      <c r="M75" s="6"/>
      <c r="N75" s="5"/>
      <c r="O75" s="7"/>
      <c r="P75" s="5"/>
      <c r="Q75" s="6"/>
      <c r="R75" s="5"/>
      <c r="S75" s="7"/>
      <c r="T75" s="5"/>
      <c r="U75" s="6"/>
      <c r="V75" s="5"/>
      <c r="W75" s="6"/>
      <c r="X75" s="5"/>
      <c r="Y75" s="6"/>
      <c r="Z75" s="5"/>
      <c r="AA75" s="6"/>
      <c r="AB75" s="5"/>
      <c r="AC75" s="6"/>
      <c r="AD75" s="5"/>
      <c r="AE75" s="6"/>
      <c r="AF75" s="5"/>
      <c r="AG75" s="6"/>
      <c r="AH75" s="5"/>
      <c r="AI75" s="6"/>
      <c r="AJ75" s="5"/>
      <c r="AK75" s="6"/>
      <c r="AL75" s="5"/>
      <c r="AM75" s="6"/>
      <c r="AN75" s="5"/>
      <c r="AO75" s="6"/>
      <c r="AP75" s="5"/>
      <c r="AQ75" s="4"/>
      <c r="AR75" s="3"/>
      <c r="AS75" s="2"/>
      <c r="AT75" s="1"/>
      <c r="AU75" s="1"/>
    </row>
    <row r="76" spans="1:47" x14ac:dyDescent="0.25">
      <c r="A76" s="11"/>
      <c r="B76" s="12"/>
      <c r="C76" s="11"/>
      <c r="D76" s="5"/>
      <c r="E76" s="10"/>
      <c r="F76" s="5"/>
      <c r="G76" s="5"/>
      <c r="H76" s="9"/>
      <c r="I76" s="5"/>
      <c r="J76" s="5"/>
      <c r="K76" s="7"/>
      <c r="L76" s="8"/>
      <c r="M76" s="6"/>
      <c r="N76" s="5"/>
      <c r="O76" s="7"/>
      <c r="P76" s="5"/>
      <c r="Q76" s="6"/>
      <c r="R76" s="5"/>
      <c r="S76" s="7"/>
      <c r="T76" s="5"/>
      <c r="U76" s="6"/>
      <c r="V76" s="5"/>
      <c r="W76" s="6"/>
      <c r="X76" s="5"/>
      <c r="Y76" s="6"/>
      <c r="Z76" s="5"/>
      <c r="AA76" s="6"/>
      <c r="AB76" s="5"/>
      <c r="AC76" s="6"/>
      <c r="AD76" s="5"/>
      <c r="AE76" s="6"/>
      <c r="AF76" s="5"/>
      <c r="AG76" s="6"/>
      <c r="AH76" s="5"/>
      <c r="AI76" s="6"/>
      <c r="AJ76" s="5"/>
      <c r="AK76" s="6"/>
      <c r="AL76" s="5"/>
      <c r="AM76" s="6"/>
      <c r="AN76" s="5"/>
      <c r="AO76" s="6"/>
      <c r="AP76" s="5"/>
      <c r="AQ76" s="4"/>
      <c r="AR76" s="3"/>
      <c r="AS76" s="2"/>
      <c r="AT76" s="1"/>
      <c r="AU76" s="1"/>
    </row>
    <row r="77" spans="1:47" x14ac:dyDescent="0.25">
      <c r="A77" s="11"/>
      <c r="B77" s="12"/>
      <c r="C77" s="11"/>
      <c r="D77" s="5"/>
      <c r="E77" s="10"/>
      <c r="F77" s="5"/>
      <c r="G77" s="5"/>
      <c r="H77" s="9"/>
      <c r="I77" s="5"/>
      <c r="J77" s="5"/>
      <c r="K77" s="7"/>
      <c r="L77" s="8"/>
      <c r="M77" s="6"/>
      <c r="N77" s="5"/>
      <c r="O77" s="7"/>
      <c r="P77" s="5"/>
      <c r="Q77" s="6"/>
      <c r="R77" s="5"/>
      <c r="S77" s="7"/>
      <c r="T77" s="5"/>
      <c r="U77" s="6"/>
      <c r="V77" s="5"/>
      <c r="W77" s="6"/>
      <c r="X77" s="5"/>
      <c r="Y77" s="6"/>
      <c r="Z77" s="5"/>
      <c r="AA77" s="6"/>
      <c r="AB77" s="5"/>
      <c r="AC77" s="6"/>
      <c r="AD77" s="5"/>
      <c r="AE77" s="6"/>
      <c r="AF77" s="5"/>
      <c r="AG77" s="6"/>
      <c r="AH77" s="5"/>
      <c r="AI77" s="6"/>
      <c r="AJ77" s="5"/>
      <c r="AK77" s="6"/>
      <c r="AL77" s="5"/>
      <c r="AM77" s="6"/>
      <c r="AN77" s="5"/>
      <c r="AO77" s="6"/>
      <c r="AP77" s="5"/>
      <c r="AQ77" s="4"/>
      <c r="AR77" s="3"/>
      <c r="AS77" s="2"/>
      <c r="AT77" s="1"/>
      <c r="AU77" s="1"/>
    </row>
  </sheetData>
  <mergeCells count="13">
    <mergeCell ref="A6:B6"/>
    <mergeCell ref="B2:AR2"/>
    <mergeCell ref="A4:B4"/>
    <mergeCell ref="C4:E4"/>
    <mergeCell ref="A5:B5"/>
    <mergeCell ref="C5:E5"/>
    <mergeCell ref="C56:E56"/>
    <mergeCell ref="A7:B7"/>
    <mergeCell ref="C7:E7"/>
    <mergeCell ref="C50:AE50"/>
    <mergeCell ref="C51:AE51"/>
    <mergeCell ref="C52:AE52"/>
    <mergeCell ref="C53:AE53"/>
  </mergeCells>
  <conditionalFormatting sqref="B21:B22">
    <cfRule type="duplicateValues" dxfId="55" priority="34"/>
  </conditionalFormatting>
  <conditionalFormatting sqref="E21:E22">
    <cfRule type="duplicateValues" dxfId="54" priority="35"/>
  </conditionalFormatting>
  <conditionalFormatting sqref="B21:B22">
    <cfRule type="duplicateValues" dxfId="53" priority="36"/>
  </conditionalFormatting>
  <conditionalFormatting sqref="B23:B24">
    <cfRule type="duplicateValues" dxfId="52" priority="31"/>
  </conditionalFormatting>
  <conditionalFormatting sqref="E23:E24">
    <cfRule type="duplicateValues" dxfId="51" priority="32"/>
  </conditionalFormatting>
  <conditionalFormatting sqref="B23:B24">
    <cfRule type="duplicateValues" dxfId="50" priority="33"/>
  </conditionalFormatting>
  <conditionalFormatting sqref="B25:B26">
    <cfRule type="duplicateValues" dxfId="49" priority="28"/>
  </conditionalFormatting>
  <conditionalFormatting sqref="E25:E26">
    <cfRule type="duplicateValues" dxfId="48" priority="29"/>
  </conditionalFormatting>
  <conditionalFormatting sqref="B25:B26">
    <cfRule type="duplicateValues" dxfId="47" priority="30"/>
  </conditionalFormatting>
  <conditionalFormatting sqref="B27:B28">
    <cfRule type="duplicateValues" dxfId="46" priority="25"/>
  </conditionalFormatting>
  <conditionalFormatting sqref="E27:E28">
    <cfRule type="duplicateValues" dxfId="45" priority="26"/>
  </conditionalFormatting>
  <conditionalFormatting sqref="B27:B28">
    <cfRule type="duplicateValues" dxfId="44" priority="27"/>
  </conditionalFormatting>
  <conditionalFormatting sqref="B29:B30">
    <cfRule type="duplicateValues" dxfId="43" priority="22"/>
  </conditionalFormatting>
  <conditionalFormatting sqref="E29:E30">
    <cfRule type="duplicateValues" dxfId="42" priority="23"/>
  </conditionalFormatting>
  <conditionalFormatting sqref="B29:B30">
    <cfRule type="duplicateValues" dxfId="41" priority="24"/>
  </conditionalFormatting>
  <conditionalFormatting sqref="B40:B42">
    <cfRule type="duplicateValues" dxfId="40" priority="19"/>
  </conditionalFormatting>
  <conditionalFormatting sqref="B40:B42">
    <cfRule type="duplicateValues" dxfId="39" priority="18"/>
  </conditionalFormatting>
  <conditionalFormatting sqref="E40:E42">
    <cfRule type="duplicateValues" dxfId="38" priority="20"/>
  </conditionalFormatting>
  <conditionalFormatting sqref="B40:B42">
    <cfRule type="duplicateValues" dxfId="37" priority="21"/>
  </conditionalFormatting>
  <conditionalFormatting sqref="B43">
    <cfRule type="duplicateValues" dxfId="36" priority="11"/>
  </conditionalFormatting>
  <conditionalFormatting sqref="B43">
    <cfRule type="duplicateValues" dxfId="35" priority="10"/>
  </conditionalFormatting>
  <conditionalFormatting sqref="B43 E43">
    <cfRule type="duplicateValues" dxfId="34" priority="12"/>
  </conditionalFormatting>
  <conditionalFormatting sqref="E43">
    <cfRule type="duplicateValues" dxfId="33" priority="13"/>
  </conditionalFormatting>
  <conditionalFormatting sqref="E43">
    <cfRule type="duplicateValues" dxfId="32" priority="14"/>
  </conditionalFormatting>
  <conditionalFormatting sqref="B43">
    <cfRule type="duplicateValues" dxfId="31" priority="15"/>
  </conditionalFormatting>
  <conditionalFormatting sqref="E43">
    <cfRule type="duplicateValues" dxfId="30" priority="16"/>
    <cfRule type="duplicateValues" dxfId="29" priority="17"/>
  </conditionalFormatting>
  <conditionalFormatting sqref="B57:B77 B1:B45">
    <cfRule type="duplicateValues" dxfId="28" priority="9"/>
  </conditionalFormatting>
  <conditionalFormatting sqref="E57:E77 E1:E6 E8:E45">
    <cfRule type="duplicateValues" dxfId="27" priority="8"/>
  </conditionalFormatting>
  <conditionalFormatting sqref="B11:B20 B31:B39">
    <cfRule type="duplicateValues" dxfId="26" priority="37"/>
  </conditionalFormatting>
  <conditionalFormatting sqref="B37:B39">
    <cfRule type="duplicateValues" dxfId="25" priority="38"/>
  </conditionalFormatting>
  <conditionalFormatting sqref="E44:E45 E1:E6 E8:E42 E57:E77">
    <cfRule type="duplicateValues" dxfId="24" priority="39"/>
    <cfRule type="duplicateValues" dxfId="23" priority="40"/>
  </conditionalFormatting>
  <conditionalFormatting sqref="E46:E49 E54:E55">
    <cfRule type="duplicateValues" dxfId="22" priority="1"/>
  </conditionalFormatting>
  <conditionalFormatting sqref="E46:E49 B46:B56 E54:E55">
    <cfRule type="duplicateValues" dxfId="21" priority="2"/>
  </conditionalFormatting>
  <conditionalFormatting sqref="E46:E49">
    <cfRule type="duplicateValues" dxfId="20" priority="3"/>
  </conditionalFormatting>
  <conditionalFormatting sqref="E46:E49 E54:E55">
    <cfRule type="duplicateValues" dxfId="19" priority="4"/>
    <cfRule type="duplicateValues" dxfId="18" priority="5"/>
  </conditionalFormatting>
  <conditionalFormatting sqref="B46:B56">
    <cfRule type="duplicateValues" dxfId="17" priority="6"/>
  </conditionalFormatting>
  <conditionalFormatting sqref="B46:B56">
    <cfRule type="duplicateValues" dxfId="16" priority="7"/>
  </conditionalFormatting>
  <conditionalFormatting sqref="B21:B22 E21:E22">
    <cfRule type="duplicateValues" dxfId="15" priority="41"/>
  </conditionalFormatting>
  <conditionalFormatting sqref="E21:E22">
    <cfRule type="duplicateValues" dxfId="14" priority="42"/>
  </conditionalFormatting>
  <conditionalFormatting sqref="B23:B24 E23:E24">
    <cfRule type="duplicateValues" dxfId="13" priority="43"/>
  </conditionalFormatting>
  <conditionalFormatting sqref="E23:E24">
    <cfRule type="duplicateValues" dxfId="12" priority="44"/>
  </conditionalFormatting>
  <conditionalFormatting sqref="B25:B26 E25:E26">
    <cfRule type="duplicateValues" dxfId="11" priority="45"/>
  </conditionalFormatting>
  <conditionalFormatting sqref="E25:E26">
    <cfRule type="duplicateValues" dxfId="10" priority="46"/>
  </conditionalFormatting>
  <conditionalFormatting sqref="B27:B28 E27:E28">
    <cfRule type="duplicateValues" dxfId="9" priority="47"/>
  </conditionalFormatting>
  <conditionalFormatting sqref="E27:E28">
    <cfRule type="duplicateValues" dxfId="8" priority="48"/>
  </conditionalFormatting>
  <conditionalFormatting sqref="B29:B30 E29:E30">
    <cfRule type="duplicateValues" dxfId="7" priority="49"/>
  </conditionalFormatting>
  <conditionalFormatting sqref="E29:E30">
    <cfRule type="duplicateValues" dxfId="6" priority="50"/>
  </conditionalFormatting>
  <conditionalFormatting sqref="B40:B42 E40:E42">
    <cfRule type="duplicateValues" dxfId="5" priority="51"/>
  </conditionalFormatting>
  <conditionalFormatting sqref="E40:E42">
    <cfRule type="duplicateValues" dxfId="4" priority="52"/>
  </conditionalFormatting>
  <conditionalFormatting sqref="E11:E20 E31:E39">
    <cfRule type="duplicateValues" dxfId="3" priority="53"/>
  </conditionalFormatting>
  <conditionalFormatting sqref="B11:B20 E31:E39 E11:E20 B31:B39">
    <cfRule type="duplicateValues" dxfId="2" priority="54"/>
  </conditionalFormatting>
  <conditionalFormatting sqref="B44:B45 B1:B10 E1:E6 E44:E45 E8:E10 E57:E77 B57:B77">
    <cfRule type="duplicateValues" dxfId="1" priority="55"/>
  </conditionalFormatting>
  <conditionalFormatting sqref="B1:B20 E1:E6 E31:E39 B31:B39 E44:E45 B44:B45 E8:E20 B57:B77 E57:E77">
    <cfRule type="duplicateValues" dxfId="0" priority="5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MINISTERIO SALUD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2021-08-13T11:08:57Z</dcterms:created>
  <dcterms:modified xsi:type="dcterms:W3CDTF">2021-08-13T11:09:30Z</dcterms:modified>
</cp:coreProperties>
</file>