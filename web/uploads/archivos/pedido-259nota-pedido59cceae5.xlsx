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PENDRIVE 2\Secretaria\TAREAS\Ministerio de Cultura y Turismo\AÑO 2021\Adq.Ropa de Trabajo\NOTA 2\"/>
    </mc:Choice>
  </mc:AlternateContent>
  <xr:revisionPtr revIDLastSave="0" documentId="13_ncr:1_{5D5662DC-747A-45CA-9F6B-7B86F332CDA2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Control ítems" sheetId="1" r:id="rId1"/>
    <sheet name="Solic.Gast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H53" i="1"/>
  <c r="H48" i="1"/>
  <c r="H38" i="1"/>
  <c r="H30" i="1"/>
  <c r="G14" i="1"/>
  <c r="G9" i="1"/>
  <c r="G8" i="1"/>
  <c r="G7" i="1"/>
  <c r="G6" i="1"/>
  <c r="A6" i="1"/>
  <c r="A7" i="1" s="1"/>
  <c r="A8" i="1" s="1"/>
  <c r="A9" i="1" s="1"/>
  <c r="G5" i="1"/>
  <c r="G12" i="1" s="1"/>
</calcChain>
</file>

<file path=xl/sharedStrings.xml><?xml version="1.0" encoding="utf-8"?>
<sst xmlns="http://schemas.openxmlformats.org/spreadsheetml/2006/main" count="61" uniqueCount="44">
  <si>
    <t>ID</t>
  </si>
  <si>
    <t>CODIGO ITEM</t>
  </si>
  <si>
    <t>UNIDAD DE MEDIDA</t>
  </si>
  <si>
    <t>CANTIDAD</t>
  </si>
  <si>
    <t>PRECIO UNITARIO ESTIMADO</t>
  </si>
  <si>
    <t xml:space="preserve">IMPORTE TOTAL ESTIMADO </t>
  </si>
  <si>
    <t>2.2.2-6728.11</t>
  </si>
  <si>
    <t>CALZADO DE SEGURIDAD; SUELA: GOMA, MATERIAL: CUERO, TIPO: BOTIN MODELO FRANCES, PUNTERA: CON</t>
  </si>
  <si>
    <t>PAR</t>
  </si>
  <si>
    <t>2.2.2-6731.95</t>
  </si>
  <si>
    <t>CAMISAS; TIPO: DE TRABAJO, TELA: GRAFA, MANGA: LARGA, COSTURA: DOBLE, BOLSILLO: 2</t>
  </si>
  <si>
    <t>UNIDAD</t>
  </si>
  <si>
    <t>2.2.2-6738.22</t>
  </si>
  <si>
    <t>PANTALONES; TELA: GRAFA, SEXO: MASCULINO, TIPO: DE TRABAJO</t>
  </si>
  <si>
    <t>2.2.2-2859.23</t>
  </si>
  <si>
    <t>REMERAS; MATERIAL PIQUE - MANGA CORTA</t>
  </si>
  <si>
    <t>2.2.2-6734.94</t>
  </si>
  <si>
    <t>CAMPERAS; CIERRE: CON, CAPUCHA: CON, TIPO: TERMICA, MATERIAL: TRUCKER</t>
  </si>
  <si>
    <t>DESCRIPCION S/NEC.TRIMESTRALES Y Npe N° 13/2021</t>
  </si>
  <si>
    <t>DESCRIPCION S/CATALOGO COMPR.AR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</si>
  <si>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</si>
  <si>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</si>
  <si>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</si>
  <si>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</si>
  <si>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</si>
  <si>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CAMISAS; TIPO: DE TRABAJO, TELA: GRAFA 100% ALGODON, MANGA: LARGA, COSTURA: REFORZADA, BOLSILLO: 2;  COLOR: BEIGE O VERDE, LOGO: ESTAMPADO DE MINISTERIO DE CULTURA Y TURISMO EN EL BOLSILLO IZQUIERDO, GENERO: MASCULINO, TAMAŃO DE LOGO: 8 CM. DE LARGO X 6 CM. DE ANCHO, VARIOS TALLES.</t>
  </si>
  <si>
    <t>PANTALONES; TELA: GRAFA 100% ALGODÓN, SEXO: MASCULINO, TIPO: DE TRABAJO; COLOR: BEIGE O VERDE, BOLSILLOS: 2 DELANTEROS Y 2 TRASEROS, SIN ESTAMPA.</t>
  </si>
  <si>
    <t>REMERAS; MATERIAL: PIQUE; MANGA: CORTA; LOGO ESTAMPADO DEL MINISTERIO  DE CULTURA Y TURISMO EN SECTOR IZQUIERDO FRENTE DE LA REMERA DE 8 CM. DE LARGO POR 6 CM. DE ANCHO; GENERO: MASCULINO; VARIOS TALLES.</t>
  </si>
  <si>
    <t>CAMPERAS; CIERRE: CON; CAPUCHA: CON; TIPO: TERMICA; MATERIAL: TRUCKER; GENERO: MASCULINO; COLOR: NEGRO; LOGO: ESTAMPADO  DEL MINISTERIO  DE CULTURA Y TURISMO SECTOR IZQUIERDO FRENTE DE LA CAMPERA, VARIOS TALLES.</t>
  </si>
  <si>
    <t>Plazo y Lugar de Entrega:</t>
  </si>
  <si>
    <r>
      <rPr>
        <b/>
        <u/>
        <sz val="11"/>
        <color theme="1"/>
        <rFont val="Calibri"/>
        <family val="2"/>
        <scheme val="minor"/>
      </rPr>
      <t>Entrega:</t>
    </r>
    <r>
      <rPr>
        <sz val="11"/>
        <color theme="1"/>
        <rFont val="Calibri"/>
        <family val="2"/>
        <scheme val="minor"/>
      </rPr>
      <t xml:space="preserve"> dentro de los Treinta (30) días de recepcíonada la Orden de Compra -  </t>
    </r>
    <r>
      <rPr>
        <b/>
        <u/>
        <sz val="11"/>
        <color theme="1"/>
        <rFont val="Calibri"/>
        <family val="2"/>
        <scheme val="minor"/>
      </rPr>
      <t>Lugar:</t>
    </r>
    <r>
      <rPr>
        <sz val="11"/>
        <color theme="1"/>
        <rFont val="Calibri"/>
        <family val="2"/>
        <scheme val="minor"/>
      </rPr>
      <t xml:space="preserve"> Ministerio de Cultura y Turismo sito en  Avda. Mexico S/N- Predio Ferial Catamarca-  Ciudad de San Fernando del Valle de Catamarca.-</t>
    </r>
  </si>
  <si>
    <r>
      <rPr>
        <b/>
        <u/>
        <sz val="14"/>
        <color theme="1"/>
        <rFont val="Calibri"/>
        <family val="2"/>
        <scheme val="minor"/>
      </rPr>
      <t>NO-2021-00254821-CAT-DPARH#MCT</t>
    </r>
    <r>
      <rPr>
        <b/>
        <sz val="14"/>
        <color theme="1"/>
        <rFont val="Calibri"/>
        <family val="2"/>
        <scheme val="minor"/>
      </rPr>
      <t xml:space="preserve"> (ADQ.ROPA DE TRABAJO-Minist.Cultura y Turismo)</t>
    </r>
  </si>
  <si>
    <r>
      <t xml:space="preserve">CALZADO DE SEGURIDAD; SUELA: GOMA, MATERIAL: CUERO, TIPO: BOTÍN MODELO FRANCES, PUNTERA: CON </t>
    </r>
    <r>
      <rPr>
        <b/>
        <sz val="8"/>
        <rFont val="Calibri"/>
        <family val="2"/>
        <scheme val="minor"/>
      </rPr>
      <t>ACERO, GENERO: HOMBRE, VARIOS TALLES</t>
    </r>
    <r>
      <rPr>
        <sz val="8"/>
        <rFont val="Calibri"/>
        <family val="2"/>
        <scheme val="minor"/>
      </rPr>
      <t>.</t>
    </r>
  </si>
  <si>
    <t>control suma</t>
  </si>
  <si>
    <t>TALLES</t>
  </si>
  <si>
    <t>ÍTEM 1</t>
  </si>
  <si>
    <t>ÍTEM 2</t>
  </si>
  <si>
    <t>ÍTEM 3</t>
  </si>
  <si>
    <t>ÍTEM 4</t>
  </si>
  <si>
    <t>L</t>
  </si>
  <si>
    <t>XL</t>
  </si>
  <si>
    <t>XXL</t>
  </si>
  <si>
    <t>ÍTEM 5</t>
  </si>
  <si>
    <t>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</si>
</sst>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44" fontId="2" fillId="4" borderId="1" xfId="1" applyFont="1" applyFill="1" applyBorder="1"/>
    <xf numFmtId="164" fontId="2" fillId="4" borderId="1" xfId="0" applyNumberFormat="1" applyFont="1" applyFill="1" applyBorder="1"/>
    <xf numFmtId="0" fontId="7" fillId="0" borderId="2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0" fillId="0" borderId="2" xfId="0" applyBorder="1" applyAlignment="1">
      <alignment horizontal="left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164" fontId="3" fillId="0" borderId="12" xfId="1" applyNumberFormat="1" applyFont="1" applyBorder="1" applyAlignment="1" applyProtection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1" fontId="4" fillId="0" borderId="14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Fill="1" applyBorder="1" applyAlignment="1">
      <alignment horizontal="center" vertical="center" wrapText="1"/>
    </xf>
    <xf numFmtId="164" fontId="3" fillId="0" borderId="15" xfId="1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8" fillId="6" borderId="7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8" fillId="9" borderId="7" xfId="0" applyFont="1" applyFill="1" applyBorder="1" applyAlignment="1">
      <alignment vertical="center" wrapText="1"/>
    </xf>
    <xf numFmtId="0" fontId="8" fillId="10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</xdr:row>
      <xdr:rowOff>47624</xdr:rowOff>
    </xdr:from>
    <xdr:to>
      <xdr:col>5</xdr:col>
      <xdr:colOff>914401</xdr:colOff>
      <xdr:row>57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02B979-C9F8-4F93-8BAE-33FABCA7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515099"/>
          <a:ext cx="8124826" cy="7562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695325</xdr:colOff>
      <xdr:row>66</xdr:row>
      <xdr:rowOff>24654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DF130-80CE-4A4E-9DA6-BCDED25C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15325" cy="12597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9"/>
  <sheetViews>
    <sheetView workbookViewId="0">
      <selection activeCell="G12" sqref="G12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69" customWidth="1"/>
    <col min="4" max="4" width="11.42578125" customWidth="1"/>
    <col min="5" max="5" width="11" customWidth="1"/>
    <col min="6" max="6" width="13.85546875" customWidth="1"/>
    <col min="7" max="7" width="15.7109375" customWidth="1"/>
    <col min="8" max="8" width="14.42578125" customWidth="1"/>
    <col min="9" max="9" width="36.140625" customWidth="1"/>
    <col min="10" max="10" width="5.28515625" customWidth="1"/>
    <col min="11" max="11" width="4.7109375" customWidth="1"/>
    <col min="12" max="12" width="12.5703125" customWidth="1"/>
    <col min="13" max="13" width="69" customWidth="1"/>
  </cols>
  <sheetData>
    <row r="2" spans="1:13" ht="18.75" x14ac:dyDescent="0.3">
      <c r="B2" s="22" t="s">
        <v>31</v>
      </c>
    </row>
    <row r="3" spans="1:13" ht="15.75" thickBot="1" x14ac:dyDescent="0.3"/>
    <row r="4" spans="1:13" ht="45.75" thickBot="1" x14ac:dyDescent="0.3">
      <c r="A4" s="24" t="s">
        <v>0</v>
      </c>
      <c r="B4" s="25" t="s">
        <v>1</v>
      </c>
      <c r="C4" s="25" t="s">
        <v>18</v>
      </c>
      <c r="D4" s="25" t="s">
        <v>2</v>
      </c>
      <c r="E4" s="25" t="s">
        <v>3</v>
      </c>
      <c r="F4" s="25" t="s">
        <v>4</v>
      </c>
      <c r="G4" s="26" t="s">
        <v>5</v>
      </c>
      <c r="K4" s="13" t="s">
        <v>0</v>
      </c>
      <c r="L4" s="14" t="s">
        <v>1</v>
      </c>
      <c r="M4" s="15" t="s">
        <v>19</v>
      </c>
    </row>
    <row r="5" spans="1:13" ht="34.5" x14ac:dyDescent="0.25">
      <c r="A5" s="27">
        <v>1</v>
      </c>
      <c r="B5" s="16" t="s">
        <v>6</v>
      </c>
      <c r="C5" s="17" t="s">
        <v>7</v>
      </c>
      <c r="D5" s="1" t="s">
        <v>8</v>
      </c>
      <c r="E5" s="2">
        <v>19</v>
      </c>
      <c r="F5" s="3">
        <v>4200</v>
      </c>
      <c r="G5" s="28">
        <f>E5*F5</f>
        <v>79800</v>
      </c>
      <c r="H5" s="47" t="s">
        <v>20</v>
      </c>
      <c r="I5" s="20" t="s">
        <v>32</v>
      </c>
      <c r="K5" s="11">
        <v>1</v>
      </c>
      <c r="L5" s="11" t="s">
        <v>6</v>
      </c>
      <c r="M5" s="12" t="s">
        <v>7</v>
      </c>
    </row>
    <row r="6" spans="1:13" ht="79.5" x14ac:dyDescent="0.25">
      <c r="A6" s="27">
        <f>A5+1</f>
        <v>2</v>
      </c>
      <c r="B6" s="16" t="s">
        <v>9</v>
      </c>
      <c r="C6" s="17" t="s">
        <v>10</v>
      </c>
      <c r="D6" s="1" t="s">
        <v>11</v>
      </c>
      <c r="E6" s="4">
        <v>43</v>
      </c>
      <c r="F6" s="5">
        <v>1340</v>
      </c>
      <c r="G6" s="28">
        <f t="shared" ref="G6:G9" si="0">E6*F6</f>
        <v>57620</v>
      </c>
      <c r="H6" s="48" t="s">
        <v>21</v>
      </c>
      <c r="I6" s="20" t="s">
        <v>25</v>
      </c>
      <c r="K6" s="6">
        <v>2</v>
      </c>
      <c r="L6" s="6" t="s">
        <v>9</v>
      </c>
      <c r="M6" s="10" t="s">
        <v>10</v>
      </c>
    </row>
    <row r="7" spans="1:13" ht="45.75" x14ac:dyDescent="0.25">
      <c r="A7" s="27">
        <f>A6+1</f>
        <v>3</v>
      </c>
      <c r="B7" s="16" t="s">
        <v>12</v>
      </c>
      <c r="C7" s="17" t="s">
        <v>13</v>
      </c>
      <c r="D7" s="1" t="s">
        <v>11</v>
      </c>
      <c r="E7" s="4">
        <v>43</v>
      </c>
      <c r="F7" s="5">
        <v>1350</v>
      </c>
      <c r="G7" s="28">
        <f t="shared" si="0"/>
        <v>58050</v>
      </c>
      <c r="H7" s="49" t="s">
        <v>22</v>
      </c>
      <c r="I7" s="20" t="s">
        <v>26</v>
      </c>
      <c r="K7" s="6">
        <v>3</v>
      </c>
      <c r="L7" s="6" t="s">
        <v>12</v>
      </c>
      <c r="M7" s="9" t="s">
        <v>13</v>
      </c>
    </row>
    <row r="8" spans="1:13" ht="57" x14ac:dyDescent="0.25">
      <c r="A8" s="27">
        <f t="shared" ref="A8:A9" si="1">A7+1</f>
        <v>4</v>
      </c>
      <c r="B8" s="16" t="s">
        <v>14</v>
      </c>
      <c r="C8" s="17" t="s">
        <v>15</v>
      </c>
      <c r="D8" s="1" t="s">
        <v>11</v>
      </c>
      <c r="E8" s="4">
        <v>19</v>
      </c>
      <c r="F8" s="5">
        <v>1590</v>
      </c>
      <c r="G8" s="28">
        <f t="shared" si="0"/>
        <v>30210</v>
      </c>
      <c r="H8" s="50" t="s">
        <v>23</v>
      </c>
      <c r="I8" s="20" t="s">
        <v>27</v>
      </c>
      <c r="K8" s="6">
        <v>4</v>
      </c>
      <c r="L8" s="6" t="s">
        <v>14</v>
      </c>
      <c r="M8" s="7" t="s">
        <v>15</v>
      </c>
    </row>
    <row r="9" spans="1:13" ht="57.75" thickBot="1" x14ac:dyDescent="0.3">
      <c r="A9" s="29">
        <f t="shared" si="1"/>
        <v>5</v>
      </c>
      <c r="B9" s="30" t="s">
        <v>16</v>
      </c>
      <c r="C9" s="31" t="s">
        <v>17</v>
      </c>
      <c r="D9" s="32" t="s">
        <v>11</v>
      </c>
      <c r="E9" s="33">
        <v>19</v>
      </c>
      <c r="F9" s="34">
        <v>4590</v>
      </c>
      <c r="G9" s="35">
        <f t="shared" si="0"/>
        <v>87210</v>
      </c>
      <c r="H9" s="51" t="s">
        <v>24</v>
      </c>
      <c r="I9" s="20" t="s">
        <v>28</v>
      </c>
      <c r="K9" s="6">
        <v>5</v>
      </c>
      <c r="L9" s="6" t="s">
        <v>16</v>
      </c>
      <c r="M9" s="8" t="s">
        <v>17</v>
      </c>
    </row>
    <row r="11" spans="1:13" ht="15.75" thickBot="1" x14ac:dyDescent="0.3"/>
    <row r="12" spans="1:13" ht="15.75" thickBot="1" x14ac:dyDescent="0.3">
      <c r="F12" t="s">
        <v>33</v>
      </c>
      <c r="G12" s="19">
        <f>SUM(G5:G11)</f>
        <v>312890</v>
      </c>
    </row>
    <row r="13" spans="1:13" ht="15.75" thickBot="1" x14ac:dyDescent="0.3">
      <c r="B13" s="21" t="s">
        <v>29</v>
      </c>
    </row>
    <row r="14" spans="1:13" ht="15.75" thickBot="1" x14ac:dyDescent="0.3">
      <c r="B14" s="23" t="s">
        <v>30</v>
      </c>
      <c r="C14" s="23"/>
      <c r="D14" s="23"/>
      <c r="E14" s="23"/>
      <c r="G14" s="18">
        <f>SUMPRODUCT(E5:E9*F5:F9)</f>
        <v>312890</v>
      </c>
    </row>
    <row r="15" spans="1:13" x14ac:dyDescent="0.25">
      <c r="B15" s="23"/>
      <c r="C15" s="23"/>
      <c r="D15" s="23"/>
      <c r="E15" s="23"/>
    </row>
    <row r="17" spans="2:8" ht="15.75" thickBot="1" x14ac:dyDescent="0.3"/>
    <row r="18" spans="2:8" ht="21.75" thickBot="1" x14ac:dyDescent="0.4">
      <c r="B18" s="44" t="s">
        <v>34</v>
      </c>
      <c r="C18" s="45"/>
      <c r="D18" s="45"/>
      <c r="E18" s="45"/>
      <c r="F18" s="45"/>
      <c r="G18" s="45"/>
      <c r="H18" s="46"/>
    </row>
    <row r="21" spans="2:8" ht="15.75" thickBot="1" x14ac:dyDescent="0.3"/>
    <row r="22" spans="2:8" x14ac:dyDescent="0.25">
      <c r="G22" s="52" t="s">
        <v>35</v>
      </c>
      <c r="H22" s="53"/>
    </row>
    <row r="23" spans="2:8" x14ac:dyDescent="0.25">
      <c r="G23" s="38">
        <v>35</v>
      </c>
      <c r="H23" s="39">
        <v>1</v>
      </c>
    </row>
    <row r="24" spans="2:8" x14ac:dyDescent="0.25">
      <c r="G24" s="38">
        <v>36</v>
      </c>
      <c r="H24" s="39">
        <v>1</v>
      </c>
    </row>
    <row r="25" spans="2:8" x14ac:dyDescent="0.25">
      <c r="G25" s="38">
        <v>41</v>
      </c>
      <c r="H25" s="39">
        <v>6</v>
      </c>
    </row>
    <row r="26" spans="2:8" x14ac:dyDescent="0.25">
      <c r="G26" s="38">
        <v>42</v>
      </c>
      <c r="H26" s="39">
        <v>5</v>
      </c>
    </row>
    <row r="27" spans="2:8" x14ac:dyDescent="0.25">
      <c r="G27" s="38">
        <v>43</v>
      </c>
      <c r="H27" s="39">
        <v>2</v>
      </c>
    </row>
    <row r="28" spans="2:8" x14ac:dyDescent="0.25">
      <c r="G28" s="38">
        <v>44</v>
      </c>
      <c r="H28" s="39">
        <v>3</v>
      </c>
    </row>
    <row r="29" spans="2:8" ht="15.75" thickBot="1" x14ac:dyDescent="0.3">
      <c r="G29" s="40">
        <v>45</v>
      </c>
      <c r="H29" s="41">
        <v>1</v>
      </c>
    </row>
    <row r="30" spans="2:8" ht="15.75" thickBot="1" x14ac:dyDescent="0.3">
      <c r="G30" s="36"/>
      <c r="H30" s="37">
        <f>SUM(H23:H29)</f>
        <v>19</v>
      </c>
    </row>
    <row r="31" spans="2:8" x14ac:dyDescent="0.25">
      <c r="G31" s="54" t="s">
        <v>36</v>
      </c>
      <c r="H31" s="55"/>
    </row>
    <row r="32" spans="2:8" x14ac:dyDescent="0.25">
      <c r="G32" s="38">
        <v>42</v>
      </c>
      <c r="H32" s="39">
        <v>6</v>
      </c>
    </row>
    <row r="33" spans="7:8" x14ac:dyDescent="0.25">
      <c r="G33" s="38">
        <v>46</v>
      </c>
      <c r="H33" s="39">
        <v>11</v>
      </c>
    </row>
    <row r="34" spans="7:8" x14ac:dyDescent="0.25">
      <c r="G34" s="38">
        <v>48</v>
      </c>
      <c r="H34" s="39">
        <v>3</v>
      </c>
    </row>
    <row r="35" spans="7:8" x14ac:dyDescent="0.25">
      <c r="G35" s="38">
        <v>50</v>
      </c>
      <c r="H35" s="39">
        <v>16</v>
      </c>
    </row>
    <row r="36" spans="7:8" x14ac:dyDescent="0.25">
      <c r="G36" s="38">
        <v>54</v>
      </c>
      <c r="H36" s="39">
        <v>6</v>
      </c>
    </row>
    <row r="37" spans="7:8" ht="15.75" thickBot="1" x14ac:dyDescent="0.3">
      <c r="G37" s="40">
        <v>58</v>
      </c>
      <c r="H37" s="41">
        <v>1</v>
      </c>
    </row>
    <row r="38" spans="7:8" ht="15.75" thickBot="1" x14ac:dyDescent="0.3">
      <c r="G38" s="36"/>
      <c r="H38" s="37">
        <f>SUM(H32:H37)</f>
        <v>43</v>
      </c>
    </row>
    <row r="39" spans="7:8" x14ac:dyDescent="0.25">
      <c r="G39" s="56" t="s">
        <v>37</v>
      </c>
      <c r="H39" s="57"/>
    </row>
    <row r="40" spans="7:8" x14ac:dyDescent="0.25">
      <c r="G40" s="42">
        <v>42</v>
      </c>
      <c r="H40" s="43">
        <v>7</v>
      </c>
    </row>
    <row r="41" spans="7:8" x14ac:dyDescent="0.25">
      <c r="G41" s="38">
        <v>44</v>
      </c>
      <c r="H41" s="39">
        <v>7</v>
      </c>
    </row>
    <row r="42" spans="7:8" x14ac:dyDescent="0.25">
      <c r="G42" s="38">
        <v>46</v>
      </c>
      <c r="H42" s="39">
        <v>6</v>
      </c>
    </row>
    <row r="43" spans="7:8" x14ac:dyDescent="0.25">
      <c r="G43" s="38">
        <v>48</v>
      </c>
      <c r="H43" s="39">
        <v>12</v>
      </c>
    </row>
    <row r="44" spans="7:8" x14ac:dyDescent="0.25">
      <c r="G44" s="38">
        <v>50</v>
      </c>
      <c r="H44" s="39">
        <v>4</v>
      </c>
    </row>
    <row r="45" spans="7:8" x14ac:dyDescent="0.25">
      <c r="G45" s="38">
        <v>52</v>
      </c>
      <c r="H45" s="39">
        <v>4</v>
      </c>
    </row>
    <row r="46" spans="7:8" x14ac:dyDescent="0.25">
      <c r="G46" s="38">
        <v>54</v>
      </c>
      <c r="H46" s="39">
        <v>2</v>
      </c>
    </row>
    <row r="47" spans="7:8" ht="15.75" thickBot="1" x14ac:dyDescent="0.3">
      <c r="G47" s="40">
        <v>56</v>
      </c>
      <c r="H47" s="41">
        <v>1</v>
      </c>
    </row>
    <row r="48" spans="7:8" ht="15.75" thickBot="1" x14ac:dyDescent="0.3">
      <c r="H48" s="37">
        <f>SUM(H40:H47)</f>
        <v>43</v>
      </c>
    </row>
    <row r="49" spans="7:8" x14ac:dyDescent="0.25">
      <c r="G49" s="58" t="s">
        <v>38</v>
      </c>
      <c r="H49" s="59"/>
    </row>
    <row r="50" spans="7:8" x14ac:dyDescent="0.25">
      <c r="G50" s="38" t="s">
        <v>39</v>
      </c>
      <c r="H50" s="39">
        <v>3</v>
      </c>
    </row>
    <row r="51" spans="7:8" x14ac:dyDescent="0.25">
      <c r="G51" s="38" t="s">
        <v>40</v>
      </c>
      <c r="H51" s="39">
        <v>11</v>
      </c>
    </row>
    <row r="52" spans="7:8" ht="15.75" thickBot="1" x14ac:dyDescent="0.3">
      <c r="G52" s="40" t="s">
        <v>41</v>
      </c>
      <c r="H52" s="41">
        <v>5</v>
      </c>
    </row>
    <row r="53" spans="7:8" x14ac:dyDescent="0.25">
      <c r="H53" s="37">
        <f>SUM(H50:H52)</f>
        <v>19</v>
      </c>
    </row>
    <row r="54" spans="7:8" ht="15.75" thickBot="1" x14ac:dyDescent="0.3"/>
    <row r="55" spans="7:8" x14ac:dyDescent="0.25">
      <c r="G55" s="60" t="s">
        <v>42</v>
      </c>
      <c r="H55" s="61"/>
    </row>
    <row r="56" spans="7:8" x14ac:dyDescent="0.25">
      <c r="G56" s="38" t="s">
        <v>40</v>
      </c>
      <c r="H56" s="39">
        <v>3</v>
      </c>
    </row>
    <row r="57" spans="7:8" x14ac:dyDescent="0.25">
      <c r="G57" s="38" t="s">
        <v>41</v>
      </c>
      <c r="H57" s="39">
        <v>10</v>
      </c>
    </row>
    <row r="58" spans="7:8" ht="15.75" thickBot="1" x14ac:dyDescent="0.3">
      <c r="G58" s="40" t="s">
        <v>43</v>
      </c>
      <c r="H58" s="41">
        <v>6</v>
      </c>
    </row>
    <row r="59" spans="7:8" x14ac:dyDescent="0.25">
      <c r="H59" s="37">
        <f>SUM(H56:H58)</f>
        <v>19</v>
      </c>
    </row>
  </sheetData>
  <mergeCells count="7">
    <mergeCell ref="G55:H55"/>
    <mergeCell ref="B18:H18"/>
    <mergeCell ref="B14:E15"/>
    <mergeCell ref="G22:H22"/>
    <mergeCell ref="G31:H31"/>
    <mergeCell ref="G39:H39"/>
    <mergeCell ref="G49:H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7D13-319F-4AF0-A636-876B15A051BB}">
  <dimension ref="A1"/>
  <sheetViews>
    <sheetView tabSelected="1" topLeftCell="A10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Solic.Gasto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USUARIO</cp:lastModifiedBy>
  <dcterms:created xsi:type="dcterms:W3CDTF">2021-04-03T00:52:23Z</dcterms:created>
  <dcterms:modified xsi:type="dcterms:W3CDTF">2021-04-05T13:46:44Z</dcterms:modified>
</cp:coreProperties>
</file>