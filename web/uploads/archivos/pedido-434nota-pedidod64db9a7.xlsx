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mc:AlternateContent xmlns:mc="http://schemas.openxmlformats.org/markup-compatibility/2006">
    <mc:Choice Requires="x15">
      <x15ac:absPath xmlns:x15ac="http://schemas.microsoft.com/office/spreadsheetml/2010/11/ac" url="C:\Users\COMPRAS\Downloads\"/>
    </mc:Choice>
  </mc:AlternateContent>
  <xr:revisionPtr revIDLastSave="0" documentId="13_ncr:1_{953F20A8-5A90-4FA8-9D4B-96B2896477A1}" xr6:coauthVersionLast="46" xr6:coauthVersionMax="46" xr10:uidLastSave="{00000000-0000-0000-0000-000000000000}"/>
  <bookViews>
    <workbookView xWindow="-120" yWindow="-120" windowWidth="29040" windowHeight="15840" tabRatio="500" xr2:uid="{00000000-000D-0000-FFFF-FFFF00000000}"/>
  </bookViews>
  <sheets>
    <sheet name="NOTA TRIMESTRAL" sheetId="3" r:id="rId1"/>
    <sheet name="NOTA DE PEDIDO" sheetId="4" r:id="rId2"/>
    <sheet name="Autor Gastar" sheetId="2" r:id="rId3"/>
  </sheets>
  <definedNames>
    <definedName name="_xlnm.Print_Area" localSheetId="2">'Autor Gastar'!$A$1:$Q$35</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J45" i="4" l="1"/>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Q31" i="2" l="1"/>
</calcChain>
</file>

<file path=xl/sharedStrings.xml><?xml version="1.0" encoding="utf-8"?>
<sst xmlns="http://schemas.openxmlformats.org/spreadsheetml/2006/main" count="554" uniqueCount="192">
  <si>
    <t>SAF:</t>
  </si>
  <si>
    <t>UNIDAD EJECUTORA:</t>
  </si>
  <si>
    <t xml:space="preserve">DEPENDENCIA SOLICITANTE: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</si>
  <si>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</si>
  <si>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</si>
  <si>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</si>
  <si>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</si>
  <si>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</si>
  <si>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</si>
  <si>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</si>
  <si>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</si>
  <si>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</si>
  <si>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</si>
  <si>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</si>
  <si>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</si>
  <si>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</si>
  <si>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</si>
  <si>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</si>
  <si>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</si>
  <si>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</si>
  <si>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</si>
  <si>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</si>
  <si>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</si>
  <si>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</si>
  <si>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</si>
  <si>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</si>
  <si>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1.1</t>
  </si>
  <si>
    <t>70 - MINISTERIO DE CIENCIA E INNOVACION TECNOLOGICA</t>
  </si>
  <si>
    <t>20 - MINISTERIO DE CIENCIA E INNOVACION TECNOLOGICA</t>
  </si>
  <si>
    <t>MINISTERIO DE CIENCIA E INNOVACION TECNOLOGICA</t>
  </si>
  <si>
    <t>DIRECCION PROVINCIAL DE GESTION ADMINISTRATVA</t>
  </si>
  <si>
    <t>Autorizo la realización de los  trámites correspondientes, a fin de proveer a  este Organismo los bienes, servicios o ejecución de obras públicas que se detallan en Nota  de Pedido N° 032/20 ,  conforme al siguiente detalle:</t>
  </si>
  <si>
    <t>1.12</t>
  </si>
  <si>
    <t>1.13</t>
  </si>
  <si>
    <t>1.14</t>
  </si>
  <si>
    <t>1.15</t>
  </si>
  <si>
    <t>1.16</t>
  </si>
  <si>
    <t>Productos Ferrosos</t>
  </si>
  <si>
    <t>Estructuras Metalicas Acabadas</t>
  </si>
  <si>
    <t>Otros nep</t>
  </si>
  <si>
    <t>Productos de Arcilla y Ceramica</t>
  </si>
  <si>
    <t>Productos de Loza y Porcelana</t>
  </si>
  <si>
    <t>Cemento, Cal y Yeso</t>
  </si>
  <si>
    <t>Tintas Pinturas y Colorantes</t>
  </si>
  <si>
    <t>Productos de Material Plastico</t>
  </si>
  <si>
    <t>Pedido de Necesidades Trimestrales</t>
  </si>
  <si>
    <t>JURISDICCION:</t>
  </si>
  <si>
    <t xml:space="preserve">SAF N°: </t>
  </si>
  <si>
    <t>TRIMESTRE:</t>
  </si>
  <si>
    <t>ID</t>
  </si>
  <si>
    <t>CODIGO ITEM</t>
  </si>
  <si>
    <t>RUBRO DE COMPRA</t>
  </si>
  <si>
    <t xml:space="preserve">I.P.P. </t>
  </si>
  <si>
    <t>DESCRIPCION</t>
  </si>
  <si>
    <t>UNIDAD DE MEDIDA</t>
  </si>
  <si>
    <t>CANTIDAD</t>
  </si>
  <si>
    <t>PRECIO UNITARIO ESTIMADO</t>
  </si>
  <si>
    <t xml:space="preserve">IMPORTE TOTAL ESTIMADO </t>
  </si>
  <si>
    <t>2.7.1-2673.104</t>
  </si>
  <si>
    <t>FERRETERIA</t>
  </si>
  <si>
    <t>BARRAS DE ACERO; TIPO: REDONDA TORSIONADA, DIAMETRO: 6 mm, LONG.DE CUERPO: 12 M, CALIDAD: SAE1010/1020</t>
  </si>
  <si>
    <t>UNIDAD</t>
  </si>
  <si>
    <t>BARRAS DE ACERO; TIPO: REDONDA TORSIONADA, DIAMETRO: 12 mm, LONG.DE CUERPO: 12 M, CALIDAD: SAE 1010/1020</t>
  </si>
  <si>
    <t>2.7.1-2271.3</t>
  </si>
  <si>
    <t>MATERIALES DE CONSTRUCCION</t>
  </si>
  <si>
    <t>MALLAS DE ACERO; DIAMETRO: 6 mm, SECCION: 0,15 X 0,15 M, UNION: ELECTROSOLDADO</t>
  </si>
  <si>
    <t>2.7.1-256.20</t>
  </si>
  <si>
    <t>ALAMBRES DE HIERRO; DIAMETRO: Nº 17, SECCION: CIRCULAR, TRATAM ALAMBRE: RECOCIDO, TRATAMIENTO: RECOCIDO</t>
  </si>
  <si>
    <t>PILAR DE LUZ PREMOLDEADO</t>
  </si>
  <si>
    <t>2.7.9-6409.10</t>
  </si>
  <si>
    <t>TANQUES DE AGUA; MATERIAL: PVC, CAPACIDAD: 1100 L, DIAMETRO: 1,17 M, ALTURA: 1,25 M</t>
  </si>
  <si>
    <t>2.7.4-5082.2</t>
  </si>
  <si>
    <t>CARPINTERIA</t>
  </si>
  <si>
    <t>PUERTAS P/TABIQUERIA DE ALUM.; MATERIAL: PLACA ENCHAPADA, TIPO: 1 HOJA, MEDIDAS: 210 X 80 Cm, DIMENSION: 210 X 80 Cm</t>
  </si>
  <si>
    <t>2.7.1-331.118</t>
  </si>
  <si>
    <t>CHAPAS GALVANIZADAS; ANCHO: 1100 mm, CALIBRE BWG: 25, LARGO: 6 M</t>
  </si>
  <si>
    <t>2.6.5-335.41</t>
  </si>
  <si>
    <t>CEMENTO PORTLAND; TIPO: NORMAL, CANT. PLIEGOS BOLSA: 5, PRESENTACION: BOLSA X 50 Kg</t>
  </si>
  <si>
    <t>2.6.5-1741.1</t>
  </si>
  <si>
    <t>CAL; PRESENTACION: BOLSA 25 Kg, USO: CONSTRUCCION, TIPO: SIN VALOR</t>
  </si>
  <si>
    <t>2.6.1-716.10</t>
  </si>
  <si>
    <t>LADRILLOS CERAMICOS HUECOS; DIMENSION: 18 X 18 X 33 Cm</t>
  </si>
  <si>
    <t>2.6.5-8482.1</t>
  </si>
  <si>
    <t>MEZCLAS P/REVOQUE; COMPOSICION: ARENA FINA-CAL-CEMENTO, PRESENTACION: ENVASE X 30 Kg</t>
  </si>
  <si>
    <t>2.5.5-6979.21</t>
  </si>
  <si>
    <t>PINTURAS</t>
  </si>
  <si>
    <t>PINTURAS; TIPO: ASFALTICA, PRESENTACION: ENVASE X 18 L</t>
  </si>
  <si>
    <t>2.5.9-1240.1</t>
  </si>
  <si>
    <t>MEMBRANAS IMPERMEABILIZANTES; ALMA: POLIESTER 140 G/M2, LARGO ROLLO: 10 M, DENSIDAD: 3200 GR/M2, CARGA ROTURA LONG: 124 N/CM, CARGA ROTURA TRANS: 84 N/CM, ELONGACION LONG: 79 %, ELONGACION TRANSV.: 77 %, RESIST. IMPACTO: 2,45 J, ESPESOR: 3,10 mm, LARGO: 10 M, ANCHO: 101 Cm, ANCHO PANEL: 101 Cm</t>
  </si>
  <si>
    <t>ROLLOS DE TEJIDO ROMBO 12X50X2MTSX 10 MTS</t>
  </si>
  <si>
    <t>POSTES DE HORMIGON; TIPO: PUNTUAL, LARGO: 240 Cm, SECCION: 7 X 8 Cm, ACCESORIO: SIN</t>
  </si>
  <si>
    <t>2.5.5-6979.254</t>
  </si>
  <si>
    <t>PINTURAS; TIPO: LATEX, PRESENTACION: ENVASE X 20 L, COMPUESTOS VOLATILES: SIN, PORCENTAJE DE PLOMO: 0 %</t>
  </si>
  <si>
    <t>2.5.5-570.67</t>
  </si>
  <si>
    <t>ESMALTES SINTETICOS; CAPACIDAD: LATA X 20 L, PRESENTACION: ENVASE X 20 L</t>
  </si>
  <si>
    <t>2.5.5-570.34</t>
  </si>
  <si>
    <t>ESMALTES SINTETICOS; CAPACIDAD: LATA X 4 L, PRESENTACION: ENVASE X 4 L</t>
  </si>
  <si>
    <t>2.5.5</t>
  </si>
  <si>
    <t>2.6.3-835.3</t>
  </si>
  <si>
    <t>SANITARIOS, PLOMERIA Y GAS</t>
  </si>
  <si>
    <t>INODOROS; MATERIAL: ACERO PORCELANIZADO, LARGO X ANCHO: 650 X 430 mm, TIPO DESCARGA: DEPOSITO A CODO, TIPO: LARGO, COLOR: BLANCO, TIPO DE PUNTA/MODELO: SIN VALOR</t>
  </si>
  <si>
    <t>2.6.3-813.8</t>
  </si>
  <si>
    <t>MINGITORIOS; MATERIAL: LOZA, COLOR: BLANCO, ALTO/LARGO/ANCHO: 260 X 392 X 480 mm, DIMENSION (A/P/H): 260 X 392 X 480 mm</t>
  </si>
  <si>
    <t>2.6.3-833.1</t>
  </si>
  <si>
    <t>LAVATORIOS; COLOR: BLANCO, TIPO: CON COLUMNA, BACHA: SIMPLE, LARGO X ANCHO: 730 X 550 mm, FORMA: SEMI OVALADO, MATERIAL: ACERO PORCELANIZADO</t>
  </si>
  <si>
    <t>CERAMICAS P/REVESTIMIENTOS; DIMENSION NOMINAL: 30 X 30 Cm, TIPO DE PUNTA/MODELO: LISA, COLOR: BLANCO SATINADO, TIPO: LISA, DIMENSION: 30 X 30 Cm</t>
  </si>
  <si>
    <t>2.6.1-558.1</t>
  </si>
  <si>
    <t>AZULEJOS; DIMENSION NOMINAL: 15 X 15 Cm, DIMENSION REAL: 14.8 X 14.8 Cm, TIPO DE PUNTA/MODELO: COLORES PLENOS, TIPO: COLORES PLENOS, COLOR: BLANCO, DIMENSION: 15 X 15 Cm</t>
  </si>
  <si>
    <t>MOSAICOS GRANITICOS; DIMENSION: 60 X 40 Cm, TIPO: COMUN</t>
  </si>
  <si>
    <t>2.5.8-378.17</t>
  </si>
  <si>
    <t>CAÑOS DE PLASTICO; MATERIAL: PVC, DIAM. INT: 110 mm, ESPESOR: 3,2 mm, EXTREMOS: MACHO-HEMBRA, LONG.DE CUERPO: 4000 mm, PRESION TRABAJO: SIN VALOR, EXTREMO: MACHO-HEMBRA, PRESION DE TRABAJO: SIN VALOR, COLOR: SIN VALOR, DIAMETRO INTERIOR: 110 mm</t>
  </si>
  <si>
    <t>2.5.8-378.22</t>
  </si>
  <si>
    <t>CAÑOS DE PLASTICO; MATERIAL: PVC, DIAM. INT: 40 mm, ESPESOR: 3,2 mm, LONG.DE CUERPO: 4000 mm, PRESION TRABAJO: 4 KG/CM2, EXTREMOS: MACHO-HEMBRA, COLOR: BLANCO, EXTREMO: MACHO-HEMBRA, PRESION DE TRABAJO: 4 KG/CM2, DIAMETRO INTERIOR: 40 mm</t>
  </si>
  <si>
    <t>2.5.8-378.51</t>
  </si>
  <si>
    <t>CAÑOS DE PLASTICO; MATERIAL: PVC, DIAM. INT: 63 mm, ESPESOR: 3,2 mm, EXTREMOS: MACHO-HEMBRA, LONG.DE CUERPO: 1000 mm, PRESION TRABAJO: 4 KG/CM2, EXTREMO: MACHO-HEMBRA, PRESION DE TRABAJO: 4 KG/CM2, COLOR: BLANCO, DIAMETRO INTERIOR: 63 mm</t>
  </si>
  <si>
    <t>TAPAS P/CAMARAS; DIMENSION: 60 X 60 Cm, MATERIAL: HORMIGON</t>
  </si>
  <si>
    <t>2.5.8-8864.1</t>
  </si>
  <si>
    <t>PORTA REJILLAS; DIMENSION: 15 X 15 Cm, TAPA: CON</t>
  </si>
  <si>
    <t>2.5.8-378.216</t>
  </si>
  <si>
    <t>CAÑOS DE PLASTICO; MATERIAL: POLIPROPILENO, DIAMETRO INTERIOR: 1 3/4 pulg, ESPESOR: 4 mm, EXTREMO: TERMOFUSION, LONG.DE CUERPO: 4 M, PRESION DE TRABAJO: 10 KG/CM2</t>
  </si>
  <si>
    <t>2.5.8-378.208</t>
  </si>
  <si>
    <t>CAÑOS DE PLASTICO; MATERIAL: POLIPROPILENO, DIAMETRO INTERIOR: 1/2 pulg, ESPESOR: 20 mm, EXTREMO: P/TERMOFUSION, LONG.DE CUERPO: 4 M, PRESION DE TRABAJO: 2 KG/CM2</t>
  </si>
  <si>
    <t>Especificidades Items N° 1 al 33:</t>
  </si>
  <si>
    <t>Descripción técnica</t>
  </si>
  <si>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</si>
  <si>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INNOVACION TECNOLOGICA, sito en Avenida Republica de Venezuela S/N° - CAPE- Pabellón N° 26 San Fernando del Valle de Catamarca.  Se presentará Remito que deberá cumplimentar lo dispuesto por la R.G. AFIP  1415/03, sin excepción.</t>
  </si>
  <si>
    <t>Calidad Minima esperada</t>
  </si>
  <si>
    <r>
      <t xml:space="preserve">Mantenimiento: </t>
    </r>
    <r>
      <rPr>
        <sz val="10"/>
        <rFont val="Times New Roman"/>
        <family val="1"/>
      </rPr>
      <t>Treinta (30) dias habiles</t>
    </r>
  </si>
  <si>
    <t>Garantia</t>
  </si>
  <si>
    <t>NOTA DE PEDIDO</t>
  </si>
  <si>
    <t>N°</t>
  </si>
  <si>
    <t>032/20</t>
  </si>
  <si>
    <t xml:space="preserve">JURISDICCIÓN: </t>
  </si>
  <si>
    <t>PERIODO UTILIZACIÓN:</t>
  </si>
  <si>
    <t>OBJETO:</t>
  </si>
  <si>
    <t>Ítem</t>
  </si>
  <si>
    <t>Codigo Item</t>
  </si>
  <si>
    <t>DESCRIPCIÓN</t>
  </si>
  <si>
    <t>Adjunta Detalle Técnico</t>
  </si>
  <si>
    <t>Unidad Medida</t>
  </si>
  <si>
    <t>Precio Unitario Estimado</t>
  </si>
  <si>
    <t>Cantidad Solicitada</t>
  </si>
  <si>
    <t>NO</t>
  </si>
  <si>
    <t>Costo total estimado: CINCO MILLONES NOVECIENTOS NOVENTA Y CINCO MIL OCHOCIENTOS CINCUENTA CON 00/100</t>
  </si>
  <si>
    <t>POSTE DE HORMIGON</t>
  </si>
  <si>
    <t>2.6.4-3176.56</t>
  </si>
  <si>
    <t>CERAMICAS P/REVESTIMIENTOS; DIMENSION: 40 X 40 Cm, TIPO: SEMIMATE</t>
  </si>
  <si>
    <t>2.6.1-555.158</t>
  </si>
  <si>
    <t>MOSAICOS GRANITICOS; DIMENSION: 50 X 50 Cm, TIPO: COMUN</t>
  </si>
  <si>
    <t>TAPAS P/CAMARAS; DIMENSION: 70 X 70 X 6 Cm, MATERIAL: HORMIGON ARMADO</t>
  </si>
  <si>
    <t>2.7.9-2194.8</t>
  </si>
  <si>
    <t>TOTAL DE PESOS: CINCO MILLONES NOVECIENTOS NOVENTA Y CINCO MIL OCHOCIENTOS CINCUENTA CON 00/100</t>
  </si>
  <si>
    <t>4 TRIMESTRE 2020</t>
  </si>
  <si>
    <t>Adquisición de materiales de construcción para la reparación y mantenimiento de instituciones  dependientes del Ministerio de Ciencia e Innovación Tecnológica.</t>
  </si>
  <si>
    <t>La presente erogacion tiene por objeto la adquisición de materiales de construcción para la reparación y mantenimiento de instituciones  dependientes del Ministerio de Ciencia e Innovación Tecnológica.</t>
  </si>
  <si>
    <t>2.6.1-556.32</t>
  </si>
  <si>
    <t>POSTES DE HORMIGON; TIPO: INTERMEDIO, LARGO: 260 Cm, SECCION: 9 X 9 Cm, ACCESORIO: SIN</t>
  </si>
  <si>
    <t>2.6.4-3176.48</t>
  </si>
  <si>
    <t>MALLAS DE ALAMBRE; MATERIAL: ALAMBRE FUERTEMENTE GALVANIZADO</t>
  </si>
  <si>
    <t>2.7.1-3009.63</t>
  </si>
  <si>
    <t>ITEM N° 3: MALLAS SIMA 15X15X6X6 DE 2,40 X 6MTS.</t>
  </si>
  <si>
    <t>ITEM N° 5: PILAR DE LUZ TRI FASICO, HORMIGÓN PREMOLDEADO H30, ALTURA 2.40 M, EL ELEMENTO SE ENTIERRA 0.65 M. CON CAJA DE 0.18 X 0.25 M AL FRENTE, Y CAJA DE 0.18 X 0.18 M EN SU PARTE POSTERIOR, PIPETA EN SU PARTE SUPERIOR, ADEMÁS DE CAÑO DE SALIDA SUBTERRÁNEO.</t>
  </si>
  <si>
    <t>ITEM N° 6: TANQUE DE  AGUA CAPACIDAD 1100 LITROS TRICAPA.</t>
  </si>
  <si>
    <t>ITEM N° 7: PUERTAS PLACAS  MARCO DE CHAPA N20 DE 0,70.</t>
  </si>
  <si>
    <t>ITEM N° 15: ROLLOS DE ALAMBRE TEJIDO ROMBOIDAL MEDIDAS APROXIMADAMENTE: CALIBRE: 16, APERTURA DEL ROMBO: 3" (76 MM. DE SEPARACIÓN), ALTURA DEL ALAMBRADO: 2,00 MTS. Y LARGO DEL ROLLO: 10 MTS.</t>
  </si>
  <si>
    <t>ITEM N° 16: POSTE DE HORMIGON PARA ALAMBRADO OLIMPICO DE ALTURA 2.6 MTRS APROXIMADAMENTE.</t>
  </si>
  <si>
    <t>ITEM N° 17: LATAS DE PINTURA LATEX EXT. X 20 LTS COLOR: BLANCO.</t>
  </si>
  <si>
    <t>ITEM N° 18: LATAS DE ESMALTE SINTETICO X 20 LTS COLOR: BEIGE.</t>
  </si>
  <si>
    <t>ITEM N° 19: LATAS DE ESMALTE SINTETICO X 4 LTS COLOR BLANCO.</t>
  </si>
  <si>
    <t>ITEM N° 20: LATAS DE ESMALTE SINTETICO X 4 LTS COLOR GRIS.</t>
  </si>
  <si>
    <t>ITEM N° 24: M2  DE CERAMICO COLOR BLANCO  PARA PARED 35 X 35 APROXIMADAMENTE.</t>
  </si>
  <si>
    <t>ITEM N° 26: M2 DE PISO GRANITO COLOR GRIS DE 40X40 CM APROXIMADAMENTE.</t>
  </si>
  <si>
    <t>ITEM N° 27: CAÑOS DE PVC DE 110 X 4 MTS.</t>
  </si>
  <si>
    <t>ITEM N° 28: CAÑOS DE PVC DE 63 X 4 MTS.</t>
  </si>
  <si>
    <t>ITEM N° 29: CAÑOS DE PVC DE 40 X 4MTS.</t>
  </si>
  <si>
    <t>ITEM N° 30: TAPA CAMARA SEPTICA DE PLASTICO DE 1 X 1 METRO APROXIMADAMENTE.</t>
  </si>
  <si>
    <t>ITEM N° 31: REJILLAS DE INSPECCION DE 15 X 15 CM.</t>
  </si>
  <si>
    <t>ITEM N° 32: CAÑOS DE AGUA TRICAPA PP 3/4 X 4 MTS.</t>
  </si>
  <si>
    <t>ITEM N° 33: CAÑOS DE AGUA TRICAPA PP 1/2 X 4 MTS.</t>
  </si>
  <si>
    <t>SI</t>
  </si>
  <si>
    <t>ITEM N° 2: HIERROS TORSIONADO DEL 10 MM.</t>
  </si>
  <si>
    <t>2.7.1-1060.9</t>
  </si>
  <si>
    <t>HIERRO EN BARRAS REDONDAS; DIAMETRO: 10 mm, LONG.DE CUERPO: 12000 mm</t>
  </si>
  <si>
    <t>2.7.1</t>
  </si>
  <si>
    <t>2.6.4</t>
  </si>
  <si>
    <t>2.7.9</t>
  </si>
  <si>
    <t>2.7.4</t>
  </si>
  <si>
    <t>2.6.5</t>
  </si>
  <si>
    <t>2.6.1</t>
  </si>
  <si>
    <t>2.5.9</t>
  </si>
  <si>
    <t>2.6.3</t>
  </si>
  <si>
    <t>2.5.8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</si>
</sst>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quot;$&quot;* #,##0.00_-;_-&quot;$&quot;* &quot;-&quot;??_-;_-@_-"/>
    <numFmt numFmtId="165" formatCode="_ &quot;$&quot;\ * #,##0.00_ ;_ &quot;$&quot;\ * \-#,##0.00_ ;_ &quot;$&quot;\ * &quot;-&quot;??_ ;_ @_ "/>
    <numFmt numFmtId="166" formatCode="_(\$* #,##0.00_);_(\$* \(#,##0.00\);_(\$* \-??_);_(@_)"/>
    <numFmt numFmtId="167" formatCode="dd\-mm\-yy;@"/>
    <numFmt numFmtId="168" formatCode="[$$-2C0A]\ #,##0.00;[$$-2C0A]&quot; -&quot;#,##0.00"/>
    <numFmt numFmtId="169" formatCode="[$$-2C0A]\ #,##0.00"/>
  </numFmts>
  <fonts count="32"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8"/>
      <name val="Arial"/>
      <family val="2"/>
    </font>
    <font>
      <sz val="10"/>
      <name val="Arial"/>
      <family val="2"/>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4"/>
      <name val="Times New Roman"/>
      <family val="1"/>
      <charset val="1"/>
    </font>
    <font>
      <sz val="8"/>
      <name val="Arial"/>
      <family val="2"/>
    </font>
    <font>
      <sz val="11"/>
      <name val="Calibri"/>
      <family val="2"/>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74">
    <border>
      <left/>
      <right/>
      <top/>
      <bottom/>
      <diagonal/>
    </border>
    <border>
      <left/>
      <right/>
      <top/>
      <bottom style="thick">
        <color rgb="FF33CCCC"/>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thin">
        <color rgb="FF3D3D3D"/>
      </left>
      <right style="thin">
        <color rgb="FF3D3D3D"/>
      </right>
      <top style="medium">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thin">
        <color indexed="64"/>
      </left>
      <right/>
      <top style="thin">
        <color indexed="64"/>
      </top>
      <bottom style="thin">
        <color indexed="64"/>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style="thick">
        <color auto="1"/>
      </left>
      <right style="thick">
        <color auto="1"/>
      </right>
      <top style="thick">
        <color auto="1"/>
      </top>
      <bottom/>
      <diagonal/>
    </border>
    <border>
      <left style="thin">
        <color auto="1"/>
      </left>
      <right style="thin">
        <color auto="1"/>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medium">
        <color auto="1"/>
      </top>
      <bottom/>
      <diagonal/>
    </border>
    <border>
      <left style="thin">
        <color indexed="64"/>
      </left>
      <right/>
      <top/>
      <bottom/>
      <diagonal/>
    </border>
    <border>
      <left style="thick">
        <color auto="1"/>
      </left>
      <right/>
      <top style="thick">
        <color auto="1"/>
      </top>
      <bottom/>
      <diagonal/>
    </border>
    <border>
      <left/>
      <right style="thick">
        <color auto="1"/>
      </right>
      <top style="thick">
        <color auto="1"/>
      </top>
      <bottom/>
      <diagonal/>
    </border>
    <border>
      <left style="medium">
        <color indexed="64"/>
      </left>
      <right style="medium">
        <color indexed="64"/>
      </right>
      <top style="medium">
        <color indexed="64"/>
      </top>
      <bottom/>
      <diagonal/>
    </border>
    <border>
      <left style="thin">
        <color rgb="FF3D3D3D"/>
      </left>
      <right/>
      <top style="medium">
        <color rgb="FF3D3D3D"/>
      </top>
      <bottom style="thin">
        <color rgb="FF3D3D3D"/>
      </bottom>
      <diagonal/>
    </border>
    <border>
      <left style="thin">
        <color rgb="FF3D3D3D"/>
      </left>
      <right/>
      <top style="thin">
        <color rgb="FF3D3D3D"/>
      </top>
      <bottom style="thin">
        <color rgb="FF3D3D3D"/>
      </bottom>
      <diagonal/>
    </border>
    <border>
      <left style="medium">
        <color indexed="64"/>
      </left>
      <right style="medium">
        <color indexed="64"/>
      </right>
      <top style="medium">
        <color indexed="64"/>
      </top>
      <bottom style="thin">
        <color rgb="FF3D3D3D"/>
      </bottom>
      <diagonal/>
    </border>
    <border>
      <left style="medium">
        <color indexed="64"/>
      </left>
      <right style="medium">
        <color indexed="64"/>
      </right>
      <top style="thin">
        <color rgb="FF3D3D3D"/>
      </top>
      <bottom style="thin">
        <color rgb="FF3D3D3D"/>
      </bottom>
      <diagonal/>
    </border>
    <border>
      <left style="medium">
        <color indexed="64"/>
      </left>
      <right style="medium">
        <color indexed="64"/>
      </right>
      <top style="thin">
        <color rgb="FF3D3D3D"/>
      </top>
      <bottom style="medium">
        <color indexed="64"/>
      </bottom>
      <diagonal/>
    </border>
    <border>
      <left style="thin">
        <color auto="1"/>
      </left>
      <right style="thin">
        <color auto="1"/>
      </right>
      <top style="thick">
        <color auto="1"/>
      </top>
      <bottom/>
      <diagonal/>
    </border>
  </borders>
  <cellStyleXfs count="5">
    <xf numFmtId="0" fontId="0" fillId="0" borderId="0"/>
    <xf numFmtId="0" fontId="1" fillId="0" borderId="1" applyProtection="0"/>
    <xf numFmtId="166" fontId="2" fillId="0" borderId="0" applyBorder="0" applyProtection="0"/>
    <xf numFmtId="0" fontId="3" fillId="2" borderId="0" applyBorder="0" applyProtection="0"/>
    <xf numFmtId="165" fontId="12" fillId="0" borderId="0" applyFont="0" applyFill="0" applyBorder="0" applyAlignment="0" applyProtection="0"/>
  </cellStyleXfs>
  <cellXfs count="220">
    <xf numFmtId="0" fontId="0" fillId="0" borderId="0" xfId="0"/>
    <xf numFmtId="0" fontId="0" fillId="0" borderId="0" xfId="0" applyAlignment="1">
      <alignment horizontal="left"/>
    </xf>
    <xf numFmtId="3" fontId="5" fillId="0" borderId="14" xfId="0" applyNumberFormat="1" applyFont="1" applyBorder="1" applyAlignment="1"/>
    <xf numFmtId="167" fontId="0" fillId="0" borderId="14" xfId="0" applyNumberFormat="1" applyBorder="1" applyAlignment="1">
      <alignment horizontal="left"/>
    </xf>
    <xf numFmtId="0" fontId="0" fillId="0" borderId="14" xfId="0" applyBorder="1"/>
    <xf numFmtId="0" fontId="0" fillId="0" borderId="7" xfId="0" applyBorder="1"/>
    <xf numFmtId="0" fontId="0" fillId="0" borderId="0" xfId="0" applyBorder="1"/>
    <xf numFmtId="0" fontId="0" fillId="0" borderId="0" xfId="0" applyBorder="1" applyAlignment="1">
      <alignment horizontal="left"/>
    </xf>
    <xf numFmtId="167" fontId="0" fillId="0" borderId="0" xfId="0" applyNumberFormat="1" applyBorder="1" applyAlignment="1">
      <alignment horizontal="left"/>
    </xf>
    <xf numFmtId="0" fontId="0" fillId="0" borderId="5" xfId="0" applyBorder="1"/>
    <xf numFmtId="0" fontId="2" fillId="0" borderId="0" xfId="0" applyFont="1"/>
    <xf numFmtId="0" fontId="0" fillId="0" borderId="3" xfId="0" applyBorder="1"/>
    <xf numFmtId="0" fontId="0" fillId="0" borderId="4" xfId="0" applyBorder="1"/>
    <xf numFmtId="0" fontId="0" fillId="0" borderId="4" xfId="0" applyBorder="1" applyAlignment="1">
      <alignment horizontal="left"/>
    </xf>
    <xf numFmtId="0" fontId="0" fillId="0" borderId="19" xfId="0" applyBorder="1"/>
    <xf numFmtId="0" fontId="9" fillId="0" borderId="22" xfId="0" applyFont="1" applyBorder="1" applyAlignment="1">
      <alignment horizontal="center" vertical="center"/>
    </xf>
    <xf numFmtId="0" fontId="9" fillId="0" borderId="23" xfId="0" applyFont="1" applyBorder="1" applyAlignment="1">
      <alignment horizontal="center" vertical="center"/>
    </xf>
    <xf numFmtId="0" fontId="9" fillId="0" borderId="23" xfId="0" applyFont="1" applyBorder="1" applyAlignment="1">
      <alignment horizontal="left"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168" fontId="9" fillId="0" borderId="32" xfId="0" applyNumberFormat="1"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33" xfId="0" applyFont="1" applyBorder="1" applyAlignment="1">
      <alignment horizontal="center" vertical="center"/>
    </xf>
    <xf numFmtId="0" fontId="10" fillId="0" borderId="10" xfId="0" applyFont="1" applyBorder="1" applyAlignment="1">
      <alignment horizontal="center" vertical="center"/>
    </xf>
    <xf numFmtId="0" fontId="7" fillId="0" borderId="35" xfId="0" applyFont="1" applyBorder="1" applyAlignment="1">
      <alignment horizontal="left" indent="1"/>
    </xf>
    <xf numFmtId="0" fontId="7" fillId="0" borderId="36" xfId="0" applyFont="1" applyBorder="1" applyAlignment="1">
      <alignment horizontal="left" indent="1"/>
    </xf>
    <xf numFmtId="0" fontId="13" fillId="0" borderId="0" xfId="0" applyFont="1"/>
    <xf numFmtId="0" fontId="17" fillId="0" borderId="0" xfId="0" applyFont="1" applyAlignment="1">
      <alignment horizontal="left" wrapText="1"/>
    </xf>
    <xf numFmtId="0" fontId="17" fillId="0" borderId="0" xfId="0" applyFont="1" applyAlignment="1">
      <alignment horizontal="center" wrapText="1"/>
    </xf>
    <xf numFmtId="0" fontId="16" fillId="3" borderId="0" xfId="0" applyFont="1" applyFill="1" applyAlignment="1">
      <alignment horizontal="left" wrapText="1" indent="1"/>
    </xf>
    <xf numFmtId="0" fontId="18" fillId="4" borderId="0" xfId="0" applyFont="1" applyFill="1" applyAlignment="1">
      <alignment horizontal="left" wrapText="1"/>
    </xf>
    <xf numFmtId="0" fontId="18" fillId="0" borderId="37" xfId="0" applyFont="1" applyBorder="1" applyAlignment="1">
      <alignment horizontal="center" vertical="center" wrapText="1"/>
    </xf>
    <xf numFmtId="0" fontId="13" fillId="0" borderId="9" xfId="0" applyFont="1" applyBorder="1" applyAlignment="1">
      <alignment horizontal="center" vertical="center" wrapText="1"/>
    </xf>
    <xf numFmtId="0" fontId="20" fillId="3" borderId="38" xfId="0" applyFont="1" applyFill="1" applyBorder="1" applyAlignment="1">
      <alignment horizontal="center" vertical="center" wrapText="1"/>
    </xf>
    <xf numFmtId="0" fontId="19" fillId="0" borderId="0" xfId="0" applyFont="1" applyBorder="1" applyAlignment="1">
      <alignment horizontal="center" vertical="center"/>
    </xf>
    <xf numFmtId="0" fontId="0" fillId="0" borderId="0" xfId="0" applyBorder="1" applyAlignment="1">
      <alignment horizontal="center" vertical="center" wrapText="1"/>
    </xf>
    <xf numFmtId="0" fontId="0" fillId="4" borderId="0" xfId="0" applyFill="1" applyBorder="1" applyAlignment="1">
      <alignment horizontal="left" vertical="center" wrapText="1"/>
    </xf>
    <xf numFmtId="0" fontId="20" fillId="3" borderId="0" xfId="0" applyFont="1" applyFill="1" applyBorder="1" applyAlignment="1">
      <alignment horizontal="center" vertical="center" wrapText="1"/>
    </xf>
    <xf numFmtId="168" fontId="19" fillId="3" borderId="0" xfId="4" applyNumberFormat="1" applyFont="1" applyFill="1" applyBorder="1" applyAlignment="1" applyProtection="1">
      <alignment horizontal="right" vertical="center" wrapText="1"/>
    </xf>
    <xf numFmtId="0" fontId="13" fillId="0" borderId="14" xfId="0" applyFont="1" applyBorder="1"/>
    <xf numFmtId="0" fontId="13" fillId="0" borderId="40" xfId="0" applyFont="1" applyBorder="1"/>
    <xf numFmtId="0" fontId="13" fillId="0" borderId="0" xfId="0" applyFont="1" applyBorder="1"/>
    <xf numFmtId="0" fontId="13" fillId="0" borderId="5" xfId="0" applyFont="1" applyBorder="1"/>
    <xf numFmtId="0" fontId="13" fillId="3" borderId="0" xfId="0" applyFont="1" applyFill="1" applyBorder="1" applyAlignment="1">
      <alignment wrapText="1"/>
    </xf>
    <xf numFmtId="0" fontId="13" fillId="3" borderId="5" xfId="0" applyFont="1" applyFill="1" applyBorder="1" applyAlignment="1">
      <alignment wrapText="1"/>
    </xf>
    <xf numFmtId="0" fontId="13" fillId="0" borderId="0" xfId="0" applyFont="1" applyBorder="1" applyAlignment="1">
      <alignment horizontal="center" wrapText="1"/>
    </xf>
    <xf numFmtId="0" fontId="13" fillId="0" borderId="5" xfId="0" applyFont="1" applyBorder="1" applyAlignment="1">
      <alignment horizontal="center" wrapText="1"/>
    </xf>
    <xf numFmtId="0" fontId="13" fillId="0" borderId="41" xfId="0" applyFont="1" applyBorder="1" applyAlignment="1">
      <alignment horizontal="left" indent="3"/>
    </xf>
    <xf numFmtId="0" fontId="13" fillId="0" borderId="42" xfId="0" applyFont="1" applyBorder="1"/>
    <xf numFmtId="0" fontId="13" fillId="0" borderId="43" xfId="0" applyFont="1" applyBorder="1"/>
    <xf numFmtId="0" fontId="23" fillId="0" borderId="44" xfId="0" applyFont="1" applyBorder="1" applyAlignment="1">
      <alignment horizontal="right" vertical="center"/>
    </xf>
    <xf numFmtId="0" fontId="24" fillId="0" borderId="2" xfId="0" applyFont="1" applyBorder="1" applyAlignment="1">
      <alignment horizontal="center" vertical="center"/>
    </xf>
    <xf numFmtId="0" fontId="2" fillId="0" borderId="0" xfId="0" applyFont="1" applyBorder="1" applyAlignment="1">
      <alignment vertical="center"/>
    </xf>
    <xf numFmtId="0" fontId="23" fillId="0" borderId="3" xfId="0" applyFont="1" applyBorder="1" applyAlignment="1">
      <alignment vertical="center"/>
    </xf>
    <xf numFmtId="0" fontId="23" fillId="0" borderId="4" xfId="0" applyFont="1" applyBorder="1" applyAlignment="1">
      <alignment vertical="center"/>
    </xf>
    <xf numFmtId="0" fontId="23" fillId="0" borderId="0" xfId="0" applyFont="1" applyBorder="1" applyAlignment="1">
      <alignment vertical="center"/>
    </xf>
    <xf numFmtId="0" fontId="23" fillId="0" borderId="5" xfId="0" applyFont="1" applyBorder="1" applyAlignment="1">
      <alignment vertical="center"/>
    </xf>
    <xf numFmtId="0" fontId="25" fillId="0" borderId="7" xfId="0" applyFont="1" applyBorder="1" applyAlignment="1">
      <alignment horizontal="left" vertical="center"/>
    </xf>
    <xf numFmtId="0" fontId="25" fillId="0" borderId="0" xfId="0" applyFont="1" applyBorder="1" applyAlignment="1">
      <alignment horizontal="left" vertical="center"/>
    </xf>
    <xf numFmtId="0" fontId="24" fillId="0" borderId="0" xfId="0" applyFont="1" applyBorder="1" applyAlignment="1">
      <alignment horizontal="left" vertical="center" wrapText="1" indent="1"/>
    </xf>
    <xf numFmtId="0" fontId="24" fillId="0" borderId="5" xfId="0" applyFont="1" applyBorder="1" applyAlignment="1">
      <alignment horizontal="left" vertical="center" wrapText="1" indent="1"/>
    </xf>
    <xf numFmtId="0" fontId="28" fillId="0" borderId="53" xfId="0" applyFont="1" applyBorder="1" applyAlignment="1">
      <alignment horizontal="center" vertical="center"/>
    </xf>
    <xf numFmtId="0" fontId="4" fillId="0" borderId="38" xfId="0" applyFont="1" applyBorder="1" applyAlignment="1">
      <alignment horizontal="center" vertical="center"/>
    </xf>
    <xf numFmtId="0" fontId="4" fillId="0" borderId="38" xfId="0" applyFont="1" applyBorder="1" applyAlignment="1">
      <alignment horizontal="center" vertical="center" wrapText="1"/>
    </xf>
    <xf numFmtId="165" fontId="4" fillId="0" borderId="38" xfId="4" applyFont="1" applyBorder="1" applyAlignment="1">
      <alignment horizontal="center" vertical="center" wrapText="1"/>
    </xf>
    <xf numFmtId="3" fontId="4" fillId="0" borderId="57" xfId="0" applyNumberFormat="1" applyFont="1" applyBorder="1" applyAlignment="1">
      <alignment horizontal="center" vertical="center"/>
    </xf>
    <xf numFmtId="164" fontId="2" fillId="0" borderId="0" xfId="0" applyNumberFormat="1" applyFont="1" applyBorder="1" applyAlignment="1">
      <alignment vertical="center"/>
    </xf>
    <xf numFmtId="165" fontId="4" fillId="0" borderId="9" xfId="4" applyFont="1" applyBorder="1" applyAlignment="1">
      <alignment horizontal="center" vertical="center" wrapText="1"/>
    </xf>
    <xf numFmtId="3" fontId="4" fillId="0" borderId="10" xfId="0" applyNumberFormat="1" applyFont="1" applyBorder="1" applyAlignment="1">
      <alignment horizontal="center" vertical="center"/>
    </xf>
    <xf numFmtId="0" fontId="30" fillId="0" borderId="8" xfId="0" applyFont="1" applyBorder="1" applyAlignment="1">
      <alignment horizontal="center" vertical="center"/>
    </xf>
    <xf numFmtId="0" fontId="30" fillId="0" borderId="9" xfId="0" applyFont="1" applyBorder="1" applyAlignment="1">
      <alignment horizontal="center" vertical="center"/>
    </xf>
    <xf numFmtId="0" fontId="30" fillId="0" borderId="33" xfId="0" applyFont="1" applyBorder="1" applyAlignment="1">
      <alignment horizontal="center" vertical="center"/>
    </xf>
    <xf numFmtId="0" fontId="30" fillId="0" borderId="10" xfId="0" applyFont="1" applyBorder="1" applyAlignment="1">
      <alignment horizontal="center" vertical="center"/>
    </xf>
    <xf numFmtId="0" fontId="21" fillId="0" borderId="63" xfId="0" applyFont="1" applyBorder="1"/>
    <xf numFmtId="0" fontId="13" fillId="0" borderId="64" xfId="0" applyFont="1" applyBorder="1"/>
    <xf numFmtId="0" fontId="21" fillId="0" borderId="64" xfId="0" applyFont="1" applyBorder="1" applyAlignment="1">
      <alignment horizontal="left" indent="3"/>
    </xf>
    <xf numFmtId="0" fontId="31" fillId="0" borderId="64" xfId="0" applyFont="1" applyBorder="1"/>
    <xf numFmtId="0" fontId="13" fillId="0" borderId="64" xfId="0" applyFont="1" applyBorder="1" applyAlignment="1">
      <alignment horizontal="left" indent="3"/>
    </xf>
    <xf numFmtId="0" fontId="10" fillId="4" borderId="0" xfId="0" applyFont="1" applyFill="1" applyBorder="1" applyAlignment="1">
      <alignment horizontal="center" vertical="center"/>
    </xf>
    <xf numFmtId="0" fontId="13" fillId="4" borderId="9" xfId="0" applyFont="1" applyFill="1" applyBorder="1" applyAlignment="1">
      <alignment horizontal="center" vertical="center" wrapText="1"/>
    </xf>
    <xf numFmtId="0" fontId="20" fillId="0" borderId="0" xfId="0" applyFont="1" applyBorder="1" applyAlignment="1">
      <alignment horizontal="center" vertical="center" wrapText="1"/>
    </xf>
    <xf numFmtId="0" fontId="18" fillId="0" borderId="65" xfId="0" applyFont="1" applyBorder="1" applyAlignment="1">
      <alignment horizontal="center" vertical="center" wrapText="1"/>
    </xf>
    <xf numFmtId="0" fontId="19" fillId="0" borderId="39" xfId="0" applyFont="1" applyBorder="1" applyAlignment="1">
      <alignment horizontal="center" vertical="center"/>
    </xf>
    <xf numFmtId="0" fontId="18" fillId="0" borderId="66" xfId="0" applyFont="1" applyBorder="1" applyAlignment="1">
      <alignment horizontal="center" vertical="center" wrapText="1"/>
    </xf>
    <xf numFmtId="0" fontId="13" fillId="0" borderId="67"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18" xfId="0" applyFont="1" applyBorder="1" applyAlignment="1">
      <alignment horizontal="center" vertical="center" wrapText="1"/>
    </xf>
    <xf numFmtId="0" fontId="13" fillId="4" borderId="18" xfId="0" applyFont="1" applyFill="1" applyBorder="1" applyAlignment="1">
      <alignment horizontal="center" vertical="center" wrapText="1"/>
    </xf>
    <xf numFmtId="0" fontId="20" fillId="3" borderId="18" xfId="0" applyFont="1" applyFill="1" applyBorder="1" applyAlignment="1">
      <alignment horizontal="center" vertical="center" wrapText="1"/>
    </xf>
    <xf numFmtId="0" fontId="20" fillId="3" borderId="6" xfId="0" applyFont="1" applyFill="1" applyBorder="1" applyAlignment="1">
      <alignment horizontal="center" vertical="center" wrapText="1"/>
    </xf>
    <xf numFmtId="0" fontId="20" fillId="3" borderId="11" xfId="0" applyFont="1" applyFill="1" applyBorder="1" applyAlignment="1">
      <alignment horizontal="center" vertical="center" wrapText="1"/>
    </xf>
    <xf numFmtId="0" fontId="0" fillId="0" borderId="14" xfId="0" applyBorder="1" applyAlignment="1">
      <alignment horizontal="center" vertical="center" wrapText="1"/>
    </xf>
    <xf numFmtId="0" fontId="0" fillId="0" borderId="55" xfId="0" applyBorder="1" applyAlignment="1">
      <alignment horizontal="center" vertical="center" wrapText="1"/>
    </xf>
    <xf numFmtId="0" fontId="0" fillId="4" borderId="0" xfId="0" applyFill="1" applyBorder="1" applyAlignment="1">
      <alignment horizontal="center" vertical="center" wrapText="1"/>
    </xf>
    <xf numFmtId="0" fontId="0" fillId="0" borderId="42" xfId="0" applyBorder="1" applyAlignment="1">
      <alignment horizontal="center" vertical="center" wrapText="1"/>
    </xf>
    <xf numFmtId="0" fontId="20" fillId="0" borderId="67"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18" xfId="0" applyFont="1" applyBorder="1" applyAlignment="1">
      <alignment horizontal="center" vertical="center" wrapText="1"/>
    </xf>
    <xf numFmtId="0" fontId="20" fillId="4" borderId="18" xfId="0" applyFont="1" applyFill="1" applyBorder="1" applyAlignment="1">
      <alignment horizontal="center" vertical="center" wrapText="1"/>
    </xf>
    <xf numFmtId="0" fontId="20" fillId="0" borderId="11" xfId="0" applyFont="1" applyBorder="1" applyAlignment="1">
      <alignment horizontal="center" vertical="center" wrapText="1"/>
    </xf>
    <xf numFmtId="0" fontId="0" fillId="0" borderId="14" xfId="0" applyBorder="1" applyAlignment="1">
      <alignment vertical="center" wrapText="1"/>
    </xf>
    <xf numFmtId="0" fontId="0" fillId="4" borderId="55" xfId="0" applyFill="1" applyBorder="1" applyAlignment="1">
      <alignment vertical="center" wrapText="1"/>
    </xf>
    <xf numFmtId="0" fontId="0" fillId="4" borderId="0" xfId="0" applyFill="1" applyBorder="1" applyAlignment="1">
      <alignment vertical="center" wrapText="1"/>
    </xf>
    <xf numFmtId="0" fontId="0" fillId="0" borderId="55" xfId="0" applyBorder="1" applyAlignment="1">
      <alignment vertical="center" wrapText="1"/>
    </xf>
    <xf numFmtId="0" fontId="11" fillId="4" borderId="0" xfId="0" applyFont="1" applyFill="1" applyBorder="1" applyAlignment="1">
      <alignment vertical="center" wrapText="1"/>
    </xf>
    <xf numFmtId="0" fontId="11" fillId="0" borderId="55" xfId="0" applyFont="1" applyBorder="1" applyAlignment="1">
      <alignment vertical="center" wrapText="1"/>
    </xf>
    <xf numFmtId="0" fontId="11" fillId="0" borderId="0" xfId="0" applyFont="1" applyBorder="1" applyAlignment="1">
      <alignment vertical="center" wrapText="1"/>
    </xf>
    <xf numFmtId="0" fontId="0" fillId="0" borderId="0" xfId="0" applyBorder="1" applyAlignment="1">
      <alignment vertical="center" wrapText="1"/>
    </xf>
    <xf numFmtId="0" fontId="0" fillId="4" borderId="55" xfId="0" applyFill="1" applyBorder="1" applyAlignment="1">
      <alignment horizontal="left" vertical="center" wrapText="1"/>
    </xf>
    <xf numFmtId="0" fontId="11" fillId="4" borderId="55" xfId="0" applyFont="1" applyFill="1" applyBorder="1" applyAlignment="1">
      <alignment vertical="center" wrapText="1"/>
    </xf>
    <xf numFmtId="0" fontId="0" fillId="0" borderId="0" xfId="0" applyBorder="1" applyAlignment="1">
      <alignment horizontal="left" vertical="center" wrapText="1"/>
    </xf>
    <xf numFmtId="0" fontId="11" fillId="4" borderId="55" xfId="0" applyFont="1" applyFill="1" applyBorder="1" applyAlignment="1">
      <alignment horizontal="left" vertical="center" wrapText="1"/>
    </xf>
    <xf numFmtId="0" fontId="11" fillId="4" borderId="0" xfId="0" applyFont="1" applyFill="1" applyBorder="1" applyAlignment="1">
      <alignment horizontal="left" vertical="center" wrapText="1"/>
    </xf>
    <xf numFmtId="0" fontId="0" fillId="4" borderId="42" xfId="0" applyFill="1" applyBorder="1" applyAlignment="1">
      <alignment horizontal="left" vertical="center" wrapText="1"/>
    </xf>
    <xf numFmtId="0" fontId="20" fillId="3" borderId="67" xfId="0" applyFont="1" applyFill="1" applyBorder="1" applyAlignment="1">
      <alignment horizontal="center" vertical="center" wrapText="1"/>
    </xf>
    <xf numFmtId="0" fontId="17" fillId="0" borderId="14" xfId="0" applyFont="1" applyBorder="1" applyAlignment="1">
      <alignment horizontal="center" vertical="center" wrapText="1"/>
    </xf>
    <xf numFmtId="0" fontId="17" fillId="0" borderId="55" xfId="0" applyFont="1" applyBorder="1" applyAlignment="1">
      <alignment horizontal="center" vertical="center" wrapText="1"/>
    </xf>
    <xf numFmtId="0" fontId="17" fillId="0" borderId="0" xfId="0" applyFont="1" applyBorder="1" applyAlignment="1">
      <alignment horizontal="center" vertical="center" wrapText="1"/>
    </xf>
    <xf numFmtId="0" fontId="17" fillId="4" borderId="0" xfId="0" applyFont="1" applyFill="1" applyBorder="1" applyAlignment="1">
      <alignment horizontal="center" vertical="center" wrapText="1"/>
    </xf>
    <xf numFmtId="0" fontId="20" fillId="3" borderId="55" xfId="0" applyFont="1" applyFill="1" applyBorder="1" applyAlignment="1">
      <alignment horizontal="center" vertical="center" wrapText="1"/>
    </xf>
    <xf numFmtId="0" fontId="20" fillId="3" borderId="42" xfId="0" applyFont="1" applyFill="1" applyBorder="1" applyAlignment="1">
      <alignment horizontal="center" vertical="center" wrapText="1"/>
    </xf>
    <xf numFmtId="169" fontId="17" fillId="0" borderId="40" xfId="0" applyNumberFormat="1" applyFont="1" applyBorder="1" applyAlignment="1">
      <alignment horizontal="right" vertical="center" wrapText="1"/>
    </xf>
    <xf numFmtId="169" fontId="17" fillId="0" borderId="13" xfId="0" applyNumberFormat="1" applyFont="1" applyBorder="1" applyAlignment="1">
      <alignment horizontal="right" vertical="center" wrapText="1"/>
    </xf>
    <xf numFmtId="169" fontId="17" fillId="0" borderId="5" xfId="0" applyNumberFormat="1" applyFont="1" applyBorder="1" applyAlignment="1">
      <alignment horizontal="right" vertical="center" wrapText="1"/>
    </xf>
    <xf numFmtId="169" fontId="17" fillId="0" borderId="43" xfId="0" applyNumberFormat="1" applyFont="1" applyBorder="1" applyAlignment="1">
      <alignment horizontal="right" vertical="center" wrapText="1"/>
    </xf>
    <xf numFmtId="168" fontId="19" fillId="3" borderId="67" xfId="4" applyNumberFormat="1" applyFont="1" applyFill="1" applyBorder="1" applyAlignment="1" applyProtection="1">
      <alignment horizontal="right" vertical="center" wrapText="1"/>
    </xf>
    <xf numFmtId="168" fontId="19" fillId="3" borderId="6" xfId="4" applyNumberFormat="1" applyFont="1" applyFill="1" applyBorder="1" applyAlignment="1" applyProtection="1">
      <alignment horizontal="right" vertical="center" wrapText="1"/>
    </xf>
    <xf numFmtId="168" fontId="19" fillId="3" borderId="18" xfId="4" applyNumberFormat="1" applyFont="1" applyFill="1" applyBorder="1" applyAlignment="1" applyProtection="1">
      <alignment horizontal="right" vertical="center" wrapText="1"/>
    </xf>
    <xf numFmtId="168" fontId="19" fillId="3" borderId="11" xfId="4" applyNumberFormat="1" applyFont="1" applyFill="1" applyBorder="1" applyAlignment="1" applyProtection="1">
      <alignment horizontal="right" vertical="center" wrapText="1"/>
    </xf>
    <xf numFmtId="0" fontId="7" fillId="0" borderId="4" xfId="0" applyFont="1" applyBorder="1" applyAlignment="1"/>
    <xf numFmtId="0" fontId="7" fillId="0" borderId="0" xfId="0" applyFont="1" applyBorder="1" applyAlignment="1"/>
    <xf numFmtId="0" fontId="2" fillId="0" borderId="14" xfId="0" applyFont="1" applyBorder="1" applyAlignment="1">
      <alignment vertical="center"/>
    </xf>
    <xf numFmtId="0" fontId="2" fillId="0" borderId="40" xfId="0" applyFont="1" applyBorder="1" applyAlignment="1">
      <alignment vertical="center"/>
    </xf>
    <xf numFmtId="0" fontId="2" fillId="0" borderId="5" xfId="0" applyFont="1" applyBorder="1" applyAlignment="1">
      <alignment vertical="center"/>
    </xf>
    <xf numFmtId="0" fontId="7" fillId="0" borderId="19" xfId="0" applyFont="1" applyBorder="1" applyAlignment="1"/>
    <xf numFmtId="0" fontId="2" fillId="0" borderId="42" xfId="0" applyFont="1" applyBorder="1" applyAlignment="1">
      <alignment vertical="center"/>
    </xf>
    <xf numFmtId="0" fontId="2" fillId="0" borderId="43" xfId="0" applyFont="1" applyBorder="1" applyAlignment="1">
      <alignment vertical="center"/>
    </xf>
    <xf numFmtId="168" fontId="0" fillId="0" borderId="70" xfId="2" applyNumberFormat="1" applyFont="1" applyBorder="1" applyAlignment="1" applyProtection="1">
      <alignment horizontal="center" vertical="center"/>
    </xf>
    <xf numFmtId="168" fontId="0" fillId="0" borderId="71" xfId="2" applyNumberFormat="1" applyFont="1" applyBorder="1" applyAlignment="1" applyProtection="1">
      <alignment horizontal="center" vertical="center"/>
    </xf>
    <xf numFmtId="168" fontId="0" fillId="4" borderId="71" xfId="2" applyNumberFormat="1" applyFont="1" applyFill="1" applyBorder="1" applyAlignment="1" applyProtection="1">
      <alignment horizontal="center" vertical="center"/>
    </xf>
    <xf numFmtId="168" fontId="0" fillId="0" borderId="72" xfId="2" applyNumberFormat="1" applyFont="1" applyBorder="1" applyAlignment="1" applyProtection="1">
      <alignment horizontal="center" vertical="center"/>
    </xf>
    <xf numFmtId="0" fontId="0" fillId="0" borderId="12" xfId="0" applyFont="1" applyBorder="1" applyAlignment="1">
      <alignment horizontal="center"/>
    </xf>
    <xf numFmtId="3" fontId="5" fillId="0" borderId="13" xfId="0" applyNumberFormat="1" applyFont="1" applyBorder="1" applyAlignment="1">
      <alignment horizontal="center"/>
    </xf>
    <xf numFmtId="0" fontId="6" fillId="0" borderId="2" xfId="0" applyFont="1" applyBorder="1" applyAlignment="1">
      <alignment horizontal="center" vertical="center" wrapText="1"/>
    </xf>
    <xf numFmtId="0" fontId="2" fillId="0" borderId="15" xfId="0" applyFont="1" applyBorder="1" applyAlignment="1">
      <alignment vertical="center"/>
    </xf>
    <xf numFmtId="0" fontId="7" fillId="0" borderId="34" xfId="0" applyFont="1" applyBorder="1" applyAlignment="1">
      <alignment horizontal="left" vertical="center" indent="1"/>
    </xf>
    <xf numFmtId="0" fontId="7" fillId="0" borderId="35" xfId="0" applyFont="1" applyBorder="1" applyAlignment="1">
      <alignment horizontal="left" vertical="center" indent="1"/>
    </xf>
    <xf numFmtId="0" fontId="7" fillId="0" borderId="36" xfId="0" applyFont="1" applyBorder="1" applyAlignment="1">
      <alignment horizontal="left" vertical="center" indent="1"/>
    </xf>
    <xf numFmtId="0" fontId="4" fillId="0" borderId="15" xfId="0" applyFont="1" applyBorder="1" applyAlignment="1">
      <alignment horizontal="left" vertical="center" wrapText="1"/>
    </xf>
    <xf numFmtId="0" fontId="7" fillId="0" borderId="34" xfId="0" applyFont="1" applyBorder="1" applyAlignment="1">
      <alignment horizontal="left" vertical="center" wrapText="1" indent="1"/>
    </xf>
    <xf numFmtId="0" fontId="7" fillId="0" borderId="35" xfId="0" applyFont="1" applyBorder="1" applyAlignment="1">
      <alignment horizontal="left" vertical="center" wrapText="1" indent="1"/>
    </xf>
    <xf numFmtId="0" fontId="7" fillId="0" borderId="36" xfId="0" applyFont="1" applyBorder="1" applyAlignment="1">
      <alignment horizontal="left" vertical="center" wrapText="1" indent="1"/>
    </xf>
    <xf numFmtId="0" fontId="7" fillId="0" borderId="34" xfId="0" applyFont="1" applyBorder="1" applyAlignment="1">
      <alignment horizontal="left" vertical="center" wrapText="1"/>
    </xf>
    <xf numFmtId="0" fontId="7" fillId="0" borderId="35" xfId="0" applyFont="1" applyBorder="1" applyAlignment="1">
      <alignment horizontal="left" vertical="center" wrapText="1"/>
    </xf>
    <xf numFmtId="0" fontId="7" fillId="0" borderId="36" xfId="0" applyFont="1" applyBorder="1" applyAlignment="1">
      <alignment horizontal="left" vertical="center" wrapText="1"/>
    </xf>
    <xf numFmtId="0" fontId="8" fillId="0" borderId="16" xfId="0" applyFont="1" applyBorder="1" applyAlignment="1">
      <alignment horizontal="left"/>
    </xf>
    <xf numFmtId="0" fontId="7" fillId="0" borderId="17" xfId="0" applyFont="1" applyBorder="1" applyAlignment="1">
      <alignment horizontal="left"/>
    </xf>
    <xf numFmtId="49" fontId="7" fillId="0" borderId="18" xfId="0" applyNumberFormat="1" applyFont="1" applyBorder="1" applyAlignment="1">
      <alignment horizontal="justify" vertical="center" wrapText="1"/>
    </xf>
    <xf numFmtId="0" fontId="9" fillId="0" borderId="17" xfId="0" applyFont="1" applyBorder="1" applyAlignment="1">
      <alignment horizontal="center" vertical="center"/>
    </xf>
    <xf numFmtId="0" fontId="9" fillId="0" borderId="15" xfId="0" applyFont="1" applyBorder="1" applyAlignment="1">
      <alignment horizontal="center" vertical="center"/>
    </xf>
    <xf numFmtId="0" fontId="9" fillId="0" borderId="20" xfId="0" applyFont="1" applyBorder="1" applyAlignment="1">
      <alignment horizontal="center" vertical="center" wrapText="1"/>
    </xf>
    <xf numFmtId="0" fontId="9" fillId="0" borderId="21" xfId="0" applyFont="1" applyBorder="1" applyAlignment="1">
      <alignment horizontal="center" vertical="center"/>
    </xf>
    <xf numFmtId="0" fontId="0" fillId="0" borderId="27" xfId="0" applyFont="1" applyBorder="1" applyAlignment="1">
      <alignment horizontal="center" vertical="center"/>
    </xf>
    <xf numFmtId="0" fontId="0" fillId="0" borderId="69" xfId="0" applyFont="1" applyBorder="1" applyAlignment="1">
      <alignment horizontal="center" vertical="center"/>
    </xf>
    <xf numFmtId="0" fontId="0" fillId="0" borderId="27" xfId="0" applyFont="1" applyBorder="1" applyAlignment="1">
      <alignment horizontal="left" vertical="center"/>
    </xf>
    <xf numFmtId="0" fontId="0" fillId="0" borderId="69" xfId="0" applyFont="1" applyBorder="1" applyAlignment="1">
      <alignment horizontal="left" vertical="center"/>
    </xf>
    <xf numFmtId="0" fontId="11" fillId="0" borderId="26" xfId="0" applyFont="1" applyBorder="1" applyAlignment="1">
      <alignment horizontal="center" vertical="center" wrapText="1"/>
    </xf>
    <xf numFmtId="0" fontId="0" fillId="0" borderId="68" xfId="0" applyFont="1" applyBorder="1" applyAlignment="1">
      <alignment horizontal="center" vertical="center" wrapText="1"/>
    </xf>
    <xf numFmtId="0" fontId="0" fillId="0" borderId="27" xfId="0" applyBorder="1" applyAlignment="1">
      <alignment horizontal="center"/>
    </xf>
    <xf numFmtId="0" fontId="0" fillId="0" borderId="69" xfId="0" applyBorder="1" applyAlignment="1">
      <alignment horizontal="center"/>
    </xf>
    <xf numFmtId="0" fontId="5" fillId="0" borderId="6" xfId="0" applyFont="1" applyBorder="1" applyAlignment="1">
      <alignment vertical="center" wrapText="1"/>
    </xf>
    <xf numFmtId="0" fontId="7" fillId="0" borderId="21" xfId="0" applyFont="1" applyBorder="1" applyAlignment="1">
      <alignment vertical="center" wrapText="1"/>
    </xf>
    <xf numFmtId="0" fontId="7" fillId="0" borderId="11" xfId="0" applyFont="1" applyBorder="1" applyAlignment="1">
      <alignment horizontal="left" vertical="center" wrapText="1" indent="1"/>
    </xf>
    <xf numFmtId="0" fontId="0" fillId="0" borderId="27" xfId="0" applyBorder="1" applyAlignment="1">
      <alignment horizontal="left" vertical="center"/>
    </xf>
    <xf numFmtId="0" fontId="0" fillId="0" borderId="69" xfId="0" applyBorder="1" applyAlignment="1">
      <alignment horizontal="left" vertical="center"/>
    </xf>
    <xf numFmtId="0" fontId="0" fillId="0" borderId="29" xfId="0" applyBorder="1" applyAlignment="1">
      <alignment horizontal="left" vertical="center"/>
    </xf>
    <xf numFmtId="0" fontId="0" fillId="0" borderId="30" xfId="0" applyBorder="1" applyAlignment="1">
      <alignment horizontal="left" vertical="center"/>
    </xf>
    <xf numFmtId="0" fontId="5" fillId="0" borderId="31" xfId="0" applyFont="1" applyBorder="1" applyAlignment="1">
      <alignment horizontal="left" vertical="center" wrapText="1"/>
    </xf>
    <xf numFmtId="0" fontId="0" fillId="0" borderId="17" xfId="0" applyBorder="1"/>
    <xf numFmtId="0" fontId="13" fillId="3" borderId="0" xfId="0" applyFont="1" applyFill="1" applyBorder="1" applyAlignment="1">
      <alignment horizontal="left" vertical="center" wrapText="1"/>
    </xf>
    <xf numFmtId="0" fontId="13" fillId="3" borderId="5" xfId="0" applyFont="1" applyFill="1" applyBorder="1" applyAlignment="1">
      <alignment horizontal="left" vertical="center" wrapText="1"/>
    </xf>
    <xf numFmtId="0" fontId="13" fillId="3" borderId="0" xfId="0" applyFont="1" applyFill="1" applyBorder="1" applyAlignment="1">
      <alignment horizontal="left" wrapText="1"/>
    </xf>
    <xf numFmtId="0" fontId="13" fillId="3" borderId="5" xfId="0" applyFont="1" applyFill="1" applyBorder="1" applyAlignment="1">
      <alignment horizontal="left" wrapText="1"/>
    </xf>
    <xf numFmtId="0" fontId="13" fillId="3" borderId="0" xfId="0" applyFont="1" applyFill="1" applyBorder="1" applyAlignment="1">
      <alignment horizontal="left"/>
    </xf>
    <xf numFmtId="0" fontId="13" fillId="3" borderId="5" xfId="0" applyFont="1" applyFill="1" applyBorder="1" applyAlignment="1">
      <alignment horizontal="left"/>
    </xf>
    <xf numFmtId="0" fontId="31" fillId="0" borderId="64" xfId="0" applyFont="1" applyBorder="1" applyAlignment="1">
      <alignment horizontal="left" vertical="center" wrapText="1"/>
    </xf>
    <xf numFmtId="0" fontId="31" fillId="0" borderId="0" xfId="0" applyFont="1" applyBorder="1" applyAlignment="1">
      <alignment horizontal="left" vertical="center" wrapText="1"/>
    </xf>
    <xf numFmtId="0" fontId="31" fillId="0" borderId="5" xfId="0" applyFont="1" applyBorder="1" applyAlignment="1">
      <alignment horizontal="left" vertical="center" wrapText="1"/>
    </xf>
    <xf numFmtId="0" fontId="14" fillId="0" borderId="0" xfId="0" applyFont="1" applyBorder="1" applyAlignment="1">
      <alignment horizontal="center"/>
    </xf>
    <xf numFmtId="0" fontId="16" fillId="3" borderId="0" xfId="0" applyFont="1" applyFill="1" applyBorder="1" applyAlignment="1">
      <alignment horizontal="left" wrapText="1" indent="1"/>
    </xf>
    <xf numFmtId="169" fontId="25" fillId="0" borderId="11" xfId="0" applyNumberFormat="1" applyFont="1" applyBorder="1" applyAlignment="1">
      <alignment horizontal="center" vertical="center"/>
    </xf>
    <xf numFmtId="0" fontId="25" fillId="0" borderId="33" xfId="0" applyFont="1" applyBorder="1" applyAlignment="1">
      <alignment horizontal="left" vertical="center" wrapText="1"/>
    </xf>
    <xf numFmtId="0" fontId="25" fillId="0" borderId="61" xfId="0" applyFont="1" applyBorder="1" applyAlignment="1">
      <alignment horizontal="left" vertical="center" wrapText="1"/>
    </xf>
    <xf numFmtId="0" fontId="25" fillId="0" borderId="62" xfId="0" applyFont="1" applyBorder="1" applyAlignment="1">
      <alignment horizontal="left" vertical="center" wrapText="1"/>
    </xf>
    <xf numFmtId="0" fontId="29" fillId="0" borderId="11" xfId="0" applyFont="1" applyBorder="1" applyAlignment="1">
      <alignment horizontal="left" vertical="center" wrapText="1" indent="1"/>
    </xf>
    <xf numFmtId="0" fontId="25" fillId="0" borderId="54" xfId="0" applyFont="1" applyBorder="1" applyAlignment="1">
      <alignment horizontal="left" vertical="center" wrapText="1"/>
    </xf>
    <xf numFmtId="0" fontId="25" fillId="0" borderId="55" xfId="0" applyFont="1" applyBorder="1" applyAlignment="1">
      <alignment horizontal="left" vertical="center" wrapText="1"/>
    </xf>
    <xf numFmtId="0" fontId="25" fillId="0" borderId="56" xfId="0" applyFont="1" applyBorder="1" applyAlignment="1">
      <alignment horizontal="left" vertical="center" wrapText="1"/>
    </xf>
    <xf numFmtId="0" fontId="25" fillId="0" borderId="58" xfId="0" applyFont="1" applyBorder="1" applyAlignment="1">
      <alignment horizontal="left" vertical="center" wrapText="1"/>
    </xf>
    <xf numFmtId="0" fontId="25" fillId="0" borderId="59" xfId="0" applyFont="1" applyBorder="1" applyAlignment="1">
      <alignment horizontal="left" vertical="center" wrapText="1"/>
    </xf>
    <xf numFmtId="0" fontId="25" fillId="0" borderId="60" xfId="0" applyFont="1" applyBorder="1" applyAlignment="1">
      <alignment horizontal="left" vertical="center" wrapText="1"/>
    </xf>
    <xf numFmtId="0" fontId="27" fillId="0" borderId="52" xfId="0" applyFont="1" applyBorder="1" applyAlignment="1">
      <alignment horizontal="center" vertical="center" wrapText="1"/>
    </xf>
    <xf numFmtId="0" fontId="27" fillId="0" borderId="51" xfId="0" applyFont="1" applyBorder="1" applyAlignment="1">
      <alignment horizontal="center" vertical="center" wrapText="1"/>
    </xf>
    <xf numFmtId="0" fontId="27" fillId="0" borderId="50" xfId="0" applyFont="1" applyBorder="1" applyAlignment="1">
      <alignment horizontal="center" vertical="center"/>
    </xf>
    <xf numFmtId="0" fontId="25" fillId="0" borderId="45" xfId="0" applyFont="1" applyBorder="1" applyAlignment="1">
      <alignment horizontal="left" vertical="center" wrapText="1"/>
    </xf>
    <xf numFmtId="0" fontId="25" fillId="0" borderId="47" xfId="0" applyFont="1" applyBorder="1" applyAlignment="1">
      <alignment horizontal="left" vertical="center" wrapText="1"/>
    </xf>
    <xf numFmtId="0" fontId="26" fillId="0" borderId="11" xfId="0" applyFont="1" applyBorder="1" applyAlignment="1">
      <alignment horizontal="left" vertical="center" wrapText="1" indent="1"/>
    </xf>
    <xf numFmtId="0" fontId="25" fillId="0" borderId="48" xfId="0" applyFont="1" applyBorder="1" applyAlignment="1">
      <alignment horizontal="left" vertical="center"/>
    </xf>
    <xf numFmtId="0" fontId="26" fillId="0" borderId="49" xfId="0" applyFont="1" applyBorder="1" applyAlignment="1">
      <alignment horizontal="left" vertical="center" wrapText="1" indent="1"/>
    </xf>
    <xf numFmtId="0" fontId="7" fillId="0" borderId="34" xfId="0" applyFont="1" applyBorder="1" applyAlignment="1">
      <alignment horizontal="left"/>
    </xf>
    <xf numFmtId="0" fontId="7" fillId="0" borderId="35" xfId="0" applyFont="1" applyBorder="1" applyAlignment="1">
      <alignment horizontal="left"/>
    </xf>
    <xf numFmtId="0" fontId="22" fillId="0" borderId="39" xfId="0" applyFont="1" applyBorder="1" applyAlignment="1">
      <alignment horizontal="center" vertical="center"/>
    </xf>
    <xf numFmtId="0" fontId="7" fillId="0" borderId="46" xfId="0" applyFont="1" applyBorder="1" applyAlignment="1">
      <alignment horizontal="left" indent="1"/>
    </xf>
    <xf numFmtId="0" fontId="7" fillId="0" borderId="46" xfId="0" applyFont="1" applyBorder="1" applyAlignment="1">
      <alignment horizontal="left" wrapText="1" indent="1"/>
    </xf>
    <xf numFmtId="0" fontId="18" fillId="0" borderId="73" xfId="0" applyFont="1" applyBorder="1" applyAlignment="1">
      <alignment horizontal="center" vertical="center" wrapText="1"/>
    </xf>
    <xf numFmtId="0" fontId="15" fillId="0" borderId="0" xfId="0" applyFont="1" applyAlignment="1">
      <alignment horizontal="left" vertical="center" wrapText="1"/>
    </xf>
  </cellXfs>
  <cellStyles count="5">
    <cellStyle name="Encabezado 1" xfId="1" xr:uid="{00000000-0005-0000-0000-000000000000}"/>
    <cellStyle name="Moneda" xfId="4" builtinId="4"/>
    <cellStyle name="Moneda_AUTORIZACION Y NOTA DE PEDIDO" xfId="2" xr:uid="{00000000-0005-0000-0000-000002000000}"/>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0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0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0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0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6"/>
  <sheetViews>
    <sheetView tabSelected="1" topLeftCell="A6" workbookViewId="0">
      <selection activeCell="I9" sqref="I9"/>
    </sheetView>
  </sheetViews>
  <sheetFormatPr baseColWidth="10" defaultColWidth="11" defaultRowHeight="12.75" x14ac:dyDescent="0.2"/>
  <cols>
    <col min="1" max="1" width="4.5703125" style="30" customWidth="1"/>
    <col min="2" max="2" width="14.5703125" style="30" customWidth="1"/>
    <col min="3" max="3" width="23" style="30" customWidth="1"/>
    <col min="4" max="4" width="8.42578125" style="30" customWidth="1"/>
    <col min="5" max="5" width="64.7109375" style="30" customWidth="1"/>
    <col min="6" max="6" width="11" style="30"/>
    <col min="7" max="7" width="12.7109375" style="30" customWidth="1"/>
    <col min="8" max="8" width="13.85546875" style="30" customWidth="1"/>
    <col min="9" max="9" width="13" style="30" customWidth="1"/>
    <col min="10" max="16384" width="11" style="30"/>
  </cols>
  <sheetData>
    <row r="1" spans="1:9" ht="27" x14ac:dyDescent="0.35">
      <c r="B1" s="192" t="s">
        <v>45</v>
      </c>
      <c r="C1" s="192"/>
      <c r="D1" s="192"/>
      <c r="E1" s="192"/>
      <c r="F1" s="192"/>
      <c r="G1" s="192"/>
      <c r="H1" s="192"/>
    </row>
    <row r="3" spans="1:9" ht="18" customHeight="1" x14ac:dyDescent="0.25">
      <c r="A3" s="219" t="s">
        <v>46</v>
      </c>
      <c r="B3" s="219"/>
      <c r="C3" s="193" t="s">
        <v>27</v>
      </c>
      <c r="D3" s="193"/>
      <c r="E3" s="193"/>
      <c r="F3" s="31"/>
      <c r="G3" s="32"/>
      <c r="H3" s="31"/>
    </row>
    <row r="4" spans="1:9" ht="18" customHeight="1" x14ac:dyDescent="0.25">
      <c r="A4" s="219" t="s">
        <v>47</v>
      </c>
      <c r="B4" s="219"/>
      <c r="C4" s="193" t="s">
        <v>28</v>
      </c>
      <c r="D4" s="193"/>
      <c r="E4" s="193"/>
      <c r="F4" s="31"/>
      <c r="G4" s="32"/>
      <c r="H4" s="31"/>
    </row>
    <row r="5" spans="1:9" ht="16.5" customHeight="1" x14ac:dyDescent="0.25">
      <c r="A5" s="219" t="s">
        <v>3</v>
      </c>
      <c r="B5" s="219"/>
      <c r="C5" s="33">
        <v>2020</v>
      </c>
      <c r="D5" s="34"/>
      <c r="E5" s="34"/>
      <c r="F5" s="31"/>
      <c r="G5" s="32"/>
      <c r="H5" s="31"/>
    </row>
    <row r="6" spans="1:9" ht="16.5" customHeight="1" x14ac:dyDescent="0.25">
      <c r="A6" s="219" t="s">
        <v>48</v>
      </c>
      <c r="B6" s="219"/>
      <c r="C6" s="33">
        <v>4</v>
      </c>
      <c r="D6" s="34"/>
      <c r="E6" s="34"/>
      <c r="F6" s="31"/>
      <c r="G6" s="32"/>
      <c r="H6" s="31"/>
    </row>
    <row r="7" spans="1:9" ht="13.5" thickBot="1" x14ac:dyDescent="0.25">
      <c r="B7" s="31"/>
      <c r="C7" s="32"/>
      <c r="D7" s="31"/>
      <c r="E7" s="31"/>
      <c r="F7" s="31"/>
      <c r="G7" s="32"/>
      <c r="H7" s="31"/>
    </row>
    <row r="8" spans="1:9" ht="39.75" thickTop="1" thickBot="1" x14ac:dyDescent="0.25">
      <c r="A8" s="35" t="s">
        <v>49</v>
      </c>
      <c r="B8" s="35" t="s">
        <v>50</v>
      </c>
      <c r="C8" s="35" t="s">
        <v>51</v>
      </c>
      <c r="D8" s="85" t="s">
        <v>52</v>
      </c>
      <c r="E8" s="218" t="s">
        <v>53</v>
      </c>
      <c r="F8" s="87" t="s">
        <v>54</v>
      </c>
      <c r="G8" s="35" t="s">
        <v>55</v>
      </c>
      <c r="H8" s="35" t="s">
        <v>56</v>
      </c>
      <c r="I8" s="35" t="s">
        <v>57</v>
      </c>
    </row>
    <row r="9" spans="1:9" ht="28.5" customHeight="1" thickBot="1" x14ac:dyDescent="0.25">
      <c r="A9" s="86">
        <v>1</v>
      </c>
      <c r="B9" s="88" t="s">
        <v>58</v>
      </c>
      <c r="C9" s="95" t="s">
        <v>59</v>
      </c>
      <c r="D9" s="99" t="s">
        <v>183</v>
      </c>
      <c r="E9" s="104" t="s">
        <v>60</v>
      </c>
      <c r="F9" s="118" t="s">
        <v>61</v>
      </c>
      <c r="G9" s="119">
        <v>140</v>
      </c>
      <c r="H9" s="129">
        <v>410</v>
      </c>
      <c r="I9" s="125">
        <f>H9*G9</f>
        <v>57400</v>
      </c>
    </row>
    <row r="10" spans="1:9" ht="33" customHeight="1" thickBot="1" x14ac:dyDescent="0.25">
      <c r="A10" s="86">
        <v>2</v>
      </c>
      <c r="B10" s="89" t="s">
        <v>181</v>
      </c>
      <c r="C10" s="96" t="s">
        <v>64</v>
      </c>
      <c r="D10" s="100" t="s">
        <v>183</v>
      </c>
      <c r="E10" s="105" t="s">
        <v>182</v>
      </c>
      <c r="F10" s="93" t="s">
        <v>61</v>
      </c>
      <c r="G10" s="120">
        <v>60</v>
      </c>
      <c r="H10" s="130">
        <v>1090</v>
      </c>
      <c r="I10" s="126">
        <f t="shared" ref="I10:I41" si="0">H10*G10</f>
        <v>65400</v>
      </c>
    </row>
    <row r="11" spans="1:9" ht="30" customHeight="1" thickBot="1" x14ac:dyDescent="0.25">
      <c r="A11" s="86">
        <v>3</v>
      </c>
      <c r="B11" s="90" t="s">
        <v>63</v>
      </c>
      <c r="C11" s="39" t="s">
        <v>64</v>
      </c>
      <c r="D11" s="101" t="s">
        <v>183</v>
      </c>
      <c r="E11" s="106" t="s">
        <v>65</v>
      </c>
      <c r="F11" s="92" t="s">
        <v>61</v>
      </c>
      <c r="G11" s="121">
        <v>34</v>
      </c>
      <c r="H11" s="131">
        <v>7400</v>
      </c>
      <c r="I11" s="127">
        <f t="shared" si="0"/>
        <v>251600</v>
      </c>
    </row>
    <row r="12" spans="1:9" ht="33" customHeight="1" thickBot="1" x14ac:dyDescent="0.25">
      <c r="A12" s="86">
        <v>4</v>
      </c>
      <c r="B12" s="89" t="s">
        <v>66</v>
      </c>
      <c r="C12" s="96" t="s">
        <v>64</v>
      </c>
      <c r="D12" s="100" t="s">
        <v>183</v>
      </c>
      <c r="E12" s="107" t="s">
        <v>67</v>
      </c>
      <c r="F12" s="93" t="s">
        <v>61</v>
      </c>
      <c r="G12" s="120">
        <v>50</v>
      </c>
      <c r="H12" s="130">
        <v>290</v>
      </c>
      <c r="I12" s="126">
        <f t="shared" si="0"/>
        <v>14500</v>
      </c>
    </row>
    <row r="13" spans="1:9" ht="28.5" customHeight="1" thickBot="1" x14ac:dyDescent="0.25">
      <c r="A13" s="86">
        <v>5</v>
      </c>
      <c r="B13" s="91" t="s">
        <v>145</v>
      </c>
      <c r="C13" s="97" t="s">
        <v>64</v>
      </c>
      <c r="D13" s="102" t="s">
        <v>184</v>
      </c>
      <c r="E13" s="108" t="s">
        <v>144</v>
      </c>
      <c r="F13" s="92" t="s">
        <v>61</v>
      </c>
      <c r="G13" s="122">
        <v>10</v>
      </c>
      <c r="H13" s="131">
        <v>12300</v>
      </c>
      <c r="I13" s="127">
        <f t="shared" si="0"/>
        <v>123000</v>
      </c>
    </row>
    <row r="14" spans="1:9" ht="29.25" customHeight="1" thickBot="1" x14ac:dyDescent="0.25">
      <c r="A14" s="86">
        <v>6</v>
      </c>
      <c r="B14" s="89" t="s">
        <v>69</v>
      </c>
      <c r="C14" s="96" t="s">
        <v>64</v>
      </c>
      <c r="D14" s="100" t="s">
        <v>185</v>
      </c>
      <c r="E14" s="109" t="s">
        <v>70</v>
      </c>
      <c r="F14" s="93" t="s">
        <v>61</v>
      </c>
      <c r="G14" s="120">
        <v>15</v>
      </c>
      <c r="H14" s="130">
        <v>17500</v>
      </c>
      <c r="I14" s="126">
        <f t="shared" si="0"/>
        <v>262500</v>
      </c>
    </row>
    <row r="15" spans="1:9" ht="37.5" customHeight="1" thickBot="1" x14ac:dyDescent="0.25">
      <c r="A15" s="86">
        <v>7</v>
      </c>
      <c r="B15" s="90" t="s">
        <v>71</v>
      </c>
      <c r="C15" s="39" t="s">
        <v>72</v>
      </c>
      <c r="D15" s="101" t="s">
        <v>186</v>
      </c>
      <c r="E15" s="108" t="s">
        <v>73</v>
      </c>
      <c r="F15" s="92" t="s">
        <v>61</v>
      </c>
      <c r="G15" s="121">
        <v>30</v>
      </c>
      <c r="H15" s="131">
        <v>13200</v>
      </c>
      <c r="I15" s="127">
        <f t="shared" si="0"/>
        <v>396000</v>
      </c>
    </row>
    <row r="16" spans="1:9" ht="29.25" customHeight="1" thickBot="1" x14ac:dyDescent="0.25">
      <c r="A16" s="86">
        <v>8</v>
      </c>
      <c r="B16" s="89" t="s">
        <v>74</v>
      </c>
      <c r="C16" s="96" t="s">
        <v>64</v>
      </c>
      <c r="D16" s="100" t="s">
        <v>183</v>
      </c>
      <c r="E16" s="109" t="s">
        <v>75</v>
      </c>
      <c r="F16" s="93" t="s">
        <v>61</v>
      </c>
      <c r="G16" s="120">
        <v>40</v>
      </c>
      <c r="H16" s="130">
        <v>7900</v>
      </c>
      <c r="I16" s="126">
        <f t="shared" si="0"/>
        <v>316000</v>
      </c>
    </row>
    <row r="17" spans="1:9" ht="30.75" customHeight="1" thickBot="1" x14ac:dyDescent="0.25">
      <c r="A17" s="86">
        <v>9</v>
      </c>
      <c r="B17" s="90" t="s">
        <v>76</v>
      </c>
      <c r="C17" s="39" t="s">
        <v>64</v>
      </c>
      <c r="D17" s="101" t="s">
        <v>187</v>
      </c>
      <c r="E17" s="110" t="s">
        <v>77</v>
      </c>
      <c r="F17" s="92" t="s">
        <v>61</v>
      </c>
      <c r="G17" s="121">
        <v>200</v>
      </c>
      <c r="H17" s="131">
        <v>795</v>
      </c>
      <c r="I17" s="127">
        <f t="shared" si="0"/>
        <v>159000</v>
      </c>
    </row>
    <row r="18" spans="1:9" ht="27" customHeight="1" thickBot="1" x14ac:dyDescent="0.25">
      <c r="A18" s="86">
        <v>10</v>
      </c>
      <c r="B18" s="89" t="s">
        <v>78</v>
      </c>
      <c r="C18" s="96" t="s">
        <v>64</v>
      </c>
      <c r="D18" s="100" t="s">
        <v>187</v>
      </c>
      <c r="E18" s="109" t="s">
        <v>79</v>
      </c>
      <c r="F18" s="93" t="s">
        <v>61</v>
      </c>
      <c r="G18" s="120">
        <v>50</v>
      </c>
      <c r="H18" s="130">
        <v>600</v>
      </c>
      <c r="I18" s="126">
        <f t="shared" si="0"/>
        <v>30000</v>
      </c>
    </row>
    <row r="19" spans="1:9" ht="30.75" customHeight="1" thickBot="1" x14ac:dyDescent="0.25">
      <c r="A19" s="86">
        <v>11</v>
      </c>
      <c r="B19" s="90" t="s">
        <v>80</v>
      </c>
      <c r="C19" s="39" t="s">
        <v>64</v>
      </c>
      <c r="D19" s="101" t="s">
        <v>188</v>
      </c>
      <c r="E19" s="111" t="s">
        <v>81</v>
      </c>
      <c r="F19" s="92" t="s">
        <v>61</v>
      </c>
      <c r="G19" s="121">
        <v>1000</v>
      </c>
      <c r="H19" s="131">
        <v>115</v>
      </c>
      <c r="I19" s="127">
        <f t="shared" si="0"/>
        <v>115000</v>
      </c>
    </row>
    <row r="20" spans="1:9" ht="27" customHeight="1" thickBot="1" x14ac:dyDescent="0.25">
      <c r="A20" s="86">
        <v>12</v>
      </c>
      <c r="B20" s="89" t="s">
        <v>82</v>
      </c>
      <c r="C20" s="96" t="s">
        <v>64</v>
      </c>
      <c r="D20" s="100" t="s">
        <v>187</v>
      </c>
      <c r="E20" s="107" t="s">
        <v>83</v>
      </c>
      <c r="F20" s="93" t="s">
        <v>61</v>
      </c>
      <c r="G20" s="120">
        <v>50</v>
      </c>
      <c r="H20" s="130">
        <v>530</v>
      </c>
      <c r="I20" s="126">
        <f t="shared" si="0"/>
        <v>26500</v>
      </c>
    </row>
    <row r="21" spans="1:9" ht="25.5" customHeight="1" thickBot="1" x14ac:dyDescent="0.25">
      <c r="A21" s="86">
        <v>13</v>
      </c>
      <c r="B21" s="90" t="s">
        <v>84</v>
      </c>
      <c r="C21" s="39" t="s">
        <v>85</v>
      </c>
      <c r="D21" s="101" t="s">
        <v>97</v>
      </c>
      <c r="E21" s="111" t="s">
        <v>86</v>
      </c>
      <c r="F21" s="92" t="s">
        <v>61</v>
      </c>
      <c r="G21" s="121">
        <v>50</v>
      </c>
      <c r="H21" s="131">
        <v>3700</v>
      </c>
      <c r="I21" s="127">
        <f t="shared" si="0"/>
        <v>185000</v>
      </c>
    </row>
    <row r="22" spans="1:9" ht="78" customHeight="1" thickBot="1" x14ac:dyDescent="0.25">
      <c r="A22" s="86">
        <v>14</v>
      </c>
      <c r="B22" s="89" t="s">
        <v>87</v>
      </c>
      <c r="C22" s="96" t="s">
        <v>64</v>
      </c>
      <c r="D22" s="100" t="s">
        <v>189</v>
      </c>
      <c r="E22" s="109" t="s">
        <v>88</v>
      </c>
      <c r="F22" s="93" t="s">
        <v>61</v>
      </c>
      <c r="G22" s="120">
        <v>250</v>
      </c>
      <c r="H22" s="130">
        <v>1950</v>
      </c>
      <c r="I22" s="126">
        <f t="shared" si="0"/>
        <v>487500</v>
      </c>
    </row>
    <row r="23" spans="1:9" ht="32.25" customHeight="1" thickBot="1" x14ac:dyDescent="0.25">
      <c r="A23" s="86">
        <v>15</v>
      </c>
      <c r="B23" s="91" t="s">
        <v>159</v>
      </c>
      <c r="C23" s="97" t="s">
        <v>64</v>
      </c>
      <c r="D23" s="102" t="s">
        <v>183</v>
      </c>
      <c r="E23" s="108" t="s">
        <v>158</v>
      </c>
      <c r="F23" s="92" t="s">
        <v>61</v>
      </c>
      <c r="G23" s="122">
        <v>40</v>
      </c>
      <c r="H23" s="131">
        <v>7980</v>
      </c>
      <c r="I23" s="127">
        <f t="shared" si="0"/>
        <v>319200</v>
      </c>
    </row>
    <row r="24" spans="1:9" ht="29.25" customHeight="1" thickBot="1" x14ac:dyDescent="0.25">
      <c r="A24" s="86">
        <v>16</v>
      </c>
      <c r="B24" s="89" t="s">
        <v>157</v>
      </c>
      <c r="C24" s="96" t="s">
        <v>64</v>
      </c>
      <c r="D24" s="100" t="s">
        <v>184</v>
      </c>
      <c r="E24" s="112" t="s">
        <v>156</v>
      </c>
      <c r="F24" s="93" t="s">
        <v>61</v>
      </c>
      <c r="G24" s="120">
        <v>80</v>
      </c>
      <c r="H24" s="130">
        <v>2100</v>
      </c>
      <c r="I24" s="126">
        <f t="shared" si="0"/>
        <v>168000</v>
      </c>
    </row>
    <row r="25" spans="1:9" ht="30.75" customHeight="1" thickBot="1" x14ac:dyDescent="0.25">
      <c r="A25" s="86">
        <v>17</v>
      </c>
      <c r="B25" s="90" t="s">
        <v>91</v>
      </c>
      <c r="C25" s="39" t="s">
        <v>85</v>
      </c>
      <c r="D25" s="101" t="s">
        <v>97</v>
      </c>
      <c r="E25" s="106" t="s">
        <v>92</v>
      </c>
      <c r="F25" s="92" t="s">
        <v>61</v>
      </c>
      <c r="G25" s="121">
        <v>70</v>
      </c>
      <c r="H25" s="131">
        <v>9900</v>
      </c>
      <c r="I25" s="127">
        <f t="shared" si="0"/>
        <v>693000</v>
      </c>
    </row>
    <row r="26" spans="1:9" ht="27" customHeight="1" thickBot="1" x14ac:dyDescent="0.25">
      <c r="A26" s="86">
        <v>18</v>
      </c>
      <c r="B26" s="89" t="s">
        <v>93</v>
      </c>
      <c r="C26" s="96" t="s">
        <v>85</v>
      </c>
      <c r="D26" s="100" t="s">
        <v>97</v>
      </c>
      <c r="E26" s="105" t="s">
        <v>94</v>
      </c>
      <c r="F26" s="93" t="s">
        <v>61</v>
      </c>
      <c r="G26" s="120">
        <v>50</v>
      </c>
      <c r="H26" s="130">
        <v>11900</v>
      </c>
      <c r="I26" s="126">
        <f t="shared" si="0"/>
        <v>595000</v>
      </c>
    </row>
    <row r="27" spans="1:9" ht="27.75" customHeight="1" thickBot="1" x14ac:dyDescent="0.25">
      <c r="A27" s="86">
        <v>19</v>
      </c>
      <c r="B27" s="90" t="s">
        <v>95</v>
      </c>
      <c r="C27" s="39" t="s">
        <v>85</v>
      </c>
      <c r="D27" s="101" t="s">
        <v>97</v>
      </c>
      <c r="E27" s="106" t="s">
        <v>96</v>
      </c>
      <c r="F27" s="92" t="s">
        <v>61</v>
      </c>
      <c r="G27" s="121">
        <v>30</v>
      </c>
      <c r="H27" s="131">
        <v>5500</v>
      </c>
      <c r="I27" s="127">
        <f t="shared" si="0"/>
        <v>165000</v>
      </c>
    </row>
    <row r="28" spans="1:9" ht="38.25" customHeight="1" thickBot="1" x14ac:dyDescent="0.25">
      <c r="A28" s="86">
        <v>20</v>
      </c>
      <c r="B28" s="89" t="s">
        <v>95</v>
      </c>
      <c r="C28" s="96" t="s">
        <v>85</v>
      </c>
      <c r="D28" s="100" t="s">
        <v>97</v>
      </c>
      <c r="E28" s="105" t="s">
        <v>96</v>
      </c>
      <c r="F28" s="93" t="s">
        <v>61</v>
      </c>
      <c r="G28" s="120">
        <v>30</v>
      </c>
      <c r="H28" s="130">
        <v>4950</v>
      </c>
      <c r="I28" s="126">
        <f t="shared" si="0"/>
        <v>148500</v>
      </c>
    </row>
    <row r="29" spans="1:9" ht="39" thickBot="1" x14ac:dyDescent="0.25">
      <c r="A29" s="86">
        <v>21</v>
      </c>
      <c r="B29" s="90" t="s">
        <v>98</v>
      </c>
      <c r="C29" s="39" t="s">
        <v>99</v>
      </c>
      <c r="D29" s="101" t="s">
        <v>190</v>
      </c>
      <c r="E29" s="111" t="s">
        <v>100</v>
      </c>
      <c r="F29" s="92" t="s">
        <v>61</v>
      </c>
      <c r="G29" s="121">
        <v>50</v>
      </c>
      <c r="H29" s="131">
        <v>15300</v>
      </c>
      <c r="I29" s="127">
        <f t="shared" si="0"/>
        <v>765000</v>
      </c>
    </row>
    <row r="30" spans="1:9" ht="39" thickBot="1" x14ac:dyDescent="0.25">
      <c r="A30" s="86">
        <v>22</v>
      </c>
      <c r="B30" s="89" t="s">
        <v>101</v>
      </c>
      <c r="C30" s="96" t="s">
        <v>99</v>
      </c>
      <c r="D30" s="100" t="s">
        <v>190</v>
      </c>
      <c r="E30" s="107" t="s">
        <v>102</v>
      </c>
      <c r="F30" s="93" t="s">
        <v>61</v>
      </c>
      <c r="G30" s="120">
        <v>15</v>
      </c>
      <c r="H30" s="130">
        <v>6500</v>
      </c>
      <c r="I30" s="126">
        <f t="shared" si="0"/>
        <v>97500</v>
      </c>
    </row>
    <row r="31" spans="1:9" ht="39" thickBot="1" x14ac:dyDescent="0.25">
      <c r="A31" s="86">
        <v>23</v>
      </c>
      <c r="B31" s="90" t="s">
        <v>103</v>
      </c>
      <c r="C31" s="39" t="s">
        <v>99</v>
      </c>
      <c r="D31" s="101" t="s">
        <v>190</v>
      </c>
      <c r="E31" s="111" t="s">
        <v>104</v>
      </c>
      <c r="F31" s="92" t="s">
        <v>61</v>
      </c>
      <c r="G31" s="121">
        <v>20</v>
      </c>
      <c r="H31" s="131">
        <v>4300</v>
      </c>
      <c r="I31" s="127">
        <f t="shared" si="0"/>
        <v>86000</v>
      </c>
    </row>
    <row r="32" spans="1:9" ht="44.25" customHeight="1" thickBot="1" x14ac:dyDescent="0.25">
      <c r="A32" s="86">
        <v>24</v>
      </c>
      <c r="B32" s="89" t="s">
        <v>147</v>
      </c>
      <c r="C32" s="96" t="s">
        <v>64</v>
      </c>
      <c r="D32" s="100" t="s">
        <v>188</v>
      </c>
      <c r="E32" s="113" t="s">
        <v>146</v>
      </c>
      <c r="F32" s="93" t="s">
        <v>61</v>
      </c>
      <c r="G32" s="120">
        <v>300</v>
      </c>
      <c r="H32" s="130">
        <v>610</v>
      </c>
      <c r="I32" s="126">
        <f t="shared" si="0"/>
        <v>183000</v>
      </c>
    </row>
    <row r="33" spans="1:9" ht="45" customHeight="1" thickBot="1" x14ac:dyDescent="0.25">
      <c r="A33" s="86">
        <v>25</v>
      </c>
      <c r="B33" s="92" t="s">
        <v>106</v>
      </c>
      <c r="C33" s="39" t="s">
        <v>64</v>
      </c>
      <c r="D33" s="101" t="s">
        <v>188</v>
      </c>
      <c r="E33" s="114" t="s">
        <v>107</v>
      </c>
      <c r="F33" s="92" t="s">
        <v>61</v>
      </c>
      <c r="G33" s="41">
        <v>80</v>
      </c>
      <c r="H33" s="131">
        <v>135</v>
      </c>
      <c r="I33" s="127">
        <f t="shared" si="0"/>
        <v>10800</v>
      </c>
    </row>
    <row r="34" spans="1:9" ht="26.25" thickBot="1" x14ac:dyDescent="0.25">
      <c r="A34" s="86">
        <v>26</v>
      </c>
      <c r="B34" s="93" t="s">
        <v>155</v>
      </c>
      <c r="C34" s="96" t="s">
        <v>64</v>
      </c>
      <c r="D34" s="100" t="s">
        <v>188</v>
      </c>
      <c r="E34" s="115" t="s">
        <v>148</v>
      </c>
      <c r="F34" s="93" t="s">
        <v>61</v>
      </c>
      <c r="G34" s="123">
        <v>50</v>
      </c>
      <c r="H34" s="130">
        <v>705</v>
      </c>
      <c r="I34" s="126">
        <f t="shared" si="0"/>
        <v>35250</v>
      </c>
    </row>
    <row r="35" spans="1:9" ht="70.5" customHeight="1" thickBot="1" x14ac:dyDescent="0.25">
      <c r="A35" s="86">
        <v>27</v>
      </c>
      <c r="B35" s="92" t="s">
        <v>109</v>
      </c>
      <c r="C35" s="39" t="s">
        <v>99</v>
      </c>
      <c r="D35" s="101" t="s">
        <v>191</v>
      </c>
      <c r="E35" s="40" t="s">
        <v>110</v>
      </c>
      <c r="F35" s="92" t="s">
        <v>61</v>
      </c>
      <c r="G35" s="41">
        <v>50</v>
      </c>
      <c r="H35" s="131">
        <v>1340</v>
      </c>
      <c r="I35" s="127">
        <f t="shared" si="0"/>
        <v>67000</v>
      </c>
    </row>
    <row r="36" spans="1:9" ht="67.5" customHeight="1" thickBot="1" x14ac:dyDescent="0.25">
      <c r="A36" s="86">
        <v>28</v>
      </c>
      <c r="B36" s="93" t="s">
        <v>111</v>
      </c>
      <c r="C36" s="96" t="s">
        <v>99</v>
      </c>
      <c r="D36" s="100" t="s">
        <v>191</v>
      </c>
      <c r="E36" s="105" t="s">
        <v>114</v>
      </c>
      <c r="F36" s="93" t="s">
        <v>61</v>
      </c>
      <c r="G36" s="123">
        <v>50</v>
      </c>
      <c r="H36" s="130">
        <v>816</v>
      </c>
      <c r="I36" s="126">
        <f t="shared" si="0"/>
        <v>40800</v>
      </c>
    </row>
    <row r="37" spans="1:9" ht="68.25" customHeight="1" thickBot="1" x14ac:dyDescent="0.25">
      <c r="A37" s="86">
        <v>29</v>
      </c>
      <c r="B37" s="92" t="s">
        <v>113</v>
      </c>
      <c r="C37" s="39" t="s">
        <v>99</v>
      </c>
      <c r="D37" s="101" t="s">
        <v>191</v>
      </c>
      <c r="E37" s="106" t="s">
        <v>112</v>
      </c>
      <c r="F37" s="92" t="s">
        <v>61</v>
      </c>
      <c r="G37" s="41">
        <v>50</v>
      </c>
      <c r="H37" s="131">
        <v>530</v>
      </c>
      <c r="I37" s="127">
        <f t="shared" si="0"/>
        <v>26500</v>
      </c>
    </row>
    <row r="38" spans="1:9" ht="29.25" customHeight="1" thickBot="1" x14ac:dyDescent="0.25">
      <c r="A38" s="86">
        <v>30</v>
      </c>
      <c r="B38" s="93" t="s">
        <v>150</v>
      </c>
      <c r="C38" s="96" t="s">
        <v>64</v>
      </c>
      <c r="D38" s="100" t="s">
        <v>185</v>
      </c>
      <c r="E38" s="115" t="s">
        <v>149</v>
      </c>
      <c r="F38" s="93" t="s">
        <v>61</v>
      </c>
      <c r="G38" s="123">
        <v>10</v>
      </c>
      <c r="H38" s="130">
        <v>1850</v>
      </c>
      <c r="I38" s="126">
        <f t="shared" si="0"/>
        <v>18500</v>
      </c>
    </row>
    <row r="39" spans="1:9" ht="40.5" customHeight="1" thickBot="1" x14ac:dyDescent="0.25">
      <c r="A39" s="86">
        <v>31</v>
      </c>
      <c r="B39" s="92" t="s">
        <v>116</v>
      </c>
      <c r="C39" s="39" t="s">
        <v>99</v>
      </c>
      <c r="D39" s="101" t="s">
        <v>191</v>
      </c>
      <c r="E39" s="116" t="s">
        <v>117</v>
      </c>
      <c r="F39" s="92" t="s">
        <v>61</v>
      </c>
      <c r="G39" s="41">
        <v>20</v>
      </c>
      <c r="H39" s="131">
        <v>370</v>
      </c>
      <c r="I39" s="127">
        <f t="shared" si="0"/>
        <v>7400</v>
      </c>
    </row>
    <row r="40" spans="1:9" ht="43.5" customHeight="1" thickBot="1" x14ac:dyDescent="0.25">
      <c r="A40" s="86">
        <v>32</v>
      </c>
      <c r="B40" s="93" t="s">
        <v>118</v>
      </c>
      <c r="C40" s="96" t="s">
        <v>99</v>
      </c>
      <c r="D40" s="100" t="s">
        <v>191</v>
      </c>
      <c r="E40" s="112" t="s">
        <v>119</v>
      </c>
      <c r="F40" s="93" t="s">
        <v>61</v>
      </c>
      <c r="G40" s="123">
        <v>20</v>
      </c>
      <c r="H40" s="130">
        <v>2300</v>
      </c>
      <c r="I40" s="126">
        <f t="shared" si="0"/>
        <v>46000</v>
      </c>
    </row>
    <row r="41" spans="1:9" ht="45.75" customHeight="1" thickBot="1" x14ac:dyDescent="0.25">
      <c r="A41" s="86">
        <v>33</v>
      </c>
      <c r="B41" s="94" t="s">
        <v>120</v>
      </c>
      <c r="C41" s="98" t="s">
        <v>99</v>
      </c>
      <c r="D41" s="103" t="s">
        <v>191</v>
      </c>
      <c r="E41" s="117" t="s">
        <v>121</v>
      </c>
      <c r="F41" s="94" t="s">
        <v>61</v>
      </c>
      <c r="G41" s="124">
        <v>20</v>
      </c>
      <c r="H41" s="132">
        <v>1700</v>
      </c>
      <c r="I41" s="128">
        <f t="shared" si="0"/>
        <v>34000</v>
      </c>
    </row>
    <row r="42" spans="1:9" ht="13.5" thickBot="1" x14ac:dyDescent="0.25">
      <c r="A42" s="38"/>
      <c r="B42" s="41"/>
      <c r="C42" s="39"/>
      <c r="D42" s="84"/>
      <c r="E42" s="40"/>
      <c r="F42" s="41"/>
      <c r="G42" s="41"/>
      <c r="H42" s="42"/>
      <c r="I42" s="42"/>
    </row>
    <row r="43" spans="1:9" x14ac:dyDescent="0.2">
      <c r="B43" s="77" t="s">
        <v>122</v>
      </c>
      <c r="C43" s="43"/>
      <c r="D43" s="43"/>
      <c r="E43" s="44"/>
    </row>
    <row r="44" spans="1:9" ht="5.25" customHeight="1" x14ac:dyDescent="0.2">
      <c r="B44" s="78"/>
      <c r="C44" s="45"/>
      <c r="D44" s="45"/>
      <c r="E44" s="46"/>
    </row>
    <row r="45" spans="1:9" x14ac:dyDescent="0.2">
      <c r="B45" s="79" t="s">
        <v>123</v>
      </c>
      <c r="C45" s="45"/>
      <c r="D45" s="45"/>
      <c r="E45" s="46"/>
    </row>
    <row r="46" spans="1:9" ht="22.5" customHeight="1" x14ac:dyDescent="0.25">
      <c r="B46" s="80" t="s">
        <v>180</v>
      </c>
      <c r="C46" s="47"/>
      <c r="D46" s="47"/>
      <c r="E46" s="48"/>
    </row>
    <row r="47" spans="1:9" ht="22.5" customHeight="1" x14ac:dyDescent="0.25">
      <c r="B47" s="80" t="s">
        <v>160</v>
      </c>
      <c r="C47" s="47"/>
      <c r="D47" s="47"/>
      <c r="E47" s="48"/>
    </row>
    <row r="48" spans="1:9" ht="50.25" customHeight="1" x14ac:dyDescent="0.2">
      <c r="B48" s="189" t="s">
        <v>161</v>
      </c>
      <c r="C48" s="190"/>
      <c r="D48" s="190"/>
      <c r="E48" s="191"/>
    </row>
    <row r="49" spans="2:5" ht="22.5" customHeight="1" x14ac:dyDescent="0.25">
      <c r="B49" s="80" t="s">
        <v>162</v>
      </c>
      <c r="C49" s="47"/>
      <c r="D49" s="47"/>
      <c r="E49" s="48"/>
    </row>
    <row r="50" spans="2:5" ht="22.5" customHeight="1" x14ac:dyDescent="0.25">
      <c r="B50" s="80" t="s">
        <v>163</v>
      </c>
      <c r="C50" s="47"/>
      <c r="D50" s="47"/>
      <c r="E50" s="48"/>
    </row>
    <row r="51" spans="2:5" ht="35.25" customHeight="1" x14ac:dyDescent="0.2">
      <c r="B51" s="189" t="s">
        <v>164</v>
      </c>
      <c r="C51" s="190"/>
      <c r="D51" s="190"/>
      <c r="E51" s="191"/>
    </row>
    <row r="52" spans="2:5" ht="22.5" customHeight="1" x14ac:dyDescent="0.25">
      <c r="B52" s="80" t="s">
        <v>165</v>
      </c>
      <c r="C52" s="47"/>
      <c r="D52" s="47"/>
      <c r="E52" s="48"/>
    </row>
    <row r="53" spans="2:5" ht="22.5" customHeight="1" x14ac:dyDescent="0.25">
      <c r="B53" s="80" t="s">
        <v>166</v>
      </c>
      <c r="C53" s="47"/>
      <c r="D53" s="47"/>
      <c r="E53" s="48"/>
    </row>
    <row r="54" spans="2:5" ht="22.5" customHeight="1" x14ac:dyDescent="0.25">
      <c r="B54" s="80" t="s">
        <v>167</v>
      </c>
      <c r="C54" s="47"/>
      <c r="D54" s="47"/>
      <c r="E54" s="48"/>
    </row>
    <row r="55" spans="2:5" ht="22.5" customHeight="1" x14ac:dyDescent="0.25">
      <c r="B55" s="80" t="s">
        <v>168</v>
      </c>
      <c r="C55" s="47"/>
      <c r="D55" s="47"/>
      <c r="E55" s="48"/>
    </row>
    <row r="56" spans="2:5" ht="22.5" customHeight="1" x14ac:dyDescent="0.25">
      <c r="B56" s="80" t="s">
        <v>169</v>
      </c>
      <c r="C56" s="47"/>
      <c r="D56" s="47"/>
      <c r="E56" s="48"/>
    </row>
    <row r="57" spans="2:5" ht="22.5" customHeight="1" x14ac:dyDescent="0.25">
      <c r="B57" s="80" t="s">
        <v>170</v>
      </c>
      <c r="C57" s="47"/>
      <c r="D57" s="47"/>
      <c r="E57" s="48"/>
    </row>
    <row r="58" spans="2:5" ht="22.5" customHeight="1" x14ac:dyDescent="0.25">
      <c r="B58" s="80" t="s">
        <v>171</v>
      </c>
      <c r="C58" s="47"/>
      <c r="D58" s="47"/>
      <c r="E58" s="48"/>
    </row>
    <row r="59" spans="2:5" ht="22.5" customHeight="1" x14ac:dyDescent="0.25">
      <c r="B59" s="80" t="s">
        <v>172</v>
      </c>
      <c r="C59" s="47"/>
      <c r="D59" s="47"/>
      <c r="E59" s="48"/>
    </row>
    <row r="60" spans="2:5" ht="22.5" customHeight="1" x14ac:dyDescent="0.25">
      <c r="B60" s="80" t="s">
        <v>173</v>
      </c>
      <c r="C60" s="47"/>
      <c r="D60" s="47"/>
      <c r="E60" s="48"/>
    </row>
    <row r="61" spans="2:5" ht="22.5" customHeight="1" x14ac:dyDescent="0.25">
      <c r="B61" s="80" t="s">
        <v>174</v>
      </c>
      <c r="C61" s="47"/>
      <c r="D61" s="47"/>
      <c r="E61" s="48"/>
    </row>
    <row r="62" spans="2:5" ht="22.5" customHeight="1" x14ac:dyDescent="0.25">
      <c r="B62" s="80" t="s">
        <v>175</v>
      </c>
      <c r="C62" s="47"/>
      <c r="D62" s="47"/>
      <c r="E62" s="48"/>
    </row>
    <row r="63" spans="2:5" ht="22.5" customHeight="1" x14ac:dyDescent="0.25">
      <c r="B63" s="80" t="s">
        <v>176</v>
      </c>
      <c r="C63" s="47"/>
      <c r="D63" s="47"/>
      <c r="E63" s="48"/>
    </row>
    <row r="64" spans="2:5" ht="22.5" customHeight="1" x14ac:dyDescent="0.25">
      <c r="B64" s="80" t="s">
        <v>177</v>
      </c>
      <c r="C64" s="47"/>
      <c r="D64" s="47"/>
      <c r="E64" s="48"/>
    </row>
    <row r="65" spans="2:5" ht="22.5" customHeight="1" x14ac:dyDescent="0.25">
      <c r="B65" s="80" t="s">
        <v>178</v>
      </c>
      <c r="C65" s="47"/>
      <c r="D65" s="47"/>
      <c r="E65" s="48"/>
    </row>
    <row r="66" spans="2:5" ht="22.5" customHeight="1" x14ac:dyDescent="0.25">
      <c r="B66" s="80"/>
      <c r="C66" s="47"/>
      <c r="D66" s="47"/>
      <c r="E66" s="48"/>
    </row>
    <row r="67" spans="2:5" x14ac:dyDescent="0.2">
      <c r="B67" s="79" t="s">
        <v>124</v>
      </c>
      <c r="C67" s="45"/>
      <c r="D67" s="45"/>
      <c r="E67" s="46"/>
    </row>
    <row r="68" spans="2:5" ht="25.5" customHeight="1" x14ac:dyDescent="0.2">
      <c r="B68" s="81"/>
      <c r="C68" s="183" t="s">
        <v>125</v>
      </c>
      <c r="D68" s="183"/>
      <c r="E68" s="184"/>
    </row>
    <row r="69" spans="2:5" ht="45.75" customHeight="1" x14ac:dyDescent="0.2">
      <c r="B69" s="81"/>
      <c r="C69" s="183"/>
      <c r="D69" s="183"/>
      <c r="E69" s="184"/>
    </row>
    <row r="70" spans="2:5" x14ac:dyDescent="0.2">
      <c r="B70" s="79" t="s">
        <v>126</v>
      </c>
      <c r="C70" s="45"/>
      <c r="D70" s="45"/>
      <c r="E70" s="46"/>
    </row>
    <row r="71" spans="2:5" ht="9.75" customHeight="1" x14ac:dyDescent="0.2">
      <c r="B71" s="81"/>
      <c r="C71" s="185"/>
      <c r="D71" s="185"/>
      <c r="E71" s="186"/>
    </row>
    <row r="72" spans="2:5" x14ac:dyDescent="0.2">
      <c r="B72" s="79" t="s">
        <v>127</v>
      </c>
      <c r="C72" s="49"/>
      <c r="D72" s="49"/>
      <c r="E72" s="50"/>
    </row>
    <row r="73" spans="2:5" ht="7.5" customHeight="1" x14ac:dyDescent="0.2">
      <c r="B73" s="81"/>
      <c r="C73" s="185"/>
      <c r="D73" s="185"/>
      <c r="E73" s="186"/>
    </row>
    <row r="74" spans="2:5" x14ac:dyDescent="0.2">
      <c r="B74" s="79" t="s">
        <v>128</v>
      </c>
      <c r="C74" s="45"/>
      <c r="D74" s="45"/>
      <c r="E74" s="46"/>
    </row>
    <row r="75" spans="2:5" ht="13.5" customHeight="1" x14ac:dyDescent="0.2">
      <c r="B75" s="79"/>
      <c r="C75" s="185"/>
      <c r="D75" s="187"/>
      <c r="E75" s="188"/>
    </row>
    <row r="76" spans="2:5" ht="7.5" customHeight="1" thickBot="1" x14ac:dyDescent="0.25">
      <c r="B76" s="51"/>
      <c r="C76" s="52"/>
      <c r="D76" s="52"/>
      <c r="E76" s="53"/>
    </row>
  </sheetData>
  <mergeCells count="13">
    <mergeCell ref="A5:B5"/>
    <mergeCell ref="B1:H1"/>
    <mergeCell ref="A3:B3"/>
    <mergeCell ref="C3:E3"/>
    <mergeCell ref="A4:B4"/>
    <mergeCell ref="C4:E4"/>
    <mergeCell ref="A6:B6"/>
    <mergeCell ref="C68:E69"/>
    <mergeCell ref="C71:E71"/>
    <mergeCell ref="C73:E73"/>
    <mergeCell ref="C75:E75"/>
    <mergeCell ref="B48:E48"/>
    <mergeCell ref="B51:E51"/>
  </mergeCells>
  <pageMargins left="0.70866141732283472" right="0.70866141732283472" top="0.74803149606299213" bottom="0.74803149606299213" header="0.31496062992125984" footer="0.31496062992125984"/>
  <pageSetup paperSize="9" scale="8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45"/>
  <sheetViews>
    <sheetView zoomScale="80" zoomScaleNormal="80" workbookViewId="0">
      <selection activeCell="P40" sqref="P40"/>
    </sheetView>
  </sheetViews>
  <sheetFormatPr baseColWidth="10" defaultColWidth="9.140625" defaultRowHeight="12.75" x14ac:dyDescent="0.2"/>
  <cols>
    <col min="1" max="1" width="5.5703125" style="56" customWidth="1"/>
    <col min="2" max="2" width="15.140625" style="56" customWidth="1"/>
    <col min="3" max="3" width="14.140625" style="56" customWidth="1"/>
    <col min="4" max="4" width="26" style="56" customWidth="1"/>
    <col min="5" max="5" width="8" style="56" customWidth="1"/>
    <col min="6" max="6" width="7.85546875" style="56" customWidth="1"/>
    <col min="7" max="7" width="28.5703125" style="56" customWidth="1"/>
    <col min="8" max="8" width="9.28515625" style="56" customWidth="1"/>
    <col min="9" max="9" width="15.5703125" style="56" customWidth="1"/>
    <col min="10" max="10" width="14.7109375" style="56" customWidth="1"/>
    <col min="11" max="11" width="15.5703125" style="56" customWidth="1"/>
    <col min="12" max="14" width="5.85546875" style="56" hidden="1" customWidth="1"/>
    <col min="15" max="15" width="12.5703125" style="56" customWidth="1"/>
    <col min="16" max="1024" width="9.140625" style="56"/>
  </cols>
  <sheetData>
    <row r="1" spans="1:15" customFormat="1" ht="27" customHeight="1" thickBot="1" x14ac:dyDescent="0.25">
      <c r="A1" s="215" t="s">
        <v>129</v>
      </c>
      <c r="B1" s="215"/>
      <c r="C1" s="215"/>
      <c r="D1" s="215"/>
      <c r="E1" s="215"/>
      <c r="F1" s="215"/>
      <c r="G1" s="215"/>
      <c r="H1" s="215"/>
      <c r="I1" s="215"/>
      <c r="J1" s="54" t="s">
        <v>130</v>
      </c>
      <c r="K1" s="55" t="s">
        <v>131</v>
      </c>
      <c r="L1" s="135"/>
      <c r="M1" s="135"/>
      <c r="N1" s="136"/>
      <c r="O1" s="56"/>
    </row>
    <row r="2" spans="1:15" customFormat="1" ht="18.75" customHeight="1" thickBot="1" x14ac:dyDescent="0.25">
      <c r="A2" s="57"/>
      <c r="B2" s="58"/>
      <c r="C2" s="58"/>
      <c r="D2" s="59"/>
      <c r="E2" s="59"/>
      <c r="F2" s="59"/>
      <c r="G2" s="59"/>
      <c r="H2" s="59"/>
      <c r="I2" s="59"/>
      <c r="J2" s="59"/>
      <c r="K2" s="60"/>
      <c r="L2" s="56"/>
      <c r="M2" s="56"/>
      <c r="N2" s="137"/>
      <c r="O2" s="56"/>
    </row>
    <row r="3" spans="1:15" customFormat="1" ht="18.75" customHeight="1" thickBot="1" x14ac:dyDescent="0.25">
      <c r="A3" s="208" t="s">
        <v>132</v>
      </c>
      <c r="B3" s="208"/>
      <c r="C3" s="208"/>
      <c r="D3" s="216" t="s">
        <v>27</v>
      </c>
      <c r="E3" s="216"/>
      <c r="F3" s="216"/>
      <c r="G3" s="216"/>
      <c r="H3" s="216"/>
      <c r="I3" s="216"/>
      <c r="J3" s="216"/>
      <c r="K3" s="216"/>
      <c r="L3" s="216"/>
      <c r="M3" s="216"/>
      <c r="N3" s="216"/>
      <c r="O3" s="56"/>
    </row>
    <row r="4" spans="1:15" customFormat="1" ht="18.75" customHeight="1" thickBot="1" x14ac:dyDescent="0.25">
      <c r="A4" s="209" t="s">
        <v>0</v>
      </c>
      <c r="B4" s="209"/>
      <c r="C4" s="209"/>
      <c r="D4" s="217" t="s">
        <v>28</v>
      </c>
      <c r="E4" s="217"/>
      <c r="F4" s="217"/>
      <c r="G4" s="217"/>
      <c r="H4" s="217"/>
      <c r="I4" s="217"/>
      <c r="J4" s="217"/>
      <c r="K4" s="217"/>
      <c r="L4" s="217"/>
      <c r="M4" s="217"/>
      <c r="N4" s="217"/>
      <c r="O4" s="56"/>
    </row>
    <row r="5" spans="1:15" customFormat="1" ht="18.75" customHeight="1" thickBot="1" x14ac:dyDescent="0.25">
      <c r="A5" s="209" t="s">
        <v>1</v>
      </c>
      <c r="B5" s="209"/>
      <c r="C5" s="209"/>
      <c r="D5" s="213" t="s">
        <v>29</v>
      </c>
      <c r="E5" s="214"/>
      <c r="F5" s="214"/>
      <c r="G5" s="214"/>
      <c r="H5" s="214"/>
      <c r="I5" s="214"/>
      <c r="J5" s="214"/>
      <c r="K5" s="214"/>
      <c r="L5" s="28"/>
      <c r="M5" s="28"/>
      <c r="N5" s="29"/>
      <c r="O5" s="56"/>
    </row>
    <row r="6" spans="1:15" customFormat="1" ht="16.5" customHeight="1" thickBot="1" x14ac:dyDescent="0.25">
      <c r="A6" s="208" t="s">
        <v>2</v>
      </c>
      <c r="B6" s="208"/>
      <c r="C6" s="208"/>
      <c r="D6" s="213" t="s">
        <v>30</v>
      </c>
      <c r="E6" s="214"/>
      <c r="F6" s="214"/>
      <c r="G6" s="214"/>
      <c r="H6" s="214"/>
      <c r="I6" s="214"/>
      <c r="J6" s="214"/>
      <c r="K6" s="214"/>
      <c r="L6" s="133"/>
      <c r="M6" s="133"/>
      <c r="N6" s="138"/>
      <c r="O6" s="134"/>
    </row>
    <row r="7" spans="1:15" customFormat="1" ht="16.5" customHeight="1" thickBot="1" x14ac:dyDescent="0.25">
      <c r="A7" s="209" t="s">
        <v>133</v>
      </c>
      <c r="B7" s="209"/>
      <c r="C7" s="209"/>
      <c r="D7" s="210" t="s">
        <v>152</v>
      </c>
      <c r="E7" s="210"/>
      <c r="F7" s="210"/>
      <c r="G7" s="210"/>
      <c r="H7" s="210"/>
      <c r="I7" s="210"/>
      <c r="J7" s="210"/>
      <c r="K7" s="210"/>
      <c r="L7" s="56"/>
      <c r="M7" s="56"/>
      <c r="N7" s="137"/>
      <c r="O7" s="56"/>
    </row>
    <row r="8" spans="1:15" customFormat="1" ht="54" customHeight="1" thickBot="1" x14ac:dyDescent="0.25">
      <c r="A8" s="211" t="s">
        <v>134</v>
      </c>
      <c r="B8" s="211"/>
      <c r="C8" s="211"/>
      <c r="D8" s="212" t="s">
        <v>153</v>
      </c>
      <c r="E8" s="212"/>
      <c r="F8" s="212"/>
      <c r="G8" s="212"/>
      <c r="H8" s="212"/>
      <c r="I8" s="212"/>
      <c r="J8" s="212"/>
      <c r="K8" s="212"/>
      <c r="L8" s="139"/>
      <c r="M8" s="139"/>
      <c r="N8" s="140"/>
      <c r="O8" s="56"/>
    </row>
    <row r="9" spans="1:15" customFormat="1" ht="16.5" thickBot="1" x14ac:dyDescent="0.25">
      <c r="A9" s="61"/>
      <c r="B9" s="62"/>
      <c r="C9" s="62"/>
      <c r="D9" s="63"/>
      <c r="E9" s="63"/>
      <c r="F9" s="63"/>
      <c r="G9" s="63"/>
      <c r="H9" s="63"/>
      <c r="I9" s="63"/>
      <c r="J9" s="63"/>
      <c r="K9" s="64"/>
      <c r="L9" s="56"/>
      <c r="M9" s="56"/>
      <c r="N9" s="56"/>
      <c r="O9" s="56"/>
    </row>
    <row r="10" spans="1:15" customFormat="1" ht="18.75" customHeight="1" thickBot="1" x14ac:dyDescent="0.25">
      <c r="A10" s="207" t="s">
        <v>135</v>
      </c>
      <c r="B10" s="206" t="s">
        <v>136</v>
      </c>
      <c r="C10" s="206" t="s">
        <v>137</v>
      </c>
      <c r="D10" s="206"/>
      <c r="E10" s="206"/>
      <c r="F10" s="206"/>
      <c r="G10" s="206"/>
      <c r="H10" s="206" t="s">
        <v>138</v>
      </c>
      <c r="I10" s="206" t="s">
        <v>139</v>
      </c>
      <c r="J10" s="206" t="s">
        <v>140</v>
      </c>
      <c r="K10" s="205" t="s">
        <v>141</v>
      </c>
      <c r="L10" s="56"/>
      <c r="M10" s="56"/>
      <c r="N10" s="56"/>
      <c r="O10" s="56"/>
    </row>
    <row r="11" spans="1:15" customFormat="1" ht="24" customHeight="1" thickBot="1" x14ac:dyDescent="0.25">
      <c r="A11" s="207"/>
      <c r="B11" s="206"/>
      <c r="C11" s="206"/>
      <c r="D11" s="206"/>
      <c r="E11" s="206"/>
      <c r="F11" s="206"/>
      <c r="G11" s="206"/>
      <c r="H11" s="206"/>
      <c r="I11" s="206"/>
      <c r="J11" s="206"/>
      <c r="K11" s="205"/>
      <c r="L11" s="56"/>
      <c r="M11" s="56"/>
      <c r="N11" s="56"/>
      <c r="O11" s="56"/>
    </row>
    <row r="12" spans="1:15" customFormat="1" ht="57.75" customHeight="1" thickBot="1" x14ac:dyDescent="0.25">
      <c r="A12" s="65">
        <v>1</v>
      </c>
      <c r="B12" s="36" t="s">
        <v>58</v>
      </c>
      <c r="C12" s="199" t="s">
        <v>60</v>
      </c>
      <c r="D12" s="200" t="s">
        <v>60</v>
      </c>
      <c r="E12" s="200" t="s">
        <v>60</v>
      </c>
      <c r="F12" s="200" t="s">
        <v>60</v>
      </c>
      <c r="G12" s="201" t="s">
        <v>60</v>
      </c>
      <c r="H12" s="66" t="s">
        <v>142</v>
      </c>
      <c r="I12" s="67" t="s">
        <v>61</v>
      </c>
      <c r="J12" s="68">
        <v>410</v>
      </c>
      <c r="K12" s="69">
        <v>140</v>
      </c>
      <c r="L12" s="56"/>
      <c r="M12" s="56"/>
      <c r="N12" s="56"/>
      <c r="O12" s="56"/>
    </row>
    <row r="13" spans="1:15" customFormat="1" ht="45" customHeight="1" thickBot="1" x14ac:dyDescent="0.25">
      <c r="A13" s="65">
        <v>2</v>
      </c>
      <c r="B13" s="36" t="s">
        <v>181</v>
      </c>
      <c r="C13" s="199" t="s">
        <v>182</v>
      </c>
      <c r="D13" s="200" t="s">
        <v>62</v>
      </c>
      <c r="E13" s="200" t="s">
        <v>62</v>
      </c>
      <c r="F13" s="200" t="s">
        <v>62</v>
      </c>
      <c r="G13" s="201" t="s">
        <v>62</v>
      </c>
      <c r="H13" s="66" t="s">
        <v>179</v>
      </c>
      <c r="I13" s="67" t="s">
        <v>61</v>
      </c>
      <c r="J13" s="68">
        <v>1090</v>
      </c>
      <c r="K13" s="69">
        <v>60</v>
      </c>
      <c r="L13" s="56"/>
      <c r="M13" s="56"/>
      <c r="N13" s="56"/>
      <c r="O13" s="56"/>
    </row>
    <row r="14" spans="1:15" customFormat="1" ht="45.75" customHeight="1" thickBot="1" x14ac:dyDescent="0.25">
      <c r="A14" s="65">
        <v>3</v>
      </c>
      <c r="B14" s="36" t="s">
        <v>63</v>
      </c>
      <c r="C14" s="199" t="s">
        <v>65</v>
      </c>
      <c r="D14" s="200" t="s">
        <v>65</v>
      </c>
      <c r="E14" s="200" t="s">
        <v>65</v>
      </c>
      <c r="F14" s="200" t="s">
        <v>65</v>
      </c>
      <c r="G14" s="201" t="s">
        <v>65</v>
      </c>
      <c r="H14" s="66" t="s">
        <v>179</v>
      </c>
      <c r="I14" s="67" t="s">
        <v>61</v>
      </c>
      <c r="J14" s="68">
        <v>7400</v>
      </c>
      <c r="K14" s="69">
        <v>34</v>
      </c>
      <c r="L14" s="56"/>
      <c r="M14" s="56"/>
      <c r="N14" s="56"/>
      <c r="O14" s="56"/>
    </row>
    <row r="15" spans="1:15" customFormat="1" ht="45.75" customHeight="1" thickBot="1" x14ac:dyDescent="0.25">
      <c r="A15" s="65">
        <v>4</v>
      </c>
      <c r="B15" s="36" t="s">
        <v>66</v>
      </c>
      <c r="C15" s="199" t="s">
        <v>67</v>
      </c>
      <c r="D15" s="200" t="s">
        <v>67</v>
      </c>
      <c r="E15" s="200" t="s">
        <v>67</v>
      </c>
      <c r="F15" s="200" t="s">
        <v>67</v>
      </c>
      <c r="G15" s="201" t="s">
        <v>67</v>
      </c>
      <c r="H15" s="66" t="s">
        <v>142</v>
      </c>
      <c r="I15" s="67" t="s">
        <v>61</v>
      </c>
      <c r="J15" s="68">
        <v>290</v>
      </c>
      <c r="K15" s="69">
        <v>50</v>
      </c>
      <c r="L15" s="56"/>
      <c r="M15" s="56"/>
      <c r="N15" s="56"/>
      <c r="O15" s="56"/>
    </row>
    <row r="16" spans="1:15" customFormat="1" ht="24" customHeight="1" thickBot="1" x14ac:dyDescent="0.25">
      <c r="A16" s="65">
        <v>5</v>
      </c>
      <c r="B16" s="83" t="s">
        <v>145</v>
      </c>
      <c r="C16" s="199" t="s">
        <v>144</v>
      </c>
      <c r="D16" s="200" t="s">
        <v>68</v>
      </c>
      <c r="E16" s="200" t="s">
        <v>68</v>
      </c>
      <c r="F16" s="200" t="s">
        <v>68</v>
      </c>
      <c r="G16" s="201" t="s">
        <v>68</v>
      </c>
      <c r="H16" s="66" t="s">
        <v>179</v>
      </c>
      <c r="I16" s="67" t="s">
        <v>61</v>
      </c>
      <c r="J16" s="68">
        <v>12300</v>
      </c>
      <c r="K16" s="69">
        <v>10</v>
      </c>
      <c r="L16" s="56"/>
      <c r="M16" s="56"/>
      <c r="N16" s="56"/>
      <c r="O16" s="56"/>
    </row>
    <row r="17" spans="1:15" customFormat="1" ht="45" customHeight="1" thickBot="1" x14ac:dyDescent="0.25">
      <c r="A17" s="65">
        <v>6</v>
      </c>
      <c r="B17" s="36" t="s">
        <v>69</v>
      </c>
      <c r="C17" s="199" t="s">
        <v>70</v>
      </c>
      <c r="D17" s="200" t="s">
        <v>70</v>
      </c>
      <c r="E17" s="200" t="s">
        <v>70</v>
      </c>
      <c r="F17" s="200" t="s">
        <v>70</v>
      </c>
      <c r="G17" s="201" t="s">
        <v>70</v>
      </c>
      <c r="H17" s="66" t="s">
        <v>179</v>
      </c>
      <c r="I17" s="67" t="s">
        <v>61</v>
      </c>
      <c r="J17" s="68">
        <v>17500</v>
      </c>
      <c r="K17" s="69">
        <v>15</v>
      </c>
      <c r="L17" s="56"/>
      <c r="M17" s="56"/>
      <c r="N17" s="56"/>
      <c r="O17" s="56"/>
    </row>
    <row r="18" spans="1:15" customFormat="1" ht="49.5" customHeight="1" thickBot="1" x14ac:dyDescent="0.25">
      <c r="A18" s="65">
        <v>7</v>
      </c>
      <c r="B18" s="36" t="s">
        <v>71</v>
      </c>
      <c r="C18" s="199" t="s">
        <v>73</v>
      </c>
      <c r="D18" s="200" t="s">
        <v>73</v>
      </c>
      <c r="E18" s="200" t="s">
        <v>73</v>
      </c>
      <c r="F18" s="200" t="s">
        <v>73</v>
      </c>
      <c r="G18" s="201" t="s">
        <v>73</v>
      </c>
      <c r="H18" s="66" t="s">
        <v>179</v>
      </c>
      <c r="I18" s="67" t="s">
        <v>61</v>
      </c>
      <c r="J18" s="68">
        <v>13200</v>
      </c>
      <c r="K18" s="69">
        <v>30</v>
      </c>
      <c r="L18" s="56"/>
      <c r="M18" s="56"/>
      <c r="N18" s="56"/>
      <c r="O18" s="56"/>
    </row>
    <row r="19" spans="1:15" customFormat="1" ht="33" customHeight="1" thickBot="1" x14ac:dyDescent="0.25">
      <c r="A19" s="65">
        <v>8</v>
      </c>
      <c r="B19" s="36" t="s">
        <v>74</v>
      </c>
      <c r="C19" s="199" t="s">
        <v>75</v>
      </c>
      <c r="D19" s="200" t="s">
        <v>75</v>
      </c>
      <c r="E19" s="200" t="s">
        <v>75</v>
      </c>
      <c r="F19" s="200" t="s">
        <v>75</v>
      </c>
      <c r="G19" s="201" t="s">
        <v>75</v>
      </c>
      <c r="H19" s="66" t="s">
        <v>142</v>
      </c>
      <c r="I19" s="67" t="s">
        <v>61</v>
      </c>
      <c r="J19" s="68">
        <v>7900</v>
      </c>
      <c r="K19" s="69">
        <v>40</v>
      </c>
      <c r="L19" s="56"/>
      <c r="M19" s="56"/>
      <c r="N19" s="56"/>
      <c r="O19" s="56"/>
    </row>
    <row r="20" spans="1:15" customFormat="1" ht="41.25" customHeight="1" thickBot="1" x14ac:dyDescent="0.25">
      <c r="A20" s="65">
        <v>9</v>
      </c>
      <c r="B20" s="36" t="s">
        <v>76</v>
      </c>
      <c r="C20" s="199" t="s">
        <v>77</v>
      </c>
      <c r="D20" s="200" t="s">
        <v>77</v>
      </c>
      <c r="E20" s="200" t="s">
        <v>77</v>
      </c>
      <c r="F20" s="200" t="s">
        <v>77</v>
      </c>
      <c r="G20" s="201" t="s">
        <v>77</v>
      </c>
      <c r="H20" s="66" t="s">
        <v>142</v>
      </c>
      <c r="I20" s="67" t="s">
        <v>61</v>
      </c>
      <c r="J20" s="68">
        <v>795</v>
      </c>
      <c r="K20" s="69">
        <v>200</v>
      </c>
      <c r="L20" s="56"/>
      <c r="M20" s="56"/>
      <c r="N20" s="56"/>
      <c r="O20" s="56"/>
    </row>
    <row r="21" spans="1:15" customFormat="1" ht="29.25" customHeight="1" thickBot="1" x14ac:dyDescent="0.25">
      <c r="A21" s="65">
        <v>10</v>
      </c>
      <c r="B21" s="36" t="s">
        <v>78</v>
      </c>
      <c r="C21" s="199" t="s">
        <v>79</v>
      </c>
      <c r="D21" s="200" t="s">
        <v>79</v>
      </c>
      <c r="E21" s="200" t="s">
        <v>79</v>
      </c>
      <c r="F21" s="200" t="s">
        <v>79</v>
      </c>
      <c r="G21" s="201" t="s">
        <v>79</v>
      </c>
      <c r="H21" s="66" t="s">
        <v>142</v>
      </c>
      <c r="I21" s="67" t="s">
        <v>61</v>
      </c>
      <c r="J21" s="68">
        <v>600</v>
      </c>
      <c r="K21" s="69">
        <v>50</v>
      </c>
      <c r="L21" s="56"/>
      <c r="M21" s="56"/>
      <c r="N21" s="56"/>
      <c r="O21" s="56"/>
    </row>
    <row r="22" spans="1:15" customFormat="1" ht="29.25" customHeight="1" thickBot="1" x14ac:dyDescent="0.25">
      <c r="A22" s="65">
        <v>11</v>
      </c>
      <c r="B22" s="36" t="s">
        <v>80</v>
      </c>
      <c r="C22" s="199" t="s">
        <v>81</v>
      </c>
      <c r="D22" s="200" t="s">
        <v>81</v>
      </c>
      <c r="E22" s="200" t="s">
        <v>81</v>
      </c>
      <c r="F22" s="200" t="s">
        <v>81</v>
      </c>
      <c r="G22" s="201" t="s">
        <v>81</v>
      </c>
      <c r="H22" s="66" t="s">
        <v>142</v>
      </c>
      <c r="I22" s="67" t="s">
        <v>61</v>
      </c>
      <c r="J22" s="68">
        <v>115</v>
      </c>
      <c r="K22" s="69">
        <v>1000</v>
      </c>
      <c r="L22" s="56"/>
      <c r="M22" s="56"/>
      <c r="N22" s="56"/>
      <c r="O22" s="56"/>
    </row>
    <row r="23" spans="1:15" customFormat="1" ht="39" customHeight="1" thickBot="1" x14ac:dyDescent="0.25">
      <c r="A23" s="65">
        <v>12</v>
      </c>
      <c r="B23" s="36" t="s">
        <v>82</v>
      </c>
      <c r="C23" s="199" t="s">
        <v>83</v>
      </c>
      <c r="D23" s="200" t="s">
        <v>83</v>
      </c>
      <c r="E23" s="200" t="s">
        <v>83</v>
      </c>
      <c r="F23" s="200" t="s">
        <v>83</v>
      </c>
      <c r="G23" s="201" t="s">
        <v>83</v>
      </c>
      <c r="H23" s="66" t="s">
        <v>142</v>
      </c>
      <c r="I23" s="67" t="s">
        <v>61</v>
      </c>
      <c r="J23" s="68">
        <v>530</v>
      </c>
      <c r="K23" s="69">
        <v>50</v>
      </c>
      <c r="L23" s="56"/>
      <c r="M23" s="56"/>
      <c r="N23" s="56"/>
      <c r="O23" s="56"/>
    </row>
    <row r="24" spans="1:15" customFormat="1" ht="29.25" customHeight="1" thickBot="1" x14ac:dyDescent="0.25">
      <c r="A24" s="65">
        <v>13</v>
      </c>
      <c r="B24" s="36" t="s">
        <v>84</v>
      </c>
      <c r="C24" s="199" t="s">
        <v>86</v>
      </c>
      <c r="D24" s="200" t="s">
        <v>86</v>
      </c>
      <c r="E24" s="200" t="s">
        <v>86</v>
      </c>
      <c r="F24" s="200" t="s">
        <v>86</v>
      </c>
      <c r="G24" s="201" t="s">
        <v>86</v>
      </c>
      <c r="H24" s="66" t="s">
        <v>142</v>
      </c>
      <c r="I24" s="67" t="s">
        <v>61</v>
      </c>
      <c r="J24" s="68">
        <v>3700</v>
      </c>
      <c r="K24" s="69">
        <v>50</v>
      </c>
      <c r="L24" s="56"/>
      <c r="M24" s="56"/>
      <c r="N24" s="56"/>
      <c r="O24" s="56"/>
    </row>
    <row r="25" spans="1:15" customFormat="1" ht="85.5" customHeight="1" thickBot="1" x14ac:dyDescent="0.25">
      <c r="A25" s="65">
        <v>14</v>
      </c>
      <c r="B25" s="36" t="s">
        <v>87</v>
      </c>
      <c r="C25" s="199" t="s">
        <v>88</v>
      </c>
      <c r="D25" s="200" t="s">
        <v>88</v>
      </c>
      <c r="E25" s="200" t="s">
        <v>88</v>
      </c>
      <c r="F25" s="200" t="s">
        <v>88</v>
      </c>
      <c r="G25" s="201" t="s">
        <v>88</v>
      </c>
      <c r="H25" s="66" t="s">
        <v>142</v>
      </c>
      <c r="I25" s="67" t="s">
        <v>61</v>
      </c>
      <c r="J25" s="68">
        <v>1950</v>
      </c>
      <c r="K25" s="69">
        <v>250</v>
      </c>
      <c r="L25" s="56"/>
      <c r="M25" s="56"/>
      <c r="N25" s="56"/>
      <c r="O25" s="56"/>
    </row>
    <row r="26" spans="1:15" customFormat="1" ht="26.25" customHeight="1" thickBot="1" x14ac:dyDescent="0.25">
      <c r="A26" s="65">
        <v>15</v>
      </c>
      <c r="B26" s="83" t="s">
        <v>159</v>
      </c>
      <c r="C26" s="199" t="s">
        <v>158</v>
      </c>
      <c r="D26" s="200" t="s">
        <v>89</v>
      </c>
      <c r="E26" s="200" t="s">
        <v>89</v>
      </c>
      <c r="F26" s="200" t="s">
        <v>89</v>
      </c>
      <c r="G26" s="201" t="s">
        <v>89</v>
      </c>
      <c r="H26" s="66" t="s">
        <v>179</v>
      </c>
      <c r="I26" s="67" t="s">
        <v>61</v>
      </c>
      <c r="J26" s="68">
        <v>7980</v>
      </c>
      <c r="K26" s="69">
        <v>40</v>
      </c>
      <c r="L26" s="56"/>
      <c r="M26" s="56"/>
      <c r="N26" s="56"/>
      <c r="O26" s="56"/>
    </row>
    <row r="27" spans="1:15" customFormat="1" ht="54" customHeight="1" thickBot="1" x14ac:dyDescent="0.25">
      <c r="A27" s="65">
        <v>16</v>
      </c>
      <c r="B27" s="36" t="s">
        <v>157</v>
      </c>
      <c r="C27" s="199" t="s">
        <v>156</v>
      </c>
      <c r="D27" s="200" t="s">
        <v>90</v>
      </c>
      <c r="E27" s="200" t="s">
        <v>90</v>
      </c>
      <c r="F27" s="200" t="s">
        <v>90</v>
      </c>
      <c r="G27" s="201" t="s">
        <v>90</v>
      </c>
      <c r="H27" s="66" t="s">
        <v>179</v>
      </c>
      <c r="I27" s="67" t="s">
        <v>61</v>
      </c>
      <c r="J27" s="68">
        <v>2100</v>
      </c>
      <c r="K27" s="69">
        <v>80</v>
      </c>
      <c r="L27" s="56"/>
      <c r="M27" s="56"/>
      <c r="N27" s="56"/>
      <c r="O27" s="56"/>
    </row>
    <row r="28" spans="1:15" customFormat="1" ht="51.75" customHeight="1" thickBot="1" x14ac:dyDescent="0.25">
      <c r="A28" s="65">
        <v>17</v>
      </c>
      <c r="B28" s="36" t="s">
        <v>91</v>
      </c>
      <c r="C28" s="199" t="s">
        <v>92</v>
      </c>
      <c r="D28" s="200" t="s">
        <v>92</v>
      </c>
      <c r="E28" s="200" t="s">
        <v>92</v>
      </c>
      <c r="F28" s="200" t="s">
        <v>92</v>
      </c>
      <c r="G28" s="201" t="s">
        <v>92</v>
      </c>
      <c r="H28" s="66" t="s">
        <v>179</v>
      </c>
      <c r="I28" s="67" t="s">
        <v>61</v>
      </c>
      <c r="J28" s="68">
        <v>9900</v>
      </c>
      <c r="K28" s="69">
        <v>70</v>
      </c>
      <c r="L28" s="56"/>
      <c r="M28" s="56"/>
      <c r="N28" s="56"/>
      <c r="O28" s="56"/>
    </row>
    <row r="29" spans="1:15" customFormat="1" ht="40.5" customHeight="1" thickBot="1" x14ac:dyDescent="0.25">
      <c r="A29" s="65">
        <v>18</v>
      </c>
      <c r="B29" s="36" t="s">
        <v>93</v>
      </c>
      <c r="C29" s="199" t="s">
        <v>94</v>
      </c>
      <c r="D29" s="200" t="s">
        <v>94</v>
      </c>
      <c r="E29" s="200" t="s">
        <v>94</v>
      </c>
      <c r="F29" s="200" t="s">
        <v>94</v>
      </c>
      <c r="G29" s="201" t="s">
        <v>94</v>
      </c>
      <c r="H29" s="66" t="s">
        <v>179</v>
      </c>
      <c r="I29" s="67" t="s">
        <v>61</v>
      </c>
      <c r="J29" s="68">
        <v>11900</v>
      </c>
      <c r="K29" s="69">
        <v>50</v>
      </c>
      <c r="L29" s="56"/>
      <c r="M29" s="56"/>
      <c r="N29" s="56"/>
      <c r="O29" s="56"/>
    </row>
    <row r="30" spans="1:15" customFormat="1" ht="42" customHeight="1" thickBot="1" x14ac:dyDescent="0.25">
      <c r="A30" s="65">
        <v>19</v>
      </c>
      <c r="B30" s="36" t="s">
        <v>95</v>
      </c>
      <c r="C30" s="202" t="s">
        <v>96</v>
      </c>
      <c r="D30" s="203" t="s">
        <v>96</v>
      </c>
      <c r="E30" s="203" t="s">
        <v>96</v>
      </c>
      <c r="F30" s="203" t="s">
        <v>96</v>
      </c>
      <c r="G30" s="204" t="s">
        <v>96</v>
      </c>
      <c r="H30" s="66" t="s">
        <v>179</v>
      </c>
      <c r="I30" s="67" t="s">
        <v>61</v>
      </c>
      <c r="J30" s="68">
        <v>5500</v>
      </c>
      <c r="K30" s="69">
        <v>30</v>
      </c>
      <c r="L30" s="56"/>
      <c r="M30" s="56"/>
      <c r="N30" s="56"/>
      <c r="O30" s="70"/>
    </row>
    <row r="31" spans="1:15" customFormat="1" ht="39" customHeight="1" thickBot="1" x14ac:dyDescent="0.25">
      <c r="A31" s="65">
        <v>20</v>
      </c>
      <c r="B31" s="36" t="s">
        <v>95</v>
      </c>
      <c r="C31" s="195" t="s">
        <v>96</v>
      </c>
      <c r="D31" s="196" t="s">
        <v>96</v>
      </c>
      <c r="E31" s="196" t="s">
        <v>96</v>
      </c>
      <c r="F31" s="196" t="s">
        <v>96</v>
      </c>
      <c r="G31" s="197" t="s">
        <v>96</v>
      </c>
      <c r="H31" s="66" t="s">
        <v>179</v>
      </c>
      <c r="I31" s="67" t="s">
        <v>61</v>
      </c>
      <c r="J31" s="71">
        <v>4950</v>
      </c>
      <c r="K31" s="72">
        <v>30</v>
      </c>
      <c r="L31" s="56"/>
      <c r="M31" s="56"/>
      <c r="N31" s="56"/>
      <c r="O31" s="70"/>
    </row>
    <row r="32" spans="1:15" customFormat="1" ht="66.75" customHeight="1" thickBot="1" x14ac:dyDescent="0.25">
      <c r="A32" s="65">
        <v>21</v>
      </c>
      <c r="B32" s="36" t="s">
        <v>98</v>
      </c>
      <c r="C32" s="195" t="s">
        <v>100</v>
      </c>
      <c r="D32" s="196" t="s">
        <v>100</v>
      </c>
      <c r="E32" s="196" t="s">
        <v>100</v>
      </c>
      <c r="F32" s="196" t="s">
        <v>100</v>
      </c>
      <c r="G32" s="197" t="s">
        <v>100</v>
      </c>
      <c r="H32" s="66" t="s">
        <v>142</v>
      </c>
      <c r="I32" s="67" t="s">
        <v>61</v>
      </c>
      <c r="J32" s="71">
        <v>15300</v>
      </c>
      <c r="K32" s="72">
        <v>50</v>
      </c>
      <c r="L32" s="56"/>
      <c r="M32" s="56"/>
      <c r="N32" s="56"/>
      <c r="O32" s="70"/>
    </row>
    <row r="33" spans="1:15" customFormat="1" ht="52.5" customHeight="1" thickBot="1" x14ac:dyDescent="0.25">
      <c r="A33" s="65">
        <v>22</v>
      </c>
      <c r="B33" s="36" t="s">
        <v>101</v>
      </c>
      <c r="C33" s="195" t="s">
        <v>102</v>
      </c>
      <c r="D33" s="196" t="s">
        <v>102</v>
      </c>
      <c r="E33" s="196" t="s">
        <v>102</v>
      </c>
      <c r="F33" s="196" t="s">
        <v>102</v>
      </c>
      <c r="G33" s="197" t="s">
        <v>102</v>
      </c>
      <c r="H33" s="66" t="s">
        <v>142</v>
      </c>
      <c r="I33" s="67" t="s">
        <v>61</v>
      </c>
      <c r="J33" s="71">
        <v>6500</v>
      </c>
      <c r="K33" s="72">
        <v>15</v>
      </c>
      <c r="L33" s="56"/>
      <c r="M33" s="56"/>
      <c r="N33" s="56"/>
      <c r="O33" s="70"/>
    </row>
    <row r="34" spans="1:15" customFormat="1" ht="47.25" customHeight="1" thickBot="1" x14ac:dyDescent="0.25">
      <c r="A34" s="65">
        <v>23</v>
      </c>
      <c r="B34" s="36" t="s">
        <v>103</v>
      </c>
      <c r="C34" s="195" t="s">
        <v>104</v>
      </c>
      <c r="D34" s="196" t="s">
        <v>104</v>
      </c>
      <c r="E34" s="196" t="s">
        <v>104</v>
      </c>
      <c r="F34" s="196" t="s">
        <v>104</v>
      </c>
      <c r="G34" s="197" t="s">
        <v>104</v>
      </c>
      <c r="H34" s="66" t="s">
        <v>142</v>
      </c>
      <c r="I34" s="67" t="s">
        <v>61</v>
      </c>
      <c r="J34" s="71">
        <v>4300</v>
      </c>
      <c r="K34" s="72">
        <v>20</v>
      </c>
      <c r="L34" s="56"/>
      <c r="M34" s="56"/>
      <c r="N34" s="56"/>
      <c r="O34" s="70"/>
    </row>
    <row r="35" spans="1:15" customFormat="1" ht="50.25" customHeight="1" thickBot="1" x14ac:dyDescent="0.25">
      <c r="A35" s="65">
        <v>24</v>
      </c>
      <c r="B35" s="36" t="s">
        <v>147</v>
      </c>
      <c r="C35" s="195" t="s">
        <v>146</v>
      </c>
      <c r="D35" s="196" t="s">
        <v>105</v>
      </c>
      <c r="E35" s="196" t="s">
        <v>105</v>
      </c>
      <c r="F35" s="196" t="s">
        <v>105</v>
      </c>
      <c r="G35" s="197" t="s">
        <v>105</v>
      </c>
      <c r="H35" s="66" t="s">
        <v>179</v>
      </c>
      <c r="I35" s="67" t="s">
        <v>61</v>
      </c>
      <c r="J35" s="71">
        <v>610</v>
      </c>
      <c r="K35" s="72">
        <v>300</v>
      </c>
      <c r="L35" s="56"/>
      <c r="M35" s="56"/>
      <c r="N35" s="56"/>
      <c r="O35" s="70"/>
    </row>
    <row r="36" spans="1:15" customFormat="1" ht="54" customHeight="1" thickBot="1" x14ac:dyDescent="0.25">
      <c r="A36" s="65">
        <v>25</v>
      </c>
      <c r="B36" s="37" t="s">
        <v>106</v>
      </c>
      <c r="C36" s="195" t="s">
        <v>107</v>
      </c>
      <c r="D36" s="196" t="s">
        <v>107</v>
      </c>
      <c r="E36" s="196" t="s">
        <v>107</v>
      </c>
      <c r="F36" s="196" t="s">
        <v>107</v>
      </c>
      <c r="G36" s="197" t="s">
        <v>107</v>
      </c>
      <c r="H36" s="66" t="s">
        <v>142</v>
      </c>
      <c r="I36" s="67" t="s">
        <v>61</v>
      </c>
      <c r="J36" s="71">
        <v>135</v>
      </c>
      <c r="K36" s="72">
        <v>80</v>
      </c>
      <c r="L36" s="56"/>
      <c r="M36" s="56"/>
      <c r="N36" s="56"/>
      <c r="O36" s="70"/>
    </row>
    <row r="37" spans="1:15" customFormat="1" ht="34.5" customHeight="1" thickBot="1" x14ac:dyDescent="0.25">
      <c r="A37" s="65">
        <v>26</v>
      </c>
      <c r="B37" s="37" t="s">
        <v>155</v>
      </c>
      <c r="C37" s="195" t="s">
        <v>148</v>
      </c>
      <c r="D37" s="196" t="s">
        <v>108</v>
      </c>
      <c r="E37" s="196" t="s">
        <v>108</v>
      </c>
      <c r="F37" s="196" t="s">
        <v>108</v>
      </c>
      <c r="G37" s="197" t="s">
        <v>108</v>
      </c>
      <c r="H37" s="66" t="s">
        <v>179</v>
      </c>
      <c r="I37" s="67" t="s">
        <v>61</v>
      </c>
      <c r="J37" s="71">
        <v>705</v>
      </c>
      <c r="K37" s="72">
        <v>50</v>
      </c>
      <c r="L37" s="56"/>
      <c r="M37" s="56"/>
      <c r="N37" s="56"/>
      <c r="O37" s="70"/>
    </row>
    <row r="38" spans="1:15" customFormat="1" ht="84.75" customHeight="1" thickBot="1" x14ac:dyDescent="0.25">
      <c r="A38" s="65">
        <v>27</v>
      </c>
      <c r="B38" s="37" t="s">
        <v>109</v>
      </c>
      <c r="C38" s="195" t="s">
        <v>110</v>
      </c>
      <c r="D38" s="196" t="s">
        <v>110</v>
      </c>
      <c r="E38" s="196" t="s">
        <v>110</v>
      </c>
      <c r="F38" s="196" t="s">
        <v>110</v>
      </c>
      <c r="G38" s="197" t="s">
        <v>110</v>
      </c>
      <c r="H38" s="66" t="s">
        <v>179</v>
      </c>
      <c r="I38" s="67" t="s">
        <v>61</v>
      </c>
      <c r="J38" s="71">
        <v>1340</v>
      </c>
      <c r="K38" s="72">
        <v>50</v>
      </c>
      <c r="L38" s="56"/>
      <c r="M38" s="56"/>
      <c r="N38" s="56"/>
      <c r="O38" s="70"/>
    </row>
    <row r="39" spans="1:15" customFormat="1" ht="75" customHeight="1" thickBot="1" x14ac:dyDescent="0.25">
      <c r="A39" s="65">
        <v>28</v>
      </c>
      <c r="B39" s="37" t="s">
        <v>111</v>
      </c>
      <c r="C39" s="195" t="s">
        <v>114</v>
      </c>
      <c r="D39" s="196" t="s">
        <v>112</v>
      </c>
      <c r="E39" s="196" t="s">
        <v>112</v>
      </c>
      <c r="F39" s="196" t="s">
        <v>112</v>
      </c>
      <c r="G39" s="197" t="s">
        <v>112</v>
      </c>
      <c r="H39" s="66" t="s">
        <v>179</v>
      </c>
      <c r="I39" s="67" t="s">
        <v>61</v>
      </c>
      <c r="J39" s="71">
        <v>530</v>
      </c>
      <c r="K39" s="72">
        <v>50</v>
      </c>
      <c r="L39" s="56"/>
      <c r="M39" s="56"/>
      <c r="N39" s="56"/>
      <c r="O39" s="70"/>
    </row>
    <row r="40" spans="1:15" customFormat="1" ht="74.25" customHeight="1" thickBot="1" x14ac:dyDescent="0.25">
      <c r="A40" s="65">
        <v>29</v>
      </c>
      <c r="B40" s="37" t="s">
        <v>113</v>
      </c>
      <c r="C40" s="195" t="s">
        <v>112</v>
      </c>
      <c r="D40" s="196" t="s">
        <v>114</v>
      </c>
      <c r="E40" s="196" t="s">
        <v>114</v>
      </c>
      <c r="F40" s="196" t="s">
        <v>114</v>
      </c>
      <c r="G40" s="197" t="s">
        <v>114</v>
      </c>
      <c r="H40" s="66" t="s">
        <v>179</v>
      </c>
      <c r="I40" s="67" t="s">
        <v>61</v>
      </c>
      <c r="J40" s="71">
        <v>816</v>
      </c>
      <c r="K40" s="72">
        <v>50</v>
      </c>
      <c r="L40" s="56"/>
      <c r="M40" s="56"/>
      <c r="N40" s="56"/>
      <c r="O40" s="70"/>
    </row>
    <row r="41" spans="1:15" customFormat="1" ht="38.25" customHeight="1" thickBot="1" x14ac:dyDescent="0.25">
      <c r="A41" s="65">
        <v>30</v>
      </c>
      <c r="B41" s="37" t="s">
        <v>150</v>
      </c>
      <c r="C41" s="195" t="s">
        <v>149</v>
      </c>
      <c r="D41" s="196" t="s">
        <v>115</v>
      </c>
      <c r="E41" s="196" t="s">
        <v>115</v>
      </c>
      <c r="F41" s="196" t="s">
        <v>115</v>
      </c>
      <c r="G41" s="197" t="s">
        <v>115</v>
      </c>
      <c r="H41" s="66" t="s">
        <v>179</v>
      </c>
      <c r="I41" s="67" t="s">
        <v>61</v>
      </c>
      <c r="J41" s="71">
        <v>1850</v>
      </c>
      <c r="K41" s="72">
        <v>10</v>
      </c>
      <c r="L41" s="56"/>
      <c r="M41" s="56"/>
      <c r="N41" s="56"/>
      <c r="O41" s="70"/>
    </row>
    <row r="42" spans="1:15" customFormat="1" ht="27.75" customHeight="1" thickBot="1" x14ac:dyDescent="0.25">
      <c r="A42" s="65">
        <v>31</v>
      </c>
      <c r="B42" s="37" t="s">
        <v>116</v>
      </c>
      <c r="C42" s="195" t="s">
        <v>117</v>
      </c>
      <c r="D42" s="196" t="s">
        <v>117</v>
      </c>
      <c r="E42" s="196" t="s">
        <v>117</v>
      </c>
      <c r="F42" s="196" t="s">
        <v>117</v>
      </c>
      <c r="G42" s="197" t="s">
        <v>117</v>
      </c>
      <c r="H42" s="66" t="s">
        <v>179</v>
      </c>
      <c r="I42" s="67" t="s">
        <v>61</v>
      </c>
      <c r="J42" s="71">
        <v>370</v>
      </c>
      <c r="K42" s="72">
        <v>20</v>
      </c>
      <c r="L42" s="56"/>
      <c r="M42" s="56"/>
      <c r="N42" s="56"/>
      <c r="O42" s="70"/>
    </row>
    <row r="43" spans="1:15" customFormat="1" ht="61.5" customHeight="1" thickBot="1" x14ac:dyDescent="0.25">
      <c r="A43" s="65">
        <v>32</v>
      </c>
      <c r="B43" s="37" t="s">
        <v>118</v>
      </c>
      <c r="C43" s="195" t="s">
        <v>119</v>
      </c>
      <c r="D43" s="196" t="s">
        <v>119</v>
      </c>
      <c r="E43" s="196" t="s">
        <v>119</v>
      </c>
      <c r="F43" s="196" t="s">
        <v>119</v>
      </c>
      <c r="G43" s="197" t="s">
        <v>119</v>
      </c>
      <c r="H43" s="66" t="s">
        <v>179</v>
      </c>
      <c r="I43" s="67" t="s">
        <v>61</v>
      </c>
      <c r="J43" s="71">
        <v>2300</v>
      </c>
      <c r="K43" s="72">
        <v>20</v>
      </c>
      <c r="L43" s="56"/>
      <c r="M43" s="56"/>
      <c r="N43" s="56"/>
      <c r="O43" s="70"/>
    </row>
    <row r="44" spans="1:15" customFormat="1" ht="77.25" customHeight="1" x14ac:dyDescent="0.2">
      <c r="A44" s="65">
        <v>33</v>
      </c>
      <c r="B44" s="37" t="s">
        <v>120</v>
      </c>
      <c r="C44" s="195" t="s">
        <v>121</v>
      </c>
      <c r="D44" s="196" t="s">
        <v>121</v>
      </c>
      <c r="E44" s="196" t="s">
        <v>121</v>
      </c>
      <c r="F44" s="196" t="s">
        <v>121</v>
      </c>
      <c r="G44" s="197" t="s">
        <v>121</v>
      </c>
      <c r="H44" s="66" t="s">
        <v>179</v>
      </c>
      <c r="I44" s="67" t="s">
        <v>61</v>
      </c>
      <c r="J44" s="71">
        <v>1700</v>
      </c>
      <c r="K44" s="72">
        <v>20</v>
      </c>
      <c r="L44" s="56"/>
      <c r="M44" s="56"/>
      <c r="N44" s="56"/>
      <c r="O44" s="70"/>
    </row>
    <row r="45" spans="1:15" customFormat="1" ht="48.75" customHeight="1" thickBot="1" x14ac:dyDescent="0.25">
      <c r="A45" s="198" t="s">
        <v>143</v>
      </c>
      <c r="B45" s="198"/>
      <c r="C45" s="198"/>
      <c r="D45" s="198"/>
      <c r="E45" s="198"/>
      <c r="F45" s="198"/>
      <c r="G45" s="198"/>
      <c r="H45" s="198"/>
      <c r="I45" s="198"/>
      <c r="J45" s="194">
        <f>SUMPRODUCT(J12:J44,K12:K44)</f>
        <v>5995850</v>
      </c>
      <c r="K45" s="194"/>
      <c r="L45" s="56"/>
      <c r="M45" s="56"/>
      <c r="N45" s="56"/>
      <c r="O45" s="70"/>
    </row>
  </sheetData>
  <mergeCells count="55">
    <mergeCell ref="A5:C5"/>
    <mergeCell ref="D5:K5"/>
    <mergeCell ref="A1:I1"/>
    <mergeCell ref="A3:C3"/>
    <mergeCell ref="D3:N3"/>
    <mergeCell ref="A4:C4"/>
    <mergeCell ref="D4:N4"/>
    <mergeCell ref="A6:C6"/>
    <mergeCell ref="A7:C7"/>
    <mergeCell ref="D7:K7"/>
    <mergeCell ref="A8:C8"/>
    <mergeCell ref="D8:K8"/>
    <mergeCell ref="D6:K6"/>
    <mergeCell ref="A10:A11"/>
    <mergeCell ref="B10:B11"/>
    <mergeCell ref="C10:G11"/>
    <mergeCell ref="H10:H11"/>
    <mergeCell ref="I10:I11"/>
    <mergeCell ref="C22:G22"/>
    <mergeCell ref="K10:K11"/>
    <mergeCell ref="C12:G12"/>
    <mergeCell ref="C13:G13"/>
    <mergeCell ref="C14:G14"/>
    <mergeCell ref="C15:G15"/>
    <mergeCell ref="C16:G16"/>
    <mergeCell ref="J10:J11"/>
    <mergeCell ref="C17:G17"/>
    <mergeCell ref="C18:G18"/>
    <mergeCell ref="C19:G19"/>
    <mergeCell ref="C20:G20"/>
    <mergeCell ref="C21:G21"/>
    <mergeCell ref="C34:G34"/>
    <mergeCell ref="C23:G23"/>
    <mergeCell ref="C24:G24"/>
    <mergeCell ref="C25:G25"/>
    <mergeCell ref="C26:G26"/>
    <mergeCell ref="C27:G27"/>
    <mergeCell ref="C28:G28"/>
    <mergeCell ref="C29:G29"/>
    <mergeCell ref="C30:G30"/>
    <mergeCell ref="C31:G31"/>
    <mergeCell ref="C32:G32"/>
    <mergeCell ref="C33:G33"/>
    <mergeCell ref="J45:K45"/>
    <mergeCell ref="C35:G35"/>
    <mergeCell ref="C36:G36"/>
    <mergeCell ref="C37:G37"/>
    <mergeCell ref="C38:G38"/>
    <mergeCell ref="C39:G39"/>
    <mergeCell ref="C40:G40"/>
    <mergeCell ref="C41:G41"/>
    <mergeCell ref="C42:G42"/>
    <mergeCell ref="C43:G43"/>
    <mergeCell ref="C44:G44"/>
    <mergeCell ref="A45:I45"/>
  </mergeCells>
  <pageMargins left="0.70866141732283472" right="0.70866141732283472" top="0.74803149606299213" bottom="0.74803149606299213" header="0.31496062992125984" footer="0.31496062992125984"/>
  <pageSetup paperSize="9" scale="8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7"/>
  <sheetViews>
    <sheetView topLeftCell="C1" zoomScale="130" zoomScaleNormal="130" workbookViewId="0">
      <selection activeCell="Q31" sqref="Q31"/>
    </sheetView>
  </sheetViews>
  <sheetFormatPr baseColWidth="10" defaultColWidth="11" defaultRowHeight="12.75" x14ac:dyDescent="0.2"/>
  <cols>
    <col min="1" max="6" width="4.42578125" customWidth="1"/>
    <col min="7" max="7" width="4.42578125" style="1" customWidth="1"/>
    <col min="8" max="14" width="4.42578125" customWidth="1"/>
    <col min="15" max="17" width="14.85546875" customWidth="1"/>
  </cols>
  <sheetData>
    <row r="1" spans="1:17" ht="15.75" customHeight="1" x14ac:dyDescent="0.25">
      <c r="A1" s="145" t="s">
        <v>3</v>
      </c>
      <c r="B1" s="145"/>
      <c r="C1" s="145"/>
      <c r="D1" s="146">
        <v>2020</v>
      </c>
      <c r="E1" s="146"/>
      <c r="F1" s="2"/>
      <c r="G1" s="2"/>
      <c r="H1" s="3"/>
      <c r="I1" s="3"/>
      <c r="J1" s="3"/>
      <c r="K1" s="3"/>
      <c r="L1" s="3"/>
      <c r="M1" s="3"/>
      <c r="N1" s="3"/>
      <c r="O1" s="4"/>
      <c r="P1" s="147" t="s">
        <v>4</v>
      </c>
      <c r="Q1" s="147"/>
    </row>
    <row r="2" spans="1:17" ht="15.75" customHeight="1" x14ac:dyDescent="0.2">
      <c r="A2" s="5"/>
      <c r="B2" s="6"/>
      <c r="C2" s="6"/>
      <c r="D2" s="6"/>
      <c r="E2" s="6"/>
      <c r="F2" s="6"/>
      <c r="G2" s="7"/>
      <c r="H2" s="8"/>
      <c r="I2" s="8"/>
      <c r="J2" s="8"/>
      <c r="K2" s="8"/>
      <c r="L2" s="8"/>
      <c r="M2" s="8"/>
      <c r="N2" s="8"/>
      <c r="O2" s="6"/>
      <c r="P2" s="147"/>
      <c r="Q2" s="147"/>
    </row>
    <row r="3" spans="1:17" ht="13.5" thickBot="1" x14ac:dyDescent="0.25">
      <c r="A3" s="5"/>
      <c r="B3" s="6"/>
      <c r="C3" s="6"/>
      <c r="D3" s="6"/>
      <c r="E3" s="6"/>
      <c r="F3" s="6"/>
      <c r="G3" s="7"/>
      <c r="H3" s="6"/>
      <c r="I3" s="6"/>
      <c r="J3" s="6"/>
      <c r="K3" s="6"/>
      <c r="L3" s="6"/>
      <c r="M3" s="6"/>
      <c r="N3" s="6"/>
      <c r="O3" s="6"/>
      <c r="P3" s="6"/>
      <c r="Q3" s="9"/>
    </row>
    <row r="4" spans="1:17" s="10" customFormat="1" ht="18" customHeight="1" thickBot="1" x14ac:dyDescent="0.25">
      <c r="A4" s="148" t="s">
        <v>5</v>
      </c>
      <c r="B4" s="148"/>
      <c r="C4" s="148"/>
      <c r="D4" s="148"/>
      <c r="E4" s="148"/>
      <c r="F4" s="148"/>
      <c r="G4" s="149" t="s">
        <v>27</v>
      </c>
      <c r="H4" s="150"/>
      <c r="I4" s="150"/>
      <c r="J4" s="150"/>
      <c r="K4" s="150"/>
      <c r="L4" s="150"/>
      <c r="M4" s="150"/>
      <c r="N4" s="150"/>
      <c r="O4" s="150"/>
      <c r="P4" s="150"/>
      <c r="Q4" s="151"/>
    </row>
    <row r="5" spans="1:17" s="10" customFormat="1" ht="32.25" customHeight="1" thickBot="1" x14ac:dyDescent="0.25">
      <c r="A5" s="152" t="s">
        <v>0</v>
      </c>
      <c r="B5" s="152"/>
      <c r="C5" s="152"/>
      <c r="D5" s="152"/>
      <c r="E5" s="152"/>
      <c r="F5" s="152"/>
      <c r="G5" s="153" t="s">
        <v>28</v>
      </c>
      <c r="H5" s="154"/>
      <c r="I5" s="154"/>
      <c r="J5" s="154"/>
      <c r="K5" s="154"/>
      <c r="L5" s="154"/>
      <c r="M5" s="154"/>
      <c r="N5" s="154"/>
      <c r="O5" s="154"/>
      <c r="P5" s="154"/>
      <c r="Q5" s="155"/>
    </row>
    <row r="6" spans="1:17" s="10" customFormat="1" ht="29.25" customHeight="1" thickBot="1" x14ac:dyDescent="0.25">
      <c r="A6" s="152" t="s">
        <v>1</v>
      </c>
      <c r="B6" s="152"/>
      <c r="C6" s="152"/>
      <c r="D6" s="152"/>
      <c r="E6" s="152"/>
      <c r="F6" s="152"/>
      <c r="G6" s="156" t="s">
        <v>29</v>
      </c>
      <c r="H6" s="157"/>
      <c r="I6" s="157"/>
      <c r="J6" s="157"/>
      <c r="K6" s="157"/>
      <c r="L6" s="157"/>
      <c r="M6" s="157"/>
      <c r="N6" s="157"/>
      <c r="O6" s="157"/>
      <c r="P6" s="157"/>
      <c r="Q6" s="158"/>
    </row>
    <row r="7" spans="1:17" s="10" customFormat="1" ht="18" customHeight="1" thickBot="1" x14ac:dyDescent="0.25">
      <c r="A7" s="152" t="s">
        <v>2</v>
      </c>
      <c r="B7" s="152"/>
      <c r="C7" s="152"/>
      <c r="D7" s="152"/>
      <c r="E7" s="152"/>
      <c r="F7" s="152"/>
      <c r="G7" s="156" t="s">
        <v>30</v>
      </c>
      <c r="H7" s="157"/>
      <c r="I7" s="157"/>
      <c r="J7" s="157"/>
      <c r="K7" s="157"/>
      <c r="L7" s="157"/>
      <c r="M7" s="157"/>
      <c r="N7" s="157"/>
      <c r="O7" s="157"/>
      <c r="P7" s="157"/>
      <c r="Q7" s="158"/>
    </row>
    <row r="8" spans="1:17" ht="18" customHeight="1" thickBot="1" x14ac:dyDescent="0.25">
      <c r="A8" s="159" t="s">
        <v>6</v>
      </c>
      <c r="B8" s="159"/>
      <c r="C8" s="159"/>
      <c r="D8" s="159"/>
      <c r="E8" s="159"/>
      <c r="F8" s="159"/>
      <c r="G8" s="159"/>
      <c r="H8" s="159"/>
      <c r="I8" s="159"/>
      <c r="J8" s="159"/>
      <c r="K8" s="159"/>
      <c r="L8" s="159"/>
      <c r="M8" s="159"/>
      <c r="N8" s="159"/>
      <c r="O8" s="159"/>
      <c r="P8" s="159"/>
      <c r="Q8" s="159"/>
    </row>
    <row r="9" spans="1:17" ht="18" customHeight="1" x14ac:dyDescent="0.2">
      <c r="A9" s="160" t="s">
        <v>7</v>
      </c>
      <c r="B9" s="160"/>
      <c r="C9" s="160"/>
      <c r="D9" s="160"/>
      <c r="E9" s="160"/>
      <c r="F9" s="160"/>
      <c r="G9" s="160"/>
      <c r="H9" s="160"/>
      <c r="I9" s="160"/>
      <c r="J9" s="160"/>
      <c r="K9" s="160"/>
      <c r="L9" s="160"/>
      <c r="M9" s="160"/>
      <c r="N9" s="160"/>
      <c r="O9" s="160"/>
      <c r="P9" s="160"/>
      <c r="Q9" s="160"/>
    </row>
    <row r="10" spans="1:17" ht="66" customHeight="1" x14ac:dyDescent="0.2">
      <c r="A10" s="161" t="s">
        <v>31</v>
      </c>
      <c r="B10" s="161"/>
      <c r="C10" s="161"/>
      <c r="D10" s="161"/>
      <c r="E10" s="161"/>
      <c r="F10" s="161"/>
      <c r="G10" s="161"/>
      <c r="H10" s="161"/>
      <c r="I10" s="161"/>
      <c r="J10" s="161"/>
      <c r="K10" s="161"/>
      <c r="L10" s="161"/>
      <c r="M10" s="161"/>
      <c r="N10" s="161"/>
      <c r="O10" s="161"/>
      <c r="P10" s="161"/>
      <c r="Q10" s="161"/>
    </row>
    <row r="11" spans="1:17" ht="9" customHeight="1" x14ac:dyDescent="0.2">
      <c r="A11" s="11"/>
      <c r="B11" s="12"/>
      <c r="C11" s="12"/>
      <c r="D11" s="12"/>
      <c r="E11" s="12"/>
      <c r="F11" s="12"/>
      <c r="G11" s="13"/>
      <c r="H11" s="12"/>
      <c r="I11" s="12"/>
      <c r="J11" s="12"/>
      <c r="K11" s="12"/>
      <c r="L11" s="12"/>
      <c r="M11" s="12"/>
      <c r="N11" s="12"/>
      <c r="O11" s="12"/>
      <c r="P11" s="12"/>
      <c r="Q11" s="14"/>
    </row>
    <row r="12" spans="1:17" ht="15.75" customHeight="1" x14ac:dyDescent="0.2">
      <c r="A12" s="162" t="s">
        <v>8</v>
      </c>
      <c r="B12" s="162"/>
      <c r="C12" s="162"/>
      <c r="D12" s="162"/>
      <c r="E12" s="162"/>
      <c r="F12" s="162"/>
      <c r="G12" s="162"/>
      <c r="H12" s="162"/>
      <c r="I12" s="162"/>
      <c r="J12" s="162"/>
      <c r="K12" s="162"/>
      <c r="L12" s="162"/>
      <c r="M12" s="162"/>
      <c r="N12" s="162"/>
      <c r="O12" s="162"/>
      <c r="P12" s="162"/>
      <c r="Q12" s="162"/>
    </row>
    <row r="13" spans="1:17" ht="15.75" customHeight="1" x14ac:dyDescent="0.2">
      <c r="A13" s="163" t="s">
        <v>9</v>
      </c>
      <c r="B13" s="163"/>
      <c r="C13" s="163"/>
      <c r="D13" s="163"/>
      <c r="E13" s="163"/>
      <c r="F13" s="163"/>
      <c r="G13" s="163"/>
      <c r="H13" s="163"/>
      <c r="I13" s="163"/>
      <c r="J13" s="163"/>
      <c r="K13" s="163"/>
      <c r="L13" s="163"/>
      <c r="M13" s="163"/>
      <c r="N13" s="163"/>
      <c r="O13" s="164" t="s">
        <v>10</v>
      </c>
      <c r="P13" s="164"/>
      <c r="Q13" s="165" t="s">
        <v>11</v>
      </c>
    </row>
    <row r="14" spans="1:17" ht="15.75" customHeight="1" thickBot="1" x14ac:dyDescent="0.25">
      <c r="A14" s="15" t="s">
        <v>12</v>
      </c>
      <c r="B14" s="16" t="s">
        <v>13</v>
      </c>
      <c r="C14" s="16" t="s">
        <v>14</v>
      </c>
      <c r="D14" s="16" t="s">
        <v>15</v>
      </c>
      <c r="E14" s="16" t="s">
        <v>16</v>
      </c>
      <c r="F14" s="16" t="s">
        <v>17</v>
      </c>
      <c r="G14" s="17" t="s">
        <v>18</v>
      </c>
      <c r="H14" s="16" t="s">
        <v>19</v>
      </c>
      <c r="I14" s="16" t="s">
        <v>20</v>
      </c>
      <c r="J14" s="16" t="s">
        <v>21</v>
      </c>
      <c r="K14" s="16" t="s">
        <v>21</v>
      </c>
      <c r="L14" s="16" t="s">
        <v>22</v>
      </c>
      <c r="M14" s="18" t="s">
        <v>23</v>
      </c>
      <c r="N14" s="19" t="s">
        <v>24</v>
      </c>
      <c r="O14" s="164"/>
      <c r="P14" s="164"/>
      <c r="Q14" s="165"/>
    </row>
    <row r="15" spans="1:17" ht="17.25" customHeight="1" x14ac:dyDescent="0.2">
      <c r="A15" s="73">
        <v>15</v>
      </c>
      <c r="B15" s="74">
        <v>0</v>
      </c>
      <c r="C15" s="74">
        <v>0</v>
      </c>
      <c r="D15" s="74">
        <v>1</v>
      </c>
      <c r="E15" s="74">
        <v>0</v>
      </c>
      <c r="F15" s="74">
        <v>4901</v>
      </c>
      <c r="G15" s="74">
        <v>3</v>
      </c>
      <c r="H15" s="74">
        <v>4</v>
      </c>
      <c r="I15" s="74">
        <v>2</v>
      </c>
      <c r="J15" s="74">
        <v>7</v>
      </c>
      <c r="K15" s="74">
        <v>1</v>
      </c>
      <c r="L15" s="74">
        <v>0</v>
      </c>
      <c r="M15" s="75">
        <v>1</v>
      </c>
      <c r="N15" s="76" t="s">
        <v>26</v>
      </c>
      <c r="O15" s="170" t="s">
        <v>37</v>
      </c>
      <c r="P15" s="171"/>
      <c r="Q15" s="141">
        <v>1024100</v>
      </c>
    </row>
    <row r="16" spans="1:17" ht="17.25" customHeight="1" x14ac:dyDescent="0.2">
      <c r="A16" s="73">
        <v>15</v>
      </c>
      <c r="B16" s="74">
        <v>0</v>
      </c>
      <c r="C16" s="74">
        <v>0</v>
      </c>
      <c r="D16" s="74">
        <v>1</v>
      </c>
      <c r="E16" s="74">
        <v>0</v>
      </c>
      <c r="F16" s="74">
        <v>4901</v>
      </c>
      <c r="G16" s="74">
        <v>3</v>
      </c>
      <c r="H16" s="74">
        <v>4</v>
      </c>
      <c r="I16" s="74">
        <v>2</v>
      </c>
      <c r="J16" s="74">
        <v>7</v>
      </c>
      <c r="K16" s="74">
        <v>9</v>
      </c>
      <c r="L16" s="74">
        <v>0</v>
      </c>
      <c r="M16" s="75">
        <v>1</v>
      </c>
      <c r="N16" s="76" t="s">
        <v>26</v>
      </c>
      <c r="O16" s="172" t="s">
        <v>39</v>
      </c>
      <c r="P16" s="173"/>
      <c r="Q16" s="142">
        <v>281000</v>
      </c>
    </row>
    <row r="17" spans="1:18" ht="17.25" customHeight="1" x14ac:dyDescent="0.2">
      <c r="A17" s="73">
        <v>15</v>
      </c>
      <c r="B17" s="74">
        <v>0</v>
      </c>
      <c r="C17" s="74">
        <v>0</v>
      </c>
      <c r="D17" s="74">
        <v>1</v>
      </c>
      <c r="E17" s="74">
        <v>0</v>
      </c>
      <c r="F17" s="74">
        <v>4901</v>
      </c>
      <c r="G17" s="74">
        <v>3</v>
      </c>
      <c r="H17" s="74">
        <v>4</v>
      </c>
      <c r="I17" s="74">
        <v>2</v>
      </c>
      <c r="J17" s="74">
        <v>7</v>
      </c>
      <c r="K17" s="74">
        <v>4</v>
      </c>
      <c r="L17" s="74">
        <v>0</v>
      </c>
      <c r="M17" s="75">
        <v>1</v>
      </c>
      <c r="N17" s="76" t="s">
        <v>26</v>
      </c>
      <c r="O17" s="166" t="s">
        <v>38</v>
      </c>
      <c r="P17" s="167"/>
      <c r="Q17" s="142">
        <v>396000</v>
      </c>
    </row>
    <row r="18" spans="1:18" ht="17.25" customHeight="1" x14ac:dyDescent="0.2">
      <c r="A18" s="73">
        <v>15</v>
      </c>
      <c r="B18" s="74">
        <v>0</v>
      </c>
      <c r="C18" s="74">
        <v>0</v>
      </c>
      <c r="D18" s="74">
        <v>1</v>
      </c>
      <c r="E18" s="74">
        <v>0</v>
      </c>
      <c r="F18" s="74">
        <v>4901</v>
      </c>
      <c r="G18" s="74">
        <v>3</v>
      </c>
      <c r="H18" s="74">
        <v>4</v>
      </c>
      <c r="I18" s="74">
        <v>2</v>
      </c>
      <c r="J18" s="74">
        <v>6</v>
      </c>
      <c r="K18" s="74">
        <v>5</v>
      </c>
      <c r="L18" s="74">
        <v>0</v>
      </c>
      <c r="M18" s="75">
        <v>1</v>
      </c>
      <c r="N18" s="76" t="s">
        <v>26</v>
      </c>
      <c r="O18" s="166" t="s">
        <v>42</v>
      </c>
      <c r="P18" s="167"/>
      <c r="Q18" s="143">
        <v>215500</v>
      </c>
    </row>
    <row r="19" spans="1:18" ht="17.25" customHeight="1" x14ac:dyDescent="0.2">
      <c r="A19" s="73">
        <v>15</v>
      </c>
      <c r="B19" s="74">
        <v>0</v>
      </c>
      <c r="C19" s="74">
        <v>0</v>
      </c>
      <c r="D19" s="74">
        <v>1</v>
      </c>
      <c r="E19" s="74">
        <v>0</v>
      </c>
      <c r="F19" s="74">
        <v>4901</v>
      </c>
      <c r="G19" s="74">
        <v>3</v>
      </c>
      <c r="H19" s="74">
        <v>4</v>
      </c>
      <c r="I19" s="74">
        <v>2</v>
      </c>
      <c r="J19" s="74">
        <v>6</v>
      </c>
      <c r="K19" s="74">
        <v>1</v>
      </c>
      <c r="L19" s="74">
        <v>0</v>
      </c>
      <c r="M19" s="75">
        <v>1</v>
      </c>
      <c r="N19" s="76" t="s">
        <v>26</v>
      </c>
      <c r="O19" s="166" t="s">
        <v>40</v>
      </c>
      <c r="P19" s="167"/>
      <c r="Q19" s="142">
        <v>344050</v>
      </c>
    </row>
    <row r="20" spans="1:18" ht="17.25" customHeight="1" x14ac:dyDescent="0.2">
      <c r="A20" s="73">
        <v>15</v>
      </c>
      <c r="B20" s="74">
        <v>0</v>
      </c>
      <c r="C20" s="74">
        <v>0</v>
      </c>
      <c r="D20" s="74">
        <v>1</v>
      </c>
      <c r="E20" s="74">
        <v>0</v>
      </c>
      <c r="F20" s="74">
        <v>4901</v>
      </c>
      <c r="G20" s="74">
        <v>3</v>
      </c>
      <c r="H20" s="74">
        <v>4</v>
      </c>
      <c r="I20" s="74">
        <v>2</v>
      </c>
      <c r="J20" s="74">
        <v>5</v>
      </c>
      <c r="K20" s="74">
        <v>5</v>
      </c>
      <c r="L20" s="74">
        <v>0</v>
      </c>
      <c r="M20" s="75">
        <v>1</v>
      </c>
      <c r="N20" s="76" t="s">
        <v>26</v>
      </c>
      <c r="O20" s="166" t="s">
        <v>43</v>
      </c>
      <c r="P20" s="167"/>
      <c r="Q20" s="142">
        <v>1786500</v>
      </c>
    </row>
    <row r="21" spans="1:18" ht="17.25" customHeight="1" x14ac:dyDescent="0.2">
      <c r="A21" s="73">
        <v>15</v>
      </c>
      <c r="B21" s="74">
        <v>0</v>
      </c>
      <c r="C21" s="74">
        <v>0</v>
      </c>
      <c r="D21" s="74">
        <v>1</v>
      </c>
      <c r="E21" s="74">
        <v>0</v>
      </c>
      <c r="F21" s="74">
        <v>4901</v>
      </c>
      <c r="G21" s="74">
        <v>3</v>
      </c>
      <c r="H21" s="74">
        <v>4</v>
      </c>
      <c r="I21" s="74">
        <v>2</v>
      </c>
      <c r="J21" s="74">
        <v>5</v>
      </c>
      <c r="K21" s="74">
        <v>9</v>
      </c>
      <c r="L21" s="74">
        <v>0</v>
      </c>
      <c r="M21" s="75">
        <v>1</v>
      </c>
      <c r="N21" s="76" t="s">
        <v>26</v>
      </c>
      <c r="O21" s="166" t="s">
        <v>39</v>
      </c>
      <c r="P21" s="167"/>
      <c r="Q21" s="142">
        <v>487500</v>
      </c>
      <c r="R21" s="82"/>
    </row>
    <row r="22" spans="1:18" ht="17.25" customHeight="1" x14ac:dyDescent="0.2">
      <c r="A22" s="73">
        <v>15</v>
      </c>
      <c r="B22" s="74">
        <v>0</v>
      </c>
      <c r="C22" s="74">
        <v>0</v>
      </c>
      <c r="D22" s="74">
        <v>1</v>
      </c>
      <c r="E22" s="74">
        <v>0</v>
      </c>
      <c r="F22" s="74">
        <v>4901</v>
      </c>
      <c r="G22" s="74">
        <v>3</v>
      </c>
      <c r="H22" s="74">
        <v>4</v>
      </c>
      <c r="I22" s="74">
        <v>2</v>
      </c>
      <c r="J22" s="74">
        <v>6</v>
      </c>
      <c r="K22" s="74">
        <v>4</v>
      </c>
      <c r="L22" s="74">
        <v>0</v>
      </c>
      <c r="M22" s="75">
        <v>1</v>
      </c>
      <c r="N22" s="76" t="s">
        <v>26</v>
      </c>
      <c r="O22" s="166" t="s">
        <v>41</v>
      </c>
      <c r="P22" s="167"/>
      <c r="Q22" s="142">
        <v>291000</v>
      </c>
      <c r="R22" s="82"/>
    </row>
    <row r="23" spans="1:18" ht="17.25" customHeight="1" x14ac:dyDescent="0.2">
      <c r="A23" s="73">
        <v>15</v>
      </c>
      <c r="B23" s="74">
        <v>0</v>
      </c>
      <c r="C23" s="74">
        <v>0</v>
      </c>
      <c r="D23" s="74">
        <v>1</v>
      </c>
      <c r="E23" s="74">
        <v>0</v>
      </c>
      <c r="F23" s="74">
        <v>4901</v>
      </c>
      <c r="G23" s="74">
        <v>3</v>
      </c>
      <c r="H23" s="74">
        <v>4</v>
      </c>
      <c r="I23" s="74">
        <v>2</v>
      </c>
      <c r="J23" s="74">
        <v>6</v>
      </c>
      <c r="K23" s="74">
        <v>3</v>
      </c>
      <c r="L23" s="74">
        <v>0</v>
      </c>
      <c r="M23" s="75">
        <v>1</v>
      </c>
      <c r="N23" s="76" t="s">
        <v>26</v>
      </c>
      <c r="O23" s="166" t="s">
        <v>41</v>
      </c>
      <c r="P23" s="167"/>
      <c r="Q23" s="142">
        <v>948500</v>
      </c>
    </row>
    <row r="24" spans="1:18" ht="17.25" customHeight="1" x14ac:dyDescent="0.2">
      <c r="A24" s="73">
        <v>15</v>
      </c>
      <c r="B24" s="74">
        <v>0</v>
      </c>
      <c r="C24" s="74">
        <v>0</v>
      </c>
      <c r="D24" s="74">
        <v>1</v>
      </c>
      <c r="E24" s="74">
        <v>0</v>
      </c>
      <c r="F24" s="74">
        <v>4901</v>
      </c>
      <c r="G24" s="74">
        <v>3</v>
      </c>
      <c r="H24" s="74">
        <v>4</v>
      </c>
      <c r="I24" s="74">
        <v>2</v>
      </c>
      <c r="J24" s="74">
        <v>5</v>
      </c>
      <c r="K24" s="74">
        <v>8</v>
      </c>
      <c r="L24" s="74">
        <v>0</v>
      </c>
      <c r="M24" s="75">
        <v>1</v>
      </c>
      <c r="N24" s="76" t="s">
        <v>26</v>
      </c>
      <c r="O24" s="166" t="s">
        <v>44</v>
      </c>
      <c r="P24" s="167"/>
      <c r="Q24" s="142">
        <v>221700</v>
      </c>
    </row>
    <row r="25" spans="1:18" ht="17.25" hidden="1" customHeight="1" x14ac:dyDescent="0.2">
      <c r="A25" s="24">
        <v>15</v>
      </c>
      <c r="B25" s="25">
        <v>0</v>
      </c>
      <c r="C25" s="25">
        <v>0</v>
      </c>
      <c r="D25" s="25">
        <v>1</v>
      </c>
      <c r="E25" s="25">
        <v>0</v>
      </c>
      <c r="F25" s="25">
        <v>4901</v>
      </c>
      <c r="G25" s="25">
        <v>3</v>
      </c>
      <c r="H25" s="25">
        <v>4</v>
      </c>
      <c r="I25" s="25">
        <v>2</v>
      </c>
      <c r="J25" s="25">
        <v>9</v>
      </c>
      <c r="K25" s="25">
        <v>1</v>
      </c>
      <c r="L25" s="25">
        <v>0</v>
      </c>
      <c r="M25" s="26">
        <v>1</v>
      </c>
      <c r="N25" s="27" t="s">
        <v>32</v>
      </c>
      <c r="O25" s="168"/>
      <c r="P25" s="169"/>
      <c r="Q25" s="142"/>
    </row>
    <row r="26" spans="1:18" ht="17.25" hidden="1" customHeight="1" x14ac:dyDescent="0.2">
      <c r="A26" s="24">
        <v>15</v>
      </c>
      <c r="B26" s="25">
        <v>0</v>
      </c>
      <c r="C26" s="25">
        <v>0</v>
      </c>
      <c r="D26" s="25">
        <v>1</v>
      </c>
      <c r="E26" s="25">
        <v>0</v>
      </c>
      <c r="F26" s="25">
        <v>4901</v>
      </c>
      <c r="G26" s="25">
        <v>3</v>
      </c>
      <c r="H26" s="25">
        <v>4</v>
      </c>
      <c r="I26" s="25">
        <v>2</v>
      </c>
      <c r="J26" s="25">
        <v>9</v>
      </c>
      <c r="K26" s="25">
        <v>1</v>
      </c>
      <c r="L26" s="25">
        <v>0</v>
      </c>
      <c r="M26" s="26">
        <v>1</v>
      </c>
      <c r="N26" s="27" t="s">
        <v>33</v>
      </c>
      <c r="O26" s="168"/>
      <c r="P26" s="169"/>
      <c r="Q26" s="142"/>
    </row>
    <row r="27" spans="1:18" ht="17.25" hidden="1" customHeight="1" x14ac:dyDescent="0.2">
      <c r="A27" s="24">
        <v>15</v>
      </c>
      <c r="B27" s="25">
        <v>0</v>
      </c>
      <c r="C27" s="25">
        <v>0</v>
      </c>
      <c r="D27" s="25">
        <v>1</v>
      </c>
      <c r="E27" s="25">
        <v>0</v>
      </c>
      <c r="F27" s="25">
        <v>4901</v>
      </c>
      <c r="G27" s="25">
        <v>3</v>
      </c>
      <c r="H27" s="25">
        <v>4</v>
      </c>
      <c r="I27" s="25">
        <v>2</v>
      </c>
      <c r="J27" s="25">
        <v>9</v>
      </c>
      <c r="K27" s="25">
        <v>1</v>
      </c>
      <c r="L27" s="25">
        <v>0</v>
      </c>
      <c r="M27" s="26">
        <v>1</v>
      </c>
      <c r="N27" s="27" t="s">
        <v>34</v>
      </c>
      <c r="O27" s="168"/>
      <c r="P27" s="169"/>
      <c r="Q27" s="142"/>
    </row>
    <row r="28" spans="1:18" ht="17.25" hidden="1" customHeight="1" x14ac:dyDescent="0.2">
      <c r="A28" s="24">
        <v>15</v>
      </c>
      <c r="B28" s="25">
        <v>0</v>
      </c>
      <c r="C28" s="25">
        <v>0</v>
      </c>
      <c r="D28" s="25">
        <v>1</v>
      </c>
      <c r="E28" s="25">
        <v>0</v>
      </c>
      <c r="F28" s="25">
        <v>4901</v>
      </c>
      <c r="G28" s="25">
        <v>3</v>
      </c>
      <c r="H28" s="25">
        <v>4</v>
      </c>
      <c r="I28" s="25">
        <v>2</v>
      </c>
      <c r="J28" s="25">
        <v>9</v>
      </c>
      <c r="K28" s="25">
        <v>1</v>
      </c>
      <c r="L28" s="25">
        <v>0</v>
      </c>
      <c r="M28" s="26">
        <v>1</v>
      </c>
      <c r="N28" s="27" t="s">
        <v>35</v>
      </c>
      <c r="O28" s="168"/>
      <c r="P28" s="169"/>
      <c r="Q28" s="142"/>
    </row>
    <row r="29" spans="1:18" ht="17.25" hidden="1" customHeight="1" x14ac:dyDescent="0.2">
      <c r="A29" s="24">
        <v>15</v>
      </c>
      <c r="B29" s="25">
        <v>0</v>
      </c>
      <c r="C29" s="25">
        <v>0</v>
      </c>
      <c r="D29" s="25">
        <v>1</v>
      </c>
      <c r="E29" s="25">
        <v>0</v>
      </c>
      <c r="F29" s="25">
        <v>4901</v>
      </c>
      <c r="G29" s="25">
        <v>3</v>
      </c>
      <c r="H29" s="25">
        <v>4</v>
      </c>
      <c r="I29" s="25">
        <v>2</v>
      </c>
      <c r="J29" s="25">
        <v>9</v>
      </c>
      <c r="K29" s="25">
        <v>1</v>
      </c>
      <c r="L29" s="25">
        <v>0</v>
      </c>
      <c r="M29" s="26">
        <v>1</v>
      </c>
      <c r="N29" s="27" t="s">
        <v>36</v>
      </c>
      <c r="O29" s="177"/>
      <c r="P29" s="178"/>
      <c r="Q29" s="142"/>
      <c r="R29" s="6"/>
    </row>
    <row r="30" spans="1:18" ht="17.25" customHeight="1" thickBot="1" x14ac:dyDescent="0.25">
      <c r="A30" s="20"/>
      <c r="B30" s="21"/>
      <c r="C30" s="21"/>
      <c r="D30" s="21"/>
      <c r="E30" s="21"/>
      <c r="F30" s="21"/>
      <c r="G30" s="21"/>
      <c r="H30" s="21"/>
      <c r="I30" s="21"/>
      <c r="J30" s="21"/>
      <c r="K30" s="21"/>
      <c r="L30" s="21"/>
      <c r="M30" s="22"/>
      <c r="N30" s="21"/>
      <c r="O30" s="179"/>
      <c r="P30" s="180"/>
      <c r="Q30" s="144"/>
    </row>
    <row r="31" spans="1:18" ht="36.75" customHeight="1" thickBot="1" x14ac:dyDescent="0.25">
      <c r="A31" s="181" t="s">
        <v>151</v>
      </c>
      <c r="B31" s="181"/>
      <c r="C31" s="181"/>
      <c r="D31" s="181"/>
      <c r="E31" s="181"/>
      <c r="F31" s="181"/>
      <c r="G31" s="181"/>
      <c r="H31" s="181"/>
      <c r="I31" s="181"/>
      <c r="J31" s="181"/>
      <c r="K31" s="181"/>
      <c r="L31" s="181"/>
      <c r="M31" s="181"/>
      <c r="N31" s="181"/>
      <c r="O31" s="181"/>
      <c r="P31" s="181"/>
      <c r="Q31" s="23">
        <f>SUM(Q15:Q30)</f>
        <v>5995850</v>
      </c>
    </row>
    <row r="32" spans="1:18" ht="18" customHeight="1" x14ac:dyDescent="0.2">
      <c r="A32" s="182"/>
      <c r="B32" s="182"/>
      <c r="C32" s="182"/>
      <c r="D32" s="182"/>
      <c r="E32" s="182"/>
      <c r="F32" s="182"/>
      <c r="G32" s="182"/>
      <c r="H32" s="182"/>
      <c r="I32" s="182"/>
      <c r="J32" s="182"/>
      <c r="K32" s="182"/>
      <c r="L32" s="182"/>
      <c r="M32" s="182"/>
      <c r="N32" s="182"/>
      <c r="O32" s="182"/>
      <c r="P32" s="182"/>
      <c r="Q32" s="182"/>
    </row>
    <row r="33" spans="1:17" ht="17.25" customHeight="1" x14ac:dyDescent="0.2">
      <c r="A33" s="174" t="s">
        <v>25</v>
      </c>
      <c r="B33" s="174"/>
      <c r="C33" s="174"/>
      <c r="D33" s="174"/>
      <c r="E33" s="174"/>
      <c r="F33" s="174"/>
      <c r="G33" s="175"/>
      <c r="H33" s="175"/>
      <c r="I33" s="175"/>
      <c r="J33" s="175"/>
      <c r="K33" s="175"/>
      <c r="L33" s="175"/>
      <c r="M33" s="175"/>
      <c r="N33" s="175"/>
      <c r="O33" s="175"/>
      <c r="P33" s="175"/>
      <c r="Q33" s="175"/>
    </row>
    <row r="34" spans="1:17" ht="18" customHeight="1" x14ac:dyDescent="0.2">
      <c r="A34" s="176" t="s">
        <v>154</v>
      </c>
      <c r="B34" s="176"/>
      <c r="C34" s="176"/>
      <c r="D34" s="176"/>
      <c r="E34" s="176"/>
      <c r="F34" s="176"/>
      <c r="G34" s="176"/>
      <c r="H34" s="176"/>
      <c r="I34" s="176"/>
      <c r="J34" s="176"/>
      <c r="K34" s="176"/>
      <c r="L34" s="176"/>
      <c r="M34" s="176"/>
      <c r="N34" s="176"/>
      <c r="O34" s="176"/>
      <c r="P34" s="176"/>
      <c r="Q34" s="176"/>
    </row>
    <row r="35" spans="1:17" ht="63.75" customHeight="1" x14ac:dyDescent="0.2">
      <c r="A35" s="176"/>
      <c r="B35" s="176"/>
      <c r="C35" s="176"/>
      <c r="D35" s="176"/>
      <c r="E35" s="176"/>
      <c r="F35" s="176"/>
      <c r="G35" s="176"/>
      <c r="H35" s="176"/>
      <c r="I35" s="176"/>
      <c r="J35" s="176"/>
      <c r="K35" s="176"/>
      <c r="L35" s="176"/>
      <c r="M35" s="176"/>
      <c r="N35" s="176"/>
      <c r="O35" s="176"/>
      <c r="P35" s="176"/>
      <c r="Q35" s="176"/>
    </row>
    <row r="36" spans="1:17" ht="10.5" customHeight="1" x14ac:dyDescent="0.2"/>
    <row r="37" spans="1:17" hidden="1" x14ac:dyDescent="0.2"/>
  </sheetData>
  <mergeCells count="39">
    <mergeCell ref="A33:F33"/>
    <mergeCell ref="G33:Q33"/>
    <mergeCell ref="A34:Q35"/>
    <mergeCell ref="O28:P28"/>
    <mergeCell ref="O29:P29"/>
    <mergeCell ref="O30:P30"/>
    <mergeCell ref="A31:P31"/>
    <mergeCell ref="A32:Q32"/>
    <mergeCell ref="O24:P24"/>
    <mergeCell ref="O25:P25"/>
    <mergeCell ref="O26:P26"/>
    <mergeCell ref="O27:P27"/>
    <mergeCell ref="O15:P15"/>
    <mergeCell ref="O16:P16"/>
    <mergeCell ref="O17:P17"/>
    <mergeCell ref="O18:P18"/>
    <mergeCell ref="O23:P23"/>
    <mergeCell ref="O19:P19"/>
    <mergeCell ref="O20:P20"/>
    <mergeCell ref="O21:P21"/>
    <mergeCell ref="O22:P22"/>
    <mergeCell ref="A8:Q8"/>
    <mergeCell ref="A9:Q9"/>
    <mergeCell ref="A10:Q10"/>
    <mergeCell ref="A12:Q12"/>
    <mergeCell ref="A13:N13"/>
    <mergeCell ref="O13:P14"/>
    <mergeCell ref="Q13:Q14"/>
    <mergeCell ref="A5:F5"/>
    <mergeCell ref="G5:Q5"/>
    <mergeCell ref="A6:F6"/>
    <mergeCell ref="G6:Q6"/>
    <mergeCell ref="A7:F7"/>
    <mergeCell ref="G7:Q7"/>
    <mergeCell ref="A1:C1"/>
    <mergeCell ref="D1:E1"/>
    <mergeCell ref="P1:Q2"/>
    <mergeCell ref="A4:F4"/>
    <mergeCell ref="G4:Q4"/>
  </mergeCells>
  <printOptions horizontalCentered="1"/>
  <pageMargins left="0.23622047244094491" right="0.23622047244094491" top="0.74803149606299213" bottom="0.74803149606299213" header="0.51181102362204722" footer="0.51181102362204722"/>
  <pageSetup paperSize="9" scale="80" firstPageNumber="0"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NOTA TRIMESTRAL</vt:lpstr>
      <vt:lpstr>NOTA DE PEDIDO</vt:lpstr>
      <vt:lpstr>Autor Gastar</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farce</dc:creator>
  <cp:lastModifiedBy>COMPRAS</cp:lastModifiedBy>
  <cp:revision>3</cp:revision>
  <cp:lastPrinted>2020-11-30T15:01:39Z</cp:lastPrinted>
  <dcterms:created xsi:type="dcterms:W3CDTF">2020-07-17T23:44:49Z</dcterms:created>
  <dcterms:modified xsi:type="dcterms:W3CDTF">2021-08-17T14:54:24Z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