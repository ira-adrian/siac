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OLFO SARTOR\Downloads\"/>
    </mc:Choice>
  </mc:AlternateContent>
  <xr:revisionPtr revIDLastSave="0" documentId="13_ncr:1_{55DEEF3B-72E8-4804-AA3D-3C849E8B8EB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25" i="1" l="1"/>
  <c r="G10" i="1" l="1"/>
  <c r="I11" i="1" l="1"/>
  <c r="I12" i="1"/>
  <c r="I13" i="1"/>
  <c r="I14" i="1"/>
  <c r="I15" i="1"/>
  <c r="I16" i="1"/>
  <c r="I17" i="1"/>
  <c r="I18" i="1"/>
  <c r="I19" i="1"/>
  <c r="I20" i="1"/>
  <c r="I21" i="1"/>
  <c r="I22" i="1"/>
  <c r="I24" i="1"/>
  <c r="I26" i="1"/>
  <c r="I10" i="1"/>
  <c r="I23" i="1" l="1"/>
  <c r="I27" i="1" s="1"/>
</calcChain>
</file>

<file path=xl/sharedStrings.xml><?xml version="1.0" encoding="utf-8"?>
<sst xmlns="http://schemas.openxmlformats.org/spreadsheetml/2006/main" count="113" uniqueCount="65">
  <si>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</si>
  <si>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</si>
  <si>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</si>
  <si>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</si>
  <si>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</si>
  <si>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</si>
  <si>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</si>
  <si>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</si>
  <si>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</si>
  <si>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</si>
  <si>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</si>
  <si>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</si>
  <si>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</si>
  <si>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</si>
  <si>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</si>
  <si>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</si>
  <si>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</si>
  <si>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</si>
  <si>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</si>
  <si>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65- MINISTERIO DE AGUA, ENERGÍA Y MEDIO AMBIENTE</t>
  </si>
  <si>
    <t>COMBUSTIBLES Y LUBRICANTES</t>
  </si>
  <si>
    <t>2.5.6</t>
  </si>
  <si>
    <t>LITROS</t>
  </si>
  <si>
    <t>2.5.6-7104.19</t>
  </si>
  <si>
    <t>2.5.6-1622.53</t>
  </si>
  <si>
    <t>ACEITES LUBRICANTES; DENOMINACION: SAE 15 W 40, USO: AUTOMOTOR, PRESENTACION: TAMBOR X 205 L, NORMA: SAE 15 W 40</t>
  </si>
  <si>
    <t>ACEITES HIDRAULICOS; VISCOSIDAD A 40 °C: 68,5 cst, VISCOSIDAD A 100º C: 8,73 cst, INDICE DE VISCOSIDAD: 95, PUNTO DE INFLAMACION: 206 °C, PUNTO DE ESCURRIMIENTO: 9 °C, HERRUMBRE: PASA, PRESENTACION: ENVASE X 205</t>
  </si>
  <si>
    <t>UNIDAD</t>
  </si>
  <si>
    <t>GAS OIL; PRESENTACION: POR LITRO, USO: MOTORES DIESEL, COMERCIALIZACION: GRADO 2, DESTINO: DPTO. S.F.V. DE CATAMARCA</t>
  </si>
  <si>
    <t>2.5.6-793.46</t>
  </si>
  <si>
    <t>GAS OIL; PRESENTACION: POR LITRO, USO: MOTORES DIESEL, COMERCIALIZACION: GRADO 3, DESTINO: DPTO. S.F.V. DE CATAMARCA</t>
  </si>
  <si>
    <t>2.5.6-793.31</t>
  </si>
  <si>
    <t>2.5.6-793.38</t>
  </si>
  <si>
    <t>GAS OIL; PRESENTACION: POR LITRO, USO: MOTORES DIESEL, COMERCIALIZACION: GRADO 3, DESTINO: DPTO. STA. MARIA</t>
  </si>
  <si>
    <t>GAS OIL; PRESENTACION: POR LITRO, USO: MOTORES DIESEL, COMERCIALIZACION: GRADO 3, DESTINO: DPTO. STA. ROSA</t>
  </si>
  <si>
    <t>2.5.6-793.34</t>
  </si>
  <si>
    <t>2.5.6-793.35</t>
  </si>
  <si>
    <t>GAS OIL; PRESENTACION: POR LITRO, USO: MOTORES DIESEL, COMERCIALIZACION: GRADO 3, DESTINO: DPTO. LA PAZ</t>
  </si>
  <si>
    <t>2.5.6-793.39</t>
  </si>
  <si>
    <t>GAS OIL; PRESENTACION: POR LITRO, USO: MOTORES DIESEL, COMERCIALIZACION: GRADO 3, DESTINO: DPTO. EL ALTO</t>
  </si>
  <si>
    <t>GAS OIL; PRESENTACION: POR LITRO, USO: MOTORES DIESEL, COMERCIALIZACION: GRADO 3, DESTINO: DPTO. PACLIN</t>
  </si>
  <si>
    <t>2.5.6-793.32</t>
  </si>
  <si>
    <t>GAS OIL; PRESENTACION: POR LITRO, USO: MOTORES DIESEL, COMERCIALIZACION: GRADO 3, DESTINO: DPTO. TINOGASTA</t>
  </si>
  <si>
    <t>2.5.6-793.36</t>
  </si>
  <si>
    <t>GAS OIL; PRESENTACION: POR LITRO, USO: MOTORES DIESEL, COMERCIALIZACION: GRADO 3, DESTINO: DPTO. BELEN</t>
  </si>
  <si>
    <t>2.5.6-793.37</t>
  </si>
  <si>
    <t>2.5.6-793.45</t>
  </si>
  <si>
    <t>GAS OIL; PRESENTACION: POR LITRO, USO: MOTORES DIESEL, COMERCIALIZACION: GRADO 3, DESTINO: DPTO. ANDALGALA</t>
  </si>
  <si>
    <t>2.5.6-793.40</t>
  </si>
  <si>
    <t>GAS OIL; PRESENTACION: POR LITRO, USO: MOTORES DIESEL, COMERCIALIZACION: GRADO 3, DESTINO: DPTO. ANT. DE LA SIERRA</t>
  </si>
  <si>
    <t>Especificaciones Técnicas (Todos los ítems)</t>
  </si>
  <si>
    <t>31- SECRETARÍA DE ADMINISTRACIÓN</t>
  </si>
  <si>
    <t>NAFTA SUPER; TIPO: SUPER, OCTANO: 95, PRESENTACION: POR LITRO, DESTINO: DPTO. S.F.V. DE CATAMARCA</t>
  </si>
  <si>
    <t>2.5.6-797.39</t>
  </si>
  <si>
    <t>Plazo de mantenimiento de oferta de cuarenta y cinco (45) días hábiles.</t>
  </si>
  <si>
    <t>4</t>
  </si>
  <si>
    <t>2.5.6-1622.28</t>
  </si>
  <si>
    <t>ACEITES HIDRAULICOS; VISCOSIDAD A 40 °C: 66,6 cst, VISCOSIDAD A 100º C: 8,3 cst, INDICE DE VISCOSIDAD: 92, PUNTO DE INFLAMACION: 196 °C, PUNTO DE ESCURRIMIENTO: -9 °C, HERRUMBRE: PASA, PRESENTACION: TAMBOR X 205 L</t>
  </si>
  <si>
    <t>TOTAL:  NOVENTA Y SIETE MILLONES DOSCIENTOS SESENTA Y DOS MIL NOVECIENTOS SETENTA Y DOS CON 00/100</t>
  </si>
  <si>
    <t>GAS OIL; PRESENTACION: POR LITRO, USO: MOTORES DIESEL, COMERCIALIZACION: GRADO 3, DESTINO: DPTO. AMBATO</t>
  </si>
  <si>
    <t>2.5.6-793.44</t>
  </si>
  <si>
    <t>GAS OIL; PRESENTACION: POR LITRO, USO: MOTORES DIESEL, COMERCIALIZACION: GRADO 3, DESTINO: DPTO. CAPAYAN</t>
  </si>
  <si>
    <r>
      <rPr>
        <b/>
        <u/>
        <sz val="11"/>
        <rFont val="Times New Roman"/>
        <family val="1"/>
      </rPr>
      <t>Forma, lugar y plazo de entrega de vales, bocas de expendio por ubicación geográfica y especificaciones generales:</t>
    </r>
    <r>
      <rPr>
        <sz val="11"/>
        <rFont val="Times New Roman"/>
        <family val="1"/>
      </rPr>
      <t xml:space="preserve"> Según anexo de especificaciones adjuntas en nota  NO-2022-01791536-CAT-MAEMA</t>
    </r>
  </si>
  <si>
    <t>Según anexo de especificaciones técnicas adjuntas en nota  NO-2022-01791536-CAT-MAEMA</t>
  </si>
  <si>
    <t>2.5.6-793.42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</si>
</sst>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 €&quot;_-;\-* #,##0.00&quot; €&quot;_-;_-* \-??&quot; €&quot;_-;_-@_-"/>
    <numFmt numFmtId="165" formatCode="[$$-2C0A]\ #,##0.00"/>
    <numFmt numFmtId="166" formatCode="&quot;$&quot;\ #,##0.00"/>
    <numFmt numFmtId="167" formatCode="_-[$$-2C0A]\ * #,##0.00_-;\-[$$-2C0A]\ * #,##0.00_-;_-[$$-2C0A]\ * &quot;-&quot;??_-;_-@_-"/>
  </numFmts>
  <fonts count="1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2"/>
    </font>
    <font>
      <sz val="10"/>
      <color theme="3"/>
      <name val="Times New Roman"/>
      <family val="1"/>
    </font>
    <font>
      <sz val="9"/>
      <name val="Times New Roman"/>
      <family val="1"/>
    </font>
    <font>
      <u/>
      <sz val="11"/>
      <name val="Times New Roman"/>
      <family val="1"/>
    </font>
    <font>
      <b/>
      <u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FFFF00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4" fillId="0" borderId="0" applyBorder="0" applyProtection="0"/>
    <xf numFmtId="0" fontId="1" fillId="0" borderId="1" applyProtection="0"/>
    <xf numFmtId="0" fontId="2" fillId="2" borderId="0" applyBorder="0" applyProtection="0"/>
  </cellStyleXfs>
  <cellXfs count="67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8" fillId="3" borderId="0" xfId="0" applyFont="1" applyFill="1" applyAlignment="1">
      <alignment horizontal="left" wrapText="1"/>
    </xf>
    <xf numFmtId="0" fontId="5" fillId="3" borderId="0" xfId="0" applyFont="1" applyFill="1"/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0" fillId="5" borderId="0" xfId="0" applyFont="1" applyFill="1" applyAlignment="1">
      <alignment horizontal="left" wrapText="1" indent="1"/>
    </xf>
    <xf numFmtId="0" fontId="9" fillId="3" borderId="0" xfId="0" applyFont="1" applyFill="1" applyAlignment="1">
      <alignment horizontal="left" wrapText="1"/>
    </xf>
    <xf numFmtId="167" fontId="12" fillId="4" borderId="2" xfId="1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3" fontId="5" fillId="0" borderId="0" xfId="0" applyNumberFormat="1" applyFont="1"/>
    <xf numFmtId="165" fontId="3" fillId="0" borderId="0" xfId="0" applyNumberFormat="1" applyFont="1" applyBorder="1" applyAlignment="1">
      <alignment horizontal="center" vertical="center"/>
    </xf>
    <xf numFmtId="49" fontId="10" fillId="5" borderId="0" xfId="0" applyNumberFormat="1" applyFont="1" applyFill="1" applyAlignment="1">
      <alignment horizontal="left" indent="1"/>
    </xf>
    <xf numFmtId="0" fontId="15" fillId="0" borderId="0" xfId="0" applyFont="1" applyAlignment="1">
      <alignment vertical="center" wrapText="1"/>
    </xf>
    <xf numFmtId="3" fontId="16" fillId="3" borderId="15" xfId="0" applyNumberFormat="1" applyFont="1" applyFill="1" applyBorder="1" applyAlignment="1">
      <alignment horizontal="center" vertical="center" shrinkToFit="1"/>
    </xf>
    <xf numFmtId="3" fontId="16" fillId="3" borderId="0" xfId="0" applyNumberFormat="1" applyFont="1" applyFill="1" applyBorder="1" applyAlignment="1">
      <alignment horizontal="center" vertical="center" shrinkToFit="1"/>
    </xf>
    <xf numFmtId="3" fontId="13" fillId="3" borderId="15" xfId="0" applyNumberFormat="1" applyFont="1" applyFill="1" applyBorder="1" applyAlignment="1">
      <alignment horizontal="center" vertical="center" shrinkToFit="1"/>
    </xf>
    <xf numFmtId="0" fontId="11" fillId="0" borderId="5" xfId="0" applyFont="1" applyBorder="1" applyAlignment="1">
      <alignment horizontal="left" indent="3"/>
    </xf>
    <xf numFmtId="0" fontId="11" fillId="0" borderId="6" xfId="0" applyFont="1" applyBorder="1"/>
    <xf numFmtId="0" fontId="11" fillId="0" borderId="7" xfId="0" applyFont="1" applyBorder="1"/>
    <xf numFmtId="0" fontId="11" fillId="0" borderId="0" xfId="0" applyFont="1"/>
    <xf numFmtId="0" fontId="11" fillId="0" borderId="0" xfId="0" applyFont="1" applyAlignment="1">
      <alignment vertical="center"/>
    </xf>
    <xf numFmtId="0" fontId="11" fillId="3" borderId="11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vertical="center" wrapText="1"/>
    </xf>
    <xf numFmtId="166" fontId="11" fillId="3" borderId="11" xfId="0" applyNumberFormat="1" applyFont="1" applyFill="1" applyBorder="1" applyAlignment="1">
      <alignment horizontal="center" vertical="center" wrapText="1"/>
    </xf>
    <xf numFmtId="167" fontId="11" fillId="3" borderId="11" xfId="1" applyNumberFormat="1" applyFont="1" applyFill="1" applyBorder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left" vertical="center" wrapText="1"/>
    </xf>
    <xf numFmtId="0" fontId="14" fillId="3" borderId="17" xfId="0" applyFont="1" applyFill="1" applyBorder="1" applyAlignment="1">
      <alignment horizontal="left" vertical="center" wrapText="1"/>
    </xf>
    <xf numFmtId="0" fontId="16" fillId="3" borderId="18" xfId="0" applyFont="1" applyFill="1" applyBorder="1" applyAlignment="1">
      <alignment horizontal="center" vertical="center"/>
    </xf>
    <xf numFmtId="0" fontId="16" fillId="3" borderId="17" xfId="0" applyFont="1" applyFill="1" applyBorder="1" applyAlignment="1">
      <alignment horizontal="left" vertical="center" wrapText="1"/>
    </xf>
    <xf numFmtId="0" fontId="16" fillId="3" borderId="19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left" vertical="center" wrapText="1"/>
    </xf>
    <xf numFmtId="0" fontId="17" fillId="0" borderId="3" xfId="0" applyFont="1" applyBorder="1" applyAlignment="1"/>
    <xf numFmtId="0" fontId="11" fillId="0" borderId="0" xfId="0" applyFont="1" applyBorder="1" applyAlignment="1"/>
    <xf numFmtId="0" fontId="11" fillId="0" borderId="4" xfId="0" applyFont="1" applyBorder="1" applyAlignment="1"/>
    <xf numFmtId="0" fontId="11" fillId="0" borderId="3" xfId="0" applyFont="1" applyBorder="1" applyAlignment="1">
      <alignment vertical="center"/>
    </xf>
    <xf numFmtId="0" fontId="11" fillId="0" borderId="3" xfId="0" applyFont="1" applyBorder="1" applyAlignment="1"/>
    <xf numFmtId="0" fontId="11" fillId="3" borderId="0" xfId="0" applyFont="1" applyFill="1" applyBorder="1" applyAlignment="1"/>
    <xf numFmtId="0" fontId="11" fillId="3" borderId="4" xfId="0" applyFont="1" applyFill="1" applyBorder="1" applyAlignment="1"/>
    <xf numFmtId="0" fontId="11" fillId="3" borderId="0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11" fillId="5" borderId="0" xfId="0" applyFont="1" applyFill="1" applyBorder="1" applyAlignment="1">
      <alignment wrapText="1"/>
    </xf>
    <xf numFmtId="0" fontId="11" fillId="5" borderId="4" xfId="0" applyFont="1" applyFill="1" applyBorder="1" applyAlignment="1">
      <alignment wrapText="1"/>
    </xf>
    <xf numFmtId="0" fontId="11" fillId="5" borderId="0" xfId="0" applyFont="1" applyFill="1" applyBorder="1" applyAlignment="1"/>
    <xf numFmtId="0" fontId="11" fillId="5" borderId="4" xfId="0" applyFont="1" applyFill="1" applyBorder="1" applyAlignment="1"/>
    <xf numFmtId="0" fontId="11" fillId="5" borderId="0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7" fillId="0" borderId="0" xfId="0" applyFont="1" applyBorder="1" applyAlignment="1">
      <alignment horizontal="left" vertical="center" wrapText="1"/>
    </xf>
    <xf numFmtId="0" fontId="11" fillId="5" borderId="0" xfId="0" applyFont="1" applyFill="1" applyBorder="1" applyAlignment="1">
      <alignment vertical="center"/>
    </xf>
    <xf numFmtId="0" fontId="11" fillId="5" borderId="4" xfId="0" applyFont="1" applyFill="1" applyBorder="1" applyAlignment="1">
      <alignment vertical="center"/>
    </xf>
    <xf numFmtId="0" fontId="6" fillId="0" borderId="0" xfId="0" applyFont="1" applyBorder="1" applyAlignment="1">
      <alignment horizontal="center"/>
    </xf>
    <xf numFmtId="0" fontId="10" fillId="5" borderId="0" xfId="0" applyFont="1" applyFill="1" applyBorder="1" applyAlignment="1">
      <alignment horizontal="left" wrapText="1" indent="1"/>
    </xf>
    <xf numFmtId="0" fontId="12" fillId="0" borderId="8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1" fillId="5" borderId="0" xfId="0" applyFont="1" applyFill="1" applyBorder="1" applyAlignment="1">
      <alignment vertical="top" wrapText="1"/>
    </xf>
    <xf numFmtId="0" fontId="11" fillId="5" borderId="4" xfId="0" applyFont="1" applyFill="1" applyBorder="1" applyAlignment="1">
      <alignment vertical="top" wrapText="1"/>
    </xf>
    <xf numFmtId="0" fontId="12" fillId="4" borderId="20" xfId="0" applyFont="1" applyFill="1" applyBorder="1" applyAlignment="1">
      <alignment horizontal="right" vertical="center" wrapText="1"/>
    </xf>
    <xf numFmtId="0" fontId="12" fillId="4" borderId="21" xfId="0" applyFont="1" applyFill="1" applyBorder="1" applyAlignment="1">
      <alignment horizontal="right" vertical="center" wrapText="1"/>
    </xf>
    <xf numFmtId="0" fontId="12" fillId="4" borderId="22" xfId="0" applyFont="1" applyFill="1" applyBorder="1" applyAlignment="1">
      <alignment horizontal="right" vertical="center" wrapTex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46"/>
  <sheetViews>
    <sheetView tabSelected="1" topLeftCell="A13" zoomScaleNormal="100" workbookViewId="0">
      <selection activeCell="E24" sqref="E24"/>
    </sheetView>
  </sheetViews>
  <sheetFormatPr baseColWidth="10" defaultColWidth="11" defaultRowHeight="12.75" x14ac:dyDescent="0.2"/>
  <cols>
    <col min="1" max="1" width="4.5703125" style="1" customWidth="1"/>
    <col min="2" max="2" width="12.5703125" style="1" customWidth="1"/>
    <col min="3" max="3" width="43.28515625" style="1" customWidth="1"/>
    <col min="4" max="4" width="16.42578125" style="1" customWidth="1"/>
    <col min="5" max="5" width="79" style="1" customWidth="1"/>
    <col min="6" max="6" width="11.7109375" style="1" customWidth="1"/>
    <col min="7" max="7" width="12.7109375" style="1" customWidth="1"/>
    <col min="8" max="8" width="13.85546875" style="1" customWidth="1"/>
    <col min="9" max="9" width="19.140625" style="1" customWidth="1"/>
    <col min="10" max="10" width="11" style="1"/>
    <col min="11" max="11" width="20.28515625" style="1" customWidth="1"/>
    <col min="12" max="12" width="13" style="1" bestFit="1" customWidth="1"/>
    <col min="13" max="14" width="11" style="1"/>
    <col min="15" max="15" width="67" style="1" customWidth="1"/>
    <col min="16" max="16384" width="11" style="1"/>
  </cols>
  <sheetData>
    <row r="2" spans="1:15" ht="27" x14ac:dyDescent="0.35">
      <c r="B2" s="57" t="s">
        <v>0</v>
      </c>
      <c r="C2" s="57"/>
      <c r="D2" s="57"/>
      <c r="E2" s="57"/>
      <c r="F2" s="57"/>
      <c r="G2" s="57"/>
      <c r="H2" s="57"/>
    </row>
    <row r="4" spans="1:15" ht="23.25" customHeight="1" x14ac:dyDescent="0.25">
      <c r="A4" s="54" t="s">
        <v>1</v>
      </c>
      <c r="B4" s="54"/>
      <c r="C4" s="58" t="s">
        <v>19</v>
      </c>
      <c r="D4" s="58"/>
      <c r="E4" s="58"/>
      <c r="F4" s="2"/>
      <c r="G4" s="3"/>
      <c r="H4" s="4"/>
      <c r="I4" s="5"/>
    </row>
    <row r="5" spans="1:15" ht="18" customHeight="1" x14ac:dyDescent="0.25">
      <c r="A5" s="54" t="s">
        <v>2</v>
      </c>
      <c r="B5" s="54"/>
      <c r="C5" s="58" t="s">
        <v>51</v>
      </c>
      <c r="D5" s="58"/>
      <c r="E5" s="58"/>
      <c r="F5" s="2"/>
      <c r="G5" s="3"/>
      <c r="H5" s="4"/>
      <c r="I5" s="5"/>
    </row>
    <row r="6" spans="1:15" ht="16.5" customHeight="1" x14ac:dyDescent="0.25">
      <c r="A6" s="54" t="s">
        <v>3</v>
      </c>
      <c r="B6" s="54"/>
      <c r="C6" s="10">
        <v>2022</v>
      </c>
      <c r="D6" s="11"/>
      <c r="E6" s="11"/>
      <c r="F6" s="2"/>
      <c r="G6" s="3"/>
      <c r="H6" s="4"/>
      <c r="I6" s="5"/>
    </row>
    <row r="7" spans="1:15" ht="16.5" customHeight="1" x14ac:dyDescent="0.25">
      <c r="A7" s="54" t="s">
        <v>4</v>
      </c>
      <c r="B7" s="54"/>
      <c r="C7" s="16" t="s">
        <v>55</v>
      </c>
      <c r="D7" s="11"/>
      <c r="E7" s="11"/>
      <c r="F7" s="2"/>
      <c r="G7" s="3"/>
      <c r="H7" s="4"/>
      <c r="I7" s="5"/>
    </row>
    <row r="8" spans="1:15" ht="13.5" thickBot="1" x14ac:dyDescent="0.25">
      <c r="B8" s="2"/>
      <c r="C8" s="3"/>
      <c r="D8" s="2"/>
      <c r="E8" s="2"/>
      <c r="F8" s="2"/>
      <c r="G8" s="3"/>
      <c r="H8" s="2"/>
    </row>
    <row r="9" spans="1:15" ht="47.45" customHeight="1" thickBot="1" x14ac:dyDescent="0.25">
      <c r="A9" s="6" t="s">
        <v>5</v>
      </c>
      <c r="B9" s="7" t="s">
        <v>6</v>
      </c>
      <c r="C9" s="7" t="s">
        <v>7</v>
      </c>
      <c r="D9" s="7" t="s">
        <v>8</v>
      </c>
      <c r="E9" s="7" t="s">
        <v>9</v>
      </c>
      <c r="F9" s="7" t="s">
        <v>10</v>
      </c>
      <c r="G9" s="7" t="s">
        <v>11</v>
      </c>
      <c r="H9" s="7" t="s">
        <v>12</v>
      </c>
      <c r="I9" s="8" t="s">
        <v>13</v>
      </c>
    </row>
    <row r="10" spans="1:15" s="32" customFormat="1" ht="33.75" customHeight="1" x14ac:dyDescent="0.2">
      <c r="A10" s="26">
        <v>1</v>
      </c>
      <c r="B10" s="27" t="s">
        <v>31</v>
      </c>
      <c r="C10" s="28" t="s">
        <v>20</v>
      </c>
      <c r="D10" s="26" t="s">
        <v>21</v>
      </c>
      <c r="E10" s="29" t="s">
        <v>30</v>
      </c>
      <c r="F10" s="26" t="s">
        <v>22</v>
      </c>
      <c r="G10" s="20">
        <f>191800+4000+44400+40703+36600</f>
        <v>317503</v>
      </c>
      <c r="H10" s="30">
        <v>204</v>
      </c>
      <c r="I10" s="31">
        <f>H10*G10</f>
        <v>64770612</v>
      </c>
    </row>
    <row r="11" spans="1:15" s="32" customFormat="1" ht="33.75" customHeight="1" x14ac:dyDescent="0.2">
      <c r="A11" s="26">
        <v>2</v>
      </c>
      <c r="B11" s="27" t="s">
        <v>64</v>
      </c>
      <c r="C11" s="28" t="s">
        <v>20</v>
      </c>
      <c r="D11" s="26" t="s">
        <v>21</v>
      </c>
      <c r="E11" s="29" t="s">
        <v>59</v>
      </c>
      <c r="F11" s="26" t="s">
        <v>22</v>
      </c>
      <c r="G11" s="20">
        <v>5000</v>
      </c>
      <c r="H11" s="30">
        <v>204</v>
      </c>
      <c r="I11" s="31">
        <f t="shared" ref="I11:I26" si="0">H11*G11</f>
        <v>1020000</v>
      </c>
    </row>
    <row r="12" spans="1:15" s="32" customFormat="1" ht="33.75" customHeight="1" x14ac:dyDescent="0.2">
      <c r="A12" s="26">
        <v>3</v>
      </c>
      <c r="B12" s="27" t="s">
        <v>60</v>
      </c>
      <c r="C12" s="28" t="s">
        <v>20</v>
      </c>
      <c r="D12" s="26" t="s">
        <v>21</v>
      </c>
      <c r="E12" s="29" t="s">
        <v>61</v>
      </c>
      <c r="F12" s="26" t="s">
        <v>22</v>
      </c>
      <c r="G12" s="20">
        <v>5000</v>
      </c>
      <c r="H12" s="30">
        <v>204</v>
      </c>
      <c r="I12" s="31">
        <f t="shared" si="0"/>
        <v>1020000</v>
      </c>
    </row>
    <row r="13" spans="1:15" s="32" customFormat="1" ht="28.5" customHeight="1" x14ac:dyDescent="0.2">
      <c r="A13" s="26">
        <v>4</v>
      </c>
      <c r="B13" s="27" t="s">
        <v>32</v>
      </c>
      <c r="C13" s="28" t="s">
        <v>20</v>
      </c>
      <c r="D13" s="26" t="s">
        <v>21</v>
      </c>
      <c r="E13" s="29" t="s">
        <v>33</v>
      </c>
      <c r="F13" s="26" t="s">
        <v>22</v>
      </c>
      <c r="G13" s="20">
        <v>21000</v>
      </c>
      <c r="H13" s="30">
        <v>204</v>
      </c>
      <c r="I13" s="31">
        <f t="shared" si="0"/>
        <v>4284000</v>
      </c>
      <c r="O13" s="33"/>
    </row>
    <row r="14" spans="1:15" s="32" customFormat="1" ht="33.75" customHeight="1" x14ac:dyDescent="0.2">
      <c r="A14" s="26">
        <v>5</v>
      </c>
      <c r="B14" s="27" t="s">
        <v>35</v>
      </c>
      <c r="C14" s="28" t="s">
        <v>20</v>
      </c>
      <c r="D14" s="26" t="s">
        <v>21</v>
      </c>
      <c r="E14" s="34" t="s">
        <v>34</v>
      </c>
      <c r="F14" s="26" t="s">
        <v>22</v>
      </c>
      <c r="G14" s="20">
        <v>4000</v>
      </c>
      <c r="H14" s="30">
        <v>204</v>
      </c>
      <c r="I14" s="31">
        <f t="shared" si="0"/>
        <v>816000</v>
      </c>
    </row>
    <row r="15" spans="1:15" s="32" customFormat="1" ht="33.75" customHeight="1" x14ac:dyDescent="0.2">
      <c r="A15" s="26">
        <v>6</v>
      </c>
      <c r="B15" s="27" t="s">
        <v>36</v>
      </c>
      <c r="C15" s="28" t="s">
        <v>20</v>
      </c>
      <c r="D15" s="26" t="s">
        <v>21</v>
      </c>
      <c r="E15" s="34" t="s">
        <v>37</v>
      </c>
      <c r="F15" s="26" t="s">
        <v>22</v>
      </c>
      <c r="G15" s="20">
        <v>3000</v>
      </c>
      <c r="H15" s="30">
        <v>204</v>
      </c>
      <c r="I15" s="31">
        <f t="shared" si="0"/>
        <v>612000</v>
      </c>
    </row>
    <row r="16" spans="1:15" s="32" customFormat="1" ht="33.75" customHeight="1" x14ac:dyDescent="0.2">
      <c r="A16" s="26">
        <v>7</v>
      </c>
      <c r="B16" s="27" t="s">
        <v>38</v>
      </c>
      <c r="C16" s="28" t="s">
        <v>20</v>
      </c>
      <c r="D16" s="26" t="s">
        <v>21</v>
      </c>
      <c r="E16" s="34" t="s">
        <v>39</v>
      </c>
      <c r="F16" s="26" t="s">
        <v>22</v>
      </c>
      <c r="G16" s="20">
        <v>3000</v>
      </c>
      <c r="H16" s="30">
        <v>204</v>
      </c>
      <c r="I16" s="31">
        <f t="shared" si="0"/>
        <v>612000</v>
      </c>
    </row>
    <row r="17" spans="1:13" s="32" customFormat="1" ht="33.75" customHeight="1" x14ac:dyDescent="0.2">
      <c r="A17" s="26">
        <v>8</v>
      </c>
      <c r="B17" s="27" t="s">
        <v>41</v>
      </c>
      <c r="C17" s="28" t="s">
        <v>20</v>
      </c>
      <c r="D17" s="26" t="s">
        <v>21</v>
      </c>
      <c r="E17" s="34" t="s">
        <v>40</v>
      </c>
      <c r="F17" s="26" t="s">
        <v>22</v>
      </c>
      <c r="G17" s="20">
        <v>3000</v>
      </c>
      <c r="H17" s="30">
        <v>204</v>
      </c>
      <c r="I17" s="31">
        <f t="shared" si="0"/>
        <v>612000</v>
      </c>
    </row>
    <row r="18" spans="1:13" s="32" customFormat="1" ht="33.75" customHeight="1" x14ac:dyDescent="0.2">
      <c r="A18" s="26">
        <v>9</v>
      </c>
      <c r="B18" s="27" t="s">
        <v>43</v>
      </c>
      <c r="C18" s="28" t="s">
        <v>20</v>
      </c>
      <c r="D18" s="26" t="s">
        <v>21</v>
      </c>
      <c r="E18" s="34" t="s">
        <v>42</v>
      </c>
      <c r="F18" s="26" t="s">
        <v>22</v>
      </c>
      <c r="G18" s="20">
        <v>10000</v>
      </c>
      <c r="H18" s="30">
        <v>204</v>
      </c>
      <c r="I18" s="31">
        <f t="shared" si="0"/>
        <v>2040000</v>
      </c>
    </row>
    <row r="19" spans="1:13" s="32" customFormat="1" ht="33.75" customHeight="1" x14ac:dyDescent="0.2">
      <c r="A19" s="26">
        <v>10</v>
      </c>
      <c r="B19" s="27" t="s">
        <v>45</v>
      </c>
      <c r="C19" s="28" t="s">
        <v>20</v>
      </c>
      <c r="D19" s="26" t="s">
        <v>21</v>
      </c>
      <c r="E19" s="34" t="s">
        <v>44</v>
      </c>
      <c r="F19" s="26" t="s">
        <v>22</v>
      </c>
      <c r="G19" s="20">
        <v>4000</v>
      </c>
      <c r="H19" s="30">
        <v>204</v>
      </c>
      <c r="I19" s="31">
        <f t="shared" si="0"/>
        <v>816000</v>
      </c>
    </row>
    <row r="20" spans="1:13" s="32" customFormat="1" ht="33.75" customHeight="1" x14ac:dyDescent="0.2">
      <c r="A20" s="26">
        <v>11</v>
      </c>
      <c r="B20" s="27" t="s">
        <v>46</v>
      </c>
      <c r="C20" s="28" t="s">
        <v>20</v>
      </c>
      <c r="D20" s="26" t="s">
        <v>21</v>
      </c>
      <c r="E20" s="34" t="s">
        <v>47</v>
      </c>
      <c r="F20" s="26" t="s">
        <v>22</v>
      </c>
      <c r="G20" s="20">
        <v>4000</v>
      </c>
      <c r="H20" s="30">
        <v>204</v>
      </c>
      <c r="I20" s="31">
        <f t="shared" si="0"/>
        <v>816000</v>
      </c>
    </row>
    <row r="21" spans="1:13" s="32" customFormat="1" ht="33.75" customHeight="1" x14ac:dyDescent="0.2">
      <c r="A21" s="26">
        <v>12</v>
      </c>
      <c r="B21" s="27" t="s">
        <v>48</v>
      </c>
      <c r="C21" s="28" t="s">
        <v>20</v>
      </c>
      <c r="D21" s="26" t="s">
        <v>21</v>
      </c>
      <c r="E21" s="34" t="s">
        <v>49</v>
      </c>
      <c r="F21" s="26" t="s">
        <v>22</v>
      </c>
      <c r="G21" s="20">
        <v>4000</v>
      </c>
      <c r="H21" s="30">
        <v>204</v>
      </c>
      <c r="I21" s="31">
        <f t="shared" si="0"/>
        <v>816000</v>
      </c>
    </row>
    <row r="22" spans="1:13" s="32" customFormat="1" ht="33.75" customHeight="1" x14ac:dyDescent="0.2">
      <c r="A22" s="26">
        <v>13</v>
      </c>
      <c r="B22" s="35" t="s">
        <v>29</v>
      </c>
      <c r="C22" s="28" t="s">
        <v>20</v>
      </c>
      <c r="D22" s="26" t="s">
        <v>21</v>
      </c>
      <c r="E22" s="36" t="s">
        <v>28</v>
      </c>
      <c r="F22" s="26" t="s">
        <v>22</v>
      </c>
      <c r="G22" s="18">
        <v>57300</v>
      </c>
      <c r="H22" s="30">
        <v>153.19999999999999</v>
      </c>
      <c r="I22" s="31">
        <f t="shared" si="0"/>
        <v>8778360</v>
      </c>
    </row>
    <row r="23" spans="1:13" s="32" customFormat="1" ht="33.75" customHeight="1" x14ac:dyDescent="0.2">
      <c r="A23" s="26">
        <v>14</v>
      </c>
      <c r="B23" s="35" t="s">
        <v>53</v>
      </c>
      <c r="C23" s="28" t="s">
        <v>20</v>
      </c>
      <c r="D23" s="26" t="s">
        <v>21</v>
      </c>
      <c r="E23" s="36" t="s">
        <v>52</v>
      </c>
      <c r="F23" s="26" t="s">
        <v>22</v>
      </c>
      <c r="G23" s="18">
        <v>40000</v>
      </c>
      <c r="H23" s="30">
        <v>141</v>
      </c>
      <c r="I23" s="31">
        <f t="shared" si="0"/>
        <v>5640000</v>
      </c>
    </row>
    <row r="24" spans="1:13" s="32" customFormat="1" ht="45" customHeight="1" x14ac:dyDescent="0.2">
      <c r="A24" s="26">
        <v>15</v>
      </c>
      <c r="B24" s="35" t="s">
        <v>56</v>
      </c>
      <c r="C24" s="28" t="s">
        <v>20</v>
      </c>
      <c r="D24" s="26" t="s">
        <v>21</v>
      </c>
      <c r="E24" s="36" t="s">
        <v>57</v>
      </c>
      <c r="F24" s="26" t="s">
        <v>27</v>
      </c>
      <c r="G24" s="18">
        <v>10</v>
      </c>
      <c r="H24" s="30">
        <v>125000</v>
      </c>
      <c r="I24" s="31">
        <f t="shared" si="0"/>
        <v>1250000</v>
      </c>
    </row>
    <row r="25" spans="1:13" s="32" customFormat="1" ht="45" customHeight="1" x14ac:dyDescent="0.2">
      <c r="A25" s="26">
        <v>16</v>
      </c>
      <c r="B25" s="35" t="s">
        <v>23</v>
      </c>
      <c r="C25" s="28" t="s">
        <v>20</v>
      </c>
      <c r="D25" s="26" t="s">
        <v>21</v>
      </c>
      <c r="E25" s="36" t="s">
        <v>25</v>
      </c>
      <c r="F25" s="26" t="s">
        <v>27</v>
      </c>
      <c r="G25" s="18">
        <v>12</v>
      </c>
      <c r="H25" s="30">
        <v>145000</v>
      </c>
      <c r="I25" s="31">
        <f t="shared" si="0"/>
        <v>1740000</v>
      </c>
    </row>
    <row r="26" spans="1:13" s="32" customFormat="1" ht="41.25" customHeight="1" x14ac:dyDescent="0.2">
      <c r="A26" s="26">
        <v>17</v>
      </c>
      <c r="B26" s="37" t="s">
        <v>24</v>
      </c>
      <c r="C26" s="28" t="s">
        <v>20</v>
      </c>
      <c r="D26" s="26" t="s">
        <v>21</v>
      </c>
      <c r="E26" s="38" t="s">
        <v>26</v>
      </c>
      <c r="F26" s="26" t="s">
        <v>27</v>
      </c>
      <c r="G26" s="19">
        <v>12</v>
      </c>
      <c r="H26" s="30">
        <v>135000</v>
      </c>
      <c r="I26" s="31">
        <f t="shared" si="0"/>
        <v>1620000</v>
      </c>
    </row>
    <row r="27" spans="1:13" s="17" customFormat="1" ht="48" customHeight="1" x14ac:dyDescent="0.2">
      <c r="A27" s="64" t="s">
        <v>58</v>
      </c>
      <c r="B27" s="65"/>
      <c r="C27" s="65"/>
      <c r="D27" s="65"/>
      <c r="E27" s="65"/>
      <c r="F27" s="65"/>
      <c r="G27" s="65"/>
      <c r="H27" s="66"/>
      <c r="I27" s="12">
        <f>SUM(I10:I26)</f>
        <v>97262972</v>
      </c>
      <c r="K27" s="9"/>
      <c r="L27" s="9"/>
      <c r="M27" s="9"/>
    </row>
    <row r="28" spans="1:13" ht="27" customHeight="1" thickBot="1" x14ac:dyDescent="0.3">
      <c r="A28" s="24"/>
      <c r="B28" s="24"/>
      <c r="C28" s="24"/>
      <c r="D28" s="24"/>
      <c r="E28" s="24"/>
      <c r="J28" s="15"/>
      <c r="K28" s="15"/>
    </row>
    <row r="29" spans="1:13" ht="15.75" thickBot="1" x14ac:dyDescent="0.3">
      <c r="A29" s="24"/>
      <c r="B29" s="59" t="s">
        <v>50</v>
      </c>
      <c r="C29" s="60"/>
      <c r="D29" s="60"/>
      <c r="E29" s="61"/>
      <c r="G29" s="14"/>
      <c r="H29" s="14"/>
    </row>
    <row r="30" spans="1:13" ht="15.75" customHeight="1" x14ac:dyDescent="0.25">
      <c r="A30" s="24"/>
      <c r="B30" s="39" t="s">
        <v>14</v>
      </c>
      <c r="C30" s="40"/>
      <c r="D30" s="40"/>
      <c r="E30" s="41"/>
      <c r="G30" s="14"/>
    </row>
    <row r="31" spans="1:13" ht="18" customHeight="1" x14ac:dyDescent="0.25">
      <c r="A31" s="24"/>
      <c r="B31" s="39"/>
      <c r="C31" s="62" t="s">
        <v>63</v>
      </c>
      <c r="D31" s="62"/>
      <c r="E31" s="63"/>
    </row>
    <row r="32" spans="1:13" ht="12" customHeight="1" x14ac:dyDescent="0.25">
      <c r="A32" s="24"/>
      <c r="B32" s="39" t="s">
        <v>15</v>
      </c>
      <c r="C32" s="40"/>
      <c r="D32" s="40"/>
      <c r="E32" s="41"/>
    </row>
    <row r="33" spans="1:12" ht="50.45" customHeight="1" x14ac:dyDescent="0.2">
      <c r="A33" s="25"/>
      <c r="B33" s="42"/>
      <c r="C33" s="52" t="s">
        <v>62</v>
      </c>
      <c r="D33" s="52"/>
      <c r="E33" s="53"/>
      <c r="F33" s="13"/>
      <c r="G33" s="13"/>
      <c r="H33" s="13"/>
      <c r="I33" s="13"/>
    </row>
    <row r="34" spans="1:12" s="13" customFormat="1" ht="10.15" customHeight="1" x14ac:dyDescent="0.2">
      <c r="A34" s="25"/>
      <c r="B34" s="42"/>
      <c r="C34" s="52"/>
      <c r="D34" s="55"/>
      <c r="E34" s="56"/>
    </row>
    <row r="35" spans="1:12" s="13" customFormat="1" ht="15" x14ac:dyDescent="0.25">
      <c r="A35" s="24"/>
      <c r="B35" s="43"/>
      <c r="C35" s="50"/>
      <c r="D35" s="50"/>
      <c r="E35" s="51"/>
      <c r="F35" s="1"/>
      <c r="G35" s="1"/>
    </row>
    <row r="36" spans="1:12" ht="11.25" customHeight="1" x14ac:dyDescent="0.25">
      <c r="A36" s="24"/>
      <c r="B36" s="39" t="s">
        <v>16</v>
      </c>
      <c r="C36" s="44"/>
      <c r="D36" s="44"/>
      <c r="E36" s="45"/>
      <c r="H36" s="13"/>
      <c r="I36" s="13"/>
      <c r="J36" s="13"/>
      <c r="K36" s="13"/>
      <c r="L36" s="13"/>
    </row>
    <row r="37" spans="1:12" ht="15" customHeight="1" x14ac:dyDescent="0.25">
      <c r="A37" s="24"/>
      <c r="B37" s="43"/>
      <c r="C37" s="48" t="s">
        <v>63</v>
      </c>
      <c r="D37" s="48"/>
      <c r="E37" s="49"/>
      <c r="H37" s="13"/>
      <c r="I37" s="13"/>
      <c r="J37" s="13"/>
      <c r="K37" s="13"/>
      <c r="L37" s="13"/>
    </row>
    <row r="38" spans="1:12" ht="21.6" customHeight="1" x14ac:dyDescent="0.25">
      <c r="A38" s="24"/>
      <c r="B38" s="39" t="s">
        <v>17</v>
      </c>
      <c r="C38" s="46"/>
      <c r="D38" s="46"/>
      <c r="E38" s="47"/>
      <c r="H38" s="13"/>
      <c r="I38" s="13"/>
      <c r="J38" s="13"/>
      <c r="K38" s="13"/>
    </row>
    <row r="39" spans="1:12" ht="15.75" customHeight="1" x14ac:dyDescent="0.25">
      <c r="A39" s="24"/>
      <c r="B39" s="43"/>
      <c r="C39" s="48" t="s">
        <v>54</v>
      </c>
      <c r="D39" s="48"/>
      <c r="E39" s="49"/>
      <c r="J39" s="13"/>
      <c r="K39" s="13"/>
    </row>
    <row r="40" spans="1:12" ht="19.899999999999999" customHeight="1" x14ac:dyDescent="0.25">
      <c r="A40" s="24"/>
      <c r="B40" s="39" t="s">
        <v>18</v>
      </c>
      <c r="C40" s="44"/>
      <c r="D40" s="44"/>
      <c r="E40" s="45"/>
    </row>
    <row r="41" spans="1:12" ht="14.25" customHeight="1" x14ac:dyDescent="0.25">
      <c r="A41" s="24"/>
      <c r="B41" s="39"/>
      <c r="C41" s="50"/>
      <c r="D41" s="50"/>
      <c r="E41" s="51"/>
    </row>
    <row r="42" spans="1:12" ht="15.75" thickBot="1" x14ac:dyDescent="0.3">
      <c r="A42" s="24"/>
      <c r="B42" s="21"/>
      <c r="C42" s="22"/>
      <c r="D42" s="22"/>
      <c r="E42" s="23"/>
    </row>
    <row r="43" spans="1:12" ht="14.25" customHeight="1" x14ac:dyDescent="0.25">
      <c r="A43" s="24"/>
      <c r="B43" s="24"/>
      <c r="C43" s="24"/>
      <c r="D43" s="24"/>
      <c r="E43" s="24"/>
    </row>
    <row r="44" spans="1:12" ht="15" x14ac:dyDescent="0.25">
      <c r="A44" s="24"/>
      <c r="B44" s="24"/>
      <c r="C44" s="24"/>
      <c r="D44" s="24"/>
      <c r="E44" s="24"/>
    </row>
    <row r="45" spans="1:12" ht="15" x14ac:dyDescent="0.25">
      <c r="A45" s="24"/>
      <c r="B45" s="24"/>
      <c r="C45" s="24"/>
      <c r="D45" s="24"/>
      <c r="E45" s="24"/>
    </row>
    <row r="46" spans="1:12" ht="15" x14ac:dyDescent="0.25">
      <c r="A46" s="24"/>
      <c r="B46" s="24"/>
      <c r="C46" s="24"/>
      <c r="D46" s="24"/>
      <c r="E46" s="24"/>
    </row>
  </sheetData>
  <mergeCells count="16">
    <mergeCell ref="A6:B6"/>
    <mergeCell ref="A7:B7"/>
    <mergeCell ref="C34:E34"/>
    <mergeCell ref="B2:H2"/>
    <mergeCell ref="A4:B4"/>
    <mergeCell ref="C4:E4"/>
    <mergeCell ref="A5:B5"/>
    <mergeCell ref="C5:E5"/>
    <mergeCell ref="B29:E29"/>
    <mergeCell ref="C31:E31"/>
    <mergeCell ref="A27:H27"/>
    <mergeCell ref="C37:E37"/>
    <mergeCell ref="C39:E39"/>
    <mergeCell ref="C41:E41"/>
    <mergeCell ref="C35:E35"/>
    <mergeCell ref="C33:E33"/>
  </mergeCells>
  <pageMargins left="0.23622047244094491" right="0.23622047244094491" top="0.74803149606299213" bottom="0.74803149606299213" header="0.31496062992125984" footer="0.31496062992125984"/>
  <pageSetup paperSize="9" scale="67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RODOLFO SARTOR</cp:lastModifiedBy>
  <cp:revision>2</cp:revision>
  <cp:lastPrinted>2021-04-27T13:10:02Z</cp:lastPrinted>
  <dcterms:created xsi:type="dcterms:W3CDTF">2020-07-17T23:44:49Z</dcterms:created>
  <dcterms:modified xsi:type="dcterms:W3CDTF">2022-09-23T13:59:13Z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