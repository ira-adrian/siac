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730" windowHeight="11760" activeTab="1"/>
  </bookViews>
  <sheets>
    <sheet name="ELEM. LIMPIEZA" sheetId="1" r:id="rId1"/>
    <sheet name="Autor Gastar" sheetId="2" r:id="rId2"/>
  </sheets>
  <externalReferences>
    <externalReference r:id="rId3"/>
    <externalReference r:id="rId4"/>
  </externalReferences>
  <definedNames>
    <definedName name="_xlnm._FilterDatabase" localSheetId="0" hidden="1">'ELEM. LIMPIEZA'!$A$9:$I$44</definedName>
    <definedName name="_xlcn.WorksheetConnection_RelevamientodeHardMinisteriodeTrabajoyRRHH20base.xlsxTabla11" localSheetId="1" hidden="1">[1]!Tabla1[#Data]</definedName>
    <definedName name="_xlcn.WorksheetConnection_RelevamientodeHardMinisteriodeTrabajoyRRHH20base.xlsxTabla11" localSheetId="0" hidden="1">[1]!Tabla1[#Data]</definedName>
    <definedName name="_xlcn.WorksheetConnection_RelevamientodeHardMinisteriodeTrabajoyRRHH20base.xlsxTabla11" hidden="1">[2]!Tabla1[#Data]</definedName>
    <definedName name="_xlnm.Print_Area" localSheetId="1">'Autor Gastar'!$A$1:$Q$37</definedName>
    <definedName name="ORGANIGRAMA" localSheetId="1">#REF!</definedName>
    <definedName name="ORGANIGRAMA" localSheetId="0">#REF!</definedName>
    <definedName name="ORGANIGRAMA">#REF!</definedName>
    <definedName name="toners" localSheetId="1">#REF!</definedName>
    <definedName name="toners" localSheetId="0">#REF!</definedName>
    <definedName name="toners">#REF!</definedName>
  </definedNames>
  <calcPr calcId="145621"/>
</workbook>
</file>

<file path=xl/calcChain.xml><?xml version="1.0" encoding="utf-8"?>
<calcChain xmlns="http://schemas.openxmlformats.org/spreadsheetml/2006/main">
  <c r="Q33" i="2" l="1"/>
  <c r="G7" i="2" l="1"/>
  <c r="I10" i="1" l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D25" i="1"/>
  <c r="I25" i="1"/>
  <c r="D26" i="1"/>
  <c r="I26" i="1"/>
  <c r="D27" i="1"/>
  <c r="I27" i="1"/>
  <c r="D28" i="1"/>
  <c r="I28" i="1"/>
  <c r="D29" i="1"/>
  <c r="I29" i="1"/>
  <c r="D30" i="1"/>
  <c r="I30" i="1"/>
  <c r="D31" i="1"/>
  <c r="I31" i="1"/>
  <c r="D32" i="1"/>
  <c r="I32" i="1"/>
  <c r="D33" i="1"/>
  <c r="I33" i="1"/>
  <c r="D34" i="1"/>
  <c r="I34" i="1"/>
  <c r="D35" i="1"/>
  <c r="I35" i="1"/>
  <c r="D36" i="1"/>
  <c r="I36" i="1"/>
  <c r="D37" i="1"/>
  <c r="I37" i="1"/>
  <c r="D38" i="1"/>
  <c r="I38" i="1"/>
  <c r="D39" i="1"/>
  <c r="I39" i="1"/>
  <c r="D40" i="1"/>
  <c r="I40" i="1"/>
  <c r="D41" i="1"/>
  <c r="I41" i="1"/>
  <c r="I42" i="1"/>
  <c r="I43" i="1"/>
  <c r="I44" i="1" l="1"/>
</calcChain>
</file>

<file path=xl/sharedStrings.xml><?xml version="1.0" encoding="utf-8"?>
<sst xmlns="http://schemas.openxmlformats.org/spreadsheetml/2006/main" count="238" uniqueCount="150">
  <si>
    <t>Garantia</t>
  </si>
  <si>
    <t>30 (treinta) días</t>
  </si>
  <si>
    <t>Mantenimiento</t>
  </si>
  <si>
    <t>Que cumpla íntegramente con lo solicitado</t>
  </si>
  <si>
    <t>Calidad Minima esperada</t>
  </si>
  <si>
    <t>a) LUGAR DE ENTREGA: Oficinas Centrales del Ministerio de Trabajo, Planificacion y Recursos Humanos, sito en Av. Colon-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</si>
  <si>
    <t>Plazos y lugares de entrega</t>
  </si>
  <si>
    <t>Descripción técnica</t>
  </si>
  <si>
    <r>
      <t xml:space="preserve">ALCOHOL USO MEDICINAL; PUREZA: 70 %, PRESENTACIÓN: </t>
    </r>
    <r>
      <rPr>
        <b/>
        <sz val="12"/>
        <rFont val="Times New Roman"/>
        <family val="1"/>
      </rPr>
      <t>BIDON POR 5 LITROS,</t>
    </r>
    <r>
      <rPr>
        <sz val="10"/>
        <rFont val="Times New Roman"/>
        <family val="1"/>
      </rPr>
      <t xml:space="preserve"> CANTIDAD: 5 LITROS</t>
    </r>
  </si>
  <si>
    <t>Especificidades Item N° 33:</t>
  </si>
  <si>
    <r>
      <t xml:space="preserve">ARTICULOS DE HIGIENE PERSONAL; TIPO: JABON LIQUIDO - </t>
    </r>
    <r>
      <rPr>
        <b/>
        <sz val="12"/>
        <rFont val="Times New Roman"/>
        <family val="1"/>
      </rPr>
      <t xml:space="preserve"> PARA MANOS,</t>
    </r>
    <r>
      <rPr>
        <sz val="10"/>
        <rFont val="Times New Roman"/>
        <family val="1"/>
      </rPr>
      <t xml:space="preserve"> PRESENTACION: ENVASE X 5 L</t>
    </r>
  </si>
  <si>
    <t>Especificidades Item N° 27:</t>
  </si>
  <si>
    <r>
      <t xml:space="preserve">GUANTES; PROTECCION: SIN VALOR, MATERIAL: LATEX, TIPO: EXAMINACION, INTERIOR: LATEX, LARGO: HASTA MUÑECA, CIERRE: ELASTICO, MATERIAL INTERNO: LATEX </t>
    </r>
    <r>
      <rPr>
        <b/>
        <sz val="14"/>
        <rFont val="Times New Roman"/>
        <family val="1"/>
      </rPr>
      <t xml:space="preserve">: </t>
    </r>
    <r>
      <rPr>
        <b/>
        <sz val="12"/>
        <rFont val="Times New Roman"/>
        <family val="1"/>
      </rPr>
      <t>PRESENTACION POR 100 UNIDADES</t>
    </r>
  </si>
  <si>
    <t>Especificidades Item N° 1:</t>
  </si>
  <si>
    <t>UNIDAD</t>
  </si>
  <si>
    <r>
      <rPr>
        <b/>
        <sz val="11"/>
        <rFont val="Times New Roman"/>
        <family val="1"/>
      </rPr>
      <t>DESINFECTANTES</t>
    </r>
    <r>
      <rPr>
        <sz val="11"/>
        <rFont val="Times New Roman"/>
        <family val="1"/>
      </rPr>
      <t xml:space="preserve">; CAPACIDAD: 5 L, USO P/CONTROL: BACTERIAS, PRINCIPIO ACTIVO: SAL </t>
    </r>
    <r>
      <rPr>
        <b/>
        <sz val="11"/>
        <rFont val="Times New Roman"/>
        <family val="1"/>
      </rPr>
      <t>AMONIO CUATERNARIO,</t>
    </r>
    <r>
      <rPr>
        <sz val="11"/>
        <rFont val="Times New Roman"/>
        <family val="1"/>
      </rPr>
      <t xml:space="preserve"> PRESENTACION: ENVASE X 5 L, CONTROL: BACTERIAS</t>
    </r>
  </si>
  <si>
    <t>2.5.4</t>
  </si>
  <si>
    <t>ELEMENTOS DE LIMPIEZA</t>
  </si>
  <si>
    <t>2.5.4-505.13</t>
  </si>
  <si>
    <r>
      <rPr>
        <b/>
        <sz val="11"/>
        <rFont val="Times New Roman"/>
        <family val="1"/>
      </rPr>
      <t>ALCOHOL USO MEDICINAL; PUREZA: 70 %</t>
    </r>
    <r>
      <rPr>
        <sz val="11"/>
        <rFont val="Times New Roman"/>
        <family val="1"/>
      </rPr>
      <t>, PRESENTACIÓN: SEGÚN PLIEGO, CANTIDAD: SEGÚN PLIEGO</t>
    </r>
  </si>
  <si>
    <t>2.5.2</t>
  </si>
  <si>
    <t>PROD. MEDICO /FARMACEUTICOS/LAB</t>
  </si>
  <si>
    <t>2.5.2-711.49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</si>
  <si>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 xml:space="preserve"> P/LIMPIEZA; MATERIAL: LATEX, TAMAÑO: MEDIANO</t>
    </r>
  </si>
  <si>
    <t>2.9.1-761.2</t>
  </si>
  <si>
    <r>
      <rPr>
        <b/>
        <sz val="11"/>
        <rFont val="Times New Roman"/>
        <family val="1"/>
      </rPr>
      <t>FRANELAS</t>
    </r>
    <r>
      <rPr>
        <sz val="11"/>
        <rFont val="Times New Roman"/>
        <family val="1"/>
      </rPr>
      <t>; DIMENSION: 50 X 50 Cm</t>
    </r>
  </si>
  <si>
    <t>2.9.1-714.2</t>
  </si>
  <si>
    <r>
      <rPr>
        <b/>
        <sz val="11"/>
        <rFont val="Times New Roman"/>
        <family val="1"/>
      </rPr>
      <t>TRAPOS DE PISO</t>
    </r>
    <r>
      <rPr>
        <sz val="11"/>
        <rFont val="Times New Roman"/>
        <family val="1"/>
      </rPr>
      <t>; DIMENSION: 40 X 60 Cm, RECICLADO: SIN VALOR</t>
    </r>
  </si>
  <si>
    <t>2.9.1-713.19</t>
  </si>
  <si>
    <r>
      <t xml:space="preserve">UTENSILLOS P/HIGIENE PERSONAL; TIPO: </t>
    </r>
    <r>
      <rPr>
        <b/>
        <sz val="11"/>
        <rFont val="Times New Roman"/>
        <family val="1"/>
      </rPr>
      <t>ALCOHOL EN GEL</t>
    </r>
    <r>
      <rPr>
        <sz val="11"/>
        <rFont val="Times New Roman"/>
        <family val="1"/>
      </rPr>
      <t>, PRESENTACION: ENVASE X 5 L</t>
    </r>
  </si>
  <si>
    <t>2.9.1-6963.15</t>
  </si>
  <si>
    <t>CAJA</t>
  </si>
  <si>
    <r>
      <t xml:space="preserve">ELEM. P/LIMPIEZA SANITARIOS; TIPO: </t>
    </r>
    <r>
      <rPr>
        <b/>
        <sz val="11"/>
        <rFont val="Times New Roman"/>
        <family val="1"/>
      </rPr>
      <t xml:space="preserve">PASTILLA DESODORANTE, </t>
    </r>
    <r>
      <rPr>
        <sz val="11"/>
        <rFont val="Times New Roman"/>
        <family val="1"/>
      </rPr>
      <t>PRESENTACION: CAJA X 24 UN</t>
    </r>
  </si>
  <si>
    <t>2.9.1-6961.9</t>
  </si>
  <si>
    <r>
      <t xml:space="preserve">ARTICULOS DE TOCADOR; TIPO: </t>
    </r>
    <r>
      <rPr>
        <b/>
        <sz val="11"/>
        <rFont val="Times New Roman"/>
        <family val="1"/>
      </rPr>
      <t>JABON LIQUIDO</t>
    </r>
    <r>
      <rPr>
        <sz val="11"/>
        <rFont val="Times New Roman"/>
        <family val="1"/>
      </rPr>
      <t>, PRESENTACION: ENVASE X 5 L</t>
    </r>
  </si>
  <si>
    <t>2.9.1-6956.73</t>
  </si>
  <si>
    <r>
      <t>CEPILLOS; TIPO:</t>
    </r>
    <r>
      <rPr>
        <b/>
        <sz val="11"/>
        <rFont val="Times New Roman"/>
        <family val="1"/>
      </rPr>
      <t xml:space="preserve"> ESCOBA</t>
    </r>
    <r>
      <rPr>
        <sz val="11"/>
        <rFont val="Times New Roman"/>
        <family val="1"/>
      </rPr>
      <t>, MATERIAL: PLASTICO</t>
    </r>
  </si>
  <si>
    <t>2.9.1-6952.87</t>
  </si>
  <si>
    <r>
      <t xml:space="preserve">LIMPIADORES; TIPO: </t>
    </r>
    <r>
      <rPr>
        <b/>
        <sz val="11"/>
        <rFont val="Times New Roman"/>
        <family val="1"/>
      </rPr>
      <t>DESINFECTANTE P/PISO,</t>
    </r>
    <r>
      <rPr>
        <sz val="11"/>
        <rFont val="Times New Roman"/>
        <family val="1"/>
      </rPr>
      <t xml:space="preserve"> PRESENTACION: ENVASE X 5 L</t>
    </r>
  </si>
  <si>
    <t>2.9.1-6951.41</t>
  </si>
  <si>
    <r>
      <t>LIMPIADORES; TIPO:</t>
    </r>
    <r>
      <rPr>
        <b/>
        <sz val="11"/>
        <rFont val="Times New Roman"/>
        <family val="1"/>
      </rPr>
      <t xml:space="preserve"> LAVANDINA</t>
    </r>
    <r>
      <rPr>
        <sz val="11"/>
        <rFont val="Times New Roman"/>
        <family val="1"/>
      </rPr>
      <t>, PRESENTACION: ENVASE X 5 L</t>
    </r>
  </si>
  <si>
    <t>2.9.1-6951.30</t>
  </si>
  <si>
    <r>
      <t xml:space="preserve">LIMPIADORES; TIPO: </t>
    </r>
    <r>
      <rPr>
        <b/>
        <sz val="11"/>
        <rFont val="Times New Roman"/>
        <family val="1"/>
      </rPr>
      <t>LIMPIAVIDRIOS</t>
    </r>
    <r>
      <rPr>
        <sz val="11"/>
        <rFont val="Times New Roman"/>
        <family val="1"/>
      </rPr>
      <t>, PRESENTACION: ENVASE X 5 L</t>
    </r>
  </si>
  <si>
    <t>2.9.1-6951.116</t>
  </si>
  <si>
    <r>
      <t xml:space="preserve">LIMPIADORES; TIPO: </t>
    </r>
    <r>
      <rPr>
        <b/>
        <sz val="11"/>
        <rFont val="Times New Roman"/>
        <family val="1"/>
      </rPr>
      <t>QUITASARRO</t>
    </r>
    <r>
      <rPr>
        <sz val="11"/>
        <rFont val="Times New Roman"/>
        <family val="1"/>
      </rPr>
      <t>, PRESENTACION: ENVASE X 5 L</t>
    </r>
  </si>
  <si>
    <t>2.9.1-6951.137</t>
  </si>
  <si>
    <r>
      <t xml:space="preserve">LIMPIADORES; PRESENTACION: ENVASE X 5 L, TIPO: </t>
    </r>
    <r>
      <rPr>
        <b/>
        <sz val="11"/>
        <rFont val="Times New Roman"/>
        <family val="1"/>
      </rPr>
      <t>DETERGENTE</t>
    </r>
  </si>
  <si>
    <t>2.9.1-6951.12</t>
  </si>
  <si>
    <r>
      <rPr>
        <b/>
        <sz val="11"/>
        <rFont val="Times New Roman"/>
        <family val="1"/>
      </rPr>
      <t>LUSTRADORES</t>
    </r>
    <r>
      <rPr>
        <sz val="11"/>
        <rFont val="Times New Roman"/>
        <family val="1"/>
      </rPr>
      <t>; TIPO: LUSTRAMUEBLES, PRESENTACION: AEROSOL X 360 CM3</t>
    </r>
  </si>
  <si>
    <t>2.9.1-6950.30</t>
  </si>
  <si>
    <r>
      <rPr>
        <b/>
        <sz val="11"/>
        <rFont val="Times New Roman"/>
        <family val="1"/>
      </rPr>
      <t>SECADORES DE GOMA</t>
    </r>
    <r>
      <rPr>
        <sz val="11"/>
        <rFont val="Times New Roman"/>
        <family val="1"/>
      </rPr>
      <t>; COLOR: BLANCO, LARGO: 40 Cm</t>
    </r>
  </si>
  <si>
    <t>2.9.1-683.7</t>
  </si>
  <si>
    <r>
      <rPr>
        <b/>
        <sz val="11"/>
        <rFont val="Times New Roman"/>
        <family val="1"/>
      </rPr>
      <t>SECADORES DE GOMA</t>
    </r>
    <r>
      <rPr>
        <sz val="11"/>
        <rFont val="Times New Roman"/>
        <family val="1"/>
      </rPr>
      <t>; COLOR: NEGRO, LARGO: 50 Cm</t>
    </r>
  </si>
  <si>
    <t>2.9.1-683.6</t>
  </si>
  <si>
    <r>
      <rPr>
        <b/>
        <sz val="11"/>
        <rFont val="Times New Roman"/>
        <family val="1"/>
      </rPr>
      <t>TRAPOS REJILLA</t>
    </r>
    <r>
      <rPr>
        <sz val="11"/>
        <rFont val="Times New Roman"/>
        <family val="1"/>
      </rPr>
      <t>; DIMENSION: 38 X 42 Cm, MATERIAL: PURO ALGODON, COLOR: BLANCO</t>
    </r>
  </si>
  <si>
    <t>2.9.1-678.1</t>
  </si>
  <si>
    <t>PAQUETE</t>
  </si>
  <si>
    <r>
      <rPr>
        <b/>
        <sz val="11"/>
        <rFont val="Times New Roman"/>
        <family val="1"/>
      </rPr>
      <t>BOLSAS DE RESIDUOS; DIMENSION: 45 X 60</t>
    </r>
    <r>
      <rPr>
        <sz val="11"/>
        <rFont val="Times New Roman"/>
        <family val="1"/>
      </rPr>
      <t xml:space="preserve"> Cm, PRESENTACION: BOLSA X 10, COLOR: SIN VALOR, ESPESOR: SIN VALOR</t>
    </r>
  </si>
  <si>
    <t>2.9.1-646.6</t>
  </si>
  <si>
    <r>
      <rPr>
        <b/>
        <sz val="11"/>
        <rFont val="Times New Roman"/>
        <family val="1"/>
      </rPr>
      <t>DESODORANTES DE AMBIENTE</t>
    </r>
    <r>
      <rPr>
        <sz val="11"/>
        <rFont val="Times New Roman"/>
        <family val="1"/>
      </rPr>
      <t>; FORMATO: AEROSOL, FRAGANCIA: ORIGINAL, PRESENTACION: ENVASE X 360 CM3, LIBRE DE CFC: SI</t>
    </r>
  </si>
  <si>
    <t>2.9.1-544.82</t>
  </si>
  <si>
    <r>
      <rPr>
        <b/>
        <sz val="11"/>
        <color theme="1"/>
        <rFont val="Times New Roman"/>
        <family val="1"/>
      </rPr>
      <t>LIMPIADORES MULTIUSO;</t>
    </r>
    <r>
      <rPr>
        <sz val="11"/>
        <color theme="1"/>
        <rFont val="Times New Roman"/>
        <family val="1"/>
      </rPr>
      <t xml:space="preserve"> TIPO: P/</t>
    </r>
    <r>
      <rPr>
        <b/>
        <sz val="11"/>
        <color theme="1"/>
        <rFont val="Times New Roman"/>
        <family val="1"/>
      </rPr>
      <t>LAMPAZO</t>
    </r>
    <r>
      <rPr>
        <sz val="11"/>
        <color theme="1"/>
        <rFont val="Times New Roman"/>
        <family val="1"/>
      </rPr>
      <t>, PRESENTACION: ENVASE X 5 L</t>
    </r>
  </si>
  <si>
    <t>2.9.1-4784.37</t>
  </si>
  <si>
    <r>
      <rPr>
        <b/>
        <sz val="11"/>
        <rFont val="Times New Roman"/>
        <family val="1"/>
      </rPr>
      <t>ESPONJAS; MATERIAL: FIBRA</t>
    </r>
    <r>
      <rPr>
        <sz val="11"/>
        <rFont val="Times New Roman"/>
        <family val="1"/>
      </rPr>
      <t>, USO: DOMESTICO, ADITAMENTO: FIBRA, FORMA: RECTANGULAR, LARGO X ANCHO X ESP: 10 X 6 X 4 Cm</t>
    </r>
  </si>
  <si>
    <t>2.9.1-1164.35</t>
  </si>
  <si>
    <r>
      <rPr>
        <b/>
        <sz val="11"/>
        <rFont val="Times New Roman"/>
        <family val="1"/>
      </rPr>
      <t>ESPONJAS; MATERIAL: METAL</t>
    </r>
    <r>
      <rPr>
        <sz val="11"/>
        <rFont val="Times New Roman"/>
        <family val="1"/>
      </rPr>
      <t>, USO: PARA COCINA, ADITAMENTO: SIN VALOR, FORMA: REDONDA, LARGO X ANCHO X ESP: ROLLO X 30 GR, COLOR: DORADO</t>
    </r>
  </si>
  <si>
    <t>2.9.1-1164.18</t>
  </si>
  <si>
    <r>
      <rPr>
        <b/>
        <sz val="11"/>
        <rFont val="Times New Roman"/>
        <family val="1"/>
      </rPr>
      <t>PLUMEROS</t>
    </r>
    <r>
      <rPr>
        <sz val="11"/>
        <rFont val="Times New Roman"/>
        <family val="1"/>
      </rPr>
      <t>; PLUMA: SINTETICA, CLASE: SUAVE, MATERIAL MANGO: MADERA, LARGO MANGO: 60 Cm, Nº VUELTAS PENACHO: 6, TIPO: SUAVE</t>
    </r>
  </si>
  <si>
    <t>2.9.1-1156.1</t>
  </si>
  <si>
    <r>
      <t xml:space="preserve">INSECTICIDAS; PRINCIPIO ACTIVO: D-FENOTRINA, D-TETRA, PRAL, CONTROL: </t>
    </r>
    <r>
      <rPr>
        <b/>
        <sz val="11"/>
        <rFont val="Times New Roman"/>
        <family val="1"/>
      </rPr>
      <t>MOSCAS Y MOSQUITOS</t>
    </r>
    <r>
      <rPr>
        <sz val="11"/>
        <rFont val="Times New Roman"/>
        <family val="1"/>
      </rPr>
      <t>, ACCION: INSECTICIDA, PRESENTACION: ENVASE X 360 CM3</t>
    </r>
  </si>
  <si>
    <t>2.5.4-506.200</t>
  </si>
  <si>
    <r>
      <rPr>
        <b/>
        <sz val="11"/>
        <rFont val="Times New Roman"/>
        <family val="1"/>
      </rPr>
      <t xml:space="preserve">INSECTICIDAS; </t>
    </r>
    <r>
      <rPr>
        <sz val="11"/>
        <rFont val="Times New Roman"/>
        <family val="1"/>
      </rPr>
      <t xml:space="preserve">PRINCIPIO ACTIVO: DIFETHIALONE 0.0025 %, </t>
    </r>
    <r>
      <rPr>
        <b/>
        <sz val="11"/>
        <rFont val="Times New Roman"/>
        <family val="1"/>
      </rPr>
      <t>CONTROL: ROEDORES</t>
    </r>
    <r>
      <rPr>
        <sz val="11"/>
        <rFont val="Times New Roman"/>
        <family val="1"/>
      </rPr>
      <t>, ACCION: ELIMINACION DE PLAGAS, PRESENTACION: CEBO X 1 Kg</t>
    </r>
  </si>
  <si>
    <t>2.5.4-506.209</t>
  </si>
  <si>
    <r>
      <t xml:space="preserve">INSECTICIDAS; PRINCIPIO ACTIVO: TETRAMETRINA, </t>
    </r>
    <r>
      <rPr>
        <b/>
        <sz val="11"/>
        <rFont val="Times New Roman"/>
        <family val="1"/>
      </rPr>
      <t>CONTROL: HORMIGAS</t>
    </r>
    <r>
      <rPr>
        <sz val="11"/>
        <rFont val="Times New Roman"/>
        <family val="1"/>
      </rPr>
      <t>, ACCION: VOLTEO Y RESIDUAL, PRESENTACION: ENVASE X 360 CM3</t>
    </r>
  </si>
  <si>
    <t>2.5.4-506.194</t>
  </si>
  <si>
    <r>
      <t>INSECTICIDAS; PRINCIPIO ACTIVO: TETRAMETRINA,</t>
    </r>
    <r>
      <rPr>
        <b/>
        <sz val="11"/>
        <rFont val="Times New Roman"/>
        <family val="1"/>
      </rPr>
      <t xml:space="preserve"> CONTROL: CUCARACHA, </t>
    </r>
    <r>
      <rPr>
        <sz val="11"/>
        <rFont val="Times New Roman"/>
        <family val="1"/>
      </rPr>
      <t>ACCION: CONTROL, PRESENTACION: AEROSOL X 360 CM3</t>
    </r>
  </si>
  <si>
    <t>2.5.4-506.192</t>
  </si>
  <si>
    <r>
      <t xml:space="preserve">DESINFECTANTES; PRINCIPIO ACTIVO: 2-FENILFENOL, CONTROL: </t>
    </r>
    <r>
      <rPr>
        <b/>
        <sz val="11"/>
        <rFont val="Times New Roman"/>
        <family val="1"/>
      </rPr>
      <t>BACTERIAS, HONGOS Y VIRUS</t>
    </r>
    <r>
      <rPr>
        <sz val="11"/>
        <rFont val="Times New Roman"/>
        <family val="1"/>
      </rPr>
      <t>, PRESENTACION: ENVASE X 360 CM3</t>
    </r>
  </si>
  <si>
    <t>2.5.4-505.73</t>
  </si>
  <si>
    <r>
      <rPr>
        <b/>
        <sz val="11"/>
        <rFont val="Times New Roman"/>
        <family val="1"/>
      </rPr>
      <t>PAPEL HIGIENICO</t>
    </r>
    <r>
      <rPr>
        <sz val="11"/>
        <rFont val="Times New Roman"/>
        <family val="1"/>
      </rPr>
      <t>; PRESENTACION: PAQUETE X 4, TIPO: ROLLO, ANCHO: 10 Cm, LARGO: 90 M, TIPO DE HOJA: DOBLE</t>
    </r>
  </si>
  <si>
    <t>2.3.4-786.80</t>
  </si>
  <si>
    <t>ROLLO</t>
  </si>
  <si>
    <r>
      <rPr>
        <b/>
        <sz val="11"/>
        <rFont val="Times New Roman"/>
        <family val="1"/>
      </rPr>
      <t>TOALLAS DE PAPEL</t>
    </r>
    <r>
      <rPr>
        <sz val="11"/>
        <rFont val="Times New Roman"/>
        <family val="1"/>
      </rPr>
      <t xml:space="preserve">; MATERIAL: PAPEL GOFRADO, GRAMAJE: SIN VALOR, DIMENSION: ANCHO 20 Cm, PRESENTACION: </t>
    </r>
    <r>
      <rPr>
        <b/>
        <sz val="11"/>
        <rFont val="Times New Roman"/>
        <family val="1"/>
      </rPr>
      <t>ROLLO X 304 M</t>
    </r>
  </si>
  <si>
    <t>2.3.4-783.66</t>
  </si>
  <si>
    <r>
      <rPr>
        <b/>
        <sz val="11"/>
        <rFont val="Times New Roman"/>
        <family val="1"/>
      </rPr>
      <t>TOALLAS DE PAPEL</t>
    </r>
    <r>
      <rPr>
        <sz val="11"/>
        <rFont val="Times New Roman"/>
        <family val="1"/>
      </rPr>
      <t>; MATERIAL: FIBRA CELULOSICA, GRAMAJE: 55/60 GR/M2, DIMENSION: 24 X 20,5 Cm, COLOR: BLANCO, PRESENTACION: CAJA X 2500 UN</t>
    </r>
  </si>
  <si>
    <t>2.3.4-783.43</t>
  </si>
  <si>
    <r>
      <rPr>
        <b/>
        <sz val="11"/>
        <rFont val="Times New Roman"/>
        <family val="1"/>
      </rPr>
      <t>ROLLOS P/COCINA</t>
    </r>
    <r>
      <rPr>
        <sz val="11"/>
        <rFont val="Times New Roman"/>
        <family val="1"/>
      </rPr>
      <t>; DIMENSION: 21 X 20 Cm, PRESENTACION: ENVASE X 3 UN</t>
    </r>
  </si>
  <si>
    <t>BAZAR Y MENAJE</t>
  </si>
  <si>
    <t>2.3.4-5442.13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</si>
  <si>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>; PROTECCION: SIN VALOR, MATERIAL: LATEX, TIPO:</t>
    </r>
    <r>
      <rPr>
        <b/>
        <sz val="11"/>
        <rFont val="Times New Roman"/>
        <family val="1"/>
      </rPr>
      <t xml:space="preserve"> EXAMINACION</t>
    </r>
    <r>
      <rPr>
        <sz val="11"/>
        <rFont val="Times New Roman"/>
        <family val="1"/>
      </rPr>
      <t>, INTERIOR: LATEX, LARGO: HASTA MUÑECA, CIERRE: ELASTICO, MATERIAL INTERNO: LATEX</t>
    </r>
  </si>
  <si>
    <t>2.9.5</t>
  </si>
  <si>
    <t>INDUMENT TEXTIL Y CONFECCIONES</t>
  </si>
  <si>
    <t>2.2.2-1629.172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</si>
  <si>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</si>
  <si>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</si>
  <si>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</si>
  <si>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</si>
  <si>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</si>
  <si>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</si>
  <si>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</si>
  <si>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</si>
  <si>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</si>
  <si>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</si>
  <si>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</si>
  <si>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22 - Subsecretaria de Administracion Financiera del Ministerio de Trabajo, Planificacion y Recursos Humanos</t>
  </si>
  <si>
    <t xml:space="preserve">SAF N°: </t>
  </si>
  <si>
    <t>12 -Ministerio de Trabajo, Planificacion y Recursos Humanos</t>
  </si>
  <si>
    <t>JURISDICCION:</t>
  </si>
  <si>
    <t>Pedido de Necesidades Trimestrales</t>
  </si>
  <si>
    <t>AUTORIZACION PARA GASTAR</t>
  </si>
  <si>
    <t>JURISDICCIÓN:</t>
  </si>
  <si>
    <t>SAF:</t>
  </si>
  <si>
    <t>UNIDAD EJECUTORA:</t>
  </si>
  <si>
    <t>Ministerio de Trabajo, Planificacion y Reursos Humanos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</si>
  <si>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</si>
  <si>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</si>
  <si>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</si>
  <si>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el FORMULARIO Necesidad Trimestral 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</si>
  <si>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</si>
  <si>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</si>
  <si>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</si>
  <si>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</si>
  <si>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</si>
  <si>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</si>
  <si>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</si>
  <si>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</si>
  <si>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</si>
  <si>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</si>
  <si>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</si>
  <si>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</si>
  <si>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</si>
  <si>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</si>
  <si>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</si>
  <si>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</si>
  <si>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</si>
  <si>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de Papel y Cartón</t>
  </si>
  <si>
    <t>1.1</t>
  </si>
  <si>
    <t>Productos Farmacéuticos y Medicinales</t>
  </si>
  <si>
    <t>Insecticidas, Fumigantes y Otros</t>
  </si>
  <si>
    <t>Elementos de Limpieza</t>
  </si>
  <si>
    <t>Útiles Menores Médico, Quirúrgico y de Laboratorio</t>
  </si>
  <si>
    <t>JUSTIFICACIÓN:</t>
  </si>
  <si>
    <t>Adquisición de ELEMENTOS DE LIMPIEZA para las distintas dependencias de este Ministerio.</t>
  </si>
  <si>
    <t>1.0</t>
  </si>
  <si>
    <t>1.2</t>
  </si>
  <si>
    <t>1.3</t>
  </si>
  <si>
    <t>1.4</t>
  </si>
  <si>
    <t>1.5</t>
  </si>
  <si>
    <t>1.6</t>
  </si>
  <si>
    <t>COSTO TOTAL ESTIMADO: UN MILLON DOSCIENTOS SETENTA Y CINCO MIL TREINTA CON 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</si>
</sst>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2C0A]\ #,##0.00;[$$-2C0A]&quot; -&quot;#,##0.00"/>
    <numFmt numFmtId="165" formatCode="_-* #,##0.00&quot; €&quot;_-;\-* #,##0.00&quot; €&quot;_-;_-* \-??&quot; €&quot;_-;_-@_-"/>
    <numFmt numFmtId="166" formatCode="[$$-2C0A]\ #,##0.00"/>
    <numFmt numFmtId="167" formatCode="dd\-mm\-yy;@"/>
    <numFmt numFmtId="168" formatCode="_-[$$-2C0A]\ * #,##0.00_-;\-[$$-2C0A]\ * #,##0.00_-;_-[$$-2C0A]\ * &quot;-&quot;??_-;_-@_-"/>
    <numFmt numFmtId="169" formatCode="_(\$* #,##0.00_);_(\$* \(#,##0.00\);_(\$* \-??_);_(@_)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8">
    <xf numFmtId="0" fontId="0" fillId="0" borderId="0"/>
    <xf numFmtId="165" fontId="7" fillId="0" borderId="0" applyBorder="0" applyProtection="0"/>
    <xf numFmtId="0" fontId="17" fillId="0" borderId="25" applyProtection="0"/>
    <xf numFmtId="0" fontId="18" fillId="2" borderId="0" applyBorder="0" applyProtection="0"/>
    <xf numFmtId="0" fontId="1" fillId="0" borderId="0"/>
    <xf numFmtId="0" fontId="1" fillId="0" borderId="0"/>
    <xf numFmtId="0" fontId="7" fillId="0" borderId="0"/>
    <xf numFmtId="169" fontId="25" fillId="0" borderId="0" applyBorder="0" applyProtection="0"/>
  </cellStyleXfs>
  <cellXfs count="1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 applyAlignment="1">
      <alignment wrapText="1"/>
    </xf>
    <xf numFmtId="0" fontId="2" fillId="0" borderId="0" xfId="0" applyFont="1" applyBorder="1"/>
    <xf numFmtId="0" fontId="2" fillId="0" borderId="5" xfId="0" applyFont="1" applyBorder="1" applyAlignment="1">
      <alignment horizontal="left" indent="3"/>
    </xf>
    <xf numFmtId="0" fontId="2" fillId="0" borderId="4" xfId="0" applyNumberFormat="1" applyFont="1" applyFill="1" applyBorder="1" applyAlignment="1">
      <alignment horizontal="justify" wrapText="1"/>
    </xf>
    <xf numFmtId="0" fontId="2" fillId="0" borderId="0" xfId="0" applyNumberFormat="1" applyFont="1" applyFill="1" applyBorder="1" applyAlignment="1">
      <alignment horizontal="justify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3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3" fillId="0" borderId="8" xfId="0" applyFont="1" applyBorder="1"/>
    <xf numFmtId="164" fontId="6" fillId="0" borderId="9" xfId="0" applyNumberFormat="1" applyFont="1" applyBorder="1"/>
    <xf numFmtId="0" fontId="2" fillId="0" borderId="0" xfId="0" applyFont="1" applyAlignment="1">
      <alignment vertical="center"/>
    </xf>
    <xf numFmtId="164" fontId="8" fillId="0" borderId="10" xfId="1" applyNumberFormat="1" applyFont="1" applyFill="1" applyBorder="1" applyAlignment="1" applyProtection="1">
      <alignment horizontal="right" vertical="center" wrapText="1"/>
    </xf>
    <xf numFmtId="164" fontId="8" fillId="0" borderId="11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/>
    </xf>
    <xf numFmtId="0" fontId="8" fillId="0" borderId="12" xfId="0" applyFont="1" applyFill="1" applyBorder="1" applyAlignment="1">
      <alignment horizontal="center" vertical="center"/>
    </xf>
    <xf numFmtId="164" fontId="8" fillId="0" borderId="13" xfId="1" applyNumberFormat="1" applyFont="1" applyFill="1" applyBorder="1" applyAlignment="1" applyProtection="1">
      <alignment horizontal="right" vertical="center" wrapText="1"/>
    </xf>
    <xf numFmtId="164" fontId="8" fillId="0" borderId="14" xfId="1" applyNumberFormat="1" applyFont="1" applyFill="1" applyBorder="1" applyAlignment="1" applyProtection="1">
      <alignment horizontal="right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164" fontId="8" fillId="0" borderId="16" xfId="1" applyNumberFormat="1" applyFont="1" applyFill="1" applyBorder="1" applyAlignment="1" applyProtection="1">
      <alignment horizontal="right" vertical="center" wrapText="1"/>
    </xf>
    <xf numFmtId="164" fontId="8" fillId="0" borderId="17" xfId="1" applyNumberFormat="1" applyFont="1" applyFill="1" applyBorder="1" applyAlignment="1" applyProtection="1">
      <alignment horizontal="right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/>
    </xf>
    <xf numFmtId="0" fontId="8" fillId="0" borderId="18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Fill="1" applyAlignment="1">
      <alignment horizontal="left" wrapText="1"/>
    </xf>
    <xf numFmtId="0" fontId="14" fillId="0" borderId="0" xfId="0" applyFont="1" applyFill="1" applyAlignment="1">
      <alignment horizontal="center" wrapText="1"/>
    </xf>
    <xf numFmtId="166" fontId="2" fillId="0" borderId="0" xfId="0" applyNumberFormat="1" applyFont="1"/>
    <xf numFmtId="3" fontId="20" fillId="0" borderId="0" xfId="0" applyNumberFormat="1" applyFont="1" applyBorder="1" applyAlignment="1"/>
    <xf numFmtId="167" fontId="19" fillId="0" borderId="0" xfId="0" applyNumberFormat="1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Border="1"/>
    <xf numFmtId="0" fontId="19" fillId="0" borderId="37" xfId="0" applyFont="1" applyBorder="1"/>
    <xf numFmtId="0" fontId="19" fillId="0" borderId="31" xfId="0" applyFont="1" applyBorder="1"/>
    <xf numFmtId="0" fontId="19" fillId="0" borderId="39" xfId="0" applyFont="1" applyBorder="1"/>
    <xf numFmtId="0" fontId="19" fillId="0" borderId="39" xfId="0" applyFont="1" applyBorder="1" applyAlignment="1">
      <alignment horizontal="left"/>
    </xf>
    <xf numFmtId="0" fontId="19" fillId="0" borderId="32" xfId="0" applyFont="1" applyBorder="1"/>
    <xf numFmtId="0" fontId="24" fillId="0" borderId="46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168" fontId="19" fillId="0" borderId="55" xfId="7" applyNumberFormat="1" applyFont="1" applyFill="1" applyBorder="1" applyAlignment="1" applyProtection="1">
      <alignment horizontal="center" vertical="center"/>
    </xf>
    <xf numFmtId="168" fontId="19" fillId="0" borderId="0" xfId="0" applyNumberFormat="1" applyFont="1"/>
    <xf numFmtId="0" fontId="19" fillId="0" borderId="14" xfId="0" applyFont="1" applyFill="1" applyBorder="1" applyAlignment="1">
      <alignment horizontal="center" vertical="center"/>
    </xf>
    <xf numFmtId="168" fontId="19" fillId="0" borderId="13" xfId="7" applyNumberFormat="1" applyFont="1" applyFill="1" applyBorder="1" applyAlignment="1" applyProtection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168" fontId="19" fillId="0" borderId="10" xfId="7" applyNumberFormat="1" applyFont="1" applyFill="1" applyBorder="1" applyAlignment="1" applyProtection="1">
      <alignment horizontal="center" vertical="center"/>
    </xf>
    <xf numFmtId="164" fontId="24" fillId="0" borderId="56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9" fillId="0" borderId="58" xfId="0" applyFont="1" applyFill="1" applyBorder="1" applyAlignment="1">
      <alignment horizontal="center" vertical="center"/>
    </xf>
    <xf numFmtId="168" fontId="19" fillId="0" borderId="59" xfId="7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4" fillId="0" borderId="0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0" fillId="0" borderId="26" xfId="0" applyFont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2" fillId="0" borderId="57" xfId="0" applyFont="1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2" fillId="0" borderId="30" xfId="0" applyFont="1" applyBorder="1" applyAlignment="1">
      <alignment vertical="center" wrapText="1"/>
    </xf>
    <xf numFmtId="0" fontId="22" fillId="0" borderId="38" xfId="0" applyFont="1" applyFill="1" applyBorder="1" applyAlignment="1">
      <alignment horizontal="left" vertical="center" wrapText="1" indent="1"/>
    </xf>
    <xf numFmtId="0" fontId="22" fillId="0" borderId="0" xfId="0" applyFont="1" applyFill="1" applyBorder="1" applyAlignment="1">
      <alignment horizontal="left" vertical="center" wrapText="1" indent="1"/>
    </xf>
    <xf numFmtId="0" fontId="22" fillId="0" borderId="37" xfId="0" applyFont="1" applyFill="1" applyBorder="1" applyAlignment="1">
      <alignment horizontal="left" vertical="center" wrapText="1" indent="1"/>
    </xf>
    <xf numFmtId="0" fontId="22" fillId="0" borderId="31" xfId="0" applyFont="1" applyFill="1" applyBorder="1" applyAlignment="1">
      <alignment horizontal="left" vertical="center" wrapText="1" indent="1"/>
    </xf>
    <xf numFmtId="0" fontId="22" fillId="0" borderId="39" xfId="0" applyFont="1" applyFill="1" applyBorder="1" applyAlignment="1">
      <alignment horizontal="left" vertical="center" wrapText="1" indent="1"/>
    </xf>
    <xf numFmtId="0" fontId="22" fillId="0" borderId="32" xfId="0" applyFont="1" applyFill="1" applyBorder="1" applyAlignment="1">
      <alignment horizontal="left" vertical="center" wrapText="1" inden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9" fillId="0" borderId="38" xfId="0" applyFont="1" applyBorder="1"/>
    <xf numFmtId="0" fontId="19" fillId="0" borderId="0" xfId="0" applyFont="1" applyBorder="1"/>
    <xf numFmtId="0" fontId="19" fillId="0" borderId="37" xfId="0" applyFont="1" applyBorder="1"/>
    <xf numFmtId="0" fontId="22" fillId="0" borderId="38" xfId="0" applyFont="1" applyBorder="1" applyAlignment="1">
      <alignment horizontal="left" vertical="center" wrapText="1" indent="1"/>
    </xf>
    <xf numFmtId="0" fontId="22" fillId="0" borderId="0" xfId="0" applyFont="1" applyBorder="1" applyAlignment="1">
      <alignment horizontal="left" vertical="center" wrapText="1" indent="1"/>
    </xf>
    <xf numFmtId="0" fontId="22" fillId="0" borderId="37" xfId="0" applyFont="1" applyBorder="1" applyAlignment="1">
      <alignment horizontal="left" vertical="center" wrapText="1" indent="1"/>
    </xf>
    <xf numFmtId="0" fontId="24" fillId="0" borderId="29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19" fillId="0" borderId="51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horizontal="center" vertical="center" wrapText="1"/>
    </xf>
    <xf numFmtId="0" fontId="19" fillId="0" borderId="54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wrapText="1"/>
    </xf>
    <xf numFmtId="0" fontId="22" fillId="0" borderId="36" xfId="0" applyFont="1" applyBorder="1" applyAlignment="1">
      <alignment wrapText="1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3" fontId="20" fillId="0" borderId="27" xfId="0" applyNumberFormat="1" applyFont="1" applyBorder="1" applyAlignment="1">
      <alignment horizontal="center"/>
    </xf>
    <xf numFmtId="3" fontId="20" fillId="0" borderId="28" xfId="0" applyNumberFormat="1" applyFont="1" applyBorder="1" applyAlignment="1">
      <alignment horizontal="center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19" fillId="0" borderId="33" xfId="0" applyFont="1" applyBorder="1"/>
    <xf numFmtId="0" fontId="19" fillId="0" borderId="34" xfId="0" applyFont="1" applyBorder="1"/>
    <xf numFmtId="0" fontId="19" fillId="0" borderId="35" xfId="0" applyFont="1" applyBorder="1"/>
    <xf numFmtId="49" fontId="22" fillId="0" borderId="33" xfId="0" applyNumberFormat="1" applyFont="1" applyBorder="1" applyAlignment="1">
      <alignment horizontal="left"/>
    </xf>
    <xf numFmtId="49" fontId="22" fillId="0" borderId="34" xfId="0" applyNumberFormat="1" applyFont="1" applyBorder="1" applyAlignment="1">
      <alignment horizontal="left"/>
    </xf>
    <xf numFmtId="49" fontId="22" fillId="0" borderId="35" xfId="0" applyNumberFormat="1" applyFont="1" applyBorder="1" applyAlignment="1">
      <alignment horizontal="left"/>
    </xf>
    <xf numFmtId="0" fontId="19" fillId="0" borderId="33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wrapText="1"/>
    </xf>
    <xf numFmtId="0" fontId="22" fillId="0" borderId="34" xfId="0" applyFont="1" applyBorder="1" applyAlignment="1">
      <alignment horizontal="left" wrapText="1"/>
    </xf>
    <xf numFmtId="0" fontId="22" fillId="0" borderId="35" xfId="0" applyFont="1" applyBorder="1" applyAlignment="1">
      <alignment horizontal="left" wrapText="1"/>
    </xf>
    <xf numFmtId="0" fontId="22" fillId="0" borderId="33" xfId="0" applyFont="1" applyBorder="1" applyAlignment="1">
      <alignment horizontal="left" indent="1"/>
    </xf>
    <xf numFmtId="0" fontId="22" fillId="0" borderId="34" xfId="0" applyFont="1" applyBorder="1" applyAlignment="1">
      <alignment horizontal="left" indent="1"/>
    </xf>
    <xf numFmtId="0" fontId="22" fillId="0" borderId="35" xfId="0" applyFont="1" applyBorder="1" applyAlignment="1">
      <alignment horizontal="left" indent="1"/>
    </xf>
    <xf numFmtId="0" fontId="23" fillId="0" borderId="33" xfId="0" applyFont="1" applyBorder="1" applyAlignment="1">
      <alignment horizontal="left"/>
    </xf>
    <xf numFmtId="0" fontId="23" fillId="0" borderId="34" xfId="0" applyFont="1" applyBorder="1" applyAlignment="1">
      <alignment horizontal="left"/>
    </xf>
    <xf numFmtId="0" fontId="23" fillId="0" borderId="35" xfId="0" applyFont="1" applyBorder="1" applyAlignment="1">
      <alignment horizontal="left"/>
    </xf>
  </cellXfs>
  <cellStyles count="8">
    <cellStyle name="Encabezado 1" xfId="2"/>
    <cellStyle name="Moneda" xfId="1" builtinId="4"/>
    <cellStyle name="Moneda_AUTORIZACION Y NOTA DE PEDIDO" xfId="7"/>
    <cellStyle name="Neutral 1" xfId="3"/>
    <cellStyle name="Normal" xfId="0" builtinId="0"/>
    <cellStyle name="Normal 2" xfId="4"/>
    <cellStyle name="Normal 3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08649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opLeftCell="A16" zoomScale="90" zoomScaleNormal="90" workbookViewId="0">
      <selection activeCell="G66" sqref="G66"/>
    </sheetView>
  </sheetViews>
  <sheetFormatPr baseColWidth="10" defaultColWidth="11" defaultRowHeight="12.75" x14ac:dyDescent="0.2"/>
  <cols>
    <col min="1" max="1" width="4.5703125" style="1" customWidth="1"/>
    <col min="2" max="2" width="14.140625" style="1" customWidth="1"/>
    <col min="3" max="3" width="26.28515625" style="1" customWidth="1"/>
    <col min="4" max="4" width="8.42578125" style="1" customWidth="1"/>
    <col min="5" max="5" width="79" style="3" customWidth="1"/>
    <col min="6" max="6" width="11" style="2"/>
    <col min="7" max="7" width="12.7109375" style="1" customWidth="1"/>
    <col min="8" max="8" width="14.28515625" style="1" customWidth="1"/>
    <col min="9" max="9" width="18.5703125" style="1" customWidth="1"/>
    <col min="10" max="16384" width="11" style="1"/>
  </cols>
  <sheetData>
    <row r="1" spans="1:9" ht="37.5" customHeight="1" x14ac:dyDescent="0.2"/>
    <row r="2" spans="1:9" ht="27" x14ac:dyDescent="0.35">
      <c r="B2" s="94" t="s">
        <v>108</v>
      </c>
      <c r="C2" s="94"/>
      <c r="D2" s="94"/>
      <c r="E2" s="94"/>
      <c r="F2" s="94"/>
      <c r="G2" s="94"/>
      <c r="H2" s="94"/>
      <c r="I2" s="94"/>
    </row>
    <row r="4" spans="1:9" ht="15.75" x14ac:dyDescent="0.25">
      <c r="A4" s="93" t="s">
        <v>107</v>
      </c>
      <c r="B4" s="93"/>
      <c r="C4" s="95" t="s">
        <v>106</v>
      </c>
      <c r="D4" s="95"/>
      <c r="E4" s="95"/>
      <c r="F4" s="57"/>
      <c r="G4" s="56"/>
      <c r="H4" s="55"/>
    </row>
    <row r="5" spans="1:9" ht="15.75" x14ac:dyDescent="0.25">
      <c r="A5" s="93" t="s">
        <v>105</v>
      </c>
      <c r="B5" s="93"/>
      <c r="C5" s="95" t="s">
        <v>104</v>
      </c>
      <c r="D5" s="95"/>
      <c r="E5" s="95"/>
      <c r="F5" s="57"/>
      <c r="G5" s="56"/>
      <c r="H5" s="55"/>
    </row>
    <row r="6" spans="1:9" ht="15.75" x14ac:dyDescent="0.25">
      <c r="A6" s="93" t="s">
        <v>103</v>
      </c>
      <c r="B6" s="93"/>
      <c r="C6" s="59">
        <v>2022</v>
      </c>
      <c r="D6" s="58"/>
      <c r="E6" s="58"/>
      <c r="F6" s="57"/>
      <c r="G6" s="56"/>
      <c r="H6" s="55"/>
    </row>
    <row r="7" spans="1:9" ht="15.75" x14ac:dyDescent="0.25">
      <c r="A7" s="93" t="s">
        <v>102</v>
      </c>
      <c r="B7" s="93"/>
      <c r="C7" s="59">
        <v>3</v>
      </c>
      <c r="D7" s="58"/>
      <c r="E7" s="58"/>
      <c r="F7" s="57"/>
      <c r="G7" s="56"/>
      <c r="H7" s="55"/>
    </row>
    <row r="8" spans="1:9" ht="13.5" thickBot="1" x14ac:dyDescent="0.25">
      <c r="B8" s="55"/>
      <c r="C8" s="56"/>
      <c r="D8" s="55"/>
      <c r="E8" s="55"/>
      <c r="F8" s="57"/>
      <c r="G8" s="56"/>
      <c r="H8" s="55"/>
    </row>
    <row r="9" spans="1:9" ht="39.75" thickTop="1" thickBot="1" x14ac:dyDescent="0.25">
      <c r="A9" s="54" t="s">
        <v>101</v>
      </c>
      <c r="B9" s="53" t="s">
        <v>100</v>
      </c>
      <c r="C9" s="51" t="s">
        <v>99</v>
      </c>
      <c r="D9" s="52" t="s">
        <v>98</v>
      </c>
      <c r="E9" s="51" t="s">
        <v>97</v>
      </c>
      <c r="F9" s="50" t="s">
        <v>96</v>
      </c>
      <c r="G9" s="49" t="s">
        <v>95</v>
      </c>
      <c r="H9" s="49" t="s">
        <v>94</v>
      </c>
      <c r="I9" s="49" t="s">
        <v>93</v>
      </c>
    </row>
    <row r="10" spans="1:9" s="27" customFormat="1" ht="45" x14ac:dyDescent="0.2">
      <c r="A10" s="48">
        <v>1</v>
      </c>
      <c r="B10" s="47" t="s">
        <v>92</v>
      </c>
      <c r="C10" s="46" t="s">
        <v>91</v>
      </c>
      <c r="D10" s="45" t="s">
        <v>90</v>
      </c>
      <c r="E10" s="46" t="s">
        <v>89</v>
      </c>
      <c r="F10" s="45" t="s">
        <v>31</v>
      </c>
      <c r="G10" s="45">
        <v>40</v>
      </c>
      <c r="H10" s="44">
        <v>650</v>
      </c>
      <c r="I10" s="43">
        <f t="shared" ref="I10:I43" si="0">+H10*G10</f>
        <v>26000</v>
      </c>
    </row>
    <row r="11" spans="1:9" s="27" customFormat="1" ht="30" x14ac:dyDescent="0.2">
      <c r="A11" s="39">
        <v>2</v>
      </c>
      <c r="B11" s="38" t="s">
        <v>88</v>
      </c>
      <c r="C11" s="38" t="s">
        <v>87</v>
      </c>
      <c r="D11" s="36" t="str">
        <f t="shared" ref="D11:D37" si="1">+LEFT(B11,5)</f>
        <v>2.3.4</v>
      </c>
      <c r="E11" s="37" t="s">
        <v>86</v>
      </c>
      <c r="F11" s="36" t="s">
        <v>56</v>
      </c>
      <c r="G11" s="36">
        <v>50</v>
      </c>
      <c r="H11" s="35">
        <v>248</v>
      </c>
      <c r="I11" s="34">
        <f t="shared" si="0"/>
        <v>12400</v>
      </c>
    </row>
    <row r="12" spans="1:9" s="27" customFormat="1" ht="45" x14ac:dyDescent="0.2">
      <c r="A12" s="39">
        <v>3</v>
      </c>
      <c r="B12" s="38" t="s">
        <v>85</v>
      </c>
      <c r="C12" s="38" t="s">
        <v>17</v>
      </c>
      <c r="D12" s="36" t="str">
        <f t="shared" si="1"/>
        <v>2.3.4</v>
      </c>
      <c r="E12" s="37" t="s">
        <v>84</v>
      </c>
      <c r="F12" s="36" t="s">
        <v>31</v>
      </c>
      <c r="G12" s="36">
        <v>15</v>
      </c>
      <c r="H12" s="35">
        <v>2598</v>
      </c>
      <c r="I12" s="34">
        <f t="shared" si="0"/>
        <v>38970</v>
      </c>
    </row>
    <row r="13" spans="1:9" s="27" customFormat="1" ht="36.75" customHeight="1" x14ac:dyDescent="0.2">
      <c r="A13" s="39">
        <v>4</v>
      </c>
      <c r="B13" s="38" t="s">
        <v>83</v>
      </c>
      <c r="C13" s="38" t="s">
        <v>17</v>
      </c>
      <c r="D13" s="36" t="str">
        <f t="shared" si="1"/>
        <v>2.3.4</v>
      </c>
      <c r="E13" s="37" t="s">
        <v>82</v>
      </c>
      <c r="F13" s="36" t="s">
        <v>81</v>
      </c>
      <c r="G13" s="36">
        <v>15</v>
      </c>
      <c r="H13" s="35">
        <v>1179</v>
      </c>
      <c r="I13" s="34">
        <f t="shared" si="0"/>
        <v>17685</v>
      </c>
    </row>
    <row r="14" spans="1:9" s="27" customFormat="1" ht="30" x14ac:dyDescent="0.2">
      <c r="A14" s="39">
        <v>5</v>
      </c>
      <c r="B14" s="38" t="s">
        <v>80</v>
      </c>
      <c r="C14" s="38" t="s">
        <v>17</v>
      </c>
      <c r="D14" s="36" t="str">
        <f t="shared" si="1"/>
        <v>2.3.4</v>
      </c>
      <c r="E14" s="37" t="s">
        <v>79</v>
      </c>
      <c r="F14" s="36" t="s">
        <v>56</v>
      </c>
      <c r="G14" s="42">
        <v>300</v>
      </c>
      <c r="H14" s="35">
        <v>621</v>
      </c>
      <c r="I14" s="34">
        <f t="shared" si="0"/>
        <v>186300</v>
      </c>
    </row>
    <row r="15" spans="1:9" s="27" customFormat="1" ht="30" x14ac:dyDescent="0.2">
      <c r="A15" s="39">
        <v>6</v>
      </c>
      <c r="B15" s="38" t="s">
        <v>78</v>
      </c>
      <c r="C15" s="38" t="s">
        <v>17</v>
      </c>
      <c r="D15" s="36" t="str">
        <f t="shared" si="1"/>
        <v>2.5.4</v>
      </c>
      <c r="E15" s="37" t="s">
        <v>77</v>
      </c>
      <c r="F15" s="36" t="s">
        <v>14</v>
      </c>
      <c r="G15" s="36">
        <v>300</v>
      </c>
      <c r="H15" s="35">
        <v>279</v>
      </c>
      <c r="I15" s="34">
        <f t="shared" si="0"/>
        <v>83700</v>
      </c>
    </row>
    <row r="16" spans="1:9" s="27" customFormat="1" ht="30" x14ac:dyDescent="0.2">
      <c r="A16" s="39">
        <v>7</v>
      </c>
      <c r="B16" s="38" t="s">
        <v>76</v>
      </c>
      <c r="C16" s="38" t="s">
        <v>17</v>
      </c>
      <c r="D16" s="36" t="str">
        <f t="shared" si="1"/>
        <v>2.5.4</v>
      </c>
      <c r="E16" s="37" t="s">
        <v>75</v>
      </c>
      <c r="F16" s="36" t="s">
        <v>14</v>
      </c>
      <c r="G16" s="36">
        <v>40</v>
      </c>
      <c r="H16" s="35">
        <v>469</v>
      </c>
      <c r="I16" s="34">
        <f t="shared" si="0"/>
        <v>18760</v>
      </c>
    </row>
    <row r="17" spans="1:9" s="27" customFormat="1" ht="45" x14ac:dyDescent="0.2">
      <c r="A17" s="39">
        <v>8</v>
      </c>
      <c r="B17" s="38" t="s">
        <v>74</v>
      </c>
      <c r="C17" s="38" t="s">
        <v>17</v>
      </c>
      <c r="D17" s="36" t="str">
        <f t="shared" si="1"/>
        <v>2.5.4</v>
      </c>
      <c r="E17" s="37" t="s">
        <v>73</v>
      </c>
      <c r="F17" s="36" t="s">
        <v>14</v>
      </c>
      <c r="G17" s="36">
        <v>40</v>
      </c>
      <c r="H17" s="35">
        <v>425</v>
      </c>
      <c r="I17" s="34">
        <f t="shared" si="0"/>
        <v>17000</v>
      </c>
    </row>
    <row r="18" spans="1:9" s="41" customFormat="1" ht="45" x14ac:dyDescent="0.2">
      <c r="A18" s="39">
        <v>9</v>
      </c>
      <c r="B18" s="38" t="s">
        <v>72</v>
      </c>
      <c r="C18" s="38" t="s">
        <v>17</v>
      </c>
      <c r="D18" s="36" t="str">
        <f t="shared" si="1"/>
        <v>2.5.4</v>
      </c>
      <c r="E18" s="37" t="s">
        <v>71</v>
      </c>
      <c r="F18" s="36" t="s">
        <v>14</v>
      </c>
      <c r="G18" s="36">
        <v>15</v>
      </c>
      <c r="H18" s="35">
        <v>1624</v>
      </c>
      <c r="I18" s="34">
        <f t="shared" si="0"/>
        <v>24360</v>
      </c>
    </row>
    <row r="19" spans="1:9" s="27" customFormat="1" ht="45" x14ac:dyDescent="0.2">
      <c r="A19" s="39">
        <v>10</v>
      </c>
      <c r="B19" s="38" t="s">
        <v>70</v>
      </c>
      <c r="C19" s="38" t="s">
        <v>17</v>
      </c>
      <c r="D19" s="36" t="str">
        <f t="shared" si="1"/>
        <v>2.5.4</v>
      </c>
      <c r="E19" s="37" t="s">
        <v>69</v>
      </c>
      <c r="F19" s="36" t="s">
        <v>14</v>
      </c>
      <c r="G19" s="36">
        <v>100</v>
      </c>
      <c r="H19" s="35">
        <v>300</v>
      </c>
      <c r="I19" s="34">
        <f t="shared" si="0"/>
        <v>30000</v>
      </c>
    </row>
    <row r="20" spans="1:9" s="27" customFormat="1" ht="30" x14ac:dyDescent="0.2">
      <c r="A20" s="39">
        <v>11</v>
      </c>
      <c r="B20" s="38" t="s">
        <v>68</v>
      </c>
      <c r="C20" s="38" t="s">
        <v>17</v>
      </c>
      <c r="D20" s="36" t="str">
        <f t="shared" si="1"/>
        <v>2.9.1</v>
      </c>
      <c r="E20" s="37" t="s">
        <v>67</v>
      </c>
      <c r="F20" s="36" t="s">
        <v>14</v>
      </c>
      <c r="G20" s="36">
        <v>15</v>
      </c>
      <c r="H20" s="35">
        <v>1560</v>
      </c>
      <c r="I20" s="34">
        <f t="shared" si="0"/>
        <v>23400</v>
      </c>
    </row>
    <row r="21" spans="1:9" s="27" customFormat="1" ht="45" x14ac:dyDescent="0.2">
      <c r="A21" s="39">
        <v>12</v>
      </c>
      <c r="B21" s="38" t="s">
        <v>66</v>
      </c>
      <c r="C21" s="38" t="s">
        <v>17</v>
      </c>
      <c r="D21" s="36" t="str">
        <f t="shared" si="1"/>
        <v>2.9.1</v>
      </c>
      <c r="E21" s="37" t="s">
        <v>65</v>
      </c>
      <c r="F21" s="36" t="s">
        <v>14</v>
      </c>
      <c r="G21" s="36">
        <v>50</v>
      </c>
      <c r="H21" s="35">
        <v>284</v>
      </c>
      <c r="I21" s="34">
        <f t="shared" si="0"/>
        <v>14200</v>
      </c>
    </row>
    <row r="22" spans="1:9" s="27" customFormat="1" ht="30" x14ac:dyDescent="0.2">
      <c r="A22" s="39">
        <v>13</v>
      </c>
      <c r="B22" s="38" t="s">
        <v>64</v>
      </c>
      <c r="C22" s="38" t="s">
        <v>17</v>
      </c>
      <c r="D22" s="36" t="str">
        <f t="shared" si="1"/>
        <v>2.9.1</v>
      </c>
      <c r="E22" s="37" t="s">
        <v>63</v>
      </c>
      <c r="F22" s="36" t="s">
        <v>14</v>
      </c>
      <c r="G22" s="36">
        <v>50</v>
      </c>
      <c r="H22" s="35">
        <v>165</v>
      </c>
      <c r="I22" s="34">
        <f t="shared" si="0"/>
        <v>8250</v>
      </c>
    </row>
    <row r="23" spans="1:9" s="27" customFormat="1" ht="30" x14ac:dyDescent="0.2">
      <c r="A23" s="39">
        <v>14</v>
      </c>
      <c r="B23" s="38" t="s">
        <v>62</v>
      </c>
      <c r="C23" s="38" t="s">
        <v>17</v>
      </c>
      <c r="D23" s="36" t="str">
        <f t="shared" si="1"/>
        <v>2.9.1</v>
      </c>
      <c r="E23" s="40" t="s">
        <v>61</v>
      </c>
      <c r="F23" s="36" t="s">
        <v>14</v>
      </c>
      <c r="G23" s="36">
        <v>30</v>
      </c>
      <c r="H23" s="35">
        <v>1940</v>
      </c>
      <c r="I23" s="34">
        <f t="shared" si="0"/>
        <v>58200</v>
      </c>
    </row>
    <row r="24" spans="1:9" s="27" customFormat="1" ht="30" x14ac:dyDescent="0.2">
      <c r="A24" s="39">
        <v>15</v>
      </c>
      <c r="B24" s="38" t="s">
        <v>60</v>
      </c>
      <c r="C24" s="38" t="s">
        <v>17</v>
      </c>
      <c r="D24" s="36" t="str">
        <f t="shared" si="1"/>
        <v>2.9.1</v>
      </c>
      <c r="E24" s="37" t="s">
        <v>59</v>
      </c>
      <c r="F24" s="36" t="s">
        <v>14</v>
      </c>
      <c r="G24" s="36">
        <v>150</v>
      </c>
      <c r="H24" s="35">
        <v>234</v>
      </c>
      <c r="I24" s="34">
        <f t="shared" si="0"/>
        <v>35100</v>
      </c>
    </row>
    <row r="25" spans="1:9" s="27" customFormat="1" ht="30" x14ac:dyDescent="0.2">
      <c r="A25" s="39">
        <v>16</v>
      </c>
      <c r="B25" s="38" t="s">
        <v>58</v>
      </c>
      <c r="C25" s="38" t="s">
        <v>17</v>
      </c>
      <c r="D25" s="36" t="str">
        <f t="shared" si="1"/>
        <v>2.9.1</v>
      </c>
      <c r="E25" s="37" t="s">
        <v>57</v>
      </c>
      <c r="F25" s="36" t="s">
        <v>56</v>
      </c>
      <c r="G25" s="36">
        <v>300</v>
      </c>
      <c r="H25" s="35">
        <v>199</v>
      </c>
      <c r="I25" s="34">
        <f t="shared" si="0"/>
        <v>59700</v>
      </c>
    </row>
    <row r="26" spans="1:9" s="27" customFormat="1" ht="30" x14ac:dyDescent="0.2">
      <c r="A26" s="39">
        <v>17</v>
      </c>
      <c r="B26" s="38" t="s">
        <v>55</v>
      </c>
      <c r="C26" s="38" t="s">
        <v>17</v>
      </c>
      <c r="D26" s="36" t="str">
        <f t="shared" si="1"/>
        <v>2.9.1</v>
      </c>
      <c r="E26" s="37" t="s">
        <v>54</v>
      </c>
      <c r="F26" s="36" t="s">
        <v>14</v>
      </c>
      <c r="G26" s="36">
        <v>80</v>
      </c>
      <c r="H26" s="35">
        <v>294</v>
      </c>
      <c r="I26" s="34">
        <f t="shared" si="0"/>
        <v>23520</v>
      </c>
    </row>
    <row r="27" spans="1:9" s="27" customFormat="1" ht="15" x14ac:dyDescent="0.2">
      <c r="A27" s="39">
        <v>18</v>
      </c>
      <c r="B27" s="38" t="s">
        <v>53</v>
      </c>
      <c r="C27" s="38" t="s">
        <v>17</v>
      </c>
      <c r="D27" s="36" t="str">
        <f t="shared" si="1"/>
        <v>2.9.1</v>
      </c>
      <c r="E27" s="37" t="s">
        <v>52</v>
      </c>
      <c r="F27" s="36" t="s">
        <v>14</v>
      </c>
      <c r="G27" s="36">
        <v>20</v>
      </c>
      <c r="H27" s="35">
        <v>290</v>
      </c>
      <c r="I27" s="34">
        <f t="shared" si="0"/>
        <v>5800</v>
      </c>
    </row>
    <row r="28" spans="1:9" s="27" customFormat="1" ht="15" x14ac:dyDescent="0.2">
      <c r="A28" s="39">
        <v>19</v>
      </c>
      <c r="B28" s="38" t="s">
        <v>51</v>
      </c>
      <c r="C28" s="38" t="s">
        <v>17</v>
      </c>
      <c r="D28" s="36" t="str">
        <f t="shared" si="1"/>
        <v>2.9.1</v>
      </c>
      <c r="E28" s="37" t="s">
        <v>50</v>
      </c>
      <c r="F28" s="36" t="s">
        <v>14</v>
      </c>
      <c r="G28" s="36">
        <v>20</v>
      </c>
      <c r="H28" s="35">
        <v>400</v>
      </c>
      <c r="I28" s="34">
        <f t="shared" si="0"/>
        <v>8000</v>
      </c>
    </row>
    <row r="29" spans="1:9" s="27" customFormat="1" ht="30" x14ac:dyDescent="0.2">
      <c r="A29" s="39">
        <v>20</v>
      </c>
      <c r="B29" s="38" t="s">
        <v>49</v>
      </c>
      <c r="C29" s="38" t="s">
        <v>17</v>
      </c>
      <c r="D29" s="36" t="str">
        <f t="shared" si="1"/>
        <v>2.9.1</v>
      </c>
      <c r="E29" s="37" t="s">
        <v>48</v>
      </c>
      <c r="F29" s="36" t="s">
        <v>14</v>
      </c>
      <c r="G29" s="36">
        <v>100</v>
      </c>
      <c r="H29" s="35">
        <v>428</v>
      </c>
      <c r="I29" s="34">
        <f t="shared" si="0"/>
        <v>42800</v>
      </c>
    </row>
    <row r="30" spans="1:9" s="27" customFormat="1" ht="15" x14ac:dyDescent="0.2">
      <c r="A30" s="39">
        <v>21</v>
      </c>
      <c r="B30" s="38" t="s">
        <v>47</v>
      </c>
      <c r="C30" s="38" t="s">
        <v>17</v>
      </c>
      <c r="D30" s="36" t="str">
        <f t="shared" si="1"/>
        <v>2.9.1</v>
      </c>
      <c r="E30" s="37" t="s">
        <v>46</v>
      </c>
      <c r="F30" s="36" t="s">
        <v>14</v>
      </c>
      <c r="G30" s="36">
        <v>20</v>
      </c>
      <c r="H30" s="35">
        <v>1750</v>
      </c>
      <c r="I30" s="34">
        <f t="shared" si="0"/>
        <v>35000</v>
      </c>
    </row>
    <row r="31" spans="1:9" s="27" customFormat="1" ht="15" x14ac:dyDescent="0.2">
      <c r="A31" s="39">
        <v>22</v>
      </c>
      <c r="B31" s="38" t="s">
        <v>45</v>
      </c>
      <c r="C31" s="38" t="s">
        <v>17</v>
      </c>
      <c r="D31" s="36" t="str">
        <f t="shared" si="1"/>
        <v>2.9.1</v>
      </c>
      <c r="E31" s="37" t="s">
        <v>44</v>
      </c>
      <c r="F31" s="36" t="s">
        <v>14</v>
      </c>
      <c r="G31" s="36">
        <v>15</v>
      </c>
      <c r="H31" s="35">
        <v>1100</v>
      </c>
      <c r="I31" s="34">
        <f t="shared" si="0"/>
        <v>16500</v>
      </c>
    </row>
    <row r="32" spans="1:9" s="27" customFormat="1" ht="15" x14ac:dyDescent="0.2">
      <c r="A32" s="39">
        <v>23</v>
      </c>
      <c r="B32" s="38" t="s">
        <v>43</v>
      </c>
      <c r="C32" s="38" t="s">
        <v>17</v>
      </c>
      <c r="D32" s="36" t="str">
        <f t="shared" si="1"/>
        <v>2.9.1</v>
      </c>
      <c r="E32" s="37" t="s">
        <v>42</v>
      </c>
      <c r="F32" s="36" t="s">
        <v>14</v>
      </c>
      <c r="G32" s="36">
        <v>10</v>
      </c>
      <c r="H32" s="35">
        <v>1160</v>
      </c>
      <c r="I32" s="34">
        <f t="shared" si="0"/>
        <v>11600</v>
      </c>
    </row>
    <row r="33" spans="1:9" s="27" customFormat="1" ht="15" x14ac:dyDescent="0.2">
      <c r="A33" s="39">
        <v>24</v>
      </c>
      <c r="B33" s="38" t="s">
        <v>41</v>
      </c>
      <c r="C33" s="38" t="s">
        <v>17</v>
      </c>
      <c r="D33" s="36" t="str">
        <f t="shared" si="1"/>
        <v>2.9.1</v>
      </c>
      <c r="E33" s="37" t="s">
        <v>40</v>
      </c>
      <c r="F33" s="36" t="s">
        <v>14</v>
      </c>
      <c r="G33" s="36">
        <v>100</v>
      </c>
      <c r="H33" s="35">
        <v>440</v>
      </c>
      <c r="I33" s="34">
        <f t="shared" si="0"/>
        <v>44000</v>
      </c>
    </row>
    <row r="34" spans="1:9" s="27" customFormat="1" ht="30" x14ac:dyDescent="0.2">
      <c r="A34" s="39">
        <v>25</v>
      </c>
      <c r="B34" s="38" t="s">
        <v>39</v>
      </c>
      <c r="C34" s="38" t="s">
        <v>17</v>
      </c>
      <c r="D34" s="36" t="str">
        <f t="shared" si="1"/>
        <v>2.9.1</v>
      </c>
      <c r="E34" s="37" t="s">
        <v>38</v>
      </c>
      <c r="F34" s="36" t="s">
        <v>14</v>
      </c>
      <c r="G34" s="36">
        <v>100</v>
      </c>
      <c r="H34" s="35">
        <v>1299</v>
      </c>
      <c r="I34" s="34">
        <f t="shared" si="0"/>
        <v>129900</v>
      </c>
    </row>
    <row r="35" spans="1:9" s="27" customFormat="1" ht="15" x14ac:dyDescent="0.2">
      <c r="A35" s="39">
        <v>26</v>
      </c>
      <c r="B35" s="38" t="s">
        <v>37</v>
      </c>
      <c r="C35" s="38" t="s">
        <v>17</v>
      </c>
      <c r="D35" s="36" t="str">
        <f t="shared" si="1"/>
        <v>2.9.1</v>
      </c>
      <c r="E35" s="37" t="s">
        <v>36</v>
      </c>
      <c r="F35" s="36" t="s">
        <v>14</v>
      </c>
      <c r="G35" s="36">
        <v>20</v>
      </c>
      <c r="H35" s="35">
        <v>452</v>
      </c>
      <c r="I35" s="34">
        <f t="shared" si="0"/>
        <v>9040</v>
      </c>
    </row>
    <row r="36" spans="1:9" s="27" customFormat="1" ht="30" x14ac:dyDescent="0.2">
      <c r="A36" s="39">
        <v>27</v>
      </c>
      <c r="B36" s="38" t="s">
        <v>35</v>
      </c>
      <c r="C36" s="38" t="s">
        <v>17</v>
      </c>
      <c r="D36" s="36" t="str">
        <f t="shared" si="1"/>
        <v>2.9.1</v>
      </c>
      <c r="E36" s="37" t="s">
        <v>34</v>
      </c>
      <c r="F36" s="36" t="s">
        <v>14</v>
      </c>
      <c r="G36" s="36">
        <v>30</v>
      </c>
      <c r="H36" s="35">
        <v>940</v>
      </c>
      <c r="I36" s="34">
        <f t="shared" si="0"/>
        <v>28200</v>
      </c>
    </row>
    <row r="37" spans="1:9" s="27" customFormat="1" ht="30" x14ac:dyDescent="0.2">
      <c r="A37" s="39">
        <v>28</v>
      </c>
      <c r="B37" s="38" t="s">
        <v>33</v>
      </c>
      <c r="C37" s="38" t="s">
        <v>17</v>
      </c>
      <c r="D37" s="36" t="str">
        <f t="shared" si="1"/>
        <v>2.9.1</v>
      </c>
      <c r="E37" s="37" t="s">
        <v>32</v>
      </c>
      <c r="F37" s="36" t="s">
        <v>31</v>
      </c>
      <c r="G37" s="36">
        <v>20</v>
      </c>
      <c r="H37" s="35">
        <v>2954</v>
      </c>
      <c r="I37" s="34">
        <f t="shared" si="0"/>
        <v>59080</v>
      </c>
    </row>
    <row r="38" spans="1:9" s="27" customFormat="1" ht="30" x14ac:dyDescent="0.2">
      <c r="A38" s="39">
        <v>29</v>
      </c>
      <c r="B38" s="38" t="s">
        <v>30</v>
      </c>
      <c r="C38" s="38" t="s">
        <v>17</v>
      </c>
      <c r="D38" s="36" t="str">
        <f>+D42</f>
        <v>2.5.2</v>
      </c>
      <c r="E38" s="37" t="s">
        <v>29</v>
      </c>
      <c r="F38" s="36" t="s">
        <v>14</v>
      </c>
      <c r="G38" s="36">
        <v>15</v>
      </c>
      <c r="H38" s="35">
        <v>1199</v>
      </c>
      <c r="I38" s="34">
        <f t="shared" si="0"/>
        <v>17985</v>
      </c>
    </row>
    <row r="39" spans="1:9" s="27" customFormat="1" ht="15" x14ac:dyDescent="0.2">
      <c r="A39" s="39">
        <v>30</v>
      </c>
      <c r="B39" s="38" t="s">
        <v>28</v>
      </c>
      <c r="C39" s="38" t="s">
        <v>17</v>
      </c>
      <c r="D39" s="36" t="str">
        <f>+LEFT(B39,5)</f>
        <v>2.9.1</v>
      </c>
      <c r="E39" s="37" t="s">
        <v>27</v>
      </c>
      <c r="F39" s="36" t="s">
        <v>14</v>
      </c>
      <c r="G39" s="36">
        <v>80</v>
      </c>
      <c r="H39" s="35">
        <v>200</v>
      </c>
      <c r="I39" s="34">
        <f t="shared" si="0"/>
        <v>16000</v>
      </c>
    </row>
    <row r="40" spans="1:9" s="27" customFormat="1" ht="15" x14ac:dyDescent="0.2">
      <c r="A40" s="39">
        <v>31</v>
      </c>
      <c r="B40" s="38" t="s">
        <v>26</v>
      </c>
      <c r="C40" s="38" t="s">
        <v>17</v>
      </c>
      <c r="D40" s="36" t="str">
        <f>+LEFT(B40,5)</f>
        <v>2.9.1</v>
      </c>
      <c r="E40" s="37" t="s">
        <v>25</v>
      </c>
      <c r="F40" s="36" t="s">
        <v>14</v>
      </c>
      <c r="G40" s="36">
        <v>80</v>
      </c>
      <c r="H40" s="35">
        <v>319</v>
      </c>
      <c r="I40" s="34">
        <f t="shared" si="0"/>
        <v>25520</v>
      </c>
    </row>
    <row r="41" spans="1:9" s="27" customFormat="1" ht="15" x14ac:dyDescent="0.2">
      <c r="A41" s="39">
        <v>32</v>
      </c>
      <c r="B41" s="38" t="s">
        <v>24</v>
      </c>
      <c r="C41" s="38" t="s">
        <v>17</v>
      </c>
      <c r="D41" s="36" t="str">
        <f>+LEFT(B41,5)</f>
        <v>2.9.1</v>
      </c>
      <c r="E41" s="37" t="s">
        <v>23</v>
      </c>
      <c r="F41" s="36" t="s">
        <v>14</v>
      </c>
      <c r="G41" s="36">
        <v>70</v>
      </c>
      <c r="H41" s="35">
        <v>309</v>
      </c>
      <c r="I41" s="34">
        <f t="shared" si="0"/>
        <v>21630</v>
      </c>
    </row>
    <row r="42" spans="1:9" s="27" customFormat="1" ht="30" x14ac:dyDescent="0.2">
      <c r="A42" s="39">
        <v>33</v>
      </c>
      <c r="B42" s="38" t="s">
        <v>22</v>
      </c>
      <c r="C42" s="38" t="s">
        <v>21</v>
      </c>
      <c r="D42" s="36" t="s">
        <v>20</v>
      </c>
      <c r="E42" s="37" t="s">
        <v>19</v>
      </c>
      <c r="F42" s="36" t="s">
        <v>14</v>
      </c>
      <c r="G42" s="36">
        <v>70</v>
      </c>
      <c r="H42" s="35">
        <v>1249</v>
      </c>
      <c r="I42" s="34">
        <f t="shared" si="0"/>
        <v>87430</v>
      </c>
    </row>
    <row r="43" spans="1:9" s="27" customFormat="1" ht="42.75" customHeight="1" thickBot="1" x14ac:dyDescent="0.25">
      <c r="A43" s="33">
        <v>34</v>
      </c>
      <c r="B43" s="32" t="s">
        <v>18</v>
      </c>
      <c r="C43" s="32" t="s">
        <v>17</v>
      </c>
      <c r="D43" s="30" t="s">
        <v>16</v>
      </c>
      <c r="E43" s="31" t="s">
        <v>15</v>
      </c>
      <c r="F43" s="30" t="s">
        <v>14</v>
      </c>
      <c r="G43" s="30">
        <v>30</v>
      </c>
      <c r="H43" s="29">
        <v>1300</v>
      </c>
      <c r="I43" s="28">
        <f t="shared" si="0"/>
        <v>39000</v>
      </c>
    </row>
    <row r="44" spans="1:9" ht="13.5" thickBot="1" x14ac:dyDescent="0.25">
      <c r="I44" s="26">
        <f>SUM(I10:I43)</f>
        <v>1275030</v>
      </c>
    </row>
    <row r="45" spans="1:9" ht="13.5" thickBot="1" x14ac:dyDescent="0.25"/>
    <row r="46" spans="1:9" x14ac:dyDescent="0.2">
      <c r="B46" s="25" t="s">
        <v>13</v>
      </c>
      <c r="C46" s="24"/>
      <c r="D46" s="24"/>
      <c r="E46" s="23"/>
    </row>
    <row r="47" spans="1:9" ht="48" customHeight="1" x14ac:dyDescent="0.2">
      <c r="B47" s="22"/>
      <c r="C47" s="100" t="s">
        <v>12</v>
      </c>
      <c r="D47" s="100"/>
      <c r="E47" s="101"/>
      <c r="I47" s="60"/>
    </row>
    <row r="48" spans="1:9" ht="13.5" customHeight="1" thickBot="1" x14ac:dyDescent="0.25">
      <c r="B48" s="22"/>
      <c r="C48" s="21"/>
      <c r="D48" s="21"/>
      <c r="E48" s="20"/>
    </row>
    <row r="49" spans="2:5" ht="13.5" customHeight="1" x14ac:dyDescent="0.2">
      <c r="B49" s="17"/>
      <c r="C49" s="16"/>
      <c r="D49" s="16"/>
      <c r="E49" s="15"/>
    </row>
    <row r="50" spans="2:5" x14ac:dyDescent="0.2">
      <c r="B50" s="19" t="s">
        <v>11</v>
      </c>
      <c r="C50" s="11"/>
      <c r="D50" s="11"/>
      <c r="E50" s="10"/>
    </row>
    <row r="51" spans="2:5" ht="43.5" customHeight="1" thickBot="1" x14ac:dyDescent="0.25">
      <c r="B51" s="18"/>
      <c r="C51" s="96" t="s">
        <v>10</v>
      </c>
      <c r="D51" s="96"/>
      <c r="E51" s="97"/>
    </row>
    <row r="52" spans="2:5" ht="13.5" customHeight="1" x14ac:dyDescent="0.2">
      <c r="B52" s="22"/>
      <c r="C52" s="21"/>
      <c r="D52" s="21"/>
      <c r="E52" s="20"/>
    </row>
    <row r="53" spans="2:5" x14ac:dyDescent="0.2">
      <c r="B53" s="19" t="s">
        <v>9</v>
      </c>
      <c r="C53" s="11"/>
      <c r="D53" s="11"/>
      <c r="E53" s="10"/>
    </row>
    <row r="54" spans="2:5" ht="43.5" customHeight="1" thickBot="1" x14ac:dyDescent="0.25">
      <c r="B54" s="18"/>
      <c r="C54" s="96" t="s">
        <v>8</v>
      </c>
      <c r="D54" s="96"/>
      <c r="E54" s="97"/>
    </row>
    <row r="55" spans="2:5" ht="22.5" customHeight="1" x14ac:dyDescent="0.2">
      <c r="B55" s="17"/>
      <c r="C55" s="16"/>
      <c r="D55" s="16"/>
      <c r="E55" s="15"/>
    </row>
    <row r="56" spans="2:5" x14ac:dyDescent="0.2">
      <c r="B56" s="9" t="s">
        <v>7</v>
      </c>
      <c r="C56" s="11"/>
      <c r="D56" s="11"/>
      <c r="E56" s="10"/>
    </row>
    <row r="57" spans="2:5" x14ac:dyDescent="0.2">
      <c r="B57" s="9"/>
      <c r="C57" s="14"/>
      <c r="D57" s="14"/>
      <c r="E57" s="13"/>
    </row>
    <row r="58" spans="2:5" x14ac:dyDescent="0.2">
      <c r="B58" s="9" t="s">
        <v>6</v>
      </c>
      <c r="C58" s="11"/>
      <c r="D58" s="11"/>
      <c r="E58" s="10"/>
    </row>
    <row r="59" spans="2:5" ht="118.5" customHeight="1" x14ac:dyDescent="0.2">
      <c r="B59" s="12"/>
      <c r="C59" s="98" t="s">
        <v>5</v>
      </c>
      <c r="D59" s="98"/>
      <c r="E59" s="99"/>
    </row>
    <row r="60" spans="2:5" x14ac:dyDescent="0.2">
      <c r="B60" s="12"/>
      <c r="C60" s="8"/>
      <c r="D60" s="8"/>
      <c r="E60" s="7"/>
    </row>
    <row r="61" spans="2:5" x14ac:dyDescent="0.2">
      <c r="B61" s="9" t="s">
        <v>4</v>
      </c>
      <c r="C61" s="11"/>
      <c r="D61" s="11"/>
      <c r="E61" s="10"/>
    </row>
    <row r="62" spans="2:5" ht="25.5" customHeight="1" x14ac:dyDescent="0.2">
      <c r="B62" s="12"/>
      <c r="C62" s="98" t="s">
        <v>3</v>
      </c>
      <c r="D62" s="98"/>
      <c r="E62" s="99"/>
    </row>
    <row r="63" spans="2:5" x14ac:dyDescent="0.2">
      <c r="B63" s="9" t="s">
        <v>2</v>
      </c>
      <c r="C63" s="91"/>
      <c r="D63" s="91"/>
      <c r="E63" s="92"/>
    </row>
    <row r="64" spans="2:5" ht="21" customHeight="1" x14ac:dyDescent="0.2">
      <c r="B64" s="12"/>
      <c r="C64" s="87" t="s">
        <v>1</v>
      </c>
      <c r="D64" s="87"/>
      <c r="E64" s="88"/>
    </row>
    <row r="65" spans="2:5" x14ac:dyDescent="0.2">
      <c r="B65" s="9" t="s">
        <v>0</v>
      </c>
      <c r="C65" s="11"/>
      <c r="D65" s="11"/>
      <c r="E65" s="10"/>
    </row>
    <row r="66" spans="2:5" x14ac:dyDescent="0.2">
      <c r="B66" s="9"/>
      <c r="C66" s="8"/>
      <c r="D66" s="8"/>
      <c r="E66" s="7"/>
    </row>
    <row r="67" spans="2:5" ht="13.5" thickBot="1" x14ac:dyDescent="0.25">
      <c r="B67" s="6"/>
      <c r="C67" s="5"/>
      <c r="D67" s="5"/>
      <c r="E67" s="4"/>
    </row>
  </sheetData>
  <autoFilter ref="A9:I44"/>
  <mergeCells count="12">
    <mergeCell ref="C54:E54"/>
    <mergeCell ref="C59:E59"/>
    <mergeCell ref="C62:E62"/>
    <mergeCell ref="A7:B7"/>
    <mergeCell ref="C47:E47"/>
    <mergeCell ref="C51:E51"/>
    <mergeCell ref="A6:B6"/>
    <mergeCell ref="B2:I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22" zoomScale="90" zoomScaleNormal="90" workbookViewId="0">
      <selection activeCell="O31" sqref="O31:P31"/>
    </sheetView>
  </sheetViews>
  <sheetFormatPr baseColWidth="10" defaultColWidth="11" defaultRowHeight="13.5" x14ac:dyDescent="0.25"/>
  <cols>
    <col min="1" max="5" width="4.42578125" style="63" customWidth="1"/>
    <col min="6" max="6" width="5.85546875" style="63" customWidth="1"/>
    <col min="7" max="7" width="4.42578125" style="64" customWidth="1"/>
    <col min="8" max="14" width="4.42578125" style="63" customWidth="1"/>
    <col min="15" max="15" width="14.85546875" style="63" customWidth="1"/>
    <col min="16" max="16" width="17" style="63" customWidth="1"/>
    <col min="17" max="17" width="14.7109375" style="63" customWidth="1"/>
    <col min="18" max="18" width="12.5703125" style="63" customWidth="1"/>
    <col min="19" max="16384" width="11" style="63"/>
  </cols>
  <sheetData>
    <row r="1" spans="1:17" ht="15.75" customHeight="1" thickBot="1" x14ac:dyDescent="0.3">
      <c r="A1" s="142" t="s">
        <v>103</v>
      </c>
      <c r="B1" s="143"/>
      <c r="C1" s="143"/>
      <c r="D1" s="144">
        <v>2022</v>
      </c>
      <c r="E1" s="145"/>
      <c r="F1" s="61"/>
      <c r="G1" s="61"/>
      <c r="H1" s="62"/>
      <c r="I1" s="62"/>
      <c r="J1" s="62"/>
      <c r="K1" s="62"/>
      <c r="L1" s="62"/>
      <c r="M1" s="62"/>
      <c r="N1" s="62"/>
      <c r="P1" s="146" t="s">
        <v>109</v>
      </c>
      <c r="Q1" s="147"/>
    </row>
    <row r="2" spans="1:17" ht="15.75" customHeight="1" thickBot="1" x14ac:dyDescent="0.3">
      <c r="H2" s="62"/>
      <c r="I2" s="62"/>
      <c r="J2" s="62"/>
      <c r="K2" s="62"/>
      <c r="L2" s="62"/>
      <c r="M2" s="62"/>
      <c r="N2" s="62"/>
      <c r="P2" s="148"/>
      <c r="Q2" s="149"/>
    </row>
    <row r="3" spans="1:17" ht="14.25" thickBot="1" x14ac:dyDescent="0.3"/>
    <row r="4" spans="1:17" ht="18" customHeight="1" thickBot="1" x14ac:dyDescent="0.35">
      <c r="A4" s="150" t="s">
        <v>110</v>
      </c>
      <c r="B4" s="151"/>
      <c r="C4" s="151"/>
      <c r="D4" s="151"/>
      <c r="E4" s="151"/>
      <c r="F4" s="152"/>
      <c r="G4" s="153" t="s">
        <v>106</v>
      </c>
      <c r="H4" s="154"/>
      <c r="I4" s="154"/>
      <c r="J4" s="154"/>
      <c r="K4" s="154"/>
      <c r="L4" s="154"/>
      <c r="M4" s="154"/>
      <c r="N4" s="154"/>
      <c r="O4" s="154"/>
      <c r="P4" s="154"/>
      <c r="Q4" s="155"/>
    </row>
    <row r="5" spans="1:17" ht="34.5" customHeight="1" thickBot="1" x14ac:dyDescent="0.35">
      <c r="A5" s="156" t="s">
        <v>111</v>
      </c>
      <c r="B5" s="157"/>
      <c r="C5" s="157"/>
      <c r="D5" s="157"/>
      <c r="E5" s="157"/>
      <c r="F5" s="158"/>
      <c r="G5" s="159" t="s">
        <v>104</v>
      </c>
      <c r="H5" s="160"/>
      <c r="I5" s="160"/>
      <c r="J5" s="160"/>
      <c r="K5" s="160"/>
      <c r="L5" s="160"/>
      <c r="M5" s="160"/>
      <c r="N5" s="160"/>
      <c r="O5" s="160"/>
      <c r="P5" s="160"/>
      <c r="Q5" s="161"/>
    </row>
    <row r="6" spans="1:17" ht="18" customHeight="1" thickBot="1" x14ac:dyDescent="0.35">
      <c r="A6" s="156" t="s">
        <v>112</v>
      </c>
      <c r="B6" s="157"/>
      <c r="C6" s="157"/>
      <c r="D6" s="157"/>
      <c r="E6" s="157"/>
      <c r="F6" s="158"/>
      <c r="G6" s="162" t="s">
        <v>113</v>
      </c>
      <c r="H6" s="163"/>
      <c r="I6" s="163"/>
      <c r="J6" s="163"/>
      <c r="K6" s="163"/>
      <c r="L6" s="163"/>
      <c r="M6" s="163"/>
      <c r="N6" s="163"/>
      <c r="O6" s="163"/>
      <c r="P6" s="163"/>
      <c r="Q6" s="164"/>
    </row>
    <row r="7" spans="1:17" ht="18" customHeight="1" thickBot="1" x14ac:dyDescent="0.35">
      <c r="A7" s="156" t="s">
        <v>114</v>
      </c>
      <c r="B7" s="157"/>
      <c r="C7" s="157"/>
      <c r="D7" s="157"/>
      <c r="E7" s="157"/>
      <c r="F7" s="158"/>
      <c r="G7" s="162" t="str">
        <f>+G6</f>
        <v>Ministerio de Trabajo, Planificacion y Reursos Humanos</v>
      </c>
      <c r="H7" s="163"/>
      <c r="I7" s="163"/>
      <c r="J7" s="163"/>
      <c r="K7" s="163"/>
      <c r="L7" s="163"/>
      <c r="M7" s="163"/>
      <c r="N7" s="163"/>
      <c r="O7" s="163"/>
      <c r="P7" s="163"/>
      <c r="Q7" s="164"/>
    </row>
    <row r="8" spans="1:17" ht="18" customHeight="1" thickBot="1" x14ac:dyDescent="0.3">
      <c r="A8" s="165" t="s">
        <v>115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7"/>
    </row>
    <row r="9" spans="1:17" ht="18" customHeight="1" x14ac:dyDescent="0.3">
      <c r="A9" s="140" t="s">
        <v>116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65"/>
      <c r="P9" s="65"/>
      <c r="Q9" s="66"/>
    </row>
    <row r="10" spans="1:17" ht="65.25" customHeight="1" x14ac:dyDescent="0.25">
      <c r="A10" s="122" t="s">
        <v>117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</row>
    <row r="11" spans="1:17" ht="9" customHeight="1" thickBot="1" x14ac:dyDescent="0.3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7" ht="15.75" customHeight="1" thickBot="1" x14ac:dyDescent="0.3">
      <c r="A12" s="125" t="s">
        <v>118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</row>
    <row r="13" spans="1:17" ht="15.75" customHeight="1" thickBot="1" x14ac:dyDescent="0.3">
      <c r="A13" s="128" t="s">
        <v>119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30"/>
      <c r="O13" s="131" t="s">
        <v>120</v>
      </c>
      <c r="P13" s="132"/>
      <c r="Q13" s="135" t="s">
        <v>121</v>
      </c>
    </row>
    <row r="14" spans="1:17" ht="15.75" customHeight="1" x14ac:dyDescent="0.25">
      <c r="A14" s="71" t="s">
        <v>122</v>
      </c>
      <c r="B14" s="72" t="s">
        <v>123</v>
      </c>
      <c r="C14" s="72" t="s">
        <v>124</v>
      </c>
      <c r="D14" s="72" t="s">
        <v>125</v>
      </c>
      <c r="E14" s="72" t="s">
        <v>126</v>
      </c>
      <c r="F14" s="72" t="s">
        <v>127</v>
      </c>
      <c r="G14" s="73" t="s">
        <v>128</v>
      </c>
      <c r="H14" s="72" t="s">
        <v>129</v>
      </c>
      <c r="I14" s="72" t="s">
        <v>130</v>
      </c>
      <c r="J14" s="72" t="s">
        <v>131</v>
      </c>
      <c r="K14" s="72" t="s">
        <v>131</v>
      </c>
      <c r="L14" s="72" t="s">
        <v>132</v>
      </c>
      <c r="M14" s="74" t="s">
        <v>133</v>
      </c>
      <c r="N14" s="75" t="s">
        <v>134</v>
      </c>
      <c r="O14" s="133"/>
      <c r="P14" s="134"/>
      <c r="Q14" s="136"/>
    </row>
    <row r="15" spans="1:17" ht="17.25" customHeight="1" x14ac:dyDescent="0.25">
      <c r="A15" s="76">
        <v>1</v>
      </c>
      <c r="B15" s="77">
        <v>0</v>
      </c>
      <c r="C15" s="77">
        <v>0</v>
      </c>
      <c r="D15" s="77">
        <v>1</v>
      </c>
      <c r="E15" s="77">
        <v>0</v>
      </c>
      <c r="F15" s="77">
        <v>4901</v>
      </c>
      <c r="G15" s="77">
        <v>3</v>
      </c>
      <c r="H15" s="77">
        <v>6</v>
      </c>
      <c r="I15" s="77">
        <v>2</v>
      </c>
      <c r="J15" s="77">
        <v>3</v>
      </c>
      <c r="K15" s="77">
        <v>4</v>
      </c>
      <c r="L15" s="77">
        <v>0</v>
      </c>
      <c r="M15" s="77">
        <v>1</v>
      </c>
      <c r="N15" s="77" t="s">
        <v>136</v>
      </c>
      <c r="O15" s="139" t="s">
        <v>135</v>
      </c>
      <c r="P15" s="139"/>
      <c r="Q15" s="78">
        <v>209750</v>
      </c>
    </row>
    <row r="16" spans="1:17" ht="17.25" customHeight="1" x14ac:dyDescent="0.25">
      <c r="A16" s="76">
        <v>7</v>
      </c>
      <c r="B16" s="80">
        <v>0</v>
      </c>
      <c r="C16" s="80">
        <v>0</v>
      </c>
      <c r="D16" s="80">
        <v>1</v>
      </c>
      <c r="E16" s="80">
        <v>0</v>
      </c>
      <c r="F16" s="80">
        <v>4901</v>
      </c>
      <c r="G16" s="80">
        <v>1</v>
      </c>
      <c r="H16" s="80">
        <v>3</v>
      </c>
      <c r="I16" s="80">
        <v>2</v>
      </c>
      <c r="J16" s="80">
        <v>3</v>
      </c>
      <c r="K16" s="80">
        <v>4</v>
      </c>
      <c r="L16" s="80">
        <v>0</v>
      </c>
      <c r="M16" s="80">
        <v>1</v>
      </c>
      <c r="N16" s="80" t="s">
        <v>136</v>
      </c>
      <c r="O16" s="114" t="s">
        <v>135</v>
      </c>
      <c r="P16" s="114"/>
      <c r="Q16" s="81">
        <v>45605</v>
      </c>
    </row>
    <row r="17" spans="1:17" ht="24.75" customHeight="1" x14ac:dyDescent="0.25">
      <c r="A17" s="76">
        <v>1</v>
      </c>
      <c r="B17" s="80">
        <v>0</v>
      </c>
      <c r="C17" s="80">
        <v>0</v>
      </c>
      <c r="D17" s="80">
        <v>1</v>
      </c>
      <c r="E17" s="80">
        <v>0</v>
      </c>
      <c r="F17" s="80">
        <v>4901</v>
      </c>
      <c r="G17" s="80">
        <v>3</v>
      </c>
      <c r="H17" s="80">
        <v>6</v>
      </c>
      <c r="I17" s="80">
        <v>2</v>
      </c>
      <c r="J17" s="80">
        <v>5</v>
      </c>
      <c r="K17" s="80">
        <v>2</v>
      </c>
      <c r="L17" s="80">
        <v>0</v>
      </c>
      <c r="M17" s="80">
        <v>1</v>
      </c>
      <c r="N17" s="80" t="s">
        <v>143</v>
      </c>
      <c r="O17" s="137" t="s">
        <v>137</v>
      </c>
      <c r="P17" s="138"/>
      <c r="Q17" s="81">
        <v>54198</v>
      </c>
    </row>
    <row r="18" spans="1:17" ht="27.75" customHeight="1" x14ac:dyDescent="0.25">
      <c r="A18" s="82">
        <v>2</v>
      </c>
      <c r="B18" s="80">
        <v>0</v>
      </c>
      <c r="C18" s="80">
        <v>0</v>
      </c>
      <c r="D18" s="80">
        <v>1</v>
      </c>
      <c r="E18" s="80">
        <v>0</v>
      </c>
      <c r="F18" s="80">
        <v>4901</v>
      </c>
      <c r="G18" s="80">
        <v>3</v>
      </c>
      <c r="H18" s="80">
        <v>6</v>
      </c>
      <c r="I18" s="80">
        <v>2</v>
      </c>
      <c r="J18" s="80">
        <v>5</v>
      </c>
      <c r="K18" s="80">
        <v>2</v>
      </c>
      <c r="L18" s="80">
        <v>0</v>
      </c>
      <c r="M18" s="80">
        <v>1</v>
      </c>
      <c r="N18" s="80" t="s">
        <v>136</v>
      </c>
      <c r="O18" s="137" t="s">
        <v>137</v>
      </c>
      <c r="P18" s="138"/>
      <c r="Q18" s="81">
        <v>37493</v>
      </c>
    </row>
    <row r="19" spans="1:17" ht="27.75" customHeight="1" x14ac:dyDescent="0.25">
      <c r="A19" s="82">
        <v>4</v>
      </c>
      <c r="B19" s="80">
        <v>0</v>
      </c>
      <c r="C19" s="80">
        <v>0</v>
      </c>
      <c r="D19" s="80">
        <v>1</v>
      </c>
      <c r="E19" s="80">
        <v>0</v>
      </c>
      <c r="F19" s="80">
        <v>4901</v>
      </c>
      <c r="G19" s="80">
        <v>3</v>
      </c>
      <c r="H19" s="80">
        <v>4</v>
      </c>
      <c r="I19" s="80">
        <v>2</v>
      </c>
      <c r="J19" s="80">
        <v>5</v>
      </c>
      <c r="K19" s="80">
        <v>2</v>
      </c>
      <c r="L19" s="80">
        <v>0</v>
      </c>
      <c r="M19" s="80">
        <v>1</v>
      </c>
      <c r="N19" s="80" t="s">
        <v>144</v>
      </c>
      <c r="O19" s="137" t="s">
        <v>137</v>
      </c>
      <c r="P19" s="138"/>
      <c r="Q19" s="81">
        <v>13724</v>
      </c>
    </row>
    <row r="20" spans="1:17" ht="17.25" customHeight="1" x14ac:dyDescent="0.25">
      <c r="A20" s="82">
        <v>1</v>
      </c>
      <c r="B20" s="80">
        <v>0</v>
      </c>
      <c r="C20" s="80">
        <v>0</v>
      </c>
      <c r="D20" s="80">
        <v>1</v>
      </c>
      <c r="E20" s="80">
        <v>0</v>
      </c>
      <c r="F20" s="80">
        <v>4901</v>
      </c>
      <c r="G20" s="80">
        <v>3</v>
      </c>
      <c r="H20" s="80">
        <v>6</v>
      </c>
      <c r="I20" s="80">
        <v>2</v>
      </c>
      <c r="J20" s="80">
        <v>5</v>
      </c>
      <c r="K20" s="80">
        <v>4</v>
      </c>
      <c r="L20" s="80">
        <v>0</v>
      </c>
      <c r="M20" s="80">
        <v>1</v>
      </c>
      <c r="N20" s="80" t="s">
        <v>136</v>
      </c>
      <c r="O20" s="114" t="s">
        <v>138</v>
      </c>
      <c r="P20" s="114"/>
      <c r="Q20" s="81">
        <v>22574</v>
      </c>
    </row>
    <row r="21" spans="1:17" ht="17.25" customHeight="1" x14ac:dyDescent="0.25">
      <c r="A21" s="82">
        <v>2</v>
      </c>
      <c r="B21" s="80">
        <v>0</v>
      </c>
      <c r="C21" s="80">
        <v>0</v>
      </c>
      <c r="D21" s="80">
        <v>1</v>
      </c>
      <c r="E21" s="80">
        <v>0</v>
      </c>
      <c r="F21" s="80">
        <v>4901</v>
      </c>
      <c r="G21" s="80">
        <v>3</v>
      </c>
      <c r="H21" s="80">
        <v>6</v>
      </c>
      <c r="I21" s="80">
        <v>2</v>
      </c>
      <c r="J21" s="80">
        <v>5</v>
      </c>
      <c r="K21" s="80">
        <v>4</v>
      </c>
      <c r="L21" s="80">
        <v>0</v>
      </c>
      <c r="M21" s="80">
        <v>1</v>
      </c>
      <c r="N21" s="80" t="s">
        <v>144</v>
      </c>
      <c r="O21" s="114" t="s">
        <v>138</v>
      </c>
      <c r="P21" s="114"/>
      <c r="Q21" s="81">
        <v>89972</v>
      </c>
    </row>
    <row r="22" spans="1:17" ht="17.25" customHeight="1" x14ac:dyDescent="0.25">
      <c r="A22" s="82">
        <v>14</v>
      </c>
      <c r="B22" s="80">
        <v>0</v>
      </c>
      <c r="C22" s="80">
        <v>0</v>
      </c>
      <c r="D22" s="80">
        <v>1</v>
      </c>
      <c r="E22" s="80">
        <v>0</v>
      </c>
      <c r="F22" s="80">
        <v>4901</v>
      </c>
      <c r="G22" s="80">
        <v>3</v>
      </c>
      <c r="H22" s="80">
        <v>6</v>
      </c>
      <c r="I22" s="80">
        <v>2</v>
      </c>
      <c r="J22" s="80">
        <v>5</v>
      </c>
      <c r="K22" s="80">
        <v>4</v>
      </c>
      <c r="L22" s="80">
        <v>0</v>
      </c>
      <c r="M22" s="80">
        <v>1</v>
      </c>
      <c r="N22" s="80" t="s">
        <v>145</v>
      </c>
      <c r="O22" s="114" t="s">
        <v>138</v>
      </c>
      <c r="P22" s="114"/>
      <c r="Q22" s="81">
        <v>100274</v>
      </c>
    </row>
    <row r="23" spans="1:17" ht="21" customHeight="1" x14ac:dyDescent="0.25">
      <c r="A23" s="82">
        <v>1</v>
      </c>
      <c r="B23" s="80">
        <v>0</v>
      </c>
      <c r="C23" s="80">
        <v>0</v>
      </c>
      <c r="D23" s="80">
        <v>1</v>
      </c>
      <c r="E23" s="80">
        <v>0</v>
      </c>
      <c r="F23" s="80">
        <v>4901</v>
      </c>
      <c r="G23" s="80">
        <v>3</v>
      </c>
      <c r="H23" s="80">
        <v>6</v>
      </c>
      <c r="I23" s="80">
        <v>2</v>
      </c>
      <c r="J23" s="80">
        <v>9</v>
      </c>
      <c r="K23" s="80">
        <v>1</v>
      </c>
      <c r="L23" s="80">
        <v>0</v>
      </c>
      <c r="M23" s="80">
        <v>1</v>
      </c>
      <c r="N23" s="80" t="s">
        <v>136</v>
      </c>
      <c r="O23" s="114" t="s">
        <v>139</v>
      </c>
      <c r="P23" s="114"/>
      <c r="Q23" s="81">
        <v>28470</v>
      </c>
    </row>
    <row r="24" spans="1:17" ht="17.25" customHeight="1" x14ac:dyDescent="0.25">
      <c r="A24" s="82">
        <v>3</v>
      </c>
      <c r="B24" s="80">
        <v>0</v>
      </c>
      <c r="C24" s="80">
        <v>0</v>
      </c>
      <c r="D24" s="80">
        <v>1</v>
      </c>
      <c r="E24" s="80">
        <v>0</v>
      </c>
      <c r="F24" s="80">
        <v>4901</v>
      </c>
      <c r="G24" s="80">
        <v>1</v>
      </c>
      <c r="H24" s="80">
        <v>3</v>
      </c>
      <c r="I24" s="80">
        <v>2</v>
      </c>
      <c r="J24" s="80">
        <v>9</v>
      </c>
      <c r="K24" s="80">
        <v>1</v>
      </c>
      <c r="L24" s="80">
        <v>0</v>
      </c>
      <c r="M24" s="80">
        <v>1</v>
      </c>
      <c r="N24" s="80" t="s">
        <v>136</v>
      </c>
      <c r="O24" s="114" t="s">
        <v>139</v>
      </c>
      <c r="P24" s="114"/>
      <c r="Q24" s="81">
        <v>92742</v>
      </c>
    </row>
    <row r="25" spans="1:17" ht="17.25" customHeight="1" x14ac:dyDescent="0.25">
      <c r="A25" s="82">
        <v>5</v>
      </c>
      <c r="B25" s="80">
        <v>0</v>
      </c>
      <c r="C25" s="80">
        <v>0</v>
      </c>
      <c r="D25" s="80">
        <v>1</v>
      </c>
      <c r="E25" s="80">
        <v>0</v>
      </c>
      <c r="F25" s="80">
        <v>4901</v>
      </c>
      <c r="G25" s="80">
        <v>3</v>
      </c>
      <c r="H25" s="80">
        <v>6</v>
      </c>
      <c r="I25" s="80">
        <v>2</v>
      </c>
      <c r="J25" s="80">
        <v>9</v>
      </c>
      <c r="K25" s="80">
        <v>1</v>
      </c>
      <c r="L25" s="80">
        <v>0</v>
      </c>
      <c r="M25" s="80">
        <v>1</v>
      </c>
      <c r="N25" s="80" t="s">
        <v>136</v>
      </c>
      <c r="O25" s="114" t="s">
        <v>139</v>
      </c>
      <c r="P25" s="114"/>
      <c r="Q25" s="81">
        <v>164235</v>
      </c>
    </row>
    <row r="26" spans="1:17" ht="17.25" customHeight="1" x14ac:dyDescent="0.25">
      <c r="A26" s="89">
        <v>7</v>
      </c>
      <c r="B26" s="80">
        <v>0</v>
      </c>
      <c r="C26" s="80">
        <v>0</v>
      </c>
      <c r="D26" s="80">
        <v>1</v>
      </c>
      <c r="E26" s="80">
        <v>0</v>
      </c>
      <c r="F26" s="80">
        <v>4901</v>
      </c>
      <c r="G26" s="80">
        <v>1</v>
      </c>
      <c r="H26" s="80">
        <v>3</v>
      </c>
      <c r="I26" s="80">
        <v>2</v>
      </c>
      <c r="J26" s="80">
        <v>9</v>
      </c>
      <c r="K26" s="80">
        <v>1</v>
      </c>
      <c r="L26" s="80">
        <v>0</v>
      </c>
      <c r="M26" s="80">
        <v>1</v>
      </c>
      <c r="N26" s="80" t="s">
        <v>144</v>
      </c>
      <c r="O26" s="114" t="s">
        <v>139</v>
      </c>
      <c r="P26" s="114"/>
      <c r="Q26" s="90">
        <v>100294</v>
      </c>
    </row>
    <row r="27" spans="1:17" ht="17.25" customHeight="1" x14ac:dyDescent="0.25">
      <c r="A27" s="89">
        <v>8</v>
      </c>
      <c r="B27" s="80">
        <v>0</v>
      </c>
      <c r="C27" s="80">
        <v>0</v>
      </c>
      <c r="D27" s="80">
        <v>1</v>
      </c>
      <c r="E27" s="80">
        <v>0</v>
      </c>
      <c r="F27" s="80">
        <v>4901</v>
      </c>
      <c r="G27" s="80">
        <v>3</v>
      </c>
      <c r="H27" s="80">
        <v>6</v>
      </c>
      <c r="I27" s="80">
        <v>2</v>
      </c>
      <c r="J27" s="80">
        <v>9</v>
      </c>
      <c r="K27" s="80">
        <v>1</v>
      </c>
      <c r="L27" s="80">
        <v>0</v>
      </c>
      <c r="M27" s="80">
        <v>1</v>
      </c>
      <c r="N27" s="80" t="s">
        <v>145</v>
      </c>
      <c r="O27" s="114" t="s">
        <v>139</v>
      </c>
      <c r="P27" s="114"/>
      <c r="Q27" s="90">
        <v>13431</v>
      </c>
    </row>
    <row r="28" spans="1:17" ht="17.25" customHeight="1" x14ac:dyDescent="0.25">
      <c r="A28" s="89">
        <v>9</v>
      </c>
      <c r="B28" s="80">
        <v>0</v>
      </c>
      <c r="C28" s="80">
        <v>0</v>
      </c>
      <c r="D28" s="80">
        <v>1</v>
      </c>
      <c r="E28" s="80">
        <v>0</v>
      </c>
      <c r="F28" s="80">
        <v>4901</v>
      </c>
      <c r="G28" s="80">
        <v>1</v>
      </c>
      <c r="H28" s="80">
        <v>3</v>
      </c>
      <c r="I28" s="80">
        <v>2</v>
      </c>
      <c r="J28" s="80">
        <v>9</v>
      </c>
      <c r="K28" s="80">
        <v>1</v>
      </c>
      <c r="L28" s="80">
        <v>0</v>
      </c>
      <c r="M28" s="80">
        <v>1</v>
      </c>
      <c r="N28" s="80" t="s">
        <v>146</v>
      </c>
      <c r="O28" s="114" t="s">
        <v>139</v>
      </c>
      <c r="P28" s="114"/>
      <c r="Q28" s="90">
        <v>100000</v>
      </c>
    </row>
    <row r="29" spans="1:17" ht="17.25" customHeight="1" x14ac:dyDescent="0.25">
      <c r="A29" s="89">
        <v>12</v>
      </c>
      <c r="B29" s="80">
        <v>0</v>
      </c>
      <c r="C29" s="80">
        <v>0</v>
      </c>
      <c r="D29" s="80">
        <v>1</v>
      </c>
      <c r="E29" s="80">
        <v>0</v>
      </c>
      <c r="F29" s="80">
        <v>4901</v>
      </c>
      <c r="G29" s="80">
        <v>1</v>
      </c>
      <c r="H29" s="80">
        <v>3</v>
      </c>
      <c r="I29" s="80">
        <v>2</v>
      </c>
      <c r="J29" s="80">
        <v>9</v>
      </c>
      <c r="K29" s="80">
        <v>1</v>
      </c>
      <c r="L29" s="80">
        <v>0</v>
      </c>
      <c r="M29" s="80">
        <v>1</v>
      </c>
      <c r="N29" s="80" t="s">
        <v>147</v>
      </c>
      <c r="O29" s="114" t="s">
        <v>139</v>
      </c>
      <c r="P29" s="114"/>
      <c r="Q29" s="90">
        <v>10000</v>
      </c>
    </row>
    <row r="30" spans="1:17" ht="17.25" customHeight="1" x14ac:dyDescent="0.25">
      <c r="A30" s="89">
        <v>14</v>
      </c>
      <c r="B30" s="80">
        <v>0</v>
      </c>
      <c r="C30" s="80">
        <v>0</v>
      </c>
      <c r="D30" s="80">
        <v>1</v>
      </c>
      <c r="E30" s="80">
        <v>0</v>
      </c>
      <c r="F30" s="80">
        <v>4901</v>
      </c>
      <c r="G30" s="80">
        <v>3</v>
      </c>
      <c r="H30" s="80">
        <v>6</v>
      </c>
      <c r="I30" s="80">
        <v>2</v>
      </c>
      <c r="J30" s="80">
        <v>9</v>
      </c>
      <c r="K30" s="80">
        <v>1</v>
      </c>
      <c r="L30" s="80">
        <v>0</v>
      </c>
      <c r="M30" s="80">
        <v>1</v>
      </c>
      <c r="N30" s="80" t="s">
        <v>148</v>
      </c>
      <c r="O30" s="114" t="s">
        <v>139</v>
      </c>
      <c r="P30" s="114"/>
      <c r="Q30" s="90">
        <v>166268</v>
      </c>
    </row>
    <row r="31" spans="1:17" ht="26.25" customHeight="1" thickBot="1" x14ac:dyDescent="0.3">
      <c r="A31" s="89">
        <v>2</v>
      </c>
      <c r="B31" s="84">
        <v>0</v>
      </c>
      <c r="C31" s="84">
        <v>0</v>
      </c>
      <c r="D31" s="84">
        <v>1</v>
      </c>
      <c r="E31" s="84">
        <v>0</v>
      </c>
      <c r="F31" s="84">
        <v>4901</v>
      </c>
      <c r="G31" s="84">
        <v>3</v>
      </c>
      <c r="H31" s="84">
        <v>6</v>
      </c>
      <c r="I31" s="84">
        <v>2</v>
      </c>
      <c r="J31" s="84">
        <v>9</v>
      </c>
      <c r="K31" s="84">
        <v>5</v>
      </c>
      <c r="L31" s="84">
        <v>0</v>
      </c>
      <c r="M31" s="84">
        <v>1</v>
      </c>
      <c r="N31" s="84" t="s">
        <v>143</v>
      </c>
      <c r="O31" s="115" t="s">
        <v>140</v>
      </c>
      <c r="P31" s="115"/>
      <c r="Q31" s="90">
        <v>2819</v>
      </c>
    </row>
    <row r="32" spans="1:17" ht="28.5" customHeight="1" thickBot="1" x14ac:dyDescent="0.3">
      <c r="A32" s="83">
        <v>5</v>
      </c>
      <c r="B32" s="84">
        <v>0</v>
      </c>
      <c r="C32" s="84">
        <v>0</v>
      </c>
      <c r="D32" s="84">
        <v>1</v>
      </c>
      <c r="E32" s="84">
        <v>0</v>
      </c>
      <c r="F32" s="84">
        <v>4901</v>
      </c>
      <c r="G32" s="84">
        <v>3</v>
      </c>
      <c r="H32" s="84">
        <v>6</v>
      </c>
      <c r="I32" s="84">
        <v>2</v>
      </c>
      <c r="J32" s="84">
        <v>9</v>
      </c>
      <c r="K32" s="84">
        <v>5</v>
      </c>
      <c r="L32" s="84">
        <v>0</v>
      </c>
      <c r="M32" s="84">
        <v>1</v>
      </c>
      <c r="N32" s="84" t="s">
        <v>136</v>
      </c>
      <c r="O32" s="115" t="s">
        <v>140</v>
      </c>
      <c r="P32" s="115"/>
      <c r="Q32" s="85">
        <v>23181</v>
      </c>
    </row>
    <row r="33" spans="1:18" ht="28.5" customHeight="1" thickBot="1" x14ac:dyDescent="0.3">
      <c r="A33" s="116" t="s">
        <v>149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8"/>
      <c r="Q33" s="86">
        <f>+Q32+Q31+Q30+Q29+Q28+Q27+Q26+Q25+Q24+Q23+Q22+Q21+Q20+Q19+Q18+Q17+Q16+Q15</f>
        <v>1275030</v>
      </c>
      <c r="R33" s="79"/>
    </row>
    <row r="34" spans="1:18" ht="18" customHeight="1" thickBot="1" x14ac:dyDescent="0.3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1"/>
    </row>
    <row r="35" spans="1:18" ht="17.25" customHeight="1" thickBot="1" x14ac:dyDescent="0.3">
      <c r="A35" s="102" t="s">
        <v>141</v>
      </c>
      <c r="B35" s="103"/>
      <c r="C35" s="103"/>
      <c r="D35" s="103"/>
      <c r="E35" s="103"/>
      <c r="F35" s="104"/>
      <c r="G35" s="105"/>
      <c r="H35" s="106"/>
      <c r="I35" s="106"/>
      <c r="J35" s="106"/>
      <c r="K35" s="106"/>
      <c r="L35" s="106"/>
      <c r="M35" s="106"/>
      <c r="N35" s="106"/>
      <c r="O35" s="106"/>
      <c r="P35" s="106"/>
      <c r="Q35" s="107"/>
    </row>
    <row r="36" spans="1:18" ht="18" customHeight="1" x14ac:dyDescent="0.25">
      <c r="A36" s="108" t="s">
        <v>142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10"/>
    </row>
    <row r="37" spans="1:18" ht="4.5" customHeight="1" thickBot="1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3"/>
    </row>
  </sheetData>
  <mergeCells count="41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3:P23"/>
    <mergeCell ref="A10:Q10"/>
    <mergeCell ref="A12:Q12"/>
    <mergeCell ref="A13:N13"/>
    <mergeCell ref="O13:P14"/>
    <mergeCell ref="Q13:Q14"/>
    <mergeCell ref="O17:P17"/>
    <mergeCell ref="O19:P19"/>
    <mergeCell ref="O21:P21"/>
    <mergeCell ref="O22:P22"/>
    <mergeCell ref="O15:P15"/>
    <mergeCell ref="O16:P16"/>
    <mergeCell ref="O18:P18"/>
    <mergeCell ref="O20:P20"/>
    <mergeCell ref="A35:F35"/>
    <mergeCell ref="G35:Q35"/>
    <mergeCell ref="A36:Q37"/>
    <mergeCell ref="O24:P24"/>
    <mergeCell ref="O25:P25"/>
    <mergeCell ref="O32:P32"/>
    <mergeCell ref="A33:P33"/>
    <mergeCell ref="A34:Q34"/>
    <mergeCell ref="O26:P26"/>
    <mergeCell ref="O27:P27"/>
    <mergeCell ref="O28:P28"/>
    <mergeCell ref="O29:P29"/>
    <mergeCell ref="O30:P30"/>
    <mergeCell ref="O31:P3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ELEM. LIMPIEZA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secadmtrabajo</cp:lastModifiedBy>
  <dcterms:created xsi:type="dcterms:W3CDTF">2022-06-23T12:02:25Z</dcterms:created>
  <dcterms:modified xsi:type="dcterms:W3CDTF">2022-07-01T15:59:36Z</dcterms:modified>
</cp:coreProperties>
</file>