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i unidad\COMPARTIDA\DIRECCION DE PLANIFICACION\DOCUMENTACION\Nair\Para la POCHA con cariño\Adq.de Reactivos de Laboratorio\NUEVO\nuevo\"/>
    </mc:Choice>
  </mc:AlternateContent>
  <xr:revisionPtr revIDLastSave="0" documentId="13_ncr:1_{624414F8-8F42-44CE-9974-35A5A0D4B65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AF 011" sheetId="1" r:id="rId1"/>
    <sheet name="NP LABORATORIO" sheetId="7" r:id="rId2"/>
    <sheet name="APG LABORATORIO" sheetId="3" r:id="rId3"/>
    <sheet name="NP BCO DE SANGRE" sheetId="9" r:id="rId4"/>
    <sheet name="APG BCO DE SANGRE" sheetId="5" r:id="rId5"/>
  </sheets>
  <definedNames>
    <definedName name="_xlnm._FilterDatabase" localSheetId="0" hidden="1">'SAF 011'!$A$9:$I$9</definedName>
  </definedNames>
  <calcPr calcId="181029"/>
</workbook>
</file>

<file path=xl/calcChain.xml><?xml version="1.0" encoding="utf-8"?>
<calcChain xmlns="http://schemas.openxmlformats.org/spreadsheetml/2006/main">
  <c r="A41" i="5" l="1"/>
  <c r="G5" i="5"/>
  <c r="G6" i="5"/>
  <c r="G7" i="5"/>
  <c r="G4" i="5"/>
  <c r="G10" i="9"/>
  <c r="G11" i="9"/>
  <c r="G12" i="9"/>
  <c r="G13" i="9"/>
  <c r="G14" i="9"/>
  <c r="G15" i="9"/>
  <c r="G16" i="9"/>
  <c r="G17" i="9"/>
  <c r="G18" i="9"/>
  <c r="G19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G33" i="9"/>
  <c r="G34" i="9"/>
  <c r="G35" i="9"/>
  <c r="G36" i="9"/>
  <c r="G37" i="9"/>
  <c r="G38" i="9"/>
  <c r="G39" i="9"/>
  <c r="G40" i="9"/>
  <c r="G41" i="9"/>
  <c r="G42" i="9"/>
  <c r="G43" i="9"/>
  <c r="G44" i="9"/>
  <c r="G45" i="9"/>
  <c r="G46" i="9"/>
  <c r="G47" i="9"/>
  <c r="G48" i="9"/>
  <c r="G49" i="9"/>
  <c r="A41" i="3"/>
  <c r="F49" i="9"/>
  <c r="E49" i="9"/>
  <c r="C49" i="9"/>
  <c r="B49" i="9"/>
  <c r="F48" i="9"/>
  <c r="E48" i="9"/>
  <c r="C48" i="9"/>
  <c r="B48" i="9"/>
  <c r="F47" i="9"/>
  <c r="E47" i="9"/>
  <c r="C47" i="9"/>
  <c r="B47" i="9"/>
  <c r="F46" i="9"/>
  <c r="E46" i="9"/>
  <c r="C46" i="9"/>
  <c r="B46" i="9"/>
  <c r="F45" i="9"/>
  <c r="E45" i="9"/>
  <c r="C45" i="9"/>
  <c r="B45" i="9"/>
  <c r="F44" i="9"/>
  <c r="E44" i="9"/>
  <c r="C44" i="9"/>
  <c r="B44" i="9"/>
  <c r="F43" i="9"/>
  <c r="E43" i="9"/>
  <c r="C43" i="9"/>
  <c r="B43" i="9"/>
  <c r="F42" i="9"/>
  <c r="E42" i="9"/>
  <c r="C42" i="9"/>
  <c r="B42" i="9"/>
  <c r="F41" i="9"/>
  <c r="E41" i="9"/>
  <c r="C41" i="9"/>
  <c r="B41" i="9"/>
  <c r="F40" i="9"/>
  <c r="E40" i="9"/>
  <c r="C40" i="9"/>
  <c r="B40" i="9"/>
  <c r="F39" i="9"/>
  <c r="E39" i="9"/>
  <c r="C39" i="9"/>
  <c r="B39" i="9"/>
  <c r="F38" i="9"/>
  <c r="E38" i="9"/>
  <c r="C38" i="9"/>
  <c r="B38" i="9"/>
  <c r="F37" i="9"/>
  <c r="E37" i="9"/>
  <c r="C37" i="9"/>
  <c r="B37" i="9"/>
  <c r="F36" i="9"/>
  <c r="E36" i="9"/>
  <c r="C36" i="9"/>
  <c r="B36" i="9"/>
  <c r="F35" i="9"/>
  <c r="E35" i="9"/>
  <c r="C35" i="9"/>
  <c r="B35" i="9"/>
  <c r="F34" i="9"/>
  <c r="E34" i="9"/>
  <c r="C34" i="9"/>
  <c r="B34" i="9"/>
  <c r="F33" i="9"/>
  <c r="E33" i="9"/>
  <c r="C33" i="9"/>
  <c r="B33" i="9"/>
  <c r="F32" i="9"/>
  <c r="E32" i="9"/>
  <c r="C32" i="9"/>
  <c r="B32" i="9"/>
  <c r="F31" i="9"/>
  <c r="E31" i="9"/>
  <c r="C31" i="9"/>
  <c r="B31" i="9"/>
  <c r="F30" i="9"/>
  <c r="E30" i="9"/>
  <c r="C30" i="9"/>
  <c r="B30" i="9"/>
  <c r="F29" i="9"/>
  <c r="E29" i="9"/>
  <c r="C29" i="9"/>
  <c r="B29" i="9"/>
  <c r="F28" i="9"/>
  <c r="E28" i="9"/>
  <c r="C28" i="9"/>
  <c r="B28" i="9"/>
  <c r="F27" i="9"/>
  <c r="E27" i="9"/>
  <c r="C27" i="9"/>
  <c r="B27" i="9"/>
  <c r="F26" i="9"/>
  <c r="E26" i="9"/>
  <c r="C26" i="9"/>
  <c r="B26" i="9"/>
  <c r="F25" i="9"/>
  <c r="E25" i="9"/>
  <c r="C25" i="9"/>
  <c r="B25" i="9"/>
  <c r="F24" i="9"/>
  <c r="E24" i="9"/>
  <c r="C24" i="9"/>
  <c r="B24" i="9"/>
  <c r="F23" i="9"/>
  <c r="E23" i="9"/>
  <c r="C23" i="9"/>
  <c r="B23" i="9"/>
  <c r="F22" i="9"/>
  <c r="E22" i="9"/>
  <c r="C22" i="9"/>
  <c r="B22" i="9"/>
  <c r="F21" i="9"/>
  <c r="E21" i="9"/>
  <c r="C21" i="9"/>
  <c r="B21" i="9"/>
  <c r="F20" i="9"/>
  <c r="E20" i="9"/>
  <c r="C20" i="9"/>
  <c r="B20" i="9"/>
  <c r="F19" i="9"/>
  <c r="E19" i="9"/>
  <c r="C19" i="9"/>
  <c r="B19" i="9"/>
  <c r="F18" i="9"/>
  <c r="E18" i="9"/>
  <c r="C18" i="9"/>
  <c r="B18" i="9"/>
  <c r="F17" i="9"/>
  <c r="E17" i="9"/>
  <c r="C17" i="9"/>
  <c r="B17" i="9"/>
  <c r="F16" i="9"/>
  <c r="E16" i="9"/>
  <c r="C16" i="9"/>
  <c r="B16" i="9"/>
  <c r="F15" i="9"/>
  <c r="E15" i="9"/>
  <c r="C15" i="9"/>
  <c r="B15" i="9"/>
  <c r="F14" i="9"/>
  <c r="E14" i="9"/>
  <c r="C14" i="9"/>
  <c r="B14" i="9"/>
  <c r="F13" i="9"/>
  <c r="E13" i="9"/>
  <c r="C13" i="9"/>
  <c r="B13" i="9"/>
  <c r="F12" i="9"/>
  <c r="E12" i="9"/>
  <c r="C12" i="9"/>
  <c r="B12" i="9"/>
  <c r="F11" i="9"/>
  <c r="E11" i="9"/>
  <c r="C11" i="9"/>
  <c r="B11" i="9"/>
  <c r="F10" i="9"/>
  <c r="E10" i="9"/>
  <c r="C10" i="9"/>
  <c r="B10" i="9"/>
  <c r="G5" i="3"/>
  <c r="G6" i="3"/>
  <c r="G7" i="3"/>
  <c r="G4" i="3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3" i="7"/>
  <c r="G64" i="7"/>
  <c r="G65" i="7"/>
  <c r="G66" i="7"/>
  <c r="G67" i="7"/>
  <c r="G68" i="7"/>
  <c r="G69" i="7"/>
  <c r="G70" i="7"/>
  <c r="G71" i="7"/>
  <c r="G72" i="7"/>
  <c r="G73" i="7"/>
  <c r="G74" i="7"/>
  <c r="G75" i="7"/>
  <c r="G76" i="7"/>
  <c r="G77" i="7"/>
  <c r="G78" i="7"/>
  <c r="G79" i="7"/>
  <c r="G80" i="7"/>
  <c r="G81" i="7"/>
  <c r="G82" i="7"/>
  <c r="G83" i="7"/>
  <c r="G84" i="7"/>
  <c r="G85" i="7"/>
  <c r="G86" i="7"/>
  <c r="G87" i="7"/>
  <c r="G88" i="7"/>
  <c r="G89" i="7"/>
  <c r="G90" i="7"/>
  <c r="G91" i="7"/>
  <c r="G92" i="7"/>
  <c r="G93" i="7"/>
  <c r="G94" i="7"/>
  <c r="G95" i="7"/>
  <c r="G96" i="7"/>
  <c r="G97" i="7"/>
  <c r="G98" i="7"/>
  <c r="G99" i="7"/>
  <c r="G100" i="7"/>
  <c r="G101" i="7"/>
  <c r="G102" i="7"/>
  <c r="G103" i="7"/>
  <c r="G104" i="7"/>
  <c r="G105" i="7"/>
  <c r="G106" i="7"/>
  <c r="G107" i="7"/>
  <c r="G108" i="7"/>
  <c r="G109" i="7"/>
  <c r="G110" i="7"/>
  <c r="G111" i="7"/>
  <c r="G112" i="7"/>
  <c r="G113" i="7"/>
  <c r="G114" i="7"/>
  <c r="G115" i="7"/>
  <c r="G116" i="7"/>
  <c r="G117" i="7"/>
  <c r="G118" i="7"/>
  <c r="G119" i="7"/>
  <c r="G120" i="7"/>
  <c r="G121" i="7"/>
  <c r="G122" i="7"/>
  <c r="G123" i="7"/>
  <c r="G124" i="7"/>
  <c r="G125" i="7"/>
  <c r="G126" i="7"/>
  <c r="G127" i="7"/>
  <c r="G128" i="7"/>
  <c r="G129" i="7"/>
  <c r="G130" i="7"/>
  <c r="G131" i="7"/>
  <c r="G132" i="7"/>
  <c r="G133" i="7"/>
  <c r="G134" i="7"/>
  <c r="G135" i="7"/>
  <c r="G136" i="7"/>
  <c r="G137" i="7"/>
  <c r="G138" i="7"/>
  <c r="G139" i="7"/>
  <c r="G140" i="7"/>
  <c r="G141" i="7"/>
  <c r="G142" i="7"/>
  <c r="G143" i="7"/>
  <c r="G144" i="7"/>
  <c r="G145" i="7"/>
  <c r="G146" i="7"/>
  <c r="G147" i="7"/>
  <c r="G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F46" i="7"/>
  <c r="F47" i="7"/>
  <c r="F48" i="7"/>
  <c r="F49" i="7"/>
  <c r="F50" i="7"/>
  <c r="F51" i="7"/>
  <c r="F52" i="7"/>
  <c r="F53" i="7"/>
  <c r="F54" i="7"/>
  <c r="F55" i="7"/>
  <c r="F56" i="7"/>
  <c r="F57" i="7"/>
  <c r="F58" i="7"/>
  <c r="F59" i="7"/>
  <c r="F60" i="7"/>
  <c r="F61" i="7"/>
  <c r="F62" i="7"/>
  <c r="F63" i="7"/>
  <c r="F64" i="7"/>
  <c r="F65" i="7"/>
  <c r="F66" i="7"/>
  <c r="F67" i="7"/>
  <c r="F68" i="7"/>
  <c r="F69" i="7"/>
  <c r="F70" i="7"/>
  <c r="F71" i="7"/>
  <c r="F72" i="7"/>
  <c r="F73" i="7"/>
  <c r="F74" i="7"/>
  <c r="F75" i="7"/>
  <c r="F76" i="7"/>
  <c r="F77" i="7"/>
  <c r="F78" i="7"/>
  <c r="F79" i="7"/>
  <c r="F80" i="7"/>
  <c r="F81" i="7"/>
  <c r="F82" i="7"/>
  <c r="F83" i="7"/>
  <c r="F84" i="7"/>
  <c r="F85" i="7"/>
  <c r="F86" i="7"/>
  <c r="F87" i="7"/>
  <c r="F88" i="7"/>
  <c r="F89" i="7"/>
  <c r="F90" i="7"/>
  <c r="F91" i="7"/>
  <c r="F92" i="7"/>
  <c r="F93" i="7"/>
  <c r="F94" i="7"/>
  <c r="F95" i="7"/>
  <c r="F96" i="7"/>
  <c r="F97" i="7"/>
  <c r="F98" i="7"/>
  <c r="F99" i="7"/>
  <c r="F100" i="7"/>
  <c r="F101" i="7"/>
  <c r="F102" i="7"/>
  <c r="F103" i="7"/>
  <c r="F104" i="7"/>
  <c r="F105" i="7"/>
  <c r="F106" i="7"/>
  <c r="F107" i="7"/>
  <c r="F108" i="7"/>
  <c r="F109" i="7"/>
  <c r="F110" i="7"/>
  <c r="F111" i="7"/>
  <c r="F112" i="7"/>
  <c r="F113" i="7"/>
  <c r="F114" i="7"/>
  <c r="F115" i="7"/>
  <c r="F116" i="7"/>
  <c r="F117" i="7"/>
  <c r="F118" i="7"/>
  <c r="F119" i="7"/>
  <c r="F120" i="7"/>
  <c r="F121" i="7"/>
  <c r="F122" i="7"/>
  <c r="F123" i="7"/>
  <c r="F124" i="7"/>
  <c r="F125" i="7"/>
  <c r="F126" i="7"/>
  <c r="F127" i="7"/>
  <c r="F128" i="7"/>
  <c r="F129" i="7"/>
  <c r="F130" i="7"/>
  <c r="F131" i="7"/>
  <c r="F132" i="7"/>
  <c r="F133" i="7"/>
  <c r="F134" i="7"/>
  <c r="F135" i="7"/>
  <c r="F136" i="7"/>
  <c r="F137" i="7"/>
  <c r="F138" i="7"/>
  <c r="F139" i="7"/>
  <c r="F140" i="7"/>
  <c r="F141" i="7"/>
  <c r="F142" i="7"/>
  <c r="F143" i="7"/>
  <c r="F144" i="7"/>
  <c r="F145" i="7"/>
  <c r="F146" i="7"/>
  <c r="F147" i="7"/>
  <c r="F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48" i="7"/>
  <c r="E49" i="7"/>
  <c r="E50" i="7"/>
  <c r="E51" i="7"/>
  <c r="E52" i="7"/>
  <c r="E53" i="7"/>
  <c r="E54" i="7"/>
  <c r="E55" i="7"/>
  <c r="E56" i="7"/>
  <c r="E57" i="7"/>
  <c r="E58" i="7"/>
  <c r="E59" i="7"/>
  <c r="E60" i="7"/>
  <c r="E61" i="7"/>
  <c r="E62" i="7"/>
  <c r="E63" i="7"/>
  <c r="E64" i="7"/>
  <c r="E65" i="7"/>
  <c r="E66" i="7"/>
  <c r="E67" i="7"/>
  <c r="E68" i="7"/>
  <c r="E69" i="7"/>
  <c r="E70" i="7"/>
  <c r="E71" i="7"/>
  <c r="E72" i="7"/>
  <c r="E73" i="7"/>
  <c r="E74" i="7"/>
  <c r="E75" i="7"/>
  <c r="E76" i="7"/>
  <c r="E77" i="7"/>
  <c r="E78" i="7"/>
  <c r="E79" i="7"/>
  <c r="E80" i="7"/>
  <c r="E81" i="7"/>
  <c r="E82" i="7"/>
  <c r="E83" i="7"/>
  <c r="E84" i="7"/>
  <c r="E85" i="7"/>
  <c r="E86" i="7"/>
  <c r="E87" i="7"/>
  <c r="E88" i="7"/>
  <c r="E89" i="7"/>
  <c r="E90" i="7"/>
  <c r="E91" i="7"/>
  <c r="E92" i="7"/>
  <c r="E93" i="7"/>
  <c r="E94" i="7"/>
  <c r="E95" i="7"/>
  <c r="E96" i="7"/>
  <c r="E97" i="7"/>
  <c r="E98" i="7"/>
  <c r="E99" i="7"/>
  <c r="E100" i="7"/>
  <c r="E101" i="7"/>
  <c r="E102" i="7"/>
  <c r="E103" i="7"/>
  <c r="E104" i="7"/>
  <c r="E105" i="7"/>
  <c r="E106" i="7"/>
  <c r="E107" i="7"/>
  <c r="E108" i="7"/>
  <c r="E109" i="7"/>
  <c r="E110" i="7"/>
  <c r="E111" i="7"/>
  <c r="E112" i="7"/>
  <c r="E113" i="7"/>
  <c r="E114" i="7"/>
  <c r="E115" i="7"/>
  <c r="E116" i="7"/>
  <c r="E117" i="7"/>
  <c r="E118" i="7"/>
  <c r="E119" i="7"/>
  <c r="E120" i="7"/>
  <c r="E121" i="7"/>
  <c r="E122" i="7"/>
  <c r="E123" i="7"/>
  <c r="E124" i="7"/>
  <c r="E125" i="7"/>
  <c r="E126" i="7"/>
  <c r="E127" i="7"/>
  <c r="E128" i="7"/>
  <c r="E129" i="7"/>
  <c r="E130" i="7"/>
  <c r="E131" i="7"/>
  <c r="E132" i="7"/>
  <c r="E133" i="7"/>
  <c r="E134" i="7"/>
  <c r="E135" i="7"/>
  <c r="E136" i="7"/>
  <c r="E137" i="7"/>
  <c r="E138" i="7"/>
  <c r="E139" i="7"/>
  <c r="E140" i="7"/>
  <c r="E141" i="7"/>
  <c r="E142" i="7"/>
  <c r="E143" i="7"/>
  <c r="E144" i="7"/>
  <c r="E145" i="7"/>
  <c r="E146" i="7"/>
  <c r="E147" i="7"/>
  <c r="E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79" i="7"/>
  <c r="C80" i="7"/>
  <c r="C81" i="7"/>
  <c r="C82" i="7"/>
  <c r="C83" i="7"/>
  <c r="C84" i="7"/>
  <c r="C85" i="7"/>
  <c r="C86" i="7"/>
  <c r="C87" i="7"/>
  <c r="C88" i="7"/>
  <c r="C89" i="7"/>
  <c r="C90" i="7"/>
  <c r="C91" i="7"/>
  <c r="C92" i="7"/>
  <c r="C93" i="7"/>
  <c r="C94" i="7"/>
  <c r="C95" i="7"/>
  <c r="C96" i="7"/>
  <c r="C97" i="7"/>
  <c r="C98" i="7"/>
  <c r="C99" i="7"/>
  <c r="C100" i="7"/>
  <c r="C101" i="7"/>
  <c r="C102" i="7"/>
  <c r="C103" i="7"/>
  <c r="C104" i="7"/>
  <c r="C105" i="7"/>
  <c r="C106" i="7"/>
  <c r="C107" i="7"/>
  <c r="C108" i="7"/>
  <c r="C109" i="7"/>
  <c r="C110" i="7"/>
  <c r="C111" i="7"/>
  <c r="C112" i="7"/>
  <c r="C113" i="7"/>
  <c r="C114" i="7"/>
  <c r="C115" i="7"/>
  <c r="C116" i="7"/>
  <c r="C117" i="7"/>
  <c r="C118" i="7"/>
  <c r="C119" i="7"/>
  <c r="C120" i="7"/>
  <c r="C121" i="7"/>
  <c r="C122" i="7"/>
  <c r="C123" i="7"/>
  <c r="C124" i="7"/>
  <c r="C125" i="7"/>
  <c r="C126" i="7"/>
  <c r="C127" i="7"/>
  <c r="C128" i="7"/>
  <c r="C129" i="7"/>
  <c r="C130" i="7"/>
  <c r="C131" i="7"/>
  <c r="C132" i="7"/>
  <c r="C133" i="7"/>
  <c r="C134" i="7"/>
  <c r="C135" i="7"/>
  <c r="C136" i="7"/>
  <c r="C137" i="7"/>
  <c r="C138" i="7"/>
  <c r="C139" i="7"/>
  <c r="C140" i="7"/>
  <c r="C141" i="7"/>
  <c r="C142" i="7"/>
  <c r="C143" i="7"/>
  <c r="C144" i="7"/>
  <c r="C145" i="7"/>
  <c r="C146" i="7"/>
  <c r="C147" i="7"/>
  <c r="C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37" i="7"/>
  <c r="B38" i="7"/>
  <c r="B39" i="7"/>
  <c r="B40" i="7"/>
  <c r="B41" i="7"/>
  <c r="B42" i="7"/>
  <c r="B43" i="7"/>
  <c r="B44" i="7"/>
  <c r="B45" i="7"/>
  <c r="B46" i="7"/>
  <c r="B47" i="7"/>
  <c r="B48" i="7"/>
  <c r="B49" i="7"/>
  <c r="B50" i="7"/>
  <c r="B51" i="7"/>
  <c r="B52" i="7"/>
  <c r="B53" i="7"/>
  <c r="B54" i="7"/>
  <c r="B55" i="7"/>
  <c r="B56" i="7"/>
  <c r="B57" i="7"/>
  <c r="B58" i="7"/>
  <c r="B59" i="7"/>
  <c r="B60" i="7"/>
  <c r="B61" i="7"/>
  <c r="B62" i="7"/>
  <c r="B63" i="7"/>
  <c r="B64" i="7"/>
  <c r="B65" i="7"/>
  <c r="B66" i="7"/>
  <c r="B67" i="7"/>
  <c r="B68" i="7"/>
  <c r="B69" i="7"/>
  <c r="B70" i="7"/>
  <c r="B71" i="7"/>
  <c r="B72" i="7"/>
  <c r="B73" i="7"/>
  <c r="B74" i="7"/>
  <c r="B75" i="7"/>
  <c r="B76" i="7"/>
  <c r="B77" i="7"/>
  <c r="B78" i="7"/>
  <c r="B79" i="7"/>
  <c r="B80" i="7"/>
  <c r="B81" i="7"/>
  <c r="B82" i="7"/>
  <c r="B83" i="7"/>
  <c r="B84" i="7"/>
  <c r="B85" i="7"/>
  <c r="B86" i="7"/>
  <c r="B87" i="7"/>
  <c r="B88" i="7"/>
  <c r="B89" i="7"/>
  <c r="B90" i="7"/>
  <c r="B91" i="7"/>
  <c r="B92" i="7"/>
  <c r="B93" i="7"/>
  <c r="B94" i="7"/>
  <c r="B95" i="7"/>
  <c r="B96" i="7"/>
  <c r="B97" i="7"/>
  <c r="B98" i="7"/>
  <c r="B99" i="7"/>
  <c r="B100" i="7"/>
  <c r="B101" i="7"/>
  <c r="B102" i="7"/>
  <c r="B103" i="7"/>
  <c r="B104" i="7"/>
  <c r="B105" i="7"/>
  <c r="B106" i="7"/>
  <c r="B107" i="7"/>
  <c r="B108" i="7"/>
  <c r="B109" i="7"/>
  <c r="B110" i="7"/>
  <c r="B111" i="7"/>
  <c r="B112" i="7"/>
  <c r="B113" i="7"/>
  <c r="B114" i="7"/>
  <c r="B115" i="7"/>
  <c r="B116" i="7"/>
  <c r="B117" i="7"/>
  <c r="B118" i="7"/>
  <c r="B119" i="7"/>
  <c r="B120" i="7"/>
  <c r="B121" i="7"/>
  <c r="B122" i="7"/>
  <c r="B123" i="7"/>
  <c r="B124" i="7"/>
  <c r="B125" i="7"/>
  <c r="B126" i="7"/>
  <c r="B127" i="7"/>
  <c r="B128" i="7"/>
  <c r="B129" i="7"/>
  <c r="B130" i="7"/>
  <c r="B131" i="7"/>
  <c r="B132" i="7"/>
  <c r="B133" i="7"/>
  <c r="B134" i="7"/>
  <c r="B135" i="7"/>
  <c r="B136" i="7"/>
  <c r="B137" i="7"/>
  <c r="B138" i="7"/>
  <c r="B139" i="7"/>
  <c r="B140" i="7"/>
  <c r="B141" i="7"/>
  <c r="B142" i="7"/>
  <c r="B143" i="7"/>
  <c r="B144" i="7"/>
  <c r="B145" i="7"/>
  <c r="B146" i="7"/>
  <c r="B147" i="7"/>
  <c r="B10" i="7"/>
  <c r="F50" i="9" l="1"/>
  <c r="Q15" i="5" s="1"/>
  <c r="F148" i="7"/>
  <c r="Q15" i="3" s="1"/>
  <c r="Q38" i="5" l="1"/>
  <c r="Q38" i="3" l="1"/>
  <c r="I187" i="1" l="1"/>
</calcChain>
</file>

<file path=xl/sharedStrings.xml><?xml version="1.0" encoding="utf-8"?>
<sst xmlns="http://schemas.openxmlformats.org/spreadsheetml/2006/main" count="1664" uniqueCount="596">
  <si>
    <t>Pedido de Necesidades Trimestrales</t>
  </si>
  <si>
    <t>JURISDICCION:</t>
  </si>
  <si>
    <t>040 - MINISTERIO DE SALUD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</si>
  <si>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</si>
  <si>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</si>
  <si>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</si>
  <si>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</si>
  <si>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</si>
  <si>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</si>
  <si>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</si>
  <si>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</si>
  <si>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</si>
  <si>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 TOTAL</t>
  </si>
  <si>
    <t>PRECIO UNITARIO ESTIMADO</t>
  </si>
  <si>
    <t xml:space="preserve">IMPORTE TOTAL ESTIMADO </t>
  </si>
  <si>
    <t>ESPECIFICACION TECNICA</t>
  </si>
  <si>
    <t>UNIDAD</t>
  </si>
  <si>
    <t>CAJA</t>
  </si>
  <si>
    <t>2.5.1.</t>
  </si>
  <si>
    <t>ANTI A MONOCLONAL FRASCO X 10 ML Tipo WIENER</t>
  </si>
  <si>
    <t>FRASCO</t>
  </si>
  <si>
    <t>ANTI B MONOCLONAL FRASCO X 10 ML Tipo WIENER</t>
  </si>
  <si>
    <t>ASO LATEX 50 DET Tipo WIENER</t>
  </si>
  <si>
    <t>BOTELLA</t>
  </si>
  <si>
    <t>SET DE SUSTRATOS II X 1000 DET Tipo TOSOH</t>
  </si>
  <si>
    <t>SAF:</t>
  </si>
  <si>
    <t>UNIDAD EJECUTORA:</t>
  </si>
  <si>
    <t xml:space="preserve">DEPENDENCIA SOLICITANTE: </t>
  </si>
  <si>
    <t>Precio Unitario Estimado</t>
  </si>
  <si>
    <t>Cantidad Solicitada</t>
  </si>
  <si>
    <t>Lugar de Entrega:</t>
  </si>
  <si>
    <t>ADQUISICION DEL RUBRO REACTIVOS PARA LABORATORIO</t>
  </si>
  <si>
    <t>SI</t>
  </si>
  <si>
    <t>GARRAFA</t>
  </si>
  <si>
    <t xml:space="preserve">MagMAX TM Viral/Pathogen II (MVP) Nucleic Acid Isolation Kit </t>
  </si>
  <si>
    <t>ANTI D(RHO) MONOCLONAL FRASCO X 10 ML Tipo WIENER</t>
  </si>
  <si>
    <t>ARTRITEST DIRECTO 50 DET. Tipo WIENER</t>
  </si>
  <si>
    <t>COLINESTERASA AA 78 ML Tipo WIENER</t>
  </si>
  <si>
    <t>FOSFATASA ALCALINA Optimizada 200 DET. Tipo WIENER</t>
  </si>
  <si>
    <t>GOT (AST) UV AA liquida 200 ML Tipo WIENER</t>
  </si>
  <si>
    <t>GPT (ALT) UV AA liquida 200 ML Tipo WIENER</t>
  </si>
  <si>
    <t>HEPATITIS B AG SUPERFICIE HBsAG ELISA X 96 DETERMINACIONES Tipo WIENER</t>
  </si>
  <si>
    <t>LDH-P UV AA liquida 100 ML Tipo WIENER</t>
  </si>
  <si>
    <t>HDL COLESTEROL MONOFASE AA PLUS C/CALIBRADOR 60 ML+20 ML (200 D.X0,4 M.) Tipo WIENER</t>
  </si>
  <si>
    <t>PCR -latex directo 50 DET. Tipo WIENER</t>
  </si>
  <si>
    <t>UREA COLOR 2R 500 DET. Tipo WIENER</t>
  </si>
  <si>
    <t>UREA UV CINETICA AA liquida 500 ML Tipo WIENER</t>
  </si>
  <si>
    <t>URICOSTAT ENZIMATICO AA liquida 250 ML Tipo WIENER</t>
  </si>
  <si>
    <t>V.D.R.L. test 250 DET. Tipo WIENER</t>
  </si>
  <si>
    <t>PROTI U/LCR CONTROL 2 niveles 2X3 ML Tipo WIENER</t>
  </si>
  <si>
    <t>GLUCOCURVE SDA 75 GR X 10 SOBRES  Tipo GLUCOCURVE</t>
  </si>
  <si>
    <t>CK-MB CONTROL 3 NIVELES 3x3 ML Tipo WIENER</t>
  </si>
  <si>
    <t>T4L CALIBRADOR TIPO TOSOH X6 NIVELES</t>
  </si>
  <si>
    <t>ACEITE DE INMERSION 100 ML Tipo CICARELLI</t>
  </si>
  <si>
    <t>AMILASA 405 AA LIQUIDA 30 ML (3X10 ML) TIPO WIENER</t>
  </si>
  <si>
    <t>ACONDICIONADOR DE SODIO Tipo DIESTRO</t>
  </si>
  <si>
    <t>2.5.1-9038.228</t>
  </si>
  <si>
    <t>2.5.1-8988.521</t>
  </si>
  <si>
    <t>2.5.1-8988.494</t>
  </si>
  <si>
    <t>2.5.1-8988.2256</t>
  </si>
  <si>
    <t>2.5.1-8988.492</t>
  </si>
  <si>
    <t>2.5.1-8937.861</t>
  </si>
  <si>
    <t>2.5.1-8988.634</t>
  </si>
  <si>
    <t>ALBUMINA AA 6X120ML Tipo WIENER</t>
  </si>
  <si>
    <t>APTTest  ellágico 6X25 ML (150 DET) TIPO WIENER</t>
  </si>
  <si>
    <t>ANTICOAGULANTE TP (CITRATO) 6X50 ML Tipo WIENER</t>
  </si>
  <si>
    <t>ANTICOAGULANTE W (EDTA) 6X50 ML Tipo WIENER</t>
  </si>
  <si>
    <t xml:space="preserve">CALIBRADOR A PLUS Tipo WIENER </t>
  </si>
  <si>
    <t>CALCIO COLOR ARSENAZO III AA Tipo WIENER 4X50 ML</t>
  </si>
  <si>
    <t>CALCIO COLOR AA Tipo WIENER 4X50ML</t>
  </si>
  <si>
    <t>BILIRRUBINA DIRECTA AA LIQUIDA 240 ML Tipo WIENER</t>
  </si>
  <si>
    <t>BILIRRUBINA TOTAL AA LIQUIDA 240 ML Tipo WIENER</t>
  </si>
  <si>
    <t xml:space="preserve">CASSETTE CALIBRADOR HEMOCLOBINA OSMETECH OPTI CCA, Tipo OPTI MEDICAL </t>
  </si>
  <si>
    <t xml:space="preserve">CASSETTE DE REFERENCIA ESTANDAR SRC NIVEL 1 OSMETECH OPTI CCA, Tipo OPTI MEDICAL </t>
  </si>
  <si>
    <t xml:space="preserve">CASSETTE DE REFERENCIA ESTANDAR SRC NIVEL 3 OSMETECH OPTI CCA, Tipo OPTI MEDICAL </t>
  </si>
  <si>
    <t>CHAGAS HAI X 96 DETERMINACIONES Tipo WIENER</t>
  </si>
  <si>
    <t xml:space="preserve">CK-MB NAC AA LIQUIDA   60 ML Tipo WIENER </t>
  </si>
  <si>
    <t xml:space="preserve">CK-MB NAC AA UNITEST 19X2,5 ML Tipo WIENER </t>
  </si>
  <si>
    <t>COLESTEROL ENZIMATICO AA LIQUIDA 4X100 ML Tipo WIENER</t>
  </si>
  <si>
    <t>COLESTEROL ENZIMATICO AA LIQUIDA 2X500 ML Tipo WIENER</t>
  </si>
  <si>
    <t>COLORACION DE GRAM X 100 ML Tipo BRITANIA</t>
  </si>
  <si>
    <t>COLORACION DE ZIEHL NEELSEN  X 100 ML Tipo BRITANIA</t>
  </si>
  <si>
    <t>COLORANTE GIEMSA X LITRO Tipo BIOPUR</t>
  </si>
  <si>
    <t>CONTROL HEMATOLOGIA 3 NIVELES  Tipo MINDRAY</t>
  </si>
  <si>
    <t>CONTROL HEMATOLOGIA 3 NIVELES  Tipo WIENER</t>
  </si>
  <si>
    <t>CREATININA CINETICA AA LIQUIDA  250 ML Tipo WIENER</t>
  </si>
  <si>
    <t xml:space="preserve">DIESTRO CONTROL TRILEVEL </t>
  </si>
  <si>
    <t xml:space="preserve">DILUYENTE XP 300 CELLPACK  X 20 LITROS Tipo SYSMEX </t>
  </si>
  <si>
    <t>DILUYENTE COUNTER 19 Tipo  WIENER X 20 LITROS</t>
  </si>
  <si>
    <t>DILUYENTE COUNTER XS Tipo WIENER X 5 LITROS</t>
  </si>
  <si>
    <t>CONTROL HEMATOLOGIA  XP 300 EIGTCHEK 3WPX-TRA  3X4X2ML  Tipo SYSMEX</t>
  </si>
  <si>
    <t>FECUNTEST DIRECTO X 50 DETERMINACIONES Tipo WIENER</t>
  </si>
  <si>
    <t>FECUNTEST STRIP X 25 DETERMINACIONES Tipo WIENER</t>
  </si>
  <si>
    <t>FER COLOR AA LIQUIDO X 120  Tipo WIENER</t>
  </si>
  <si>
    <t>GAMMA G-test CINETICA AA 20X3 ML Tipo WIENER</t>
  </si>
  <si>
    <t>GLICEMIA ENZIMATICA AA LIQUIDA 4X250 ML Tipo Wiener</t>
  </si>
  <si>
    <t>GOT (AST) UV AA 10X20 ML Tipo WIENER</t>
  </si>
  <si>
    <t>GPT (ALT) UV AA  10X20 MLTipo WIENER</t>
  </si>
  <si>
    <t>HEMOGLOBINA GLICOSILADA HbA1C  ENZIMATICA  Tipo WIENER</t>
  </si>
  <si>
    <t>HEMOGLOBINA GLICOSILADA HbA1C  ENZIMATICA CONTROL  2X0,5 ML Tipo WIENER</t>
  </si>
  <si>
    <t>HEMOGLOBINA GLICOSILADA HbA1C  ENZIMATICA LYSIS BUFFER X 50 ML Tipo WIENER</t>
  </si>
  <si>
    <t>HDL COLESTEROL FT 100 ML Tipo WIENER</t>
  </si>
  <si>
    <t>LISANTE SROMATOLYSER WH 3X500 ML Tipo SYSMEX XP300</t>
  </si>
  <si>
    <t>PROTEINAS TOTALES AA 6X120 ML Tipo WIENER</t>
  </si>
  <si>
    <t>PROTI 2  (140 DET) Tipo WIENER</t>
  </si>
  <si>
    <t>PROTI U/LCR 100 ML Tipo WIENER</t>
  </si>
  <si>
    <t>LISANTE COUNTER W19 Tipo WIENER X 500 ML</t>
  </si>
  <si>
    <t>LISANTE Tipo MINDRAY X  500 ML</t>
  </si>
  <si>
    <t>MEDIO ACETATO DIFERENCIAL AGAR X 500 GR</t>
  </si>
  <si>
    <t>MEDIO TRIPTEINA SOYA AGAR 500 GR</t>
  </si>
  <si>
    <t>MAGNESIO COLOR AA 2X50 ML Tipo WIENEER</t>
  </si>
  <si>
    <t>LISANTE COUNTER XS Tipo WIENER X 200 ML</t>
  </si>
  <si>
    <t>SANGRE OCULTA EN MATERIA FECAL X  25 DETERMINACIONES</t>
  </si>
  <si>
    <t>SOLUCION DECOLORANTE PARA GRAM X 500 MLTipo BRITANIA</t>
  </si>
  <si>
    <t>TSH CALIBRADOR 3° GENERACION Tipo TOSOH X6 NIVELES</t>
  </si>
  <si>
    <t>TOXOPLASMOSIS AD X96 DET Tipo POLICHACO</t>
  </si>
  <si>
    <t>SOLUCION DE LAVADO CONCENTRADO 4X100 ML Tipo TOSOH</t>
  </si>
  <si>
    <t>TIRAS DE ORINA X100 UNIDADES Tipo WIENER</t>
  </si>
  <si>
    <t>TXG x 60 dets. (lgG toxo) MINIVIDAS Tipo BIOMERIEUX</t>
  </si>
  <si>
    <t>TXM x 60 dets. (lgM toxo) MINIVIDAS Tipo BIOMERIEUX</t>
  </si>
  <si>
    <t>DENGUE NS1 Ag MINIVIDAS Tipo BIOMERIEUX</t>
  </si>
  <si>
    <t>Anti-Dengue IgM MINIVIDAS Tipo BIOMERIEUX</t>
  </si>
  <si>
    <t>COLORANTE MAY GRUNGUAL X 1 LT Tipo CICARELLI</t>
  </si>
  <si>
    <t>HEMOGLOBINA GLICOSILADA HbA1C  ENZIMATICA CALIBRADOR 2X0,5 ML Tipo WIENER</t>
  </si>
  <si>
    <t>STANDATROL S-E 2 NIVELES 6X5 ML Tipo WIENER</t>
  </si>
  <si>
    <t>2.5.1-9043.2</t>
  </si>
  <si>
    <t>2.5.1-8988.760</t>
  </si>
  <si>
    <t>2.5.1-9007.169</t>
  </si>
  <si>
    <t>2.5.1-8988.775</t>
  </si>
  <si>
    <t>2.5.1-9052.62</t>
  </si>
  <si>
    <t>2.5.1-9052.637</t>
  </si>
  <si>
    <t>SUERO DE COOMBS ANTIHUMANO POLIESPECIFICO X 10 ML Tipo WIENER</t>
  </si>
  <si>
    <t>2.5.1-9052.1864</t>
  </si>
  <si>
    <t>2.5.1-9052.1143</t>
  </si>
  <si>
    <t>2.5.1-9052.388</t>
  </si>
  <si>
    <t>2.5.1-9052.358</t>
  </si>
  <si>
    <t>2.5.1-8988.1459</t>
  </si>
  <si>
    <t>2.5.1-8988.776</t>
  </si>
  <si>
    <t>2.5.1-8988.777</t>
  </si>
  <si>
    <t>2.5.1-9052.2154</t>
  </si>
  <si>
    <t>2.5.1-9019.119</t>
  </si>
  <si>
    <t>2.5.1-8988.1224</t>
  </si>
  <si>
    <t>2.5.1-8988.2408</t>
  </si>
  <si>
    <t>2.5.1-8988.2409</t>
  </si>
  <si>
    <t>2.5.1-8988.2410</t>
  </si>
  <si>
    <t>2.5.1-8988.778</t>
  </si>
  <si>
    <t>2.5.1-8988.1088</t>
  </si>
  <si>
    <t>2.5.1-9052.342</t>
  </si>
  <si>
    <t>2.5.1-9052.648</t>
  </si>
  <si>
    <t>APTT-P 10X4 ML Tipo HEMOMEDICA</t>
  </si>
  <si>
    <t>CONTROL PLASMA NORMAL 10X1 ML Tipo HEMOMEDICA</t>
  </si>
  <si>
    <t>CONTROL PLASMA ANORMAL 10X1 ML Tipo HEMOMEDICA</t>
  </si>
  <si>
    <t>TROMBOPLASTINA-S 10X4 ML Tipo HEMOMEDICA</t>
  </si>
  <si>
    <t>CLORURO DE CALCIO 0,025 M 10X10 ML Tipo HEMOMEDICA</t>
  </si>
  <si>
    <t>2.5.1-8988.2431</t>
  </si>
  <si>
    <t>2.5.1-8988.2439</t>
  </si>
  <si>
    <t>2.5.1-8988.2447</t>
  </si>
  <si>
    <t>2.5.1-8988.2449</t>
  </si>
  <si>
    <t>2.5.1-8988.1115</t>
  </si>
  <si>
    <t>2.9.9-3646.21</t>
  </si>
  <si>
    <t>2.9.9-3646.22</t>
  </si>
  <si>
    <t>PORBE CLEANSER SOLUCION DE LIMPIEZA MINDRAY 50 ML</t>
  </si>
  <si>
    <t>2.5.1-8988.2412</t>
  </si>
  <si>
    <t>2.5.1-8988.2422</t>
  </si>
  <si>
    <t>2.5.1-8937.903</t>
  </si>
  <si>
    <t>2.5.1-8988.2423</t>
  </si>
  <si>
    <t>2.5.1-8988.2424</t>
  </si>
  <si>
    <t>2.5.1-8988.2425</t>
  </si>
  <si>
    <t>2.5.1-8988.2426</t>
  </si>
  <si>
    <t>2.5.1-8988.2428</t>
  </si>
  <si>
    <t>2.5.1-8988.2430</t>
  </si>
  <si>
    <t>2.5.1-8988.2469</t>
  </si>
  <si>
    <t>2.5.1-8988.2470</t>
  </si>
  <si>
    <t>2.5.1-8988.2471</t>
  </si>
  <si>
    <t>2.5.1-8937.935</t>
  </si>
  <si>
    <t>2.5.1-8937.937</t>
  </si>
  <si>
    <t>2.5.1-9052.2142</t>
  </si>
  <si>
    <t>HVC ELISA HEPATITIS C 3RA GENERACION X96 DETERMINACIONES Tipo WIENER</t>
  </si>
  <si>
    <t>2.5.1-8988.2478</t>
  </si>
  <si>
    <t>2.5.1-8988.2484</t>
  </si>
  <si>
    <t>2.5.1-8988.2497</t>
  </si>
  <si>
    <t>MEDIO DE TRANSPORTE CARY BLAIR HISOPOS X 100 UNIDADES Tipo DELTALAB</t>
  </si>
  <si>
    <t>MEDIO DE TRANSPORTE STUART HISOPOS X 100 UNIDADES Tipo DELTALAB</t>
  </si>
  <si>
    <t>2.5.1-9016.1011</t>
  </si>
  <si>
    <t>2.5.1-9016.1012</t>
  </si>
  <si>
    <t>CALDO TODD HEWITT 10 FRASCOS X 10 ML Tipo BRITANIA</t>
  </si>
  <si>
    <t>2.5.1-9016.1014</t>
  </si>
  <si>
    <t>2.5.1-8988.2419</t>
  </si>
  <si>
    <t>2.5.1-8988.2420</t>
  </si>
  <si>
    <t>2.5.1-8937.902</t>
  </si>
  <si>
    <t>2.5.1-8988.2421</t>
  </si>
  <si>
    <t>2.5.1-9052.1513</t>
  </si>
  <si>
    <t>2.5.1-8988.2418</t>
  </si>
  <si>
    <t>2.5.1-8988.2417</t>
  </si>
  <si>
    <t>2.5.1-8937.901</t>
  </si>
  <si>
    <t>2.5.1-8988.2414</t>
  </si>
  <si>
    <t>2.5.1-8988.2415</t>
  </si>
  <si>
    <t>TG COLOR GPO/PAP AA liquida 4X100 ML  Tipo WIENER</t>
  </si>
  <si>
    <t>2.5.1-9052.2136</t>
  </si>
  <si>
    <t>2.5.1-8937.904</t>
  </si>
  <si>
    <t>T4L REACTIVO x 100 DETERMINACIONES Tipo TOSOH</t>
  </si>
  <si>
    <t>TSH REACTIVO x 100  DETERMINACIONES Tipo TOSOH</t>
  </si>
  <si>
    <t>2.5.1-8988.2432</t>
  </si>
  <si>
    <t>2.5.1-8988.1578</t>
  </si>
  <si>
    <t>2.5.1-8988.2434</t>
  </si>
  <si>
    <t>2.5.1-8988.2043</t>
  </si>
  <si>
    <t>CMV IgG x 60dets. MINIVIDAS Tipo BIOMERIEUX</t>
  </si>
  <si>
    <t>2.5.1-8988.2042</t>
  </si>
  <si>
    <t>CMV IgM x 60dets.  MINIVIDAS Tipo BIOMERIEUX</t>
  </si>
  <si>
    <t>2.5.1-8988.2440</t>
  </si>
  <si>
    <t>2.5.1-8988.2442</t>
  </si>
  <si>
    <t>2.5.1-8988.2445</t>
  </si>
  <si>
    <t>2.5.1-8988.2456</t>
  </si>
  <si>
    <t>RUBEOLA IgM x 60dets. MINIVIDAS Tipo BIOMERIEUX</t>
  </si>
  <si>
    <t>2.5.1-8988.2460</t>
  </si>
  <si>
    <t>RUBEOLA IgG x 60dets. MINIVIDAS Tipo BIOMERIEUX</t>
  </si>
  <si>
    <t>Anti-Dengue IgG MINIVIDAS Tipo BIOMERIEUX</t>
  </si>
  <si>
    <t xml:space="preserve">VARICELA IgM X 60 DETERMINACIONES MINIVIDAS Tipo BIOMERIEUX </t>
  </si>
  <si>
    <t>2.5.1-8988.2462</t>
  </si>
  <si>
    <t xml:space="preserve">VARICELA IgG X 60 DETERMINACIONES MINIVIDAS Tipo BIOMERIEUX </t>
  </si>
  <si>
    <t>2.5.1-8988.2464</t>
  </si>
  <si>
    <t>EPSTEIN BAR IgG X 30 DETERMINACIONES Tipo BIOMERIEUX</t>
  </si>
  <si>
    <t>EPSTEIN BAR IgM X 30 DETERMINACIONES Tipo BIOMERIEUX</t>
  </si>
  <si>
    <t>2.5.1-8988.2465</t>
  </si>
  <si>
    <t>2.5.1-8988.2466</t>
  </si>
  <si>
    <t>2.5.1-8988.2467</t>
  </si>
  <si>
    <t>PRUEBA RAPIDA PARA LA DETECCION CUALITATIVA DE ANTIGENOS DEL NUEVO CORONAVIRUS, VIRUS DE INFLUENZA A&amp;B EN MUESTRAS DE HISOPADO NASOFARINGEO (CAJA X 25 TEST) Tipo ABBOTT</t>
  </si>
  <si>
    <t>2.5.1-8988.2468</t>
  </si>
  <si>
    <t>2.5.1-8988.1322</t>
  </si>
  <si>
    <t>2.5.1-8937.921</t>
  </si>
  <si>
    <t>2.5.1-9052.2138</t>
  </si>
  <si>
    <t>2.5.1-8988.2198</t>
  </si>
  <si>
    <t xml:space="preserve">CK-NAC AA LIQUIDA 120 ML Tipo WIENER </t>
  </si>
  <si>
    <t>CK-NAC UV UNITEST 20X2,5 ML Tipo WIENER</t>
  </si>
  <si>
    <t>2.5.1-9052.343</t>
  </si>
  <si>
    <t>2.5.1-8988.1461</t>
  </si>
  <si>
    <t>2.5.1-8988.1727</t>
  </si>
  <si>
    <t>2.5.1-8988.1085</t>
  </si>
  <si>
    <t>2.5.1-8988.1464</t>
  </si>
  <si>
    <t>2.5.1-9038.83</t>
  </si>
  <si>
    <t>2.5.1-8988.1577</t>
  </si>
  <si>
    <t>2.5.1-8988.630</t>
  </si>
  <si>
    <t>2.5.1-8988.2368</t>
  </si>
  <si>
    <t>EZ CLEANSER SOLUCION DE LIMPIEZA TIPO MINDRAY 100 ML</t>
  </si>
  <si>
    <t>EZ CLEANSER COUNTER 19 SOLUCION DE LIMPIEZA Tipo WIENER X 100 ML</t>
  </si>
  <si>
    <t>2.5.1-9038.46</t>
  </si>
  <si>
    <t>2.5.1-9052.500</t>
  </si>
  <si>
    <t>2.5.1-9052.308</t>
  </si>
  <si>
    <t>2.5.1-8988.782</t>
  </si>
  <si>
    <t>2.5.1-9052.365</t>
  </si>
  <si>
    <t>2.5.1-8937.857</t>
  </si>
  <si>
    <t>2.5.1-9052.762</t>
  </si>
  <si>
    <t xml:space="preserve">LDL COLESTEROL REACTIVO PRECIPITANTE X 100 DETERMINACIONES Tipo WIENER </t>
  </si>
  <si>
    <t>2.5.1-8988.787</t>
  </si>
  <si>
    <t>2.5.1-9016.223</t>
  </si>
  <si>
    <t>2.5.1-9016.429</t>
  </si>
  <si>
    <t>2.5.1-9016.547</t>
  </si>
  <si>
    <t>2.5.1-9016.89</t>
  </si>
  <si>
    <t>2.5.1-8988.762</t>
  </si>
  <si>
    <t>2.5.1-9052.421</t>
  </si>
  <si>
    <t>2.5.1-8988.788</t>
  </si>
  <si>
    <t>2.5.1-8988.491</t>
  </si>
  <si>
    <t>PORBE CLEANSER WIENER 20 ML</t>
  </si>
  <si>
    <t>2.5.1-8988.493</t>
  </si>
  <si>
    <t>2.9.9-3646.23</t>
  </si>
  <si>
    <t>RINSE DETERGENTE X20 LT COUNTER WL19  Tipo WIENER</t>
  </si>
  <si>
    <t>2.5.1-8988.482</t>
  </si>
  <si>
    <t>2.5.1-9038.342</t>
  </si>
  <si>
    <t>2.5.1-9052.763</t>
  </si>
  <si>
    <t>2.5.1-9052.652</t>
  </si>
  <si>
    <t>2.5.1-8937.644</t>
  </si>
  <si>
    <t>2.5.1-8988.1093</t>
  </si>
  <si>
    <t>TW AA DETERGENTE 2X5 ML Tipo WIENER</t>
  </si>
  <si>
    <t>2.5.1-9052.981</t>
  </si>
  <si>
    <t>2.5.1-8988.864</t>
  </si>
  <si>
    <t>2.5.1-8988.865</t>
  </si>
  <si>
    <t>2.5.1-9052.645</t>
  </si>
  <si>
    <t>2.5.1-8988.1756</t>
  </si>
  <si>
    <t>CMV AVIDEZ X 30dets. MINIVIDAS Tipo BIOMERIEUX</t>
  </si>
  <si>
    <t xml:space="preserve">CASSETTE MEDICION DE PH PO2 PCO2  X25 DET. "E-CL"   OSMETECH OPTI CCA, Tipo OPTIMEDICAL  </t>
  </si>
  <si>
    <t>2.5.1-8988.781</t>
  </si>
  <si>
    <t xml:space="preserve">DILUYENTE 20 LITROS Tipo MINDRAY </t>
  </si>
  <si>
    <t>MEDIO TODD HEWITT CALDO 10X10 ML Tipo BRITANIA</t>
  </si>
  <si>
    <t>ALP 405 AA LIQUIDA 100 ML  Tipo WIENER</t>
  </si>
  <si>
    <t>2.5.1-8988.1827</t>
  </si>
  <si>
    <t>CUARTO</t>
  </si>
  <si>
    <t xml:space="preserve">PACK DIESTRO </t>
  </si>
  <si>
    <t>2.5.1-8988.2506</t>
  </si>
  <si>
    <t>ACEITES Y GRASAS; COMPUESTO QUIMICO: ACEITE DE INMERSION, ESTADO: LIQUIDO, CALIDAD: PRO ANALISIS, CONCENTRACION/PUREZA: 99,9 %, PRESENTACION: ENVASE X 100 mL</t>
  </si>
  <si>
    <t>REACTIVOS P/EQUIPO; EQUIPO: AUTOANALIZADOR DE IONES, MARCA EQUIPO: DIESTRO, NOMBRE DEL PRODUCTO: SC. ACOND. ELECTRODO SODIO, PRESENTACION: ENVASE X 15 mL</t>
  </si>
  <si>
    <t>REACTIVOS P/EQUIPO; EQUIPO: AUTOANALIZADOR, MARCA EQUIPO: GENERICO, NOMBRE DEL PRODUCTO: ALBUMINA AA, PRESENTACION: 6 X ENVASE X 120 mL</t>
  </si>
  <si>
    <t>COMP. HIDROXILADOS Y ALCOHOLES; COMPUESTO QUIMICO: METANOL, ESTADO: LIQUIDO, CALIDAD: PRO ANALISIS, CONCENTRACION/PUREZA: 98 %, PRESENTACION: ENVASE X 1 L</t>
  </si>
  <si>
    <t>REACTIVOS P/EQUIPO; EQUIPO: AUTOANALIZADOR, MARCA EQUIPO: GENERICO, NOMBRE DEL PRODUCTO: AMILASA 405 CINETICA AA, PRESENTACION: 3 X ENVASE X 10 mL</t>
  </si>
  <si>
    <t>REACTIVOS P/LAB. TEC. MANUAL ; NOMBRE: ANTI A SUERO, USO: HEMOCLASIFICADOR, PRESENTACION: ENVASE X 10 mL</t>
  </si>
  <si>
    <t>REACTIVOS P/LAB. TEC. MANUAL ; NOMBRE: ANTI B SUERO, USO: HEMOCLASIFICADOR, PRESENTACION: ENVASE X 10 mL</t>
  </si>
  <si>
    <t>REACTIVOS P/LAB. TEC. MANUAL ; NOMBRE: ANTICOAGULANTE TP (CITRATO), USO: LABORATORIO, PRESENTACION: 6 X 50 ML</t>
  </si>
  <si>
    <t>REACTIVOS P/LAB. TEC. MANUAL ; NOMBRE: SUERO HEMOTIFIC ANTI D IGM, USO: HEMOTERAPIA, PRESENTACION: ENVASE X 10 mL</t>
  </si>
  <si>
    <t>REACTIVOS P/LAB. TEC. MANUAL ; NOMBRE: ANTICOAGULANTE W, USO: LABORATORIO, PRESENTACION: 6 X ENVAS X 50 mL</t>
  </si>
  <si>
    <t>REACTIVOS P/LAB. TEC. MANUAL ; NOMBRE: APTT, USO: HEMOSTASIA, PRESENTACION: ENVASE X 150 DETERM.</t>
  </si>
  <si>
    <t>REACTIVOS P/EQUIPO; EQUIPO: COAGULOMETRO, MARCA EQUIPO: COATRON , NOMBRE DEL PRODUCTO: KPTT -P - HEMOMEDICA-, PRESENTACION: 10 X 4 ML</t>
  </si>
  <si>
    <t>REACTIVOS P/LAB. TEC. MANUAL ; NOMBRE: ARTRITEST, USO: INMUNOANALISIS, PRESENTACION: ENVASE X 50 DETERM.</t>
  </si>
  <si>
    <t>REACTIVOS P/EQUIPO; EQUIPO: AUTOANALIZADOR, MARCA EQUIPO: WIENER LAB, NOMBRE DEL PRODUCTO: ASO LATEX AA, PRESENTACION: ENVASE X 12 + ENVASE X 15 mL</t>
  </si>
  <si>
    <t>REACTIVOS P/EQUIPO; EQUIPO: AUTOANALIZADOR, MARCA EQUIPO: GENERICO, NOMBRE DEL PRODUCTO: BILIRRUBINA DIRECTA AA, PRESENTACION: ENVASE X 240 mL</t>
  </si>
  <si>
    <t>REACTIVOS P/EQUIPO; EQUIPO: AUTOANALIZADOR, MARCA EQUIPO: GENERICO, NOMBRE DEL PRODUCTO: BILIRRUBINA TOTAL AA, PRESENTACION: ENVASE X 240 mL</t>
  </si>
  <si>
    <t>MEDIOS DE CULTIVO Y SUPLEMENTO; NOMBRE DEL PRODUCTO: CALDO TODD HEWITT, ESTADO: LIQUIDO, PRESENTACION: 10 FRASCOS X 10 ML</t>
  </si>
  <si>
    <t>REACTIVOS P/EQUIPO; EQUIPO: ANALIZADOR DE GASES EN SANGRE, MARCA EQUIPO: OPTIMEDICAL, NOMBRE DEL PRODUCTO: MEDICION DE PH PO2 PCO2, PRESENTACION: UNIDAD</t>
  </si>
  <si>
    <t>REACTIVOS P/EQUIPO; EQUIPO: OPTI CCA-TS, MARCA EQUIPO: OPTI MEDICAL, NOMBRE DEL PRODUCTO: CASSETTE CALIBRADOR-HB , PRESENTACION: CASSETTE</t>
  </si>
  <si>
    <t>REACTIVOS P/EQUIPO; EQUIPO: OPTI CCA-TS, MARCA EQUIPO: OPTI MEDICAL, NOMBRE DEL PRODUCTO: CASSETTE SCR N1 , PRESENTACION: CASSETTE</t>
  </si>
  <si>
    <t>REACTIVOS P/EQUIPO; EQUIPO: OPTI CCA-TS, MARCA EQUIPO: OPTI MEDICAL, NOMBRE DEL PRODUCTO: CASSETTE SCR N3 , PRESENTACION: CASSETTE</t>
  </si>
  <si>
    <t>REACTIVOS P/EQUIPO; EQUIPO: AUTOANALIZADOR, MARCA EQUIPO: GENERICO, NOMBRE DEL PRODUCTO: CALCIO COLOR AA, PRESENTACION: 4 X ENVASE X 50 mL</t>
  </si>
  <si>
    <t>REACTIVOS P/LAB. TEC. MANUAL ; NOMBRE: CA COLOR ARSENAZO III, USO: METODO COLORIMETRICO, PRESENTACION: 4 X ENVASE X 50 mL</t>
  </si>
  <si>
    <t>REACTIVOS P/EQUIPO; EQUIPO: AUTOANA. QUIMICA CLINICA, MARCA EQUIPO: WIENER, NOMBRE DEL PRODUCTO: CALIBRADOR A PLUS, PRESENTACION: 2 X ENVASE X 3 mL</t>
  </si>
  <si>
    <t>REACTIVOS P/LAB. TEC. MANUAL ; NOMBRE: HEMAGLUTINACION P/CHAGAS, USO: DETERMINACION, PRESENTACION: ENVASE X 96 DETERM.</t>
  </si>
  <si>
    <t>REACTIVOS P/EQUIPO; EQUIPO: AUTOANALIZADOR, MARCA EQUIPO: WIENER LAB, NOMBRE DEL PRODUCTO: CK-MB CONTROL 3 NIVELES, PRESENTACION: 3 X 3 ML</t>
  </si>
  <si>
    <t>REACTIVOS P/EQUIPO; EQUIPO: AUTOANALIZADOR, MARCA EQUIPO: METROLAB, NOMBRE DEL PRODUCTO: CK MB NAC UV AA LIQUIDA, PRESENTACION: 1 X 50 + 1 X 10 mL</t>
  </si>
  <si>
    <t>REACTIVOS P/EQUIPO; EQUIPO: AUTOANALIZADOR, MARCA EQUIPO: WIENER LAB, NOMBRE DEL PRODUCTO: CK-MB NAC UV UNITEST, PRESENTACION: 19 X ENVASE X 2,5 mL</t>
  </si>
  <si>
    <t>REACTIVOS P/LAB. TEC. MANUAL ; NOMBRE: CK-NAC MET, USO: DETERMINACION DE ISOENZIMAS, PRESENTACION: 20 X ENVASE X 2,5 mL</t>
  </si>
  <si>
    <t>REACTIVOS P/EQUIPO; EQUIPO: COAGULOMETRO, MARCA EQUIPO: COATRON, NOMBRE DEL PRODUCTO: CLORURO DE CALCIO - HEMOMEDICA-, PRESENTACION: 10 X 10 ML</t>
  </si>
  <si>
    <t>REACTIVOS P/EQUIPO; EQUIPO: AUTOANA. QUIMICA CLINICA, MARCA EQUIPO: WIENER, NOMBRE DEL PRODUCTO: COLESTEROL ENZIMATICO AA, PRESENTACION: 4 X ENVASE X 100 mL</t>
  </si>
  <si>
    <t>REACTIVOS P/EQUIPO; EQUIPO: AUTOANALIZADOR, MARCA EQUIPO: GENERICO, NOMBRE DEL PRODUCTO: COLESTEROL ENZIMATICO AA, PRESENTACION: 2 X ENVASE X 500 mL</t>
  </si>
  <si>
    <t>REACTIVOS P/EQUIPO; EQUIPO: AUTOANALIZADOR, MARCA EQUIPO: GENERICO, NOMBRE DEL PRODUCTO: COLINESTERASA, PRESENTACION: ENVASE X 78 mL</t>
  </si>
  <si>
    <t>REACTIVO INDICADOR-COLORANTE; COMPUESTO QUIMICO: COLORACION DE GRAM, ESTADO: SOLUCION, CALIDAD: PRO ANALISIS, PRESENTACION: ENVASE X 100 mL</t>
  </si>
  <si>
    <t>REACTIVO INDICADOR-COLORANTE; COMPUESTO QUIMICO: ZIEL-NIELSEN, ESTADO: SOLUCION, CALIDAD: PRO ANALISIS, PRESENTACION: ENVASE X 100 mL</t>
  </si>
  <si>
    <t>REACTIVO INDICADOR-COLORANTE; COMPUESTO QUIMICO: MAY GRUNWALD, ESTADO: SOLUCION, CALIDAD: PRO ANALISIS, PRESENTACION: ENVASE X 1 L</t>
  </si>
  <si>
    <t>REACTIVOS P/EQUIPO; EQUIPO: CONTADOR HEMATOLOGICO, MARCA EQUIPO: MINDRAY, NOMBRE DEL PRODUCTO: CONTROL HEMATOLOGICO, PRESENTACION: 3 X 3 ML</t>
  </si>
  <si>
    <t>PATRÓN/ESTANDAR P/CALIBRACIÓN; EQUIPO: CONTADOR HEMATOLÓGICO; MARCA EQUIPO: SYSMEX ROCHE; NOMBRE DEL PRODUCTO: CONTROL P/HEMATOLOGÍA; PRESENTACIÓN: 4 X 2 X 3 ML</t>
  </si>
  <si>
    <t>PATRON/ESTANDAR P/CALIBRACION; EQUIPO: ANALIZADOR DE GASES EN SANGRE, MARCA EQUIPO: OPTIMEDICAL, NOMBRE DEL PRODUCTO: CONTROL LIQUIDO TRI NIVEL OPTICHECK, PRESENTACION: UNIDAD</t>
  </si>
  <si>
    <t>REACTIVOS P/EQUIPO; EQUIPO: COAGULOMETRO, MARCA EQUIPO: COATRON, NOMBRE DEL PRODUCTO: CONTROL PLASMA ANORMAL - HEMOMEDICA-, PRESENTACION: 10 X 1 ML</t>
  </si>
  <si>
    <t>REACTIVOS P/EQUIPO; EQUIPO: COAGULOMETRO, MARCA EQUIPO: COATRON, NOMBRE DEL PRODUCTO: CONTROL PLASMA NORMAL - HEMOMEDICA-, PRESENTACION: 10 X 1 ML</t>
  </si>
  <si>
    <t>REACTIVOS P/EQUIPO; EQUIPO: ANALIZADOR DE CREATININA, MARCA EQUIPO: WIENER LAB, NOMBRE DEL PRODUCTO: CREATININA DIRECTA, PRESENTACION: ENVASE X 120 DETERM.</t>
  </si>
  <si>
    <t>REACTIVOS P/EQUIPO; EQUIPO: AUTOANALIZADOR, MARCA EQUIPO: METROLAB 2300, NOMBRE DEL PRODUCTO: CREATININA CINETICA AA LIQUIDA, PRESENTACION: 2 X 100 + 2 X 25 mL</t>
  </si>
  <si>
    <t>REACTIVOS P/EQUIPO; EQUIPO: ANALIZADOR, MARCA EQUIPO: MINDRAY, NOMBRE DEL PRODUCTO: DETERGENTE CD80, PRESENTACION: 1 LITRO</t>
  </si>
  <si>
    <t>REACTIVOS P/EQUIPO; EQUIPO: ANALIZADOR QUIMICA CLINICA, MARCA EQUIPO: WIENER, NOMBRE DEL PRODUCTO: DETERGENTE NO IONICO, PRESENTACION: 2 X 500 ML</t>
  </si>
  <si>
    <t>REACTIVOS P/EQUIPO; EQUIPO: AUTOANALIZADOR DE IONES, MARCA EQUIPO: DIESTRO, NOMBRE DEL PRODUCTO: CONTROL TRILEVEL, PRESENTACION: 3 X ENVASE X 15 mL</t>
  </si>
  <si>
    <t>REACTIVOS P/EQUIPO; EQUIPO: CONTADOR HEMATOLOGICO, MARCA EQUIPO: WIENER LAB, NOMBRE DEL PRODUCTO: DILUYENTE AA, PRESENTACION: ENVASE X 20 L</t>
  </si>
  <si>
    <t>REACTIVOS P/EQUIPO; EQUIPO: CONTADOR HEMATOLOGICO, MARCA EQUIPO: WIENER LAB, NOMBRE DEL PRODUCTO: DILUYENTE XS WL 19, PRESENTACION: ENVASE X 5 L</t>
  </si>
  <si>
    <t>REACTIVOS P/EQUIPO; EQUIPO: CONTADOR HEMATOLÓGICO; MARCA EQUIPO: SYSMEX ROCHE; NOMBRE DEL PRODUCTO: DILUYENTE; PRESENTACIÓN: ENVASE X 20 L</t>
  </si>
  <si>
    <t>INSUMOS P/CONTADOR HEMATOL; TIPO: DILUYENTE, USO: CONTADOR HEMATOLOGICO MINDRAY</t>
  </si>
  <si>
    <t>REACTIVOS P/EQUIPO; EQUIPO: ANALIZADOR HEMATOLOGICO, MARCA EQUIPO: MINDRAY, NOMBRE DEL PRODUCTO: E-Z CLEANSER, PRESENTACION: FRASCO 100 ML</t>
  </si>
  <si>
    <t>REACTIVOS P/LAB. TEC. MANUAL ; NOMBRE: TEST EMBARAZO, USO: DIAGNOSTICO, PRESENTACION: ENVASE X 50 DETERM.</t>
  </si>
  <si>
    <t>REACTIVOS P/LAB. TEC. MANUAL ; NOMBRE: TEST EMBARAZO, USO: DIAGNOSTICO, PRESENTACION: ENVASE X 25 UN</t>
  </si>
  <si>
    <t>REACTIVOS P/EQUIPO; EQUIPO: AUTOANALIZADOR, MARCA EQUIPO: GENERICO, NOMBRE DEL PRODUCTO: HIERRO COLOR AA, PRESENTACION: ENVASE X 120 mL</t>
  </si>
  <si>
    <t>REACTIVOS P/EQUIPO; EQUIPO: ANALIZADOR, MARCA EQUIPO: WIENER, NOMBRE DEL PRODUCTO: FOSFATASA ALCALINA OPTIMIZADA, PRESENTACION: CAJA X 200 DETERMINACIONES</t>
  </si>
  <si>
    <t>REACTIVOS P/LAB. TEC. MANUAL ; NOMBRE: DET. G GLUTAMIL TRANSFERASA, USO: QUIMICA CLINICA, PRESENTACION: 3 X ENVASE X 200 mL</t>
  </si>
  <si>
    <t>REACTIVOS P/EQUIPO; EQUIPO: AUTOANA. QUIMICA CLINICA, MARCA EQUIPO: WIENER, NOMBRE DEL PRODUCTO: GLICEMIA ENZIMATICA AA LIQUIDA, PRESENTACION: 4 X ENVASE X 250 ML</t>
  </si>
  <si>
    <t>HIDRATOS DE CARBONO; COMPUESTO QUIMICO: GLUCOCURVE 75 GR, ESTADO: SOLIDO, CALIDAD: PRO ANALISIS, CONCENTRACION/PUREZA: SIN VALOR, PRESENTACION: ENVASE X 10 SOBRES</t>
  </si>
  <si>
    <t>REACTIVOS P/EQUIPO; EQUIPO: AUTOANALIZADOR, MARCA EQUIPO: WIENER, NOMBRE DEL PRODUCTO: GOT UV AA LIQUIDA, PRESENTACION: ENVASE X 200 ML</t>
  </si>
  <si>
    <t>REACTIVOS P/EQUIPO; EQUIPO: AUTOANALIZADOR, MARCA EQUIPO: WIENER, NOMBRE DEL PRODUCTO: GPT UV AA LIQUIDA, PRESENTACION: ENVASE X 200 ML</t>
  </si>
  <si>
    <t>REACTIVOS P/EQUIPO; EQUIPO: AUTOANALIZADOR, MARCA EQUIPO: WIENER, NOMBRE DEL PRODUCTO: GOT UV AA, PRESENTACION: ENVASE X 200 mL</t>
  </si>
  <si>
    <t>REACTIVOS P/EQUIPO; EQUIPO: AUTOANALIZADOR, MARCA EQUIPO: WIENER, NOMBRE DEL PRODUCTO: HBA1C ENZIMATICA, PRESENTACION: CAJA</t>
  </si>
  <si>
    <t>PATRON/ESTANDAR P/CALIBRACION; EQUIPO: AUTOANALIZADOR, MARCA EQUIPO: WIENER, NOMBRE DEL PRODUCTO: HBA1C ENZIMATICO CALIBRATOR, PRESENTACION: 2 X 0,5 ML</t>
  </si>
  <si>
    <t>PATRON/ESTANDAR P/CALIBRACION; EQUIPO: AUTOANALIZADOR, MARCA EQUIPO: WIENER, NOMBRE DEL PRODUCTO: HBA1C ENZIMATICO CONTROL, PRESENTACION: 2 X 0,5 ML</t>
  </si>
  <si>
    <t>PATRON/ESTANDAR P/CALIBRACION; EQUIPO: AUTOANALIZADOR, MARCA EQUIPO: GENERICO, NOMBRE DEL PRODUCTO: HBA1C ENZIMATICO LYSIS BUFFER, PRESENTACION: ENVASE X 50 mL</t>
  </si>
  <si>
    <t>REACTIVOS P/EQUIPO; EQUIPO: CONTADOR HEMATOLOGICO, MARCA EQUIPO: WIENER LAB, NOMBRE DEL PRODUCTO: LIZANTE GLOBULOS ROJOS, PRESENTACION: ENVASE X 500 mL</t>
  </si>
  <si>
    <t>REACTIVOS P/LAB. TEC. MANUAL; NOMBRE DEL PRODUCTO: HCV ELISA 3RA GENERACION, USO: DETERMINACION HEPATITIS C, PRESENTACION: ENVASE X 96 DETERM.</t>
  </si>
  <si>
    <t>REACTIVOS P/EQUIPO; EQUIPO: AUTOANA. QUIMICA CLINICA, MARCA EQUIPO: WIENER, NOMBRE DEL PRODUCTO: HDL COLESTEROL FT, PRESENTACION: 100 ML</t>
  </si>
  <si>
    <t>REACTIVOS P/EQUIPO; EQUIPO: AUTOANA. QUIMICA CLINICA, MARCA EQUIPO: WIENER, NOMBRE DEL PRODUCTO: COLESTEROL HDL MONOFASE AA PLUS, PRESENTACION: ENVASE X 80 ML</t>
  </si>
  <si>
    <t>REACTIVOS P/LAB. TEC. MANUAL ; NOMBRE: LDL COLESTEROL REACTIVO PRECIP, USO: LABORATORIO, PRESENTACION: ENVASE X 100 DETERM.</t>
  </si>
  <si>
    <t>REACTIVOS P/EQUIPO; EQUIPO: AUTOANALIZADOR, MARCA EQUIPO: GENERICO, NOMBRE DEL PRODUCTO: LDH-P UV AA, PRESENTACION: ENVASE X 100 mL</t>
  </si>
  <si>
    <t>REACTIVOS P/EQUIPO; EQUIPO: CONTADOR HEMATOLOGICO, MARCA EQUIPO: WIENER, NOMBRE DEL PRODUCTO: LISANTE COUNTER XS WL 19, PRESENTACION: ENVASE X 200 ML</t>
  </si>
  <si>
    <t>INSUMOS P/CONTADOR HEMATOL; TIPO: LISANTE, USO: CONTADOR HEMATOLOGICO MINDRAY</t>
  </si>
  <si>
    <t>REACTIVOS P/EQUIPO; EQUIPO: CONTADOR HEMATOLÓGICO; MARCA EQUIPO: SYSMEX ROCHE; NOMBRE DEL PRODUCTO: STROMATOLYSER WH XP300; PRESENTACIÓN: 3 X 500 ML</t>
  </si>
  <si>
    <t>MEDIOS DE CULTIVO Y SUPLEMENTO; NOMBRE DEL PRODUCTO: AGAR DIFERENCIAL ACETATO, ESTADO: SOLIDO, PRESENTACION: ENVASE X 500 GR</t>
  </si>
  <si>
    <t>MEDIOS DE CULTIVO Y SUPLEMENTO; NOMBRE DEL PRODUCTO: CROMAGAR ESTREPTO B, ESTADO: SOLIDO EN PLACA, PRESENTACION: ENVASE X 20 UN</t>
  </si>
  <si>
    <t>MEDIOS DE CULTIVO Y SUPLEMENTO; NOMBRE DEL PRODUCTO: AGAR SANGRE C/POLINUTRIENTES, ESTADO: SOLIDO EN PLACA, PRESENTACION: ENVASE X 10 UN</t>
  </si>
  <si>
    <t>MEDIOS DE CULTIVO Y SUPLEMENTO; NOMBRE DEL PRODUCTO: CALDO TRIPTEINA SOJA, ESTADO: SOLIDO, PRESENTACION: ENVASE X 500 GR</t>
  </si>
  <si>
    <t>MEDIOS DE CULTIVO Y SUPLEMENTO; NOMBRE DEL PRODUCTO: MEDIO DE TRANSPORTE CARY BLAIR, ESTADO: SOLIDO, PRESENTACION: HISOPOS X 100 UNIDADES</t>
  </si>
  <si>
    <t>MEDIOS DE CULTIVO Y SUPLEMENTO; NOMBRE DEL PRODUCTO: MEDIO DE TRANSPORTE STUART, ESTADO: SOLIDO, PRESENTACION: HISOPOS X 100 UNIDADES</t>
  </si>
  <si>
    <t>REACTIVOS P/EQUIPO; EQUIPO: AUTOANALIZADOR, MARCA EQUIPO: GENERICO, NOMBRE DEL PRODUCTO: MAGNESIO COLOR AA, PRESENTACION: 2 X ENVASE X 50 mL</t>
  </si>
  <si>
    <t>REACTIVOS P/EQUIPO; EQUIPO: ANALIZADOR DE IONES, MARCA EQUIPO: DIESTRO, NOMBRE DEL PRODUCTO: SOLUCIONES NA, KCL, CAL, PRESENTACION: PACK DE SOLUCIONES</t>
  </si>
  <si>
    <t>REACTIVOS P/LAB. TEC. MANUAL ; NOMBRE: PROTEINA C REACTIVA, USO: INMUNOSEROLOGIA, PRESENTACION: ENVASE X 50 DETERM.</t>
  </si>
  <si>
    <t>REACTIVOS P/EQUIPO; EQUIPO: AUTOANALIZADOR, MARCA EQUIPO: GENERICO, NOMBRE DEL PRODUCTO: PROTEINAS TOTALES AA, PRESENTACION: 6 X ENVASE X 120 mL</t>
  </si>
  <si>
    <t>REACTIVOS P/EQUIPO; EQUIPO: ANALIZADOR, MARCA EQUIPO: WIENER, NOMBRE DEL PRODUCTO: PROTI 2 C/TESTIGO , PRESENTACION: 140 DETERMINACIONES</t>
  </si>
  <si>
    <t>REACTIVOS P/EQUIPO; EQUIPO: ANALIZADOR, MARCA EQUIPO: WIENER, NOMBRE DEL PRODUCTO: PROTI U/LCR , PRESENTACION: ENVASE X 100 ML</t>
  </si>
  <si>
    <t>PATRON/ESTANDAR P/CALIBRACION; EQUIPO: ANALIZADOR, MARCA EQUIPO: WIENER, NOMBRE DEL PRODUCTO: PROTI U/LCR CONTROL 2 NIVELES, PRESENTACION: 2 X 3 ML</t>
  </si>
  <si>
    <t>REACTIVOS P/EQUIPO; EQUIPO: CONTADOR HEMATOLOGICO, MARCA EQUIPO: WIENER LAB, NOMBRE DEL PRODUCTO: SOLUCION DE LIMPIEZA, PRESENTACION: ENVASE X 20 mL</t>
  </si>
  <si>
    <t>REACTIVOS P/EQUIPO; EQUIPO: MINDRAY, MARCA EQUIPO: MINDRAY, NOMBRE DEL PRODUCTO: PROBE CLEANSER, PRESENTACION: 50 ML</t>
  </si>
  <si>
    <t>REACTIVOS P/EQUIPO; EQUIPO: CONTADOR HEMATOLOGICO, MARCA EQUIPO: WIENER LAB, NOMBRE DEL PRODUCTO: DETERGENTE RINSE AA, PRESENTACION: ENVASE X 20 L</t>
  </si>
  <si>
    <t>INSUMOS P/CONTADOR HEMATOL; TIPO: DETERGENTE, USO: CONTADOR HEMATOLOGICO MINDRAY</t>
  </si>
  <si>
    <t>REACTIVOS P/LAB. TEC. MANUAL ; NOMBRE: DET. SANGRE EN MAT FECAL, USO: DIAGNOSTICO, PRESENTACION: ENVASE X 25 DETERM.</t>
  </si>
  <si>
    <t>REACTIVOS P/EQUIPO; EQUIPO: AUTOANALIZADOR, MARCA EQUIPO: TOSOH, NOMBRE DEL PRODUCTO: SUSTRATO II, PRESENTACION: 1000 DETERMINACIONES</t>
  </si>
  <si>
    <t>REACTIVOS P/EQUIPO; EQUIPO: AUTOANALIZADOR, MARCA EQUIPO: TOSOH, NOMBRE DEL PRODUCTO: SOLUCION DE LAVADO, PRESENTACION: 4 X 100 ML</t>
  </si>
  <si>
    <t>REACTIVOS P/EQUIPO; EQUIPO: ANALIZADOR DE QUIMICA CLINICA, MARCA EQUIPO: METROLAB, NOMBRE DEL PRODUCTO: SOLUCION DE LIMPIEZA, PRESENTACION: 2 X ENVASE X 500 mL</t>
  </si>
  <si>
    <t>REACTIVO INDICADOR-COLORANTE; COMPUESTO QUIMICO: DECOLORANTE GRAM, ESTADO: SOLUCION, CALIDAD: PRO ANALISIS, PRESENTACION: ENVASE X 500 mL</t>
  </si>
  <si>
    <t>REACTIVOS P/LAB. TEC. MANUAL ; NOMBRE: SOLUPLASTIN, USO: LABORATORIO, PRESENTACION: 10 X ENVASE X 2 mL</t>
  </si>
  <si>
    <t>PATRON/ESTANDAR P/CALIBRACION; EQUIPO: AUTOANALIZADOR QUIMICA CLINICA, MARCA EQUIPO: WIENER, NOMBRE DEL PRODUCTO: CONTROL STANDATROL, PRESENTACION: 6 X ENVASE X 5 mL</t>
  </si>
  <si>
    <t>REACTIVOS P/EQUIPO; EQUIPO: AUTOMATIZADO; MARCA EQUIPO: TOSOH; NOMBRE DEL PRODUCTO: T4 LIBRE; PRESENTACIÓN: 100 DETERMINACIONES</t>
  </si>
  <si>
    <t>PATRÓN/ESTANDAR P/CALIBRACIÓN; EQUIPO: AUTOANALIZADOR; MARCA EQUIPO: TOSOH; NOMBRE DEL PRODUCTO: CALIBRADOR T4 LIBRE; PRESENTACIÓN: 2 SET 6 NIVELES X 1 ML</t>
  </si>
  <si>
    <t>REACTIVOS P/EQUIPO; EQUIPO: AUTOANALIZADOR; MARCA EQUIPO: WIENER; NOMBRE DEL PRODUCTO: TG GPO/ PAP AA; PRESENTACIÓN: 4 X ENVASE X 100 ML</t>
  </si>
  <si>
    <t>REACTIVOS P/EQUIPO; EQUIPO: AUTOANALIZADOR; MARCA EQUIPO: TOSOH; NOMBRE DEL PRODUCTO: HORMONA TSH; PRESENTACIÓN: ENVASE X 100 DETERMINACIONES</t>
  </si>
  <si>
    <t>PATRÓN/ESTANDAR P/CALIBRACIÓN; EQUIPO: AUTOANALIZADOR; MARCA EQUIPO: TOSOH; NOMBRE DEL PRODUCTO: CONTROL TSH TERCERA GENERACIÓN; PRESENTACIÓN: 2 SET 6 NIVELES X 1 ML</t>
  </si>
  <si>
    <t>REACTIVOS P/LAB. TEC. MANUAL; NOMBRE: AD PARA TOXOPLASMOSIS; MARCA: POLYCHACO; USO: SEROLOGÍA; PRESENTACIÓN: ENVASE X 96 DETERMINACIONES</t>
  </si>
  <si>
    <t>REACTIVOS P/EQUIPO; EQUIPO: COAGULOMETRO, MARCA EQUIPO: COATRON A4, NOMBRE DEL PRODUCTO: TROMBOPLASTINA-S, PRESENTACION: 10 X ENVASE X 4 mL</t>
  </si>
  <si>
    <t>REACTIVOS P/LAB. TEC. MANUAL ; NOMBRE: TIRAS REACTIVAS ANALISIS ORINA, USO: LABORATORIO, PRESENTACION: ENVASE X 100 DETERM.</t>
  </si>
  <si>
    <t>PATRON/ESTANDAR P/CALIBRACION; EQUIPO: ANALIZADOR DE GASES EN SANGRE, MARCA EQUIPO: OPTIMEDICAL, NOMBRE DEL PRODUCTO: CALIBRADOR GAS, PRESENTACION: UNIDAD</t>
  </si>
  <si>
    <t>REACTIVOS P/EQUIPO; EQUIPO: AUTOANA. QUIMICA CLINICA, MARCA EQUIPO: WIENER, NOMBRE DEL PRODUCTO: DETERGENTE NO IONICO, PRESENTACION: 2 X ENVASE X 5 mL</t>
  </si>
  <si>
    <t>REACTIVOS P/LAB. TEC. MANUAL ; NOMBRE: UREA COLORIMETRICA MANUAL, USO: LABORATORIO, PRESENTACION: ENVASE X 500 DETERM.</t>
  </si>
  <si>
    <t>REACTIVOS P/EQUIPO; EQUIPO: AUTOANALIZADOR, MARCA EQUIPO: METROLAB 2300, NOMBRE DEL PRODUCTO: UREA UV CINETICA AA LIQUIDA, PRESENTACION: 4 X 100 + 4 X 25 mL</t>
  </si>
  <si>
    <t>REACTIVOS P/EQUIPO; EQUIPO: AUTOANALIZADOR QUÍMICA CLÍNICA; MARCA EQUIPO: WIENER; NOMBRE DEL PRODUCTO: URICOSTAT ENZIMÁTICO AA LÍQUIDA; PRESENTACIÓN: ENVASE 250 ML: 2 X 100 ML A + 1 X 50 ML B</t>
  </si>
  <si>
    <t>REACTIVOS P/EQUIPO; EQUIPO: AUTOMATIZADO; MARCA EQUIPO: VIDAS; NOMBRE DEL PRODUCTO: EPSTEIN BAR IGM; PRESENTACIÓN: X 30 DETERMINACIONES</t>
  </si>
  <si>
    <t>REACTIVOS P/EQUIPO; EQUIPO: AUTOMATIZADO; MARCA EQUIPO: VIDAS; NOMBRE DEL PRODUCTO: EPSTEIN BAR IGG; PRESENTACIÓN: X 30 DETERMINACIONES</t>
  </si>
  <si>
    <t>REACTIVOS P/LAB. TEC. MANUAL ; NOMBRE: VDRL, USO: DIAGNOSTICO, PRESENTACION: ENVASE X 250 DETERM.</t>
  </si>
  <si>
    <t>REACTIVOS P/EQUIPO; EQUIPO: INMUNOANALIZADOR, MARCA EQUIPO: VIDAS, NOMBRE DEL PRODUCTO: TOXO IGG II, PRESENTACION: ENVASE X 60 DETERM.</t>
  </si>
  <si>
    <t>REACTIVOS P/EQUIPO; EQUIPO: INMUNOANALIZADOR, MARCA EQUIPO: VIDAS, NOMBRE DEL PRODUCTO: TOXO IGM, PRESENTACION: ENVASE X 60 DETERM.</t>
  </si>
  <si>
    <t>REACTIVOS P/EQUIPO; EQUIPO: AUTOMATIZADO; MARCA EQUIPO: VIDAS; NOMBRE DEL PRODUCTO: CMV IGG; PRESENTACIÓN: DETERMINACIÓN S/PLIEGO</t>
  </si>
  <si>
    <t>REACTIVOS P/EQUIPO; EQUIPO: AUTOMATIZADO; MARCA EQUIPO: VIDAS; NOMBRE DEL PRODUCTO: CMV IGM; PRESENTACIÓN: DETERMINACIÓN S/PLIEGO</t>
  </si>
  <si>
    <t>REACTIVOS P/EQUIPO; EQUIPO: AUTOMATIZADO; MARCA EQUIPO: VIDAS; NOMBRE DEL PRODUCTO: RUBEOLA IGM; PRESENTACIÓN: X 60 DETERMINACIONES</t>
  </si>
  <si>
    <t>REACTIVOS P/EQUIPO; EQUIPO: AUTOMATIZADO; MARCA EQUIPO: VIDAS; NOMBRE DEL PRODUCTO: RUBEOLA IGG; PRESENTACIÓN: X 60 DETERMINACIONES</t>
  </si>
  <si>
    <t>REACTIVOS P/EQUIPO; EQUIPO: AUTOMATIZADO; MARCA EQUIPO: VIDAS; NOMBRE DEL PRODUCTO: DENGUE NS1; PRESENTACIÓN: X 60 DETERMINACIONES</t>
  </si>
  <si>
    <t>REACTIVOS P/EQUIPO; EQUIPO: AUTOMATIZADO; MARCA EQUIPO: VIDAS; NOMBRE DEL PRODUCTO: DENGUE IGM; PRESENTACION: X 60 DETERMINACIONES</t>
  </si>
  <si>
    <t>REACTIVOS P/EQUIPO; EQUIPO: AUTOMATIZADO; MARCA EQUIPO: VIDAS; NOMBRE DEL PRODUCTO: VARICELA IGM; PRESENTACIÓN: X 60 DETERMINACIONES</t>
  </si>
  <si>
    <t>REACTIVOS P/EQUIPO; EQUIPO: AUTOMATIZADO; MARCA EQUIPO: VIDAS; NOMBRE DEL PRODUCTO: VARICELA IGG; PRESENTACION: X 60 DETERMINACIONES</t>
  </si>
  <si>
    <t>REACTIVOS P/EQUIPO; EQUIPO: INMUNOANALIZADOR, MARCA EQUIPO: VIDAS, NOMBRE DEL PRODUCTO: CMV IGG AVIDEZ, PRESENTACION: ENVASE X 30 DETERM.</t>
  </si>
  <si>
    <t>REACTIVOS P/EQUIPO; EQUIPO: AUTOMATIZADO; MARCA EQUIPO: VIDAS; NOMBRE DEL PRODUCTO: DENGUE IGG; PRESENTACIÓN: X 60 DETERMINACIONES</t>
  </si>
  <si>
    <t>REACTIVOS P/EQUIPO; EQUIPO: AUTOMATIZADO; MARCA EQUIPO: KINGFISHER FLEX; NOMBRE DEL PRODUCTO: MAGMAX TM VIRAL / PATHOGEN II (MPV) NUCLAIC ACID ISOLATION; PRESENTACIÓN: S/PLIEGO</t>
  </si>
  <si>
    <t>REACTIVOS P/LAB. TEC. MANUAL; MARCA EQUIPO: ABBOTT; NOMBRE DEL PRODUCTO: ANTÍGENO SARS-COV-2; PRESENTACIÓN: 25 TEST</t>
  </si>
  <si>
    <t>REACTIVOS P/EQUIPO; EQUIPO: AUTOANALIZADOR, MARCA EQUIPO: GENERICO, NOMBRE DEL PRODUCTO: ALP 405 LIQUIDA AA, PRESENTACION: ENVASE X 100 mL</t>
  </si>
  <si>
    <t>REACTIVOS P/EQUIPO; EQUIPO: AUTOANALIZADOR, MARCA EQUIPO: GENERICO, NOMBRE DEL PRODUCTO: CK-NAC AA, PRESENTACION: ENVASE X 120 mL</t>
  </si>
  <si>
    <t>REACTIVOS P/EQUIPO; EQUIPO: CONTADOR HEMATOLOGICO, MARCA EQUIPO: WIENER, NOMBRE DEL PRODUCTO: CONTROL HEMATOLOGICO 3 NIVELES, PRESENTACION: 3 X 3 ML</t>
  </si>
  <si>
    <t>BIDON</t>
  </si>
  <si>
    <t>PACK</t>
  </si>
  <si>
    <t>KIT</t>
  </si>
  <si>
    <t>2.5.1-9038.117</t>
  </si>
  <si>
    <t>REACTIVO INDICADOR-COLORANTE; COMPUESTO QUIMICO: GIEMSA, ESTADO: LIQUIDO, CALIDAD: PRO ANALISIS, PRESENTACION: ENVASE X 1 L</t>
  </si>
  <si>
    <t>DETERGENTE CONCENTRADO CD 80 TIPO MINDRAY</t>
  </si>
  <si>
    <t>DETERGENTE NO IONICO TIPO WIENER</t>
  </si>
  <si>
    <t>SOLUCION DE LIMPIEZA SE ML Tipo WIENER</t>
  </si>
  <si>
    <t>SOLUPLASTIN 10 X2 ML 100 DET. Tipo WIENER</t>
  </si>
  <si>
    <t>QUIMICOS</t>
  </si>
  <si>
    <t>REACTIVOS P/EQUIPO; EQUIPO: AUTOANALIZADOR, MARCA EQUIPO: WIENER, NOMBRE DEL PRODUCTO: GPT UV AA, PRESENTACION: ENVASE X 200 mL</t>
  </si>
  <si>
    <t>2.5.1-8988.1446</t>
  </si>
  <si>
    <t>REACTIVOS P/EQUIPO; EQUIPO: MICROTUBOS C/GEL, MARCA EQUIPO: GRIFOLS, NOMBRE DEL PRODUCTO: TARJETAS LISS COOMBS, PRESENTACION: ENVASE X 48 UN</t>
  </si>
  <si>
    <t xml:space="preserve">UNIDAD </t>
  </si>
  <si>
    <t>2.5.1-8988.2287</t>
  </si>
  <si>
    <t>REACTIVOS P/EQUIPO; EQUIPO: AUTOMATIZADO, MARCA EQUIPO: A DEFINIR, NOMBRE DEL PRODUCTO: RH/PHENO/KELL DONANTES, PRESENTACION: ENVASE X 48 DETERM.</t>
  </si>
  <si>
    <t>2.5.1-9052.2156</t>
  </si>
  <si>
    <t>REACTIVOS PARA LABORATORIO TEC. MANUAL, NOMBRE: IDENTIERA DIANA, USO: DIAGNOSTICO, PRESENTACION: CAJA DE 11 FRASCOS DE 5ML</t>
  </si>
  <si>
    <t>2.5.1-9052.2157</t>
  </si>
  <si>
    <t>REACTIVOS PARA LABORATORIO TEC. MANUAL, NOMBRE: PANEL SARASCAN DIANA 2, USO: DIAGNOSTICO, PRESENTACION: CAJA X 2 FRASCO DE 10ML</t>
  </si>
  <si>
    <t>2.5.1-9052.2158</t>
  </si>
  <si>
    <t>REACTIVOS PARA LABORATORIO TEC. MANUAL, NOMBRE: PANEL SERO CYTE, USO: DIAGNOSTICO, PRESENTACION: CAJA X 3 UNID. DE 10ML</t>
  </si>
  <si>
    <t>2.5.1-9052.2159</t>
  </si>
  <si>
    <t>REACTIVOS PARA LABORATORIO TEC. MANUAL, NOMBRE: PANEL SERIGROUP DIANA A1/B, USO: DIAGNOSTICO, PRESENTACION: CAJA 1 X 10ML</t>
  </si>
  <si>
    <t>2.5.1-8988.2507</t>
  </si>
  <si>
    <t>REACTIVOS P/EQUIPO; EQUIPO: AFERESIS, MARCA EQUIPO: HAEMONETICS MCS PLUS, NOMBRE DEL PRODUCTO: SOLUCION ACD FORMULA A ANTI COAGULANTE TIPO RIVERO FENVAL SOLUFLEX 679-S, PRESENTACION: 600ML</t>
  </si>
  <si>
    <t>2.5.1-9052.2160</t>
  </si>
  <si>
    <t>REACTIVOS PARA LABORATORIO TEC. MANUAL; NOMBRE: SOLUCION DG SOL, USO: DIAGNOSTICO, PRESENTACION: CAJA X 2 UNID 100ML</t>
  </si>
  <si>
    <t>2.5.1-8988.197</t>
  </si>
  <si>
    <t>REACTIVOS P/EQUIPO; EQUIPO: ANALIZADOR DE INMUNOENSAYO, MARCA EQUIPO: ABBOTT, NOMBRE DEL PRODUCTO: HIV 1-2, PRESENTACION: ENVASE X 96 DETERM.</t>
  </si>
  <si>
    <t>2.5.1-9052.2161</t>
  </si>
  <si>
    <t>REACTIVOS PARA LABORATORIO TEC. MANUAL, NOMBRE: CHAGATEST ELISA RECOMBINANTE (V4,0) TIPO WIENER , USO: DIAGNOSTICO , PRESENTACION: CAJA X 96 DETERMINACIONES</t>
  </si>
  <si>
    <t>2.5.1-9052.2162</t>
  </si>
  <si>
    <t>REACTIVOS PARA LABORATORIO TEC. MANUAL, NOMBRE: CHAGATEST ELISA LISADO TIPO WIENER , USO: DIAGNOSTICO, PRESENTACION: CAJA X 96 DETERMINACIONES</t>
  </si>
  <si>
    <t>2.5.1-9052.862</t>
  </si>
  <si>
    <t>REACTIVOS P/LAB. TEC. MANUAL ; NOMBRE: ELISA PARA HTLV, USO: SEROLOGIA, PRESENTACION: ENVASE X 96 DETERM.</t>
  </si>
  <si>
    <t>2.5.1-8988.372</t>
  </si>
  <si>
    <t>REACTIVOS P/EQUIPO; EQUIPO: ANALIZ. X ENZIMO-INMUNO-ENSAYO, MARCA EQUIPO: ABBOTT, NOMBRE DEL PRODUCTO: DET. ANTIG. CORE/ANTIC ANTIHCV, PRESENTACION: ENVASE X 96 DETERM.</t>
  </si>
  <si>
    <t>2.5.1-9052.2129</t>
  </si>
  <si>
    <t>REACTIVOS P/LAB. TEC. MANUAL ; NOMBRE: COVIDAR IGG(SEROKIT MAS ELISA IGG), USO: DIAGNOSTICO SARS-COV-2, PRESENTACION: ENVASE X 192 DETERM.</t>
  </si>
  <si>
    <t>2.5.1-9052.2123</t>
  </si>
  <si>
    <t>REACTIVOS P/LAB. TEC. MANUAL ; NOMBRE:SARS- COV-2 IGM CONTROL, USO: IDENTIFICACION DE ANTICUERPOS, PRESENTACION: 2 X ENVASE X 10 ML</t>
  </si>
  <si>
    <t>2.5.1-9052.740</t>
  </si>
  <si>
    <t>REACTIVOS P/LAB. TEC. MANUAL ; NOMBRE: ELISA P/DET. ANTIC ANTI-HBSAG, USO: DETERMINACION HEPATITIS B, PRESENTACION: ENVASE X 96 DETERM.</t>
  </si>
  <si>
    <t>2.5.1-9052.1488</t>
  </si>
  <si>
    <t>REACTIVOS P/LAB. TEC. MANUAL ; NOMBRE: ELISA ANTI HCV, USO: DETERMINACION DE ANTICUERPOS, PRESENTACION: ENVASE X 96 DETERM.</t>
  </si>
  <si>
    <t>2.5.1-9052.294</t>
  </si>
  <si>
    <t>REACTIVOS P/LAB. TEC. MANUAL ; NOMBRE: REACTIVO HUDDLESON, USO: DIAGNOSTICO DE BRUCELOSIS, PRESENTACION: ENVASE X 5 mL</t>
  </si>
  <si>
    <t>2.5.1-9052.288</t>
  </si>
  <si>
    <t>REACTIVOS P/LAB. TEC. MANUAL ; NOMBRE: SUERO COOMBS MONOES. ANTI-IGA, USO: HEMOTERAPIA, PRESENTACION: ENVASE X 5 mL</t>
  </si>
  <si>
    <t>2.5.1-9037.72</t>
  </si>
  <si>
    <t>PROTEINAS; COMPUESTO QUIMICO: ALBUMINA BOVINA, ESTADO: LIQUIDO, CALIDAD: TECNICA MANUAL, CONCENTRACION/PUREZA: 30%, PRESENTACION: ENVASE X 10 ML</t>
  </si>
  <si>
    <t>2.5.1-9052.2155</t>
  </si>
  <si>
    <t>REACTIVOS P/LAB. TEC. MANUAL, NOMBRE:CMV CITOMEGALOVIRUS IGM , USO: METODO ELISA TIPO WIENER, PRESENTACION: 96 DETERMINACIONES</t>
  </si>
  <si>
    <t>2.5.1-9052.354</t>
  </si>
  <si>
    <t>REACTIVOS P/LAB. TEC. MANUAL ; NOMBRE: TOXOTEST HAI, USO: INMUNOLOGIA, PRESENTACION: ENVASE X 96 DETERM.</t>
  </si>
  <si>
    <t>2.5.1-9017.381</t>
  </si>
  <si>
    <t>ANTICUERPOS P/LABORATORIO; NOMBRE: ANTI-A, ESTADO: LIQUIDO, MARCADO CON: SIN MARCAR, ORIGEN: HUMANO, PRESENTACION: ENVASE X 10 mL, TIPO: MONOCLONAL</t>
  </si>
  <si>
    <t>2.5.1-9017.136</t>
  </si>
  <si>
    <t>ANTICUERPOS P/LABORATORIO; NOMBRE: ANTI-B, ESTADO: SOLUCION, MARCADO CON: SIN MARCAR, ORIGEN: HUMANO, PRESENTACION: ENVASE X 10 mL, TIPO: MONOCLONAL</t>
  </si>
  <si>
    <t>2.5.1-9017.137</t>
  </si>
  <si>
    <t>ANTICUERPOS P/LABORATORIO; NOMBRE: ANTI-D, ESTADO: SOLUCION, MARCADO CON: SIN MARCAR, ORIGEN: HUMANO, PRESENTACION: ENVASE X 10 mL, TIPO: MONOCLONAL</t>
  </si>
  <si>
    <t>2.5.1-9052.2127</t>
  </si>
  <si>
    <t>2.5.1-9052.2128</t>
  </si>
  <si>
    <t>REACTIVOS P/LAB. TEC: MANUAL; NOMBRE: DETECCION DE ANTI HB CORE POR METODO DE ELISA EN MICROPLACAS, USO: INMUNOSEROLOGIA TIPO BIORAD; PRESENTACION: X 96 DETERMINACIONES</t>
  </si>
  <si>
    <t>2.5.1-9052.2130</t>
  </si>
  <si>
    <t>REACTIVOS P/LAB. TEC. MANUAL ; NOMBRE: BIOZIMA CHAGAS, USO: DETECCION ANTICUERPOS ANTI-TRIPANOSOMA CRUZI, PRESENTACION: ENVASE X 192 DETERM.</t>
  </si>
  <si>
    <t>2.5.1-9052.2131</t>
  </si>
  <si>
    <t>REACTIVOS P/LAB. TEC. MANUAL ; NOMBRE: BIOZIMA RECONVINANTE CHAGAS, USO: DETECCION ANTICUERPOS ANTI-TRIPANOSOMA CRUZI, PRESENTACION: ENVASE X 192 DETERM.</t>
  </si>
  <si>
    <t>2.5.1-8988.2404</t>
  </si>
  <si>
    <t>REACTIVOS P/EQUIPO; EQUIPO: ELECTROLUMINISCENCIA, MARCA EQUIPO: COBAS ROCHE, NOMBRE DEL PRODUCTO: ATG SUPERFICIE HEPATITIS B, PRESENTACION: ENVASE X 100 DETERM.</t>
  </si>
  <si>
    <t>2.5.1-9052.2132</t>
  </si>
  <si>
    <t>REACTIVOS P/LAB. TEC. MANUAL ; NOMBRE: REACTIVO ANTI HBC TEC. ELECTROLIMINISCENCIA TIPO ROCHE COBAS E411 CRACK, USO: INMUNOSEROLOGIA; PRESENTACION: X 100 DETERMINACIONES.</t>
  </si>
  <si>
    <t>2.5.1-9052.2133</t>
  </si>
  <si>
    <t>REACTIVOS P/LAB. TEC. MANUAL ; NOMBRE: REACTIVO HC1V TEC. ELECTROLUNINISCENCIA TIPO ROCHE COBAS E411 CRACK, USO: INMUNOSEROLOGIA ; PRESENTACION: X 100 DETERMINACIONES.</t>
  </si>
  <si>
    <t>2.5.1-9052.2134</t>
  </si>
  <si>
    <t>REACTIVOS P/LAB. TEC. MANUAL ; NOMBRE: REACTIVO ANTI HCV TEC. ELECTROLUMINISCENCIA TIPO ROCHE COBAS E411 CRACK; USO: INMUNOSEROLOGIA ; PRESENTACION: X 100 DETERMINACIONES.</t>
  </si>
  <si>
    <t>2.5.1-8988.2407</t>
  </si>
  <si>
    <t>REACTIVOS P/EQUIPO; EQUIPO: ELECTROLUMINISCENCIA, MARCA EQUIPO: COBAS ROCHE, NOMBRE DEL PRODUCTO: REACTIVO SYPHILIS, PRESENTACION: ENVASE X 100 DETERM.</t>
  </si>
  <si>
    <t>2.5.1-8988.2405</t>
  </si>
  <si>
    <t>REACTIVOS P/EQUIPO; EQUIPO: ELECTROLUMINISCENCIA, MARCA EQUIPO: COBAS ROCHE, NOMBRE DEL PRODUCTO: REACTIVO HTLV, PRESENTACION: ENVASE X 100 DETERM.</t>
  </si>
  <si>
    <t>2.5.1-8988.2406</t>
  </si>
  <si>
    <t>REACTIVOS P/EQUIPO; EQUIPO: ELECTROLUMINISCENCIA, MARCA EQUIPO: COBAS ROCHE, NOMBRE DEL PRODUCTO: REACTIVO CHAGAS, PRESENTACION: ENVASE X 100 DETERM.</t>
  </si>
  <si>
    <t>2.5.1-9052.2126</t>
  </si>
  <si>
    <t>REACTIVOS P/LAB. TEC. MANUAL ; NOMBRE: CELDAS DE REACCION TEMPERATURA AMBIENTE-SISTEMA DE INMUNO ENSAYO. TIPO ABBOT, USO:INMUNOSEROLOGIA ; PRESENTACION: 4000 DETERMINACIONES.</t>
  </si>
  <si>
    <t xml:space="preserve">TARJETA DE GEL COOMBS </t>
  </si>
  <si>
    <t>TARJETA DE GEL PHENO + KELL</t>
  </si>
  <si>
    <t xml:space="preserve">PANEL SERO cyte 0,8% </t>
  </si>
  <si>
    <t>PANEL SERIGRUP A1/B</t>
  </si>
  <si>
    <t>HIV ELISA AG/AC 4° GENERACION -96 DET-</t>
  </si>
  <si>
    <t>HTLV 1 Y 2 ELISA-96DET.</t>
  </si>
  <si>
    <t>SARS- COV-2 Igm Control</t>
  </si>
  <si>
    <t>HEPATITIS B ELISA  HBSAG-96DET.</t>
  </si>
  <si>
    <t>HEPATITIS C HCV ELISA 3º GEN. 96 DET.</t>
  </si>
  <si>
    <t>ANTIGENO FEBRIL BRUCELLA (HUDDLESON 1 X 5 ML.</t>
  </si>
  <si>
    <t>SUERO ANTI HUMANO COOMBS</t>
  </si>
  <si>
    <t>ANTI-AB MONOCLONAL- FRASCO 10 ML</t>
  </si>
  <si>
    <t>ANTI-D (RHO) MONOCLONAL-FRASCOS 10 ML</t>
  </si>
  <si>
    <t xml:space="preserve">Equipos por metodo de Elisa para la deteccion simultanea anticuerpos y antigenos de virus de Hepatitis C por Elisa en microplaca recubierta con anticuerpos monoclonales anti caspide de HCV con antigenos reconvinantes de la region NS3 genotipos 1 y 3º y de la region no estructural NS4 y un peptido mutado de la region de la caspide del Virus HCV. En equipos de 96 det. Por metodologia EIA en microplacas con provision de 1 de lavado, y todo insumo necesario para suprocesamiento Monolisa </t>
  </si>
  <si>
    <t xml:space="preserve">Equipo para la deteccion de Anti Hb Core, por metodo de Elisa en microplacas en equipos de 96 det. Monolisa HBc Plus </t>
  </si>
  <si>
    <t>Equipos Covidar IGG x 192 determinaciones tipo Lemos</t>
  </si>
  <si>
    <t>Biozima chagas x 192 Determinaciones. Tipo Lemos</t>
  </si>
  <si>
    <t>Biozima chagas reconvinante x 192 Determinaciones. Tipo Lemos</t>
  </si>
  <si>
    <t>TUBO DE CALIBRACION DE GASES P/TS Tipo OPTI MEDICAL  - GARRAFA DESCARTABLE</t>
  </si>
  <si>
    <t>TUBO  DE CALIBRACION DE GASES P/TS2 Tipo OPTI MEDICAL  - GARRAFA DESCARTABLE</t>
  </si>
  <si>
    <t>468 - DIRECCION PROVINCIAL DE LABORATORIO</t>
  </si>
  <si>
    <t>ALCOHOL METILICO X  LITRO Tipo CICARELLI</t>
  </si>
  <si>
    <t>RINSE DETERGENTE X 20 LT Tipo MINDRAY</t>
  </si>
  <si>
    <t>MEDIO AGAR SANGRE PLACA X 10 UNIDADES Tipo BIOMERIEUX</t>
  </si>
  <si>
    <t>MEDIO CHROM ID STREPTO B  X 20 PLACAS Tipo BIOMERIEUX</t>
  </si>
  <si>
    <t>CONTROL LIQUIDO TRILEVEL 1, 2, Y 3 OPTI CHECK  3 X 10 X 1,7 ML Tipo OPTIMEDICAL</t>
  </si>
  <si>
    <t>AUTORIZACION PARA GASTAR</t>
  </si>
  <si>
    <t>JURISDICCIÓN: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</si>
  <si>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</si>
  <si>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Director de Administración o Titular del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</si>
  <si>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</si>
  <si>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</si>
  <si>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</si>
  <si>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</si>
  <si>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</si>
  <si>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</si>
  <si>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</si>
  <si>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</si>
  <si>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</si>
  <si>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</si>
  <si>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</si>
  <si>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</si>
  <si>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</si>
  <si>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</si>
  <si>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</si>
  <si>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</si>
  <si>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</si>
  <si>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</si>
  <si>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>Autorizo la realización de los  trámites correspondientes, a fin de proveer a  este Organismo los bienes que se detallan en Nota  de Pedido N°....... , afectando la erogación resultante a los créditos presupuestarios aprobados a favor de esta Unidad Ejecutora, conforme al siguiente detalle:</t>
  </si>
  <si>
    <t>1.1</t>
  </si>
  <si>
    <t>COMPUESTOS QUIMICOS</t>
  </si>
  <si>
    <t>747 - DIRECCION PROVINCIAL BANCO DE SANGRE</t>
  </si>
  <si>
    <t>NO</t>
  </si>
  <si>
    <t>REACTIVOS P/LAB. TEC. MANUAL; NOMBRE: REACTIVO PARA HEPATITIS C, USO: DETECCION DE ANTIGENO- ANTICUERPO TIPO BIORAD ; PRESENTACION: X 96 DETERMINACIONES.</t>
  </si>
  <si>
    <t>TOTAL RUBRO QUIMICOS</t>
  </si>
  <si>
    <t>2.5.1-9052.247</t>
  </si>
  <si>
    <t>REACTIVOS P/LAB. TEC. MANUAL ; NOMBRE: SUERO HEMOTIPIFICADOR ANTI-AB, USO: HEMOTERAPIA, PRESENTACION: ENVASE X 10 mL</t>
  </si>
  <si>
    <t>2.5.1-8988.2255</t>
  </si>
  <si>
    <t>REACTIVOS P/LAB. TEC. MANUAL ; NOMBRE: HBSAG ELISA, USO: DIAGNOSTICO, PRESENTACION: ENVASE X 96 DETERM.</t>
  </si>
  <si>
    <t>2.5.1-9052.355</t>
  </si>
  <si>
    <t>DETALLE TECNICO Y ESPECIFICACIONES</t>
  </si>
  <si>
    <t>ANEXO
1-Para oferentes de la Provincia de Catamarca deberán presentar Habilitación Provincial para comercializar el producto que cotizan.
2-Para el resto de oferentes deberán presentar Certificado de Inscripción de ANMAT vigente al momento de la oferta, el mismo deberá ser correspondiente al objeto de la contratación y de encontrarse vencido adjuntar la solicitud de renovación.
3-No se aceptarán ofertas de productos no registrados y autorizada su venta por ANMAT. Se deberá especificar en cada ítem de la propuesta, marca y número de certificado otorgado por dicho ente regulador.
4-Los productos deberán tener un vencimiento posterior a doce (12) meses a partir de la fecha de su recepción.</t>
  </si>
  <si>
    <t>Plazos de entrega</t>
  </si>
  <si>
    <t>diez (10) dias habiles</t>
  </si>
  <si>
    <t>Calidad Minima esperada</t>
  </si>
  <si>
    <t>Mantenimiento</t>
  </si>
  <si>
    <t>cuarenta y cinco (45) días</t>
  </si>
  <si>
    <t>ESPECIFICIDAD ITEM N°</t>
  </si>
  <si>
    <t>011 - DIRECCION PROVINCIAL DE ADMINISTRACION - MINISTERIO DE SALUD</t>
  </si>
  <si>
    <t>CREATININA DIRECTA 120 Det TIPO WIENER</t>
  </si>
  <si>
    <t>2.5.1-9052.1590</t>
  </si>
  <si>
    <t>REACTIVOS P/LAB. TEC. MANUAL ; NOMBRE: SUERO DE COOMBS POLIESPECIFICO, USO: HEMOTERAPIA, PRESENTACION: ENVASE X 10 mL</t>
  </si>
  <si>
    <t>PROD. MEDICO/FARMACEUTICOS/LAB</t>
  </si>
  <si>
    <t>Nota de Pedido</t>
  </si>
  <si>
    <t>Jurisdicción:</t>
  </si>
  <si>
    <t xml:space="preserve">SAF: </t>
  </si>
  <si>
    <t>Unidad Ejecutora:</t>
  </si>
  <si>
    <t>Dependencia Solicitante:</t>
  </si>
  <si>
    <t>Objeto:</t>
  </si>
  <si>
    <t xml:space="preserve">Periodo de Utilización: </t>
  </si>
  <si>
    <t>3 (TRES) MESES</t>
  </si>
  <si>
    <t>Orden</t>
  </si>
  <si>
    <t>Código</t>
  </si>
  <si>
    <t>Descripción</t>
  </si>
  <si>
    <t>Detalle Técnico</t>
  </si>
  <si>
    <t>Unidad de Medida</t>
  </si>
  <si>
    <t>Costo total estimado: PESOS SESENTA Y OCHO MILLONES TRESCIENTOS NOVENTA Y SIETE MIL CIENTO SESENTA Y NUEVE CON 00/100</t>
  </si>
  <si>
    <t>Costo total estimado: PESOS CATORCE MILLONES QUINIENTOS TRES MIL DOSCIENTOS TRECE CON 00/100</t>
  </si>
  <si>
    <t>TOTAL DE PESOS: SESENTA Y OCHO MILLONES TRESCIENTOS NOVENTA Y SIETE MIL CIENTO SESENTA Y NUEVE CON 00/100</t>
  </si>
  <si>
    <t>TOTAL DE PESOS: CATORCE MILLONES QUINIENTOS TRES MIL DOSCIENTOS TRECE CON 00/100.-</t>
  </si>
  <si>
    <t>ITEMS 1, 5 al 28, 30 al 34, 37, 38, 40 al 85, 87 al 114, 119 al 121, 123 al 132, 135, 137, 140, 141, 145 al 148, 153, 155, 156, 158 al 160, 162, 163 (100 unid), 166 al 168 - DIR. PROV. DE LABORATORIO - CHACABUCO N° 169 - en el horario de 8:00hs a 12:00hs de lunes a viernes. DEBIENDO CORRER LOS GASTOS DE FLETES, ACARREO, CARGA, DESCARGA Y SEGURO A CARGO DEL ADJUDICATARIO.</t>
  </si>
  <si>
    <t>ITEMS 2 al 4, 29, 35, 36, 39, 86, 115 al 118, 122, 133, 134, 136, 138, 139, 142 al 144, 149 al 152, 154, 157, 161, 163 (12 unid), 164, 165, 169 al 177 - DIR. PROV. BANCO DE SANGRE - BOTO GARAY N° 500 - en el horario de 8:00hs a 12:00hs de lunes a viernes. DEBIENDO CORRER LOS GASTOS DE FLETES, ACARREO, CARGA, DESCARGA Y SEGURO A CARGO DEL ADJUDICATARIO.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</si>
</sst>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$&quot;\ * #,##0.00_-;\-&quot;$&quot;\ * #,##0.00_-;_-&quot;$&quot;\ * &quot;-&quot;??_-;_-@_-"/>
    <numFmt numFmtId="43" formatCode="_-* #,##0.00_-;\-* #,##0.00_-;_-* &quot;-&quot;??_-;_-@_-"/>
    <numFmt numFmtId="165" formatCode="_-[$$-2C0A]\ * #,##0.00_-;\-[$$-2C0A]\ * #,##0.00_-;_-[$$-2C0A]\ * &quot;-&quot;??_-;_-@_-"/>
    <numFmt numFmtId="166" formatCode="_ &quot;$&quot;\ * #,##0.00_ ;_ &quot;$&quot;\ * \-#,##0.00_ ;_ &quot;$&quot;\ * &quot;-&quot;??_ ;_ @_ "/>
    <numFmt numFmtId="167" formatCode="_-* #,##0.00&quot; €&quot;_-;\-* #,##0.00&quot; €&quot;_-;_-* \-??&quot; €&quot;_-;_-@_-"/>
    <numFmt numFmtId="168" formatCode="dd\-mm\-yy;@"/>
    <numFmt numFmtId="169" formatCode="_(\$* #,##0.00_);_(\$* \(#,##0.00\);_(\$* \-??_);_(@_)"/>
    <numFmt numFmtId="170" formatCode="[$$-2C0A]\ #,##0.00;[$$-2C0A]&quot; -&quot;#,##0.00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sz val="10"/>
      <name val="Times New Roman"/>
      <family val="1"/>
      <charset val="1"/>
    </font>
    <font>
      <b/>
      <sz val="15"/>
      <color rgb="FF666699"/>
      <name val="Calibri"/>
      <family val="2"/>
      <charset val="1"/>
    </font>
    <font>
      <sz val="11"/>
      <color rgb="FF993300"/>
      <name val="Calibri"/>
      <family val="2"/>
      <charset val="1"/>
    </font>
    <font>
      <sz val="11"/>
      <name val="Calibri"/>
      <family val="2"/>
      <scheme val="minor"/>
    </font>
    <font>
      <sz val="14"/>
      <name val="Times New Roman"/>
      <family val="1"/>
    </font>
    <font>
      <sz val="14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0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b/>
      <sz val="10"/>
      <color rgb="FFFF0000"/>
      <name val="Calibri"/>
      <family val="2"/>
      <scheme val="minor"/>
    </font>
    <font>
      <b/>
      <u/>
      <sz val="14"/>
      <name val="Times New Roman"/>
      <family val="1"/>
    </font>
    <font>
      <sz val="10"/>
      <name val="Century Gothic"/>
      <family val="2"/>
    </font>
    <font>
      <b/>
      <sz val="22"/>
      <name val="Century Gothic"/>
      <family val="2"/>
    </font>
    <font>
      <b/>
      <sz val="12"/>
      <color rgb="FF000000"/>
      <name val="Century Gothic"/>
      <family val="2"/>
    </font>
    <font>
      <sz val="10"/>
      <color rgb="FF000000"/>
      <name val="Century Gothic"/>
      <family val="2"/>
    </font>
    <font>
      <b/>
      <sz val="10"/>
      <color rgb="FF000000"/>
      <name val="Century Gothic"/>
      <family val="2"/>
    </font>
    <font>
      <b/>
      <sz val="10"/>
      <name val="Century Gothic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99"/>
        <bgColor rgb="FFFFFFCC"/>
      </patternFill>
    </fill>
    <fill>
      <patternFill patternType="solid">
        <fgColor rgb="FFFFC7CE"/>
      </patternFill>
    </fill>
    <fill>
      <patternFill patternType="solid">
        <fgColor theme="0"/>
        <bgColor rgb="FFFFFF00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</fills>
  <borders count="7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rgb="FF3D3D3D"/>
      </bottom>
      <diagonal/>
    </border>
    <border>
      <left style="medium">
        <color auto="1"/>
      </left>
      <right/>
      <top/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thick">
        <color rgb="FF33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/>
      <right style="medium">
        <color auto="1"/>
      </right>
      <top style="medium">
        <color rgb="FF3D3D3D"/>
      </top>
      <bottom/>
      <diagonal/>
    </border>
    <border>
      <left style="medium">
        <color auto="1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auto="1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auto="1"/>
      </right>
      <top style="medium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auto="1"/>
      </right>
      <top/>
      <bottom style="medium">
        <color rgb="FF3D3D3D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4">
    <xf numFmtId="0" fontId="0" fillId="0" borderId="0"/>
    <xf numFmtId="44" fontId="1" fillId="0" borderId="0" applyFont="0" applyFill="0" applyBorder="0" applyAlignment="0" applyProtection="0"/>
    <xf numFmtId="0" fontId="7" fillId="0" borderId="0"/>
    <xf numFmtId="166" fontId="7" fillId="0" borderId="0" applyBorder="0" applyAlignment="0" applyProtection="0"/>
    <xf numFmtId="0" fontId="1" fillId="0" borderId="0"/>
    <xf numFmtId="0" fontId="7" fillId="0" borderId="0"/>
    <xf numFmtId="0" fontId="7" fillId="0" borderId="0"/>
    <xf numFmtId="0" fontId="9" fillId="0" borderId="12" applyProtection="0"/>
    <xf numFmtId="0" fontId="9" fillId="0" borderId="12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7" fillId="0" borderId="0" applyBorder="0" applyAlignment="0" applyProtection="0"/>
    <xf numFmtId="167" fontId="7" fillId="0" borderId="0" applyBorder="0" applyProtection="0"/>
    <xf numFmtId="167" fontId="7" fillId="0" borderId="0" applyBorder="0" applyProtection="0"/>
    <xf numFmtId="167" fontId="7" fillId="0" borderId="0" applyBorder="0" applyProtection="0"/>
    <xf numFmtId="0" fontId="10" fillId="3" borderId="0" applyBorder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4" fillId="4" borderId="0" applyNumberFormat="0" applyBorder="0" applyAlignment="0" applyProtection="0"/>
    <xf numFmtId="169" fontId="19" fillId="0" borderId="0" applyBorder="0" applyProtection="0"/>
  </cellStyleXfs>
  <cellXfs count="225">
    <xf numFmtId="0" fontId="0" fillId="0" borderId="0" xfId="0"/>
    <xf numFmtId="0" fontId="2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165" fontId="2" fillId="0" borderId="0" xfId="1" applyNumberFormat="1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165" fontId="0" fillId="0" borderId="0" xfId="0" applyNumberFormat="1"/>
    <xf numFmtId="0" fontId="12" fillId="0" borderId="0" xfId="0" applyFont="1" applyAlignment="1">
      <alignment horizontal="center" vertical="center"/>
    </xf>
    <xf numFmtId="165" fontId="1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165" fontId="6" fillId="0" borderId="0" xfId="0" applyNumberFormat="1" applyFont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3" fontId="4" fillId="0" borderId="0" xfId="0" applyNumberFormat="1" applyFont="1" applyAlignment="1">
      <alignment horizontal="center" vertical="center" wrapText="1"/>
    </xf>
    <xf numFmtId="3" fontId="5" fillId="0" borderId="0" xfId="2" applyNumberFormat="1" applyFont="1" applyAlignment="1">
      <alignment horizontal="center" vertical="center" wrapText="1"/>
    </xf>
    <xf numFmtId="3" fontId="0" fillId="0" borderId="0" xfId="0" applyNumberFormat="1" applyAlignment="1">
      <alignment horizontal="center" vertical="center"/>
    </xf>
    <xf numFmtId="165" fontId="15" fillId="0" borderId="1" xfId="1" applyNumberFormat="1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3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3" fontId="17" fillId="0" borderId="11" xfId="0" applyNumberFormat="1" applyFont="1" applyBorder="1"/>
    <xf numFmtId="168" fontId="0" fillId="0" borderId="11" xfId="0" applyNumberFormat="1" applyBorder="1" applyAlignment="1">
      <alignment horizontal="left"/>
    </xf>
    <xf numFmtId="0" fontId="0" fillId="0" borderId="11" xfId="0" applyBorder="1"/>
    <xf numFmtId="0" fontId="0" fillId="0" borderId="9" xfId="0" applyBorder="1"/>
    <xf numFmtId="0" fontId="0" fillId="0" borderId="0" xfId="0" applyAlignment="1">
      <alignment horizontal="left"/>
    </xf>
    <xf numFmtId="168" fontId="0" fillId="0" borderId="0" xfId="0" applyNumberFormat="1" applyAlignment="1">
      <alignment horizontal="left"/>
    </xf>
    <xf numFmtId="0" fontId="0" fillId="0" borderId="7" xfId="0" applyBorder="1"/>
    <xf numFmtId="0" fontId="0" fillId="0" borderId="5" xfId="0" applyBorder="1"/>
    <xf numFmtId="0" fontId="0" fillId="0" borderId="6" xfId="0" applyBorder="1"/>
    <xf numFmtId="0" fontId="0" fillId="0" borderId="6" xfId="0" applyBorder="1" applyAlignment="1">
      <alignment horizontal="left"/>
    </xf>
    <xf numFmtId="0" fontId="0" fillId="0" borderId="29" xfId="0" applyBorder="1"/>
    <xf numFmtId="0" fontId="22" fillId="0" borderId="32" xfId="0" applyFont="1" applyBorder="1" applyAlignment="1">
      <alignment horizontal="center" vertical="center"/>
    </xf>
    <xf numFmtId="0" fontId="22" fillId="0" borderId="33" xfId="0" applyFont="1" applyBorder="1" applyAlignment="1">
      <alignment horizontal="center" vertical="center"/>
    </xf>
    <xf numFmtId="0" fontId="22" fillId="0" borderId="33" xfId="0" applyFont="1" applyBorder="1" applyAlignment="1">
      <alignment horizontal="left" vertical="center"/>
    </xf>
    <xf numFmtId="0" fontId="22" fillId="0" borderId="34" xfId="0" applyFont="1" applyBorder="1" applyAlignment="1">
      <alignment horizontal="center" vertical="center"/>
    </xf>
    <xf numFmtId="0" fontId="22" fillId="0" borderId="35" xfId="0" applyFont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170" fontId="0" fillId="0" borderId="39" xfId="33" applyNumberFormat="1" applyFont="1" applyBorder="1" applyAlignment="1" applyProtection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170" fontId="0" fillId="0" borderId="44" xfId="33" applyNumberFormat="1" applyFont="1" applyBorder="1" applyAlignment="1" applyProtection="1">
      <alignment horizontal="center" vertical="center"/>
    </xf>
    <xf numFmtId="0" fontId="20" fillId="0" borderId="40" xfId="0" applyFont="1" applyBorder="1" applyAlignment="1">
      <alignment horizontal="center" vertical="center"/>
    </xf>
    <xf numFmtId="0" fontId="20" fillId="0" borderId="41" xfId="0" applyFont="1" applyBorder="1" applyAlignment="1">
      <alignment horizontal="center" vertical="center"/>
    </xf>
    <xf numFmtId="0" fontId="20" fillId="0" borderId="42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170" fontId="0" fillId="0" borderId="48" xfId="33" applyNumberFormat="1" applyFont="1" applyBorder="1" applyAlignment="1" applyProtection="1">
      <alignment horizontal="center" vertical="center"/>
    </xf>
    <xf numFmtId="170" fontId="22" fillId="0" borderId="50" xfId="0" applyNumberFormat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165" fontId="5" fillId="0" borderId="0" xfId="0" applyNumberFormat="1" applyFont="1" applyAlignment="1">
      <alignment horizontal="center" vertical="center"/>
    </xf>
    <xf numFmtId="3" fontId="23" fillId="0" borderId="52" xfId="2" applyNumberFormat="1" applyFont="1" applyBorder="1" applyAlignment="1">
      <alignment horizontal="center" vertical="center" wrapText="1"/>
    </xf>
    <xf numFmtId="1" fontId="12" fillId="0" borderId="0" xfId="0" applyNumberFormat="1" applyFont="1" applyAlignment="1">
      <alignment horizontal="center" vertical="center"/>
    </xf>
    <xf numFmtId="0" fontId="24" fillId="0" borderId="0" xfId="0" applyFont="1" applyAlignment="1">
      <alignment vertical="center"/>
    </xf>
    <xf numFmtId="0" fontId="6" fillId="0" borderId="0" xfId="0" applyFont="1" applyAlignment="1">
      <alignment vertical="center" wrapText="1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15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3" fontId="15" fillId="0" borderId="1" xfId="0" applyNumberFormat="1" applyFont="1" applyBorder="1" applyAlignment="1">
      <alignment horizontal="center" vertical="center" wrapText="1"/>
    </xf>
    <xf numFmtId="165" fontId="15" fillId="0" borderId="1" xfId="0" applyNumberFormat="1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 wrapText="1"/>
    </xf>
    <xf numFmtId="3" fontId="11" fillId="0" borderId="0" xfId="0" applyNumberFormat="1" applyFont="1" applyAlignment="1">
      <alignment horizontal="center" vertical="center"/>
    </xf>
    <xf numFmtId="165" fontId="11" fillId="0" borderId="0" xfId="0" applyNumberFormat="1" applyFont="1" applyAlignment="1">
      <alignment horizontal="center" vertical="center"/>
    </xf>
    <xf numFmtId="0" fontId="23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23" fillId="0" borderId="52" xfId="0" applyFont="1" applyBorder="1" applyAlignment="1">
      <alignment horizontal="center" vertical="center" wrapText="1"/>
    </xf>
    <xf numFmtId="165" fontId="23" fillId="0" borderId="52" xfId="0" applyNumberFormat="1" applyFont="1" applyBorder="1" applyAlignment="1">
      <alignment horizontal="center" vertical="center" wrapText="1"/>
    </xf>
    <xf numFmtId="165" fontId="23" fillId="0" borderId="53" xfId="0" applyNumberFormat="1" applyFont="1" applyBorder="1" applyAlignment="1">
      <alignment horizontal="center" vertical="center" wrapText="1"/>
    </xf>
    <xf numFmtId="0" fontId="23" fillId="0" borderId="16" xfId="0" applyFont="1" applyBorder="1" applyAlignment="1">
      <alignment vertical="center" wrapText="1"/>
    </xf>
    <xf numFmtId="0" fontId="5" fillId="0" borderId="0" xfId="5" applyFont="1" applyAlignment="1">
      <alignment horizontal="left" vertical="center" wrapText="1"/>
    </xf>
    <xf numFmtId="0" fontId="5" fillId="0" borderId="3" xfId="5" applyFont="1" applyBorder="1" applyAlignment="1">
      <alignment horizontal="center" vertical="center" wrapText="1"/>
    </xf>
    <xf numFmtId="0" fontId="5" fillId="0" borderId="9" xfId="5" applyFont="1" applyBorder="1" applyAlignment="1">
      <alignment horizontal="center" vertical="center" wrapText="1"/>
    </xf>
    <xf numFmtId="0" fontId="6" fillId="0" borderId="7" xfId="0" applyFont="1" applyBorder="1" applyAlignment="1">
      <alignment vertical="center" wrapText="1"/>
    </xf>
    <xf numFmtId="0" fontId="5" fillId="0" borderId="56" xfId="5" applyFont="1" applyBorder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3" fontId="5" fillId="0" borderId="0" xfId="0" applyNumberFormat="1" applyFont="1" applyAlignment="1">
      <alignment horizontal="center" vertical="center"/>
    </xf>
    <xf numFmtId="0" fontId="5" fillId="2" borderId="61" xfId="0" applyFont="1" applyFill="1" applyBorder="1" applyAlignment="1">
      <alignment horizontal="right" vertical="center"/>
    </xf>
    <xf numFmtId="0" fontId="5" fillId="2" borderId="62" xfId="0" applyFont="1" applyFill="1" applyBorder="1" applyAlignment="1">
      <alignment horizontal="center" vertical="center"/>
    </xf>
    <xf numFmtId="0" fontId="5" fillId="2" borderId="63" xfId="0" applyFont="1" applyFill="1" applyBorder="1" applyAlignment="1">
      <alignment horizontal="right" vertical="center"/>
    </xf>
    <xf numFmtId="0" fontId="5" fillId="2" borderId="59" xfId="0" applyFont="1" applyFill="1" applyBorder="1" applyAlignment="1">
      <alignment horizontal="center" vertical="center"/>
    </xf>
    <xf numFmtId="0" fontId="5" fillId="2" borderId="60" xfId="0" applyFont="1" applyFill="1" applyBorder="1" applyAlignment="1">
      <alignment horizontal="right" vertical="center"/>
    </xf>
    <xf numFmtId="0" fontId="5" fillId="2" borderId="64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left" vertical="center" wrapText="1"/>
    </xf>
    <xf numFmtId="165" fontId="5" fillId="2" borderId="1" xfId="0" applyNumberFormat="1" applyFont="1" applyFill="1" applyBorder="1" applyAlignment="1">
      <alignment horizontal="center" vertical="center" wrapText="1"/>
    </xf>
    <xf numFmtId="165" fontId="5" fillId="2" borderId="2" xfId="0" applyNumberFormat="1" applyFont="1" applyFill="1" applyBorder="1" applyAlignment="1">
      <alignment horizontal="center" vertical="center" wrapText="1"/>
    </xf>
    <xf numFmtId="0" fontId="5" fillId="2" borderId="0" xfId="0" applyFont="1" applyFill="1" applyAlignment="1">
      <alignment vertical="center" wrapText="1"/>
    </xf>
    <xf numFmtId="0" fontId="5" fillId="2" borderId="1" xfId="0" applyFont="1" applyFill="1" applyBorder="1" applyAlignment="1">
      <alignment horizontal="center" vertical="center" wrapText="1"/>
    </xf>
    <xf numFmtId="165" fontId="5" fillId="2" borderId="2" xfId="3" applyNumberFormat="1" applyFont="1" applyFill="1" applyBorder="1" applyAlignment="1">
      <alignment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5" fillId="2" borderId="1" xfId="32" applyFont="1" applyFill="1" applyBorder="1" applyAlignment="1">
      <alignment horizontal="center" vertical="center" wrapText="1"/>
    </xf>
    <xf numFmtId="0" fontId="5" fillId="2" borderId="2" xfId="32" applyFont="1" applyFill="1" applyBorder="1" applyAlignment="1">
      <alignment horizontal="center" vertical="center" wrapText="1"/>
    </xf>
    <xf numFmtId="0" fontId="5" fillId="2" borderId="1" xfId="32" applyFont="1" applyFill="1" applyBorder="1" applyAlignment="1">
      <alignment horizontal="left" vertical="center" wrapText="1"/>
    </xf>
    <xf numFmtId="165" fontId="5" fillId="2" borderId="2" xfId="32" applyNumberFormat="1" applyFont="1" applyFill="1" applyBorder="1" applyAlignment="1">
      <alignment horizontal="center" vertical="center" wrapText="1"/>
    </xf>
    <xf numFmtId="0" fontId="5" fillId="2" borderId="0" xfId="32" applyFont="1" applyFill="1" applyAlignment="1">
      <alignment vertical="center" wrapText="1"/>
    </xf>
    <xf numFmtId="0" fontId="5" fillId="2" borderId="1" xfId="5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 wrapText="1"/>
    </xf>
    <xf numFmtId="165" fontId="5" fillId="2" borderId="1" xfId="0" applyNumberFormat="1" applyFont="1" applyFill="1" applyBorder="1" applyAlignment="1">
      <alignment horizontal="left" vertical="center" wrapText="1"/>
    </xf>
    <xf numFmtId="165" fontId="5" fillId="2" borderId="2" xfId="3" applyNumberFormat="1" applyFont="1" applyFill="1" applyBorder="1" applyAlignment="1" applyProtection="1">
      <alignment vertical="center" wrapText="1"/>
    </xf>
    <xf numFmtId="165" fontId="5" fillId="2" borderId="2" xfId="12" applyNumberFormat="1" applyFont="1" applyFill="1" applyBorder="1" applyAlignment="1">
      <alignment vertical="center" wrapText="1"/>
    </xf>
    <xf numFmtId="165" fontId="5" fillId="2" borderId="1" xfId="12" applyNumberFormat="1" applyFont="1" applyFill="1" applyBorder="1" applyAlignment="1">
      <alignment vertical="center" wrapText="1"/>
    </xf>
    <xf numFmtId="165" fontId="5" fillId="2" borderId="1" xfId="32" applyNumberFormat="1" applyFont="1" applyFill="1" applyBorder="1" applyAlignment="1">
      <alignment vertical="center" wrapText="1"/>
    </xf>
    <xf numFmtId="165" fontId="5" fillId="2" borderId="1" xfId="32" applyNumberFormat="1" applyFont="1" applyFill="1" applyBorder="1" applyAlignment="1">
      <alignment horizontal="left" vertical="center" wrapText="1"/>
    </xf>
    <xf numFmtId="0" fontId="5" fillId="2" borderId="19" xfId="32" applyFont="1" applyFill="1" applyBorder="1" applyAlignment="1">
      <alignment horizontal="center" vertical="center" wrapText="1"/>
    </xf>
    <xf numFmtId="0" fontId="5" fillId="2" borderId="13" xfId="32" applyFont="1" applyFill="1" applyBorder="1" applyAlignment="1">
      <alignment horizontal="center" vertical="center" wrapText="1"/>
    </xf>
    <xf numFmtId="165" fontId="5" fillId="2" borderId="18" xfId="32" applyNumberFormat="1" applyFont="1" applyFill="1" applyBorder="1" applyAlignment="1">
      <alignment vertical="center" wrapText="1"/>
    </xf>
    <xf numFmtId="0" fontId="5" fillId="2" borderId="13" xfId="32" applyFont="1" applyFill="1" applyBorder="1" applyAlignment="1">
      <alignment horizontal="left" vertical="center" wrapText="1"/>
    </xf>
    <xf numFmtId="0" fontId="5" fillId="2" borderId="13" xfId="0" applyFont="1" applyFill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left" vertical="center" wrapText="1"/>
    </xf>
    <xf numFmtId="0" fontId="5" fillId="2" borderId="19" xfId="0" applyFont="1" applyFill="1" applyBorder="1" applyAlignment="1">
      <alignment horizontal="center" vertical="center" wrapText="1"/>
    </xf>
    <xf numFmtId="165" fontId="5" fillId="2" borderId="13" xfId="0" applyNumberFormat="1" applyFont="1" applyFill="1" applyBorder="1" applyAlignment="1">
      <alignment horizontal="center" vertical="center" wrapText="1"/>
    </xf>
    <xf numFmtId="165" fontId="5" fillId="2" borderId="18" xfId="0" applyNumberFormat="1" applyFont="1" applyFill="1" applyBorder="1" applyAlignment="1">
      <alignment horizontal="center" vertical="center" wrapText="1"/>
    </xf>
    <xf numFmtId="165" fontId="5" fillId="2" borderId="18" xfId="3" applyNumberFormat="1" applyFont="1" applyFill="1" applyBorder="1" applyAlignment="1">
      <alignment vertical="center" wrapText="1"/>
    </xf>
    <xf numFmtId="0" fontId="5" fillId="2" borderId="13" xfId="2" applyFont="1" applyFill="1" applyBorder="1" applyAlignment="1">
      <alignment horizontal="center" vertical="center" wrapText="1"/>
    </xf>
    <xf numFmtId="165" fontId="5" fillId="2" borderId="18" xfId="32" applyNumberFormat="1" applyFont="1" applyFill="1" applyBorder="1" applyAlignment="1">
      <alignment horizontal="center" vertical="center" wrapText="1"/>
    </xf>
    <xf numFmtId="0" fontId="5" fillId="2" borderId="54" xfId="0" applyFont="1" applyFill="1" applyBorder="1" applyAlignment="1">
      <alignment horizontal="center" vertical="center" wrapText="1"/>
    </xf>
    <xf numFmtId="0" fontId="5" fillId="2" borderId="20" xfId="0" applyFont="1" applyFill="1" applyBorder="1" applyAlignment="1">
      <alignment horizontal="center" vertical="center" wrapText="1"/>
    </xf>
    <xf numFmtId="165" fontId="5" fillId="2" borderId="0" xfId="0" applyNumberFormat="1" applyFont="1" applyFill="1" applyAlignment="1">
      <alignment horizontal="center" vertical="center" wrapText="1"/>
    </xf>
    <xf numFmtId="0" fontId="5" fillId="2" borderId="18" xfId="0" applyFont="1" applyFill="1" applyBorder="1" applyAlignment="1">
      <alignment horizontal="center" vertical="center" wrapText="1"/>
    </xf>
    <xf numFmtId="165" fontId="5" fillId="2" borderId="18" xfId="12" applyNumberFormat="1" applyFont="1" applyFill="1" applyBorder="1" applyAlignment="1">
      <alignment vertical="center" wrapText="1"/>
    </xf>
    <xf numFmtId="0" fontId="5" fillId="2" borderId="0" xfId="0" applyFont="1" applyFill="1" applyAlignment="1">
      <alignment horizontal="center" vertical="center" wrapText="1"/>
    </xf>
    <xf numFmtId="0" fontId="0" fillId="2" borderId="0" xfId="0" applyFill="1"/>
    <xf numFmtId="0" fontId="5" fillId="2" borderId="70" xfId="0" applyFont="1" applyFill="1" applyBorder="1" applyAlignment="1">
      <alignment horizontal="center" vertical="center" wrapText="1"/>
    </xf>
    <xf numFmtId="0" fontId="5" fillId="2" borderId="71" xfId="0" applyFont="1" applyFill="1" applyBorder="1" applyAlignment="1">
      <alignment horizontal="center" vertical="center" wrapText="1"/>
    </xf>
    <xf numFmtId="0" fontId="5" fillId="2" borderId="71" xfId="0" applyFont="1" applyFill="1" applyBorder="1" applyAlignment="1">
      <alignment horizontal="left" vertical="center" wrapText="1"/>
    </xf>
    <xf numFmtId="0" fontId="5" fillId="2" borderId="72" xfId="0" applyFont="1" applyFill="1" applyBorder="1" applyAlignment="1">
      <alignment horizontal="center" vertical="center" wrapText="1"/>
    </xf>
    <xf numFmtId="165" fontId="5" fillId="2" borderId="72" xfId="0" applyNumberFormat="1" applyFont="1" applyFill="1" applyBorder="1" applyAlignment="1">
      <alignment horizontal="center" vertical="center" wrapText="1"/>
    </xf>
    <xf numFmtId="165" fontId="5" fillId="2" borderId="70" xfId="0" applyNumberFormat="1" applyFont="1" applyFill="1" applyBorder="1" applyAlignment="1">
      <alignment horizontal="center" vertical="center" wrapText="1"/>
    </xf>
    <xf numFmtId="165" fontId="5" fillId="2" borderId="20" xfId="0" applyNumberFormat="1" applyFont="1" applyFill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left" vertical="center" wrapText="1"/>
    </xf>
    <xf numFmtId="0" fontId="5" fillId="2" borderId="15" xfId="0" applyFont="1" applyFill="1" applyBorder="1" applyAlignment="1">
      <alignment horizontal="left" vertical="center" wrapText="1"/>
    </xf>
    <xf numFmtId="0" fontId="5" fillId="2" borderId="21" xfId="0" applyFont="1" applyFill="1" applyBorder="1" applyAlignment="1">
      <alignment horizontal="center" vertical="center" wrapText="1"/>
    </xf>
    <xf numFmtId="165" fontId="5" fillId="2" borderId="14" xfId="3" applyNumberFormat="1" applyFont="1" applyFill="1" applyBorder="1" applyAlignment="1">
      <alignment vertical="center" wrapText="1"/>
    </xf>
    <xf numFmtId="165" fontId="5" fillId="2" borderId="14" xfId="0" applyNumberFormat="1" applyFont="1" applyFill="1" applyBorder="1" applyAlignment="1">
      <alignment horizontal="center" vertical="center" wrapText="1"/>
    </xf>
    <xf numFmtId="0" fontId="5" fillId="2" borderId="17" xfId="0" applyFont="1" applyFill="1" applyBorder="1" applyAlignment="1">
      <alignment horizontal="center" vertical="center" wrapText="1"/>
    </xf>
    <xf numFmtId="165" fontId="5" fillId="2" borderId="13" xfId="12" applyNumberFormat="1" applyFont="1" applyFill="1" applyBorder="1" applyAlignment="1">
      <alignment horizontal="center" vertical="center" wrapText="1"/>
    </xf>
    <xf numFmtId="0" fontId="5" fillId="2" borderId="16" xfId="0" applyFont="1" applyFill="1" applyBorder="1" applyAlignment="1">
      <alignment horizontal="center" vertical="center" wrapText="1"/>
    </xf>
    <xf numFmtId="165" fontId="5" fillId="2" borderId="13" xfId="3" applyNumberFormat="1" applyFont="1" applyFill="1" applyBorder="1" applyAlignment="1">
      <alignment vertical="center" wrapText="1"/>
    </xf>
    <xf numFmtId="0" fontId="5" fillId="2" borderId="18" xfId="5" applyFont="1" applyFill="1" applyBorder="1" applyAlignment="1">
      <alignment horizontal="center" vertical="center" wrapText="1"/>
    </xf>
    <xf numFmtId="0" fontId="5" fillId="2" borderId="65" xfId="0" applyFont="1" applyFill="1" applyBorder="1" applyAlignment="1">
      <alignment horizontal="center" vertical="center" wrapText="1"/>
    </xf>
    <xf numFmtId="0" fontId="5" fillId="2" borderId="65" xfId="0" applyFont="1" applyFill="1" applyBorder="1" applyAlignment="1">
      <alignment horizontal="left" vertical="center" wrapText="1"/>
    </xf>
    <xf numFmtId="165" fontId="5" fillId="2" borderId="65" xfId="0" applyNumberFormat="1" applyFont="1" applyFill="1" applyBorder="1" applyAlignment="1">
      <alignment horizontal="center" vertical="center" wrapText="1"/>
    </xf>
    <xf numFmtId="165" fontId="5" fillId="2" borderId="65" xfId="12" applyNumberFormat="1" applyFont="1" applyFill="1" applyBorder="1" applyAlignment="1">
      <alignment vertical="center" wrapText="1"/>
    </xf>
    <xf numFmtId="0" fontId="29" fillId="2" borderId="51" xfId="0" applyFont="1" applyFill="1" applyBorder="1" applyAlignment="1">
      <alignment horizontal="center" vertical="center" wrapText="1"/>
    </xf>
    <xf numFmtId="0" fontId="29" fillId="2" borderId="52" xfId="0" applyFont="1" applyFill="1" applyBorder="1" applyAlignment="1">
      <alignment horizontal="center" vertical="center" wrapText="1"/>
    </xf>
    <xf numFmtId="0" fontId="29" fillId="2" borderId="53" xfId="0" applyFont="1" applyFill="1" applyBorder="1" applyAlignment="1">
      <alignment horizontal="center" vertical="center" wrapText="1"/>
    </xf>
    <xf numFmtId="0" fontId="28" fillId="6" borderId="2" xfId="0" applyFont="1" applyFill="1" applyBorder="1" applyAlignment="1">
      <alignment horizontal="center" vertical="center" wrapText="1"/>
    </xf>
    <xf numFmtId="0" fontId="28" fillId="7" borderId="2" xfId="0" applyFont="1" applyFill="1" applyBorder="1" applyAlignment="1">
      <alignment horizontal="center" vertical="center" wrapText="1"/>
    </xf>
    <xf numFmtId="3" fontId="25" fillId="7" borderId="2" xfId="0" applyNumberFormat="1" applyFont="1" applyFill="1" applyBorder="1" applyAlignment="1">
      <alignment horizontal="center" vertical="center"/>
    </xf>
    <xf numFmtId="0" fontId="28" fillId="6" borderId="65" xfId="0" applyFont="1" applyFill="1" applyBorder="1" applyAlignment="1">
      <alignment horizontal="center" vertical="center" wrapText="1"/>
    </xf>
    <xf numFmtId="0" fontId="25" fillId="6" borderId="0" xfId="0" applyFont="1" applyFill="1"/>
    <xf numFmtId="0" fontId="25" fillId="2" borderId="0" xfId="0" applyFont="1" applyFill="1" applyAlignment="1">
      <alignment vertical="center"/>
    </xf>
    <xf numFmtId="0" fontId="27" fillId="5" borderId="0" xfId="0" applyFont="1" applyFill="1" applyAlignment="1">
      <alignment horizontal="left" vertical="center"/>
    </xf>
    <xf numFmtId="0" fontId="28" fillId="2" borderId="0" xfId="0" applyFont="1" applyFill="1" applyAlignment="1">
      <alignment horizontal="left" vertical="center" wrapText="1"/>
    </xf>
    <xf numFmtId="0" fontId="28" fillId="2" borderId="0" xfId="0" applyFont="1" applyFill="1" applyAlignment="1">
      <alignment horizontal="center" vertical="center" wrapText="1"/>
    </xf>
    <xf numFmtId="0" fontId="25" fillId="7" borderId="2" xfId="0" applyFont="1" applyFill="1" applyBorder="1" applyAlignment="1">
      <alignment vertical="center" wrapText="1"/>
    </xf>
    <xf numFmtId="0" fontId="25" fillId="7" borderId="2" xfId="0" applyFont="1" applyFill="1" applyBorder="1" applyAlignment="1">
      <alignment horizontal="center" vertical="center" wrapText="1"/>
    </xf>
    <xf numFmtId="0" fontId="27" fillId="5" borderId="0" xfId="0" applyFont="1" applyFill="1" applyAlignment="1">
      <alignment horizontal="center" vertical="center"/>
    </xf>
    <xf numFmtId="0" fontId="28" fillId="2" borderId="0" xfId="0" applyFont="1" applyFill="1" applyAlignment="1">
      <alignment horizontal="center" vertical="center"/>
    </xf>
    <xf numFmtId="0" fontId="25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165" fontId="28" fillId="2" borderId="0" xfId="0" applyNumberFormat="1" applyFont="1" applyFill="1" applyAlignment="1">
      <alignment horizontal="left" vertical="center" wrapText="1"/>
    </xf>
    <xf numFmtId="165" fontId="29" fillId="2" borderId="52" xfId="0" applyNumberFormat="1" applyFont="1" applyFill="1" applyBorder="1" applyAlignment="1">
      <alignment horizontal="center" vertical="center" wrapText="1"/>
    </xf>
    <xf numFmtId="165" fontId="0" fillId="0" borderId="2" xfId="0" applyNumberFormat="1" applyBorder="1" applyAlignment="1">
      <alignment horizontal="center" vertical="center" wrapText="1"/>
    </xf>
    <xf numFmtId="165" fontId="25" fillId="6" borderId="0" xfId="0" applyNumberFormat="1" applyFont="1" applyFill="1"/>
    <xf numFmtId="0" fontId="5" fillId="2" borderId="73" xfId="0" applyFont="1" applyFill="1" applyBorder="1" applyAlignment="1">
      <alignment horizontal="left" vertical="center" wrapText="1"/>
    </xf>
    <xf numFmtId="0" fontId="5" fillId="2" borderId="69" xfId="0" applyFont="1" applyFill="1" applyBorder="1" applyAlignment="1">
      <alignment horizontal="left" vertical="center" wrapText="1"/>
    </xf>
    <xf numFmtId="0" fontId="5" fillId="2" borderId="68" xfId="0" applyFont="1" applyFill="1" applyBorder="1" applyAlignment="1">
      <alignment horizontal="left" vertical="center" wrapText="1"/>
    </xf>
    <xf numFmtId="0" fontId="5" fillId="2" borderId="68" xfId="32" applyFont="1" applyFill="1" applyBorder="1" applyAlignment="1">
      <alignment horizontal="left" vertical="center" wrapText="1"/>
    </xf>
    <xf numFmtId="0" fontId="5" fillId="2" borderId="74" xfId="0" applyFont="1" applyFill="1" applyBorder="1" applyAlignment="1">
      <alignment horizontal="left" vertical="center" wrapText="1"/>
    </xf>
    <xf numFmtId="0" fontId="5" fillId="2" borderId="75" xfId="0" applyFont="1" applyFill="1" applyBorder="1" applyAlignment="1">
      <alignment horizontal="left" vertical="center" wrapText="1"/>
    </xf>
    <xf numFmtId="0" fontId="2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5" fillId="0" borderId="57" xfId="5" applyFont="1" applyBorder="1" applyAlignment="1">
      <alignment horizontal="left" vertical="center" wrapText="1"/>
    </xf>
    <xf numFmtId="0" fontId="5" fillId="0" borderId="58" xfId="5" applyFont="1" applyBorder="1" applyAlignment="1">
      <alignment horizontal="left" vertical="center" wrapText="1"/>
    </xf>
    <xf numFmtId="0" fontId="5" fillId="0" borderId="9" xfId="5" applyFont="1" applyBorder="1" applyAlignment="1">
      <alignment horizontal="center" vertical="center" wrapText="1"/>
    </xf>
    <xf numFmtId="0" fontId="23" fillId="0" borderId="51" xfId="0" applyFont="1" applyBorder="1" applyAlignment="1">
      <alignment horizontal="center" vertical="center" wrapText="1"/>
    </xf>
    <xf numFmtId="0" fontId="23" fillId="0" borderId="52" xfId="0" applyFont="1" applyBorder="1" applyAlignment="1">
      <alignment horizontal="center" vertical="center" wrapText="1"/>
    </xf>
    <xf numFmtId="0" fontId="5" fillId="0" borderId="11" xfId="5" applyFont="1" applyBorder="1" applyAlignment="1">
      <alignment horizontal="left" vertical="center" wrapText="1"/>
    </xf>
    <xf numFmtId="0" fontId="5" fillId="0" borderId="55" xfId="5" applyFont="1" applyBorder="1" applyAlignment="1">
      <alignment horizontal="left" vertical="center" wrapText="1"/>
    </xf>
    <xf numFmtId="0" fontId="5" fillId="0" borderId="0" xfId="5" applyFont="1" applyAlignment="1">
      <alignment horizontal="left" vertical="center" wrapText="1"/>
    </xf>
    <xf numFmtId="0" fontId="5" fillId="0" borderId="7" xfId="5" applyFont="1" applyBorder="1" applyAlignment="1">
      <alignment horizontal="left" vertical="center" wrapText="1"/>
    </xf>
    <xf numFmtId="0" fontId="26" fillId="2" borderId="0" xfId="0" applyFont="1" applyFill="1" applyAlignment="1">
      <alignment horizontal="center" vertical="center"/>
    </xf>
    <xf numFmtId="165" fontId="30" fillId="7" borderId="66" xfId="12" applyNumberFormat="1" applyFont="1" applyFill="1" applyBorder="1" applyAlignment="1">
      <alignment horizontal="center" vertical="center"/>
    </xf>
    <xf numFmtId="165" fontId="30" fillId="7" borderId="67" xfId="12" applyNumberFormat="1" applyFont="1" applyFill="1" applyBorder="1" applyAlignment="1">
      <alignment horizontal="center" vertical="center"/>
    </xf>
    <xf numFmtId="0" fontId="27" fillId="5" borderId="66" xfId="0" applyFont="1" applyFill="1" applyBorder="1" applyAlignment="1">
      <alignment horizontal="left" vertical="center" wrapText="1"/>
    </xf>
    <xf numFmtId="0" fontId="27" fillId="5" borderId="59" xfId="0" applyFont="1" applyFill="1" applyBorder="1" applyAlignment="1">
      <alignment horizontal="left" vertical="center" wrapText="1"/>
    </xf>
    <xf numFmtId="0" fontId="27" fillId="5" borderId="67" xfId="0" applyFont="1" applyFill="1" applyBorder="1" applyAlignment="1">
      <alignment horizontal="left" vertical="center" wrapText="1"/>
    </xf>
    <xf numFmtId="0" fontId="17" fillId="0" borderId="8" xfId="0" applyFont="1" applyBorder="1" applyAlignment="1">
      <alignment vertical="center" wrapText="1"/>
    </xf>
    <xf numFmtId="0" fontId="20" fillId="0" borderId="31" xfId="0" applyFont="1" applyBorder="1" applyAlignment="1">
      <alignment vertical="center" wrapText="1"/>
    </xf>
    <xf numFmtId="0" fontId="20" fillId="0" borderId="10" xfId="0" applyFont="1" applyBorder="1" applyAlignment="1">
      <alignment horizontal="left" vertical="center" wrapText="1" indent="1"/>
    </xf>
    <xf numFmtId="0" fontId="0" fillId="0" borderId="43" xfId="0" applyBorder="1" applyAlignment="1">
      <alignment horizontal="left" vertical="center"/>
    </xf>
    <xf numFmtId="0" fontId="0" fillId="0" borderId="46" xfId="0" applyBorder="1" applyAlignment="1">
      <alignment horizontal="left" vertical="center"/>
    </xf>
    <xf numFmtId="0" fontId="17" fillId="0" borderId="49" xfId="0" applyFont="1" applyBorder="1" applyAlignment="1">
      <alignment horizontal="left" vertical="center" wrapText="1"/>
    </xf>
    <xf numFmtId="0" fontId="0" fillId="0" borderId="27" xfId="0" applyBorder="1"/>
    <xf numFmtId="0" fontId="0" fillId="0" borderId="43" xfId="0" applyBorder="1" applyAlignment="1">
      <alignment horizontal="center" vertical="center"/>
    </xf>
    <xf numFmtId="49" fontId="20" fillId="0" borderId="28" xfId="0" applyNumberFormat="1" applyFont="1" applyBorder="1" applyAlignment="1">
      <alignment horizontal="justify" vertical="center" wrapText="1"/>
    </xf>
    <xf numFmtId="0" fontId="22" fillId="0" borderId="27" xfId="0" applyFont="1" applyBorder="1" applyAlignment="1">
      <alignment horizontal="center" vertical="center"/>
    </xf>
    <xf numFmtId="0" fontId="22" fillId="0" borderId="24" xfId="0" applyFont="1" applyBorder="1" applyAlignment="1">
      <alignment horizontal="center" vertical="center"/>
    </xf>
    <xf numFmtId="0" fontId="22" fillId="0" borderId="30" xfId="0" applyFont="1" applyBorder="1" applyAlignment="1">
      <alignment horizontal="center" vertical="center" wrapText="1"/>
    </xf>
    <xf numFmtId="0" fontId="22" fillId="0" borderId="31" xfId="0" applyFont="1" applyBorder="1" applyAlignment="1">
      <alignment horizontal="center" vertical="center"/>
    </xf>
    <xf numFmtId="0" fontId="0" fillId="0" borderId="37" xfId="0" applyBorder="1" applyAlignment="1">
      <alignment horizontal="left" vertical="center" wrapText="1"/>
    </xf>
    <xf numFmtId="0" fontId="0" fillId="0" borderId="43" xfId="0" applyBorder="1" applyAlignment="1">
      <alignment horizontal="center"/>
    </xf>
    <xf numFmtId="0" fontId="20" fillId="0" borderId="27" xfId="0" applyFont="1" applyBorder="1" applyAlignment="1">
      <alignment horizontal="left"/>
    </xf>
    <xf numFmtId="0" fontId="0" fillId="0" borderId="22" xfId="0" applyBorder="1" applyAlignment="1">
      <alignment horizontal="center"/>
    </xf>
    <xf numFmtId="3" fontId="17" fillId="0" borderId="23" xfId="0" applyNumberFormat="1" applyFont="1" applyBorder="1" applyAlignment="1">
      <alignment horizontal="center"/>
    </xf>
    <xf numFmtId="0" fontId="18" fillId="0" borderId="4" xfId="0" applyFont="1" applyBorder="1" applyAlignment="1">
      <alignment horizontal="center" vertical="center" wrapText="1"/>
    </xf>
    <xf numFmtId="0" fontId="19" fillId="0" borderId="24" xfId="0" applyFont="1" applyBorder="1"/>
    <xf numFmtId="0" fontId="20" fillId="0" borderId="25" xfId="0" applyFont="1" applyBorder="1" applyAlignment="1">
      <alignment horizontal="left" indent="1"/>
    </xf>
    <xf numFmtId="0" fontId="8" fillId="0" borderId="24" xfId="0" applyFont="1" applyBorder="1" applyAlignment="1">
      <alignment horizontal="left" vertical="center" wrapText="1"/>
    </xf>
    <xf numFmtId="0" fontId="21" fillId="0" borderId="26" xfId="0" applyFont="1" applyBorder="1" applyAlignment="1">
      <alignment horizontal="left"/>
    </xf>
  </cellXfs>
  <cellStyles count="34">
    <cellStyle name="Encabezado 1" xfId="7" xr:uid="{00000000-0005-0000-0000-000000000000}"/>
    <cellStyle name="Encabezado 1 2" xfId="8" xr:uid="{00000000-0005-0000-0000-000001000000}"/>
    <cellStyle name="Incorrecto" xfId="32" builtinId="27"/>
    <cellStyle name="Millares 2" xfId="9" xr:uid="{00000000-0005-0000-0000-000003000000}"/>
    <cellStyle name="Millares 2 2" xfId="10" xr:uid="{00000000-0005-0000-0000-000004000000}"/>
    <cellStyle name="Moneda" xfId="1" builtinId="4"/>
    <cellStyle name="Moneda 2" xfId="3" xr:uid="{00000000-0005-0000-0000-000006000000}"/>
    <cellStyle name="Moneda 2 2" xfId="11" xr:uid="{00000000-0005-0000-0000-000007000000}"/>
    <cellStyle name="Moneda 3" xfId="12" xr:uid="{00000000-0005-0000-0000-000008000000}"/>
    <cellStyle name="Moneda 4" xfId="13" xr:uid="{00000000-0005-0000-0000-000009000000}"/>
    <cellStyle name="Moneda 5" xfId="14" xr:uid="{00000000-0005-0000-0000-00000A000000}"/>
    <cellStyle name="Moneda_AUTORIZACION Y NOTA DE PEDIDO" xfId="33" xr:uid="{00000000-0005-0000-0000-00000B000000}"/>
    <cellStyle name="Neutral 1" xfId="15" xr:uid="{00000000-0005-0000-0000-00000C000000}"/>
    <cellStyle name="Normal" xfId="0" builtinId="0"/>
    <cellStyle name="Normal 2" xfId="2" xr:uid="{00000000-0005-0000-0000-00000E000000}"/>
    <cellStyle name="Normal 2 2" xfId="5" xr:uid="{00000000-0005-0000-0000-00000F000000}"/>
    <cellStyle name="Normal 3" xfId="16" xr:uid="{00000000-0005-0000-0000-000010000000}"/>
    <cellStyle name="Normal 3 2" xfId="17" xr:uid="{00000000-0005-0000-0000-000011000000}"/>
    <cellStyle name="Normal 3 2 2" xfId="18" xr:uid="{00000000-0005-0000-0000-000012000000}"/>
    <cellStyle name="Normal 3 3" xfId="19" xr:uid="{00000000-0005-0000-0000-000013000000}"/>
    <cellStyle name="Normal 3 4" xfId="20" xr:uid="{00000000-0005-0000-0000-000014000000}"/>
    <cellStyle name="Normal 3 4 2" xfId="21" xr:uid="{00000000-0005-0000-0000-000015000000}"/>
    <cellStyle name="Normal 4" xfId="6" xr:uid="{00000000-0005-0000-0000-000016000000}"/>
    <cellStyle name="Normal 4 2" xfId="22" xr:uid="{00000000-0005-0000-0000-000017000000}"/>
    <cellStyle name="Normal 4 3" xfId="23" xr:uid="{00000000-0005-0000-0000-000018000000}"/>
    <cellStyle name="Normal 4 3 2" xfId="24" xr:uid="{00000000-0005-0000-0000-000019000000}"/>
    <cellStyle name="Normal 5" xfId="4" xr:uid="{00000000-0005-0000-0000-00001A000000}"/>
    <cellStyle name="Normal 5 2" xfId="25" xr:uid="{00000000-0005-0000-0000-00001B000000}"/>
    <cellStyle name="Normal 6" xfId="26" xr:uid="{00000000-0005-0000-0000-00001C000000}"/>
    <cellStyle name="Normal 7" xfId="27" xr:uid="{00000000-0005-0000-0000-00001D000000}"/>
    <cellStyle name="Normal 8" xfId="28" xr:uid="{00000000-0005-0000-0000-00001E000000}"/>
    <cellStyle name="Normal 8 2" xfId="29" xr:uid="{00000000-0005-0000-0000-00001F000000}"/>
    <cellStyle name="Normal 8 3" xfId="30" xr:uid="{00000000-0005-0000-0000-000020000000}"/>
    <cellStyle name="Normal 8 4" xfId="31" xr:uid="{00000000-0005-0000-0000-000021000000}"/>
  </cellStyles>
  <dxfs count="6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6" name="CustomShape 1" hidden="1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7" name="CustomShape 1" hidden="1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8" name="CustomShape 1" hidden="1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9" name="CustomShape 1" hidden="1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2" name="CustomShape 1" hidden="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68864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3" name="CustomShape 1" hidden="1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68864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4" name="CustomShape 1" hidden="1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68864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5" name="CustomShape 1" hidden="1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68864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10"/>
  <sheetViews>
    <sheetView tabSelected="1" zoomScaleNormal="100" workbookViewId="0">
      <selection activeCell="M14" sqref="M14"/>
    </sheetView>
  </sheetViews>
  <sheetFormatPr baseColWidth="10" defaultColWidth="10.7109375" defaultRowHeight="15" x14ac:dyDescent="0.25"/>
  <cols>
    <col min="1" max="1" width="5.42578125" style="5" bestFit="1" customWidth="1"/>
    <col min="2" max="2" width="14.5703125" style="5" customWidth="1"/>
    <col min="3" max="3" width="34.140625" style="5" customWidth="1"/>
    <col min="4" max="4" width="5.5703125" style="5" bestFit="1" customWidth="1"/>
    <col min="5" max="5" width="127.140625" style="21" customWidth="1"/>
    <col min="6" max="6" width="10.42578125" style="5" customWidth="1"/>
    <col min="7" max="7" width="10.42578125" style="19" customWidth="1"/>
    <col min="8" max="8" width="13.85546875" style="6" customWidth="1"/>
    <col min="9" max="9" width="16.28515625" style="6" customWidth="1"/>
    <col min="10" max="10" width="26.5703125" style="21" customWidth="1"/>
    <col min="11" max="16384" width="10.7109375" style="21"/>
  </cols>
  <sheetData>
    <row r="1" spans="1:10" ht="18.75" x14ac:dyDescent="0.25">
      <c r="A1" s="5">
        <v>2022</v>
      </c>
      <c r="B1" s="61"/>
      <c r="C1" s="1"/>
      <c r="D1" s="1"/>
      <c r="E1" s="75"/>
      <c r="F1" s="1"/>
      <c r="G1" s="16"/>
      <c r="H1" s="3"/>
      <c r="I1" s="2"/>
    </row>
    <row r="2" spans="1:10" s="22" customFormat="1" ht="18.75" x14ac:dyDescent="0.25">
      <c r="A2" s="11"/>
      <c r="B2" s="185" t="s">
        <v>0</v>
      </c>
      <c r="C2" s="185"/>
      <c r="D2" s="185"/>
      <c r="E2" s="185"/>
      <c r="F2" s="185"/>
      <c r="G2" s="62"/>
      <c r="H2" s="62"/>
      <c r="I2" s="12"/>
    </row>
    <row r="3" spans="1:10" x14ac:dyDescent="0.25">
      <c r="A3" s="1"/>
      <c r="B3" s="13"/>
      <c r="C3" s="1"/>
      <c r="D3" s="1"/>
      <c r="E3" s="75"/>
      <c r="F3" s="1"/>
      <c r="G3" s="16"/>
      <c r="H3" s="3"/>
      <c r="I3" s="2"/>
    </row>
    <row r="4" spans="1:10" x14ac:dyDescent="0.25">
      <c r="A4" s="186" t="s">
        <v>1</v>
      </c>
      <c r="B4" s="186"/>
      <c r="C4" s="7" t="s">
        <v>2</v>
      </c>
      <c r="D4" s="7"/>
      <c r="E4" s="7"/>
      <c r="F4" s="4"/>
      <c r="G4" s="17"/>
      <c r="H4" s="3"/>
      <c r="I4" s="2"/>
    </row>
    <row r="5" spans="1:10" ht="15" customHeight="1" x14ac:dyDescent="0.25">
      <c r="A5" s="186" t="s">
        <v>3</v>
      </c>
      <c r="B5" s="186"/>
      <c r="C5" s="7" t="s">
        <v>572</v>
      </c>
      <c r="D5" s="7"/>
      <c r="E5" s="7"/>
      <c r="F5" s="4"/>
      <c r="G5" s="17"/>
      <c r="H5" s="3"/>
      <c r="I5" s="2"/>
    </row>
    <row r="6" spans="1:10" x14ac:dyDescent="0.25">
      <c r="A6" s="186" t="s">
        <v>4</v>
      </c>
      <c r="B6" s="186"/>
      <c r="C6" s="8">
        <v>2022</v>
      </c>
      <c r="D6" s="9"/>
      <c r="E6" s="7"/>
      <c r="F6" s="4"/>
      <c r="G6" s="17"/>
      <c r="H6" s="3"/>
      <c r="I6" s="2"/>
    </row>
    <row r="7" spans="1:10" x14ac:dyDescent="0.25">
      <c r="A7" s="186" t="s">
        <v>5</v>
      </c>
      <c r="B7" s="186"/>
      <c r="C7" s="8" t="s">
        <v>285</v>
      </c>
      <c r="D7" s="9"/>
      <c r="E7" s="7"/>
      <c r="F7" s="4"/>
      <c r="G7" s="17"/>
      <c r="H7" s="3"/>
      <c r="I7" s="2"/>
    </row>
    <row r="8" spans="1:10" x14ac:dyDescent="0.25">
      <c r="A8" s="1"/>
      <c r="B8" s="4"/>
      <c r="C8" s="4"/>
      <c r="D8" s="4"/>
      <c r="E8" s="76"/>
      <c r="F8" s="4"/>
      <c r="G8" s="17"/>
      <c r="H8" s="3"/>
      <c r="I8" s="2"/>
    </row>
    <row r="9" spans="1:10" s="23" customFormat="1" ht="38.25" x14ac:dyDescent="0.25">
      <c r="A9" s="66" t="s">
        <v>6</v>
      </c>
      <c r="B9" s="66" t="s">
        <v>7</v>
      </c>
      <c r="C9" s="67" t="s">
        <v>8</v>
      </c>
      <c r="D9" s="66" t="s">
        <v>9</v>
      </c>
      <c r="E9" s="66" t="s">
        <v>10</v>
      </c>
      <c r="F9" s="67" t="s">
        <v>11</v>
      </c>
      <c r="G9" s="68" t="s">
        <v>12</v>
      </c>
      <c r="H9" s="20" t="s">
        <v>13</v>
      </c>
      <c r="I9" s="69" t="s">
        <v>14</v>
      </c>
      <c r="J9" s="66" t="s">
        <v>15</v>
      </c>
    </row>
    <row r="10" spans="1:10" s="99" customFormat="1" ht="25.5" x14ac:dyDescent="0.25">
      <c r="A10" s="95">
        <v>1</v>
      </c>
      <c r="B10" s="95" t="s">
        <v>125</v>
      </c>
      <c r="C10" s="95" t="s">
        <v>428</v>
      </c>
      <c r="D10" s="95" t="s">
        <v>18</v>
      </c>
      <c r="E10" s="96" t="s">
        <v>288</v>
      </c>
      <c r="F10" s="95" t="s">
        <v>20</v>
      </c>
      <c r="G10" s="95">
        <v>40</v>
      </c>
      <c r="H10" s="98">
        <v>5017</v>
      </c>
      <c r="I10" s="98">
        <v>200680</v>
      </c>
      <c r="J10" s="96" t="s">
        <v>53</v>
      </c>
    </row>
    <row r="11" spans="1:10" s="99" customFormat="1" ht="25.5" x14ac:dyDescent="0.25">
      <c r="A11" s="95">
        <v>2</v>
      </c>
      <c r="B11" s="100" t="s">
        <v>475</v>
      </c>
      <c r="C11" s="95" t="s">
        <v>428</v>
      </c>
      <c r="D11" s="95" t="s">
        <v>18</v>
      </c>
      <c r="E11" s="96" t="s">
        <v>476</v>
      </c>
      <c r="F11" s="95" t="s">
        <v>20</v>
      </c>
      <c r="G11" s="95">
        <v>100</v>
      </c>
      <c r="H11" s="101">
        <v>876</v>
      </c>
      <c r="I11" s="98">
        <v>87600</v>
      </c>
      <c r="J11" s="96"/>
    </row>
    <row r="12" spans="1:10" s="99" customFormat="1" ht="25.5" x14ac:dyDescent="0.25">
      <c r="A12" s="95">
        <v>3</v>
      </c>
      <c r="B12" s="95" t="s">
        <v>477</v>
      </c>
      <c r="C12" s="95" t="s">
        <v>428</v>
      </c>
      <c r="D12" s="95" t="s">
        <v>18</v>
      </c>
      <c r="E12" s="96" t="s">
        <v>478</v>
      </c>
      <c r="F12" s="95" t="s">
        <v>20</v>
      </c>
      <c r="G12" s="95">
        <v>100</v>
      </c>
      <c r="H12" s="101">
        <v>876</v>
      </c>
      <c r="I12" s="98">
        <v>87600</v>
      </c>
      <c r="J12" s="96"/>
    </row>
    <row r="13" spans="1:10" s="99" customFormat="1" ht="25.5" x14ac:dyDescent="0.25">
      <c r="A13" s="95">
        <v>4</v>
      </c>
      <c r="B13" s="95" t="s">
        <v>479</v>
      </c>
      <c r="C13" s="95" t="s">
        <v>428</v>
      </c>
      <c r="D13" s="95" t="s">
        <v>18</v>
      </c>
      <c r="E13" s="96" t="s">
        <v>480</v>
      </c>
      <c r="F13" s="95" t="s">
        <v>16</v>
      </c>
      <c r="G13" s="95">
        <v>100</v>
      </c>
      <c r="H13" s="101">
        <v>1657</v>
      </c>
      <c r="I13" s="98">
        <v>165700</v>
      </c>
      <c r="J13" s="96" t="s">
        <v>516</v>
      </c>
    </row>
    <row r="14" spans="1:10" s="99" customFormat="1" ht="25.5" x14ac:dyDescent="0.25">
      <c r="A14" s="95">
        <v>5</v>
      </c>
      <c r="B14" s="100" t="s">
        <v>127</v>
      </c>
      <c r="C14" s="100" t="s">
        <v>428</v>
      </c>
      <c r="D14" s="95" t="s">
        <v>18</v>
      </c>
      <c r="E14" s="102" t="s">
        <v>291</v>
      </c>
      <c r="F14" s="100" t="s">
        <v>23</v>
      </c>
      <c r="G14" s="95">
        <v>50</v>
      </c>
      <c r="H14" s="98">
        <v>3980</v>
      </c>
      <c r="I14" s="98">
        <v>199000</v>
      </c>
      <c r="J14" s="102" t="s">
        <v>525</v>
      </c>
    </row>
    <row r="15" spans="1:10" s="99" customFormat="1" ht="25.5" x14ac:dyDescent="0.25">
      <c r="A15" s="95">
        <v>6</v>
      </c>
      <c r="B15" s="100" t="s">
        <v>140</v>
      </c>
      <c r="C15" s="100" t="s">
        <v>428</v>
      </c>
      <c r="D15" s="95" t="s">
        <v>18</v>
      </c>
      <c r="E15" s="102" t="s">
        <v>345</v>
      </c>
      <c r="F15" s="100" t="s">
        <v>17</v>
      </c>
      <c r="G15" s="95">
        <v>100</v>
      </c>
      <c r="H15" s="98">
        <v>1781</v>
      </c>
      <c r="I15" s="98">
        <v>178100</v>
      </c>
      <c r="J15" s="102" t="s">
        <v>50</v>
      </c>
    </row>
    <row r="16" spans="1:10" s="99" customFormat="1" ht="12.6" customHeight="1" x14ac:dyDescent="0.25">
      <c r="A16" s="95">
        <v>7</v>
      </c>
      <c r="B16" s="100" t="s">
        <v>264</v>
      </c>
      <c r="C16" s="100" t="s">
        <v>576</v>
      </c>
      <c r="D16" s="95" t="s">
        <v>18</v>
      </c>
      <c r="E16" s="102" t="s">
        <v>378</v>
      </c>
      <c r="F16" s="100" t="s">
        <v>419</v>
      </c>
      <c r="G16" s="95">
        <v>15</v>
      </c>
      <c r="H16" s="98">
        <v>10600</v>
      </c>
      <c r="I16" s="98">
        <v>159000</v>
      </c>
      <c r="J16" s="102" t="s">
        <v>526</v>
      </c>
    </row>
    <row r="17" spans="1:10" s="99" customFormat="1" ht="12.6" customHeight="1" x14ac:dyDescent="0.25">
      <c r="A17" s="95">
        <v>8</v>
      </c>
      <c r="B17" s="100" t="s">
        <v>160</v>
      </c>
      <c r="C17" s="100" t="s">
        <v>576</v>
      </c>
      <c r="D17" s="95" t="s">
        <v>18</v>
      </c>
      <c r="E17" s="102" t="s">
        <v>337</v>
      </c>
      <c r="F17" s="100" t="s">
        <v>419</v>
      </c>
      <c r="G17" s="95">
        <v>60</v>
      </c>
      <c r="H17" s="98">
        <v>11200</v>
      </c>
      <c r="I17" s="98">
        <v>672000</v>
      </c>
      <c r="J17" s="102" t="s">
        <v>281</v>
      </c>
    </row>
    <row r="18" spans="1:10" s="99" customFormat="1" ht="12.6" customHeight="1" x14ac:dyDescent="0.25">
      <c r="A18" s="95">
        <v>9</v>
      </c>
      <c r="B18" s="100" t="s">
        <v>159</v>
      </c>
      <c r="C18" s="100" t="s">
        <v>576</v>
      </c>
      <c r="D18" s="95" t="s">
        <v>18</v>
      </c>
      <c r="E18" s="102" t="s">
        <v>360</v>
      </c>
      <c r="F18" s="100" t="s">
        <v>23</v>
      </c>
      <c r="G18" s="95">
        <v>40</v>
      </c>
      <c r="H18" s="98">
        <v>17700</v>
      </c>
      <c r="I18" s="98">
        <v>708000</v>
      </c>
      <c r="J18" s="102" t="s">
        <v>107</v>
      </c>
    </row>
    <row r="19" spans="1:10" s="99" customFormat="1" ht="12.75" x14ac:dyDescent="0.25">
      <c r="A19" s="95">
        <v>10</v>
      </c>
      <c r="B19" s="100" t="s">
        <v>254</v>
      </c>
      <c r="C19" s="100" t="s">
        <v>428</v>
      </c>
      <c r="D19" s="95" t="s">
        <v>18</v>
      </c>
      <c r="E19" s="102" t="s">
        <v>362</v>
      </c>
      <c r="F19" s="100" t="s">
        <v>20</v>
      </c>
      <c r="G19" s="95">
        <v>2</v>
      </c>
      <c r="H19" s="98">
        <v>18017</v>
      </c>
      <c r="I19" s="98">
        <v>36034</v>
      </c>
      <c r="J19" s="102" t="s">
        <v>108</v>
      </c>
    </row>
    <row r="20" spans="1:10" s="99" customFormat="1" ht="12.75" x14ac:dyDescent="0.25">
      <c r="A20" s="95">
        <v>11</v>
      </c>
      <c r="B20" s="100" t="s">
        <v>256</v>
      </c>
      <c r="C20" s="100" t="s">
        <v>428</v>
      </c>
      <c r="D20" s="95" t="s">
        <v>18</v>
      </c>
      <c r="E20" s="102" t="s">
        <v>364</v>
      </c>
      <c r="F20" s="100" t="s">
        <v>17</v>
      </c>
      <c r="G20" s="95">
        <v>20</v>
      </c>
      <c r="H20" s="98">
        <v>12000</v>
      </c>
      <c r="I20" s="98">
        <v>240000</v>
      </c>
      <c r="J20" s="102" t="s">
        <v>527</v>
      </c>
    </row>
    <row r="21" spans="1:10" s="107" customFormat="1" ht="12.75" x14ac:dyDescent="0.25">
      <c r="A21" s="95">
        <v>12</v>
      </c>
      <c r="B21" s="103" t="s">
        <v>186</v>
      </c>
      <c r="C21" s="103" t="s">
        <v>428</v>
      </c>
      <c r="D21" s="104" t="s">
        <v>18</v>
      </c>
      <c r="E21" s="105" t="s">
        <v>304</v>
      </c>
      <c r="F21" s="103" t="s">
        <v>17</v>
      </c>
      <c r="G21" s="95">
        <v>10</v>
      </c>
      <c r="H21" s="106">
        <v>38000</v>
      </c>
      <c r="I21" s="106">
        <v>380000</v>
      </c>
      <c r="J21" s="105" t="s">
        <v>185</v>
      </c>
    </row>
    <row r="22" spans="1:10" s="107" customFormat="1" ht="12.75" x14ac:dyDescent="0.25">
      <c r="A22" s="95">
        <v>13</v>
      </c>
      <c r="B22" s="103" t="s">
        <v>186</v>
      </c>
      <c r="C22" s="103" t="s">
        <v>428</v>
      </c>
      <c r="D22" s="104" t="s">
        <v>18</v>
      </c>
      <c r="E22" s="105" t="s">
        <v>304</v>
      </c>
      <c r="F22" s="103" t="s">
        <v>17</v>
      </c>
      <c r="G22" s="95">
        <v>30</v>
      </c>
      <c r="H22" s="106">
        <v>42900</v>
      </c>
      <c r="I22" s="106">
        <v>1287000</v>
      </c>
      <c r="J22" s="105" t="s">
        <v>282</v>
      </c>
    </row>
    <row r="23" spans="1:10" s="99" customFormat="1" ht="12.75" x14ac:dyDescent="0.25">
      <c r="A23" s="95">
        <v>14</v>
      </c>
      <c r="B23" s="100" t="s">
        <v>257</v>
      </c>
      <c r="C23" s="100" t="s">
        <v>428</v>
      </c>
      <c r="D23" s="95" t="s">
        <v>18</v>
      </c>
      <c r="E23" s="102" t="s">
        <v>365</v>
      </c>
      <c r="F23" s="100" t="s">
        <v>20</v>
      </c>
      <c r="G23" s="95">
        <v>2</v>
      </c>
      <c r="H23" s="98">
        <v>11000</v>
      </c>
      <c r="I23" s="98">
        <v>22000</v>
      </c>
      <c r="J23" s="102" t="s">
        <v>109</v>
      </c>
    </row>
    <row r="24" spans="1:10" s="99" customFormat="1" ht="12.75" x14ac:dyDescent="0.25">
      <c r="A24" s="95">
        <v>15</v>
      </c>
      <c r="B24" s="100" t="s">
        <v>255</v>
      </c>
      <c r="C24" s="100" t="s">
        <v>428</v>
      </c>
      <c r="D24" s="95" t="s">
        <v>18</v>
      </c>
      <c r="E24" s="102" t="s">
        <v>363</v>
      </c>
      <c r="F24" s="100" t="s">
        <v>17</v>
      </c>
      <c r="G24" s="95">
        <v>30</v>
      </c>
      <c r="H24" s="98">
        <v>15000</v>
      </c>
      <c r="I24" s="98">
        <v>450000</v>
      </c>
      <c r="J24" s="102" t="s">
        <v>528</v>
      </c>
    </row>
    <row r="25" spans="1:10" s="99" customFormat="1" ht="12.75" x14ac:dyDescent="0.25">
      <c r="A25" s="95">
        <v>16</v>
      </c>
      <c r="B25" s="100" t="s">
        <v>183</v>
      </c>
      <c r="C25" s="100" t="s">
        <v>428</v>
      </c>
      <c r="D25" s="95" t="s">
        <v>18</v>
      </c>
      <c r="E25" s="102" t="s">
        <v>366</v>
      </c>
      <c r="F25" s="100" t="s">
        <v>17</v>
      </c>
      <c r="G25" s="95">
        <v>4</v>
      </c>
      <c r="H25" s="98">
        <v>18800</v>
      </c>
      <c r="I25" s="98">
        <v>75200</v>
      </c>
      <c r="J25" s="102" t="s">
        <v>181</v>
      </c>
    </row>
    <row r="26" spans="1:10" s="99" customFormat="1" ht="12.75" x14ac:dyDescent="0.25">
      <c r="A26" s="95">
        <v>17</v>
      </c>
      <c r="B26" s="100" t="s">
        <v>184</v>
      </c>
      <c r="C26" s="100" t="s">
        <v>428</v>
      </c>
      <c r="D26" s="95" t="s">
        <v>18</v>
      </c>
      <c r="E26" s="102" t="s">
        <v>367</v>
      </c>
      <c r="F26" s="100" t="s">
        <v>17</v>
      </c>
      <c r="G26" s="95">
        <v>4</v>
      </c>
      <c r="H26" s="98">
        <v>12800</v>
      </c>
      <c r="I26" s="98">
        <v>51200</v>
      </c>
      <c r="J26" s="102" t="s">
        <v>182</v>
      </c>
    </row>
    <row r="27" spans="1:10" s="107" customFormat="1" ht="25.5" x14ac:dyDescent="0.25">
      <c r="A27" s="95">
        <v>18</v>
      </c>
      <c r="B27" s="103" t="s">
        <v>270</v>
      </c>
      <c r="C27" s="103" t="s">
        <v>428</v>
      </c>
      <c r="D27" s="104" t="s">
        <v>18</v>
      </c>
      <c r="E27" s="105" t="s">
        <v>394</v>
      </c>
      <c r="F27" s="103" t="s">
        <v>33</v>
      </c>
      <c r="G27" s="95">
        <v>15</v>
      </c>
      <c r="H27" s="106">
        <v>56391</v>
      </c>
      <c r="I27" s="106">
        <v>845865</v>
      </c>
      <c r="J27" s="105" t="s">
        <v>522</v>
      </c>
    </row>
    <row r="28" spans="1:10" s="107" customFormat="1" ht="25.5" x14ac:dyDescent="0.25">
      <c r="A28" s="95">
        <v>19</v>
      </c>
      <c r="B28" s="103" t="s">
        <v>270</v>
      </c>
      <c r="C28" s="103" t="s">
        <v>428</v>
      </c>
      <c r="D28" s="104" t="s">
        <v>18</v>
      </c>
      <c r="E28" s="105" t="s">
        <v>394</v>
      </c>
      <c r="F28" s="103" t="s">
        <v>33</v>
      </c>
      <c r="G28" s="95">
        <v>10</v>
      </c>
      <c r="H28" s="106">
        <v>61000</v>
      </c>
      <c r="I28" s="106">
        <v>610000</v>
      </c>
      <c r="J28" s="105" t="s">
        <v>523</v>
      </c>
    </row>
    <row r="29" spans="1:10" s="99" customFormat="1" ht="25.5" x14ac:dyDescent="0.25">
      <c r="A29" s="95">
        <v>20</v>
      </c>
      <c r="B29" s="100" t="s">
        <v>164</v>
      </c>
      <c r="C29" s="100" t="s">
        <v>428</v>
      </c>
      <c r="D29" s="95" t="s">
        <v>18</v>
      </c>
      <c r="E29" s="102" t="s">
        <v>326</v>
      </c>
      <c r="F29" s="100" t="s">
        <v>17</v>
      </c>
      <c r="G29" s="95">
        <v>10</v>
      </c>
      <c r="H29" s="98">
        <v>21000</v>
      </c>
      <c r="I29" s="98">
        <v>210000</v>
      </c>
      <c r="J29" s="102" t="s">
        <v>529</v>
      </c>
    </row>
    <row r="30" spans="1:10" s="99" customFormat="1" ht="25.5" x14ac:dyDescent="0.25">
      <c r="A30" s="95">
        <v>21</v>
      </c>
      <c r="B30" s="100" t="s">
        <v>189</v>
      </c>
      <c r="C30" s="100" t="s">
        <v>428</v>
      </c>
      <c r="D30" s="95" t="s">
        <v>18</v>
      </c>
      <c r="E30" s="102" t="s">
        <v>374</v>
      </c>
      <c r="F30" s="100" t="s">
        <v>17</v>
      </c>
      <c r="G30" s="95">
        <v>5</v>
      </c>
      <c r="H30" s="98">
        <v>2373</v>
      </c>
      <c r="I30" s="98">
        <v>11865</v>
      </c>
      <c r="J30" s="102" t="s">
        <v>49</v>
      </c>
    </row>
    <row r="31" spans="1:10" s="99" customFormat="1" ht="25.5" x14ac:dyDescent="0.25">
      <c r="A31" s="95">
        <v>22</v>
      </c>
      <c r="B31" s="100" t="s">
        <v>61</v>
      </c>
      <c r="C31" s="100" t="s">
        <v>428</v>
      </c>
      <c r="D31" s="95" t="s">
        <v>18</v>
      </c>
      <c r="E31" s="102" t="s">
        <v>385</v>
      </c>
      <c r="F31" s="100" t="s">
        <v>17</v>
      </c>
      <c r="G31" s="95">
        <v>30</v>
      </c>
      <c r="H31" s="98">
        <v>21900</v>
      </c>
      <c r="I31" s="98">
        <v>657000</v>
      </c>
      <c r="J31" s="102" t="s">
        <v>124</v>
      </c>
    </row>
    <row r="32" spans="1:10" s="99" customFormat="1" ht="25.5" x14ac:dyDescent="0.25">
      <c r="A32" s="95">
        <v>23</v>
      </c>
      <c r="B32" s="100" t="s">
        <v>250</v>
      </c>
      <c r="C32" s="100" t="s">
        <v>428</v>
      </c>
      <c r="D32" s="95" t="s">
        <v>18</v>
      </c>
      <c r="E32" s="102" t="s">
        <v>352</v>
      </c>
      <c r="F32" s="100" t="s">
        <v>17</v>
      </c>
      <c r="G32" s="95">
        <v>25</v>
      </c>
      <c r="H32" s="98">
        <v>24647</v>
      </c>
      <c r="I32" s="98">
        <v>616175</v>
      </c>
      <c r="J32" s="102" t="s">
        <v>100</v>
      </c>
    </row>
    <row r="33" spans="1:10" s="99" customFormat="1" ht="25.5" x14ac:dyDescent="0.25">
      <c r="A33" s="95">
        <v>24</v>
      </c>
      <c r="B33" s="100" t="s">
        <v>174</v>
      </c>
      <c r="C33" s="100" t="s">
        <v>428</v>
      </c>
      <c r="D33" s="95" t="s">
        <v>18</v>
      </c>
      <c r="E33" s="102" t="s">
        <v>350</v>
      </c>
      <c r="F33" s="100" t="s">
        <v>17</v>
      </c>
      <c r="G33" s="95">
        <v>10</v>
      </c>
      <c r="H33" s="98">
        <v>16743</v>
      </c>
      <c r="I33" s="98">
        <v>167430</v>
      </c>
      <c r="J33" s="102" t="s">
        <v>123</v>
      </c>
    </row>
    <row r="34" spans="1:10" s="99" customFormat="1" ht="25.5" x14ac:dyDescent="0.25">
      <c r="A34" s="95">
        <v>25</v>
      </c>
      <c r="B34" s="100" t="s">
        <v>175</v>
      </c>
      <c r="C34" s="100" t="s">
        <v>428</v>
      </c>
      <c r="D34" s="95" t="s">
        <v>18</v>
      </c>
      <c r="E34" s="102" t="s">
        <v>351</v>
      </c>
      <c r="F34" s="100" t="s">
        <v>17</v>
      </c>
      <c r="G34" s="95">
        <v>20</v>
      </c>
      <c r="H34" s="98">
        <v>19630</v>
      </c>
      <c r="I34" s="98">
        <v>392600</v>
      </c>
      <c r="J34" s="102" t="s">
        <v>99</v>
      </c>
    </row>
    <row r="35" spans="1:10" s="99" customFormat="1" ht="25.5" x14ac:dyDescent="0.25">
      <c r="A35" s="95">
        <v>26</v>
      </c>
      <c r="B35" s="100" t="s">
        <v>194</v>
      </c>
      <c r="C35" s="100" t="s">
        <v>428</v>
      </c>
      <c r="D35" s="95" t="s">
        <v>18</v>
      </c>
      <c r="E35" s="102" t="s">
        <v>387</v>
      </c>
      <c r="F35" s="100" t="s">
        <v>17</v>
      </c>
      <c r="G35" s="95">
        <v>6</v>
      </c>
      <c r="H35" s="98">
        <v>74100</v>
      </c>
      <c r="I35" s="98">
        <v>444600</v>
      </c>
      <c r="J35" s="102" t="s">
        <v>52</v>
      </c>
    </row>
    <row r="36" spans="1:10" s="99" customFormat="1" ht="25.5" x14ac:dyDescent="0.25">
      <c r="A36" s="95">
        <v>27</v>
      </c>
      <c r="B36" s="100" t="s">
        <v>199</v>
      </c>
      <c r="C36" s="100" t="s">
        <v>428</v>
      </c>
      <c r="D36" s="95" t="s">
        <v>18</v>
      </c>
      <c r="E36" s="102" t="s">
        <v>390</v>
      </c>
      <c r="F36" s="100" t="s">
        <v>17</v>
      </c>
      <c r="G36" s="95">
        <v>6</v>
      </c>
      <c r="H36" s="98">
        <v>74100</v>
      </c>
      <c r="I36" s="98">
        <v>444600</v>
      </c>
      <c r="J36" s="102" t="s">
        <v>114</v>
      </c>
    </row>
    <row r="37" spans="1:10" s="99" customFormat="1" ht="25.5" x14ac:dyDescent="0.25">
      <c r="A37" s="95">
        <v>28</v>
      </c>
      <c r="B37" s="100" t="s">
        <v>229</v>
      </c>
      <c r="C37" s="100" t="s">
        <v>428</v>
      </c>
      <c r="D37" s="95" t="s">
        <v>18</v>
      </c>
      <c r="E37" s="102" t="s">
        <v>325</v>
      </c>
      <c r="F37" s="100" t="s">
        <v>16</v>
      </c>
      <c r="G37" s="95">
        <v>4</v>
      </c>
      <c r="H37" s="98">
        <v>116900</v>
      </c>
      <c r="I37" s="98">
        <v>467600</v>
      </c>
      <c r="J37" s="102" t="s">
        <v>90</v>
      </c>
    </row>
    <row r="38" spans="1:10" s="99" customFormat="1" ht="25.5" x14ac:dyDescent="0.25">
      <c r="A38" s="95">
        <v>29</v>
      </c>
      <c r="B38" s="100" t="s">
        <v>469</v>
      </c>
      <c r="C38" s="100" t="s">
        <v>428</v>
      </c>
      <c r="D38" s="95" t="s">
        <v>18</v>
      </c>
      <c r="E38" s="102" t="s">
        <v>470</v>
      </c>
      <c r="F38" s="100" t="s">
        <v>16</v>
      </c>
      <c r="G38" s="95">
        <v>12</v>
      </c>
      <c r="H38" s="101">
        <v>1251</v>
      </c>
      <c r="I38" s="98">
        <v>15012</v>
      </c>
      <c r="J38" s="102"/>
    </row>
    <row r="39" spans="1:10" s="99" customFormat="1" ht="25.5" x14ac:dyDescent="0.25">
      <c r="A39" s="95">
        <v>30</v>
      </c>
      <c r="B39" s="100" t="s">
        <v>239</v>
      </c>
      <c r="C39" s="100" t="s">
        <v>428</v>
      </c>
      <c r="D39" s="95" t="s">
        <v>18</v>
      </c>
      <c r="E39" s="102" t="s">
        <v>321</v>
      </c>
      <c r="F39" s="100" t="s">
        <v>17</v>
      </c>
      <c r="G39" s="95">
        <v>20</v>
      </c>
      <c r="H39" s="98">
        <v>3510</v>
      </c>
      <c r="I39" s="98">
        <v>70200</v>
      </c>
      <c r="J39" s="102" t="s">
        <v>80</v>
      </c>
    </row>
    <row r="40" spans="1:10" s="99" customFormat="1" ht="25.5" x14ac:dyDescent="0.25">
      <c r="A40" s="95">
        <v>31</v>
      </c>
      <c r="B40" s="100" t="s">
        <v>267</v>
      </c>
      <c r="C40" s="100" t="s">
        <v>428</v>
      </c>
      <c r="D40" s="95" t="s">
        <v>18</v>
      </c>
      <c r="E40" s="102" t="s">
        <v>383</v>
      </c>
      <c r="F40" s="100" t="s">
        <v>23</v>
      </c>
      <c r="G40" s="95">
        <v>20</v>
      </c>
      <c r="H40" s="98">
        <v>8600</v>
      </c>
      <c r="I40" s="98">
        <v>172000</v>
      </c>
      <c r="J40" s="102" t="s">
        <v>113</v>
      </c>
    </row>
    <row r="41" spans="1:10" s="99" customFormat="1" ht="12.75" x14ac:dyDescent="0.25">
      <c r="A41" s="95">
        <v>32</v>
      </c>
      <c r="B41" s="100" t="s">
        <v>422</v>
      </c>
      <c r="C41" s="100" t="s">
        <v>428</v>
      </c>
      <c r="D41" s="95" t="s">
        <v>18</v>
      </c>
      <c r="E41" s="102" t="s">
        <v>423</v>
      </c>
      <c r="F41" s="100" t="s">
        <v>23</v>
      </c>
      <c r="G41" s="95">
        <v>60</v>
      </c>
      <c r="H41" s="98">
        <v>7052</v>
      </c>
      <c r="I41" s="98">
        <v>423120</v>
      </c>
      <c r="J41" s="102" t="s">
        <v>82</v>
      </c>
    </row>
    <row r="42" spans="1:10" s="99" customFormat="1" ht="12.75" x14ac:dyDescent="0.25">
      <c r="A42" s="95">
        <v>33</v>
      </c>
      <c r="B42" s="100" t="s">
        <v>245</v>
      </c>
      <c r="C42" s="100" t="s">
        <v>428</v>
      </c>
      <c r="D42" s="95" t="s">
        <v>18</v>
      </c>
      <c r="E42" s="102" t="s">
        <v>323</v>
      </c>
      <c r="F42" s="100" t="s">
        <v>23</v>
      </c>
      <c r="G42" s="95">
        <v>20</v>
      </c>
      <c r="H42" s="98">
        <v>6970</v>
      </c>
      <c r="I42" s="98">
        <v>139400</v>
      </c>
      <c r="J42" s="102" t="s">
        <v>122</v>
      </c>
    </row>
    <row r="43" spans="1:10" s="99" customFormat="1" ht="12.75" x14ac:dyDescent="0.25">
      <c r="A43" s="95">
        <v>34</v>
      </c>
      <c r="B43" s="100" t="s">
        <v>56</v>
      </c>
      <c r="C43" s="100" t="s">
        <v>428</v>
      </c>
      <c r="D43" s="95" t="s">
        <v>18</v>
      </c>
      <c r="E43" s="102" t="s">
        <v>322</v>
      </c>
      <c r="F43" s="100" t="s">
        <v>17</v>
      </c>
      <c r="G43" s="95">
        <v>20</v>
      </c>
      <c r="H43" s="98">
        <v>3634</v>
      </c>
      <c r="I43" s="98">
        <v>72680</v>
      </c>
      <c r="J43" s="102" t="s">
        <v>81</v>
      </c>
    </row>
    <row r="44" spans="1:10" s="99" customFormat="1" ht="25.5" x14ac:dyDescent="0.25">
      <c r="A44" s="95">
        <v>35</v>
      </c>
      <c r="B44" s="100" t="s">
        <v>443</v>
      </c>
      <c r="C44" s="100" t="s">
        <v>428</v>
      </c>
      <c r="D44" s="95" t="s">
        <v>18</v>
      </c>
      <c r="E44" s="102" t="s">
        <v>444</v>
      </c>
      <c r="F44" s="108" t="s">
        <v>16</v>
      </c>
      <c r="G44" s="95">
        <v>81</v>
      </c>
      <c r="H44" s="101">
        <v>4350</v>
      </c>
      <c r="I44" s="98">
        <v>352350</v>
      </c>
      <c r="J44" s="102"/>
    </row>
    <row r="45" spans="1:10" s="99" customFormat="1" ht="25.5" x14ac:dyDescent="0.25">
      <c r="A45" s="95">
        <v>36</v>
      </c>
      <c r="B45" s="109" t="s">
        <v>455</v>
      </c>
      <c r="C45" s="100" t="s">
        <v>428</v>
      </c>
      <c r="D45" s="95" t="s">
        <v>18</v>
      </c>
      <c r="E45" s="102" t="s">
        <v>456</v>
      </c>
      <c r="F45" s="100" t="s">
        <v>17</v>
      </c>
      <c r="G45" s="95">
        <v>3</v>
      </c>
      <c r="H45" s="101">
        <v>50545</v>
      </c>
      <c r="I45" s="98">
        <v>151635</v>
      </c>
      <c r="J45" s="110"/>
    </row>
    <row r="46" spans="1:10" s="99" customFormat="1" ht="25.5" x14ac:dyDescent="0.25">
      <c r="A46" s="95">
        <v>37</v>
      </c>
      <c r="B46" s="100" t="s">
        <v>57</v>
      </c>
      <c r="C46" s="100" t="s">
        <v>428</v>
      </c>
      <c r="D46" s="95" t="s">
        <v>18</v>
      </c>
      <c r="E46" s="102" t="s">
        <v>329</v>
      </c>
      <c r="F46" s="100" t="s">
        <v>17</v>
      </c>
      <c r="G46" s="95">
        <v>30</v>
      </c>
      <c r="H46" s="98">
        <v>4693</v>
      </c>
      <c r="I46" s="98">
        <v>140790</v>
      </c>
      <c r="J46" s="102" t="s">
        <v>573</v>
      </c>
    </row>
    <row r="47" spans="1:10" s="99" customFormat="1" ht="25.5" x14ac:dyDescent="0.25">
      <c r="A47" s="95">
        <v>38</v>
      </c>
      <c r="B47" s="100" t="s">
        <v>141</v>
      </c>
      <c r="C47" s="100" t="s">
        <v>428</v>
      </c>
      <c r="D47" s="95" t="s">
        <v>18</v>
      </c>
      <c r="E47" s="102" t="s">
        <v>305</v>
      </c>
      <c r="F47" s="100" t="s">
        <v>17</v>
      </c>
      <c r="G47" s="95">
        <v>24</v>
      </c>
      <c r="H47" s="98">
        <v>100000</v>
      </c>
      <c r="I47" s="98">
        <v>2400000</v>
      </c>
      <c r="J47" s="102" t="s">
        <v>279</v>
      </c>
    </row>
    <row r="48" spans="1:10" s="99" customFormat="1" ht="25.5" x14ac:dyDescent="0.25">
      <c r="A48" s="95">
        <v>39</v>
      </c>
      <c r="B48" s="109" t="s">
        <v>447</v>
      </c>
      <c r="C48" s="100" t="s">
        <v>428</v>
      </c>
      <c r="D48" s="95" t="s">
        <v>18</v>
      </c>
      <c r="E48" s="102" t="s">
        <v>448</v>
      </c>
      <c r="F48" s="108" t="s">
        <v>17</v>
      </c>
      <c r="G48" s="95">
        <v>48</v>
      </c>
      <c r="H48" s="111">
        <v>23147</v>
      </c>
      <c r="I48" s="98">
        <v>1111056</v>
      </c>
      <c r="J48" s="102" t="s">
        <v>508</v>
      </c>
    </row>
    <row r="49" spans="1:10" s="99" customFormat="1" ht="25.5" x14ac:dyDescent="0.25">
      <c r="A49" s="95">
        <v>40</v>
      </c>
      <c r="B49" s="100" t="s">
        <v>241</v>
      </c>
      <c r="C49" s="100" t="s">
        <v>428</v>
      </c>
      <c r="D49" s="95" t="s">
        <v>18</v>
      </c>
      <c r="E49" s="102" t="s">
        <v>369</v>
      </c>
      <c r="F49" s="100" t="s">
        <v>420</v>
      </c>
      <c r="G49" s="95">
        <v>40</v>
      </c>
      <c r="H49" s="98">
        <v>28900</v>
      </c>
      <c r="I49" s="98">
        <v>1156000</v>
      </c>
      <c r="J49" s="102" t="s">
        <v>286</v>
      </c>
    </row>
    <row r="50" spans="1:10" s="99" customFormat="1" ht="25.5" x14ac:dyDescent="0.25">
      <c r="A50" s="95">
        <v>41</v>
      </c>
      <c r="B50" s="100" t="s">
        <v>266</v>
      </c>
      <c r="C50" s="100" t="s">
        <v>428</v>
      </c>
      <c r="D50" s="95" t="s">
        <v>18</v>
      </c>
      <c r="E50" s="102" t="s">
        <v>382</v>
      </c>
      <c r="F50" s="100" t="s">
        <v>17</v>
      </c>
      <c r="G50" s="95">
        <v>20</v>
      </c>
      <c r="H50" s="98">
        <v>6900</v>
      </c>
      <c r="I50" s="98">
        <v>138000</v>
      </c>
      <c r="J50" s="102" t="s">
        <v>426</v>
      </c>
    </row>
    <row r="51" spans="1:10" s="99" customFormat="1" ht="25.5" x14ac:dyDescent="0.25">
      <c r="A51" s="95">
        <v>42</v>
      </c>
      <c r="B51" s="100" t="s">
        <v>168</v>
      </c>
      <c r="C51" s="100" t="s">
        <v>428</v>
      </c>
      <c r="D51" s="95" t="s">
        <v>18</v>
      </c>
      <c r="E51" s="102" t="s">
        <v>338</v>
      </c>
      <c r="F51" s="100" t="s">
        <v>16</v>
      </c>
      <c r="G51" s="95">
        <v>20</v>
      </c>
      <c r="H51" s="98">
        <v>15520</v>
      </c>
      <c r="I51" s="98">
        <v>310400</v>
      </c>
      <c r="J51" s="102" t="s">
        <v>244</v>
      </c>
    </row>
    <row r="52" spans="1:10" s="99" customFormat="1" ht="25.5" x14ac:dyDescent="0.25">
      <c r="A52" s="95">
        <v>43</v>
      </c>
      <c r="B52" s="100" t="s">
        <v>168</v>
      </c>
      <c r="C52" s="100" t="s">
        <v>428</v>
      </c>
      <c r="D52" s="95" t="s">
        <v>18</v>
      </c>
      <c r="E52" s="102" t="s">
        <v>338</v>
      </c>
      <c r="F52" s="100" t="s">
        <v>16</v>
      </c>
      <c r="G52" s="95">
        <v>30</v>
      </c>
      <c r="H52" s="98">
        <v>2100</v>
      </c>
      <c r="I52" s="98">
        <v>63000</v>
      </c>
      <c r="J52" s="102" t="s">
        <v>243</v>
      </c>
    </row>
    <row r="53" spans="1:10" s="99" customFormat="1" ht="25.5" x14ac:dyDescent="0.25">
      <c r="A53" s="95">
        <v>44</v>
      </c>
      <c r="B53" s="100" t="s">
        <v>166</v>
      </c>
      <c r="C53" s="100" t="s">
        <v>428</v>
      </c>
      <c r="D53" s="95" t="s">
        <v>18</v>
      </c>
      <c r="E53" s="102" t="s">
        <v>332</v>
      </c>
      <c r="F53" s="100" t="s">
        <v>17</v>
      </c>
      <c r="G53" s="95">
        <v>40</v>
      </c>
      <c r="H53" s="98">
        <v>17800</v>
      </c>
      <c r="I53" s="98">
        <v>712000</v>
      </c>
      <c r="J53" s="102" t="s">
        <v>425</v>
      </c>
    </row>
    <row r="54" spans="1:10" s="99" customFormat="1" ht="12.75" x14ac:dyDescent="0.25">
      <c r="A54" s="95">
        <v>45</v>
      </c>
      <c r="B54" s="100" t="s">
        <v>165</v>
      </c>
      <c r="C54" s="100" t="s">
        <v>428</v>
      </c>
      <c r="D54" s="95" t="s">
        <v>18</v>
      </c>
      <c r="E54" s="102" t="s">
        <v>331</v>
      </c>
      <c r="F54" s="100" t="s">
        <v>23</v>
      </c>
      <c r="G54" s="95">
        <v>40</v>
      </c>
      <c r="H54" s="98">
        <v>17800</v>
      </c>
      <c r="I54" s="98">
        <v>712000</v>
      </c>
      <c r="J54" s="102" t="s">
        <v>424</v>
      </c>
    </row>
    <row r="55" spans="1:10" s="99" customFormat="1" ht="25.5" x14ac:dyDescent="0.25">
      <c r="A55" s="95">
        <v>46</v>
      </c>
      <c r="B55" s="100" t="s">
        <v>169</v>
      </c>
      <c r="C55" s="100" t="s">
        <v>428</v>
      </c>
      <c r="D55" s="95" t="s">
        <v>18</v>
      </c>
      <c r="E55" s="102" t="s">
        <v>342</v>
      </c>
      <c r="F55" s="100" t="s">
        <v>17</v>
      </c>
      <c r="G55" s="95">
        <v>30</v>
      </c>
      <c r="H55" s="98">
        <v>10113</v>
      </c>
      <c r="I55" s="98">
        <v>303390</v>
      </c>
      <c r="J55" s="102" t="s">
        <v>38</v>
      </c>
    </row>
    <row r="56" spans="1:10" s="99" customFormat="1" ht="12.75" x14ac:dyDescent="0.25">
      <c r="A56" s="95">
        <v>47</v>
      </c>
      <c r="B56" s="100" t="s">
        <v>188</v>
      </c>
      <c r="C56" s="100" t="s">
        <v>428</v>
      </c>
      <c r="D56" s="95" t="s">
        <v>18</v>
      </c>
      <c r="E56" s="102" t="s">
        <v>372</v>
      </c>
      <c r="F56" s="100" t="s">
        <v>17</v>
      </c>
      <c r="G56" s="95">
        <v>10</v>
      </c>
      <c r="H56" s="98">
        <v>12000</v>
      </c>
      <c r="I56" s="98">
        <v>120000</v>
      </c>
      <c r="J56" s="102" t="s">
        <v>104</v>
      </c>
    </row>
    <row r="57" spans="1:10" s="99" customFormat="1" ht="12.75" x14ac:dyDescent="0.25">
      <c r="A57" s="95">
        <v>48</v>
      </c>
      <c r="B57" s="100" t="s">
        <v>190</v>
      </c>
      <c r="C57" s="100" t="s">
        <v>428</v>
      </c>
      <c r="D57" s="95" t="s">
        <v>18</v>
      </c>
      <c r="E57" s="102" t="s">
        <v>373</v>
      </c>
      <c r="F57" s="100" t="s">
        <v>23</v>
      </c>
      <c r="G57" s="95">
        <v>10</v>
      </c>
      <c r="H57" s="98">
        <v>6277</v>
      </c>
      <c r="I57" s="98">
        <v>62770</v>
      </c>
      <c r="J57" s="102" t="s">
        <v>105</v>
      </c>
    </row>
    <row r="58" spans="1:10" s="99" customFormat="1" ht="25.5" x14ac:dyDescent="0.25">
      <c r="A58" s="95">
        <v>49</v>
      </c>
      <c r="B58" s="100" t="s">
        <v>146</v>
      </c>
      <c r="C58" s="100" t="s">
        <v>428</v>
      </c>
      <c r="D58" s="95" t="s">
        <v>18</v>
      </c>
      <c r="E58" s="102" t="s">
        <v>311</v>
      </c>
      <c r="F58" s="100" t="s">
        <v>17</v>
      </c>
      <c r="G58" s="95">
        <v>20</v>
      </c>
      <c r="H58" s="98">
        <v>7900</v>
      </c>
      <c r="I58" s="98">
        <v>158000</v>
      </c>
      <c r="J58" s="102" t="s">
        <v>67</v>
      </c>
    </row>
    <row r="59" spans="1:10" s="99" customFormat="1" ht="25.5" x14ac:dyDescent="0.25">
      <c r="A59" s="95">
        <v>50</v>
      </c>
      <c r="B59" s="100" t="s">
        <v>237</v>
      </c>
      <c r="C59" s="100" t="s">
        <v>428</v>
      </c>
      <c r="D59" s="95" t="s">
        <v>18</v>
      </c>
      <c r="E59" s="102" t="s">
        <v>318</v>
      </c>
      <c r="F59" s="100" t="s">
        <v>17</v>
      </c>
      <c r="G59" s="95">
        <v>30</v>
      </c>
      <c r="H59" s="98">
        <v>8000</v>
      </c>
      <c r="I59" s="98">
        <v>240000</v>
      </c>
      <c r="J59" s="102" t="s">
        <v>78</v>
      </c>
    </row>
    <row r="60" spans="1:10" s="99" customFormat="1" ht="25.5" x14ac:dyDescent="0.25">
      <c r="A60" s="95">
        <v>51</v>
      </c>
      <c r="B60" s="100" t="s">
        <v>179</v>
      </c>
      <c r="C60" s="100" t="s">
        <v>428</v>
      </c>
      <c r="D60" s="95" t="s">
        <v>18</v>
      </c>
      <c r="E60" s="102" t="s">
        <v>356</v>
      </c>
      <c r="F60" s="100" t="s">
        <v>16</v>
      </c>
      <c r="G60" s="95">
        <v>20</v>
      </c>
      <c r="H60" s="98">
        <v>22000</v>
      </c>
      <c r="I60" s="98">
        <v>440000</v>
      </c>
      <c r="J60" s="102" t="s">
        <v>43</v>
      </c>
    </row>
    <row r="61" spans="1:10" s="99" customFormat="1" ht="25.5" x14ac:dyDescent="0.25">
      <c r="A61" s="95">
        <v>52</v>
      </c>
      <c r="B61" s="100" t="s">
        <v>271</v>
      </c>
      <c r="C61" s="100" t="s">
        <v>428</v>
      </c>
      <c r="D61" s="95" t="s">
        <v>18</v>
      </c>
      <c r="E61" s="102" t="s">
        <v>395</v>
      </c>
      <c r="F61" s="100" t="s">
        <v>17</v>
      </c>
      <c r="G61" s="95">
        <v>30</v>
      </c>
      <c r="H61" s="98">
        <v>11500</v>
      </c>
      <c r="I61" s="98">
        <v>345000</v>
      </c>
      <c r="J61" s="102" t="s">
        <v>272</v>
      </c>
    </row>
    <row r="62" spans="1:10" s="99" customFormat="1" ht="25.5" x14ac:dyDescent="0.25">
      <c r="A62" s="95">
        <v>53</v>
      </c>
      <c r="B62" s="100" t="s">
        <v>170</v>
      </c>
      <c r="C62" s="100" t="s">
        <v>428</v>
      </c>
      <c r="D62" s="95" t="s">
        <v>18</v>
      </c>
      <c r="E62" s="102" t="s">
        <v>344</v>
      </c>
      <c r="F62" s="100" t="s">
        <v>17</v>
      </c>
      <c r="G62" s="95">
        <v>70</v>
      </c>
      <c r="H62" s="98">
        <v>9013</v>
      </c>
      <c r="I62" s="98">
        <v>630910</v>
      </c>
      <c r="J62" s="102" t="s">
        <v>95</v>
      </c>
    </row>
    <row r="63" spans="1:10" s="99" customFormat="1" ht="12.75" x14ac:dyDescent="0.25">
      <c r="A63" s="95">
        <v>54</v>
      </c>
      <c r="B63" s="100" t="s">
        <v>178</v>
      </c>
      <c r="C63" s="100" t="s">
        <v>428</v>
      </c>
      <c r="D63" s="95" t="s">
        <v>18</v>
      </c>
      <c r="E63" s="102" t="s">
        <v>355</v>
      </c>
      <c r="F63" s="100" t="s">
        <v>16</v>
      </c>
      <c r="G63" s="95">
        <v>20</v>
      </c>
      <c r="H63" s="98">
        <v>3350</v>
      </c>
      <c r="I63" s="98">
        <v>67000</v>
      </c>
      <c r="J63" s="102" t="s">
        <v>101</v>
      </c>
    </row>
    <row r="64" spans="1:10" s="99" customFormat="1" ht="25.5" x14ac:dyDescent="0.25">
      <c r="A64" s="95">
        <v>55</v>
      </c>
      <c r="B64" s="100" t="s">
        <v>242</v>
      </c>
      <c r="C64" s="100" t="s">
        <v>428</v>
      </c>
      <c r="D64" s="95" t="s">
        <v>18</v>
      </c>
      <c r="E64" s="102" t="s">
        <v>333</v>
      </c>
      <c r="F64" s="100" t="s">
        <v>17</v>
      </c>
      <c r="G64" s="95">
        <v>20</v>
      </c>
      <c r="H64" s="98">
        <v>14455</v>
      </c>
      <c r="I64" s="98">
        <v>289100</v>
      </c>
      <c r="J64" s="102" t="s">
        <v>86</v>
      </c>
    </row>
    <row r="65" spans="1:10" s="99" customFormat="1" ht="25.5" x14ac:dyDescent="0.25">
      <c r="A65" s="95">
        <v>56</v>
      </c>
      <c r="B65" s="100" t="s">
        <v>62</v>
      </c>
      <c r="C65" s="100" t="s">
        <v>428</v>
      </c>
      <c r="D65" s="95" t="s">
        <v>18</v>
      </c>
      <c r="E65" s="102" t="s">
        <v>289</v>
      </c>
      <c r="F65" s="100" t="s">
        <v>20</v>
      </c>
      <c r="G65" s="95">
        <v>20</v>
      </c>
      <c r="H65" s="98">
        <v>4000</v>
      </c>
      <c r="I65" s="98">
        <v>80000</v>
      </c>
      <c r="J65" s="102" t="s">
        <v>55</v>
      </c>
    </row>
    <row r="66" spans="1:10" s="99" customFormat="1" ht="25.5" x14ac:dyDescent="0.25">
      <c r="A66" s="95">
        <v>57</v>
      </c>
      <c r="B66" s="100" t="s">
        <v>204</v>
      </c>
      <c r="C66" s="100" t="s">
        <v>428</v>
      </c>
      <c r="D66" s="95" t="s">
        <v>18</v>
      </c>
      <c r="E66" s="102" t="s">
        <v>398</v>
      </c>
      <c r="F66" s="100" t="s">
        <v>16</v>
      </c>
      <c r="G66" s="95">
        <v>40</v>
      </c>
      <c r="H66" s="98">
        <v>6900</v>
      </c>
      <c r="I66" s="98">
        <v>276000</v>
      </c>
      <c r="J66" s="102" t="s">
        <v>47</v>
      </c>
    </row>
    <row r="67" spans="1:10" s="99" customFormat="1" ht="12.75" x14ac:dyDescent="0.25">
      <c r="A67" s="95">
        <v>58</v>
      </c>
      <c r="B67" s="100" t="s">
        <v>126</v>
      </c>
      <c r="C67" s="100" t="s">
        <v>428</v>
      </c>
      <c r="D67" s="95" t="s">
        <v>18</v>
      </c>
      <c r="E67" s="102" t="s">
        <v>290</v>
      </c>
      <c r="F67" s="100" t="s">
        <v>17</v>
      </c>
      <c r="G67" s="95">
        <v>10</v>
      </c>
      <c r="H67" s="98">
        <v>6000</v>
      </c>
      <c r="I67" s="98">
        <v>60000</v>
      </c>
      <c r="J67" s="102" t="s">
        <v>63</v>
      </c>
    </row>
    <row r="68" spans="1:10" s="99" customFormat="1" ht="12.75" x14ac:dyDescent="0.25">
      <c r="A68" s="95">
        <v>59</v>
      </c>
      <c r="B68" s="100" t="s">
        <v>284</v>
      </c>
      <c r="C68" s="100" t="s">
        <v>428</v>
      </c>
      <c r="D68" s="95" t="s">
        <v>18</v>
      </c>
      <c r="E68" s="102" t="s">
        <v>416</v>
      </c>
      <c r="F68" s="100" t="s">
        <v>17</v>
      </c>
      <c r="G68" s="95">
        <v>50</v>
      </c>
      <c r="H68" s="98">
        <v>5200</v>
      </c>
      <c r="I68" s="98">
        <v>260000</v>
      </c>
      <c r="J68" s="102" t="s">
        <v>283</v>
      </c>
    </row>
    <row r="69" spans="1:10" s="99" customFormat="1" ht="25.5" x14ac:dyDescent="0.25">
      <c r="A69" s="95">
        <v>60</v>
      </c>
      <c r="B69" s="100" t="s">
        <v>128</v>
      </c>
      <c r="C69" s="100" t="s">
        <v>428</v>
      </c>
      <c r="D69" s="95" t="s">
        <v>18</v>
      </c>
      <c r="E69" s="102" t="s">
        <v>292</v>
      </c>
      <c r="F69" s="100" t="s">
        <v>17</v>
      </c>
      <c r="G69" s="95">
        <v>40</v>
      </c>
      <c r="H69" s="98">
        <v>8736</v>
      </c>
      <c r="I69" s="98">
        <v>349440</v>
      </c>
      <c r="J69" s="102" t="s">
        <v>54</v>
      </c>
    </row>
    <row r="70" spans="1:10" s="99" customFormat="1" ht="25.5" x14ac:dyDescent="0.25">
      <c r="A70" s="95">
        <v>61</v>
      </c>
      <c r="B70" s="100" t="s">
        <v>137</v>
      </c>
      <c r="C70" s="100" t="s">
        <v>428</v>
      </c>
      <c r="D70" s="95" t="s">
        <v>18</v>
      </c>
      <c r="E70" s="102" t="s">
        <v>302</v>
      </c>
      <c r="F70" s="100" t="s">
        <v>17</v>
      </c>
      <c r="G70" s="95">
        <v>30</v>
      </c>
      <c r="H70" s="98">
        <v>8900</v>
      </c>
      <c r="I70" s="98">
        <v>267000</v>
      </c>
      <c r="J70" s="102" t="s">
        <v>70</v>
      </c>
    </row>
    <row r="71" spans="1:10" s="99" customFormat="1" ht="25.5" x14ac:dyDescent="0.25">
      <c r="A71" s="95">
        <v>62</v>
      </c>
      <c r="B71" s="100" t="s">
        <v>138</v>
      </c>
      <c r="C71" s="100" t="s">
        <v>428</v>
      </c>
      <c r="D71" s="95" t="s">
        <v>18</v>
      </c>
      <c r="E71" s="102" t="s">
        <v>303</v>
      </c>
      <c r="F71" s="100" t="s">
        <v>17</v>
      </c>
      <c r="G71" s="95">
        <v>30</v>
      </c>
      <c r="H71" s="98">
        <v>9100</v>
      </c>
      <c r="I71" s="98">
        <v>273000</v>
      </c>
      <c r="J71" s="102" t="s">
        <v>71</v>
      </c>
    </row>
    <row r="72" spans="1:10" s="99" customFormat="1" ht="25.5" x14ac:dyDescent="0.25">
      <c r="A72" s="95">
        <v>63</v>
      </c>
      <c r="B72" s="100" t="s">
        <v>145</v>
      </c>
      <c r="C72" s="100" t="s">
        <v>428</v>
      </c>
      <c r="D72" s="95" t="s">
        <v>18</v>
      </c>
      <c r="E72" s="102" t="s">
        <v>309</v>
      </c>
      <c r="F72" s="100" t="s">
        <v>17</v>
      </c>
      <c r="G72" s="95">
        <v>15</v>
      </c>
      <c r="H72" s="98">
        <v>5057</v>
      </c>
      <c r="I72" s="98">
        <v>75855</v>
      </c>
      <c r="J72" s="102" t="s">
        <v>69</v>
      </c>
    </row>
    <row r="73" spans="1:10" s="99" customFormat="1" ht="12.75" x14ac:dyDescent="0.25">
      <c r="A73" s="95">
        <v>64</v>
      </c>
      <c r="B73" s="100" t="s">
        <v>280</v>
      </c>
      <c r="C73" s="100" t="s">
        <v>428</v>
      </c>
      <c r="D73" s="95" t="s">
        <v>18</v>
      </c>
      <c r="E73" s="102" t="s">
        <v>417</v>
      </c>
      <c r="F73" s="100" t="s">
        <v>17</v>
      </c>
      <c r="G73" s="95">
        <v>15</v>
      </c>
      <c r="H73" s="98">
        <v>20469</v>
      </c>
      <c r="I73" s="98">
        <v>307035</v>
      </c>
      <c r="J73" s="102" t="s">
        <v>232</v>
      </c>
    </row>
    <row r="74" spans="1:10" s="99" customFormat="1" ht="25.5" x14ac:dyDescent="0.25">
      <c r="A74" s="95">
        <v>65</v>
      </c>
      <c r="B74" s="100" t="s">
        <v>236</v>
      </c>
      <c r="C74" s="100" t="s">
        <v>428</v>
      </c>
      <c r="D74" s="95" t="s">
        <v>18</v>
      </c>
      <c r="E74" s="102" t="s">
        <v>319</v>
      </c>
      <c r="F74" s="100" t="s">
        <v>17</v>
      </c>
      <c r="G74" s="95">
        <v>10</v>
      </c>
      <c r="H74" s="98">
        <v>15000</v>
      </c>
      <c r="I74" s="98">
        <v>150000</v>
      </c>
      <c r="J74" s="102" t="s">
        <v>79</v>
      </c>
    </row>
    <row r="75" spans="1:10" s="99" customFormat="1" ht="12.75" x14ac:dyDescent="0.25">
      <c r="A75" s="95">
        <v>66</v>
      </c>
      <c r="B75" s="100" t="s">
        <v>238</v>
      </c>
      <c r="C75" s="100" t="s">
        <v>428</v>
      </c>
      <c r="D75" s="95" t="s">
        <v>18</v>
      </c>
      <c r="E75" s="102" t="s">
        <v>320</v>
      </c>
      <c r="F75" s="100" t="s">
        <v>16</v>
      </c>
      <c r="G75" s="95">
        <v>5</v>
      </c>
      <c r="H75" s="98">
        <v>20419</v>
      </c>
      <c r="I75" s="98">
        <v>102095</v>
      </c>
      <c r="J75" s="102" t="s">
        <v>37</v>
      </c>
    </row>
    <row r="76" spans="1:10" s="99" customFormat="1" ht="12.75" x14ac:dyDescent="0.25">
      <c r="A76" s="95">
        <v>67</v>
      </c>
      <c r="B76" s="100" t="s">
        <v>248</v>
      </c>
      <c r="C76" s="100" t="s">
        <v>428</v>
      </c>
      <c r="D76" s="95" t="s">
        <v>18</v>
      </c>
      <c r="E76" s="102" t="s">
        <v>341</v>
      </c>
      <c r="F76" s="100" t="s">
        <v>17</v>
      </c>
      <c r="G76" s="95">
        <v>5</v>
      </c>
      <c r="H76" s="98">
        <v>9862</v>
      </c>
      <c r="I76" s="98">
        <v>49310</v>
      </c>
      <c r="J76" s="102" t="s">
        <v>93</v>
      </c>
    </row>
    <row r="77" spans="1:10" s="99" customFormat="1" ht="12.75" x14ac:dyDescent="0.25">
      <c r="A77" s="95">
        <v>68</v>
      </c>
      <c r="B77" s="100" t="s">
        <v>253</v>
      </c>
      <c r="C77" s="100" t="s">
        <v>428</v>
      </c>
      <c r="D77" s="95" t="s">
        <v>18</v>
      </c>
      <c r="E77" s="102" t="s">
        <v>358</v>
      </c>
      <c r="F77" s="100" t="s">
        <v>17</v>
      </c>
      <c r="G77" s="95">
        <v>10</v>
      </c>
      <c r="H77" s="98">
        <v>7140</v>
      </c>
      <c r="I77" s="98">
        <v>71400</v>
      </c>
      <c r="J77" s="102" t="s">
        <v>42</v>
      </c>
    </row>
    <row r="78" spans="1:10" s="99" customFormat="1" ht="25.5" x14ac:dyDescent="0.25">
      <c r="A78" s="95">
        <v>69</v>
      </c>
      <c r="B78" s="100" t="s">
        <v>258</v>
      </c>
      <c r="C78" s="100" t="s">
        <v>428</v>
      </c>
      <c r="D78" s="95" t="s">
        <v>18</v>
      </c>
      <c r="E78" s="102" t="s">
        <v>368</v>
      </c>
      <c r="F78" s="100" t="s">
        <v>17</v>
      </c>
      <c r="G78" s="95">
        <v>6</v>
      </c>
      <c r="H78" s="98">
        <v>61700</v>
      </c>
      <c r="I78" s="98">
        <v>370200</v>
      </c>
      <c r="J78" s="102" t="s">
        <v>110</v>
      </c>
    </row>
    <row r="79" spans="1:10" s="99" customFormat="1" ht="25.5" x14ac:dyDescent="0.25">
      <c r="A79" s="95">
        <v>70</v>
      </c>
      <c r="B79" s="100" t="s">
        <v>260</v>
      </c>
      <c r="C79" s="100" t="s">
        <v>428</v>
      </c>
      <c r="D79" s="95" t="s">
        <v>18</v>
      </c>
      <c r="E79" s="102" t="s">
        <v>371</v>
      </c>
      <c r="F79" s="100" t="s">
        <v>17</v>
      </c>
      <c r="G79" s="95">
        <v>10</v>
      </c>
      <c r="H79" s="98">
        <v>11000</v>
      </c>
      <c r="I79" s="98">
        <v>110000</v>
      </c>
      <c r="J79" s="102" t="s">
        <v>103</v>
      </c>
    </row>
    <row r="80" spans="1:10" s="99" customFormat="1" ht="25.5" x14ac:dyDescent="0.25">
      <c r="A80" s="95">
        <v>71</v>
      </c>
      <c r="B80" s="100" t="s">
        <v>240</v>
      </c>
      <c r="C80" s="100" t="s">
        <v>428</v>
      </c>
      <c r="D80" s="95" t="s">
        <v>18</v>
      </c>
      <c r="E80" s="102" t="s">
        <v>330</v>
      </c>
      <c r="F80" s="100" t="s">
        <v>17</v>
      </c>
      <c r="G80" s="95">
        <v>30</v>
      </c>
      <c r="H80" s="98">
        <v>6478</v>
      </c>
      <c r="I80" s="98">
        <v>194340</v>
      </c>
      <c r="J80" s="102" t="s">
        <v>85</v>
      </c>
    </row>
    <row r="81" spans="1:10" s="99" customFormat="1" ht="25.5" x14ac:dyDescent="0.25">
      <c r="A81" s="95">
        <v>72</v>
      </c>
      <c r="B81" s="100" t="s">
        <v>203</v>
      </c>
      <c r="C81" s="100" t="s">
        <v>428</v>
      </c>
      <c r="D81" s="95" t="s">
        <v>18</v>
      </c>
      <c r="E81" s="102" t="s">
        <v>397</v>
      </c>
      <c r="F81" s="100" t="s">
        <v>16</v>
      </c>
      <c r="G81" s="95">
        <v>30</v>
      </c>
      <c r="H81" s="98">
        <v>27100</v>
      </c>
      <c r="I81" s="98">
        <v>813000</v>
      </c>
      <c r="J81" s="102" t="s">
        <v>46</v>
      </c>
    </row>
    <row r="82" spans="1:10" s="99" customFormat="1" ht="25.5" x14ac:dyDescent="0.25">
      <c r="A82" s="95">
        <v>73</v>
      </c>
      <c r="B82" s="100" t="s">
        <v>231</v>
      </c>
      <c r="C82" s="100" t="s">
        <v>428</v>
      </c>
      <c r="D82" s="95" t="s">
        <v>18</v>
      </c>
      <c r="E82" s="102" t="s">
        <v>314</v>
      </c>
      <c r="F82" s="100" t="s">
        <v>17</v>
      </c>
      <c r="G82" s="95">
        <v>15</v>
      </c>
      <c r="H82" s="98">
        <v>21839</v>
      </c>
      <c r="I82" s="98">
        <v>327585</v>
      </c>
      <c r="J82" s="102" t="s">
        <v>76</v>
      </c>
    </row>
    <row r="83" spans="1:10" s="99" customFormat="1" ht="12.75" x14ac:dyDescent="0.25">
      <c r="A83" s="95">
        <v>74</v>
      </c>
      <c r="B83" s="100" t="s">
        <v>193</v>
      </c>
      <c r="C83" s="100" t="s">
        <v>428</v>
      </c>
      <c r="D83" s="95" t="s">
        <v>18</v>
      </c>
      <c r="E83" s="102" t="s">
        <v>381</v>
      </c>
      <c r="F83" s="100" t="s">
        <v>17</v>
      </c>
      <c r="G83" s="95">
        <v>30</v>
      </c>
      <c r="H83" s="98">
        <v>8600</v>
      </c>
      <c r="I83" s="98">
        <v>258000</v>
      </c>
      <c r="J83" s="102" t="s">
        <v>116</v>
      </c>
    </row>
    <row r="84" spans="1:10" s="99" customFormat="1" ht="12.75" x14ac:dyDescent="0.25">
      <c r="A84" s="95">
        <v>75</v>
      </c>
      <c r="B84" s="100" t="s">
        <v>192</v>
      </c>
      <c r="C84" s="100" t="s">
        <v>428</v>
      </c>
      <c r="D84" s="95" t="s">
        <v>18</v>
      </c>
      <c r="E84" s="102" t="s">
        <v>380</v>
      </c>
      <c r="F84" s="100" t="s">
        <v>17</v>
      </c>
      <c r="G84" s="95">
        <v>20</v>
      </c>
      <c r="H84" s="98">
        <v>26800</v>
      </c>
      <c r="I84" s="98">
        <v>536000</v>
      </c>
      <c r="J84" s="102" t="s">
        <v>24</v>
      </c>
    </row>
    <row r="85" spans="1:10" s="99" customFormat="1" ht="25.5" x14ac:dyDescent="0.25">
      <c r="A85" s="95">
        <v>76</v>
      </c>
      <c r="B85" s="100" t="s">
        <v>136</v>
      </c>
      <c r="C85" s="100" t="s">
        <v>428</v>
      </c>
      <c r="D85" s="95" t="s">
        <v>18</v>
      </c>
      <c r="E85" s="102" t="s">
        <v>301</v>
      </c>
      <c r="F85" s="100" t="s">
        <v>16</v>
      </c>
      <c r="G85" s="95">
        <v>30</v>
      </c>
      <c r="H85" s="98">
        <v>8001</v>
      </c>
      <c r="I85" s="98">
        <v>240030</v>
      </c>
      <c r="J85" s="102" t="s">
        <v>22</v>
      </c>
    </row>
    <row r="86" spans="1:10" s="99" customFormat="1" ht="25.5" x14ac:dyDescent="0.25">
      <c r="A86" s="95">
        <v>77</v>
      </c>
      <c r="B86" s="100" t="s">
        <v>162</v>
      </c>
      <c r="C86" s="100" t="s">
        <v>428</v>
      </c>
      <c r="D86" s="95" t="s">
        <v>18</v>
      </c>
      <c r="E86" s="102" t="s">
        <v>313</v>
      </c>
      <c r="F86" s="100" t="s">
        <v>17</v>
      </c>
      <c r="G86" s="95">
        <v>10</v>
      </c>
      <c r="H86" s="98">
        <v>8296</v>
      </c>
      <c r="I86" s="98">
        <v>82960</v>
      </c>
      <c r="J86" s="102" t="s">
        <v>51</v>
      </c>
    </row>
    <row r="87" spans="1:10" s="99" customFormat="1" ht="25.5" x14ac:dyDescent="0.25">
      <c r="A87" s="95">
        <v>78</v>
      </c>
      <c r="B87" s="100" t="s">
        <v>235</v>
      </c>
      <c r="C87" s="100" t="s">
        <v>428</v>
      </c>
      <c r="D87" s="95" t="s">
        <v>18</v>
      </c>
      <c r="E87" s="102" t="s">
        <v>315</v>
      </c>
      <c r="F87" s="100" t="s">
        <v>17</v>
      </c>
      <c r="G87" s="95">
        <v>15</v>
      </c>
      <c r="H87" s="98">
        <v>24200</v>
      </c>
      <c r="I87" s="98">
        <v>363000</v>
      </c>
      <c r="J87" s="102" t="s">
        <v>77</v>
      </c>
    </row>
    <row r="88" spans="1:10" s="99" customFormat="1" ht="12.75" x14ac:dyDescent="0.25">
      <c r="A88" s="95">
        <v>79</v>
      </c>
      <c r="B88" s="100" t="s">
        <v>171</v>
      </c>
      <c r="C88" s="100" t="s">
        <v>428</v>
      </c>
      <c r="D88" s="95" t="s">
        <v>18</v>
      </c>
      <c r="E88" s="102" t="s">
        <v>346</v>
      </c>
      <c r="F88" s="100" t="s">
        <v>17</v>
      </c>
      <c r="G88" s="95">
        <v>25</v>
      </c>
      <c r="H88" s="98">
        <v>9711</v>
      </c>
      <c r="I88" s="98">
        <v>242775</v>
      </c>
      <c r="J88" s="102" t="s">
        <v>39</v>
      </c>
    </row>
    <row r="89" spans="1:10" s="99" customFormat="1" ht="12.75" x14ac:dyDescent="0.25">
      <c r="A89" s="95">
        <v>80</v>
      </c>
      <c r="B89" s="100" t="s">
        <v>59</v>
      </c>
      <c r="C89" s="100" t="s">
        <v>428</v>
      </c>
      <c r="D89" s="95" t="s">
        <v>18</v>
      </c>
      <c r="E89" s="102" t="s">
        <v>348</v>
      </c>
      <c r="F89" s="100" t="s">
        <v>17</v>
      </c>
      <c r="G89" s="95">
        <v>30</v>
      </c>
      <c r="H89" s="98">
        <v>14009</v>
      </c>
      <c r="I89" s="98">
        <v>420270</v>
      </c>
      <c r="J89" s="102" t="s">
        <v>96</v>
      </c>
    </row>
    <row r="90" spans="1:10" s="99" customFormat="1" ht="12.75" x14ac:dyDescent="0.25">
      <c r="A90" s="95">
        <v>81</v>
      </c>
      <c r="B90" s="100" t="s">
        <v>172</v>
      </c>
      <c r="C90" s="100" t="s">
        <v>428</v>
      </c>
      <c r="D90" s="95" t="s">
        <v>18</v>
      </c>
      <c r="E90" s="102" t="s">
        <v>347</v>
      </c>
      <c r="F90" s="100" t="s">
        <v>17</v>
      </c>
      <c r="G90" s="95">
        <v>25</v>
      </c>
      <c r="H90" s="98">
        <v>9711</v>
      </c>
      <c r="I90" s="98">
        <v>242775</v>
      </c>
      <c r="J90" s="102" t="s">
        <v>40</v>
      </c>
    </row>
    <row r="91" spans="1:10" s="99" customFormat="1" ht="12.75" x14ac:dyDescent="0.25">
      <c r="A91" s="95">
        <v>82</v>
      </c>
      <c r="B91" s="100" t="s">
        <v>561</v>
      </c>
      <c r="C91" s="100" t="s">
        <v>428</v>
      </c>
      <c r="D91" s="95" t="s">
        <v>18</v>
      </c>
      <c r="E91" s="102" t="s">
        <v>429</v>
      </c>
      <c r="F91" s="100" t="s">
        <v>17</v>
      </c>
      <c r="G91" s="95">
        <v>30</v>
      </c>
      <c r="H91" s="98">
        <v>14009</v>
      </c>
      <c r="I91" s="98">
        <v>420270</v>
      </c>
      <c r="J91" s="102" t="s">
        <v>97</v>
      </c>
    </row>
    <row r="92" spans="1:10" s="99" customFormat="1" ht="12.75" x14ac:dyDescent="0.25">
      <c r="A92" s="95">
        <v>83</v>
      </c>
      <c r="B92" s="100" t="s">
        <v>173</v>
      </c>
      <c r="C92" s="100" t="s">
        <v>428</v>
      </c>
      <c r="D92" s="95" t="s">
        <v>18</v>
      </c>
      <c r="E92" s="102" t="s">
        <v>349</v>
      </c>
      <c r="F92" s="100" t="s">
        <v>17</v>
      </c>
      <c r="G92" s="95">
        <v>25</v>
      </c>
      <c r="H92" s="98">
        <v>41226</v>
      </c>
      <c r="I92" s="98">
        <v>1030650</v>
      </c>
      <c r="J92" s="102" t="s">
        <v>98</v>
      </c>
    </row>
    <row r="93" spans="1:10" s="99" customFormat="1" ht="25.5" x14ac:dyDescent="0.25">
      <c r="A93" s="95">
        <v>84</v>
      </c>
      <c r="B93" s="100" t="s">
        <v>202</v>
      </c>
      <c r="C93" s="100" t="s">
        <v>428</v>
      </c>
      <c r="D93" s="95" t="s">
        <v>18</v>
      </c>
      <c r="E93" s="102" t="s">
        <v>389</v>
      </c>
      <c r="F93" s="100" t="s">
        <v>17</v>
      </c>
      <c r="G93" s="95">
        <v>30</v>
      </c>
      <c r="H93" s="98">
        <v>47900</v>
      </c>
      <c r="I93" s="98">
        <v>1437000</v>
      </c>
      <c r="J93" s="102" t="s">
        <v>201</v>
      </c>
    </row>
    <row r="94" spans="1:10" s="99" customFormat="1" ht="12.75" x14ac:dyDescent="0.25">
      <c r="A94" s="95">
        <v>85</v>
      </c>
      <c r="B94" s="100" t="s">
        <v>196</v>
      </c>
      <c r="C94" s="100" t="s">
        <v>428</v>
      </c>
      <c r="D94" s="95" t="s">
        <v>18</v>
      </c>
      <c r="E94" s="102" t="s">
        <v>388</v>
      </c>
      <c r="F94" s="100" t="s">
        <v>17</v>
      </c>
      <c r="G94" s="95">
        <v>50</v>
      </c>
      <c r="H94" s="98">
        <v>18100</v>
      </c>
      <c r="I94" s="98">
        <v>905000</v>
      </c>
      <c r="J94" s="102" t="s">
        <v>197</v>
      </c>
    </row>
    <row r="95" spans="1:10" s="99" customFormat="1" ht="25.5" x14ac:dyDescent="0.25">
      <c r="A95" s="95">
        <v>86</v>
      </c>
      <c r="B95" s="109" t="s">
        <v>433</v>
      </c>
      <c r="C95" s="100" t="s">
        <v>428</v>
      </c>
      <c r="D95" s="95" t="s">
        <v>18</v>
      </c>
      <c r="E95" s="102" t="s">
        <v>434</v>
      </c>
      <c r="F95" s="108" t="s">
        <v>16</v>
      </c>
      <c r="G95" s="95">
        <v>900</v>
      </c>
      <c r="H95" s="101">
        <v>795</v>
      </c>
      <c r="I95" s="98">
        <v>715500</v>
      </c>
      <c r="J95" s="102" t="s">
        <v>505</v>
      </c>
    </row>
    <row r="96" spans="1:10" s="99" customFormat="1" ht="25.5" x14ac:dyDescent="0.25">
      <c r="A96" s="95">
        <v>87</v>
      </c>
      <c r="B96" s="100" t="s">
        <v>225</v>
      </c>
      <c r="C96" s="100" t="s">
        <v>428</v>
      </c>
      <c r="D96" s="95" t="s">
        <v>18</v>
      </c>
      <c r="E96" s="102" t="s">
        <v>414</v>
      </c>
      <c r="F96" s="100" t="s">
        <v>421</v>
      </c>
      <c r="G96" s="95">
        <v>4</v>
      </c>
      <c r="H96" s="98">
        <v>1200000</v>
      </c>
      <c r="I96" s="98">
        <v>4800000</v>
      </c>
      <c r="J96" s="102" t="s">
        <v>34</v>
      </c>
    </row>
    <row r="97" spans="1:10" s="99" customFormat="1" ht="12.75" x14ac:dyDescent="0.25">
      <c r="A97" s="95">
        <v>88</v>
      </c>
      <c r="B97" s="100" t="s">
        <v>195</v>
      </c>
      <c r="C97" s="100" t="s">
        <v>428</v>
      </c>
      <c r="D97" s="95" t="s">
        <v>18</v>
      </c>
      <c r="E97" s="102" t="s">
        <v>386</v>
      </c>
      <c r="F97" s="100" t="s">
        <v>17</v>
      </c>
      <c r="G97" s="95">
        <v>20</v>
      </c>
      <c r="H97" s="98">
        <v>43296</v>
      </c>
      <c r="I97" s="98">
        <v>865920</v>
      </c>
      <c r="J97" s="102" t="s">
        <v>200</v>
      </c>
    </row>
    <row r="98" spans="1:10" s="99" customFormat="1" ht="12.75" x14ac:dyDescent="0.25">
      <c r="A98" s="95">
        <v>89</v>
      </c>
      <c r="B98" s="100" t="s">
        <v>205</v>
      </c>
      <c r="C98" s="100" t="s">
        <v>428</v>
      </c>
      <c r="D98" s="95" t="s">
        <v>18</v>
      </c>
      <c r="E98" s="102" t="s">
        <v>404</v>
      </c>
      <c r="F98" s="100" t="s">
        <v>17</v>
      </c>
      <c r="G98" s="95">
        <v>2</v>
      </c>
      <c r="H98" s="98">
        <v>51200</v>
      </c>
      <c r="I98" s="98">
        <v>102400</v>
      </c>
      <c r="J98" s="102" t="s">
        <v>206</v>
      </c>
    </row>
    <row r="99" spans="1:10" s="99" customFormat="1" ht="12.75" x14ac:dyDescent="0.25">
      <c r="A99" s="95">
        <v>90</v>
      </c>
      <c r="B99" s="100" t="s">
        <v>207</v>
      </c>
      <c r="C99" s="100" t="s">
        <v>428</v>
      </c>
      <c r="D99" s="95" t="s">
        <v>18</v>
      </c>
      <c r="E99" s="102" t="s">
        <v>405</v>
      </c>
      <c r="F99" s="100" t="s">
        <v>17</v>
      </c>
      <c r="G99" s="95">
        <v>2</v>
      </c>
      <c r="H99" s="98">
        <v>52100</v>
      </c>
      <c r="I99" s="98">
        <v>104200</v>
      </c>
      <c r="J99" s="102" t="s">
        <v>208</v>
      </c>
    </row>
    <row r="100" spans="1:10" s="99" customFormat="1" ht="12.75" x14ac:dyDescent="0.25">
      <c r="A100" s="95">
        <v>91</v>
      </c>
      <c r="B100" s="100" t="s">
        <v>211</v>
      </c>
      <c r="C100" s="100" t="s">
        <v>428</v>
      </c>
      <c r="D100" s="95" t="s">
        <v>18</v>
      </c>
      <c r="E100" s="102" t="s">
        <v>413</v>
      </c>
      <c r="F100" s="100" t="s">
        <v>17</v>
      </c>
      <c r="G100" s="95">
        <v>4</v>
      </c>
      <c r="H100" s="98">
        <v>110000</v>
      </c>
      <c r="I100" s="98">
        <v>440000</v>
      </c>
      <c r="J100" s="102" t="s">
        <v>216</v>
      </c>
    </row>
    <row r="101" spans="1:10" s="99" customFormat="1" ht="12.75" x14ac:dyDescent="0.25">
      <c r="A101" s="95">
        <v>92</v>
      </c>
      <c r="B101" s="100" t="s">
        <v>210</v>
      </c>
      <c r="C101" s="100" t="s">
        <v>428</v>
      </c>
      <c r="D101" s="95" t="s">
        <v>18</v>
      </c>
      <c r="E101" s="102" t="s">
        <v>409</v>
      </c>
      <c r="F101" s="100" t="s">
        <v>17</v>
      </c>
      <c r="G101" s="95">
        <v>4</v>
      </c>
      <c r="H101" s="98">
        <v>110000</v>
      </c>
      <c r="I101" s="98">
        <v>440000</v>
      </c>
      <c r="J101" s="102" t="s">
        <v>121</v>
      </c>
    </row>
    <row r="102" spans="1:10" s="99" customFormat="1" ht="12.75" x14ac:dyDescent="0.25">
      <c r="A102" s="95">
        <v>93</v>
      </c>
      <c r="B102" s="100" t="s">
        <v>209</v>
      </c>
      <c r="C102" s="100" t="s">
        <v>428</v>
      </c>
      <c r="D102" s="95" t="s">
        <v>18</v>
      </c>
      <c r="E102" s="102" t="s">
        <v>408</v>
      </c>
      <c r="F102" s="100" t="s">
        <v>17</v>
      </c>
      <c r="G102" s="95">
        <v>30</v>
      </c>
      <c r="H102" s="98">
        <v>110000</v>
      </c>
      <c r="I102" s="98">
        <v>3300000</v>
      </c>
      <c r="J102" s="102" t="s">
        <v>120</v>
      </c>
    </row>
    <row r="103" spans="1:10" s="99" customFormat="1" ht="12.75" x14ac:dyDescent="0.25">
      <c r="A103" s="95">
        <v>94</v>
      </c>
      <c r="B103" s="100" t="s">
        <v>223</v>
      </c>
      <c r="C103" s="100" t="s">
        <v>428</v>
      </c>
      <c r="D103" s="95" t="s">
        <v>18</v>
      </c>
      <c r="E103" s="102" t="s">
        <v>400</v>
      </c>
      <c r="F103" s="100" t="s">
        <v>17</v>
      </c>
      <c r="G103" s="95">
        <v>2</v>
      </c>
      <c r="H103" s="98">
        <v>42000</v>
      </c>
      <c r="I103" s="98">
        <v>84000</v>
      </c>
      <c r="J103" s="102" t="s">
        <v>221</v>
      </c>
    </row>
    <row r="104" spans="1:10" s="99" customFormat="1" ht="12.75" x14ac:dyDescent="0.25">
      <c r="A104" s="95">
        <v>95</v>
      </c>
      <c r="B104" s="100" t="s">
        <v>224</v>
      </c>
      <c r="C104" s="100" t="s">
        <v>428</v>
      </c>
      <c r="D104" s="95" t="s">
        <v>18</v>
      </c>
      <c r="E104" s="102" t="s">
        <v>399</v>
      </c>
      <c r="F104" s="100" t="s">
        <v>17</v>
      </c>
      <c r="G104" s="95">
        <v>2</v>
      </c>
      <c r="H104" s="98">
        <v>39160</v>
      </c>
      <c r="I104" s="98">
        <v>78320</v>
      </c>
      <c r="J104" s="102" t="s">
        <v>222</v>
      </c>
    </row>
    <row r="105" spans="1:10" s="99" customFormat="1" ht="12.75" x14ac:dyDescent="0.25">
      <c r="A105" s="95">
        <v>96</v>
      </c>
      <c r="B105" s="100" t="s">
        <v>214</v>
      </c>
      <c r="C105" s="100" t="s">
        <v>428</v>
      </c>
      <c r="D105" s="95" t="s">
        <v>18</v>
      </c>
      <c r="E105" s="102" t="s">
        <v>407</v>
      </c>
      <c r="F105" s="100" t="s">
        <v>17</v>
      </c>
      <c r="G105" s="95">
        <v>3</v>
      </c>
      <c r="H105" s="98">
        <v>51300</v>
      </c>
      <c r="I105" s="98">
        <v>153900</v>
      </c>
      <c r="J105" s="102" t="s">
        <v>215</v>
      </c>
    </row>
    <row r="106" spans="1:10" s="99" customFormat="1" ht="12.75" x14ac:dyDescent="0.25">
      <c r="A106" s="95">
        <v>97</v>
      </c>
      <c r="B106" s="100" t="s">
        <v>212</v>
      </c>
      <c r="C106" s="100" t="s">
        <v>428</v>
      </c>
      <c r="D106" s="95" t="s">
        <v>18</v>
      </c>
      <c r="E106" s="102" t="s">
        <v>406</v>
      </c>
      <c r="F106" s="100" t="s">
        <v>17</v>
      </c>
      <c r="G106" s="95">
        <v>3</v>
      </c>
      <c r="H106" s="98">
        <v>52100</v>
      </c>
      <c r="I106" s="98">
        <v>156300</v>
      </c>
      <c r="J106" s="102" t="s">
        <v>213</v>
      </c>
    </row>
    <row r="107" spans="1:10" s="99" customFormat="1" ht="12.75" x14ac:dyDescent="0.25">
      <c r="A107" s="95">
        <v>98</v>
      </c>
      <c r="B107" s="100" t="s">
        <v>220</v>
      </c>
      <c r="C107" s="100" t="s">
        <v>428</v>
      </c>
      <c r="D107" s="95" t="s">
        <v>18</v>
      </c>
      <c r="E107" s="102" t="s">
        <v>411</v>
      </c>
      <c r="F107" s="100" t="s">
        <v>17</v>
      </c>
      <c r="G107" s="95">
        <v>3</v>
      </c>
      <c r="H107" s="98">
        <v>62000</v>
      </c>
      <c r="I107" s="98">
        <v>186000</v>
      </c>
      <c r="J107" s="102" t="s">
        <v>219</v>
      </c>
    </row>
    <row r="108" spans="1:10" s="99" customFormat="1" ht="12.75" x14ac:dyDescent="0.25">
      <c r="A108" s="95">
        <v>99</v>
      </c>
      <c r="B108" s="100" t="s">
        <v>218</v>
      </c>
      <c r="C108" s="100" t="s">
        <v>428</v>
      </c>
      <c r="D108" s="95" t="s">
        <v>18</v>
      </c>
      <c r="E108" s="102" t="s">
        <v>410</v>
      </c>
      <c r="F108" s="100" t="s">
        <v>17</v>
      </c>
      <c r="G108" s="95">
        <v>3</v>
      </c>
      <c r="H108" s="98">
        <v>62000</v>
      </c>
      <c r="I108" s="98">
        <v>186000</v>
      </c>
      <c r="J108" s="102" t="s">
        <v>217</v>
      </c>
    </row>
    <row r="109" spans="1:10" s="99" customFormat="1" ht="12.75" x14ac:dyDescent="0.25">
      <c r="A109" s="95">
        <v>100</v>
      </c>
      <c r="B109" s="100" t="s">
        <v>154</v>
      </c>
      <c r="C109" s="100" t="s">
        <v>428</v>
      </c>
      <c r="D109" s="95" t="s">
        <v>18</v>
      </c>
      <c r="E109" s="102" t="s">
        <v>299</v>
      </c>
      <c r="F109" s="100" t="s">
        <v>17</v>
      </c>
      <c r="G109" s="95">
        <v>10</v>
      </c>
      <c r="H109" s="98">
        <v>17000</v>
      </c>
      <c r="I109" s="98">
        <v>170000</v>
      </c>
      <c r="J109" s="102" t="s">
        <v>149</v>
      </c>
    </row>
    <row r="110" spans="1:10" s="99" customFormat="1" ht="25.5" x14ac:dyDescent="0.25">
      <c r="A110" s="95">
        <v>101</v>
      </c>
      <c r="B110" s="100" t="s">
        <v>158</v>
      </c>
      <c r="C110" s="100" t="s">
        <v>428</v>
      </c>
      <c r="D110" s="95" t="s">
        <v>18</v>
      </c>
      <c r="E110" s="102" t="s">
        <v>392</v>
      </c>
      <c r="F110" s="100" t="s">
        <v>17</v>
      </c>
      <c r="G110" s="95">
        <v>20</v>
      </c>
      <c r="H110" s="98">
        <v>21800</v>
      </c>
      <c r="I110" s="98">
        <v>436000</v>
      </c>
      <c r="J110" s="102" t="s">
        <v>152</v>
      </c>
    </row>
    <row r="111" spans="1:10" s="99" customFormat="1" ht="25.5" x14ac:dyDescent="0.25">
      <c r="A111" s="95">
        <v>102</v>
      </c>
      <c r="B111" s="100" t="s">
        <v>155</v>
      </c>
      <c r="C111" s="100" t="s">
        <v>428</v>
      </c>
      <c r="D111" s="95" t="s">
        <v>18</v>
      </c>
      <c r="E111" s="102" t="s">
        <v>317</v>
      </c>
      <c r="F111" s="100" t="s">
        <v>17</v>
      </c>
      <c r="G111" s="95">
        <v>5</v>
      </c>
      <c r="H111" s="98">
        <v>19300</v>
      </c>
      <c r="I111" s="98">
        <v>96500</v>
      </c>
      <c r="J111" s="102" t="s">
        <v>153</v>
      </c>
    </row>
    <row r="112" spans="1:10" s="99" customFormat="1" ht="25.5" x14ac:dyDescent="0.25">
      <c r="A112" s="95">
        <v>103</v>
      </c>
      <c r="B112" s="100" t="s">
        <v>156</v>
      </c>
      <c r="C112" s="100" t="s">
        <v>428</v>
      </c>
      <c r="D112" s="95" t="s">
        <v>18</v>
      </c>
      <c r="E112" s="102" t="s">
        <v>327</v>
      </c>
      <c r="F112" s="100" t="s">
        <v>17</v>
      </c>
      <c r="G112" s="95">
        <v>10</v>
      </c>
      <c r="H112" s="98">
        <v>13000</v>
      </c>
      <c r="I112" s="98">
        <v>130000</v>
      </c>
      <c r="J112" s="102" t="s">
        <v>151</v>
      </c>
    </row>
    <row r="113" spans="1:10" s="99" customFormat="1" ht="25.5" x14ac:dyDescent="0.25">
      <c r="A113" s="95">
        <v>104</v>
      </c>
      <c r="B113" s="100" t="s">
        <v>157</v>
      </c>
      <c r="C113" s="100" t="s">
        <v>428</v>
      </c>
      <c r="D113" s="95" t="s">
        <v>18</v>
      </c>
      <c r="E113" s="102" t="s">
        <v>328</v>
      </c>
      <c r="F113" s="100" t="s">
        <v>17</v>
      </c>
      <c r="G113" s="95">
        <v>10</v>
      </c>
      <c r="H113" s="98">
        <v>12800</v>
      </c>
      <c r="I113" s="98">
        <v>128000</v>
      </c>
      <c r="J113" s="102" t="s">
        <v>150</v>
      </c>
    </row>
    <row r="114" spans="1:10" s="99" customFormat="1" ht="25.5" x14ac:dyDescent="0.25">
      <c r="A114" s="95">
        <v>105</v>
      </c>
      <c r="B114" s="100" t="s">
        <v>163</v>
      </c>
      <c r="C114" s="100" t="s">
        <v>428</v>
      </c>
      <c r="D114" s="95" t="s">
        <v>18</v>
      </c>
      <c r="E114" s="102" t="s">
        <v>324</v>
      </c>
      <c r="F114" s="100" t="s">
        <v>16</v>
      </c>
      <c r="G114" s="95">
        <v>10</v>
      </c>
      <c r="H114" s="98">
        <v>22768</v>
      </c>
      <c r="I114" s="98">
        <v>227680</v>
      </c>
      <c r="J114" s="102" t="s">
        <v>83</v>
      </c>
    </row>
    <row r="115" spans="1:10" s="99" customFormat="1" ht="25.5" x14ac:dyDescent="0.25">
      <c r="A115" s="95">
        <v>106</v>
      </c>
      <c r="B115" s="100" t="s">
        <v>263</v>
      </c>
      <c r="C115" s="100" t="s">
        <v>428</v>
      </c>
      <c r="D115" s="95" t="s">
        <v>18</v>
      </c>
      <c r="E115" s="102" t="s">
        <v>377</v>
      </c>
      <c r="F115" s="100" t="s">
        <v>419</v>
      </c>
      <c r="G115" s="95">
        <v>10</v>
      </c>
      <c r="H115" s="98">
        <v>13000</v>
      </c>
      <c r="I115" s="98">
        <v>130000</v>
      </c>
      <c r="J115" s="102" t="s">
        <v>265</v>
      </c>
    </row>
    <row r="116" spans="1:10" s="99" customFormat="1" ht="25.5" x14ac:dyDescent="0.25">
      <c r="A116" s="95">
        <v>107</v>
      </c>
      <c r="B116" s="100" t="s">
        <v>58</v>
      </c>
      <c r="C116" s="100" t="s">
        <v>428</v>
      </c>
      <c r="D116" s="95" t="s">
        <v>18</v>
      </c>
      <c r="E116" s="102" t="s">
        <v>334</v>
      </c>
      <c r="F116" s="100" t="s">
        <v>419</v>
      </c>
      <c r="G116" s="95">
        <v>40</v>
      </c>
      <c r="H116" s="98">
        <v>13660</v>
      </c>
      <c r="I116" s="98">
        <v>546400</v>
      </c>
      <c r="J116" s="102" t="s">
        <v>88</v>
      </c>
    </row>
    <row r="117" spans="1:10" s="99" customFormat="1" ht="25.5" x14ac:dyDescent="0.25">
      <c r="A117" s="95">
        <v>108</v>
      </c>
      <c r="B117" s="100" t="s">
        <v>167</v>
      </c>
      <c r="C117" s="100" t="s">
        <v>428</v>
      </c>
      <c r="D117" s="95" t="s">
        <v>18</v>
      </c>
      <c r="E117" s="102" t="s">
        <v>335</v>
      </c>
      <c r="F117" s="100" t="s">
        <v>419</v>
      </c>
      <c r="G117" s="95">
        <v>15</v>
      </c>
      <c r="H117" s="98">
        <v>6595</v>
      </c>
      <c r="I117" s="98">
        <v>98925</v>
      </c>
      <c r="J117" s="102" t="s">
        <v>89</v>
      </c>
    </row>
    <row r="118" spans="1:10" s="99" customFormat="1" ht="25.5" x14ac:dyDescent="0.25">
      <c r="A118" s="95">
        <v>109</v>
      </c>
      <c r="B118" s="103" t="s">
        <v>60</v>
      </c>
      <c r="C118" s="103" t="s">
        <v>428</v>
      </c>
      <c r="D118" s="104" t="s">
        <v>18</v>
      </c>
      <c r="E118" s="105" t="s">
        <v>353</v>
      </c>
      <c r="F118" s="103" t="s">
        <v>17</v>
      </c>
      <c r="G118" s="95">
        <v>30</v>
      </c>
      <c r="H118" s="106">
        <v>11419</v>
      </c>
      <c r="I118" s="106">
        <v>342570</v>
      </c>
      <c r="J118" s="105" t="s">
        <v>106</v>
      </c>
    </row>
    <row r="119" spans="1:10" s="107" customFormat="1" ht="25.5" x14ac:dyDescent="0.25">
      <c r="A119" s="95">
        <v>110</v>
      </c>
      <c r="B119" s="100" t="s">
        <v>261</v>
      </c>
      <c r="C119" s="100" t="s">
        <v>428</v>
      </c>
      <c r="D119" s="95" t="s">
        <v>18</v>
      </c>
      <c r="E119" s="102" t="s">
        <v>375</v>
      </c>
      <c r="F119" s="100" t="s">
        <v>20</v>
      </c>
      <c r="G119" s="95">
        <v>10</v>
      </c>
      <c r="H119" s="98">
        <v>13300</v>
      </c>
      <c r="I119" s="98">
        <v>133000</v>
      </c>
      <c r="J119" s="102" t="s">
        <v>262</v>
      </c>
    </row>
    <row r="120" spans="1:10" s="107" customFormat="1" ht="25.5" x14ac:dyDescent="0.25">
      <c r="A120" s="95">
        <v>111</v>
      </c>
      <c r="B120" s="100" t="s">
        <v>287</v>
      </c>
      <c r="C120" s="100" t="s">
        <v>428</v>
      </c>
      <c r="D120" s="95" t="s">
        <v>18</v>
      </c>
      <c r="E120" s="102" t="s">
        <v>418</v>
      </c>
      <c r="F120" s="100" t="s">
        <v>16</v>
      </c>
      <c r="G120" s="95">
        <v>10</v>
      </c>
      <c r="H120" s="98">
        <v>16900</v>
      </c>
      <c r="I120" s="98">
        <v>169000</v>
      </c>
      <c r="J120" s="102" t="s">
        <v>84</v>
      </c>
    </row>
    <row r="121" spans="1:10" s="99" customFormat="1" ht="25.5" x14ac:dyDescent="0.25">
      <c r="A121" s="95">
        <v>112</v>
      </c>
      <c r="B121" s="100" t="s">
        <v>180</v>
      </c>
      <c r="C121" s="100" t="s">
        <v>428</v>
      </c>
      <c r="D121" s="95" t="s">
        <v>18</v>
      </c>
      <c r="E121" s="102" t="s">
        <v>359</v>
      </c>
      <c r="F121" s="100" t="s">
        <v>23</v>
      </c>
      <c r="G121" s="95">
        <v>15</v>
      </c>
      <c r="H121" s="98">
        <v>13352</v>
      </c>
      <c r="I121" s="98">
        <v>200280</v>
      </c>
      <c r="J121" s="102" t="s">
        <v>111</v>
      </c>
    </row>
    <row r="122" spans="1:10" s="99" customFormat="1" ht="25.5" x14ac:dyDescent="0.25">
      <c r="A122" s="95">
        <v>113</v>
      </c>
      <c r="B122" s="100" t="s">
        <v>228</v>
      </c>
      <c r="C122" s="100" t="s">
        <v>428</v>
      </c>
      <c r="D122" s="95" t="s">
        <v>18</v>
      </c>
      <c r="E122" s="102" t="s">
        <v>336</v>
      </c>
      <c r="F122" s="100" t="s">
        <v>419</v>
      </c>
      <c r="G122" s="95">
        <v>30</v>
      </c>
      <c r="H122" s="98">
        <v>15000</v>
      </c>
      <c r="I122" s="98">
        <v>450000</v>
      </c>
      <c r="J122" s="102" t="s">
        <v>87</v>
      </c>
    </row>
    <row r="123" spans="1:10" s="99" customFormat="1" ht="25.5" x14ac:dyDescent="0.25">
      <c r="A123" s="95">
        <v>114</v>
      </c>
      <c r="B123" s="100" t="s">
        <v>227</v>
      </c>
      <c r="C123" s="100" t="s">
        <v>428</v>
      </c>
      <c r="D123" s="95" t="s">
        <v>18</v>
      </c>
      <c r="E123" s="102" t="s">
        <v>361</v>
      </c>
      <c r="F123" s="100" t="s">
        <v>17</v>
      </c>
      <c r="G123" s="95">
        <v>15</v>
      </c>
      <c r="H123" s="98">
        <v>24500</v>
      </c>
      <c r="I123" s="98">
        <v>367500</v>
      </c>
      <c r="J123" s="102" t="s">
        <v>102</v>
      </c>
    </row>
    <row r="124" spans="1:10" s="99" customFormat="1" ht="25.5" x14ac:dyDescent="0.25">
      <c r="A124" s="95">
        <v>115</v>
      </c>
      <c r="B124" s="100" t="s">
        <v>488</v>
      </c>
      <c r="C124" s="100" t="s">
        <v>428</v>
      </c>
      <c r="D124" s="95" t="s">
        <v>18</v>
      </c>
      <c r="E124" s="102" t="s">
        <v>489</v>
      </c>
      <c r="F124" s="100" t="s">
        <v>17</v>
      </c>
      <c r="G124" s="95">
        <v>6</v>
      </c>
      <c r="H124" s="112">
        <v>27546</v>
      </c>
      <c r="I124" s="98">
        <v>165276</v>
      </c>
      <c r="J124" s="102"/>
    </row>
    <row r="125" spans="1:10" s="99" customFormat="1" ht="25.5" x14ac:dyDescent="0.25">
      <c r="A125" s="95">
        <v>116</v>
      </c>
      <c r="B125" s="100" t="s">
        <v>500</v>
      </c>
      <c r="C125" s="100" t="s">
        <v>428</v>
      </c>
      <c r="D125" s="95" t="s">
        <v>18</v>
      </c>
      <c r="E125" s="102" t="s">
        <v>501</v>
      </c>
      <c r="F125" s="100" t="s">
        <v>17</v>
      </c>
      <c r="G125" s="95">
        <v>6</v>
      </c>
      <c r="H125" s="112">
        <v>51404</v>
      </c>
      <c r="I125" s="98">
        <v>308424</v>
      </c>
      <c r="J125" s="102"/>
    </row>
    <row r="126" spans="1:10" s="99" customFormat="1" ht="25.5" x14ac:dyDescent="0.25">
      <c r="A126" s="95">
        <v>117</v>
      </c>
      <c r="B126" s="100" t="s">
        <v>498</v>
      </c>
      <c r="C126" s="100" t="s">
        <v>428</v>
      </c>
      <c r="D126" s="95" t="s">
        <v>18</v>
      </c>
      <c r="E126" s="102" t="s">
        <v>499</v>
      </c>
      <c r="F126" s="100" t="s">
        <v>17</v>
      </c>
      <c r="G126" s="95">
        <v>6</v>
      </c>
      <c r="H126" s="112">
        <v>61263</v>
      </c>
      <c r="I126" s="98">
        <v>367578</v>
      </c>
      <c r="J126" s="102"/>
    </row>
    <row r="127" spans="1:10" s="99" customFormat="1" ht="25.5" x14ac:dyDescent="0.25">
      <c r="A127" s="95">
        <v>118</v>
      </c>
      <c r="B127" s="100" t="s">
        <v>496</v>
      </c>
      <c r="C127" s="100" t="s">
        <v>428</v>
      </c>
      <c r="D127" s="95" t="s">
        <v>18</v>
      </c>
      <c r="E127" s="102" t="s">
        <v>497</v>
      </c>
      <c r="F127" s="100" t="s">
        <v>17</v>
      </c>
      <c r="G127" s="95">
        <v>6</v>
      </c>
      <c r="H127" s="112">
        <v>63289</v>
      </c>
      <c r="I127" s="98">
        <v>379734</v>
      </c>
      <c r="J127" s="102"/>
    </row>
    <row r="128" spans="1:10" s="99" customFormat="1" ht="25.5" x14ac:dyDescent="0.25">
      <c r="A128" s="95">
        <v>119</v>
      </c>
      <c r="B128" s="100" t="s">
        <v>277</v>
      </c>
      <c r="C128" s="100" t="s">
        <v>428</v>
      </c>
      <c r="D128" s="95" t="s">
        <v>18</v>
      </c>
      <c r="E128" s="102" t="s">
        <v>412</v>
      </c>
      <c r="F128" s="100" t="s">
        <v>17</v>
      </c>
      <c r="G128" s="95">
        <v>2</v>
      </c>
      <c r="H128" s="98">
        <v>62000</v>
      </c>
      <c r="I128" s="98">
        <v>124000</v>
      </c>
      <c r="J128" s="102" t="s">
        <v>278</v>
      </c>
    </row>
    <row r="129" spans="1:10" s="99" customFormat="1" ht="12.75" x14ac:dyDescent="0.25">
      <c r="A129" s="95">
        <v>120</v>
      </c>
      <c r="B129" s="100" t="s">
        <v>275</v>
      </c>
      <c r="C129" s="100" t="s">
        <v>428</v>
      </c>
      <c r="D129" s="95" t="s">
        <v>18</v>
      </c>
      <c r="E129" s="102" t="s">
        <v>402</v>
      </c>
      <c r="F129" s="100" t="s">
        <v>17</v>
      </c>
      <c r="G129" s="95">
        <v>5</v>
      </c>
      <c r="H129" s="98">
        <v>62300</v>
      </c>
      <c r="I129" s="98">
        <v>311500</v>
      </c>
      <c r="J129" s="102" t="s">
        <v>118</v>
      </c>
    </row>
    <row r="130" spans="1:10" s="99" customFormat="1" ht="12.75" x14ac:dyDescent="0.25">
      <c r="A130" s="95">
        <v>121</v>
      </c>
      <c r="B130" s="100" t="s">
        <v>274</v>
      </c>
      <c r="C130" s="100" t="s">
        <v>428</v>
      </c>
      <c r="D130" s="95" t="s">
        <v>18</v>
      </c>
      <c r="E130" s="102" t="s">
        <v>403</v>
      </c>
      <c r="F130" s="100" t="s">
        <v>17</v>
      </c>
      <c r="G130" s="95">
        <v>6</v>
      </c>
      <c r="H130" s="98">
        <v>64500</v>
      </c>
      <c r="I130" s="98">
        <v>387000</v>
      </c>
      <c r="J130" s="102" t="s">
        <v>119</v>
      </c>
    </row>
    <row r="131" spans="1:10" s="99" customFormat="1" ht="25.5" x14ac:dyDescent="0.25">
      <c r="A131" s="95">
        <v>122</v>
      </c>
      <c r="B131" s="109" t="s">
        <v>430</v>
      </c>
      <c r="C131" s="100" t="s">
        <v>428</v>
      </c>
      <c r="D131" s="95" t="s">
        <v>18</v>
      </c>
      <c r="E131" s="102" t="s">
        <v>431</v>
      </c>
      <c r="F131" s="108" t="s">
        <v>432</v>
      </c>
      <c r="G131" s="95">
        <v>900</v>
      </c>
      <c r="H131" s="101">
        <v>725</v>
      </c>
      <c r="I131" s="98">
        <v>652500</v>
      </c>
      <c r="J131" s="102" t="s">
        <v>504</v>
      </c>
    </row>
    <row r="132" spans="1:10" s="99" customFormat="1" ht="12.75" x14ac:dyDescent="0.25">
      <c r="A132" s="95">
        <v>123</v>
      </c>
      <c r="B132" s="100" t="s">
        <v>187</v>
      </c>
      <c r="C132" s="100" t="s">
        <v>428</v>
      </c>
      <c r="D132" s="95" t="s">
        <v>18</v>
      </c>
      <c r="E132" s="102" t="s">
        <v>376</v>
      </c>
      <c r="F132" s="100" t="s">
        <v>20</v>
      </c>
      <c r="G132" s="95">
        <v>10</v>
      </c>
      <c r="H132" s="98">
        <v>11000</v>
      </c>
      <c r="I132" s="98">
        <v>110000</v>
      </c>
      <c r="J132" s="102" t="s">
        <v>161</v>
      </c>
    </row>
    <row r="133" spans="1:10" s="99" customFormat="1" ht="12.75" x14ac:dyDescent="0.25">
      <c r="A133" s="95">
        <v>124</v>
      </c>
      <c r="B133" s="100" t="s">
        <v>142</v>
      </c>
      <c r="C133" s="100" t="s">
        <v>428</v>
      </c>
      <c r="D133" s="95" t="s">
        <v>18</v>
      </c>
      <c r="E133" s="102" t="s">
        <v>306</v>
      </c>
      <c r="F133" s="100" t="s">
        <v>16</v>
      </c>
      <c r="G133" s="95">
        <v>10</v>
      </c>
      <c r="H133" s="98">
        <v>100000</v>
      </c>
      <c r="I133" s="98">
        <v>1000000</v>
      </c>
      <c r="J133" s="102" t="s">
        <v>72</v>
      </c>
    </row>
    <row r="134" spans="1:10" s="99" customFormat="1" ht="12.75" x14ac:dyDescent="0.25">
      <c r="A134" s="95">
        <v>125</v>
      </c>
      <c r="B134" s="100" t="s">
        <v>143</v>
      </c>
      <c r="C134" s="100" t="s">
        <v>428</v>
      </c>
      <c r="D134" s="95" t="s">
        <v>18</v>
      </c>
      <c r="E134" s="102" t="s">
        <v>307</v>
      </c>
      <c r="F134" s="100" t="s">
        <v>16</v>
      </c>
      <c r="G134" s="95">
        <v>10</v>
      </c>
      <c r="H134" s="98">
        <v>100000</v>
      </c>
      <c r="I134" s="98">
        <v>1000000</v>
      </c>
      <c r="J134" s="102" t="s">
        <v>73</v>
      </c>
    </row>
    <row r="135" spans="1:10" s="99" customFormat="1" ht="12.75" x14ac:dyDescent="0.25">
      <c r="A135" s="95">
        <v>126</v>
      </c>
      <c r="B135" s="100" t="s">
        <v>144</v>
      </c>
      <c r="C135" s="100" t="s">
        <v>428</v>
      </c>
      <c r="D135" s="95" t="s">
        <v>18</v>
      </c>
      <c r="E135" s="102" t="s">
        <v>308</v>
      </c>
      <c r="F135" s="100" t="s">
        <v>16</v>
      </c>
      <c r="G135" s="95">
        <v>10</v>
      </c>
      <c r="H135" s="98">
        <v>100000</v>
      </c>
      <c r="I135" s="98">
        <v>1000000</v>
      </c>
      <c r="J135" s="102" t="s">
        <v>74</v>
      </c>
    </row>
    <row r="136" spans="1:10" s="99" customFormat="1" ht="12.75" x14ac:dyDescent="0.25">
      <c r="A136" s="95">
        <v>127</v>
      </c>
      <c r="B136" s="100" t="s">
        <v>129</v>
      </c>
      <c r="C136" s="100" t="s">
        <v>428</v>
      </c>
      <c r="D136" s="95" t="s">
        <v>18</v>
      </c>
      <c r="E136" s="102" t="s">
        <v>293</v>
      </c>
      <c r="F136" s="100" t="s">
        <v>20</v>
      </c>
      <c r="G136" s="95">
        <v>40</v>
      </c>
      <c r="H136" s="98">
        <v>1987</v>
      </c>
      <c r="I136" s="98">
        <v>79480</v>
      </c>
      <c r="J136" s="102" t="s">
        <v>19</v>
      </c>
    </row>
    <row r="137" spans="1:10" s="99" customFormat="1" ht="12.75" x14ac:dyDescent="0.25">
      <c r="A137" s="95">
        <v>128</v>
      </c>
      <c r="B137" s="100" t="s">
        <v>130</v>
      </c>
      <c r="C137" s="100" t="s">
        <v>428</v>
      </c>
      <c r="D137" s="95" t="s">
        <v>18</v>
      </c>
      <c r="E137" s="102" t="s">
        <v>294</v>
      </c>
      <c r="F137" s="100" t="s">
        <v>20</v>
      </c>
      <c r="G137" s="95">
        <v>40</v>
      </c>
      <c r="H137" s="98">
        <v>1987</v>
      </c>
      <c r="I137" s="98">
        <v>79480</v>
      </c>
      <c r="J137" s="102" t="s">
        <v>21</v>
      </c>
    </row>
    <row r="138" spans="1:10" s="99" customFormat="1" ht="12.75" x14ac:dyDescent="0.25">
      <c r="A138" s="95">
        <v>129</v>
      </c>
      <c r="B138" s="100" t="s">
        <v>139</v>
      </c>
      <c r="C138" s="100" t="s">
        <v>428</v>
      </c>
      <c r="D138" s="95" t="s">
        <v>18</v>
      </c>
      <c r="E138" s="102" t="s">
        <v>295</v>
      </c>
      <c r="F138" s="100" t="s">
        <v>17</v>
      </c>
      <c r="G138" s="95">
        <v>20</v>
      </c>
      <c r="H138" s="98">
        <v>15000</v>
      </c>
      <c r="I138" s="98">
        <v>300000</v>
      </c>
      <c r="J138" s="102" t="s">
        <v>65</v>
      </c>
    </row>
    <row r="139" spans="1:10" s="99" customFormat="1" ht="12.75" x14ac:dyDescent="0.25">
      <c r="A139" s="95">
        <v>130</v>
      </c>
      <c r="B139" s="100" t="s">
        <v>133</v>
      </c>
      <c r="C139" s="100" t="s">
        <v>428</v>
      </c>
      <c r="D139" s="95" t="s">
        <v>18</v>
      </c>
      <c r="E139" s="102" t="s">
        <v>297</v>
      </c>
      <c r="F139" s="100" t="s">
        <v>17</v>
      </c>
      <c r="G139" s="95">
        <v>20</v>
      </c>
      <c r="H139" s="98">
        <v>15000</v>
      </c>
      <c r="I139" s="98">
        <v>300000</v>
      </c>
      <c r="J139" s="102" t="s">
        <v>66</v>
      </c>
    </row>
    <row r="140" spans="1:10" s="99" customFormat="1" ht="12.75" x14ac:dyDescent="0.25">
      <c r="A140" s="95">
        <v>131</v>
      </c>
      <c r="B140" s="100" t="s">
        <v>134</v>
      </c>
      <c r="C140" s="100" t="s">
        <v>428</v>
      </c>
      <c r="D140" s="95" t="s">
        <v>18</v>
      </c>
      <c r="E140" s="102" t="s">
        <v>298</v>
      </c>
      <c r="F140" s="100" t="s">
        <v>17</v>
      </c>
      <c r="G140" s="95">
        <v>50</v>
      </c>
      <c r="H140" s="98">
        <v>11955</v>
      </c>
      <c r="I140" s="98">
        <v>597750</v>
      </c>
      <c r="J140" s="102" t="s">
        <v>64</v>
      </c>
    </row>
    <row r="141" spans="1:10" s="99" customFormat="1" ht="12.75" x14ac:dyDescent="0.25">
      <c r="A141" s="95">
        <v>132</v>
      </c>
      <c r="B141" s="100" t="s">
        <v>135</v>
      </c>
      <c r="C141" s="100" t="s">
        <v>428</v>
      </c>
      <c r="D141" s="95" t="s">
        <v>18</v>
      </c>
      <c r="E141" s="102" t="s">
        <v>300</v>
      </c>
      <c r="F141" s="100" t="s">
        <v>16</v>
      </c>
      <c r="G141" s="95">
        <v>50</v>
      </c>
      <c r="H141" s="98">
        <v>3995</v>
      </c>
      <c r="I141" s="98">
        <v>199750</v>
      </c>
      <c r="J141" s="102" t="s">
        <v>36</v>
      </c>
    </row>
    <row r="142" spans="1:10" s="99" customFormat="1" ht="25.5" x14ac:dyDescent="0.25">
      <c r="A142" s="95">
        <v>133</v>
      </c>
      <c r="B142" s="100" t="s">
        <v>484</v>
      </c>
      <c r="C142" s="100" t="s">
        <v>428</v>
      </c>
      <c r="D142" s="95" t="s">
        <v>18</v>
      </c>
      <c r="E142" s="102" t="s">
        <v>485</v>
      </c>
      <c r="F142" s="108" t="s">
        <v>17</v>
      </c>
      <c r="G142" s="95">
        <v>12</v>
      </c>
      <c r="H142" s="112">
        <v>10578</v>
      </c>
      <c r="I142" s="98">
        <v>126936</v>
      </c>
      <c r="J142" s="102" t="s">
        <v>520</v>
      </c>
    </row>
    <row r="143" spans="1:10" s="99" customFormat="1" ht="25.5" x14ac:dyDescent="0.25">
      <c r="A143" s="95">
        <v>134</v>
      </c>
      <c r="B143" s="100" t="s">
        <v>486</v>
      </c>
      <c r="C143" s="100" t="s">
        <v>428</v>
      </c>
      <c r="D143" s="95" t="s">
        <v>18</v>
      </c>
      <c r="E143" s="102" t="s">
        <v>487</v>
      </c>
      <c r="F143" s="108" t="s">
        <v>17</v>
      </c>
      <c r="G143" s="95">
        <v>12</v>
      </c>
      <c r="H143" s="112">
        <v>11503</v>
      </c>
      <c r="I143" s="98">
        <v>138036</v>
      </c>
      <c r="J143" s="102" t="s">
        <v>521</v>
      </c>
    </row>
    <row r="144" spans="1:10" s="99" customFormat="1" ht="12.75" x14ac:dyDescent="0.25">
      <c r="A144" s="95">
        <v>135</v>
      </c>
      <c r="B144" s="100" t="s">
        <v>147</v>
      </c>
      <c r="C144" s="100" t="s">
        <v>428</v>
      </c>
      <c r="D144" s="95" t="s">
        <v>18</v>
      </c>
      <c r="E144" s="102" t="s">
        <v>310</v>
      </c>
      <c r="F144" s="100" t="s">
        <v>17</v>
      </c>
      <c r="G144" s="95">
        <v>15</v>
      </c>
      <c r="H144" s="97">
        <v>5193</v>
      </c>
      <c r="I144" s="98">
        <v>77895</v>
      </c>
      <c r="J144" s="102" t="s">
        <v>68</v>
      </c>
    </row>
    <row r="145" spans="1:10" s="99" customFormat="1" ht="25.5" x14ac:dyDescent="0.25">
      <c r="A145" s="95">
        <v>136</v>
      </c>
      <c r="B145" s="100" t="s">
        <v>502</v>
      </c>
      <c r="C145" s="100" t="s">
        <v>428</v>
      </c>
      <c r="D145" s="95" t="s">
        <v>18</v>
      </c>
      <c r="E145" s="102" t="s">
        <v>503</v>
      </c>
      <c r="F145" s="100" t="s">
        <v>17</v>
      </c>
      <c r="G145" s="95">
        <v>6</v>
      </c>
      <c r="H145" s="113">
        <v>373520</v>
      </c>
      <c r="I145" s="98">
        <v>2241120</v>
      </c>
      <c r="J145" s="102"/>
    </row>
    <row r="146" spans="1:10" s="99" customFormat="1" ht="12.75" x14ac:dyDescent="0.25">
      <c r="A146" s="95">
        <v>137</v>
      </c>
      <c r="B146" s="100" t="s">
        <v>234</v>
      </c>
      <c r="C146" s="100" t="s">
        <v>428</v>
      </c>
      <c r="D146" s="95" t="s">
        <v>18</v>
      </c>
      <c r="E146" s="102" t="s">
        <v>316</v>
      </c>
      <c r="F146" s="100" t="s">
        <v>17</v>
      </c>
      <c r="G146" s="95">
        <v>15</v>
      </c>
      <c r="H146" s="97">
        <v>12864</v>
      </c>
      <c r="I146" s="98">
        <v>192960</v>
      </c>
      <c r="J146" s="102" t="s">
        <v>233</v>
      </c>
    </row>
    <row r="147" spans="1:10" s="99" customFormat="1" ht="12.75" x14ac:dyDescent="0.25">
      <c r="A147" s="95">
        <v>138</v>
      </c>
      <c r="B147" s="103" t="s">
        <v>457</v>
      </c>
      <c r="C147" s="103" t="s">
        <v>428</v>
      </c>
      <c r="D147" s="104" t="s">
        <v>18</v>
      </c>
      <c r="E147" s="105" t="s">
        <v>458</v>
      </c>
      <c r="F147" s="103" t="s">
        <v>17</v>
      </c>
      <c r="G147" s="95">
        <v>15</v>
      </c>
      <c r="H147" s="114">
        <v>64700</v>
      </c>
      <c r="I147" s="106">
        <v>970500</v>
      </c>
      <c r="J147" s="115"/>
    </row>
    <row r="148" spans="1:10" s="99" customFormat="1" ht="12.75" x14ac:dyDescent="0.25">
      <c r="A148" s="95">
        <v>139</v>
      </c>
      <c r="B148" s="103" t="s">
        <v>457</v>
      </c>
      <c r="C148" s="103" t="s">
        <v>428</v>
      </c>
      <c r="D148" s="104" t="s">
        <v>18</v>
      </c>
      <c r="E148" s="105" t="s">
        <v>458</v>
      </c>
      <c r="F148" s="116" t="s">
        <v>17</v>
      </c>
      <c r="G148" s="95">
        <v>12</v>
      </c>
      <c r="H148" s="118">
        <v>19744</v>
      </c>
      <c r="I148" s="106">
        <v>236928</v>
      </c>
      <c r="J148" s="119" t="s">
        <v>519</v>
      </c>
    </row>
    <row r="149" spans="1:10" s="107" customFormat="1" ht="12.75" x14ac:dyDescent="0.25">
      <c r="A149" s="95">
        <v>140</v>
      </c>
      <c r="B149" s="120" t="s">
        <v>249</v>
      </c>
      <c r="C149" s="120" t="s">
        <v>428</v>
      </c>
      <c r="D149" s="95" t="s">
        <v>18</v>
      </c>
      <c r="E149" s="121" t="s">
        <v>343</v>
      </c>
      <c r="F149" s="122" t="s">
        <v>17</v>
      </c>
      <c r="G149" s="95">
        <v>10</v>
      </c>
      <c r="H149" s="124">
        <v>5868</v>
      </c>
      <c r="I149" s="98">
        <v>58680</v>
      </c>
      <c r="J149" s="121" t="s">
        <v>94</v>
      </c>
    </row>
    <row r="150" spans="1:10" s="107" customFormat="1" ht="12.75" x14ac:dyDescent="0.25">
      <c r="A150" s="95">
        <v>141</v>
      </c>
      <c r="B150" s="120" t="s">
        <v>191</v>
      </c>
      <c r="C150" s="120" t="s">
        <v>428</v>
      </c>
      <c r="D150" s="95" t="s">
        <v>18</v>
      </c>
      <c r="E150" s="121" t="s">
        <v>379</v>
      </c>
      <c r="F150" s="122" t="s">
        <v>17</v>
      </c>
      <c r="G150" s="95">
        <v>20</v>
      </c>
      <c r="H150" s="124">
        <v>6500</v>
      </c>
      <c r="I150" s="98">
        <v>130000</v>
      </c>
      <c r="J150" s="121" t="s">
        <v>112</v>
      </c>
    </row>
    <row r="151" spans="1:10" s="99" customFormat="1" ht="12.75" x14ac:dyDescent="0.25">
      <c r="A151" s="95">
        <v>142</v>
      </c>
      <c r="B151" s="120" t="s">
        <v>463</v>
      </c>
      <c r="C151" s="120" t="s">
        <v>428</v>
      </c>
      <c r="D151" s="95" t="s">
        <v>18</v>
      </c>
      <c r="E151" s="121" t="s">
        <v>464</v>
      </c>
      <c r="F151" s="122" t="s">
        <v>17</v>
      </c>
      <c r="G151" s="95">
        <v>12</v>
      </c>
      <c r="H151" s="125">
        <v>39806</v>
      </c>
      <c r="I151" s="98">
        <v>477672</v>
      </c>
      <c r="J151" s="121" t="s">
        <v>512</v>
      </c>
    </row>
    <row r="152" spans="1:10" s="99" customFormat="1" ht="12.75" x14ac:dyDescent="0.25">
      <c r="A152" s="95">
        <v>143</v>
      </c>
      <c r="B152" s="120" t="s">
        <v>461</v>
      </c>
      <c r="C152" s="120" t="s">
        <v>428</v>
      </c>
      <c r="D152" s="95" t="s">
        <v>18</v>
      </c>
      <c r="E152" s="121" t="s">
        <v>462</v>
      </c>
      <c r="F152" s="122" t="s">
        <v>17</v>
      </c>
      <c r="G152" s="95">
        <v>12</v>
      </c>
      <c r="H152" s="125">
        <v>14586</v>
      </c>
      <c r="I152" s="98">
        <v>175032</v>
      </c>
      <c r="J152" s="121" t="s">
        <v>511</v>
      </c>
    </row>
    <row r="153" spans="1:10" s="99" customFormat="1" ht="12.75" x14ac:dyDescent="0.25">
      <c r="A153" s="95">
        <v>144</v>
      </c>
      <c r="B153" s="126" t="s">
        <v>453</v>
      </c>
      <c r="C153" s="120" t="s">
        <v>428</v>
      </c>
      <c r="D153" s="95" t="s">
        <v>18</v>
      </c>
      <c r="E153" s="121" t="s">
        <v>454</v>
      </c>
      <c r="F153" s="122" t="s">
        <v>17</v>
      </c>
      <c r="G153" s="95">
        <v>12</v>
      </c>
      <c r="H153" s="125">
        <v>25747</v>
      </c>
      <c r="I153" s="98">
        <v>308964</v>
      </c>
      <c r="J153" s="121" t="s">
        <v>509</v>
      </c>
    </row>
    <row r="154" spans="1:10" s="99" customFormat="1" ht="12.75" x14ac:dyDescent="0.25">
      <c r="A154" s="95">
        <v>145</v>
      </c>
      <c r="B154" s="117" t="s">
        <v>563</v>
      </c>
      <c r="C154" s="117" t="s">
        <v>428</v>
      </c>
      <c r="D154" s="104" t="s">
        <v>18</v>
      </c>
      <c r="E154" s="119" t="s">
        <v>562</v>
      </c>
      <c r="F154" s="116" t="s">
        <v>17</v>
      </c>
      <c r="G154" s="95">
        <v>50</v>
      </c>
      <c r="H154" s="127">
        <v>33081</v>
      </c>
      <c r="I154" s="106">
        <v>1654050</v>
      </c>
      <c r="J154" s="119" t="s">
        <v>41</v>
      </c>
    </row>
    <row r="155" spans="1:10" s="99" customFormat="1" ht="12.75" x14ac:dyDescent="0.25">
      <c r="A155" s="95">
        <v>146</v>
      </c>
      <c r="B155" s="120" t="s">
        <v>148</v>
      </c>
      <c r="C155" s="120" t="s">
        <v>428</v>
      </c>
      <c r="D155" s="95" t="s">
        <v>18</v>
      </c>
      <c r="E155" s="121" t="s">
        <v>312</v>
      </c>
      <c r="F155" s="128" t="s">
        <v>17</v>
      </c>
      <c r="G155" s="95">
        <v>50</v>
      </c>
      <c r="H155" s="124">
        <v>24600</v>
      </c>
      <c r="I155" s="98">
        <v>1230000</v>
      </c>
      <c r="J155" s="121" t="s">
        <v>75</v>
      </c>
    </row>
    <row r="156" spans="1:10" s="99" customFormat="1" ht="12.75" x14ac:dyDescent="0.25">
      <c r="A156" s="95">
        <v>147</v>
      </c>
      <c r="B156" s="120" t="s">
        <v>251</v>
      </c>
      <c r="C156" s="120" t="s">
        <v>428</v>
      </c>
      <c r="D156" s="95" t="s">
        <v>18</v>
      </c>
      <c r="E156" s="121" t="s">
        <v>357</v>
      </c>
      <c r="F156" s="129" t="s">
        <v>17</v>
      </c>
      <c r="G156" s="120">
        <v>20</v>
      </c>
      <c r="H156" s="130">
        <v>5432</v>
      </c>
      <c r="I156" s="98">
        <v>108640</v>
      </c>
      <c r="J156" s="121" t="s">
        <v>252</v>
      </c>
    </row>
    <row r="157" spans="1:10" s="99" customFormat="1" ht="12.75" x14ac:dyDescent="0.25">
      <c r="A157" s="95">
        <v>148</v>
      </c>
      <c r="B157" s="120" t="s">
        <v>259</v>
      </c>
      <c r="C157" s="120" t="s">
        <v>428</v>
      </c>
      <c r="D157" s="95" t="s">
        <v>18</v>
      </c>
      <c r="E157" s="121" t="s">
        <v>370</v>
      </c>
      <c r="F157" s="131" t="s">
        <v>17</v>
      </c>
      <c r="G157" s="95">
        <v>80</v>
      </c>
      <c r="H157" s="123">
        <v>6811</v>
      </c>
      <c r="I157" s="98">
        <v>544880</v>
      </c>
      <c r="J157" s="121" t="s">
        <v>44</v>
      </c>
    </row>
    <row r="158" spans="1:10" s="99" customFormat="1" ht="25.5" x14ac:dyDescent="0.25">
      <c r="A158" s="95">
        <v>149</v>
      </c>
      <c r="B158" s="120" t="s">
        <v>490</v>
      </c>
      <c r="C158" s="120" t="s">
        <v>428</v>
      </c>
      <c r="D158" s="95" t="s">
        <v>18</v>
      </c>
      <c r="E158" s="121" t="s">
        <v>491</v>
      </c>
      <c r="F158" s="131" t="s">
        <v>17</v>
      </c>
      <c r="G158" s="95">
        <v>6</v>
      </c>
      <c r="H158" s="132">
        <v>41413</v>
      </c>
      <c r="I158" s="98">
        <v>248478</v>
      </c>
      <c r="J158" s="121"/>
    </row>
    <row r="159" spans="1:10" s="99" customFormat="1" ht="25.5" x14ac:dyDescent="0.25">
      <c r="A159" s="95">
        <v>150</v>
      </c>
      <c r="B159" s="120" t="s">
        <v>494</v>
      </c>
      <c r="C159" s="120" t="s">
        <v>428</v>
      </c>
      <c r="D159" s="95" t="s">
        <v>18</v>
      </c>
      <c r="E159" s="121" t="s">
        <v>495</v>
      </c>
      <c r="F159" s="131" t="s">
        <v>17</v>
      </c>
      <c r="G159" s="95">
        <v>6</v>
      </c>
      <c r="H159" s="132">
        <v>93380</v>
      </c>
      <c r="I159" s="98">
        <v>560280</v>
      </c>
      <c r="J159" s="121"/>
    </row>
    <row r="160" spans="1:10" s="99" customFormat="1" ht="25.5" x14ac:dyDescent="0.25">
      <c r="A160" s="95">
        <v>151</v>
      </c>
      <c r="B160" s="133" t="s">
        <v>492</v>
      </c>
      <c r="C160" s="120" t="s">
        <v>428</v>
      </c>
      <c r="D160" s="95" t="s">
        <v>18</v>
      </c>
      <c r="E160" s="121" t="s">
        <v>493</v>
      </c>
      <c r="F160" s="131" t="s">
        <v>17</v>
      </c>
      <c r="G160" s="95">
        <v>6</v>
      </c>
      <c r="H160" s="132">
        <v>27563</v>
      </c>
      <c r="I160" s="98">
        <v>165378</v>
      </c>
      <c r="J160" s="121"/>
    </row>
    <row r="161" spans="1:10" s="99" customFormat="1" ht="12.75" x14ac:dyDescent="0.25">
      <c r="A161" s="95">
        <v>152</v>
      </c>
      <c r="B161" s="120" t="s">
        <v>465</v>
      </c>
      <c r="C161" s="120" t="s">
        <v>428</v>
      </c>
      <c r="D161" s="95" t="s">
        <v>18</v>
      </c>
      <c r="E161" s="121" t="s">
        <v>466</v>
      </c>
      <c r="F161" s="131" t="s">
        <v>16</v>
      </c>
      <c r="G161" s="95">
        <v>12</v>
      </c>
      <c r="H161" s="125">
        <v>1184</v>
      </c>
      <c r="I161" s="98">
        <v>14208</v>
      </c>
      <c r="J161" s="121" t="s">
        <v>513</v>
      </c>
    </row>
    <row r="162" spans="1:10" s="99" customFormat="1" ht="12.75" x14ac:dyDescent="0.25">
      <c r="A162" s="95">
        <v>153</v>
      </c>
      <c r="B162" s="120" t="s">
        <v>268</v>
      </c>
      <c r="C162" s="120" t="s">
        <v>428</v>
      </c>
      <c r="D162" s="95" t="s">
        <v>18</v>
      </c>
      <c r="E162" s="121" t="s">
        <v>384</v>
      </c>
      <c r="F162" s="131" t="s">
        <v>17</v>
      </c>
      <c r="G162" s="95">
        <v>60</v>
      </c>
      <c r="H162" s="124">
        <v>8658</v>
      </c>
      <c r="I162" s="98">
        <v>519480</v>
      </c>
      <c r="J162" s="121" t="s">
        <v>427</v>
      </c>
    </row>
    <row r="163" spans="1:10" s="99" customFormat="1" ht="12.75" x14ac:dyDescent="0.25">
      <c r="A163" s="95">
        <v>154</v>
      </c>
      <c r="B163" s="120" t="s">
        <v>467</v>
      </c>
      <c r="C163" s="120" t="s">
        <v>428</v>
      </c>
      <c r="D163" s="95" t="s">
        <v>18</v>
      </c>
      <c r="E163" s="121" t="s">
        <v>468</v>
      </c>
      <c r="F163" s="131" t="s">
        <v>16</v>
      </c>
      <c r="G163" s="95">
        <v>12</v>
      </c>
      <c r="H163" s="125">
        <v>1325</v>
      </c>
      <c r="I163" s="98">
        <v>15900</v>
      </c>
      <c r="J163" s="121" t="s">
        <v>514</v>
      </c>
    </row>
    <row r="164" spans="1:10" s="99" customFormat="1" x14ac:dyDescent="0.25">
      <c r="A164" s="95">
        <v>155</v>
      </c>
      <c r="B164" s="134" t="s">
        <v>574</v>
      </c>
      <c r="C164" s="120" t="s">
        <v>428</v>
      </c>
      <c r="D164" s="95" t="s">
        <v>18</v>
      </c>
      <c r="E164" s="121" t="s">
        <v>575</v>
      </c>
      <c r="F164" s="131" t="s">
        <v>20</v>
      </c>
      <c r="G164" s="95">
        <v>5</v>
      </c>
      <c r="H164" s="124">
        <v>8700</v>
      </c>
      <c r="I164" s="98">
        <v>43500</v>
      </c>
      <c r="J164" s="121" t="s">
        <v>131</v>
      </c>
    </row>
    <row r="165" spans="1:10" s="99" customFormat="1" ht="12.75" x14ac:dyDescent="0.25">
      <c r="A165" s="135">
        <v>156</v>
      </c>
      <c r="B165" s="136" t="s">
        <v>132</v>
      </c>
      <c r="C165" s="136" t="s">
        <v>428</v>
      </c>
      <c r="D165" s="135" t="s">
        <v>18</v>
      </c>
      <c r="E165" s="137" t="s">
        <v>296</v>
      </c>
      <c r="F165" s="138" t="s">
        <v>20</v>
      </c>
      <c r="G165" s="135">
        <v>50</v>
      </c>
      <c r="H165" s="139">
        <v>3759</v>
      </c>
      <c r="I165" s="140">
        <v>187950</v>
      </c>
      <c r="J165" s="137" t="s">
        <v>35</v>
      </c>
    </row>
    <row r="166" spans="1:10" s="99" customFormat="1" ht="12.75" x14ac:dyDescent="0.25">
      <c r="A166" s="153">
        <v>157</v>
      </c>
      <c r="B166" s="153" t="s">
        <v>559</v>
      </c>
      <c r="C166" s="153" t="s">
        <v>428</v>
      </c>
      <c r="D166" s="153" t="s">
        <v>18</v>
      </c>
      <c r="E166" s="154" t="s">
        <v>560</v>
      </c>
      <c r="F166" s="153" t="s">
        <v>17</v>
      </c>
      <c r="G166" s="153">
        <v>100</v>
      </c>
      <c r="H166" s="156">
        <v>888</v>
      </c>
      <c r="I166" s="155">
        <v>88800</v>
      </c>
      <c r="J166" s="102" t="s">
        <v>515</v>
      </c>
    </row>
    <row r="167" spans="1:10" s="99" customFormat="1" ht="12.75" x14ac:dyDescent="0.25">
      <c r="A167" s="95">
        <v>158</v>
      </c>
      <c r="B167" s="95" t="s">
        <v>247</v>
      </c>
      <c r="C167" s="95" t="s">
        <v>428</v>
      </c>
      <c r="D167" s="95" t="s">
        <v>18</v>
      </c>
      <c r="E167" s="96" t="s">
        <v>340</v>
      </c>
      <c r="F167" s="129" t="s">
        <v>17</v>
      </c>
      <c r="G167" s="95">
        <v>100</v>
      </c>
      <c r="H167" s="141">
        <v>3654</v>
      </c>
      <c r="I167" s="98">
        <v>365400</v>
      </c>
      <c r="J167" s="96" t="s">
        <v>92</v>
      </c>
    </row>
    <row r="168" spans="1:10" s="99" customFormat="1" ht="12.75" x14ac:dyDescent="0.25">
      <c r="A168" s="95">
        <v>159</v>
      </c>
      <c r="B168" s="95" t="s">
        <v>246</v>
      </c>
      <c r="C168" s="120" t="s">
        <v>428</v>
      </c>
      <c r="D168" s="95" t="s">
        <v>18</v>
      </c>
      <c r="E168" s="121" t="s">
        <v>339</v>
      </c>
      <c r="F168" s="131" t="s">
        <v>17</v>
      </c>
      <c r="G168" s="95">
        <v>10</v>
      </c>
      <c r="H168" s="124">
        <v>13292</v>
      </c>
      <c r="I168" s="98">
        <v>132920</v>
      </c>
      <c r="J168" s="121" t="s">
        <v>91</v>
      </c>
    </row>
    <row r="169" spans="1:10" s="99" customFormat="1" ht="12.75" x14ac:dyDescent="0.25">
      <c r="A169" s="95">
        <v>160</v>
      </c>
      <c r="B169" s="120" t="s">
        <v>269</v>
      </c>
      <c r="C169" s="120" t="s">
        <v>428</v>
      </c>
      <c r="D169" s="95" t="s">
        <v>18</v>
      </c>
      <c r="E169" s="121" t="s">
        <v>393</v>
      </c>
      <c r="F169" s="131" t="s">
        <v>17</v>
      </c>
      <c r="G169" s="95">
        <v>200</v>
      </c>
      <c r="H169" s="124">
        <v>6800</v>
      </c>
      <c r="I169" s="98">
        <v>1360000</v>
      </c>
      <c r="J169" s="121" t="s">
        <v>117</v>
      </c>
    </row>
    <row r="170" spans="1:10" s="99" customFormat="1" ht="12.75" x14ac:dyDescent="0.25">
      <c r="A170" s="95">
        <v>161</v>
      </c>
      <c r="B170" s="120" t="s">
        <v>473</v>
      </c>
      <c r="C170" s="120" t="s">
        <v>428</v>
      </c>
      <c r="D170" s="95" t="s">
        <v>18</v>
      </c>
      <c r="E170" s="121" t="s">
        <v>474</v>
      </c>
      <c r="F170" s="131" t="s">
        <v>17</v>
      </c>
      <c r="G170" s="95">
        <v>12</v>
      </c>
      <c r="H170" s="125">
        <v>16645</v>
      </c>
      <c r="I170" s="98">
        <v>199740</v>
      </c>
      <c r="J170" s="121"/>
    </row>
    <row r="171" spans="1:10" s="99" customFormat="1" ht="12.75" x14ac:dyDescent="0.25">
      <c r="A171" s="95">
        <v>162</v>
      </c>
      <c r="B171" s="142" t="s">
        <v>273</v>
      </c>
      <c r="C171" s="120" t="s">
        <v>428</v>
      </c>
      <c r="D171" s="95" t="s">
        <v>18</v>
      </c>
      <c r="E171" s="121" t="s">
        <v>396</v>
      </c>
      <c r="F171" s="131" t="s">
        <v>17</v>
      </c>
      <c r="G171" s="95">
        <v>40</v>
      </c>
      <c r="H171" s="124">
        <v>11600</v>
      </c>
      <c r="I171" s="98">
        <v>464000</v>
      </c>
      <c r="J171" s="121" t="s">
        <v>45</v>
      </c>
    </row>
    <row r="172" spans="1:10" s="99" customFormat="1" ht="12.75" x14ac:dyDescent="0.25">
      <c r="A172" s="95">
        <v>163</v>
      </c>
      <c r="B172" s="120" t="s">
        <v>276</v>
      </c>
      <c r="C172" s="120" t="s">
        <v>428</v>
      </c>
      <c r="D172" s="95" t="s">
        <v>18</v>
      </c>
      <c r="E172" s="121" t="s">
        <v>401</v>
      </c>
      <c r="F172" s="131" t="s">
        <v>17</v>
      </c>
      <c r="G172" s="95">
        <v>112</v>
      </c>
      <c r="H172" s="124">
        <v>3800</v>
      </c>
      <c r="I172" s="98">
        <v>425600</v>
      </c>
      <c r="J172" s="121" t="s">
        <v>48</v>
      </c>
    </row>
    <row r="173" spans="1:10" s="99" customFormat="1" ht="12.75" x14ac:dyDescent="0.25">
      <c r="A173" s="95">
        <v>164</v>
      </c>
      <c r="B173" s="120" t="s">
        <v>459</v>
      </c>
      <c r="C173" s="120" t="s">
        <v>428</v>
      </c>
      <c r="D173" s="95" t="s">
        <v>18</v>
      </c>
      <c r="E173" s="121" t="s">
        <v>460</v>
      </c>
      <c r="F173" s="131" t="s">
        <v>17</v>
      </c>
      <c r="G173" s="95">
        <v>2</v>
      </c>
      <c r="H173" s="125">
        <v>17788</v>
      </c>
      <c r="I173" s="98">
        <v>35576</v>
      </c>
      <c r="J173" s="143" t="s">
        <v>510</v>
      </c>
    </row>
    <row r="174" spans="1:10" s="99" customFormat="1" ht="12.75" x14ac:dyDescent="0.25">
      <c r="A174" s="95">
        <v>165</v>
      </c>
      <c r="B174" s="142" t="s">
        <v>471</v>
      </c>
      <c r="C174" s="120" t="s">
        <v>428</v>
      </c>
      <c r="D174" s="95" t="s">
        <v>18</v>
      </c>
      <c r="E174" s="144" t="s">
        <v>472</v>
      </c>
      <c r="F174" s="145" t="s">
        <v>17</v>
      </c>
      <c r="G174" s="95">
        <v>12</v>
      </c>
      <c r="H174" s="146">
        <v>19749</v>
      </c>
      <c r="I174" s="98">
        <v>236988</v>
      </c>
      <c r="J174" s="121"/>
    </row>
    <row r="175" spans="1:10" s="99" customFormat="1" ht="25.5" x14ac:dyDescent="0.25">
      <c r="A175" s="95">
        <v>166</v>
      </c>
      <c r="B175" s="120" t="s">
        <v>230</v>
      </c>
      <c r="C175" s="120" t="s">
        <v>428</v>
      </c>
      <c r="D175" s="95" t="s">
        <v>18</v>
      </c>
      <c r="E175" s="143" t="s">
        <v>415</v>
      </c>
      <c r="F175" s="145" t="s">
        <v>17</v>
      </c>
      <c r="G175" s="95">
        <v>400</v>
      </c>
      <c r="H175" s="147">
        <v>21000</v>
      </c>
      <c r="I175" s="98">
        <v>8400000</v>
      </c>
      <c r="J175" s="143" t="s">
        <v>226</v>
      </c>
    </row>
    <row r="176" spans="1:10" s="99" customFormat="1" ht="25.5" x14ac:dyDescent="0.25">
      <c r="A176" s="95">
        <v>167</v>
      </c>
      <c r="B176" s="120" t="s">
        <v>176</v>
      </c>
      <c r="C176" s="120" t="s">
        <v>428</v>
      </c>
      <c r="D176" s="95" t="s">
        <v>18</v>
      </c>
      <c r="E176" s="121" t="s">
        <v>354</v>
      </c>
      <c r="F176" s="148" t="s">
        <v>17</v>
      </c>
      <c r="G176" s="95">
        <v>5</v>
      </c>
      <c r="H176" s="123">
        <v>59902</v>
      </c>
      <c r="I176" s="98">
        <v>299510</v>
      </c>
      <c r="J176" s="121" t="s">
        <v>177</v>
      </c>
    </row>
    <row r="177" spans="1:10" s="99" customFormat="1" ht="12.75" x14ac:dyDescent="0.25">
      <c r="A177" s="95">
        <v>168</v>
      </c>
      <c r="B177" s="120" t="s">
        <v>198</v>
      </c>
      <c r="C177" s="120" t="s">
        <v>428</v>
      </c>
      <c r="D177" s="95" t="s">
        <v>18</v>
      </c>
      <c r="E177" s="121" t="s">
        <v>391</v>
      </c>
      <c r="F177" s="148" t="s">
        <v>17</v>
      </c>
      <c r="G177" s="95">
        <v>50</v>
      </c>
      <c r="H177" s="123">
        <v>64575</v>
      </c>
      <c r="I177" s="98">
        <v>3228750</v>
      </c>
      <c r="J177" s="121" t="s">
        <v>115</v>
      </c>
    </row>
    <row r="178" spans="1:10" s="99" customFormat="1" ht="63.75" x14ac:dyDescent="0.25">
      <c r="A178" s="95">
        <v>169</v>
      </c>
      <c r="B178" s="120" t="s">
        <v>481</v>
      </c>
      <c r="C178" s="120" t="s">
        <v>428</v>
      </c>
      <c r="D178" s="95" t="s">
        <v>18</v>
      </c>
      <c r="E178" s="121" t="s">
        <v>557</v>
      </c>
      <c r="F178" s="148" t="s">
        <v>17</v>
      </c>
      <c r="G178" s="95">
        <v>16</v>
      </c>
      <c r="H178" s="149">
        <v>130000</v>
      </c>
      <c r="I178" s="98">
        <v>2080000</v>
      </c>
      <c r="J178" s="121" t="s">
        <v>517</v>
      </c>
    </row>
    <row r="179" spans="1:10" s="99" customFormat="1" ht="25.5" x14ac:dyDescent="0.25">
      <c r="A179" s="95">
        <v>170</v>
      </c>
      <c r="B179" s="95" t="s">
        <v>482</v>
      </c>
      <c r="C179" s="120" t="s">
        <v>428</v>
      </c>
      <c r="D179" s="95" t="s">
        <v>18</v>
      </c>
      <c r="E179" s="121" t="s">
        <v>483</v>
      </c>
      <c r="F179" s="131" t="s">
        <v>17</v>
      </c>
      <c r="G179" s="95">
        <v>16</v>
      </c>
      <c r="H179" s="149">
        <v>20160</v>
      </c>
      <c r="I179" s="98">
        <v>322560</v>
      </c>
      <c r="J179" s="121" t="s">
        <v>518</v>
      </c>
    </row>
    <row r="180" spans="1:10" s="99" customFormat="1" ht="25.5" x14ac:dyDescent="0.25">
      <c r="A180" s="95">
        <v>171</v>
      </c>
      <c r="B180" s="95" t="s">
        <v>451</v>
      </c>
      <c r="C180" s="150" t="s">
        <v>428</v>
      </c>
      <c r="D180" s="95" t="s">
        <v>18</v>
      </c>
      <c r="E180" s="121" t="s">
        <v>452</v>
      </c>
      <c r="F180" s="131" t="s">
        <v>17</v>
      </c>
      <c r="G180" s="95">
        <v>12</v>
      </c>
      <c r="H180" s="151">
        <v>10206</v>
      </c>
      <c r="I180" s="98">
        <v>122472</v>
      </c>
      <c r="J180" s="121"/>
    </row>
    <row r="181" spans="1:10" s="99" customFormat="1" ht="39" customHeight="1" x14ac:dyDescent="0.25">
      <c r="A181" s="95">
        <v>172</v>
      </c>
      <c r="B181" s="95" t="s">
        <v>449</v>
      </c>
      <c r="C181" s="150" t="s">
        <v>428</v>
      </c>
      <c r="D181" s="95" t="s">
        <v>18</v>
      </c>
      <c r="E181" s="121" t="s">
        <v>450</v>
      </c>
      <c r="F181" s="131" t="s">
        <v>17</v>
      </c>
      <c r="G181" s="95">
        <v>12</v>
      </c>
      <c r="H181" s="151">
        <v>11295</v>
      </c>
      <c r="I181" s="98">
        <v>135540</v>
      </c>
      <c r="J181" s="121"/>
    </row>
    <row r="182" spans="1:10" s="99" customFormat="1" ht="12.75" x14ac:dyDescent="0.25">
      <c r="A182" s="95">
        <v>173</v>
      </c>
      <c r="B182" s="95" t="s">
        <v>435</v>
      </c>
      <c r="C182" s="150" t="s">
        <v>428</v>
      </c>
      <c r="D182" s="95" t="s">
        <v>18</v>
      </c>
      <c r="E182" s="121" t="s">
        <v>436</v>
      </c>
      <c r="F182" s="152" t="s">
        <v>17</v>
      </c>
      <c r="G182" s="95">
        <v>9</v>
      </c>
      <c r="H182" s="151">
        <v>29160</v>
      </c>
      <c r="I182" s="98">
        <v>262440</v>
      </c>
      <c r="J182" s="121"/>
    </row>
    <row r="183" spans="1:10" s="99" customFormat="1" ht="12.75" x14ac:dyDescent="0.25">
      <c r="A183" s="95">
        <v>174</v>
      </c>
      <c r="B183" s="95" t="s">
        <v>437</v>
      </c>
      <c r="C183" s="150" t="s">
        <v>428</v>
      </c>
      <c r="D183" s="95" t="s">
        <v>18</v>
      </c>
      <c r="E183" s="121" t="s">
        <v>438</v>
      </c>
      <c r="F183" s="152" t="s">
        <v>17</v>
      </c>
      <c r="G183" s="95">
        <v>9</v>
      </c>
      <c r="H183" s="151">
        <v>22500</v>
      </c>
      <c r="I183" s="98">
        <v>202500</v>
      </c>
      <c r="J183" s="121"/>
    </row>
    <row r="184" spans="1:10" s="99" customFormat="1" ht="12.75" x14ac:dyDescent="0.25">
      <c r="A184" s="95">
        <v>175</v>
      </c>
      <c r="B184" s="95" t="s">
        <v>441</v>
      </c>
      <c r="C184" s="150" t="s">
        <v>428</v>
      </c>
      <c r="D184" s="95" t="s">
        <v>18</v>
      </c>
      <c r="E184" s="121" t="s">
        <v>442</v>
      </c>
      <c r="F184" s="152" t="s">
        <v>17</v>
      </c>
      <c r="G184" s="95">
        <v>9</v>
      </c>
      <c r="H184" s="151">
        <v>12900</v>
      </c>
      <c r="I184" s="98">
        <v>116100</v>
      </c>
      <c r="J184" s="121" t="s">
        <v>507</v>
      </c>
    </row>
    <row r="185" spans="1:10" s="99" customFormat="1" ht="12.75" x14ac:dyDescent="0.25">
      <c r="A185" s="95">
        <v>176</v>
      </c>
      <c r="B185" s="95" t="s">
        <v>439</v>
      </c>
      <c r="C185" s="150" t="s">
        <v>428</v>
      </c>
      <c r="D185" s="95" t="s">
        <v>18</v>
      </c>
      <c r="E185" s="121" t="s">
        <v>440</v>
      </c>
      <c r="F185" s="152" t="s">
        <v>17</v>
      </c>
      <c r="G185" s="95">
        <v>9</v>
      </c>
      <c r="H185" s="151">
        <v>18500</v>
      </c>
      <c r="I185" s="98">
        <v>166500</v>
      </c>
      <c r="J185" s="121" t="s">
        <v>506</v>
      </c>
    </row>
    <row r="186" spans="1:10" s="99" customFormat="1" ht="13.5" thickBot="1" x14ac:dyDescent="0.3">
      <c r="A186" s="95">
        <v>177</v>
      </c>
      <c r="B186" s="95" t="s">
        <v>445</v>
      </c>
      <c r="C186" s="150" t="s">
        <v>428</v>
      </c>
      <c r="D186" s="95" t="s">
        <v>18</v>
      </c>
      <c r="E186" s="121" t="s">
        <v>446</v>
      </c>
      <c r="F186" s="152" t="s">
        <v>17</v>
      </c>
      <c r="G186" s="95">
        <v>50</v>
      </c>
      <c r="H186" s="151">
        <v>4980</v>
      </c>
      <c r="I186" s="98">
        <v>249000</v>
      </c>
      <c r="J186" s="121"/>
    </row>
    <row r="187" spans="1:10" s="74" customFormat="1" ht="18.75" customHeight="1" thickBot="1" x14ac:dyDescent="0.3">
      <c r="A187" s="190" t="s">
        <v>558</v>
      </c>
      <c r="B187" s="191"/>
      <c r="C187" s="191"/>
      <c r="D187" s="191"/>
      <c r="E187" s="191"/>
      <c r="F187" s="78"/>
      <c r="G187" s="60"/>
      <c r="H187" s="79"/>
      <c r="I187" s="80">
        <f>SUM(I10:I186)</f>
        <v>82900382</v>
      </c>
      <c r="J187" s="81"/>
    </row>
    <row r="188" spans="1:10" s="23" customFormat="1" ht="14.1" customHeight="1" thickBot="1" x14ac:dyDescent="0.3">
      <c r="A188" s="14"/>
      <c r="B188" s="14"/>
      <c r="C188" s="14"/>
      <c r="D188" s="14"/>
      <c r="F188" s="14"/>
      <c r="G188" s="18"/>
      <c r="H188" s="15"/>
      <c r="I188" s="15"/>
    </row>
    <row r="189" spans="1:10" s="23" customFormat="1" ht="102" customHeight="1" x14ac:dyDescent="0.25">
      <c r="A189" s="14"/>
      <c r="B189" s="77"/>
      <c r="C189" s="83" t="s">
        <v>564</v>
      </c>
      <c r="D189" s="192" t="s">
        <v>565</v>
      </c>
      <c r="E189" s="193"/>
      <c r="F189" s="14"/>
      <c r="G189" s="18"/>
      <c r="H189" s="15"/>
      <c r="I189" s="15"/>
    </row>
    <row r="190" spans="1:10" s="23" customFormat="1" ht="14.1" customHeight="1" x14ac:dyDescent="0.25">
      <c r="A190" s="14"/>
      <c r="B190" s="77"/>
      <c r="C190" s="84"/>
      <c r="D190" s="82"/>
      <c r="E190" s="85"/>
      <c r="F190" s="14"/>
      <c r="G190" s="18"/>
      <c r="H190" s="15"/>
      <c r="I190" s="15"/>
    </row>
    <row r="191" spans="1:10" s="23" customFormat="1" ht="14.1" customHeight="1" x14ac:dyDescent="0.25">
      <c r="A191" s="14"/>
      <c r="C191" s="84" t="s">
        <v>566</v>
      </c>
      <c r="D191" s="194" t="s">
        <v>567</v>
      </c>
      <c r="E191" s="195"/>
      <c r="I191" s="15"/>
    </row>
    <row r="192" spans="1:10" s="23" customFormat="1" ht="14.1" customHeight="1" x14ac:dyDescent="0.25">
      <c r="A192" s="14"/>
      <c r="C192" s="84"/>
      <c r="D192" s="82"/>
      <c r="E192" s="85"/>
      <c r="G192" s="63"/>
      <c r="H192" s="63"/>
      <c r="I192" s="15"/>
    </row>
    <row r="193" spans="1:9" s="23" customFormat="1" ht="48.75" customHeight="1" x14ac:dyDescent="0.25">
      <c r="A193" s="14"/>
      <c r="C193" s="189" t="s">
        <v>30</v>
      </c>
      <c r="D193" s="194" t="s">
        <v>594</v>
      </c>
      <c r="E193" s="195"/>
      <c r="G193" s="63"/>
      <c r="H193" s="63"/>
      <c r="I193" s="15"/>
    </row>
    <row r="194" spans="1:9" s="23" customFormat="1" ht="39.75" customHeight="1" x14ac:dyDescent="0.25">
      <c r="A194" s="14"/>
      <c r="C194" s="189"/>
      <c r="D194" s="194" t="s">
        <v>595</v>
      </c>
      <c r="E194" s="195"/>
      <c r="G194" s="63"/>
      <c r="H194" s="63"/>
      <c r="I194" s="15"/>
    </row>
    <row r="195" spans="1:9" s="23" customFormat="1" ht="14.1" customHeight="1" x14ac:dyDescent="0.25">
      <c r="A195" s="14"/>
      <c r="C195" s="84"/>
      <c r="D195" s="82"/>
      <c r="E195" s="85"/>
      <c r="G195" s="63"/>
      <c r="H195" s="63"/>
      <c r="I195" s="15"/>
    </row>
    <row r="196" spans="1:9" s="23" customFormat="1" ht="14.1" customHeight="1" x14ac:dyDescent="0.25">
      <c r="A196" s="14"/>
      <c r="C196" s="84" t="s">
        <v>568</v>
      </c>
      <c r="D196" s="82"/>
      <c r="E196" s="85"/>
      <c r="G196" s="63"/>
      <c r="H196" s="63"/>
      <c r="I196" s="15"/>
    </row>
    <row r="197" spans="1:9" s="23" customFormat="1" ht="14.1" customHeight="1" x14ac:dyDescent="0.25">
      <c r="A197" s="14"/>
      <c r="C197" s="84"/>
      <c r="D197" s="82"/>
      <c r="E197" s="85"/>
      <c r="G197" s="63"/>
      <c r="H197" s="63"/>
      <c r="I197" s="15"/>
    </row>
    <row r="198" spans="1:9" s="23" customFormat="1" ht="30" customHeight="1" thickBot="1" x14ac:dyDescent="0.3">
      <c r="A198" s="14"/>
      <c r="C198" s="86" t="s">
        <v>569</v>
      </c>
      <c r="D198" s="187" t="s">
        <v>570</v>
      </c>
      <c r="E198" s="188"/>
      <c r="G198" s="63"/>
      <c r="H198" s="63"/>
      <c r="I198" s="15"/>
    </row>
    <row r="199" spans="1:9" s="23" customFormat="1" ht="14.1" customHeight="1" thickBot="1" x14ac:dyDescent="0.3">
      <c r="A199" s="14"/>
      <c r="G199" s="63"/>
      <c r="H199" s="63"/>
      <c r="I199" s="15"/>
    </row>
    <row r="200" spans="1:9" s="58" customFormat="1" ht="14.1" customHeight="1" x14ac:dyDescent="0.25">
      <c r="A200" s="70"/>
      <c r="C200" s="89" t="s">
        <v>571</v>
      </c>
      <c r="D200" s="90">
        <v>1</v>
      </c>
      <c r="E200" s="179" t="s">
        <v>53</v>
      </c>
      <c r="G200" s="71"/>
      <c r="H200" s="71"/>
      <c r="I200" s="59"/>
    </row>
    <row r="201" spans="1:9" s="58" customFormat="1" ht="14.1" customHeight="1" x14ac:dyDescent="0.25">
      <c r="A201" s="70"/>
      <c r="C201" s="91" t="s">
        <v>571</v>
      </c>
      <c r="D201" s="92">
        <v>4</v>
      </c>
      <c r="E201" s="180" t="s">
        <v>516</v>
      </c>
      <c r="G201" s="71"/>
      <c r="H201" s="71"/>
      <c r="I201" s="59"/>
    </row>
    <row r="202" spans="1:9" s="58" customFormat="1" ht="14.1" customHeight="1" x14ac:dyDescent="0.25">
      <c r="A202" s="70"/>
      <c r="C202" s="91" t="s">
        <v>571</v>
      </c>
      <c r="D202" s="92">
        <v>5</v>
      </c>
      <c r="E202" s="181" t="s">
        <v>525</v>
      </c>
      <c r="G202" s="71"/>
      <c r="H202" s="71"/>
      <c r="I202" s="59"/>
    </row>
    <row r="203" spans="1:9" s="58" customFormat="1" ht="14.1" customHeight="1" x14ac:dyDescent="0.25">
      <c r="A203" s="70"/>
      <c r="C203" s="91" t="s">
        <v>571</v>
      </c>
      <c r="D203" s="92">
        <v>6</v>
      </c>
      <c r="E203" s="181" t="s">
        <v>50</v>
      </c>
      <c r="G203" s="71"/>
      <c r="H203" s="71"/>
      <c r="I203" s="59"/>
    </row>
    <row r="204" spans="1:9" s="58" customFormat="1" ht="14.1" customHeight="1" x14ac:dyDescent="0.25">
      <c r="A204" s="70"/>
      <c r="C204" s="91" t="s">
        <v>571</v>
      </c>
      <c r="D204" s="92">
        <v>7</v>
      </c>
      <c r="E204" s="181" t="s">
        <v>526</v>
      </c>
      <c r="G204" s="71"/>
      <c r="H204" s="71"/>
      <c r="I204" s="59"/>
    </row>
    <row r="205" spans="1:9" s="58" customFormat="1" ht="14.1" customHeight="1" x14ac:dyDescent="0.25">
      <c r="A205" s="70"/>
      <c r="C205" s="91" t="s">
        <v>571</v>
      </c>
      <c r="D205" s="92">
        <v>8</v>
      </c>
      <c r="E205" s="181" t="s">
        <v>281</v>
      </c>
      <c r="G205" s="71"/>
      <c r="H205" s="71"/>
      <c r="I205" s="59"/>
    </row>
    <row r="206" spans="1:9" s="58" customFormat="1" ht="14.1" customHeight="1" x14ac:dyDescent="0.25">
      <c r="A206" s="70"/>
      <c r="C206" s="91" t="s">
        <v>571</v>
      </c>
      <c r="D206" s="92">
        <v>9</v>
      </c>
      <c r="E206" s="181" t="s">
        <v>107</v>
      </c>
      <c r="G206" s="71"/>
      <c r="H206" s="71"/>
      <c r="I206" s="59"/>
    </row>
    <row r="207" spans="1:9" s="58" customFormat="1" ht="14.1" customHeight="1" x14ac:dyDescent="0.25">
      <c r="A207" s="70"/>
      <c r="C207" s="91" t="s">
        <v>571</v>
      </c>
      <c r="D207" s="92">
        <v>10</v>
      </c>
      <c r="E207" s="181" t="s">
        <v>108</v>
      </c>
      <c r="G207" s="71"/>
      <c r="H207" s="71"/>
      <c r="I207" s="59"/>
    </row>
    <row r="208" spans="1:9" s="58" customFormat="1" ht="14.1" customHeight="1" x14ac:dyDescent="0.25">
      <c r="A208" s="70"/>
      <c r="C208" s="91" t="s">
        <v>571</v>
      </c>
      <c r="D208" s="92">
        <v>11</v>
      </c>
      <c r="E208" s="181" t="s">
        <v>527</v>
      </c>
      <c r="G208" s="71"/>
      <c r="H208" s="71"/>
      <c r="I208" s="59"/>
    </row>
    <row r="209" spans="1:10" s="58" customFormat="1" ht="14.1" customHeight="1" x14ac:dyDescent="0.25">
      <c r="A209" s="70"/>
      <c r="C209" s="91" t="s">
        <v>571</v>
      </c>
      <c r="D209" s="92">
        <v>12</v>
      </c>
      <c r="E209" s="182" t="s">
        <v>185</v>
      </c>
      <c r="G209" s="71"/>
      <c r="H209" s="71"/>
      <c r="I209" s="59"/>
    </row>
    <row r="210" spans="1:10" s="58" customFormat="1" ht="14.1" customHeight="1" x14ac:dyDescent="0.25">
      <c r="A210" s="70"/>
      <c r="C210" s="91" t="s">
        <v>571</v>
      </c>
      <c r="D210" s="92">
        <v>13</v>
      </c>
      <c r="E210" s="182" t="s">
        <v>282</v>
      </c>
      <c r="G210" s="71"/>
      <c r="H210" s="71"/>
      <c r="I210" s="59"/>
    </row>
    <row r="211" spans="1:10" s="58" customFormat="1" ht="14.1" customHeight="1" x14ac:dyDescent="0.25">
      <c r="A211" s="70"/>
      <c r="C211" s="91" t="s">
        <v>571</v>
      </c>
      <c r="D211" s="92">
        <v>14</v>
      </c>
      <c r="E211" s="181" t="s">
        <v>109</v>
      </c>
      <c r="G211" s="71"/>
      <c r="H211" s="71"/>
      <c r="I211" s="59"/>
    </row>
    <row r="212" spans="1:10" s="58" customFormat="1" ht="14.1" customHeight="1" x14ac:dyDescent="0.25">
      <c r="A212" s="70"/>
      <c r="C212" s="91" t="s">
        <v>571</v>
      </c>
      <c r="D212" s="92">
        <v>15</v>
      </c>
      <c r="E212" s="181" t="s">
        <v>528</v>
      </c>
      <c r="G212" s="71"/>
      <c r="H212" s="71"/>
      <c r="I212" s="59"/>
    </row>
    <row r="213" spans="1:10" s="58" customFormat="1" ht="14.1" customHeight="1" x14ac:dyDescent="0.25">
      <c r="A213" s="70"/>
      <c r="C213" s="91" t="s">
        <v>571</v>
      </c>
      <c r="D213" s="92">
        <v>16</v>
      </c>
      <c r="E213" s="181" t="s">
        <v>181</v>
      </c>
      <c r="G213" s="71"/>
      <c r="H213" s="71"/>
      <c r="I213" s="59"/>
    </row>
    <row r="214" spans="1:10" s="58" customFormat="1" ht="14.1" customHeight="1" x14ac:dyDescent="0.25">
      <c r="A214" s="70"/>
      <c r="C214" s="91" t="s">
        <v>571</v>
      </c>
      <c r="D214" s="92">
        <v>17</v>
      </c>
      <c r="E214" s="181" t="s">
        <v>182</v>
      </c>
      <c r="G214" s="71"/>
      <c r="H214" s="71"/>
      <c r="I214" s="59"/>
    </row>
    <row r="215" spans="1:10" s="65" customFormat="1" ht="15" customHeight="1" x14ac:dyDescent="0.25">
      <c r="A215" s="70"/>
      <c r="B215" s="58"/>
      <c r="C215" s="91" t="s">
        <v>571</v>
      </c>
      <c r="D215" s="92">
        <v>18</v>
      </c>
      <c r="E215" s="182" t="s">
        <v>522</v>
      </c>
      <c r="F215" s="58"/>
      <c r="G215" s="71"/>
      <c r="H215" s="71"/>
      <c r="I215" s="59"/>
      <c r="J215" s="58"/>
    </row>
    <row r="216" spans="1:10" s="65" customFormat="1" ht="15" customHeight="1" x14ac:dyDescent="0.25">
      <c r="A216" s="70"/>
      <c r="B216" s="58"/>
      <c r="C216" s="91" t="s">
        <v>571</v>
      </c>
      <c r="D216" s="92">
        <v>19</v>
      </c>
      <c r="E216" s="182" t="s">
        <v>523</v>
      </c>
      <c r="F216" s="58"/>
      <c r="G216" s="71"/>
      <c r="H216" s="71"/>
      <c r="I216" s="59"/>
      <c r="J216" s="58"/>
    </row>
    <row r="217" spans="1:10" s="65" customFormat="1" ht="15" customHeight="1" x14ac:dyDescent="0.25">
      <c r="A217" s="70"/>
      <c r="B217" s="58"/>
      <c r="C217" s="91" t="s">
        <v>571</v>
      </c>
      <c r="D217" s="92">
        <v>20</v>
      </c>
      <c r="E217" s="181" t="s">
        <v>529</v>
      </c>
      <c r="F217" s="58"/>
      <c r="G217" s="71"/>
      <c r="H217" s="71"/>
      <c r="I217" s="59"/>
      <c r="J217" s="58"/>
    </row>
    <row r="218" spans="1:10" s="65" customFormat="1" ht="15" customHeight="1" x14ac:dyDescent="0.25">
      <c r="A218" s="70"/>
      <c r="B218" s="58"/>
      <c r="C218" s="91" t="s">
        <v>571</v>
      </c>
      <c r="D218" s="92">
        <v>21</v>
      </c>
      <c r="E218" s="181" t="s">
        <v>49</v>
      </c>
      <c r="F218" s="58"/>
      <c r="G218" s="71"/>
      <c r="H218" s="71"/>
      <c r="I218" s="59"/>
      <c r="J218" s="58"/>
    </row>
    <row r="219" spans="1:10" s="65" customFormat="1" ht="15" customHeight="1" x14ac:dyDescent="0.25">
      <c r="A219" s="70"/>
      <c r="B219" s="58"/>
      <c r="C219" s="91" t="s">
        <v>571</v>
      </c>
      <c r="D219" s="92">
        <v>22</v>
      </c>
      <c r="E219" s="181" t="s">
        <v>124</v>
      </c>
      <c r="F219" s="58"/>
      <c r="G219" s="71"/>
      <c r="H219" s="71"/>
      <c r="I219" s="59"/>
      <c r="J219" s="58"/>
    </row>
    <row r="220" spans="1:10" s="65" customFormat="1" ht="15" customHeight="1" x14ac:dyDescent="0.25">
      <c r="A220" s="70"/>
      <c r="B220" s="58"/>
      <c r="C220" s="91" t="s">
        <v>571</v>
      </c>
      <c r="D220" s="92">
        <v>23</v>
      </c>
      <c r="E220" s="181" t="s">
        <v>100</v>
      </c>
      <c r="F220" s="58"/>
      <c r="G220" s="71"/>
      <c r="H220" s="71"/>
      <c r="I220" s="59"/>
      <c r="J220" s="58"/>
    </row>
    <row r="221" spans="1:10" s="65" customFormat="1" ht="15" customHeight="1" x14ac:dyDescent="0.25">
      <c r="A221" s="70"/>
      <c r="B221" s="58"/>
      <c r="C221" s="91" t="s">
        <v>571</v>
      </c>
      <c r="D221" s="92">
        <v>24</v>
      </c>
      <c r="E221" s="181" t="s">
        <v>123</v>
      </c>
      <c r="F221" s="58"/>
      <c r="G221" s="71"/>
      <c r="H221" s="71"/>
      <c r="I221" s="59"/>
      <c r="J221" s="58"/>
    </row>
    <row r="222" spans="1:10" s="65" customFormat="1" ht="15" customHeight="1" x14ac:dyDescent="0.25">
      <c r="A222" s="70"/>
      <c r="B222" s="58"/>
      <c r="C222" s="91" t="s">
        <v>571</v>
      </c>
      <c r="D222" s="92">
        <v>25</v>
      </c>
      <c r="E222" s="181" t="s">
        <v>99</v>
      </c>
      <c r="F222" s="58"/>
      <c r="G222" s="71"/>
      <c r="H222" s="71"/>
      <c r="I222" s="59"/>
      <c r="J222" s="58"/>
    </row>
    <row r="223" spans="1:10" s="65" customFormat="1" ht="15.75" customHeight="1" x14ac:dyDescent="0.25">
      <c r="A223" s="70"/>
      <c r="B223" s="58"/>
      <c r="C223" s="91" t="s">
        <v>571</v>
      </c>
      <c r="D223" s="92">
        <v>26</v>
      </c>
      <c r="E223" s="181" t="s">
        <v>52</v>
      </c>
      <c r="F223" s="58"/>
      <c r="G223" s="71"/>
      <c r="H223" s="71"/>
      <c r="I223" s="59"/>
      <c r="J223" s="58"/>
    </row>
    <row r="224" spans="1:10" s="65" customFormat="1" ht="15" customHeight="1" x14ac:dyDescent="0.25">
      <c r="A224" s="70"/>
      <c r="B224" s="58"/>
      <c r="C224" s="91" t="s">
        <v>571</v>
      </c>
      <c r="D224" s="92">
        <v>27</v>
      </c>
      <c r="E224" s="181" t="s">
        <v>114</v>
      </c>
      <c r="F224" s="58"/>
      <c r="G224" s="71"/>
      <c r="H224" s="71"/>
      <c r="I224" s="59"/>
      <c r="J224" s="58"/>
    </row>
    <row r="225" spans="1:10" s="65" customFormat="1" ht="15" customHeight="1" x14ac:dyDescent="0.25">
      <c r="A225" s="70"/>
      <c r="B225" s="58"/>
      <c r="C225" s="91" t="s">
        <v>571</v>
      </c>
      <c r="D225" s="92">
        <v>28</v>
      </c>
      <c r="E225" s="181" t="s">
        <v>90</v>
      </c>
      <c r="F225" s="58"/>
      <c r="G225" s="71"/>
      <c r="H225" s="71"/>
      <c r="I225" s="59"/>
      <c r="J225" s="58"/>
    </row>
    <row r="226" spans="1:10" s="65" customFormat="1" ht="15" customHeight="1" x14ac:dyDescent="0.25">
      <c r="A226" s="70"/>
      <c r="B226" s="58"/>
      <c r="C226" s="91" t="s">
        <v>571</v>
      </c>
      <c r="D226" s="92">
        <v>30</v>
      </c>
      <c r="E226" s="181" t="s">
        <v>80</v>
      </c>
      <c r="F226" s="58"/>
      <c r="G226" s="71"/>
      <c r="H226" s="71"/>
      <c r="I226" s="59"/>
      <c r="J226" s="58"/>
    </row>
    <row r="227" spans="1:10" s="65" customFormat="1" ht="15" customHeight="1" x14ac:dyDescent="0.25">
      <c r="A227" s="70"/>
      <c r="B227" s="58"/>
      <c r="C227" s="91" t="s">
        <v>571</v>
      </c>
      <c r="D227" s="92">
        <v>31</v>
      </c>
      <c r="E227" s="181" t="s">
        <v>113</v>
      </c>
      <c r="F227" s="58"/>
      <c r="G227" s="71"/>
      <c r="H227" s="71"/>
      <c r="I227" s="59"/>
      <c r="J227" s="58"/>
    </row>
    <row r="228" spans="1:10" s="65" customFormat="1" ht="15" customHeight="1" x14ac:dyDescent="0.25">
      <c r="A228" s="70"/>
      <c r="B228" s="58"/>
      <c r="C228" s="91" t="s">
        <v>571</v>
      </c>
      <c r="D228" s="92">
        <v>32</v>
      </c>
      <c r="E228" s="181" t="s">
        <v>82</v>
      </c>
      <c r="F228" s="58"/>
      <c r="G228" s="71"/>
      <c r="H228" s="71"/>
      <c r="I228" s="59"/>
      <c r="J228" s="58"/>
    </row>
    <row r="229" spans="1:10" s="65" customFormat="1" ht="15" customHeight="1" x14ac:dyDescent="0.25">
      <c r="A229" s="70"/>
      <c r="B229" s="58"/>
      <c r="C229" s="91" t="s">
        <v>571</v>
      </c>
      <c r="D229" s="92">
        <v>33</v>
      </c>
      <c r="E229" s="181" t="s">
        <v>122</v>
      </c>
      <c r="F229" s="58"/>
      <c r="G229" s="71"/>
      <c r="H229" s="71"/>
      <c r="I229" s="59"/>
      <c r="J229" s="58"/>
    </row>
    <row r="230" spans="1:10" s="65" customFormat="1" ht="15" customHeight="1" x14ac:dyDescent="0.25">
      <c r="A230" s="70"/>
      <c r="B230" s="58"/>
      <c r="C230" s="91" t="s">
        <v>571</v>
      </c>
      <c r="D230" s="92">
        <v>34</v>
      </c>
      <c r="E230" s="181" t="s">
        <v>81</v>
      </c>
      <c r="F230" s="58"/>
      <c r="G230" s="71"/>
      <c r="H230" s="71"/>
      <c r="I230" s="59"/>
      <c r="J230" s="58"/>
    </row>
    <row r="231" spans="1:10" s="65" customFormat="1" ht="15" customHeight="1" x14ac:dyDescent="0.25">
      <c r="A231" s="70"/>
      <c r="B231" s="58"/>
      <c r="C231" s="91" t="s">
        <v>571</v>
      </c>
      <c r="D231" s="92">
        <v>37</v>
      </c>
      <c r="E231" s="181" t="s">
        <v>573</v>
      </c>
      <c r="F231" s="58"/>
      <c r="G231" s="71"/>
      <c r="H231" s="71"/>
      <c r="I231" s="59"/>
      <c r="J231" s="58"/>
    </row>
    <row r="232" spans="1:10" s="65" customFormat="1" ht="15" customHeight="1" x14ac:dyDescent="0.25">
      <c r="A232" s="70"/>
      <c r="B232" s="58"/>
      <c r="C232" s="91" t="s">
        <v>571</v>
      </c>
      <c r="D232" s="92">
        <v>38</v>
      </c>
      <c r="E232" s="181" t="s">
        <v>279</v>
      </c>
      <c r="F232" s="58"/>
      <c r="G232" s="71"/>
      <c r="H232" s="71"/>
      <c r="I232" s="59"/>
      <c r="J232" s="58"/>
    </row>
    <row r="233" spans="1:10" s="65" customFormat="1" ht="15" customHeight="1" x14ac:dyDescent="0.25">
      <c r="A233" s="70"/>
      <c r="B233" s="58"/>
      <c r="C233" s="91" t="s">
        <v>571</v>
      </c>
      <c r="D233" s="92">
        <v>39</v>
      </c>
      <c r="E233" s="181" t="s">
        <v>508</v>
      </c>
      <c r="F233" s="58"/>
      <c r="G233" s="71"/>
      <c r="H233" s="71"/>
      <c r="I233" s="59"/>
      <c r="J233" s="58"/>
    </row>
    <row r="234" spans="1:10" s="65" customFormat="1" ht="15" customHeight="1" x14ac:dyDescent="0.25">
      <c r="A234" s="70"/>
      <c r="B234" s="58"/>
      <c r="C234" s="91" t="s">
        <v>571</v>
      </c>
      <c r="D234" s="92">
        <v>40</v>
      </c>
      <c r="E234" s="181" t="s">
        <v>286</v>
      </c>
      <c r="F234" s="58"/>
      <c r="G234" s="71"/>
      <c r="H234" s="71"/>
      <c r="I234" s="59"/>
      <c r="J234" s="58"/>
    </row>
    <row r="235" spans="1:10" s="65" customFormat="1" ht="15" customHeight="1" x14ac:dyDescent="0.25">
      <c r="A235" s="70"/>
      <c r="B235" s="58"/>
      <c r="C235" s="91" t="s">
        <v>571</v>
      </c>
      <c r="D235" s="92">
        <v>41</v>
      </c>
      <c r="E235" s="181" t="s">
        <v>426</v>
      </c>
      <c r="F235" s="58"/>
      <c r="G235" s="71"/>
      <c r="H235" s="71"/>
      <c r="I235" s="59"/>
      <c r="J235" s="58"/>
    </row>
    <row r="236" spans="1:10" s="65" customFormat="1" ht="15" customHeight="1" x14ac:dyDescent="0.25">
      <c r="A236" s="70"/>
      <c r="B236" s="58"/>
      <c r="C236" s="91" t="s">
        <v>571</v>
      </c>
      <c r="D236" s="92">
        <v>42</v>
      </c>
      <c r="E236" s="181" t="s">
        <v>244</v>
      </c>
      <c r="F236" s="58"/>
      <c r="G236" s="71"/>
      <c r="H236" s="71"/>
      <c r="I236" s="59"/>
      <c r="J236" s="58"/>
    </row>
    <row r="237" spans="1:10" s="65" customFormat="1" ht="15" customHeight="1" x14ac:dyDescent="0.25">
      <c r="A237" s="70"/>
      <c r="B237" s="58"/>
      <c r="C237" s="91" t="s">
        <v>571</v>
      </c>
      <c r="D237" s="92">
        <v>43</v>
      </c>
      <c r="E237" s="181" t="s">
        <v>243</v>
      </c>
      <c r="F237" s="58"/>
      <c r="G237" s="71"/>
      <c r="H237" s="71"/>
      <c r="I237" s="59"/>
      <c r="J237" s="58"/>
    </row>
    <row r="238" spans="1:10" s="65" customFormat="1" ht="15" customHeight="1" x14ac:dyDescent="0.25">
      <c r="A238" s="70"/>
      <c r="B238" s="58"/>
      <c r="C238" s="91" t="s">
        <v>571</v>
      </c>
      <c r="D238" s="92">
        <v>44</v>
      </c>
      <c r="E238" s="181" t="s">
        <v>425</v>
      </c>
      <c r="F238" s="58"/>
      <c r="G238" s="71"/>
      <c r="H238" s="71"/>
      <c r="I238" s="59"/>
      <c r="J238" s="58"/>
    </row>
    <row r="239" spans="1:10" s="65" customFormat="1" ht="15" customHeight="1" x14ac:dyDescent="0.25">
      <c r="A239" s="70"/>
      <c r="B239" s="58"/>
      <c r="C239" s="91" t="s">
        <v>571</v>
      </c>
      <c r="D239" s="92">
        <v>45</v>
      </c>
      <c r="E239" s="181" t="s">
        <v>424</v>
      </c>
      <c r="F239" s="58"/>
      <c r="G239" s="71"/>
      <c r="H239" s="71"/>
      <c r="I239" s="59"/>
      <c r="J239" s="58"/>
    </row>
    <row r="240" spans="1:10" s="65" customFormat="1" ht="15" customHeight="1" x14ac:dyDescent="0.25">
      <c r="A240" s="70"/>
      <c r="B240" s="58"/>
      <c r="C240" s="91" t="s">
        <v>571</v>
      </c>
      <c r="D240" s="92">
        <v>46</v>
      </c>
      <c r="E240" s="181" t="s">
        <v>38</v>
      </c>
      <c r="F240" s="58"/>
      <c r="G240" s="71"/>
      <c r="H240" s="71"/>
      <c r="I240" s="59"/>
      <c r="J240" s="58"/>
    </row>
    <row r="241" spans="1:10" s="65" customFormat="1" ht="15" customHeight="1" x14ac:dyDescent="0.25">
      <c r="A241" s="70"/>
      <c r="B241" s="58"/>
      <c r="C241" s="91" t="s">
        <v>571</v>
      </c>
      <c r="D241" s="92">
        <v>47</v>
      </c>
      <c r="E241" s="181" t="s">
        <v>104</v>
      </c>
      <c r="F241" s="58"/>
      <c r="G241" s="71"/>
      <c r="H241" s="71"/>
      <c r="I241" s="59"/>
      <c r="J241" s="58"/>
    </row>
    <row r="242" spans="1:10" s="65" customFormat="1" ht="15" customHeight="1" x14ac:dyDescent="0.25">
      <c r="A242" s="70"/>
      <c r="B242" s="58"/>
      <c r="C242" s="91" t="s">
        <v>571</v>
      </c>
      <c r="D242" s="92">
        <v>48</v>
      </c>
      <c r="E242" s="181" t="s">
        <v>105</v>
      </c>
      <c r="F242" s="58"/>
      <c r="G242" s="71"/>
      <c r="H242" s="71"/>
      <c r="I242" s="59"/>
      <c r="J242" s="58"/>
    </row>
    <row r="243" spans="1:10" s="65" customFormat="1" ht="15" customHeight="1" x14ac:dyDescent="0.25">
      <c r="A243" s="70"/>
      <c r="B243" s="58"/>
      <c r="C243" s="91" t="s">
        <v>571</v>
      </c>
      <c r="D243" s="92">
        <v>49</v>
      </c>
      <c r="E243" s="181" t="s">
        <v>67</v>
      </c>
      <c r="F243" s="58"/>
      <c r="G243" s="71"/>
      <c r="H243" s="71"/>
      <c r="I243" s="59"/>
      <c r="J243" s="58"/>
    </row>
    <row r="244" spans="1:10" s="65" customFormat="1" ht="15" customHeight="1" x14ac:dyDescent="0.25">
      <c r="A244" s="70"/>
      <c r="B244" s="58"/>
      <c r="C244" s="91" t="s">
        <v>571</v>
      </c>
      <c r="D244" s="92">
        <v>50</v>
      </c>
      <c r="E244" s="181" t="s">
        <v>78</v>
      </c>
      <c r="F244" s="58"/>
      <c r="G244" s="71"/>
      <c r="H244" s="71"/>
      <c r="I244" s="59"/>
      <c r="J244" s="58"/>
    </row>
    <row r="245" spans="1:10" s="65" customFormat="1" ht="15" customHeight="1" x14ac:dyDescent="0.25">
      <c r="A245" s="70"/>
      <c r="B245" s="58"/>
      <c r="C245" s="91" t="s">
        <v>571</v>
      </c>
      <c r="D245" s="92">
        <v>51</v>
      </c>
      <c r="E245" s="181" t="s">
        <v>43</v>
      </c>
      <c r="F245" s="58"/>
      <c r="G245" s="71"/>
      <c r="H245" s="71"/>
      <c r="I245" s="59"/>
      <c r="J245" s="58"/>
    </row>
    <row r="246" spans="1:10" s="65" customFormat="1" ht="15" customHeight="1" x14ac:dyDescent="0.25">
      <c r="A246" s="70"/>
      <c r="B246" s="58"/>
      <c r="C246" s="91" t="s">
        <v>571</v>
      </c>
      <c r="D246" s="92">
        <v>52</v>
      </c>
      <c r="E246" s="181" t="s">
        <v>272</v>
      </c>
      <c r="F246" s="58"/>
      <c r="G246" s="71"/>
      <c r="H246" s="71"/>
      <c r="I246" s="59"/>
      <c r="J246" s="58"/>
    </row>
    <row r="247" spans="1:10" s="65" customFormat="1" ht="15" customHeight="1" x14ac:dyDescent="0.25">
      <c r="A247" s="70"/>
      <c r="B247" s="58"/>
      <c r="C247" s="91" t="s">
        <v>571</v>
      </c>
      <c r="D247" s="92">
        <v>53</v>
      </c>
      <c r="E247" s="181" t="s">
        <v>95</v>
      </c>
      <c r="F247" s="58"/>
      <c r="G247" s="71"/>
      <c r="H247" s="71"/>
      <c r="I247" s="59"/>
      <c r="J247" s="58"/>
    </row>
    <row r="248" spans="1:10" s="65" customFormat="1" ht="15" customHeight="1" x14ac:dyDescent="0.25">
      <c r="A248" s="70"/>
      <c r="B248" s="58"/>
      <c r="C248" s="91" t="s">
        <v>571</v>
      </c>
      <c r="D248" s="92">
        <v>54</v>
      </c>
      <c r="E248" s="181" t="s">
        <v>101</v>
      </c>
      <c r="F248" s="58"/>
      <c r="G248" s="71"/>
      <c r="H248" s="71"/>
      <c r="I248" s="59"/>
      <c r="J248" s="58"/>
    </row>
    <row r="249" spans="1:10" s="65" customFormat="1" ht="15" customHeight="1" x14ac:dyDescent="0.25">
      <c r="A249" s="70"/>
      <c r="B249" s="58"/>
      <c r="C249" s="91" t="s">
        <v>571</v>
      </c>
      <c r="D249" s="92">
        <v>55</v>
      </c>
      <c r="E249" s="181" t="s">
        <v>86</v>
      </c>
      <c r="F249" s="58"/>
      <c r="G249" s="71"/>
      <c r="H249" s="71"/>
      <c r="I249" s="59"/>
      <c r="J249" s="58"/>
    </row>
    <row r="250" spans="1:10" s="65" customFormat="1" ht="15" customHeight="1" x14ac:dyDescent="0.25">
      <c r="A250" s="70"/>
      <c r="B250" s="58"/>
      <c r="C250" s="91" t="s">
        <v>571</v>
      </c>
      <c r="D250" s="92">
        <v>56</v>
      </c>
      <c r="E250" s="181" t="s">
        <v>55</v>
      </c>
      <c r="F250" s="58"/>
      <c r="G250" s="71"/>
      <c r="H250" s="71"/>
      <c r="I250" s="59"/>
      <c r="J250" s="58"/>
    </row>
    <row r="251" spans="1:10" s="65" customFormat="1" ht="15" customHeight="1" x14ac:dyDescent="0.25">
      <c r="A251" s="70"/>
      <c r="B251" s="58"/>
      <c r="C251" s="91" t="s">
        <v>571</v>
      </c>
      <c r="D251" s="92">
        <v>57</v>
      </c>
      <c r="E251" s="181" t="s">
        <v>47</v>
      </c>
      <c r="F251" s="58"/>
      <c r="G251" s="71"/>
      <c r="H251" s="71"/>
      <c r="I251" s="59"/>
      <c r="J251" s="58"/>
    </row>
    <row r="252" spans="1:10" s="65" customFormat="1" ht="15" customHeight="1" x14ac:dyDescent="0.25">
      <c r="A252" s="70"/>
      <c r="B252" s="58"/>
      <c r="C252" s="91" t="s">
        <v>571</v>
      </c>
      <c r="D252" s="92">
        <v>58</v>
      </c>
      <c r="E252" s="181" t="s">
        <v>63</v>
      </c>
      <c r="F252" s="58"/>
      <c r="G252" s="71"/>
      <c r="H252" s="71"/>
      <c r="I252" s="59"/>
      <c r="J252" s="58"/>
    </row>
    <row r="253" spans="1:10" s="65" customFormat="1" ht="15" customHeight="1" x14ac:dyDescent="0.25">
      <c r="A253" s="70"/>
      <c r="B253" s="58"/>
      <c r="C253" s="91" t="s">
        <v>571</v>
      </c>
      <c r="D253" s="92">
        <v>59</v>
      </c>
      <c r="E253" s="181" t="s">
        <v>283</v>
      </c>
      <c r="F253" s="58"/>
      <c r="G253" s="71"/>
      <c r="H253" s="71"/>
      <c r="I253" s="59"/>
      <c r="J253" s="58"/>
    </row>
    <row r="254" spans="1:10" s="65" customFormat="1" ht="15" customHeight="1" x14ac:dyDescent="0.25">
      <c r="A254" s="70"/>
      <c r="B254" s="58"/>
      <c r="C254" s="91" t="s">
        <v>571</v>
      </c>
      <c r="D254" s="92">
        <v>60</v>
      </c>
      <c r="E254" s="181" t="s">
        <v>54</v>
      </c>
      <c r="F254" s="58"/>
      <c r="G254" s="71"/>
      <c r="H254" s="71"/>
      <c r="I254" s="59"/>
      <c r="J254" s="58"/>
    </row>
    <row r="255" spans="1:10" s="65" customFormat="1" ht="15" customHeight="1" x14ac:dyDescent="0.25">
      <c r="A255" s="70"/>
      <c r="B255" s="58"/>
      <c r="C255" s="91" t="s">
        <v>571</v>
      </c>
      <c r="D255" s="92">
        <v>61</v>
      </c>
      <c r="E255" s="181" t="s">
        <v>70</v>
      </c>
      <c r="F255" s="58"/>
      <c r="G255" s="71"/>
      <c r="H255" s="71"/>
      <c r="I255" s="59"/>
      <c r="J255" s="58"/>
    </row>
    <row r="256" spans="1:10" s="65" customFormat="1" ht="15" customHeight="1" x14ac:dyDescent="0.25">
      <c r="A256" s="70"/>
      <c r="B256" s="58"/>
      <c r="C256" s="91" t="s">
        <v>571</v>
      </c>
      <c r="D256" s="92">
        <v>62</v>
      </c>
      <c r="E256" s="181" t="s">
        <v>71</v>
      </c>
      <c r="F256" s="58"/>
      <c r="G256" s="71"/>
      <c r="H256" s="71"/>
      <c r="I256" s="59"/>
      <c r="J256" s="58"/>
    </row>
    <row r="257" spans="1:10" s="65" customFormat="1" ht="15" customHeight="1" x14ac:dyDescent="0.25">
      <c r="A257" s="70"/>
      <c r="B257" s="58"/>
      <c r="C257" s="91" t="s">
        <v>571</v>
      </c>
      <c r="D257" s="92">
        <v>63</v>
      </c>
      <c r="E257" s="181" t="s">
        <v>69</v>
      </c>
      <c r="F257" s="58"/>
      <c r="G257" s="71"/>
      <c r="H257" s="71"/>
      <c r="I257" s="59"/>
      <c r="J257" s="58"/>
    </row>
    <row r="258" spans="1:10" s="65" customFormat="1" ht="15" customHeight="1" x14ac:dyDescent="0.25">
      <c r="A258" s="70"/>
      <c r="B258" s="58"/>
      <c r="C258" s="91" t="s">
        <v>571</v>
      </c>
      <c r="D258" s="92">
        <v>64</v>
      </c>
      <c r="E258" s="181" t="s">
        <v>232</v>
      </c>
      <c r="F258" s="58"/>
      <c r="G258" s="71"/>
      <c r="H258" s="71"/>
      <c r="I258" s="59"/>
      <c r="J258" s="58"/>
    </row>
    <row r="259" spans="1:10" s="65" customFormat="1" ht="15" customHeight="1" x14ac:dyDescent="0.25">
      <c r="A259" s="70"/>
      <c r="B259" s="58"/>
      <c r="C259" s="91" t="s">
        <v>571</v>
      </c>
      <c r="D259" s="92">
        <v>65</v>
      </c>
      <c r="E259" s="181" t="s">
        <v>79</v>
      </c>
      <c r="F259" s="58"/>
      <c r="G259" s="71"/>
      <c r="H259" s="71"/>
      <c r="I259" s="59"/>
      <c r="J259" s="58"/>
    </row>
    <row r="260" spans="1:10" s="65" customFormat="1" ht="15" customHeight="1" x14ac:dyDescent="0.25">
      <c r="A260" s="70"/>
      <c r="B260" s="58"/>
      <c r="C260" s="91" t="s">
        <v>571</v>
      </c>
      <c r="D260" s="92">
        <v>66</v>
      </c>
      <c r="E260" s="181" t="s">
        <v>37</v>
      </c>
      <c r="F260" s="58"/>
      <c r="G260" s="71"/>
      <c r="H260" s="71"/>
      <c r="I260" s="59"/>
      <c r="J260" s="58"/>
    </row>
    <row r="261" spans="1:10" s="65" customFormat="1" ht="15" customHeight="1" x14ac:dyDescent="0.25">
      <c r="A261" s="70"/>
      <c r="B261" s="58"/>
      <c r="C261" s="91" t="s">
        <v>571</v>
      </c>
      <c r="D261" s="92">
        <v>67</v>
      </c>
      <c r="E261" s="181" t="s">
        <v>93</v>
      </c>
      <c r="F261" s="58"/>
      <c r="G261" s="71"/>
      <c r="H261" s="71"/>
      <c r="I261" s="59"/>
      <c r="J261" s="58"/>
    </row>
    <row r="262" spans="1:10" s="65" customFormat="1" ht="15" customHeight="1" x14ac:dyDescent="0.25">
      <c r="A262" s="70"/>
      <c r="B262" s="58"/>
      <c r="C262" s="91" t="s">
        <v>571</v>
      </c>
      <c r="D262" s="92">
        <v>68</v>
      </c>
      <c r="E262" s="181" t="s">
        <v>42</v>
      </c>
      <c r="F262" s="58"/>
      <c r="G262" s="71"/>
      <c r="H262" s="71"/>
      <c r="I262" s="59"/>
      <c r="J262" s="58"/>
    </row>
    <row r="263" spans="1:10" s="65" customFormat="1" ht="15" customHeight="1" x14ac:dyDescent="0.25">
      <c r="A263" s="70"/>
      <c r="B263" s="58"/>
      <c r="C263" s="91" t="s">
        <v>571</v>
      </c>
      <c r="D263" s="92">
        <v>69</v>
      </c>
      <c r="E263" s="181" t="s">
        <v>110</v>
      </c>
      <c r="F263" s="58"/>
      <c r="G263" s="71"/>
      <c r="H263" s="71"/>
      <c r="I263" s="59"/>
      <c r="J263" s="58"/>
    </row>
    <row r="264" spans="1:10" s="65" customFormat="1" ht="15" customHeight="1" x14ac:dyDescent="0.25">
      <c r="A264" s="70"/>
      <c r="B264" s="58"/>
      <c r="C264" s="91" t="s">
        <v>571</v>
      </c>
      <c r="D264" s="92">
        <v>70</v>
      </c>
      <c r="E264" s="181" t="s">
        <v>103</v>
      </c>
      <c r="F264" s="58"/>
      <c r="G264" s="71"/>
      <c r="H264" s="71"/>
      <c r="I264" s="59"/>
      <c r="J264" s="58"/>
    </row>
    <row r="265" spans="1:10" s="65" customFormat="1" ht="15" customHeight="1" x14ac:dyDescent="0.25">
      <c r="A265" s="70"/>
      <c r="B265" s="58"/>
      <c r="C265" s="91" t="s">
        <v>571</v>
      </c>
      <c r="D265" s="92">
        <v>71</v>
      </c>
      <c r="E265" s="181" t="s">
        <v>85</v>
      </c>
      <c r="F265" s="58"/>
      <c r="G265" s="71"/>
      <c r="H265" s="71"/>
      <c r="I265" s="59"/>
      <c r="J265" s="58"/>
    </row>
    <row r="266" spans="1:10" s="65" customFormat="1" ht="15" customHeight="1" x14ac:dyDescent="0.25">
      <c r="A266" s="70"/>
      <c r="B266" s="58"/>
      <c r="C266" s="91" t="s">
        <v>571</v>
      </c>
      <c r="D266" s="92">
        <v>72</v>
      </c>
      <c r="E266" s="181" t="s">
        <v>46</v>
      </c>
      <c r="F266" s="58"/>
      <c r="G266" s="71"/>
      <c r="H266" s="71"/>
      <c r="I266" s="59"/>
      <c r="J266" s="58"/>
    </row>
    <row r="267" spans="1:10" s="65" customFormat="1" ht="15" customHeight="1" x14ac:dyDescent="0.25">
      <c r="A267" s="70"/>
      <c r="B267" s="58"/>
      <c r="C267" s="91" t="s">
        <v>571</v>
      </c>
      <c r="D267" s="92">
        <v>73</v>
      </c>
      <c r="E267" s="181" t="s">
        <v>76</v>
      </c>
      <c r="F267" s="58"/>
      <c r="G267" s="71"/>
      <c r="H267" s="71"/>
      <c r="I267" s="59"/>
      <c r="J267" s="58"/>
    </row>
    <row r="268" spans="1:10" s="65" customFormat="1" ht="15" customHeight="1" x14ac:dyDescent="0.25">
      <c r="A268" s="70"/>
      <c r="B268" s="58"/>
      <c r="C268" s="91" t="s">
        <v>571</v>
      </c>
      <c r="D268" s="92">
        <v>74</v>
      </c>
      <c r="E268" s="181" t="s">
        <v>116</v>
      </c>
      <c r="F268" s="58"/>
      <c r="G268" s="71"/>
      <c r="H268" s="71"/>
      <c r="I268" s="59"/>
      <c r="J268" s="58"/>
    </row>
    <row r="269" spans="1:10" s="65" customFormat="1" ht="15" customHeight="1" x14ac:dyDescent="0.25">
      <c r="A269" s="70"/>
      <c r="B269" s="58"/>
      <c r="C269" s="91" t="s">
        <v>571</v>
      </c>
      <c r="D269" s="92">
        <v>75</v>
      </c>
      <c r="E269" s="181" t="s">
        <v>24</v>
      </c>
      <c r="F269" s="58"/>
      <c r="G269" s="71"/>
      <c r="H269" s="71"/>
      <c r="I269" s="59"/>
      <c r="J269" s="58"/>
    </row>
    <row r="270" spans="1:10" s="65" customFormat="1" ht="15" customHeight="1" x14ac:dyDescent="0.25">
      <c r="A270" s="70"/>
      <c r="B270" s="58"/>
      <c r="C270" s="91" t="s">
        <v>571</v>
      </c>
      <c r="D270" s="92">
        <v>76</v>
      </c>
      <c r="E270" s="181" t="s">
        <v>22</v>
      </c>
      <c r="F270" s="58"/>
      <c r="G270" s="71"/>
      <c r="H270" s="71"/>
      <c r="I270" s="59"/>
      <c r="J270" s="58"/>
    </row>
    <row r="271" spans="1:10" s="65" customFormat="1" ht="15" customHeight="1" x14ac:dyDescent="0.25">
      <c r="A271" s="70"/>
      <c r="B271" s="58"/>
      <c r="C271" s="91" t="s">
        <v>571</v>
      </c>
      <c r="D271" s="92">
        <v>77</v>
      </c>
      <c r="E271" s="181" t="s">
        <v>51</v>
      </c>
      <c r="F271" s="58"/>
      <c r="G271" s="71"/>
      <c r="H271" s="71"/>
      <c r="I271" s="59"/>
      <c r="J271" s="58"/>
    </row>
    <row r="272" spans="1:10" s="65" customFormat="1" ht="15" customHeight="1" x14ac:dyDescent="0.25">
      <c r="A272" s="70"/>
      <c r="B272" s="58"/>
      <c r="C272" s="91" t="s">
        <v>571</v>
      </c>
      <c r="D272" s="92">
        <v>78</v>
      </c>
      <c r="E272" s="181" t="s">
        <v>77</v>
      </c>
      <c r="F272" s="58"/>
      <c r="G272" s="71"/>
      <c r="H272" s="71"/>
      <c r="I272" s="59"/>
      <c r="J272" s="58"/>
    </row>
    <row r="273" spans="1:10" s="65" customFormat="1" ht="15" customHeight="1" x14ac:dyDescent="0.25">
      <c r="A273" s="70"/>
      <c r="B273" s="58"/>
      <c r="C273" s="91" t="s">
        <v>571</v>
      </c>
      <c r="D273" s="92">
        <v>79</v>
      </c>
      <c r="E273" s="181" t="s">
        <v>39</v>
      </c>
      <c r="F273" s="58"/>
      <c r="G273" s="71"/>
      <c r="H273" s="71"/>
      <c r="I273" s="59"/>
      <c r="J273" s="58"/>
    </row>
    <row r="274" spans="1:10" s="65" customFormat="1" ht="15" customHeight="1" x14ac:dyDescent="0.25">
      <c r="A274" s="70"/>
      <c r="B274" s="58"/>
      <c r="C274" s="91" t="s">
        <v>571</v>
      </c>
      <c r="D274" s="92">
        <v>80</v>
      </c>
      <c r="E274" s="181" t="s">
        <v>96</v>
      </c>
      <c r="F274" s="58"/>
      <c r="G274" s="71"/>
      <c r="H274" s="71"/>
      <c r="I274" s="59"/>
      <c r="J274" s="58"/>
    </row>
    <row r="275" spans="1:10" s="65" customFormat="1" ht="15" customHeight="1" x14ac:dyDescent="0.25">
      <c r="A275" s="70"/>
      <c r="B275" s="58"/>
      <c r="C275" s="91" t="s">
        <v>571</v>
      </c>
      <c r="D275" s="92">
        <v>81</v>
      </c>
      <c r="E275" s="181" t="s">
        <v>40</v>
      </c>
      <c r="F275" s="58"/>
      <c r="G275" s="71"/>
      <c r="H275" s="71"/>
      <c r="I275" s="59"/>
      <c r="J275" s="58"/>
    </row>
    <row r="276" spans="1:10" s="65" customFormat="1" ht="15" customHeight="1" x14ac:dyDescent="0.25">
      <c r="A276" s="70"/>
      <c r="B276" s="58"/>
      <c r="C276" s="91" t="s">
        <v>571</v>
      </c>
      <c r="D276" s="92">
        <v>82</v>
      </c>
      <c r="E276" s="181" t="s">
        <v>97</v>
      </c>
      <c r="F276" s="58"/>
      <c r="G276" s="71"/>
      <c r="H276" s="71"/>
      <c r="I276" s="59"/>
      <c r="J276" s="58"/>
    </row>
    <row r="277" spans="1:10" s="65" customFormat="1" ht="15" customHeight="1" x14ac:dyDescent="0.25">
      <c r="A277" s="70"/>
      <c r="B277" s="58"/>
      <c r="C277" s="91" t="s">
        <v>571</v>
      </c>
      <c r="D277" s="92">
        <v>83</v>
      </c>
      <c r="E277" s="181" t="s">
        <v>98</v>
      </c>
      <c r="F277" s="58"/>
      <c r="G277" s="71"/>
      <c r="H277" s="71"/>
      <c r="I277" s="59"/>
      <c r="J277" s="58"/>
    </row>
    <row r="278" spans="1:10" s="65" customFormat="1" ht="15" customHeight="1" x14ac:dyDescent="0.25">
      <c r="A278" s="70"/>
      <c r="B278" s="58"/>
      <c r="C278" s="91" t="s">
        <v>571</v>
      </c>
      <c r="D278" s="92">
        <v>84</v>
      </c>
      <c r="E278" s="181" t="s">
        <v>201</v>
      </c>
      <c r="F278" s="58"/>
      <c r="G278" s="71"/>
      <c r="H278" s="71"/>
      <c r="I278" s="59"/>
      <c r="J278" s="58"/>
    </row>
    <row r="279" spans="1:10" s="65" customFormat="1" ht="15" customHeight="1" x14ac:dyDescent="0.25">
      <c r="A279" s="70"/>
      <c r="B279" s="58"/>
      <c r="C279" s="91" t="s">
        <v>571</v>
      </c>
      <c r="D279" s="92">
        <v>85</v>
      </c>
      <c r="E279" s="181" t="s">
        <v>197</v>
      </c>
      <c r="F279" s="58"/>
      <c r="G279" s="71"/>
      <c r="H279" s="71"/>
      <c r="I279" s="59"/>
      <c r="J279" s="58"/>
    </row>
    <row r="280" spans="1:10" s="65" customFormat="1" ht="15" customHeight="1" x14ac:dyDescent="0.25">
      <c r="A280" s="70"/>
      <c r="B280" s="58"/>
      <c r="C280" s="91" t="s">
        <v>571</v>
      </c>
      <c r="D280" s="92">
        <v>86</v>
      </c>
      <c r="E280" s="181" t="s">
        <v>505</v>
      </c>
      <c r="F280" s="58"/>
      <c r="G280" s="71"/>
      <c r="H280" s="71"/>
      <c r="I280" s="59"/>
      <c r="J280" s="58"/>
    </row>
    <row r="281" spans="1:10" s="65" customFormat="1" ht="15" customHeight="1" x14ac:dyDescent="0.25">
      <c r="A281" s="70"/>
      <c r="B281" s="58"/>
      <c r="C281" s="91" t="s">
        <v>571</v>
      </c>
      <c r="D281" s="92">
        <v>87</v>
      </c>
      <c r="E281" s="181" t="s">
        <v>34</v>
      </c>
      <c r="F281" s="58"/>
      <c r="G281" s="71"/>
      <c r="H281" s="71"/>
      <c r="I281" s="59"/>
      <c r="J281" s="58"/>
    </row>
    <row r="282" spans="1:10" s="65" customFormat="1" ht="15" customHeight="1" x14ac:dyDescent="0.25">
      <c r="A282" s="70"/>
      <c r="B282" s="58"/>
      <c r="C282" s="91" t="s">
        <v>571</v>
      </c>
      <c r="D282" s="92">
        <v>88</v>
      </c>
      <c r="E282" s="181" t="s">
        <v>200</v>
      </c>
      <c r="F282" s="58"/>
      <c r="G282" s="71"/>
      <c r="H282" s="71"/>
      <c r="I282" s="59"/>
      <c r="J282" s="58"/>
    </row>
    <row r="283" spans="1:10" s="65" customFormat="1" ht="15" customHeight="1" x14ac:dyDescent="0.25">
      <c r="A283" s="70"/>
      <c r="B283" s="58"/>
      <c r="C283" s="91" t="s">
        <v>571</v>
      </c>
      <c r="D283" s="92">
        <v>89</v>
      </c>
      <c r="E283" s="181" t="s">
        <v>206</v>
      </c>
      <c r="F283" s="58"/>
      <c r="G283" s="71"/>
      <c r="H283" s="71"/>
      <c r="I283" s="59"/>
      <c r="J283" s="58"/>
    </row>
    <row r="284" spans="1:10" s="65" customFormat="1" ht="15" customHeight="1" x14ac:dyDescent="0.25">
      <c r="A284" s="70"/>
      <c r="B284" s="58"/>
      <c r="C284" s="91" t="s">
        <v>571</v>
      </c>
      <c r="D284" s="92">
        <v>90</v>
      </c>
      <c r="E284" s="181" t="s">
        <v>208</v>
      </c>
      <c r="F284" s="58"/>
      <c r="G284" s="71"/>
      <c r="H284" s="71"/>
      <c r="I284" s="59"/>
      <c r="J284" s="58"/>
    </row>
    <row r="285" spans="1:10" s="65" customFormat="1" ht="15" customHeight="1" x14ac:dyDescent="0.25">
      <c r="A285" s="70"/>
      <c r="B285" s="58"/>
      <c r="C285" s="91" t="s">
        <v>571</v>
      </c>
      <c r="D285" s="92">
        <v>91</v>
      </c>
      <c r="E285" s="181" t="s">
        <v>216</v>
      </c>
      <c r="F285" s="58"/>
      <c r="G285" s="71"/>
      <c r="H285" s="71"/>
      <c r="I285" s="59"/>
      <c r="J285" s="58"/>
    </row>
    <row r="286" spans="1:10" s="65" customFormat="1" ht="15" customHeight="1" x14ac:dyDescent="0.25">
      <c r="A286" s="70"/>
      <c r="B286" s="58"/>
      <c r="C286" s="91" t="s">
        <v>571</v>
      </c>
      <c r="D286" s="92">
        <v>92</v>
      </c>
      <c r="E286" s="181" t="s">
        <v>121</v>
      </c>
      <c r="F286" s="58"/>
      <c r="G286" s="71"/>
      <c r="H286" s="71"/>
      <c r="I286" s="59"/>
      <c r="J286" s="58"/>
    </row>
    <row r="287" spans="1:10" s="65" customFormat="1" ht="15" customHeight="1" x14ac:dyDescent="0.25">
      <c r="A287" s="70"/>
      <c r="B287" s="58"/>
      <c r="C287" s="91" t="s">
        <v>571</v>
      </c>
      <c r="D287" s="92">
        <v>93</v>
      </c>
      <c r="E287" s="181" t="s">
        <v>120</v>
      </c>
      <c r="F287" s="58"/>
      <c r="G287" s="71"/>
      <c r="H287" s="71"/>
      <c r="I287" s="59"/>
      <c r="J287" s="58"/>
    </row>
    <row r="288" spans="1:10" s="65" customFormat="1" ht="15" customHeight="1" x14ac:dyDescent="0.25">
      <c r="A288" s="70"/>
      <c r="B288" s="58"/>
      <c r="C288" s="91" t="s">
        <v>571</v>
      </c>
      <c r="D288" s="92">
        <v>94</v>
      </c>
      <c r="E288" s="181" t="s">
        <v>221</v>
      </c>
      <c r="F288" s="58"/>
      <c r="G288" s="71"/>
      <c r="H288" s="71"/>
      <c r="I288" s="59"/>
      <c r="J288" s="58"/>
    </row>
    <row r="289" spans="1:10" s="65" customFormat="1" ht="15" customHeight="1" x14ac:dyDescent="0.25">
      <c r="A289" s="70"/>
      <c r="B289" s="58"/>
      <c r="C289" s="91" t="s">
        <v>571</v>
      </c>
      <c r="D289" s="92">
        <v>95</v>
      </c>
      <c r="E289" s="181" t="s">
        <v>222</v>
      </c>
      <c r="F289" s="58"/>
      <c r="G289" s="71"/>
      <c r="H289" s="71"/>
      <c r="I289" s="59"/>
      <c r="J289" s="58"/>
    </row>
    <row r="290" spans="1:10" s="65" customFormat="1" ht="15" customHeight="1" x14ac:dyDescent="0.25">
      <c r="A290" s="70"/>
      <c r="B290" s="58"/>
      <c r="C290" s="91" t="s">
        <v>571</v>
      </c>
      <c r="D290" s="92">
        <v>96</v>
      </c>
      <c r="E290" s="181" t="s">
        <v>215</v>
      </c>
      <c r="F290" s="58"/>
      <c r="G290" s="71"/>
      <c r="H290" s="71"/>
      <c r="I290" s="59"/>
      <c r="J290" s="58"/>
    </row>
    <row r="291" spans="1:10" s="65" customFormat="1" ht="15" customHeight="1" x14ac:dyDescent="0.25">
      <c r="A291" s="70"/>
      <c r="B291" s="58"/>
      <c r="C291" s="91" t="s">
        <v>571</v>
      </c>
      <c r="D291" s="92">
        <v>97</v>
      </c>
      <c r="E291" s="181" t="s">
        <v>213</v>
      </c>
      <c r="F291" s="58"/>
      <c r="G291" s="71"/>
      <c r="H291" s="71"/>
      <c r="I291" s="59"/>
      <c r="J291" s="58"/>
    </row>
    <row r="292" spans="1:10" s="65" customFormat="1" ht="15" customHeight="1" x14ac:dyDescent="0.25">
      <c r="A292" s="70"/>
      <c r="B292" s="58"/>
      <c r="C292" s="91" t="s">
        <v>571</v>
      </c>
      <c r="D292" s="92">
        <v>98</v>
      </c>
      <c r="E292" s="181" t="s">
        <v>219</v>
      </c>
      <c r="F292" s="58"/>
      <c r="G292" s="71"/>
      <c r="H292" s="71"/>
      <c r="I292" s="59"/>
      <c r="J292" s="58"/>
    </row>
    <row r="293" spans="1:10" s="65" customFormat="1" ht="15" customHeight="1" x14ac:dyDescent="0.25">
      <c r="A293" s="70"/>
      <c r="B293" s="58"/>
      <c r="C293" s="91" t="s">
        <v>571</v>
      </c>
      <c r="D293" s="92">
        <v>99</v>
      </c>
      <c r="E293" s="181" t="s">
        <v>217</v>
      </c>
      <c r="F293" s="58"/>
      <c r="G293" s="71"/>
      <c r="H293" s="71"/>
      <c r="I293" s="59"/>
      <c r="J293" s="58"/>
    </row>
    <row r="294" spans="1:10" s="65" customFormat="1" ht="15" customHeight="1" x14ac:dyDescent="0.25">
      <c r="A294" s="70"/>
      <c r="B294" s="58"/>
      <c r="C294" s="91" t="s">
        <v>571</v>
      </c>
      <c r="D294" s="92">
        <v>100</v>
      </c>
      <c r="E294" s="181" t="s">
        <v>149</v>
      </c>
      <c r="F294" s="58"/>
      <c r="G294" s="71"/>
      <c r="H294" s="71"/>
      <c r="I294" s="59"/>
      <c r="J294" s="58"/>
    </row>
    <row r="295" spans="1:10" s="65" customFormat="1" ht="15" customHeight="1" x14ac:dyDescent="0.25">
      <c r="A295" s="70"/>
      <c r="B295" s="58"/>
      <c r="C295" s="91" t="s">
        <v>571</v>
      </c>
      <c r="D295" s="92">
        <v>101</v>
      </c>
      <c r="E295" s="181" t="s">
        <v>152</v>
      </c>
      <c r="F295" s="58"/>
      <c r="G295" s="71"/>
      <c r="H295" s="71"/>
      <c r="I295" s="59"/>
      <c r="J295" s="58"/>
    </row>
    <row r="296" spans="1:10" s="65" customFormat="1" ht="15" customHeight="1" x14ac:dyDescent="0.25">
      <c r="A296" s="70"/>
      <c r="B296" s="58"/>
      <c r="C296" s="91" t="s">
        <v>571</v>
      </c>
      <c r="D296" s="92">
        <v>102</v>
      </c>
      <c r="E296" s="181" t="s">
        <v>153</v>
      </c>
      <c r="F296" s="58"/>
      <c r="G296" s="71"/>
      <c r="H296" s="71"/>
      <c r="I296" s="59"/>
      <c r="J296" s="58"/>
    </row>
    <row r="297" spans="1:10" s="65" customFormat="1" ht="15" customHeight="1" x14ac:dyDescent="0.25">
      <c r="A297" s="70"/>
      <c r="B297" s="58"/>
      <c r="C297" s="91" t="s">
        <v>571</v>
      </c>
      <c r="D297" s="92">
        <v>103</v>
      </c>
      <c r="E297" s="181" t="s">
        <v>151</v>
      </c>
      <c r="F297" s="58"/>
      <c r="G297" s="71"/>
      <c r="H297" s="71"/>
      <c r="I297" s="59"/>
      <c r="J297" s="58"/>
    </row>
    <row r="298" spans="1:10" s="65" customFormat="1" ht="15" customHeight="1" x14ac:dyDescent="0.25">
      <c r="A298" s="70"/>
      <c r="B298" s="58"/>
      <c r="C298" s="91" t="s">
        <v>571</v>
      </c>
      <c r="D298" s="92">
        <v>104</v>
      </c>
      <c r="E298" s="181" t="s">
        <v>150</v>
      </c>
      <c r="F298" s="58"/>
      <c r="G298" s="71"/>
      <c r="H298" s="71"/>
      <c r="I298" s="59"/>
      <c r="J298" s="58"/>
    </row>
    <row r="299" spans="1:10" s="65" customFormat="1" ht="15" customHeight="1" x14ac:dyDescent="0.25">
      <c r="A299" s="70"/>
      <c r="B299" s="58"/>
      <c r="C299" s="91" t="s">
        <v>571</v>
      </c>
      <c r="D299" s="92">
        <v>105</v>
      </c>
      <c r="E299" s="181" t="s">
        <v>83</v>
      </c>
      <c r="F299" s="58"/>
      <c r="G299" s="71"/>
      <c r="H299" s="71"/>
      <c r="I299" s="59"/>
      <c r="J299" s="58"/>
    </row>
    <row r="300" spans="1:10" s="65" customFormat="1" ht="15" customHeight="1" x14ac:dyDescent="0.25">
      <c r="A300" s="70"/>
      <c r="B300" s="58"/>
      <c r="C300" s="91" t="s">
        <v>571</v>
      </c>
      <c r="D300" s="92">
        <v>106</v>
      </c>
      <c r="E300" s="181" t="s">
        <v>265</v>
      </c>
      <c r="F300" s="58"/>
      <c r="G300" s="71"/>
      <c r="H300" s="71"/>
      <c r="I300" s="59"/>
      <c r="J300" s="58"/>
    </row>
    <row r="301" spans="1:10" s="65" customFormat="1" ht="15" customHeight="1" x14ac:dyDescent="0.25">
      <c r="A301" s="70"/>
      <c r="B301" s="58"/>
      <c r="C301" s="91" t="s">
        <v>571</v>
      </c>
      <c r="D301" s="92">
        <v>107</v>
      </c>
      <c r="E301" s="181" t="s">
        <v>88</v>
      </c>
      <c r="F301" s="58"/>
      <c r="G301" s="71"/>
      <c r="H301" s="71"/>
      <c r="I301" s="59"/>
      <c r="J301" s="58"/>
    </row>
    <row r="302" spans="1:10" s="65" customFormat="1" ht="15" customHeight="1" x14ac:dyDescent="0.25">
      <c r="A302" s="70"/>
      <c r="B302" s="58"/>
      <c r="C302" s="91" t="s">
        <v>571</v>
      </c>
      <c r="D302" s="92">
        <v>108</v>
      </c>
      <c r="E302" s="181" t="s">
        <v>89</v>
      </c>
      <c r="F302" s="58"/>
      <c r="G302" s="71"/>
      <c r="H302" s="71"/>
      <c r="I302" s="59"/>
      <c r="J302" s="58"/>
    </row>
    <row r="303" spans="1:10" s="65" customFormat="1" ht="15" customHeight="1" x14ac:dyDescent="0.25">
      <c r="A303" s="70"/>
      <c r="B303" s="58"/>
      <c r="C303" s="91" t="s">
        <v>571</v>
      </c>
      <c r="D303" s="92">
        <v>109</v>
      </c>
      <c r="E303" s="182" t="s">
        <v>106</v>
      </c>
      <c r="F303" s="58"/>
      <c r="G303" s="71"/>
      <c r="H303" s="71"/>
      <c r="I303" s="59"/>
      <c r="J303" s="58"/>
    </row>
    <row r="304" spans="1:10" s="65" customFormat="1" ht="15" customHeight="1" x14ac:dyDescent="0.25">
      <c r="A304" s="70"/>
      <c r="B304" s="58"/>
      <c r="C304" s="91" t="s">
        <v>571</v>
      </c>
      <c r="D304" s="92">
        <v>110</v>
      </c>
      <c r="E304" s="181" t="s">
        <v>262</v>
      </c>
      <c r="F304" s="58"/>
      <c r="G304" s="71"/>
      <c r="H304" s="71"/>
      <c r="I304" s="59"/>
      <c r="J304" s="58"/>
    </row>
    <row r="305" spans="1:10" s="65" customFormat="1" ht="15" customHeight="1" x14ac:dyDescent="0.25">
      <c r="A305" s="70"/>
      <c r="B305" s="58"/>
      <c r="C305" s="91" t="s">
        <v>571</v>
      </c>
      <c r="D305" s="92">
        <v>111</v>
      </c>
      <c r="E305" s="181" t="s">
        <v>84</v>
      </c>
      <c r="F305" s="58"/>
      <c r="G305" s="71"/>
      <c r="H305" s="71"/>
      <c r="I305" s="59"/>
      <c r="J305" s="58"/>
    </row>
    <row r="306" spans="1:10" s="65" customFormat="1" ht="15" customHeight="1" x14ac:dyDescent="0.25">
      <c r="A306" s="70"/>
      <c r="B306" s="58"/>
      <c r="C306" s="91" t="s">
        <v>571</v>
      </c>
      <c r="D306" s="92">
        <v>112</v>
      </c>
      <c r="E306" s="181" t="s">
        <v>111</v>
      </c>
      <c r="F306" s="58"/>
      <c r="G306" s="71"/>
      <c r="H306" s="71"/>
      <c r="I306" s="59"/>
      <c r="J306" s="58"/>
    </row>
    <row r="307" spans="1:10" s="65" customFormat="1" ht="15" customHeight="1" x14ac:dyDescent="0.25">
      <c r="A307" s="70"/>
      <c r="B307" s="58"/>
      <c r="C307" s="91" t="s">
        <v>571</v>
      </c>
      <c r="D307" s="92">
        <v>113</v>
      </c>
      <c r="E307" s="181" t="s">
        <v>87</v>
      </c>
      <c r="F307" s="58"/>
      <c r="G307" s="71"/>
      <c r="H307" s="71"/>
      <c r="I307" s="59"/>
      <c r="J307" s="58"/>
    </row>
    <row r="308" spans="1:10" s="65" customFormat="1" ht="15" customHeight="1" x14ac:dyDescent="0.25">
      <c r="A308" s="70"/>
      <c r="B308" s="58"/>
      <c r="C308" s="91" t="s">
        <v>571</v>
      </c>
      <c r="D308" s="92">
        <v>114</v>
      </c>
      <c r="E308" s="181" t="s">
        <v>102</v>
      </c>
      <c r="F308" s="58"/>
      <c r="G308" s="71"/>
      <c r="H308" s="71"/>
      <c r="I308" s="59"/>
      <c r="J308" s="58"/>
    </row>
    <row r="309" spans="1:10" s="65" customFormat="1" ht="15" customHeight="1" x14ac:dyDescent="0.25">
      <c r="A309" s="70"/>
      <c r="B309" s="58"/>
      <c r="C309" s="91" t="s">
        <v>571</v>
      </c>
      <c r="D309" s="92">
        <v>119</v>
      </c>
      <c r="E309" s="181" t="s">
        <v>278</v>
      </c>
      <c r="F309" s="58"/>
      <c r="G309" s="71"/>
      <c r="H309" s="71"/>
      <c r="I309" s="59"/>
      <c r="J309" s="58"/>
    </row>
    <row r="310" spans="1:10" s="65" customFormat="1" ht="15" customHeight="1" x14ac:dyDescent="0.25">
      <c r="A310" s="70"/>
      <c r="B310" s="58"/>
      <c r="C310" s="91" t="s">
        <v>571</v>
      </c>
      <c r="D310" s="92">
        <v>120</v>
      </c>
      <c r="E310" s="181" t="s">
        <v>118</v>
      </c>
      <c r="F310" s="58"/>
      <c r="G310" s="71"/>
      <c r="H310" s="71"/>
      <c r="I310" s="59"/>
      <c r="J310" s="58"/>
    </row>
    <row r="311" spans="1:10" s="65" customFormat="1" ht="15" customHeight="1" x14ac:dyDescent="0.25">
      <c r="A311" s="70"/>
      <c r="B311" s="58"/>
      <c r="C311" s="91" t="s">
        <v>571</v>
      </c>
      <c r="D311" s="92">
        <v>121</v>
      </c>
      <c r="E311" s="181" t="s">
        <v>119</v>
      </c>
      <c r="F311" s="58"/>
      <c r="G311" s="71"/>
      <c r="H311" s="71"/>
      <c r="I311" s="59"/>
      <c r="J311" s="58"/>
    </row>
    <row r="312" spans="1:10" s="65" customFormat="1" ht="15" customHeight="1" x14ac:dyDescent="0.25">
      <c r="A312" s="70"/>
      <c r="B312" s="58"/>
      <c r="C312" s="91" t="s">
        <v>571</v>
      </c>
      <c r="D312" s="92">
        <v>122</v>
      </c>
      <c r="E312" s="181" t="s">
        <v>504</v>
      </c>
      <c r="F312" s="58"/>
      <c r="G312" s="71"/>
      <c r="H312" s="71"/>
      <c r="I312" s="59"/>
      <c r="J312" s="58"/>
    </row>
    <row r="313" spans="1:10" s="65" customFormat="1" ht="15" customHeight="1" x14ac:dyDescent="0.25">
      <c r="A313" s="70"/>
      <c r="B313" s="58"/>
      <c r="C313" s="91" t="s">
        <v>571</v>
      </c>
      <c r="D313" s="92">
        <v>123</v>
      </c>
      <c r="E313" s="181" t="s">
        <v>161</v>
      </c>
      <c r="F313" s="58"/>
      <c r="G313" s="71"/>
      <c r="H313" s="71"/>
      <c r="I313" s="59"/>
      <c r="J313" s="58"/>
    </row>
    <row r="314" spans="1:10" s="65" customFormat="1" ht="15" customHeight="1" x14ac:dyDescent="0.25">
      <c r="A314" s="70"/>
      <c r="B314" s="58"/>
      <c r="C314" s="91" t="s">
        <v>571</v>
      </c>
      <c r="D314" s="92">
        <v>124</v>
      </c>
      <c r="E314" s="181" t="s">
        <v>72</v>
      </c>
      <c r="F314" s="58"/>
      <c r="G314" s="71"/>
      <c r="H314" s="71"/>
      <c r="I314" s="59"/>
      <c r="J314" s="58"/>
    </row>
    <row r="315" spans="1:10" s="65" customFormat="1" ht="15" customHeight="1" x14ac:dyDescent="0.25">
      <c r="A315" s="70"/>
      <c r="B315" s="58"/>
      <c r="C315" s="91" t="s">
        <v>571</v>
      </c>
      <c r="D315" s="92">
        <v>125</v>
      </c>
      <c r="E315" s="181" t="s">
        <v>73</v>
      </c>
      <c r="F315" s="58"/>
      <c r="G315" s="71"/>
      <c r="H315" s="71"/>
      <c r="I315" s="59"/>
      <c r="J315" s="58"/>
    </row>
    <row r="316" spans="1:10" s="65" customFormat="1" x14ac:dyDescent="0.25">
      <c r="A316" s="70"/>
      <c r="B316" s="58"/>
      <c r="C316" s="91" t="s">
        <v>571</v>
      </c>
      <c r="D316" s="92">
        <v>126</v>
      </c>
      <c r="E316" s="181" t="s">
        <v>74</v>
      </c>
      <c r="F316" s="71"/>
      <c r="G316" s="71"/>
      <c r="H316" s="71"/>
      <c r="I316" s="59"/>
      <c r="J316" s="58"/>
    </row>
    <row r="317" spans="1:10" s="65" customFormat="1" ht="15" customHeight="1" x14ac:dyDescent="0.25">
      <c r="A317" s="70"/>
      <c r="B317" s="58"/>
      <c r="C317" s="91" t="s">
        <v>571</v>
      </c>
      <c r="D317" s="92">
        <v>127</v>
      </c>
      <c r="E317" s="181" t="s">
        <v>19</v>
      </c>
      <c r="F317" s="71"/>
      <c r="G317" s="71"/>
      <c r="H317" s="71"/>
      <c r="I317" s="59"/>
      <c r="J317" s="58"/>
    </row>
    <row r="318" spans="1:10" s="65" customFormat="1" ht="15" customHeight="1" x14ac:dyDescent="0.25">
      <c r="A318" s="70"/>
      <c r="B318" s="58"/>
      <c r="C318" s="91" t="s">
        <v>571</v>
      </c>
      <c r="D318" s="92">
        <v>128</v>
      </c>
      <c r="E318" s="181" t="s">
        <v>21</v>
      </c>
      <c r="F318" s="71"/>
      <c r="G318" s="71"/>
      <c r="H318" s="71"/>
      <c r="I318" s="59"/>
      <c r="J318" s="58"/>
    </row>
    <row r="319" spans="1:10" s="65" customFormat="1" x14ac:dyDescent="0.25">
      <c r="A319" s="70"/>
      <c r="B319" s="58"/>
      <c r="C319" s="91" t="s">
        <v>571</v>
      </c>
      <c r="D319" s="92">
        <v>129</v>
      </c>
      <c r="E319" s="181" t="s">
        <v>65</v>
      </c>
      <c r="F319" s="71"/>
      <c r="G319" s="71"/>
      <c r="H319" s="71"/>
      <c r="I319" s="59"/>
      <c r="J319" s="58"/>
    </row>
    <row r="320" spans="1:10" s="65" customFormat="1" x14ac:dyDescent="0.25">
      <c r="A320" s="70"/>
      <c r="B320" s="58"/>
      <c r="C320" s="91" t="s">
        <v>571</v>
      </c>
      <c r="D320" s="92">
        <v>130</v>
      </c>
      <c r="E320" s="181" t="s">
        <v>66</v>
      </c>
      <c r="F320" s="71"/>
      <c r="G320" s="71"/>
      <c r="H320" s="71"/>
      <c r="I320" s="59"/>
      <c r="J320" s="58"/>
    </row>
    <row r="321" spans="1:10" s="65" customFormat="1" ht="15" customHeight="1" x14ac:dyDescent="0.25">
      <c r="A321" s="70"/>
      <c r="B321" s="58"/>
      <c r="C321" s="91" t="s">
        <v>571</v>
      </c>
      <c r="D321" s="92">
        <v>131</v>
      </c>
      <c r="E321" s="181" t="s">
        <v>64</v>
      </c>
      <c r="F321" s="71"/>
      <c r="G321" s="71"/>
      <c r="H321" s="71"/>
      <c r="I321" s="59"/>
      <c r="J321" s="58"/>
    </row>
    <row r="322" spans="1:10" s="65" customFormat="1" ht="15" customHeight="1" x14ac:dyDescent="0.25">
      <c r="A322" s="70"/>
      <c r="B322" s="71"/>
      <c r="C322" s="91" t="s">
        <v>571</v>
      </c>
      <c r="D322" s="92">
        <v>132</v>
      </c>
      <c r="E322" s="181" t="s">
        <v>36</v>
      </c>
      <c r="F322" s="71"/>
      <c r="G322" s="71"/>
      <c r="H322" s="71"/>
      <c r="I322" s="59"/>
      <c r="J322" s="58"/>
    </row>
    <row r="323" spans="1:10" s="65" customFormat="1" x14ac:dyDescent="0.25">
      <c r="A323" s="70"/>
      <c r="B323" s="71"/>
      <c r="C323" s="91" t="s">
        <v>571</v>
      </c>
      <c r="D323" s="92">
        <v>133</v>
      </c>
      <c r="E323" s="181" t="s">
        <v>520</v>
      </c>
      <c r="F323" s="71"/>
      <c r="G323" s="71"/>
      <c r="H323" s="71"/>
      <c r="I323" s="59"/>
      <c r="J323" s="58"/>
    </row>
    <row r="324" spans="1:10" s="65" customFormat="1" x14ac:dyDescent="0.25">
      <c r="A324" s="70"/>
      <c r="B324" s="71"/>
      <c r="C324" s="91" t="s">
        <v>571</v>
      </c>
      <c r="D324" s="92">
        <v>134</v>
      </c>
      <c r="E324" s="181" t="s">
        <v>521</v>
      </c>
      <c r="F324" s="71"/>
      <c r="G324" s="71"/>
      <c r="H324" s="71"/>
      <c r="I324" s="59"/>
      <c r="J324" s="58"/>
    </row>
    <row r="325" spans="1:10" s="65" customFormat="1" x14ac:dyDescent="0.25">
      <c r="A325" s="70"/>
      <c r="B325" s="71"/>
      <c r="C325" s="91" t="s">
        <v>571</v>
      </c>
      <c r="D325" s="92">
        <v>135</v>
      </c>
      <c r="E325" s="181" t="s">
        <v>68</v>
      </c>
      <c r="F325" s="71"/>
      <c r="G325" s="71"/>
      <c r="H325" s="71"/>
      <c r="I325" s="59"/>
      <c r="J325" s="58"/>
    </row>
    <row r="326" spans="1:10" s="65" customFormat="1" x14ac:dyDescent="0.25">
      <c r="A326" s="70"/>
      <c r="B326" s="58"/>
      <c r="C326" s="91" t="s">
        <v>571</v>
      </c>
      <c r="D326" s="92">
        <v>137</v>
      </c>
      <c r="E326" s="181" t="s">
        <v>233</v>
      </c>
      <c r="F326" s="58"/>
      <c r="G326" s="58"/>
      <c r="H326" s="87"/>
      <c r="I326" s="59"/>
      <c r="J326" s="58"/>
    </row>
    <row r="327" spans="1:10" s="65" customFormat="1" x14ac:dyDescent="0.25">
      <c r="A327" s="70"/>
      <c r="B327" s="71"/>
      <c r="C327" s="91" t="s">
        <v>571</v>
      </c>
      <c r="D327" s="92">
        <v>139</v>
      </c>
      <c r="E327" s="182" t="s">
        <v>519</v>
      </c>
      <c r="F327" s="71"/>
      <c r="G327" s="58"/>
      <c r="H327" s="87"/>
      <c r="I327" s="59"/>
      <c r="J327" s="58"/>
    </row>
    <row r="328" spans="1:10" s="65" customFormat="1" x14ac:dyDescent="0.25">
      <c r="A328" s="70"/>
      <c r="B328" s="71"/>
      <c r="C328" s="91" t="s">
        <v>571</v>
      </c>
      <c r="D328" s="92">
        <v>140</v>
      </c>
      <c r="E328" s="181" t="s">
        <v>94</v>
      </c>
      <c r="F328" s="71"/>
      <c r="G328" s="58"/>
      <c r="H328" s="87"/>
      <c r="I328" s="59"/>
      <c r="J328" s="58"/>
    </row>
    <row r="329" spans="1:10" s="65" customFormat="1" x14ac:dyDescent="0.25">
      <c r="A329" s="70"/>
      <c r="B329" s="71"/>
      <c r="C329" s="91" t="s">
        <v>571</v>
      </c>
      <c r="D329" s="92">
        <v>141</v>
      </c>
      <c r="E329" s="181" t="s">
        <v>112</v>
      </c>
      <c r="F329" s="71"/>
      <c r="G329" s="58"/>
      <c r="H329" s="87"/>
      <c r="I329" s="59"/>
      <c r="J329" s="58"/>
    </row>
    <row r="330" spans="1:10" s="65" customFormat="1" x14ac:dyDescent="0.25">
      <c r="A330" s="70"/>
      <c r="B330" s="71"/>
      <c r="C330" s="91" t="s">
        <v>571</v>
      </c>
      <c r="D330" s="92">
        <v>142</v>
      </c>
      <c r="E330" s="181" t="s">
        <v>512</v>
      </c>
      <c r="F330" s="71"/>
      <c r="G330" s="58"/>
      <c r="H330" s="87"/>
      <c r="I330" s="59"/>
      <c r="J330" s="58"/>
    </row>
    <row r="331" spans="1:10" s="65" customFormat="1" x14ac:dyDescent="0.25">
      <c r="A331" s="70"/>
      <c r="B331" s="71"/>
      <c r="C331" s="91" t="s">
        <v>571</v>
      </c>
      <c r="D331" s="92">
        <v>143</v>
      </c>
      <c r="E331" s="181" t="s">
        <v>511</v>
      </c>
      <c r="F331" s="71"/>
      <c r="G331" s="58"/>
      <c r="H331" s="87"/>
      <c r="I331" s="59"/>
      <c r="J331" s="58"/>
    </row>
    <row r="332" spans="1:10" s="65" customFormat="1" x14ac:dyDescent="0.25">
      <c r="A332" s="70"/>
      <c r="B332" s="71"/>
      <c r="C332" s="91" t="s">
        <v>571</v>
      </c>
      <c r="D332" s="92">
        <v>144</v>
      </c>
      <c r="E332" s="181" t="s">
        <v>509</v>
      </c>
      <c r="F332" s="71"/>
      <c r="G332" s="58"/>
      <c r="H332" s="87"/>
      <c r="I332" s="59"/>
      <c r="J332" s="58"/>
    </row>
    <row r="333" spans="1:10" s="65" customFormat="1" x14ac:dyDescent="0.25">
      <c r="A333" s="70"/>
      <c r="B333" s="71"/>
      <c r="C333" s="91" t="s">
        <v>571</v>
      </c>
      <c r="D333" s="92">
        <v>145</v>
      </c>
      <c r="E333" s="182" t="s">
        <v>41</v>
      </c>
      <c r="F333" s="71"/>
      <c r="G333" s="58"/>
      <c r="H333" s="87"/>
      <c r="I333" s="59"/>
      <c r="J333" s="58"/>
    </row>
    <row r="334" spans="1:10" s="65" customFormat="1" x14ac:dyDescent="0.25">
      <c r="A334" s="70"/>
      <c r="B334" s="71"/>
      <c r="C334" s="91" t="s">
        <v>571</v>
      </c>
      <c r="D334" s="92">
        <v>146</v>
      </c>
      <c r="E334" s="181" t="s">
        <v>75</v>
      </c>
      <c r="F334" s="71"/>
      <c r="G334" s="58"/>
      <c r="H334" s="87"/>
      <c r="I334" s="59"/>
      <c r="J334" s="58"/>
    </row>
    <row r="335" spans="1:10" s="65" customFormat="1" x14ac:dyDescent="0.25">
      <c r="A335" s="70"/>
      <c r="B335" s="71"/>
      <c r="C335" s="91" t="s">
        <v>571</v>
      </c>
      <c r="D335" s="92">
        <v>147</v>
      </c>
      <c r="E335" s="181" t="s">
        <v>252</v>
      </c>
      <c r="F335" s="71"/>
      <c r="G335" s="58"/>
      <c r="H335" s="87"/>
      <c r="I335" s="59"/>
      <c r="J335" s="58"/>
    </row>
    <row r="336" spans="1:10" s="65" customFormat="1" x14ac:dyDescent="0.25">
      <c r="A336" s="70"/>
      <c r="B336" s="71"/>
      <c r="C336" s="91" t="s">
        <v>571</v>
      </c>
      <c r="D336" s="92">
        <v>148</v>
      </c>
      <c r="E336" s="181" t="s">
        <v>44</v>
      </c>
      <c r="F336" s="71"/>
      <c r="G336" s="58"/>
      <c r="H336" s="87"/>
      <c r="I336" s="59"/>
      <c r="J336" s="58"/>
    </row>
    <row r="337" spans="1:10" s="65" customFormat="1" ht="15" customHeight="1" x14ac:dyDescent="0.25">
      <c r="A337" s="70"/>
      <c r="B337" s="58"/>
      <c r="C337" s="91" t="s">
        <v>571</v>
      </c>
      <c r="D337" s="92">
        <v>152</v>
      </c>
      <c r="E337" s="181" t="s">
        <v>513</v>
      </c>
      <c r="F337" s="58"/>
      <c r="G337" s="58"/>
      <c r="H337" s="87"/>
      <c r="I337" s="59"/>
      <c r="J337" s="58"/>
    </row>
    <row r="338" spans="1:10" s="65" customFormat="1" x14ac:dyDescent="0.25">
      <c r="A338" s="70"/>
      <c r="B338" s="58"/>
      <c r="C338" s="91" t="s">
        <v>571</v>
      </c>
      <c r="D338" s="92">
        <v>153</v>
      </c>
      <c r="E338" s="181" t="s">
        <v>427</v>
      </c>
      <c r="F338" s="58"/>
      <c r="G338" s="58"/>
      <c r="H338" s="87"/>
      <c r="I338" s="59"/>
      <c r="J338" s="58"/>
    </row>
    <row r="339" spans="1:10" s="65" customFormat="1" x14ac:dyDescent="0.25">
      <c r="A339" s="70"/>
      <c r="B339" s="70"/>
      <c r="C339" s="91" t="s">
        <v>571</v>
      </c>
      <c r="D339" s="92">
        <v>154</v>
      </c>
      <c r="E339" s="181" t="s">
        <v>514</v>
      </c>
      <c r="F339" s="70"/>
      <c r="G339" s="88"/>
      <c r="H339" s="59"/>
      <c r="I339" s="59"/>
      <c r="J339" s="58"/>
    </row>
    <row r="340" spans="1:10" s="65" customFormat="1" x14ac:dyDescent="0.25">
      <c r="A340" s="70"/>
      <c r="B340" s="70"/>
      <c r="C340" s="91" t="s">
        <v>571</v>
      </c>
      <c r="D340" s="92">
        <v>155</v>
      </c>
      <c r="E340" s="181" t="s">
        <v>131</v>
      </c>
      <c r="F340" s="70"/>
      <c r="G340" s="88"/>
      <c r="H340" s="59"/>
      <c r="I340" s="59"/>
      <c r="J340" s="58"/>
    </row>
    <row r="341" spans="1:10" s="65" customFormat="1" x14ac:dyDescent="0.25">
      <c r="A341" s="70"/>
      <c r="B341" s="70"/>
      <c r="C341" s="91" t="s">
        <v>571</v>
      </c>
      <c r="D341" s="92">
        <v>156</v>
      </c>
      <c r="E341" s="183" t="s">
        <v>35</v>
      </c>
      <c r="F341" s="70"/>
      <c r="G341" s="88"/>
      <c r="H341" s="59"/>
      <c r="I341" s="59"/>
      <c r="J341" s="58"/>
    </row>
    <row r="342" spans="1:10" s="65" customFormat="1" x14ac:dyDescent="0.25">
      <c r="A342" s="70"/>
      <c r="B342" s="70"/>
      <c r="C342" s="91" t="s">
        <v>571</v>
      </c>
      <c r="D342" s="92">
        <v>157</v>
      </c>
      <c r="E342" s="181" t="s">
        <v>515</v>
      </c>
      <c r="F342" s="70"/>
      <c r="G342" s="88"/>
      <c r="H342" s="59"/>
      <c r="I342" s="59"/>
      <c r="J342" s="58"/>
    </row>
    <row r="343" spans="1:10" s="65" customFormat="1" x14ac:dyDescent="0.25">
      <c r="A343" s="70"/>
      <c r="B343" s="70"/>
      <c r="C343" s="91" t="s">
        <v>571</v>
      </c>
      <c r="D343" s="92">
        <v>158</v>
      </c>
      <c r="E343" s="180" t="s">
        <v>92</v>
      </c>
      <c r="F343" s="70"/>
      <c r="G343" s="88"/>
      <c r="H343" s="59"/>
      <c r="I343" s="59"/>
      <c r="J343" s="58"/>
    </row>
    <row r="344" spans="1:10" s="65" customFormat="1" x14ac:dyDescent="0.25">
      <c r="A344" s="70"/>
      <c r="B344" s="70"/>
      <c r="C344" s="91" t="s">
        <v>571</v>
      </c>
      <c r="D344" s="92">
        <v>159</v>
      </c>
      <c r="E344" s="181" t="s">
        <v>91</v>
      </c>
      <c r="F344" s="70"/>
      <c r="G344" s="88"/>
      <c r="H344" s="59"/>
      <c r="I344" s="59"/>
      <c r="J344" s="58"/>
    </row>
    <row r="345" spans="1:10" s="65" customFormat="1" x14ac:dyDescent="0.25">
      <c r="A345" s="70"/>
      <c r="B345" s="70"/>
      <c r="C345" s="91" t="s">
        <v>571</v>
      </c>
      <c r="D345" s="92">
        <v>160</v>
      </c>
      <c r="E345" s="181" t="s">
        <v>117</v>
      </c>
      <c r="F345" s="70"/>
      <c r="G345" s="88"/>
      <c r="H345" s="59"/>
      <c r="I345" s="59"/>
      <c r="J345" s="58"/>
    </row>
    <row r="346" spans="1:10" s="65" customFormat="1" x14ac:dyDescent="0.25">
      <c r="A346" s="70"/>
      <c r="B346" s="70"/>
      <c r="C346" s="91" t="s">
        <v>571</v>
      </c>
      <c r="D346" s="92">
        <v>162</v>
      </c>
      <c r="E346" s="181" t="s">
        <v>45</v>
      </c>
      <c r="F346" s="70"/>
      <c r="G346" s="88"/>
      <c r="H346" s="59"/>
      <c r="I346" s="59"/>
      <c r="J346" s="58"/>
    </row>
    <row r="347" spans="1:10" s="65" customFormat="1" x14ac:dyDescent="0.25">
      <c r="A347" s="70"/>
      <c r="B347" s="70"/>
      <c r="C347" s="91" t="s">
        <v>571</v>
      </c>
      <c r="D347" s="92">
        <v>163</v>
      </c>
      <c r="E347" s="181" t="s">
        <v>48</v>
      </c>
      <c r="F347" s="70"/>
      <c r="G347" s="88"/>
      <c r="H347" s="59"/>
      <c r="I347" s="59"/>
      <c r="J347" s="58"/>
    </row>
    <row r="348" spans="1:10" s="65" customFormat="1" x14ac:dyDescent="0.25">
      <c r="A348" s="70"/>
      <c r="B348" s="70"/>
      <c r="C348" s="91" t="s">
        <v>571</v>
      </c>
      <c r="D348" s="92">
        <v>164</v>
      </c>
      <c r="E348" s="183" t="s">
        <v>510</v>
      </c>
      <c r="F348" s="70"/>
      <c r="G348" s="88"/>
      <c r="H348" s="59"/>
      <c r="I348" s="59"/>
      <c r="J348" s="58"/>
    </row>
    <row r="349" spans="1:10" s="65" customFormat="1" ht="25.5" x14ac:dyDescent="0.25">
      <c r="A349" s="70"/>
      <c r="B349" s="70"/>
      <c r="C349" s="91" t="s">
        <v>571</v>
      </c>
      <c r="D349" s="92">
        <v>166</v>
      </c>
      <c r="E349" s="183" t="s">
        <v>226</v>
      </c>
      <c r="F349" s="70"/>
      <c r="G349" s="88"/>
      <c r="H349" s="59"/>
      <c r="I349" s="59"/>
      <c r="J349" s="58"/>
    </row>
    <row r="350" spans="1:10" s="65" customFormat="1" x14ac:dyDescent="0.25">
      <c r="A350" s="70"/>
      <c r="B350" s="70"/>
      <c r="C350" s="91" t="s">
        <v>571</v>
      </c>
      <c r="D350" s="92">
        <v>167</v>
      </c>
      <c r="E350" s="181" t="s">
        <v>177</v>
      </c>
      <c r="F350" s="70"/>
      <c r="G350" s="88"/>
      <c r="H350" s="59"/>
      <c r="I350" s="59"/>
      <c r="J350" s="58"/>
    </row>
    <row r="351" spans="1:10" s="65" customFormat="1" x14ac:dyDescent="0.25">
      <c r="A351" s="70"/>
      <c r="B351" s="70"/>
      <c r="C351" s="91" t="s">
        <v>571</v>
      </c>
      <c r="D351" s="92">
        <v>168</v>
      </c>
      <c r="E351" s="181" t="s">
        <v>115</v>
      </c>
      <c r="F351" s="70"/>
      <c r="G351" s="88"/>
      <c r="H351" s="59"/>
      <c r="I351" s="59"/>
      <c r="J351" s="58"/>
    </row>
    <row r="352" spans="1:10" s="65" customFormat="1" ht="51" x14ac:dyDescent="0.25">
      <c r="A352" s="70"/>
      <c r="B352" s="70"/>
      <c r="C352" s="91" t="s">
        <v>571</v>
      </c>
      <c r="D352" s="92">
        <v>169</v>
      </c>
      <c r="E352" s="181" t="s">
        <v>517</v>
      </c>
      <c r="F352" s="70"/>
      <c r="G352" s="88"/>
      <c r="H352" s="59"/>
      <c r="I352" s="59"/>
      <c r="J352" s="58"/>
    </row>
    <row r="353" spans="1:10" s="65" customFormat="1" x14ac:dyDescent="0.25">
      <c r="A353" s="70"/>
      <c r="B353" s="70"/>
      <c r="C353" s="91" t="s">
        <v>571</v>
      </c>
      <c r="D353" s="92">
        <v>170</v>
      </c>
      <c r="E353" s="181" t="s">
        <v>518</v>
      </c>
      <c r="F353" s="70"/>
      <c r="G353" s="88"/>
      <c r="H353" s="59"/>
      <c r="I353" s="59"/>
      <c r="J353" s="58"/>
    </row>
    <row r="354" spans="1:10" s="65" customFormat="1" x14ac:dyDescent="0.25">
      <c r="A354" s="64"/>
      <c r="B354" s="64"/>
      <c r="C354" s="91" t="s">
        <v>571</v>
      </c>
      <c r="D354" s="92">
        <v>175</v>
      </c>
      <c r="E354" s="181" t="s">
        <v>507</v>
      </c>
      <c r="F354" s="64"/>
      <c r="G354" s="72"/>
      <c r="H354" s="73"/>
      <c r="I354" s="73"/>
    </row>
    <row r="355" spans="1:10" s="65" customFormat="1" ht="15.75" thickBot="1" x14ac:dyDescent="0.3">
      <c r="A355" s="64"/>
      <c r="B355" s="64"/>
      <c r="C355" s="93" t="s">
        <v>571</v>
      </c>
      <c r="D355" s="94">
        <v>176</v>
      </c>
      <c r="E355" s="184" t="s">
        <v>506</v>
      </c>
      <c r="F355" s="64"/>
      <c r="G355" s="72"/>
      <c r="H355" s="73"/>
      <c r="I355" s="73"/>
    </row>
    <row r="356" spans="1:10" s="65" customFormat="1" x14ac:dyDescent="0.25">
      <c r="A356" s="64"/>
      <c r="B356" s="64"/>
      <c r="C356" s="64"/>
      <c r="D356" s="64"/>
      <c r="F356" s="64"/>
      <c r="G356" s="72"/>
      <c r="H356" s="73"/>
      <c r="I356" s="73"/>
    </row>
    <row r="357" spans="1:10" s="65" customFormat="1" x14ac:dyDescent="0.25">
      <c r="A357" s="64"/>
      <c r="B357" s="64"/>
      <c r="C357" s="64"/>
      <c r="D357" s="64"/>
      <c r="F357" s="64"/>
      <c r="G357" s="72"/>
      <c r="H357" s="73"/>
      <c r="I357" s="73"/>
    </row>
    <row r="358" spans="1:10" s="65" customFormat="1" x14ac:dyDescent="0.25">
      <c r="A358" s="64"/>
      <c r="B358" s="64"/>
      <c r="C358" s="64"/>
      <c r="D358" s="64"/>
      <c r="F358" s="64"/>
      <c r="G358" s="72"/>
      <c r="H358" s="73"/>
      <c r="I358" s="73"/>
    </row>
    <row r="359" spans="1:10" s="65" customFormat="1" x14ac:dyDescent="0.25">
      <c r="A359" s="64"/>
      <c r="B359" s="64"/>
      <c r="C359" s="64"/>
      <c r="D359" s="64"/>
      <c r="F359" s="64"/>
      <c r="G359" s="72"/>
      <c r="H359" s="73"/>
      <c r="I359" s="73"/>
    </row>
    <row r="360" spans="1:10" s="65" customFormat="1" x14ac:dyDescent="0.25">
      <c r="A360" s="64"/>
      <c r="B360" s="64"/>
      <c r="C360" s="64"/>
      <c r="D360" s="64"/>
      <c r="F360" s="64"/>
      <c r="G360" s="72"/>
      <c r="H360" s="73"/>
      <c r="I360" s="73"/>
    </row>
    <row r="361" spans="1:10" s="65" customFormat="1" x14ac:dyDescent="0.25">
      <c r="A361" s="64"/>
      <c r="B361" s="64"/>
      <c r="C361" s="64"/>
      <c r="D361" s="64"/>
      <c r="F361" s="64"/>
      <c r="G361" s="72"/>
      <c r="H361" s="73"/>
      <c r="I361" s="73"/>
    </row>
    <row r="362" spans="1:10" s="65" customFormat="1" x14ac:dyDescent="0.25">
      <c r="A362" s="64"/>
      <c r="B362" s="64"/>
      <c r="C362" s="64"/>
      <c r="D362" s="64"/>
      <c r="F362" s="64"/>
      <c r="G362" s="72"/>
      <c r="H362" s="73"/>
      <c r="I362" s="73"/>
    </row>
    <row r="363" spans="1:10" s="65" customFormat="1" x14ac:dyDescent="0.25">
      <c r="A363" s="64"/>
      <c r="B363" s="64"/>
      <c r="C363" s="64"/>
      <c r="D363" s="64"/>
      <c r="F363" s="64"/>
      <c r="G363" s="72"/>
      <c r="H363" s="73"/>
      <c r="I363" s="73"/>
    </row>
    <row r="364" spans="1:10" s="65" customFormat="1" x14ac:dyDescent="0.25">
      <c r="A364" s="64"/>
      <c r="B364" s="64"/>
      <c r="C364" s="64"/>
      <c r="D364" s="64"/>
      <c r="F364" s="64"/>
      <c r="G364" s="72"/>
      <c r="H364" s="73"/>
      <c r="I364" s="73"/>
    </row>
    <row r="365" spans="1:10" s="65" customFormat="1" x14ac:dyDescent="0.25">
      <c r="A365" s="64"/>
      <c r="B365" s="64"/>
      <c r="C365" s="64"/>
      <c r="D365" s="64"/>
      <c r="F365" s="64"/>
      <c r="G365" s="72"/>
      <c r="H365" s="73"/>
      <c r="I365" s="73"/>
    </row>
    <row r="366" spans="1:10" s="65" customFormat="1" x14ac:dyDescent="0.25">
      <c r="A366" s="64"/>
      <c r="B366" s="64"/>
      <c r="C366" s="64"/>
      <c r="D366" s="64"/>
      <c r="F366" s="64"/>
      <c r="G366" s="72"/>
      <c r="H366" s="73"/>
      <c r="I366" s="73"/>
    </row>
    <row r="367" spans="1:10" s="65" customFormat="1" x14ac:dyDescent="0.25">
      <c r="A367" s="64"/>
      <c r="B367" s="64"/>
      <c r="C367" s="64"/>
      <c r="D367" s="64"/>
      <c r="F367" s="64"/>
      <c r="G367" s="72"/>
      <c r="H367" s="73"/>
      <c r="I367" s="73"/>
    </row>
    <row r="368" spans="1:10" s="65" customFormat="1" x14ac:dyDescent="0.25">
      <c r="A368" s="64"/>
      <c r="B368" s="64"/>
      <c r="C368" s="64"/>
      <c r="D368" s="64"/>
      <c r="F368" s="64"/>
      <c r="G368" s="72"/>
      <c r="H368" s="73"/>
      <c r="I368" s="73"/>
    </row>
    <row r="369" spans="1:9" s="65" customFormat="1" x14ac:dyDescent="0.25">
      <c r="A369" s="64"/>
      <c r="B369" s="64"/>
      <c r="C369" s="64"/>
      <c r="D369" s="64"/>
      <c r="F369" s="64"/>
      <c r="G369" s="72"/>
      <c r="H369" s="73"/>
      <c r="I369" s="73"/>
    </row>
    <row r="370" spans="1:9" s="65" customFormat="1" x14ac:dyDescent="0.25">
      <c r="A370" s="64"/>
      <c r="B370" s="64"/>
      <c r="C370" s="64"/>
      <c r="D370" s="64"/>
      <c r="F370" s="64"/>
      <c r="G370" s="72"/>
      <c r="H370" s="73"/>
      <c r="I370" s="73"/>
    </row>
    <row r="371" spans="1:9" s="65" customFormat="1" x14ac:dyDescent="0.25">
      <c r="A371" s="64"/>
      <c r="B371" s="64"/>
      <c r="C371" s="64"/>
      <c r="D371" s="64"/>
      <c r="F371" s="64"/>
      <c r="G371" s="72"/>
      <c r="H371" s="73"/>
      <c r="I371" s="73"/>
    </row>
    <row r="372" spans="1:9" s="65" customFormat="1" x14ac:dyDescent="0.25">
      <c r="A372" s="64"/>
      <c r="B372" s="64"/>
      <c r="C372" s="64"/>
      <c r="D372" s="64"/>
      <c r="F372" s="64"/>
      <c r="G372" s="72"/>
      <c r="H372" s="73"/>
      <c r="I372" s="73"/>
    </row>
    <row r="373" spans="1:9" s="65" customFormat="1" x14ac:dyDescent="0.25">
      <c r="A373" s="64"/>
      <c r="B373" s="64"/>
      <c r="C373" s="64"/>
      <c r="D373" s="64"/>
      <c r="F373" s="64"/>
      <c r="G373" s="72"/>
      <c r="H373" s="73"/>
      <c r="I373" s="73"/>
    </row>
    <row r="374" spans="1:9" s="65" customFormat="1" x14ac:dyDescent="0.25">
      <c r="A374" s="64"/>
      <c r="B374" s="64"/>
      <c r="C374" s="64"/>
      <c r="D374" s="64"/>
      <c r="F374" s="64"/>
      <c r="G374" s="72"/>
      <c r="H374" s="73"/>
      <c r="I374" s="73"/>
    </row>
    <row r="375" spans="1:9" s="65" customFormat="1" x14ac:dyDescent="0.25">
      <c r="A375" s="64"/>
      <c r="B375" s="64"/>
      <c r="C375" s="64"/>
      <c r="D375" s="64"/>
      <c r="F375" s="64"/>
      <c r="G375" s="72"/>
      <c r="H375" s="73"/>
      <c r="I375" s="73"/>
    </row>
    <row r="376" spans="1:9" s="65" customFormat="1" x14ac:dyDescent="0.25">
      <c r="A376" s="64"/>
      <c r="B376" s="64"/>
      <c r="C376" s="64"/>
      <c r="D376" s="64"/>
      <c r="F376" s="64"/>
      <c r="G376" s="72"/>
      <c r="H376" s="73"/>
      <c r="I376" s="73"/>
    </row>
    <row r="377" spans="1:9" s="65" customFormat="1" x14ac:dyDescent="0.25">
      <c r="A377" s="64"/>
      <c r="B377" s="64"/>
      <c r="C377" s="64"/>
      <c r="D377" s="64"/>
      <c r="F377" s="64"/>
      <c r="G377" s="72"/>
      <c r="H377" s="73"/>
      <c r="I377" s="73"/>
    </row>
    <row r="378" spans="1:9" s="65" customFormat="1" x14ac:dyDescent="0.25">
      <c r="A378" s="64"/>
      <c r="B378" s="64"/>
      <c r="C378" s="64"/>
      <c r="D378" s="64"/>
      <c r="F378" s="64"/>
      <c r="G378" s="72"/>
      <c r="H378" s="73"/>
      <c r="I378" s="73"/>
    </row>
    <row r="379" spans="1:9" s="65" customFormat="1" x14ac:dyDescent="0.25">
      <c r="A379" s="64"/>
      <c r="B379" s="64"/>
      <c r="C379" s="64"/>
      <c r="D379" s="64"/>
      <c r="F379" s="64"/>
      <c r="G379" s="72"/>
      <c r="H379" s="73"/>
      <c r="I379" s="73"/>
    </row>
    <row r="380" spans="1:9" s="65" customFormat="1" x14ac:dyDescent="0.25">
      <c r="A380" s="64"/>
      <c r="B380" s="64"/>
      <c r="C380" s="64"/>
      <c r="D380" s="64"/>
      <c r="F380" s="64"/>
      <c r="G380" s="72"/>
      <c r="H380" s="73"/>
      <c r="I380" s="73"/>
    </row>
    <row r="381" spans="1:9" s="65" customFormat="1" x14ac:dyDescent="0.25">
      <c r="A381" s="64"/>
      <c r="B381" s="64"/>
      <c r="C381" s="64"/>
      <c r="D381" s="64"/>
      <c r="F381" s="64"/>
      <c r="G381" s="72"/>
      <c r="H381" s="73"/>
      <c r="I381" s="73"/>
    </row>
    <row r="382" spans="1:9" s="65" customFormat="1" x14ac:dyDescent="0.25">
      <c r="A382" s="64"/>
      <c r="B382" s="64"/>
      <c r="C382" s="64"/>
      <c r="D382" s="64"/>
      <c r="F382" s="64"/>
      <c r="G382" s="72"/>
      <c r="H382" s="73"/>
      <c r="I382" s="73"/>
    </row>
    <row r="383" spans="1:9" s="65" customFormat="1" x14ac:dyDescent="0.25">
      <c r="A383" s="64"/>
      <c r="B383" s="64"/>
      <c r="C383" s="64"/>
      <c r="D383" s="64"/>
      <c r="F383" s="64"/>
      <c r="G383" s="72"/>
      <c r="H383" s="73"/>
      <c r="I383" s="73"/>
    </row>
    <row r="384" spans="1:9" s="65" customFormat="1" x14ac:dyDescent="0.25">
      <c r="A384" s="64"/>
      <c r="B384" s="64"/>
      <c r="C384" s="64"/>
      <c r="D384" s="64"/>
      <c r="F384" s="64"/>
      <c r="G384" s="72"/>
      <c r="H384" s="73"/>
      <c r="I384" s="73"/>
    </row>
    <row r="385" spans="1:9" s="65" customFormat="1" x14ac:dyDescent="0.25">
      <c r="A385" s="64"/>
      <c r="B385" s="64"/>
      <c r="C385" s="64"/>
      <c r="D385" s="64"/>
      <c r="F385" s="64"/>
      <c r="G385" s="72"/>
      <c r="H385" s="73"/>
      <c r="I385" s="73"/>
    </row>
    <row r="386" spans="1:9" s="65" customFormat="1" x14ac:dyDescent="0.25">
      <c r="A386" s="64"/>
      <c r="B386" s="64"/>
      <c r="C386" s="64"/>
      <c r="D386" s="64"/>
      <c r="F386" s="64"/>
      <c r="G386" s="72"/>
      <c r="H386" s="73"/>
      <c r="I386" s="73"/>
    </row>
    <row r="387" spans="1:9" s="65" customFormat="1" x14ac:dyDescent="0.25">
      <c r="A387" s="64"/>
      <c r="B387" s="64"/>
      <c r="C387" s="64"/>
      <c r="D387" s="64"/>
      <c r="F387" s="64"/>
      <c r="G387" s="72"/>
      <c r="H387" s="73"/>
      <c r="I387" s="73"/>
    </row>
    <row r="388" spans="1:9" s="65" customFormat="1" x14ac:dyDescent="0.25">
      <c r="A388" s="64"/>
      <c r="B388" s="64"/>
      <c r="C388" s="64"/>
      <c r="D388" s="64"/>
      <c r="F388" s="64"/>
      <c r="G388" s="72"/>
      <c r="H388" s="73"/>
      <c r="I388" s="73"/>
    </row>
    <row r="389" spans="1:9" s="65" customFormat="1" x14ac:dyDescent="0.25">
      <c r="A389" s="64"/>
      <c r="B389" s="64"/>
      <c r="C389" s="64"/>
      <c r="D389" s="64"/>
      <c r="F389" s="64"/>
      <c r="G389" s="72"/>
      <c r="H389" s="73"/>
      <c r="I389" s="73"/>
    </row>
    <row r="390" spans="1:9" s="65" customFormat="1" x14ac:dyDescent="0.25">
      <c r="A390" s="64"/>
      <c r="B390" s="64"/>
      <c r="C390" s="64"/>
      <c r="D390" s="64"/>
      <c r="F390" s="64"/>
      <c r="G390" s="72"/>
      <c r="H390" s="73"/>
      <c r="I390" s="73"/>
    </row>
    <row r="391" spans="1:9" s="65" customFormat="1" x14ac:dyDescent="0.25">
      <c r="A391" s="64"/>
      <c r="B391" s="64"/>
      <c r="C391" s="64"/>
      <c r="D391" s="64"/>
      <c r="F391" s="64"/>
      <c r="G391" s="72"/>
      <c r="H391" s="73"/>
      <c r="I391" s="73"/>
    </row>
    <row r="392" spans="1:9" s="65" customFormat="1" x14ac:dyDescent="0.25">
      <c r="A392" s="64"/>
      <c r="B392" s="64"/>
      <c r="C392" s="64"/>
      <c r="D392" s="64"/>
      <c r="F392" s="64"/>
      <c r="G392" s="72"/>
      <c r="H392" s="73"/>
      <c r="I392" s="73"/>
    </row>
    <row r="393" spans="1:9" s="65" customFormat="1" x14ac:dyDescent="0.25">
      <c r="A393" s="64"/>
      <c r="B393" s="64"/>
      <c r="C393" s="64"/>
      <c r="D393" s="64"/>
      <c r="F393" s="64"/>
      <c r="G393" s="72"/>
      <c r="H393" s="73"/>
      <c r="I393" s="73"/>
    </row>
    <row r="394" spans="1:9" s="65" customFormat="1" x14ac:dyDescent="0.25">
      <c r="A394" s="64"/>
      <c r="B394" s="64"/>
      <c r="C394" s="64"/>
      <c r="D394" s="64"/>
      <c r="F394" s="64"/>
      <c r="G394" s="72"/>
      <c r="H394" s="73"/>
      <c r="I394" s="73"/>
    </row>
    <row r="395" spans="1:9" s="65" customFormat="1" x14ac:dyDescent="0.25">
      <c r="A395" s="64"/>
      <c r="B395" s="64"/>
      <c r="C395" s="64"/>
      <c r="D395" s="64"/>
      <c r="F395" s="64"/>
      <c r="G395" s="72"/>
      <c r="H395" s="73"/>
      <c r="I395" s="73"/>
    </row>
    <row r="396" spans="1:9" s="65" customFormat="1" x14ac:dyDescent="0.25">
      <c r="A396" s="64"/>
      <c r="B396" s="64"/>
      <c r="C396" s="64"/>
      <c r="D396" s="64"/>
      <c r="F396" s="64"/>
      <c r="G396" s="72"/>
      <c r="H396" s="73"/>
      <c r="I396" s="73"/>
    </row>
    <row r="397" spans="1:9" s="65" customFormat="1" x14ac:dyDescent="0.25">
      <c r="A397" s="64"/>
      <c r="B397" s="64"/>
      <c r="C397" s="64"/>
      <c r="D397" s="64"/>
      <c r="F397" s="64"/>
      <c r="G397" s="72"/>
      <c r="H397" s="73"/>
      <c r="I397" s="73"/>
    </row>
    <row r="398" spans="1:9" s="65" customFormat="1" x14ac:dyDescent="0.25">
      <c r="A398" s="64"/>
      <c r="B398" s="64"/>
      <c r="C398" s="64"/>
      <c r="D398" s="64"/>
      <c r="F398" s="64"/>
      <c r="G398" s="72"/>
      <c r="H398" s="73"/>
      <c r="I398" s="73"/>
    </row>
    <row r="399" spans="1:9" s="65" customFormat="1" x14ac:dyDescent="0.25">
      <c r="A399" s="64"/>
      <c r="B399" s="64"/>
      <c r="C399" s="64"/>
      <c r="D399" s="64"/>
      <c r="F399" s="64"/>
      <c r="G399" s="72"/>
      <c r="H399" s="73"/>
      <c r="I399" s="73"/>
    </row>
    <row r="400" spans="1:9" s="65" customFormat="1" x14ac:dyDescent="0.25">
      <c r="A400" s="64"/>
      <c r="B400" s="64"/>
      <c r="C400" s="64"/>
      <c r="D400" s="64"/>
      <c r="F400" s="64"/>
      <c r="G400" s="72"/>
      <c r="H400" s="73"/>
      <c r="I400" s="73"/>
    </row>
    <row r="401" spans="1:9" s="65" customFormat="1" x14ac:dyDescent="0.25">
      <c r="A401" s="64"/>
      <c r="B401" s="64"/>
      <c r="C401" s="64"/>
      <c r="D401" s="64"/>
      <c r="F401" s="64"/>
      <c r="G401" s="72"/>
      <c r="H401" s="73"/>
      <c r="I401" s="73"/>
    </row>
    <row r="402" spans="1:9" s="65" customFormat="1" x14ac:dyDescent="0.25">
      <c r="A402" s="64"/>
      <c r="B402" s="64"/>
      <c r="C402" s="64"/>
      <c r="D402" s="64"/>
      <c r="F402" s="64"/>
      <c r="G402" s="72"/>
      <c r="H402" s="73"/>
      <c r="I402" s="73"/>
    </row>
    <row r="403" spans="1:9" s="65" customFormat="1" x14ac:dyDescent="0.25">
      <c r="A403" s="64"/>
      <c r="B403" s="64"/>
      <c r="C403" s="64"/>
      <c r="D403" s="64"/>
      <c r="F403" s="64"/>
      <c r="G403" s="72"/>
      <c r="H403" s="73"/>
      <c r="I403" s="73"/>
    </row>
    <row r="404" spans="1:9" s="65" customFormat="1" x14ac:dyDescent="0.25">
      <c r="A404" s="64"/>
      <c r="B404" s="64"/>
      <c r="C404" s="64"/>
      <c r="D404" s="64"/>
      <c r="F404" s="64"/>
      <c r="G404" s="72"/>
      <c r="H404" s="73"/>
      <c r="I404" s="73"/>
    </row>
    <row r="405" spans="1:9" s="65" customFormat="1" x14ac:dyDescent="0.25">
      <c r="A405" s="64"/>
      <c r="B405" s="64"/>
      <c r="C405" s="64"/>
      <c r="D405" s="64"/>
      <c r="F405" s="64"/>
      <c r="G405" s="72"/>
      <c r="H405" s="73"/>
      <c r="I405" s="73"/>
    </row>
    <row r="406" spans="1:9" s="65" customFormat="1" x14ac:dyDescent="0.25">
      <c r="A406" s="64"/>
      <c r="B406" s="64"/>
      <c r="C406" s="64"/>
      <c r="D406" s="64"/>
      <c r="F406" s="64"/>
      <c r="G406" s="72"/>
      <c r="H406" s="73"/>
      <c r="I406" s="73"/>
    </row>
    <row r="407" spans="1:9" s="65" customFormat="1" x14ac:dyDescent="0.25">
      <c r="A407" s="64"/>
      <c r="B407" s="64"/>
      <c r="C407" s="64"/>
      <c r="D407" s="64"/>
      <c r="F407" s="64"/>
      <c r="G407" s="72"/>
      <c r="H407" s="73"/>
      <c r="I407" s="73"/>
    </row>
    <row r="408" spans="1:9" s="65" customFormat="1" x14ac:dyDescent="0.25">
      <c r="A408" s="64"/>
      <c r="B408" s="64"/>
      <c r="C408" s="64"/>
      <c r="D408" s="64"/>
      <c r="F408" s="64"/>
      <c r="G408" s="72"/>
      <c r="H408" s="73"/>
      <c r="I408" s="73"/>
    </row>
    <row r="409" spans="1:9" s="65" customFormat="1" x14ac:dyDescent="0.25">
      <c r="A409" s="64"/>
      <c r="B409" s="64"/>
      <c r="C409" s="64"/>
      <c r="D409" s="64"/>
      <c r="F409" s="64"/>
      <c r="G409" s="72"/>
      <c r="H409" s="73"/>
      <c r="I409" s="73"/>
    </row>
    <row r="410" spans="1:9" s="65" customFormat="1" x14ac:dyDescent="0.25">
      <c r="A410" s="64"/>
      <c r="B410" s="64"/>
      <c r="C410" s="64"/>
      <c r="D410" s="64"/>
      <c r="F410" s="64"/>
      <c r="G410" s="72"/>
      <c r="H410" s="73"/>
      <c r="I410" s="73"/>
    </row>
  </sheetData>
  <sortState xmlns:xlrd2="http://schemas.microsoft.com/office/spreadsheetml/2017/richdata2" ref="A10:J186">
    <sortCondition ref="E10:E186"/>
  </sortState>
  <mergeCells count="12">
    <mergeCell ref="D198:E198"/>
    <mergeCell ref="C193:C194"/>
    <mergeCell ref="A187:E187"/>
    <mergeCell ref="D189:E189"/>
    <mergeCell ref="D191:E191"/>
    <mergeCell ref="D193:E193"/>
    <mergeCell ref="D194:E194"/>
    <mergeCell ref="B2:F2"/>
    <mergeCell ref="A7:B7"/>
    <mergeCell ref="A6:B6"/>
    <mergeCell ref="A4:B4"/>
    <mergeCell ref="A5:B5"/>
  </mergeCells>
  <conditionalFormatting sqref="B2:B9 E1 E3:E9">
    <cfRule type="duplicateValues" dxfId="63" priority="209"/>
  </conditionalFormatting>
  <conditionalFormatting sqref="E1 B2:B9 E3:E9">
    <cfRule type="duplicateValues" dxfId="62" priority="210"/>
  </conditionalFormatting>
  <conditionalFormatting sqref="B2:B9">
    <cfRule type="duplicateValues" dxfId="61" priority="253"/>
  </conditionalFormatting>
  <conditionalFormatting sqref="E1 E3:E9">
    <cfRule type="duplicateValues" dxfId="60" priority="254"/>
  </conditionalFormatting>
  <conditionalFormatting sqref="E1 E3:E9">
    <cfRule type="duplicateValues" dxfId="59" priority="255"/>
    <cfRule type="duplicateValues" dxfId="58" priority="256"/>
  </conditionalFormatting>
  <conditionalFormatting sqref="B171">
    <cfRule type="duplicateValues" dxfId="57" priority="108"/>
  </conditionalFormatting>
  <conditionalFormatting sqref="B171">
    <cfRule type="duplicateValues" dxfId="56" priority="109"/>
  </conditionalFormatting>
  <conditionalFormatting sqref="B171">
    <cfRule type="duplicateValues" dxfId="55" priority="110"/>
  </conditionalFormatting>
  <conditionalFormatting sqref="E160:E161">
    <cfRule type="duplicateValues" dxfId="54" priority="113"/>
  </conditionalFormatting>
  <conditionalFormatting sqref="E160:E161">
    <cfRule type="duplicateValues" dxfId="53" priority="114"/>
    <cfRule type="duplicateValues" dxfId="52" priority="115"/>
  </conditionalFormatting>
  <conditionalFormatting sqref="J179">
    <cfRule type="duplicateValues" dxfId="51" priority="95"/>
  </conditionalFormatting>
  <conditionalFormatting sqref="J179">
    <cfRule type="duplicateValues" dxfId="50" priority="96"/>
  </conditionalFormatting>
  <conditionalFormatting sqref="J179">
    <cfRule type="duplicateValues" dxfId="49" priority="97"/>
    <cfRule type="duplicateValues" dxfId="48" priority="98"/>
  </conditionalFormatting>
  <conditionalFormatting sqref="J179">
    <cfRule type="duplicateValues" dxfId="47" priority="99"/>
  </conditionalFormatting>
  <conditionalFormatting sqref="J180">
    <cfRule type="duplicateValues" dxfId="46" priority="90"/>
  </conditionalFormatting>
  <conditionalFormatting sqref="J180">
    <cfRule type="duplicateValues" dxfId="45" priority="91"/>
  </conditionalFormatting>
  <conditionalFormatting sqref="J180">
    <cfRule type="duplicateValues" dxfId="44" priority="92"/>
    <cfRule type="duplicateValues" dxfId="43" priority="93"/>
  </conditionalFormatting>
  <conditionalFormatting sqref="J180">
    <cfRule type="duplicateValues" dxfId="42" priority="94"/>
  </conditionalFormatting>
  <conditionalFormatting sqref="J181">
    <cfRule type="duplicateValues" dxfId="41" priority="85"/>
  </conditionalFormatting>
  <conditionalFormatting sqref="J181">
    <cfRule type="duplicateValues" dxfId="40" priority="86"/>
  </conditionalFormatting>
  <conditionalFormatting sqref="J181">
    <cfRule type="duplicateValues" dxfId="39" priority="87"/>
    <cfRule type="duplicateValues" dxfId="38" priority="88"/>
  </conditionalFormatting>
  <conditionalFormatting sqref="J181">
    <cfRule type="duplicateValues" dxfId="37" priority="89"/>
  </conditionalFormatting>
  <conditionalFormatting sqref="J182">
    <cfRule type="duplicateValues" dxfId="36" priority="80"/>
  </conditionalFormatting>
  <conditionalFormatting sqref="J182">
    <cfRule type="duplicateValues" dxfId="35" priority="81"/>
  </conditionalFormatting>
  <conditionalFormatting sqref="J182">
    <cfRule type="duplicateValues" dxfId="34" priority="82"/>
    <cfRule type="duplicateValues" dxfId="33" priority="83"/>
  </conditionalFormatting>
  <conditionalFormatting sqref="J182">
    <cfRule type="duplicateValues" dxfId="32" priority="84"/>
  </conditionalFormatting>
  <conditionalFormatting sqref="J183">
    <cfRule type="duplicateValues" dxfId="31" priority="75"/>
  </conditionalFormatting>
  <conditionalFormatting sqref="J183">
    <cfRule type="duplicateValues" dxfId="30" priority="76"/>
  </conditionalFormatting>
  <conditionalFormatting sqref="J183">
    <cfRule type="duplicateValues" dxfId="29" priority="77"/>
    <cfRule type="duplicateValues" dxfId="28" priority="78"/>
  </conditionalFormatting>
  <conditionalFormatting sqref="J183">
    <cfRule type="duplicateValues" dxfId="27" priority="79"/>
  </conditionalFormatting>
  <conditionalFormatting sqref="B168 B170 B172 B148:B149 B156 B159:B162">
    <cfRule type="duplicateValues" dxfId="26" priority="257"/>
  </conditionalFormatting>
  <conditionalFormatting sqref="B168 B170 B172 B148:B149 B156 B159:B162 E160:E161">
    <cfRule type="duplicateValues" dxfId="25" priority="263"/>
  </conditionalFormatting>
  <conditionalFormatting sqref="J184:J186">
    <cfRule type="duplicateValues" dxfId="24" priority="278"/>
  </conditionalFormatting>
  <conditionalFormatting sqref="J184:J186">
    <cfRule type="duplicateValues" dxfId="23" priority="279"/>
  </conditionalFormatting>
  <conditionalFormatting sqref="J184:J186">
    <cfRule type="duplicateValues" dxfId="22" priority="280"/>
    <cfRule type="duplicateValues" dxfId="21" priority="281"/>
  </conditionalFormatting>
  <conditionalFormatting sqref="C191:C193 C195:C198">
    <cfRule type="duplicateValues" dxfId="20" priority="67"/>
  </conditionalFormatting>
  <conditionalFormatting sqref="C191:C193 C195:C198">
    <cfRule type="duplicateValues" dxfId="19" priority="68"/>
  </conditionalFormatting>
  <conditionalFormatting sqref="C191:C193">
    <cfRule type="duplicateValues" dxfId="18" priority="69"/>
  </conditionalFormatting>
  <conditionalFormatting sqref="C191:C193">
    <cfRule type="duplicateValues" dxfId="17" priority="70"/>
  </conditionalFormatting>
  <conditionalFormatting sqref="J148:J159 J162:J165 J167:J178">
    <cfRule type="duplicateValues" dxfId="16" priority="282"/>
  </conditionalFormatting>
  <conditionalFormatting sqref="J162:J165 J148:J159 J167:J178">
    <cfRule type="duplicateValues" dxfId="15" priority="286"/>
  </conditionalFormatting>
  <conditionalFormatting sqref="J162:J165 J148:J159 J167:J178">
    <cfRule type="duplicateValues" dxfId="14" priority="290"/>
    <cfRule type="duplicateValues" dxfId="13" priority="291"/>
  </conditionalFormatting>
  <conditionalFormatting sqref="E353">
    <cfRule type="duplicateValues" dxfId="12" priority="21"/>
  </conditionalFormatting>
  <conditionalFormatting sqref="E353">
    <cfRule type="duplicateValues" dxfId="11" priority="22"/>
  </conditionalFormatting>
  <conditionalFormatting sqref="E353">
    <cfRule type="duplicateValues" dxfId="10" priority="23"/>
    <cfRule type="duplicateValues" dxfId="9" priority="24"/>
  </conditionalFormatting>
  <conditionalFormatting sqref="E353">
    <cfRule type="duplicateValues" dxfId="8" priority="25"/>
  </conditionalFormatting>
  <conditionalFormatting sqref="E338:E341 E327:E336 E343:E352">
    <cfRule type="duplicateValues" dxfId="7" priority="302"/>
  </conditionalFormatting>
  <conditionalFormatting sqref="E338:E341 E327:E336 E343:E352">
    <cfRule type="duplicateValues" dxfId="6" priority="306"/>
  </conditionalFormatting>
  <conditionalFormatting sqref="E338:E341 E327:E336 E343:E352">
    <cfRule type="duplicateValues" dxfId="5" priority="310"/>
    <cfRule type="duplicateValues" dxfId="4" priority="311"/>
  </conditionalFormatting>
  <conditionalFormatting sqref="E354:E355">
    <cfRule type="duplicateValues" dxfId="3" priority="312"/>
  </conditionalFormatting>
  <conditionalFormatting sqref="E354:E355">
    <cfRule type="duplicateValues" dxfId="2" priority="313"/>
  </conditionalFormatting>
  <conditionalFormatting sqref="E354:E355">
    <cfRule type="duplicateValues" dxfId="1" priority="314"/>
    <cfRule type="duplicateValues" dxfId="0" priority="315"/>
  </conditionalFormatting>
  <pageMargins left="0.7" right="0.7" top="0.75" bottom="0.75" header="0.3" footer="0.3"/>
  <pageSetup paperSize="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49"/>
  <sheetViews>
    <sheetView view="pageBreakPreview" zoomScaleNormal="100" zoomScaleSheetLayoutView="100" workbookViewId="0">
      <selection activeCell="C146" sqref="C146"/>
    </sheetView>
  </sheetViews>
  <sheetFormatPr baseColWidth="10" defaultRowHeight="15" x14ac:dyDescent="0.25"/>
  <cols>
    <col min="1" max="1" width="7.5703125" customWidth="1"/>
    <col min="2" max="2" width="22.85546875" style="174" customWidth="1"/>
    <col min="3" max="3" width="75" customWidth="1"/>
    <col min="4" max="4" width="9.140625" customWidth="1"/>
    <col min="5" max="5" width="11.140625" customWidth="1"/>
    <col min="6" max="6" width="15.140625" style="10" customWidth="1"/>
    <col min="7" max="7" width="11.28515625" bestFit="1" customWidth="1"/>
  </cols>
  <sheetData>
    <row r="1" spans="1:7" s="21" customFormat="1" ht="27.6" x14ac:dyDescent="0.3">
      <c r="A1" s="165"/>
      <c r="B1" s="196" t="s">
        <v>577</v>
      </c>
      <c r="C1" s="196"/>
      <c r="D1" s="196"/>
      <c r="E1" s="196"/>
      <c r="F1" s="196"/>
      <c r="G1" s="165"/>
    </row>
    <row r="2" spans="1:7" s="21" customFormat="1" x14ac:dyDescent="0.25">
      <c r="A2" s="166" t="s">
        <v>578</v>
      </c>
      <c r="B2" s="171"/>
      <c r="C2" s="166" t="s">
        <v>2</v>
      </c>
      <c r="D2" s="166"/>
      <c r="E2" s="167"/>
      <c r="F2" s="175"/>
      <c r="G2" s="168"/>
    </row>
    <row r="3" spans="1:7" s="21" customFormat="1" x14ac:dyDescent="0.3">
      <c r="A3" s="166" t="s">
        <v>579</v>
      </c>
      <c r="B3" s="171"/>
      <c r="C3" s="166" t="s">
        <v>572</v>
      </c>
      <c r="D3" s="166"/>
      <c r="E3" s="167"/>
      <c r="F3" s="175"/>
      <c r="G3" s="168"/>
    </row>
    <row r="4" spans="1:7" s="21" customFormat="1" x14ac:dyDescent="0.3">
      <c r="A4" s="166" t="s">
        <v>580</v>
      </c>
      <c r="B4" s="171"/>
      <c r="C4" s="166" t="s">
        <v>524</v>
      </c>
      <c r="D4" s="166"/>
      <c r="E4" s="167"/>
      <c r="F4" s="175"/>
      <c r="G4" s="168"/>
    </row>
    <row r="5" spans="1:7" s="21" customFormat="1" x14ac:dyDescent="0.3">
      <c r="A5" s="166" t="s">
        <v>581</v>
      </c>
      <c r="B5" s="171"/>
      <c r="C5" s="166" t="s">
        <v>524</v>
      </c>
      <c r="D5" s="166"/>
      <c r="E5" s="167"/>
      <c r="F5" s="175"/>
      <c r="G5" s="168"/>
    </row>
    <row r="6" spans="1:7" s="21" customFormat="1" x14ac:dyDescent="0.3">
      <c r="A6" s="166" t="s">
        <v>582</v>
      </c>
      <c r="B6" s="171"/>
      <c r="C6" s="166" t="s">
        <v>31</v>
      </c>
      <c r="D6" s="166"/>
      <c r="E6" s="167"/>
      <c r="F6" s="175"/>
      <c r="G6" s="168"/>
    </row>
    <row r="7" spans="1:7" s="21" customFormat="1" x14ac:dyDescent="0.25">
      <c r="A7" s="166" t="s">
        <v>583</v>
      </c>
      <c r="B7" s="171"/>
      <c r="C7" s="166" t="s">
        <v>584</v>
      </c>
      <c r="D7" s="166"/>
      <c r="E7" s="167"/>
      <c r="F7" s="175"/>
      <c r="G7" s="168"/>
    </row>
    <row r="8" spans="1:7" s="21" customFormat="1" thickBot="1" x14ac:dyDescent="0.35">
      <c r="A8" s="165"/>
      <c r="B8" s="172"/>
      <c r="C8" s="167"/>
      <c r="D8" s="167"/>
      <c r="E8" s="167"/>
      <c r="F8" s="175"/>
      <c r="G8" s="168"/>
    </row>
    <row r="9" spans="1:7" s="21" customFormat="1" ht="26.25" thickBot="1" x14ac:dyDescent="0.3">
      <c r="A9" s="157" t="s">
        <v>585</v>
      </c>
      <c r="B9" s="158" t="s">
        <v>586</v>
      </c>
      <c r="C9" s="158" t="s">
        <v>587</v>
      </c>
      <c r="D9" s="158" t="s">
        <v>588</v>
      </c>
      <c r="E9" s="158" t="s">
        <v>589</v>
      </c>
      <c r="F9" s="176" t="s">
        <v>28</v>
      </c>
      <c r="G9" s="159" t="s">
        <v>29</v>
      </c>
    </row>
    <row r="10" spans="1:7" s="21" customFormat="1" ht="39.6" x14ac:dyDescent="0.3">
      <c r="A10" s="160">
        <v>1</v>
      </c>
      <c r="B10" s="160" t="str">
        <f>'SAF 011'!B10</f>
        <v>2.5.1-9043.2</v>
      </c>
      <c r="C10" s="169" t="str">
        <f>'SAF 011'!E10</f>
        <v>ACEITES Y GRASAS; COMPUESTO QUIMICO: ACEITE DE INMERSION, ESTADO: LIQUIDO, CALIDAD: PRO ANALISIS, CONCENTRACION/PUREZA: 99,9 %, PRESENTACION: ENVASE X 100 mL</v>
      </c>
      <c r="D10" s="170" t="s">
        <v>32</v>
      </c>
      <c r="E10" s="161" t="str">
        <f>'SAF 011'!F10</f>
        <v>FRASCO</v>
      </c>
      <c r="F10" s="177">
        <f>'SAF 011'!H10</f>
        <v>5017</v>
      </c>
      <c r="G10" s="162" t="e">
        <f>'SAF 011'!#REF!</f>
        <v>#REF!</v>
      </c>
    </row>
    <row r="11" spans="1:7" s="21" customFormat="1" ht="39.6" x14ac:dyDescent="0.3">
      <c r="A11" s="163">
        <v>2</v>
      </c>
      <c r="B11" s="160" t="str">
        <f>'SAF 011'!B14</f>
        <v>2.5.1-9007.169</v>
      </c>
      <c r="C11" s="169" t="str">
        <f>'SAF 011'!E14</f>
        <v>COMP. HIDROXILADOS Y ALCOHOLES; COMPUESTO QUIMICO: METANOL, ESTADO: LIQUIDO, CALIDAD: PRO ANALISIS, CONCENTRACION/PUREZA: 98 %, PRESENTACION: ENVASE X 1 L</v>
      </c>
      <c r="D11" s="170" t="s">
        <v>32</v>
      </c>
      <c r="E11" s="161" t="str">
        <f>'SAF 011'!F14</f>
        <v>BOTELLA</v>
      </c>
      <c r="F11" s="177">
        <f>'SAF 011'!H14</f>
        <v>3980</v>
      </c>
      <c r="G11" s="162" t="e">
        <f>'SAF 011'!#REF!</f>
        <v>#REF!</v>
      </c>
    </row>
    <row r="12" spans="1:7" s="21" customFormat="1" ht="39.6" x14ac:dyDescent="0.3">
      <c r="A12" s="163">
        <v>3</v>
      </c>
      <c r="B12" s="160" t="str">
        <f>'SAF 011'!B15</f>
        <v>2.5.1-9019.119</v>
      </c>
      <c r="C12" s="169" t="str">
        <f>'SAF 011'!E15</f>
        <v>HIDRATOS DE CARBONO; COMPUESTO QUIMICO: GLUCOCURVE 75 GR, ESTADO: SOLIDO, CALIDAD: PRO ANALISIS, CONCENTRACION/PUREZA: SIN VALOR, PRESENTACION: ENVASE X 10 SOBRES</v>
      </c>
      <c r="D12" s="170" t="s">
        <v>32</v>
      </c>
      <c r="E12" s="161" t="str">
        <f>'SAF 011'!F15</f>
        <v>CAJA</v>
      </c>
      <c r="F12" s="177">
        <f>'SAF 011'!H15</f>
        <v>1781</v>
      </c>
      <c r="G12" s="162" t="e">
        <f>'SAF 011'!#REF!</f>
        <v>#REF!</v>
      </c>
    </row>
    <row r="13" spans="1:7" s="21" customFormat="1" ht="26.45" x14ac:dyDescent="0.3">
      <c r="A13" s="163">
        <v>4</v>
      </c>
      <c r="B13" s="160" t="str">
        <f>'SAF 011'!B16</f>
        <v>2.9.9-3646.23</v>
      </c>
      <c r="C13" s="169" t="str">
        <f>'SAF 011'!E16</f>
        <v>INSUMOS P/CONTADOR HEMATOL; TIPO: DETERGENTE, USO: CONTADOR HEMATOLOGICO MINDRAY</v>
      </c>
      <c r="D13" s="170" t="s">
        <v>32</v>
      </c>
      <c r="E13" s="161" t="str">
        <f>'SAF 011'!F16</f>
        <v>BIDON</v>
      </c>
      <c r="F13" s="177">
        <f>'SAF 011'!H16</f>
        <v>10600</v>
      </c>
      <c r="G13" s="162" t="e">
        <f>'SAF 011'!#REF!</f>
        <v>#REF!</v>
      </c>
    </row>
    <row r="14" spans="1:7" s="21" customFormat="1" ht="26.45" x14ac:dyDescent="0.3">
      <c r="A14" s="163">
        <v>5</v>
      </c>
      <c r="B14" s="160" t="str">
        <f>'SAF 011'!B17</f>
        <v>2.9.9-3646.22</v>
      </c>
      <c r="C14" s="169" t="str">
        <f>'SAF 011'!E17</f>
        <v>INSUMOS P/CONTADOR HEMATOL; TIPO: DILUYENTE, USO: CONTADOR HEMATOLOGICO MINDRAY</v>
      </c>
      <c r="D14" s="170" t="s">
        <v>32</v>
      </c>
      <c r="E14" s="161" t="str">
        <f>'SAF 011'!F17</f>
        <v>BIDON</v>
      </c>
      <c r="F14" s="177">
        <f>'SAF 011'!H17</f>
        <v>11200</v>
      </c>
      <c r="G14" s="162" t="e">
        <f>'SAF 011'!#REF!</f>
        <v>#REF!</v>
      </c>
    </row>
    <row r="15" spans="1:7" s="21" customFormat="1" ht="26.45" x14ac:dyDescent="0.3">
      <c r="A15" s="163">
        <v>6</v>
      </c>
      <c r="B15" s="160" t="str">
        <f>'SAF 011'!B18</f>
        <v>2.9.9-3646.21</v>
      </c>
      <c r="C15" s="169" t="str">
        <f>'SAF 011'!E18</f>
        <v>INSUMOS P/CONTADOR HEMATOL; TIPO: LISANTE, USO: CONTADOR HEMATOLOGICO MINDRAY</v>
      </c>
      <c r="D15" s="170" t="s">
        <v>32</v>
      </c>
      <c r="E15" s="161" t="str">
        <f>'SAF 011'!F18</f>
        <v>BOTELLA</v>
      </c>
      <c r="F15" s="177">
        <f>'SAF 011'!H18</f>
        <v>17700</v>
      </c>
      <c r="G15" s="162" t="e">
        <f>'SAF 011'!#REF!</f>
        <v>#REF!</v>
      </c>
    </row>
    <row r="16" spans="1:7" s="21" customFormat="1" ht="26.45" x14ac:dyDescent="0.3">
      <c r="A16" s="163">
        <v>7</v>
      </c>
      <c r="B16" s="160" t="str">
        <f>'SAF 011'!B19</f>
        <v>2.5.1-9016.223</v>
      </c>
      <c r="C16" s="169" t="str">
        <f>'SAF 011'!E19</f>
        <v>MEDIOS DE CULTIVO Y SUPLEMENTO; NOMBRE DEL PRODUCTO: AGAR DIFERENCIAL ACETATO, ESTADO: SOLIDO, PRESENTACION: ENVASE X 500 GR</v>
      </c>
      <c r="D16" s="170" t="s">
        <v>32</v>
      </c>
      <c r="E16" s="161" t="str">
        <f>'SAF 011'!F19</f>
        <v>FRASCO</v>
      </c>
      <c r="F16" s="177">
        <f>'SAF 011'!H19</f>
        <v>18017</v>
      </c>
      <c r="G16" s="162" t="e">
        <f>'SAF 011'!#REF!</f>
        <v>#REF!</v>
      </c>
    </row>
    <row r="17" spans="1:7" s="21" customFormat="1" ht="39.6" x14ac:dyDescent="0.3">
      <c r="A17" s="163">
        <v>8</v>
      </c>
      <c r="B17" s="160" t="str">
        <f>'SAF 011'!B20</f>
        <v>2.5.1-9016.547</v>
      </c>
      <c r="C17" s="169" t="str">
        <f>'SAF 011'!E20</f>
        <v>MEDIOS DE CULTIVO Y SUPLEMENTO; NOMBRE DEL PRODUCTO: AGAR SANGRE C/POLINUTRIENTES, ESTADO: SOLIDO EN PLACA, PRESENTACION: ENVASE X 10 UN</v>
      </c>
      <c r="D17" s="170" t="s">
        <v>32</v>
      </c>
      <c r="E17" s="161" t="str">
        <f>'SAF 011'!F20</f>
        <v>CAJA</v>
      </c>
      <c r="F17" s="177">
        <f>'SAF 011'!H20</f>
        <v>12000</v>
      </c>
      <c r="G17" s="162" t="e">
        <f>'SAF 011'!#REF!</f>
        <v>#REF!</v>
      </c>
    </row>
    <row r="18" spans="1:7" s="21" customFormat="1" ht="26.45" x14ac:dyDescent="0.3">
      <c r="A18" s="163">
        <v>9</v>
      </c>
      <c r="B18" s="160" t="str">
        <f>'SAF 011'!B21</f>
        <v>2.5.1-9016.1014</v>
      </c>
      <c r="C18" s="169" t="str">
        <f>'SAF 011'!E21</f>
        <v>MEDIOS DE CULTIVO Y SUPLEMENTO; NOMBRE DEL PRODUCTO: CALDO TODD HEWITT, ESTADO: LIQUIDO, PRESENTACION: 10 FRASCOS X 10 ML</v>
      </c>
      <c r="D18" s="170" t="s">
        <v>32</v>
      </c>
      <c r="E18" s="161" t="str">
        <f>'SAF 011'!F21</f>
        <v>CAJA</v>
      </c>
      <c r="F18" s="177">
        <f>'SAF 011'!H21</f>
        <v>38000</v>
      </c>
      <c r="G18" s="162" t="e">
        <f>'SAF 011'!#REF!</f>
        <v>#REF!</v>
      </c>
    </row>
    <row r="19" spans="1:7" s="21" customFormat="1" ht="26.45" x14ac:dyDescent="0.3">
      <c r="A19" s="163">
        <v>10</v>
      </c>
      <c r="B19" s="160" t="str">
        <f>'SAF 011'!B22</f>
        <v>2.5.1-9016.1014</v>
      </c>
      <c r="C19" s="169" t="str">
        <f>'SAF 011'!E22</f>
        <v>MEDIOS DE CULTIVO Y SUPLEMENTO; NOMBRE DEL PRODUCTO: CALDO TODD HEWITT, ESTADO: LIQUIDO, PRESENTACION: 10 FRASCOS X 10 ML</v>
      </c>
      <c r="D19" s="170" t="s">
        <v>32</v>
      </c>
      <c r="E19" s="161" t="str">
        <f>'SAF 011'!F22</f>
        <v>CAJA</v>
      </c>
      <c r="F19" s="177">
        <f>'SAF 011'!H22</f>
        <v>42900</v>
      </c>
      <c r="G19" s="162" t="e">
        <f>'SAF 011'!#REF!</f>
        <v>#REF!</v>
      </c>
    </row>
    <row r="20" spans="1:7" s="21" customFormat="1" ht="26.45" x14ac:dyDescent="0.3">
      <c r="A20" s="163">
        <v>11</v>
      </c>
      <c r="B20" s="160" t="str">
        <f>'SAF 011'!B23</f>
        <v>2.5.1-9016.89</v>
      </c>
      <c r="C20" s="169" t="str">
        <f>'SAF 011'!E23</f>
        <v>MEDIOS DE CULTIVO Y SUPLEMENTO; NOMBRE DEL PRODUCTO: CALDO TRIPTEINA SOJA, ESTADO: SOLIDO, PRESENTACION: ENVASE X 500 GR</v>
      </c>
      <c r="D20" s="170" t="s">
        <v>32</v>
      </c>
      <c r="E20" s="161" t="str">
        <f>'SAF 011'!F23</f>
        <v>FRASCO</v>
      </c>
      <c r="F20" s="177">
        <f>'SAF 011'!H23</f>
        <v>11000</v>
      </c>
      <c r="G20" s="162" t="e">
        <f>'SAF 011'!#REF!</f>
        <v>#REF!</v>
      </c>
    </row>
    <row r="21" spans="1:7" s="21" customFormat="1" ht="26.45" x14ac:dyDescent="0.3">
      <c r="A21" s="163">
        <v>12</v>
      </c>
      <c r="B21" s="160" t="str">
        <f>'SAF 011'!B24</f>
        <v>2.5.1-9016.429</v>
      </c>
      <c r="C21" s="169" t="str">
        <f>'SAF 011'!E24</f>
        <v>MEDIOS DE CULTIVO Y SUPLEMENTO; NOMBRE DEL PRODUCTO: CROMAGAR ESTREPTO B, ESTADO: SOLIDO EN PLACA, PRESENTACION: ENVASE X 20 UN</v>
      </c>
      <c r="D21" s="170" t="s">
        <v>32</v>
      </c>
      <c r="E21" s="161" t="str">
        <f>'SAF 011'!F24</f>
        <v>CAJA</v>
      </c>
      <c r="F21" s="177">
        <f>'SAF 011'!H24</f>
        <v>15000</v>
      </c>
      <c r="G21" s="162" t="e">
        <f>'SAF 011'!#REF!</f>
        <v>#REF!</v>
      </c>
    </row>
    <row r="22" spans="1:7" s="21" customFormat="1" ht="39.6" x14ac:dyDescent="0.3">
      <c r="A22" s="163">
        <v>13</v>
      </c>
      <c r="B22" s="160" t="str">
        <f>'SAF 011'!B25</f>
        <v>2.5.1-9016.1011</v>
      </c>
      <c r="C22" s="169" t="str">
        <f>'SAF 011'!E25</f>
        <v>MEDIOS DE CULTIVO Y SUPLEMENTO; NOMBRE DEL PRODUCTO: MEDIO DE TRANSPORTE CARY BLAIR, ESTADO: SOLIDO, PRESENTACION: HISOPOS X 100 UNIDADES</v>
      </c>
      <c r="D22" s="170" t="s">
        <v>32</v>
      </c>
      <c r="E22" s="161" t="str">
        <f>'SAF 011'!F25</f>
        <v>CAJA</v>
      </c>
      <c r="F22" s="177">
        <f>'SAF 011'!H25</f>
        <v>18800</v>
      </c>
      <c r="G22" s="162" t="e">
        <f>'SAF 011'!#REF!</f>
        <v>#REF!</v>
      </c>
    </row>
    <row r="23" spans="1:7" s="21" customFormat="1" ht="27" x14ac:dyDescent="0.25">
      <c r="A23" s="163">
        <v>14</v>
      </c>
      <c r="B23" s="160" t="str">
        <f>'SAF 011'!B26</f>
        <v>2.5.1-9016.1012</v>
      </c>
      <c r="C23" s="169" t="str">
        <f>'SAF 011'!E26</f>
        <v>MEDIOS DE CULTIVO Y SUPLEMENTO; NOMBRE DEL PRODUCTO: MEDIO DE TRANSPORTE STUART, ESTADO: SOLIDO, PRESENTACION: HISOPOS X 100 UNIDADES</v>
      </c>
      <c r="D23" s="170" t="s">
        <v>32</v>
      </c>
      <c r="E23" s="161" t="str">
        <f>'SAF 011'!F26</f>
        <v>CAJA</v>
      </c>
      <c r="F23" s="177">
        <f>'SAF 011'!H26</f>
        <v>12800</v>
      </c>
      <c r="G23" s="162" t="e">
        <f>'SAF 011'!#REF!</f>
        <v>#REF!</v>
      </c>
    </row>
    <row r="24" spans="1:7" s="21" customFormat="1" ht="40.5" x14ac:dyDescent="0.25">
      <c r="A24" s="163">
        <v>15</v>
      </c>
      <c r="B24" s="160" t="str">
        <f>'SAF 011'!B27</f>
        <v>2.5.1-8937.644</v>
      </c>
      <c r="C24" s="169" t="str">
        <f>'SAF 011'!E27</f>
        <v>PATRON/ESTANDAR P/CALIBRACION; EQUIPO: ANALIZADOR DE GASES EN SANGRE, MARCA EQUIPO: OPTIMEDICAL, NOMBRE DEL PRODUCTO: CALIBRADOR GAS, PRESENTACION: UNIDAD</v>
      </c>
      <c r="D24" s="170" t="s">
        <v>32</v>
      </c>
      <c r="E24" s="161" t="str">
        <f>'SAF 011'!F27</f>
        <v>GARRAFA</v>
      </c>
      <c r="F24" s="177">
        <f>'SAF 011'!H27</f>
        <v>56391</v>
      </c>
      <c r="G24" s="162" t="e">
        <f>'SAF 011'!#REF!</f>
        <v>#REF!</v>
      </c>
    </row>
    <row r="25" spans="1:7" s="21" customFormat="1" ht="40.5" x14ac:dyDescent="0.25">
      <c r="A25" s="163">
        <v>16</v>
      </c>
      <c r="B25" s="160" t="str">
        <f>'SAF 011'!B28</f>
        <v>2.5.1-8937.644</v>
      </c>
      <c r="C25" s="169" t="str">
        <f>'SAF 011'!E28</f>
        <v>PATRON/ESTANDAR P/CALIBRACION; EQUIPO: ANALIZADOR DE GASES EN SANGRE, MARCA EQUIPO: OPTIMEDICAL, NOMBRE DEL PRODUCTO: CALIBRADOR GAS, PRESENTACION: UNIDAD</v>
      </c>
      <c r="D25" s="170" t="s">
        <v>32</v>
      </c>
      <c r="E25" s="161" t="str">
        <f>'SAF 011'!F28</f>
        <v>GARRAFA</v>
      </c>
      <c r="F25" s="177">
        <f>'SAF 011'!H28</f>
        <v>61000</v>
      </c>
      <c r="G25" s="162" t="e">
        <f>'SAF 011'!#REF!</f>
        <v>#REF!</v>
      </c>
    </row>
    <row r="26" spans="1:7" s="21" customFormat="1" ht="40.5" x14ac:dyDescent="0.25">
      <c r="A26" s="163">
        <v>17</v>
      </c>
      <c r="B26" s="160" t="str">
        <f>'SAF 011'!B29</f>
        <v>2.5.1-8937.903</v>
      </c>
      <c r="C26" s="169" t="str">
        <f>'SAF 011'!E29</f>
        <v>PATRON/ESTANDAR P/CALIBRACION; EQUIPO: ANALIZADOR DE GASES EN SANGRE, MARCA EQUIPO: OPTIMEDICAL, NOMBRE DEL PRODUCTO: CONTROL LIQUIDO TRI NIVEL OPTICHECK, PRESENTACION: UNIDAD</v>
      </c>
      <c r="D26" s="170" t="s">
        <v>32</v>
      </c>
      <c r="E26" s="161" t="str">
        <f>'SAF 011'!F29</f>
        <v>CAJA</v>
      </c>
      <c r="F26" s="177">
        <f>'SAF 011'!H29</f>
        <v>21000</v>
      </c>
      <c r="G26" s="162" t="e">
        <f>'SAF 011'!#REF!</f>
        <v>#REF!</v>
      </c>
    </row>
    <row r="27" spans="1:7" s="21" customFormat="1" ht="40.5" x14ac:dyDescent="0.25">
      <c r="A27" s="163">
        <v>18</v>
      </c>
      <c r="B27" s="160" t="str">
        <f>'SAF 011'!B30</f>
        <v>2.5.1-8937.902</v>
      </c>
      <c r="C27" s="169" t="str">
        <f>'SAF 011'!E30</f>
        <v>PATRON/ESTANDAR P/CALIBRACION; EQUIPO: ANALIZADOR, MARCA EQUIPO: WIENER, NOMBRE DEL PRODUCTO: PROTI U/LCR CONTROL 2 NIVELES, PRESENTACION: 2 X 3 ML</v>
      </c>
      <c r="D27" s="170" t="s">
        <v>32</v>
      </c>
      <c r="E27" s="161" t="str">
        <f>'SAF 011'!F30</f>
        <v>CAJA</v>
      </c>
      <c r="F27" s="177">
        <f>'SAF 011'!H30</f>
        <v>2373</v>
      </c>
      <c r="G27" s="162" t="e">
        <f>'SAF 011'!#REF!</f>
        <v>#REF!</v>
      </c>
    </row>
    <row r="28" spans="1:7" s="21" customFormat="1" ht="40.5" x14ac:dyDescent="0.25">
      <c r="A28" s="163">
        <v>19</v>
      </c>
      <c r="B28" s="160" t="str">
        <f>'SAF 011'!B31</f>
        <v>2.5.1-8937.861</v>
      </c>
      <c r="C28" s="169" t="str">
        <f>'SAF 011'!E31</f>
        <v>PATRON/ESTANDAR P/CALIBRACION; EQUIPO: AUTOANALIZADOR QUIMICA CLINICA, MARCA EQUIPO: WIENER, NOMBRE DEL PRODUCTO: CONTROL STANDATROL, PRESENTACION: 6 X ENVASE X 5 mL</v>
      </c>
      <c r="D28" s="170" t="s">
        <v>32</v>
      </c>
      <c r="E28" s="161" t="str">
        <f>'SAF 011'!F31</f>
        <v>CAJA</v>
      </c>
      <c r="F28" s="177">
        <f>'SAF 011'!H31</f>
        <v>21900</v>
      </c>
      <c r="G28" s="162" t="e">
        <f>'SAF 011'!#REF!</f>
        <v>#REF!</v>
      </c>
    </row>
    <row r="29" spans="1:7" s="21" customFormat="1" ht="40.5" x14ac:dyDescent="0.25">
      <c r="A29" s="163">
        <v>20</v>
      </c>
      <c r="B29" s="160" t="str">
        <f>'SAF 011'!B32</f>
        <v>2.5.1-8937.857</v>
      </c>
      <c r="C29" s="169" t="str">
        <f>'SAF 011'!E32</f>
        <v>PATRON/ESTANDAR P/CALIBRACION; EQUIPO: AUTOANALIZADOR, MARCA EQUIPO: GENERICO, NOMBRE DEL PRODUCTO: HBA1C ENZIMATICO LYSIS BUFFER, PRESENTACION: ENVASE X 50 mL</v>
      </c>
      <c r="D29" s="170" t="s">
        <v>32</v>
      </c>
      <c r="E29" s="161" t="str">
        <f>'SAF 011'!F32</f>
        <v>CAJA</v>
      </c>
      <c r="F29" s="177">
        <f>'SAF 011'!H32</f>
        <v>24647</v>
      </c>
      <c r="G29" s="162" t="e">
        <f>'SAF 011'!#REF!</f>
        <v>#REF!</v>
      </c>
    </row>
    <row r="30" spans="1:7" s="21" customFormat="1" ht="40.5" x14ac:dyDescent="0.25">
      <c r="A30" s="163">
        <v>21</v>
      </c>
      <c r="B30" s="160" t="str">
        <f>'SAF 011'!B33</f>
        <v>2.5.1-8937.935</v>
      </c>
      <c r="C30" s="169" t="str">
        <f>'SAF 011'!E33</f>
        <v>PATRON/ESTANDAR P/CALIBRACION; EQUIPO: AUTOANALIZADOR, MARCA EQUIPO: WIENER, NOMBRE DEL PRODUCTO: HBA1C ENZIMATICO CALIBRATOR, PRESENTACION: 2 X 0,5 ML</v>
      </c>
      <c r="D30" s="170" t="s">
        <v>32</v>
      </c>
      <c r="E30" s="161" t="str">
        <f>'SAF 011'!F33</f>
        <v>CAJA</v>
      </c>
      <c r="F30" s="177">
        <f>'SAF 011'!H33</f>
        <v>16743</v>
      </c>
      <c r="G30" s="162" t="e">
        <f>'SAF 011'!#REF!</f>
        <v>#REF!</v>
      </c>
    </row>
    <row r="31" spans="1:7" s="21" customFormat="1" ht="40.5" x14ac:dyDescent="0.25">
      <c r="A31" s="163">
        <v>22</v>
      </c>
      <c r="B31" s="160" t="str">
        <f>'SAF 011'!B34</f>
        <v>2.5.1-8937.937</v>
      </c>
      <c r="C31" s="169" t="str">
        <f>'SAF 011'!E34</f>
        <v>PATRON/ESTANDAR P/CALIBRACION; EQUIPO: AUTOANALIZADOR, MARCA EQUIPO: WIENER, NOMBRE DEL PRODUCTO: HBA1C ENZIMATICO CONTROL, PRESENTACION: 2 X 0,5 ML</v>
      </c>
      <c r="D31" s="170" t="s">
        <v>32</v>
      </c>
      <c r="E31" s="161" t="str">
        <f>'SAF 011'!F34</f>
        <v>CAJA</v>
      </c>
      <c r="F31" s="177">
        <f>'SAF 011'!H34</f>
        <v>19630</v>
      </c>
      <c r="G31" s="162" t="e">
        <f>'SAF 011'!#REF!</f>
        <v>#REF!</v>
      </c>
    </row>
    <row r="32" spans="1:7" s="21" customFormat="1" ht="40.5" x14ac:dyDescent="0.25">
      <c r="A32" s="163">
        <v>23</v>
      </c>
      <c r="B32" s="160" t="str">
        <f>'SAF 011'!B35</f>
        <v>2.5.1-8937.901</v>
      </c>
      <c r="C32" s="169" t="str">
        <f>'SAF 011'!E35</f>
        <v>PATRÓN/ESTANDAR P/CALIBRACIÓN; EQUIPO: AUTOANALIZADOR; MARCA EQUIPO: TOSOH; NOMBRE DEL PRODUCTO: CALIBRADOR T4 LIBRE; PRESENTACIÓN: 2 SET 6 NIVELES X 1 ML</v>
      </c>
      <c r="D32" s="170" t="s">
        <v>32</v>
      </c>
      <c r="E32" s="161" t="str">
        <f>'SAF 011'!F35</f>
        <v>CAJA</v>
      </c>
      <c r="F32" s="177">
        <f>'SAF 011'!H35</f>
        <v>74100</v>
      </c>
      <c r="G32" s="162" t="e">
        <f>'SAF 011'!#REF!</f>
        <v>#REF!</v>
      </c>
    </row>
    <row r="33" spans="1:7" s="21" customFormat="1" ht="40.5" x14ac:dyDescent="0.25">
      <c r="A33" s="163">
        <v>24</v>
      </c>
      <c r="B33" s="160" t="str">
        <f>'SAF 011'!B36</f>
        <v>2.5.1-8937.904</v>
      </c>
      <c r="C33" s="169" t="str">
        <f>'SAF 011'!E36</f>
        <v>PATRÓN/ESTANDAR P/CALIBRACIÓN; EQUIPO: AUTOANALIZADOR; MARCA EQUIPO: TOSOH; NOMBRE DEL PRODUCTO: CONTROL TSH TERCERA GENERACIÓN; PRESENTACIÓN: 2 SET 6 NIVELES X 1 ML</v>
      </c>
      <c r="D33" s="170" t="s">
        <v>32</v>
      </c>
      <c r="E33" s="161" t="str">
        <f>'SAF 011'!F36</f>
        <v>CAJA</v>
      </c>
      <c r="F33" s="177">
        <f>'SAF 011'!H36</f>
        <v>74100</v>
      </c>
      <c r="G33" s="162" t="e">
        <f>'SAF 011'!#REF!</f>
        <v>#REF!</v>
      </c>
    </row>
    <row r="34" spans="1:7" s="21" customFormat="1" ht="40.5" x14ac:dyDescent="0.25">
      <c r="A34" s="163">
        <v>25</v>
      </c>
      <c r="B34" s="160" t="str">
        <f>'SAF 011'!B37</f>
        <v>2.5.1-8937.921</v>
      </c>
      <c r="C34" s="169" t="str">
        <f>'SAF 011'!E37</f>
        <v>PATRÓN/ESTANDAR P/CALIBRACIÓN; EQUIPO: CONTADOR HEMATOLÓGICO; MARCA EQUIPO: SYSMEX ROCHE; NOMBRE DEL PRODUCTO: CONTROL P/HEMATOLOGÍA; PRESENTACIÓN: 4 X 2 X 3 ML</v>
      </c>
      <c r="D34" s="170" t="s">
        <v>32</v>
      </c>
      <c r="E34" s="161" t="str">
        <f>'SAF 011'!F37</f>
        <v>UNIDAD</v>
      </c>
      <c r="F34" s="177">
        <f>'SAF 011'!H37</f>
        <v>116900</v>
      </c>
      <c r="G34" s="162" t="e">
        <f>'SAF 011'!#REF!</f>
        <v>#REF!</v>
      </c>
    </row>
    <row r="35" spans="1:7" s="21" customFormat="1" ht="40.5" x14ac:dyDescent="0.25">
      <c r="A35" s="163">
        <v>26</v>
      </c>
      <c r="B35" s="160" t="str">
        <f>'SAF 011'!B39</f>
        <v>2.5.1-9038.83</v>
      </c>
      <c r="C35" s="169" t="str">
        <f>'SAF 011'!E39</f>
        <v>REACTIVO INDICADOR-COLORANTE; COMPUESTO QUIMICO: COLORACION DE GRAM, ESTADO: SOLUCION, CALIDAD: PRO ANALISIS, PRESENTACION: ENVASE X 100 mL</v>
      </c>
      <c r="D35" s="170" t="s">
        <v>32</v>
      </c>
      <c r="E35" s="161" t="str">
        <f>'SAF 011'!F39</f>
        <v>CAJA</v>
      </c>
      <c r="F35" s="177">
        <f>'SAF 011'!H39</f>
        <v>3510</v>
      </c>
      <c r="G35" s="162" t="e">
        <f>'SAF 011'!#REF!</f>
        <v>#REF!</v>
      </c>
    </row>
    <row r="36" spans="1:7" s="21" customFormat="1" ht="40.5" x14ac:dyDescent="0.25">
      <c r="A36" s="163">
        <v>27</v>
      </c>
      <c r="B36" s="160" t="str">
        <f>'SAF 011'!B40</f>
        <v>2.5.1-9038.342</v>
      </c>
      <c r="C36" s="169" t="str">
        <f>'SAF 011'!E40</f>
        <v>REACTIVO INDICADOR-COLORANTE; COMPUESTO QUIMICO: DECOLORANTE GRAM, ESTADO: SOLUCION, CALIDAD: PRO ANALISIS, PRESENTACION: ENVASE X 500 mL</v>
      </c>
      <c r="D36" s="170" t="s">
        <v>32</v>
      </c>
      <c r="E36" s="161" t="str">
        <f>'SAF 011'!F40</f>
        <v>BOTELLA</v>
      </c>
      <c r="F36" s="177">
        <f>'SAF 011'!H40</f>
        <v>8600</v>
      </c>
      <c r="G36" s="162" t="e">
        <f>'SAF 011'!#REF!</f>
        <v>#REF!</v>
      </c>
    </row>
    <row r="37" spans="1:7" s="21" customFormat="1" ht="27" x14ac:dyDescent="0.25">
      <c r="A37" s="163">
        <v>28</v>
      </c>
      <c r="B37" s="160" t="str">
        <f>'SAF 011'!B41</f>
        <v>2.5.1-9038.117</v>
      </c>
      <c r="C37" s="169" t="str">
        <f>'SAF 011'!E41</f>
        <v>REACTIVO INDICADOR-COLORANTE; COMPUESTO QUIMICO: GIEMSA, ESTADO: LIQUIDO, CALIDAD: PRO ANALISIS, PRESENTACION: ENVASE X 1 L</v>
      </c>
      <c r="D37" s="170" t="s">
        <v>32</v>
      </c>
      <c r="E37" s="161" t="str">
        <f>'SAF 011'!F41</f>
        <v>BOTELLA</v>
      </c>
      <c r="F37" s="177">
        <f>'SAF 011'!H41</f>
        <v>7052</v>
      </c>
      <c r="G37" s="162" t="e">
        <f>'SAF 011'!#REF!</f>
        <v>#REF!</v>
      </c>
    </row>
    <row r="38" spans="1:7" s="21" customFormat="1" ht="27" x14ac:dyDescent="0.25">
      <c r="A38" s="163">
        <v>29</v>
      </c>
      <c r="B38" s="160" t="str">
        <f>'SAF 011'!B42</f>
        <v>2.5.1-9038.46</v>
      </c>
      <c r="C38" s="169" t="str">
        <f>'SAF 011'!E42</f>
        <v>REACTIVO INDICADOR-COLORANTE; COMPUESTO QUIMICO: MAY GRUNWALD, ESTADO: SOLUCION, CALIDAD: PRO ANALISIS, PRESENTACION: ENVASE X 1 L</v>
      </c>
      <c r="D38" s="170" t="s">
        <v>32</v>
      </c>
      <c r="E38" s="161" t="str">
        <f>'SAF 011'!F42</f>
        <v>BOTELLA</v>
      </c>
      <c r="F38" s="177">
        <f>'SAF 011'!H42</f>
        <v>6970</v>
      </c>
      <c r="G38" s="162" t="e">
        <f>'SAF 011'!#REF!</f>
        <v>#REF!</v>
      </c>
    </row>
    <row r="39" spans="1:7" s="21" customFormat="1" ht="27" x14ac:dyDescent="0.25">
      <c r="A39" s="163">
        <v>30</v>
      </c>
      <c r="B39" s="160" t="str">
        <f>'SAF 011'!B43</f>
        <v>2.5.1-9038.228</v>
      </c>
      <c r="C39" s="169" t="str">
        <f>'SAF 011'!E43</f>
        <v>REACTIVO INDICADOR-COLORANTE; COMPUESTO QUIMICO: ZIEL-NIELSEN, ESTADO: SOLUCION, CALIDAD: PRO ANALISIS, PRESENTACION: ENVASE X 100 mL</v>
      </c>
      <c r="D39" s="170" t="s">
        <v>32</v>
      </c>
      <c r="E39" s="161" t="str">
        <f>'SAF 011'!F43</f>
        <v>CAJA</v>
      </c>
      <c r="F39" s="177">
        <f>'SAF 011'!H43</f>
        <v>3634</v>
      </c>
      <c r="G39" s="162" t="e">
        <f>'SAF 011'!#REF!</f>
        <v>#REF!</v>
      </c>
    </row>
    <row r="40" spans="1:7" s="21" customFormat="1" ht="40.5" x14ac:dyDescent="0.25">
      <c r="A40" s="163">
        <v>31</v>
      </c>
      <c r="B40" s="160" t="str">
        <f>'SAF 011'!B46</f>
        <v>2.5.1-8988.521</v>
      </c>
      <c r="C40" s="169" t="str">
        <f>'SAF 011'!E46</f>
        <v>REACTIVOS P/EQUIPO; EQUIPO: ANALIZADOR DE CREATININA, MARCA EQUIPO: WIENER LAB, NOMBRE DEL PRODUCTO: CREATININA DIRECTA, PRESENTACION: ENVASE X 120 DETERM.</v>
      </c>
      <c r="D40" s="170" t="s">
        <v>32</v>
      </c>
      <c r="E40" s="161" t="str">
        <f>'SAF 011'!F46</f>
        <v>CAJA</v>
      </c>
      <c r="F40" s="177">
        <f>'SAF 011'!H46</f>
        <v>4693</v>
      </c>
      <c r="G40" s="162" t="e">
        <f>'SAF 011'!#REF!</f>
        <v>#REF!</v>
      </c>
    </row>
    <row r="41" spans="1:7" s="21" customFormat="1" ht="40.5" x14ac:dyDescent="0.25">
      <c r="A41" s="163">
        <v>32</v>
      </c>
      <c r="B41" s="160" t="str">
        <f>'SAF 011'!B47</f>
        <v>2.5.1-8988.1224</v>
      </c>
      <c r="C41" s="169" t="str">
        <f>'SAF 011'!E47</f>
        <v>REACTIVOS P/EQUIPO; EQUIPO: ANALIZADOR DE GASES EN SANGRE, MARCA EQUIPO: OPTIMEDICAL, NOMBRE DEL PRODUCTO: MEDICION DE PH PO2 PCO2, PRESENTACION: UNIDAD</v>
      </c>
      <c r="D41" s="170" t="s">
        <v>32</v>
      </c>
      <c r="E41" s="161" t="str">
        <f>'SAF 011'!F47</f>
        <v>CAJA</v>
      </c>
      <c r="F41" s="177">
        <f>'SAF 011'!H47</f>
        <v>100000</v>
      </c>
      <c r="G41" s="162" t="e">
        <f>'SAF 011'!#REF!</f>
        <v>#REF!</v>
      </c>
    </row>
    <row r="42" spans="1:7" s="21" customFormat="1" ht="40.5" x14ac:dyDescent="0.25">
      <c r="A42" s="163">
        <v>33</v>
      </c>
      <c r="B42" s="160" t="str">
        <f>'SAF 011'!B49</f>
        <v>2.5.1-8988.630</v>
      </c>
      <c r="C42" s="169" t="str">
        <f>'SAF 011'!E49</f>
        <v>REACTIVOS P/EQUIPO; EQUIPO: ANALIZADOR DE IONES, MARCA EQUIPO: DIESTRO, NOMBRE DEL PRODUCTO: SOLUCIONES NA, KCL, CAL, PRESENTACION: PACK DE SOLUCIONES</v>
      </c>
      <c r="D42" s="170" t="s">
        <v>32</v>
      </c>
      <c r="E42" s="161" t="str">
        <f>'SAF 011'!F49</f>
        <v>PACK</v>
      </c>
      <c r="F42" s="177">
        <f>'SAF 011'!H49</f>
        <v>28900</v>
      </c>
      <c r="G42" s="162" t="e">
        <f>'SAF 011'!#REF!</f>
        <v>#REF!</v>
      </c>
    </row>
    <row r="43" spans="1:7" s="21" customFormat="1" ht="40.5" x14ac:dyDescent="0.25">
      <c r="A43" s="163">
        <v>34</v>
      </c>
      <c r="B43" s="160" t="str">
        <f>'SAF 011'!B50</f>
        <v>2.5.1-8988.482</v>
      </c>
      <c r="C43" s="169" t="str">
        <f>'SAF 011'!E50</f>
        <v>REACTIVOS P/EQUIPO; EQUIPO: ANALIZADOR DE QUIMICA CLINICA, MARCA EQUIPO: METROLAB, NOMBRE DEL PRODUCTO: SOLUCION DE LIMPIEZA, PRESENTACION: 2 X ENVASE X 500 mL</v>
      </c>
      <c r="D43" s="170" t="s">
        <v>32</v>
      </c>
      <c r="E43" s="161" t="str">
        <f>'SAF 011'!F50</f>
        <v>CAJA</v>
      </c>
      <c r="F43" s="177">
        <f>'SAF 011'!H50</f>
        <v>6900</v>
      </c>
      <c r="G43" s="162" t="e">
        <f>'SAF 011'!#REF!</f>
        <v>#REF!</v>
      </c>
    </row>
    <row r="44" spans="1:7" s="21" customFormat="1" ht="40.5" x14ac:dyDescent="0.25">
      <c r="A44" s="163">
        <v>35</v>
      </c>
      <c r="B44" s="160" t="str">
        <f>'SAF 011'!B51</f>
        <v>2.5.1-8988.2426</v>
      </c>
      <c r="C44" s="169" t="str">
        <f>'SAF 011'!E51</f>
        <v>REACTIVOS P/EQUIPO; EQUIPO: ANALIZADOR HEMATOLOGICO, MARCA EQUIPO: MINDRAY, NOMBRE DEL PRODUCTO: E-Z CLEANSER, PRESENTACION: FRASCO 100 ML</v>
      </c>
      <c r="D44" s="170" t="s">
        <v>32</v>
      </c>
      <c r="E44" s="161" t="str">
        <f>'SAF 011'!F51</f>
        <v>UNIDAD</v>
      </c>
      <c r="F44" s="177">
        <f>'SAF 011'!H51</f>
        <v>15520</v>
      </c>
      <c r="G44" s="162" t="e">
        <f>'SAF 011'!#REF!</f>
        <v>#REF!</v>
      </c>
    </row>
    <row r="45" spans="1:7" s="21" customFormat="1" ht="40.5" x14ac:dyDescent="0.25">
      <c r="A45" s="163">
        <v>36</v>
      </c>
      <c r="B45" s="160" t="str">
        <f>'SAF 011'!B52</f>
        <v>2.5.1-8988.2426</v>
      </c>
      <c r="C45" s="169" t="str">
        <f>'SAF 011'!E52</f>
        <v>REACTIVOS P/EQUIPO; EQUIPO: ANALIZADOR HEMATOLOGICO, MARCA EQUIPO: MINDRAY, NOMBRE DEL PRODUCTO: E-Z CLEANSER, PRESENTACION: FRASCO 100 ML</v>
      </c>
      <c r="D45" s="170" t="s">
        <v>32</v>
      </c>
      <c r="E45" s="161" t="str">
        <f>'SAF 011'!F52</f>
        <v>UNIDAD</v>
      </c>
      <c r="F45" s="177">
        <f>'SAF 011'!H52</f>
        <v>2100</v>
      </c>
      <c r="G45" s="162" t="e">
        <f>'SAF 011'!#REF!</f>
        <v>#REF!</v>
      </c>
    </row>
    <row r="46" spans="1:7" s="21" customFormat="1" ht="40.5" x14ac:dyDescent="0.25">
      <c r="A46" s="163">
        <v>37</v>
      </c>
      <c r="B46" s="160" t="str">
        <f>'SAF 011'!B53</f>
        <v>2.5.1-8988.2424</v>
      </c>
      <c r="C46" s="169" t="str">
        <f>'SAF 011'!E53</f>
        <v>REACTIVOS P/EQUIPO; EQUIPO: ANALIZADOR QUIMICA CLINICA, MARCA EQUIPO: WIENER, NOMBRE DEL PRODUCTO: DETERGENTE NO IONICO, PRESENTACION: 2 X 500 ML</v>
      </c>
      <c r="D46" s="170" t="s">
        <v>32</v>
      </c>
      <c r="E46" s="161" t="str">
        <f>'SAF 011'!F53</f>
        <v>CAJA</v>
      </c>
      <c r="F46" s="177">
        <f>'SAF 011'!H53</f>
        <v>17800</v>
      </c>
      <c r="G46" s="162" t="e">
        <f>'SAF 011'!#REF!</f>
        <v>#REF!</v>
      </c>
    </row>
    <row r="47" spans="1:7" s="21" customFormat="1" ht="27" x14ac:dyDescent="0.25">
      <c r="A47" s="163">
        <v>38</v>
      </c>
      <c r="B47" s="160" t="str">
        <f>'SAF 011'!B54</f>
        <v>2.5.1-8988.2423</v>
      </c>
      <c r="C47" s="169" t="str">
        <f>'SAF 011'!E54</f>
        <v>REACTIVOS P/EQUIPO; EQUIPO: ANALIZADOR, MARCA EQUIPO: MINDRAY, NOMBRE DEL PRODUCTO: DETERGENTE CD80, PRESENTACION: 1 LITRO</v>
      </c>
      <c r="D47" s="170" t="s">
        <v>32</v>
      </c>
      <c r="E47" s="161" t="str">
        <f>'SAF 011'!F54</f>
        <v>BOTELLA</v>
      </c>
      <c r="F47" s="177">
        <f>'SAF 011'!H54</f>
        <v>17800</v>
      </c>
      <c r="G47" s="162" t="e">
        <f>'SAF 011'!#REF!</f>
        <v>#REF!</v>
      </c>
    </row>
    <row r="48" spans="1:7" s="21" customFormat="1" ht="40.5" x14ac:dyDescent="0.25">
      <c r="A48" s="163">
        <v>39</v>
      </c>
      <c r="B48" s="160" t="str">
        <f>'SAF 011'!B55</f>
        <v>2.5.1-8988.2428</v>
      </c>
      <c r="C48" s="169" t="str">
        <f>'SAF 011'!E55</f>
        <v>REACTIVOS P/EQUIPO; EQUIPO: ANALIZADOR, MARCA EQUIPO: WIENER, NOMBRE DEL PRODUCTO: FOSFATASA ALCALINA OPTIMIZADA, PRESENTACION: CAJA X 200 DETERMINACIONES</v>
      </c>
      <c r="D48" s="170" t="s">
        <v>32</v>
      </c>
      <c r="E48" s="161" t="str">
        <f>'SAF 011'!F55</f>
        <v>CAJA</v>
      </c>
      <c r="F48" s="177">
        <f>'SAF 011'!H55</f>
        <v>10113</v>
      </c>
      <c r="G48" s="162" t="e">
        <f>'SAF 011'!#REF!</f>
        <v>#REF!</v>
      </c>
    </row>
    <row r="49" spans="1:7" s="21" customFormat="1" ht="27" x14ac:dyDescent="0.25">
      <c r="A49" s="163">
        <v>40</v>
      </c>
      <c r="B49" s="160" t="str">
        <f>'SAF 011'!B56</f>
        <v>2.5.1-8988.2420</v>
      </c>
      <c r="C49" s="169" t="str">
        <f>'SAF 011'!E56</f>
        <v>REACTIVOS P/EQUIPO; EQUIPO: ANALIZADOR, MARCA EQUIPO: WIENER, NOMBRE DEL PRODUCTO: PROTI 2 C/TESTIGO , PRESENTACION: 140 DETERMINACIONES</v>
      </c>
      <c r="D49" s="170" t="s">
        <v>32</v>
      </c>
      <c r="E49" s="161" t="str">
        <f>'SAF 011'!F56</f>
        <v>CAJA</v>
      </c>
      <c r="F49" s="177">
        <f>'SAF 011'!H56</f>
        <v>12000</v>
      </c>
      <c r="G49" s="162" t="e">
        <f>'SAF 011'!#REF!</f>
        <v>#REF!</v>
      </c>
    </row>
    <row r="50" spans="1:7" s="21" customFormat="1" ht="27" x14ac:dyDescent="0.25">
      <c r="A50" s="163">
        <v>41</v>
      </c>
      <c r="B50" s="160" t="str">
        <f>'SAF 011'!B57</f>
        <v>2.5.1-8988.2421</v>
      </c>
      <c r="C50" s="169" t="str">
        <f>'SAF 011'!E57</f>
        <v>REACTIVOS P/EQUIPO; EQUIPO: ANALIZADOR, MARCA EQUIPO: WIENER, NOMBRE DEL PRODUCTO: PROTI U/LCR , PRESENTACION: ENVASE X 100 ML</v>
      </c>
      <c r="D50" s="170" t="s">
        <v>32</v>
      </c>
      <c r="E50" s="161" t="str">
        <f>'SAF 011'!F57</f>
        <v>BOTELLA</v>
      </c>
      <c r="F50" s="177">
        <f>'SAF 011'!H57</f>
        <v>6277</v>
      </c>
      <c r="G50" s="162" t="e">
        <f>'SAF 011'!#REF!</f>
        <v>#REF!</v>
      </c>
    </row>
    <row r="51" spans="1:7" s="21" customFormat="1" ht="40.5" x14ac:dyDescent="0.25">
      <c r="A51" s="163">
        <v>42</v>
      </c>
      <c r="B51" s="160" t="str">
        <f>'SAF 011'!B58</f>
        <v>2.5.1-8988.1088</v>
      </c>
      <c r="C51" s="169" t="str">
        <f>'SAF 011'!E58</f>
        <v>REACTIVOS P/EQUIPO; EQUIPO: AUTOANA. QUIMICA CLINICA, MARCA EQUIPO: WIENER, NOMBRE DEL PRODUCTO: CALIBRADOR A PLUS, PRESENTACION: 2 X ENVASE X 3 mL</v>
      </c>
      <c r="D51" s="170" t="s">
        <v>32</v>
      </c>
      <c r="E51" s="161" t="str">
        <f>'SAF 011'!F58</f>
        <v>CAJA</v>
      </c>
      <c r="F51" s="177">
        <f>'SAF 011'!H58</f>
        <v>7900</v>
      </c>
      <c r="G51" s="162" t="e">
        <f>'SAF 011'!#REF!</f>
        <v>#REF!</v>
      </c>
    </row>
    <row r="52" spans="1:7" s="21" customFormat="1" ht="40.5" x14ac:dyDescent="0.25">
      <c r="A52" s="163">
        <v>43</v>
      </c>
      <c r="B52" s="160" t="str">
        <f>'SAF 011'!B59</f>
        <v>2.5.1-8988.1085</v>
      </c>
      <c r="C52" s="169" t="str">
        <f>'SAF 011'!E59</f>
        <v>REACTIVOS P/EQUIPO; EQUIPO: AUTOANA. QUIMICA CLINICA, MARCA EQUIPO: WIENER, NOMBRE DEL PRODUCTO: COLESTEROL ENZIMATICO AA, PRESENTACION: 4 X ENVASE X 100 mL</v>
      </c>
      <c r="D52" s="170" t="s">
        <v>32</v>
      </c>
      <c r="E52" s="161" t="str">
        <f>'SAF 011'!F59</f>
        <v>CAJA</v>
      </c>
      <c r="F52" s="177">
        <f>'SAF 011'!H59</f>
        <v>8000</v>
      </c>
      <c r="G52" s="162" t="e">
        <f>'SAF 011'!#REF!</f>
        <v>#REF!</v>
      </c>
    </row>
    <row r="53" spans="1:7" s="21" customFormat="1" ht="40.5" x14ac:dyDescent="0.25">
      <c r="A53" s="163">
        <v>44</v>
      </c>
      <c r="B53" s="160" t="str">
        <f>'SAF 011'!B60</f>
        <v>2.5.1-8988.2484</v>
      </c>
      <c r="C53" s="169" t="str">
        <f>'SAF 011'!E60</f>
        <v>REACTIVOS P/EQUIPO; EQUIPO: AUTOANA. QUIMICA CLINICA, MARCA EQUIPO: WIENER, NOMBRE DEL PRODUCTO: COLESTEROL HDL MONOFASE AA PLUS, PRESENTACION: ENVASE X 80 ML</v>
      </c>
      <c r="D53" s="170" t="s">
        <v>32</v>
      </c>
      <c r="E53" s="161" t="str">
        <f>'SAF 011'!F60</f>
        <v>UNIDAD</v>
      </c>
      <c r="F53" s="177">
        <f>'SAF 011'!H60</f>
        <v>22000</v>
      </c>
      <c r="G53" s="162" t="e">
        <f>'SAF 011'!#REF!</f>
        <v>#REF!</v>
      </c>
    </row>
    <row r="54" spans="1:7" s="21" customFormat="1" ht="40.5" x14ac:dyDescent="0.25">
      <c r="A54" s="163">
        <v>45</v>
      </c>
      <c r="B54" s="160" t="str">
        <f>'SAF 011'!B61</f>
        <v>2.5.1-8988.1093</v>
      </c>
      <c r="C54" s="169" t="str">
        <f>'SAF 011'!E61</f>
        <v>REACTIVOS P/EQUIPO; EQUIPO: AUTOANA. QUIMICA CLINICA, MARCA EQUIPO: WIENER, NOMBRE DEL PRODUCTO: DETERGENTE NO IONICO, PRESENTACION: 2 X ENVASE X 5 mL</v>
      </c>
      <c r="D54" s="170" t="s">
        <v>32</v>
      </c>
      <c r="E54" s="161" t="str">
        <f>'SAF 011'!F61</f>
        <v>CAJA</v>
      </c>
      <c r="F54" s="177">
        <f>'SAF 011'!H61</f>
        <v>11500</v>
      </c>
      <c r="G54" s="162" t="e">
        <f>'SAF 011'!#REF!</f>
        <v>#REF!</v>
      </c>
    </row>
    <row r="55" spans="1:7" s="21" customFormat="1" ht="40.5" x14ac:dyDescent="0.25">
      <c r="A55" s="163">
        <v>46</v>
      </c>
      <c r="B55" s="160" t="str">
        <f>'SAF 011'!B62</f>
        <v>2.5.1-8988.2430</v>
      </c>
      <c r="C55" s="169" t="str">
        <f>'SAF 011'!E62</f>
        <v>REACTIVOS P/EQUIPO; EQUIPO: AUTOANA. QUIMICA CLINICA, MARCA EQUIPO: WIENER, NOMBRE DEL PRODUCTO: GLICEMIA ENZIMATICA AA LIQUIDA, PRESENTACION: 4 X ENVASE X 250 ML</v>
      </c>
      <c r="D55" s="170" t="s">
        <v>32</v>
      </c>
      <c r="E55" s="161" t="str">
        <f>'SAF 011'!F62</f>
        <v>CAJA</v>
      </c>
      <c r="F55" s="177">
        <f>'SAF 011'!H62</f>
        <v>9013</v>
      </c>
      <c r="G55" s="162" t="e">
        <f>'SAF 011'!#REF!</f>
        <v>#REF!</v>
      </c>
    </row>
    <row r="56" spans="1:7" s="21" customFormat="1" ht="27" x14ac:dyDescent="0.25">
      <c r="A56" s="163">
        <v>47</v>
      </c>
      <c r="B56" s="160" t="str">
        <f>'SAF 011'!B63</f>
        <v>2.5.1-8988.2478</v>
      </c>
      <c r="C56" s="169" t="str">
        <f>'SAF 011'!E63</f>
        <v>REACTIVOS P/EQUIPO; EQUIPO: AUTOANA. QUIMICA CLINICA, MARCA EQUIPO: WIENER, NOMBRE DEL PRODUCTO: HDL COLESTEROL FT, PRESENTACION: 100 ML</v>
      </c>
      <c r="D56" s="170" t="s">
        <v>32</v>
      </c>
      <c r="E56" s="161" t="str">
        <f>'SAF 011'!F63</f>
        <v>UNIDAD</v>
      </c>
      <c r="F56" s="177">
        <f>'SAF 011'!H63</f>
        <v>3350</v>
      </c>
      <c r="G56" s="162" t="e">
        <f>'SAF 011'!#REF!</f>
        <v>#REF!</v>
      </c>
    </row>
    <row r="57" spans="1:7" s="21" customFormat="1" ht="40.5" x14ac:dyDescent="0.25">
      <c r="A57" s="163">
        <v>48</v>
      </c>
      <c r="B57" s="160" t="str">
        <f>'SAF 011'!B64</f>
        <v>2.5.1-8988.2368</v>
      </c>
      <c r="C57" s="169" t="str">
        <f>'SAF 011'!E64</f>
        <v>REACTIVOS P/EQUIPO; EQUIPO: AUTOANALIZADOR DE IONES, MARCA EQUIPO: DIESTRO, NOMBRE DEL PRODUCTO: CONTROL TRILEVEL, PRESENTACION: 3 X ENVASE X 15 mL</v>
      </c>
      <c r="D57" s="170" t="s">
        <v>32</v>
      </c>
      <c r="E57" s="161" t="str">
        <f>'SAF 011'!F64</f>
        <v>CAJA</v>
      </c>
      <c r="F57" s="177">
        <f>'SAF 011'!H64</f>
        <v>14455</v>
      </c>
      <c r="G57" s="162" t="e">
        <f>'SAF 011'!#REF!</f>
        <v>#REF!</v>
      </c>
    </row>
    <row r="58" spans="1:7" s="21" customFormat="1" ht="40.5" x14ac:dyDescent="0.25">
      <c r="A58" s="163">
        <v>49</v>
      </c>
      <c r="B58" s="160" t="str">
        <f>'SAF 011'!B65</f>
        <v>2.5.1-8988.634</v>
      </c>
      <c r="C58" s="169" t="str">
        <f>'SAF 011'!E65</f>
        <v>REACTIVOS P/EQUIPO; EQUIPO: AUTOANALIZADOR DE IONES, MARCA EQUIPO: DIESTRO, NOMBRE DEL PRODUCTO: SC. ACOND. ELECTRODO SODIO, PRESENTACION: ENVASE X 15 mL</v>
      </c>
      <c r="D58" s="170" t="s">
        <v>32</v>
      </c>
      <c r="E58" s="161" t="str">
        <f>'SAF 011'!F65</f>
        <v>FRASCO</v>
      </c>
      <c r="F58" s="177">
        <f>'SAF 011'!H65</f>
        <v>4000</v>
      </c>
      <c r="G58" s="162" t="e">
        <f>'SAF 011'!#REF!</f>
        <v>#REF!</v>
      </c>
    </row>
    <row r="59" spans="1:7" s="21" customFormat="1" ht="40.5" x14ac:dyDescent="0.25">
      <c r="A59" s="163">
        <v>50</v>
      </c>
      <c r="B59" s="160" t="str">
        <f>'SAF 011'!B66</f>
        <v>2.5.1-8988.2434</v>
      </c>
      <c r="C59" s="169" t="str">
        <f>'SAF 011'!E66</f>
        <v>REACTIVOS P/EQUIPO; EQUIPO: AUTOANALIZADOR QUÍMICA CLÍNICA; MARCA EQUIPO: WIENER; NOMBRE DEL PRODUCTO: URICOSTAT ENZIMÁTICO AA LÍQUIDA; PRESENTACIÓN: ENVASE 250 ML: 2 X 100 ML A + 1 X 50 ML B</v>
      </c>
      <c r="D59" s="170" t="s">
        <v>32</v>
      </c>
      <c r="E59" s="161" t="str">
        <f>'SAF 011'!F66</f>
        <v>UNIDAD</v>
      </c>
      <c r="F59" s="177">
        <f>'SAF 011'!H66</f>
        <v>6900</v>
      </c>
      <c r="G59" s="162" t="e">
        <f>'SAF 011'!#REF!</f>
        <v>#REF!</v>
      </c>
    </row>
    <row r="60" spans="1:7" s="21" customFormat="1" ht="27" x14ac:dyDescent="0.25">
      <c r="A60" s="163">
        <v>51</v>
      </c>
      <c r="B60" s="160" t="str">
        <f>'SAF 011'!B67</f>
        <v>2.5.1-8988.760</v>
      </c>
      <c r="C60" s="169" t="str">
        <f>'SAF 011'!E67</f>
        <v>REACTIVOS P/EQUIPO; EQUIPO: AUTOANALIZADOR, MARCA EQUIPO: GENERICO, NOMBRE DEL PRODUCTO: ALBUMINA AA, PRESENTACION: 6 X ENVASE X 120 mL</v>
      </c>
      <c r="D60" s="170" t="s">
        <v>32</v>
      </c>
      <c r="E60" s="161" t="str">
        <f>'SAF 011'!F67</f>
        <v>CAJA</v>
      </c>
      <c r="F60" s="177">
        <f>'SAF 011'!H67</f>
        <v>6000</v>
      </c>
      <c r="G60" s="162" t="e">
        <f>'SAF 011'!#REF!</f>
        <v>#REF!</v>
      </c>
    </row>
    <row r="61" spans="1:7" s="21" customFormat="1" ht="40.5" x14ac:dyDescent="0.25">
      <c r="A61" s="163">
        <v>52</v>
      </c>
      <c r="B61" s="160" t="str">
        <f>'SAF 011'!B68</f>
        <v>2.5.1-8988.1827</v>
      </c>
      <c r="C61" s="169" t="str">
        <f>'SAF 011'!E68</f>
        <v>REACTIVOS P/EQUIPO; EQUIPO: AUTOANALIZADOR, MARCA EQUIPO: GENERICO, NOMBRE DEL PRODUCTO: ALP 405 LIQUIDA AA, PRESENTACION: ENVASE X 100 mL</v>
      </c>
      <c r="D61" s="170" t="s">
        <v>32</v>
      </c>
      <c r="E61" s="161" t="str">
        <f>'SAF 011'!F68</f>
        <v>CAJA</v>
      </c>
      <c r="F61" s="177">
        <f>'SAF 011'!H68</f>
        <v>5200</v>
      </c>
      <c r="G61" s="162" t="e">
        <f>'SAF 011'!#REF!</f>
        <v>#REF!</v>
      </c>
    </row>
    <row r="62" spans="1:7" s="21" customFormat="1" ht="40.5" x14ac:dyDescent="0.25">
      <c r="A62" s="163">
        <v>53</v>
      </c>
      <c r="B62" s="160" t="str">
        <f>'SAF 011'!B69</f>
        <v>2.5.1-8988.775</v>
      </c>
      <c r="C62" s="169" t="str">
        <f>'SAF 011'!E69</f>
        <v>REACTIVOS P/EQUIPO; EQUIPO: AUTOANALIZADOR, MARCA EQUIPO: GENERICO, NOMBRE DEL PRODUCTO: AMILASA 405 CINETICA AA, PRESENTACION: 3 X ENVASE X 10 mL</v>
      </c>
      <c r="D62" s="170" t="s">
        <v>32</v>
      </c>
      <c r="E62" s="161" t="str">
        <f>'SAF 011'!F69</f>
        <v>CAJA</v>
      </c>
      <c r="F62" s="177">
        <f>'SAF 011'!H69</f>
        <v>8736</v>
      </c>
      <c r="G62" s="162" t="e">
        <f>'SAF 011'!#REF!</f>
        <v>#REF!</v>
      </c>
    </row>
    <row r="63" spans="1:7" s="21" customFormat="1" ht="40.5" x14ac:dyDescent="0.25">
      <c r="A63" s="163">
        <v>54</v>
      </c>
      <c r="B63" s="160" t="str">
        <f>'SAF 011'!B70</f>
        <v>2.5.1-8988.776</v>
      </c>
      <c r="C63" s="169" t="str">
        <f>'SAF 011'!E70</f>
        <v>REACTIVOS P/EQUIPO; EQUIPO: AUTOANALIZADOR, MARCA EQUIPO: GENERICO, NOMBRE DEL PRODUCTO: BILIRRUBINA DIRECTA AA, PRESENTACION: ENVASE X 240 mL</v>
      </c>
      <c r="D63" s="170" t="s">
        <v>32</v>
      </c>
      <c r="E63" s="161" t="str">
        <f>'SAF 011'!F70</f>
        <v>CAJA</v>
      </c>
      <c r="F63" s="177">
        <f>'SAF 011'!H70</f>
        <v>8900</v>
      </c>
      <c r="G63" s="162" t="e">
        <f>'SAF 011'!#REF!</f>
        <v>#REF!</v>
      </c>
    </row>
    <row r="64" spans="1:7" s="21" customFormat="1" ht="40.5" x14ac:dyDescent="0.25">
      <c r="A64" s="163">
        <v>55</v>
      </c>
      <c r="B64" s="160" t="str">
        <f>'SAF 011'!B71</f>
        <v>2.5.1-8988.777</v>
      </c>
      <c r="C64" s="169" t="str">
        <f>'SAF 011'!E71</f>
        <v>REACTIVOS P/EQUIPO; EQUIPO: AUTOANALIZADOR, MARCA EQUIPO: GENERICO, NOMBRE DEL PRODUCTO: BILIRRUBINA TOTAL AA, PRESENTACION: ENVASE X 240 mL</v>
      </c>
      <c r="D64" s="170" t="s">
        <v>32</v>
      </c>
      <c r="E64" s="161" t="str">
        <f>'SAF 011'!F71</f>
        <v>CAJA</v>
      </c>
      <c r="F64" s="177">
        <f>'SAF 011'!H71</f>
        <v>9100</v>
      </c>
      <c r="G64" s="162" t="e">
        <f>'SAF 011'!#REF!</f>
        <v>#REF!</v>
      </c>
    </row>
    <row r="65" spans="1:7" s="21" customFormat="1" ht="40.5" x14ac:dyDescent="0.25">
      <c r="A65" s="163">
        <v>56</v>
      </c>
      <c r="B65" s="160" t="str">
        <f>'SAF 011'!B72</f>
        <v>2.5.1-8988.778</v>
      </c>
      <c r="C65" s="169" t="str">
        <f>'SAF 011'!E72</f>
        <v>REACTIVOS P/EQUIPO; EQUIPO: AUTOANALIZADOR, MARCA EQUIPO: GENERICO, NOMBRE DEL PRODUCTO: CALCIO COLOR AA, PRESENTACION: 4 X ENVASE X 50 mL</v>
      </c>
      <c r="D65" s="170" t="s">
        <v>32</v>
      </c>
      <c r="E65" s="161" t="str">
        <f>'SAF 011'!F72</f>
        <v>CAJA</v>
      </c>
      <c r="F65" s="177">
        <f>'SAF 011'!H72</f>
        <v>5057</v>
      </c>
      <c r="G65" s="162" t="e">
        <f>'SAF 011'!#REF!</f>
        <v>#REF!</v>
      </c>
    </row>
    <row r="66" spans="1:7" s="21" customFormat="1" ht="27" x14ac:dyDescent="0.25">
      <c r="A66" s="163">
        <v>57</v>
      </c>
      <c r="B66" s="160" t="str">
        <f>'SAF 011'!B73</f>
        <v>2.5.1-8988.781</v>
      </c>
      <c r="C66" s="169" t="str">
        <f>'SAF 011'!E73</f>
        <v>REACTIVOS P/EQUIPO; EQUIPO: AUTOANALIZADOR, MARCA EQUIPO: GENERICO, NOMBRE DEL PRODUCTO: CK-NAC AA, PRESENTACION: ENVASE X 120 mL</v>
      </c>
      <c r="D66" s="170" t="s">
        <v>32</v>
      </c>
      <c r="E66" s="161" t="str">
        <f>'SAF 011'!F73</f>
        <v>CAJA</v>
      </c>
      <c r="F66" s="177">
        <f>'SAF 011'!H73</f>
        <v>20469</v>
      </c>
      <c r="G66" s="162" t="e">
        <f>'SAF 011'!#REF!</f>
        <v>#REF!</v>
      </c>
    </row>
    <row r="67" spans="1:7" s="21" customFormat="1" ht="40.5" x14ac:dyDescent="0.25">
      <c r="A67" s="163">
        <v>58</v>
      </c>
      <c r="B67" s="160" t="str">
        <f>'SAF 011'!B74</f>
        <v>2.5.1-8988.1727</v>
      </c>
      <c r="C67" s="169" t="str">
        <f>'SAF 011'!E74</f>
        <v>REACTIVOS P/EQUIPO; EQUIPO: AUTOANALIZADOR, MARCA EQUIPO: GENERICO, NOMBRE DEL PRODUCTO: COLESTEROL ENZIMATICO AA, PRESENTACION: 2 X ENVASE X 500 mL</v>
      </c>
      <c r="D67" s="170" t="s">
        <v>32</v>
      </c>
      <c r="E67" s="161" t="str">
        <f>'SAF 011'!F74</f>
        <v>CAJA</v>
      </c>
      <c r="F67" s="177">
        <f>'SAF 011'!H74</f>
        <v>15000</v>
      </c>
      <c r="G67" s="162" t="e">
        <f>'SAF 011'!#REF!</f>
        <v>#REF!</v>
      </c>
    </row>
    <row r="68" spans="1:7" s="21" customFormat="1" ht="27" x14ac:dyDescent="0.25">
      <c r="A68" s="163">
        <v>59</v>
      </c>
      <c r="B68" s="160" t="str">
        <f>'SAF 011'!B75</f>
        <v>2.5.1-8988.1464</v>
      </c>
      <c r="C68" s="169" t="str">
        <f>'SAF 011'!E75</f>
        <v>REACTIVOS P/EQUIPO; EQUIPO: AUTOANALIZADOR, MARCA EQUIPO: GENERICO, NOMBRE DEL PRODUCTO: COLINESTERASA, PRESENTACION: ENVASE X 78 mL</v>
      </c>
      <c r="D68" s="170" t="s">
        <v>32</v>
      </c>
      <c r="E68" s="161" t="str">
        <f>'SAF 011'!F75</f>
        <v>UNIDAD</v>
      </c>
      <c r="F68" s="177">
        <f>'SAF 011'!H75</f>
        <v>20419</v>
      </c>
      <c r="G68" s="162" t="e">
        <f>'SAF 011'!#REF!</f>
        <v>#REF!</v>
      </c>
    </row>
    <row r="69" spans="1:7" s="21" customFormat="1" ht="27" x14ac:dyDescent="0.25">
      <c r="A69" s="163">
        <v>60</v>
      </c>
      <c r="B69" s="160" t="str">
        <f>'SAF 011'!B76</f>
        <v>2.5.1-8988.782</v>
      </c>
      <c r="C69" s="169" t="str">
        <f>'SAF 011'!E76</f>
        <v>REACTIVOS P/EQUIPO; EQUIPO: AUTOANALIZADOR, MARCA EQUIPO: GENERICO, NOMBRE DEL PRODUCTO: HIERRO COLOR AA, PRESENTACION: ENVASE X 120 mL</v>
      </c>
      <c r="D69" s="170" t="s">
        <v>32</v>
      </c>
      <c r="E69" s="161" t="str">
        <f>'SAF 011'!F76</f>
        <v>CAJA</v>
      </c>
      <c r="F69" s="177">
        <f>'SAF 011'!H76</f>
        <v>9862</v>
      </c>
      <c r="G69" s="162" t="e">
        <f>'SAF 011'!#REF!</f>
        <v>#REF!</v>
      </c>
    </row>
    <row r="70" spans="1:7" s="21" customFormat="1" ht="27" x14ac:dyDescent="0.25">
      <c r="A70" s="163">
        <v>61</v>
      </c>
      <c r="B70" s="160" t="str">
        <f>'SAF 011'!B77</f>
        <v>2.5.1-8988.787</v>
      </c>
      <c r="C70" s="169" t="str">
        <f>'SAF 011'!E77</f>
        <v>REACTIVOS P/EQUIPO; EQUIPO: AUTOANALIZADOR, MARCA EQUIPO: GENERICO, NOMBRE DEL PRODUCTO: LDH-P UV AA, PRESENTACION: ENVASE X 100 mL</v>
      </c>
      <c r="D70" s="170" t="s">
        <v>32</v>
      </c>
      <c r="E70" s="161" t="str">
        <f>'SAF 011'!F77</f>
        <v>CAJA</v>
      </c>
      <c r="F70" s="177">
        <f>'SAF 011'!H77</f>
        <v>7140</v>
      </c>
      <c r="G70" s="162" t="e">
        <f>'SAF 011'!#REF!</f>
        <v>#REF!</v>
      </c>
    </row>
    <row r="71" spans="1:7" s="21" customFormat="1" ht="40.5" x14ac:dyDescent="0.25">
      <c r="A71" s="163">
        <v>62</v>
      </c>
      <c r="B71" s="160" t="str">
        <f>'SAF 011'!B78</f>
        <v>2.5.1-8988.762</v>
      </c>
      <c r="C71" s="169" t="str">
        <f>'SAF 011'!E78</f>
        <v>REACTIVOS P/EQUIPO; EQUIPO: AUTOANALIZADOR, MARCA EQUIPO: GENERICO, NOMBRE DEL PRODUCTO: MAGNESIO COLOR AA, PRESENTACION: 2 X ENVASE X 50 mL</v>
      </c>
      <c r="D71" s="170" t="s">
        <v>32</v>
      </c>
      <c r="E71" s="161" t="str">
        <f>'SAF 011'!F78</f>
        <v>CAJA</v>
      </c>
      <c r="F71" s="177">
        <f>'SAF 011'!H78</f>
        <v>61700</v>
      </c>
      <c r="G71" s="162" t="e">
        <f>'SAF 011'!#REF!</f>
        <v>#REF!</v>
      </c>
    </row>
    <row r="72" spans="1:7" s="21" customFormat="1" ht="40.5" x14ac:dyDescent="0.25">
      <c r="A72" s="163">
        <v>63</v>
      </c>
      <c r="B72" s="160" t="str">
        <f>'SAF 011'!B79</f>
        <v>2.5.1-8988.788</v>
      </c>
      <c r="C72" s="169" t="str">
        <f>'SAF 011'!E79</f>
        <v>REACTIVOS P/EQUIPO; EQUIPO: AUTOANALIZADOR, MARCA EQUIPO: GENERICO, NOMBRE DEL PRODUCTO: PROTEINAS TOTALES AA, PRESENTACION: 6 X ENVASE X 120 mL</v>
      </c>
      <c r="D72" s="170" t="s">
        <v>32</v>
      </c>
      <c r="E72" s="161" t="str">
        <f>'SAF 011'!F79</f>
        <v>CAJA</v>
      </c>
      <c r="F72" s="177">
        <f>'SAF 011'!H79</f>
        <v>11000</v>
      </c>
      <c r="G72" s="162" t="e">
        <f>'SAF 011'!#REF!</f>
        <v>#REF!</v>
      </c>
    </row>
    <row r="73" spans="1:7" s="21" customFormat="1" ht="40.5" x14ac:dyDescent="0.25">
      <c r="A73" s="163">
        <v>64</v>
      </c>
      <c r="B73" s="160" t="str">
        <f>'SAF 011'!B80</f>
        <v>2.5.1-8988.1577</v>
      </c>
      <c r="C73" s="169" t="str">
        <f>'SAF 011'!E80</f>
        <v>REACTIVOS P/EQUIPO; EQUIPO: AUTOANALIZADOR, MARCA EQUIPO: METROLAB 2300, NOMBRE DEL PRODUCTO: CREATININA CINETICA AA LIQUIDA, PRESENTACION: 2 X 100 + 2 X 25 mL</v>
      </c>
      <c r="D73" s="170" t="s">
        <v>32</v>
      </c>
      <c r="E73" s="161" t="str">
        <f>'SAF 011'!F80</f>
        <v>CAJA</v>
      </c>
      <c r="F73" s="177">
        <f>'SAF 011'!H80</f>
        <v>6478</v>
      </c>
      <c r="G73" s="162" t="e">
        <f>'SAF 011'!#REF!</f>
        <v>#REF!</v>
      </c>
    </row>
    <row r="74" spans="1:7" s="21" customFormat="1" ht="40.5" x14ac:dyDescent="0.25">
      <c r="A74" s="163">
        <v>65</v>
      </c>
      <c r="B74" s="160" t="str">
        <f>'SAF 011'!B81</f>
        <v>2.5.1-8988.1578</v>
      </c>
      <c r="C74" s="169" t="str">
        <f>'SAF 011'!E81</f>
        <v>REACTIVOS P/EQUIPO; EQUIPO: AUTOANALIZADOR, MARCA EQUIPO: METROLAB 2300, NOMBRE DEL PRODUCTO: UREA UV CINETICA AA LIQUIDA, PRESENTACION: 4 X 100 + 4 X 25 mL</v>
      </c>
      <c r="D74" s="170" t="s">
        <v>32</v>
      </c>
      <c r="E74" s="161" t="str">
        <f>'SAF 011'!F81</f>
        <v>UNIDAD</v>
      </c>
      <c r="F74" s="177">
        <f>'SAF 011'!H81</f>
        <v>27100</v>
      </c>
      <c r="G74" s="162" t="e">
        <f>'SAF 011'!#REF!</f>
        <v>#REF!</v>
      </c>
    </row>
    <row r="75" spans="1:7" s="21" customFormat="1" ht="40.5" x14ac:dyDescent="0.25">
      <c r="A75" s="163">
        <v>66</v>
      </c>
      <c r="B75" s="160" t="str">
        <f>'SAF 011'!B82</f>
        <v>2.5.1-8988.2198</v>
      </c>
      <c r="C75" s="169" t="str">
        <f>'SAF 011'!E82</f>
        <v>REACTIVOS P/EQUIPO; EQUIPO: AUTOANALIZADOR, MARCA EQUIPO: METROLAB, NOMBRE DEL PRODUCTO: CK MB NAC UV AA LIQUIDA, PRESENTACION: 1 X 50 + 1 X 10 mL</v>
      </c>
      <c r="D75" s="170" t="s">
        <v>32</v>
      </c>
      <c r="E75" s="161" t="str">
        <f>'SAF 011'!F82</f>
        <v>CAJA</v>
      </c>
      <c r="F75" s="177">
        <f>'SAF 011'!H82</f>
        <v>21839</v>
      </c>
      <c r="G75" s="162" t="e">
        <f>'SAF 011'!#REF!</f>
        <v>#REF!</v>
      </c>
    </row>
    <row r="76" spans="1:7" s="21" customFormat="1" ht="27" x14ac:dyDescent="0.25">
      <c r="A76" s="163">
        <v>67</v>
      </c>
      <c r="B76" s="160" t="str">
        <f>'SAF 011'!B83</f>
        <v>2.5.1-8988.2417</v>
      </c>
      <c r="C76" s="169" t="str">
        <f>'SAF 011'!E83</f>
        <v>REACTIVOS P/EQUIPO; EQUIPO: AUTOANALIZADOR, MARCA EQUIPO: TOSOH, NOMBRE DEL PRODUCTO: SOLUCION DE LAVADO, PRESENTACION: 4 X 100 ML</v>
      </c>
      <c r="D76" s="170" t="s">
        <v>32</v>
      </c>
      <c r="E76" s="161" t="str">
        <f>'SAF 011'!F83</f>
        <v>CAJA</v>
      </c>
      <c r="F76" s="177">
        <f>'SAF 011'!H83</f>
        <v>8600</v>
      </c>
      <c r="G76" s="162" t="e">
        <f>'SAF 011'!#REF!</f>
        <v>#REF!</v>
      </c>
    </row>
    <row r="77" spans="1:7" s="21" customFormat="1" ht="27" x14ac:dyDescent="0.25">
      <c r="A77" s="163">
        <v>68</v>
      </c>
      <c r="B77" s="160" t="str">
        <f>'SAF 011'!B84</f>
        <v>2.5.1-8988.2418</v>
      </c>
      <c r="C77" s="169" t="str">
        <f>'SAF 011'!E84</f>
        <v>REACTIVOS P/EQUIPO; EQUIPO: AUTOANALIZADOR, MARCA EQUIPO: TOSOH, NOMBRE DEL PRODUCTO: SUSTRATO II, PRESENTACION: 1000 DETERMINACIONES</v>
      </c>
      <c r="D77" s="170" t="s">
        <v>32</v>
      </c>
      <c r="E77" s="161" t="str">
        <f>'SAF 011'!F84</f>
        <v>CAJA</v>
      </c>
      <c r="F77" s="177">
        <f>'SAF 011'!H84</f>
        <v>26800</v>
      </c>
      <c r="G77" s="162" t="e">
        <f>'SAF 011'!#REF!</f>
        <v>#REF!</v>
      </c>
    </row>
    <row r="78" spans="1:7" s="21" customFormat="1" ht="40.5" x14ac:dyDescent="0.25">
      <c r="A78" s="163">
        <v>69</v>
      </c>
      <c r="B78" s="160" t="str">
        <f>'SAF 011'!B85</f>
        <v>2.5.1-8988.1459</v>
      </c>
      <c r="C78" s="169" t="str">
        <f>'SAF 011'!E85</f>
        <v>REACTIVOS P/EQUIPO; EQUIPO: AUTOANALIZADOR, MARCA EQUIPO: WIENER LAB, NOMBRE DEL PRODUCTO: ASO LATEX AA, PRESENTACION: ENVASE X 12 + ENVASE X 15 mL</v>
      </c>
      <c r="D78" s="170" t="s">
        <v>32</v>
      </c>
      <c r="E78" s="161" t="str">
        <f>'SAF 011'!F85</f>
        <v>UNIDAD</v>
      </c>
      <c r="F78" s="177">
        <f>'SAF 011'!H85</f>
        <v>8001</v>
      </c>
      <c r="G78" s="162" t="e">
        <f>'SAF 011'!#REF!</f>
        <v>#REF!</v>
      </c>
    </row>
    <row r="79" spans="1:7" s="21" customFormat="1" ht="40.5" x14ac:dyDescent="0.25">
      <c r="A79" s="163">
        <v>70</v>
      </c>
      <c r="B79" s="160" t="str">
        <f>'SAF 011'!B86</f>
        <v>2.5.1-8988.2412</v>
      </c>
      <c r="C79" s="169" t="str">
        <f>'SAF 011'!E86</f>
        <v>REACTIVOS P/EQUIPO; EQUIPO: AUTOANALIZADOR, MARCA EQUIPO: WIENER LAB, NOMBRE DEL PRODUCTO: CK-MB CONTROL 3 NIVELES, PRESENTACION: 3 X 3 ML</v>
      </c>
      <c r="D79" s="170" t="s">
        <v>32</v>
      </c>
      <c r="E79" s="161" t="str">
        <f>'SAF 011'!F86</f>
        <v>CAJA</v>
      </c>
      <c r="F79" s="177">
        <f>'SAF 011'!H86</f>
        <v>8296</v>
      </c>
      <c r="G79" s="162" t="e">
        <f>'SAF 011'!#REF!</f>
        <v>#REF!</v>
      </c>
    </row>
    <row r="80" spans="1:7" s="21" customFormat="1" ht="40.5" x14ac:dyDescent="0.25">
      <c r="A80" s="163">
        <v>71</v>
      </c>
      <c r="B80" s="160" t="str">
        <f>'SAF 011'!B87</f>
        <v>2.5.1-8988.1461</v>
      </c>
      <c r="C80" s="169" t="str">
        <f>'SAF 011'!E87</f>
        <v>REACTIVOS P/EQUIPO; EQUIPO: AUTOANALIZADOR, MARCA EQUIPO: WIENER LAB, NOMBRE DEL PRODUCTO: CK-MB NAC UV UNITEST, PRESENTACION: 19 X ENVASE X 2,5 mL</v>
      </c>
      <c r="D80" s="170" t="s">
        <v>32</v>
      </c>
      <c r="E80" s="161" t="str">
        <f>'SAF 011'!F87</f>
        <v>CAJA</v>
      </c>
      <c r="F80" s="177">
        <f>'SAF 011'!H87</f>
        <v>24200</v>
      </c>
      <c r="G80" s="162" t="e">
        <f>'SAF 011'!#REF!</f>
        <v>#REF!</v>
      </c>
    </row>
    <row r="81" spans="1:7" s="21" customFormat="1" ht="27" x14ac:dyDescent="0.25">
      <c r="A81" s="163">
        <v>72</v>
      </c>
      <c r="B81" s="160" t="str">
        <f>'SAF 011'!B88</f>
        <v>2.5.1-8988.2469</v>
      </c>
      <c r="C81" s="169" t="str">
        <f>'SAF 011'!E88</f>
        <v>REACTIVOS P/EQUIPO; EQUIPO: AUTOANALIZADOR, MARCA EQUIPO: WIENER, NOMBRE DEL PRODUCTO: GOT UV AA LIQUIDA, PRESENTACION: ENVASE X 200 ML</v>
      </c>
      <c r="D81" s="170" t="s">
        <v>32</v>
      </c>
      <c r="E81" s="161" t="str">
        <f>'SAF 011'!F88</f>
        <v>CAJA</v>
      </c>
      <c r="F81" s="177">
        <f>'SAF 011'!H88</f>
        <v>9711</v>
      </c>
      <c r="G81" s="162" t="e">
        <f>'SAF 011'!#REF!</f>
        <v>#REF!</v>
      </c>
    </row>
    <row r="82" spans="1:7" s="21" customFormat="1" ht="27" x14ac:dyDescent="0.25">
      <c r="A82" s="163">
        <v>73</v>
      </c>
      <c r="B82" s="160" t="str">
        <f>'SAF 011'!B89</f>
        <v>2.5.1-8988.2256</v>
      </c>
      <c r="C82" s="169" t="str">
        <f>'SAF 011'!E89</f>
        <v>REACTIVOS P/EQUIPO; EQUIPO: AUTOANALIZADOR, MARCA EQUIPO: WIENER, NOMBRE DEL PRODUCTO: GOT UV AA, PRESENTACION: ENVASE X 200 mL</v>
      </c>
      <c r="D82" s="170" t="s">
        <v>32</v>
      </c>
      <c r="E82" s="161" t="str">
        <f>'SAF 011'!F89</f>
        <v>CAJA</v>
      </c>
      <c r="F82" s="177">
        <f>'SAF 011'!H89</f>
        <v>14009</v>
      </c>
      <c r="G82" s="162" t="e">
        <f>'SAF 011'!#REF!</f>
        <v>#REF!</v>
      </c>
    </row>
    <row r="83" spans="1:7" s="21" customFormat="1" ht="27" x14ac:dyDescent="0.25">
      <c r="A83" s="163">
        <v>74</v>
      </c>
      <c r="B83" s="160" t="str">
        <f>'SAF 011'!B90</f>
        <v>2.5.1-8988.2470</v>
      </c>
      <c r="C83" s="169" t="str">
        <f>'SAF 011'!E90</f>
        <v>REACTIVOS P/EQUIPO; EQUIPO: AUTOANALIZADOR, MARCA EQUIPO: WIENER, NOMBRE DEL PRODUCTO: GPT UV AA LIQUIDA, PRESENTACION: ENVASE X 200 ML</v>
      </c>
      <c r="D83" s="170" t="s">
        <v>32</v>
      </c>
      <c r="E83" s="161" t="str">
        <f>'SAF 011'!F90</f>
        <v>CAJA</v>
      </c>
      <c r="F83" s="177">
        <f>'SAF 011'!H90</f>
        <v>9711</v>
      </c>
      <c r="G83" s="162" t="e">
        <f>'SAF 011'!#REF!</f>
        <v>#REF!</v>
      </c>
    </row>
    <row r="84" spans="1:7" s="21" customFormat="1" ht="27" x14ac:dyDescent="0.25">
      <c r="A84" s="163">
        <v>75</v>
      </c>
      <c r="B84" s="160" t="str">
        <f>'SAF 011'!B91</f>
        <v>2.5.1-8988.2255</v>
      </c>
      <c r="C84" s="169" t="str">
        <f>'SAF 011'!E91</f>
        <v>REACTIVOS P/EQUIPO; EQUIPO: AUTOANALIZADOR, MARCA EQUIPO: WIENER, NOMBRE DEL PRODUCTO: GPT UV AA, PRESENTACION: ENVASE X 200 mL</v>
      </c>
      <c r="D84" s="170" t="s">
        <v>32</v>
      </c>
      <c r="E84" s="161" t="str">
        <f>'SAF 011'!F91</f>
        <v>CAJA</v>
      </c>
      <c r="F84" s="177">
        <f>'SAF 011'!H91</f>
        <v>14009</v>
      </c>
      <c r="G84" s="162" t="e">
        <f>'SAF 011'!#REF!</f>
        <v>#REF!</v>
      </c>
    </row>
    <row r="85" spans="1:7" s="21" customFormat="1" ht="27" x14ac:dyDescent="0.25">
      <c r="A85" s="163">
        <v>76</v>
      </c>
      <c r="B85" s="160" t="str">
        <f>'SAF 011'!B92</f>
        <v>2.5.1-8988.2471</v>
      </c>
      <c r="C85" s="169" t="str">
        <f>'SAF 011'!E92</f>
        <v>REACTIVOS P/EQUIPO; EQUIPO: AUTOANALIZADOR, MARCA EQUIPO: WIENER, NOMBRE DEL PRODUCTO: HBA1C ENZIMATICA, PRESENTACION: CAJA</v>
      </c>
      <c r="D85" s="170" t="s">
        <v>32</v>
      </c>
      <c r="E85" s="161" t="str">
        <f>'SAF 011'!F92</f>
        <v>CAJA</v>
      </c>
      <c r="F85" s="177">
        <f>'SAF 011'!H92</f>
        <v>41226</v>
      </c>
      <c r="G85" s="162" t="e">
        <f>'SAF 011'!#REF!</f>
        <v>#REF!</v>
      </c>
    </row>
    <row r="86" spans="1:7" s="21" customFormat="1" ht="40.5" x14ac:dyDescent="0.25">
      <c r="A86" s="163">
        <v>77</v>
      </c>
      <c r="B86" s="160" t="str">
        <f>'SAF 011'!B93</f>
        <v>2.5.1-8988.2432</v>
      </c>
      <c r="C86" s="169" t="str">
        <f>'SAF 011'!E93</f>
        <v>REACTIVOS P/EQUIPO; EQUIPO: AUTOANALIZADOR; MARCA EQUIPO: TOSOH; NOMBRE DEL PRODUCTO: HORMONA TSH; PRESENTACIÓN: ENVASE X 100 DETERMINACIONES</v>
      </c>
      <c r="D86" s="170" t="s">
        <v>32</v>
      </c>
      <c r="E86" s="161" t="str">
        <f>'SAF 011'!F93</f>
        <v>CAJA</v>
      </c>
      <c r="F86" s="177">
        <f>'SAF 011'!H93</f>
        <v>47900</v>
      </c>
      <c r="G86" s="162" t="e">
        <f>'SAF 011'!#REF!</f>
        <v>#REF!</v>
      </c>
    </row>
    <row r="87" spans="1:7" s="21" customFormat="1" ht="40.5" x14ac:dyDescent="0.25">
      <c r="A87" s="163">
        <v>78</v>
      </c>
      <c r="B87" s="160" t="str">
        <f>'SAF 011'!B94</f>
        <v>2.5.1-8988.2415</v>
      </c>
      <c r="C87" s="169" t="str">
        <f>'SAF 011'!E94</f>
        <v>REACTIVOS P/EQUIPO; EQUIPO: AUTOANALIZADOR; MARCA EQUIPO: WIENER; NOMBRE DEL PRODUCTO: TG GPO/ PAP AA; PRESENTACIÓN: 4 X ENVASE X 100 ML</v>
      </c>
      <c r="D87" s="170" t="s">
        <v>32</v>
      </c>
      <c r="E87" s="161" t="str">
        <f>'SAF 011'!F94</f>
        <v>CAJA</v>
      </c>
      <c r="F87" s="177">
        <f>'SAF 011'!H94</f>
        <v>18100</v>
      </c>
      <c r="G87" s="162" t="e">
        <f>'SAF 011'!#REF!</f>
        <v>#REF!</v>
      </c>
    </row>
    <row r="88" spans="1:7" s="21" customFormat="1" ht="40.5" x14ac:dyDescent="0.25">
      <c r="A88" s="163">
        <v>79</v>
      </c>
      <c r="B88" s="160" t="str">
        <f>'SAF 011'!B96</f>
        <v>2.5.1-8988.2467</v>
      </c>
      <c r="C88" s="169" t="str">
        <f>'SAF 011'!E96</f>
        <v>REACTIVOS P/EQUIPO; EQUIPO: AUTOMATIZADO; MARCA EQUIPO: KINGFISHER FLEX; NOMBRE DEL PRODUCTO: MAGMAX TM VIRAL / PATHOGEN II (MPV) NUCLAIC ACID ISOLATION; PRESENTACIÓN: S/PLIEGO</v>
      </c>
      <c r="D88" s="170" t="s">
        <v>32</v>
      </c>
      <c r="E88" s="161" t="str">
        <f>'SAF 011'!F96</f>
        <v>KIT</v>
      </c>
      <c r="F88" s="177">
        <f>'SAF 011'!H96</f>
        <v>1200000</v>
      </c>
      <c r="G88" s="162" t="e">
        <f>'SAF 011'!#REF!</f>
        <v>#REF!</v>
      </c>
    </row>
    <row r="89" spans="1:7" s="21" customFormat="1" ht="27" x14ac:dyDescent="0.25">
      <c r="A89" s="163">
        <v>80</v>
      </c>
      <c r="B89" s="160" t="str">
        <f>'SAF 011'!B97</f>
        <v>2.5.1-8988.2414</v>
      </c>
      <c r="C89" s="169" t="str">
        <f>'SAF 011'!E97</f>
        <v>REACTIVOS P/EQUIPO; EQUIPO: AUTOMATIZADO; MARCA EQUIPO: TOSOH; NOMBRE DEL PRODUCTO: T4 LIBRE; PRESENTACIÓN: 100 DETERMINACIONES</v>
      </c>
      <c r="D89" s="170" t="s">
        <v>32</v>
      </c>
      <c r="E89" s="161" t="str">
        <f>'SAF 011'!F97</f>
        <v>CAJA</v>
      </c>
      <c r="F89" s="177">
        <f>'SAF 011'!H97</f>
        <v>43296</v>
      </c>
      <c r="G89" s="162" t="e">
        <f>'SAF 011'!#REF!</f>
        <v>#REF!</v>
      </c>
    </row>
    <row r="90" spans="1:7" s="21" customFormat="1" ht="27" x14ac:dyDescent="0.25">
      <c r="A90" s="163">
        <v>81</v>
      </c>
      <c r="B90" s="160" t="str">
        <f>'SAF 011'!B98</f>
        <v>2.5.1-8988.2043</v>
      </c>
      <c r="C90" s="169" t="str">
        <f>'SAF 011'!E98</f>
        <v>REACTIVOS P/EQUIPO; EQUIPO: AUTOMATIZADO; MARCA EQUIPO: VIDAS; NOMBRE DEL PRODUCTO: CMV IGG; PRESENTACIÓN: DETERMINACIÓN S/PLIEGO</v>
      </c>
      <c r="D90" s="170" t="s">
        <v>32</v>
      </c>
      <c r="E90" s="161" t="str">
        <f>'SAF 011'!F98</f>
        <v>CAJA</v>
      </c>
      <c r="F90" s="177">
        <f>'SAF 011'!H98</f>
        <v>51200</v>
      </c>
      <c r="G90" s="162" t="e">
        <f>'SAF 011'!#REF!</f>
        <v>#REF!</v>
      </c>
    </row>
    <row r="91" spans="1:7" s="21" customFormat="1" ht="27" x14ac:dyDescent="0.25">
      <c r="A91" s="163">
        <v>82</v>
      </c>
      <c r="B91" s="160" t="str">
        <f>'SAF 011'!B99</f>
        <v>2.5.1-8988.2042</v>
      </c>
      <c r="C91" s="169" t="str">
        <f>'SAF 011'!E99</f>
        <v>REACTIVOS P/EQUIPO; EQUIPO: AUTOMATIZADO; MARCA EQUIPO: VIDAS; NOMBRE DEL PRODUCTO: CMV IGM; PRESENTACIÓN: DETERMINACIÓN S/PLIEGO</v>
      </c>
      <c r="D91" s="170" t="s">
        <v>32</v>
      </c>
      <c r="E91" s="161" t="str">
        <f>'SAF 011'!F99</f>
        <v>CAJA</v>
      </c>
      <c r="F91" s="177">
        <f>'SAF 011'!H99</f>
        <v>52100</v>
      </c>
      <c r="G91" s="162" t="e">
        <f>'SAF 011'!#REF!</f>
        <v>#REF!</v>
      </c>
    </row>
    <row r="92" spans="1:7" s="21" customFormat="1" ht="27" x14ac:dyDescent="0.25">
      <c r="A92" s="163">
        <v>83</v>
      </c>
      <c r="B92" s="160" t="str">
        <f>'SAF 011'!B100</f>
        <v>2.5.1-8988.2445</v>
      </c>
      <c r="C92" s="169" t="str">
        <f>'SAF 011'!E100</f>
        <v>REACTIVOS P/EQUIPO; EQUIPO: AUTOMATIZADO; MARCA EQUIPO: VIDAS; NOMBRE DEL PRODUCTO: DENGUE IGG; PRESENTACIÓN: X 60 DETERMINACIONES</v>
      </c>
      <c r="D92" s="170" t="s">
        <v>32</v>
      </c>
      <c r="E92" s="161" t="str">
        <f>'SAF 011'!F100</f>
        <v>CAJA</v>
      </c>
      <c r="F92" s="177">
        <f>'SAF 011'!H100</f>
        <v>110000</v>
      </c>
      <c r="G92" s="162" t="e">
        <f>'SAF 011'!#REF!</f>
        <v>#REF!</v>
      </c>
    </row>
    <row r="93" spans="1:7" s="21" customFormat="1" ht="27" x14ac:dyDescent="0.25">
      <c r="A93" s="163">
        <v>84</v>
      </c>
      <c r="B93" s="160" t="str">
        <f>'SAF 011'!B101</f>
        <v>2.5.1-8988.2442</v>
      </c>
      <c r="C93" s="169" t="str">
        <f>'SAF 011'!E101</f>
        <v>REACTIVOS P/EQUIPO; EQUIPO: AUTOMATIZADO; MARCA EQUIPO: VIDAS; NOMBRE DEL PRODUCTO: DENGUE IGM; PRESENTACION: X 60 DETERMINACIONES</v>
      </c>
      <c r="D93" s="170" t="s">
        <v>32</v>
      </c>
      <c r="E93" s="161" t="str">
        <f>'SAF 011'!F101</f>
        <v>CAJA</v>
      </c>
      <c r="F93" s="177">
        <f>'SAF 011'!H101</f>
        <v>110000</v>
      </c>
      <c r="G93" s="162" t="e">
        <f>'SAF 011'!#REF!</f>
        <v>#REF!</v>
      </c>
    </row>
    <row r="94" spans="1:7" s="21" customFormat="1" ht="27" x14ac:dyDescent="0.25">
      <c r="A94" s="163">
        <v>85</v>
      </c>
      <c r="B94" s="160" t="str">
        <f>'SAF 011'!B102</f>
        <v>2.5.1-8988.2440</v>
      </c>
      <c r="C94" s="169" t="str">
        <f>'SAF 011'!E102</f>
        <v>REACTIVOS P/EQUIPO; EQUIPO: AUTOMATIZADO; MARCA EQUIPO: VIDAS; NOMBRE DEL PRODUCTO: DENGUE NS1; PRESENTACIÓN: X 60 DETERMINACIONES</v>
      </c>
      <c r="D94" s="170" t="s">
        <v>32</v>
      </c>
      <c r="E94" s="161" t="str">
        <f>'SAF 011'!F102</f>
        <v>CAJA</v>
      </c>
      <c r="F94" s="177">
        <f>'SAF 011'!H102</f>
        <v>110000</v>
      </c>
      <c r="G94" s="162" t="e">
        <f>'SAF 011'!#REF!</f>
        <v>#REF!</v>
      </c>
    </row>
    <row r="95" spans="1:7" s="21" customFormat="1" ht="40.5" x14ac:dyDescent="0.25">
      <c r="A95" s="163">
        <v>86</v>
      </c>
      <c r="B95" s="160" t="str">
        <f>'SAF 011'!B103</f>
        <v>2.5.1-8988.2465</v>
      </c>
      <c r="C95" s="169" t="str">
        <f>'SAF 011'!E103</f>
        <v>REACTIVOS P/EQUIPO; EQUIPO: AUTOMATIZADO; MARCA EQUIPO: VIDAS; NOMBRE DEL PRODUCTO: EPSTEIN BAR IGG; PRESENTACIÓN: X 30 DETERMINACIONES</v>
      </c>
      <c r="D95" s="170" t="s">
        <v>32</v>
      </c>
      <c r="E95" s="161" t="str">
        <f>'SAF 011'!F103</f>
        <v>CAJA</v>
      </c>
      <c r="F95" s="177">
        <f>'SAF 011'!H103</f>
        <v>42000</v>
      </c>
      <c r="G95" s="162" t="e">
        <f>'SAF 011'!#REF!</f>
        <v>#REF!</v>
      </c>
    </row>
    <row r="96" spans="1:7" s="21" customFormat="1" ht="40.5" x14ac:dyDescent="0.25">
      <c r="A96" s="163">
        <v>87</v>
      </c>
      <c r="B96" s="160" t="str">
        <f>'SAF 011'!B104</f>
        <v>2.5.1-8988.2466</v>
      </c>
      <c r="C96" s="169" t="str">
        <f>'SAF 011'!E104</f>
        <v>REACTIVOS P/EQUIPO; EQUIPO: AUTOMATIZADO; MARCA EQUIPO: VIDAS; NOMBRE DEL PRODUCTO: EPSTEIN BAR IGM; PRESENTACIÓN: X 30 DETERMINACIONES</v>
      </c>
      <c r="D96" s="170" t="s">
        <v>32</v>
      </c>
      <c r="E96" s="161" t="str">
        <f>'SAF 011'!F104</f>
        <v>CAJA</v>
      </c>
      <c r="F96" s="177">
        <f>'SAF 011'!H104</f>
        <v>39160</v>
      </c>
      <c r="G96" s="162" t="e">
        <f>'SAF 011'!#REF!</f>
        <v>#REF!</v>
      </c>
    </row>
    <row r="97" spans="1:7" s="21" customFormat="1" ht="40.5" x14ac:dyDescent="0.25">
      <c r="A97" s="163">
        <v>88</v>
      </c>
      <c r="B97" s="160" t="str">
        <f>'SAF 011'!B105</f>
        <v>2.5.1-8988.2460</v>
      </c>
      <c r="C97" s="169" t="str">
        <f>'SAF 011'!E105</f>
        <v>REACTIVOS P/EQUIPO; EQUIPO: AUTOMATIZADO; MARCA EQUIPO: VIDAS; NOMBRE DEL PRODUCTO: RUBEOLA IGG; PRESENTACIÓN: X 60 DETERMINACIONES</v>
      </c>
      <c r="D97" s="170" t="s">
        <v>32</v>
      </c>
      <c r="E97" s="161" t="str">
        <f>'SAF 011'!F105</f>
        <v>CAJA</v>
      </c>
      <c r="F97" s="177">
        <f>'SAF 011'!H105</f>
        <v>51300</v>
      </c>
      <c r="G97" s="162" t="e">
        <f>'SAF 011'!#REF!</f>
        <v>#REF!</v>
      </c>
    </row>
    <row r="98" spans="1:7" s="21" customFormat="1" ht="40.5" x14ac:dyDescent="0.25">
      <c r="A98" s="163">
        <v>89</v>
      </c>
      <c r="B98" s="160" t="str">
        <f>'SAF 011'!B106</f>
        <v>2.5.1-8988.2456</v>
      </c>
      <c r="C98" s="169" t="str">
        <f>'SAF 011'!E106</f>
        <v>REACTIVOS P/EQUIPO; EQUIPO: AUTOMATIZADO; MARCA EQUIPO: VIDAS; NOMBRE DEL PRODUCTO: RUBEOLA IGM; PRESENTACIÓN: X 60 DETERMINACIONES</v>
      </c>
      <c r="D98" s="170" t="s">
        <v>32</v>
      </c>
      <c r="E98" s="161" t="str">
        <f>'SAF 011'!F106</f>
        <v>CAJA</v>
      </c>
      <c r="F98" s="177">
        <f>'SAF 011'!H106</f>
        <v>52100</v>
      </c>
      <c r="G98" s="162" t="e">
        <f>'SAF 011'!#REF!</f>
        <v>#REF!</v>
      </c>
    </row>
    <row r="99" spans="1:7" s="21" customFormat="1" ht="40.5" x14ac:dyDescent="0.25">
      <c r="A99" s="163">
        <v>90</v>
      </c>
      <c r="B99" s="160" t="str">
        <f>'SAF 011'!B107</f>
        <v>2.5.1-8988.2464</v>
      </c>
      <c r="C99" s="169" t="str">
        <f>'SAF 011'!E107</f>
        <v>REACTIVOS P/EQUIPO; EQUIPO: AUTOMATIZADO; MARCA EQUIPO: VIDAS; NOMBRE DEL PRODUCTO: VARICELA IGG; PRESENTACION: X 60 DETERMINACIONES</v>
      </c>
      <c r="D99" s="170" t="s">
        <v>32</v>
      </c>
      <c r="E99" s="161" t="str">
        <f>'SAF 011'!F107</f>
        <v>CAJA</v>
      </c>
      <c r="F99" s="177">
        <f>'SAF 011'!H107</f>
        <v>62000</v>
      </c>
      <c r="G99" s="162" t="e">
        <f>'SAF 011'!#REF!</f>
        <v>#REF!</v>
      </c>
    </row>
    <row r="100" spans="1:7" s="21" customFormat="1" ht="40.5" x14ac:dyDescent="0.25">
      <c r="A100" s="163">
        <v>91</v>
      </c>
      <c r="B100" s="160" t="str">
        <f>'SAF 011'!B108</f>
        <v>2.5.1-8988.2462</v>
      </c>
      <c r="C100" s="169" t="str">
        <f>'SAF 011'!E108</f>
        <v>REACTIVOS P/EQUIPO; EQUIPO: AUTOMATIZADO; MARCA EQUIPO: VIDAS; NOMBRE DEL PRODUCTO: VARICELA IGM; PRESENTACIÓN: X 60 DETERMINACIONES</v>
      </c>
      <c r="D100" s="170" t="s">
        <v>32</v>
      </c>
      <c r="E100" s="161" t="str">
        <f>'SAF 011'!F108</f>
        <v>CAJA</v>
      </c>
      <c r="F100" s="177">
        <f>'SAF 011'!H108</f>
        <v>62000</v>
      </c>
      <c r="G100" s="162" t="e">
        <f>'SAF 011'!#REF!</f>
        <v>#REF!</v>
      </c>
    </row>
    <row r="101" spans="1:7" s="21" customFormat="1" ht="27" x14ac:dyDescent="0.25">
      <c r="A101" s="163">
        <v>92</v>
      </c>
      <c r="B101" s="160" t="str">
        <f>'SAF 011'!B109</f>
        <v>2.5.1-8988.2431</v>
      </c>
      <c r="C101" s="169" t="str">
        <f>'SAF 011'!E109</f>
        <v>REACTIVOS P/EQUIPO; EQUIPO: COAGULOMETRO, MARCA EQUIPO: COATRON , NOMBRE DEL PRODUCTO: KPTT -P - HEMOMEDICA-, PRESENTACION: 10 X 4 ML</v>
      </c>
      <c r="D101" s="170" t="s">
        <v>32</v>
      </c>
      <c r="E101" s="161" t="str">
        <f>'SAF 011'!F109</f>
        <v>CAJA</v>
      </c>
      <c r="F101" s="177">
        <f>'SAF 011'!H109</f>
        <v>17000</v>
      </c>
      <c r="G101" s="162" t="e">
        <f>'SAF 011'!#REF!</f>
        <v>#REF!</v>
      </c>
    </row>
    <row r="102" spans="1:7" s="21" customFormat="1" ht="40.5" x14ac:dyDescent="0.25">
      <c r="A102" s="163">
        <v>93</v>
      </c>
      <c r="B102" s="160" t="str">
        <f>'SAF 011'!B110</f>
        <v>2.5.1-8988.1115</v>
      </c>
      <c r="C102" s="169" t="str">
        <f>'SAF 011'!E110</f>
        <v>REACTIVOS P/EQUIPO; EQUIPO: COAGULOMETRO, MARCA EQUIPO: COATRON A4, NOMBRE DEL PRODUCTO: TROMBOPLASTINA-S, PRESENTACION: 10 X ENVASE X 4 mL</v>
      </c>
      <c r="D102" s="170" t="s">
        <v>32</v>
      </c>
      <c r="E102" s="161" t="str">
        <f>'SAF 011'!F110</f>
        <v>CAJA</v>
      </c>
      <c r="F102" s="177">
        <f>'SAF 011'!H110</f>
        <v>21800</v>
      </c>
      <c r="G102" s="162" t="e">
        <f>'SAF 011'!#REF!</f>
        <v>#REF!</v>
      </c>
    </row>
    <row r="103" spans="1:7" s="21" customFormat="1" ht="40.5" x14ac:dyDescent="0.25">
      <c r="A103" s="163">
        <v>94</v>
      </c>
      <c r="B103" s="160" t="str">
        <f>'SAF 011'!B111</f>
        <v>2.5.1-8988.2439</v>
      </c>
      <c r="C103" s="169" t="str">
        <f>'SAF 011'!E111</f>
        <v>REACTIVOS P/EQUIPO; EQUIPO: COAGULOMETRO, MARCA EQUIPO: COATRON, NOMBRE DEL PRODUCTO: CLORURO DE CALCIO - HEMOMEDICA-, PRESENTACION: 10 X 10 ML</v>
      </c>
      <c r="D103" s="170" t="s">
        <v>32</v>
      </c>
      <c r="E103" s="161" t="str">
        <f>'SAF 011'!F111</f>
        <v>CAJA</v>
      </c>
      <c r="F103" s="177">
        <f>'SAF 011'!H111</f>
        <v>19300</v>
      </c>
      <c r="G103" s="162" t="e">
        <f>'SAF 011'!#REF!</f>
        <v>#REF!</v>
      </c>
    </row>
    <row r="104" spans="1:7" s="21" customFormat="1" ht="40.5" x14ac:dyDescent="0.25">
      <c r="A104" s="163">
        <v>95</v>
      </c>
      <c r="B104" s="160" t="str">
        <f>'SAF 011'!B112</f>
        <v>2.5.1-8988.2447</v>
      </c>
      <c r="C104" s="169" t="str">
        <f>'SAF 011'!E112</f>
        <v>REACTIVOS P/EQUIPO; EQUIPO: COAGULOMETRO, MARCA EQUIPO: COATRON, NOMBRE DEL PRODUCTO: CONTROL PLASMA ANORMAL - HEMOMEDICA-, PRESENTACION: 10 X 1 ML</v>
      </c>
      <c r="D104" s="170" t="s">
        <v>32</v>
      </c>
      <c r="E104" s="161" t="str">
        <f>'SAF 011'!F112</f>
        <v>CAJA</v>
      </c>
      <c r="F104" s="177">
        <f>'SAF 011'!H112</f>
        <v>13000</v>
      </c>
      <c r="G104" s="162" t="e">
        <f>'SAF 011'!#REF!</f>
        <v>#REF!</v>
      </c>
    </row>
    <row r="105" spans="1:7" s="21" customFormat="1" ht="40.5" x14ac:dyDescent="0.25">
      <c r="A105" s="163">
        <v>96</v>
      </c>
      <c r="B105" s="160" t="str">
        <f>'SAF 011'!B113</f>
        <v>2.5.1-8988.2449</v>
      </c>
      <c r="C105" s="169" t="str">
        <f>'SAF 011'!E113</f>
        <v>REACTIVOS P/EQUIPO; EQUIPO: COAGULOMETRO, MARCA EQUIPO: COATRON, NOMBRE DEL PRODUCTO: CONTROL PLASMA NORMAL - HEMOMEDICA-, PRESENTACION: 10 X 1 ML</v>
      </c>
      <c r="D105" s="170" t="s">
        <v>32</v>
      </c>
      <c r="E105" s="161" t="str">
        <f>'SAF 011'!F113</f>
        <v>CAJA</v>
      </c>
      <c r="F105" s="177">
        <f>'SAF 011'!H113</f>
        <v>12800</v>
      </c>
      <c r="G105" s="162" t="e">
        <f>'SAF 011'!#REF!</f>
        <v>#REF!</v>
      </c>
    </row>
    <row r="106" spans="1:7" s="21" customFormat="1" ht="40.5" x14ac:dyDescent="0.25">
      <c r="A106" s="163">
        <v>97</v>
      </c>
      <c r="B106" s="160" t="str">
        <f>'SAF 011'!B114</f>
        <v>2.5.1-8988.2422</v>
      </c>
      <c r="C106" s="169" t="str">
        <f>'SAF 011'!E114</f>
        <v>REACTIVOS P/EQUIPO; EQUIPO: CONTADOR HEMATOLOGICO, MARCA EQUIPO: MINDRAY, NOMBRE DEL PRODUCTO: CONTROL HEMATOLOGICO, PRESENTACION: 3 X 3 ML</v>
      </c>
      <c r="D106" s="170" t="s">
        <v>32</v>
      </c>
      <c r="E106" s="161" t="str">
        <f>'SAF 011'!F114</f>
        <v>UNIDAD</v>
      </c>
      <c r="F106" s="177">
        <f>'SAF 011'!H114</f>
        <v>22768</v>
      </c>
      <c r="G106" s="162" t="e">
        <f>'SAF 011'!#REF!</f>
        <v>#REF!</v>
      </c>
    </row>
    <row r="107" spans="1:7" s="21" customFormat="1" ht="40.5" x14ac:dyDescent="0.25">
      <c r="A107" s="163">
        <v>98</v>
      </c>
      <c r="B107" s="160" t="str">
        <f>'SAF 011'!B115</f>
        <v>2.5.1-8988.493</v>
      </c>
      <c r="C107" s="169" t="str">
        <f>'SAF 011'!E115</f>
        <v>REACTIVOS P/EQUIPO; EQUIPO: CONTADOR HEMATOLOGICO, MARCA EQUIPO: WIENER LAB, NOMBRE DEL PRODUCTO: DETERGENTE RINSE AA, PRESENTACION: ENVASE X 20 L</v>
      </c>
      <c r="D107" s="170" t="s">
        <v>32</v>
      </c>
      <c r="E107" s="161" t="str">
        <f>'SAF 011'!F115</f>
        <v>BIDON</v>
      </c>
      <c r="F107" s="177">
        <f>'SAF 011'!H115</f>
        <v>13000</v>
      </c>
      <c r="G107" s="162" t="e">
        <f>'SAF 011'!#REF!</f>
        <v>#REF!</v>
      </c>
    </row>
    <row r="108" spans="1:7" s="21" customFormat="1" ht="40.5" x14ac:dyDescent="0.25">
      <c r="A108" s="163">
        <v>99</v>
      </c>
      <c r="B108" s="160" t="str">
        <f>'SAF 011'!B116</f>
        <v>2.5.1-8988.494</v>
      </c>
      <c r="C108" s="169" t="str">
        <f>'SAF 011'!E116</f>
        <v>REACTIVOS P/EQUIPO; EQUIPO: CONTADOR HEMATOLOGICO, MARCA EQUIPO: WIENER LAB, NOMBRE DEL PRODUCTO: DILUYENTE AA, PRESENTACION: ENVASE X 20 L</v>
      </c>
      <c r="D108" s="170" t="s">
        <v>32</v>
      </c>
      <c r="E108" s="161" t="str">
        <f>'SAF 011'!F116</f>
        <v>BIDON</v>
      </c>
      <c r="F108" s="177">
        <f>'SAF 011'!H116</f>
        <v>13660</v>
      </c>
      <c r="G108" s="162" t="e">
        <f>'SAF 011'!#REF!</f>
        <v>#REF!</v>
      </c>
    </row>
    <row r="109" spans="1:7" s="21" customFormat="1" ht="40.5" x14ac:dyDescent="0.25">
      <c r="A109" s="163">
        <v>100</v>
      </c>
      <c r="B109" s="160" t="str">
        <f>'SAF 011'!B117</f>
        <v>2.5.1-8988.2425</v>
      </c>
      <c r="C109" s="169" t="str">
        <f>'SAF 011'!E117</f>
        <v>REACTIVOS P/EQUIPO; EQUIPO: CONTADOR HEMATOLOGICO, MARCA EQUIPO: WIENER LAB, NOMBRE DEL PRODUCTO: DILUYENTE XS WL 19, PRESENTACION: ENVASE X 5 L</v>
      </c>
      <c r="D109" s="170" t="s">
        <v>32</v>
      </c>
      <c r="E109" s="161" t="str">
        <f>'SAF 011'!F117</f>
        <v>BIDON</v>
      </c>
      <c r="F109" s="177">
        <f>'SAF 011'!H117</f>
        <v>6595</v>
      </c>
      <c r="G109" s="162" t="e">
        <f>'SAF 011'!#REF!</f>
        <v>#REF!</v>
      </c>
    </row>
    <row r="110" spans="1:7" s="21" customFormat="1" ht="40.5" x14ac:dyDescent="0.25">
      <c r="A110" s="163">
        <v>101</v>
      </c>
      <c r="B110" s="160" t="str">
        <f>'SAF 011'!B118</f>
        <v>2.5.1-8988.492</v>
      </c>
      <c r="C110" s="169" t="str">
        <f>'SAF 011'!E118</f>
        <v>REACTIVOS P/EQUIPO; EQUIPO: CONTADOR HEMATOLOGICO, MARCA EQUIPO: WIENER LAB, NOMBRE DEL PRODUCTO: LIZANTE GLOBULOS ROJOS, PRESENTACION: ENVASE X 500 mL</v>
      </c>
      <c r="D110" s="170" t="s">
        <v>32</v>
      </c>
      <c r="E110" s="161" t="str">
        <f>'SAF 011'!F118</f>
        <v>CAJA</v>
      </c>
      <c r="F110" s="177">
        <f>'SAF 011'!H118</f>
        <v>11419</v>
      </c>
      <c r="G110" s="162" t="e">
        <f>'SAF 011'!#REF!</f>
        <v>#REF!</v>
      </c>
    </row>
    <row r="111" spans="1:7" s="21" customFormat="1" ht="40.5" x14ac:dyDescent="0.25">
      <c r="A111" s="163">
        <v>102</v>
      </c>
      <c r="B111" s="160" t="str">
        <f>'SAF 011'!B119</f>
        <v>2.5.1-8988.491</v>
      </c>
      <c r="C111" s="169" t="str">
        <f>'SAF 011'!E119</f>
        <v>REACTIVOS P/EQUIPO; EQUIPO: CONTADOR HEMATOLOGICO, MARCA EQUIPO: WIENER LAB, NOMBRE DEL PRODUCTO: SOLUCION DE LIMPIEZA, PRESENTACION: ENVASE X 20 mL</v>
      </c>
      <c r="D111" s="170" t="s">
        <v>32</v>
      </c>
      <c r="E111" s="161" t="str">
        <f>'SAF 011'!F119</f>
        <v>FRASCO</v>
      </c>
      <c r="F111" s="177">
        <f>'SAF 011'!H119</f>
        <v>13300</v>
      </c>
      <c r="G111" s="162" t="e">
        <f>'SAF 011'!#REF!</f>
        <v>#REF!</v>
      </c>
    </row>
    <row r="112" spans="1:7" s="21" customFormat="1" ht="40.5" x14ac:dyDescent="0.25">
      <c r="A112" s="163">
        <v>103</v>
      </c>
      <c r="B112" s="160" t="str">
        <f>'SAF 011'!B120</f>
        <v>2.5.1-8988.2506</v>
      </c>
      <c r="C112" s="169" t="str">
        <f>'SAF 011'!E120</f>
        <v>REACTIVOS P/EQUIPO; EQUIPO: CONTADOR HEMATOLOGICO, MARCA EQUIPO: WIENER, NOMBRE DEL PRODUCTO: CONTROL HEMATOLOGICO 3 NIVELES, PRESENTACION: 3 X 3 ML</v>
      </c>
      <c r="D112" s="170" t="s">
        <v>32</v>
      </c>
      <c r="E112" s="161" t="str">
        <f>'SAF 011'!F120</f>
        <v>UNIDAD</v>
      </c>
      <c r="F112" s="177">
        <f>'SAF 011'!H120</f>
        <v>16900</v>
      </c>
      <c r="G112" s="162" t="e">
        <f>'SAF 011'!#REF!</f>
        <v>#REF!</v>
      </c>
    </row>
    <row r="113" spans="1:7" s="21" customFormat="1" ht="40.5" x14ac:dyDescent="0.25">
      <c r="A113" s="163">
        <v>104</v>
      </c>
      <c r="B113" s="160" t="str">
        <f>'SAF 011'!B121</f>
        <v>2.5.1-8988.2497</v>
      </c>
      <c r="C113" s="169" t="str">
        <f>'SAF 011'!E121</f>
        <v>REACTIVOS P/EQUIPO; EQUIPO: CONTADOR HEMATOLOGICO, MARCA EQUIPO: WIENER, NOMBRE DEL PRODUCTO: LISANTE COUNTER XS WL 19, PRESENTACION: ENVASE X 200 ML</v>
      </c>
      <c r="D113" s="170" t="s">
        <v>32</v>
      </c>
      <c r="E113" s="161" t="str">
        <f>'SAF 011'!F121</f>
        <v>BOTELLA</v>
      </c>
      <c r="F113" s="177">
        <f>'SAF 011'!H121</f>
        <v>13352</v>
      </c>
      <c r="G113" s="162" t="e">
        <f>'SAF 011'!#REF!</f>
        <v>#REF!</v>
      </c>
    </row>
    <row r="114" spans="1:7" s="21" customFormat="1" ht="40.5" x14ac:dyDescent="0.25">
      <c r="A114" s="163">
        <v>105</v>
      </c>
      <c r="B114" s="160" t="str">
        <f>'SAF 011'!B122</f>
        <v>2.5.1-8988.1322</v>
      </c>
      <c r="C114" s="169" t="str">
        <f>'SAF 011'!E122</f>
        <v>REACTIVOS P/EQUIPO; EQUIPO: CONTADOR HEMATOLÓGICO; MARCA EQUIPO: SYSMEX ROCHE; NOMBRE DEL PRODUCTO: DILUYENTE; PRESENTACIÓN: ENVASE X 20 L</v>
      </c>
      <c r="D114" s="170" t="s">
        <v>32</v>
      </c>
      <c r="E114" s="161" t="str">
        <f>'SAF 011'!F122</f>
        <v>BIDON</v>
      </c>
      <c r="F114" s="177">
        <f>'SAF 011'!H122</f>
        <v>15000</v>
      </c>
      <c r="G114" s="162" t="e">
        <f>'SAF 011'!#REF!</f>
        <v>#REF!</v>
      </c>
    </row>
    <row r="115" spans="1:7" s="21" customFormat="1" ht="40.5" x14ac:dyDescent="0.25">
      <c r="A115" s="163">
        <v>106</v>
      </c>
      <c r="B115" s="160" t="str">
        <f>'SAF 011'!B123</f>
        <v>2.5.1-8988.2468</v>
      </c>
      <c r="C115" s="169" t="str">
        <f>'SAF 011'!E123</f>
        <v>REACTIVOS P/EQUIPO; EQUIPO: CONTADOR HEMATOLÓGICO; MARCA EQUIPO: SYSMEX ROCHE; NOMBRE DEL PRODUCTO: STROMATOLYSER WH XP300; PRESENTACIÓN: 3 X 500 ML</v>
      </c>
      <c r="D115" s="170" t="s">
        <v>32</v>
      </c>
      <c r="E115" s="161" t="str">
        <f>'SAF 011'!F123</f>
        <v>CAJA</v>
      </c>
      <c r="F115" s="177">
        <f>'SAF 011'!H123</f>
        <v>24500</v>
      </c>
      <c r="G115" s="162" t="e">
        <f>'SAF 011'!#REF!</f>
        <v>#REF!</v>
      </c>
    </row>
    <row r="116" spans="1:7" s="21" customFormat="1" ht="40.5" x14ac:dyDescent="0.25">
      <c r="A116" s="163">
        <v>107</v>
      </c>
      <c r="B116" s="160" t="str">
        <f>'SAF 011'!B128</f>
        <v>2.5.1-8988.1756</v>
      </c>
      <c r="C116" s="169" t="str">
        <f>'SAF 011'!E128</f>
        <v>REACTIVOS P/EQUIPO; EQUIPO: INMUNOANALIZADOR, MARCA EQUIPO: VIDAS, NOMBRE DEL PRODUCTO: CMV IGG AVIDEZ, PRESENTACION: ENVASE X 30 DETERM.</v>
      </c>
      <c r="D116" s="170" t="s">
        <v>32</v>
      </c>
      <c r="E116" s="161" t="str">
        <f>'SAF 011'!F128</f>
        <v>CAJA</v>
      </c>
      <c r="F116" s="177">
        <f>'SAF 011'!H128</f>
        <v>62000</v>
      </c>
      <c r="G116" s="162" t="e">
        <f>'SAF 011'!#REF!</f>
        <v>#REF!</v>
      </c>
    </row>
    <row r="117" spans="1:7" s="21" customFormat="1" ht="27" x14ac:dyDescent="0.25">
      <c r="A117" s="163">
        <v>108</v>
      </c>
      <c r="B117" s="160" t="str">
        <f>'SAF 011'!B129</f>
        <v>2.5.1-8988.865</v>
      </c>
      <c r="C117" s="169" t="str">
        <f>'SAF 011'!E129</f>
        <v>REACTIVOS P/EQUIPO; EQUIPO: INMUNOANALIZADOR, MARCA EQUIPO: VIDAS, NOMBRE DEL PRODUCTO: TOXO IGG II, PRESENTACION: ENVASE X 60 DETERM.</v>
      </c>
      <c r="D117" s="170" t="s">
        <v>32</v>
      </c>
      <c r="E117" s="161" t="str">
        <f>'SAF 011'!F129</f>
        <v>CAJA</v>
      </c>
      <c r="F117" s="177">
        <f>'SAF 011'!H129</f>
        <v>62300</v>
      </c>
      <c r="G117" s="162" t="e">
        <f>'SAF 011'!#REF!</f>
        <v>#REF!</v>
      </c>
    </row>
    <row r="118" spans="1:7" s="21" customFormat="1" ht="27" x14ac:dyDescent="0.25">
      <c r="A118" s="163">
        <v>109</v>
      </c>
      <c r="B118" s="160" t="str">
        <f>'SAF 011'!B130</f>
        <v>2.5.1-8988.864</v>
      </c>
      <c r="C118" s="169" t="str">
        <f>'SAF 011'!E130</f>
        <v>REACTIVOS P/EQUIPO; EQUIPO: INMUNOANALIZADOR, MARCA EQUIPO: VIDAS, NOMBRE DEL PRODUCTO: TOXO IGM, PRESENTACION: ENVASE X 60 DETERM.</v>
      </c>
      <c r="D118" s="170" t="s">
        <v>32</v>
      </c>
      <c r="E118" s="161" t="str">
        <f>'SAF 011'!F130</f>
        <v>CAJA</v>
      </c>
      <c r="F118" s="177">
        <f>'SAF 011'!H130</f>
        <v>64500</v>
      </c>
      <c r="G118" s="162" t="e">
        <f>'SAF 011'!#REF!</f>
        <v>#REF!</v>
      </c>
    </row>
    <row r="119" spans="1:7" s="21" customFormat="1" ht="27" x14ac:dyDescent="0.25">
      <c r="A119" s="163">
        <v>110</v>
      </c>
      <c r="B119" s="160" t="str">
        <f>'SAF 011'!B132</f>
        <v>2.5.1-8988.2419</v>
      </c>
      <c r="C119" s="169" t="str">
        <f>'SAF 011'!E132</f>
        <v>REACTIVOS P/EQUIPO; EQUIPO: MINDRAY, MARCA EQUIPO: MINDRAY, NOMBRE DEL PRODUCTO: PROBE CLEANSER, PRESENTACION: 50 ML</v>
      </c>
      <c r="D119" s="170" t="s">
        <v>32</v>
      </c>
      <c r="E119" s="161" t="str">
        <f>'SAF 011'!F132</f>
        <v>FRASCO</v>
      </c>
      <c r="F119" s="177">
        <f>'SAF 011'!H132</f>
        <v>11000</v>
      </c>
      <c r="G119" s="162" t="e">
        <f>'SAF 011'!#REF!</f>
        <v>#REF!</v>
      </c>
    </row>
    <row r="120" spans="1:7" s="21" customFormat="1" ht="27" x14ac:dyDescent="0.25">
      <c r="A120" s="163">
        <v>111</v>
      </c>
      <c r="B120" s="160" t="str">
        <f>'SAF 011'!B133</f>
        <v>2.5.1-8988.2408</v>
      </c>
      <c r="C120" s="169" t="str">
        <f>'SAF 011'!E133</f>
        <v>REACTIVOS P/EQUIPO; EQUIPO: OPTI CCA-TS, MARCA EQUIPO: OPTI MEDICAL, NOMBRE DEL PRODUCTO: CASSETTE CALIBRADOR-HB , PRESENTACION: CASSETTE</v>
      </c>
      <c r="D120" s="170" t="s">
        <v>32</v>
      </c>
      <c r="E120" s="161" t="str">
        <f>'SAF 011'!F133</f>
        <v>UNIDAD</v>
      </c>
      <c r="F120" s="177">
        <f>'SAF 011'!H133</f>
        <v>100000</v>
      </c>
      <c r="G120" s="162" t="e">
        <f>'SAF 011'!#REF!</f>
        <v>#REF!</v>
      </c>
    </row>
    <row r="121" spans="1:7" s="21" customFormat="1" ht="27" x14ac:dyDescent="0.25">
      <c r="A121" s="163">
        <v>112</v>
      </c>
      <c r="B121" s="160" t="str">
        <f>'SAF 011'!B134</f>
        <v>2.5.1-8988.2409</v>
      </c>
      <c r="C121" s="169" t="str">
        <f>'SAF 011'!E134</f>
        <v>REACTIVOS P/EQUIPO; EQUIPO: OPTI CCA-TS, MARCA EQUIPO: OPTI MEDICAL, NOMBRE DEL PRODUCTO: CASSETTE SCR N1 , PRESENTACION: CASSETTE</v>
      </c>
      <c r="D121" s="170" t="s">
        <v>32</v>
      </c>
      <c r="E121" s="161" t="str">
        <f>'SAF 011'!F134</f>
        <v>UNIDAD</v>
      </c>
      <c r="F121" s="177">
        <f>'SAF 011'!H134</f>
        <v>100000</v>
      </c>
      <c r="G121" s="162" t="e">
        <f>'SAF 011'!#REF!</f>
        <v>#REF!</v>
      </c>
    </row>
    <row r="122" spans="1:7" s="21" customFormat="1" ht="27" x14ac:dyDescent="0.25">
      <c r="A122" s="163">
        <v>113</v>
      </c>
      <c r="B122" s="160" t="str">
        <f>'SAF 011'!B135</f>
        <v>2.5.1-8988.2410</v>
      </c>
      <c r="C122" s="169" t="str">
        <f>'SAF 011'!E135</f>
        <v>REACTIVOS P/EQUIPO; EQUIPO: OPTI CCA-TS, MARCA EQUIPO: OPTI MEDICAL, NOMBRE DEL PRODUCTO: CASSETTE SCR N3 , PRESENTACION: CASSETTE</v>
      </c>
      <c r="D122" s="170" t="s">
        <v>32</v>
      </c>
      <c r="E122" s="161" t="str">
        <f>'SAF 011'!F135</f>
        <v>UNIDAD</v>
      </c>
      <c r="F122" s="177">
        <f>'SAF 011'!H135</f>
        <v>100000</v>
      </c>
      <c r="G122" s="162" t="e">
        <f>'SAF 011'!#REF!</f>
        <v>#REF!</v>
      </c>
    </row>
    <row r="123" spans="1:7" s="21" customFormat="1" ht="27" x14ac:dyDescent="0.25">
      <c r="A123" s="163">
        <v>114</v>
      </c>
      <c r="B123" s="160" t="str">
        <f>'SAF 011'!B136</f>
        <v>2.5.1-9052.62</v>
      </c>
      <c r="C123" s="169" t="str">
        <f>'SAF 011'!E136</f>
        <v>REACTIVOS P/LAB. TEC. MANUAL ; NOMBRE: ANTI A SUERO, USO: HEMOCLASIFICADOR, PRESENTACION: ENVASE X 10 mL</v>
      </c>
      <c r="D123" s="170" t="s">
        <v>32</v>
      </c>
      <c r="E123" s="161" t="str">
        <f>'SAF 011'!F136</f>
        <v>FRASCO</v>
      </c>
      <c r="F123" s="177">
        <f>'SAF 011'!H136</f>
        <v>1987</v>
      </c>
      <c r="G123" s="162" t="e">
        <f>'SAF 011'!#REF!</f>
        <v>#REF!</v>
      </c>
    </row>
    <row r="124" spans="1:7" s="21" customFormat="1" ht="27" x14ac:dyDescent="0.25">
      <c r="A124" s="163">
        <v>115</v>
      </c>
      <c r="B124" s="160" t="str">
        <f>'SAF 011'!B137</f>
        <v>2.5.1-9052.637</v>
      </c>
      <c r="C124" s="169" t="str">
        <f>'SAF 011'!E137</f>
        <v>REACTIVOS P/LAB. TEC. MANUAL ; NOMBRE: ANTI B SUERO, USO: HEMOCLASIFICADOR, PRESENTACION: ENVASE X 10 mL</v>
      </c>
      <c r="D124" s="170" t="s">
        <v>32</v>
      </c>
      <c r="E124" s="161" t="str">
        <f>'SAF 011'!F137</f>
        <v>FRASCO</v>
      </c>
      <c r="F124" s="177">
        <f>'SAF 011'!H137</f>
        <v>1987</v>
      </c>
      <c r="G124" s="162" t="e">
        <f>'SAF 011'!#REF!</f>
        <v>#REF!</v>
      </c>
    </row>
    <row r="125" spans="1:7" s="21" customFormat="1" ht="27" x14ac:dyDescent="0.25">
      <c r="A125" s="163">
        <v>116</v>
      </c>
      <c r="B125" s="160" t="str">
        <f>'SAF 011'!B138</f>
        <v>2.5.1-9052.2154</v>
      </c>
      <c r="C125" s="169" t="str">
        <f>'SAF 011'!E138</f>
        <v>REACTIVOS P/LAB. TEC. MANUAL ; NOMBRE: ANTICOAGULANTE TP (CITRATO), USO: LABORATORIO, PRESENTACION: 6 X 50 ML</v>
      </c>
      <c r="D125" s="170" t="s">
        <v>32</v>
      </c>
      <c r="E125" s="161" t="str">
        <f>'SAF 011'!F138</f>
        <v>CAJA</v>
      </c>
      <c r="F125" s="177">
        <f>'SAF 011'!H138</f>
        <v>15000</v>
      </c>
      <c r="G125" s="162" t="e">
        <f>'SAF 011'!#REF!</f>
        <v>#REF!</v>
      </c>
    </row>
    <row r="126" spans="1:7" s="21" customFormat="1" ht="27" x14ac:dyDescent="0.25">
      <c r="A126" s="163">
        <v>117</v>
      </c>
      <c r="B126" s="160" t="str">
        <f>'SAF 011'!B139</f>
        <v>2.5.1-9052.1143</v>
      </c>
      <c r="C126" s="169" t="str">
        <f>'SAF 011'!E139</f>
        <v>REACTIVOS P/LAB. TEC. MANUAL ; NOMBRE: ANTICOAGULANTE W, USO: LABORATORIO, PRESENTACION: 6 X ENVAS X 50 mL</v>
      </c>
      <c r="D126" s="170" t="s">
        <v>32</v>
      </c>
      <c r="E126" s="161" t="str">
        <f>'SAF 011'!F139</f>
        <v>CAJA</v>
      </c>
      <c r="F126" s="177">
        <f>'SAF 011'!H139</f>
        <v>15000</v>
      </c>
      <c r="G126" s="162" t="e">
        <f>'SAF 011'!#REF!</f>
        <v>#REF!</v>
      </c>
    </row>
    <row r="127" spans="1:7" s="21" customFormat="1" ht="27" x14ac:dyDescent="0.25">
      <c r="A127" s="163">
        <v>118</v>
      </c>
      <c r="B127" s="160" t="str">
        <f>'SAF 011'!B140</f>
        <v>2.5.1-9052.388</v>
      </c>
      <c r="C127" s="169" t="str">
        <f>'SAF 011'!E140</f>
        <v>REACTIVOS P/LAB. TEC. MANUAL ; NOMBRE: APTT, USO: HEMOSTASIA, PRESENTACION: ENVASE X 150 DETERM.</v>
      </c>
      <c r="D127" s="170" t="s">
        <v>32</v>
      </c>
      <c r="E127" s="161" t="str">
        <f>'SAF 011'!F140</f>
        <v>CAJA</v>
      </c>
      <c r="F127" s="177">
        <f>'SAF 011'!H140</f>
        <v>11955</v>
      </c>
      <c r="G127" s="162" t="e">
        <f>'SAF 011'!#REF!</f>
        <v>#REF!</v>
      </c>
    </row>
    <row r="128" spans="1:7" s="21" customFormat="1" ht="27" x14ac:dyDescent="0.25">
      <c r="A128" s="163">
        <v>119</v>
      </c>
      <c r="B128" s="160" t="str">
        <f>'SAF 011'!B141</f>
        <v>2.5.1-9052.358</v>
      </c>
      <c r="C128" s="169" t="str">
        <f>'SAF 011'!E141</f>
        <v>REACTIVOS P/LAB. TEC. MANUAL ; NOMBRE: ARTRITEST, USO: INMUNOANALISIS, PRESENTACION: ENVASE X 50 DETERM.</v>
      </c>
      <c r="D128" s="170" t="s">
        <v>32</v>
      </c>
      <c r="E128" s="161" t="str">
        <f>'SAF 011'!F141</f>
        <v>UNIDAD</v>
      </c>
      <c r="F128" s="177">
        <f>'SAF 011'!H141</f>
        <v>3995</v>
      </c>
      <c r="G128" s="162" t="e">
        <f>'SAF 011'!#REF!</f>
        <v>#REF!</v>
      </c>
    </row>
    <row r="129" spans="1:7" s="21" customFormat="1" ht="27" x14ac:dyDescent="0.25">
      <c r="A129" s="163">
        <v>120</v>
      </c>
      <c r="B129" s="160" t="str">
        <f>'SAF 011'!B144</f>
        <v>2.5.1-9052.342</v>
      </c>
      <c r="C129" s="169" t="str">
        <f>'SAF 011'!E144</f>
        <v>REACTIVOS P/LAB. TEC. MANUAL ; NOMBRE: CA COLOR ARSENAZO III, USO: METODO COLORIMETRICO, PRESENTACION: 4 X ENVASE X 50 mL</v>
      </c>
      <c r="D129" s="170" t="s">
        <v>32</v>
      </c>
      <c r="E129" s="161" t="str">
        <f>'SAF 011'!F144</f>
        <v>CAJA</v>
      </c>
      <c r="F129" s="177">
        <f>'SAF 011'!H144</f>
        <v>5193</v>
      </c>
      <c r="G129" s="162" t="e">
        <f>'SAF 011'!#REF!</f>
        <v>#REF!</v>
      </c>
    </row>
    <row r="130" spans="1:7" s="21" customFormat="1" ht="27" x14ac:dyDescent="0.25">
      <c r="A130" s="163">
        <v>121</v>
      </c>
      <c r="B130" s="160" t="str">
        <f>'SAF 011'!B146</f>
        <v>2.5.1-9052.343</v>
      </c>
      <c r="C130" s="169" t="str">
        <f>'SAF 011'!E146</f>
        <v>REACTIVOS P/LAB. TEC. MANUAL ; NOMBRE: CK-NAC MET, USO: DETERMINACION DE ISOENZIMAS, PRESENTACION: 20 X ENVASE X 2,5 mL</v>
      </c>
      <c r="D130" s="170" t="s">
        <v>32</v>
      </c>
      <c r="E130" s="161" t="str">
        <f>'SAF 011'!F146</f>
        <v>CAJA</v>
      </c>
      <c r="F130" s="177">
        <f>'SAF 011'!H146</f>
        <v>12864</v>
      </c>
      <c r="G130" s="162" t="e">
        <f>'SAF 011'!#REF!</f>
        <v>#REF!</v>
      </c>
    </row>
    <row r="131" spans="1:7" s="21" customFormat="1" ht="27" x14ac:dyDescent="0.25">
      <c r="A131" s="163">
        <v>122</v>
      </c>
      <c r="B131" s="160" t="str">
        <f>'SAF 011'!B149</f>
        <v>2.5.1-9052.365</v>
      </c>
      <c r="C131" s="169" t="str">
        <f>'SAF 011'!E149</f>
        <v>REACTIVOS P/LAB. TEC. MANUAL ; NOMBRE: DET. G GLUTAMIL TRANSFERASA, USO: QUIMICA CLINICA, PRESENTACION: 3 X ENVASE X 200 mL</v>
      </c>
      <c r="D131" s="170" t="s">
        <v>32</v>
      </c>
      <c r="E131" s="161" t="str">
        <f>'SAF 011'!F149</f>
        <v>CAJA</v>
      </c>
      <c r="F131" s="177">
        <f>'SAF 011'!H149</f>
        <v>5868</v>
      </c>
      <c r="G131" s="162" t="e">
        <f>'SAF 011'!#REF!</f>
        <v>#REF!</v>
      </c>
    </row>
    <row r="132" spans="1:7" s="21" customFormat="1" ht="27" x14ac:dyDescent="0.25">
      <c r="A132" s="163">
        <v>123</v>
      </c>
      <c r="B132" s="160" t="str">
        <f>'SAF 011'!B150</f>
        <v>2.5.1-9052.1513</v>
      </c>
      <c r="C132" s="169" t="str">
        <f>'SAF 011'!E150</f>
        <v>REACTIVOS P/LAB. TEC. MANUAL ; NOMBRE: DET. SANGRE EN MAT FECAL, USO: DIAGNOSTICO, PRESENTACION: ENVASE X 25 DETERM.</v>
      </c>
      <c r="D132" s="170" t="s">
        <v>32</v>
      </c>
      <c r="E132" s="161" t="str">
        <f>'SAF 011'!F150</f>
        <v>CAJA</v>
      </c>
      <c r="F132" s="177">
        <f>'SAF 011'!H150</f>
        <v>6500</v>
      </c>
      <c r="G132" s="162" t="e">
        <f>'SAF 011'!#REF!</f>
        <v>#REF!</v>
      </c>
    </row>
    <row r="133" spans="1:7" s="21" customFormat="1" ht="27" x14ac:dyDescent="0.25">
      <c r="A133" s="163">
        <v>124</v>
      </c>
      <c r="B133" s="160" t="str">
        <f>'SAF 011'!B154</f>
        <v>2.5.1-9052.355</v>
      </c>
      <c r="C133" s="169" t="str">
        <f>'SAF 011'!E154</f>
        <v>REACTIVOS P/LAB. TEC. MANUAL ; NOMBRE: HBSAG ELISA, USO: DIAGNOSTICO, PRESENTACION: ENVASE X 96 DETERM.</v>
      </c>
      <c r="D133" s="170" t="s">
        <v>32</v>
      </c>
      <c r="E133" s="161" t="str">
        <f>'SAF 011'!F154</f>
        <v>CAJA</v>
      </c>
      <c r="F133" s="177">
        <f>'SAF 011'!H154</f>
        <v>33081</v>
      </c>
      <c r="G133" s="162" t="e">
        <f>'SAF 011'!#REF!</f>
        <v>#REF!</v>
      </c>
    </row>
    <row r="134" spans="1:7" s="21" customFormat="1" ht="27" x14ac:dyDescent="0.25">
      <c r="A134" s="163">
        <v>125</v>
      </c>
      <c r="B134" s="160" t="str">
        <f>'SAF 011'!B155</f>
        <v>2.5.1-9052.648</v>
      </c>
      <c r="C134" s="169" t="str">
        <f>'SAF 011'!E155</f>
        <v>REACTIVOS P/LAB. TEC. MANUAL ; NOMBRE: HEMAGLUTINACION P/CHAGAS, USO: DETERMINACION, PRESENTACION: ENVASE X 96 DETERM.</v>
      </c>
      <c r="D134" s="170" t="s">
        <v>32</v>
      </c>
      <c r="E134" s="161" t="str">
        <f>'SAF 011'!F155</f>
        <v>CAJA</v>
      </c>
      <c r="F134" s="177">
        <f>'SAF 011'!H155</f>
        <v>24600</v>
      </c>
      <c r="G134" s="162" t="e">
        <f>'SAF 011'!#REF!</f>
        <v>#REF!</v>
      </c>
    </row>
    <row r="135" spans="1:7" s="21" customFormat="1" ht="27" x14ac:dyDescent="0.25">
      <c r="A135" s="163">
        <v>126</v>
      </c>
      <c r="B135" s="160" t="str">
        <f>'SAF 011'!B156</f>
        <v>2.5.1-9052.762</v>
      </c>
      <c r="C135" s="169" t="str">
        <f>'SAF 011'!E156</f>
        <v>REACTIVOS P/LAB. TEC. MANUAL ; NOMBRE: LDL COLESTEROL REACTIVO PRECIP, USO: LABORATORIO, PRESENTACION: ENVASE X 100 DETERM.</v>
      </c>
      <c r="D135" s="170" t="s">
        <v>32</v>
      </c>
      <c r="E135" s="161" t="str">
        <f>'SAF 011'!F156</f>
        <v>CAJA</v>
      </c>
      <c r="F135" s="177">
        <f>'SAF 011'!H156</f>
        <v>5432</v>
      </c>
      <c r="G135" s="162" t="e">
        <f>'SAF 011'!#REF!</f>
        <v>#REF!</v>
      </c>
    </row>
    <row r="136" spans="1:7" s="21" customFormat="1" ht="27" x14ac:dyDescent="0.25">
      <c r="A136" s="163">
        <v>127</v>
      </c>
      <c r="B136" s="160" t="str">
        <f>'SAF 011'!B157</f>
        <v>2.5.1-9052.421</v>
      </c>
      <c r="C136" s="169" t="str">
        <f>'SAF 011'!E157</f>
        <v>REACTIVOS P/LAB. TEC. MANUAL ; NOMBRE: PROTEINA C REACTIVA, USO: INMUNOSEROLOGIA, PRESENTACION: ENVASE X 50 DETERM.</v>
      </c>
      <c r="D136" s="170" t="s">
        <v>32</v>
      </c>
      <c r="E136" s="161" t="str">
        <f>'SAF 011'!F157</f>
        <v>CAJA</v>
      </c>
      <c r="F136" s="177">
        <f>'SAF 011'!H157</f>
        <v>6811</v>
      </c>
      <c r="G136" s="162" t="e">
        <f>'SAF 011'!#REF!</f>
        <v>#REF!</v>
      </c>
    </row>
    <row r="137" spans="1:7" s="21" customFormat="1" ht="27" x14ac:dyDescent="0.25">
      <c r="A137" s="163">
        <v>128</v>
      </c>
      <c r="B137" s="160" t="str">
        <f>'SAF 011'!B162</f>
        <v>2.5.1-9052.763</v>
      </c>
      <c r="C137" s="169" t="str">
        <f>'SAF 011'!E162</f>
        <v>REACTIVOS P/LAB. TEC. MANUAL ; NOMBRE: SOLUPLASTIN, USO: LABORATORIO, PRESENTACION: 10 X ENVASE X 2 mL</v>
      </c>
      <c r="D137" s="170" t="s">
        <v>32</v>
      </c>
      <c r="E137" s="161" t="str">
        <f>'SAF 011'!F162</f>
        <v>CAJA</v>
      </c>
      <c r="F137" s="177">
        <f>'SAF 011'!H162</f>
        <v>8658</v>
      </c>
      <c r="G137" s="162" t="e">
        <f>'SAF 011'!#REF!</f>
        <v>#REF!</v>
      </c>
    </row>
    <row r="138" spans="1:7" s="21" customFormat="1" ht="27" x14ac:dyDescent="0.25">
      <c r="A138" s="163">
        <v>129</v>
      </c>
      <c r="B138" s="160" t="str">
        <f>'SAF 011'!B164</f>
        <v>2.5.1-9052.1590</v>
      </c>
      <c r="C138" s="169" t="str">
        <f>'SAF 011'!E164</f>
        <v>REACTIVOS P/LAB. TEC. MANUAL ; NOMBRE: SUERO DE COOMBS POLIESPECIFICO, USO: HEMOTERAPIA, PRESENTACION: ENVASE X 10 mL</v>
      </c>
      <c r="D138" s="170" t="s">
        <v>32</v>
      </c>
      <c r="E138" s="161" t="str">
        <f>'SAF 011'!F164</f>
        <v>FRASCO</v>
      </c>
      <c r="F138" s="177">
        <f>'SAF 011'!H164</f>
        <v>8700</v>
      </c>
      <c r="G138" s="162" t="e">
        <f>'SAF 011'!#REF!</f>
        <v>#REF!</v>
      </c>
    </row>
    <row r="139" spans="1:7" s="21" customFormat="1" ht="27" x14ac:dyDescent="0.25">
      <c r="A139" s="163">
        <v>130</v>
      </c>
      <c r="B139" s="160" t="str">
        <f>'SAF 011'!B165</f>
        <v>2.5.1-9052.1864</v>
      </c>
      <c r="C139" s="169" t="str">
        <f>'SAF 011'!E165</f>
        <v>REACTIVOS P/LAB. TEC. MANUAL ; NOMBRE: SUERO HEMOTIFIC ANTI D IGM, USO: HEMOTERAPIA, PRESENTACION: ENVASE X 10 mL</v>
      </c>
      <c r="D139" s="170" t="s">
        <v>32</v>
      </c>
      <c r="E139" s="161" t="str">
        <f>'SAF 011'!F165</f>
        <v>FRASCO</v>
      </c>
      <c r="F139" s="177">
        <f>'SAF 011'!H165</f>
        <v>3759</v>
      </c>
      <c r="G139" s="162" t="e">
        <f>'SAF 011'!#REF!</f>
        <v>#REF!</v>
      </c>
    </row>
    <row r="140" spans="1:7" s="21" customFormat="1" ht="27" x14ac:dyDescent="0.25">
      <c r="A140" s="163">
        <v>131</v>
      </c>
      <c r="B140" s="160" t="str">
        <f>'SAF 011'!B167</f>
        <v>2.5.1-9052.308</v>
      </c>
      <c r="C140" s="169" t="str">
        <f>'SAF 011'!E167</f>
        <v>REACTIVOS P/LAB. TEC. MANUAL ; NOMBRE: TEST EMBARAZO, USO: DIAGNOSTICO, PRESENTACION: ENVASE X 25 UN</v>
      </c>
      <c r="D140" s="170" t="s">
        <v>32</v>
      </c>
      <c r="E140" s="161" t="str">
        <f>'SAF 011'!F167</f>
        <v>CAJA</v>
      </c>
      <c r="F140" s="177">
        <f>'SAF 011'!H167</f>
        <v>3654</v>
      </c>
      <c r="G140" s="162" t="e">
        <f>'SAF 011'!#REF!</f>
        <v>#REF!</v>
      </c>
    </row>
    <row r="141" spans="1:7" s="21" customFormat="1" ht="27" x14ac:dyDescent="0.25">
      <c r="A141" s="163">
        <v>132</v>
      </c>
      <c r="B141" s="160" t="str">
        <f>'SAF 011'!B168</f>
        <v>2.5.1-9052.500</v>
      </c>
      <c r="C141" s="169" t="str">
        <f>'SAF 011'!E168</f>
        <v>REACTIVOS P/LAB. TEC. MANUAL ; NOMBRE: TEST EMBARAZO, USO: DIAGNOSTICO, PRESENTACION: ENVASE X 50 DETERM.</v>
      </c>
      <c r="D141" s="170" t="s">
        <v>32</v>
      </c>
      <c r="E141" s="161" t="str">
        <f>'SAF 011'!F168</f>
        <v>CAJA</v>
      </c>
      <c r="F141" s="177">
        <f>'SAF 011'!H168</f>
        <v>13292</v>
      </c>
      <c r="G141" s="162" t="e">
        <f>'SAF 011'!#REF!</f>
        <v>#REF!</v>
      </c>
    </row>
    <row r="142" spans="1:7" s="21" customFormat="1" ht="27" x14ac:dyDescent="0.25">
      <c r="A142" s="163">
        <v>133</v>
      </c>
      <c r="B142" s="160" t="str">
        <f>'SAF 011'!B169</f>
        <v>2.5.1-9052.652</v>
      </c>
      <c r="C142" s="169" t="str">
        <f>'SAF 011'!E169</f>
        <v>REACTIVOS P/LAB. TEC. MANUAL ; NOMBRE: TIRAS REACTIVAS ANALISIS ORINA, USO: LABORATORIO, PRESENTACION: ENVASE X 100 DETERM.</v>
      </c>
      <c r="D142" s="170" t="s">
        <v>32</v>
      </c>
      <c r="E142" s="161" t="str">
        <f>'SAF 011'!F169</f>
        <v>CAJA</v>
      </c>
      <c r="F142" s="177">
        <f>'SAF 011'!H169</f>
        <v>6800</v>
      </c>
      <c r="G142" s="162" t="e">
        <f>'SAF 011'!#REF!</f>
        <v>#REF!</v>
      </c>
    </row>
    <row r="143" spans="1:7" s="21" customFormat="1" ht="27" x14ac:dyDescent="0.25">
      <c r="A143" s="163">
        <v>134</v>
      </c>
      <c r="B143" s="160" t="str">
        <f>'SAF 011'!B171</f>
        <v>2.5.1-9052.981</v>
      </c>
      <c r="C143" s="169" t="str">
        <f>'SAF 011'!E171</f>
        <v>REACTIVOS P/LAB. TEC. MANUAL ; NOMBRE: UREA COLORIMETRICA MANUAL, USO: LABORATORIO, PRESENTACION: ENVASE X 500 DETERM.</v>
      </c>
      <c r="D143" s="170" t="s">
        <v>32</v>
      </c>
      <c r="E143" s="161" t="str">
        <f>'SAF 011'!F171</f>
        <v>CAJA</v>
      </c>
      <c r="F143" s="177">
        <f>'SAF 011'!H171</f>
        <v>11600</v>
      </c>
      <c r="G143" s="162" t="e">
        <f>'SAF 011'!#REF!</f>
        <v>#REF!</v>
      </c>
    </row>
    <row r="144" spans="1:7" s="21" customFormat="1" ht="27" x14ac:dyDescent="0.25">
      <c r="A144" s="163">
        <v>135</v>
      </c>
      <c r="B144" s="160" t="str">
        <f>'SAF 011'!B172</f>
        <v>2.5.1-9052.645</v>
      </c>
      <c r="C144" s="169" t="str">
        <f>'SAF 011'!E172</f>
        <v>REACTIVOS P/LAB. TEC. MANUAL ; NOMBRE: VDRL, USO: DIAGNOSTICO, PRESENTACION: ENVASE X 250 DETERM.</v>
      </c>
      <c r="D144" s="170" t="s">
        <v>32</v>
      </c>
      <c r="E144" s="161" t="str">
        <f>'SAF 011'!F172</f>
        <v>CAJA</v>
      </c>
      <c r="F144" s="177">
        <f>'SAF 011'!H172</f>
        <v>3800</v>
      </c>
      <c r="G144" s="162" t="e">
        <f>'SAF 011'!#REF!</f>
        <v>#REF!</v>
      </c>
    </row>
    <row r="145" spans="1:7" s="21" customFormat="1" ht="27" x14ac:dyDescent="0.25">
      <c r="A145" s="163">
        <v>136</v>
      </c>
      <c r="B145" s="160" t="str">
        <f>'SAF 011'!B175</f>
        <v>2.5.1-9052.2138</v>
      </c>
      <c r="C145" s="169" t="str">
        <f>'SAF 011'!E175</f>
        <v>REACTIVOS P/LAB. TEC. MANUAL; MARCA EQUIPO: ABBOTT; NOMBRE DEL PRODUCTO: ANTÍGENO SARS-COV-2; PRESENTACIÓN: 25 TEST</v>
      </c>
      <c r="D145" s="170" t="s">
        <v>32</v>
      </c>
      <c r="E145" s="161" t="str">
        <f>'SAF 011'!F175</f>
        <v>CAJA</v>
      </c>
      <c r="F145" s="177">
        <f>'SAF 011'!H175</f>
        <v>21000</v>
      </c>
      <c r="G145" s="162" t="e">
        <f>'SAF 011'!#REF!</f>
        <v>#REF!</v>
      </c>
    </row>
    <row r="146" spans="1:7" s="21" customFormat="1" ht="40.5" x14ac:dyDescent="0.25">
      <c r="A146" s="163">
        <v>137</v>
      </c>
      <c r="B146" s="160" t="str">
        <f>'SAF 011'!B176</f>
        <v>2.5.1-9052.2142</v>
      </c>
      <c r="C146" s="169" t="str">
        <f>'SAF 011'!E176</f>
        <v>REACTIVOS P/LAB. TEC. MANUAL; NOMBRE DEL PRODUCTO: HCV ELISA 3RA GENERACION, USO: DETERMINACION HEPATITIS C, PRESENTACION: ENVASE X 96 DETERM.</v>
      </c>
      <c r="D146" s="170" t="s">
        <v>32</v>
      </c>
      <c r="E146" s="161" t="str">
        <f>'SAF 011'!F176</f>
        <v>CAJA</v>
      </c>
      <c r="F146" s="177">
        <f>'SAF 011'!H176</f>
        <v>59902</v>
      </c>
      <c r="G146" s="162" t="e">
        <f>'SAF 011'!#REF!</f>
        <v>#REF!</v>
      </c>
    </row>
    <row r="147" spans="1:7" s="21" customFormat="1" ht="40.5" x14ac:dyDescent="0.25">
      <c r="A147" s="163">
        <v>138</v>
      </c>
      <c r="B147" s="160" t="str">
        <f>'SAF 011'!B177</f>
        <v>2.5.1-9052.2136</v>
      </c>
      <c r="C147" s="169" t="str">
        <f>'SAF 011'!E177</f>
        <v>REACTIVOS P/LAB. TEC. MANUAL; NOMBRE: AD PARA TOXOPLASMOSIS; MARCA: POLYCHACO; USO: SEROLOGÍA; PRESENTACIÓN: ENVASE X 96 DETERMINACIONES</v>
      </c>
      <c r="D147" s="170" t="s">
        <v>32</v>
      </c>
      <c r="E147" s="161" t="str">
        <f>'SAF 011'!F177</f>
        <v>CAJA</v>
      </c>
      <c r="F147" s="177">
        <f>'SAF 011'!H177</f>
        <v>64575</v>
      </c>
      <c r="G147" s="162" t="e">
        <f>'SAF 011'!#REF!</f>
        <v>#REF!</v>
      </c>
    </row>
    <row r="148" spans="1:7" s="21" customFormat="1" ht="31.15" customHeight="1" x14ac:dyDescent="0.25">
      <c r="A148" s="199" t="s">
        <v>590</v>
      </c>
      <c r="B148" s="200"/>
      <c r="C148" s="200"/>
      <c r="D148" s="200"/>
      <c r="E148" s="201"/>
      <c r="F148" s="197" t="e">
        <f>SUMPRODUCT(F10:F147,G10:G147)</f>
        <v>#REF!</v>
      </c>
      <c r="G148" s="198"/>
    </row>
    <row r="149" spans="1:7" x14ac:dyDescent="0.25">
      <c r="A149" s="164"/>
      <c r="B149" s="173"/>
      <c r="C149" s="164"/>
      <c r="D149" s="164"/>
      <c r="E149" s="164"/>
      <c r="F149" s="178"/>
      <c r="G149" s="164"/>
    </row>
  </sheetData>
  <mergeCells count="3">
    <mergeCell ref="B1:F1"/>
    <mergeCell ref="F148:G148"/>
    <mergeCell ref="A148:E148"/>
  </mergeCells>
  <pageMargins left="0.43307086614173229" right="0.23622047244094488" top="0.3543307086614173" bottom="0.3543307086614173" header="0.31496062992125984" footer="0.31496062992125984"/>
  <pageSetup paperSize="14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42"/>
  <sheetViews>
    <sheetView topLeftCell="A16" workbookViewId="0">
      <selection activeCell="A39" sqref="A39:Q39"/>
    </sheetView>
  </sheetViews>
  <sheetFormatPr baseColWidth="10" defaultRowHeight="15" x14ac:dyDescent="0.25"/>
  <cols>
    <col min="1" max="5" width="4.42578125" customWidth="1"/>
    <col min="6" max="6" width="5" bestFit="1" customWidth="1"/>
    <col min="7" max="14" width="4.42578125" customWidth="1"/>
    <col min="15" max="16" width="14.85546875" customWidth="1"/>
    <col min="17" max="17" width="14.7109375" customWidth="1"/>
  </cols>
  <sheetData>
    <row r="1" spans="1:17" ht="15.75" thickBot="1" x14ac:dyDescent="0.3">
      <c r="A1" s="218" t="s">
        <v>4</v>
      </c>
      <c r="B1" s="218"/>
      <c r="C1" s="218"/>
      <c r="D1" s="219">
        <v>2022</v>
      </c>
      <c r="E1" s="219"/>
      <c r="F1" s="24"/>
      <c r="G1" s="24"/>
      <c r="H1" s="25"/>
      <c r="I1" s="25"/>
      <c r="J1" s="25"/>
      <c r="K1" s="25"/>
      <c r="L1" s="25"/>
      <c r="M1" s="25"/>
      <c r="N1" s="25"/>
      <c r="O1" s="26"/>
      <c r="P1" s="220" t="s">
        <v>530</v>
      </c>
      <c r="Q1" s="220"/>
    </row>
    <row r="2" spans="1:17" ht="15.75" thickBot="1" x14ac:dyDescent="0.3">
      <c r="A2" s="27"/>
      <c r="G2" s="28"/>
      <c r="H2" s="29"/>
      <c r="I2" s="29"/>
      <c r="J2" s="29"/>
      <c r="K2" s="29"/>
      <c r="L2" s="29"/>
      <c r="M2" s="29"/>
      <c r="N2" s="29"/>
      <c r="P2" s="220"/>
      <c r="Q2" s="220"/>
    </row>
    <row r="3" spans="1:17" thickBot="1" x14ac:dyDescent="0.35">
      <c r="A3" s="27"/>
      <c r="G3" s="28"/>
      <c r="Q3" s="30"/>
    </row>
    <row r="4" spans="1:17" ht="15.75" thickBot="1" x14ac:dyDescent="0.3">
      <c r="A4" s="221" t="s">
        <v>531</v>
      </c>
      <c r="B4" s="221"/>
      <c r="C4" s="221"/>
      <c r="D4" s="221"/>
      <c r="E4" s="221"/>
      <c r="F4" s="221"/>
      <c r="G4" s="222" t="str">
        <f>'NP LABORATORIO'!C2</f>
        <v>040 - MINISTERIO DE SALUD</v>
      </c>
      <c r="H4" s="222"/>
      <c r="I4" s="222"/>
      <c r="J4" s="222"/>
      <c r="K4" s="222"/>
      <c r="L4" s="222"/>
      <c r="M4" s="222"/>
      <c r="N4" s="222"/>
      <c r="O4" s="222"/>
      <c r="P4" s="222"/>
      <c r="Q4" s="222"/>
    </row>
    <row r="5" spans="1:17" thickBot="1" x14ac:dyDescent="0.35">
      <c r="A5" s="223" t="s">
        <v>25</v>
      </c>
      <c r="B5" s="223"/>
      <c r="C5" s="223"/>
      <c r="D5" s="223"/>
      <c r="E5" s="223"/>
      <c r="F5" s="223"/>
      <c r="G5" s="222" t="str">
        <f>'NP LABORATORIO'!C3</f>
        <v>011 - DIRECCION PROVINCIAL DE ADMINISTRACION - MINISTERIO DE SALUD</v>
      </c>
      <c r="H5" s="222"/>
      <c r="I5" s="222"/>
      <c r="J5" s="222"/>
      <c r="K5" s="222"/>
      <c r="L5" s="222"/>
      <c r="M5" s="222"/>
      <c r="N5" s="222"/>
      <c r="O5" s="222"/>
      <c r="P5" s="222"/>
      <c r="Q5" s="222"/>
    </row>
    <row r="6" spans="1:17" thickBot="1" x14ac:dyDescent="0.35">
      <c r="A6" s="223" t="s">
        <v>26</v>
      </c>
      <c r="B6" s="223"/>
      <c r="C6" s="223"/>
      <c r="D6" s="223"/>
      <c r="E6" s="223"/>
      <c r="F6" s="223"/>
      <c r="G6" s="222" t="str">
        <f>'NP LABORATORIO'!C4</f>
        <v>468 - DIRECCION PROVINCIAL DE LABORATORIO</v>
      </c>
      <c r="H6" s="222"/>
      <c r="I6" s="222"/>
      <c r="J6" s="222"/>
      <c r="K6" s="222"/>
      <c r="L6" s="222"/>
      <c r="M6" s="222"/>
      <c r="N6" s="222"/>
      <c r="O6" s="222"/>
      <c r="P6" s="222"/>
      <c r="Q6" s="222"/>
    </row>
    <row r="7" spans="1:17" thickBot="1" x14ac:dyDescent="0.35">
      <c r="A7" s="223" t="s">
        <v>27</v>
      </c>
      <c r="B7" s="223"/>
      <c r="C7" s="223"/>
      <c r="D7" s="223"/>
      <c r="E7" s="223"/>
      <c r="F7" s="223"/>
      <c r="G7" s="222" t="str">
        <f>'NP LABORATORIO'!C5</f>
        <v>468 - DIRECCION PROVINCIAL DE LABORATORIO</v>
      </c>
      <c r="H7" s="222"/>
      <c r="I7" s="222"/>
      <c r="J7" s="222"/>
      <c r="K7" s="222"/>
      <c r="L7" s="222"/>
      <c r="M7" s="222"/>
      <c r="N7" s="222"/>
      <c r="O7" s="222"/>
      <c r="P7" s="222"/>
      <c r="Q7" s="222"/>
    </row>
    <row r="8" spans="1:17" ht="15.75" thickBot="1" x14ac:dyDescent="0.3">
      <c r="A8" s="224" t="s">
        <v>532</v>
      </c>
      <c r="B8" s="224"/>
      <c r="C8" s="224"/>
      <c r="D8" s="224"/>
      <c r="E8" s="224"/>
      <c r="F8" s="224"/>
      <c r="G8" s="224"/>
      <c r="H8" s="224"/>
      <c r="I8" s="224"/>
      <c r="J8" s="224"/>
      <c r="K8" s="224"/>
      <c r="L8" s="224"/>
      <c r="M8" s="224"/>
      <c r="N8" s="224"/>
      <c r="O8" s="224"/>
      <c r="P8" s="224"/>
      <c r="Q8" s="224"/>
    </row>
    <row r="9" spans="1:17" x14ac:dyDescent="0.25">
      <c r="A9" s="217" t="s">
        <v>533</v>
      </c>
      <c r="B9" s="217"/>
      <c r="C9" s="217"/>
      <c r="D9" s="217"/>
      <c r="E9" s="217"/>
      <c r="F9" s="217"/>
      <c r="G9" s="217"/>
      <c r="H9" s="217"/>
      <c r="I9" s="217"/>
      <c r="J9" s="217"/>
      <c r="K9" s="217"/>
      <c r="L9" s="217"/>
      <c r="M9" s="217"/>
      <c r="N9" s="217"/>
      <c r="O9" s="217"/>
      <c r="P9" s="217"/>
      <c r="Q9" s="217"/>
    </row>
    <row r="10" spans="1:17" ht="46.5" customHeight="1" x14ac:dyDescent="0.25">
      <c r="A10" s="210" t="s">
        <v>552</v>
      </c>
      <c r="B10" s="210"/>
      <c r="C10" s="210"/>
      <c r="D10" s="210"/>
      <c r="E10" s="210"/>
      <c r="F10" s="210"/>
      <c r="G10" s="210"/>
      <c r="H10" s="210"/>
      <c r="I10" s="210"/>
      <c r="J10" s="210"/>
      <c r="K10" s="210"/>
      <c r="L10" s="210"/>
      <c r="M10" s="210"/>
      <c r="N10" s="210"/>
      <c r="O10" s="210"/>
      <c r="P10" s="210"/>
      <c r="Q10" s="210"/>
    </row>
    <row r="11" spans="1:17" thickBot="1" x14ac:dyDescent="0.35">
      <c r="A11" s="31"/>
      <c r="B11" s="32"/>
      <c r="C11" s="32"/>
      <c r="D11" s="32"/>
      <c r="E11" s="32"/>
      <c r="F11" s="32"/>
      <c r="G11" s="33"/>
      <c r="H11" s="32"/>
      <c r="I11" s="32"/>
      <c r="J11" s="32"/>
      <c r="K11" s="32"/>
      <c r="L11" s="32"/>
      <c r="M11" s="32"/>
      <c r="N11" s="32"/>
      <c r="O11" s="32"/>
      <c r="P11" s="32"/>
      <c r="Q11" s="34"/>
    </row>
    <row r="12" spans="1:17" ht="15.75" thickBot="1" x14ac:dyDescent="0.3">
      <c r="A12" s="211" t="s">
        <v>534</v>
      </c>
      <c r="B12" s="211"/>
      <c r="C12" s="211"/>
      <c r="D12" s="211"/>
      <c r="E12" s="211"/>
      <c r="F12" s="211"/>
      <c r="G12" s="211"/>
      <c r="H12" s="211"/>
      <c r="I12" s="211"/>
      <c r="J12" s="211"/>
      <c r="K12" s="211"/>
      <c r="L12" s="211"/>
      <c r="M12" s="211"/>
      <c r="N12" s="211"/>
      <c r="O12" s="211"/>
      <c r="P12" s="211"/>
      <c r="Q12" s="211"/>
    </row>
    <row r="13" spans="1:17" ht="15.75" thickBot="1" x14ac:dyDescent="0.3">
      <c r="A13" s="212" t="s">
        <v>535</v>
      </c>
      <c r="B13" s="212"/>
      <c r="C13" s="212"/>
      <c r="D13" s="212"/>
      <c r="E13" s="212"/>
      <c r="F13" s="212"/>
      <c r="G13" s="212"/>
      <c r="H13" s="212"/>
      <c r="I13" s="212"/>
      <c r="J13" s="212"/>
      <c r="K13" s="212"/>
      <c r="L13" s="212"/>
      <c r="M13" s="212"/>
      <c r="N13" s="212"/>
      <c r="O13" s="213" t="s">
        <v>536</v>
      </c>
      <c r="P13" s="213"/>
      <c r="Q13" s="214" t="s">
        <v>537</v>
      </c>
    </row>
    <row r="14" spans="1:17" ht="15.75" thickBot="1" x14ac:dyDescent="0.3">
      <c r="A14" s="35" t="s">
        <v>538</v>
      </c>
      <c r="B14" s="36" t="s">
        <v>539</v>
      </c>
      <c r="C14" s="36" t="s">
        <v>540</v>
      </c>
      <c r="D14" s="36" t="s">
        <v>541</v>
      </c>
      <c r="E14" s="36" t="s">
        <v>542</v>
      </c>
      <c r="F14" s="36" t="s">
        <v>543</v>
      </c>
      <c r="G14" s="37" t="s">
        <v>544</v>
      </c>
      <c r="H14" s="36" t="s">
        <v>545</v>
      </c>
      <c r="I14" s="36" t="s">
        <v>546</v>
      </c>
      <c r="J14" s="36" t="s">
        <v>547</v>
      </c>
      <c r="K14" s="36" t="s">
        <v>547</v>
      </c>
      <c r="L14" s="36" t="s">
        <v>548</v>
      </c>
      <c r="M14" s="38" t="s">
        <v>549</v>
      </c>
      <c r="N14" s="39" t="s">
        <v>550</v>
      </c>
      <c r="O14" s="213"/>
      <c r="P14" s="213"/>
      <c r="Q14" s="214"/>
    </row>
    <row r="15" spans="1:17" ht="14.45" x14ac:dyDescent="0.3">
      <c r="A15" s="40">
        <v>62</v>
      </c>
      <c r="B15" s="41"/>
      <c r="C15" s="41"/>
      <c r="D15" s="41">
        <v>1</v>
      </c>
      <c r="E15" s="41"/>
      <c r="F15" s="41">
        <v>4901</v>
      </c>
      <c r="G15" s="41">
        <v>3</v>
      </c>
      <c r="H15" s="41">
        <v>1</v>
      </c>
      <c r="I15" s="41">
        <v>2</v>
      </c>
      <c r="J15" s="41">
        <v>5</v>
      </c>
      <c r="K15" s="41">
        <v>1</v>
      </c>
      <c r="L15" s="41"/>
      <c r="M15" s="42">
        <v>1</v>
      </c>
      <c r="N15" s="41" t="s">
        <v>553</v>
      </c>
      <c r="O15" s="215" t="s">
        <v>554</v>
      </c>
      <c r="P15" s="215"/>
      <c r="Q15" s="43" t="e">
        <f>'NP LABORATORIO'!F148</f>
        <v>#REF!</v>
      </c>
    </row>
    <row r="16" spans="1:17" ht="14.45" x14ac:dyDescent="0.3">
      <c r="A16" s="44"/>
      <c r="B16" s="45"/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6"/>
      <c r="N16" s="47"/>
      <c r="O16" s="205"/>
      <c r="P16" s="205"/>
      <c r="Q16" s="48"/>
    </row>
    <row r="17" spans="1:17" ht="14.45" x14ac:dyDescent="0.3">
      <c r="A17" s="44"/>
      <c r="B17" s="45"/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6"/>
      <c r="N17" s="47"/>
      <c r="O17" s="216"/>
      <c r="P17" s="216"/>
      <c r="Q17" s="48"/>
    </row>
    <row r="18" spans="1:17" ht="14.45" x14ac:dyDescent="0.3">
      <c r="A18" s="44"/>
      <c r="B18" s="45"/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6"/>
      <c r="N18" s="47"/>
      <c r="O18" s="209"/>
      <c r="P18" s="209"/>
      <c r="Q18" s="48"/>
    </row>
    <row r="19" spans="1:17" ht="14.45" x14ac:dyDescent="0.3">
      <c r="A19" s="44"/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6"/>
      <c r="N19" s="47"/>
      <c r="O19" s="209"/>
      <c r="P19" s="209"/>
      <c r="Q19" s="48"/>
    </row>
    <row r="20" spans="1:17" ht="14.45" x14ac:dyDescent="0.3">
      <c r="A20" s="44"/>
      <c r="B20" s="45"/>
      <c r="C20" s="45"/>
      <c r="D20" s="45"/>
      <c r="E20" s="45"/>
      <c r="F20" s="45"/>
      <c r="G20" s="45"/>
      <c r="H20" s="45"/>
      <c r="I20" s="45"/>
      <c r="J20" s="45"/>
      <c r="K20" s="45"/>
      <c r="L20" s="45"/>
      <c r="M20" s="46"/>
      <c r="N20" s="47"/>
      <c r="O20" s="209"/>
      <c r="P20" s="209"/>
      <c r="Q20" s="48"/>
    </row>
    <row r="21" spans="1:17" ht="14.45" x14ac:dyDescent="0.3">
      <c r="A21" s="44"/>
      <c r="B21" s="45"/>
      <c r="C21" s="45"/>
      <c r="D21" s="45"/>
      <c r="E21" s="45"/>
      <c r="F21" s="45"/>
      <c r="G21" s="45"/>
      <c r="H21" s="45"/>
      <c r="I21" s="45"/>
      <c r="J21" s="45"/>
      <c r="K21" s="45"/>
      <c r="L21" s="45"/>
      <c r="M21" s="46"/>
      <c r="N21" s="47"/>
      <c r="O21" s="209"/>
      <c r="P21" s="209"/>
      <c r="Q21" s="48"/>
    </row>
    <row r="22" spans="1:17" ht="14.45" x14ac:dyDescent="0.3">
      <c r="A22" s="44"/>
      <c r="B22" s="45"/>
      <c r="C22" s="45"/>
      <c r="D22" s="45"/>
      <c r="E22" s="45"/>
      <c r="F22" s="45"/>
      <c r="G22" s="45"/>
      <c r="H22" s="45"/>
      <c r="I22" s="45"/>
      <c r="J22" s="45"/>
      <c r="K22" s="45"/>
      <c r="L22" s="45"/>
      <c r="M22" s="46"/>
      <c r="N22" s="47"/>
      <c r="O22" s="209"/>
      <c r="P22" s="209"/>
      <c r="Q22" s="48"/>
    </row>
    <row r="23" spans="1:17" ht="14.45" x14ac:dyDescent="0.3">
      <c r="A23" s="44"/>
      <c r="B23" s="45"/>
      <c r="C23" s="45"/>
      <c r="D23" s="45"/>
      <c r="E23" s="45"/>
      <c r="F23" s="45"/>
      <c r="G23" s="45"/>
      <c r="H23" s="45"/>
      <c r="I23" s="45"/>
      <c r="J23" s="45"/>
      <c r="K23" s="45"/>
      <c r="L23" s="45"/>
      <c r="M23" s="46"/>
      <c r="N23" s="47"/>
      <c r="O23" s="209"/>
      <c r="P23" s="209"/>
      <c r="Q23" s="48"/>
    </row>
    <row r="24" spans="1:17" ht="14.45" x14ac:dyDescent="0.3">
      <c r="A24" s="44"/>
      <c r="B24" s="45"/>
      <c r="C24" s="45"/>
      <c r="D24" s="45"/>
      <c r="E24" s="45"/>
      <c r="F24" s="45"/>
      <c r="G24" s="45"/>
      <c r="H24" s="45"/>
      <c r="I24" s="45"/>
      <c r="J24" s="45"/>
      <c r="K24" s="45"/>
      <c r="L24" s="45"/>
      <c r="M24" s="46"/>
      <c r="N24" s="47"/>
      <c r="O24" s="209"/>
      <c r="P24" s="209"/>
      <c r="Q24" s="48"/>
    </row>
    <row r="25" spans="1:17" ht="14.45" x14ac:dyDescent="0.3">
      <c r="A25" s="44"/>
      <c r="B25" s="45"/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6"/>
      <c r="N25" s="47"/>
      <c r="O25" s="209"/>
      <c r="P25" s="209"/>
      <c r="Q25" s="48"/>
    </row>
    <row r="26" spans="1:17" ht="14.45" x14ac:dyDescent="0.3">
      <c r="A26" s="44"/>
      <c r="B26" s="45"/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6"/>
      <c r="N26" s="47"/>
      <c r="O26" s="209"/>
      <c r="P26" s="209"/>
      <c r="Q26" s="48"/>
    </row>
    <row r="27" spans="1:17" ht="14.45" x14ac:dyDescent="0.3">
      <c r="A27" s="44"/>
      <c r="B27" s="45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6"/>
      <c r="N27" s="47"/>
      <c r="O27" s="209"/>
      <c r="P27" s="209"/>
      <c r="Q27" s="48"/>
    </row>
    <row r="28" spans="1:17" ht="14.45" x14ac:dyDescent="0.3">
      <c r="A28" s="44"/>
      <c r="B28" s="45"/>
      <c r="C28" s="45"/>
      <c r="D28" s="45"/>
      <c r="E28" s="45"/>
      <c r="F28" s="45"/>
      <c r="G28" s="45"/>
      <c r="H28" s="45"/>
      <c r="I28" s="45"/>
      <c r="J28" s="45"/>
      <c r="K28" s="45"/>
      <c r="L28" s="45"/>
      <c r="M28" s="46"/>
      <c r="N28" s="47"/>
      <c r="O28" s="209"/>
      <c r="P28" s="209"/>
      <c r="Q28" s="48"/>
    </row>
    <row r="29" spans="1:17" ht="14.45" x14ac:dyDescent="0.3">
      <c r="A29" s="44"/>
      <c r="B29" s="45"/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6"/>
      <c r="N29" s="47"/>
      <c r="O29" s="209"/>
      <c r="P29" s="209"/>
      <c r="Q29" s="48"/>
    </row>
    <row r="30" spans="1:17" ht="14.45" x14ac:dyDescent="0.3">
      <c r="A30" s="44"/>
      <c r="B30" s="45"/>
      <c r="C30" s="45"/>
      <c r="D30" s="45"/>
      <c r="E30" s="45"/>
      <c r="F30" s="45"/>
      <c r="G30" s="45"/>
      <c r="H30" s="45"/>
      <c r="I30" s="45"/>
      <c r="J30" s="45"/>
      <c r="K30" s="45"/>
      <c r="L30" s="45"/>
      <c r="M30" s="46"/>
      <c r="N30" s="47"/>
      <c r="O30" s="209"/>
      <c r="P30" s="209"/>
      <c r="Q30" s="48"/>
    </row>
    <row r="31" spans="1:17" ht="14.45" x14ac:dyDescent="0.3">
      <c r="A31" s="44"/>
      <c r="B31" s="45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6"/>
      <c r="N31" s="47"/>
      <c r="O31" s="209"/>
      <c r="P31" s="209"/>
      <c r="Q31" s="48"/>
    </row>
    <row r="32" spans="1:17" ht="14.45" x14ac:dyDescent="0.3">
      <c r="A32" s="44"/>
      <c r="B32" s="45"/>
      <c r="C32" s="45"/>
      <c r="D32" s="45"/>
      <c r="E32" s="45"/>
      <c r="F32" s="47"/>
      <c r="G32" s="45"/>
      <c r="H32" s="45"/>
      <c r="I32" s="45"/>
      <c r="J32" s="45"/>
      <c r="K32" s="45"/>
      <c r="L32" s="45"/>
      <c r="M32" s="46"/>
      <c r="N32" s="47"/>
      <c r="O32" s="205"/>
      <c r="P32" s="205"/>
      <c r="Q32" s="48"/>
    </row>
    <row r="33" spans="1:17" ht="14.45" x14ac:dyDescent="0.3">
      <c r="A33" s="44"/>
      <c r="B33" s="45"/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6"/>
      <c r="N33" s="47"/>
      <c r="O33" s="205"/>
      <c r="P33" s="205"/>
      <c r="Q33" s="48"/>
    </row>
    <row r="34" spans="1:17" ht="14.45" x14ac:dyDescent="0.3">
      <c r="A34" s="44"/>
      <c r="B34" s="45"/>
      <c r="C34" s="45"/>
      <c r="D34" s="45"/>
      <c r="E34" s="45"/>
      <c r="F34" s="47"/>
      <c r="G34" s="45"/>
      <c r="H34" s="45"/>
      <c r="I34" s="45"/>
      <c r="J34" s="45"/>
      <c r="K34" s="45"/>
      <c r="L34" s="45"/>
      <c r="M34" s="46"/>
      <c r="N34" s="47"/>
      <c r="O34" s="205"/>
      <c r="P34" s="205"/>
      <c r="Q34" s="48"/>
    </row>
    <row r="35" spans="1:17" ht="14.45" x14ac:dyDescent="0.3">
      <c r="A35" s="44"/>
      <c r="B35" s="45"/>
      <c r="C35" s="45"/>
      <c r="D35" s="45"/>
      <c r="E35" s="45"/>
      <c r="F35" s="47"/>
      <c r="G35" s="45"/>
      <c r="H35" s="45"/>
      <c r="I35" s="45"/>
      <c r="J35" s="45"/>
      <c r="K35" s="45"/>
      <c r="L35" s="45"/>
      <c r="M35" s="46"/>
      <c r="N35" s="47"/>
      <c r="O35" s="205"/>
      <c r="P35" s="205"/>
      <c r="Q35" s="48"/>
    </row>
    <row r="36" spans="1:17" ht="14.45" x14ac:dyDescent="0.3">
      <c r="A36" s="49"/>
      <c r="B36" s="50"/>
      <c r="C36" s="50"/>
      <c r="D36" s="50"/>
      <c r="E36" s="50"/>
      <c r="F36" s="47"/>
      <c r="G36" s="50"/>
      <c r="H36" s="50"/>
      <c r="I36" s="50"/>
      <c r="J36" s="50"/>
      <c r="K36" s="50"/>
      <c r="L36" s="50"/>
      <c r="M36" s="51"/>
      <c r="N36" s="52"/>
      <c r="O36" s="205"/>
      <c r="P36" s="205"/>
      <c r="Q36" s="48"/>
    </row>
    <row r="37" spans="1:17" thickBot="1" x14ac:dyDescent="0.35">
      <c r="A37" s="53"/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5"/>
      <c r="N37" s="54"/>
      <c r="O37" s="206"/>
      <c r="P37" s="206"/>
      <c r="Q37" s="56"/>
    </row>
    <row r="38" spans="1:17" ht="30" customHeight="1" thickBot="1" x14ac:dyDescent="0.35">
      <c r="A38" s="207" t="s">
        <v>592</v>
      </c>
      <c r="B38" s="207"/>
      <c r="C38" s="207"/>
      <c r="D38" s="207"/>
      <c r="E38" s="207"/>
      <c r="F38" s="207"/>
      <c r="G38" s="207"/>
      <c r="H38" s="207"/>
      <c r="I38" s="207"/>
      <c r="J38" s="207"/>
      <c r="K38" s="207"/>
      <c r="L38" s="207"/>
      <c r="M38" s="207"/>
      <c r="N38" s="207"/>
      <c r="O38" s="207"/>
      <c r="P38" s="207"/>
      <c r="Q38" s="57" t="e">
        <f>SUM(Q15:Q37)</f>
        <v>#REF!</v>
      </c>
    </row>
    <row r="39" spans="1:17" thickBot="1" x14ac:dyDescent="0.35">
      <c r="A39" s="208"/>
      <c r="B39" s="208"/>
      <c r="C39" s="208"/>
      <c r="D39" s="208"/>
      <c r="E39" s="208"/>
      <c r="F39" s="208"/>
      <c r="G39" s="208"/>
      <c r="H39" s="208"/>
      <c r="I39" s="208"/>
      <c r="J39" s="208"/>
      <c r="K39" s="208"/>
      <c r="L39" s="208"/>
      <c r="M39" s="208"/>
      <c r="N39" s="208"/>
      <c r="O39" s="208"/>
      <c r="P39" s="208"/>
      <c r="Q39" s="208"/>
    </row>
    <row r="40" spans="1:17" ht="15.75" thickBot="1" x14ac:dyDescent="0.3">
      <c r="A40" s="202" t="s">
        <v>551</v>
      </c>
      <c r="B40" s="202"/>
      <c r="C40" s="202"/>
      <c r="D40" s="202"/>
      <c r="E40" s="202"/>
      <c r="F40" s="202"/>
      <c r="G40" s="203"/>
      <c r="H40" s="203"/>
      <c r="I40" s="203"/>
      <c r="J40" s="203"/>
      <c r="K40" s="203"/>
      <c r="L40" s="203"/>
      <c r="M40" s="203"/>
      <c r="N40" s="203"/>
      <c r="O40" s="203"/>
      <c r="P40" s="203"/>
      <c r="Q40" s="203"/>
    </row>
    <row r="41" spans="1:17" ht="15.75" thickBot="1" x14ac:dyDescent="0.3">
      <c r="A41" s="204" t="str">
        <f>'NP LABORATORIO'!C6</f>
        <v>ADQUISICION DEL RUBRO REACTIVOS PARA LABORATORIO</v>
      </c>
      <c r="B41" s="204"/>
      <c r="C41" s="204"/>
      <c r="D41" s="204"/>
      <c r="E41" s="204"/>
      <c r="F41" s="204"/>
      <c r="G41" s="204"/>
      <c r="H41" s="204"/>
      <c r="I41" s="204"/>
      <c r="J41" s="204"/>
      <c r="K41" s="204"/>
      <c r="L41" s="204"/>
      <c r="M41" s="204"/>
      <c r="N41" s="204"/>
      <c r="O41" s="204"/>
      <c r="P41" s="204"/>
      <c r="Q41" s="204"/>
    </row>
    <row r="42" spans="1:17" ht="15.75" thickBot="1" x14ac:dyDescent="0.3">
      <c r="A42" s="204"/>
      <c r="B42" s="204"/>
      <c r="C42" s="204"/>
      <c r="D42" s="204"/>
      <c r="E42" s="204"/>
      <c r="F42" s="204"/>
      <c r="G42" s="204"/>
      <c r="H42" s="204"/>
      <c r="I42" s="204"/>
      <c r="J42" s="204"/>
      <c r="K42" s="204"/>
      <c r="L42" s="204"/>
      <c r="M42" s="204"/>
      <c r="N42" s="204"/>
      <c r="O42" s="204"/>
      <c r="P42" s="204"/>
      <c r="Q42" s="204"/>
    </row>
  </sheetData>
  <mergeCells count="46">
    <mergeCell ref="A9:Q9"/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  <mergeCell ref="O21:P21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O20:P20"/>
    <mergeCell ref="O33:P33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A40:F40"/>
    <mergeCell ref="G40:Q40"/>
    <mergeCell ref="A41:Q42"/>
    <mergeCell ref="O34:P34"/>
    <mergeCell ref="O35:P35"/>
    <mergeCell ref="O36:P36"/>
    <mergeCell ref="O37:P37"/>
    <mergeCell ref="A38:P38"/>
    <mergeCell ref="A39:Q39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51"/>
  <sheetViews>
    <sheetView view="pageBreakPreview" topLeftCell="A37" zoomScaleNormal="100" zoomScaleSheetLayoutView="100" workbookViewId="0">
      <selection activeCell="A51" sqref="A51"/>
    </sheetView>
  </sheetViews>
  <sheetFormatPr baseColWidth="10" defaultRowHeight="15" x14ac:dyDescent="0.25"/>
  <cols>
    <col min="1" max="1" width="7.5703125" customWidth="1"/>
    <col min="2" max="2" width="22.85546875" style="174" customWidth="1"/>
    <col min="3" max="3" width="75" customWidth="1"/>
    <col min="4" max="4" width="9.140625" customWidth="1"/>
    <col min="5" max="5" width="11.140625" customWidth="1"/>
    <col min="6" max="6" width="15.140625" style="10" customWidth="1"/>
    <col min="7" max="7" width="11.28515625" bestFit="1" customWidth="1"/>
  </cols>
  <sheetData>
    <row r="1" spans="1:7" s="21" customFormat="1" ht="27.6" x14ac:dyDescent="0.3">
      <c r="A1" s="165"/>
      <c r="B1" s="196" t="s">
        <v>577</v>
      </c>
      <c r="C1" s="196"/>
      <c r="D1" s="196"/>
      <c r="E1" s="196"/>
      <c r="F1" s="196"/>
      <c r="G1" s="165"/>
    </row>
    <row r="2" spans="1:7" s="21" customFormat="1" x14ac:dyDescent="0.25">
      <c r="A2" s="166" t="s">
        <v>578</v>
      </c>
      <c r="B2" s="171"/>
      <c r="C2" s="166" t="s">
        <v>2</v>
      </c>
      <c r="D2" s="166"/>
      <c r="E2" s="167"/>
      <c r="F2" s="175"/>
      <c r="G2" s="168"/>
    </row>
    <row r="3" spans="1:7" s="21" customFormat="1" x14ac:dyDescent="0.3">
      <c r="A3" s="166" t="s">
        <v>579</v>
      </c>
      <c r="B3" s="171"/>
      <c r="C3" s="166" t="s">
        <v>572</v>
      </c>
      <c r="D3" s="166"/>
      <c r="E3" s="167"/>
      <c r="F3" s="175"/>
      <c r="G3" s="168"/>
    </row>
    <row r="4" spans="1:7" s="21" customFormat="1" x14ac:dyDescent="0.3">
      <c r="A4" s="166" t="s">
        <v>580</v>
      </c>
      <c r="B4" s="171"/>
      <c r="C4" s="166" t="s">
        <v>555</v>
      </c>
      <c r="D4" s="166"/>
      <c r="E4" s="167"/>
      <c r="F4" s="175"/>
      <c r="G4" s="168"/>
    </row>
    <row r="5" spans="1:7" s="21" customFormat="1" x14ac:dyDescent="0.3">
      <c r="A5" s="166" t="s">
        <v>581</v>
      </c>
      <c r="B5" s="171"/>
      <c r="C5" s="166" t="s">
        <v>555</v>
      </c>
      <c r="D5" s="166"/>
      <c r="E5" s="167"/>
      <c r="F5" s="175"/>
      <c r="G5" s="168"/>
    </row>
    <row r="6" spans="1:7" s="21" customFormat="1" x14ac:dyDescent="0.3">
      <c r="A6" s="166" t="s">
        <v>582</v>
      </c>
      <c r="B6" s="171"/>
      <c r="C6" s="166" t="s">
        <v>31</v>
      </c>
      <c r="D6" s="166"/>
      <c r="E6" s="167"/>
      <c r="F6" s="175"/>
      <c r="G6" s="168"/>
    </row>
    <row r="7" spans="1:7" s="21" customFormat="1" x14ac:dyDescent="0.25">
      <c r="A7" s="166" t="s">
        <v>583</v>
      </c>
      <c r="B7" s="171"/>
      <c r="C7" s="166" t="s">
        <v>584</v>
      </c>
      <c r="D7" s="166"/>
      <c r="E7" s="167"/>
      <c r="F7" s="175"/>
      <c r="G7" s="168"/>
    </row>
    <row r="8" spans="1:7" s="21" customFormat="1" thickBot="1" x14ac:dyDescent="0.35">
      <c r="A8" s="165"/>
      <c r="B8" s="172"/>
      <c r="C8" s="167"/>
      <c r="D8" s="167"/>
      <c r="E8" s="167"/>
      <c r="F8" s="175"/>
      <c r="G8" s="168"/>
    </row>
    <row r="9" spans="1:7" s="21" customFormat="1" ht="26.25" thickBot="1" x14ac:dyDescent="0.3">
      <c r="A9" s="157" t="s">
        <v>585</v>
      </c>
      <c r="B9" s="158" t="s">
        <v>586</v>
      </c>
      <c r="C9" s="158" t="s">
        <v>587</v>
      </c>
      <c r="D9" s="158" t="s">
        <v>588</v>
      </c>
      <c r="E9" s="158" t="s">
        <v>589</v>
      </c>
      <c r="F9" s="176" t="s">
        <v>28</v>
      </c>
      <c r="G9" s="159" t="s">
        <v>29</v>
      </c>
    </row>
    <row r="10" spans="1:7" s="21" customFormat="1" ht="39.6" x14ac:dyDescent="0.3">
      <c r="A10" s="163">
        <v>1</v>
      </c>
      <c r="B10" s="160" t="str">
        <f>'SAF 011'!B11</f>
        <v>2.5.1-9017.381</v>
      </c>
      <c r="C10" s="169" t="str">
        <f>'SAF 011'!E11</f>
        <v>ANTICUERPOS P/LABORATORIO; NOMBRE: ANTI-A, ESTADO: LIQUIDO, MARCADO CON: SIN MARCAR, ORIGEN: HUMANO, PRESENTACION: ENVASE X 10 mL, TIPO: MONOCLONAL</v>
      </c>
      <c r="D10" s="170" t="s">
        <v>556</v>
      </c>
      <c r="E10" s="161" t="str">
        <f>'SAF 011'!F11</f>
        <v>FRASCO</v>
      </c>
      <c r="F10" s="177">
        <f>'SAF 011'!H11</f>
        <v>876</v>
      </c>
      <c r="G10" s="162" t="e">
        <f>'SAF 011'!#REF!</f>
        <v>#REF!</v>
      </c>
    </row>
    <row r="11" spans="1:7" s="21" customFormat="1" ht="39.6" x14ac:dyDescent="0.3">
      <c r="A11" s="163">
        <v>2</v>
      </c>
      <c r="B11" s="160" t="str">
        <f>'SAF 011'!B12</f>
        <v>2.5.1-9017.136</v>
      </c>
      <c r="C11" s="169" t="str">
        <f>'SAF 011'!E12</f>
        <v>ANTICUERPOS P/LABORATORIO; NOMBRE: ANTI-B, ESTADO: SOLUCION, MARCADO CON: SIN MARCAR, ORIGEN: HUMANO, PRESENTACION: ENVASE X 10 mL, TIPO: MONOCLONAL</v>
      </c>
      <c r="D11" s="170" t="s">
        <v>556</v>
      </c>
      <c r="E11" s="161" t="str">
        <f>'SAF 011'!F12</f>
        <v>FRASCO</v>
      </c>
      <c r="F11" s="177">
        <f>'SAF 011'!H12</f>
        <v>876</v>
      </c>
      <c r="G11" s="162" t="e">
        <f>'SAF 011'!#REF!</f>
        <v>#REF!</v>
      </c>
    </row>
    <row r="12" spans="1:7" s="21" customFormat="1" ht="39.6" x14ac:dyDescent="0.3">
      <c r="A12" s="163">
        <v>3</v>
      </c>
      <c r="B12" s="160" t="str">
        <f>'SAF 011'!B13</f>
        <v>2.5.1-9017.137</v>
      </c>
      <c r="C12" s="169" t="str">
        <f>'SAF 011'!E13</f>
        <v>ANTICUERPOS P/LABORATORIO; NOMBRE: ANTI-D, ESTADO: SOLUCION, MARCADO CON: SIN MARCAR, ORIGEN: HUMANO, PRESENTACION: ENVASE X 10 mL, TIPO: MONOCLONAL</v>
      </c>
      <c r="D12" s="170" t="s">
        <v>32</v>
      </c>
      <c r="E12" s="161" t="str">
        <f>'SAF 011'!F13</f>
        <v>UNIDAD</v>
      </c>
      <c r="F12" s="177">
        <f>'SAF 011'!H13</f>
        <v>1657</v>
      </c>
      <c r="G12" s="162" t="e">
        <f>'SAF 011'!#REF!</f>
        <v>#REF!</v>
      </c>
    </row>
    <row r="13" spans="1:7" s="21" customFormat="1" ht="39.6" x14ac:dyDescent="0.3">
      <c r="A13" s="163">
        <v>4</v>
      </c>
      <c r="B13" s="160" t="str">
        <f>'SAF 011'!B38</f>
        <v>2.5.1-9037.72</v>
      </c>
      <c r="C13" s="169" t="str">
        <f>'SAF 011'!E38</f>
        <v>PROTEINAS; COMPUESTO QUIMICO: ALBUMINA BOVINA, ESTADO: LIQUIDO, CALIDAD: TECNICA MANUAL, CONCENTRACION/PUREZA: 30%, PRESENTACION: ENVASE X 10 ML</v>
      </c>
      <c r="D13" s="170" t="s">
        <v>556</v>
      </c>
      <c r="E13" s="161" t="str">
        <f>'SAF 011'!F38</f>
        <v>UNIDAD</v>
      </c>
      <c r="F13" s="177">
        <f>'SAF 011'!H38</f>
        <v>1251</v>
      </c>
      <c r="G13" s="162" t="e">
        <f>'SAF 011'!#REF!</f>
        <v>#REF!</v>
      </c>
    </row>
    <row r="14" spans="1:7" s="21" customFormat="1" ht="39.6" x14ac:dyDescent="0.3">
      <c r="A14" s="163">
        <v>5</v>
      </c>
      <c r="B14" s="160" t="str">
        <f>'SAF 011'!B44</f>
        <v>2.5.1-8988.2507</v>
      </c>
      <c r="C14" s="169" t="str">
        <f>'SAF 011'!E44</f>
        <v>REACTIVOS P/EQUIPO; EQUIPO: AFERESIS, MARCA EQUIPO: HAEMONETICS MCS PLUS, NOMBRE DEL PRODUCTO: SOLUCION ACD FORMULA A ANTI COAGULANTE TIPO RIVERO FENVAL SOLUFLEX 679-S, PRESENTACION: 600ML</v>
      </c>
      <c r="D14" s="170" t="s">
        <v>556</v>
      </c>
      <c r="E14" s="161" t="str">
        <f>'SAF 011'!F44</f>
        <v>UNIDAD</v>
      </c>
      <c r="F14" s="177">
        <f>'SAF 011'!H44</f>
        <v>4350</v>
      </c>
      <c r="G14" s="162" t="e">
        <f>'SAF 011'!#REF!</f>
        <v>#REF!</v>
      </c>
    </row>
    <row r="15" spans="1:7" s="21" customFormat="1" ht="39.6" x14ac:dyDescent="0.3">
      <c r="A15" s="163">
        <v>6</v>
      </c>
      <c r="B15" s="160" t="str">
        <f>'SAF 011'!B45</f>
        <v>2.5.1-8988.372</v>
      </c>
      <c r="C15" s="169" t="str">
        <f>'SAF 011'!E45</f>
        <v>REACTIVOS P/EQUIPO; EQUIPO: ANALIZ. X ENZIMO-INMUNO-ENSAYO, MARCA EQUIPO: ABBOTT, NOMBRE DEL PRODUCTO: DET. ANTIG. CORE/ANTIC ANTIHCV, PRESENTACION: ENVASE X 96 DETERM.</v>
      </c>
      <c r="D15" s="170" t="s">
        <v>556</v>
      </c>
      <c r="E15" s="161" t="str">
        <f>'SAF 011'!F45</f>
        <v>CAJA</v>
      </c>
      <c r="F15" s="177">
        <f>'SAF 011'!H45</f>
        <v>50545</v>
      </c>
      <c r="G15" s="162" t="e">
        <f>'SAF 011'!#REF!</f>
        <v>#REF!</v>
      </c>
    </row>
    <row r="16" spans="1:7" s="21" customFormat="1" ht="39.6" x14ac:dyDescent="0.3">
      <c r="A16" s="163">
        <v>7</v>
      </c>
      <c r="B16" s="160" t="str">
        <f>'SAF 011'!B48</f>
        <v>2.5.1-8988.197</v>
      </c>
      <c r="C16" s="169" t="str">
        <f>'SAF 011'!E48</f>
        <v>REACTIVOS P/EQUIPO; EQUIPO: ANALIZADOR DE INMUNOENSAYO, MARCA EQUIPO: ABBOTT, NOMBRE DEL PRODUCTO: HIV 1-2, PRESENTACION: ENVASE X 96 DETERM.</v>
      </c>
      <c r="D16" s="170" t="s">
        <v>32</v>
      </c>
      <c r="E16" s="161" t="str">
        <f>'SAF 011'!F48</f>
        <v>CAJA</v>
      </c>
      <c r="F16" s="177">
        <f>'SAF 011'!H48</f>
        <v>23147</v>
      </c>
      <c r="G16" s="162" t="e">
        <f>'SAF 011'!#REF!</f>
        <v>#REF!</v>
      </c>
    </row>
    <row r="17" spans="1:7" s="21" customFormat="1" ht="39.6" x14ac:dyDescent="0.3">
      <c r="A17" s="163">
        <v>8</v>
      </c>
      <c r="B17" s="160" t="str">
        <f>'SAF 011'!B95</f>
        <v>2.5.1-8988.2287</v>
      </c>
      <c r="C17" s="169" t="str">
        <f>'SAF 011'!E95</f>
        <v>REACTIVOS P/EQUIPO; EQUIPO: AUTOMATIZADO, MARCA EQUIPO: A DEFINIR, NOMBRE DEL PRODUCTO: RH/PHENO/KELL DONANTES, PRESENTACION: ENVASE X 48 DETERM.</v>
      </c>
      <c r="D17" s="170" t="s">
        <v>32</v>
      </c>
      <c r="E17" s="161" t="str">
        <f>'SAF 011'!F95</f>
        <v>UNIDAD</v>
      </c>
      <c r="F17" s="177">
        <f>'SAF 011'!H95</f>
        <v>795</v>
      </c>
      <c r="G17" s="162" t="e">
        <f>'SAF 011'!#REF!</f>
        <v>#REF!</v>
      </c>
    </row>
    <row r="18" spans="1:7" s="21" customFormat="1" ht="39.6" x14ac:dyDescent="0.3">
      <c r="A18" s="163">
        <v>9</v>
      </c>
      <c r="B18" s="160" t="str">
        <f>'SAF 011'!B124</f>
        <v>2.5.1-8988.2404</v>
      </c>
      <c r="C18" s="169" t="str">
        <f>'SAF 011'!E124</f>
        <v>REACTIVOS P/EQUIPO; EQUIPO: ELECTROLUMINISCENCIA, MARCA EQUIPO: COBAS ROCHE, NOMBRE DEL PRODUCTO: ATG SUPERFICIE HEPATITIS B, PRESENTACION: ENVASE X 100 DETERM.</v>
      </c>
      <c r="D18" s="170" t="s">
        <v>556</v>
      </c>
      <c r="E18" s="161" t="str">
        <f>'SAF 011'!F124</f>
        <v>CAJA</v>
      </c>
      <c r="F18" s="177">
        <f>'SAF 011'!H124</f>
        <v>27546</v>
      </c>
      <c r="G18" s="162" t="e">
        <f>'SAF 011'!#REF!</f>
        <v>#REF!</v>
      </c>
    </row>
    <row r="19" spans="1:7" s="21" customFormat="1" ht="39.6" x14ac:dyDescent="0.3">
      <c r="A19" s="163">
        <v>10</v>
      </c>
      <c r="B19" s="160" t="str">
        <f>'SAF 011'!B125</f>
        <v>2.5.1-8988.2406</v>
      </c>
      <c r="C19" s="169" t="str">
        <f>'SAF 011'!E125</f>
        <v>REACTIVOS P/EQUIPO; EQUIPO: ELECTROLUMINISCENCIA, MARCA EQUIPO: COBAS ROCHE, NOMBRE DEL PRODUCTO: REACTIVO CHAGAS, PRESENTACION: ENVASE X 100 DETERM.</v>
      </c>
      <c r="D19" s="170" t="s">
        <v>556</v>
      </c>
      <c r="E19" s="161" t="str">
        <f>'SAF 011'!F125</f>
        <v>CAJA</v>
      </c>
      <c r="F19" s="177">
        <f>'SAF 011'!H125</f>
        <v>51404</v>
      </c>
      <c r="G19" s="162" t="e">
        <f>'SAF 011'!#REF!</f>
        <v>#REF!</v>
      </c>
    </row>
    <row r="20" spans="1:7" s="21" customFormat="1" ht="39.6" x14ac:dyDescent="0.3">
      <c r="A20" s="163">
        <v>11</v>
      </c>
      <c r="B20" s="160" t="str">
        <f>'SAF 011'!B126</f>
        <v>2.5.1-8988.2405</v>
      </c>
      <c r="C20" s="169" t="str">
        <f>'SAF 011'!E126</f>
        <v>REACTIVOS P/EQUIPO; EQUIPO: ELECTROLUMINISCENCIA, MARCA EQUIPO: COBAS ROCHE, NOMBRE DEL PRODUCTO: REACTIVO HTLV, PRESENTACION: ENVASE X 100 DETERM.</v>
      </c>
      <c r="D20" s="170" t="s">
        <v>556</v>
      </c>
      <c r="E20" s="161" t="str">
        <f>'SAF 011'!F126</f>
        <v>CAJA</v>
      </c>
      <c r="F20" s="177">
        <f>'SAF 011'!H126</f>
        <v>61263</v>
      </c>
      <c r="G20" s="162" t="e">
        <f>'SAF 011'!#REF!</f>
        <v>#REF!</v>
      </c>
    </row>
    <row r="21" spans="1:7" s="21" customFormat="1" ht="39.6" x14ac:dyDescent="0.3">
      <c r="A21" s="163">
        <v>12</v>
      </c>
      <c r="B21" s="160" t="str">
        <f>'SAF 011'!B127</f>
        <v>2.5.1-8988.2407</v>
      </c>
      <c r="C21" s="169" t="str">
        <f>'SAF 011'!E127</f>
        <v>REACTIVOS P/EQUIPO; EQUIPO: ELECTROLUMINISCENCIA, MARCA EQUIPO: COBAS ROCHE, NOMBRE DEL PRODUCTO: REACTIVO SYPHILIS, PRESENTACION: ENVASE X 100 DETERM.</v>
      </c>
      <c r="D21" s="170" t="s">
        <v>556</v>
      </c>
      <c r="E21" s="161" t="str">
        <f>'SAF 011'!F127</f>
        <v>CAJA</v>
      </c>
      <c r="F21" s="177">
        <f>'SAF 011'!H127</f>
        <v>63289</v>
      </c>
      <c r="G21" s="162" t="e">
        <f>'SAF 011'!#REF!</f>
        <v>#REF!</v>
      </c>
    </row>
    <row r="22" spans="1:7" s="21" customFormat="1" ht="39.6" x14ac:dyDescent="0.3">
      <c r="A22" s="163">
        <v>13</v>
      </c>
      <c r="B22" s="160" t="str">
        <f>'SAF 011'!B131</f>
        <v>2.5.1-8988.1446</v>
      </c>
      <c r="C22" s="169" t="str">
        <f>'SAF 011'!E131</f>
        <v>REACTIVOS P/EQUIPO; EQUIPO: MICROTUBOS C/GEL, MARCA EQUIPO: GRIFOLS, NOMBRE DEL PRODUCTO: TARJETAS LISS COOMBS, PRESENTACION: ENVASE X 48 UN</v>
      </c>
      <c r="D22" s="170" t="s">
        <v>32</v>
      </c>
      <c r="E22" s="161" t="str">
        <f>'SAF 011'!F131</f>
        <v xml:space="preserve">UNIDAD </v>
      </c>
      <c r="F22" s="177">
        <f>'SAF 011'!H131</f>
        <v>725</v>
      </c>
      <c r="G22" s="162" t="e">
        <f>'SAF 011'!#REF!</f>
        <v>#REF!</v>
      </c>
    </row>
    <row r="23" spans="1:7" s="21" customFormat="1" ht="39.6" x14ac:dyDescent="0.3">
      <c r="A23" s="163">
        <v>14</v>
      </c>
      <c r="B23" s="160" t="str">
        <f>'SAF 011'!B142</f>
        <v>2.5.1-9052.2130</v>
      </c>
      <c r="C23" s="169" t="str">
        <f>'SAF 011'!E142</f>
        <v>REACTIVOS P/LAB. TEC. MANUAL ; NOMBRE: BIOZIMA CHAGAS, USO: DETECCION ANTICUERPOS ANTI-TRIPANOSOMA CRUZI, PRESENTACION: ENVASE X 192 DETERM.</v>
      </c>
      <c r="D23" s="170" t="s">
        <v>32</v>
      </c>
      <c r="E23" s="161" t="str">
        <f>'SAF 011'!F142</f>
        <v>CAJA</v>
      </c>
      <c r="F23" s="177">
        <f>'SAF 011'!H142</f>
        <v>10578</v>
      </c>
      <c r="G23" s="162" t="e">
        <f>'SAF 011'!#REF!</f>
        <v>#REF!</v>
      </c>
    </row>
    <row r="24" spans="1:7" s="21" customFormat="1" ht="39.6" x14ac:dyDescent="0.3">
      <c r="A24" s="163">
        <v>15</v>
      </c>
      <c r="B24" s="160" t="str">
        <f>'SAF 011'!B143</f>
        <v>2.5.1-9052.2131</v>
      </c>
      <c r="C24" s="169" t="str">
        <f>'SAF 011'!E143</f>
        <v>REACTIVOS P/LAB. TEC. MANUAL ; NOMBRE: BIOZIMA RECONVINANTE CHAGAS, USO: DETECCION ANTICUERPOS ANTI-TRIPANOSOMA CRUZI, PRESENTACION: ENVASE X 192 DETERM.</v>
      </c>
      <c r="D24" s="170" t="s">
        <v>32</v>
      </c>
      <c r="E24" s="161" t="str">
        <f>'SAF 011'!F143</f>
        <v>CAJA</v>
      </c>
      <c r="F24" s="177">
        <f>'SAF 011'!H143</f>
        <v>11503</v>
      </c>
      <c r="G24" s="162" t="e">
        <f>'SAF 011'!#REF!</f>
        <v>#REF!</v>
      </c>
    </row>
    <row r="25" spans="1:7" s="21" customFormat="1" ht="39.6" x14ac:dyDescent="0.3">
      <c r="A25" s="163">
        <v>16</v>
      </c>
      <c r="B25" s="160" t="str">
        <f>'SAF 011'!B145</f>
        <v>2.5.1-9052.2126</v>
      </c>
      <c r="C25" s="169" t="str">
        <f>'SAF 011'!E145</f>
        <v>REACTIVOS P/LAB. TEC. MANUAL ; NOMBRE: CELDAS DE REACCION TEMPERATURA AMBIENTE-SISTEMA DE INMUNO ENSAYO. TIPO ABBOT, USO:INMUNOSEROLOGIA ; PRESENTACION: 4000 DETERMINACIONES.</v>
      </c>
      <c r="D25" s="170" t="s">
        <v>556</v>
      </c>
      <c r="E25" s="161" t="str">
        <f>'SAF 011'!F145</f>
        <v>CAJA</v>
      </c>
      <c r="F25" s="177">
        <f>'SAF 011'!H145</f>
        <v>373520</v>
      </c>
      <c r="G25" s="162" t="e">
        <f>'SAF 011'!#REF!</f>
        <v>#REF!</v>
      </c>
    </row>
    <row r="26" spans="1:7" s="21" customFormat="1" ht="39.6" x14ac:dyDescent="0.3">
      <c r="A26" s="163">
        <v>17</v>
      </c>
      <c r="B26" s="160" t="str">
        <f>'SAF 011'!B147</f>
        <v>2.5.1-9052.2129</v>
      </c>
      <c r="C26" s="169" t="str">
        <f>'SAF 011'!E147</f>
        <v>REACTIVOS P/LAB. TEC. MANUAL ; NOMBRE: COVIDAR IGG(SEROKIT MAS ELISA IGG), USO: DIAGNOSTICO SARS-COV-2, PRESENTACION: ENVASE X 192 DETERM.</v>
      </c>
      <c r="D26" s="170" t="s">
        <v>556</v>
      </c>
      <c r="E26" s="161" t="str">
        <f>'SAF 011'!F147</f>
        <v>CAJA</v>
      </c>
      <c r="F26" s="177">
        <f>'SAF 011'!H147</f>
        <v>64700</v>
      </c>
      <c r="G26" s="162" t="e">
        <f>'SAF 011'!#REF!</f>
        <v>#REF!</v>
      </c>
    </row>
    <row r="27" spans="1:7" s="21" customFormat="1" ht="39.6" x14ac:dyDescent="0.3">
      <c r="A27" s="163">
        <v>18</v>
      </c>
      <c r="B27" s="160" t="str">
        <f>'SAF 011'!B148</f>
        <v>2.5.1-9052.2129</v>
      </c>
      <c r="C27" s="169" t="str">
        <f>'SAF 011'!E148</f>
        <v>REACTIVOS P/LAB. TEC. MANUAL ; NOMBRE: COVIDAR IGG(SEROKIT MAS ELISA IGG), USO: DIAGNOSTICO SARS-COV-2, PRESENTACION: ENVASE X 192 DETERM.</v>
      </c>
      <c r="D27" s="170" t="s">
        <v>32</v>
      </c>
      <c r="E27" s="161" t="str">
        <f>'SAF 011'!F148</f>
        <v>CAJA</v>
      </c>
      <c r="F27" s="177">
        <f>'SAF 011'!H148</f>
        <v>19744</v>
      </c>
      <c r="G27" s="162" t="e">
        <f>'SAF 011'!#REF!</f>
        <v>#REF!</v>
      </c>
    </row>
    <row r="28" spans="1:7" s="21" customFormat="1" ht="26.45" x14ac:dyDescent="0.3">
      <c r="A28" s="163">
        <v>19</v>
      </c>
      <c r="B28" s="160" t="str">
        <f>'SAF 011'!B151</f>
        <v>2.5.1-9052.1488</v>
      </c>
      <c r="C28" s="169" t="str">
        <f>'SAF 011'!E151</f>
        <v>REACTIVOS P/LAB. TEC. MANUAL ; NOMBRE: ELISA ANTI HCV, USO: DETERMINACION DE ANTICUERPOS, PRESENTACION: ENVASE X 96 DETERM.</v>
      </c>
      <c r="D28" s="170" t="s">
        <v>32</v>
      </c>
      <c r="E28" s="161" t="str">
        <f>'SAF 011'!F151</f>
        <v>CAJA</v>
      </c>
      <c r="F28" s="177">
        <f>'SAF 011'!H151</f>
        <v>39806</v>
      </c>
      <c r="G28" s="162" t="e">
        <f>'SAF 011'!#REF!</f>
        <v>#REF!</v>
      </c>
    </row>
    <row r="29" spans="1:7" s="21" customFormat="1" ht="26.45" x14ac:dyDescent="0.3">
      <c r="A29" s="163">
        <v>20</v>
      </c>
      <c r="B29" s="160" t="str">
        <f>'SAF 011'!B152</f>
        <v>2.5.1-9052.740</v>
      </c>
      <c r="C29" s="169" t="str">
        <f>'SAF 011'!E152</f>
        <v>REACTIVOS P/LAB. TEC. MANUAL ; NOMBRE: ELISA P/DET. ANTIC ANTI-HBSAG, USO: DETERMINACION HEPATITIS B, PRESENTACION: ENVASE X 96 DETERM.</v>
      </c>
      <c r="D29" s="170" t="s">
        <v>32</v>
      </c>
      <c r="E29" s="161" t="str">
        <f>'SAF 011'!F152</f>
        <v>CAJA</v>
      </c>
      <c r="F29" s="177">
        <f>'SAF 011'!H152</f>
        <v>14586</v>
      </c>
      <c r="G29" s="162" t="e">
        <f>'SAF 011'!#REF!</f>
        <v>#REF!</v>
      </c>
    </row>
    <row r="30" spans="1:7" s="21" customFormat="1" ht="26.45" x14ac:dyDescent="0.3">
      <c r="A30" s="163">
        <v>21</v>
      </c>
      <c r="B30" s="160" t="str">
        <f>'SAF 011'!B153</f>
        <v>2.5.1-9052.862</v>
      </c>
      <c r="C30" s="169" t="str">
        <f>'SAF 011'!E153</f>
        <v>REACTIVOS P/LAB. TEC. MANUAL ; NOMBRE: ELISA PARA HTLV, USO: SEROLOGIA, PRESENTACION: ENVASE X 96 DETERM.</v>
      </c>
      <c r="D30" s="170" t="s">
        <v>32</v>
      </c>
      <c r="E30" s="161" t="str">
        <f>'SAF 011'!F153</f>
        <v>CAJA</v>
      </c>
      <c r="F30" s="177">
        <f>'SAF 011'!H153</f>
        <v>25747</v>
      </c>
      <c r="G30" s="162" t="e">
        <f>'SAF 011'!#REF!</f>
        <v>#REF!</v>
      </c>
    </row>
    <row r="31" spans="1:7" s="21" customFormat="1" ht="39.6" x14ac:dyDescent="0.3">
      <c r="A31" s="163">
        <v>22</v>
      </c>
      <c r="B31" s="160" t="str">
        <f>'SAF 011'!B158</f>
        <v>2.5.1-9052.2132</v>
      </c>
      <c r="C31" s="169" t="str">
        <f>'SAF 011'!E158</f>
        <v>REACTIVOS P/LAB. TEC. MANUAL ; NOMBRE: REACTIVO ANTI HBC TEC. ELECTROLIMINISCENCIA TIPO ROCHE COBAS E411 CRACK, USO: INMUNOSEROLOGIA; PRESENTACION: X 100 DETERMINACIONES.</v>
      </c>
      <c r="D31" s="170" t="s">
        <v>556</v>
      </c>
      <c r="E31" s="161" t="str">
        <f>'SAF 011'!F158</f>
        <v>CAJA</v>
      </c>
      <c r="F31" s="177">
        <f>'SAF 011'!H158</f>
        <v>41413</v>
      </c>
      <c r="G31" s="162" t="e">
        <f>'SAF 011'!#REF!</f>
        <v>#REF!</v>
      </c>
    </row>
    <row r="32" spans="1:7" s="21" customFormat="1" ht="39.6" x14ac:dyDescent="0.3">
      <c r="A32" s="163">
        <v>23</v>
      </c>
      <c r="B32" s="160" t="str">
        <f>'SAF 011'!B159</f>
        <v>2.5.1-9052.2134</v>
      </c>
      <c r="C32" s="169" t="str">
        <f>'SAF 011'!E159</f>
        <v>REACTIVOS P/LAB. TEC. MANUAL ; NOMBRE: REACTIVO ANTI HCV TEC. ELECTROLUMINISCENCIA TIPO ROCHE COBAS E411 CRACK; USO: INMUNOSEROLOGIA ; PRESENTACION: X 100 DETERMINACIONES.</v>
      </c>
      <c r="D32" s="170" t="s">
        <v>556</v>
      </c>
      <c r="E32" s="161" t="str">
        <f>'SAF 011'!F159</f>
        <v>CAJA</v>
      </c>
      <c r="F32" s="177">
        <f>'SAF 011'!H159</f>
        <v>93380</v>
      </c>
      <c r="G32" s="162" t="e">
        <f>'SAF 011'!#REF!</f>
        <v>#REF!</v>
      </c>
    </row>
    <row r="33" spans="1:7" s="21" customFormat="1" ht="39.6" x14ac:dyDescent="0.3">
      <c r="A33" s="163">
        <v>24</v>
      </c>
      <c r="B33" s="160" t="str">
        <f>'SAF 011'!B160</f>
        <v>2.5.1-9052.2133</v>
      </c>
      <c r="C33" s="169" t="str">
        <f>'SAF 011'!E160</f>
        <v>REACTIVOS P/LAB. TEC. MANUAL ; NOMBRE: REACTIVO HC1V TEC. ELECTROLUNINISCENCIA TIPO ROCHE COBAS E411 CRACK, USO: INMUNOSEROLOGIA ; PRESENTACION: X 100 DETERMINACIONES.</v>
      </c>
      <c r="D33" s="170" t="s">
        <v>556</v>
      </c>
      <c r="E33" s="161" t="str">
        <f>'SAF 011'!F160</f>
        <v>CAJA</v>
      </c>
      <c r="F33" s="177">
        <f>'SAF 011'!H160</f>
        <v>27563</v>
      </c>
      <c r="G33" s="162" t="e">
        <f>'SAF 011'!#REF!</f>
        <v>#REF!</v>
      </c>
    </row>
    <row r="34" spans="1:7" s="21" customFormat="1" ht="26.45" x14ac:dyDescent="0.3">
      <c r="A34" s="163">
        <v>25</v>
      </c>
      <c r="B34" s="160" t="str">
        <f>'SAF 011'!B161</f>
        <v>2.5.1-9052.294</v>
      </c>
      <c r="C34" s="169" t="str">
        <f>'SAF 011'!E161</f>
        <v>REACTIVOS P/LAB. TEC. MANUAL ; NOMBRE: REACTIVO HUDDLESON, USO: DIAGNOSTICO DE BRUCELOSIS, PRESENTACION: ENVASE X 5 mL</v>
      </c>
      <c r="D34" s="170" t="s">
        <v>32</v>
      </c>
      <c r="E34" s="161" t="str">
        <f>'SAF 011'!F161</f>
        <v>UNIDAD</v>
      </c>
      <c r="F34" s="177">
        <f>'SAF 011'!H161</f>
        <v>1184</v>
      </c>
      <c r="G34" s="162" t="e">
        <f>'SAF 011'!#REF!</f>
        <v>#REF!</v>
      </c>
    </row>
    <row r="35" spans="1:7" s="21" customFormat="1" ht="26.45" x14ac:dyDescent="0.3">
      <c r="A35" s="163">
        <v>26</v>
      </c>
      <c r="B35" s="160" t="str">
        <f>'SAF 011'!B163</f>
        <v>2.5.1-9052.288</v>
      </c>
      <c r="C35" s="169" t="str">
        <f>'SAF 011'!E163</f>
        <v>REACTIVOS P/LAB. TEC. MANUAL ; NOMBRE: SUERO COOMBS MONOES. ANTI-IGA, USO: HEMOTERAPIA, PRESENTACION: ENVASE X 5 mL</v>
      </c>
      <c r="D35" s="170" t="s">
        <v>32</v>
      </c>
      <c r="E35" s="161" t="str">
        <f>'SAF 011'!F163</f>
        <v>UNIDAD</v>
      </c>
      <c r="F35" s="177">
        <f>'SAF 011'!H163</f>
        <v>1325</v>
      </c>
      <c r="G35" s="162" t="e">
        <f>'SAF 011'!#REF!</f>
        <v>#REF!</v>
      </c>
    </row>
    <row r="36" spans="1:7" s="21" customFormat="1" ht="26.45" x14ac:dyDescent="0.3">
      <c r="A36" s="163">
        <v>27</v>
      </c>
      <c r="B36" s="160" t="str">
        <f>'SAF 011'!B166</f>
        <v>2.5.1-9052.247</v>
      </c>
      <c r="C36" s="169" t="str">
        <f>'SAF 011'!E166</f>
        <v>REACTIVOS P/LAB. TEC. MANUAL ; NOMBRE: SUERO HEMOTIPIFICADOR ANTI-AB, USO: HEMOTERAPIA, PRESENTACION: ENVASE X 10 mL</v>
      </c>
      <c r="D36" s="170" t="s">
        <v>32</v>
      </c>
      <c r="E36" s="161" t="str">
        <f>'SAF 011'!F166</f>
        <v>CAJA</v>
      </c>
      <c r="F36" s="177">
        <f>'SAF 011'!H166</f>
        <v>888</v>
      </c>
      <c r="G36" s="162" t="e">
        <f>'SAF 011'!#REF!</f>
        <v>#REF!</v>
      </c>
    </row>
    <row r="37" spans="1:7" s="21" customFormat="1" ht="26.45" x14ac:dyDescent="0.3">
      <c r="A37" s="163">
        <v>28</v>
      </c>
      <c r="B37" s="160" t="str">
        <f>'SAF 011'!B170</f>
        <v>2.5.1-9052.354</v>
      </c>
      <c r="C37" s="169" t="str">
        <f>'SAF 011'!E170</f>
        <v>REACTIVOS P/LAB. TEC. MANUAL ; NOMBRE: TOXOTEST HAI, USO: INMUNOLOGIA, PRESENTACION: ENVASE X 96 DETERM.</v>
      </c>
      <c r="D37" s="170" t="s">
        <v>556</v>
      </c>
      <c r="E37" s="161" t="str">
        <f>'SAF 011'!F170</f>
        <v>CAJA</v>
      </c>
      <c r="F37" s="177">
        <f>'SAF 011'!H170</f>
        <v>16645</v>
      </c>
      <c r="G37" s="162" t="e">
        <f>'SAF 011'!#REF!</f>
        <v>#REF!</v>
      </c>
    </row>
    <row r="38" spans="1:7" s="21" customFormat="1" ht="26.45" x14ac:dyDescent="0.3">
      <c r="A38" s="163">
        <v>29</v>
      </c>
      <c r="B38" s="160" t="str">
        <f>'SAF 011'!B172</f>
        <v>2.5.1-9052.645</v>
      </c>
      <c r="C38" s="169" t="str">
        <f>'SAF 011'!E172</f>
        <v>REACTIVOS P/LAB. TEC. MANUAL ; NOMBRE: VDRL, USO: DIAGNOSTICO, PRESENTACION: ENVASE X 250 DETERM.</v>
      </c>
      <c r="D38" s="170" t="s">
        <v>32</v>
      </c>
      <c r="E38" s="161" t="str">
        <f>'SAF 011'!F172</f>
        <v>CAJA</v>
      </c>
      <c r="F38" s="177">
        <f>'SAF 011'!H172</f>
        <v>3800</v>
      </c>
      <c r="G38" s="162" t="e">
        <f>'SAF 011'!#REF!</f>
        <v>#REF!</v>
      </c>
    </row>
    <row r="39" spans="1:7" s="21" customFormat="1" ht="26.45" x14ac:dyDescent="0.3">
      <c r="A39" s="163">
        <v>30</v>
      </c>
      <c r="B39" s="160" t="str">
        <f>'SAF 011'!B173</f>
        <v>2.5.1-9052.2123</v>
      </c>
      <c r="C39" s="169" t="str">
        <f>'SAF 011'!E173</f>
        <v>REACTIVOS P/LAB. TEC. MANUAL ; NOMBRE:SARS- COV-2 IGM CONTROL, USO: IDENTIFICACION DE ANTICUERPOS, PRESENTACION: 2 X ENVASE X 10 ML</v>
      </c>
      <c r="D39" s="170" t="s">
        <v>32</v>
      </c>
      <c r="E39" s="161" t="str">
        <f>'SAF 011'!F173</f>
        <v>CAJA</v>
      </c>
      <c r="F39" s="177">
        <f>'SAF 011'!H173</f>
        <v>17788</v>
      </c>
      <c r="G39" s="162" t="e">
        <f>'SAF 011'!#REF!</f>
        <v>#REF!</v>
      </c>
    </row>
    <row r="40" spans="1:7" s="21" customFormat="1" ht="26.45" x14ac:dyDescent="0.3">
      <c r="A40" s="163">
        <v>31</v>
      </c>
      <c r="B40" s="160" t="str">
        <f>'SAF 011'!B174</f>
        <v>2.5.1-9052.2155</v>
      </c>
      <c r="C40" s="169" t="str">
        <f>'SAF 011'!E174</f>
        <v>REACTIVOS P/LAB. TEC. MANUAL, NOMBRE:CMV CITOMEGALOVIRUS IGM , USO: METODO ELISA TIPO WIENER, PRESENTACION: 96 DETERMINACIONES</v>
      </c>
      <c r="D40" s="170" t="s">
        <v>556</v>
      </c>
      <c r="E40" s="161" t="str">
        <f>'SAF 011'!F174</f>
        <v>CAJA</v>
      </c>
      <c r="F40" s="177">
        <f>'SAF 011'!H174</f>
        <v>19749</v>
      </c>
      <c r="G40" s="162" t="e">
        <f>'SAF 011'!#REF!</f>
        <v>#REF!</v>
      </c>
    </row>
    <row r="41" spans="1:7" s="21" customFormat="1" ht="39.6" x14ac:dyDescent="0.3">
      <c r="A41" s="163">
        <v>32</v>
      </c>
      <c r="B41" s="160" t="str">
        <f>'SAF 011'!B178</f>
        <v>2.5.1-9052.2127</v>
      </c>
      <c r="C41" s="169" t="str">
        <f>'SAF 011'!E178</f>
        <v>REACTIVOS P/LAB. TEC. MANUAL; NOMBRE: REACTIVO PARA HEPATITIS C, USO: DETECCION DE ANTIGENO- ANTICUERPO TIPO BIORAD ; PRESENTACION: X 96 DETERMINACIONES.</v>
      </c>
      <c r="D41" s="170" t="s">
        <v>32</v>
      </c>
      <c r="E41" s="161" t="str">
        <f>'SAF 011'!F178</f>
        <v>CAJA</v>
      </c>
      <c r="F41" s="177">
        <f>'SAF 011'!H178</f>
        <v>130000</v>
      </c>
      <c r="G41" s="162" t="e">
        <f>'SAF 011'!#REF!</f>
        <v>#REF!</v>
      </c>
    </row>
    <row r="42" spans="1:7" s="21" customFormat="1" ht="39.6" x14ac:dyDescent="0.3">
      <c r="A42" s="163">
        <v>33</v>
      </c>
      <c r="B42" s="160" t="str">
        <f>'SAF 011'!B179</f>
        <v>2.5.1-9052.2128</v>
      </c>
      <c r="C42" s="169" t="str">
        <f>'SAF 011'!E179</f>
        <v>REACTIVOS P/LAB. TEC: MANUAL; NOMBRE: DETECCION DE ANTI HB CORE POR METODO DE ELISA EN MICROPLACAS, USO: INMUNOSEROLOGIA TIPO BIORAD; PRESENTACION: X 96 DETERMINACIONES</v>
      </c>
      <c r="D42" s="170" t="s">
        <v>32</v>
      </c>
      <c r="E42" s="161" t="str">
        <f>'SAF 011'!F179</f>
        <v>CAJA</v>
      </c>
      <c r="F42" s="177">
        <f>'SAF 011'!H179</f>
        <v>20160</v>
      </c>
      <c r="G42" s="162" t="e">
        <f>'SAF 011'!#REF!</f>
        <v>#REF!</v>
      </c>
    </row>
    <row r="43" spans="1:7" s="21" customFormat="1" ht="39.6" x14ac:dyDescent="0.3">
      <c r="A43" s="163">
        <v>34</v>
      </c>
      <c r="B43" s="160" t="str">
        <f>'SAF 011'!B180</f>
        <v>2.5.1-9052.2162</v>
      </c>
      <c r="C43" s="169" t="str">
        <f>'SAF 011'!E180</f>
        <v>REACTIVOS PARA LABORATORIO TEC. MANUAL, NOMBRE: CHAGATEST ELISA LISADO TIPO WIENER , USO: DIAGNOSTICO, PRESENTACION: CAJA X 96 DETERMINACIONES</v>
      </c>
      <c r="D43" s="170" t="s">
        <v>556</v>
      </c>
      <c r="E43" s="161" t="str">
        <f>'SAF 011'!F180</f>
        <v>CAJA</v>
      </c>
      <c r="F43" s="177">
        <f>'SAF 011'!H180</f>
        <v>10206</v>
      </c>
      <c r="G43" s="162" t="e">
        <f>'SAF 011'!#REF!</f>
        <v>#REF!</v>
      </c>
    </row>
    <row r="44" spans="1:7" s="21" customFormat="1" ht="39.6" x14ac:dyDescent="0.3">
      <c r="A44" s="163">
        <v>35</v>
      </c>
      <c r="B44" s="160" t="str">
        <f>'SAF 011'!B181</f>
        <v>2.5.1-9052.2161</v>
      </c>
      <c r="C44" s="169" t="str">
        <f>'SAF 011'!E181</f>
        <v>REACTIVOS PARA LABORATORIO TEC. MANUAL, NOMBRE: CHAGATEST ELISA RECOMBINANTE (V4,0) TIPO WIENER , USO: DIAGNOSTICO , PRESENTACION: CAJA X 96 DETERMINACIONES</v>
      </c>
      <c r="D44" s="170" t="s">
        <v>556</v>
      </c>
      <c r="E44" s="161" t="str">
        <f>'SAF 011'!F181</f>
        <v>CAJA</v>
      </c>
      <c r="F44" s="177">
        <f>'SAF 011'!H181</f>
        <v>11295</v>
      </c>
      <c r="G44" s="162" t="e">
        <f>'SAF 011'!#REF!</f>
        <v>#REF!</v>
      </c>
    </row>
    <row r="45" spans="1:7" s="21" customFormat="1" ht="26.45" x14ac:dyDescent="0.3">
      <c r="A45" s="163">
        <v>36</v>
      </c>
      <c r="B45" s="160" t="str">
        <f>'SAF 011'!B182</f>
        <v>2.5.1-9052.2156</v>
      </c>
      <c r="C45" s="169" t="str">
        <f>'SAF 011'!E182</f>
        <v>REACTIVOS PARA LABORATORIO TEC. MANUAL, NOMBRE: IDENTIERA DIANA, USO: DIAGNOSTICO, PRESENTACION: CAJA DE 11 FRASCOS DE 5ML</v>
      </c>
      <c r="D45" s="170" t="s">
        <v>556</v>
      </c>
      <c r="E45" s="161" t="str">
        <f>'SAF 011'!F182</f>
        <v>CAJA</v>
      </c>
      <c r="F45" s="177">
        <f>'SAF 011'!H182</f>
        <v>29160</v>
      </c>
      <c r="G45" s="162" t="e">
        <f>'SAF 011'!#REF!</f>
        <v>#REF!</v>
      </c>
    </row>
    <row r="46" spans="1:7" s="21" customFormat="1" ht="26.45" x14ac:dyDescent="0.3">
      <c r="A46" s="163">
        <v>37</v>
      </c>
      <c r="B46" s="160" t="str">
        <f>'SAF 011'!B183</f>
        <v>2.5.1-9052.2157</v>
      </c>
      <c r="C46" s="169" t="str">
        <f>'SAF 011'!E183</f>
        <v>REACTIVOS PARA LABORATORIO TEC. MANUAL, NOMBRE: PANEL SARASCAN DIANA 2, USO: DIAGNOSTICO, PRESENTACION: CAJA X 2 FRASCO DE 10ML</v>
      </c>
      <c r="D46" s="170" t="s">
        <v>556</v>
      </c>
      <c r="E46" s="161" t="str">
        <f>'SAF 011'!F183</f>
        <v>CAJA</v>
      </c>
      <c r="F46" s="177">
        <f>'SAF 011'!H183</f>
        <v>22500</v>
      </c>
      <c r="G46" s="162" t="e">
        <f>'SAF 011'!#REF!</f>
        <v>#REF!</v>
      </c>
    </row>
    <row r="47" spans="1:7" s="21" customFormat="1" ht="26.45" x14ac:dyDescent="0.3">
      <c r="A47" s="163">
        <v>38</v>
      </c>
      <c r="B47" s="160" t="str">
        <f>'SAF 011'!B184</f>
        <v>2.5.1-9052.2159</v>
      </c>
      <c r="C47" s="169" t="str">
        <f>'SAF 011'!E184</f>
        <v>REACTIVOS PARA LABORATORIO TEC. MANUAL, NOMBRE: PANEL SERIGROUP DIANA A1/B, USO: DIAGNOSTICO, PRESENTACION: CAJA 1 X 10ML</v>
      </c>
      <c r="D47" s="170" t="s">
        <v>32</v>
      </c>
      <c r="E47" s="161" t="str">
        <f>'SAF 011'!F184</f>
        <v>CAJA</v>
      </c>
      <c r="F47" s="177">
        <f>'SAF 011'!H184</f>
        <v>12900</v>
      </c>
      <c r="G47" s="162" t="e">
        <f>'SAF 011'!#REF!</f>
        <v>#REF!</v>
      </c>
    </row>
    <row r="48" spans="1:7" s="21" customFormat="1" ht="26.45" x14ac:dyDescent="0.3">
      <c r="A48" s="163">
        <v>39</v>
      </c>
      <c r="B48" s="160" t="str">
        <f>'SAF 011'!B185</f>
        <v>2.5.1-9052.2158</v>
      </c>
      <c r="C48" s="169" t="str">
        <f>'SAF 011'!E185</f>
        <v>REACTIVOS PARA LABORATORIO TEC. MANUAL, NOMBRE: PANEL SERO CYTE, USO: DIAGNOSTICO, PRESENTACION: CAJA X 3 UNID. DE 10ML</v>
      </c>
      <c r="D48" s="170" t="s">
        <v>32</v>
      </c>
      <c r="E48" s="161" t="str">
        <f>'SAF 011'!F185</f>
        <v>CAJA</v>
      </c>
      <c r="F48" s="177">
        <f>'SAF 011'!H185</f>
        <v>18500</v>
      </c>
      <c r="G48" s="162" t="e">
        <f>'SAF 011'!#REF!</f>
        <v>#REF!</v>
      </c>
    </row>
    <row r="49" spans="1:7" s="21" customFormat="1" ht="26.45" x14ac:dyDescent="0.3">
      <c r="A49" s="163">
        <v>40</v>
      </c>
      <c r="B49" s="160" t="str">
        <f>'SAF 011'!B186</f>
        <v>2.5.1-9052.2160</v>
      </c>
      <c r="C49" s="169" t="str">
        <f>'SAF 011'!E186</f>
        <v>REACTIVOS PARA LABORATORIO TEC. MANUAL; NOMBRE: SOLUCION DG SOL, USO: DIAGNOSTICO, PRESENTACION: CAJA X 2 UNID 100ML</v>
      </c>
      <c r="D49" s="170" t="s">
        <v>556</v>
      </c>
      <c r="E49" s="161" t="str">
        <f>'SAF 011'!F186</f>
        <v>CAJA</v>
      </c>
      <c r="F49" s="177">
        <f>'SAF 011'!H186</f>
        <v>4980</v>
      </c>
      <c r="G49" s="162" t="e">
        <f>'SAF 011'!#REF!</f>
        <v>#REF!</v>
      </c>
    </row>
    <row r="50" spans="1:7" s="21" customFormat="1" x14ac:dyDescent="0.3">
      <c r="A50" s="199" t="s">
        <v>591</v>
      </c>
      <c r="B50" s="200"/>
      <c r="C50" s="200"/>
      <c r="D50" s="200"/>
      <c r="E50" s="201"/>
      <c r="F50" s="197" t="e">
        <f>SUMPRODUCT(F10:F49,G10:G49)</f>
        <v>#REF!</v>
      </c>
      <c r="G50" s="198"/>
    </row>
    <row r="51" spans="1:7" ht="14.45" x14ac:dyDescent="0.3">
      <c r="A51" s="164"/>
      <c r="B51" s="173"/>
      <c r="C51" s="164"/>
      <c r="D51" s="164"/>
      <c r="E51" s="164"/>
      <c r="F51" s="178"/>
      <c r="G51" s="164"/>
    </row>
  </sheetData>
  <mergeCells count="3">
    <mergeCell ref="B1:F1"/>
    <mergeCell ref="F50:G50"/>
    <mergeCell ref="A50:E50"/>
  </mergeCells>
  <pageMargins left="0.43307086614173229" right="0.23622047244094488" top="0.3543307086614173" bottom="0.3543307086614173" header="0.31496062992125984" footer="0.31496062992125984"/>
  <pageSetup paperSize="14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42"/>
  <sheetViews>
    <sheetView view="pageBreakPreview" topLeftCell="A4" zoomScaleNormal="100" zoomScaleSheetLayoutView="100" workbookViewId="0">
      <selection activeCell="A39" sqref="A39:Q39"/>
    </sheetView>
  </sheetViews>
  <sheetFormatPr baseColWidth="10" defaultRowHeight="15" x14ac:dyDescent="0.25"/>
  <cols>
    <col min="1" max="5" width="4.42578125" customWidth="1"/>
    <col min="6" max="6" width="5" bestFit="1" customWidth="1"/>
    <col min="7" max="14" width="4.42578125" customWidth="1"/>
    <col min="15" max="15" width="14.85546875" customWidth="1"/>
    <col min="16" max="16" width="6.7109375" customWidth="1"/>
    <col min="17" max="17" width="14.7109375" customWidth="1"/>
  </cols>
  <sheetData>
    <row r="1" spans="1:17" ht="15.75" thickBot="1" x14ac:dyDescent="0.3">
      <c r="A1" s="218" t="s">
        <v>4</v>
      </c>
      <c r="B1" s="218"/>
      <c r="C1" s="218"/>
      <c r="D1" s="219">
        <v>2022</v>
      </c>
      <c r="E1" s="219"/>
      <c r="F1" s="24"/>
      <c r="G1" s="24"/>
      <c r="H1" s="25"/>
      <c r="I1" s="25"/>
      <c r="J1" s="25"/>
      <c r="K1" s="25"/>
      <c r="L1" s="25"/>
      <c r="M1" s="25"/>
      <c r="N1" s="25"/>
      <c r="O1" s="26"/>
      <c r="P1" s="220" t="s">
        <v>530</v>
      </c>
      <c r="Q1" s="220"/>
    </row>
    <row r="2" spans="1:17" ht="15.75" thickBot="1" x14ac:dyDescent="0.3">
      <c r="A2" s="27"/>
      <c r="G2" s="28"/>
      <c r="H2" s="29"/>
      <c r="I2" s="29"/>
      <c r="J2" s="29"/>
      <c r="K2" s="29"/>
      <c r="L2" s="29"/>
      <c r="M2" s="29"/>
      <c r="N2" s="29"/>
      <c r="P2" s="220"/>
      <c r="Q2" s="220"/>
    </row>
    <row r="3" spans="1:17" thickBot="1" x14ac:dyDescent="0.35">
      <c r="A3" s="27"/>
      <c r="G3" s="28"/>
      <c r="Q3" s="30"/>
    </row>
    <row r="4" spans="1:17" ht="15.75" thickBot="1" x14ac:dyDescent="0.3">
      <c r="A4" s="221" t="s">
        <v>531</v>
      </c>
      <c r="B4" s="221"/>
      <c r="C4" s="221"/>
      <c r="D4" s="221"/>
      <c r="E4" s="221"/>
      <c r="F4" s="221"/>
      <c r="G4" s="222" t="str">
        <f>'NP BCO DE SANGRE'!C2</f>
        <v>040 - MINISTERIO DE SALUD</v>
      </c>
      <c r="H4" s="222"/>
      <c r="I4" s="222"/>
      <c r="J4" s="222"/>
      <c r="K4" s="222"/>
      <c r="L4" s="222"/>
      <c r="M4" s="222"/>
      <c r="N4" s="222"/>
      <c r="O4" s="222"/>
      <c r="P4" s="222"/>
      <c r="Q4" s="222"/>
    </row>
    <row r="5" spans="1:17" thickBot="1" x14ac:dyDescent="0.35">
      <c r="A5" s="223" t="s">
        <v>25</v>
      </c>
      <c r="B5" s="223"/>
      <c r="C5" s="223"/>
      <c r="D5" s="223"/>
      <c r="E5" s="223"/>
      <c r="F5" s="223"/>
      <c r="G5" s="222" t="str">
        <f>'NP BCO DE SANGRE'!C3</f>
        <v>011 - DIRECCION PROVINCIAL DE ADMINISTRACION - MINISTERIO DE SALUD</v>
      </c>
      <c r="H5" s="222"/>
      <c r="I5" s="222"/>
      <c r="J5" s="222"/>
      <c r="K5" s="222"/>
      <c r="L5" s="222"/>
      <c r="M5" s="222"/>
      <c r="N5" s="222"/>
      <c r="O5" s="222"/>
      <c r="P5" s="222"/>
      <c r="Q5" s="222"/>
    </row>
    <row r="6" spans="1:17" thickBot="1" x14ac:dyDescent="0.35">
      <c r="A6" s="223" t="s">
        <v>26</v>
      </c>
      <c r="B6" s="223"/>
      <c r="C6" s="223"/>
      <c r="D6" s="223"/>
      <c r="E6" s="223"/>
      <c r="F6" s="223"/>
      <c r="G6" s="222" t="str">
        <f>'NP BCO DE SANGRE'!C4</f>
        <v>747 - DIRECCION PROVINCIAL BANCO DE SANGRE</v>
      </c>
      <c r="H6" s="222"/>
      <c r="I6" s="222"/>
      <c r="J6" s="222"/>
      <c r="K6" s="222"/>
      <c r="L6" s="222"/>
      <c r="M6" s="222"/>
      <c r="N6" s="222"/>
      <c r="O6" s="222"/>
      <c r="P6" s="222"/>
      <c r="Q6" s="222"/>
    </row>
    <row r="7" spans="1:17" thickBot="1" x14ac:dyDescent="0.35">
      <c r="A7" s="223" t="s">
        <v>27</v>
      </c>
      <c r="B7" s="223"/>
      <c r="C7" s="223"/>
      <c r="D7" s="223"/>
      <c r="E7" s="223"/>
      <c r="F7" s="223"/>
      <c r="G7" s="222" t="str">
        <f>'NP BCO DE SANGRE'!C5</f>
        <v>747 - DIRECCION PROVINCIAL BANCO DE SANGRE</v>
      </c>
      <c r="H7" s="222"/>
      <c r="I7" s="222"/>
      <c r="J7" s="222"/>
      <c r="K7" s="222"/>
      <c r="L7" s="222"/>
      <c r="M7" s="222"/>
      <c r="N7" s="222"/>
      <c r="O7" s="222"/>
      <c r="P7" s="222"/>
      <c r="Q7" s="222"/>
    </row>
    <row r="8" spans="1:17" ht="15.75" thickBot="1" x14ac:dyDescent="0.3">
      <c r="A8" s="224" t="s">
        <v>532</v>
      </c>
      <c r="B8" s="224"/>
      <c r="C8" s="224"/>
      <c r="D8" s="224"/>
      <c r="E8" s="224"/>
      <c r="F8" s="224"/>
      <c r="G8" s="224"/>
      <c r="H8" s="224"/>
      <c r="I8" s="224"/>
      <c r="J8" s="224"/>
      <c r="K8" s="224"/>
      <c r="L8" s="224"/>
      <c r="M8" s="224"/>
      <c r="N8" s="224"/>
      <c r="O8" s="224"/>
      <c r="P8" s="224"/>
      <c r="Q8" s="224"/>
    </row>
    <row r="9" spans="1:17" x14ac:dyDescent="0.25">
      <c r="A9" s="217" t="s">
        <v>533</v>
      </c>
      <c r="B9" s="217"/>
      <c r="C9" s="217"/>
      <c r="D9" s="217"/>
      <c r="E9" s="217"/>
      <c r="F9" s="217"/>
      <c r="G9" s="217"/>
      <c r="H9" s="217"/>
      <c r="I9" s="217"/>
      <c r="J9" s="217"/>
      <c r="K9" s="217"/>
      <c r="L9" s="217"/>
      <c r="M9" s="217"/>
      <c r="N9" s="217"/>
      <c r="O9" s="217"/>
      <c r="P9" s="217"/>
      <c r="Q9" s="217"/>
    </row>
    <row r="10" spans="1:17" ht="46.5" customHeight="1" x14ac:dyDescent="0.25">
      <c r="A10" s="210" t="s">
        <v>552</v>
      </c>
      <c r="B10" s="210"/>
      <c r="C10" s="210"/>
      <c r="D10" s="210"/>
      <c r="E10" s="210"/>
      <c r="F10" s="210"/>
      <c r="G10" s="210"/>
      <c r="H10" s="210"/>
      <c r="I10" s="210"/>
      <c r="J10" s="210"/>
      <c r="K10" s="210"/>
      <c r="L10" s="210"/>
      <c r="M10" s="210"/>
      <c r="N10" s="210"/>
      <c r="O10" s="210"/>
      <c r="P10" s="210"/>
      <c r="Q10" s="210"/>
    </row>
    <row r="11" spans="1:17" thickBot="1" x14ac:dyDescent="0.35">
      <c r="A11" s="31"/>
      <c r="B11" s="32"/>
      <c r="C11" s="32"/>
      <c r="D11" s="32"/>
      <c r="E11" s="32"/>
      <c r="F11" s="32"/>
      <c r="G11" s="33"/>
      <c r="H11" s="32"/>
      <c r="I11" s="32"/>
      <c r="J11" s="32"/>
      <c r="K11" s="32"/>
      <c r="L11" s="32"/>
      <c r="M11" s="32"/>
      <c r="N11" s="32"/>
      <c r="O11" s="32"/>
      <c r="P11" s="32"/>
      <c r="Q11" s="34"/>
    </row>
    <row r="12" spans="1:17" ht="15.75" thickBot="1" x14ac:dyDescent="0.3">
      <c r="A12" s="211" t="s">
        <v>534</v>
      </c>
      <c r="B12" s="211"/>
      <c r="C12" s="211"/>
      <c r="D12" s="211"/>
      <c r="E12" s="211"/>
      <c r="F12" s="211"/>
      <c r="G12" s="211"/>
      <c r="H12" s="211"/>
      <c r="I12" s="211"/>
      <c r="J12" s="211"/>
      <c r="K12" s="211"/>
      <c r="L12" s="211"/>
      <c r="M12" s="211"/>
      <c r="N12" s="211"/>
      <c r="O12" s="211"/>
      <c r="P12" s="211"/>
      <c r="Q12" s="211"/>
    </row>
    <row r="13" spans="1:17" ht="15.75" thickBot="1" x14ac:dyDescent="0.3">
      <c r="A13" s="212" t="s">
        <v>535</v>
      </c>
      <c r="B13" s="212"/>
      <c r="C13" s="212"/>
      <c r="D13" s="212"/>
      <c r="E13" s="212"/>
      <c r="F13" s="212"/>
      <c r="G13" s="212"/>
      <c r="H13" s="212"/>
      <c r="I13" s="212"/>
      <c r="J13" s="212"/>
      <c r="K13" s="212"/>
      <c r="L13" s="212"/>
      <c r="M13" s="212"/>
      <c r="N13" s="212"/>
      <c r="O13" s="213" t="s">
        <v>536</v>
      </c>
      <c r="P13" s="213"/>
      <c r="Q13" s="214" t="s">
        <v>537</v>
      </c>
    </row>
    <row r="14" spans="1:17" ht="42" customHeight="1" thickBot="1" x14ac:dyDescent="0.3">
      <c r="A14" s="35" t="s">
        <v>538</v>
      </c>
      <c r="B14" s="36" t="s">
        <v>539</v>
      </c>
      <c r="C14" s="36" t="s">
        <v>540</v>
      </c>
      <c r="D14" s="36" t="s">
        <v>541</v>
      </c>
      <c r="E14" s="36" t="s">
        <v>542</v>
      </c>
      <c r="F14" s="36" t="s">
        <v>543</v>
      </c>
      <c r="G14" s="37" t="s">
        <v>544</v>
      </c>
      <c r="H14" s="36" t="s">
        <v>545</v>
      </c>
      <c r="I14" s="36" t="s">
        <v>546</v>
      </c>
      <c r="J14" s="36" t="s">
        <v>547</v>
      </c>
      <c r="K14" s="36" t="s">
        <v>547</v>
      </c>
      <c r="L14" s="36" t="s">
        <v>548</v>
      </c>
      <c r="M14" s="38" t="s">
        <v>549</v>
      </c>
      <c r="N14" s="39" t="s">
        <v>550</v>
      </c>
      <c r="O14" s="213"/>
      <c r="P14" s="213"/>
      <c r="Q14" s="214"/>
    </row>
    <row r="15" spans="1:17" ht="14.45" x14ac:dyDescent="0.3">
      <c r="A15" s="40">
        <v>27</v>
      </c>
      <c r="B15" s="41"/>
      <c r="C15" s="41"/>
      <c r="D15" s="41">
        <v>1</v>
      </c>
      <c r="E15" s="41"/>
      <c r="F15" s="41">
        <v>4901</v>
      </c>
      <c r="G15" s="41">
        <v>3</v>
      </c>
      <c r="H15" s="41">
        <v>1</v>
      </c>
      <c r="I15" s="41">
        <v>2</v>
      </c>
      <c r="J15" s="41">
        <v>5</v>
      </c>
      <c r="K15" s="41">
        <v>1</v>
      </c>
      <c r="L15" s="41"/>
      <c r="M15" s="42">
        <v>1</v>
      </c>
      <c r="N15" s="41" t="s">
        <v>553</v>
      </c>
      <c r="O15" s="215" t="s">
        <v>554</v>
      </c>
      <c r="P15" s="215"/>
      <c r="Q15" s="43" t="e">
        <f>'NP BCO DE SANGRE'!F50</f>
        <v>#REF!</v>
      </c>
    </row>
    <row r="16" spans="1:17" ht="14.45" x14ac:dyDescent="0.3">
      <c r="A16" s="44"/>
      <c r="B16" s="45"/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6"/>
      <c r="N16" s="47"/>
      <c r="O16" s="205"/>
      <c r="P16" s="205"/>
      <c r="Q16" s="48"/>
    </row>
    <row r="17" spans="1:17" ht="14.45" x14ac:dyDescent="0.3">
      <c r="A17" s="44"/>
      <c r="B17" s="45"/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6"/>
      <c r="N17" s="47"/>
      <c r="O17" s="216"/>
      <c r="P17" s="216"/>
      <c r="Q17" s="48"/>
    </row>
    <row r="18" spans="1:17" ht="14.45" x14ac:dyDescent="0.3">
      <c r="A18" s="44"/>
      <c r="B18" s="45"/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6"/>
      <c r="N18" s="47"/>
      <c r="O18" s="209"/>
      <c r="P18" s="209"/>
      <c r="Q18" s="48"/>
    </row>
    <row r="19" spans="1:17" ht="14.45" x14ac:dyDescent="0.3">
      <c r="A19" s="44"/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6"/>
      <c r="N19" s="47"/>
      <c r="O19" s="209"/>
      <c r="P19" s="209"/>
      <c r="Q19" s="48"/>
    </row>
    <row r="20" spans="1:17" ht="14.45" x14ac:dyDescent="0.3">
      <c r="A20" s="44"/>
      <c r="B20" s="45"/>
      <c r="C20" s="45"/>
      <c r="D20" s="45"/>
      <c r="E20" s="45"/>
      <c r="F20" s="45"/>
      <c r="G20" s="45"/>
      <c r="H20" s="45"/>
      <c r="I20" s="45"/>
      <c r="J20" s="45"/>
      <c r="K20" s="45"/>
      <c r="L20" s="45"/>
      <c r="M20" s="46"/>
      <c r="N20" s="47"/>
      <c r="O20" s="209"/>
      <c r="P20" s="209"/>
      <c r="Q20" s="48"/>
    </row>
    <row r="21" spans="1:17" ht="14.45" x14ac:dyDescent="0.3">
      <c r="A21" s="44"/>
      <c r="B21" s="45"/>
      <c r="C21" s="45"/>
      <c r="D21" s="45"/>
      <c r="E21" s="45"/>
      <c r="F21" s="45"/>
      <c r="G21" s="45"/>
      <c r="H21" s="45"/>
      <c r="I21" s="45"/>
      <c r="J21" s="45"/>
      <c r="K21" s="45"/>
      <c r="L21" s="45"/>
      <c r="M21" s="46"/>
      <c r="N21" s="47"/>
      <c r="O21" s="209"/>
      <c r="P21" s="209"/>
      <c r="Q21" s="48"/>
    </row>
    <row r="22" spans="1:17" ht="14.45" x14ac:dyDescent="0.3">
      <c r="A22" s="44"/>
      <c r="B22" s="45"/>
      <c r="C22" s="45"/>
      <c r="D22" s="45"/>
      <c r="E22" s="45"/>
      <c r="F22" s="45"/>
      <c r="G22" s="45"/>
      <c r="H22" s="45"/>
      <c r="I22" s="45"/>
      <c r="J22" s="45"/>
      <c r="K22" s="45"/>
      <c r="L22" s="45"/>
      <c r="M22" s="46"/>
      <c r="N22" s="47"/>
      <c r="O22" s="209"/>
      <c r="P22" s="209"/>
      <c r="Q22" s="48"/>
    </row>
    <row r="23" spans="1:17" ht="14.45" x14ac:dyDescent="0.3">
      <c r="A23" s="44"/>
      <c r="B23" s="45"/>
      <c r="C23" s="45"/>
      <c r="D23" s="45"/>
      <c r="E23" s="45"/>
      <c r="F23" s="45"/>
      <c r="G23" s="45"/>
      <c r="H23" s="45"/>
      <c r="I23" s="45"/>
      <c r="J23" s="45"/>
      <c r="K23" s="45"/>
      <c r="L23" s="45"/>
      <c r="M23" s="46"/>
      <c r="N23" s="47"/>
      <c r="O23" s="209"/>
      <c r="P23" s="209"/>
      <c r="Q23" s="48"/>
    </row>
    <row r="24" spans="1:17" ht="14.45" x14ac:dyDescent="0.3">
      <c r="A24" s="44"/>
      <c r="B24" s="45"/>
      <c r="C24" s="45"/>
      <c r="D24" s="45"/>
      <c r="E24" s="45"/>
      <c r="F24" s="45"/>
      <c r="G24" s="45"/>
      <c r="H24" s="45"/>
      <c r="I24" s="45"/>
      <c r="J24" s="45"/>
      <c r="K24" s="45"/>
      <c r="L24" s="45"/>
      <c r="M24" s="46"/>
      <c r="N24" s="47"/>
      <c r="O24" s="209"/>
      <c r="P24" s="209"/>
      <c r="Q24" s="48"/>
    </row>
    <row r="25" spans="1:17" ht="14.45" x14ac:dyDescent="0.3">
      <c r="A25" s="44"/>
      <c r="B25" s="45"/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6"/>
      <c r="N25" s="47"/>
      <c r="O25" s="209"/>
      <c r="P25" s="209"/>
      <c r="Q25" s="48"/>
    </row>
    <row r="26" spans="1:17" ht="14.45" x14ac:dyDescent="0.3">
      <c r="A26" s="44"/>
      <c r="B26" s="45"/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6"/>
      <c r="N26" s="47"/>
      <c r="O26" s="209"/>
      <c r="P26" s="209"/>
      <c r="Q26" s="48"/>
    </row>
    <row r="27" spans="1:17" ht="14.45" x14ac:dyDescent="0.3">
      <c r="A27" s="44"/>
      <c r="B27" s="45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6"/>
      <c r="N27" s="47"/>
      <c r="O27" s="209"/>
      <c r="P27" s="209"/>
      <c r="Q27" s="48"/>
    </row>
    <row r="28" spans="1:17" ht="14.45" x14ac:dyDescent="0.3">
      <c r="A28" s="44"/>
      <c r="B28" s="45"/>
      <c r="C28" s="45"/>
      <c r="D28" s="45"/>
      <c r="E28" s="45"/>
      <c r="F28" s="45"/>
      <c r="G28" s="45"/>
      <c r="H28" s="45"/>
      <c r="I28" s="45"/>
      <c r="J28" s="45"/>
      <c r="K28" s="45"/>
      <c r="L28" s="45"/>
      <c r="M28" s="46"/>
      <c r="N28" s="47"/>
      <c r="O28" s="209"/>
      <c r="P28" s="209"/>
      <c r="Q28" s="48"/>
    </row>
    <row r="29" spans="1:17" ht="14.45" x14ac:dyDescent="0.3">
      <c r="A29" s="44"/>
      <c r="B29" s="45"/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6"/>
      <c r="N29" s="47"/>
      <c r="O29" s="209"/>
      <c r="P29" s="209"/>
      <c r="Q29" s="48"/>
    </row>
    <row r="30" spans="1:17" ht="14.45" x14ac:dyDescent="0.3">
      <c r="A30" s="44"/>
      <c r="B30" s="45"/>
      <c r="C30" s="45"/>
      <c r="D30" s="45"/>
      <c r="E30" s="45"/>
      <c r="F30" s="45"/>
      <c r="G30" s="45"/>
      <c r="H30" s="45"/>
      <c r="I30" s="45"/>
      <c r="J30" s="45"/>
      <c r="K30" s="45"/>
      <c r="L30" s="45"/>
      <c r="M30" s="46"/>
      <c r="N30" s="47"/>
      <c r="O30" s="209"/>
      <c r="P30" s="209"/>
      <c r="Q30" s="48"/>
    </row>
    <row r="31" spans="1:17" ht="14.45" x14ac:dyDescent="0.3">
      <c r="A31" s="44"/>
      <c r="B31" s="45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6"/>
      <c r="N31" s="47"/>
      <c r="O31" s="209"/>
      <c r="P31" s="209"/>
      <c r="Q31" s="48"/>
    </row>
    <row r="32" spans="1:17" ht="14.45" x14ac:dyDescent="0.3">
      <c r="A32" s="44"/>
      <c r="B32" s="45"/>
      <c r="C32" s="45"/>
      <c r="D32" s="45"/>
      <c r="E32" s="45"/>
      <c r="F32" s="47"/>
      <c r="G32" s="45"/>
      <c r="H32" s="45"/>
      <c r="I32" s="45"/>
      <c r="J32" s="45"/>
      <c r="K32" s="45"/>
      <c r="L32" s="45"/>
      <c r="M32" s="46"/>
      <c r="N32" s="47"/>
      <c r="O32" s="205"/>
      <c r="P32" s="205"/>
      <c r="Q32" s="48"/>
    </row>
    <row r="33" spans="1:17" ht="14.45" x14ac:dyDescent="0.3">
      <c r="A33" s="44"/>
      <c r="B33" s="45"/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6"/>
      <c r="N33" s="47"/>
      <c r="O33" s="205"/>
      <c r="P33" s="205"/>
      <c r="Q33" s="48"/>
    </row>
    <row r="34" spans="1:17" ht="14.45" x14ac:dyDescent="0.3">
      <c r="A34" s="44"/>
      <c r="B34" s="45"/>
      <c r="C34" s="45"/>
      <c r="D34" s="45"/>
      <c r="E34" s="45"/>
      <c r="F34" s="47"/>
      <c r="G34" s="45"/>
      <c r="H34" s="45"/>
      <c r="I34" s="45"/>
      <c r="J34" s="45"/>
      <c r="K34" s="45"/>
      <c r="L34" s="45"/>
      <c r="M34" s="46"/>
      <c r="N34" s="47"/>
      <c r="O34" s="205"/>
      <c r="P34" s="205"/>
      <c r="Q34" s="48"/>
    </row>
    <row r="35" spans="1:17" ht="14.45" x14ac:dyDescent="0.3">
      <c r="A35" s="44"/>
      <c r="B35" s="45"/>
      <c r="C35" s="45"/>
      <c r="D35" s="45"/>
      <c r="E35" s="45"/>
      <c r="F35" s="47"/>
      <c r="G35" s="45"/>
      <c r="H35" s="45"/>
      <c r="I35" s="45"/>
      <c r="J35" s="45"/>
      <c r="K35" s="45"/>
      <c r="L35" s="45"/>
      <c r="M35" s="46"/>
      <c r="N35" s="47"/>
      <c r="O35" s="205"/>
      <c r="P35" s="205"/>
      <c r="Q35" s="48"/>
    </row>
    <row r="36" spans="1:17" ht="14.45" x14ac:dyDescent="0.3">
      <c r="A36" s="49"/>
      <c r="B36" s="50"/>
      <c r="C36" s="50"/>
      <c r="D36" s="50"/>
      <c r="E36" s="50"/>
      <c r="F36" s="47"/>
      <c r="G36" s="50"/>
      <c r="H36" s="50"/>
      <c r="I36" s="50"/>
      <c r="J36" s="50"/>
      <c r="K36" s="50"/>
      <c r="L36" s="50"/>
      <c r="M36" s="51"/>
      <c r="N36" s="52"/>
      <c r="O36" s="205"/>
      <c r="P36" s="205"/>
      <c r="Q36" s="48"/>
    </row>
    <row r="37" spans="1:17" thickBot="1" x14ac:dyDescent="0.35">
      <c r="A37" s="53"/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5"/>
      <c r="N37" s="54"/>
      <c r="O37" s="206"/>
      <c r="P37" s="206"/>
      <c r="Q37" s="56"/>
    </row>
    <row r="38" spans="1:17" ht="32.25" customHeight="1" thickBot="1" x14ac:dyDescent="0.3">
      <c r="A38" s="207" t="s">
        <v>593</v>
      </c>
      <c r="B38" s="207"/>
      <c r="C38" s="207"/>
      <c r="D38" s="207"/>
      <c r="E38" s="207"/>
      <c r="F38" s="207"/>
      <c r="G38" s="207"/>
      <c r="H38" s="207"/>
      <c r="I38" s="207"/>
      <c r="J38" s="207"/>
      <c r="K38" s="207"/>
      <c r="L38" s="207"/>
      <c r="M38" s="207"/>
      <c r="N38" s="207"/>
      <c r="O38" s="207"/>
      <c r="P38" s="207"/>
      <c r="Q38" s="57" t="e">
        <f>SUM(Q15:Q37)</f>
        <v>#REF!</v>
      </c>
    </row>
    <row r="39" spans="1:17" ht="15.75" thickBot="1" x14ac:dyDescent="0.3">
      <c r="A39" s="208"/>
      <c r="B39" s="208"/>
      <c r="C39" s="208"/>
      <c r="D39" s="208"/>
      <c r="E39" s="208"/>
      <c r="F39" s="208"/>
      <c r="G39" s="208"/>
      <c r="H39" s="208"/>
      <c r="I39" s="208"/>
      <c r="J39" s="208"/>
      <c r="K39" s="208"/>
      <c r="L39" s="208"/>
      <c r="M39" s="208"/>
      <c r="N39" s="208"/>
      <c r="O39" s="208"/>
      <c r="P39" s="208"/>
      <c r="Q39" s="208"/>
    </row>
    <row r="40" spans="1:17" ht="15.75" thickBot="1" x14ac:dyDescent="0.3">
      <c r="A40" s="202" t="s">
        <v>551</v>
      </c>
      <c r="B40" s="202"/>
      <c r="C40" s="202"/>
      <c r="D40" s="202"/>
      <c r="E40" s="202"/>
      <c r="F40" s="202"/>
      <c r="G40" s="203"/>
      <c r="H40" s="203"/>
      <c r="I40" s="203"/>
      <c r="J40" s="203"/>
      <c r="K40" s="203"/>
      <c r="L40" s="203"/>
      <c r="M40" s="203"/>
      <c r="N40" s="203"/>
      <c r="O40" s="203"/>
      <c r="P40" s="203"/>
      <c r="Q40" s="203"/>
    </row>
    <row r="41" spans="1:17" ht="15.75" thickBot="1" x14ac:dyDescent="0.3">
      <c r="A41" s="204" t="str">
        <f>'NP BCO DE SANGRE'!C6</f>
        <v>ADQUISICION DEL RUBRO REACTIVOS PARA LABORATORIO</v>
      </c>
      <c r="B41" s="204"/>
      <c r="C41" s="204"/>
      <c r="D41" s="204"/>
      <c r="E41" s="204"/>
      <c r="F41" s="204"/>
      <c r="G41" s="204"/>
      <c r="H41" s="204"/>
      <c r="I41" s="204"/>
      <c r="J41" s="204"/>
      <c r="K41" s="204"/>
      <c r="L41" s="204"/>
      <c r="M41" s="204"/>
      <c r="N41" s="204"/>
      <c r="O41" s="204"/>
      <c r="P41" s="204"/>
      <c r="Q41" s="204"/>
    </row>
    <row r="42" spans="1:17" ht="15.75" thickBot="1" x14ac:dyDescent="0.3">
      <c r="A42" s="204"/>
      <c r="B42" s="204"/>
      <c r="C42" s="204"/>
      <c r="D42" s="204"/>
      <c r="E42" s="204"/>
      <c r="F42" s="204"/>
      <c r="G42" s="204"/>
      <c r="H42" s="204"/>
      <c r="I42" s="204"/>
      <c r="J42" s="204"/>
      <c r="K42" s="204"/>
      <c r="L42" s="204"/>
      <c r="M42" s="204"/>
      <c r="N42" s="204"/>
      <c r="O42" s="204"/>
      <c r="P42" s="204"/>
      <c r="Q42" s="204"/>
    </row>
  </sheetData>
  <mergeCells count="46">
    <mergeCell ref="A9:Q9"/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  <mergeCell ref="O21:P21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O20:P20"/>
    <mergeCell ref="O33:P33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A40:F40"/>
    <mergeCell ref="G40:Q40"/>
    <mergeCell ref="A41:Q42"/>
    <mergeCell ref="O34:P34"/>
    <mergeCell ref="O35:P35"/>
    <mergeCell ref="O36:P36"/>
    <mergeCell ref="O37:P37"/>
    <mergeCell ref="A38:P38"/>
    <mergeCell ref="A39:Q39"/>
  </mergeCells>
  <pageMargins left="0.43307086614173229" right="0.23622047244094488" top="0.3543307086614173" bottom="0.3543307086614173" header="0.31496062992125984" footer="0.31496062992125984"/>
  <pageSetup paperSize="1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SAF 011</vt:lpstr>
      <vt:lpstr>NP LABORATORIO</vt:lpstr>
      <vt:lpstr>APG LABORATORIO</vt:lpstr>
      <vt:lpstr>NP BCO DE SANGRE</vt:lpstr>
      <vt:lpstr>APG BCO DE SANGRE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COMPRAS</cp:lastModifiedBy>
  <cp:lastPrinted>2022-06-09T11:59:00Z</cp:lastPrinted>
  <dcterms:created xsi:type="dcterms:W3CDTF">2021-12-21T17:55:07Z</dcterms:created>
  <dcterms:modified xsi:type="dcterms:W3CDTF">2022-12-12T12:03:53Z</dcterms:modified>
</cp:coreProperties>
</file>