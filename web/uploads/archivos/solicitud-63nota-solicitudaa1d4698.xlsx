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-120" yWindow="-120" windowWidth="20730" windowHeight="11760" tabRatio="500" activeTab="2"/>
  </bookViews>
  <sheets>
    <sheet name="Necesidades Trimestrales " sheetId="4" r:id="rId1"/>
    <sheet name=" NotaPedido" sheetId="5" r:id="rId2"/>
    <sheet name="Autor Gastar" sheetId="6" r:id="rId3"/>
  </sheets>
  <externalReferences>
    <externalReference r:id="rId4"/>
  </externalReferences>
  <definedNames>
    <definedName name="_xlnm._FilterDatabase" localSheetId="0" hidden="1">'Necesidades Trimestrales '!$A$9:$I$35</definedName>
    <definedName name="_xlnm.Print_Area" localSheetId="1">' NotaPedido'!$A$1:$K$38</definedName>
    <definedName name="_xlnm.Print_Area" localSheetId="2">'Autor Gastar'!$A$1:$Q$25</definedName>
    <definedName name="_xlnm.Print_Area" localSheetId="0">'Necesidades Trimestrales '!#REF!</definedName>
  </definedNames>
  <calcPr calcId="145621"/>
</workbook>
</file>

<file path=xl/calcChain.xml><?xml version="1.0" encoding="utf-8"?>
<calcChain xmlns="http://schemas.openxmlformats.org/spreadsheetml/2006/main">
  <c r="K13" i="5" l="1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12" i="5"/>
  <c r="D1" i="6" l="1"/>
  <c r="G6" i="6"/>
  <c r="A10" i="6"/>
  <c r="Q21" i="6"/>
  <c r="D3" i="5"/>
  <c r="G4" i="6" s="1"/>
  <c r="D4" i="5"/>
  <c r="G5" i="6" s="1"/>
  <c r="J38" i="5" l="1"/>
  <c r="I35" i="4" l="1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</calcChain>
</file>

<file path=xl/sharedStrings.xml><?xml version="1.0" encoding="utf-8"?>
<sst xmlns="http://schemas.openxmlformats.org/spreadsheetml/2006/main" count="204" uniqueCount="125">
  <si>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</si>
  <si>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</si>
  <si>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</si>
  <si>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</si>
  <si>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</si>
  <si>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</si>
  <si>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</si>
  <si>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</si>
  <si>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</si>
  <si>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</si>
  <si>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</si>
  <si>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</si>
  <si>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</si>
  <si>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</si>
  <si>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040 - Ministerio de Salud</t>
  </si>
  <si>
    <t>COMPRIMIDO</t>
  </si>
  <si>
    <t>AMPOLLA</t>
  </si>
  <si>
    <t>GOTERO</t>
  </si>
  <si>
    <t>FRASCO</t>
  </si>
  <si>
    <t>2.5.2-1873.5</t>
  </si>
  <si>
    <t>ANTICOAGULANTES P/PERSONAS; TIPO: MONODROGA, DROGA GENERICA: ACENOCUMAROL, FORMA FARMACEUTICA: COMPRIMIDOS, PRESENTACION: 4 mGr</t>
  </si>
  <si>
    <t>2.5.2-1873.18</t>
  </si>
  <si>
    <t>ANTICOAGULANTES P/PERSONAS; TIPO: MONODROGA, DROGA GENERICA: AMINOCAPROICO, FORMA FARMACEUTICA: AMPOLLA, PRESENTACION: 2 GR</t>
  </si>
  <si>
    <t>2.5.2-1872.49</t>
  </si>
  <si>
    <t>ANTIANEMICOS; TIPO: MONODROGA, DROGA GENERICA: ACIDO FOLICO 5 MG, FORMA FARMACEUTICA: COMPRIMIDO, PRESENTACION: UNIDAD</t>
  </si>
  <si>
    <t>2.5.2-1838.13</t>
  </si>
  <si>
    <t>INOTROPICOS; TIPO: MONODROGA, DROGA GENERICA: ADRENALINA 1 %, FORMA FARMACEUTICA: AMPOLLA, PRESENTACION: ENVASE X 1 mL</t>
  </si>
  <si>
    <t>2.5.2-4817.15</t>
  </si>
  <si>
    <t>ANTIHIPERTENSIVOS; TIPO: MONODROGA, DROGA GENERICA: AMLODIPINA, FORMA FARMACEUTICA: COMPRIMIDOS, PRESENTACION: 10 mGr</t>
  </si>
  <si>
    <t>2.5.2-1837.30</t>
  </si>
  <si>
    <t>HIPOTENSORES; DROGA GENERICA: CARVEDILOL, FORMA FARMACEUTICA: COMPRIMIDO, TIPO: MONODROGA, PRESENTACION: 25 mGr</t>
  </si>
  <si>
    <t>2.5.2-2693.4</t>
  </si>
  <si>
    <t>CARDIOTONICOS; TIPO: MONODROGA, DROGA GENERICA: DIGOXINA, FORMA FARMACEUTICA: COMPRIMIDO, PRESENTACION: 0,25 mGr</t>
  </si>
  <si>
    <t>2.5.2-2693.14</t>
  </si>
  <si>
    <t>CARDIOTONICOS; TIPO: MONODROGA, DROGA GENERICA: DIGOXINA, FORMA FARMACEUTICA: AMPOLLA, PRESENTACION: 0,25 mGr</t>
  </si>
  <si>
    <t>2.5.2-1837.7</t>
  </si>
  <si>
    <t>HIPOTENSORES; DROGA GENERICA: ENALAPRIL, FORMA FARMACEUTICA: COMPRIMIDO, TIPO: MONODROGA, PRESENTACION: 10 mGr</t>
  </si>
  <si>
    <t>2.5.2-1835.4</t>
  </si>
  <si>
    <t>DIURETICOS; TIPO: MONODROGA, FORMA FARMACEUTICA: COMPRIMIDO, PRESENTACION: 100 mGr, DROGA GENERICA: ESPIRONOLACTONA</t>
  </si>
  <si>
    <t>2.5.2-1835.10</t>
  </si>
  <si>
    <t>DIURETICOS; TIPO: MONODROGA, DROGA GENERICA: FUROSEMIDA, FORMA FARMACEUTICA: COMPRIMIDO, PRESENTACION: 40 mGr</t>
  </si>
  <si>
    <t>2.5.2-1835.11</t>
  </si>
  <si>
    <t>DIURETICOS; TIPO: MONODROGA, DROGA GENERICA: FUROSEMIDA, FORMA FARMACEUTICA: AMPOLLA, PRESENTACION: 20 mGr</t>
  </si>
  <si>
    <t>2.5.2-1835.13</t>
  </si>
  <si>
    <t>DIURETICOS; TIPO: MONODROGA, DROGA GENERICA: HIDROCLOROTIAZIDA, FORMA FARMACEUTICA: COMPRIMIDO, PRESENTACION: 25 mGr</t>
  </si>
  <si>
    <t>2.5.2-4817.65</t>
  </si>
  <si>
    <t>ANTIHIPERTENSIVOS; TIPO: MONODROGA, DROGA GENERICA: LOSARTAN, FORMA FARMACEUTICA: COMPRIMIDO, PRESENTACION: 50 mGr</t>
  </si>
  <si>
    <t>2.5.2-1837.20</t>
  </si>
  <si>
    <t>HIPOTENSORES; TIPO: MONODROGA, DROGA GENERICA: NITROPRUSIATO DE SODIO, FORMA FARMACEUTICA: AMPOLLA, PRESENTACION: 50 mGr</t>
  </si>
  <si>
    <t>2.5.2-1838.7</t>
  </si>
  <si>
    <t>INOTROPICOS; TIPO: MONODROGA, DROGA GENERICA: NORADRENALINA BITARTRATO, FORMA FARMACEUTICA: AMPOLLA, PRESENTACION: 4 mL</t>
  </si>
  <si>
    <t>2.5.2-1837.67</t>
  </si>
  <si>
    <t>HIPOTENSORES; TIPO: MONODROGA, DROGA GENERICA: PROPANOLOL 40 mGr, FORMA FARMACEUTICA: COMPRIMIDO, PRESENTACION: UNIDAD</t>
  </si>
  <si>
    <t>2.5.2-1837.44</t>
  </si>
  <si>
    <t>HIPOTENSORES; TIPO: MONODROGA, DROGA GENERICA: PROPANOLOL 5 MG, FORMA FARMACEUTICA: AMPOLLA, PRESENTACION: 5 mL</t>
  </si>
  <si>
    <t>2.5.2-1851.34</t>
  </si>
  <si>
    <t>GENITOURINARIO; TIPO: MONODROGA, DROGA GENERICA: SILDENAFIL X 50 mGr, FORMA FARMACEUTICA: COMPRIMIDO, PRESENTACION: ENVASE X 1 UN</t>
  </si>
  <si>
    <t>2.5.2-1901.100</t>
  </si>
  <si>
    <t>VITAMINAS; TIPO: MONODROGA, DROGA GENERICA: VITAMINA K, FORMA FARMACEUTICA: AMPOLLA, PRESENTACION: 1 mGr</t>
  </si>
  <si>
    <t>2.5.2-1901.39</t>
  </si>
  <si>
    <t>VITAMINAS; TIPO: MONODROGA, DROGA GENERICA: VITAMINA K, FORMA FARMACEUTICA: AMPOLLA, PRESENTACION: 10 mGr</t>
  </si>
  <si>
    <t>2.5.2-1839.25</t>
  </si>
  <si>
    <t>2.5.2-1837.71</t>
  </si>
  <si>
    <t>ANTICOAGULANTES P/PERSONAS; TIPO: MONODROGA, DROGA GENERICA: HEPARINA SODICA 5000 UI / ML, FORMA FARMACEUTICA: AMPOLLA, PRESENTACION: ENVASE X 5 mL</t>
  </si>
  <si>
    <t>2.5.2-1873.46</t>
  </si>
  <si>
    <t>ANTIANEMICOS; TIPO: MONODROGA, DROGA GENERICA: SULFATO FERROSO, FORMA FARMACEUTICA: SOLUCION, PRESENTACION: GOTERO X 20 mL</t>
  </si>
  <si>
    <t>2.5.2-1872.7</t>
  </si>
  <si>
    <t>2.5.2-1872.36</t>
  </si>
  <si>
    <t>ANTIANEMICOS; TIPO: MONODROGA, DROGA GENERICA: ACIDO FOLICO 1 mGr, FORMA FARMACEUTICA: GOTA, PRESENTACION: ENVASE X 20 mL</t>
  </si>
  <si>
    <t>HIPOTENSORES; TIPO: MONODROGA, DROGA GENÉRICA: ESMOLOL 100 MG/10 ML, FORMA FARMACEÚTICA: FRASCO AMPOLLA, PRESENTACION: ENVASE X 10 ML</t>
  </si>
  <si>
    <t>VASODILATADORES CORONARIOS; TIPO: MONODROGA, DROGA GENERICA: ALPROSTADIL VR X 0,5 mGr, FORMA FARMACEUTICA: AMPOLLA, PRESENTACION: ENVASE X 1 mL</t>
  </si>
  <si>
    <t>PROD. MEDICO/FARMACEUTICOS/LAB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</si>
  <si>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</si>
  <si>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</si>
  <si>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</si>
  <si>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</si>
  <si>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t>NO</t>
  </si>
  <si>
    <t xml:space="preserve"> </t>
  </si>
  <si>
    <t>Cantidad Solicitada</t>
  </si>
  <si>
    <t>Precio Unitario Estimado</t>
  </si>
  <si>
    <t>Unidad Medida</t>
  </si>
  <si>
    <t>Adjunta Detalle Técnico</t>
  </si>
  <si>
    <t>DESCRIPCIÓN</t>
  </si>
  <si>
    <t>Codigo Item</t>
  </si>
  <si>
    <t>Ítem</t>
  </si>
  <si>
    <t>OBJETO:</t>
  </si>
  <si>
    <t>PERIODO UTILIZACIÓN:</t>
  </si>
  <si>
    <t>Servicio de Farmacia</t>
  </si>
  <si>
    <t xml:space="preserve">DEPENDENCIA SOLICITANTE: </t>
  </si>
  <si>
    <t>024 - Direccion de Administracion del Hospital Interzonal de Niños</t>
  </si>
  <si>
    <t>UNIDAD EJECUTORA:</t>
  </si>
  <si>
    <t>SAF:</t>
  </si>
  <si>
    <t xml:space="preserve">JURISDICCIÓN: </t>
  </si>
  <si>
    <t>N°</t>
  </si>
  <si>
    <t>NOTA DE PEDIDO</t>
  </si>
  <si>
    <t>JUSTIFICACIÓN:</t>
  </si>
  <si>
    <t>1.1</t>
  </si>
  <si>
    <t>FF</t>
  </si>
  <si>
    <t>M</t>
  </si>
  <si>
    <t>SubP</t>
  </si>
  <si>
    <t>P</t>
  </si>
  <si>
    <t>I</t>
  </si>
  <si>
    <t>FUN</t>
  </si>
  <si>
    <t>FIN</t>
  </si>
  <si>
    <t>UG</t>
  </si>
  <si>
    <t>OB</t>
  </si>
  <si>
    <t>AC</t>
  </si>
  <si>
    <t>PY</t>
  </si>
  <si>
    <t>SB</t>
  </si>
  <si>
    <t>PR</t>
  </si>
  <si>
    <t>IMPORTE</t>
  </si>
  <si>
    <t xml:space="preserve"> DENOMINACIÓN DE LA PARTIDA PRESUPUESTARIA</t>
  </si>
  <si>
    <t>CÓDIGO</t>
  </si>
  <si>
    <t>IMPUTACIÓN PRESUPUESTARIA</t>
  </si>
  <si>
    <t>Señor Jefe de Servicio Administrativo Financiero: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</si>
  <si>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</si>
  <si>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JURISDICCIÓN:</t>
  </si>
  <si>
    <t>AUTORIZACION PARA GASTAR</t>
  </si>
  <si>
    <t>TRIMESTRE</t>
  </si>
  <si>
    <t xml:space="preserve">SANGRE Y ORGANOS HEMATOPOYETICOS/SISTEMA CARDIOVASCULAR </t>
  </si>
  <si>
    <t>088/2022</t>
  </si>
  <si>
    <t>Costo total estimado:Seiscientos ocho mil Setecientos diecisiete Con 00/100.</t>
  </si>
  <si>
    <t>Productos Farmacéuticos y Medicinales</t>
  </si>
  <si>
    <t>TOTAL DE PESOS: Seiscientos ocho mil Setecientos diecisiete Con 00/100.</t>
  </si>
  <si>
    <t>Para la adquisición de Medicamentos grupo SANGRE Y ORGANOS HEMATOPOYETICOS/SISTEMA CARDIOVASCULAR  destinados al Servicio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</si>
</sst>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&quot;$&quot;\ * #,##0.00_-;\-&quot;$&quot;\ * #,##0.00_-;_-&quot;$&quot;\ * &quot;-&quot;??_-;_-@_-"/>
    <numFmt numFmtId="165" formatCode="_-&quot;$&quot;* #,##0.00_-;\-&quot;$&quot;* #,##0.00_-;_-&quot;$&quot;* &quot;-&quot;??_-;_-@_-"/>
    <numFmt numFmtId="166" formatCode="_-* #,##0.00&quot; €&quot;_-;\-* #,##0.00&quot; €&quot;_-;_-* \-??&quot; €&quot;_-;_-@_-"/>
    <numFmt numFmtId="167" formatCode="&quot;$&quot;\ #,##0.00"/>
    <numFmt numFmtId="168" formatCode="[$$-2C0A]\ #,##0.00;[$$-2C0A]&quot; -&quot;#,##0.00"/>
    <numFmt numFmtId="169" formatCode="[$$-2C0A]\ #,##0.00"/>
    <numFmt numFmtId="170" formatCode="_-* #,##0.00_-;\-* #,##0.00_-;_-* &quot;-&quot;??_-;_-@_-"/>
    <numFmt numFmtId="171" formatCode="_(\$* #,##0.00_);_(\$* \(#,##0.00\);_(\$* \-??_);_(@_)"/>
    <numFmt numFmtId="172" formatCode="dd\-mm\-yy;@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Times New Roman"/>
      <family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u/>
      <sz val="12"/>
      <name val="Times New Roman"/>
      <family val="1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u/>
      <sz val="10"/>
      <name val="Arial"/>
      <family val="2"/>
      <charset val="1"/>
    </font>
    <font>
      <b/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1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5" fillId="0" borderId="0"/>
    <xf numFmtId="0" fontId="5" fillId="0" borderId="0"/>
    <xf numFmtId="0" fontId="5" fillId="0" borderId="0"/>
    <xf numFmtId="0" fontId="2" fillId="0" borderId="0"/>
    <xf numFmtId="170" fontId="1" fillId="0" borderId="0" applyFont="0" applyFill="0" applyBorder="0" applyAlignment="0" applyProtection="0"/>
    <xf numFmtId="171" fontId="16" fillId="0" borderId="0" applyBorder="0" applyProtection="0"/>
    <xf numFmtId="0" fontId="1" fillId="0" borderId="0"/>
  </cellStyleXfs>
  <cellXfs count="150">
    <xf numFmtId="0" fontId="0" fillId="0" borderId="0" xfId="0"/>
    <xf numFmtId="0" fontId="6" fillId="3" borderId="0" xfId="4" applyFont="1" applyFill="1"/>
    <xf numFmtId="165" fontId="6" fillId="3" borderId="0" xfId="4" applyNumberFormat="1" applyFont="1" applyFill="1"/>
    <xf numFmtId="0" fontId="9" fillId="3" borderId="0" xfId="4" applyFont="1" applyFill="1" applyAlignment="1">
      <alignment horizontal="left" wrapText="1"/>
    </xf>
    <xf numFmtId="0" fontId="9" fillId="3" borderId="0" xfId="4" applyFont="1" applyFill="1" applyAlignment="1">
      <alignment horizontal="center" wrapText="1"/>
    </xf>
    <xf numFmtId="0" fontId="5" fillId="3" borderId="10" xfId="4" applyFill="1" applyBorder="1" applyAlignment="1">
      <alignment horizontal="center" vertical="center"/>
    </xf>
    <xf numFmtId="0" fontId="14" fillId="3" borderId="10" xfId="4" applyFont="1" applyFill="1" applyBorder="1" applyAlignment="1">
      <alignment horizontal="center" vertical="center" wrapText="1"/>
    </xf>
    <xf numFmtId="0" fontId="5" fillId="0" borderId="10" xfId="4" applyBorder="1" applyAlignment="1">
      <alignment horizontal="left" vertical="center"/>
    </xf>
    <xf numFmtId="0" fontId="5" fillId="0" borderId="10" xfId="4" applyBorder="1" applyAlignment="1">
      <alignment horizontal="center" vertical="center"/>
    </xf>
    <xf numFmtId="3" fontId="5" fillId="0" borderId="10" xfId="4" applyNumberFormat="1" applyBorder="1" applyAlignment="1">
      <alignment horizontal="center" vertical="center"/>
    </xf>
    <xf numFmtId="165" fontId="5" fillId="4" borderId="10" xfId="1" applyNumberFormat="1" applyFill="1" applyBorder="1" applyAlignment="1" applyProtection="1">
      <alignment horizontal="right" vertical="center" wrapText="1"/>
    </xf>
    <xf numFmtId="3" fontId="5" fillId="0" borderId="10" xfId="5" applyNumberFormat="1" applyBorder="1" applyAlignment="1">
      <alignment horizontal="center" vertical="center"/>
    </xf>
    <xf numFmtId="0" fontId="6" fillId="3" borderId="0" xfId="4" applyFont="1" applyFill="1" applyAlignment="1">
      <alignment horizontal="center" vertical="center"/>
    </xf>
    <xf numFmtId="0" fontId="5" fillId="0" borderId="10" xfId="4" applyBorder="1" applyAlignment="1">
      <alignment vertical="center" wrapText="1"/>
    </xf>
    <xf numFmtId="164" fontId="5" fillId="0" borderId="10" xfId="1" applyNumberFormat="1" applyBorder="1" applyAlignment="1">
      <alignment horizontal="center" vertical="center"/>
    </xf>
    <xf numFmtId="164" fontId="5" fillId="0" borderId="10" xfId="1" applyNumberFormat="1" applyBorder="1" applyAlignment="1">
      <alignment horizontal="right" vertical="center"/>
    </xf>
    <xf numFmtId="3" fontId="5" fillId="3" borderId="10" xfId="4" applyNumberFormat="1" applyFill="1" applyBorder="1" applyAlignment="1">
      <alignment horizontal="center" vertical="center"/>
    </xf>
    <xf numFmtId="164" fontId="5" fillId="3" borderId="10" xfId="1" applyNumberFormat="1" applyFill="1" applyBorder="1" applyAlignment="1">
      <alignment horizontal="center" vertical="center"/>
    </xf>
    <xf numFmtId="0" fontId="5" fillId="3" borderId="10" xfId="4" applyFill="1" applyBorder="1" applyAlignment="1">
      <alignment vertical="center" wrapText="1"/>
    </xf>
    <xf numFmtId="0" fontId="6" fillId="3" borderId="0" xfId="4" applyFont="1" applyFill="1" applyAlignment="1">
      <alignment vertical="center"/>
    </xf>
    <xf numFmtId="3" fontId="5" fillId="3" borderId="10" xfId="5" applyNumberFormat="1" applyFill="1" applyBorder="1" applyAlignment="1">
      <alignment horizontal="center" vertical="center"/>
    </xf>
    <xf numFmtId="164" fontId="5" fillId="3" borderId="10" xfId="1" applyNumberFormat="1" applyFill="1" applyBorder="1" applyAlignment="1">
      <alignment horizontal="right" vertical="center"/>
    </xf>
    <xf numFmtId="0" fontId="5" fillId="3" borderId="10" xfId="4" applyFill="1" applyBorder="1" applyAlignment="1">
      <alignment horizontal="left" vertical="center"/>
    </xf>
    <xf numFmtId="0" fontId="14" fillId="3" borderId="10" xfId="4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10" xfId="4" applyFont="1" applyFill="1" applyBorder="1" applyAlignment="1">
      <alignment horizontal="left" vertical="center"/>
    </xf>
    <xf numFmtId="0" fontId="13" fillId="3" borderId="10" xfId="4" applyFont="1" applyFill="1" applyBorder="1" applyAlignment="1">
      <alignment horizontal="center" vertical="center" wrapText="1"/>
    </xf>
    <xf numFmtId="165" fontId="13" fillId="3" borderId="10" xfId="4" applyNumberFormat="1" applyFont="1" applyFill="1" applyBorder="1" applyAlignment="1">
      <alignment horizontal="center" vertical="center" wrapText="1"/>
    </xf>
    <xf numFmtId="0" fontId="9" fillId="3" borderId="0" xfId="4" applyFont="1" applyFill="1" applyAlignment="1">
      <alignment horizontal="left" vertical="center" wrapText="1"/>
    </xf>
    <xf numFmtId="0" fontId="6" fillId="3" borderId="0" xfId="4" applyFont="1" applyFill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7" fillId="3" borderId="0" xfId="4" applyFont="1" applyFill="1" applyAlignment="1">
      <alignment horizontal="center"/>
    </xf>
    <xf numFmtId="0" fontId="8" fillId="3" borderId="0" xfId="4" applyFont="1" applyFill="1" applyAlignment="1">
      <alignment horizontal="left" vertical="center" wrapText="1"/>
    </xf>
    <xf numFmtId="0" fontId="12" fillId="4" borderId="0" xfId="4" applyFont="1" applyFill="1" applyAlignment="1">
      <alignment horizontal="left" wrapText="1" indent="1"/>
    </xf>
    <xf numFmtId="0" fontId="6" fillId="0" borderId="0" xfId="0" applyFont="1"/>
    <xf numFmtId="0" fontId="11" fillId="0" borderId="2" xfId="0" applyFont="1" applyBorder="1" applyAlignment="1">
      <alignment horizontal="left" indent="3"/>
    </xf>
    <xf numFmtId="0" fontId="6" fillId="0" borderId="3" xfId="0" applyFont="1" applyBorder="1"/>
    <xf numFmtId="0" fontId="6" fillId="0" borderId="4" xfId="0" applyFont="1" applyBorder="1"/>
    <xf numFmtId="167" fontId="15" fillId="0" borderId="0" xfId="0" applyNumberFormat="1" applyFont="1"/>
    <xf numFmtId="168" fontId="6" fillId="0" borderId="0" xfId="0" applyNumberFormat="1" applyFont="1"/>
    <xf numFmtId="0" fontId="6" fillId="4" borderId="5" xfId="5" applyFont="1" applyFill="1" applyBorder="1" applyAlignment="1">
      <alignment horizontal="left" wrapText="1"/>
    </xf>
    <xf numFmtId="0" fontId="6" fillId="4" borderId="0" xfId="5" applyFont="1" applyFill="1" applyBorder="1" applyAlignment="1">
      <alignment horizontal="left" wrapText="1"/>
    </xf>
    <xf numFmtId="0" fontId="6" fillId="4" borderId="6" xfId="5" applyFont="1" applyFill="1" applyBorder="1" applyAlignment="1">
      <alignment horizontal="left" wrapText="1"/>
    </xf>
    <xf numFmtId="0" fontId="6" fillId="0" borderId="5" xfId="0" applyFont="1" applyBorder="1"/>
    <xf numFmtId="0" fontId="6" fillId="0" borderId="0" xfId="0" applyFont="1" applyBorder="1"/>
    <xf numFmtId="0" fontId="11" fillId="0" borderId="7" xfId="0" applyFont="1" applyBorder="1" applyAlignment="1"/>
    <xf numFmtId="0" fontId="6" fillId="0" borderId="8" xfId="0" applyFont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3" borderId="0" xfId="0" applyFill="1"/>
    <xf numFmtId="0" fontId="16" fillId="3" borderId="0" xfId="0" applyFont="1" applyFill="1" applyBorder="1" applyAlignment="1">
      <alignment vertical="center"/>
    </xf>
    <xf numFmtId="169" fontId="16" fillId="3" borderId="0" xfId="0" applyNumberFormat="1" applyFont="1" applyFill="1" applyBorder="1" applyAlignment="1">
      <alignment vertical="center"/>
    </xf>
    <xf numFmtId="169" fontId="17" fillId="3" borderId="11" xfId="0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 vertical="center" wrapText="1" indent="1"/>
    </xf>
    <xf numFmtId="3" fontId="19" fillId="3" borderId="12" xfId="0" applyNumberFormat="1" applyFont="1" applyFill="1" applyBorder="1" applyAlignment="1">
      <alignment horizontal="center" vertical="center"/>
    </xf>
    <xf numFmtId="168" fontId="19" fillId="3" borderId="10" xfId="1" applyNumberFormat="1" applyFont="1" applyFill="1" applyBorder="1" applyAlignment="1" applyProtection="1">
      <alignment horizontal="right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left" vertical="center" wrapText="1"/>
    </xf>
    <xf numFmtId="0" fontId="19" fillId="3" borderId="13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left" vertical="center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left" vertical="center" wrapText="1" indent="1"/>
    </xf>
    <xf numFmtId="0" fontId="17" fillId="3" borderId="0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 wrapText="1" indent="1"/>
    </xf>
    <xf numFmtId="0" fontId="17" fillId="3" borderId="16" xfId="0" applyFont="1" applyFill="1" applyBorder="1" applyAlignment="1">
      <alignment horizontal="left" vertical="center"/>
    </xf>
    <xf numFmtId="0" fontId="17" fillId="3" borderId="17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vertical="center"/>
    </xf>
    <xf numFmtId="0" fontId="21" fillId="3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right" vertical="center"/>
    </xf>
    <xf numFmtId="0" fontId="21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2" fillId="4" borderId="22" xfId="0" applyFont="1" applyFill="1" applyBorder="1" applyAlignment="1">
      <alignment horizontal="left" vertical="center" wrapText="1" indent="1"/>
    </xf>
    <xf numFmtId="0" fontId="22" fillId="0" borderId="23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0" fillId="0" borderId="26" xfId="0" applyBorder="1"/>
    <xf numFmtId="168" fontId="24" fillId="0" borderId="22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168" fontId="0" fillId="0" borderId="27" xfId="9" applyNumberFormat="1" applyFont="1" applyBorder="1" applyAlignment="1" applyProtection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/>
    <xf numFmtId="168" fontId="0" fillId="0" borderId="31" xfId="9" applyNumberFormat="1" applyFont="1" applyBorder="1" applyAlignment="1" applyProtection="1">
      <alignment horizontal="center" vertical="center"/>
    </xf>
    <xf numFmtId="0" fontId="0" fillId="0" borderId="32" xfId="0" applyBorder="1" applyAlignment="1">
      <alignment horizontal="left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168" fontId="0" fillId="0" borderId="38" xfId="9" applyNumberFormat="1" applyFont="1" applyBorder="1" applyAlignment="1" applyProtection="1">
      <alignment horizontal="center" vertical="center"/>
    </xf>
    <xf numFmtId="0" fontId="25" fillId="0" borderId="34" xfId="0" applyFont="1" applyFill="1" applyBorder="1" applyAlignment="1">
      <alignment horizontal="left" vertical="center" wrapText="1"/>
    </xf>
    <xf numFmtId="0" fontId="5" fillId="0" borderId="34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0" fillId="0" borderId="51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52" xfId="0" applyBorder="1"/>
    <xf numFmtId="0" fontId="22" fillId="0" borderId="53" xfId="0" applyFont="1" applyBorder="1" applyAlignment="1">
      <alignment horizontal="left" vertical="center" wrapText="1" indent="1"/>
    </xf>
    <xf numFmtId="0" fontId="0" fillId="0" borderId="21" xfId="0" applyBorder="1"/>
    <xf numFmtId="0" fontId="22" fillId="0" borderId="54" xfId="0" applyFont="1" applyBorder="1"/>
    <xf numFmtId="0" fontId="26" fillId="0" borderId="20" xfId="0" applyFont="1" applyBorder="1" applyAlignment="1">
      <alignment horizontal="left"/>
    </xf>
    <xf numFmtId="0" fontId="16" fillId="0" borderId="0" xfId="0" applyFont="1"/>
    <xf numFmtId="0" fontId="22" fillId="0" borderId="20" xfId="0" applyFont="1" applyBorder="1" applyAlignment="1">
      <alignment horizontal="left" indent="1"/>
    </xf>
    <xf numFmtId="0" fontId="19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6" fillId="0" borderId="20" xfId="0" applyFont="1" applyBorder="1"/>
    <xf numFmtId="0" fontId="27" fillId="0" borderId="20" xfId="0" applyFont="1" applyBorder="1" applyAlignment="1">
      <alignment horizontal="center" vertical="center" wrapText="1"/>
    </xf>
    <xf numFmtId="172" fontId="0" fillId="0" borderId="0" xfId="0" applyNumberFormat="1" applyAlignment="1">
      <alignment horizontal="left"/>
    </xf>
    <xf numFmtId="3" fontId="23" fillId="0" borderId="0" xfId="0" applyNumberFormat="1" applyFont="1" applyBorder="1" applyAlignment="1"/>
    <xf numFmtId="3" fontId="23" fillId="0" borderId="57" xfId="0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8" fillId="0" borderId="0" xfId="4" applyFont="1" applyFill="1" applyAlignment="1">
      <alignment horizontal="left" vertical="center" wrapText="1"/>
    </xf>
    <xf numFmtId="0" fontId="12" fillId="0" borderId="0" xfId="4" applyFont="1" applyFill="1" applyAlignment="1">
      <alignment horizontal="left" wrapText="1" indent="1"/>
    </xf>
    <xf numFmtId="0" fontId="9" fillId="0" borderId="0" xfId="4" applyFont="1" applyFill="1" applyAlignment="1">
      <alignment horizontal="left" wrapText="1"/>
    </xf>
    <xf numFmtId="0" fontId="12" fillId="0" borderId="0" xfId="4" applyFont="1" applyFill="1" applyAlignment="1">
      <alignment horizontal="left" wrapText="1" indent="1"/>
    </xf>
    <xf numFmtId="0" fontId="10" fillId="0" borderId="0" xfId="4" applyFont="1" applyFill="1" applyAlignment="1">
      <alignment horizontal="left" wrapText="1"/>
    </xf>
  </cellXfs>
  <cellStyles count="11">
    <cellStyle name="Encabezado 1" xfId="2"/>
    <cellStyle name="Millares 2" xfId="8"/>
    <cellStyle name="Moneda" xfId="1" builtinId="4"/>
    <cellStyle name="Moneda_AUTORIZACION Y NOTA DE PEDIDO" xfId="9"/>
    <cellStyle name="Neutral 1" xfId="3"/>
    <cellStyle name="Normal" xfId="0" builtinId="0"/>
    <cellStyle name="Normal 2" xfId="4"/>
    <cellStyle name="Normal 2 2" xfId="6"/>
    <cellStyle name="Normal 2 3" xfId="5"/>
    <cellStyle name="Normal 3" xfId="7"/>
    <cellStyle name="Normal 4" xfId="1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24681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4681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24681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124681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ER%20TRIM/DESCARTABLE%20COM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Direccion de Administracion del Hospital Interzonal de Niños</v>
          </cell>
        </row>
        <row r="6">
          <cell r="C6">
            <v>2022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43"/>
  <sheetViews>
    <sheetView topLeftCell="A34" zoomScaleNormal="100" workbookViewId="0">
      <selection activeCell="B23" sqref="B23"/>
    </sheetView>
  </sheetViews>
  <sheetFormatPr baseColWidth="10" defaultColWidth="11" defaultRowHeight="12.75" x14ac:dyDescent="0.2"/>
  <cols>
    <col min="1" max="1" width="4.5703125" style="1" customWidth="1"/>
    <col min="2" max="2" width="14" style="29" customWidth="1"/>
    <col min="3" max="3" width="35.85546875" style="1" bestFit="1" customWidth="1"/>
    <col min="4" max="4" width="8.5703125" style="1" customWidth="1"/>
    <col min="5" max="5" width="71.85546875" style="1" customWidth="1"/>
    <col min="6" max="6" width="14.7109375" style="1" customWidth="1"/>
    <col min="7" max="7" width="10.42578125" style="1" bestFit="1" customWidth="1"/>
    <col min="8" max="8" width="15.7109375" style="1" customWidth="1"/>
    <col min="9" max="9" width="18.42578125" style="2" customWidth="1"/>
    <col min="10" max="16384" width="11" style="1"/>
  </cols>
  <sheetData>
    <row r="2" spans="1:9" ht="27" x14ac:dyDescent="0.35">
      <c r="B2" s="31" t="s">
        <v>0</v>
      </c>
      <c r="C2" s="31"/>
      <c r="D2" s="31"/>
      <c r="E2" s="31"/>
      <c r="F2" s="31"/>
      <c r="G2" s="31"/>
      <c r="H2" s="31"/>
    </row>
    <row r="3" spans="1:9" ht="12" customHeight="1" x14ac:dyDescent="0.2"/>
    <row r="4" spans="1:9" ht="18" customHeight="1" x14ac:dyDescent="0.25">
      <c r="A4" s="32" t="s">
        <v>1</v>
      </c>
      <c r="B4" s="32"/>
      <c r="C4" s="33" t="s">
        <v>14</v>
      </c>
      <c r="D4" s="33"/>
      <c r="E4" s="33"/>
      <c r="F4" s="3"/>
      <c r="G4" s="4"/>
      <c r="H4" s="3"/>
    </row>
    <row r="5" spans="1:9" ht="18" customHeight="1" x14ac:dyDescent="0.25">
      <c r="A5" s="145" t="s">
        <v>2</v>
      </c>
      <c r="B5" s="145"/>
      <c r="C5" s="146" t="s">
        <v>89</v>
      </c>
      <c r="D5" s="146"/>
      <c r="E5" s="146"/>
      <c r="F5" s="147"/>
      <c r="G5" s="4"/>
      <c r="H5" s="3"/>
    </row>
    <row r="6" spans="1:9" ht="16.5" customHeight="1" x14ac:dyDescent="0.25">
      <c r="A6" s="145" t="s">
        <v>3</v>
      </c>
      <c r="B6" s="145"/>
      <c r="C6" s="148">
        <v>2022</v>
      </c>
      <c r="D6" s="149"/>
      <c r="E6" s="149"/>
      <c r="F6" s="147"/>
      <c r="G6" s="4"/>
      <c r="H6" s="3"/>
    </row>
    <row r="7" spans="1:9" ht="16.5" customHeight="1" x14ac:dyDescent="0.25">
      <c r="A7" s="145" t="s">
        <v>4</v>
      </c>
      <c r="B7" s="145"/>
      <c r="C7" s="148">
        <v>4</v>
      </c>
      <c r="D7" s="149"/>
      <c r="E7" s="149"/>
      <c r="F7" s="147"/>
      <c r="G7" s="4"/>
      <c r="H7" s="3"/>
    </row>
    <row r="8" spans="1:9" x14ac:dyDescent="0.2">
      <c r="B8" s="28"/>
      <c r="C8" s="4"/>
      <c r="D8" s="3"/>
      <c r="E8" s="3"/>
      <c r="F8" s="3"/>
      <c r="G8" s="4"/>
      <c r="H8" s="3"/>
    </row>
    <row r="9" spans="1:9" s="12" customFormat="1" ht="38.25" x14ac:dyDescent="0.2">
      <c r="A9" s="26" t="s">
        <v>5</v>
      </c>
      <c r="B9" s="26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7" t="s">
        <v>13</v>
      </c>
    </row>
    <row r="10" spans="1:9" s="19" customFormat="1" ht="42.75" customHeight="1" x14ac:dyDescent="0.2">
      <c r="A10" s="5">
        <v>1</v>
      </c>
      <c r="B10" s="7" t="s">
        <v>19</v>
      </c>
      <c r="C10" s="22" t="s">
        <v>71</v>
      </c>
      <c r="D10" s="6">
        <v>252</v>
      </c>
      <c r="E10" s="13" t="s">
        <v>20</v>
      </c>
      <c r="F10" s="8" t="s">
        <v>15</v>
      </c>
      <c r="G10" s="9">
        <v>100</v>
      </c>
      <c r="H10" s="14">
        <v>11.5</v>
      </c>
      <c r="I10" s="10">
        <f>+G10*H10</f>
        <v>1150</v>
      </c>
    </row>
    <row r="11" spans="1:9" s="19" customFormat="1" ht="27.75" customHeight="1" x14ac:dyDescent="0.2">
      <c r="A11" s="5">
        <v>2</v>
      </c>
      <c r="B11" s="7" t="s">
        <v>21</v>
      </c>
      <c r="C11" s="22" t="s">
        <v>71</v>
      </c>
      <c r="D11" s="6">
        <v>252</v>
      </c>
      <c r="E11" s="13" t="s">
        <v>22</v>
      </c>
      <c r="F11" s="8" t="s">
        <v>16</v>
      </c>
      <c r="G11" s="9">
        <v>100</v>
      </c>
      <c r="H11" s="14">
        <v>235</v>
      </c>
      <c r="I11" s="10">
        <f t="shared" ref="I11:I27" si="0">+G11*H11</f>
        <v>23500</v>
      </c>
    </row>
    <row r="12" spans="1:9" s="19" customFormat="1" ht="36" customHeight="1" x14ac:dyDescent="0.2">
      <c r="A12" s="5">
        <v>3</v>
      </c>
      <c r="B12" s="30" t="s">
        <v>67</v>
      </c>
      <c r="C12" s="22" t="s">
        <v>71</v>
      </c>
      <c r="D12" s="6">
        <v>252</v>
      </c>
      <c r="E12" s="23" t="s">
        <v>68</v>
      </c>
      <c r="F12" s="5" t="s">
        <v>17</v>
      </c>
      <c r="G12" s="16">
        <v>50</v>
      </c>
      <c r="H12" s="17">
        <v>295.5</v>
      </c>
      <c r="I12" s="10">
        <f t="shared" si="0"/>
        <v>14775</v>
      </c>
    </row>
    <row r="13" spans="1:9" s="19" customFormat="1" ht="31.5" customHeight="1" x14ac:dyDescent="0.2">
      <c r="A13" s="5">
        <v>4</v>
      </c>
      <c r="B13" s="7" t="s">
        <v>23</v>
      </c>
      <c r="C13" s="22" t="s">
        <v>71</v>
      </c>
      <c r="D13" s="6">
        <v>252</v>
      </c>
      <c r="E13" s="13" t="s">
        <v>24</v>
      </c>
      <c r="F13" s="8" t="s">
        <v>15</v>
      </c>
      <c r="G13" s="9">
        <v>100</v>
      </c>
      <c r="H13" s="14">
        <v>3.8</v>
      </c>
      <c r="I13" s="10">
        <f t="shared" si="0"/>
        <v>380</v>
      </c>
    </row>
    <row r="14" spans="1:9" s="19" customFormat="1" ht="43.5" customHeight="1" x14ac:dyDescent="0.2">
      <c r="A14" s="5">
        <v>5</v>
      </c>
      <c r="B14" s="7" t="s">
        <v>25</v>
      </c>
      <c r="C14" s="22" t="s">
        <v>71</v>
      </c>
      <c r="D14" s="6">
        <v>252</v>
      </c>
      <c r="E14" s="13" t="s">
        <v>26</v>
      </c>
      <c r="F14" s="8" t="s">
        <v>16</v>
      </c>
      <c r="G14" s="9">
        <v>3000</v>
      </c>
      <c r="H14" s="14">
        <v>48</v>
      </c>
      <c r="I14" s="10">
        <f t="shared" si="0"/>
        <v>144000</v>
      </c>
    </row>
    <row r="15" spans="1:9" s="19" customFormat="1" ht="51" customHeight="1" x14ac:dyDescent="0.2">
      <c r="A15" s="5">
        <v>6</v>
      </c>
      <c r="B15" s="25" t="s">
        <v>61</v>
      </c>
      <c r="C15" s="22" t="s">
        <v>71</v>
      </c>
      <c r="D15" s="6">
        <v>252</v>
      </c>
      <c r="E15" s="23" t="s">
        <v>70</v>
      </c>
      <c r="F15" s="5" t="s">
        <v>16</v>
      </c>
      <c r="G15" s="16">
        <v>5</v>
      </c>
      <c r="H15" s="17">
        <v>1620</v>
      </c>
      <c r="I15" s="10">
        <f t="shared" si="0"/>
        <v>8100</v>
      </c>
    </row>
    <row r="16" spans="1:9" s="19" customFormat="1" ht="34.5" customHeight="1" x14ac:dyDescent="0.2">
      <c r="A16" s="5">
        <v>7</v>
      </c>
      <c r="B16" s="7" t="s">
        <v>27</v>
      </c>
      <c r="C16" s="22" t="s">
        <v>71</v>
      </c>
      <c r="D16" s="6">
        <v>252</v>
      </c>
      <c r="E16" s="13" t="s">
        <v>28</v>
      </c>
      <c r="F16" s="8" t="s">
        <v>15</v>
      </c>
      <c r="G16" s="9">
        <v>200</v>
      </c>
      <c r="H16" s="14">
        <v>4.5</v>
      </c>
      <c r="I16" s="10">
        <f t="shared" si="0"/>
        <v>900</v>
      </c>
    </row>
    <row r="17" spans="1:9" s="19" customFormat="1" ht="30.75" customHeight="1" x14ac:dyDescent="0.2">
      <c r="A17" s="5">
        <v>8</v>
      </c>
      <c r="B17" s="7" t="s">
        <v>29</v>
      </c>
      <c r="C17" s="22" t="s">
        <v>71</v>
      </c>
      <c r="D17" s="6">
        <v>252</v>
      </c>
      <c r="E17" s="13" t="s">
        <v>30</v>
      </c>
      <c r="F17" s="8" t="s">
        <v>15</v>
      </c>
      <c r="G17" s="9">
        <v>100</v>
      </c>
      <c r="H17" s="14">
        <v>8.92</v>
      </c>
      <c r="I17" s="10">
        <f t="shared" si="0"/>
        <v>892</v>
      </c>
    </row>
    <row r="18" spans="1:9" s="19" customFormat="1" ht="36" customHeight="1" x14ac:dyDescent="0.2">
      <c r="A18" s="5">
        <v>9</v>
      </c>
      <c r="B18" s="7" t="s">
        <v>33</v>
      </c>
      <c r="C18" s="22" t="s">
        <v>71</v>
      </c>
      <c r="D18" s="6">
        <v>252</v>
      </c>
      <c r="E18" s="13" t="s">
        <v>34</v>
      </c>
      <c r="F18" s="8" t="s">
        <v>16</v>
      </c>
      <c r="G18" s="9">
        <v>100</v>
      </c>
      <c r="H18" s="14">
        <v>65</v>
      </c>
      <c r="I18" s="10">
        <f t="shared" si="0"/>
        <v>6500</v>
      </c>
    </row>
    <row r="19" spans="1:9" s="19" customFormat="1" ht="33.75" customHeight="1" x14ac:dyDescent="0.2">
      <c r="A19" s="5">
        <v>10</v>
      </c>
      <c r="B19" s="7" t="s">
        <v>31</v>
      </c>
      <c r="C19" s="22" t="s">
        <v>71</v>
      </c>
      <c r="D19" s="6">
        <v>252</v>
      </c>
      <c r="E19" s="13" t="s">
        <v>32</v>
      </c>
      <c r="F19" s="8" t="s">
        <v>15</v>
      </c>
      <c r="G19" s="9">
        <v>100</v>
      </c>
      <c r="H19" s="14">
        <v>15</v>
      </c>
      <c r="I19" s="10">
        <f t="shared" si="0"/>
        <v>1500</v>
      </c>
    </row>
    <row r="20" spans="1:9" s="19" customFormat="1" ht="37.5" customHeight="1" x14ac:dyDescent="0.2">
      <c r="A20" s="5">
        <v>11</v>
      </c>
      <c r="B20" s="7" t="s">
        <v>35</v>
      </c>
      <c r="C20" s="22" t="s">
        <v>71</v>
      </c>
      <c r="D20" s="6">
        <v>252</v>
      </c>
      <c r="E20" s="13" t="s">
        <v>36</v>
      </c>
      <c r="F20" s="8" t="s">
        <v>15</v>
      </c>
      <c r="G20" s="9">
        <v>500</v>
      </c>
      <c r="H20" s="14">
        <v>3.5</v>
      </c>
      <c r="I20" s="10">
        <f t="shared" si="0"/>
        <v>1750</v>
      </c>
    </row>
    <row r="21" spans="1:9" s="19" customFormat="1" ht="45.75" customHeight="1" x14ac:dyDescent="0.2">
      <c r="A21" s="5">
        <v>12</v>
      </c>
      <c r="B21" s="22" t="s">
        <v>62</v>
      </c>
      <c r="C21" s="22" t="s">
        <v>71</v>
      </c>
      <c r="D21" s="6">
        <v>252</v>
      </c>
      <c r="E21" s="24" t="s">
        <v>69</v>
      </c>
      <c r="F21" s="5" t="s">
        <v>16</v>
      </c>
      <c r="G21" s="16">
        <v>10</v>
      </c>
      <c r="H21" s="17">
        <v>5690</v>
      </c>
      <c r="I21" s="10">
        <f t="shared" si="0"/>
        <v>56900</v>
      </c>
    </row>
    <row r="22" spans="1:9" s="19" customFormat="1" ht="31.5" customHeight="1" x14ac:dyDescent="0.2">
      <c r="A22" s="5">
        <v>13</v>
      </c>
      <c r="B22" s="7" t="s">
        <v>37</v>
      </c>
      <c r="C22" s="22" t="s">
        <v>71</v>
      </c>
      <c r="D22" s="6">
        <v>252</v>
      </c>
      <c r="E22" s="13" t="s">
        <v>38</v>
      </c>
      <c r="F22" s="8" t="s">
        <v>15</v>
      </c>
      <c r="G22" s="9">
        <v>1000</v>
      </c>
      <c r="H22" s="14">
        <v>4.25</v>
      </c>
      <c r="I22" s="10">
        <f t="shared" si="0"/>
        <v>4250</v>
      </c>
    </row>
    <row r="23" spans="1:9" s="19" customFormat="1" ht="27" customHeight="1" x14ac:dyDescent="0.2">
      <c r="A23" s="5">
        <v>14</v>
      </c>
      <c r="B23" s="7" t="s">
        <v>39</v>
      </c>
      <c r="C23" s="22" t="s">
        <v>71</v>
      </c>
      <c r="D23" s="6">
        <v>252</v>
      </c>
      <c r="E23" s="13" t="s">
        <v>40</v>
      </c>
      <c r="F23" s="8" t="s">
        <v>15</v>
      </c>
      <c r="G23" s="9">
        <v>1000</v>
      </c>
      <c r="H23" s="14">
        <v>6.3</v>
      </c>
      <c r="I23" s="10">
        <f t="shared" si="0"/>
        <v>6300</v>
      </c>
    </row>
    <row r="24" spans="1:9" s="19" customFormat="1" ht="34.5" customHeight="1" x14ac:dyDescent="0.2">
      <c r="A24" s="5">
        <v>15</v>
      </c>
      <c r="B24" s="7" t="s">
        <v>41</v>
      </c>
      <c r="C24" s="22" t="s">
        <v>71</v>
      </c>
      <c r="D24" s="6">
        <v>252</v>
      </c>
      <c r="E24" s="13" t="s">
        <v>42</v>
      </c>
      <c r="F24" s="8" t="s">
        <v>16</v>
      </c>
      <c r="G24" s="9">
        <v>1000</v>
      </c>
      <c r="H24" s="14">
        <v>41</v>
      </c>
      <c r="I24" s="10">
        <f t="shared" si="0"/>
        <v>41000</v>
      </c>
    </row>
    <row r="25" spans="1:9" s="19" customFormat="1" ht="50.25" customHeight="1" x14ac:dyDescent="0.2">
      <c r="A25" s="5">
        <v>16</v>
      </c>
      <c r="B25" s="30" t="s">
        <v>64</v>
      </c>
      <c r="C25" s="22" t="s">
        <v>71</v>
      </c>
      <c r="D25" s="6">
        <v>252</v>
      </c>
      <c r="E25" s="18" t="s">
        <v>63</v>
      </c>
      <c r="F25" s="5" t="s">
        <v>16</v>
      </c>
      <c r="G25" s="16">
        <v>100</v>
      </c>
      <c r="H25" s="17">
        <v>730</v>
      </c>
      <c r="I25" s="10">
        <f t="shared" si="0"/>
        <v>73000</v>
      </c>
    </row>
    <row r="26" spans="1:9" s="19" customFormat="1" ht="41.25" customHeight="1" x14ac:dyDescent="0.2">
      <c r="A26" s="5">
        <v>17</v>
      </c>
      <c r="B26" s="7" t="s">
        <v>43</v>
      </c>
      <c r="C26" s="22" t="s">
        <v>71</v>
      </c>
      <c r="D26" s="6">
        <v>252</v>
      </c>
      <c r="E26" s="13" t="s">
        <v>44</v>
      </c>
      <c r="F26" s="8" t="s">
        <v>15</v>
      </c>
      <c r="G26" s="9">
        <v>100</v>
      </c>
      <c r="H26" s="14">
        <v>6.4</v>
      </c>
      <c r="I26" s="10">
        <f t="shared" si="0"/>
        <v>640</v>
      </c>
    </row>
    <row r="27" spans="1:9" s="19" customFormat="1" ht="33.75" customHeight="1" x14ac:dyDescent="0.2">
      <c r="A27" s="5">
        <v>18</v>
      </c>
      <c r="B27" s="7" t="s">
        <v>45</v>
      </c>
      <c r="C27" s="22" t="s">
        <v>71</v>
      </c>
      <c r="D27" s="6">
        <v>252</v>
      </c>
      <c r="E27" s="13" t="s">
        <v>46</v>
      </c>
      <c r="F27" s="8" t="s">
        <v>15</v>
      </c>
      <c r="G27" s="11">
        <v>100</v>
      </c>
      <c r="H27" s="15">
        <v>5.3</v>
      </c>
      <c r="I27" s="10">
        <f t="shared" si="0"/>
        <v>530</v>
      </c>
    </row>
    <row r="28" spans="1:9" s="19" customFormat="1" ht="45.75" customHeight="1" x14ac:dyDescent="0.2">
      <c r="A28" s="5">
        <v>19</v>
      </c>
      <c r="B28" s="7" t="s">
        <v>47</v>
      </c>
      <c r="C28" s="22" t="s">
        <v>71</v>
      </c>
      <c r="D28" s="6">
        <v>252</v>
      </c>
      <c r="E28" s="13" t="s">
        <v>48</v>
      </c>
      <c r="F28" s="8" t="s">
        <v>18</v>
      </c>
      <c r="G28" s="11">
        <v>100</v>
      </c>
      <c r="H28" s="15">
        <v>790</v>
      </c>
      <c r="I28" s="10">
        <f t="shared" ref="I28:I35" si="1">+G28*H28</f>
        <v>79000</v>
      </c>
    </row>
    <row r="29" spans="1:9" s="19" customFormat="1" ht="44.25" customHeight="1" x14ac:dyDescent="0.2">
      <c r="A29" s="5">
        <v>20</v>
      </c>
      <c r="B29" s="7" t="s">
        <v>49</v>
      </c>
      <c r="C29" s="22" t="s">
        <v>71</v>
      </c>
      <c r="D29" s="6">
        <v>252</v>
      </c>
      <c r="E29" s="13" t="s">
        <v>50</v>
      </c>
      <c r="F29" s="8" t="s">
        <v>16</v>
      </c>
      <c r="G29" s="11">
        <v>200</v>
      </c>
      <c r="H29" s="15">
        <v>150</v>
      </c>
      <c r="I29" s="10">
        <f t="shared" si="1"/>
        <v>30000</v>
      </c>
    </row>
    <row r="30" spans="1:9" s="19" customFormat="1" ht="51" customHeight="1" x14ac:dyDescent="0.2">
      <c r="A30" s="5">
        <v>21</v>
      </c>
      <c r="B30" s="7" t="s">
        <v>51</v>
      </c>
      <c r="C30" s="22" t="s">
        <v>71</v>
      </c>
      <c r="D30" s="6">
        <v>252</v>
      </c>
      <c r="E30" s="13" t="s">
        <v>52</v>
      </c>
      <c r="F30" s="8" t="s">
        <v>15</v>
      </c>
      <c r="G30" s="11">
        <v>100</v>
      </c>
      <c r="H30" s="15">
        <v>18</v>
      </c>
      <c r="I30" s="10">
        <f t="shared" si="1"/>
        <v>1800</v>
      </c>
    </row>
    <row r="31" spans="1:9" s="19" customFormat="1" ht="36.75" customHeight="1" x14ac:dyDescent="0.2">
      <c r="A31" s="5">
        <v>22</v>
      </c>
      <c r="B31" s="22" t="s">
        <v>53</v>
      </c>
      <c r="C31" s="22" t="s">
        <v>71</v>
      </c>
      <c r="D31" s="6">
        <v>252</v>
      </c>
      <c r="E31" s="18" t="s">
        <v>54</v>
      </c>
      <c r="F31" s="5" t="s">
        <v>16</v>
      </c>
      <c r="G31" s="20">
        <v>25</v>
      </c>
      <c r="H31" s="21">
        <v>2200</v>
      </c>
      <c r="I31" s="10">
        <f t="shared" si="1"/>
        <v>55000</v>
      </c>
    </row>
    <row r="32" spans="1:9" s="19" customFormat="1" ht="42" customHeight="1" x14ac:dyDescent="0.2">
      <c r="A32" s="5">
        <v>23</v>
      </c>
      <c r="B32" s="7" t="s">
        <v>55</v>
      </c>
      <c r="C32" s="22" t="s">
        <v>71</v>
      </c>
      <c r="D32" s="6">
        <v>252</v>
      </c>
      <c r="E32" s="13" t="s">
        <v>56</v>
      </c>
      <c r="F32" s="8" t="s">
        <v>15</v>
      </c>
      <c r="G32" s="11">
        <v>100</v>
      </c>
      <c r="H32" s="15">
        <v>15.5</v>
      </c>
      <c r="I32" s="10">
        <f t="shared" si="1"/>
        <v>1550</v>
      </c>
    </row>
    <row r="33" spans="1:9" s="19" customFormat="1" ht="38.25" customHeight="1" x14ac:dyDescent="0.2">
      <c r="A33" s="5">
        <v>24</v>
      </c>
      <c r="B33" s="30" t="s">
        <v>66</v>
      </c>
      <c r="C33" s="22" t="s">
        <v>71</v>
      </c>
      <c r="D33" s="6">
        <v>252</v>
      </c>
      <c r="E33" s="23" t="s">
        <v>65</v>
      </c>
      <c r="F33" s="5" t="s">
        <v>17</v>
      </c>
      <c r="G33" s="20">
        <v>200</v>
      </c>
      <c r="H33" s="21">
        <v>220</v>
      </c>
      <c r="I33" s="10">
        <f t="shared" si="1"/>
        <v>44000</v>
      </c>
    </row>
    <row r="34" spans="1:9" s="19" customFormat="1" ht="43.5" customHeight="1" x14ac:dyDescent="0.2">
      <c r="A34" s="5">
        <v>25</v>
      </c>
      <c r="B34" s="7" t="s">
        <v>57</v>
      </c>
      <c r="C34" s="22" t="s">
        <v>71</v>
      </c>
      <c r="D34" s="6">
        <v>252</v>
      </c>
      <c r="E34" s="13" t="s">
        <v>58</v>
      </c>
      <c r="F34" s="8" t="s">
        <v>16</v>
      </c>
      <c r="G34" s="11">
        <v>100</v>
      </c>
      <c r="H34" s="15">
        <v>55</v>
      </c>
      <c r="I34" s="10">
        <f t="shared" si="1"/>
        <v>5500</v>
      </c>
    </row>
    <row r="35" spans="1:9" s="19" customFormat="1" ht="45" customHeight="1" x14ac:dyDescent="0.2">
      <c r="A35" s="5">
        <v>26</v>
      </c>
      <c r="B35" s="7" t="s">
        <v>59</v>
      </c>
      <c r="C35" s="22" t="s">
        <v>71</v>
      </c>
      <c r="D35" s="6">
        <v>252</v>
      </c>
      <c r="E35" s="13" t="s">
        <v>60</v>
      </c>
      <c r="F35" s="8" t="s">
        <v>16</v>
      </c>
      <c r="G35" s="11">
        <v>100</v>
      </c>
      <c r="H35" s="15">
        <v>58</v>
      </c>
      <c r="I35" s="10">
        <f t="shared" si="1"/>
        <v>5800</v>
      </c>
    </row>
    <row r="38" spans="1:9" ht="13.5" thickBot="1" x14ac:dyDescent="0.25"/>
    <row r="39" spans="1:9" s="34" customFormat="1" x14ac:dyDescent="0.2">
      <c r="B39" s="35" t="s">
        <v>72</v>
      </c>
      <c r="C39" s="36"/>
      <c r="D39" s="36"/>
      <c r="E39" s="37"/>
      <c r="H39" s="38"/>
      <c r="I39" s="39"/>
    </row>
    <row r="40" spans="1:9" s="34" customFormat="1" ht="13.5" customHeight="1" x14ac:dyDescent="0.2">
      <c r="B40" s="40" t="s">
        <v>73</v>
      </c>
      <c r="C40" s="41"/>
      <c r="D40" s="41"/>
      <c r="E40" s="42"/>
      <c r="H40" s="38"/>
    </row>
    <row r="41" spans="1:9" s="34" customFormat="1" ht="25.5" customHeight="1" x14ac:dyDescent="0.2">
      <c r="B41" s="40"/>
      <c r="C41" s="41"/>
      <c r="D41" s="41"/>
      <c r="E41" s="42"/>
      <c r="F41" s="43"/>
      <c r="G41" s="44"/>
      <c r="H41" s="38"/>
    </row>
    <row r="42" spans="1:9" s="34" customFormat="1" ht="13.5" customHeight="1" x14ac:dyDescent="0.2">
      <c r="B42" s="40" t="s">
        <v>74</v>
      </c>
      <c r="C42" s="41"/>
      <c r="D42" s="41"/>
      <c r="E42" s="42"/>
      <c r="F42" s="43"/>
      <c r="G42" s="44"/>
      <c r="H42" s="38"/>
    </row>
    <row r="43" spans="1:9" s="34" customFormat="1" ht="13.5" thickBot="1" x14ac:dyDescent="0.25">
      <c r="B43" s="45" t="s">
        <v>75</v>
      </c>
      <c r="C43" s="46"/>
      <c r="D43" s="47"/>
      <c r="E43" s="48"/>
      <c r="F43" s="43"/>
      <c r="G43" s="44"/>
      <c r="H43" s="38"/>
    </row>
  </sheetData>
  <autoFilter ref="A9:I35"/>
  <mergeCells count="9">
    <mergeCell ref="A6:B6"/>
    <mergeCell ref="B40:E41"/>
    <mergeCell ref="B42:E42"/>
    <mergeCell ref="B2:H2"/>
    <mergeCell ref="A4:B4"/>
    <mergeCell ref="C4:E4"/>
    <mergeCell ref="A5:B5"/>
    <mergeCell ref="C5:E5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8"/>
  <sheetViews>
    <sheetView topLeftCell="A30" zoomScale="80" zoomScaleNormal="80" workbookViewId="0">
      <selection activeCell="B43" sqref="B43"/>
    </sheetView>
  </sheetViews>
  <sheetFormatPr baseColWidth="10" defaultColWidth="9.140625" defaultRowHeight="12.75" x14ac:dyDescent="0.2"/>
  <cols>
    <col min="1" max="1" width="5.5703125" style="50" customWidth="1"/>
    <col min="2" max="2" width="15.1406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8.5703125" style="50" customWidth="1"/>
    <col min="8" max="8" width="9.28515625" style="50" customWidth="1"/>
    <col min="9" max="9" width="15.5703125" style="50" customWidth="1"/>
    <col min="10" max="10" width="14.7109375" style="50" customWidth="1"/>
    <col min="11" max="11" width="15.5703125" style="50" customWidth="1"/>
    <col min="12" max="13" width="5.85546875" style="50" customWidth="1"/>
    <col min="14" max="14" width="14.140625" style="50" customWidth="1"/>
    <col min="15" max="15" width="12.5703125" style="50" customWidth="1"/>
    <col min="16" max="1024" width="9.140625" style="50"/>
    <col min="1025" max="16384" width="9.140625" style="49"/>
  </cols>
  <sheetData>
    <row r="1" spans="1:11" ht="18" customHeight="1" thickBot="1" x14ac:dyDescent="0.25">
      <c r="A1" s="74" t="s">
        <v>94</v>
      </c>
      <c r="B1" s="74"/>
      <c r="C1" s="74"/>
      <c r="D1" s="74"/>
      <c r="E1" s="74"/>
      <c r="F1" s="74"/>
      <c r="G1" s="74"/>
      <c r="H1" s="74"/>
      <c r="I1" s="74"/>
      <c r="J1" s="73" t="s">
        <v>93</v>
      </c>
      <c r="K1" s="72" t="s">
        <v>120</v>
      </c>
    </row>
    <row r="2" spans="1:11" ht="18.75" customHeight="1" thickBot="1" x14ac:dyDescent="0.25">
      <c r="A2" s="71"/>
      <c r="B2" s="71"/>
      <c r="C2" s="71"/>
      <c r="D2" s="70"/>
      <c r="E2" s="70"/>
      <c r="F2" s="70"/>
      <c r="G2" s="70"/>
      <c r="H2" s="70"/>
      <c r="I2" s="70"/>
      <c r="J2" s="70"/>
      <c r="K2" s="70"/>
    </row>
    <row r="3" spans="1:11" ht="18.75" customHeight="1" thickBot="1" x14ac:dyDescent="0.25">
      <c r="A3" s="69" t="s">
        <v>92</v>
      </c>
      <c r="B3" s="69"/>
      <c r="C3" s="69"/>
      <c r="D3" s="53" t="str">
        <f>'[1]Necesidades Trimestrales'!C4</f>
        <v>040 - Ministerio de Salud</v>
      </c>
      <c r="E3" s="53"/>
      <c r="F3" s="53"/>
      <c r="G3" s="53"/>
      <c r="H3" s="53"/>
      <c r="I3" s="53"/>
      <c r="J3" s="53"/>
      <c r="K3" s="53"/>
    </row>
    <row r="4" spans="1:11" ht="18.75" customHeight="1" thickBot="1" x14ac:dyDescent="0.25">
      <c r="A4" s="68" t="s">
        <v>91</v>
      </c>
      <c r="B4" s="68"/>
      <c r="C4" s="68"/>
      <c r="D4" s="53" t="str">
        <f>'[1]Necesidades Trimestrales'!C5</f>
        <v>024 - Direccion de Administracion del Hospital Interzonal de Niños</v>
      </c>
      <c r="E4" s="53"/>
      <c r="F4" s="53"/>
      <c r="G4" s="53"/>
      <c r="H4" s="53"/>
      <c r="I4" s="53"/>
      <c r="J4" s="53"/>
      <c r="K4" s="53"/>
    </row>
    <row r="5" spans="1:11" ht="18.75" customHeight="1" thickBot="1" x14ac:dyDescent="0.25">
      <c r="A5" s="68" t="s">
        <v>90</v>
      </c>
      <c r="B5" s="68"/>
      <c r="C5" s="68"/>
      <c r="D5" s="53" t="s">
        <v>89</v>
      </c>
      <c r="E5" s="53"/>
      <c r="F5" s="53"/>
      <c r="G5" s="53"/>
      <c r="H5" s="53"/>
      <c r="I5" s="53"/>
      <c r="J5" s="53"/>
      <c r="K5" s="53"/>
    </row>
    <row r="6" spans="1:11" ht="16.5" customHeight="1" thickBot="1" x14ac:dyDescent="0.25">
      <c r="A6" s="69" t="s">
        <v>88</v>
      </c>
      <c r="B6" s="69"/>
      <c r="C6" s="69"/>
      <c r="D6" s="53" t="s">
        <v>87</v>
      </c>
      <c r="E6" s="53"/>
      <c r="F6" s="53"/>
      <c r="G6" s="53"/>
      <c r="H6" s="53"/>
      <c r="I6" s="53"/>
      <c r="J6" s="53"/>
      <c r="K6" s="53"/>
    </row>
    <row r="7" spans="1:11" ht="16.5" customHeight="1" thickBot="1" x14ac:dyDescent="0.25">
      <c r="A7" s="68" t="s">
        <v>86</v>
      </c>
      <c r="B7" s="68"/>
      <c r="C7" s="68"/>
      <c r="D7" s="53" t="s">
        <v>118</v>
      </c>
      <c r="E7" s="53"/>
      <c r="F7" s="53"/>
      <c r="G7" s="53"/>
      <c r="H7" s="53"/>
      <c r="I7" s="53"/>
      <c r="J7" s="53"/>
      <c r="K7" s="53"/>
    </row>
    <row r="8" spans="1:11" ht="16.5" customHeight="1" thickBot="1" x14ac:dyDescent="0.25">
      <c r="A8" s="67" t="s">
        <v>85</v>
      </c>
      <c r="B8" s="67"/>
      <c r="C8" s="67"/>
      <c r="D8" s="66" t="s">
        <v>119</v>
      </c>
      <c r="E8" s="66"/>
      <c r="F8" s="66"/>
      <c r="G8" s="66"/>
      <c r="H8" s="66"/>
      <c r="I8" s="66"/>
      <c r="J8" s="66"/>
      <c r="K8" s="66"/>
    </row>
    <row r="9" spans="1:11" ht="16.5" thickBot="1" x14ac:dyDescent="0.25">
      <c r="A9" s="65"/>
      <c r="B9" s="65"/>
      <c r="C9" s="65"/>
      <c r="D9" s="64"/>
      <c r="E9" s="64"/>
      <c r="F9" s="64"/>
      <c r="G9" s="64"/>
      <c r="H9" s="64"/>
      <c r="I9" s="64"/>
      <c r="J9" s="64"/>
      <c r="K9" s="64"/>
    </row>
    <row r="10" spans="1:11" ht="18.75" customHeight="1" thickBot="1" x14ac:dyDescent="0.25">
      <c r="A10" s="63" t="s">
        <v>84</v>
      </c>
      <c r="B10" s="62" t="s">
        <v>83</v>
      </c>
      <c r="C10" s="62" t="s">
        <v>82</v>
      </c>
      <c r="D10" s="62"/>
      <c r="E10" s="62"/>
      <c r="F10" s="62"/>
      <c r="G10" s="62"/>
      <c r="H10" s="62" t="s">
        <v>81</v>
      </c>
      <c r="I10" s="62" t="s">
        <v>80</v>
      </c>
      <c r="J10" s="62" t="s">
        <v>79</v>
      </c>
      <c r="K10" s="61" t="s">
        <v>78</v>
      </c>
    </row>
    <row r="11" spans="1:11" ht="24" customHeight="1" thickBot="1" x14ac:dyDescent="0.25">
      <c r="A11" s="63"/>
      <c r="B11" s="62"/>
      <c r="C11" s="62"/>
      <c r="D11" s="62"/>
      <c r="E11" s="62"/>
      <c r="F11" s="62"/>
      <c r="G11" s="62"/>
      <c r="H11" s="62"/>
      <c r="I11" s="62"/>
      <c r="J11" s="62"/>
      <c r="K11" s="61"/>
    </row>
    <row r="12" spans="1:11" ht="27.75" customHeight="1" x14ac:dyDescent="0.2">
      <c r="A12" s="59">
        <v>1</v>
      </c>
      <c r="B12" s="60" t="str">
        <f>+'Necesidades Trimestrales '!B10</f>
        <v>2.5.2-1873.5</v>
      </c>
      <c r="C12" s="58" t="str">
        <f>+'Necesidades Trimestrales '!E10</f>
        <v>ANTICOAGULANTES P/PERSONAS; TIPO: MONODROGA, DROGA GENERICA: ACENOCUMAROL, FORMA FARMACEUTICA: COMPRIMIDOS, PRESENTACION: 4 mGr</v>
      </c>
      <c r="D12" s="58"/>
      <c r="E12" s="58"/>
      <c r="F12" s="58"/>
      <c r="G12" s="58"/>
      <c r="H12" s="57" t="s">
        <v>76</v>
      </c>
      <c r="I12" s="56" t="str">
        <f>+'Necesidades Trimestrales '!F10</f>
        <v>COMPRIMIDO</v>
      </c>
      <c r="J12" s="55">
        <f>+'Necesidades Trimestrales '!H10</f>
        <v>11.5</v>
      </c>
      <c r="K12" s="54">
        <f>+'Necesidades Trimestrales '!G10</f>
        <v>100</v>
      </c>
    </row>
    <row r="13" spans="1:11" ht="27.75" customHeight="1" x14ac:dyDescent="0.2">
      <c r="A13" s="59">
        <v>2</v>
      </c>
      <c r="B13" s="60" t="str">
        <f>+'Necesidades Trimestrales '!B11</f>
        <v>2.5.2-1873.18</v>
      </c>
      <c r="C13" s="58" t="str">
        <f>+'Necesidades Trimestrales '!E11</f>
        <v>ANTICOAGULANTES P/PERSONAS; TIPO: MONODROGA, DROGA GENERICA: AMINOCAPROICO, FORMA FARMACEUTICA: AMPOLLA, PRESENTACION: 2 GR</v>
      </c>
      <c r="D13" s="58"/>
      <c r="E13" s="58"/>
      <c r="F13" s="58"/>
      <c r="G13" s="58"/>
      <c r="H13" s="57" t="s">
        <v>76</v>
      </c>
      <c r="I13" s="56" t="str">
        <f>+'Necesidades Trimestrales '!F11</f>
        <v>AMPOLLA</v>
      </c>
      <c r="J13" s="55">
        <f>+'Necesidades Trimestrales '!H11</f>
        <v>235</v>
      </c>
      <c r="K13" s="54">
        <f>+'Necesidades Trimestrales '!G11</f>
        <v>100</v>
      </c>
    </row>
    <row r="14" spans="1:11" ht="27.75" customHeight="1" x14ac:dyDescent="0.2">
      <c r="A14" s="59">
        <v>3</v>
      </c>
      <c r="B14" s="60" t="str">
        <f>+'Necesidades Trimestrales '!B12</f>
        <v>2.5.2-1872.36</v>
      </c>
      <c r="C14" s="58" t="str">
        <f>+'Necesidades Trimestrales '!E12</f>
        <v>ANTIANEMICOS; TIPO: MONODROGA, DROGA GENERICA: ACIDO FOLICO 1 mGr, FORMA FARMACEUTICA: GOTA, PRESENTACION: ENVASE X 20 mL</v>
      </c>
      <c r="D14" s="58"/>
      <c r="E14" s="58"/>
      <c r="F14" s="58"/>
      <c r="G14" s="58"/>
      <c r="H14" s="57" t="s">
        <v>76</v>
      </c>
      <c r="I14" s="56" t="str">
        <f>+'Necesidades Trimestrales '!F12</f>
        <v>GOTERO</v>
      </c>
      <c r="J14" s="55">
        <f>+'Necesidades Trimestrales '!H12</f>
        <v>295.5</v>
      </c>
      <c r="K14" s="54">
        <f>+'Necesidades Trimestrales '!G12</f>
        <v>50</v>
      </c>
    </row>
    <row r="15" spans="1:11" ht="27.75" customHeight="1" x14ac:dyDescent="0.2">
      <c r="A15" s="59">
        <v>4</v>
      </c>
      <c r="B15" s="60" t="str">
        <f>+'Necesidades Trimestrales '!B13</f>
        <v>2.5.2-1872.49</v>
      </c>
      <c r="C15" s="58" t="str">
        <f>+'Necesidades Trimestrales '!E13</f>
        <v>ANTIANEMICOS; TIPO: MONODROGA, DROGA GENERICA: ACIDO FOLICO 5 MG, FORMA FARMACEUTICA: COMPRIMIDO, PRESENTACION: UNIDAD</v>
      </c>
      <c r="D15" s="58"/>
      <c r="E15" s="58"/>
      <c r="F15" s="58"/>
      <c r="G15" s="58"/>
      <c r="H15" s="57" t="s">
        <v>76</v>
      </c>
      <c r="I15" s="56" t="str">
        <f>+'Necesidades Trimestrales '!F13</f>
        <v>COMPRIMIDO</v>
      </c>
      <c r="J15" s="55">
        <f>+'Necesidades Trimestrales '!H13</f>
        <v>3.8</v>
      </c>
      <c r="K15" s="54">
        <f>+'Necesidades Trimestrales '!G13</f>
        <v>100</v>
      </c>
    </row>
    <row r="16" spans="1:11" ht="27.75" customHeight="1" x14ac:dyDescent="0.2">
      <c r="A16" s="59">
        <v>5</v>
      </c>
      <c r="B16" s="60" t="str">
        <f>+'Necesidades Trimestrales '!B14</f>
        <v>2.5.2-1838.13</v>
      </c>
      <c r="C16" s="58" t="str">
        <f>+'Necesidades Trimestrales '!E14</f>
        <v>INOTROPICOS; TIPO: MONODROGA, DROGA GENERICA: ADRENALINA 1 %, FORMA FARMACEUTICA: AMPOLLA, PRESENTACION: ENVASE X 1 mL</v>
      </c>
      <c r="D16" s="58"/>
      <c r="E16" s="58"/>
      <c r="F16" s="58"/>
      <c r="G16" s="58"/>
      <c r="H16" s="57" t="s">
        <v>76</v>
      </c>
      <c r="I16" s="56" t="str">
        <f>+'Necesidades Trimestrales '!F14</f>
        <v>AMPOLLA</v>
      </c>
      <c r="J16" s="55">
        <f>+'Necesidades Trimestrales '!H14</f>
        <v>48</v>
      </c>
      <c r="K16" s="54">
        <f>+'Necesidades Trimestrales '!G14</f>
        <v>3000</v>
      </c>
    </row>
    <row r="17" spans="1:14" ht="27.75" customHeight="1" x14ac:dyDescent="0.2">
      <c r="A17" s="59">
        <v>6</v>
      </c>
      <c r="B17" s="60" t="str">
        <f>+'Necesidades Trimestrales '!B15</f>
        <v>2.5.2-1839.25</v>
      </c>
      <c r="C17" s="58" t="str">
        <f>+'Necesidades Trimestrales '!E15</f>
        <v>VASODILATADORES CORONARIOS; TIPO: MONODROGA, DROGA GENERICA: ALPROSTADIL VR X 0,5 mGr, FORMA FARMACEUTICA: AMPOLLA, PRESENTACION: ENVASE X 1 mL</v>
      </c>
      <c r="D17" s="58"/>
      <c r="E17" s="58"/>
      <c r="F17" s="58"/>
      <c r="G17" s="58"/>
      <c r="H17" s="57" t="s">
        <v>76</v>
      </c>
      <c r="I17" s="56" t="str">
        <f>+'Necesidades Trimestrales '!F15</f>
        <v>AMPOLLA</v>
      </c>
      <c r="J17" s="55">
        <f>+'Necesidades Trimestrales '!H15</f>
        <v>1620</v>
      </c>
      <c r="K17" s="54">
        <f>+'Necesidades Trimestrales '!G15</f>
        <v>5</v>
      </c>
    </row>
    <row r="18" spans="1:14" ht="27.75" customHeight="1" x14ac:dyDescent="0.2">
      <c r="A18" s="59">
        <v>7</v>
      </c>
      <c r="B18" s="60" t="str">
        <f>+'Necesidades Trimestrales '!B16</f>
        <v>2.5.2-4817.15</v>
      </c>
      <c r="C18" s="58" t="str">
        <f>+'Necesidades Trimestrales '!E16</f>
        <v>ANTIHIPERTENSIVOS; TIPO: MONODROGA, DROGA GENERICA: AMLODIPINA, FORMA FARMACEUTICA: COMPRIMIDOS, PRESENTACION: 10 mGr</v>
      </c>
      <c r="D18" s="58"/>
      <c r="E18" s="58"/>
      <c r="F18" s="58"/>
      <c r="G18" s="58"/>
      <c r="H18" s="57" t="s">
        <v>76</v>
      </c>
      <c r="I18" s="56" t="str">
        <f>+'Necesidades Trimestrales '!F16</f>
        <v>COMPRIMIDO</v>
      </c>
      <c r="J18" s="55">
        <f>+'Necesidades Trimestrales '!H16</f>
        <v>4.5</v>
      </c>
      <c r="K18" s="54">
        <f>+'Necesidades Trimestrales '!G16</f>
        <v>200</v>
      </c>
    </row>
    <row r="19" spans="1:14" ht="27.75" customHeight="1" x14ac:dyDescent="0.2">
      <c r="A19" s="59">
        <v>8</v>
      </c>
      <c r="B19" s="60" t="str">
        <f>+'Necesidades Trimestrales '!B17</f>
        <v>2.5.2-1837.30</v>
      </c>
      <c r="C19" s="58" t="str">
        <f>+'Necesidades Trimestrales '!E17</f>
        <v>HIPOTENSORES; DROGA GENERICA: CARVEDILOL, FORMA FARMACEUTICA: COMPRIMIDO, TIPO: MONODROGA, PRESENTACION: 25 mGr</v>
      </c>
      <c r="D19" s="58"/>
      <c r="E19" s="58"/>
      <c r="F19" s="58"/>
      <c r="G19" s="58"/>
      <c r="H19" s="57" t="s">
        <v>76</v>
      </c>
      <c r="I19" s="56" t="str">
        <f>+'Necesidades Trimestrales '!F17</f>
        <v>COMPRIMIDO</v>
      </c>
      <c r="J19" s="55">
        <f>+'Necesidades Trimestrales '!H17</f>
        <v>8.92</v>
      </c>
      <c r="K19" s="54">
        <f>+'Necesidades Trimestrales '!G17</f>
        <v>100</v>
      </c>
    </row>
    <row r="20" spans="1:14" ht="27.75" customHeight="1" x14ac:dyDescent="0.2">
      <c r="A20" s="59">
        <v>9</v>
      </c>
      <c r="B20" s="60" t="str">
        <f>+'Necesidades Trimestrales '!B18</f>
        <v>2.5.2-2693.14</v>
      </c>
      <c r="C20" s="58" t="str">
        <f>+'Necesidades Trimestrales '!E18</f>
        <v>CARDIOTONICOS; TIPO: MONODROGA, DROGA GENERICA: DIGOXINA, FORMA FARMACEUTICA: AMPOLLA, PRESENTACION: 0,25 mGr</v>
      </c>
      <c r="D20" s="58"/>
      <c r="E20" s="58"/>
      <c r="F20" s="58"/>
      <c r="G20" s="58"/>
      <c r="H20" s="57" t="s">
        <v>76</v>
      </c>
      <c r="I20" s="56" t="str">
        <f>+'Necesidades Trimestrales '!F18</f>
        <v>AMPOLLA</v>
      </c>
      <c r="J20" s="55">
        <f>+'Necesidades Trimestrales '!H18</f>
        <v>65</v>
      </c>
      <c r="K20" s="54">
        <f>+'Necesidades Trimestrales '!G18</f>
        <v>100</v>
      </c>
    </row>
    <row r="21" spans="1:14" ht="27.75" customHeight="1" x14ac:dyDescent="0.2">
      <c r="A21" s="59">
        <v>10</v>
      </c>
      <c r="B21" s="60" t="str">
        <f>+'Necesidades Trimestrales '!B19</f>
        <v>2.5.2-2693.4</v>
      </c>
      <c r="C21" s="58" t="str">
        <f>+'Necesidades Trimestrales '!E19</f>
        <v>CARDIOTONICOS; TIPO: MONODROGA, DROGA GENERICA: DIGOXINA, FORMA FARMACEUTICA: COMPRIMIDO, PRESENTACION: 0,25 mGr</v>
      </c>
      <c r="D21" s="58"/>
      <c r="E21" s="58"/>
      <c r="F21" s="58"/>
      <c r="G21" s="58"/>
      <c r="H21" s="57" t="s">
        <v>76</v>
      </c>
      <c r="I21" s="56" t="str">
        <f>+'Necesidades Trimestrales '!F19</f>
        <v>COMPRIMIDO</v>
      </c>
      <c r="J21" s="55">
        <f>+'Necesidades Trimestrales '!H19</f>
        <v>15</v>
      </c>
      <c r="K21" s="54">
        <f>+'Necesidades Trimestrales '!G19</f>
        <v>100</v>
      </c>
    </row>
    <row r="22" spans="1:14" ht="27.75" customHeight="1" x14ac:dyDescent="0.2">
      <c r="A22" s="59">
        <v>11</v>
      </c>
      <c r="B22" s="60" t="str">
        <f>+'Necesidades Trimestrales '!B20</f>
        <v>2.5.2-1837.7</v>
      </c>
      <c r="C22" s="58" t="str">
        <f>+'Necesidades Trimestrales '!E20</f>
        <v>HIPOTENSORES; DROGA GENERICA: ENALAPRIL, FORMA FARMACEUTICA: COMPRIMIDO, TIPO: MONODROGA, PRESENTACION: 10 mGr</v>
      </c>
      <c r="D22" s="58"/>
      <c r="E22" s="58"/>
      <c r="F22" s="58"/>
      <c r="G22" s="58"/>
      <c r="H22" s="57" t="s">
        <v>76</v>
      </c>
      <c r="I22" s="56" t="str">
        <f>+'Necesidades Trimestrales '!F20</f>
        <v>COMPRIMIDO</v>
      </c>
      <c r="J22" s="55">
        <f>+'Necesidades Trimestrales '!H20</f>
        <v>3.5</v>
      </c>
      <c r="K22" s="54">
        <f>+'Necesidades Trimestrales '!G20</f>
        <v>500</v>
      </c>
    </row>
    <row r="23" spans="1:14" ht="27.75" customHeight="1" x14ac:dyDescent="0.2">
      <c r="A23" s="59">
        <v>12</v>
      </c>
      <c r="B23" s="60" t="str">
        <f>+'Necesidades Trimestrales '!B21</f>
        <v>2.5.2-1837.71</v>
      </c>
      <c r="C23" s="58" t="str">
        <f>+'Necesidades Trimestrales '!E21</f>
        <v>HIPOTENSORES; TIPO: MONODROGA, DROGA GENÉRICA: ESMOLOL 100 MG/10 ML, FORMA FARMACEÚTICA: FRASCO AMPOLLA, PRESENTACION: ENVASE X 10 ML</v>
      </c>
      <c r="D23" s="58"/>
      <c r="E23" s="58"/>
      <c r="F23" s="58"/>
      <c r="G23" s="58"/>
      <c r="H23" s="57" t="s">
        <v>76</v>
      </c>
      <c r="I23" s="56" t="str">
        <f>+'Necesidades Trimestrales '!F21</f>
        <v>AMPOLLA</v>
      </c>
      <c r="J23" s="55">
        <f>+'Necesidades Trimestrales '!H21</f>
        <v>5690</v>
      </c>
      <c r="K23" s="54">
        <f>+'Necesidades Trimestrales '!G21</f>
        <v>10</v>
      </c>
    </row>
    <row r="24" spans="1:14" ht="27.75" customHeight="1" x14ac:dyDescent="0.2">
      <c r="A24" s="59">
        <v>13</v>
      </c>
      <c r="B24" s="60" t="str">
        <f>+'Necesidades Trimestrales '!B22</f>
        <v>2.5.2-1835.4</v>
      </c>
      <c r="C24" s="58" t="str">
        <f>+'Necesidades Trimestrales '!E22</f>
        <v>DIURETICOS; TIPO: MONODROGA, FORMA FARMACEUTICA: COMPRIMIDO, PRESENTACION: 100 mGr, DROGA GENERICA: ESPIRONOLACTONA</v>
      </c>
      <c r="D24" s="58"/>
      <c r="E24" s="58"/>
      <c r="F24" s="58"/>
      <c r="G24" s="58"/>
      <c r="H24" s="57" t="s">
        <v>76</v>
      </c>
      <c r="I24" s="56" t="str">
        <f>+'Necesidades Trimestrales '!F22</f>
        <v>COMPRIMIDO</v>
      </c>
      <c r="J24" s="55">
        <f>+'Necesidades Trimestrales '!H22</f>
        <v>4.25</v>
      </c>
      <c r="K24" s="54">
        <f>+'Necesidades Trimestrales '!G22</f>
        <v>1000</v>
      </c>
    </row>
    <row r="25" spans="1:14" ht="27.75" customHeight="1" x14ac:dyDescent="0.2">
      <c r="A25" s="59">
        <v>14</v>
      </c>
      <c r="B25" s="60" t="str">
        <f>+'Necesidades Trimestrales '!B23</f>
        <v>2.5.2-1835.10</v>
      </c>
      <c r="C25" s="58" t="str">
        <f>+'Necesidades Trimestrales '!E23</f>
        <v>DIURETICOS; TIPO: MONODROGA, DROGA GENERICA: FUROSEMIDA, FORMA FARMACEUTICA: COMPRIMIDO, PRESENTACION: 40 mGr</v>
      </c>
      <c r="D25" s="58"/>
      <c r="E25" s="58"/>
      <c r="F25" s="58"/>
      <c r="G25" s="58"/>
      <c r="H25" s="57" t="s">
        <v>76</v>
      </c>
      <c r="I25" s="56" t="str">
        <f>+'Necesidades Trimestrales '!F23</f>
        <v>COMPRIMIDO</v>
      </c>
      <c r="J25" s="55">
        <f>+'Necesidades Trimestrales '!H23</f>
        <v>6.3</v>
      </c>
      <c r="K25" s="54">
        <f>+'Necesidades Trimestrales '!G23</f>
        <v>1000</v>
      </c>
    </row>
    <row r="26" spans="1:14" ht="27.75" customHeight="1" x14ac:dyDescent="0.2">
      <c r="A26" s="59">
        <v>15</v>
      </c>
      <c r="B26" s="60" t="str">
        <f>+'Necesidades Trimestrales '!B24</f>
        <v>2.5.2-1835.11</v>
      </c>
      <c r="C26" s="58" t="str">
        <f>+'Necesidades Trimestrales '!E24</f>
        <v>DIURETICOS; TIPO: MONODROGA, DROGA GENERICA: FUROSEMIDA, FORMA FARMACEUTICA: AMPOLLA, PRESENTACION: 20 mGr</v>
      </c>
      <c r="D26" s="58"/>
      <c r="E26" s="58"/>
      <c r="F26" s="58"/>
      <c r="G26" s="58"/>
      <c r="H26" s="57" t="s">
        <v>76</v>
      </c>
      <c r="I26" s="56" t="str">
        <f>+'Necesidades Trimestrales '!F24</f>
        <v>AMPOLLA</v>
      </c>
      <c r="J26" s="55">
        <f>+'Necesidades Trimestrales '!H24</f>
        <v>41</v>
      </c>
      <c r="K26" s="54">
        <f>+'Necesidades Trimestrales '!G24</f>
        <v>1000</v>
      </c>
    </row>
    <row r="27" spans="1:14" ht="27.75" customHeight="1" x14ac:dyDescent="0.2">
      <c r="A27" s="59">
        <v>16</v>
      </c>
      <c r="B27" s="60" t="str">
        <f>+'Necesidades Trimestrales '!B25</f>
        <v>2.5.2-1873.46</v>
      </c>
      <c r="C27" s="58" t="str">
        <f>+'Necesidades Trimestrales '!E25</f>
        <v>ANTICOAGULANTES P/PERSONAS; TIPO: MONODROGA, DROGA GENERICA: HEPARINA SODICA 5000 UI / ML, FORMA FARMACEUTICA: AMPOLLA, PRESENTACION: ENVASE X 5 mL</v>
      </c>
      <c r="D27" s="58"/>
      <c r="E27" s="58"/>
      <c r="F27" s="58"/>
      <c r="G27" s="58"/>
      <c r="H27" s="57" t="s">
        <v>76</v>
      </c>
      <c r="I27" s="56" t="str">
        <f>+'Necesidades Trimestrales '!F25</f>
        <v>AMPOLLA</v>
      </c>
      <c r="J27" s="55">
        <f>+'Necesidades Trimestrales '!H25</f>
        <v>730</v>
      </c>
      <c r="K27" s="54">
        <f>+'Necesidades Trimestrales '!G25</f>
        <v>100</v>
      </c>
    </row>
    <row r="28" spans="1:14" ht="27.75" customHeight="1" x14ac:dyDescent="0.2">
      <c r="A28" s="59">
        <v>17</v>
      </c>
      <c r="B28" s="60" t="str">
        <f>+'Necesidades Trimestrales '!B26</f>
        <v>2.5.2-1835.13</v>
      </c>
      <c r="C28" s="58" t="str">
        <f>+'Necesidades Trimestrales '!E26</f>
        <v>DIURETICOS; TIPO: MONODROGA, DROGA GENERICA: HIDROCLOROTIAZIDA, FORMA FARMACEUTICA: COMPRIMIDO, PRESENTACION: 25 mGr</v>
      </c>
      <c r="D28" s="58"/>
      <c r="E28" s="58"/>
      <c r="F28" s="58"/>
      <c r="G28" s="58"/>
      <c r="H28" s="57" t="s">
        <v>76</v>
      </c>
      <c r="I28" s="56" t="str">
        <f>+'Necesidades Trimestrales '!F26</f>
        <v>COMPRIMIDO</v>
      </c>
      <c r="J28" s="55">
        <f>+'Necesidades Trimestrales '!H26</f>
        <v>6.4</v>
      </c>
      <c r="K28" s="54">
        <f>+'Necesidades Trimestrales '!G26</f>
        <v>100</v>
      </c>
    </row>
    <row r="29" spans="1:14" ht="27.75" customHeight="1" x14ac:dyDescent="0.2">
      <c r="A29" s="59">
        <v>18</v>
      </c>
      <c r="B29" s="60" t="str">
        <f>+'Necesidades Trimestrales '!B27</f>
        <v>2.5.2-4817.65</v>
      </c>
      <c r="C29" s="58" t="str">
        <f>+'Necesidades Trimestrales '!E27</f>
        <v>ANTIHIPERTENSIVOS; TIPO: MONODROGA, DROGA GENERICA: LOSARTAN, FORMA FARMACEUTICA: COMPRIMIDO, PRESENTACION: 50 mGr</v>
      </c>
      <c r="D29" s="58"/>
      <c r="E29" s="58"/>
      <c r="F29" s="58"/>
      <c r="G29" s="58"/>
      <c r="H29" s="57" t="s">
        <v>76</v>
      </c>
      <c r="I29" s="56" t="str">
        <f>+'Necesidades Trimestrales '!F27</f>
        <v>COMPRIMIDO</v>
      </c>
      <c r="J29" s="55">
        <f>+'Necesidades Trimestrales '!H27</f>
        <v>5.3</v>
      </c>
      <c r="K29" s="54">
        <f>+'Necesidades Trimestrales '!G27</f>
        <v>100</v>
      </c>
    </row>
    <row r="30" spans="1:14" ht="27.75" customHeight="1" x14ac:dyDescent="0.2">
      <c r="A30" s="59">
        <v>19</v>
      </c>
      <c r="B30" s="60" t="str">
        <f>+'Necesidades Trimestrales '!B28</f>
        <v>2.5.2-1837.20</v>
      </c>
      <c r="C30" s="58" t="str">
        <f>+'Necesidades Trimestrales '!E28</f>
        <v>HIPOTENSORES; TIPO: MONODROGA, DROGA GENERICA: NITROPRUSIATO DE SODIO, FORMA FARMACEUTICA: AMPOLLA, PRESENTACION: 50 mGr</v>
      </c>
      <c r="D30" s="58"/>
      <c r="E30" s="58"/>
      <c r="F30" s="58"/>
      <c r="G30" s="58"/>
      <c r="H30" s="57" t="s">
        <v>76</v>
      </c>
      <c r="I30" s="56" t="str">
        <f>+'Necesidades Trimestrales '!F28</f>
        <v>FRASCO</v>
      </c>
      <c r="J30" s="55">
        <f>+'Necesidades Trimestrales '!H28</f>
        <v>790</v>
      </c>
      <c r="K30" s="54">
        <f>+'Necesidades Trimestrales '!G28</f>
        <v>100</v>
      </c>
      <c r="N30" s="50" t="s">
        <v>77</v>
      </c>
    </row>
    <row r="31" spans="1:14" ht="27.75" customHeight="1" x14ac:dyDescent="0.2">
      <c r="A31" s="59">
        <v>20</v>
      </c>
      <c r="B31" s="60" t="str">
        <f>+'Necesidades Trimestrales '!B29</f>
        <v>2.5.2-1838.7</v>
      </c>
      <c r="C31" s="58" t="str">
        <f>+'Necesidades Trimestrales '!E29</f>
        <v>INOTROPICOS; TIPO: MONODROGA, DROGA GENERICA: NORADRENALINA BITARTRATO, FORMA FARMACEUTICA: AMPOLLA, PRESENTACION: 4 mL</v>
      </c>
      <c r="D31" s="58"/>
      <c r="E31" s="58"/>
      <c r="F31" s="58"/>
      <c r="G31" s="58"/>
      <c r="H31" s="57" t="s">
        <v>76</v>
      </c>
      <c r="I31" s="56" t="str">
        <f>+'Necesidades Trimestrales '!F29</f>
        <v>AMPOLLA</v>
      </c>
      <c r="J31" s="55">
        <f>+'Necesidades Trimestrales '!H29</f>
        <v>150</v>
      </c>
      <c r="K31" s="54">
        <f>+'Necesidades Trimestrales '!G29</f>
        <v>200</v>
      </c>
    </row>
    <row r="32" spans="1:14" ht="27.75" customHeight="1" x14ac:dyDescent="0.2">
      <c r="A32" s="59">
        <v>21</v>
      </c>
      <c r="B32" s="60" t="str">
        <f>+'Necesidades Trimestrales '!B30</f>
        <v>2.5.2-1837.67</v>
      </c>
      <c r="C32" s="58" t="str">
        <f>+'Necesidades Trimestrales '!E30</f>
        <v>HIPOTENSORES; TIPO: MONODROGA, DROGA GENERICA: PROPANOLOL 40 mGr, FORMA FARMACEUTICA: COMPRIMIDO, PRESENTACION: UNIDAD</v>
      </c>
      <c r="D32" s="58"/>
      <c r="E32" s="58"/>
      <c r="F32" s="58"/>
      <c r="G32" s="58"/>
      <c r="H32" s="57" t="s">
        <v>76</v>
      </c>
      <c r="I32" s="56" t="str">
        <f>+'Necesidades Trimestrales '!F30</f>
        <v>COMPRIMIDO</v>
      </c>
      <c r="J32" s="55">
        <f>+'Necesidades Trimestrales '!H30</f>
        <v>18</v>
      </c>
      <c r="K32" s="54">
        <f>+'Necesidades Trimestrales '!G30</f>
        <v>100</v>
      </c>
    </row>
    <row r="33" spans="1:14" ht="27.75" customHeight="1" x14ac:dyDescent="0.2">
      <c r="A33" s="59">
        <v>22</v>
      </c>
      <c r="B33" s="60" t="str">
        <f>+'Necesidades Trimestrales '!B31</f>
        <v>2.5.2-1837.44</v>
      </c>
      <c r="C33" s="58" t="str">
        <f>+'Necesidades Trimestrales '!E31</f>
        <v>HIPOTENSORES; TIPO: MONODROGA, DROGA GENERICA: PROPANOLOL 5 MG, FORMA FARMACEUTICA: AMPOLLA, PRESENTACION: 5 mL</v>
      </c>
      <c r="D33" s="58"/>
      <c r="E33" s="58"/>
      <c r="F33" s="58"/>
      <c r="G33" s="58"/>
      <c r="H33" s="57" t="s">
        <v>76</v>
      </c>
      <c r="I33" s="56" t="str">
        <f>+'Necesidades Trimestrales '!F31</f>
        <v>AMPOLLA</v>
      </c>
      <c r="J33" s="55">
        <f>+'Necesidades Trimestrales '!H31</f>
        <v>2200</v>
      </c>
      <c r="K33" s="54">
        <f>+'Necesidades Trimestrales '!G31</f>
        <v>25</v>
      </c>
    </row>
    <row r="34" spans="1:14" ht="27.75" customHeight="1" x14ac:dyDescent="0.2">
      <c r="A34" s="59">
        <v>23</v>
      </c>
      <c r="B34" s="60" t="str">
        <f>+'Necesidades Trimestrales '!B32</f>
        <v>2.5.2-1851.34</v>
      </c>
      <c r="C34" s="58" t="str">
        <f>+'Necesidades Trimestrales '!E32</f>
        <v>GENITOURINARIO; TIPO: MONODROGA, DROGA GENERICA: SILDENAFIL X 50 mGr, FORMA FARMACEUTICA: COMPRIMIDO, PRESENTACION: ENVASE X 1 UN</v>
      </c>
      <c r="D34" s="58"/>
      <c r="E34" s="58"/>
      <c r="F34" s="58"/>
      <c r="G34" s="58"/>
      <c r="H34" s="57" t="s">
        <v>76</v>
      </c>
      <c r="I34" s="56" t="str">
        <f>+'Necesidades Trimestrales '!F32</f>
        <v>COMPRIMIDO</v>
      </c>
      <c r="J34" s="55">
        <f>+'Necesidades Trimestrales '!H32</f>
        <v>15.5</v>
      </c>
      <c r="K34" s="54">
        <f>+'Necesidades Trimestrales '!G32</f>
        <v>100</v>
      </c>
    </row>
    <row r="35" spans="1:14" ht="27.75" customHeight="1" x14ac:dyDescent="0.2">
      <c r="A35" s="59">
        <v>24</v>
      </c>
      <c r="B35" s="60" t="str">
        <f>+'Necesidades Trimestrales '!B33</f>
        <v>2.5.2-1872.7</v>
      </c>
      <c r="C35" s="58" t="str">
        <f>+'Necesidades Trimestrales '!E33</f>
        <v>ANTIANEMICOS; TIPO: MONODROGA, DROGA GENERICA: SULFATO FERROSO, FORMA FARMACEUTICA: SOLUCION, PRESENTACION: GOTERO X 20 mL</v>
      </c>
      <c r="D35" s="58"/>
      <c r="E35" s="58"/>
      <c r="F35" s="58"/>
      <c r="G35" s="58"/>
      <c r="H35" s="57" t="s">
        <v>76</v>
      </c>
      <c r="I35" s="56" t="str">
        <f>+'Necesidades Trimestrales '!F33</f>
        <v>GOTERO</v>
      </c>
      <c r="J35" s="55">
        <f>+'Necesidades Trimestrales '!H33</f>
        <v>220</v>
      </c>
      <c r="K35" s="54">
        <f>+'Necesidades Trimestrales '!G33</f>
        <v>200</v>
      </c>
    </row>
    <row r="36" spans="1:14" ht="27.75" customHeight="1" x14ac:dyDescent="0.2">
      <c r="A36" s="59">
        <v>25</v>
      </c>
      <c r="B36" s="60" t="str">
        <f>+'Necesidades Trimestrales '!B34</f>
        <v>2.5.2-1901.100</v>
      </c>
      <c r="C36" s="58" t="str">
        <f>+'Necesidades Trimestrales '!E34</f>
        <v>VITAMINAS; TIPO: MONODROGA, DROGA GENERICA: VITAMINA K, FORMA FARMACEUTICA: AMPOLLA, PRESENTACION: 1 mGr</v>
      </c>
      <c r="D36" s="58"/>
      <c r="E36" s="58"/>
      <c r="F36" s="58"/>
      <c r="G36" s="58"/>
      <c r="H36" s="57" t="s">
        <v>76</v>
      </c>
      <c r="I36" s="56" t="str">
        <f>+'Necesidades Trimestrales '!F34</f>
        <v>AMPOLLA</v>
      </c>
      <c r="J36" s="55">
        <f>+'Necesidades Trimestrales '!H34</f>
        <v>55</v>
      </c>
      <c r="K36" s="54">
        <f>+'Necesidades Trimestrales '!G34</f>
        <v>100</v>
      </c>
    </row>
    <row r="37" spans="1:14" ht="27.75" customHeight="1" thickBot="1" x14ac:dyDescent="0.25">
      <c r="A37" s="59">
        <v>26</v>
      </c>
      <c r="B37" s="60" t="str">
        <f>+'Necesidades Trimestrales '!B35</f>
        <v>2.5.2-1901.39</v>
      </c>
      <c r="C37" s="58" t="str">
        <f>+'Necesidades Trimestrales '!E35</f>
        <v>VITAMINAS; TIPO: MONODROGA, DROGA GENERICA: VITAMINA K, FORMA FARMACEUTICA: AMPOLLA, PRESENTACION: 10 mGr</v>
      </c>
      <c r="D37" s="58"/>
      <c r="E37" s="58"/>
      <c r="F37" s="58"/>
      <c r="G37" s="58"/>
      <c r="H37" s="57" t="s">
        <v>76</v>
      </c>
      <c r="I37" s="56" t="str">
        <f>+'Necesidades Trimestrales '!F35</f>
        <v>AMPOLLA</v>
      </c>
      <c r="J37" s="55">
        <f>+'Necesidades Trimestrales '!H35</f>
        <v>58</v>
      </c>
      <c r="K37" s="54">
        <f>+'Necesidades Trimestrales '!G35</f>
        <v>100</v>
      </c>
    </row>
    <row r="38" spans="1:14" ht="20.25" customHeight="1" thickBot="1" x14ac:dyDescent="0.25">
      <c r="A38" s="53" t="s">
        <v>121</v>
      </c>
      <c r="B38" s="53"/>
      <c r="C38" s="53"/>
      <c r="D38" s="53"/>
      <c r="E38" s="53"/>
      <c r="F38" s="53"/>
      <c r="G38" s="53"/>
      <c r="H38" s="53"/>
      <c r="I38" s="53"/>
      <c r="J38" s="52">
        <f>SUMPRODUCT(J12:J37,K12:K37)</f>
        <v>608717</v>
      </c>
      <c r="K38" s="52"/>
      <c r="N38" s="51"/>
    </row>
  </sheetData>
  <mergeCells count="48">
    <mergeCell ref="C19:G19"/>
    <mergeCell ref="C23:G23"/>
    <mergeCell ref="C20:G20"/>
    <mergeCell ref="C21:G21"/>
    <mergeCell ref="C22:G22"/>
    <mergeCell ref="C29:G29"/>
    <mergeCell ref="A38:I38"/>
    <mergeCell ref="J38:K38"/>
    <mergeCell ref="C12:G12"/>
    <mergeCell ref="C13:G13"/>
    <mergeCell ref="C14:G14"/>
    <mergeCell ref="C15:G15"/>
    <mergeCell ref="C16:G16"/>
    <mergeCell ref="C17:G17"/>
    <mergeCell ref="C18:G18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C37:G37"/>
    <mergeCell ref="C30:G30"/>
    <mergeCell ref="C24:G24"/>
    <mergeCell ref="C25:G25"/>
    <mergeCell ref="C26:G26"/>
    <mergeCell ref="C27:G27"/>
    <mergeCell ref="C28:G28"/>
    <mergeCell ref="C31:G31"/>
    <mergeCell ref="C32:G32"/>
    <mergeCell ref="C33:G33"/>
    <mergeCell ref="C34:G34"/>
    <mergeCell ref="C35:G35"/>
    <mergeCell ref="C36:G36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zoomScale="130" zoomScaleNormal="130" workbookViewId="0">
      <selection activeCell="N29" sqref="N2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75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4" t="s">
        <v>3</v>
      </c>
      <c r="B1" s="144"/>
      <c r="C1" s="144"/>
      <c r="D1" s="143">
        <f>'[1]Necesidades Trimestrales'!C6</f>
        <v>2022</v>
      </c>
      <c r="E1" s="143"/>
      <c r="F1" s="142"/>
      <c r="G1" s="142"/>
      <c r="H1" s="141"/>
      <c r="I1" s="141"/>
      <c r="J1" s="141"/>
      <c r="K1" s="141"/>
      <c r="L1" s="141"/>
      <c r="M1" s="141"/>
      <c r="N1" s="141"/>
      <c r="P1" s="140" t="s">
        <v>117</v>
      </c>
      <c r="Q1" s="140"/>
    </row>
    <row r="2" spans="1:17" ht="15.75" customHeight="1" thickBot="1" x14ac:dyDescent="0.25">
      <c r="H2" s="141"/>
      <c r="I2" s="141"/>
      <c r="J2" s="141"/>
      <c r="K2" s="141"/>
      <c r="L2" s="141"/>
      <c r="M2" s="141"/>
      <c r="N2" s="141"/>
      <c r="P2" s="140"/>
      <c r="Q2" s="140"/>
    </row>
    <row r="4" spans="1:17" s="134" customFormat="1" ht="18" customHeight="1" thickBot="1" x14ac:dyDescent="0.25">
      <c r="A4" s="139" t="s">
        <v>116</v>
      </c>
      <c r="B4" s="139"/>
      <c r="C4" s="139"/>
      <c r="D4" s="139"/>
      <c r="E4" s="139"/>
      <c r="F4" s="139"/>
      <c r="G4" s="135" t="str">
        <f>' NotaPedido'!D3</f>
        <v>040 - Ministerio de Salud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134" customFormat="1" ht="18" customHeight="1" thickBot="1" x14ac:dyDescent="0.25">
      <c r="A5" s="138" t="s">
        <v>91</v>
      </c>
      <c r="B5" s="137"/>
      <c r="C5" s="137"/>
      <c r="D5" s="137"/>
      <c r="E5" s="137"/>
      <c r="F5" s="136"/>
      <c r="G5" s="135" t="str">
        <f>' NotaPedido'!D4</f>
        <v>024 - Direccion de Administracion del Hospital Interzonal de Niños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134" customFormat="1" ht="18" customHeight="1" thickBot="1" x14ac:dyDescent="0.25">
      <c r="A6" s="138" t="s">
        <v>90</v>
      </c>
      <c r="B6" s="137"/>
      <c r="C6" s="137"/>
      <c r="D6" s="137"/>
      <c r="E6" s="137"/>
      <c r="F6" s="136"/>
      <c r="G6" s="135" t="str">
        <f>' NotaPedido'!D5</f>
        <v>024 - Direccion de Administracion del Hospital Interzonal de Niños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34" customFormat="1" ht="18" customHeight="1" thickBot="1" x14ac:dyDescent="0.25">
      <c r="A7" s="138" t="s">
        <v>88</v>
      </c>
      <c r="B7" s="137"/>
      <c r="C7" s="137"/>
      <c r="D7" s="137"/>
      <c r="E7" s="137"/>
      <c r="F7" s="136"/>
      <c r="G7" s="135" t="s">
        <v>87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3" t="s">
        <v>115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32" t="s">
        <v>114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89"/>
      <c r="P9" s="89"/>
      <c r="Q9" s="131"/>
    </row>
    <row r="10" spans="1:17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088/2022,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thickBot="1" x14ac:dyDescent="0.25">
      <c r="A11" s="129"/>
      <c r="B11" s="127"/>
      <c r="C11" s="127"/>
      <c r="D11" s="127"/>
      <c r="E11" s="127"/>
      <c r="F11" s="127"/>
      <c r="G11" s="128"/>
      <c r="H11" s="127"/>
      <c r="I11" s="127"/>
      <c r="J11" s="127"/>
      <c r="K11" s="127"/>
      <c r="L11" s="127"/>
      <c r="M11" s="127"/>
      <c r="N11" s="127"/>
      <c r="O11" s="127"/>
      <c r="P11" s="127"/>
      <c r="Q11" s="126"/>
    </row>
    <row r="12" spans="1:17" ht="15.75" customHeight="1" thickBot="1" x14ac:dyDescent="0.25">
      <c r="A12" s="125" t="s">
        <v>113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thickBot="1" x14ac:dyDescent="0.25">
      <c r="A13" s="124" t="s">
        <v>112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2" t="s">
        <v>111</v>
      </c>
      <c r="P13" s="121"/>
      <c r="Q13" s="120" t="s">
        <v>110</v>
      </c>
    </row>
    <row r="14" spans="1:17" ht="15.75" customHeight="1" thickBot="1" x14ac:dyDescent="0.25">
      <c r="A14" s="119" t="s">
        <v>109</v>
      </c>
      <c r="B14" s="117" t="s">
        <v>108</v>
      </c>
      <c r="C14" s="117" t="s">
        <v>107</v>
      </c>
      <c r="D14" s="117" t="s">
        <v>106</v>
      </c>
      <c r="E14" s="117" t="s">
        <v>105</v>
      </c>
      <c r="F14" s="117" t="s">
        <v>104</v>
      </c>
      <c r="G14" s="118" t="s">
        <v>103</v>
      </c>
      <c r="H14" s="117" t="s">
        <v>102</v>
      </c>
      <c r="I14" s="117" t="s">
        <v>101</v>
      </c>
      <c r="J14" s="117" t="s">
        <v>100</v>
      </c>
      <c r="K14" s="117" t="s">
        <v>100</v>
      </c>
      <c r="L14" s="117" t="s">
        <v>99</v>
      </c>
      <c r="M14" s="116" t="s">
        <v>98</v>
      </c>
      <c r="N14" s="115" t="s">
        <v>97</v>
      </c>
      <c r="O14" s="114"/>
      <c r="P14" s="113"/>
      <c r="Q14" s="112"/>
    </row>
    <row r="15" spans="1:17" ht="26.25" customHeight="1" x14ac:dyDescent="0.2">
      <c r="A15" s="111">
        <v>36</v>
      </c>
      <c r="B15" s="110"/>
      <c r="C15" s="110"/>
      <c r="D15" s="110">
        <v>1</v>
      </c>
      <c r="E15" s="110"/>
      <c r="F15" s="110">
        <v>4901</v>
      </c>
      <c r="G15" s="110">
        <v>3</v>
      </c>
      <c r="H15" s="110">
        <v>310</v>
      </c>
      <c r="I15" s="110">
        <v>2</v>
      </c>
      <c r="J15" s="110">
        <v>5</v>
      </c>
      <c r="K15" s="110">
        <v>2</v>
      </c>
      <c r="L15" s="110"/>
      <c r="M15" s="109">
        <v>1</v>
      </c>
      <c r="N15" s="108" t="s">
        <v>96</v>
      </c>
      <c r="O15" s="107" t="s">
        <v>122</v>
      </c>
      <c r="P15" s="107"/>
      <c r="Q15" s="106">
        <v>608717</v>
      </c>
    </row>
    <row r="16" spans="1:17" ht="17.25" customHeight="1" x14ac:dyDescent="0.2">
      <c r="A16" s="103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0"/>
      <c r="N16" s="99"/>
      <c r="O16" s="105"/>
      <c r="P16" s="104"/>
      <c r="Q16" s="90"/>
    </row>
    <row r="17" spans="1:18" ht="17.25" customHeight="1" x14ac:dyDescent="0.2">
      <c r="A17" s="103"/>
      <c r="B17" s="101"/>
      <c r="C17" s="101"/>
      <c r="D17" s="101"/>
      <c r="E17" s="101"/>
      <c r="F17" s="102"/>
      <c r="G17" s="101"/>
      <c r="H17" s="101"/>
      <c r="I17" s="101"/>
      <c r="J17" s="101"/>
      <c r="K17" s="101"/>
      <c r="L17" s="101"/>
      <c r="M17" s="100"/>
      <c r="N17" s="99"/>
      <c r="O17" s="105"/>
      <c r="P17" s="104"/>
      <c r="Q17" s="90"/>
    </row>
    <row r="18" spans="1:18" ht="38.25" customHeight="1" x14ac:dyDescent="0.2">
      <c r="A18" s="103"/>
      <c r="B18" s="101"/>
      <c r="C18" s="101"/>
      <c r="D18" s="101"/>
      <c r="E18" s="101"/>
      <c r="F18" s="102"/>
      <c r="G18" s="101"/>
      <c r="H18" s="101"/>
      <c r="I18" s="101"/>
      <c r="J18" s="101"/>
      <c r="K18" s="101"/>
      <c r="L18" s="101"/>
      <c r="M18" s="100"/>
      <c r="N18" s="99"/>
      <c r="O18" s="98"/>
      <c r="P18" s="97"/>
      <c r="Q18" s="90"/>
    </row>
    <row r="19" spans="1:18" ht="17.25" customHeight="1" x14ac:dyDescent="0.2">
      <c r="A19" s="96"/>
      <c r="B19" s="94"/>
      <c r="C19" s="94"/>
      <c r="D19" s="94"/>
      <c r="E19" s="94"/>
      <c r="F19" s="95"/>
      <c r="G19" s="94"/>
      <c r="H19" s="94"/>
      <c r="I19" s="94"/>
      <c r="J19" s="94"/>
      <c r="K19" s="94"/>
      <c r="L19" s="94"/>
      <c r="M19" s="93"/>
      <c r="N19" s="92"/>
      <c r="O19" s="91"/>
      <c r="P19" s="91"/>
      <c r="Q19" s="90"/>
      <c r="R19" s="89"/>
    </row>
    <row r="20" spans="1:18" ht="17.25" customHeight="1" thickBot="1" x14ac:dyDescent="0.25">
      <c r="A20" s="88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7"/>
      <c r="N20" s="86"/>
      <c r="O20" s="85"/>
      <c r="P20" s="85"/>
      <c r="Q20" s="84"/>
    </row>
    <row r="21" spans="1:18" ht="29.25" customHeight="1" thickBot="1" x14ac:dyDescent="0.25">
      <c r="A21" s="83" t="s">
        <v>123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2">
        <f>SUM(Q15:Q20)</f>
        <v>608717</v>
      </c>
    </row>
    <row r="22" spans="1:18" ht="18" customHeight="1" thickBot="1" x14ac:dyDescent="0.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spans="1:18" ht="17.25" customHeight="1" thickBot="1" x14ac:dyDescent="0.25">
      <c r="A23" s="80" t="s">
        <v>95</v>
      </c>
      <c r="B23" s="79"/>
      <c r="C23" s="79"/>
      <c r="D23" s="79"/>
      <c r="E23" s="79"/>
      <c r="F23" s="78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</row>
    <row r="24" spans="1:18" ht="18" customHeight="1" thickBot="1" x14ac:dyDescent="0.25">
      <c r="A24" s="76" t="s">
        <v>124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</row>
    <row r="25" spans="1:18" ht="26.25" customHeight="1" thickBot="1" x14ac:dyDescent="0.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</row>
  </sheetData>
  <mergeCells count="29"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  <mergeCell ref="A10:Q10"/>
    <mergeCell ref="A12:Q12"/>
    <mergeCell ref="A13:N13"/>
    <mergeCell ref="O13:P14"/>
    <mergeCell ref="Q13:Q14"/>
    <mergeCell ref="O15:P15"/>
    <mergeCell ref="A8:Q8"/>
    <mergeCell ref="A6:F6"/>
    <mergeCell ref="G6:Q6"/>
    <mergeCell ref="A7:F7"/>
    <mergeCell ref="G7:Q7"/>
    <mergeCell ref="A9:N9"/>
    <mergeCell ref="A1:C1"/>
    <mergeCell ref="D1:E1"/>
    <mergeCell ref="P1:Q2"/>
    <mergeCell ref="A4:F4"/>
    <mergeCell ref="G4:Q4"/>
    <mergeCell ref="A5:F5"/>
    <mergeCell ref="G5:Q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2022-10-20T12:15:17Z</cp:lastPrinted>
  <dcterms:created xsi:type="dcterms:W3CDTF">2020-07-17T23:44:49Z</dcterms:created>
  <dcterms:modified xsi:type="dcterms:W3CDTF">2022-10-20T12:27:00Z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