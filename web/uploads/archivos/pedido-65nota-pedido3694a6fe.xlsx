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488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Trimestrales'!$A$9:$I$39</definedName>
    <definedName name="_xlnm.Print_Area" localSheetId="1">' NotaPedido'!$A$1:$K$42</definedName>
    <definedName name="_xlnm.Print_Area" localSheetId="2">'Autor Gastar'!$A$1:$Q$27</definedName>
    <definedName name="_xlnm.Print_Area" localSheetId="0">'Necesidades Trimestrales'!$E$9:$E$38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3" i="3" l="1"/>
  <c r="K41" i="2"/>
  <c r="J41" i="2"/>
  <c r="I41" i="2"/>
  <c r="C41" i="2"/>
  <c r="I39" i="1"/>
  <c r="K40" i="2" l="1"/>
  <c r="J40" i="2"/>
  <c r="I40" i="2"/>
  <c r="C40" i="2"/>
  <c r="I38" i="1"/>
  <c r="K32" i="2" l="1"/>
  <c r="K33" i="2"/>
  <c r="K34" i="2"/>
  <c r="K35" i="2"/>
  <c r="K36" i="2"/>
  <c r="K37" i="2"/>
  <c r="K38" i="2"/>
  <c r="K39" i="2"/>
  <c r="J32" i="2"/>
  <c r="J33" i="2"/>
  <c r="J34" i="2"/>
  <c r="J35" i="2"/>
  <c r="J36" i="2"/>
  <c r="J37" i="2"/>
  <c r="J38" i="2"/>
  <c r="J39" i="2"/>
  <c r="I32" i="2"/>
  <c r="I33" i="2"/>
  <c r="I34" i="2"/>
  <c r="I35" i="2"/>
  <c r="I36" i="2"/>
  <c r="I37" i="2"/>
  <c r="I38" i="2"/>
  <c r="I39" i="2"/>
  <c r="C33" i="2"/>
  <c r="C34" i="2"/>
  <c r="C35" i="2"/>
  <c r="C36" i="2"/>
  <c r="C37" i="2"/>
  <c r="C38" i="2"/>
  <c r="C39" i="2"/>
  <c r="C32" i="2"/>
  <c r="I30" i="1"/>
  <c r="I31" i="1"/>
  <c r="I32" i="1"/>
  <c r="I33" i="1"/>
  <c r="I34" i="1"/>
  <c r="I35" i="1"/>
  <c r="I36" i="1"/>
  <c r="I37" i="1"/>
  <c r="C13" i="2" l="1"/>
  <c r="C14" i="2" l="1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10" i="1"/>
  <c r="A10" i="3" l="1"/>
  <c r="G6" i="3" l="1"/>
  <c r="D3" i="2"/>
  <c r="G4" i="3" s="1"/>
  <c r="D4" i="2"/>
  <c r="G5" i="3" s="1"/>
  <c r="D1" i="3" l="1"/>
  <c r="K12" i="2"/>
  <c r="J12" i="2"/>
  <c r="J42" i="2" s="1"/>
  <c r="I12" i="2"/>
  <c r="C12" i="2"/>
</calcChain>
</file>

<file path=xl/sharedStrings.xml><?xml version="1.0" encoding="utf-8"?>
<sst xmlns="http://schemas.openxmlformats.org/spreadsheetml/2006/main" count="205" uniqueCount="111">
  <si>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</si>
  <si>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</si>
  <si>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</si>
  <si>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</si>
  <si>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</si>
  <si>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</si>
  <si>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</si>
  <si>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</si>
  <si>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</si>
  <si>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</si>
  <si>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</si>
  <si>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</si>
  <si>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</si>
  <si>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</si>
  <si>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</si>
  <si>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</si>
  <si>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</si>
  <si>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</si>
  <si>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</si>
  <si>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</si>
  <si>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</si>
  <si>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</si>
  <si>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</si>
  <si>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</si>
  <si>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</si>
  <si>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</si>
  <si>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</si>
  <si>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</si>
  <si>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</si>
  <si>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</si>
  <si>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</si>
  <si>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</si>
  <si>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</si>
  <si>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</si>
  <si>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</si>
  <si>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</si>
  <si>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</si>
  <si>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</si>
  <si>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</si>
  <si>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</si>
  <si>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</si>
  <si>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</si>
  <si>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</si>
  <si>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</si>
  <si>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</si>
  <si>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</si>
  <si>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</si>
  <si>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</si>
  <si>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</si>
  <si>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</si>
  <si>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</si>
  <si>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</si>
  <si>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</si>
  <si>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</si>
  <si>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</si>
  <si>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</si>
  <si>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PROD. MEDICO/ FARMACEUTICOS/LAB</t>
  </si>
  <si>
    <t>UNIDAD</t>
  </si>
  <si>
    <t>UTILES MENORES MEDICO, QUIRURGICO Y DE LABORATORIO</t>
  </si>
  <si>
    <t>Plazos y lugares de entrega</t>
  </si>
  <si>
    <t>Bolsas  de Cloruro de Sodio de 25 kg (sal gruesa seca, lavada, limpia, sin iodo, lidad del agua que alimenta los Autoclaves.</t>
  </si>
  <si>
    <t>Bobina Baja Densidad 30 X 40 rollo x 200 un. Tipo Mapsa</t>
  </si>
  <si>
    <t>Cinta Papel Pintor 18 mm. X 50 mts. Tipo Stiko</t>
  </si>
  <si>
    <t>Cinta Testigo p/calor humedo  (en rollo) Tipo Kims</t>
  </si>
  <si>
    <t>GASA HIDROFILA PIEZA X 1,8 KGS. TIPO HIDROSAN</t>
  </si>
  <si>
    <t>Indicador Biologico Para Calor Humedo x 100 Ampollas</t>
  </si>
  <si>
    <t>MALLA TUBULAR ALGODÓN 20 CM X 25 MTS</t>
  </si>
  <si>
    <t>PAPEL GRADO MEDICO 60 GR ANCHO 60 CM X 100 MTS</t>
  </si>
  <si>
    <t>PAPEL GRADO MEDICO 120 CM X 100 MTS</t>
  </si>
  <si>
    <t>Pouch Rollo de 100 mm x 200 mts.</t>
  </si>
  <si>
    <t>Pouch Rollo de 200 mm x 200 mt.</t>
  </si>
  <si>
    <t>Pouch Rollo de 300 mm x 200 mts.</t>
  </si>
  <si>
    <t>Pouch Rollo de 400 mm x 200 mts.</t>
  </si>
  <si>
    <t>ROLLO EN PAPEL TERMICO  ORIGINALES 57 mm. X 20 mts.</t>
  </si>
  <si>
    <t>Test pack de 15 mm (viraje de color-tipo 2 Paquete de un solo uso para efectuar el test de Bowie y Dick. Detecta deficiencias en la penetración de vapor. Viraje final a negro. Presentación: Paquete de 120x 120 x 15 mm. Caja por 20 unidades.</t>
  </si>
  <si>
    <t>Insumos de Esterilizacion</t>
  </si>
  <si>
    <t>Servicio de Esterilizacion</t>
  </si>
  <si>
    <t>LIBRERIA,PAP. Y UTILES OFICINA</t>
  </si>
  <si>
    <t>COMPUESTOS QUIMICOS</t>
  </si>
  <si>
    <t>Para la adquisición de Insumos de Esterilizacion destinados al Servicio de Esterilizacion del Hospital Interzonal de Niños Eva Peron, para el normal funcionamiento del organismo.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</si>
  <si>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ESTERILIZACION -HOSPITAL INT. DE NIÑOS – AV. VIRGEN DEL VALLE N° 1050-CATAMARCA DE 8:00 A 12:00HS., DEBIENDO CORRER LOS GASTOS DE FLETES, ACARREO, CARGA, DESCARGA Y SEGURO A CARGO DEL ADJUDICATARIO.</t>
    </r>
  </si>
  <si>
    <t>BOLSA</t>
  </si>
  <si>
    <t>CAJA</t>
  </si>
  <si>
    <t>ROLLO</t>
  </si>
  <si>
    <t>BOBINA</t>
  </si>
  <si>
    <t>Ropa Equipo Cirugia Universal DESCARTABLE 17 Elementos Esteril</t>
  </si>
  <si>
    <t>PAQUETE</t>
  </si>
  <si>
    <t>PRODUCTOS DE PAPEL Y CARTON</t>
  </si>
  <si>
    <t>OTROS NO ESPECIFICADOS PRECEDENTEMENTE</t>
  </si>
  <si>
    <t>Bolsas Termosellables P/bib 250 X 100 X 380mm TipoYellow Pack x 1000</t>
  </si>
  <si>
    <t>Compresa de Gasa Cosida; 40cm x 40cm, Rx y Cola, 5u/ doble sobre -Pouch, 50u/Caja Estéril,</t>
  </si>
  <si>
    <t xml:space="preserve">INDICADORES DE ESTERILIZACION; METODO DE ESTERILIZACION: AUTOCLAVE DE VAPOR, TIRAS INTEGRADORAS, CAJA X 100 UN, </t>
  </si>
  <si>
    <t>LUPAS; POTENCIA: 75 Diop, DIAMETRO: 65 mm, MATERIAL LENTE: VIDRIO, ACCESORIO: C/LUZ, ARMAZON: PLASTICO, ESTRUCTURA: PLASTICO</t>
  </si>
  <si>
    <t>PAPEL GRADO MEDICO 80 CM X 330 MTS</t>
  </si>
  <si>
    <t>Pouch Rollo de 450 mm x 200 mts.</t>
  </si>
  <si>
    <r>
      <t>Mantenimiento de Oferta</t>
    </r>
    <r>
      <rPr>
        <sz val="10"/>
        <rFont val="Times New Roman"/>
        <family val="1"/>
      </rPr>
      <t xml:space="preserve">: 45 dias habiles </t>
    </r>
  </si>
  <si>
    <t>008/2022</t>
  </si>
  <si>
    <t>Semestral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</si>
  <si>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</si>
  <si>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t>Camisolin P/Cirugia de tela verde brin con puño caña larga</t>
  </si>
  <si>
    <r>
      <rPr>
        <sz val="10"/>
        <color rgb="FF000000"/>
        <rFont val="Arial"/>
        <family val="2"/>
      </rPr>
      <t xml:space="preserve">Envoltorio para esterilización de Tela no tejida </t>
    </r>
    <r>
      <rPr>
        <b/>
        <sz val="10"/>
        <color rgb="FF000000"/>
        <rFont val="Arial"/>
        <family val="2"/>
      </rPr>
      <t>100% a base de Polipropileno</t>
    </r>
    <r>
      <rPr>
        <sz val="10"/>
        <color rgb="FF000000"/>
        <rFont val="Arial"/>
        <family val="2"/>
      </rPr>
      <t xml:space="preserve"> SMS</t>
    </r>
    <r>
      <rPr>
        <b/>
        <sz val="10"/>
        <color rgb="FF000000"/>
        <rFont val="Arial"/>
        <family val="2"/>
      </rPr>
      <t>. Gramaje 4</t>
    </r>
    <r>
      <rPr>
        <sz val="10"/>
        <color rgb="FF000000"/>
        <rFont val="Arial"/>
        <family val="2"/>
      </rPr>
      <t xml:space="preserve">5 gr/m2 </t>
    </r>
    <r>
      <rPr>
        <b/>
        <sz val="10"/>
        <color rgb="FF000000"/>
        <rFont val="Arial"/>
        <family val="2"/>
      </rPr>
      <t>Bobina x 200 metros</t>
    </r>
    <r>
      <rPr>
        <sz val="10"/>
        <color rgb="FF000000"/>
        <rFont val="Arial"/>
        <family val="2"/>
      </rPr>
      <t xml:space="preserve"> </t>
    </r>
  </si>
  <si>
    <t>Paño de micro fibra de 40 x 40 cm Tipo  Mister Trapo</t>
  </si>
  <si>
    <t>PAPEL GRADO MEDICO CREPADO RESMA  X 100 X  100 cm   X 250 HOJAS</t>
  </si>
  <si>
    <t>Tela de Lienzo rollo 100 mts largo x 1,60 mts ancho</t>
  </si>
  <si>
    <t>Tela de Toalla rollo 50 mts largo ( doble ancho) x 1,50 mt de ancho</t>
  </si>
  <si>
    <t>Tela verde brin de algodón rollo 50 mtrs largo (doble ancho) x 1,50 mt de ancho. Indantrend</t>
  </si>
  <si>
    <t>Testigo p/calor humedo  (en Tiras) Tipo Kims</t>
  </si>
  <si>
    <t>Costo total estimado: Tres Millones Seiscientos Catorce Mil Doscientos Veinticuatro Con 20/100.</t>
  </si>
  <si>
    <t>TOTAL DE PESOS: TRES MILLONES SEISCIENTOS CATORCE MIL DOSCIENTOS VEINTICUATRO CON 20/100.</t>
  </si>
  <si>
    <t>HILADOS Y TELAS</t>
  </si>
  <si>
    <t>ELEMENTOS DE LIMPIEZA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</si>
</sst>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[$$-2C0A]#,##0.00"/>
    <numFmt numFmtId="171" formatCode="_-&quot;$&quot;\ * #,##0.00_-;\-&quot;$&quot;\ * #,##0.00_-;_-&quot;$&quot;\ * &quot;-&quot;??_-;_-@"/>
  </numFmts>
  <fonts count="3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FFFFFF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9">
    <xf numFmtId="0" fontId="0" fillId="0" borderId="0"/>
    <xf numFmtId="165" fontId="17" fillId="0" borderId="0" applyBorder="0" applyProtection="0"/>
    <xf numFmtId="0" fontId="4" fillId="0" borderId="1" applyProtection="0"/>
    <xf numFmtId="164" fontId="5" fillId="0" borderId="0" applyBorder="0" applyProtection="0"/>
    <xf numFmtId="0" fontId="6" fillId="2" borderId="0" applyBorder="0" applyProtection="0"/>
    <xf numFmtId="0" fontId="17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142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5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166" fontId="0" fillId="0" borderId="33" xfId="3" applyNumberFormat="1" applyFont="1" applyBorder="1" applyAlignment="1" applyProtection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166" fontId="16" fillId="0" borderId="35" xfId="0" applyNumberFormat="1" applyFont="1" applyBorder="1" applyAlignment="1">
      <alignment horizontal="center" vertical="center"/>
    </xf>
    <xf numFmtId="0" fontId="18" fillId="0" borderId="0" xfId="0" applyFont="1"/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18" fillId="0" borderId="5" xfId="0" applyFont="1" applyBorder="1"/>
    <xf numFmtId="0" fontId="18" fillId="0" borderId="6" xfId="0" applyFont="1" applyBorder="1"/>
    <xf numFmtId="0" fontId="18" fillId="0" borderId="7" xfId="0" applyFont="1" applyBorder="1"/>
    <xf numFmtId="0" fontId="18" fillId="0" borderId="0" xfId="0" applyFont="1" applyBorder="1"/>
    <xf numFmtId="166" fontId="18" fillId="0" borderId="0" xfId="0" applyNumberFormat="1" applyFont="1"/>
    <xf numFmtId="0" fontId="8" fillId="3" borderId="12" xfId="0" applyFont="1" applyFill="1" applyBorder="1" applyAlignment="1">
      <alignment horizontal="right" vertical="center"/>
    </xf>
    <xf numFmtId="0" fontId="9" fillId="4" borderId="1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4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wrapText="1" indent="1"/>
    </xf>
    <xf numFmtId="0" fontId="22" fillId="3" borderId="0" xfId="0" applyFont="1" applyFill="1" applyAlignment="1">
      <alignment horizontal="left" wrapText="1"/>
    </xf>
    <xf numFmtId="0" fontId="7" fillId="3" borderId="39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66" fontId="7" fillId="3" borderId="2" xfId="1" applyNumberFormat="1" applyFont="1" applyFill="1" applyBorder="1" applyAlignment="1" applyProtection="1">
      <alignment horizontal="right" vertical="center" wrapText="1"/>
    </xf>
    <xf numFmtId="3" fontId="7" fillId="3" borderId="3" xfId="0" applyNumberFormat="1" applyFont="1" applyFill="1" applyBorder="1" applyAlignment="1">
      <alignment horizontal="center" vertical="center"/>
    </xf>
    <xf numFmtId="167" fontId="18" fillId="0" borderId="0" xfId="0" applyNumberFormat="1" applyFont="1"/>
    <xf numFmtId="169" fontId="23" fillId="0" borderId="0" xfId="0" applyNumberFormat="1" applyFont="1"/>
    <xf numFmtId="169" fontId="24" fillId="0" borderId="0" xfId="0" applyNumberFormat="1" applyFont="1" applyAlignment="1">
      <alignment horizontal="left" wrapText="1"/>
    </xf>
    <xf numFmtId="167" fontId="5" fillId="3" borderId="0" xfId="0" applyNumberFormat="1" applyFont="1" applyFill="1" applyBorder="1" applyAlignment="1">
      <alignment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5" xfId="0" applyFont="1" applyBorder="1" applyAlignment="1">
      <alignment horizontal="left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23" fillId="0" borderId="54" xfId="0" applyFont="1" applyBorder="1" applyAlignment="1">
      <alignment horizontal="center" vertical="center"/>
    </xf>
    <xf numFmtId="0" fontId="17" fillId="0" borderId="53" xfId="0" applyFont="1" applyBorder="1" applyAlignment="1">
      <alignment wrapText="1"/>
    </xf>
    <xf numFmtId="166" fontId="23" fillId="4" borderId="55" xfId="1" applyNumberFormat="1" applyFont="1" applyFill="1" applyBorder="1" applyAlignment="1" applyProtection="1">
      <alignment horizontal="right" vertical="center" wrapText="1"/>
    </xf>
    <xf numFmtId="0" fontId="7" fillId="3" borderId="54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left" vertical="center"/>
    </xf>
    <xf numFmtId="3" fontId="7" fillId="3" borderId="55" xfId="0" applyNumberFormat="1" applyFont="1" applyFill="1" applyBorder="1" applyAlignment="1">
      <alignment horizontal="center" vertical="center"/>
    </xf>
    <xf numFmtId="166" fontId="7" fillId="3" borderId="53" xfId="1" applyNumberFormat="1" applyFont="1" applyFill="1" applyBorder="1" applyAlignment="1" applyProtection="1">
      <alignment horizontal="right" vertical="center" wrapText="1"/>
    </xf>
    <xf numFmtId="0" fontId="7" fillId="4" borderId="53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169" fontId="27" fillId="0" borderId="16" xfId="0" applyNumberFormat="1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/>
    </xf>
    <xf numFmtId="0" fontId="17" fillId="0" borderId="2" xfId="0" applyFont="1" applyBorder="1" applyAlignment="1">
      <alignment wrapText="1"/>
    </xf>
    <xf numFmtId="166" fontId="23" fillId="4" borderId="3" xfId="1" applyNumberFormat="1" applyFont="1" applyFill="1" applyBorder="1" applyAlignment="1" applyProtection="1">
      <alignment horizontal="right" vertical="center" wrapText="1"/>
    </xf>
    <xf numFmtId="0" fontId="0" fillId="3" borderId="53" xfId="0" applyFill="1" applyBorder="1" applyAlignment="1">
      <alignment horizontal="center" vertical="center"/>
    </xf>
    <xf numFmtId="0" fontId="25" fillId="0" borderId="4" xfId="0" applyFont="1" applyBorder="1" applyAlignment="1">
      <alignment horizontal="left" indent="3"/>
    </xf>
    <xf numFmtId="0" fontId="17" fillId="3" borderId="53" xfId="0" applyFont="1" applyFill="1" applyBorder="1" applyAlignment="1">
      <alignment horizontal="center" vertical="center"/>
    </xf>
    <xf numFmtId="170" fontId="18" fillId="0" borderId="0" xfId="0" applyNumberFormat="1" applyFont="1"/>
    <xf numFmtId="0" fontId="25" fillId="0" borderId="9" xfId="0" applyFont="1" applyBorder="1" applyAlignment="1"/>
    <xf numFmtId="0" fontId="18" fillId="0" borderId="10" xfId="0" applyFont="1" applyBorder="1" applyAlignment="1">
      <alignment horizontal="center" wrapText="1"/>
    </xf>
    <xf numFmtId="0" fontId="18" fillId="0" borderId="10" xfId="0" applyFont="1" applyFill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17" fillId="5" borderId="57" xfId="0" applyFont="1" applyFill="1" applyBorder="1" applyAlignment="1">
      <alignment horizontal="center" vertical="center" wrapText="1"/>
    </xf>
    <xf numFmtId="0" fontId="0" fillId="3" borderId="53" xfId="0" applyFill="1" applyBorder="1" applyAlignment="1">
      <alignment vertical="center"/>
    </xf>
    <xf numFmtId="0" fontId="29" fillId="3" borderId="53" xfId="0" applyFont="1" applyFill="1" applyBorder="1" applyAlignment="1">
      <alignment horizontal="center" vertical="center"/>
    </xf>
    <xf numFmtId="0" fontId="30" fillId="3" borderId="53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7" fillId="0" borderId="53" xfId="0" applyFont="1" applyBorder="1" applyAlignment="1">
      <alignment vertical="center" wrapText="1"/>
    </xf>
    <xf numFmtId="0" fontId="20" fillId="0" borderId="0" xfId="0" applyFont="1" applyBorder="1" applyAlignment="1">
      <alignment horizontal="left" vertical="center" wrapText="1"/>
    </xf>
    <xf numFmtId="0" fontId="18" fillId="4" borderId="7" xfId="5" applyFont="1" applyFill="1" applyBorder="1" applyAlignment="1">
      <alignment horizontal="left" wrapText="1"/>
    </xf>
    <xf numFmtId="0" fontId="18" fillId="4" borderId="0" xfId="5" applyFont="1" applyFill="1" applyBorder="1" applyAlignment="1">
      <alignment horizontal="left" wrapText="1"/>
    </xf>
    <xf numFmtId="0" fontId="18" fillId="4" borderId="8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center"/>
    </xf>
    <xf numFmtId="0" fontId="26" fillId="4" borderId="0" xfId="0" applyFont="1" applyFill="1" applyBorder="1" applyAlignment="1">
      <alignment horizontal="left" wrapText="1" indent="1"/>
    </xf>
    <xf numFmtId="0" fontId="7" fillId="3" borderId="53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 indent="1"/>
    </xf>
    <xf numFmtId="167" fontId="10" fillId="3" borderId="16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7" fillId="3" borderId="56" xfId="0" applyFont="1" applyFill="1" applyBorder="1" applyAlignment="1">
      <alignment horizontal="left" vertical="center" wrapText="1"/>
    </xf>
    <xf numFmtId="0" fontId="10" fillId="3" borderId="18" xfId="0" applyFont="1" applyFill="1" applyBorder="1" applyAlignment="1">
      <alignment horizontal="left" vertical="center"/>
    </xf>
    <xf numFmtId="0" fontId="9" fillId="4" borderId="19" xfId="0" applyFont="1" applyFill="1" applyBorder="1" applyAlignment="1">
      <alignment horizontal="left" vertical="center" wrapText="1" indent="1"/>
    </xf>
    <xf numFmtId="0" fontId="11" fillId="3" borderId="18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left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4" fillId="4" borderId="35" xfId="0" applyFont="1" applyFill="1" applyBorder="1" applyAlignment="1">
      <alignment horizontal="left" vertical="center" wrapText="1" indent="1"/>
    </xf>
    <xf numFmtId="0" fontId="17" fillId="0" borderId="32" xfId="0" applyFont="1" applyBorder="1" applyAlignment="1">
      <alignment horizontal="left" vertical="center" wrapText="1"/>
    </xf>
    <xf numFmtId="0" fontId="0" fillId="0" borderId="32" xfId="0" applyFont="1" applyBorder="1" applyAlignment="1">
      <alignment horizontal="left" vertical="center" wrapText="1"/>
    </xf>
    <xf numFmtId="0" fontId="17" fillId="0" borderId="58" xfId="0" applyFont="1" applyBorder="1" applyAlignment="1">
      <alignment horizontal="left" vertical="center" wrapText="1"/>
    </xf>
    <xf numFmtId="0" fontId="0" fillId="0" borderId="59" xfId="0" applyBorder="1" applyAlignment="1">
      <alignment horizontal="left" vertical="center" wrapText="1"/>
    </xf>
    <xf numFmtId="0" fontId="12" fillId="0" borderId="35" xfId="0" applyFont="1" applyBorder="1" applyAlignment="1">
      <alignment horizontal="left" vertical="center" wrapText="1"/>
    </xf>
    <xf numFmtId="0" fontId="0" fillId="0" borderId="23" xfId="0" applyBorder="1"/>
    <xf numFmtId="0" fontId="28" fillId="0" borderId="30" xfId="0" applyFont="1" applyFill="1" applyBorder="1" applyAlignment="1">
      <alignment horizontal="left" vertical="center" wrapText="1"/>
    </xf>
    <xf numFmtId="0" fontId="0" fillId="0" borderId="59" xfId="0" applyFont="1" applyBorder="1" applyAlignment="1">
      <alignment horizontal="left" vertical="center" wrapText="1"/>
    </xf>
    <xf numFmtId="0" fontId="12" fillId="0" borderId="21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0" borderId="24" xfId="0" applyFont="1" applyBorder="1"/>
    <xf numFmtId="0" fontId="14" fillId="0" borderId="25" xfId="0" applyFont="1" applyBorder="1" applyAlignment="1">
      <alignment horizontal="left" vertical="center" wrapText="1" indent="1"/>
    </xf>
    <xf numFmtId="0" fontId="16" fillId="0" borderId="23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/>
    </xf>
    <xf numFmtId="0" fontId="7" fillId="0" borderId="37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indent="1"/>
    </xf>
    <xf numFmtId="0" fontId="15" fillId="0" borderId="13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12" fillId="0" borderId="22" xfId="0" applyNumberFormat="1" applyFont="1" applyBorder="1" applyAlignment="1">
      <alignment horizontal="center"/>
    </xf>
    <xf numFmtId="0" fontId="13" fillId="0" borderId="13" xfId="0" applyFont="1" applyBorder="1" applyAlignment="1">
      <alignment horizontal="center" vertical="center" wrapText="1"/>
    </xf>
    <xf numFmtId="0" fontId="5" fillId="0" borderId="13" xfId="0" applyFont="1" applyBorder="1"/>
    <xf numFmtId="0" fontId="7" fillId="3" borderId="0" xfId="0" applyFont="1" applyFill="1" applyBorder="1" applyAlignment="1">
      <alignment horizontal="left" vertical="center"/>
    </xf>
    <xf numFmtId="0" fontId="0" fillId="5" borderId="57" xfId="0" applyFont="1" applyFill="1" applyBorder="1" applyAlignment="1">
      <alignment horizontal="left" vertical="center" wrapText="1"/>
    </xf>
    <xf numFmtId="0" fontId="0" fillId="5" borderId="57" xfId="0" applyFont="1" applyFill="1" applyBorder="1" applyAlignment="1">
      <alignment horizontal="center" vertical="center" wrapText="1"/>
    </xf>
    <xf numFmtId="0" fontId="0" fillId="5" borderId="57" xfId="0" applyFont="1" applyFill="1" applyBorder="1" applyAlignment="1">
      <alignment vertical="center" wrapText="1"/>
    </xf>
    <xf numFmtId="0" fontId="18" fillId="5" borderId="57" xfId="0" applyFont="1" applyFill="1" applyBorder="1" applyAlignment="1">
      <alignment horizontal="center" vertical="center" wrapText="1"/>
    </xf>
    <xf numFmtId="3" fontId="17" fillId="5" borderId="57" xfId="0" applyNumberFormat="1" applyFont="1" applyFill="1" applyBorder="1" applyAlignment="1">
      <alignment horizontal="center" vertical="center" wrapText="1"/>
    </xf>
    <xf numFmtId="171" fontId="17" fillId="5" borderId="57" xfId="0" applyNumberFormat="1" applyFont="1" applyFill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</cellXfs>
  <cellStyles count="9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  <cellStyle name="Normal 3" xfId="7"/>
    <cellStyle name="Normal 4" xf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51"/>
  <sheetViews>
    <sheetView topLeftCell="A34" zoomScale="93" zoomScaleNormal="93" workbookViewId="0">
      <selection activeCell="I41" sqref="I41"/>
    </sheetView>
  </sheetViews>
  <sheetFormatPr baseColWidth="10" defaultColWidth="11" defaultRowHeight="12.75" x14ac:dyDescent="0.2"/>
  <cols>
    <col min="1" max="1" width="6.42578125" style="14" customWidth="1"/>
    <col min="2" max="2" width="17" style="14" customWidth="1"/>
    <col min="3" max="3" width="28.42578125" style="14" customWidth="1"/>
    <col min="4" max="4" width="8.42578125" style="14" customWidth="1"/>
    <col min="5" max="5" width="57.7109375" style="14" customWidth="1"/>
    <col min="6" max="6" width="11" style="14"/>
    <col min="7" max="7" width="10.42578125" style="14" bestFit="1" customWidth="1"/>
    <col min="8" max="8" width="13.85546875" style="39" customWidth="1"/>
    <col min="9" max="9" width="18.5703125" style="14" customWidth="1"/>
    <col min="10" max="11" width="11" style="14"/>
    <col min="12" max="12" width="13.140625" style="14" customWidth="1"/>
    <col min="13" max="16384" width="11" style="14"/>
  </cols>
  <sheetData>
    <row r="2" spans="1:12" ht="27" x14ac:dyDescent="0.35">
      <c r="B2" s="84" t="s">
        <v>0</v>
      </c>
      <c r="C2" s="84"/>
      <c r="D2" s="84"/>
      <c r="E2" s="84"/>
      <c r="F2" s="84"/>
      <c r="G2" s="84"/>
      <c r="H2" s="84"/>
    </row>
    <row r="3" spans="1:12" ht="12" customHeight="1" x14ac:dyDescent="0.2"/>
    <row r="4" spans="1:12" ht="18" customHeight="1" x14ac:dyDescent="0.25">
      <c r="A4" s="80" t="s">
        <v>1</v>
      </c>
      <c r="B4" s="80"/>
      <c r="C4" s="85" t="s">
        <v>52</v>
      </c>
      <c r="D4" s="85"/>
      <c r="E4" s="85"/>
      <c r="F4" s="15"/>
      <c r="G4" s="16"/>
      <c r="H4" s="40"/>
    </row>
    <row r="5" spans="1:12" ht="18" customHeight="1" x14ac:dyDescent="0.25">
      <c r="A5" s="80" t="s">
        <v>2</v>
      </c>
      <c r="B5" s="80"/>
      <c r="C5" s="85" t="s">
        <v>51</v>
      </c>
      <c r="D5" s="85"/>
      <c r="E5" s="85"/>
      <c r="F5" s="15"/>
      <c r="G5" s="16" t="s">
        <v>55</v>
      </c>
      <c r="H5" s="40"/>
    </row>
    <row r="6" spans="1:12" ht="16.5" customHeight="1" x14ac:dyDescent="0.25">
      <c r="A6" s="80" t="s">
        <v>3</v>
      </c>
      <c r="B6" s="80"/>
      <c r="C6" s="30">
        <v>2022</v>
      </c>
      <c r="D6" s="31"/>
      <c r="E6" s="31"/>
      <c r="F6" s="15"/>
      <c r="G6" s="16"/>
      <c r="H6" s="40"/>
    </row>
    <row r="7" spans="1:12" ht="16.5" customHeight="1" x14ac:dyDescent="0.25">
      <c r="A7" s="80" t="s">
        <v>4</v>
      </c>
      <c r="B7" s="80"/>
      <c r="C7" s="30">
        <v>1</v>
      </c>
      <c r="D7" s="31"/>
      <c r="E7" s="31"/>
      <c r="F7" s="15"/>
      <c r="G7" s="16"/>
      <c r="H7" s="40"/>
    </row>
    <row r="8" spans="1:12" ht="13.5" thickBot="1" x14ac:dyDescent="0.25">
      <c r="B8" s="15"/>
      <c r="C8" s="16"/>
      <c r="D8" s="15"/>
      <c r="E8" s="15"/>
      <c r="F8" s="15"/>
      <c r="G8" s="16"/>
      <c r="H8" s="40"/>
      <c r="J8" s="38"/>
    </row>
    <row r="9" spans="1:12" ht="36.75" thickBot="1" x14ac:dyDescent="0.25">
      <c r="A9" s="61" t="s">
        <v>5</v>
      </c>
      <c r="B9" s="61" t="s">
        <v>6</v>
      </c>
      <c r="C9" s="61" t="s">
        <v>7</v>
      </c>
      <c r="D9" s="61" t="s">
        <v>8</v>
      </c>
      <c r="E9" s="61" t="s">
        <v>9</v>
      </c>
      <c r="F9" s="61" t="s">
        <v>10</v>
      </c>
      <c r="G9" s="61" t="s">
        <v>11</v>
      </c>
      <c r="H9" s="62" t="s">
        <v>12</v>
      </c>
      <c r="I9" s="61" t="s">
        <v>13</v>
      </c>
    </row>
    <row r="10" spans="1:12" ht="25.5" x14ac:dyDescent="0.2">
      <c r="A10" s="63">
        <v>1</v>
      </c>
      <c r="B10" s="75"/>
      <c r="C10" s="64" t="s">
        <v>56</v>
      </c>
      <c r="D10" s="136">
        <v>234</v>
      </c>
      <c r="E10" s="133" t="s">
        <v>61</v>
      </c>
      <c r="F10" s="74" t="s">
        <v>57</v>
      </c>
      <c r="G10" s="137">
        <v>5</v>
      </c>
      <c r="H10" s="138">
        <v>780</v>
      </c>
      <c r="I10" s="65">
        <f>+G10*H10</f>
        <v>3900</v>
      </c>
      <c r="L10" s="21"/>
    </row>
    <row r="11" spans="1:12" ht="25.5" x14ac:dyDescent="0.2">
      <c r="A11" s="52">
        <v>2</v>
      </c>
      <c r="B11" s="76"/>
      <c r="C11" s="53" t="s">
        <v>56</v>
      </c>
      <c r="D11" s="136">
        <v>251</v>
      </c>
      <c r="E11" s="133" t="s">
        <v>60</v>
      </c>
      <c r="F11" s="74" t="s">
        <v>81</v>
      </c>
      <c r="G11" s="137">
        <v>10</v>
      </c>
      <c r="H11" s="138">
        <v>3500</v>
      </c>
      <c r="I11" s="54">
        <f t="shared" ref="I11:I39" si="0">+G11*H11</f>
        <v>35000</v>
      </c>
      <c r="L11" s="69"/>
    </row>
    <row r="12" spans="1:12" ht="25.5" x14ac:dyDescent="0.2">
      <c r="A12" s="52">
        <v>3</v>
      </c>
      <c r="B12" s="66"/>
      <c r="C12" s="53" t="s">
        <v>56</v>
      </c>
      <c r="D12" s="136">
        <v>259</v>
      </c>
      <c r="E12" s="133" t="s">
        <v>89</v>
      </c>
      <c r="F12" s="74" t="s">
        <v>82</v>
      </c>
      <c r="G12" s="137">
        <v>5</v>
      </c>
      <c r="H12" s="138">
        <v>39880</v>
      </c>
      <c r="I12" s="54">
        <f t="shared" si="0"/>
        <v>199400</v>
      </c>
      <c r="L12" s="69"/>
    </row>
    <row r="13" spans="1:12" ht="25.5" x14ac:dyDescent="0.2">
      <c r="A13" s="52">
        <v>4</v>
      </c>
      <c r="B13" s="66"/>
      <c r="C13" s="53" t="s">
        <v>56</v>
      </c>
      <c r="D13" s="136">
        <v>295</v>
      </c>
      <c r="E13" s="133" t="s">
        <v>99</v>
      </c>
      <c r="F13" s="74" t="s">
        <v>57</v>
      </c>
      <c r="G13" s="137">
        <v>20</v>
      </c>
      <c r="H13" s="138">
        <v>2580</v>
      </c>
      <c r="I13" s="54">
        <f t="shared" si="0"/>
        <v>51600</v>
      </c>
      <c r="L13" s="69"/>
    </row>
    <row r="14" spans="1:12" ht="25.5" x14ac:dyDescent="0.2">
      <c r="A14" s="52">
        <v>5</v>
      </c>
      <c r="B14" s="66"/>
      <c r="C14" s="53" t="s">
        <v>56</v>
      </c>
      <c r="D14" s="134">
        <v>295</v>
      </c>
      <c r="E14" s="133" t="s">
        <v>62</v>
      </c>
      <c r="F14" s="74" t="s">
        <v>83</v>
      </c>
      <c r="G14" s="137">
        <v>600</v>
      </c>
      <c r="H14" s="138">
        <v>165</v>
      </c>
      <c r="I14" s="54">
        <f t="shared" si="0"/>
        <v>99000</v>
      </c>
      <c r="L14" s="69"/>
    </row>
    <row r="15" spans="1:12" ht="25.5" x14ac:dyDescent="0.2">
      <c r="A15" s="52">
        <v>6</v>
      </c>
      <c r="B15" s="66"/>
      <c r="C15" s="53" t="s">
        <v>56</v>
      </c>
      <c r="D15" s="134">
        <v>259</v>
      </c>
      <c r="E15" s="133" t="s">
        <v>63</v>
      </c>
      <c r="F15" s="74" t="s">
        <v>83</v>
      </c>
      <c r="G15" s="137">
        <v>120</v>
      </c>
      <c r="H15" s="138">
        <v>380</v>
      </c>
      <c r="I15" s="54">
        <f t="shared" si="0"/>
        <v>45600</v>
      </c>
      <c r="L15" s="21"/>
    </row>
    <row r="16" spans="1:12" ht="25.5" x14ac:dyDescent="0.2">
      <c r="A16" s="52">
        <v>7</v>
      </c>
      <c r="B16" s="66"/>
      <c r="C16" s="53" t="s">
        <v>56</v>
      </c>
      <c r="D16" s="134">
        <v>295</v>
      </c>
      <c r="E16" s="135" t="s">
        <v>90</v>
      </c>
      <c r="F16" s="74" t="s">
        <v>82</v>
      </c>
      <c r="G16" s="137">
        <v>5</v>
      </c>
      <c r="H16" s="138">
        <v>13200</v>
      </c>
      <c r="I16" s="54">
        <f t="shared" si="0"/>
        <v>66000</v>
      </c>
      <c r="L16" s="21"/>
    </row>
    <row r="17" spans="1:9" ht="25.5" x14ac:dyDescent="0.2">
      <c r="A17" s="52">
        <v>8</v>
      </c>
      <c r="B17" s="66"/>
      <c r="C17" s="53" t="s">
        <v>56</v>
      </c>
      <c r="D17" s="134">
        <v>295</v>
      </c>
      <c r="E17" s="135" t="s">
        <v>100</v>
      </c>
      <c r="F17" s="74" t="s">
        <v>57</v>
      </c>
      <c r="G17" s="137">
        <v>3</v>
      </c>
      <c r="H17" s="138">
        <v>25400</v>
      </c>
      <c r="I17" s="54">
        <f t="shared" si="0"/>
        <v>76200</v>
      </c>
    </row>
    <row r="18" spans="1:9" ht="25.5" x14ac:dyDescent="0.2">
      <c r="A18" s="52">
        <v>9</v>
      </c>
      <c r="B18" s="75"/>
      <c r="C18" s="53" t="s">
        <v>56</v>
      </c>
      <c r="D18" s="134">
        <v>295</v>
      </c>
      <c r="E18" s="135" t="s">
        <v>64</v>
      </c>
      <c r="F18" s="74" t="s">
        <v>57</v>
      </c>
      <c r="G18" s="137">
        <v>420</v>
      </c>
      <c r="H18" s="138">
        <v>2680</v>
      </c>
      <c r="I18" s="54">
        <f t="shared" si="0"/>
        <v>1125600</v>
      </c>
    </row>
    <row r="19" spans="1:9" ht="25.5" x14ac:dyDescent="0.2">
      <c r="A19" s="52">
        <v>10</v>
      </c>
      <c r="B19" s="66"/>
      <c r="C19" s="53" t="s">
        <v>56</v>
      </c>
      <c r="D19" s="134">
        <v>251</v>
      </c>
      <c r="E19" s="133" t="s">
        <v>65</v>
      </c>
      <c r="F19" s="74" t="s">
        <v>82</v>
      </c>
      <c r="G19" s="137">
        <v>1</v>
      </c>
      <c r="H19" s="138">
        <v>16300</v>
      </c>
      <c r="I19" s="54">
        <f t="shared" si="0"/>
        <v>16300</v>
      </c>
    </row>
    <row r="20" spans="1:9" ht="38.25" x14ac:dyDescent="0.2">
      <c r="A20" s="52">
        <v>11</v>
      </c>
      <c r="B20" s="66"/>
      <c r="C20" s="53" t="s">
        <v>56</v>
      </c>
      <c r="D20" s="134">
        <v>251</v>
      </c>
      <c r="E20" s="135" t="s">
        <v>91</v>
      </c>
      <c r="F20" s="74" t="s">
        <v>82</v>
      </c>
      <c r="G20" s="137">
        <v>1</v>
      </c>
      <c r="H20" s="138">
        <v>2056</v>
      </c>
      <c r="I20" s="54">
        <f t="shared" si="0"/>
        <v>2056</v>
      </c>
    </row>
    <row r="21" spans="1:9" ht="38.25" x14ac:dyDescent="0.2">
      <c r="A21" s="52">
        <v>12</v>
      </c>
      <c r="B21" s="75"/>
      <c r="C21" s="53" t="s">
        <v>56</v>
      </c>
      <c r="D21" s="134">
        <v>295</v>
      </c>
      <c r="E21" s="133" t="s">
        <v>92</v>
      </c>
      <c r="F21" s="74" t="s">
        <v>57</v>
      </c>
      <c r="G21" s="137">
        <v>1</v>
      </c>
      <c r="H21" s="138">
        <v>5560</v>
      </c>
      <c r="I21" s="54">
        <f t="shared" si="0"/>
        <v>5560</v>
      </c>
    </row>
    <row r="22" spans="1:9" ht="25.5" x14ac:dyDescent="0.2">
      <c r="A22" s="52">
        <v>13</v>
      </c>
      <c r="B22" s="66"/>
      <c r="C22" s="53" t="s">
        <v>56</v>
      </c>
      <c r="D22" s="134">
        <v>295</v>
      </c>
      <c r="E22" s="135" t="s">
        <v>66</v>
      </c>
      <c r="F22" s="74" t="s">
        <v>57</v>
      </c>
      <c r="G22" s="137">
        <v>6</v>
      </c>
      <c r="H22" s="138">
        <v>1550</v>
      </c>
      <c r="I22" s="54">
        <f t="shared" si="0"/>
        <v>9300</v>
      </c>
    </row>
    <row r="23" spans="1:9" ht="25.5" x14ac:dyDescent="0.2">
      <c r="A23" s="52">
        <v>14</v>
      </c>
      <c r="B23" s="75"/>
      <c r="C23" s="53" t="s">
        <v>56</v>
      </c>
      <c r="D23" s="134">
        <v>291</v>
      </c>
      <c r="E23" s="133" t="s">
        <v>101</v>
      </c>
      <c r="F23" s="74" t="s">
        <v>57</v>
      </c>
      <c r="G23" s="137">
        <v>3</v>
      </c>
      <c r="H23" s="138">
        <v>560</v>
      </c>
      <c r="I23" s="54">
        <f t="shared" si="0"/>
        <v>1680</v>
      </c>
    </row>
    <row r="24" spans="1:9" ht="25.5" x14ac:dyDescent="0.2">
      <c r="A24" s="52">
        <v>15</v>
      </c>
      <c r="B24" s="75"/>
      <c r="C24" s="53" t="s">
        <v>56</v>
      </c>
      <c r="D24" s="134">
        <v>259</v>
      </c>
      <c r="E24" s="133" t="s">
        <v>68</v>
      </c>
      <c r="F24" s="74" t="s">
        <v>84</v>
      </c>
      <c r="G24" s="137">
        <v>6</v>
      </c>
      <c r="H24" s="138">
        <v>6800</v>
      </c>
      <c r="I24" s="54">
        <f t="shared" si="0"/>
        <v>40800</v>
      </c>
    </row>
    <row r="25" spans="1:9" ht="25.5" x14ac:dyDescent="0.2">
      <c r="A25" s="52">
        <v>16</v>
      </c>
      <c r="B25" s="66"/>
      <c r="C25" s="53" t="s">
        <v>56</v>
      </c>
      <c r="D25" s="134">
        <v>259</v>
      </c>
      <c r="E25" s="135" t="s">
        <v>67</v>
      </c>
      <c r="F25" s="74" t="s">
        <v>84</v>
      </c>
      <c r="G25" s="137">
        <v>6</v>
      </c>
      <c r="H25" s="138">
        <v>5680</v>
      </c>
      <c r="I25" s="54">
        <f t="shared" si="0"/>
        <v>34080</v>
      </c>
    </row>
    <row r="26" spans="1:9" ht="25.5" x14ac:dyDescent="0.2">
      <c r="A26" s="52">
        <v>17</v>
      </c>
      <c r="B26" s="68"/>
      <c r="C26" s="53" t="s">
        <v>56</v>
      </c>
      <c r="D26" s="134">
        <v>259</v>
      </c>
      <c r="E26" s="135" t="s">
        <v>93</v>
      </c>
      <c r="F26" s="74" t="s">
        <v>84</v>
      </c>
      <c r="G26" s="137">
        <v>6</v>
      </c>
      <c r="H26" s="138">
        <v>9282</v>
      </c>
      <c r="I26" s="54">
        <f t="shared" si="0"/>
        <v>55692</v>
      </c>
    </row>
    <row r="27" spans="1:9" ht="25.5" x14ac:dyDescent="0.2">
      <c r="A27" s="52">
        <v>18</v>
      </c>
      <c r="B27" s="68"/>
      <c r="C27" s="53" t="s">
        <v>56</v>
      </c>
      <c r="D27" s="134">
        <v>259</v>
      </c>
      <c r="E27" s="135" t="s">
        <v>102</v>
      </c>
      <c r="F27" s="74" t="s">
        <v>57</v>
      </c>
      <c r="G27" s="137">
        <v>20</v>
      </c>
      <c r="H27" s="138">
        <v>13550</v>
      </c>
      <c r="I27" s="54">
        <f t="shared" si="0"/>
        <v>271000</v>
      </c>
    </row>
    <row r="28" spans="1:9" ht="25.5" x14ac:dyDescent="0.2">
      <c r="A28" s="52">
        <v>19</v>
      </c>
      <c r="B28" s="66"/>
      <c r="C28" s="53" t="s">
        <v>56</v>
      </c>
      <c r="D28" s="136">
        <v>259</v>
      </c>
      <c r="E28" s="133" t="s">
        <v>69</v>
      </c>
      <c r="F28" s="74" t="s">
        <v>83</v>
      </c>
      <c r="G28" s="137">
        <v>3</v>
      </c>
      <c r="H28" s="138">
        <v>4305</v>
      </c>
      <c r="I28" s="54">
        <f t="shared" si="0"/>
        <v>12915</v>
      </c>
    </row>
    <row r="29" spans="1:9" ht="25.5" x14ac:dyDescent="0.2">
      <c r="A29" s="52">
        <v>20</v>
      </c>
      <c r="B29" s="77"/>
      <c r="C29" s="53" t="s">
        <v>56</v>
      </c>
      <c r="D29" s="136">
        <v>259</v>
      </c>
      <c r="E29" s="133" t="s">
        <v>70</v>
      </c>
      <c r="F29" s="74" t="s">
        <v>83</v>
      </c>
      <c r="G29" s="137">
        <v>10</v>
      </c>
      <c r="H29" s="138">
        <v>5885</v>
      </c>
      <c r="I29" s="54">
        <f t="shared" si="0"/>
        <v>58850</v>
      </c>
    </row>
    <row r="30" spans="1:9" ht="25.5" x14ac:dyDescent="0.2">
      <c r="A30" s="52">
        <v>21</v>
      </c>
      <c r="B30" s="66"/>
      <c r="C30" s="53" t="s">
        <v>56</v>
      </c>
      <c r="D30" s="136">
        <v>259</v>
      </c>
      <c r="E30" s="133" t="s">
        <v>71</v>
      </c>
      <c r="F30" s="74" t="s">
        <v>83</v>
      </c>
      <c r="G30" s="137">
        <v>6</v>
      </c>
      <c r="H30" s="138">
        <v>8259</v>
      </c>
      <c r="I30" s="54">
        <f t="shared" si="0"/>
        <v>49554</v>
      </c>
    </row>
    <row r="31" spans="1:9" ht="25.5" x14ac:dyDescent="0.2">
      <c r="A31" s="52">
        <v>22</v>
      </c>
      <c r="B31" s="66"/>
      <c r="C31" s="53" t="s">
        <v>56</v>
      </c>
      <c r="D31" s="136">
        <v>259</v>
      </c>
      <c r="E31" s="133" t="s">
        <v>72</v>
      </c>
      <c r="F31" s="74" t="s">
        <v>83</v>
      </c>
      <c r="G31" s="137">
        <v>2</v>
      </c>
      <c r="H31" s="138">
        <v>9341</v>
      </c>
      <c r="I31" s="54">
        <f t="shared" si="0"/>
        <v>18682</v>
      </c>
    </row>
    <row r="32" spans="1:9" ht="25.5" x14ac:dyDescent="0.2">
      <c r="A32" s="52">
        <v>23</v>
      </c>
      <c r="B32" s="66"/>
      <c r="C32" s="53" t="s">
        <v>56</v>
      </c>
      <c r="D32" s="136">
        <v>259</v>
      </c>
      <c r="E32" s="133" t="s">
        <v>94</v>
      </c>
      <c r="F32" s="74" t="s">
        <v>83</v>
      </c>
      <c r="G32" s="137">
        <v>2</v>
      </c>
      <c r="H32" s="138">
        <v>10320</v>
      </c>
      <c r="I32" s="54">
        <f t="shared" si="0"/>
        <v>20640</v>
      </c>
    </row>
    <row r="33" spans="1:9" ht="25.5" x14ac:dyDescent="0.2">
      <c r="A33" s="52">
        <v>24</v>
      </c>
      <c r="B33" s="66"/>
      <c r="C33" s="53" t="s">
        <v>56</v>
      </c>
      <c r="D33" s="134">
        <v>259</v>
      </c>
      <c r="E33" s="135" t="s">
        <v>73</v>
      </c>
      <c r="F33" s="74" t="s">
        <v>83</v>
      </c>
      <c r="G33" s="137">
        <v>24</v>
      </c>
      <c r="H33" s="138">
        <v>165</v>
      </c>
      <c r="I33" s="54">
        <f t="shared" si="0"/>
        <v>3960</v>
      </c>
    </row>
    <row r="34" spans="1:9" ht="25.5" x14ac:dyDescent="0.2">
      <c r="A34" s="52">
        <v>25</v>
      </c>
      <c r="B34" s="66"/>
      <c r="C34" s="78" t="s">
        <v>77</v>
      </c>
      <c r="D34" s="134">
        <v>295</v>
      </c>
      <c r="E34" s="133" t="s">
        <v>85</v>
      </c>
      <c r="F34" s="74" t="s">
        <v>86</v>
      </c>
      <c r="G34" s="137">
        <v>10</v>
      </c>
      <c r="H34" s="138">
        <v>5405.52</v>
      </c>
      <c r="I34" s="54">
        <f t="shared" si="0"/>
        <v>54055.200000000004</v>
      </c>
    </row>
    <row r="35" spans="1:9" ht="25.5" x14ac:dyDescent="0.2">
      <c r="A35" s="52">
        <v>26</v>
      </c>
      <c r="B35" s="75"/>
      <c r="C35" s="53" t="s">
        <v>56</v>
      </c>
      <c r="D35" s="134">
        <v>221</v>
      </c>
      <c r="E35" s="133" t="s">
        <v>103</v>
      </c>
      <c r="F35" s="74" t="s">
        <v>83</v>
      </c>
      <c r="G35" s="137">
        <v>6</v>
      </c>
      <c r="H35" s="138">
        <v>54800</v>
      </c>
      <c r="I35" s="54">
        <f t="shared" si="0"/>
        <v>328800</v>
      </c>
    </row>
    <row r="36" spans="1:9" ht="25.5" x14ac:dyDescent="0.2">
      <c r="A36" s="52">
        <v>27</v>
      </c>
      <c r="B36" s="66"/>
      <c r="C36" s="53" t="s">
        <v>56</v>
      </c>
      <c r="D36" s="134">
        <v>221</v>
      </c>
      <c r="E36" s="133" t="s">
        <v>104</v>
      </c>
      <c r="F36" s="74" t="s">
        <v>83</v>
      </c>
      <c r="G36" s="137">
        <v>10</v>
      </c>
      <c r="H36" s="138">
        <v>47800</v>
      </c>
      <c r="I36" s="54">
        <f t="shared" si="0"/>
        <v>478000</v>
      </c>
    </row>
    <row r="37" spans="1:9" ht="25.5" x14ac:dyDescent="0.2">
      <c r="A37" s="52">
        <v>28</v>
      </c>
      <c r="B37" s="66"/>
      <c r="C37" s="53" t="s">
        <v>56</v>
      </c>
      <c r="D37" s="134">
        <v>221</v>
      </c>
      <c r="E37" s="133" t="s">
        <v>105</v>
      </c>
      <c r="F37" s="74" t="s">
        <v>83</v>
      </c>
      <c r="G37" s="137">
        <v>6</v>
      </c>
      <c r="H37" s="138">
        <v>63200</v>
      </c>
      <c r="I37" s="54">
        <f t="shared" si="0"/>
        <v>379200</v>
      </c>
    </row>
    <row r="38" spans="1:9" ht="51" x14ac:dyDescent="0.2">
      <c r="A38" s="52">
        <v>29</v>
      </c>
      <c r="B38" s="66"/>
      <c r="C38" s="79" t="s">
        <v>56</v>
      </c>
      <c r="D38" s="134">
        <v>251</v>
      </c>
      <c r="E38" s="135" t="s">
        <v>74</v>
      </c>
      <c r="F38" s="74" t="s">
        <v>82</v>
      </c>
      <c r="G38" s="137">
        <v>10</v>
      </c>
      <c r="H38" s="138">
        <v>6500</v>
      </c>
      <c r="I38" s="54">
        <f t="shared" si="0"/>
        <v>65000</v>
      </c>
    </row>
    <row r="39" spans="1:9" ht="25.5" x14ac:dyDescent="0.2">
      <c r="A39" s="52">
        <v>30</v>
      </c>
      <c r="B39" s="66"/>
      <c r="C39" s="79" t="s">
        <v>56</v>
      </c>
      <c r="D39" s="134">
        <v>251</v>
      </c>
      <c r="E39" s="133" t="s">
        <v>106</v>
      </c>
      <c r="F39" s="74" t="s">
        <v>82</v>
      </c>
      <c r="G39" s="137">
        <v>10</v>
      </c>
      <c r="H39" s="138">
        <v>580</v>
      </c>
      <c r="I39" s="54">
        <f t="shared" si="0"/>
        <v>5800</v>
      </c>
    </row>
    <row r="40" spans="1:9" ht="13.5" thickBot="1" x14ac:dyDescent="0.25">
      <c r="I40" s="21"/>
    </row>
    <row r="41" spans="1:9" x14ac:dyDescent="0.2">
      <c r="B41" s="67" t="s">
        <v>59</v>
      </c>
      <c r="C41" s="17"/>
      <c r="D41" s="17"/>
      <c r="E41" s="18"/>
      <c r="I41" s="21"/>
    </row>
    <row r="42" spans="1:9" ht="13.5" customHeight="1" x14ac:dyDescent="0.2">
      <c r="B42" s="81" t="s">
        <v>80</v>
      </c>
      <c r="C42" s="82"/>
      <c r="D42" s="82"/>
      <c r="E42" s="83"/>
    </row>
    <row r="43" spans="1:9" ht="25.5" customHeight="1" x14ac:dyDescent="0.2">
      <c r="B43" s="81"/>
      <c r="C43" s="82"/>
      <c r="D43" s="82"/>
      <c r="E43" s="83"/>
      <c r="F43" s="19"/>
      <c r="G43" s="20"/>
    </row>
    <row r="44" spans="1:9" ht="13.5" customHeight="1" x14ac:dyDescent="0.2">
      <c r="B44" s="81" t="s">
        <v>98</v>
      </c>
      <c r="C44" s="82"/>
      <c r="D44" s="82"/>
      <c r="E44" s="83"/>
      <c r="F44" s="19"/>
      <c r="G44" s="20"/>
    </row>
    <row r="45" spans="1:9" ht="13.5" thickBot="1" x14ac:dyDescent="0.25">
      <c r="B45" s="70" t="s">
        <v>95</v>
      </c>
      <c r="C45" s="71"/>
      <c r="D45" s="72"/>
      <c r="E45" s="73"/>
      <c r="F45" s="19"/>
      <c r="G45" s="20"/>
    </row>
    <row r="46" spans="1:9" ht="12" customHeight="1" x14ac:dyDescent="0.2"/>
    <row r="51" spans="6:6" x14ac:dyDescent="0.2">
      <c r="F51" s="14" t="s">
        <v>55</v>
      </c>
    </row>
  </sheetData>
  <autoFilter ref="A9:I39"/>
  <mergeCells count="9">
    <mergeCell ref="A6:B6"/>
    <mergeCell ref="A7:B7"/>
    <mergeCell ref="B42:E43"/>
    <mergeCell ref="B44:E44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2"/>
  <sheetViews>
    <sheetView topLeftCell="A28" zoomScale="80" zoomScaleNormal="80" workbookViewId="0">
      <selection activeCell="A43" sqref="A43"/>
    </sheetView>
  </sheetViews>
  <sheetFormatPr baseColWidth="10" defaultColWidth="9.140625" defaultRowHeight="12.75" x14ac:dyDescent="0.2"/>
  <cols>
    <col min="1" max="1" width="5.5703125" style="24" customWidth="1"/>
    <col min="2" max="2" width="15.140625" style="24" customWidth="1"/>
    <col min="3" max="3" width="14.140625" style="24" customWidth="1"/>
    <col min="4" max="4" width="26" style="24" customWidth="1"/>
    <col min="5" max="5" width="8" style="24" customWidth="1"/>
    <col min="6" max="6" width="7.85546875" style="24" customWidth="1"/>
    <col min="7" max="7" width="48.5703125" style="24" customWidth="1"/>
    <col min="8" max="8" width="9.28515625" style="24" customWidth="1"/>
    <col min="9" max="9" width="15.5703125" style="24" customWidth="1"/>
    <col min="10" max="10" width="14.7109375" style="24" customWidth="1"/>
    <col min="11" max="11" width="15.5703125" style="24" customWidth="1"/>
    <col min="12" max="13" width="5.85546875" style="24" customWidth="1"/>
    <col min="14" max="14" width="14.140625" style="24" customWidth="1"/>
    <col min="15" max="15" width="12.5703125" style="24" customWidth="1"/>
    <col min="16" max="1024" width="9.140625" style="24"/>
    <col min="1025" max="16384" width="9.140625" style="25"/>
  </cols>
  <sheetData>
    <row r="1" spans="1:11" ht="18" customHeight="1" x14ac:dyDescent="0.2">
      <c r="A1" s="96" t="s">
        <v>14</v>
      </c>
      <c r="B1" s="96"/>
      <c r="C1" s="96"/>
      <c r="D1" s="96"/>
      <c r="E1" s="96"/>
      <c r="F1" s="96"/>
      <c r="G1" s="96"/>
      <c r="H1" s="96"/>
      <c r="I1" s="96"/>
      <c r="J1" s="22" t="s">
        <v>15</v>
      </c>
      <c r="K1" s="23" t="s">
        <v>96</v>
      </c>
    </row>
    <row r="2" spans="1:11" ht="18.75" customHeight="1" thickBot="1" x14ac:dyDescent="0.25">
      <c r="A2" s="26"/>
      <c r="B2" s="26"/>
      <c r="C2" s="26"/>
      <c r="D2" s="27"/>
      <c r="E2" s="27"/>
      <c r="F2" s="27"/>
      <c r="G2" s="27"/>
      <c r="H2" s="27"/>
      <c r="I2" s="27"/>
      <c r="J2" s="27"/>
      <c r="K2" s="27"/>
    </row>
    <row r="3" spans="1:11" ht="18.75" customHeight="1" thickBot="1" x14ac:dyDescent="0.25">
      <c r="A3" s="97" t="s">
        <v>48</v>
      </c>
      <c r="B3" s="97"/>
      <c r="C3" s="97"/>
      <c r="D3" s="87" t="str">
        <f>'Necesidades Trimestrales'!C4</f>
        <v>040 - Ministerio de Salud</v>
      </c>
      <c r="E3" s="87"/>
      <c r="F3" s="87"/>
      <c r="G3" s="87"/>
      <c r="H3" s="87"/>
      <c r="I3" s="87"/>
      <c r="J3" s="87"/>
      <c r="K3" s="87"/>
    </row>
    <row r="4" spans="1:11" ht="18.75" customHeight="1" thickBot="1" x14ac:dyDescent="0.25">
      <c r="A4" s="98" t="s">
        <v>49</v>
      </c>
      <c r="B4" s="98"/>
      <c r="C4" s="98"/>
      <c r="D4" s="87" t="str">
        <f>'Necesidades Trimestrales'!C5</f>
        <v>024 - Hospital Interzonal de Niños</v>
      </c>
      <c r="E4" s="87"/>
      <c r="F4" s="87"/>
      <c r="G4" s="87"/>
      <c r="H4" s="87"/>
      <c r="I4" s="87"/>
      <c r="J4" s="87"/>
      <c r="K4" s="87"/>
    </row>
    <row r="5" spans="1:11" ht="18.75" customHeight="1" thickBot="1" x14ac:dyDescent="0.25">
      <c r="A5" s="98" t="s">
        <v>27</v>
      </c>
      <c r="B5" s="98"/>
      <c r="C5" s="98"/>
      <c r="D5" s="87" t="s">
        <v>51</v>
      </c>
      <c r="E5" s="87"/>
      <c r="F5" s="87"/>
      <c r="G5" s="87"/>
      <c r="H5" s="87"/>
      <c r="I5" s="87"/>
      <c r="J5" s="87"/>
      <c r="K5" s="87"/>
    </row>
    <row r="6" spans="1:11" ht="16.5" customHeight="1" thickBot="1" x14ac:dyDescent="0.25">
      <c r="A6" s="97" t="s">
        <v>50</v>
      </c>
      <c r="B6" s="97"/>
      <c r="C6" s="97"/>
      <c r="D6" s="87" t="s">
        <v>76</v>
      </c>
      <c r="E6" s="87"/>
      <c r="F6" s="87"/>
      <c r="G6" s="87"/>
      <c r="H6" s="87"/>
      <c r="I6" s="87"/>
      <c r="J6" s="87"/>
      <c r="K6" s="87"/>
    </row>
    <row r="7" spans="1:11" ht="16.5" customHeight="1" x14ac:dyDescent="0.2">
      <c r="A7" s="98" t="s">
        <v>16</v>
      </c>
      <c r="B7" s="98"/>
      <c r="C7" s="98"/>
      <c r="D7" s="87" t="s">
        <v>97</v>
      </c>
      <c r="E7" s="87"/>
      <c r="F7" s="87"/>
      <c r="G7" s="87"/>
      <c r="H7" s="87"/>
      <c r="I7" s="87"/>
      <c r="J7" s="87"/>
      <c r="K7" s="87"/>
    </row>
    <row r="8" spans="1:11" ht="16.5" customHeight="1" x14ac:dyDescent="0.2">
      <c r="A8" s="91" t="s">
        <v>17</v>
      </c>
      <c r="B8" s="91"/>
      <c r="C8" s="91"/>
      <c r="D8" s="92" t="s">
        <v>75</v>
      </c>
      <c r="E8" s="92"/>
      <c r="F8" s="92"/>
      <c r="G8" s="92"/>
      <c r="H8" s="92"/>
      <c r="I8" s="92"/>
      <c r="J8" s="92"/>
      <c r="K8" s="92"/>
    </row>
    <row r="9" spans="1:11" ht="15.75" x14ac:dyDescent="0.2">
      <c r="A9" s="28"/>
      <c r="B9" s="28"/>
      <c r="C9" s="28"/>
      <c r="D9" s="29"/>
      <c r="E9" s="29"/>
      <c r="F9" s="29"/>
      <c r="G9" s="29"/>
      <c r="H9" s="29"/>
      <c r="I9" s="29"/>
      <c r="J9" s="29"/>
      <c r="K9" s="29"/>
    </row>
    <row r="10" spans="1:11" ht="18.75" customHeight="1" x14ac:dyDescent="0.2">
      <c r="A10" s="93" t="s">
        <v>18</v>
      </c>
      <c r="B10" s="94" t="s">
        <v>19</v>
      </c>
      <c r="C10" s="94" t="s">
        <v>20</v>
      </c>
      <c r="D10" s="94"/>
      <c r="E10" s="94"/>
      <c r="F10" s="94"/>
      <c r="G10" s="94"/>
      <c r="H10" s="94" t="s">
        <v>21</v>
      </c>
      <c r="I10" s="94" t="s">
        <v>22</v>
      </c>
      <c r="J10" s="94" t="s">
        <v>23</v>
      </c>
      <c r="K10" s="95" t="s">
        <v>24</v>
      </c>
    </row>
    <row r="11" spans="1:11" ht="24" customHeight="1" thickBot="1" x14ac:dyDescent="0.25">
      <c r="A11" s="93"/>
      <c r="B11" s="94"/>
      <c r="C11" s="94"/>
      <c r="D11" s="94"/>
      <c r="E11" s="94"/>
      <c r="F11" s="94"/>
      <c r="G11" s="94"/>
      <c r="H11" s="94"/>
      <c r="I11" s="94"/>
      <c r="J11" s="94"/>
      <c r="K11" s="95"/>
    </row>
    <row r="12" spans="1:11" ht="27.75" customHeight="1" x14ac:dyDescent="0.2">
      <c r="A12" s="32">
        <v>1</v>
      </c>
      <c r="B12" s="33"/>
      <c r="C12" s="89" t="str">
        <f>'Necesidades Trimestrales'!E10</f>
        <v>Bobina Baja Densidad 30 X 40 rollo x 200 un. Tipo Mapsa</v>
      </c>
      <c r="D12" s="89"/>
      <c r="E12" s="89"/>
      <c r="F12" s="89"/>
      <c r="G12" s="89"/>
      <c r="H12" s="34" t="s">
        <v>54</v>
      </c>
      <c r="I12" s="35" t="str">
        <f>'Necesidades Trimestrales'!F10</f>
        <v>UNIDAD</v>
      </c>
      <c r="J12" s="36">
        <f>'Necesidades Trimestrales'!H10</f>
        <v>780</v>
      </c>
      <c r="K12" s="37">
        <f>'Necesidades Trimestrales'!G10</f>
        <v>5</v>
      </c>
    </row>
    <row r="13" spans="1:11" ht="27.75" customHeight="1" x14ac:dyDescent="0.2">
      <c r="A13" s="55">
        <v>2</v>
      </c>
      <c r="B13" s="56"/>
      <c r="C13" s="90" t="str">
        <f>'Necesidades Trimestrales'!E11</f>
        <v>Bolsas  de Cloruro de Sodio de 25 kg (sal gruesa seca, lavada, limpia, sin iodo, lidad del agua que alimenta los Autoclaves.</v>
      </c>
      <c r="D13" s="90"/>
      <c r="E13" s="90"/>
      <c r="F13" s="90"/>
      <c r="G13" s="90"/>
      <c r="H13" s="59" t="s">
        <v>54</v>
      </c>
      <c r="I13" s="60" t="str">
        <f>'Necesidades Trimestrales'!F11</f>
        <v>BOLSA</v>
      </c>
      <c r="J13" s="58">
        <f>'Necesidades Trimestrales'!H11</f>
        <v>3500</v>
      </c>
      <c r="K13" s="57">
        <f>'Necesidades Trimestrales'!G11</f>
        <v>10</v>
      </c>
    </row>
    <row r="14" spans="1:11" ht="27.75" customHeight="1" x14ac:dyDescent="0.2">
      <c r="A14" s="55">
        <v>3</v>
      </c>
      <c r="B14" s="56"/>
      <c r="C14" s="86" t="str">
        <f>'Necesidades Trimestrales'!E12</f>
        <v>Bolsas Termosellables P/bib 250 X 100 X 380mm TipoYellow Pack x 1000</v>
      </c>
      <c r="D14" s="86"/>
      <c r="E14" s="86"/>
      <c r="F14" s="86"/>
      <c r="G14" s="86"/>
      <c r="H14" s="59" t="s">
        <v>54</v>
      </c>
      <c r="I14" s="60" t="str">
        <f>'Necesidades Trimestrales'!F12</f>
        <v>CAJA</v>
      </c>
      <c r="J14" s="58">
        <f>'Necesidades Trimestrales'!H12</f>
        <v>39880</v>
      </c>
      <c r="K14" s="57">
        <f>'Necesidades Trimestrales'!G12</f>
        <v>5</v>
      </c>
    </row>
    <row r="15" spans="1:11" ht="27.75" customHeight="1" x14ac:dyDescent="0.2">
      <c r="A15" s="55">
        <v>4</v>
      </c>
      <c r="B15" s="56"/>
      <c r="C15" s="86" t="str">
        <f>'Necesidades Trimestrales'!E13</f>
        <v>Camisolin P/Cirugia de tela verde brin con puño caña larga</v>
      </c>
      <c r="D15" s="86"/>
      <c r="E15" s="86"/>
      <c r="F15" s="86"/>
      <c r="G15" s="86"/>
      <c r="H15" s="59" t="s">
        <v>54</v>
      </c>
      <c r="I15" s="60" t="str">
        <f>'Necesidades Trimestrales'!F13</f>
        <v>UNIDAD</v>
      </c>
      <c r="J15" s="58">
        <f>'Necesidades Trimestrales'!H13</f>
        <v>2580</v>
      </c>
      <c r="K15" s="57">
        <f>'Necesidades Trimestrales'!G13</f>
        <v>20</v>
      </c>
    </row>
    <row r="16" spans="1:11" ht="27.75" customHeight="1" x14ac:dyDescent="0.2">
      <c r="A16" s="55">
        <v>5</v>
      </c>
      <c r="B16" s="56"/>
      <c r="C16" s="86" t="str">
        <f>'Necesidades Trimestrales'!E14</f>
        <v>Cinta Papel Pintor 18 mm. X 50 mts. Tipo Stiko</v>
      </c>
      <c r="D16" s="86"/>
      <c r="E16" s="86"/>
      <c r="F16" s="86"/>
      <c r="G16" s="86"/>
      <c r="H16" s="59" t="s">
        <v>54</v>
      </c>
      <c r="I16" s="60" t="str">
        <f>'Necesidades Trimestrales'!F14</f>
        <v>ROLLO</v>
      </c>
      <c r="J16" s="58">
        <f>'Necesidades Trimestrales'!H14</f>
        <v>165</v>
      </c>
      <c r="K16" s="57">
        <f>'Necesidades Trimestrales'!G14</f>
        <v>600</v>
      </c>
    </row>
    <row r="17" spans="1:11" ht="27.75" customHeight="1" x14ac:dyDescent="0.2">
      <c r="A17" s="55">
        <v>6</v>
      </c>
      <c r="B17" s="56"/>
      <c r="C17" s="86" t="str">
        <f>'Necesidades Trimestrales'!E15</f>
        <v>Cinta Testigo p/calor humedo  (en rollo) Tipo Kims</v>
      </c>
      <c r="D17" s="86"/>
      <c r="E17" s="86"/>
      <c r="F17" s="86"/>
      <c r="G17" s="86"/>
      <c r="H17" s="59" t="s">
        <v>54</v>
      </c>
      <c r="I17" s="60" t="str">
        <f>'Necesidades Trimestrales'!F15</f>
        <v>ROLLO</v>
      </c>
      <c r="J17" s="58">
        <f>'Necesidades Trimestrales'!H15</f>
        <v>380</v>
      </c>
      <c r="K17" s="57">
        <f>'Necesidades Trimestrales'!G15</f>
        <v>120</v>
      </c>
    </row>
    <row r="18" spans="1:11" ht="27.75" customHeight="1" x14ac:dyDescent="0.2">
      <c r="A18" s="55">
        <v>7</v>
      </c>
      <c r="B18" s="56"/>
      <c r="C18" s="86" t="str">
        <f>'Necesidades Trimestrales'!E16</f>
        <v>Compresa de Gasa Cosida; 40cm x 40cm, Rx y Cola, 5u/ doble sobre -Pouch, 50u/Caja Estéril,</v>
      </c>
      <c r="D18" s="86"/>
      <c r="E18" s="86"/>
      <c r="F18" s="86"/>
      <c r="G18" s="86"/>
      <c r="H18" s="59" t="s">
        <v>54</v>
      </c>
      <c r="I18" s="60" t="str">
        <f>'Necesidades Trimestrales'!F16</f>
        <v>CAJA</v>
      </c>
      <c r="J18" s="58">
        <f>'Necesidades Trimestrales'!H16</f>
        <v>13200</v>
      </c>
      <c r="K18" s="57">
        <f>'Necesidades Trimestrales'!G16</f>
        <v>5</v>
      </c>
    </row>
    <row r="19" spans="1:11" ht="27.75" customHeight="1" x14ac:dyDescent="0.2">
      <c r="A19" s="55">
        <v>8</v>
      </c>
      <c r="B19" s="56"/>
      <c r="C19" s="86" t="str">
        <f>'Necesidades Trimestrales'!E17</f>
        <v xml:space="preserve">Envoltorio para esterilización de Tela no tejida 100% a base de Polipropileno SMS. Gramaje 45 gr/m2 Bobina x 200 metros </v>
      </c>
      <c r="D19" s="86"/>
      <c r="E19" s="86"/>
      <c r="F19" s="86"/>
      <c r="G19" s="86"/>
      <c r="H19" s="59" t="s">
        <v>54</v>
      </c>
      <c r="I19" s="60" t="str">
        <f>'Necesidades Trimestrales'!F17</f>
        <v>UNIDAD</v>
      </c>
      <c r="J19" s="58">
        <f>'Necesidades Trimestrales'!H17</f>
        <v>25400</v>
      </c>
      <c r="K19" s="57">
        <f>'Necesidades Trimestrales'!G17</f>
        <v>3</v>
      </c>
    </row>
    <row r="20" spans="1:11" ht="27.75" customHeight="1" x14ac:dyDescent="0.2">
      <c r="A20" s="55">
        <v>9</v>
      </c>
      <c r="B20" s="56"/>
      <c r="C20" s="86" t="str">
        <f>'Necesidades Trimestrales'!E18</f>
        <v>GASA HIDROFILA PIEZA X 1,8 KGS. TIPO HIDROSAN</v>
      </c>
      <c r="D20" s="86"/>
      <c r="E20" s="86"/>
      <c r="F20" s="86"/>
      <c r="G20" s="86"/>
      <c r="H20" s="59" t="s">
        <v>54</v>
      </c>
      <c r="I20" s="60" t="str">
        <f>'Necesidades Trimestrales'!F18</f>
        <v>UNIDAD</v>
      </c>
      <c r="J20" s="58">
        <f>'Necesidades Trimestrales'!H18</f>
        <v>2680</v>
      </c>
      <c r="K20" s="57">
        <f>'Necesidades Trimestrales'!G18</f>
        <v>420</v>
      </c>
    </row>
    <row r="21" spans="1:11" ht="27.75" customHeight="1" x14ac:dyDescent="0.2">
      <c r="A21" s="55">
        <v>10</v>
      </c>
      <c r="B21" s="56"/>
      <c r="C21" s="86" t="str">
        <f>'Necesidades Trimestrales'!E19</f>
        <v>Indicador Biologico Para Calor Humedo x 100 Ampollas</v>
      </c>
      <c r="D21" s="86"/>
      <c r="E21" s="86"/>
      <c r="F21" s="86"/>
      <c r="G21" s="86"/>
      <c r="H21" s="59" t="s">
        <v>54</v>
      </c>
      <c r="I21" s="60" t="str">
        <f>'Necesidades Trimestrales'!F19</f>
        <v>CAJA</v>
      </c>
      <c r="J21" s="58">
        <f>'Necesidades Trimestrales'!H19</f>
        <v>16300</v>
      </c>
      <c r="K21" s="57">
        <f>'Necesidades Trimestrales'!G19</f>
        <v>1</v>
      </c>
    </row>
    <row r="22" spans="1:11" ht="27.75" customHeight="1" x14ac:dyDescent="0.2">
      <c r="A22" s="55">
        <v>11</v>
      </c>
      <c r="B22" s="56"/>
      <c r="C22" s="86" t="str">
        <f>'Necesidades Trimestrales'!E20</f>
        <v xml:space="preserve">INDICADORES DE ESTERILIZACION; METODO DE ESTERILIZACION: AUTOCLAVE DE VAPOR, TIRAS INTEGRADORAS, CAJA X 100 UN, </v>
      </c>
      <c r="D22" s="86"/>
      <c r="E22" s="86"/>
      <c r="F22" s="86"/>
      <c r="G22" s="86"/>
      <c r="H22" s="59" t="s">
        <v>54</v>
      </c>
      <c r="I22" s="60" t="str">
        <f>'Necesidades Trimestrales'!F20</f>
        <v>CAJA</v>
      </c>
      <c r="J22" s="58">
        <f>'Necesidades Trimestrales'!H20</f>
        <v>2056</v>
      </c>
      <c r="K22" s="57">
        <f>'Necesidades Trimestrales'!G20</f>
        <v>1</v>
      </c>
    </row>
    <row r="23" spans="1:11" ht="27.75" customHeight="1" x14ac:dyDescent="0.2">
      <c r="A23" s="55">
        <v>12</v>
      </c>
      <c r="B23" s="56"/>
      <c r="C23" s="86" t="str">
        <f>'Necesidades Trimestrales'!E21</f>
        <v>LUPAS; POTENCIA: 75 Diop, DIAMETRO: 65 mm, MATERIAL LENTE: VIDRIO, ACCESORIO: C/LUZ, ARMAZON: PLASTICO, ESTRUCTURA: PLASTICO</v>
      </c>
      <c r="D23" s="86"/>
      <c r="E23" s="86"/>
      <c r="F23" s="86"/>
      <c r="G23" s="86"/>
      <c r="H23" s="59" t="s">
        <v>54</v>
      </c>
      <c r="I23" s="60" t="str">
        <f>'Necesidades Trimestrales'!F21</f>
        <v>UNIDAD</v>
      </c>
      <c r="J23" s="58">
        <f>'Necesidades Trimestrales'!H21</f>
        <v>5560</v>
      </c>
      <c r="K23" s="57">
        <f>'Necesidades Trimestrales'!G21</f>
        <v>1</v>
      </c>
    </row>
    <row r="24" spans="1:11" ht="27.75" customHeight="1" x14ac:dyDescent="0.2">
      <c r="A24" s="55">
        <v>13</v>
      </c>
      <c r="B24" s="56"/>
      <c r="C24" s="86" t="str">
        <f>'Necesidades Trimestrales'!E22</f>
        <v>MALLA TUBULAR ALGODÓN 20 CM X 25 MTS</v>
      </c>
      <c r="D24" s="86"/>
      <c r="E24" s="86"/>
      <c r="F24" s="86"/>
      <c r="G24" s="86"/>
      <c r="H24" s="59" t="s">
        <v>54</v>
      </c>
      <c r="I24" s="60" t="str">
        <f>'Necesidades Trimestrales'!F22</f>
        <v>UNIDAD</v>
      </c>
      <c r="J24" s="58">
        <f>'Necesidades Trimestrales'!H22</f>
        <v>1550</v>
      </c>
      <c r="K24" s="57">
        <f>'Necesidades Trimestrales'!G22</f>
        <v>6</v>
      </c>
    </row>
    <row r="25" spans="1:11" ht="27.75" customHeight="1" x14ac:dyDescent="0.2">
      <c r="A25" s="55">
        <v>14</v>
      </c>
      <c r="B25" s="56"/>
      <c r="C25" s="86" t="str">
        <f>'Necesidades Trimestrales'!E23</f>
        <v>Paño de micro fibra de 40 x 40 cm Tipo  Mister Trapo</v>
      </c>
      <c r="D25" s="86"/>
      <c r="E25" s="86"/>
      <c r="F25" s="86"/>
      <c r="G25" s="86"/>
      <c r="H25" s="59" t="s">
        <v>54</v>
      </c>
      <c r="I25" s="60" t="str">
        <f>'Necesidades Trimestrales'!F23</f>
        <v>UNIDAD</v>
      </c>
      <c r="J25" s="58">
        <f>'Necesidades Trimestrales'!H23</f>
        <v>560</v>
      </c>
      <c r="K25" s="57">
        <f>'Necesidades Trimestrales'!G23</f>
        <v>3</v>
      </c>
    </row>
    <row r="26" spans="1:11" ht="27.75" customHeight="1" x14ac:dyDescent="0.2">
      <c r="A26" s="55">
        <v>15</v>
      </c>
      <c r="B26" s="56"/>
      <c r="C26" s="86" t="str">
        <f>'Necesidades Trimestrales'!E24</f>
        <v>PAPEL GRADO MEDICO 120 CM X 100 MTS</v>
      </c>
      <c r="D26" s="86"/>
      <c r="E26" s="86"/>
      <c r="F26" s="86"/>
      <c r="G26" s="86"/>
      <c r="H26" s="59" t="s">
        <v>54</v>
      </c>
      <c r="I26" s="60" t="str">
        <f>'Necesidades Trimestrales'!F24</f>
        <v>BOBINA</v>
      </c>
      <c r="J26" s="58">
        <f>'Necesidades Trimestrales'!H24</f>
        <v>6800</v>
      </c>
      <c r="K26" s="57">
        <f>'Necesidades Trimestrales'!G24</f>
        <v>6</v>
      </c>
    </row>
    <row r="27" spans="1:11" ht="28.5" customHeight="1" x14ac:dyDescent="0.2">
      <c r="A27" s="55">
        <v>16</v>
      </c>
      <c r="B27" s="56"/>
      <c r="C27" s="86" t="str">
        <f>'Necesidades Trimestrales'!E25</f>
        <v>PAPEL GRADO MEDICO 60 GR ANCHO 60 CM X 100 MTS</v>
      </c>
      <c r="D27" s="86"/>
      <c r="E27" s="86"/>
      <c r="F27" s="86"/>
      <c r="G27" s="86"/>
      <c r="H27" s="59" t="s">
        <v>54</v>
      </c>
      <c r="I27" s="60" t="str">
        <f>'Necesidades Trimestrales'!F25</f>
        <v>BOBINA</v>
      </c>
      <c r="J27" s="58">
        <f>'Necesidades Trimestrales'!H25</f>
        <v>5680</v>
      </c>
      <c r="K27" s="57">
        <f>'Necesidades Trimestrales'!G25</f>
        <v>6</v>
      </c>
    </row>
    <row r="28" spans="1:11" ht="27.75" customHeight="1" x14ac:dyDescent="0.2">
      <c r="A28" s="55">
        <v>17</v>
      </c>
      <c r="B28" s="56"/>
      <c r="C28" s="86" t="str">
        <f>'Necesidades Trimestrales'!E26</f>
        <v>PAPEL GRADO MEDICO 80 CM X 330 MTS</v>
      </c>
      <c r="D28" s="86"/>
      <c r="E28" s="86"/>
      <c r="F28" s="86"/>
      <c r="G28" s="86"/>
      <c r="H28" s="59" t="s">
        <v>54</v>
      </c>
      <c r="I28" s="60" t="str">
        <f>'Necesidades Trimestrales'!F26</f>
        <v>BOBINA</v>
      </c>
      <c r="J28" s="58">
        <f>'Necesidades Trimestrales'!H26</f>
        <v>9282</v>
      </c>
      <c r="K28" s="57">
        <f>'Necesidades Trimestrales'!G26</f>
        <v>6</v>
      </c>
    </row>
    <row r="29" spans="1:11" ht="27.75" customHeight="1" x14ac:dyDescent="0.2">
      <c r="A29" s="55">
        <v>18</v>
      </c>
      <c r="B29" s="56"/>
      <c r="C29" s="86" t="str">
        <f>'Necesidades Trimestrales'!E27</f>
        <v>PAPEL GRADO MEDICO CREPADO RESMA  X 100 X  100 cm   X 250 HOJAS</v>
      </c>
      <c r="D29" s="86"/>
      <c r="E29" s="86"/>
      <c r="F29" s="86"/>
      <c r="G29" s="86"/>
      <c r="H29" s="59" t="s">
        <v>54</v>
      </c>
      <c r="I29" s="60" t="str">
        <f>'Necesidades Trimestrales'!F27</f>
        <v>UNIDAD</v>
      </c>
      <c r="J29" s="58">
        <f>'Necesidades Trimestrales'!H27</f>
        <v>13550</v>
      </c>
      <c r="K29" s="57">
        <f>'Necesidades Trimestrales'!G27</f>
        <v>20</v>
      </c>
    </row>
    <row r="30" spans="1:11" ht="27.75" customHeight="1" x14ac:dyDescent="0.2">
      <c r="A30" s="55">
        <v>19</v>
      </c>
      <c r="B30" s="56"/>
      <c r="C30" s="86" t="str">
        <f>'Necesidades Trimestrales'!E28</f>
        <v>Pouch Rollo de 100 mm x 200 mts.</v>
      </c>
      <c r="D30" s="86"/>
      <c r="E30" s="86"/>
      <c r="F30" s="86"/>
      <c r="G30" s="86"/>
      <c r="H30" s="59" t="s">
        <v>54</v>
      </c>
      <c r="I30" s="60" t="str">
        <f>'Necesidades Trimestrales'!F28</f>
        <v>ROLLO</v>
      </c>
      <c r="J30" s="58">
        <f>'Necesidades Trimestrales'!H28</f>
        <v>4305</v>
      </c>
      <c r="K30" s="57">
        <f>'Necesidades Trimestrales'!G28</f>
        <v>3</v>
      </c>
    </row>
    <row r="31" spans="1:11" ht="27.75" customHeight="1" x14ac:dyDescent="0.2">
      <c r="A31" s="55">
        <v>20</v>
      </c>
      <c r="B31" s="56"/>
      <c r="C31" s="86" t="str">
        <f>'Necesidades Trimestrales'!E29</f>
        <v>Pouch Rollo de 200 mm x 200 mt.</v>
      </c>
      <c r="D31" s="86"/>
      <c r="E31" s="86"/>
      <c r="F31" s="86"/>
      <c r="G31" s="86"/>
      <c r="H31" s="59" t="s">
        <v>54</v>
      </c>
      <c r="I31" s="60" t="str">
        <f>'Necesidades Trimestrales'!F29</f>
        <v>ROLLO</v>
      </c>
      <c r="J31" s="58">
        <f>'Necesidades Trimestrales'!H29</f>
        <v>5885</v>
      </c>
      <c r="K31" s="57">
        <f>'Necesidades Trimestrales'!G29</f>
        <v>10</v>
      </c>
    </row>
    <row r="32" spans="1:11" ht="27.75" customHeight="1" x14ac:dyDescent="0.2">
      <c r="A32" s="55">
        <v>21</v>
      </c>
      <c r="B32" s="56"/>
      <c r="C32" s="86" t="str">
        <f>'Necesidades Trimestrales'!E30</f>
        <v>Pouch Rollo de 300 mm x 200 mts.</v>
      </c>
      <c r="D32" s="86"/>
      <c r="E32" s="86"/>
      <c r="F32" s="86"/>
      <c r="G32" s="86"/>
      <c r="H32" s="59" t="s">
        <v>54</v>
      </c>
      <c r="I32" s="60" t="str">
        <f>'Necesidades Trimestrales'!F30</f>
        <v>ROLLO</v>
      </c>
      <c r="J32" s="58">
        <f>'Necesidades Trimestrales'!H30</f>
        <v>8259</v>
      </c>
      <c r="K32" s="57">
        <f>'Necesidades Trimestrales'!G30</f>
        <v>6</v>
      </c>
    </row>
    <row r="33" spans="1:14" ht="27.75" customHeight="1" x14ac:dyDescent="0.2">
      <c r="A33" s="55">
        <v>22</v>
      </c>
      <c r="B33" s="56"/>
      <c r="C33" s="86" t="str">
        <f>'Necesidades Trimestrales'!E31</f>
        <v>Pouch Rollo de 400 mm x 200 mts.</v>
      </c>
      <c r="D33" s="86"/>
      <c r="E33" s="86"/>
      <c r="F33" s="86"/>
      <c r="G33" s="86"/>
      <c r="H33" s="59" t="s">
        <v>54</v>
      </c>
      <c r="I33" s="60" t="str">
        <f>'Necesidades Trimestrales'!F31</f>
        <v>ROLLO</v>
      </c>
      <c r="J33" s="58">
        <f>'Necesidades Trimestrales'!H31</f>
        <v>9341</v>
      </c>
      <c r="K33" s="57">
        <f>'Necesidades Trimestrales'!G31</f>
        <v>2</v>
      </c>
    </row>
    <row r="34" spans="1:14" ht="27.75" customHeight="1" x14ac:dyDescent="0.2">
      <c r="A34" s="55">
        <v>23</v>
      </c>
      <c r="B34" s="56"/>
      <c r="C34" s="86" t="str">
        <f>'Necesidades Trimestrales'!E32</f>
        <v>Pouch Rollo de 450 mm x 200 mts.</v>
      </c>
      <c r="D34" s="86"/>
      <c r="E34" s="86"/>
      <c r="F34" s="86"/>
      <c r="G34" s="86"/>
      <c r="H34" s="59" t="s">
        <v>54</v>
      </c>
      <c r="I34" s="60" t="str">
        <f>'Necesidades Trimestrales'!F32</f>
        <v>ROLLO</v>
      </c>
      <c r="J34" s="58">
        <f>'Necesidades Trimestrales'!H32</f>
        <v>10320</v>
      </c>
      <c r="K34" s="57">
        <f>'Necesidades Trimestrales'!G32</f>
        <v>2</v>
      </c>
    </row>
    <row r="35" spans="1:14" ht="27.75" customHeight="1" x14ac:dyDescent="0.2">
      <c r="A35" s="55">
        <v>24</v>
      </c>
      <c r="B35" s="56"/>
      <c r="C35" s="86" t="str">
        <f>'Necesidades Trimestrales'!E33</f>
        <v>ROLLO EN PAPEL TERMICO  ORIGINALES 57 mm. X 20 mts.</v>
      </c>
      <c r="D35" s="86"/>
      <c r="E35" s="86"/>
      <c r="F35" s="86"/>
      <c r="G35" s="86"/>
      <c r="H35" s="59" t="s">
        <v>54</v>
      </c>
      <c r="I35" s="60" t="str">
        <f>'Necesidades Trimestrales'!F33</f>
        <v>ROLLO</v>
      </c>
      <c r="J35" s="58">
        <f>'Necesidades Trimestrales'!H33</f>
        <v>165</v>
      </c>
      <c r="K35" s="57">
        <f>'Necesidades Trimestrales'!G33</f>
        <v>24</v>
      </c>
    </row>
    <row r="36" spans="1:14" ht="27.75" customHeight="1" x14ac:dyDescent="0.2">
      <c r="A36" s="55">
        <v>25</v>
      </c>
      <c r="B36" s="56"/>
      <c r="C36" s="86" t="str">
        <f>'Necesidades Trimestrales'!E34</f>
        <v>Ropa Equipo Cirugia Universal DESCARTABLE 17 Elementos Esteril</v>
      </c>
      <c r="D36" s="86"/>
      <c r="E36" s="86"/>
      <c r="F36" s="86"/>
      <c r="G36" s="86"/>
      <c r="H36" s="59" t="s">
        <v>54</v>
      </c>
      <c r="I36" s="60" t="str">
        <f>'Necesidades Trimestrales'!F34</f>
        <v>PAQUETE</v>
      </c>
      <c r="J36" s="58">
        <f>'Necesidades Trimestrales'!H34</f>
        <v>5405.52</v>
      </c>
      <c r="K36" s="57">
        <f>'Necesidades Trimestrales'!G34</f>
        <v>10</v>
      </c>
    </row>
    <row r="37" spans="1:14" ht="27.75" customHeight="1" x14ac:dyDescent="0.2">
      <c r="A37" s="55">
        <v>26</v>
      </c>
      <c r="B37" s="56"/>
      <c r="C37" s="86" t="str">
        <f>'Necesidades Trimestrales'!E35</f>
        <v>Tela de Lienzo rollo 100 mts largo x 1,60 mts ancho</v>
      </c>
      <c r="D37" s="86"/>
      <c r="E37" s="86"/>
      <c r="F37" s="86"/>
      <c r="G37" s="86"/>
      <c r="H37" s="59" t="s">
        <v>54</v>
      </c>
      <c r="I37" s="60" t="str">
        <f>'Necesidades Trimestrales'!F35</f>
        <v>ROLLO</v>
      </c>
      <c r="J37" s="58">
        <f>'Necesidades Trimestrales'!H35</f>
        <v>54800</v>
      </c>
      <c r="K37" s="57">
        <f>'Necesidades Trimestrales'!G35</f>
        <v>6</v>
      </c>
    </row>
    <row r="38" spans="1:14" ht="27.75" customHeight="1" x14ac:dyDescent="0.2">
      <c r="A38" s="55">
        <v>27</v>
      </c>
      <c r="B38" s="56"/>
      <c r="C38" s="86" t="str">
        <f>'Necesidades Trimestrales'!E36</f>
        <v>Tela de Toalla rollo 50 mts largo ( doble ancho) x 1,50 mt de ancho</v>
      </c>
      <c r="D38" s="86"/>
      <c r="E38" s="86"/>
      <c r="F38" s="86"/>
      <c r="G38" s="86"/>
      <c r="H38" s="59" t="s">
        <v>54</v>
      </c>
      <c r="I38" s="60" t="str">
        <f>'Necesidades Trimestrales'!F36</f>
        <v>ROLLO</v>
      </c>
      <c r="J38" s="58">
        <f>'Necesidades Trimestrales'!H36</f>
        <v>47800</v>
      </c>
      <c r="K38" s="57">
        <f>'Necesidades Trimestrales'!G36</f>
        <v>10</v>
      </c>
    </row>
    <row r="39" spans="1:14" ht="27.75" customHeight="1" x14ac:dyDescent="0.2">
      <c r="A39" s="55">
        <v>28</v>
      </c>
      <c r="B39" s="56"/>
      <c r="C39" s="86" t="str">
        <f>'Necesidades Trimestrales'!E37</f>
        <v>Tela verde brin de algodón rollo 50 mtrs largo (doble ancho) x 1,50 mt de ancho. Indantrend</v>
      </c>
      <c r="D39" s="86"/>
      <c r="E39" s="86"/>
      <c r="F39" s="86"/>
      <c r="G39" s="86"/>
      <c r="H39" s="59" t="s">
        <v>54</v>
      </c>
      <c r="I39" s="60" t="str">
        <f>'Necesidades Trimestrales'!F37</f>
        <v>ROLLO</v>
      </c>
      <c r="J39" s="58">
        <f>'Necesidades Trimestrales'!H37</f>
        <v>63200</v>
      </c>
      <c r="K39" s="57">
        <f>'Necesidades Trimestrales'!G37</f>
        <v>6</v>
      </c>
    </row>
    <row r="40" spans="1:14" ht="27.75" customHeight="1" x14ac:dyDescent="0.2">
      <c r="A40" s="55">
        <v>29</v>
      </c>
      <c r="B40" s="56"/>
      <c r="C40" s="86" t="str">
        <f>'Necesidades Trimestrales'!E38</f>
        <v>Test pack de 15 mm (viraje de color-tipo 2 Paquete de un solo uso para efectuar el test de Bowie y Dick. Detecta deficiencias en la penetración de vapor. Viraje final a negro. Presentación: Paquete de 120x 120 x 15 mm. Caja por 20 unidades.</v>
      </c>
      <c r="D40" s="86"/>
      <c r="E40" s="86"/>
      <c r="F40" s="86"/>
      <c r="G40" s="86"/>
      <c r="H40" s="59" t="s">
        <v>54</v>
      </c>
      <c r="I40" s="60" t="str">
        <f>'Necesidades Trimestrales'!F38</f>
        <v>CAJA</v>
      </c>
      <c r="J40" s="58">
        <f>'Necesidades Trimestrales'!H38</f>
        <v>6500</v>
      </c>
      <c r="K40" s="57">
        <f>'Necesidades Trimestrales'!G38</f>
        <v>10</v>
      </c>
    </row>
    <row r="41" spans="1:14" ht="27.75" customHeight="1" thickBot="1" x14ac:dyDescent="0.25">
      <c r="A41" s="55">
        <v>30</v>
      </c>
      <c r="B41" s="132"/>
      <c r="C41" s="86" t="str">
        <f>'Necesidades Trimestrales'!E39</f>
        <v>Testigo p/calor humedo  (en Tiras) Tipo Kims</v>
      </c>
      <c r="D41" s="86"/>
      <c r="E41" s="86"/>
      <c r="F41" s="86"/>
      <c r="G41" s="86"/>
      <c r="H41" s="59" t="s">
        <v>54</v>
      </c>
      <c r="I41" s="60" t="str">
        <f>'Necesidades Trimestrales'!F39</f>
        <v>CAJA</v>
      </c>
      <c r="J41" s="58">
        <f>'Necesidades Trimestrales'!H39</f>
        <v>580</v>
      </c>
      <c r="K41" s="57">
        <f>'Necesidades Trimestrales'!G39</f>
        <v>10</v>
      </c>
    </row>
    <row r="42" spans="1:14" ht="20.25" customHeight="1" thickBot="1" x14ac:dyDescent="0.25">
      <c r="A42" s="87" t="s">
        <v>107</v>
      </c>
      <c r="B42" s="87"/>
      <c r="C42" s="87"/>
      <c r="D42" s="87"/>
      <c r="E42" s="87"/>
      <c r="F42" s="87"/>
      <c r="G42" s="87"/>
      <c r="H42" s="87"/>
      <c r="I42" s="87"/>
      <c r="J42" s="88">
        <f>SUMPRODUCT(J12:J41,K12:K41)</f>
        <v>3614224.2</v>
      </c>
      <c r="K42" s="88"/>
      <c r="N42" s="41"/>
    </row>
  </sheetData>
  <mergeCells count="52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C32:G32"/>
    <mergeCell ref="C33:G33"/>
    <mergeCell ref="C34:G34"/>
    <mergeCell ref="C35:G35"/>
    <mergeCell ref="D8:K8"/>
    <mergeCell ref="A10:A11"/>
    <mergeCell ref="B10:B11"/>
    <mergeCell ref="C10:G11"/>
    <mergeCell ref="H10:H11"/>
    <mergeCell ref="I10:I11"/>
    <mergeCell ref="J10:J11"/>
    <mergeCell ref="K10:K11"/>
    <mergeCell ref="C31:G31"/>
    <mergeCell ref="C26:G26"/>
    <mergeCell ref="C27:G27"/>
    <mergeCell ref="C22:G22"/>
    <mergeCell ref="C23:G23"/>
    <mergeCell ref="C24:G24"/>
    <mergeCell ref="C25:G25"/>
    <mergeCell ref="C37:G37"/>
    <mergeCell ref="C36:G36"/>
    <mergeCell ref="C28:G28"/>
    <mergeCell ref="C29:G29"/>
    <mergeCell ref="C30:G30"/>
    <mergeCell ref="C17:G17"/>
    <mergeCell ref="C18:G18"/>
    <mergeCell ref="C19:G19"/>
    <mergeCell ref="C20:G20"/>
    <mergeCell ref="C21:G21"/>
    <mergeCell ref="C12:G12"/>
    <mergeCell ref="C13:G13"/>
    <mergeCell ref="C14:G14"/>
    <mergeCell ref="C15:G15"/>
    <mergeCell ref="C16:G16"/>
    <mergeCell ref="C38:G38"/>
    <mergeCell ref="C39:G39"/>
    <mergeCell ref="C40:G40"/>
    <mergeCell ref="A42:I42"/>
    <mergeCell ref="J42:K42"/>
    <mergeCell ref="C41:G41"/>
  </mergeCells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130" zoomScaleNormal="130" workbookViewId="0">
      <selection activeCell="O20" sqref="O20:P20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8" t="s">
        <v>3</v>
      </c>
      <c r="B1" s="128"/>
      <c r="C1" s="128"/>
      <c r="D1" s="129">
        <f>'Necesidades Trimestrales'!C6</f>
        <v>2022</v>
      </c>
      <c r="E1" s="129"/>
      <c r="F1" s="3"/>
      <c r="G1" s="3"/>
      <c r="H1" s="4"/>
      <c r="I1" s="4"/>
      <c r="J1" s="4"/>
      <c r="K1" s="4"/>
      <c r="L1" s="4"/>
      <c r="M1" s="4"/>
      <c r="N1" s="4"/>
      <c r="P1" s="130" t="s">
        <v>25</v>
      </c>
      <c r="Q1" s="130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30"/>
      <c r="Q2" s="130"/>
    </row>
    <row r="4" spans="1:17" s="5" customFormat="1" ht="18" customHeight="1" thickBot="1" x14ac:dyDescent="0.25">
      <c r="A4" s="131" t="s">
        <v>26</v>
      </c>
      <c r="B4" s="131"/>
      <c r="C4" s="131"/>
      <c r="D4" s="131"/>
      <c r="E4" s="131"/>
      <c r="F4" s="131"/>
      <c r="G4" s="126" t="str">
        <f>' NotaPedido'!D3</f>
        <v>040 - Ministerio de Salud</v>
      </c>
      <c r="H4" s="126"/>
      <c r="I4" s="126"/>
      <c r="J4" s="126"/>
      <c r="K4" s="126"/>
      <c r="L4" s="126"/>
      <c r="M4" s="126"/>
      <c r="N4" s="126"/>
      <c r="O4" s="126"/>
      <c r="P4" s="126"/>
      <c r="Q4" s="126"/>
    </row>
    <row r="5" spans="1:17" s="5" customFormat="1" ht="18" customHeight="1" thickBot="1" x14ac:dyDescent="0.25">
      <c r="A5" s="123" t="s">
        <v>49</v>
      </c>
      <c r="B5" s="124"/>
      <c r="C5" s="124"/>
      <c r="D5" s="124"/>
      <c r="E5" s="124"/>
      <c r="F5" s="125"/>
      <c r="G5" s="126" t="str">
        <f>' NotaPedido'!D4</f>
        <v>024 - Hospital Interzonal de Niños</v>
      </c>
      <c r="H5" s="126"/>
      <c r="I5" s="126"/>
      <c r="J5" s="126"/>
      <c r="K5" s="126"/>
      <c r="L5" s="126"/>
      <c r="M5" s="126"/>
      <c r="N5" s="126"/>
      <c r="O5" s="126"/>
      <c r="P5" s="126"/>
      <c r="Q5" s="126"/>
    </row>
    <row r="6" spans="1:17" s="5" customFormat="1" ht="18" customHeight="1" thickBot="1" x14ac:dyDescent="0.25">
      <c r="A6" s="123" t="s">
        <v>27</v>
      </c>
      <c r="B6" s="124"/>
      <c r="C6" s="124"/>
      <c r="D6" s="124"/>
      <c r="E6" s="124"/>
      <c r="F6" s="125"/>
      <c r="G6" s="126" t="str">
        <f>' NotaPedido'!D5</f>
        <v>024 - Hospital Interzonal de Niños</v>
      </c>
      <c r="H6" s="126"/>
      <c r="I6" s="126"/>
      <c r="J6" s="126"/>
      <c r="K6" s="126"/>
      <c r="L6" s="126"/>
      <c r="M6" s="126"/>
      <c r="N6" s="126"/>
      <c r="O6" s="126"/>
      <c r="P6" s="126"/>
      <c r="Q6" s="126"/>
    </row>
    <row r="7" spans="1:17" s="5" customFormat="1" ht="18" customHeight="1" thickBot="1" x14ac:dyDescent="0.25">
      <c r="A7" s="123" t="s">
        <v>50</v>
      </c>
      <c r="B7" s="124"/>
      <c r="C7" s="124"/>
      <c r="D7" s="124"/>
      <c r="E7" s="124"/>
      <c r="F7" s="125"/>
      <c r="G7" s="126" t="s">
        <v>76</v>
      </c>
      <c r="H7" s="126"/>
      <c r="I7" s="126"/>
      <c r="J7" s="126"/>
      <c r="K7" s="126"/>
      <c r="L7" s="126"/>
      <c r="M7" s="126"/>
      <c r="N7" s="126"/>
      <c r="O7" s="126"/>
      <c r="P7" s="126"/>
      <c r="Q7" s="126"/>
    </row>
    <row r="8" spans="1:17" ht="18" customHeight="1" thickBot="1" x14ac:dyDescent="0.25">
      <c r="A8" s="127" t="s">
        <v>28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</row>
    <row r="9" spans="1:17" ht="18" customHeight="1" x14ac:dyDescent="0.2">
      <c r="A9" s="112" t="s">
        <v>29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"/>
      <c r="P9" s="1"/>
      <c r="Q9" s="6"/>
    </row>
    <row r="10" spans="1:17" ht="54.75" customHeight="1" x14ac:dyDescent="0.2">
      <c r="A10" s="113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008/2022,  afectando la erogación resultante a los créditos presupuestarios aprobados a favor de esta Unidad Ejecutora, conforme al siguiente detalle: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14" t="s">
        <v>30</v>
      </c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</row>
    <row r="13" spans="1:17" ht="15.75" customHeight="1" thickBot="1" x14ac:dyDescent="0.25">
      <c r="A13" s="115" t="s">
        <v>31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7" t="s">
        <v>32</v>
      </c>
      <c r="P13" s="118"/>
      <c r="Q13" s="121" t="s">
        <v>33</v>
      </c>
    </row>
    <row r="14" spans="1:17" ht="15.75" customHeight="1" thickBot="1" x14ac:dyDescent="0.25">
      <c r="A14" s="46" t="s">
        <v>34</v>
      </c>
      <c r="B14" s="47" t="s">
        <v>35</v>
      </c>
      <c r="C14" s="47" t="s">
        <v>36</v>
      </c>
      <c r="D14" s="47" t="s">
        <v>37</v>
      </c>
      <c r="E14" s="47" t="s">
        <v>38</v>
      </c>
      <c r="F14" s="47" t="s">
        <v>39</v>
      </c>
      <c r="G14" s="48" t="s">
        <v>40</v>
      </c>
      <c r="H14" s="47" t="s">
        <v>41</v>
      </c>
      <c r="I14" s="47" t="s">
        <v>42</v>
      </c>
      <c r="J14" s="47" t="s">
        <v>43</v>
      </c>
      <c r="K14" s="47" t="s">
        <v>43</v>
      </c>
      <c r="L14" s="47" t="s">
        <v>44</v>
      </c>
      <c r="M14" s="49" t="s">
        <v>45</v>
      </c>
      <c r="N14" s="50" t="s">
        <v>46</v>
      </c>
      <c r="O14" s="119"/>
      <c r="P14" s="120"/>
      <c r="Q14" s="122"/>
    </row>
    <row r="15" spans="1:17" ht="17.25" customHeight="1" x14ac:dyDescent="0.2">
      <c r="A15" s="139">
        <v>36</v>
      </c>
      <c r="B15" s="140"/>
      <c r="C15" s="140"/>
      <c r="D15" s="140">
        <v>1</v>
      </c>
      <c r="E15" s="140"/>
      <c r="F15" s="140">
        <v>4901</v>
      </c>
      <c r="G15" s="141">
        <v>3</v>
      </c>
      <c r="H15" s="140">
        <v>310</v>
      </c>
      <c r="I15" s="140">
        <v>2</v>
      </c>
      <c r="J15" s="140">
        <v>2</v>
      </c>
      <c r="K15" s="140">
        <v>1</v>
      </c>
      <c r="L15" s="140"/>
      <c r="M15" s="140">
        <v>1</v>
      </c>
      <c r="N15" s="140" t="s">
        <v>53</v>
      </c>
      <c r="O15" s="106" t="s">
        <v>109</v>
      </c>
      <c r="P15" s="106"/>
      <c r="Q15" s="51">
        <v>1186000</v>
      </c>
    </row>
    <row r="16" spans="1:17" ht="26.25" customHeight="1" x14ac:dyDescent="0.2">
      <c r="A16" s="42">
        <v>36</v>
      </c>
      <c r="B16" s="43"/>
      <c r="C16" s="43"/>
      <c r="D16" s="43">
        <v>1</v>
      </c>
      <c r="E16" s="43"/>
      <c r="F16" s="43">
        <v>4901</v>
      </c>
      <c r="G16" s="43">
        <v>3</v>
      </c>
      <c r="H16" s="43">
        <v>310</v>
      </c>
      <c r="I16" s="43">
        <v>2</v>
      </c>
      <c r="J16" s="43">
        <v>3</v>
      </c>
      <c r="K16" s="43">
        <v>4</v>
      </c>
      <c r="L16" s="43"/>
      <c r="M16" s="44">
        <v>1</v>
      </c>
      <c r="N16" s="45" t="s">
        <v>53</v>
      </c>
      <c r="O16" s="106" t="s">
        <v>87</v>
      </c>
      <c r="P16" s="106"/>
      <c r="Q16" s="51">
        <v>3900</v>
      </c>
    </row>
    <row r="17" spans="1:18" ht="30" customHeight="1" x14ac:dyDescent="0.2">
      <c r="A17" s="42">
        <v>36</v>
      </c>
      <c r="B17" s="43"/>
      <c r="C17" s="43"/>
      <c r="D17" s="43">
        <v>1</v>
      </c>
      <c r="E17" s="43"/>
      <c r="F17" s="43">
        <v>4901</v>
      </c>
      <c r="G17" s="43">
        <v>3</v>
      </c>
      <c r="H17" s="43">
        <v>310</v>
      </c>
      <c r="I17" s="43">
        <v>2</v>
      </c>
      <c r="J17" s="43">
        <v>5</v>
      </c>
      <c r="K17" s="43">
        <v>1</v>
      </c>
      <c r="L17" s="43"/>
      <c r="M17" s="44">
        <v>1</v>
      </c>
      <c r="N17" s="45" t="s">
        <v>53</v>
      </c>
      <c r="O17" s="100" t="s">
        <v>78</v>
      </c>
      <c r="P17" s="101"/>
      <c r="Q17" s="11">
        <v>124156</v>
      </c>
    </row>
    <row r="18" spans="1:18" ht="27" customHeight="1" x14ac:dyDescent="0.2">
      <c r="A18" s="42">
        <v>36</v>
      </c>
      <c r="B18" s="43"/>
      <c r="C18" s="43"/>
      <c r="D18" s="43">
        <v>1</v>
      </c>
      <c r="E18" s="43"/>
      <c r="F18" s="43">
        <v>4901</v>
      </c>
      <c r="G18" s="43">
        <v>3</v>
      </c>
      <c r="H18" s="43">
        <v>310</v>
      </c>
      <c r="I18" s="43">
        <v>2</v>
      </c>
      <c r="J18" s="43">
        <v>5</v>
      </c>
      <c r="K18" s="43">
        <v>9</v>
      </c>
      <c r="L18" s="43"/>
      <c r="M18" s="44">
        <v>1</v>
      </c>
      <c r="N18" s="45" t="s">
        <v>53</v>
      </c>
      <c r="O18" s="102" t="s">
        <v>88</v>
      </c>
      <c r="P18" s="107"/>
      <c r="Q18" s="11">
        <v>811173</v>
      </c>
    </row>
    <row r="19" spans="1:18" ht="27" customHeight="1" x14ac:dyDescent="0.2">
      <c r="A19" s="42">
        <v>36</v>
      </c>
      <c r="B19" s="43"/>
      <c r="C19" s="43"/>
      <c r="D19" s="43">
        <v>1</v>
      </c>
      <c r="E19" s="43"/>
      <c r="F19" s="43">
        <v>4901</v>
      </c>
      <c r="G19" s="43">
        <v>3</v>
      </c>
      <c r="H19" s="43">
        <v>310</v>
      </c>
      <c r="I19" s="43">
        <v>2</v>
      </c>
      <c r="J19" s="43">
        <v>9</v>
      </c>
      <c r="K19" s="43">
        <v>1</v>
      </c>
      <c r="L19" s="43"/>
      <c r="M19" s="44">
        <v>1</v>
      </c>
      <c r="N19" s="45" t="s">
        <v>53</v>
      </c>
      <c r="O19" s="102" t="s">
        <v>110</v>
      </c>
      <c r="P19" s="107"/>
      <c r="Q19" s="11">
        <v>1680</v>
      </c>
    </row>
    <row r="20" spans="1:18" ht="36.75" customHeight="1" x14ac:dyDescent="0.2">
      <c r="A20" s="42">
        <v>36</v>
      </c>
      <c r="B20" s="43"/>
      <c r="C20" s="43"/>
      <c r="D20" s="43">
        <v>1</v>
      </c>
      <c r="E20" s="43"/>
      <c r="F20" s="43">
        <v>4901</v>
      </c>
      <c r="G20" s="43">
        <v>3</v>
      </c>
      <c r="H20" s="43">
        <v>310</v>
      </c>
      <c r="I20" s="43">
        <v>2</v>
      </c>
      <c r="J20" s="43">
        <v>9</v>
      </c>
      <c r="K20" s="43">
        <v>5</v>
      </c>
      <c r="L20" s="43"/>
      <c r="M20" s="44">
        <v>1</v>
      </c>
      <c r="N20" s="45" t="s">
        <v>53</v>
      </c>
      <c r="O20" s="100" t="s">
        <v>58</v>
      </c>
      <c r="P20" s="101"/>
      <c r="Q20" s="11">
        <v>1487315.2</v>
      </c>
    </row>
    <row r="21" spans="1:18" ht="30" customHeight="1" x14ac:dyDescent="0.2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4"/>
      <c r="N21" s="45"/>
      <c r="O21" s="102"/>
      <c r="P21" s="103"/>
      <c r="Q21" s="11"/>
      <c r="R21" s="1"/>
    </row>
    <row r="22" spans="1:18" ht="41.25" customHeight="1" thickBot="1" x14ac:dyDescent="0.25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4"/>
      <c r="N22" s="45"/>
      <c r="O22" s="101"/>
      <c r="P22" s="101"/>
      <c r="Q22" s="12"/>
    </row>
    <row r="23" spans="1:18" ht="29.25" customHeight="1" thickBot="1" x14ac:dyDescent="0.25">
      <c r="A23" s="104" t="s">
        <v>108</v>
      </c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3">
        <f>SUM(Q15:Q22)</f>
        <v>3614224.2</v>
      </c>
    </row>
    <row r="24" spans="1:18" ht="18" customHeight="1" thickBot="1" x14ac:dyDescent="0.25">
      <c r="A24" s="105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</row>
    <row r="25" spans="1:18" ht="17.25" customHeight="1" thickBot="1" x14ac:dyDescent="0.25">
      <c r="A25" s="108" t="s">
        <v>47</v>
      </c>
      <c r="B25" s="109"/>
      <c r="C25" s="109"/>
      <c r="D25" s="109"/>
      <c r="E25" s="109"/>
      <c r="F25" s="110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</row>
    <row r="26" spans="1:18" ht="18" customHeight="1" thickBot="1" x14ac:dyDescent="0.25">
      <c r="A26" s="99" t="s">
        <v>79</v>
      </c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</row>
    <row r="27" spans="1:18" ht="26.25" customHeight="1" x14ac:dyDescent="0.2">
      <c r="A27" s="99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</row>
  </sheetData>
  <mergeCells count="31">
    <mergeCell ref="O15:P15"/>
    <mergeCell ref="O19:P19"/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6:P16"/>
    <mergeCell ref="O17:P17"/>
    <mergeCell ref="O18:P18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2021-09-15T13:18:54Z</cp:lastPrinted>
  <dcterms:created xsi:type="dcterms:W3CDTF">2020-07-17T23:44:49Z</dcterms:created>
  <dcterms:modified xsi:type="dcterms:W3CDTF">2022-02-08T16:21:41Z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