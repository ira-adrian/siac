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5600" windowHeight="1104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NotaPedido'!$A$1:$K$18</definedName>
    <definedName name="_xlnm.Print_Area" localSheetId="2">'Autor Gastar'!$A$1:$Q$20</definedName>
    <definedName name="_xlnm.Print_Area" localSheetId="0">'Necesidades Trimestrales'!$A$1:$I$39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/>
  <c r="A19"/>
  <c r="K12" i="2"/>
  <c r="K13"/>
  <c r="K14"/>
  <c r="K15"/>
  <c r="K16"/>
  <c r="K17"/>
  <c r="J12"/>
  <c r="J13"/>
  <c r="J14"/>
  <c r="J15"/>
  <c r="J16"/>
  <c r="J17"/>
  <c r="I12"/>
  <c r="I13"/>
  <c r="I14"/>
  <c r="I15"/>
  <c r="I16"/>
  <c r="C12"/>
  <c r="C13"/>
  <c r="C14"/>
  <c r="C15"/>
  <c r="C16"/>
  <c r="C17"/>
  <c r="B12"/>
  <c r="B13"/>
  <c r="B14"/>
  <c r="B15"/>
  <c r="B16"/>
  <c r="B17"/>
  <c r="I10" i="1"/>
  <c r="I11"/>
  <c r="I12"/>
  <c r="I13"/>
  <c r="I17" i="2"/>
  <c r="I14" i="1" l="1"/>
  <c r="J18" i="2"/>
  <c r="Q15" i="3" l="1"/>
  <c r="Q16" s="1"/>
  <c r="G6"/>
  <c r="G7"/>
  <c r="D7" i="2"/>
  <c r="D3"/>
  <c r="G4" i="3" s="1"/>
  <c r="D4" i="2"/>
  <c r="G5" i="3" s="1"/>
  <c r="D1" l="1"/>
</calcChain>
</file>

<file path=xl/sharedStrings.xml><?xml version="1.0" encoding="utf-8"?>
<sst xmlns="http://schemas.openxmlformats.org/spreadsheetml/2006/main" count="113" uniqueCount="91">
  <si>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</si>
  <si>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</si>
  <si>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</si>
  <si>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</si>
  <si>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</si>
  <si>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</si>
  <si>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</si>
  <si>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</si>
  <si>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</si>
  <si>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</si>
  <si>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</si>
  <si>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</si>
  <si>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</si>
  <si>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</si>
  <si>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</si>
  <si>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</si>
  <si>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2.9.6-3986.560 </t>
  </si>
  <si>
    <t>REPUESTOS</t>
  </si>
  <si>
    <t>2.9.6</t>
  </si>
  <si>
    <t>UNIDAD</t>
  </si>
  <si>
    <t>2.9.6-1642.999</t>
  </si>
  <si>
    <t xml:space="preserve">2.9.6-3997.633 </t>
  </si>
  <si>
    <t>REP. Y ACC. P/MOTOS; REPUESTO: BATERIA, USO: HONDA, MODELO MOTO:TRANSALP 600</t>
  </si>
  <si>
    <t xml:space="preserve">2.9.6-3997.634 </t>
  </si>
  <si>
    <t>REP. Y ACC. P/MOTOS; REPUESTO: BATERIA, USO: BENELLI, MODELO MOTO: TRK 502 CC</t>
  </si>
  <si>
    <t>Especificidades</t>
  </si>
  <si>
    <t xml:space="preserve"> Item N° : 1</t>
  </si>
  <si>
    <t>Descripción técnica</t>
  </si>
  <si>
    <t xml:space="preserve"> Item N° : 2</t>
  </si>
  <si>
    <t>EQUIPO DE COMUNICACIÓN BASE  ELEMENTO: BATERIAS 12V.  180 AMP</t>
  </si>
  <si>
    <t xml:space="preserve"> Item N° : 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</si>
  <si>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TRANSALP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1999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MOTOS YTX14-BS 12V 14 AMP</t>
    </r>
  </si>
  <si>
    <t xml:space="preserve"> Item N° : 4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</si>
  <si>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</si>
  <si>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</si>
  <si>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</si>
  <si>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</si>
  <si>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</si>
  <si>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</si>
  <si>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</si>
  <si>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</si>
  <si>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</si>
  <si>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</si>
  <si>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31/2021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</si>
  <si>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</si>
  <si>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</si>
  <si>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</si>
  <si>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</si>
  <si>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</si>
  <si>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 (D-4)</t>
  </si>
  <si>
    <t>PERIODO UTILIZACIÓN:</t>
  </si>
  <si>
    <t>OBJETO:</t>
  </si>
  <si>
    <t>Adquisición de Repuestos de Automotor destinados a División Transporte (D-4)- Policia de Catamarca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</si>
  <si>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</si>
  <si>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</si>
  <si>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</si>
  <si>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</si>
  <si>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</si>
  <si>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</si>
  <si>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</si>
  <si>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</si>
  <si>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 ONCE MILLONES SETECIENTOS CUARENTA Y SEIS MIL QUINIENTOS CUARENTA Y DOS CON 40/100.-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</si>
  <si>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</si>
  <si>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</si>
  <si>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</si>
  <si>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</si>
  <si>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</si>
  <si>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</si>
  <si>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</si>
  <si>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</si>
  <si>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</si>
  <si>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</si>
  <si>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</si>
  <si>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</si>
  <si>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</si>
  <si>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</si>
  <si>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</si>
  <si>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</si>
  <si>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</si>
  <si>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</si>
  <si>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</si>
  <si>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</si>
  <si>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</si>
  <si>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</si>
  <si>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REPUESTOS Y ACCESORIOS</t>
  </si>
  <si>
    <t>TOTAL DE PESOS: ONCE MILLONES SETECIENTOS CUARENTA Y SEIS MIL QUINIENTOS CUARENTA Y DOS CON 40/100.-</t>
  </si>
  <si>
    <t>JUSTIFICACIÓN:</t>
  </si>
  <si>
    <t>REP. Y ACC. P/GENERADORES; ELEMENTO: BATERIA, MODELO EQUIPO: MS3,9, MARCA EQUIPO: GRAMACO</t>
  </si>
  <si>
    <t>REP Y ACC P/EQ DE COMUNICACION; MARCA EQUIPO: VERTEX, ELEMENTO: BATERIA, MODELO EQUIPO: VX 2100/2200</t>
  </si>
  <si>
    <t xml:space="preserve">MARCA BENELLI MODELO: TRK 502 CC  AÑO: 2021  ELEMENTO: BATERIA GEL MOTOBATT 12V 9 AMP  </t>
  </si>
  <si>
    <t xml:space="preserve">GENERADOR GAMACO, MOTOR: INTER  MODELO:MS3,9  ELEMENTO: BATERIAS 12V.  160 AMP </t>
  </si>
</sst>
</file>

<file path=xl/styles.xml><?xml version="1.0" encoding="utf-8"?>
<styleSheet xmlns="http://schemas.openxmlformats.org/spreadsheetml/2006/main">
  <numFmts count="7">
    <numFmt numFmtId="8" formatCode="&quot;$&quot;\ #,##0.00;[Red]&quot;$&quot;\ \-#,##0.00"/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11" fillId="3" borderId="1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44" fontId="12" fillId="3" borderId="38" xfId="0" applyNumberFormat="1" applyFont="1" applyFill="1" applyBorder="1" applyAlignment="1">
      <alignment horizontal="center" vertical="center" wrapText="1"/>
    </xf>
    <xf numFmtId="3" fontId="12" fillId="3" borderId="38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166" fontId="12" fillId="3" borderId="42" xfId="0" applyNumberFormat="1" applyFont="1" applyFill="1" applyBorder="1"/>
    <xf numFmtId="166" fontId="12" fillId="3" borderId="0" xfId="0" applyNumberFormat="1" applyFont="1" applyFill="1" applyBorder="1"/>
    <xf numFmtId="0" fontId="7" fillId="3" borderId="0" xfId="0" applyFont="1" applyFill="1" applyBorder="1"/>
    <xf numFmtId="0" fontId="1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3" fontId="18" fillId="3" borderId="0" xfId="0" applyNumberFormat="1" applyFont="1" applyFill="1" applyBorder="1" applyAlignment="1"/>
    <xf numFmtId="168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0" xfId="0" applyFont="1" applyFill="1" applyBorder="1"/>
    <xf numFmtId="0" fontId="7" fillId="3" borderId="24" xfId="0" applyFont="1" applyFill="1" applyBorder="1"/>
    <xf numFmtId="0" fontId="7" fillId="3" borderId="12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25" xfId="0" applyFont="1" applyFill="1" applyBorder="1"/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166" fontId="7" fillId="3" borderId="33" xfId="3" applyNumberFormat="1" applyFont="1" applyFill="1" applyBorder="1" applyAlignment="1" applyProtection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/>
    <xf numFmtId="0" fontId="7" fillId="4" borderId="6" xfId="0" applyFont="1" applyFill="1" applyBorder="1"/>
    <xf numFmtId="0" fontId="1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16" fillId="4" borderId="0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left" vertical="center"/>
    </xf>
    <xf numFmtId="0" fontId="7" fillId="4" borderId="8" xfId="0" applyFont="1" applyFill="1" applyBorder="1"/>
    <xf numFmtId="0" fontId="7" fillId="4" borderId="9" xfId="0" applyFont="1" applyFill="1" applyBorder="1"/>
    <xf numFmtId="0" fontId="9" fillId="3" borderId="11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left" vertical="center" wrapText="1"/>
    </xf>
    <xf numFmtId="0" fontId="7" fillId="5" borderId="38" xfId="0" applyFont="1" applyFill="1" applyBorder="1" applyAlignment="1">
      <alignment horizontal="left" vertical="center" wrapText="1"/>
    </xf>
    <xf numFmtId="0" fontId="7" fillId="5" borderId="38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vertical="top" wrapText="1"/>
    </xf>
    <xf numFmtId="0" fontId="8" fillId="5" borderId="38" xfId="0" applyFont="1" applyFill="1" applyBorder="1" applyAlignment="1">
      <alignment horizontal="center" vertical="center" wrapText="1"/>
    </xf>
    <xf numFmtId="3" fontId="7" fillId="5" borderId="38" xfId="0" applyNumberFormat="1" applyFont="1" applyFill="1" applyBorder="1" applyAlignment="1">
      <alignment horizontal="center" vertical="center"/>
    </xf>
    <xf numFmtId="44" fontId="7" fillId="5" borderId="38" xfId="1" applyNumberFormat="1" applyFont="1" applyFill="1" applyBorder="1" applyAlignment="1">
      <alignment horizontal="center" vertical="center"/>
    </xf>
    <xf numFmtId="166" fontId="7" fillId="5" borderId="38" xfId="1" applyNumberFormat="1" applyFont="1" applyFill="1" applyBorder="1" applyAlignment="1" applyProtection="1">
      <alignment horizontal="right" vertical="center" wrapText="1"/>
    </xf>
    <xf numFmtId="0" fontId="7" fillId="5" borderId="0" xfId="0" applyFont="1" applyFill="1"/>
    <xf numFmtId="0" fontId="6" fillId="5" borderId="40" xfId="0" applyFont="1" applyFill="1" applyBorder="1" applyAlignment="1">
      <alignment horizontal="center" vertical="center" wrapText="1"/>
    </xf>
    <xf numFmtId="166" fontId="7" fillId="5" borderId="39" xfId="1" applyNumberFormat="1" applyFont="1" applyFill="1" applyBorder="1" applyAlignment="1" applyProtection="1">
      <alignment horizontal="right" vertical="center" wrapText="1"/>
    </xf>
    <xf numFmtId="0" fontId="7" fillId="5" borderId="41" xfId="0" applyFont="1" applyFill="1" applyBorder="1" applyAlignment="1">
      <alignment horizontal="left" vertical="center" wrapText="1"/>
    </xf>
    <xf numFmtId="0" fontId="7" fillId="5" borderId="41" xfId="0" applyFont="1" applyFill="1" applyBorder="1" applyAlignment="1">
      <alignment horizontal="center" vertical="center"/>
    </xf>
    <xf numFmtId="49" fontId="4" fillId="5" borderId="41" xfId="0" applyNumberFormat="1" applyFont="1" applyFill="1" applyBorder="1" applyAlignment="1">
      <alignment vertical="top" wrapText="1"/>
    </xf>
    <xf numFmtId="0" fontId="8" fillId="5" borderId="41" xfId="0" applyFont="1" applyFill="1" applyBorder="1" applyAlignment="1">
      <alignment horizontal="center" vertical="center" wrapText="1"/>
    </xf>
    <xf numFmtId="8" fontId="7" fillId="5" borderId="41" xfId="1" applyNumberFormat="1" applyFont="1" applyFill="1" applyBorder="1" applyAlignment="1">
      <alignment horizontal="right" vertical="center"/>
    </xf>
    <xf numFmtId="0" fontId="20" fillId="5" borderId="47" xfId="0" applyFont="1" applyFill="1" applyBorder="1" applyAlignment="1">
      <alignment horizontal="left" vertical="center"/>
    </xf>
    <xf numFmtId="49" fontId="4" fillId="5" borderId="41" xfId="0" applyNumberFormat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wrapText="1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 indent="1"/>
    </xf>
    <xf numFmtId="0" fontId="15" fillId="3" borderId="0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167" fontId="12" fillId="3" borderId="14" xfId="0" applyNumberFormat="1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0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18" fillId="3" borderId="17" xfId="0" applyFont="1" applyFill="1" applyBorder="1" applyAlignment="1">
      <alignment vertical="center" wrapText="1"/>
    </xf>
    <xf numFmtId="0" fontId="17" fillId="3" borderId="26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horizontal="left" vertical="center" wrapText="1" indent="1"/>
    </xf>
    <xf numFmtId="0" fontId="18" fillId="3" borderId="34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/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12" fillId="3" borderId="2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7" fillId="3" borderId="19" xfId="0" applyFont="1" applyFill="1" applyBorder="1" applyAlignment="1">
      <alignment horizontal="center"/>
    </xf>
    <xf numFmtId="3" fontId="18" fillId="3" borderId="2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7"/>
  <sheetViews>
    <sheetView tabSelected="1" topLeftCell="A11" zoomScale="85" zoomScaleNormal="85" workbookViewId="0">
      <selection activeCell="E23" sqref="E23"/>
    </sheetView>
  </sheetViews>
  <sheetFormatPr baseColWidth="10" defaultColWidth="11" defaultRowHeight="13.5"/>
  <cols>
    <col min="1" max="1" width="4.5703125" style="3" customWidth="1"/>
    <col min="2" max="2" width="14.7109375" style="19" customWidth="1"/>
    <col min="3" max="3" width="19.42578125" style="19" customWidth="1"/>
    <col min="4" max="4" width="8.42578125" style="3" customWidth="1"/>
    <col min="5" max="5" width="76.28515625" style="3" customWidth="1"/>
    <col min="6" max="6" width="11" style="3"/>
    <col min="7" max="7" width="10.7109375" style="3" customWidth="1"/>
    <col min="8" max="8" width="13.85546875" style="3" customWidth="1"/>
    <col min="9" max="9" width="18.5703125" style="3" customWidth="1"/>
    <col min="10" max="10" width="11" style="3"/>
    <col min="11" max="11" width="11.7109375" style="3" bestFit="1" customWidth="1"/>
    <col min="12" max="16384" width="11" style="3"/>
  </cols>
  <sheetData>
    <row r="2" spans="1:9" ht="28.5">
      <c r="B2" s="87" t="s">
        <v>0</v>
      </c>
      <c r="C2" s="87"/>
      <c r="D2" s="87"/>
      <c r="E2" s="87"/>
      <c r="F2" s="87"/>
      <c r="G2" s="87"/>
      <c r="H2" s="87"/>
    </row>
    <row r="4" spans="1:9" ht="18" customHeight="1">
      <c r="A4" s="88" t="s">
        <v>1</v>
      </c>
      <c r="B4" s="88"/>
      <c r="C4" s="89" t="s">
        <v>2</v>
      </c>
      <c r="D4" s="89"/>
      <c r="E4" s="89"/>
      <c r="F4" s="12"/>
      <c r="G4" s="13"/>
      <c r="H4" s="12"/>
    </row>
    <row r="5" spans="1:9" ht="27" customHeight="1">
      <c r="A5" s="88" t="s">
        <v>3</v>
      </c>
      <c r="B5" s="88"/>
      <c r="C5" s="90" t="s">
        <v>4</v>
      </c>
      <c r="D5" s="90"/>
      <c r="E5" s="90"/>
      <c r="F5" s="90"/>
      <c r="G5" s="90"/>
      <c r="H5" s="90"/>
      <c r="I5" s="90"/>
    </row>
    <row r="6" spans="1:9" ht="16.5" customHeight="1">
      <c r="A6" s="88" t="s">
        <v>5</v>
      </c>
      <c r="B6" s="88"/>
      <c r="C6" s="17">
        <v>2022</v>
      </c>
      <c r="D6" s="20"/>
      <c r="E6" s="20"/>
      <c r="F6" s="12"/>
      <c r="G6" s="13"/>
      <c r="H6" s="12"/>
    </row>
    <row r="7" spans="1:9" ht="16.5" customHeight="1">
      <c r="A7" s="88" t="s">
        <v>6</v>
      </c>
      <c r="B7" s="88"/>
      <c r="C7" s="17">
        <v>1</v>
      </c>
      <c r="D7" s="20"/>
      <c r="E7" s="20"/>
      <c r="F7" s="12"/>
      <c r="G7" s="13"/>
      <c r="H7" s="12"/>
    </row>
    <row r="8" spans="1:9" ht="14.25" thickBot="1">
      <c r="B8" s="18"/>
      <c r="C8" s="18"/>
      <c r="D8" s="12"/>
      <c r="E8" s="12"/>
      <c r="F8" s="12"/>
      <c r="G8" s="13"/>
      <c r="H8" s="12"/>
    </row>
    <row r="9" spans="1:9" ht="39" thickBot="1">
      <c r="A9" s="61" t="s">
        <v>7</v>
      </c>
      <c r="B9" s="62" t="s">
        <v>8</v>
      </c>
      <c r="C9" s="62" t="s">
        <v>9</v>
      </c>
      <c r="D9" s="63" t="s">
        <v>10</v>
      </c>
      <c r="E9" s="63" t="s">
        <v>11</v>
      </c>
      <c r="F9" s="63" t="s">
        <v>12</v>
      </c>
      <c r="G9" s="63" t="s">
        <v>13</v>
      </c>
      <c r="H9" s="63" t="s">
        <v>14</v>
      </c>
      <c r="I9" s="64" t="s">
        <v>15</v>
      </c>
    </row>
    <row r="10" spans="1:9" s="75" customFormat="1" ht="28.5" customHeight="1" thickBot="1">
      <c r="A10" s="66">
        <v>1</v>
      </c>
      <c r="B10" s="67" t="s">
        <v>16</v>
      </c>
      <c r="C10" s="68" t="s">
        <v>17</v>
      </c>
      <c r="D10" s="69" t="s">
        <v>18</v>
      </c>
      <c r="E10" s="70" t="s">
        <v>87</v>
      </c>
      <c r="F10" s="71" t="s">
        <v>19</v>
      </c>
      <c r="G10" s="72">
        <v>4</v>
      </c>
      <c r="H10" s="73">
        <v>40000</v>
      </c>
      <c r="I10" s="74">
        <f t="shared" ref="I10:I13" si="0">G10*H10</f>
        <v>160000</v>
      </c>
    </row>
    <row r="11" spans="1:9" s="75" customFormat="1" ht="28.5" customHeight="1" thickBot="1">
      <c r="A11" s="76">
        <v>2</v>
      </c>
      <c r="B11" s="83" t="s">
        <v>20</v>
      </c>
      <c r="C11" s="68" t="s">
        <v>17</v>
      </c>
      <c r="D11" s="69" t="s">
        <v>18</v>
      </c>
      <c r="E11" s="70" t="s">
        <v>88</v>
      </c>
      <c r="F11" s="71" t="s">
        <v>19</v>
      </c>
      <c r="G11" s="72">
        <v>20</v>
      </c>
      <c r="H11" s="73">
        <v>43000</v>
      </c>
      <c r="I11" s="77">
        <f t="shared" si="0"/>
        <v>860000</v>
      </c>
    </row>
    <row r="12" spans="1:9" s="75" customFormat="1" ht="28.5" customHeight="1" thickBot="1">
      <c r="A12" s="76">
        <v>3</v>
      </c>
      <c r="B12" s="67" t="s">
        <v>21</v>
      </c>
      <c r="C12" s="68" t="s">
        <v>17</v>
      </c>
      <c r="D12" s="69" t="s">
        <v>18</v>
      </c>
      <c r="E12" s="70" t="s">
        <v>22</v>
      </c>
      <c r="F12" s="71" t="s">
        <v>19</v>
      </c>
      <c r="G12" s="72">
        <v>5</v>
      </c>
      <c r="H12" s="73">
        <v>12000</v>
      </c>
      <c r="I12" s="77">
        <f t="shared" si="0"/>
        <v>60000</v>
      </c>
    </row>
    <row r="13" spans="1:9" s="75" customFormat="1" ht="28.5" customHeight="1" thickBot="1">
      <c r="A13" s="76">
        <v>4</v>
      </c>
      <c r="B13" s="84" t="s">
        <v>23</v>
      </c>
      <c r="C13" s="78" t="s">
        <v>17</v>
      </c>
      <c r="D13" s="79" t="s">
        <v>18</v>
      </c>
      <c r="E13" s="80" t="s">
        <v>24</v>
      </c>
      <c r="F13" s="81" t="s">
        <v>19</v>
      </c>
      <c r="G13" s="79">
        <v>5</v>
      </c>
      <c r="H13" s="82">
        <v>7850</v>
      </c>
      <c r="I13" s="77">
        <f t="shared" si="0"/>
        <v>39250</v>
      </c>
    </row>
    <row r="14" spans="1:9" ht="21" customHeight="1" thickBot="1">
      <c r="I14" s="14">
        <f>SUM(I10:I13)</f>
        <v>1119250</v>
      </c>
    </row>
    <row r="15" spans="1:9" ht="6" customHeight="1" thickBot="1">
      <c r="I15" s="15"/>
    </row>
    <row r="16" spans="1:9">
      <c r="B16" s="39" t="s">
        <v>25</v>
      </c>
      <c r="C16" s="40"/>
      <c r="D16" s="41"/>
      <c r="E16" s="41"/>
      <c r="F16" s="41"/>
      <c r="G16" s="41"/>
      <c r="H16" s="41"/>
      <c r="I16" s="42"/>
    </row>
    <row r="17" spans="2:9">
      <c r="B17" s="51" t="s">
        <v>26</v>
      </c>
      <c r="C17" s="44"/>
      <c r="D17" s="45"/>
      <c r="E17" s="45"/>
      <c r="F17" s="45"/>
      <c r="G17" s="45"/>
      <c r="H17" s="45"/>
      <c r="I17" s="46"/>
    </row>
    <row r="18" spans="2:9">
      <c r="B18" s="51"/>
      <c r="C18" s="47" t="s">
        <v>27</v>
      </c>
      <c r="D18" s="48" t="s">
        <v>90</v>
      </c>
      <c r="E18" s="49"/>
      <c r="F18" s="45"/>
      <c r="G18" s="45"/>
      <c r="H18" s="45"/>
      <c r="I18" s="46"/>
    </row>
    <row r="19" spans="2:9">
      <c r="B19" s="51"/>
      <c r="C19" s="47"/>
      <c r="D19" s="48"/>
      <c r="E19" s="49"/>
      <c r="F19" s="45"/>
      <c r="G19" s="45"/>
      <c r="H19" s="45"/>
      <c r="I19" s="46"/>
    </row>
    <row r="20" spans="2:9">
      <c r="B20" s="51" t="s">
        <v>28</v>
      </c>
      <c r="C20" s="44"/>
      <c r="D20" s="45"/>
      <c r="E20" s="45"/>
      <c r="F20" s="45"/>
      <c r="G20" s="45"/>
      <c r="H20" s="45"/>
      <c r="I20" s="46"/>
    </row>
    <row r="21" spans="2:9">
      <c r="B21" s="51"/>
      <c r="C21" s="47" t="s">
        <v>27</v>
      </c>
      <c r="D21" s="48" t="s">
        <v>29</v>
      </c>
      <c r="E21" s="49"/>
      <c r="F21" s="45"/>
      <c r="G21" s="45"/>
      <c r="H21" s="45"/>
      <c r="I21" s="46"/>
    </row>
    <row r="22" spans="2:9">
      <c r="B22" s="51"/>
      <c r="C22" s="47"/>
      <c r="D22" s="48"/>
      <c r="E22" s="49"/>
      <c r="F22" s="45"/>
      <c r="G22" s="45"/>
      <c r="H22" s="45"/>
      <c r="I22" s="46"/>
    </row>
    <row r="23" spans="2:9">
      <c r="B23" s="51"/>
      <c r="C23" s="47"/>
      <c r="D23" s="48"/>
      <c r="E23" s="49"/>
      <c r="F23" s="45"/>
      <c r="G23" s="45"/>
      <c r="H23" s="45"/>
      <c r="I23" s="46"/>
    </row>
    <row r="24" spans="2:9">
      <c r="B24" s="51" t="s">
        <v>30</v>
      </c>
      <c r="C24" s="44"/>
      <c r="D24" s="45"/>
      <c r="E24" s="45"/>
      <c r="F24" s="45"/>
      <c r="G24" s="45"/>
      <c r="H24" s="45"/>
      <c r="I24" s="46"/>
    </row>
    <row r="25" spans="2:9">
      <c r="B25" s="51"/>
      <c r="C25" s="47" t="s">
        <v>27</v>
      </c>
      <c r="D25" s="48" t="s">
        <v>31</v>
      </c>
      <c r="E25" s="49"/>
      <c r="F25" s="45"/>
      <c r="G25" s="45"/>
      <c r="H25" s="45"/>
      <c r="I25" s="46"/>
    </row>
    <row r="26" spans="2:9">
      <c r="B26" s="52"/>
      <c r="C26" s="47"/>
      <c r="D26" s="48"/>
      <c r="E26" s="49"/>
      <c r="F26" s="45"/>
      <c r="G26" s="45"/>
      <c r="H26" s="45"/>
      <c r="I26" s="46"/>
    </row>
    <row r="27" spans="2:9">
      <c r="B27" s="51" t="s">
        <v>32</v>
      </c>
      <c r="C27" s="44"/>
      <c r="D27" s="45"/>
      <c r="E27" s="45"/>
      <c r="F27" s="45"/>
      <c r="G27" s="45"/>
      <c r="H27" s="45"/>
      <c r="I27" s="46"/>
    </row>
    <row r="28" spans="2:9">
      <c r="B28" s="51"/>
      <c r="C28" s="47" t="s">
        <v>27</v>
      </c>
      <c r="D28" s="50" t="s">
        <v>89</v>
      </c>
      <c r="E28" s="49"/>
      <c r="F28" s="45"/>
      <c r="G28" s="45"/>
      <c r="H28" s="45"/>
      <c r="I28" s="46"/>
    </row>
    <row r="29" spans="2:9">
      <c r="B29" s="51"/>
      <c r="C29" s="47"/>
      <c r="D29" s="48"/>
      <c r="E29" s="49"/>
      <c r="F29" s="45"/>
      <c r="G29" s="45"/>
      <c r="H29" s="45"/>
      <c r="I29" s="46"/>
    </row>
    <row r="30" spans="2:9">
      <c r="B30" s="53" t="s">
        <v>33</v>
      </c>
      <c r="C30" s="44"/>
      <c r="D30" s="45"/>
      <c r="E30" s="54"/>
      <c r="F30" s="45"/>
      <c r="G30" s="45"/>
      <c r="H30" s="45"/>
      <c r="I30" s="46"/>
    </row>
    <row r="31" spans="2:9" ht="119.25" customHeight="1">
      <c r="B31" s="43"/>
      <c r="C31" s="85" t="s">
        <v>34</v>
      </c>
      <c r="D31" s="85"/>
      <c r="E31" s="85"/>
      <c r="F31" s="85"/>
      <c r="G31" s="85"/>
      <c r="H31" s="85"/>
      <c r="I31" s="91"/>
    </row>
    <row r="32" spans="2:9">
      <c r="B32" s="53" t="s">
        <v>35</v>
      </c>
      <c r="C32" s="44"/>
      <c r="D32" s="45"/>
      <c r="E32" s="54"/>
      <c r="F32" s="45"/>
      <c r="G32" s="45"/>
      <c r="H32" s="45"/>
      <c r="I32" s="46"/>
    </row>
    <row r="33" spans="2:9" ht="19.5" customHeight="1">
      <c r="B33" s="43"/>
      <c r="C33" s="85" t="s">
        <v>36</v>
      </c>
      <c r="D33" s="85"/>
      <c r="E33" s="85"/>
      <c r="F33" s="45"/>
      <c r="G33" s="45"/>
      <c r="H33" s="45"/>
      <c r="I33" s="46"/>
    </row>
    <row r="34" spans="2:9">
      <c r="B34" s="53" t="s">
        <v>37</v>
      </c>
      <c r="C34" s="65"/>
      <c r="D34" s="55"/>
      <c r="E34" s="55"/>
      <c r="F34" s="45"/>
      <c r="G34" s="45"/>
      <c r="H34" s="45"/>
      <c r="I34" s="46"/>
    </row>
    <row r="35" spans="2:9">
      <c r="B35" s="43"/>
      <c r="C35" s="86" t="s">
        <v>38</v>
      </c>
      <c r="D35" s="86"/>
      <c r="E35" s="86"/>
      <c r="F35" s="45"/>
      <c r="G35" s="45"/>
      <c r="H35" s="45"/>
      <c r="I35" s="46"/>
    </row>
    <row r="36" spans="2:9">
      <c r="B36" s="53" t="s">
        <v>39</v>
      </c>
      <c r="C36" s="44"/>
      <c r="D36" s="45"/>
      <c r="E36" s="45"/>
      <c r="F36" s="45"/>
      <c r="G36" s="45"/>
      <c r="H36" s="45"/>
      <c r="I36" s="46"/>
    </row>
    <row r="37" spans="2:9" ht="14.25" thickBot="1">
      <c r="B37" s="56"/>
      <c r="C37" s="57" t="s">
        <v>40</v>
      </c>
      <c r="D37" s="58"/>
      <c r="E37" s="58"/>
      <c r="F37" s="58"/>
      <c r="G37" s="58"/>
      <c r="H37" s="58"/>
      <c r="I37" s="59"/>
    </row>
  </sheetData>
  <mergeCells count="10">
    <mergeCell ref="C33:E33"/>
    <mergeCell ref="C35:E35"/>
    <mergeCell ref="B2:H2"/>
    <mergeCell ref="A4:B4"/>
    <mergeCell ref="C4:E4"/>
    <mergeCell ref="A5:B5"/>
    <mergeCell ref="C5:I5"/>
    <mergeCell ref="A6:B6"/>
    <mergeCell ref="A7:B7"/>
    <mergeCell ref="C31:I31"/>
  </mergeCells>
  <pageMargins left="0.70866141732283472" right="0.23622047244094491" top="0.51181102362204722" bottom="0.31496062992125984" header="0.51181102362204722" footer="0.51181102362204722"/>
  <pageSetup paperSize="190" scale="92" firstPageNumber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8"/>
  <sheetViews>
    <sheetView zoomScale="85" zoomScaleNormal="85" workbookViewId="0">
      <selection activeCell="D22" sqref="D22"/>
    </sheetView>
  </sheetViews>
  <sheetFormatPr baseColWidth="10" defaultColWidth="9.140625" defaultRowHeight="13.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  <col min="1025" max="16384" width="9.140625" style="3"/>
  </cols>
  <sheetData>
    <row r="1" spans="1:11" ht="26.25" customHeight="1">
      <c r="A1" s="100" t="s">
        <v>41</v>
      </c>
      <c r="B1" s="100"/>
      <c r="C1" s="100"/>
      <c r="D1" s="100"/>
      <c r="E1" s="100"/>
      <c r="F1" s="100"/>
      <c r="G1" s="100"/>
      <c r="H1" s="100"/>
      <c r="I1" s="100"/>
      <c r="J1" s="1" t="s">
        <v>42</v>
      </c>
      <c r="K1" s="60" t="s">
        <v>43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01" t="s">
        <v>44</v>
      </c>
      <c r="B3" s="101"/>
      <c r="C3" s="101"/>
      <c r="D3" s="102" t="str">
        <f>'Necesidades Trimestrales'!C4</f>
        <v>90 - Ministerio de Seguridad</v>
      </c>
      <c r="E3" s="102"/>
      <c r="F3" s="102"/>
      <c r="G3" s="102"/>
      <c r="H3" s="102"/>
      <c r="I3" s="102"/>
      <c r="J3" s="102"/>
      <c r="K3" s="102"/>
    </row>
    <row r="4" spans="1:11" ht="18.75" customHeight="1" thickBot="1">
      <c r="A4" s="103" t="s">
        <v>45</v>
      </c>
      <c r="B4" s="103"/>
      <c r="C4" s="103"/>
      <c r="D4" s="102" t="str">
        <f>'Necesidades Trimestrales'!C5</f>
        <v>7- Dirección Provincial de Administración de la Policía de la Provincia de Catamarca</v>
      </c>
      <c r="E4" s="102"/>
      <c r="F4" s="102"/>
      <c r="G4" s="102"/>
      <c r="H4" s="102"/>
      <c r="I4" s="102"/>
      <c r="J4" s="102"/>
      <c r="K4" s="102"/>
    </row>
    <row r="5" spans="1:11" ht="18.75" customHeight="1" thickBot="1">
      <c r="A5" s="103" t="s">
        <v>46</v>
      </c>
      <c r="B5" s="103"/>
      <c r="C5" s="103"/>
      <c r="D5" s="102" t="s">
        <v>47</v>
      </c>
      <c r="E5" s="102"/>
      <c r="F5" s="102"/>
      <c r="G5" s="102"/>
      <c r="H5" s="102"/>
      <c r="I5" s="102"/>
      <c r="J5" s="102"/>
      <c r="K5" s="102"/>
    </row>
    <row r="6" spans="1:11" ht="16.5" customHeight="1" thickBot="1">
      <c r="A6" s="101" t="s">
        <v>48</v>
      </c>
      <c r="B6" s="101"/>
      <c r="C6" s="101"/>
      <c r="D6" s="102" t="s">
        <v>49</v>
      </c>
      <c r="E6" s="102"/>
      <c r="F6" s="102"/>
      <c r="G6" s="102"/>
      <c r="H6" s="102"/>
      <c r="I6" s="102"/>
      <c r="J6" s="102"/>
      <c r="K6" s="102"/>
    </row>
    <row r="7" spans="1:11" ht="16.5" customHeight="1">
      <c r="A7" s="103" t="s">
        <v>50</v>
      </c>
      <c r="B7" s="103"/>
      <c r="C7" s="103"/>
      <c r="D7" s="102" t="str">
        <f>'Necesidades Trimestrales'!C7 &amp; "° Trimestre - Año " &amp; 'Necesidades Trimestrales'!C6</f>
        <v>1° Trimestre - Año 2022</v>
      </c>
      <c r="E7" s="102"/>
      <c r="F7" s="102"/>
      <c r="G7" s="102"/>
      <c r="H7" s="102"/>
      <c r="I7" s="102"/>
      <c r="J7" s="102"/>
      <c r="K7" s="102"/>
    </row>
    <row r="8" spans="1:11" ht="16.5" customHeight="1">
      <c r="A8" s="95" t="s">
        <v>51</v>
      </c>
      <c r="B8" s="95"/>
      <c r="C8" s="95"/>
      <c r="D8" s="96" t="s">
        <v>52</v>
      </c>
      <c r="E8" s="96"/>
      <c r="F8" s="96"/>
      <c r="G8" s="96"/>
      <c r="H8" s="96"/>
      <c r="I8" s="96"/>
      <c r="J8" s="96"/>
      <c r="K8" s="96"/>
    </row>
    <row r="9" spans="1:11" ht="14.25" thickBot="1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>
      <c r="A10" s="97" t="s">
        <v>53</v>
      </c>
      <c r="B10" s="98" t="s">
        <v>54</v>
      </c>
      <c r="C10" s="98" t="s">
        <v>55</v>
      </c>
      <c r="D10" s="98"/>
      <c r="E10" s="98"/>
      <c r="F10" s="98"/>
      <c r="G10" s="98"/>
      <c r="H10" s="98" t="s">
        <v>56</v>
      </c>
      <c r="I10" s="98" t="s">
        <v>57</v>
      </c>
      <c r="J10" s="98" t="s">
        <v>58</v>
      </c>
      <c r="K10" s="99" t="s">
        <v>59</v>
      </c>
    </row>
    <row r="11" spans="1:11" ht="24" customHeight="1" thickBot="1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1" ht="29.25" customHeight="1">
      <c r="A12" s="8">
        <v>1</v>
      </c>
      <c r="B12" s="9" t="str">
        <f>'Necesidades Trimestrales'!B10</f>
        <v xml:space="preserve">2.9.6-3986.560 </v>
      </c>
      <c r="C12" s="93" t="str">
        <f>'Necesidades Trimestrales'!E10</f>
        <v>REP. Y ACC. P/GENERADORES; ELEMENTO: BATERIA, MODELO EQUIPO: MS3,9, MARCA EQUIPO: GRAMACO</v>
      </c>
      <c r="D12" s="93"/>
      <c r="E12" s="93"/>
      <c r="F12" s="93"/>
      <c r="G12" s="93"/>
      <c r="H12" s="9" t="s">
        <v>60</v>
      </c>
      <c r="I12" s="9" t="str">
        <f>'Necesidades Trimestrales'!F10</f>
        <v>UNIDAD</v>
      </c>
      <c r="J12" s="10">
        <f>'Necesidades Trimestrales'!H10</f>
        <v>40000</v>
      </c>
      <c r="K12" s="11">
        <f>'Necesidades Trimestrales'!G10</f>
        <v>4</v>
      </c>
    </row>
    <row r="13" spans="1:11" ht="29.25" customHeight="1">
      <c r="A13" s="8">
        <v>2</v>
      </c>
      <c r="B13" s="9" t="str">
        <f>'Necesidades Trimestrales'!B11</f>
        <v>2.9.6-1642.999</v>
      </c>
      <c r="C13" s="93" t="str">
        <f>'Necesidades Trimestrales'!E11</f>
        <v>REP Y ACC P/EQ DE COMUNICACION; MARCA EQUIPO: VERTEX, ELEMENTO: BATERIA, MODELO EQUIPO: VX 2100/2200</v>
      </c>
      <c r="D13" s="93"/>
      <c r="E13" s="93"/>
      <c r="F13" s="93"/>
      <c r="G13" s="93"/>
      <c r="H13" s="9" t="s">
        <v>60</v>
      </c>
      <c r="I13" s="9" t="str">
        <f>'Necesidades Trimestrales'!F11</f>
        <v>UNIDAD</v>
      </c>
      <c r="J13" s="10">
        <f>'Necesidades Trimestrales'!H11</f>
        <v>43000</v>
      </c>
      <c r="K13" s="11">
        <f>'Necesidades Trimestrales'!G11</f>
        <v>20</v>
      </c>
    </row>
    <row r="14" spans="1:11" ht="29.25" customHeight="1">
      <c r="A14" s="8">
        <v>3</v>
      </c>
      <c r="B14" s="9" t="e">
        <f>'Necesidades Trimestrales'!#REF!</f>
        <v>#REF!</v>
      </c>
      <c r="C14" s="93" t="e">
        <f>'Necesidades Trimestrales'!#REF!</f>
        <v>#REF!</v>
      </c>
      <c r="D14" s="93"/>
      <c r="E14" s="93"/>
      <c r="F14" s="93"/>
      <c r="G14" s="93"/>
      <c r="H14" s="9" t="s">
        <v>60</v>
      </c>
      <c r="I14" s="9" t="e">
        <f>'Necesidades Trimestrales'!#REF!</f>
        <v>#REF!</v>
      </c>
      <c r="J14" s="10" t="e">
        <f>'Necesidades Trimestrales'!#REF!</f>
        <v>#REF!</v>
      </c>
      <c r="K14" s="11" t="e">
        <f>'Necesidades Trimestrales'!#REF!</f>
        <v>#REF!</v>
      </c>
    </row>
    <row r="15" spans="1:11" ht="29.25" customHeight="1">
      <c r="A15" s="8">
        <v>4</v>
      </c>
      <c r="B15" s="9" t="e">
        <f>'Necesidades Trimestrales'!#REF!</f>
        <v>#REF!</v>
      </c>
      <c r="C15" s="93" t="e">
        <f>'Necesidades Trimestrales'!#REF!</f>
        <v>#REF!</v>
      </c>
      <c r="D15" s="93"/>
      <c r="E15" s="93"/>
      <c r="F15" s="93"/>
      <c r="G15" s="93"/>
      <c r="H15" s="9" t="s">
        <v>60</v>
      </c>
      <c r="I15" s="9" t="e">
        <f>'Necesidades Trimestrales'!#REF!</f>
        <v>#REF!</v>
      </c>
      <c r="J15" s="10" t="e">
        <f>'Necesidades Trimestrales'!#REF!</f>
        <v>#REF!</v>
      </c>
      <c r="K15" s="11" t="e">
        <f>'Necesidades Trimestrales'!#REF!</f>
        <v>#REF!</v>
      </c>
    </row>
    <row r="16" spans="1:11" ht="29.25" customHeight="1">
      <c r="A16" s="8">
        <v>5</v>
      </c>
      <c r="B16" s="9" t="str">
        <f>'Necesidades Trimestrales'!B12</f>
        <v xml:space="preserve">2.9.6-3997.633 </v>
      </c>
      <c r="C16" s="93" t="str">
        <f>'Necesidades Trimestrales'!E12</f>
        <v>REP. Y ACC. P/MOTOS; REPUESTO: BATERIA, USO: HONDA, MODELO MOTO:TRANSALP 600</v>
      </c>
      <c r="D16" s="93"/>
      <c r="E16" s="93"/>
      <c r="F16" s="93"/>
      <c r="G16" s="93"/>
      <c r="H16" s="9" t="s">
        <v>60</v>
      </c>
      <c r="I16" s="9" t="str">
        <f>'Necesidades Trimestrales'!F12</f>
        <v>UNIDAD</v>
      </c>
      <c r="J16" s="10">
        <f>'Necesidades Trimestrales'!H12</f>
        <v>12000</v>
      </c>
      <c r="K16" s="11">
        <f>'Necesidades Trimestrales'!G12</f>
        <v>5</v>
      </c>
    </row>
    <row r="17" spans="1:11" ht="29.25" customHeight="1" thickBot="1">
      <c r="A17" s="8">
        <v>6</v>
      </c>
      <c r="B17" s="9" t="str">
        <f>'Necesidades Trimestrales'!B13</f>
        <v xml:space="preserve">2.9.6-3997.634 </v>
      </c>
      <c r="C17" s="93" t="str">
        <f>'Necesidades Trimestrales'!E13</f>
        <v>REP. Y ACC. P/MOTOS; REPUESTO: BATERIA, USO: BENELLI, MODELO MOTO: TRK 502 CC</v>
      </c>
      <c r="D17" s="93"/>
      <c r="E17" s="93"/>
      <c r="F17" s="93"/>
      <c r="G17" s="93"/>
      <c r="H17" s="9" t="s">
        <v>60</v>
      </c>
      <c r="I17" s="9" t="str">
        <f>'Necesidades Trimestrales'!F13</f>
        <v>UNIDAD</v>
      </c>
      <c r="J17" s="10">
        <f>'Necesidades Trimestrales'!H13</f>
        <v>7850</v>
      </c>
      <c r="K17" s="11">
        <f>'Necesidades Trimestrales'!G13</f>
        <v>5</v>
      </c>
    </row>
    <row r="18" spans="1:11" ht="20.25" customHeight="1" thickBot="1">
      <c r="A18" s="94" t="s">
        <v>61</v>
      </c>
      <c r="B18" s="94"/>
      <c r="C18" s="94"/>
      <c r="D18" s="94"/>
      <c r="E18" s="94"/>
      <c r="F18" s="94"/>
      <c r="G18" s="94"/>
      <c r="H18" s="94"/>
      <c r="I18" s="94"/>
      <c r="J18" s="92" t="e">
        <f>SUMPRODUCT(J12:J17,K12:K17)</f>
        <v>#REF!</v>
      </c>
      <c r="K18" s="92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18:K18"/>
    <mergeCell ref="C12:G12"/>
    <mergeCell ref="C13:G13"/>
    <mergeCell ref="C14:G14"/>
    <mergeCell ref="C17:G17"/>
    <mergeCell ref="C15:G15"/>
    <mergeCell ref="A18:I18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zoomScale="115" zoomScaleNormal="115" workbookViewId="0">
      <selection activeCell="T11" sqref="T11"/>
    </sheetView>
  </sheetViews>
  <sheetFormatPr baseColWidth="10" defaultColWidth="11" defaultRowHeight="13.5"/>
  <cols>
    <col min="1" max="6" width="4.42578125" style="3" customWidth="1"/>
    <col min="7" max="7" width="4.42578125" style="23" customWidth="1"/>
    <col min="8" max="14" width="4.42578125" style="3" customWidth="1"/>
    <col min="15" max="16" width="14.85546875" style="3" customWidth="1"/>
    <col min="17" max="17" width="27.140625" style="3" customWidth="1"/>
    <col min="18" max="16384" width="11" style="3"/>
  </cols>
  <sheetData>
    <row r="1" spans="1:17" ht="15.75" customHeight="1">
      <c r="A1" s="123" t="s">
        <v>5</v>
      </c>
      <c r="B1" s="123"/>
      <c r="C1" s="123"/>
      <c r="D1" s="124">
        <f>'Necesidades Trimestrales'!C6</f>
        <v>2022</v>
      </c>
      <c r="E1" s="124"/>
      <c r="F1" s="21"/>
      <c r="G1" s="21"/>
      <c r="H1" s="22"/>
      <c r="I1" s="22"/>
      <c r="J1" s="22"/>
      <c r="K1" s="22"/>
      <c r="L1" s="22"/>
      <c r="M1" s="22"/>
      <c r="N1" s="22"/>
      <c r="P1" s="125" t="s">
        <v>62</v>
      </c>
      <c r="Q1" s="125"/>
    </row>
    <row r="2" spans="1:17" ht="15.75" customHeight="1">
      <c r="H2" s="22"/>
      <c r="I2" s="22"/>
      <c r="J2" s="22"/>
      <c r="K2" s="22"/>
      <c r="L2" s="22"/>
      <c r="M2" s="22"/>
      <c r="N2" s="22"/>
      <c r="P2" s="125"/>
      <c r="Q2" s="125"/>
    </row>
    <row r="4" spans="1:17" ht="18" customHeight="1" thickBot="1">
      <c r="A4" s="126" t="s">
        <v>63</v>
      </c>
      <c r="B4" s="126"/>
      <c r="C4" s="126"/>
      <c r="D4" s="126"/>
      <c r="E4" s="126"/>
      <c r="F4" s="126"/>
      <c r="G4" s="121" t="str">
        <f>' NotaPedido'!D3</f>
        <v>90 - Ministerio de Seguridad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ht="18" customHeight="1" thickBot="1">
      <c r="A5" s="118" t="s">
        <v>45</v>
      </c>
      <c r="B5" s="119"/>
      <c r="C5" s="119"/>
      <c r="D5" s="119"/>
      <c r="E5" s="119"/>
      <c r="F5" s="120"/>
      <c r="G5" s="121" t="str">
        <f>' NotaPedido'!D4</f>
        <v>7- Dirección Provincial de Administración de la Policía de la Provincia de Catamarca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ht="18" customHeight="1" thickBot="1">
      <c r="A6" s="118" t="s">
        <v>46</v>
      </c>
      <c r="B6" s="119"/>
      <c r="C6" s="119"/>
      <c r="D6" s="119"/>
      <c r="E6" s="119"/>
      <c r="F6" s="120"/>
      <c r="G6" s="121" t="str">
        <f>' NotaPedido'!D5</f>
        <v>Jefatura de Policía de la Provincia de Catamarca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ht="18" customHeight="1" thickBot="1">
      <c r="A7" s="118" t="s">
        <v>48</v>
      </c>
      <c r="B7" s="119"/>
      <c r="C7" s="119"/>
      <c r="D7" s="119"/>
      <c r="E7" s="119"/>
      <c r="F7" s="120"/>
      <c r="G7" s="121" t="str">
        <f>' NotaPedido'!D6</f>
        <v>División Transporte (D-4)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>
      <c r="A8" s="122" t="s">
        <v>64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>
      <c r="A9" s="112" t="s">
        <v>65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6"/>
      <c r="P9" s="16"/>
      <c r="Q9" s="24"/>
    </row>
    <row r="10" spans="1:17" ht="65.25" customHeight="1">
      <c r="A10" s="11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31/2021,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>
      <c r="A11" s="25"/>
      <c r="B11" s="26"/>
      <c r="C11" s="26"/>
      <c r="D11" s="26"/>
      <c r="E11" s="26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8"/>
    </row>
    <row r="12" spans="1:17" ht="15.75" customHeight="1">
      <c r="A12" s="114" t="s">
        <v>66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>
      <c r="A13" s="115" t="s">
        <v>67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68</v>
      </c>
      <c r="P13" s="116"/>
      <c r="Q13" s="117" t="s">
        <v>69</v>
      </c>
    </row>
    <row r="14" spans="1:17" ht="15.75" customHeight="1">
      <c r="A14" s="29" t="s">
        <v>70</v>
      </c>
      <c r="B14" s="30" t="s">
        <v>71</v>
      </c>
      <c r="C14" s="30" t="s">
        <v>72</v>
      </c>
      <c r="D14" s="30" t="s">
        <v>73</v>
      </c>
      <c r="E14" s="30" t="s">
        <v>74</v>
      </c>
      <c r="F14" s="30" t="s">
        <v>75</v>
      </c>
      <c r="G14" s="31" t="s">
        <v>76</v>
      </c>
      <c r="H14" s="30" t="s">
        <v>77</v>
      </c>
      <c r="I14" s="30" t="s">
        <v>78</v>
      </c>
      <c r="J14" s="30" t="s">
        <v>79</v>
      </c>
      <c r="K14" s="30" t="s">
        <v>79</v>
      </c>
      <c r="L14" s="30" t="s">
        <v>80</v>
      </c>
      <c r="M14" s="32" t="s">
        <v>81</v>
      </c>
      <c r="N14" s="33" t="s">
        <v>82</v>
      </c>
      <c r="O14" s="116"/>
      <c r="P14" s="116"/>
      <c r="Q14" s="117"/>
    </row>
    <row r="15" spans="1:17" ht="17.25" customHeight="1">
      <c r="A15" s="34">
        <v>16</v>
      </c>
      <c r="B15" s="35">
        <v>0</v>
      </c>
      <c r="C15" s="35">
        <v>0</v>
      </c>
      <c r="D15" s="35">
        <v>1</v>
      </c>
      <c r="E15" s="35">
        <v>0</v>
      </c>
      <c r="F15" s="35">
        <v>10</v>
      </c>
      <c r="G15" s="35">
        <v>2</v>
      </c>
      <c r="H15" s="35">
        <v>1</v>
      </c>
      <c r="I15" s="35">
        <v>2</v>
      </c>
      <c r="J15" s="35">
        <v>9</v>
      </c>
      <c r="K15" s="35">
        <v>6</v>
      </c>
      <c r="L15" s="35">
        <v>0</v>
      </c>
      <c r="M15" s="36">
        <v>1</v>
      </c>
      <c r="N15" s="35" t="s">
        <v>83</v>
      </c>
      <c r="O15" s="104" t="s">
        <v>84</v>
      </c>
      <c r="P15" s="104"/>
      <c r="Q15" s="37">
        <f>'Necesidades Trimestrales'!I14</f>
        <v>1119250</v>
      </c>
    </row>
    <row r="16" spans="1:17" ht="28.5" customHeight="1" thickBot="1">
      <c r="A16" s="110" t="s">
        <v>85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38">
        <f>SUM(Q15:Q15)</f>
        <v>1119250</v>
      </c>
    </row>
    <row r="17" spans="1:17" ht="18" customHeight="1" thickBot="1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</row>
    <row r="18" spans="1:17" ht="17.25" customHeight="1" thickBot="1">
      <c r="A18" s="105" t="s">
        <v>86</v>
      </c>
      <c r="B18" s="106"/>
      <c r="C18" s="106"/>
      <c r="D18" s="106"/>
      <c r="E18" s="106"/>
      <c r="F18" s="107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</row>
    <row r="19" spans="1:17" ht="18" customHeight="1" thickBot="1">
      <c r="A19" s="109" t="str">
        <f>' NotaPedido'!D8</f>
        <v>Adquisición de Repuestos de Automotor destinados a División Transporte (D-4)- Policia de Catamarca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</row>
    <row r="20" spans="1:17" ht="15" customHeight="1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Policia</cp:lastModifiedBy>
  <cp:revision>2</cp:revision>
  <dcterms:created xsi:type="dcterms:W3CDTF">2020-07-17T23:44:49Z</dcterms:created>
  <dcterms:modified xsi:type="dcterms:W3CDTF">2022-02-18T11:47:30Z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