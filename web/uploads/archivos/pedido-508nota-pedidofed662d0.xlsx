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C:\Users\SILVINA ATENCIO\Downloads\"/>
    </mc:Choice>
  </mc:AlternateContent>
  <xr:revisionPtr revIDLastSave="0" documentId="8_{249E3C24-EE62-4A42-B036-436E02608AE0}" xr6:coauthVersionLast="47" xr6:coauthVersionMax="47" xr10:uidLastSave="{00000000-0000-0000-0000-000000000000}"/>
  <bookViews>
    <workbookView xWindow="-120" yWindow="-120" windowWidth="29040" windowHeight="15840" tabRatio="488" activeTab="1" xr2:uid="{00000000-000D-0000-FFFF-FFFF00000000}"/>
  </bookViews>
  <sheets>
    <sheet name="Necesidades Trimestrales" sheetId="1" r:id="rId1"/>
    <sheet name=" NotaPedido" sheetId="2" r:id="rId2"/>
    <sheet name="Autor Gastar" sheetId="3" r:id="rId3"/>
  </sheets>
  <definedNames>
    <definedName name="_xlnm._FilterDatabase" localSheetId="0" hidden="1">'Necesidades Trimestrales'!$A$9:$I$25</definedName>
    <definedName name="_xlnm.Print_Area" localSheetId="1">' NotaPedido'!$A$1:$K$28</definedName>
    <definedName name="_xlnm.Print_Area" localSheetId="2">'Autor Gastar'!$A$1:$Q$24</definedName>
    <definedName name="_xlnm.Print_Area" localSheetId="0">'Necesidades Trimestrales'!$E$9:$E$25</definedName>
  </definedNames>
  <calcPr calcId="181029"/>
</workbook>
</file>

<file path=xl/calcChain.xml><?xml version="1.0" encoding="utf-8"?>
<calcChain xmlns="http://schemas.openxmlformats.org/spreadsheetml/2006/main">
  <c r="I12" i="2" l="1"/>
  <c r="J12" i="2"/>
  <c r="K12" i="2"/>
  <c r="I13" i="2"/>
  <c r="J13" i="2"/>
  <c r="K13" i="2"/>
  <c r="I14" i="2"/>
  <c r="J14" i="2"/>
  <c r="K14" i="2"/>
  <c r="I15" i="2"/>
  <c r="J15" i="2"/>
  <c r="K15" i="2"/>
  <c r="I16" i="2"/>
  <c r="J16" i="2"/>
  <c r="K16" i="2"/>
  <c r="I17" i="2"/>
  <c r="J17" i="2"/>
  <c r="K17" i="2"/>
  <c r="I18" i="2"/>
  <c r="J18" i="2"/>
  <c r="K18" i="2"/>
  <c r="I19" i="2"/>
  <c r="J19" i="2"/>
  <c r="K19" i="2"/>
  <c r="I20" i="2"/>
  <c r="J20" i="2"/>
  <c r="K20" i="2"/>
  <c r="I21" i="2"/>
  <c r="J21" i="2"/>
  <c r="K21" i="2"/>
  <c r="I22" i="2"/>
  <c r="J22" i="2"/>
  <c r="K22" i="2"/>
  <c r="I23" i="2"/>
  <c r="J23" i="2"/>
  <c r="K23" i="2"/>
  <c r="I24" i="2"/>
  <c r="J24" i="2"/>
  <c r="K24" i="2"/>
  <c r="I25" i="2"/>
  <c r="J25" i="2"/>
  <c r="K25" i="2"/>
  <c r="I26" i="2"/>
  <c r="J26" i="2"/>
  <c r="K26" i="2"/>
  <c r="I27" i="2"/>
  <c r="J27" i="2"/>
  <c r="K27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J28" i="2" l="1"/>
  <c r="I22" i="1"/>
  <c r="I21" i="1"/>
  <c r="I20" i="1"/>
  <c r="I15" i="1"/>
  <c r="I14" i="1"/>
  <c r="I13" i="1"/>
  <c r="I12" i="1"/>
  <c r="I19" i="1"/>
  <c r="I18" i="1"/>
  <c r="I17" i="1"/>
  <c r="I16" i="1"/>
  <c r="I23" i="1"/>
  <c r="I24" i="1"/>
  <c r="I25" i="1"/>
  <c r="I10" i="1" l="1"/>
  <c r="I11" i="1"/>
  <c r="A10" i="3" l="1"/>
  <c r="G6" i="3" l="1"/>
  <c r="D7" i="2"/>
  <c r="D3" i="2"/>
  <c r="G4" i="3" s="1"/>
  <c r="D4" i="2"/>
  <c r="G5" i="3" s="1"/>
  <c r="D1" i="3" l="1"/>
  <c r="Q20" i="3" l="1"/>
</calcChain>
</file>

<file path=xl/sharedStrings.xml><?xml version="1.0" encoding="utf-8"?>
<sst xmlns="http://schemas.openxmlformats.org/spreadsheetml/2006/main" count="137" uniqueCount="85">
  <si>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</si>
  <si>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</si>
  <si>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</si>
  <si>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</si>
  <si>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</si>
  <si>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</si>
  <si>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</si>
  <si>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</si>
  <si>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</si>
  <si>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</si>
  <si>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</si>
  <si>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</si>
  <si>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</si>
  <si>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</si>
  <si>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</si>
  <si>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</si>
  <si>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</si>
  <si>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</si>
  <si>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</si>
  <si>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</si>
  <si>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</si>
  <si>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</si>
  <si>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</si>
  <si>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</si>
  <si>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</si>
  <si>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</si>
  <si>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</si>
  <si>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</si>
  <si>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</si>
  <si>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</si>
  <si>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</si>
  <si>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</si>
  <si>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</si>
  <si>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</si>
  <si>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</si>
  <si>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</si>
  <si>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</si>
  <si>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</si>
  <si>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</si>
  <si>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</si>
  <si>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</si>
  <si>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</si>
  <si>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</si>
  <si>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</si>
  <si>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</si>
  <si>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</si>
  <si>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</si>
  <si>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</si>
  <si>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</si>
  <si>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</si>
  <si>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</si>
  <si>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024 - Hospital Interzonal de Niños</t>
  </si>
  <si>
    <t>040 - Ministerio de Salud</t>
  </si>
  <si>
    <t>1.1</t>
  </si>
  <si>
    <t>NO</t>
  </si>
  <si>
    <t xml:space="preserve"> </t>
  </si>
  <si>
    <t>Servicio de Farmacia</t>
  </si>
  <si>
    <t>PROD. MEDICO/ FARMACEUTICOS/LAB</t>
  </si>
  <si>
    <t>UNIDAD</t>
  </si>
  <si>
    <t>UTILES MENORES MEDICO, QUIRURGICO Y DE LABORATORIO</t>
  </si>
  <si>
    <t>Plazos y lugares de entrega</t>
  </si>
  <si>
    <r>
      <rPr>
        <u/>
        <sz val="10"/>
        <rFont val="Times New Roman"/>
        <family val="1"/>
      </rPr>
      <t xml:space="preserve">Lugar de Entrega: </t>
    </r>
    <r>
      <rPr>
        <sz val="10"/>
        <rFont val="Times New Roman"/>
        <family val="1"/>
      </rPr>
      <t>SERVICIO DE FARMACIA -HOSPITAL INT. DE NIÑOS – AV. VIRGEN DEL VALLE N° 1050-CATAMARCA DE 8:00 A 12:00HS., DEBIENDO CORRER LOS GASTOS DE FLETES, ACARREO, CARGA, DESCARGA Y SEGURO A CARGO DEL ADJUDICATARIO.</t>
    </r>
  </si>
  <si>
    <r>
      <t>Mantenimiento</t>
    </r>
    <r>
      <rPr>
        <sz val="10"/>
        <rFont val="Times New Roman"/>
        <family val="1"/>
      </rPr>
      <t xml:space="preserve">: 45 dias habiles </t>
    </r>
  </si>
  <si>
    <t>CANULA NASAL PARA ALTO FLUJO TIPO GGM  ADULTO 5 mm 4825R1V TAMANO M</t>
  </si>
  <si>
    <t xml:space="preserve">CANULA NASAL PARA ALTO FLUJO TIPO GGM  ADULTO 6 mm 4826R1V TAMANO L </t>
  </si>
  <si>
    <t>CIRCUITO ANESTESIA EXTENSIBLE ADULTO AUTOCLAVABLE</t>
  </si>
  <si>
    <t>CIRCUITO ANESTESIA EXTENSIBLE NEONATAL AUTOCLAVABLE</t>
  </si>
  <si>
    <t>CIRCUITO ANESTESIA EXTENSIBLE NEONATAL DESCARTABLE</t>
  </si>
  <si>
    <t>CIRCUITO ANESTESIA EXTENSIBLE PEDIATRICO AUTOCLAVABLE</t>
  </si>
  <si>
    <t>CIRCUITO PARA ALTO FLUJO TIPO  FISHER PAYKEL PEDIATRICO/ADULTO  AIRVO</t>
  </si>
  <si>
    <t>CIRCUITO PARA ALTO FLUJO TIPO  HUMIDOFLO  PEDIATRICO/ADULTO</t>
  </si>
  <si>
    <t>CIRCUITO RESPIRADOR CON TRAMPA DE AGUA AUTOCLAVABLE ADULTO</t>
  </si>
  <si>
    <t>CIRCUITO RESPIRADOR CON TRAMPA DE AGUA AUTOCLAVABLE PEDIATRICO</t>
  </si>
  <si>
    <t>MASCARA PERFOMAX TOTAL FACE  TALLE G PARA VNI</t>
  </si>
  <si>
    <t>MASCARA PERFOMAX TOTAL FACE  TALLE XG PARA VNI</t>
  </si>
  <si>
    <t>SONDA P/ASP.MUCUS C/REG.2,3 MM X 7 FR K-26P</t>
  </si>
  <si>
    <t>TUBULADURA  PVC   9 X 6 X 50 USO MEDICINAL</t>
  </si>
  <si>
    <t>TUBULADURA  PVC.6,40 X 9,50 USO MEDICINAL</t>
  </si>
  <si>
    <t>TUBULADURA PVC 7,9 X 12,70  USO MEDICINAL</t>
  </si>
  <si>
    <r>
      <rPr>
        <u/>
        <sz val="10"/>
        <rFont val="Times New Roman"/>
        <family val="1"/>
      </rPr>
      <t>Plazo de entrega:</t>
    </r>
    <r>
      <rPr>
        <sz val="10"/>
        <rFont val="Times New Roman"/>
        <family val="1"/>
      </rPr>
      <t xml:space="preserve"> Dentro de los 20 días corridos de notificada la Orden de Compra. </t>
    </r>
  </si>
  <si>
    <t>Para la adquisición de Descartables Covid destinados al Servicio de Farmacia del Hospital Interzonal de Niños Eva Peron, para el normal funcionamiento del organismo.</t>
  </si>
  <si>
    <t>Costo total estimado: Cuatro millones Trescientos ochenta y tres Mil Con 00/100.</t>
  </si>
  <si>
    <t>TOTAL DE PESOS: Cuatro millones Trescientos ochenta y tres Mil Con 00/100.</t>
  </si>
  <si>
    <t>Desiertos Descartables Covid</t>
  </si>
  <si>
    <t>120/2021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</si>
</sst>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-&quot;$&quot;* #,##0.00_-;\-&quot;$&quot;* #,##0.00_-;_-&quot;$&quot;* &quot;-&quot;??_-;_-@_-"/>
    <numFmt numFmtId="165" formatCode="_(\$* #,##0.00_);_(\$* \(#,##0.00\);_(\$* \-??_);_(@_)"/>
    <numFmt numFmtId="166" formatCode="_-* #,##0.00&quot; €&quot;_-;\-* #,##0.00&quot; €&quot;_-;_-* \-??&quot; €&quot;_-;_-@_-"/>
    <numFmt numFmtId="167" formatCode="[$$-2C0A]\ #,##0.00;[$$-2C0A]&quot; -&quot;#,##0.00"/>
    <numFmt numFmtId="168" formatCode="[$$-2C0A]\ #,##0.00"/>
    <numFmt numFmtId="169" formatCode="dd\-mm\-yy;@"/>
  </numFmts>
  <fonts count="30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b/>
      <sz val="9"/>
      <color rgb="FF000000"/>
      <name val="Times New Roman"/>
      <family val="1"/>
    </font>
    <font>
      <sz val="9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</fills>
  <borders count="62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medium">
        <color rgb="FF3D3D3D"/>
      </right>
      <top style="medium">
        <color indexed="64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indexed="64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indexed="64"/>
      </top>
      <bottom/>
      <diagonal/>
    </border>
    <border>
      <left style="medium">
        <color rgb="FF3D3D3D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/>
      <top/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/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indexed="64"/>
      </bottom>
      <diagonal/>
    </border>
    <border>
      <left style="medium">
        <color rgb="FF3D3D3D"/>
      </left>
      <right style="medium">
        <color indexed="64"/>
      </right>
      <top style="medium">
        <color rgb="FF3D3D3D"/>
      </top>
      <bottom style="medium">
        <color indexed="64"/>
      </bottom>
      <diagonal/>
    </border>
    <border>
      <left style="thin">
        <color rgb="FF3D3D3D"/>
      </left>
      <right style="medium">
        <color rgb="FF3D3D3D"/>
      </right>
      <top/>
      <bottom style="thin">
        <color rgb="FF3D3D3D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rgb="FF3D3D3D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9">
    <xf numFmtId="0" fontId="0" fillId="0" borderId="0"/>
    <xf numFmtId="166" fontId="17" fillId="0" borderId="0" applyBorder="0" applyProtection="0"/>
    <xf numFmtId="0" fontId="4" fillId="0" borderId="1" applyProtection="0"/>
    <xf numFmtId="165" fontId="5" fillId="0" borderId="0" applyBorder="0" applyProtection="0"/>
    <xf numFmtId="0" fontId="6" fillId="2" borderId="0" applyBorder="0" applyProtection="0"/>
    <xf numFmtId="0" fontId="17" fillId="0" borderId="0"/>
    <xf numFmtId="43" fontId="3" fillId="0" borderId="0" applyFont="0" applyFill="0" applyBorder="0" applyAlignment="0" applyProtection="0"/>
    <xf numFmtId="0" fontId="2" fillId="0" borderId="0"/>
    <xf numFmtId="0" fontId="1" fillId="0" borderId="0"/>
  </cellStyleXfs>
  <cellXfs count="140">
    <xf numFmtId="0" fontId="0" fillId="0" borderId="0" xfId="0"/>
    <xf numFmtId="0" fontId="0" fillId="0" borderId="0" xfId="0" applyBorder="1"/>
    <xf numFmtId="0" fontId="0" fillId="0" borderId="0" xfId="0" applyAlignment="1">
      <alignment horizontal="left"/>
    </xf>
    <xf numFmtId="3" fontId="12" fillId="0" borderId="0" xfId="0" applyNumberFormat="1" applyFont="1" applyBorder="1" applyAlignment="1"/>
    <xf numFmtId="169" fontId="0" fillId="0" borderId="0" xfId="0" applyNumberFormat="1" applyAlignment="1">
      <alignment horizontal="left"/>
    </xf>
    <xf numFmtId="0" fontId="5" fillId="0" borderId="0" xfId="0" applyFont="1"/>
    <xf numFmtId="0" fontId="0" fillId="0" borderId="12" xfId="0" applyBorder="1"/>
    <xf numFmtId="0" fontId="0" fillId="0" borderId="26" xfId="0" applyBorder="1"/>
    <xf numFmtId="0" fontId="0" fillId="0" borderId="14" xfId="0" applyBorder="1"/>
    <xf numFmtId="0" fontId="0" fillId="0" borderId="14" xfId="0" applyBorder="1" applyAlignment="1">
      <alignment horizontal="left"/>
    </xf>
    <xf numFmtId="0" fontId="0" fillId="0" borderId="27" xfId="0" applyBorder="1"/>
    <xf numFmtId="0" fontId="0" fillId="0" borderId="29" xfId="0" applyFont="1" applyBorder="1" applyAlignment="1">
      <alignment horizontal="center" vertical="center"/>
    </xf>
    <xf numFmtId="0" fontId="0" fillId="0" borderId="30" xfId="0" applyFont="1" applyBorder="1" applyAlignment="1">
      <alignment horizontal="center" vertical="center"/>
    </xf>
    <xf numFmtId="0" fontId="0" fillId="0" borderId="31" xfId="0" applyFont="1" applyBorder="1" applyAlignment="1">
      <alignment horizontal="center" vertical="center"/>
    </xf>
    <xf numFmtId="0" fontId="0" fillId="0" borderId="32" xfId="0" applyFont="1" applyBorder="1" applyAlignment="1">
      <alignment horizontal="center" vertical="center"/>
    </xf>
    <xf numFmtId="0" fontId="14" fillId="0" borderId="29" xfId="0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14" fillId="0" borderId="31" xfId="0" applyFont="1" applyBorder="1" applyAlignment="1">
      <alignment horizontal="center" vertical="center"/>
    </xf>
    <xf numFmtId="0" fontId="14" fillId="0" borderId="32" xfId="0" applyFon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8" fillId="3" borderId="12" xfId="0" applyFont="1" applyFill="1" applyBorder="1" applyAlignment="1">
      <alignment horizontal="right" vertical="center"/>
    </xf>
    <xf numFmtId="0" fontId="5" fillId="3" borderId="0" xfId="0" applyFont="1" applyFill="1" applyBorder="1" applyAlignment="1">
      <alignment vertical="center"/>
    </xf>
    <xf numFmtId="0" fontId="0" fillId="3" borderId="0" xfId="0" applyFill="1"/>
    <xf numFmtId="0" fontId="8" fillId="3" borderId="14" xfId="0" applyFont="1" applyFill="1" applyBorder="1" applyAlignment="1">
      <alignment vertical="center"/>
    </xf>
    <xf numFmtId="0" fontId="8" fillId="3" borderId="0" xfId="0" applyFont="1" applyFill="1" applyBorder="1" applyAlignment="1">
      <alignment vertical="center"/>
    </xf>
    <xf numFmtId="0" fontId="10" fillId="3" borderId="0" xfId="0" applyFont="1" applyFill="1" applyBorder="1" applyAlignment="1">
      <alignment horizontal="left" vertical="center"/>
    </xf>
    <xf numFmtId="0" fontId="9" fillId="3" borderId="0" xfId="0" applyFont="1" applyFill="1" applyBorder="1" applyAlignment="1">
      <alignment horizontal="left" vertical="center" wrapText="1" indent="1"/>
    </xf>
    <xf numFmtId="0" fontId="7" fillId="3" borderId="4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 wrapText="1"/>
    </xf>
    <xf numFmtId="3" fontId="7" fillId="3" borderId="3" xfId="0" applyNumberFormat="1" applyFont="1" applyFill="1" applyBorder="1" applyAlignment="1">
      <alignment horizontal="center" vertical="center"/>
    </xf>
    <xf numFmtId="168" fontId="5" fillId="3" borderId="0" xfId="0" applyNumberFormat="1" applyFont="1" applyFill="1" applyBorder="1" applyAlignment="1">
      <alignment vertical="center"/>
    </xf>
    <xf numFmtId="0" fontId="0" fillId="0" borderId="29" xfId="0" applyFont="1" applyFill="1" applyBorder="1" applyAlignment="1">
      <alignment horizontal="center" vertical="center"/>
    </xf>
    <xf numFmtId="0" fontId="0" fillId="0" borderId="30" xfId="0" applyFont="1" applyFill="1" applyBorder="1" applyAlignment="1">
      <alignment horizontal="center" vertical="center"/>
    </xf>
    <xf numFmtId="0" fontId="0" fillId="0" borderId="31" xfId="0" applyFont="1" applyFill="1" applyBorder="1" applyAlignment="1">
      <alignment horizontal="center" vertical="center"/>
    </xf>
    <xf numFmtId="0" fontId="17" fillId="0" borderId="30" xfId="0" applyFont="1" applyFill="1" applyBorder="1" applyAlignment="1">
      <alignment horizontal="center" vertical="center"/>
    </xf>
    <xf numFmtId="0" fontId="16" fillId="0" borderId="47" xfId="0" applyFont="1" applyBorder="1" applyAlignment="1">
      <alignment horizontal="center" vertical="center"/>
    </xf>
    <xf numFmtId="0" fontId="16" fillId="0" borderId="48" xfId="0" applyFont="1" applyBorder="1" applyAlignment="1">
      <alignment horizontal="center" vertical="center"/>
    </xf>
    <xf numFmtId="0" fontId="16" fillId="0" borderId="48" xfId="0" applyFont="1" applyBorder="1" applyAlignment="1">
      <alignment horizontal="left" vertical="center"/>
    </xf>
    <xf numFmtId="0" fontId="16" fillId="0" borderId="49" xfId="0" applyFont="1" applyBorder="1" applyAlignment="1">
      <alignment horizontal="center" vertical="center"/>
    </xf>
    <xf numFmtId="0" fontId="16" fillId="0" borderId="50" xfId="0" applyFont="1" applyBorder="1" applyAlignment="1">
      <alignment horizontal="center" vertical="center"/>
    </xf>
    <xf numFmtId="0" fontId="7" fillId="3" borderId="56" xfId="0" applyFont="1" applyFill="1" applyBorder="1" applyAlignment="1">
      <alignment horizontal="left" vertical="center"/>
    </xf>
    <xf numFmtId="0" fontId="7" fillId="4" borderId="56" xfId="0" applyFont="1" applyFill="1" applyBorder="1" applyAlignment="1">
      <alignment horizontal="center" vertical="center"/>
    </xf>
    <xf numFmtId="0" fontId="7" fillId="3" borderId="58" xfId="0" applyFont="1" applyFill="1" applyBorder="1" applyAlignment="1">
      <alignment horizontal="left" vertical="center"/>
    </xf>
    <xf numFmtId="0" fontId="18" fillId="0" borderId="0" xfId="0" applyFont="1" applyFill="1" applyBorder="1" applyAlignment="1">
      <alignment horizontal="center" wrapText="1"/>
    </xf>
    <xf numFmtId="0" fontId="18" fillId="0" borderId="0" xfId="0" applyFont="1" applyFill="1"/>
    <xf numFmtId="0" fontId="21" fillId="0" borderId="0" xfId="0" applyFont="1" applyFill="1" applyAlignment="1">
      <alignment horizontal="left" wrapText="1"/>
    </xf>
    <xf numFmtId="0" fontId="21" fillId="0" borderId="0" xfId="0" applyFont="1" applyFill="1" applyAlignment="1">
      <alignment horizontal="center" wrapText="1"/>
    </xf>
    <xf numFmtId="0" fontId="26" fillId="0" borderId="0" xfId="0" applyFont="1" applyFill="1" applyAlignment="1">
      <alignment horizontal="left" wrapText="1" indent="1"/>
    </xf>
    <xf numFmtId="0" fontId="22" fillId="0" borderId="0" xfId="0" applyFont="1" applyFill="1" applyAlignment="1">
      <alignment horizontal="left" wrapText="1"/>
    </xf>
    <xf numFmtId="168" fontId="18" fillId="0" borderId="0" xfId="0" applyNumberFormat="1" applyFont="1" applyFill="1"/>
    <xf numFmtId="0" fontId="22" fillId="0" borderId="16" xfId="0" applyFont="1" applyFill="1" applyBorder="1" applyAlignment="1">
      <alignment horizontal="center" vertical="center" wrapText="1"/>
    </xf>
    <xf numFmtId="0" fontId="23" fillId="0" borderId="42" xfId="0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56" xfId="0" applyFill="1" applyBorder="1"/>
    <xf numFmtId="0" fontId="17" fillId="0" borderId="56" xfId="0" applyFont="1" applyFill="1" applyBorder="1" applyAlignment="1">
      <alignment wrapText="1"/>
    </xf>
    <xf numFmtId="0" fontId="24" fillId="0" borderId="56" xfId="0" applyFont="1" applyFill="1" applyBorder="1" applyAlignment="1">
      <alignment horizontal="center" vertical="center" wrapText="1"/>
    </xf>
    <xf numFmtId="167" fontId="18" fillId="0" borderId="0" xfId="0" applyNumberFormat="1" applyFont="1" applyFill="1"/>
    <xf numFmtId="0" fontId="25" fillId="0" borderId="4" xfId="0" applyFont="1" applyFill="1" applyBorder="1" applyAlignment="1">
      <alignment horizontal="left" indent="3"/>
    </xf>
    <xf numFmtId="0" fontId="18" fillId="0" borderId="5" xfId="0" applyFont="1" applyFill="1" applyBorder="1"/>
    <xf numFmtId="0" fontId="18" fillId="0" borderId="6" xfId="0" applyFont="1" applyFill="1" applyBorder="1"/>
    <xf numFmtId="0" fontId="18" fillId="0" borderId="0" xfId="0" applyFont="1" applyFill="1" applyBorder="1"/>
    <xf numFmtId="0" fontId="25" fillId="0" borderId="7" xfId="0" applyFont="1" applyFill="1" applyBorder="1" applyAlignment="1"/>
    <xf numFmtId="0" fontId="18" fillId="0" borderId="8" xfId="0" applyFont="1" applyFill="1" applyBorder="1" applyAlignment="1">
      <alignment horizontal="center" wrapText="1"/>
    </xf>
    <xf numFmtId="0" fontId="29" fillId="0" borderId="56" xfId="0" applyFont="1" applyBorder="1" applyAlignment="1">
      <alignment horizontal="center" vertical="center"/>
    </xf>
    <xf numFmtId="0" fontId="0" fillId="0" borderId="56" xfId="0" applyFont="1" applyBorder="1" applyAlignment="1">
      <alignment horizontal="center" vertical="center"/>
    </xf>
    <xf numFmtId="164" fontId="29" fillId="0" borderId="56" xfId="0" applyNumberFormat="1" applyFont="1" applyBorder="1" applyAlignment="1">
      <alignment horizontal="center" vertical="center"/>
    </xf>
    <xf numFmtId="164" fontId="23" fillId="0" borderId="57" xfId="1" applyNumberFormat="1" applyFont="1" applyFill="1" applyBorder="1" applyAlignment="1" applyProtection="1">
      <alignment horizontal="right" vertical="center" wrapText="1"/>
    </xf>
    <xf numFmtId="164" fontId="0" fillId="0" borderId="56" xfId="0" applyNumberFormat="1" applyFont="1" applyBorder="1" applyAlignment="1">
      <alignment horizontal="center" vertical="center"/>
    </xf>
    <xf numFmtId="0" fontId="18" fillId="0" borderId="9" xfId="0" applyFont="1" applyFill="1" applyBorder="1"/>
    <xf numFmtId="0" fontId="18" fillId="0" borderId="10" xfId="0" applyFont="1" applyFill="1" applyBorder="1"/>
    <xf numFmtId="0" fontId="18" fillId="0" borderId="11" xfId="0" applyFont="1" applyFill="1" applyBorder="1"/>
    <xf numFmtId="164" fontId="23" fillId="0" borderId="0" xfId="0" applyNumberFormat="1" applyFont="1" applyFill="1"/>
    <xf numFmtId="164" fontId="24" fillId="0" borderId="0" xfId="0" applyNumberFormat="1" applyFont="1" applyFill="1" applyAlignment="1">
      <alignment horizontal="left" wrapText="1"/>
    </xf>
    <xf numFmtId="164" fontId="27" fillId="0" borderId="16" xfId="0" applyNumberFormat="1" applyFont="1" applyFill="1" applyBorder="1" applyAlignment="1">
      <alignment horizontal="center" vertical="center" wrapText="1"/>
    </xf>
    <xf numFmtId="164" fontId="0" fillId="0" borderId="56" xfId="0" applyNumberFormat="1" applyFont="1" applyFill="1" applyBorder="1" applyAlignment="1">
      <alignment horizontal="center" vertical="center"/>
    </xf>
    <xf numFmtId="0" fontId="29" fillId="0" borderId="60" xfId="0" applyFont="1" applyFill="1" applyBorder="1" applyAlignment="1">
      <alignment vertical="center"/>
    </xf>
    <xf numFmtId="0" fontId="29" fillId="0" borderId="56" xfId="0" applyFont="1" applyFill="1" applyBorder="1" applyAlignment="1">
      <alignment horizontal="center" vertical="center"/>
    </xf>
    <xf numFmtId="0" fontId="29" fillId="0" borderId="60" xfId="0" applyFont="1" applyFill="1" applyBorder="1" applyAlignment="1">
      <alignment vertical="center" wrapText="1"/>
    </xf>
    <xf numFmtId="0" fontId="29" fillId="0" borderId="59" xfId="0" applyFont="1" applyFill="1" applyBorder="1" applyAlignment="1">
      <alignment vertical="center"/>
    </xf>
    <xf numFmtId="0" fontId="0" fillId="0" borderId="56" xfId="0" applyFont="1" applyFill="1" applyBorder="1" applyAlignment="1">
      <alignment horizontal="center" vertical="center"/>
    </xf>
    <xf numFmtId="0" fontId="29" fillId="0" borderId="59" xfId="0" applyFont="1" applyFill="1" applyBorder="1" applyAlignment="1">
      <alignment vertical="center" wrapText="1"/>
    </xf>
    <xf numFmtId="0" fontId="9" fillId="0" borderId="13" xfId="0" applyFont="1" applyFill="1" applyBorder="1" applyAlignment="1">
      <alignment horizontal="center" vertical="center"/>
    </xf>
    <xf numFmtId="0" fontId="29" fillId="0" borderId="61" xfId="0" applyFont="1" applyFill="1" applyBorder="1" applyAlignment="1">
      <alignment vertical="center"/>
    </xf>
    <xf numFmtId="0" fontId="29" fillId="0" borderId="56" xfId="0" applyFont="1" applyFill="1" applyBorder="1" applyAlignment="1">
      <alignment vertical="center"/>
    </xf>
    <xf numFmtId="164" fontId="0" fillId="0" borderId="53" xfId="3" applyNumberFormat="1" applyFont="1" applyBorder="1" applyAlignment="1" applyProtection="1">
      <alignment horizontal="center" vertical="center"/>
    </xf>
    <xf numFmtId="164" fontId="0" fillId="0" borderId="33" xfId="3" applyNumberFormat="1" applyFont="1" applyBorder="1" applyAlignment="1" applyProtection="1">
      <alignment horizontal="center" vertical="center"/>
    </xf>
    <xf numFmtId="164" fontId="0" fillId="0" borderId="37" xfId="3" applyNumberFormat="1" applyFont="1" applyBorder="1" applyAlignment="1" applyProtection="1">
      <alignment horizontal="center" vertical="center"/>
    </xf>
    <xf numFmtId="164" fontId="16" fillId="0" borderId="38" xfId="0" applyNumberFormat="1" applyFont="1" applyBorder="1" applyAlignment="1">
      <alignment horizontal="center" vertical="center"/>
    </xf>
    <xf numFmtId="164" fontId="7" fillId="3" borderId="2" xfId="1" applyNumberFormat="1" applyFont="1" applyFill="1" applyBorder="1" applyAlignment="1" applyProtection="1">
      <alignment horizontal="right" vertical="center" wrapText="1"/>
    </xf>
    <xf numFmtId="0" fontId="20" fillId="0" borderId="0" xfId="0" applyFont="1" applyFill="1" applyBorder="1" applyAlignment="1">
      <alignment horizontal="left" vertical="center" wrapText="1"/>
    </xf>
    <xf numFmtId="0" fontId="18" fillId="0" borderId="7" xfId="5" applyFont="1" applyFill="1" applyBorder="1" applyAlignment="1">
      <alignment horizontal="left" wrapText="1"/>
    </xf>
    <xf numFmtId="0" fontId="18" fillId="0" borderId="0" xfId="5" applyFont="1" applyFill="1" applyBorder="1" applyAlignment="1">
      <alignment horizontal="left" wrapText="1"/>
    </xf>
    <xf numFmtId="0" fontId="18" fillId="0" borderId="8" xfId="5" applyFont="1" applyFill="1" applyBorder="1" applyAlignment="1">
      <alignment horizontal="left" wrapText="1"/>
    </xf>
    <xf numFmtId="0" fontId="19" fillId="0" borderId="0" xfId="0" applyFont="1" applyFill="1" applyBorder="1" applyAlignment="1">
      <alignment horizontal="center"/>
    </xf>
    <xf numFmtId="0" fontId="26" fillId="0" borderId="0" xfId="0" applyFont="1" applyFill="1" applyBorder="1" applyAlignment="1">
      <alignment horizontal="left" wrapText="1" indent="1"/>
    </xf>
    <xf numFmtId="0" fontId="7" fillId="3" borderId="2" xfId="0" applyFont="1" applyFill="1" applyBorder="1" applyAlignment="1">
      <alignment horizontal="left" vertical="center" wrapText="1"/>
    </xf>
    <xf numFmtId="0" fontId="8" fillId="3" borderId="0" xfId="0" applyFont="1" applyFill="1" applyBorder="1" applyAlignment="1">
      <alignment horizontal="center" vertical="center"/>
    </xf>
    <xf numFmtId="0" fontId="10" fillId="3" borderId="15" xfId="0" applyFont="1" applyFill="1" applyBorder="1" applyAlignment="1">
      <alignment horizontal="left" vertical="center" wrapText="1"/>
    </xf>
    <xf numFmtId="0" fontId="9" fillId="3" borderId="16" xfId="0" applyFont="1" applyFill="1" applyBorder="1" applyAlignment="1">
      <alignment horizontal="left" vertical="center" wrapText="1" indent="1"/>
    </xf>
    <xf numFmtId="0" fontId="10" fillId="3" borderId="17" xfId="0" applyFont="1" applyFill="1" applyBorder="1" applyAlignment="1">
      <alignment horizontal="left" vertical="center" wrapText="1"/>
    </xf>
    <xf numFmtId="0" fontId="9" fillId="4" borderId="19" xfId="0" applyFont="1" applyFill="1" applyBorder="1" applyAlignment="1">
      <alignment horizontal="left" vertical="center" wrapText="1" indent="1"/>
    </xf>
    <xf numFmtId="0" fontId="11" fillId="3" borderId="18" xfId="0" applyFont="1" applyFill="1" applyBorder="1" applyAlignment="1">
      <alignment horizontal="center" vertical="center"/>
    </xf>
    <xf numFmtId="0" fontId="11" fillId="3" borderId="20" xfId="0" applyFont="1" applyFill="1" applyBorder="1" applyAlignment="1">
      <alignment horizontal="center" vertical="center" wrapText="1"/>
    </xf>
    <xf numFmtId="0" fontId="11" fillId="3" borderId="19" xfId="0" applyFont="1" applyFill="1" applyBorder="1" applyAlignment="1">
      <alignment horizontal="center" vertical="center" wrapText="1"/>
    </xf>
    <xf numFmtId="0" fontId="10" fillId="3" borderId="18" xfId="0" applyFont="1" applyFill="1" applyBorder="1" applyAlignment="1">
      <alignment horizontal="left" vertical="center"/>
    </xf>
    <xf numFmtId="164" fontId="10" fillId="3" borderId="16" xfId="0" applyNumberFormat="1" applyFont="1" applyFill="1" applyBorder="1" applyAlignment="1">
      <alignment horizontal="center" vertical="center"/>
    </xf>
    <xf numFmtId="0" fontId="0" fillId="0" borderId="21" xfId="0" applyFont="1" applyBorder="1" applyAlignment="1">
      <alignment horizontal="center"/>
    </xf>
    <xf numFmtId="3" fontId="12" fillId="0" borderId="22" xfId="0" applyNumberFormat="1" applyFont="1" applyBorder="1" applyAlignment="1">
      <alignment horizontal="center"/>
    </xf>
    <xf numFmtId="0" fontId="13" fillId="0" borderId="13" xfId="0" applyFont="1" applyBorder="1" applyAlignment="1">
      <alignment horizontal="center" vertical="center" wrapText="1"/>
    </xf>
    <xf numFmtId="0" fontId="5" fillId="0" borderId="13" xfId="0" applyFont="1" applyBorder="1"/>
    <xf numFmtId="0" fontId="14" fillId="0" borderId="13" xfId="0" applyFont="1" applyBorder="1" applyAlignment="1">
      <alignment horizontal="left" indent="1"/>
    </xf>
    <xf numFmtId="0" fontId="7" fillId="0" borderId="15" xfId="0" applyFont="1" applyBorder="1" applyAlignment="1">
      <alignment horizontal="left" vertical="center" wrapText="1"/>
    </xf>
    <xf numFmtId="0" fontId="7" fillId="0" borderId="40" xfId="0" applyFont="1" applyBorder="1" applyAlignment="1">
      <alignment horizontal="left" vertical="center" wrapText="1"/>
    </xf>
    <xf numFmtId="0" fontId="7" fillId="0" borderId="41" xfId="0" applyFont="1" applyBorder="1" applyAlignment="1">
      <alignment horizontal="left" vertical="center" wrapText="1"/>
    </xf>
    <xf numFmtId="0" fontId="15" fillId="0" borderId="13" xfId="0" applyFont="1" applyBorder="1" applyAlignment="1">
      <alignment horizontal="left"/>
    </xf>
    <xf numFmtId="0" fontId="14" fillId="0" borderId="24" xfId="0" applyFont="1" applyBorder="1"/>
    <xf numFmtId="0" fontId="14" fillId="0" borderId="25" xfId="0" applyFont="1" applyBorder="1" applyAlignment="1">
      <alignment horizontal="left" vertical="center" wrapText="1" indent="1"/>
    </xf>
    <xf numFmtId="0" fontId="16" fillId="0" borderId="23" xfId="0" applyFont="1" applyBorder="1" applyAlignment="1">
      <alignment horizontal="center" vertical="center"/>
    </xf>
    <xf numFmtId="0" fontId="16" fillId="0" borderId="43" xfId="0" applyFont="1" applyBorder="1" applyAlignment="1">
      <alignment horizontal="center" vertical="center"/>
    </xf>
    <xf numFmtId="0" fontId="16" fillId="0" borderId="44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 wrapText="1"/>
    </xf>
    <xf numFmtId="0" fontId="16" fillId="0" borderId="46" xfId="0" applyFont="1" applyBorder="1" applyAlignment="1">
      <alignment horizontal="center" vertical="center" wrapText="1"/>
    </xf>
    <xf numFmtId="0" fontId="16" fillId="0" borderId="51" xfId="0" applyFont="1" applyBorder="1" applyAlignment="1">
      <alignment horizontal="center" vertical="center" wrapText="1"/>
    </xf>
    <xf numFmtId="0" fontId="16" fillId="0" borderId="52" xfId="0" applyFont="1" applyBorder="1" applyAlignment="1">
      <alignment horizontal="center" vertical="center" wrapText="1"/>
    </xf>
    <xf numFmtId="0" fontId="16" fillId="0" borderId="54" xfId="0" applyFont="1" applyBorder="1" applyAlignment="1">
      <alignment horizontal="center" vertical="center"/>
    </xf>
    <xf numFmtId="0" fontId="16" fillId="0" borderId="55" xfId="0" applyFont="1" applyBorder="1" applyAlignment="1">
      <alignment horizontal="center" vertical="center"/>
    </xf>
    <xf numFmtId="0" fontId="28" fillId="0" borderId="30" xfId="0" applyFont="1" applyFill="1" applyBorder="1" applyAlignment="1">
      <alignment horizontal="left" vertical="center" wrapText="1"/>
    </xf>
    <xf numFmtId="0" fontId="0" fillId="0" borderId="32" xfId="0" applyFont="1" applyBorder="1" applyAlignment="1">
      <alignment horizontal="left" vertical="center"/>
    </xf>
    <xf numFmtId="0" fontId="12" fillId="0" borderId="21" xfId="0" applyFont="1" applyBorder="1" applyAlignment="1">
      <alignment vertical="center" wrapText="1"/>
    </xf>
    <xf numFmtId="0" fontId="12" fillId="0" borderId="39" xfId="0" applyFont="1" applyBorder="1" applyAlignment="1">
      <alignment vertical="center" wrapText="1"/>
    </xf>
    <xf numFmtId="0" fontId="12" fillId="0" borderId="19" xfId="0" applyFont="1" applyBorder="1" applyAlignment="1">
      <alignment vertical="center" wrapText="1"/>
    </xf>
    <xf numFmtId="0" fontId="14" fillId="0" borderId="28" xfId="0" applyFont="1" applyBorder="1" applyAlignment="1">
      <alignment vertical="center" wrapText="1"/>
    </xf>
    <xf numFmtId="0" fontId="14" fillId="4" borderId="38" xfId="0" applyFont="1" applyFill="1" applyBorder="1" applyAlignment="1">
      <alignment horizontal="left" vertical="center" wrapText="1" indent="1"/>
    </xf>
    <xf numFmtId="0" fontId="0" fillId="0" borderId="32" xfId="0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12" fillId="0" borderId="38" xfId="0" applyFont="1" applyBorder="1" applyAlignment="1">
      <alignment horizontal="left" vertical="center" wrapText="1"/>
    </xf>
    <xf numFmtId="0" fontId="0" fillId="0" borderId="23" xfId="0" applyBorder="1"/>
  </cellXfs>
  <cellStyles count="9">
    <cellStyle name="Encabezado 1" xfId="2" xr:uid="{00000000-0005-0000-0000-000000000000}"/>
    <cellStyle name="Millares 2" xfId="6" xr:uid="{00000000-0005-0000-0000-000001000000}"/>
    <cellStyle name="Moneda" xfId="1" builtinId="4"/>
    <cellStyle name="Moneda_AUTORIZACION Y NOTA DE PEDIDO" xfId="3" xr:uid="{00000000-0005-0000-0000-000003000000}"/>
    <cellStyle name="Neutral 1" xfId="4" xr:uid="{00000000-0005-0000-0000-000004000000}"/>
    <cellStyle name="Normal" xfId="0" builtinId="0"/>
    <cellStyle name="Normal 2 3" xfId="5" xr:uid="{00000000-0005-0000-0000-000006000000}"/>
    <cellStyle name="Normal 3" xfId="7" xr:uid="{00000000-0005-0000-0000-000007000000}"/>
    <cellStyle name="Normal 4" xfId="8" xr:uid="{00000000-0005-0000-0000-000008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J32"/>
  <sheetViews>
    <sheetView zoomScale="93" zoomScaleNormal="93" workbookViewId="0">
      <selection activeCell="C11" sqref="C11"/>
    </sheetView>
  </sheetViews>
  <sheetFormatPr baseColWidth="10" defaultColWidth="11" defaultRowHeight="12.75" x14ac:dyDescent="0.2"/>
  <cols>
    <col min="1" max="1" width="6.42578125" style="47" customWidth="1"/>
    <col min="2" max="2" width="15" style="47" customWidth="1"/>
    <col min="3" max="3" width="28.42578125" style="47" customWidth="1"/>
    <col min="4" max="4" width="8.42578125" style="47" customWidth="1"/>
    <col min="5" max="5" width="79.85546875" style="47" customWidth="1"/>
    <col min="6" max="6" width="11" style="47"/>
    <col min="7" max="7" width="10.42578125" style="47" bestFit="1" customWidth="1"/>
    <col min="8" max="8" width="13.85546875" style="74" customWidth="1"/>
    <col min="9" max="9" width="18.5703125" style="47" customWidth="1"/>
    <col min="10" max="11" width="11" style="47"/>
    <col min="12" max="12" width="13.140625" style="47" customWidth="1"/>
    <col min="13" max="16384" width="11" style="47"/>
  </cols>
  <sheetData>
    <row r="2" spans="1:10" ht="27" x14ac:dyDescent="0.35">
      <c r="B2" s="96" t="s">
        <v>0</v>
      </c>
      <c r="C2" s="96"/>
      <c r="D2" s="96"/>
      <c r="E2" s="96"/>
      <c r="F2" s="96"/>
      <c r="G2" s="96"/>
      <c r="H2" s="96"/>
    </row>
    <row r="3" spans="1:10" ht="12" customHeight="1" x14ac:dyDescent="0.2"/>
    <row r="4" spans="1:10" ht="28.5" customHeight="1" x14ac:dyDescent="0.25">
      <c r="A4" s="92" t="s">
        <v>1</v>
      </c>
      <c r="B4" s="92"/>
      <c r="C4" s="97" t="s">
        <v>52</v>
      </c>
      <c r="D4" s="97"/>
      <c r="E4" s="97"/>
      <c r="F4" s="48"/>
      <c r="G4" s="49"/>
      <c r="H4" s="75"/>
    </row>
    <row r="5" spans="1:10" ht="18" customHeight="1" x14ac:dyDescent="0.25">
      <c r="A5" s="92" t="s">
        <v>2</v>
      </c>
      <c r="B5" s="92"/>
      <c r="C5" s="97" t="s">
        <v>51</v>
      </c>
      <c r="D5" s="97"/>
      <c r="E5" s="97"/>
      <c r="F5" s="48"/>
      <c r="G5" s="49" t="s">
        <v>55</v>
      </c>
      <c r="H5" s="75"/>
    </row>
    <row r="6" spans="1:10" ht="16.5" customHeight="1" x14ac:dyDescent="0.25">
      <c r="A6" s="92" t="s">
        <v>3</v>
      </c>
      <c r="B6" s="92"/>
      <c r="C6" s="50">
        <v>2021</v>
      </c>
      <c r="D6" s="51"/>
      <c r="E6" s="51"/>
      <c r="F6" s="48"/>
      <c r="G6" s="49"/>
      <c r="H6" s="75"/>
    </row>
    <row r="7" spans="1:10" ht="16.5" customHeight="1" x14ac:dyDescent="0.25">
      <c r="A7" s="92" t="s">
        <v>4</v>
      </c>
      <c r="B7" s="92"/>
      <c r="C7" s="50">
        <v>3</v>
      </c>
      <c r="D7" s="51"/>
      <c r="E7" s="51"/>
      <c r="F7" s="48"/>
      <c r="G7" s="49"/>
      <c r="H7" s="75"/>
    </row>
    <row r="8" spans="1:10" ht="13.5" thickBot="1" x14ac:dyDescent="0.25">
      <c r="B8" s="48"/>
      <c r="C8" s="49"/>
      <c r="D8" s="48"/>
      <c r="E8" s="48"/>
      <c r="F8" s="48"/>
      <c r="G8" s="49"/>
      <c r="H8" s="75"/>
      <c r="J8" s="52"/>
    </row>
    <row r="9" spans="1:10" ht="36.75" thickBot="1" x14ac:dyDescent="0.25">
      <c r="A9" s="53" t="s">
        <v>5</v>
      </c>
      <c r="B9" s="53" t="s">
        <v>6</v>
      </c>
      <c r="C9" s="53" t="s">
        <v>7</v>
      </c>
      <c r="D9" s="53" t="s">
        <v>8</v>
      </c>
      <c r="E9" s="53" t="s">
        <v>9</v>
      </c>
      <c r="F9" s="53" t="s">
        <v>10</v>
      </c>
      <c r="G9" s="53" t="s">
        <v>11</v>
      </c>
      <c r="H9" s="76" t="s">
        <v>12</v>
      </c>
      <c r="I9" s="53" t="s">
        <v>13</v>
      </c>
    </row>
    <row r="10" spans="1:10" ht="26.25" thickBot="1" x14ac:dyDescent="0.25">
      <c r="A10" s="54">
        <v>14</v>
      </c>
      <c r="B10" s="56"/>
      <c r="C10" s="57" t="s">
        <v>57</v>
      </c>
      <c r="D10" s="58">
        <v>295</v>
      </c>
      <c r="E10" s="83" t="s">
        <v>63</v>
      </c>
      <c r="F10" s="55" t="s">
        <v>58</v>
      </c>
      <c r="G10" s="66">
        <v>13</v>
      </c>
      <c r="H10" s="68">
        <v>4200</v>
      </c>
      <c r="I10" s="69">
        <f t="shared" ref="I10:I25" si="0">+G10*H10</f>
        <v>54600</v>
      </c>
    </row>
    <row r="11" spans="1:10" ht="26.25" thickBot="1" x14ac:dyDescent="0.25">
      <c r="A11" s="54">
        <v>15</v>
      </c>
      <c r="B11" s="56"/>
      <c r="C11" s="57" t="s">
        <v>57</v>
      </c>
      <c r="D11" s="58">
        <v>295</v>
      </c>
      <c r="E11" s="83" t="s">
        <v>64</v>
      </c>
      <c r="F11" s="55" t="s">
        <v>58</v>
      </c>
      <c r="G11" s="66">
        <v>13</v>
      </c>
      <c r="H11" s="70">
        <v>4200</v>
      </c>
      <c r="I11" s="69">
        <f t="shared" si="0"/>
        <v>54600</v>
      </c>
    </row>
    <row r="12" spans="1:10" ht="26.25" thickBot="1" x14ac:dyDescent="0.25">
      <c r="A12" s="54">
        <v>26</v>
      </c>
      <c r="B12" s="56"/>
      <c r="C12" s="57" t="s">
        <v>57</v>
      </c>
      <c r="D12" s="58">
        <v>295</v>
      </c>
      <c r="E12" s="81" t="s">
        <v>65</v>
      </c>
      <c r="F12" s="55" t="s">
        <v>58</v>
      </c>
      <c r="G12" s="67">
        <v>100</v>
      </c>
      <c r="H12" s="77">
        <v>6400</v>
      </c>
      <c r="I12" s="69">
        <f t="shared" si="0"/>
        <v>640000</v>
      </c>
    </row>
    <row r="13" spans="1:10" ht="26.25" thickBot="1" x14ac:dyDescent="0.25">
      <c r="A13" s="54">
        <v>28</v>
      </c>
      <c r="B13" s="56"/>
      <c r="C13" s="57" t="s">
        <v>57</v>
      </c>
      <c r="D13" s="58">
        <v>295</v>
      </c>
      <c r="E13" s="81" t="s">
        <v>66</v>
      </c>
      <c r="F13" s="55" t="s">
        <v>58</v>
      </c>
      <c r="G13" s="67">
        <v>100</v>
      </c>
      <c r="H13" s="77">
        <v>6400</v>
      </c>
      <c r="I13" s="69">
        <f t="shared" si="0"/>
        <v>640000</v>
      </c>
    </row>
    <row r="14" spans="1:10" ht="26.25" thickBot="1" x14ac:dyDescent="0.25">
      <c r="A14" s="54">
        <v>29</v>
      </c>
      <c r="B14" s="56"/>
      <c r="C14" s="57" t="s">
        <v>57</v>
      </c>
      <c r="D14" s="58">
        <v>295</v>
      </c>
      <c r="E14" s="81" t="s">
        <v>67</v>
      </c>
      <c r="F14" s="55" t="s">
        <v>58</v>
      </c>
      <c r="G14" s="67">
        <v>800</v>
      </c>
      <c r="H14" s="77">
        <v>510</v>
      </c>
      <c r="I14" s="69">
        <f t="shared" si="0"/>
        <v>408000</v>
      </c>
    </row>
    <row r="15" spans="1:10" ht="26.25" thickBot="1" x14ac:dyDescent="0.25">
      <c r="A15" s="54">
        <v>30</v>
      </c>
      <c r="B15" s="56"/>
      <c r="C15" s="57" t="s">
        <v>57</v>
      </c>
      <c r="D15" s="58">
        <v>295</v>
      </c>
      <c r="E15" s="81" t="s">
        <v>68</v>
      </c>
      <c r="F15" s="55" t="s">
        <v>58</v>
      </c>
      <c r="G15" s="67">
        <v>150</v>
      </c>
      <c r="H15" s="77">
        <v>6400</v>
      </c>
      <c r="I15" s="69">
        <f t="shared" si="0"/>
        <v>960000</v>
      </c>
    </row>
    <row r="16" spans="1:10" ht="26.25" thickBot="1" x14ac:dyDescent="0.25">
      <c r="A16" s="54">
        <v>39</v>
      </c>
      <c r="B16" s="56"/>
      <c r="C16" s="57" t="s">
        <v>57</v>
      </c>
      <c r="D16" s="58">
        <v>295</v>
      </c>
      <c r="E16" s="83" t="s">
        <v>69</v>
      </c>
      <c r="F16" s="55" t="s">
        <v>58</v>
      </c>
      <c r="G16" s="82">
        <v>42</v>
      </c>
      <c r="H16" s="77">
        <v>18750</v>
      </c>
      <c r="I16" s="69">
        <f t="shared" ref="I16:I19" si="1">+G16*H16</f>
        <v>787500</v>
      </c>
    </row>
    <row r="17" spans="1:9" ht="26.25" thickBot="1" x14ac:dyDescent="0.25">
      <c r="A17" s="54">
        <v>40</v>
      </c>
      <c r="B17" s="56"/>
      <c r="C17" s="57" t="s">
        <v>57</v>
      </c>
      <c r="D17" s="58">
        <v>295</v>
      </c>
      <c r="E17" s="83" t="s">
        <v>70</v>
      </c>
      <c r="F17" s="55" t="s">
        <v>58</v>
      </c>
      <c r="G17" s="82">
        <v>15</v>
      </c>
      <c r="H17" s="77">
        <v>6700</v>
      </c>
      <c r="I17" s="69">
        <f t="shared" si="1"/>
        <v>100500</v>
      </c>
    </row>
    <row r="18" spans="1:9" ht="26.25" thickBot="1" x14ac:dyDescent="0.25">
      <c r="A18" s="54">
        <v>41</v>
      </c>
      <c r="B18" s="56"/>
      <c r="C18" s="57" t="s">
        <v>57</v>
      </c>
      <c r="D18" s="58">
        <v>295</v>
      </c>
      <c r="E18" s="81" t="s">
        <v>71</v>
      </c>
      <c r="F18" s="55" t="s">
        <v>58</v>
      </c>
      <c r="G18" s="82">
        <v>10</v>
      </c>
      <c r="H18" s="77">
        <v>16100</v>
      </c>
      <c r="I18" s="69">
        <f t="shared" si="1"/>
        <v>161000</v>
      </c>
    </row>
    <row r="19" spans="1:9" ht="26.25" thickBot="1" x14ac:dyDescent="0.25">
      <c r="A19" s="54">
        <v>42</v>
      </c>
      <c r="B19" s="56"/>
      <c r="C19" s="57" t="s">
        <v>57</v>
      </c>
      <c r="D19" s="58">
        <v>295</v>
      </c>
      <c r="E19" s="81" t="s">
        <v>72</v>
      </c>
      <c r="F19" s="55" t="s">
        <v>58</v>
      </c>
      <c r="G19" s="67">
        <v>10</v>
      </c>
      <c r="H19" s="70">
        <v>18000</v>
      </c>
      <c r="I19" s="69">
        <f t="shared" si="1"/>
        <v>180000</v>
      </c>
    </row>
    <row r="20" spans="1:9" ht="26.25" thickBot="1" x14ac:dyDescent="0.25">
      <c r="A20" s="54">
        <v>68</v>
      </c>
      <c r="B20" s="56"/>
      <c r="C20" s="57" t="s">
        <v>57</v>
      </c>
      <c r="D20" s="58">
        <v>295</v>
      </c>
      <c r="E20" s="80" t="s">
        <v>73</v>
      </c>
      <c r="F20" s="55" t="s">
        <v>58</v>
      </c>
      <c r="G20" s="79">
        <v>3</v>
      </c>
      <c r="H20" s="68">
        <v>29900</v>
      </c>
      <c r="I20" s="69">
        <f t="shared" ref="I20:I22" si="2">+G20*H20</f>
        <v>89700</v>
      </c>
    </row>
    <row r="21" spans="1:9" ht="26.25" thickBot="1" x14ac:dyDescent="0.25">
      <c r="A21" s="54">
        <v>69</v>
      </c>
      <c r="B21" s="56"/>
      <c r="C21" s="57" t="s">
        <v>57</v>
      </c>
      <c r="D21" s="58">
        <v>295</v>
      </c>
      <c r="E21" s="80" t="s">
        <v>74</v>
      </c>
      <c r="F21" s="55" t="s">
        <v>58</v>
      </c>
      <c r="G21" s="79">
        <v>3</v>
      </c>
      <c r="H21" s="68">
        <v>29900</v>
      </c>
      <c r="I21" s="69">
        <f t="shared" si="2"/>
        <v>89700</v>
      </c>
    </row>
    <row r="22" spans="1:9" ht="26.25" thickBot="1" x14ac:dyDescent="0.25">
      <c r="A22" s="54">
        <v>82</v>
      </c>
      <c r="B22" s="56"/>
      <c r="C22" s="57" t="s">
        <v>57</v>
      </c>
      <c r="D22" s="58">
        <v>295</v>
      </c>
      <c r="E22" s="78" t="s">
        <v>75</v>
      </c>
      <c r="F22" s="55" t="s">
        <v>58</v>
      </c>
      <c r="G22" s="66">
        <v>5500</v>
      </c>
      <c r="H22" s="68">
        <v>36</v>
      </c>
      <c r="I22" s="69">
        <f t="shared" si="2"/>
        <v>198000</v>
      </c>
    </row>
    <row r="23" spans="1:9" ht="26.25" thickBot="1" x14ac:dyDescent="0.25">
      <c r="A23" s="54">
        <v>110</v>
      </c>
      <c r="B23" s="56"/>
      <c r="C23" s="57" t="s">
        <v>57</v>
      </c>
      <c r="D23" s="58">
        <v>295</v>
      </c>
      <c r="E23" s="81" t="s">
        <v>76</v>
      </c>
      <c r="F23" s="55" t="s">
        <v>58</v>
      </c>
      <c r="G23" s="66">
        <v>4</v>
      </c>
      <c r="H23" s="68">
        <v>1500</v>
      </c>
      <c r="I23" s="69">
        <f t="shared" si="0"/>
        <v>6000</v>
      </c>
    </row>
    <row r="24" spans="1:9" ht="26.25" thickBot="1" x14ac:dyDescent="0.25">
      <c r="A24" s="54">
        <v>111</v>
      </c>
      <c r="B24" s="56"/>
      <c r="C24" s="57" t="s">
        <v>57</v>
      </c>
      <c r="D24" s="58">
        <v>295</v>
      </c>
      <c r="E24" s="85" t="s">
        <v>77</v>
      </c>
      <c r="F24" s="55" t="s">
        <v>58</v>
      </c>
      <c r="G24" s="66">
        <v>4</v>
      </c>
      <c r="H24" s="70">
        <v>1600</v>
      </c>
      <c r="I24" s="69">
        <f t="shared" si="0"/>
        <v>6400</v>
      </c>
    </row>
    <row r="25" spans="1:9" ht="25.5" x14ac:dyDescent="0.2">
      <c r="A25" s="54">
        <v>113</v>
      </c>
      <c r="B25" s="56"/>
      <c r="C25" s="57" t="s">
        <v>57</v>
      </c>
      <c r="D25" s="58">
        <v>295</v>
      </c>
      <c r="E25" s="86" t="s">
        <v>78</v>
      </c>
      <c r="F25" s="55" t="s">
        <v>58</v>
      </c>
      <c r="G25" s="67">
        <v>4</v>
      </c>
      <c r="H25" s="70">
        <v>1750</v>
      </c>
      <c r="I25" s="69">
        <f t="shared" si="0"/>
        <v>7000</v>
      </c>
    </row>
    <row r="26" spans="1:9" ht="13.5" thickBot="1" x14ac:dyDescent="0.25">
      <c r="I26" s="59"/>
    </row>
    <row r="27" spans="1:9" x14ac:dyDescent="0.2">
      <c r="B27" s="60" t="s">
        <v>60</v>
      </c>
      <c r="C27" s="61"/>
      <c r="D27" s="61"/>
      <c r="E27" s="62"/>
      <c r="I27" s="59"/>
    </row>
    <row r="28" spans="1:9" ht="13.5" customHeight="1" x14ac:dyDescent="0.2">
      <c r="B28" s="93" t="s">
        <v>61</v>
      </c>
      <c r="C28" s="94"/>
      <c r="D28" s="94"/>
      <c r="E28" s="95"/>
    </row>
    <row r="29" spans="1:9" ht="25.5" customHeight="1" x14ac:dyDescent="0.2">
      <c r="B29" s="93"/>
      <c r="C29" s="94"/>
      <c r="D29" s="94"/>
      <c r="E29" s="95"/>
      <c r="F29" s="63"/>
      <c r="G29" s="63"/>
    </row>
    <row r="30" spans="1:9" ht="17.25" customHeight="1" x14ac:dyDescent="0.2">
      <c r="B30" s="93" t="s">
        <v>79</v>
      </c>
      <c r="C30" s="94"/>
      <c r="D30" s="94"/>
      <c r="E30" s="95"/>
      <c r="F30" s="63"/>
      <c r="G30" s="63"/>
    </row>
    <row r="31" spans="1:9" x14ac:dyDescent="0.2">
      <c r="B31" s="64" t="s">
        <v>62</v>
      </c>
      <c r="C31" s="46"/>
      <c r="D31" s="46"/>
      <c r="E31" s="65"/>
      <c r="F31" s="63"/>
      <c r="G31" s="63"/>
    </row>
    <row r="32" spans="1:9" ht="12" customHeight="1" thickBot="1" x14ac:dyDescent="0.25">
      <c r="B32" s="71"/>
      <c r="C32" s="72"/>
      <c r="D32" s="72"/>
      <c r="E32" s="73"/>
    </row>
  </sheetData>
  <mergeCells count="9">
    <mergeCell ref="A6:B6"/>
    <mergeCell ref="A7:B7"/>
    <mergeCell ref="B28:E29"/>
    <mergeCell ref="B30:E30"/>
    <mergeCell ref="B2:H2"/>
    <mergeCell ref="A4:B4"/>
    <mergeCell ref="C4:E4"/>
    <mergeCell ref="A5:B5"/>
    <mergeCell ref="C5:E5"/>
  </mergeCells>
  <printOptions horizontalCentered="1"/>
  <pageMargins left="0.11811023622047245" right="0.11811023622047245" top="0.74803149606299213" bottom="0.35433070866141736" header="0.11811023622047245" footer="0"/>
  <pageSetup paperSize="5" firstPageNumber="0" fitToWidth="2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28"/>
  <sheetViews>
    <sheetView tabSelected="1" zoomScale="80" zoomScaleNormal="80" workbookViewId="0">
      <selection activeCell="N14" sqref="N14"/>
    </sheetView>
  </sheetViews>
  <sheetFormatPr baseColWidth="10" defaultColWidth="9.140625" defaultRowHeight="12.75" x14ac:dyDescent="0.2"/>
  <cols>
    <col min="1" max="1" width="5.5703125" style="24" customWidth="1"/>
    <col min="2" max="2" width="15.140625" style="24" customWidth="1"/>
    <col min="3" max="3" width="14.140625" style="24" customWidth="1"/>
    <col min="4" max="4" width="26" style="24" customWidth="1"/>
    <col min="5" max="5" width="8" style="24" customWidth="1"/>
    <col min="6" max="6" width="7.85546875" style="24" customWidth="1"/>
    <col min="7" max="7" width="48.5703125" style="24" customWidth="1"/>
    <col min="8" max="8" width="9.28515625" style="24" customWidth="1"/>
    <col min="9" max="9" width="15.5703125" style="24" customWidth="1"/>
    <col min="10" max="10" width="14.7109375" style="24" customWidth="1"/>
    <col min="11" max="11" width="15.5703125" style="24" customWidth="1"/>
    <col min="12" max="12" width="13.7109375" style="24" customWidth="1"/>
    <col min="13" max="13" width="5.85546875" style="24" customWidth="1"/>
    <col min="14" max="14" width="14.140625" style="24" customWidth="1"/>
    <col min="15" max="15" width="12.5703125" style="24" customWidth="1"/>
    <col min="16" max="1024" width="9.140625" style="24"/>
    <col min="1025" max="16384" width="9.140625" style="25"/>
  </cols>
  <sheetData>
    <row r="1" spans="1:11" ht="18" customHeight="1" x14ac:dyDescent="0.2">
      <c r="A1" s="99" t="s">
        <v>14</v>
      </c>
      <c r="B1" s="99"/>
      <c r="C1" s="99"/>
      <c r="D1" s="99"/>
      <c r="E1" s="99"/>
      <c r="F1" s="99"/>
      <c r="G1" s="99"/>
      <c r="H1" s="99"/>
      <c r="I1" s="99"/>
      <c r="J1" s="23" t="s">
        <v>15</v>
      </c>
      <c r="K1" s="84" t="s">
        <v>84</v>
      </c>
    </row>
    <row r="2" spans="1:11" ht="18.75" customHeight="1" thickBot="1" x14ac:dyDescent="0.25">
      <c r="A2" s="26"/>
      <c r="B2" s="26"/>
      <c r="C2" s="26"/>
      <c r="D2" s="27"/>
      <c r="E2" s="27"/>
      <c r="F2" s="27"/>
      <c r="G2" s="27"/>
      <c r="H2" s="27"/>
      <c r="I2" s="27"/>
      <c r="J2" s="27"/>
      <c r="K2" s="27"/>
    </row>
    <row r="3" spans="1:11" ht="18.75" customHeight="1" thickBot="1" x14ac:dyDescent="0.25">
      <c r="A3" s="100" t="s">
        <v>48</v>
      </c>
      <c r="B3" s="100"/>
      <c r="C3" s="100"/>
      <c r="D3" s="101" t="str">
        <f>'Necesidades Trimestrales'!C4</f>
        <v>040 - Ministerio de Salud</v>
      </c>
      <c r="E3" s="101"/>
      <c r="F3" s="101"/>
      <c r="G3" s="101"/>
      <c r="H3" s="101"/>
      <c r="I3" s="101"/>
      <c r="J3" s="101"/>
      <c r="K3" s="101"/>
    </row>
    <row r="4" spans="1:11" ht="18.75" customHeight="1" thickBot="1" x14ac:dyDescent="0.25">
      <c r="A4" s="102" t="s">
        <v>49</v>
      </c>
      <c r="B4" s="102"/>
      <c r="C4" s="102"/>
      <c r="D4" s="101" t="str">
        <f>'Necesidades Trimestrales'!C5</f>
        <v>024 - Hospital Interzonal de Niños</v>
      </c>
      <c r="E4" s="101"/>
      <c r="F4" s="101"/>
      <c r="G4" s="101"/>
      <c r="H4" s="101"/>
      <c r="I4" s="101"/>
      <c r="J4" s="101"/>
      <c r="K4" s="101"/>
    </row>
    <row r="5" spans="1:11" ht="18.75" customHeight="1" thickBot="1" x14ac:dyDescent="0.25">
      <c r="A5" s="102" t="s">
        <v>27</v>
      </c>
      <c r="B5" s="102"/>
      <c r="C5" s="102"/>
      <c r="D5" s="101" t="s">
        <v>51</v>
      </c>
      <c r="E5" s="101"/>
      <c r="F5" s="101"/>
      <c r="G5" s="101"/>
      <c r="H5" s="101"/>
      <c r="I5" s="101"/>
      <c r="J5" s="101"/>
      <c r="K5" s="101"/>
    </row>
    <row r="6" spans="1:11" ht="16.5" customHeight="1" thickBot="1" x14ac:dyDescent="0.25">
      <c r="A6" s="100" t="s">
        <v>50</v>
      </c>
      <c r="B6" s="100"/>
      <c r="C6" s="100"/>
      <c r="D6" s="101" t="s">
        <v>56</v>
      </c>
      <c r="E6" s="101"/>
      <c r="F6" s="101"/>
      <c r="G6" s="101"/>
      <c r="H6" s="101"/>
      <c r="I6" s="101"/>
      <c r="J6" s="101"/>
      <c r="K6" s="101"/>
    </row>
    <row r="7" spans="1:11" ht="16.5" customHeight="1" x14ac:dyDescent="0.2">
      <c r="A7" s="102" t="s">
        <v>16</v>
      </c>
      <c r="B7" s="102"/>
      <c r="C7" s="102"/>
      <c r="D7" s="101" t="str">
        <f>'Necesidades Trimestrales'!C7 &amp; "° Trimestre - Año " &amp; 'Necesidades Trimestrales'!C6</f>
        <v>3° Trimestre - Año 2021</v>
      </c>
      <c r="E7" s="101"/>
      <c r="F7" s="101"/>
      <c r="G7" s="101"/>
      <c r="H7" s="101"/>
      <c r="I7" s="101"/>
      <c r="J7" s="101"/>
      <c r="K7" s="101"/>
    </row>
    <row r="8" spans="1:11" ht="16.5" customHeight="1" x14ac:dyDescent="0.2">
      <c r="A8" s="107" t="s">
        <v>17</v>
      </c>
      <c r="B8" s="107"/>
      <c r="C8" s="107"/>
      <c r="D8" s="103" t="s">
        <v>83</v>
      </c>
      <c r="E8" s="103"/>
      <c r="F8" s="103"/>
      <c r="G8" s="103"/>
      <c r="H8" s="103"/>
      <c r="I8" s="103"/>
      <c r="J8" s="103"/>
      <c r="K8" s="103"/>
    </row>
    <row r="9" spans="1:11" ht="15.75" x14ac:dyDescent="0.2">
      <c r="A9" s="28"/>
      <c r="B9" s="28"/>
      <c r="C9" s="28"/>
      <c r="D9" s="29"/>
      <c r="E9" s="29"/>
      <c r="F9" s="29"/>
      <c r="G9" s="29"/>
      <c r="H9" s="29"/>
      <c r="I9" s="29"/>
      <c r="J9" s="29"/>
      <c r="K9" s="29"/>
    </row>
    <row r="10" spans="1:11" ht="18.75" customHeight="1" x14ac:dyDescent="0.2">
      <c r="A10" s="104" t="s">
        <v>18</v>
      </c>
      <c r="B10" s="105" t="s">
        <v>19</v>
      </c>
      <c r="C10" s="105" t="s">
        <v>20</v>
      </c>
      <c r="D10" s="105"/>
      <c r="E10" s="105"/>
      <c r="F10" s="105"/>
      <c r="G10" s="105"/>
      <c r="H10" s="105" t="s">
        <v>21</v>
      </c>
      <c r="I10" s="105" t="s">
        <v>22</v>
      </c>
      <c r="J10" s="105" t="s">
        <v>23</v>
      </c>
      <c r="K10" s="106" t="s">
        <v>24</v>
      </c>
    </row>
    <row r="11" spans="1:11" ht="24" customHeight="1" thickBot="1" x14ac:dyDescent="0.25">
      <c r="A11" s="104"/>
      <c r="B11" s="105"/>
      <c r="C11" s="105"/>
      <c r="D11" s="105"/>
      <c r="E11" s="105"/>
      <c r="F11" s="105"/>
      <c r="G11" s="105"/>
      <c r="H11" s="105"/>
      <c r="I11" s="105"/>
      <c r="J11" s="105"/>
      <c r="K11" s="106"/>
    </row>
    <row r="12" spans="1:11" ht="27.75" customHeight="1" thickBot="1" x14ac:dyDescent="0.25">
      <c r="A12" s="30">
        <v>14</v>
      </c>
      <c r="B12" s="43"/>
      <c r="C12" s="98" t="str">
        <f>'Necesidades Trimestrales'!E10</f>
        <v>CANULA NASAL PARA ALTO FLUJO TIPO GGM  ADULTO 5 mm 4825R1V TAMANO M</v>
      </c>
      <c r="D12" s="98"/>
      <c r="E12" s="98"/>
      <c r="F12" s="98"/>
      <c r="G12" s="98"/>
      <c r="H12" s="44" t="s">
        <v>54</v>
      </c>
      <c r="I12" s="31" t="str">
        <f>'Necesidades Trimestrales'!F10</f>
        <v>UNIDAD</v>
      </c>
      <c r="J12" s="91">
        <f>'Necesidades Trimestrales'!H10</f>
        <v>4200</v>
      </c>
      <c r="K12" s="32">
        <f>'Necesidades Trimestrales'!G10</f>
        <v>13</v>
      </c>
    </row>
    <row r="13" spans="1:11" ht="27.75" customHeight="1" thickBot="1" x14ac:dyDescent="0.25">
      <c r="A13" s="30">
        <v>15</v>
      </c>
      <c r="B13" s="43"/>
      <c r="C13" s="98" t="str">
        <f>'Necesidades Trimestrales'!E11</f>
        <v xml:space="preserve">CANULA NASAL PARA ALTO FLUJO TIPO GGM  ADULTO 6 mm 4826R1V TAMANO L </v>
      </c>
      <c r="D13" s="98"/>
      <c r="E13" s="98"/>
      <c r="F13" s="98"/>
      <c r="G13" s="98"/>
      <c r="H13" s="44" t="s">
        <v>54</v>
      </c>
      <c r="I13" s="31" t="str">
        <f>'Necesidades Trimestrales'!F11</f>
        <v>UNIDAD</v>
      </c>
      <c r="J13" s="91">
        <f>'Necesidades Trimestrales'!H11</f>
        <v>4200</v>
      </c>
      <c r="K13" s="32">
        <f>'Necesidades Trimestrales'!G11</f>
        <v>13</v>
      </c>
    </row>
    <row r="14" spans="1:11" ht="27.75" customHeight="1" thickBot="1" x14ac:dyDescent="0.25">
      <c r="A14" s="30">
        <v>26</v>
      </c>
      <c r="B14" s="45"/>
      <c r="C14" s="98" t="str">
        <f>'Necesidades Trimestrales'!E12</f>
        <v>CIRCUITO ANESTESIA EXTENSIBLE ADULTO AUTOCLAVABLE</v>
      </c>
      <c r="D14" s="98"/>
      <c r="E14" s="98"/>
      <c r="F14" s="98"/>
      <c r="G14" s="98"/>
      <c r="H14" s="44" t="s">
        <v>54</v>
      </c>
      <c r="I14" s="31" t="str">
        <f>'Necesidades Trimestrales'!F12</f>
        <v>UNIDAD</v>
      </c>
      <c r="J14" s="91">
        <f>'Necesidades Trimestrales'!H12</f>
        <v>6400</v>
      </c>
      <c r="K14" s="32">
        <f>'Necesidades Trimestrales'!G12</f>
        <v>100</v>
      </c>
    </row>
    <row r="15" spans="1:11" ht="27.75" customHeight="1" thickBot="1" x14ac:dyDescent="0.25">
      <c r="A15" s="30">
        <v>28</v>
      </c>
      <c r="B15" s="45"/>
      <c r="C15" s="98" t="str">
        <f>'Necesidades Trimestrales'!E13</f>
        <v>CIRCUITO ANESTESIA EXTENSIBLE NEONATAL AUTOCLAVABLE</v>
      </c>
      <c r="D15" s="98"/>
      <c r="E15" s="98"/>
      <c r="F15" s="98"/>
      <c r="G15" s="98"/>
      <c r="H15" s="44" t="s">
        <v>54</v>
      </c>
      <c r="I15" s="31" t="str">
        <f>'Necesidades Trimestrales'!F13</f>
        <v>UNIDAD</v>
      </c>
      <c r="J15" s="91">
        <f>'Necesidades Trimestrales'!H13</f>
        <v>6400</v>
      </c>
      <c r="K15" s="32">
        <f>'Necesidades Trimestrales'!G13</f>
        <v>100</v>
      </c>
    </row>
    <row r="16" spans="1:11" ht="27.75" customHeight="1" thickBot="1" x14ac:dyDescent="0.25">
      <c r="A16" s="30">
        <v>29</v>
      </c>
      <c r="B16" s="45"/>
      <c r="C16" s="98" t="str">
        <f>'Necesidades Trimestrales'!E14</f>
        <v>CIRCUITO ANESTESIA EXTENSIBLE NEONATAL DESCARTABLE</v>
      </c>
      <c r="D16" s="98"/>
      <c r="E16" s="98"/>
      <c r="F16" s="98"/>
      <c r="G16" s="98"/>
      <c r="H16" s="44" t="s">
        <v>54</v>
      </c>
      <c r="I16" s="31" t="str">
        <f>'Necesidades Trimestrales'!F14</f>
        <v>UNIDAD</v>
      </c>
      <c r="J16" s="91">
        <f>'Necesidades Trimestrales'!H14</f>
        <v>510</v>
      </c>
      <c r="K16" s="32">
        <f>'Necesidades Trimestrales'!G14</f>
        <v>800</v>
      </c>
    </row>
    <row r="17" spans="1:14" ht="27.75" customHeight="1" thickBot="1" x14ac:dyDescent="0.25">
      <c r="A17" s="30">
        <v>30</v>
      </c>
      <c r="B17" s="45"/>
      <c r="C17" s="98" t="str">
        <f>'Necesidades Trimestrales'!E15</f>
        <v>CIRCUITO ANESTESIA EXTENSIBLE PEDIATRICO AUTOCLAVABLE</v>
      </c>
      <c r="D17" s="98"/>
      <c r="E17" s="98"/>
      <c r="F17" s="98"/>
      <c r="G17" s="98"/>
      <c r="H17" s="44" t="s">
        <v>54</v>
      </c>
      <c r="I17" s="31" t="str">
        <f>'Necesidades Trimestrales'!F15</f>
        <v>UNIDAD</v>
      </c>
      <c r="J17" s="91">
        <f>'Necesidades Trimestrales'!H15</f>
        <v>6400</v>
      </c>
      <c r="K17" s="32">
        <f>'Necesidades Trimestrales'!G15</f>
        <v>150</v>
      </c>
    </row>
    <row r="18" spans="1:14" ht="27.75" customHeight="1" thickBot="1" x14ac:dyDescent="0.25">
      <c r="A18" s="30">
        <v>39</v>
      </c>
      <c r="B18" s="45"/>
      <c r="C18" s="98" t="str">
        <f>'Necesidades Trimestrales'!E16</f>
        <v>CIRCUITO PARA ALTO FLUJO TIPO  FISHER PAYKEL PEDIATRICO/ADULTO  AIRVO</v>
      </c>
      <c r="D18" s="98"/>
      <c r="E18" s="98"/>
      <c r="F18" s="98"/>
      <c r="G18" s="98"/>
      <c r="H18" s="44" t="s">
        <v>54</v>
      </c>
      <c r="I18" s="31" t="str">
        <f>'Necesidades Trimestrales'!F16</f>
        <v>UNIDAD</v>
      </c>
      <c r="J18" s="91">
        <f>'Necesidades Trimestrales'!H16</f>
        <v>18750</v>
      </c>
      <c r="K18" s="32">
        <f>'Necesidades Trimestrales'!G16</f>
        <v>42</v>
      </c>
    </row>
    <row r="19" spans="1:14" ht="27.75" customHeight="1" thickBot="1" x14ac:dyDescent="0.25">
      <c r="A19" s="30">
        <v>40</v>
      </c>
      <c r="B19" s="45"/>
      <c r="C19" s="98" t="str">
        <f>'Necesidades Trimestrales'!E17</f>
        <v>CIRCUITO PARA ALTO FLUJO TIPO  HUMIDOFLO  PEDIATRICO/ADULTO</v>
      </c>
      <c r="D19" s="98"/>
      <c r="E19" s="98"/>
      <c r="F19" s="98"/>
      <c r="G19" s="98"/>
      <c r="H19" s="44" t="s">
        <v>54</v>
      </c>
      <c r="I19" s="31" t="str">
        <f>'Necesidades Trimestrales'!F17</f>
        <v>UNIDAD</v>
      </c>
      <c r="J19" s="91">
        <f>'Necesidades Trimestrales'!H17</f>
        <v>6700</v>
      </c>
      <c r="K19" s="32">
        <f>'Necesidades Trimestrales'!G17</f>
        <v>15</v>
      </c>
    </row>
    <row r="20" spans="1:14" ht="27.75" customHeight="1" thickBot="1" x14ac:dyDescent="0.25">
      <c r="A20" s="30">
        <v>41</v>
      </c>
      <c r="B20" s="45"/>
      <c r="C20" s="98" t="str">
        <f>'Necesidades Trimestrales'!E18</f>
        <v>CIRCUITO RESPIRADOR CON TRAMPA DE AGUA AUTOCLAVABLE ADULTO</v>
      </c>
      <c r="D20" s="98"/>
      <c r="E20" s="98"/>
      <c r="F20" s="98"/>
      <c r="G20" s="98"/>
      <c r="H20" s="44" t="s">
        <v>54</v>
      </c>
      <c r="I20" s="31" t="str">
        <f>'Necesidades Trimestrales'!F18</f>
        <v>UNIDAD</v>
      </c>
      <c r="J20" s="91">
        <f>'Necesidades Trimestrales'!H18</f>
        <v>16100</v>
      </c>
      <c r="K20" s="32">
        <f>'Necesidades Trimestrales'!G18</f>
        <v>10</v>
      </c>
    </row>
    <row r="21" spans="1:14" ht="27.75" customHeight="1" thickBot="1" x14ac:dyDescent="0.25">
      <c r="A21" s="30">
        <v>42</v>
      </c>
      <c r="B21" s="45"/>
      <c r="C21" s="98" t="str">
        <f>'Necesidades Trimestrales'!E19</f>
        <v>CIRCUITO RESPIRADOR CON TRAMPA DE AGUA AUTOCLAVABLE PEDIATRICO</v>
      </c>
      <c r="D21" s="98"/>
      <c r="E21" s="98"/>
      <c r="F21" s="98"/>
      <c r="G21" s="98"/>
      <c r="H21" s="44" t="s">
        <v>54</v>
      </c>
      <c r="I21" s="31" t="str">
        <f>'Necesidades Trimestrales'!F19</f>
        <v>UNIDAD</v>
      </c>
      <c r="J21" s="91">
        <f>'Necesidades Trimestrales'!H19</f>
        <v>18000</v>
      </c>
      <c r="K21" s="32">
        <f>'Necesidades Trimestrales'!G19</f>
        <v>10</v>
      </c>
    </row>
    <row r="22" spans="1:14" ht="27.75" customHeight="1" thickBot="1" x14ac:dyDescent="0.25">
      <c r="A22" s="30">
        <v>68</v>
      </c>
      <c r="B22" s="45"/>
      <c r="C22" s="98" t="str">
        <f>'Necesidades Trimestrales'!E20</f>
        <v>MASCARA PERFOMAX TOTAL FACE  TALLE G PARA VNI</v>
      </c>
      <c r="D22" s="98"/>
      <c r="E22" s="98"/>
      <c r="F22" s="98"/>
      <c r="G22" s="98"/>
      <c r="H22" s="44" t="s">
        <v>54</v>
      </c>
      <c r="I22" s="31" t="str">
        <f>'Necesidades Trimestrales'!F20</f>
        <v>UNIDAD</v>
      </c>
      <c r="J22" s="91">
        <f>'Necesidades Trimestrales'!H20</f>
        <v>29900</v>
      </c>
      <c r="K22" s="32">
        <f>'Necesidades Trimestrales'!G20</f>
        <v>3</v>
      </c>
    </row>
    <row r="23" spans="1:14" ht="27.75" customHeight="1" thickBot="1" x14ac:dyDescent="0.25">
      <c r="A23" s="30">
        <v>69</v>
      </c>
      <c r="B23" s="45"/>
      <c r="C23" s="98" t="str">
        <f>'Necesidades Trimestrales'!E21</f>
        <v>MASCARA PERFOMAX TOTAL FACE  TALLE XG PARA VNI</v>
      </c>
      <c r="D23" s="98"/>
      <c r="E23" s="98"/>
      <c r="F23" s="98"/>
      <c r="G23" s="98"/>
      <c r="H23" s="44" t="s">
        <v>54</v>
      </c>
      <c r="I23" s="31" t="str">
        <f>'Necesidades Trimestrales'!F21</f>
        <v>UNIDAD</v>
      </c>
      <c r="J23" s="91">
        <f>'Necesidades Trimestrales'!H21</f>
        <v>29900</v>
      </c>
      <c r="K23" s="32">
        <f>'Necesidades Trimestrales'!G21</f>
        <v>3</v>
      </c>
    </row>
    <row r="24" spans="1:14" ht="27.75" customHeight="1" thickBot="1" x14ac:dyDescent="0.25">
      <c r="A24" s="30">
        <v>82</v>
      </c>
      <c r="B24" s="45"/>
      <c r="C24" s="98" t="str">
        <f>'Necesidades Trimestrales'!E22</f>
        <v>SONDA P/ASP.MUCUS C/REG.2,3 MM X 7 FR K-26P</v>
      </c>
      <c r="D24" s="98"/>
      <c r="E24" s="98"/>
      <c r="F24" s="98"/>
      <c r="G24" s="98"/>
      <c r="H24" s="44" t="s">
        <v>54</v>
      </c>
      <c r="I24" s="31" t="str">
        <f>'Necesidades Trimestrales'!F22</f>
        <v>UNIDAD</v>
      </c>
      <c r="J24" s="91">
        <f>'Necesidades Trimestrales'!H22</f>
        <v>36</v>
      </c>
      <c r="K24" s="32">
        <f>'Necesidades Trimestrales'!G22</f>
        <v>5500</v>
      </c>
    </row>
    <row r="25" spans="1:14" ht="27.75" customHeight="1" thickBot="1" x14ac:dyDescent="0.25">
      <c r="A25" s="30">
        <v>110</v>
      </c>
      <c r="B25" s="45"/>
      <c r="C25" s="98" t="str">
        <f>'Necesidades Trimestrales'!E23</f>
        <v>TUBULADURA  PVC   9 X 6 X 50 USO MEDICINAL</v>
      </c>
      <c r="D25" s="98"/>
      <c r="E25" s="98"/>
      <c r="F25" s="98"/>
      <c r="G25" s="98"/>
      <c r="H25" s="44" t="s">
        <v>54</v>
      </c>
      <c r="I25" s="31" t="str">
        <f>'Necesidades Trimestrales'!F23</f>
        <v>UNIDAD</v>
      </c>
      <c r="J25" s="91">
        <f>'Necesidades Trimestrales'!H23</f>
        <v>1500</v>
      </c>
      <c r="K25" s="32">
        <f>'Necesidades Trimestrales'!G23</f>
        <v>4</v>
      </c>
    </row>
    <row r="26" spans="1:14" ht="27.75" customHeight="1" thickBot="1" x14ac:dyDescent="0.25">
      <c r="A26" s="30">
        <v>111</v>
      </c>
      <c r="B26" s="45"/>
      <c r="C26" s="98" t="str">
        <f>'Necesidades Trimestrales'!E24</f>
        <v>TUBULADURA  PVC.6,40 X 9,50 USO MEDICINAL</v>
      </c>
      <c r="D26" s="98"/>
      <c r="E26" s="98"/>
      <c r="F26" s="98"/>
      <c r="G26" s="98"/>
      <c r="H26" s="44" t="s">
        <v>54</v>
      </c>
      <c r="I26" s="31" t="str">
        <f>'Necesidades Trimestrales'!F24</f>
        <v>UNIDAD</v>
      </c>
      <c r="J26" s="91">
        <f>'Necesidades Trimestrales'!H24</f>
        <v>1600</v>
      </c>
      <c r="K26" s="32">
        <f>'Necesidades Trimestrales'!G24</f>
        <v>4</v>
      </c>
    </row>
    <row r="27" spans="1:14" ht="27.75" customHeight="1" thickBot="1" x14ac:dyDescent="0.25">
      <c r="A27" s="30">
        <v>113</v>
      </c>
      <c r="B27" s="45"/>
      <c r="C27" s="98" t="str">
        <f>'Necesidades Trimestrales'!E25</f>
        <v>TUBULADURA PVC 7,9 X 12,70  USO MEDICINAL</v>
      </c>
      <c r="D27" s="98"/>
      <c r="E27" s="98"/>
      <c r="F27" s="98"/>
      <c r="G27" s="98"/>
      <c r="H27" s="44" t="s">
        <v>54</v>
      </c>
      <c r="I27" s="31" t="str">
        <f>'Necesidades Trimestrales'!F25</f>
        <v>UNIDAD</v>
      </c>
      <c r="J27" s="91">
        <f>'Necesidades Trimestrales'!H25</f>
        <v>1750</v>
      </c>
      <c r="K27" s="32">
        <f>'Necesidades Trimestrales'!G25</f>
        <v>4</v>
      </c>
    </row>
    <row r="28" spans="1:14" ht="20.25" customHeight="1" thickBot="1" x14ac:dyDescent="0.25">
      <c r="A28" s="101" t="s">
        <v>81</v>
      </c>
      <c r="B28" s="101"/>
      <c r="C28" s="101"/>
      <c r="D28" s="101"/>
      <c r="E28" s="101"/>
      <c r="F28" s="101"/>
      <c r="G28" s="101"/>
      <c r="H28" s="101"/>
      <c r="I28" s="101"/>
      <c r="J28" s="108">
        <f>SUMPRODUCT(J12:J27,K12:K27)</f>
        <v>4383000</v>
      </c>
      <c r="K28" s="108"/>
      <c r="N28" s="33"/>
    </row>
  </sheetData>
  <mergeCells count="38">
    <mergeCell ref="A8:C8"/>
    <mergeCell ref="C13:G13"/>
    <mergeCell ref="A28:I28"/>
    <mergeCell ref="J28:K28"/>
    <mergeCell ref="C12:G12"/>
    <mergeCell ref="C15:G15"/>
    <mergeCell ref="C16:G16"/>
    <mergeCell ref="C22:G22"/>
    <mergeCell ref="C23:G23"/>
    <mergeCell ref="C24:G24"/>
    <mergeCell ref="H10:H11"/>
    <mergeCell ref="I10:I11"/>
    <mergeCell ref="J10:J11"/>
    <mergeCell ref="K10:K11"/>
    <mergeCell ref="C14:G14"/>
    <mergeCell ref="C17:G17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D8:K8"/>
    <mergeCell ref="A10:A11"/>
    <mergeCell ref="B10:B11"/>
    <mergeCell ref="C10:G11"/>
    <mergeCell ref="C27:G27"/>
    <mergeCell ref="C25:G25"/>
    <mergeCell ref="C26:G26"/>
    <mergeCell ref="C18:G18"/>
    <mergeCell ref="C19:G19"/>
    <mergeCell ref="C20:G20"/>
    <mergeCell ref="C21:G21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4"/>
  <sheetViews>
    <sheetView topLeftCell="A13" zoomScale="130" zoomScaleNormal="130" workbookViewId="0">
      <selection activeCell="F16" sqref="F16"/>
    </sheetView>
  </sheetViews>
  <sheetFormatPr baseColWidth="10" defaultColWidth="11" defaultRowHeight="12.75" x14ac:dyDescent="0.2"/>
  <cols>
    <col min="1" max="5" width="4.42578125" customWidth="1"/>
    <col min="6" max="6" width="5" customWidth="1"/>
    <col min="7" max="7" width="4.42578125" style="2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x14ac:dyDescent="0.25">
      <c r="A1" s="109" t="s">
        <v>3</v>
      </c>
      <c r="B1" s="109"/>
      <c r="C1" s="109"/>
      <c r="D1" s="110">
        <f>'Necesidades Trimestrales'!C6</f>
        <v>2021</v>
      </c>
      <c r="E1" s="110"/>
      <c r="F1" s="3"/>
      <c r="G1" s="3"/>
      <c r="H1" s="4"/>
      <c r="I1" s="4"/>
      <c r="J1" s="4"/>
      <c r="K1" s="4"/>
      <c r="L1" s="4"/>
      <c r="M1" s="4"/>
      <c r="N1" s="4"/>
      <c r="P1" s="111" t="s">
        <v>25</v>
      </c>
      <c r="Q1" s="111"/>
    </row>
    <row r="2" spans="1:17" ht="15.75" customHeight="1" x14ac:dyDescent="0.2">
      <c r="H2" s="4"/>
      <c r="I2" s="4"/>
      <c r="J2" s="4"/>
      <c r="K2" s="4"/>
      <c r="L2" s="4"/>
      <c r="M2" s="4"/>
      <c r="N2" s="4"/>
      <c r="P2" s="111"/>
      <c r="Q2" s="111"/>
    </row>
    <row r="4" spans="1:17" s="5" customFormat="1" ht="18" customHeight="1" thickBot="1" x14ac:dyDescent="0.25">
      <c r="A4" s="112" t="s">
        <v>26</v>
      </c>
      <c r="B4" s="112"/>
      <c r="C4" s="112"/>
      <c r="D4" s="112"/>
      <c r="E4" s="112"/>
      <c r="F4" s="112"/>
      <c r="G4" s="113" t="str">
        <f>' NotaPedido'!D3</f>
        <v>040 - Ministerio de Salud</v>
      </c>
      <c r="H4" s="113"/>
      <c r="I4" s="113"/>
      <c r="J4" s="113"/>
      <c r="K4" s="113"/>
      <c r="L4" s="113"/>
      <c r="M4" s="113"/>
      <c r="N4" s="113"/>
      <c r="O4" s="113"/>
      <c r="P4" s="113"/>
      <c r="Q4" s="113"/>
    </row>
    <row r="5" spans="1:17" s="5" customFormat="1" ht="18" customHeight="1" thickBot="1" x14ac:dyDescent="0.25">
      <c r="A5" s="114" t="s">
        <v>49</v>
      </c>
      <c r="B5" s="115"/>
      <c r="C5" s="115"/>
      <c r="D5" s="115"/>
      <c r="E5" s="115"/>
      <c r="F5" s="116"/>
      <c r="G5" s="113" t="str">
        <f>' NotaPedido'!D4</f>
        <v>024 - Hospital Interzonal de Niños</v>
      </c>
      <c r="H5" s="113"/>
      <c r="I5" s="113"/>
      <c r="J5" s="113"/>
      <c r="K5" s="113"/>
      <c r="L5" s="113"/>
      <c r="M5" s="113"/>
      <c r="N5" s="113"/>
      <c r="O5" s="113"/>
      <c r="P5" s="113"/>
      <c r="Q5" s="113"/>
    </row>
    <row r="6" spans="1:17" s="5" customFormat="1" ht="18" customHeight="1" thickBot="1" x14ac:dyDescent="0.25">
      <c r="A6" s="114" t="s">
        <v>27</v>
      </c>
      <c r="B6" s="115"/>
      <c r="C6" s="115"/>
      <c r="D6" s="115"/>
      <c r="E6" s="115"/>
      <c r="F6" s="116"/>
      <c r="G6" s="113" t="str">
        <f>' NotaPedido'!D5</f>
        <v>024 - Hospital Interzonal de Niños</v>
      </c>
      <c r="H6" s="113"/>
      <c r="I6" s="113"/>
      <c r="J6" s="113"/>
      <c r="K6" s="113"/>
      <c r="L6" s="113"/>
      <c r="M6" s="113"/>
      <c r="N6" s="113"/>
      <c r="O6" s="113"/>
      <c r="P6" s="113"/>
      <c r="Q6" s="113"/>
    </row>
    <row r="7" spans="1:17" s="5" customFormat="1" ht="18" customHeight="1" thickBot="1" x14ac:dyDescent="0.25">
      <c r="A7" s="114" t="s">
        <v>50</v>
      </c>
      <c r="B7" s="115"/>
      <c r="C7" s="115"/>
      <c r="D7" s="115"/>
      <c r="E7" s="115"/>
      <c r="F7" s="116"/>
      <c r="G7" s="113" t="s">
        <v>56</v>
      </c>
      <c r="H7" s="113"/>
      <c r="I7" s="113"/>
      <c r="J7" s="113"/>
      <c r="K7" s="113"/>
      <c r="L7" s="113"/>
      <c r="M7" s="113"/>
      <c r="N7" s="113"/>
      <c r="O7" s="113"/>
      <c r="P7" s="113"/>
      <c r="Q7" s="113"/>
    </row>
    <row r="8" spans="1:17" ht="18" customHeight="1" thickBot="1" x14ac:dyDescent="0.25">
      <c r="A8" s="117" t="s">
        <v>28</v>
      </c>
      <c r="B8" s="117"/>
      <c r="C8" s="117"/>
      <c r="D8" s="117"/>
      <c r="E8" s="117"/>
      <c r="F8" s="117"/>
      <c r="G8" s="117"/>
      <c r="H8" s="117"/>
      <c r="I8" s="117"/>
      <c r="J8" s="117"/>
      <c r="K8" s="117"/>
      <c r="L8" s="117"/>
      <c r="M8" s="117"/>
      <c r="N8" s="117"/>
      <c r="O8" s="117"/>
      <c r="P8" s="117"/>
      <c r="Q8" s="117"/>
    </row>
    <row r="9" spans="1:17" ht="18" customHeight="1" x14ac:dyDescent="0.2">
      <c r="A9" s="118" t="s">
        <v>29</v>
      </c>
      <c r="B9" s="118"/>
      <c r="C9" s="118"/>
      <c r="D9" s="118"/>
      <c r="E9" s="118"/>
      <c r="F9" s="118"/>
      <c r="G9" s="118"/>
      <c r="H9" s="118"/>
      <c r="I9" s="118"/>
      <c r="J9" s="118"/>
      <c r="K9" s="118"/>
      <c r="L9" s="118"/>
      <c r="M9" s="118"/>
      <c r="N9" s="118"/>
      <c r="O9" s="1"/>
      <c r="P9" s="1"/>
      <c r="Q9" s="6"/>
    </row>
    <row r="10" spans="1:17" ht="54.75" customHeight="1" x14ac:dyDescent="0.2">
      <c r="A10" s="119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120/2021,  afectando la erogación resultante a los créditos presupuestarios aprobados a favor de esta Unidad Ejecutora, conforme al siguiente detalle:</v>
      </c>
      <c r="B10" s="119"/>
      <c r="C10" s="119"/>
      <c r="D10" s="119"/>
      <c r="E10" s="119"/>
      <c r="F10" s="119"/>
      <c r="G10" s="119"/>
      <c r="H10" s="119"/>
      <c r="I10" s="119"/>
      <c r="J10" s="119"/>
      <c r="K10" s="119"/>
      <c r="L10" s="119"/>
      <c r="M10" s="119"/>
      <c r="N10" s="119"/>
      <c r="O10" s="119"/>
      <c r="P10" s="119"/>
      <c r="Q10" s="119"/>
    </row>
    <row r="11" spans="1:17" ht="9" customHeight="1" x14ac:dyDescent="0.2">
      <c r="A11" s="7"/>
      <c r="B11" s="8"/>
      <c r="C11" s="8"/>
      <c r="D11" s="8"/>
      <c r="E11" s="8"/>
      <c r="F11" s="8"/>
      <c r="G11" s="9"/>
      <c r="H11" s="8"/>
      <c r="I11" s="8"/>
      <c r="J11" s="8"/>
      <c r="K11" s="8"/>
      <c r="L11" s="8"/>
      <c r="M11" s="8"/>
      <c r="N11" s="8"/>
      <c r="O11" s="8"/>
      <c r="P11" s="8"/>
      <c r="Q11" s="10"/>
    </row>
    <row r="12" spans="1:17" ht="15.75" customHeight="1" thickBot="1" x14ac:dyDescent="0.25">
      <c r="A12" s="120" t="s">
        <v>30</v>
      </c>
      <c r="B12" s="120"/>
      <c r="C12" s="120"/>
      <c r="D12" s="120"/>
      <c r="E12" s="120"/>
      <c r="F12" s="120"/>
      <c r="G12" s="120"/>
      <c r="H12" s="120"/>
      <c r="I12" s="120"/>
      <c r="J12" s="120"/>
      <c r="K12" s="120"/>
      <c r="L12" s="120"/>
      <c r="M12" s="120"/>
      <c r="N12" s="120"/>
      <c r="O12" s="120"/>
      <c r="P12" s="120"/>
      <c r="Q12" s="120"/>
    </row>
    <row r="13" spans="1:17" ht="15.75" customHeight="1" thickBot="1" x14ac:dyDescent="0.25">
      <c r="A13" s="121" t="s">
        <v>31</v>
      </c>
      <c r="B13" s="122"/>
      <c r="C13" s="122"/>
      <c r="D13" s="122"/>
      <c r="E13" s="122"/>
      <c r="F13" s="122"/>
      <c r="G13" s="122"/>
      <c r="H13" s="122"/>
      <c r="I13" s="122"/>
      <c r="J13" s="122"/>
      <c r="K13" s="122"/>
      <c r="L13" s="122"/>
      <c r="M13" s="122"/>
      <c r="N13" s="122"/>
      <c r="O13" s="123" t="s">
        <v>32</v>
      </c>
      <c r="P13" s="124"/>
      <c r="Q13" s="127" t="s">
        <v>33</v>
      </c>
    </row>
    <row r="14" spans="1:17" ht="15.75" customHeight="1" thickBot="1" x14ac:dyDescent="0.25">
      <c r="A14" s="38" t="s">
        <v>34</v>
      </c>
      <c r="B14" s="39" t="s">
        <v>35</v>
      </c>
      <c r="C14" s="39" t="s">
        <v>36</v>
      </c>
      <c r="D14" s="39" t="s">
        <v>37</v>
      </c>
      <c r="E14" s="39" t="s">
        <v>38</v>
      </c>
      <c r="F14" s="39" t="s">
        <v>39</v>
      </c>
      <c r="G14" s="40" t="s">
        <v>40</v>
      </c>
      <c r="H14" s="39" t="s">
        <v>41</v>
      </c>
      <c r="I14" s="39" t="s">
        <v>42</v>
      </c>
      <c r="J14" s="39" t="s">
        <v>43</v>
      </c>
      <c r="K14" s="39" t="s">
        <v>43</v>
      </c>
      <c r="L14" s="39" t="s">
        <v>44</v>
      </c>
      <c r="M14" s="41" t="s">
        <v>45</v>
      </c>
      <c r="N14" s="42" t="s">
        <v>46</v>
      </c>
      <c r="O14" s="125"/>
      <c r="P14" s="126"/>
      <c r="Q14" s="128"/>
    </row>
    <row r="15" spans="1:17" ht="26.25" customHeight="1" x14ac:dyDescent="0.2">
      <c r="A15" s="34">
        <v>36</v>
      </c>
      <c r="B15" s="35"/>
      <c r="C15" s="35"/>
      <c r="D15" s="35">
        <v>1</v>
      </c>
      <c r="E15" s="35"/>
      <c r="F15" s="35">
        <v>4901</v>
      </c>
      <c r="G15" s="35">
        <v>3</v>
      </c>
      <c r="H15" s="35">
        <v>310</v>
      </c>
      <c r="I15" s="35">
        <v>2</v>
      </c>
      <c r="J15" s="35">
        <v>9</v>
      </c>
      <c r="K15" s="35">
        <v>5</v>
      </c>
      <c r="L15" s="35"/>
      <c r="M15" s="36">
        <v>1</v>
      </c>
      <c r="N15" s="37" t="s">
        <v>53</v>
      </c>
      <c r="O15" s="129" t="s">
        <v>59</v>
      </c>
      <c r="P15" s="129"/>
      <c r="Q15" s="87">
        <v>4383000</v>
      </c>
    </row>
    <row r="16" spans="1:17" ht="17.25" customHeight="1" x14ac:dyDescent="0.2">
      <c r="A16" s="11"/>
      <c r="B16" s="12"/>
      <c r="C16" s="12"/>
      <c r="D16" s="12"/>
      <c r="E16" s="12"/>
      <c r="F16" s="14"/>
      <c r="G16" s="12"/>
      <c r="H16" s="12"/>
      <c r="I16" s="12"/>
      <c r="J16" s="12"/>
      <c r="K16" s="12"/>
      <c r="L16" s="12"/>
      <c r="M16" s="13"/>
      <c r="N16" s="14"/>
      <c r="O16" s="130"/>
      <c r="P16" s="130"/>
      <c r="Q16" s="88"/>
    </row>
    <row r="17" spans="1:18" ht="17.25" customHeight="1" x14ac:dyDescent="0.2">
      <c r="A17" s="11"/>
      <c r="B17" s="12"/>
      <c r="C17" s="12"/>
      <c r="D17" s="12"/>
      <c r="E17" s="12"/>
      <c r="F17" s="14"/>
      <c r="G17" s="12"/>
      <c r="H17" s="12"/>
      <c r="I17" s="12"/>
      <c r="J17" s="12"/>
      <c r="K17" s="12"/>
      <c r="L17" s="12"/>
      <c r="M17" s="13"/>
      <c r="N17" s="14"/>
      <c r="O17" s="130"/>
      <c r="P17" s="130"/>
      <c r="Q17" s="88"/>
    </row>
    <row r="18" spans="1:18" ht="17.25" customHeight="1" x14ac:dyDescent="0.2">
      <c r="A18" s="15"/>
      <c r="B18" s="16"/>
      <c r="C18" s="16"/>
      <c r="D18" s="16"/>
      <c r="E18" s="16"/>
      <c r="F18" s="17"/>
      <c r="G18" s="16"/>
      <c r="H18" s="16"/>
      <c r="I18" s="16"/>
      <c r="J18" s="16"/>
      <c r="K18" s="16"/>
      <c r="L18" s="16"/>
      <c r="M18" s="18"/>
      <c r="N18" s="19"/>
      <c r="O18" s="136"/>
      <c r="P18" s="136"/>
      <c r="Q18" s="88"/>
      <c r="R18" s="1"/>
    </row>
    <row r="19" spans="1:18" ht="17.25" customHeight="1" x14ac:dyDescent="0.2">
      <c r="A19" s="20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2"/>
      <c r="N19" s="21"/>
      <c r="O19" s="137"/>
      <c r="P19" s="137"/>
      <c r="Q19" s="89"/>
    </row>
    <row r="20" spans="1:18" ht="29.25" customHeight="1" x14ac:dyDescent="0.2">
      <c r="A20" s="138" t="s">
        <v>82</v>
      </c>
      <c r="B20" s="138"/>
      <c r="C20" s="138"/>
      <c r="D20" s="138"/>
      <c r="E20" s="138"/>
      <c r="F20" s="138"/>
      <c r="G20" s="138"/>
      <c r="H20" s="138"/>
      <c r="I20" s="138"/>
      <c r="J20" s="138"/>
      <c r="K20" s="138"/>
      <c r="L20" s="138"/>
      <c r="M20" s="138"/>
      <c r="N20" s="138"/>
      <c r="O20" s="138"/>
      <c r="P20" s="138"/>
      <c r="Q20" s="90">
        <f>SUM(Q15:Q19)</f>
        <v>4383000</v>
      </c>
    </row>
    <row r="21" spans="1:18" ht="18" customHeight="1" thickBot="1" x14ac:dyDescent="0.25">
      <c r="A21" s="139"/>
      <c r="B21" s="139"/>
      <c r="C21" s="139"/>
      <c r="D21" s="139"/>
      <c r="E21" s="139"/>
      <c r="F21" s="139"/>
      <c r="G21" s="139"/>
      <c r="H21" s="139"/>
      <c r="I21" s="139"/>
      <c r="J21" s="139"/>
      <c r="K21" s="139"/>
      <c r="L21" s="139"/>
      <c r="M21" s="139"/>
      <c r="N21" s="139"/>
      <c r="O21" s="139"/>
      <c r="P21" s="139"/>
      <c r="Q21" s="139"/>
    </row>
    <row r="22" spans="1:18" ht="17.25" customHeight="1" thickBot="1" x14ac:dyDescent="0.25">
      <c r="A22" s="131" t="s">
        <v>47</v>
      </c>
      <c r="B22" s="132"/>
      <c r="C22" s="132"/>
      <c r="D22" s="132"/>
      <c r="E22" s="132"/>
      <c r="F22" s="133"/>
      <c r="G22" s="134"/>
      <c r="H22" s="134"/>
      <c r="I22" s="134"/>
      <c r="J22" s="134"/>
      <c r="K22" s="134"/>
      <c r="L22" s="134"/>
      <c r="M22" s="134"/>
      <c r="N22" s="134"/>
      <c r="O22" s="134"/>
      <c r="P22" s="134"/>
      <c r="Q22" s="134"/>
    </row>
    <row r="23" spans="1:18" ht="18" customHeight="1" thickBot="1" x14ac:dyDescent="0.25">
      <c r="A23" s="135" t="s">
        <v>80</v>
      </c>
      <c r="B23" s="135"/>
      <c r="C23" s="135"/>
      <c r="D23" s="135"/>
      <c r="E23" s="135"/>
      <c r="F23" s="135"/>
      <c r="G23" s="135"/>
      <c r="H23" s="135"/>
      <c r="I23" s="135"/>
      <c r="J23" s="135"/>
      <c r="K23" s="135"/>
      <c r="L23" s="135"/>
      <c r="M23" s="135"/>
      <c r="N23" s="135"/>
      <c r="O23" s="135"/>
      <c r="P23" s="135"/>
      <c r="Q23" s="135"/>
    </row>
    <row r="24" spans="1:18" ht="26.25" customHeight="1" x14ac:dyDescent="0.2">
      <c r="A24" s="135"/>
      <c r="B24" s="135"/>
      <c r="C24" s="135"/>
      <c r="D24" s="135"/>
      <c r="E24" s="135"/>
      <c r="F24" s="135"/>
      <c r="G24" s="135"/>
      <c r="H24" s="135"/>
      <c r="I24" s="135"/>
      <c r="J24" s="135"/>
      <c r="K24" s="135"/>
      <c r="L24" s="135"/>
      <c r="M24" s="135"/>
      <c r="N24" s="135"/>
      <c r="O24" s="135"/>
      <c r="P24" s="135"/>
      <c r="Q24" s="135"/>
    </row>
  </sheetData>
  <mergeCells count="28">
    <mergeCell ref="O15:P15"/>
    <mergeCell ref="O16:P16"/>
    <mergeCell ref="A22:F22"/>
    <mergeCell ref="G22:Q22"/>
    <mergeCell ref="A23:Q24"/>
    <mergeCell ref="O17:P17"/>
    <mergeCell ref="O18:P18"/>
    <mergeCell ref="O19:P19"/>
    <mergeCell ref="A20:P20"/>
    <mergeCell ref="A21:Q21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Necesidades Trimestrales</vt:lpstr>
      <vt:lpstr> NotaPedido</vt:lpstr>
      <vt:lpstr>Autor Gastar</vt:lpstr>
      <vt:lpstr>' NotaPedido'!Área_de_impresión</vt:lpstr>
      <vt:lpstr>'Autor Gastar'!Área_de_impresión</vt:lpstr>
      <vt:lpstr>'Necesidades Trimestrales'!Área_de_impresión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SILVINA ATENCIO</cp:lastModifiedBy>
  <cp:revision>2</cp:revision>
  <cp:lastPrinted>2020-07-23T13:47:13Z</cp:lastPrinted>
  <dcterms:created xsi:type="dcterms:W3CDTF">2020-07-17T23:44:49Z</dcterms:created>
  <dcterms:modified xsi:type="dcterms:W3CDTF">2021-08-19T15:22:45Z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