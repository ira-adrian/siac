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D9F1568A-0BEB-4ECD-86E0-6A29A863CE6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NotaPedido'!$A$1:$K$32</definedName>
    <definedName name="_xlnm.Print_Area" localSheetId="2">'Autor Gastar'!$A$1:$Q$28</definedName>
  </definedNames>
  <calcPr calcId="181029"/>
</workbook>
</file>

<file path=xl/calcChain.xml><?xml version="1.0" encoding="utf-8"?>
<calcChain xmlns="http://schemas.openxmlformats.org/spreadsheetml/2006/main">
  <c r="G11" i="1" l="1"/>
  <c r="G10" i="1"/>
  <c r="I23" i="2" l="1"/>
  <c r="I24" i="2"/>
  <c r="I25" i="2"/>
  <c r="I26" i="2"/>
  <c r="I27" i="2"/>
  <c r="I28" i="2"/>
  <c r="I29" i="2"/>
  <c r="I30" i="2"/>
  <c r="I31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C31" i="2"/>
  <c r="C29" i="2"/>
  <c r="C30" i="2"/>
  <c r="C27" i="2"/>
  <c r="C28" i="2"/>
  <c r="C23" i="2"/>
  <c r="C24" i="2"/>
  <c r="C25" i="2"/>
  <c r="C26" i="2"/>
  <c r="C19" i="2"/>
  <c r="C20" i="2"/>
  <c r="C21" i="2"/>
  <c r="C22" i="2"/>
  <c r="C14" i="2"/>
  <c r="C15" i="2"/>
  <c r="C16" i="2"/>
  <c r="C17" i="2"/>
  <c r="C18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K13" i="2"/>
  <c r="J13" i="2"/>
  <c r="C13" i="2"/>
  <c r="B13" i="2"/>
  <c r="A13" i="2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J20" i="1" s="1"/>
  <c r="Q21" i="3" s="1"/>
  <c r="D20" i="1"/>
  <c r="I19" i="1"/>
  <c r="D19" i="1"/>
  <c r="I18" i="1"/>
  <c r="D18" i="1"/>
  <c r="I17" i="1"/>
  <c r="D17" i="1"/>
  <c r="I16" i="1"/>
  <c r="D16" i="1"/>
  <c r="I15" i="1"/>
  <c r="D15" i="1"/>
  <c r="K14" i="1"/>
  <c r="I14" i="1"/>
  <c r="D14" i="1"/>
  <c r="K13" i="1"/>
  <c r="I13" i="1"/>
  <c r="D13" i="1"/>
  <c r="I12" i="1"/>
  <c r="D12" i="1"/>
  <c r="K11" i="1"/>
  <c r="I11" i="1"/>
  <c r="L11" i="1" s="1"/>
  <c r="D11" i="1"/>
  <c r="K10" i="1"/>
  <c r="I10" i="1"/>
  <c r="D10" i="1"/>
  <c r="I20" i="2"/>
  <c r="I15" i="2"/>
  <c r="I16" i="2"/>
  <c r="I17" i="2"/>
  <c r="I18" i="2"/>
  <c r="I19" i="2"/>
  <c r="L14" i="1" l="1"/>
  <c r="J14" i="1"/>
  <c r="Q18" i="3" s="1"/>
  <c r="J12" i="1"/>
  <c r="Q17" i="3" s="1"/>
  <c r="J22" i="1"/>
  <c r="Q22" i="3" s="1"/>
  <c r="J18" i="1"/>
  <c r="Q20" i="3" s="1"/>
  <c r="J16" i="1"/>
  <c r="Q19" i="3" s="1"/>
  <c r="J10" i="1"/>
  <c r="M10" i="1" s="1"/>
  <c r="Q16" i="3" s="1"/>
  <c r="J24" i="1"/>
  <c r="Q23" i="3" s="1"/>
  <c r="K27" i="1"/>
  <c r="N13" i="1"/>
  <c r="J32" i="2"/>
  <c r="N10" i="1"/>
  <c r="N11" i="1" s="1"/>
  <c r="I29" i="1"/>
  <c r="L10" i="1"/>
  <c r="L13" i="1"/>
  <c r="I22" i="2"/>
  <c r="I21" i="2"/>
  <c r="I14" i="2"/>
  <c r="I13" i="2"/>
  <c r="Q15" i="3" l="1"/>
  <c r="Q24" i="3" s="1"/>
  <c r="A10" i="3"/>
  <c r="G6" i="3"/>
  <c r="G7" i="3"/>
  <c r="D7" i="2"/>
  <c r="G4" i="3"/>
  <c r="G5" i="3"/>
  <c r="D1" i="3" l="1"/>
</calcChain>
</file>

<file path=xl/sharedStrings.xml><?xml version="1.0" encoding="utf-8"?>
<sst xmlns="http://schemas.openxmlformats.org/spreadsheetml/2006/main" count="197" uniqueCount="123">
  <si>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</si>
  <si>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</si>
  <si>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</si>
  <si>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</si>
  <si>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</si>
  <si>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</si>
  <si>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</si>
  <si>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</si>
  <si>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</si>
  <si>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</si>
  <si>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</si>
  <si>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</si>
  <si>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</si>
  <si>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</si>
  <si>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</si>
  <si>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</si>
  <si>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</si>
  <si>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</si>
  <si>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</si>
  <si>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</si>
  <si>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</si>
  <si>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</si>
  <si>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</si>
  <si>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</si>
  <si>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</si>
  <si>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</si>
  <si>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</si>
  <si>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</si>
  <si>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</si>
  <si>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</si>
  <si>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</si>
  <si>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</si>
  <si>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</si>
  <si>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</si>
  <si>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</si>
  <si>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</si>
  <si>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</si>
  <si>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</si>
  <si>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</si>
  <si>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</si>
  <si>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</si>
  <si>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</si>
  <si>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</si>
  <si>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</si>
  <si>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</si>
  <si>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</si>
  <si>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</si>
  <si>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</si>
  <si>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</si>
  <si>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</si>
  <si>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</si>
  <si>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</si>
  <si>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</si>
  <si>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</si>
  <si>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</si>
  <si>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Seguridad</t>
  </si>
  <si>
    <t>Policía de la Provincia de Catamarca</t>
  </si>
  <si>
    <t>COMBUSTIBLES Y LUBRICANTES</t>
  </si>
  <si>
    <t>Combustibles y Lubricantes</t>
  </si>
  <si>
    <t>90 - Ministerio de Seguridad</t>
  </si>
  <si>
    <t>7 - Direccion Provincial de Administracion de la Policia de Catamarca</t>
  </si>
  <si>
    <t>2.5.6-7104.19</t>
  </si>
  <si>
    <t>ACEITES LUBRICANTES; DENOMINACION: SAE 15 W 40, USO: AUTOMOTOR, PRESENTACION: TAMBOR X 205 L, NORMA: SAE 15 W 40</t>
  </si>
  <si>
    <t>UNIDAD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</si>
  <si>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</si>
  <si>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30 (treinta) días</t>
  </si>
  <si>
    <t>Para la adquisición de combustibles y lubricantes destinados a las Unidades Móviles de la Policía de Catamarca.</t>
  </si>
  <si>
    <t>Adquisición de Combustibles destinados a Moviles de la Policia de la Provincia de Catamarca</t>
  </si>
  <si>
    <t>1.1.</t>
  </si>
  <si>
    <t>2.5.6-797.29</t>
  </si>
  <si>
    <t>2.5.6-797.26</t>
  </si>
  <si>
    <t>2.5.6-797.32</t>
  </si>
  <si>
    <t>2.5.6-793.31</t>
  </si>
  <si>
    <t>2.5.6-793.33</t>
  </si>
  <si>
    <t>2.5.6-793.38</t>
  </si>
  <si>
    <t>2.5.6-797.24</t>
  </si>
  <si>
    <t>Especificidades:</t>
  </si>
  <si>
    <t>2.5.6-793.45</t>
  </si>
  <si>
    <t>ACEITES LUBRICANTES; DENOMINACION: SAE 20 W 50, USO: AUTOMOTOR, PRESENTACION: TAMBOR X 205 L, NORMA: SAE 20 W 50</t>
  </si>
  <si>
    <t>2.5.6-7104.31</t>
  </si>
  <si>
    <t>2.5.6-7104.503</t>
  </si>
  <si>
    <t>ACEITES LUBRICANTES; USO: AUTOMOTOR, PRESENTACION: ENVASE X 20 L, NORMA: 5W-30, COMERCIALIZACION: POR UNIDAD</t>
  </si>
  <si>
    <t>LITROS EN VALES</t>
  </si>
  <si>
    <t>2.5.6-797.53</t>
  </si>
  <si>
    <t>2.5.6-793.37</t>
  </si>
  <si>
    <t>2.5.6-797.45</t>
  </si>
  <si>
    <t>2.5.6-793.36</t>
  </si>
  <si>
    <t>2.5.6-797.47</t>
  </si>
  <si>
    <t>2.5.6-793.39</t>
  </si>
  <si>
    <r>
      <rPr>
        <b/>
        <sz val="10"/>
        <rFont val="Century Gothic"/>
        <family val="2"/>
      </rPr>
      <t>NAFTA SUPER</t>
    </r>
    <r>
      <rPr>
        <sz val="10"/>
        <rFont val="Century Gothic"/>
        <family val="2"/>
      </rPr>
      <t xml:space="preserve">; TIPO: PREMIUN, OCTANO: 97, PRESENTACION: POR LITRO, DESTINO: DPTO. S.F.V. DE </t>
    </r>
    <r>
      <rPr>
        <b/>
        <sz val="10"/>
        <rFont val="Century Gothic"/>
        <family val="2"/>
      </rPr>
      <t>CATAMARCA,</t>
    </r>
    <r>
      <rPr>
        <sz val="10"/>
        <rFont val="Century Gothic"/>
        <family val="2"/>
      </rPr>
      <t xml:space="preserve"> COMERCIALIZACION: SIN VALOR</t>
    </r>
  </si>
  <si>
    <r>
      <rPr>
        <b/>
        <sz val="10"/>
        <rFont val="Century Gothic"/>
        <family val="2"/>
      </rPr>
      <t>GAS OIL</t>
    </r>
    <r>
      <rPr>
        <sz val="10"/>
        <rFont val="Century Gothic"/>
        <family val="2"/>
      </rPr>
      <t xml:space="preserve">; PRESENTACION: POR LITRO, USO: MOTORES DIESEL, COMERCIALIZACION: GRADO 3, DESTINO: DPTO. S.F.V. DE </t>
    </r>
    <r>
      <rPr>
        <b/>
        <sz val="10"/>
        <rFont val="Century Gothic"/>
        <family val="2"/>
      </rPr>
      <t>CATAMARCA</t>
    </r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</si>
  <si>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BELEN</t>
    </r>
    <r>
      <rPr>
        <sz val="10"/>
        <color rgb="FF333333"/>
        <rFont val="Century Gothic"/>
        <family val="2"/>
      </rPr>
      <t xml:space="preserve"> COMERCIALIZACION: SIN VALOR</t>
    </r>
  </si>
  <si>
    <r>
      <t xml:space="preserve">GAS OIL; PRESENTACION: POR LITRO, USO: MOTORES DIESEL, COMERCIALIZACION: GRADO 3, DESTINO: DPTO. </t>
    </r>
    <r>
      <rPr>
        <b/>
        <sz val="10"/>
        <color rgb="FF333333"/>
        <rFont val="Century Gothic"/>
        <family val="2"/>
      </rPr>
      <t>BELEN</t>
    </r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</si>
  <si>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ANDALGALA,</t>
    </r>
    <r>
      <rPr>
        <sz val="10"/>
        <color rgb="FF333333"/>
        <rFont val="Century Gothic"/>
        <family val="2"/>
      </rPr>
      <t xml:space="preserve"> COMERCIALIZACION: SIN VALOR</t>
    </r>
  </si>
  <si>
    <r>
      <t xml:space="preserve">GAS OIL; PRESENTACION: POR LITRO, USO: MOTORES DIESEL, COMERCIALIZACION: GRADO 3, DESTINO: DPTO. </t>
    </r>
    <r>
      <rPr>
        <b/>
        <sz val="10"/>
        <color rgb="FF333333"/>
        <rFont val="Century Gothic"/>
        <family val="2"/>
      </rPr>
      <t>ANDALGALA</t>
    </r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</si>
  <si>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TINOGASTA,</t>
    </r>
    <r>
      <rPr>
        <sz val="10"/>
        <color rgb="FF333333"/>
        <rFont val="Century Gothic"/>
        <family val="2"/>
      </rPr>
      <t xml:space="preserve"> COMERCIALIZACION: SIN VALOR</t>
    </r>
  </si>
  <si>
    <r>
      <t>GAS OIL; PRESENTACION: POR LITRO, USO: MOTORES DIESEL, COMERCIALIZACION: GRADO 3, DESTINO: DPTO.</t>
    </r>
    <r>
      <rPr>
        <b/>
        <sz val="10"/>
        <color rgb="FF333333"/>
        <rFont val="Century Gothic"/>
        <family val="2"/>
      </rPr>
      <t xml:space="preserve"> TINOGASTA</t>
    </r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</si>
  <si>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EL ALTO,</t>
    </r>
    <r>
      <rPr>
        <sz val="10"/>
        <color rgb="FF333333"/>
        <rFont val="Century Gothic"/>
        <family val="2"/>
      </rPr>
      <t xml:space="preserve"> COMERCIALIZACION: SIN VALOR</t>
    </r>
  </si>
  <si>
    <r>
      <t>GAS OIL; PRESENTACION: POR LITRO, USO: MOTORES DIESEL, COMERCIALIZACION: GRADO 3, DESTINO: DPTO.</t>
    </r>
    <r>
      <rPr>
        <b/>
        <sz val="10"/>
        <color rgb="FF333333"/>
        <rFont val="Century Gothic"/>
        <family val="2"/>
      </rPr>
      <t xml:space="preserve"> EL ALTO</t>
    </r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</si>
  <si>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STA. MARIA,</t>
    </r>
    <r>
      <rPr>
        <sz val="10"/>
        <color rgb="FF333333"/>
        <rFont val="Century Gothic"/>
        <family val="2"/>
      </rPr>
      <t xml:space="preserve"> COMERCIALIZACION: SIN VALOR</t>
    </r>
  </si>
  <si>
    <r>
      <t>GAS OIL; PRESENTACION: POR LITRO, USO: MOTORES DIESEL, COMERCIALIZACION: GRADO 3, DESTINO: DPTO.</t>
    </r>
    <r>
      <rPr>
        <b/>
        <sz val="10"/>
        <color rgb="FF333333"/>
        <rFont val="Century Gothic"/>
        <family val="2"/>
      </rPr>
      <t xml:space="preserve"> STA. MARIA</t>
    </r>
  </si>
  <si>
    <r>
      <t xml:space="preserve">NAFTA SUPER; TIPO: PREMIUN, OCTANO: 97, PRESENTACION: POR LITRO, DESTINO: DPTO. </t>
    </r>
    <r>
      <rPr>
        <b/>
        <sz val="10"/>
        <color rgb="FF333333"/>
        <rFont val="Century Gothic"/>
        <family val="2"/>
      </rPr>
      <t>POMAN,</t>
    </r>
    <r>
      <rPr>
        <sz val="10"/>
        <color rgb="FF333333"/>
        <rFont val="Century Gothic"/>
        <family val="2"/>
      </rPr>
      <t xml:space="preserve"> COMERCIALIZACION: SIN VALOR</t>
    </r>
  </si>
  <si>
    <r>
      <t xml:space="preserve">GAS OIL; PRESENTACION: POR LITRO, USO: MOTORES DIESEL, COMERCIALIZACION: GRADO 3, DESTINO: DPTO. </t>
    </r>
    <r>
      <rPr>
        <b/>
        <sz val="10"/>
        <color rgb="FF333333"/>
        <rFont val="Century Gothic"/>
        <family val="2"/>
      </rPr>
      <t>POMAN</t>
    </r>
  </si>
  <si>
    <t>*</t>
  </si>
  <si>
    <t>08/2021</t>
  </si>
  <si>
    <r>
      <t>AUTORIZACIÓN</t>
    </r>
    <r>
      <rPr>
        <b/>
        <sz val="10"/>
        <rFont val="Century Gothic"/>
        <family val="2"/>
      </rPr>
      <t>:</t>
    </r>
  </si>
  <si>
    <t>2.5.6-797.28</t>
  </si>
  <si>
    <r>
      <t xml:space="preserve">NAFTA SUPER; TIPO: PREMIUN, OCTANO: 97, PRESENTACION: POR LITRO, DESTINO: DPTO. </t>
    </r>
    <r>
      <rPr>
        <b/>
        <sz val="10"/>
        <rFont val="Arial"/>
        <family val="2"/>
      </rPr>
      <t>LA PAZ</t>
    </r>
    <r>
      <rPr>
        <sz val="10"/>
        <rFont val="Arial"/>
        <family val="2"/>
      </rPr>
      <t>, COMERCIALIZACION: SIN VALOR</t>
    </r>
  </si>
  <si>
    <t>2.5.6-793.35</t>
  </si>
  <si>
    <r>
      <t>GAS OIL; PRESENTACION: POR LITRO, USO: MOTORES DIESEL, COMERCIALIZACION: GRADO 3, DESTINO: DPTO.</t>
    </r>
    <r>
      <rPr>
        <b/>
        <sz val="10"/>
        <rFont val="Arial"/>
        <family val="2"/>
      </rPr>
      <t xml:space="preserve"> LA PAZ</t>
    </r>
  </si>
  <si>
    <t>7 - Direccion de Administracion de la Policía de la Provincia de Catamarca</t>
  </si>
  <si>
    <t>División Transporte Departamento Logistica (D-4)</t>
  </si>
  <si>
    <r>
      <rPr>
        <b/>
        <u/>
        <sz val="10"/>
        <rFont val="Century Gothic"/>
        <family val="2"/>
      </rPr>
      <t>Plazo de entrega</t>
    </r>
    <r>
      <rPr>
        <b/>
        <sz val="10"/>
        <rFont val="Century Gothic"/>
        <family val="2"/>
      </rPr>
      <t xml:space="preserve"> tres 3 días hábiles</t>
    </r>
    <r>
      <rPr>
        <sz val="10"/>
        <rFont val="Century Gothic"/>
        <family val="2"/>
      </rPr>
      <t xml:space="preserve">. Periodo de utilización tres meses. </t>
    </r>
    <r>
      <rPr>
        <b/>
        <u/>
        <sz val="10"/>
        <rFont val="Century Gothic"/>
        <family val="2"/>
      </rPr>
      <t>ENTREGA en VALES</t>
    </r>
    <r>
      <rPr>
        <sz val="10"/>
        <rFont val="Century Gothic"/>
        <family val="2"/>
      </rPr>
      <t xml:space="preserve">, según pliego, en la DIRECCIÓN DE ADMINISTRACIÓN sito en Chacabuco N* 809 , San Fernando del Valle de Catamarca, en horario de 8 a 12 horas. </t>
    </r>
    <r>
      <rPr>
        <b/>
        <u/>
        <sz val="10"/>
        <rFont val="Century Gothic"/>
        <family val="2"/>
      </rPr>
      <t>El COMBUSTIBLE</t>
    </r>
    <r>
      <rPr>
        <sz val="10"/>
        <rFont val="Century Gothic"/>
        <family val="2"/>
      </rPr>
      <t xml:space="preserve"> en la boca de expendio de las cabeceras departamentales. </t>
    </r>
    <r>
      <rPr>
        <b/>
        <u/>
        <sz val="10"/>
        <rFont val="Century Gothic"/>
        <family val="2"/>
      </rPr>
      <t>LOS LUBRICANTES</t>
    </r>
    <r>
      <rPr>
        <sz val="10"/>
        <rFont val="Century Gothic"/>
        <family val="2"/>
      </rPr>
      <t xml:space="preserve"> , en Dpto. Logística, sito en Av. Felix Avellaneda Km2  RP N 33, Sumalao Valle Viejo</t>
    </r>
    <r>
      <rPr>
        <b/>
        <u/>
        <sz val="10"/>
        <rFont val="Century Gothic"/>
        <family val="2"/>
      </rPr>
      <t>,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>Actividad 1 – U.R. I (Dpto. CAPITAL)  COMBUSTIBLE ( $ 15.000.000)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63,000</t>
    </r>
    <r>
      <rPr>
        <sz val="10"/>
        <rFont val="Century Gothic"/>
        <family val="2"/>
      </rPr>
      <t xml:space="preserve"> litros Nafta Súper.- 
</t>
    </r>
    <r>
      <rPr>
        <b/>
        <sz val="10"/>
        <rFont val="Century Gothic"/>
        <family val="2"/>
      </rPr>
      <t xml:space="preserve">145,300 </t>
    </r>
    <r>
      <rPr>
        <sz val="10"/>
        <rFont val="Century Gothic"/>
        <family val="2"/>
      </rPr>
      <t xml:space="preserve">litros Gasoil Grado 3.-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</t>
    </r>
    <r>
      <rPr>
        <b/>
        <sz val="10"/>
        <rFont val="Century Gothic"/>
        <family val="2"/>
      </rPr>
      <t xml:space="preserve"> LUBRICANTES ( $ 300.000) 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 xml:space="preserve">Actividad 7 – INTERIOR PROVINCIAL  (Dpto. VALLE VIEJO- Dpto. FME- Dpto.AMBATO - Dpto. PACLIN) COMBUSTIBLE ( $ 15.000.000) 
</t>
    </r>
    <r>
      <rPr>
        <b/>
        <sz val="10"/>
        <rFont val="Century Gothic"/>
        <family val="2"/>
      </rPr>
      <t>63,000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145.300</t>
    </r>
    <r>
      <rPr>
        <sz val="10"/>
        <rFont val="Century Gothic"/>
        <family val="2"/>
      </rPr>
      <t xml:space="preserve"> litros Gasoil Grado 3.- 
</t>
    </r>
    <r>
      <rPr>
        <b/>
        <u/>
        <sz val="10"/>
        <rFont val="Century Gothic"/>
        <family val="2"/>
      </rPr>
      <t xml:space="preserve">Actividad 09 – U.R. 2 Dpto. La Paz ($ 600.000) 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2.227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litros Nafta Súper.- 
</t>
    </r>
    <r>
      <rPr>
        <b/>
        <sz val="10"/>
        <rFont val="Century Gothic"/>
        <family val="2"/>
      </rPr>
      <t xml:space="preserve">6.110 </t>
    </r>
    <r>
      <rPr>
        <sz val="10"/>
        <rFont val="Century Gothic"/>
        <family val="2"/>
      </rPr>
      <t xml:space="preserve"> litros Gasoil Grado 3.-
</t>
    </r>
    <r>
      <rPr>
        <b/>
        <u/>
        <sz val="10"/>
        <rFont val="Century Gothic"/>
        <family val="2"/>
      </rPr>
      <t xml:space="preserve">
Actividad 10 – U.R. 3 Dpto. Belen ($ 600.000)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2.165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6.110</t>
    </r>
    <r>
      <rPr>
        <sz val="10"/>
        <rFont val="Century Gothic"/>
        <family val="2"/>
      </rPr>
      <t xml:space="preserve">  litros Gasoil Grado 3.- 
</t>
    </r>
    <r>
      <rPr>
        <b/>
        <u/>
        <sz val="10"/>
        <rFont val="Century Gothic"/>
        <family val="2"/>
      </rPr>
      <t>Actividad 11 – U.R. 4 (Dpto. Andalgala) ($ 600.000)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1.560</t>
    </r>
    <r>
      <rPr>
        <sz val="10"/>
        <rFont val="Century Gothic"/>
        <family val="2"/>
      </rPr>
      <t xml:space="preserve"> </t>
    </r>
    <r>
      <rPr>
        <b/>
        <sz val="10"/>
        <rFont val="Century Gothic"/>
        <family val="2"/>
      </rPr>
      <t xml:space="preserve"> </t>
    </r>
    <r>
      <rPr>
        <sz val="10"/>
        <rFont val="Century Gothic"/>
        <family val="2"/>
      </rPr>
      <t>litros Nafta Súper.-</t>
    </r>
    <r>
      <rPr>
        <b/>
        <sz val="10"/>
        <rFont val="Century Gothic"/>
        <family val="2"/>
      </rPr>
      <t xml:space="preserve"> 
6.100 </t>
    </r>
    <r>
      <rPr>
        <sz val="10"/>
        <rFont val="Century Gothic"/>
        <family val="2"/>
      </rPr>
      <t xml:space="preserve"> litros Gasoil Grado 3.-</t>
    </r>
    <r>
      <rPr>
        <b/>
        <sz val="10"/>
        <rFont val="Century Gothic"/>
        <family val="2"/>
      </rPr>
      <t xml:space="preserve">
</t>
    </r>
    <r>
      <rPr>
        <sz val="10"/>
        <rFont val="Century Gothic"/>
        <family val="2"/>
      </rPr>
      <t xml:space="preserve">
</t>
    </r>
    <r>
      <rPr>
        <b/>
        <u/>
        <sz val="10"/>
        <rFont val="Century Gothic"/>
        <family val="2"/>
      </rPr>
      <t>Actividad 12 – U.R. 5 Dpto. Tinogasta ($ 600.000)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2.235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5.570  </t>
    </r>
    <r>
      <rPr>
        <sz val="10"/>
        <rFont val="Century Gothic"/>
        <family val="2"/>
      </rPr>
      <t xml:space="preserve">litros Gasoil Grado 3.- 
</t>
    </r>
    <r>
      <rPr>
        <b/>
        <u/>
        <sz val="10"/>
        <rFont val="Century Gothic"/>
        <family val="2"/>
      </rPr>
      <t>Actividad 13 –Jefatura de Zona “C” (Dpto. El Alto) ($ 600.000)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2.235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6.100  </t>
    </r>
    <r>
      <rPr>
        <sz val="10"/>
        <rFont val="Century Gothic"/>
        <family val="2"/>
      </rPr>
      <t xml:space="preserve">litros Gasoil Grado 3.-
</t>
    </r>
    <r>
      <rPr>
        <b/>
        <u/>
        <sz val="10"/>
        <rFont val="Century Gothic"/>
        <family val="2"/>
      </rPr>
      <t>Actividad 14 – Jefatura de Zona “D” (Dpto. Santa María) ($ 600.000)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>1.510</t>
    </r>
    <r>
      <rPr>
        <sz val="10"/>
        <rFont val="Century Gothic"/>
        <family val="2"/>
      </rPr>
      <t xml:space="preserve"> litros Nafta Súper.- </t>
    </r>
    <r>
      <rPr>
        <b/>
        <sz val="10"/>
        <rFont val="Century Gothic"/>
        <family val="2"/>
      </rPr>
      <t xml:space="preserve">
5.560 </t>
    </r>
    <r>
      <rPr>
        <sz val="10"/>
        <rFont val="Century Gothic"/>
        <family val="2"/>
      </rPr>
      <t xml:space="preserve"> litros Gasoil Grado 3.-
</t>
    </r>
    <r>
      <rPr>
        <b/>
        <u/>
        <sz val="10"/>
        <rFont val="Century Gothic"/>
        <family val="2"/>
      </rPr>
      <t>Actividad 15 – Jefatura de Zona “F” (Dpto. Poman) ($ 600.000)</t>
    </r>
    <r>
      <rPr>
        <sz val="10"/>
        <rFont val="Century Gothic"/>
        <family val="2"/>
      </rPr>
      <t xml:space="preserve">
</t>
    </r>
    <r>
      <rPr>
        <b/>
        <sz val="10"/>
        <rFont val="Century Gothic"/>
        <family val="2"/>
      </rPr>
      <t xml:space="preserve">1.560 </t>
    </r>
    <r>
      <rPr>
        <sz val="10"/>
        <rFont val="Century Gothic"/>
        <family val="2"/>
      </rPr>
      <t xml:space="preserve"> litros Nafta Súper.-</t>
    </r>
    <r>
      <rPr>
        <b/>
        <sz val="10"/>
        <rFont val="Century Gothic"/>
        <family val="2"/>
      </rPr>
      <t xml:space="preserve"> 
6.100  </t>
    </r>
    <r>
      <rPr>
        <sz val="10"/>
        <rFont val="Century Gothic"/>
        <family val="2"/>
      </rPr>
      <t xml:space="preserve">litros Gasoil Grado 3.-
</t>
    </r>
  </si>
  <si>
    <t>Descripción técnica ITEM 1 al 16:</t>
  </si>
  <si>
    <t>Descripción técnica ITEM17:</t>
  </si>
  <si>
    <t xml:space="preserve">Caracteristicas:   Aceite  Sintético 15W40 con normas  ACEA  A3/B3, A3/B4. API SN, S, SL, SJ. Para Camioneta  Tambor x 205 lts.      </t>
  </si>
  <si>
    <t xml:space="preserve">Caracteristicas:  Aceite Semi sintético 5W30  con normas  ACEA  A3/B3, A3/B4. API SN, S, SL, SJ. Para Camionetas .  Envase x 20 lts  </t>
  </si>
  <si>
    <t>Caracteristicas: Aceite Semi sintético 20W50 con normas API SL/SJ, SH, SG, JASO MA para motos  Tambor x 205 lts</t>
  </si>
  <si>
    <t>Descripción técnica ITEM18:</t>
  </si>
  <si>
    <t>Descripción técnica ITEM19:</t>
  </si>
  <si>
    <t xml:space="preserve">NAFTA SUPER; TIPO: SUPER, OCTANO: 97, PRESENTACION: X LITRO, DESTINO: SIN VALOR - GAS OIL; PRESENTACION: POR LITRO, USO: MOTORES DIESEL, COMERCIALIZACION: GRADO 3          </t>
  </si>
  <si>
    <t>Costo total estimado: PESOS TREINTA Y CUATRO MILLONES CUATROCIENTOS SETENTA Y SEIS MIL CUATRO CON 30/100.-</t>
  </si>
  <si>
    <t>TOTAL DE PESOS:  TREINTA Y CUATRO MILLONES CUATROCIENTOS SETENTA Y SEIS MIL CUATRO CON 30/100.-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</si>
</sst>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_-* #,##0.00&quot; €&quot;_-;\-* #,##0.00&quot; €&quot;_-;_-* \-??&quot; €&quot;_-;_-@_-"/>
    <numFmt numFmtId="166" formatCode="[$$-2C0A]\ #,##0.00"/>
    <numFmt numFmtId="167" formatCode="dd\-mm\-yy;@"/>
    <numFmt numFmtId="168" formatCode="_ [$$-2C0A]\ * #,##0.00_ ;_ [$$-2C0A]\ * \-#,##0.00_ ;_ [$$-2C0A]\ * &quot;-&quot;??_ ;_ @_ "/>
    <numFmt numFmtId="169" formatCode="&quot;$&quot;\ 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sz val="10"/>
      <color rgb="FFFF0000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10"/>
      <name val="Century Gothic"/>
      <family val="2"/>
    </font>
    <font>
      <sz val="10"/>
      <color rgb="FF333333"/>
      <name val="Century Gothic"/>
      <family val="2"/>
    </font>
    <font>
      <b/>
      <sz val="10"/>
      <color rgb="FF333333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  <font>
      <sz val="11"/>
      <color rgb="FF333333"/>
      <name val="Century Gothic"/>
      <family val="2"/>
    </font>
    <font>
      <sz val="11"/>
      <color theme="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 style="medium">
        <color indexed="64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</borders>
  <cellStyleXfs count="5">
    <xf numFmtId="0" fontId="0" fillId="0" borderId="0"/>
    <xf numFmtId="165" fontId="3" fillId="0" borderId="0" applyBorder="0" applyProtection="0"/>
    <xf numFmtId="0" fontId="1" fillId="0" borderId="1" applyProtection="0"/>
    <xf numFmtId="0" fontId="2" fillId="2" borderId="0" applyBorder="0" applyProtection="0"/>
    <xf numFmtId="164" fontId="3" fillId="0" borderId="0" applyFont="0" applyFill="0" applyBorder="0" applyAlignment="0" applyProtection="0"/>
  </cellStyleXfs>
  <cellXfs count="186">
    <xf numFmtId="0" fontId="0" fillId="0" borderId="0" xfId="0"/>
    <xf numFmtId="0" fontId="5" fillId="3" borderId="0" xfId="0" applyFont="1" applyFill="1"/>
    <xf numFmtId="0" fontId="7" fillId="3" borderId="0" xfId="0" applyFont="1" applyFill="1"/>
    <xf numFmtId="0" fontId="10" fillId="3" borderId="0" xfId="0" applyFont="1" applyFill="1" applyAlignment="1">
      <alignment horizontal="left" wrapText="1"/>
    </xf>
    <xf numFmtId="0" fontId="10" fillId="3" borderId="0" xfId="0" applyFont="1" applyFill="1" applyAlignment="1">
      <alignment horizontal="center" wrapText="1"/>
    </xf>
    <xf numFmtId="2" fontId="11" fillId="3" borderId="0" xfId="0" applyNumberFormat="1" applyFont="1" applyFill="1"/>
    <xf numFmtId="0" fontId="11" fillId="3" borderId="0" xfId="0" applyFont="1" applyFill="1"/>
    <xf numFmtId="0" fontId="9" fillId="3" borderId="0" xfId="0" applyFont="1" applyFill="1" applyAlignment="1">
      <alignment horizontal="left" wrapText="1" indent="1"/>
    </xf>
    <xf numFmtId="0" fontId="12" fillId="3" borderId="0" xfId="0" applyFont="1" applyFill="1" applyAlignment="1">
      <alignment horizontal="left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52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/>
    </xf>
    <xf numFmtId="0" fontId="5" fillId="3" borderId="37" xfId="0" applyFont="1" applyFill="1" applyBorder="1"/>
    <xf numFmtId="0" fontId="14" fillId="3" borderId="37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wrapText="1"/>
    </xf>
    <xf numFmtId="0" fontId="10" fillId="3" borderId="37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 wrapText="1"/>
    </xf>
    <xf numFmtId="168" fontId="13" fillId="3" borderId="37" xfId="1" applyNumberFormat="1" applyFont="1" applyFill="1" applyBorder="1" applyAlignment="1" applyProtection="1">
      <alignment horizontal="right" vertical="center" wrapText="1"/>
    </xf>
    <xf numFmtId="168" fontId="13" fillId="3" borderId="38" xfId="1" applyNumberFormat="1" applyFont="1" applyFill="1" applyBorder="1" applyAlignment="1" applyProtection="1">
      <alignment horizontal="right" vertical="center" wrapText="1"/>
    </xf>
    <xf numFmtId="168" fontId="11" fillId="3" borderId="0" xfId="0" applyNumberFormat="1" applyFont="1" applyFill="1"/>
    <xf numFmtId="0" fontId="13" fillId="3" borderId="54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1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wrapText="1"/>
    </xf>
    <xf numFmtId="0" fontId="10" fillId="3" borderId="2" xfId="0" applyFont="1" applyFill="1" applyBorder="1" applyAlignment="1">
      <alignment horizontal="center" vertical="center" wrapText="1"/>
    </xf>
    <xf numFmtId="1" fontId="10" fillId="3" borderId="2" xfId="0" applyNumberFormat="1" applyFont="1" applyFill="1" applyBorder="1" applyAlignment="1">
      <alignment horizontal="center" wrapText="1"/>
    </xf>
    <xf numFmtId="168" fontId="10" fillId="3" borderId="2" xfId="0" applyNumberFormat="1" applyFont="1" applyFill="1" applyBorder="1" applyAlignment="1">
      <alignment horizontal="center" wrapText="1"/>
    </xf>
    <xf numFmtId="168" fontId="10" fillId="3" borderId="55" xfId="0" applyNumberFormat="1" applyFont="1" applyFill="1" applyBorder="1" applyAlignment="1">
      <alignment horizontal="right" wrapText="1"/>
    </xf>
    <xf numFmtId="0" fontId="16" fillId="3" borderId="2" xfId="0" applyFont="1" applyFill="1" applyBorder="1" applyAlignment="1">
      <alignment wrapText="1"/>
    </xf>
    <xf numFmtId="168" fontId="13" fillId="3" borderId="2" xfId="1" applyNumberFormat="1" applyFont="1" applyFill="1" applyBorder="1" applyAlignment="1" applyProtection="1">
      <alignment horizontal="right" vertical="center" wrapText="1"/>
    </xf>
    <xf numFmtId="0" fontId="16" fillId="3" borderId="2" xfId="0" applyFont="1" applyFill="1" applyBorder="1"/>
    <xf numFmtId="0" fontId="10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vertical="center"/>
    </xf>
    <xf numFmtId="0" fontId="10" fillId="3" borderId="39" xfId="0" applyFont="1" applyFill="1" applyBorder="1" applyAlignment="1">
      <alignment horizontal="center" wrapText="1"/>
    </xf>
    <xf numFmtId="0" fontId="13" fillId="3" borderId="56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vertical="center"/>
    </xf>
    <xf numFmtId="0" fontId="14" fillId="3" borderId="42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vertical="center" wrapText="1"/>
    </xf>
    <xf numFmtId="0" fontId="10" fillId="3" borderId="42" xfId="0" applyFont="1" applyFill="1" applyBorder="1" applyAlignment="1">
      <alignment horizontal="center" wrapText="1"/>
    </xf>
    <xf numFmtId="1" fontId="10" fillId="3" borderId="42" xfId="0" applyNumberFormat="1" applyFont="1" applyFill="1" applyBorder="1" applyAlignment="1">
      <alignment horizontal="center" wrapText="1"/>
    </xf>
    <xf numFmtId="168" fontId="10" fillId="3" borderId="42" xfId="0" applyNumberFormat="1" applyFont="1" applyFill="1" applyBorder="1" applyAlignment="1">
      <alignment horizontal="center" wrapText="1"/>
    </xf>
    <xf numFmtId="168" fontId="10" fillId="3" borderId="57" xfId="0" applyNumberFormat="1" applyFont="1" applyFill="1" applyBorder="1" applyAlignment="1">
      <alignment horizontal="right" wrapText="1"/>
    </xf>
    <xf numFmtId="168" fontId="15" fillId="3" borderId="53" xfId="0" applyNumberFormat="1" applyFont="1" applyFill="1" applyBorder="1"/>
    <xf numFmtId="0" fontId="18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0" xfId="0" applyFont="1" applyFill="1" applyBorder="1"/>
    <xf numFmtId="0" fontId="5" fillId="3" borderId="7" xfId="0" applyFont="1" applyFill="1" applyBorder="1"/>
    <xf numFmtId="0" fontId="19" fillId="3" borderId="6" xfId="0" applyFont="1" applyFill="1" applyBorder="1" applyAlignment="1">
      <alignment horizontal="left" indent="3"/>
    </xf>
    <xf numFmtId="0" fontId="5" fillId="3" borderId="6" xfId="0" applyFont="1" applyFill="1" applyBorder="1" applyAlignment="1">
      <alignment horizontal="left" indent="3"/>
    </xf>
    <xf numFmtId="0" fontId="7" fillId="3" borderId="0" xfId="0" applyFont="1" applyFill="1" applyBorder="1"/>
    <xf numFmtId="168" fontId="7" fillId="3" borderId="0" xfId="0" applyNumberFormat="1" applyFont="1" applyFill="1" applyBorder="1"/>
    <xf numFmtId="164" fontId="11" fillId="3" borderId="0" xfId="4" applyFont="1" applyFill="1"/>
    <xf numFmtId="164" fontId="11" fillId="3" borderId="0" xfId="0" applyNumberFormat="1" applyFont="1" applyFill="1"/>
    <xf numFmtId="169" fontId="11" fillId="3" borderId="0" xfId="0" applyNumberFormat="1" applyFont="1" applyFill="1"/>
    <xf numFmtId="0" fontId="11" fillId="3" borderId="0" xfId="0" applyFont="1" applyFill="1" applyBorder="1"/>
    <xf numFmtId="168" fontId="5" fillId="3" borderId="0" xfId="0" applyNumberFormat="1" applyFont="1" applyFill="1"/>
    <xf numFmtId="0" fontId="5" fillId="3" borderId="8" xfId="0" applyFont="1" applyFill="1" applyBorder="1" applyAlignment="1">
      <alignment horizontal="left" indent="3"/>
    </xf>
    <xf numFmtId="0" fontId="5" fillId="3" borderId="9" xfId="0" applyFont="1" applyFill="1" applyBorder="1"/>
    <xf numFmtId="0" fontId="5" fillId="3" borderId="10" xfId="0" applyFont="1" applyFill="1" applyBorder="1"/>
    <xf numFmtId="0" fontId="20" fillId="3" borderId="0" xfId="0" applyFont="1" applyFill="1" applyBorder="1" applyAlignment="1">
      <alignment vertical="top" wrapText="1"/>
    </xf>
    <xf numFmtId="0" fontId="21" fillId="3" borderId="0" xfId="0" applyFont="1" applyFill="1" applyBorder="1" applyAlignment="1">
      <alignment vertical="top" wrapText="1"/>
    </xf>
    <xf numFmtId="0" fontId="22" fillId="3" borderId="11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22" fillId="3" borderId="13" xfId="0" applyFont="1" applyFill="1" applyBorder="1" applyAlignment="1">
      <alignment vertical="center"/>
    </xf>
    <xf numFmtId="0" fontId="22" fillId="3" borderId="0" xfId="0" applyFont="1" applyFill="1" applyBorder="1" applyAlignment="1">
      <alignment vertical="center"/>
    </xf>
    <xf numFmtId="0" fontId="24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left" vertical="center" wrapText="1" indent="1"/>
    </xf>
    <xf numFmtId="0" fontId="25" fillId="3" borderId="37" xfId="0" applyFont="1" applyFill="1" applyBorder="1" applyAlignment="1">
      <alignment horizontal="center" vertical="center" wrapText="1"/>
    </xf>
    <xf numFmtId="168" fontId="5" fillId="3" borderId="37" xfId="1" applyNumberFormat="1" applyFont="1" applyFill="1" applyBorder="1" applyAlignment="1" applyProtection="1">
      <alignment horizontal="right" wrapText="1"/>
    </xf>
    <xf numFmtId="0" fontId="25" fillId="3" borderId="2" xfId="0" applyFont="1" applyFill="1" applyBorder="1" applyAlignment="1">
      <alignment horizontal="center" vertical="center" wrapText="1"/>
    </xf>
    <xf numFmtId="49" fontId="23" fillId="3" borderId="12" xfId="0" applyNumberFormat="1" applyFont="1" applyFill="1" applyBorder="1" applyAlignment="1">
      <alignment horizontal="center" vertical="center"/>
    </xf>
    <xf numFmtId="3" fontId="25" fillId="3" borderId="0" xfId="0" applyNumberFormat="1" applyFont="1" applyFill="1" applyBorder="1" applyAlignment="1"/>
    <xf numFmtId="167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right"/>
    </xf>
    <xf numFmtId="0" fontId="5" fillId="3" borderId="25" xfId="0" applyFont="1" applyFill="1" applyBorder="1"/>
    <xf numFmtId="0" fontId="5" fillId="3" borderId="13" xfId="0" applyFont="1" applyFill="1" applyBorder="1"/>
    <xf numFmtId="0" fontId="5" fillId="3" borderId="13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right"/>
    </xf>
    <xf numFmtId="0" fontId="15" fillId="3" borderId="46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center" vertical="center"/>
    </xf>
    <xf numFmtId="0" fontId="15" fillId="3" borderId="47" xfId="0" applyFont="1" applyFill="1" applyBorder="1" applyAlignment="1">
      <alignment horizontal="left" vertical="center"/>
    </xf>
    <xf numFmtId="0" fontId="15" fillId="3" borderId="48" xfId="0" applyFont="1" applyFill="1" applyBorder="1" applyAlignment="1">
      <alignment horizontal="center" vertical="center"/>
    </xf>
    <xf numFmtId="0" fontId="15" fillId="3" borderId="49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168" fontId="5" fillId="3" borderId="41" xfId="1" applyNumberFormat="1" applyFont="1" applyFill="1" applyBorder="1"/>
    <xf numFmtId="0" fontId="5" fillId="3" borderId="2" xfId="0" applyFont="1" applyFill="1" applyBorder="1" applyAlignment="1">
      <alignment horizontal="center" vertical="center"/>
    </xf>
    <xf numFmtId="168" fontId="5" fillId="3" borderId="2" xfId="1" applyNumberFormat="1" applyFont="1" applyFill="1" applyBorder="1" applyProtection="1"/>
    <xf numFmtId="168" fontId="15" fillId="3" borderId="28" xfId="1" applyNumberFormat="1" applyFont="1" applyFill="1" applyBorder="1"/>
    <xf numFmtId="0" fontId="5" fillId="3" borderId="0" xfId="0" applyFont="1" applyFill="1" applyAlignment="1">
      <alignment horizontal="right"/>
    </xf>
    <xf numFmtId="168" fontId="5" fillId="3" borderId="2" xfId="1" applyNumberFormat="1" applyFont="1" applyFill="1" applyBorder="1" applyAlignment="1" applyProtection="1">
      <alignment horizontal="right" wrapText="1"/>
    </xf>
    <xf numFmtId="1" fontId="5" fillId="3" borderId="38" xfId="0" applyNumberFormat="1" applyFont="1" applyFill="1" applyBorder="1" applyAlignment="1">
      <alignment horizontal="right" wrapText="1"/>
    </xf>
    <xf numFmtId="1" fontId="5" fillId="3" borderId="55" xfId="0" applyNumberFormat="1" applyFont="1" applyFill="1" applyBorder="1" applyAlignment="1">
      <alignment horizontal="right" wrapText="1"/>
    </xf>
    <xf numFmtId="0" fontId="5" fillId="3" borderId="42" xfId="0" applyFont="1" applyFill="1" applyBorder="1"/>
    <xf numFmtId="0" fontId="25" fillId="3" borderId="42" xfId="0" applyFont="1" applyFill="1" applyBorder="1" applyAlignment="1">
      <alignment horizontal="center" vertical="center" wrapText="1"/>
    </xf>
    <xf numFmtId="168" fontId="5" fillId="3" borderId="42" xfId="1" applyNumberFormat="1" applyFont="1" applyFill="1" applyBorder="1" applyAlignment="1" applyProtection="1">
      <alignment horizontal="right" wrapText="1"/>
    </xf>
    <xf numFmtId="1" fontId="5" fillId="3" borderId="57" xfId="0" applyNumberFormat="1" applyFont="1" applyFill="1" applyBorder="1" applyAlignment="1">
      <alignment horizontal="right" wrapText="1"/>
    </xf>
    <xf numFmtId="49" fontId="0" fillId="0" borderId="2" xfId="0" applyNumberFormat="1" applyBorder="1"/>
    <xf numFmtId="49" fontId="3" fillId="3" borderId="2" xfId="0" applyNumberFormat="1" applyFont="1" applyFill="1" applyBorder="1" applyAlignment="1">
      <alignment wrapText="1"/>
    </xf>
    <xf numFmtId="0" fontId="18" fillId="3" borderId="3" xfId="0" applyFont="1" applyFill="1" applyBorder="1" applyAlignment="1"/>
    <xf numFmtId="0" fontId="5" fillId="3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168" fontId="7" fillId="3" borderId="0" xfId="0" applyNumberFormat="1" applyFont="1" applyFill="1"/>
    <xf numFmtId="0" fontId="6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wrapText="1"/>
    </xf>
    <xf numFmtId="0" fontId="5" fillId="3" borderId="1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21" fillId="3" borderId="0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center"/>
    </xf>
    <xf numFmtId="0" fontId="23" fillId="3" borderId="53" xfId="0" applyFont="1" applyFill="1" applyBorder="1" applyAlignment="1">
      <alignment horizontal="left" vertical="center" wrapText="1" indent="1"/>
    </xf>
    <xf numFmtId="166" fontId="23" fillId="3" borderId="10" xfId="0" applyNumberFormat="1" applyFont="1" applyFill="1" applyBorder="1" applyAlignment="1">
      <alignment horizontal="center" vertical="center"/>
    </xf>
    <xf numFmtId="166" fontId="23" fillId="3" borderId="53" xfId="0" applyNumberFormat="1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0" fontId="25" fillId="3" borderId="58" xfId="0" applyFont="1" applyFill="1" applyBorder="1" applyAlignment="1">
      <alignment horizontal="center" vertical="center"/>
    </xf>
    <xf numFmtId="0" fontId="25" fillId="3" borderId="29" xfId="0" applyFont="1" applyFill="1" applyBorder="1" applyAlignment="1">
      <alignment horizontal="center" vertical="center" wrapText="1"/>
    </xf>
    <xf numFmtId="0" fontId="25" fillId="3" borderId="59" xfId="0" applyFont="1" applyFill="1" applyBorder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5" fillId="3" borderId="58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center" vertical="center" wrapText="1"/>
    </xf>
    <xf numFmtId="0" fontId="25" fillId="3" borderId="60" xfId="0" applyFont="1" applyFill="1" applyBorder="1" applyAlignment="1">
      <alignment horizontal="center" vertical="center" wrapText="1"/>
    </xf>
    <xf numFmtId="0" fontId="25" fillId="3" borderId="40" xfId="0" applyFont="1" applyFill="1" applyBorder="1" applyAlignment="1">
      <alignment horizontal="center" vertical="center" wrapText="1"/>
    </xf>
    <xf numFmtId="0" fontId="25" fillId="3" borderId="6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5" fillId="3" borderId="37" xfId="0" applyFont="1" applyFill="1" applyBorder="1" applyAlignment="1">
      <alignment horizontal="left" wrapText="1"/>
    </xf>
    <xf numFmtId="0" fontId="22" fillId="3" borderId="0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left" vertical="center" wrapText="1"/>
    </xf>
    <xf numFmtId="0" fontId="23" fillId="3" borderId="15" xfId="0" applyFont="1" applyFill="1" applyBorder="1" applyAlignment="1">
      <alignment horizontal="left" vertical="center" wrapText="1" indent="1"/>
    </xf>
    <xf numFmtId="0" fontId="24" fillId="3" borderId="16" xfId="0" applyFont="1" applyFill="1" applyBorder="1" applyAlignment="1">
      <alignment horizontal="left" vertical="center" wrapText="1"/>
    </xf>
    <xf numFmtId="0" fontId="23" fillId="3" borderId="32" xfId="0" applyFont="1" applyFill="1" applyBorder="1" applyAlignment="1">
      <alignment horizontal="left" vertical="center" wrapText="1" indent="1"/>
    </xf>
    <xf numFmtId="0" fontId="23" fillId="3" borderId="3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3" fillId="3" borderId="9" xfId="0" applyFont="1" applyFill="1" applyBorder="1" applyAlignment="1">
      <alignment horizontal="left" vertical="center" wrapText="1"/>
    </xf>
    <xf numFmtId="0" fontId="23" fillId="3" borderId="10" xfId="0" applyFont="1" applyFill="1" applyBorder="1" applyAlignment="1">
      <alignment horizontal="left" vertical="center" wrapText="1"/>
    </xf>
    <xf numFmtId="0" fontId="24" fillId="3" borderId="3" xfId="0" applyFont="1" applyFill="1" applyBorder="1" applyAlignment="1">
      <alignment horizontal="left" vertical="center"/>
    </xf>
    <xf numFmtId="0" fontId="24" fillId="3" borderId="4" xfId="0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left" vertical="center"/>
    </xf>
    <xf numFmtId="0" fontId="24" fillId="3" borderId="10" xfId="0" applyFont="1" applyFill="1" applyBorder="1" applyAlignment="1">
      <alignment horizontal="left" vertical="center"/>
    </xf>
    <xf numFmtId="0" fontId="26" fillId="3" borderId="28" xfId="0" applyFont="1" applyFill="1" applyBorder="1" applyAlignment="1">
      <alignment horizontal="left" vertical="center" wrapText="1" indent="1"/>
    </xf>
    <xf numFmtId="0" fontId="25" fillId="3" borderId="28" xfId="0" applyFont="1" applyFill="1" applyBorder="1" applyAlignment="1">
      <alignment horizontal="left" vertical="center" wrapText="1"/>
    </xf>
    <xf numFmtId="0" fontId="5" fillId="3" borderId="2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vertical="center" wrapText="1"/>
    </xf>
    <xf numFmtId="0" fontId="25" fillId="3" borderId="29" xfId="0" applyFont="1" applyFill="1" applyBorder="1" applyAlignment="1">
      <alignment vertical="center" wrapText="1"/>
    </xf>
    <xf numFmtId="0" fontId="25" fillId="3" borderId="18" xfId="0" applyFont="1" applyFill="1" applyBorder="1" applyAlignment="1">
      <alignment vertical="center" wrapText="1"/>
    </xf>
    <xf numFmtId="0" fontId="26" fillId="3" borderId="27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horizontal="center"/>
    </xf>
    <xf numFmtId="3" fontId="25" fillId="3" borderId="21" xfId="0" applyNumberFormat="1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/>
    <xf numFmtId="0" fontId="26" fillId="3" borderId="12" xfId="0" applyFont="1" applyFill="1" applyBorder="1" applyAlignment="1">
      <alignment horizontal="left" indent="1"/>
    </xf>
    <xf numFmtId="0" fontId="5" fillId="3" borderId="14" xfId="0" applyFont="1" applyFill="1" applyBorder="1" applyAlignment="1">
      <alignment horizontal="left" vertical="center" wrapText="1"/>
    </xf>
    <xf numFmtId="0" fontId="5" fillId="3" borderId="30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left"/>
    </xf>
    <xf numFmtId="0" fontId="5" fillId="3" borderId="41" xfId="0" applyFont="1" applyFill="1" applyBorder="1" applyAlignment="1">
      <alignment horizontal="center" vertical="center" wrapText="1"/>
    </xf>
    <xf numFmtId="0" fontId="26" fillId="3" borderId="23" xfId="0" applyFont="1" applyFill="1" applyBorder="1"/>
    <xf numFmtId="0" fontId="26" fillId="3" borderId="24" xfId="0" applyFont="1" applyFill="1" applyBorder="1" applyAlignment="1">
      <alignment horizontal="left" vertical="center" wrapText="1" indent="1"/>
    </xf>
    <xf numFmtId="0" fontId="15" fillId="3" borderId="22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right" vertical="center"/>
    </xf>
    <xf numFmtId="0" fontId="15" fillId="3" borderId="51" xfId="0" applyFont="1" applyFill="1" applyBorder="1" applyAlignment="1">
      <alignment horizontal="right" vertical="center"/>
    </xf>
  </cellXfs>
  <cellStyles count="5">
    <cellStyle name="Encabezado 1" xfId="2" xr:uid="{00000000-0005-0000-0000-000000000000}"/>
    <cellStyle name="Millares" xfId="4" builtinId="3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88"/>
  <sheetViews>
    <sheetView tabSelected="1" view="pageBreakPreview" zoomScale="85" zoomScaleSheetLayoutView="85" zoomScalePageLayoutView="55" workbookViewId="0">
      <selection activeCell="E29" sqref="E29"/>
    </sheetView>
  </sheetViews>
  <sheetFormatPr baseColWidth="10" defaultColWidth="11" defaultRowHeight="13.5" x14ac:dyDescent="0.25"/>
  <cols>
    <col min="1" max="1" width="4.5703125" style="1" customWidth="1"/>
    <col min="2" max="2" width="14.5703125" style="1" customWidth="1"/>
    <col min="3" max="3" width="32.42578125" style="1" customWidth="1"/>
    <col min="4" max="4" width="8.42578125" style="1" customWidth="1"/>
    <col min="5" max="5" width="82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0" width="15.5703125" style="1" bestFit="1" customWidth="1"/>
    <col min="11" max="11" width="20.140625" style="2" customWidth="1"/>
    <col min="12" max="12" width="15.42578125" style="2" bestFit="1" customWidth="1"/>
    <col min="13" max="13" width="11" style="2"/>
    <col min="14" max="14" width="18.5703125" style="2" customWidth="1"/>
    <col min="15" max="16" width="11" style="2"/>
    <col min="17" max="17" width="13.28515625" style="2" bestFit="1" customWidth="1"/>
    <col min="18" max="20" width="11" style="2"/>
    <col min="21" max="16384" width="11" style="1"/>
  </cols>
  <sheetData>
    <row r="2" spans="1:17" ht="28.5" x14ac:dyDescent="0.4">
      <c r="B2" s="110" t="s">
        <v>0</v>
      </c>
      <c r="C2" s="110"/>
      <c r="D2" s="110"/>
      <c r="E2" s="110"/>
      <c r="F2" s="110"/>
      <c r="G2" s="110"/>
      <c r="H2" s="110"/>
    </row>
    <row r="4" spans="1:17" ht="18" customHeight="1" x14ac:dyDescent="0.25">
      <c r="A4" s="111" t="s">
        <v>1</v>
      </c>
      <c r="B4" s="111"/>
      <c r="C4" s="112" t="s">
        <v>59</v>
      </c>
      <c r="D4" s="112"/>
      <c r="E4" s="112"/>
      <c r="F4" s="3"/>
      <c r="G4" s="4"/>
      <c r="H4" s="3"/>
    </row>
    <row r="5" spans="1:17" ht="18" customHeight="1" x14ac:dyDescent="0.25">
      <c r="A5" s="111" t="s">
        <v>2</v>
      </c>
      <c r="B5" s="111"/>
      <c r="C5" s="112" t="s">
        <v>60</v>
      </c>
      <c r="D5" s="112"/>
      <c r="E5" s="112"/>
      <c r="F5" s="3"/>
      <c r="G5" s="4"/>
      <c r="H5" s="3"/>
      <c r="K5" s="5"/>
      <c r="L5" s="6"/>
      <c r="M5" s="6"/>
      <c r="N5" s="6"/>
      <c r="O5" s="6"/>
      <c r="P5" s="6"/>
      <c r="Q5" s="6"/>
    </row>
    <row r="6" spans="1:17" ht="16.5" customHeight="1" x14ac:dyDescent="0.25">
      <c r="A6" s="111" t="s">
        <v>3</v>
      </c>
      <c r="B6" s="111"/>
      <c r="C6" s="7">
        <v>2021</v>
      </c>
      <c r="D6" s="8"/>
      <c r="E6" s="8"/>
      <c r="F6" s="3"/>
      <c r="G6" s="4"/>
      <c r="H6" s="3"/>
      <c r="K6" s="5"/>
      <c r="L6" s="6"/>
      <c r="M6" s="6"/>
      <c r="N6" s="6"/>
      <c r="O6" s="6"/>
      <c r="P6" s="6"/>
      <c r="Q6" s="6"/>
    </row>
    <row r="7" spans="1:17" ht="16.5" customHeight="1" x14ac:dyDescent="0.25">
      <c r="A7" s="111" t="s">
        <v>4</v>
      </c>
      <c r="B7" s="111"/>
      <c r="C7" s="7">
        <v>1</v>
      </c>
      <c r="D7" s="8"/>
      <c r="E7" s="8"/>
      <c r="F7" s="3"/>
      <c r="G7" s="4"/>
      <c r="H7" s="3"/>
      <c r="K7" s="5"/>
      <c r="L7" s="6"/>
      <c r="M7" s="6"/>
      <c r="N7" s="6"/>
      <c r="O7" s="6"/>
      <c r="P7" s="6"/>
      <c r="Q7" s="6"/>
    </row>
    <row r="8" spans="1:17" ht="14.25" thickBot="1" x14ac:dyDescent="0.3">
      <c r="B8" s="3"/>
      <c r="C8" s="4"/>
      <c r="D8" s="3"/>
      <c r="E8" s="3"/>
      <c r="F8" s="3"/>
      <c r="G8" s="4"/>
      <c r="H8" s="3"/>
      <c r="K8" s="5"/>
      <c r="L8" s="6"/>
      <c r="M8" s="6"/>
      <c r="N8" s="6"/>
      <c r="O8" s="6"/>
      <c r="P8" s="6"/>
      <c r="Q8" s="6"/>
    </row>
    <row r="9" spans="1:17" ht="39" thickBot="1" x14ac:dyDescent="0.3">
      <c r="A9" s="9" t="s">
        <v>5</v>
      </c>
      <c r="B9" s="10" t="s">
        <v>6</v>
      </c>
      <c r="C9" s="10" t="s">
        <v>7</v>
      </c>
      <c r="D9" s="10" t="s">
        <v>8</v>
      </c>
      <c r="E9" s="11" t="s">
        <v>9</v>
      </c>
      <c r="F9" s="12" t="s">
        <v>10</v>
      </c>
      <c r="G9" s="10" t="s">
        <v>11</v>
      </c>
      <c r="H9" s="10" t="s">
        <v>12</v>
      </c>
      <c r="I9" s="11" t="s">
        <v>13</v>
      </c>
      <c r="J9" s="6"/>
      <c r="K9" s="5"/>
      <c r="L9" s="6"/>
      <c r="M9" s="6"/>
      <c r="N9" s="6"/>
      <c r="O9" s="6"/>
      <c r="P9" s="6"/>
      <c r="Q9" s="6"/>
    </row>
    <row r="10" spans="1:17" ht="27" x14ac:dyDescent="0.25">
      <c r="A10" s="13">
        <v>1</v>
      </c>
      <c r="B10" s="14" t="s">
        <v>75</v>
      </c>
      <c r="C10" s="14" t="s">
        <v>57</v>
      </c>
      <c r="D10" s="15" t="str">
        <f>LEFT(B10,5)</f>
        <v>2.5.6</v>
      </c>
      <c r="E10" s="16" t="s">
        <v>89</v>
      </c>
      <c r="F10" s="17" t="s">
        <v>82</v>
      </c>
      <c r="G10" s="18">
        <f>63000*2</f>
        <v>126000</v>
      </c>
      <c r="H10" s="19">
        <v>75.599999999999994</v>
      </c>
      <c r="I10" s="20">
        <f>G10*H10</f>
        <v>9525600</v>
      </c>
      <c r="J10" s="21">
        <f>SUM(I10:I11)</f>
        <v>29983840</v>
      </c>
      <c r="K10" s="5">
        <f>15000000*30/100</f>
        <v>4500000</v>
      </c>
      <c r="L10" s="21">
        <f>I10-K10</f>
        <v>5025600</v>
      </c>
      <c r="M10" s="6">
        <f>J10/2</f>
        <v>14991920</v>
      </c>
      <c r="N10" s="21">
        <f>SUM(I10:I11)</f>
        <v>29983840</v>
      </c>
      <c r="O10" s="6"/>
      <c r="P10" s="6"/>
      <c r="Q10" s="6"/>
    </row>
    <row r="11" spans="1:17" ht="27" x14ac:dyDescent="0.25">
      <c r="A11" s="22">
        <v>2</v>
      </c>
      <c r="B11" s="23" t="s">
        <v>72</v>
      </c>
      <c r="C11" s="23" t="s">
        <v>57</v>
      </c>
      <c r="D11" s="24" t="str">
        <f t="shared" ref="D11:D25" si="0">LEFT(B11,5)</f>
        <v>2.5.6</v>
      </c>
      <c r="E11" s="25" t="s">
        <v>90</v>
      </c>
      <c r="F11" s="26" t="s">
        <v>82</v>
      </c>
      <c r="G11" s="27">
        <f>145300*2</f>
        <v>290600</v>
      </c>
      <c r="H11" s="28">
        <v>70.400000000000006</v>
      </c>
      <c r="I11" s="29">
        <f>G11*H11</f>
        <v>20458240</v>
      </c>
      <c r="J11" s="6"/>
      <c r="K11" s="5">
        <f>15000000*70/100</f>
        <v>10500000</v>
      </c>
      <c r="L11" s="21">
        <f>I11-K11</f>
        <v>9958240</v>
      </c>
      <c r="M11" s="6"/>
      <c r="N11" s="21">
        <f>15000000-N10</f>
        <v>-14983840</v>
      </c>
      <c r="O11" s="6"/>
      <c r="P11" s="6"/>
      <c r="Q11" s="6"/>
    </row>
    <row r="12" spans="1:17" ht="27" x14ac:dyDescent="0.25">
      <c r="A12" s="22">
        <v>3</v>
      </c>
      <c r="B12" s="104" t="s">
        <v>106</v>
      </c>
      <c r="C12" s="23" t="s">
        <v>57</v>
      </c>
      <c r="D12" s="24" t="str">
        <f t="shared" si="0"/>
        <v>2.5.6</v>
      </c>
      <c r="E12" s="105" t="s">
        <v>107</v>
      </c>
      <c r="F12" s="26" t="s">
        <v>82</v>
      </c>
      <c r="G12" s="27">
        <v>2227</v>
      </c>
      <c r="H12" s="31">
        <v>77</v>
      </c>
      <c r="I12" s="29">
        <f>G12*H12</f>
        <v>171479</v>
      </c>
      <c r="J12" s="21">
        <f>SUM(I12:I13)</f>
        <v>599790</v>
      </c>
      <c r="K12" s="21"/>
      <c r="L12" s="6"/>
      <c r="M12" s="6"/>
      <c r="N12" s="6"/>
      <c r="O12" s="6"/>
      <c r="P12" s="6"/>
      <c r="Q12" s="6"/>
    </row>
    <row r="13" spans="1:17" ht="27" x14ac:dyDescent="0.25">
      <c r="A13" s="22">
        <v>4</v>
      </c>
      <c r="B13" s="104" t="s">
        <v>108</v>
      </c>
      <c r="C13" s="23" t="s">
        <v>57</v>
      </c>
      <c r="D13" s="24" t="str">
        <f t="shared" si="0"/>
        <v>2.5.6</v>
      </c>
      <c r="E13" s="105" t="s">
        <v>109</v>
      </c>
      <c r="F13" s="26" t="s">
        <v>82</v>
      </c>
      <c r="G13" s="27">
        <v>6110</v>
      </c>
      <c r="H13" s="28">
        <v>70.099999999999994</v>
      </c>
      <c r="I13" s="29">
        <f t="shared" ref="I13:I25" si="1">G13*H13</f>
        <v>428310.99999999994</v>
      </c>
      <c r="J13" s="6"/>
      <c r="K13" s="21">
        <f>600000*30/100</f>
        <v>180000</v>
      </c>
      <c r="L13" s="21">
        <f>I12-K13</f>
        <v>-8521</v>
      </c>
      <c r="M13" s="6"/>
      <c r="N13" s="21">
        <f>SUM(I12:I13)</f>
        <v>599790</v>
      </c>
      <c r="O13" s="6"/>
      <c r="P13" s="6"/>
      <c r="Q13" s="6"/>
    </row>
    <row r="14" spans="1:17" ht="27" x14ac:dyDescent="0.25">
      <c r="A14" s="22">
        <v>5</v>
      </c>
      <c r="B14" s="23" t="s">
        <v>83</v>
      </c>
      <c r="C14" s="23" t="s">
        <v>57</v>
      </c>
      <c r="D14" s="24" t="str">
        <f t="shared" si="0"/>
        <v>2.5.6</v>
      </c>
      <c r="E14" s="30" t="s">
        <v>91</v>
      </c>
      <c r="F14" s="26" t="s">
        <v>82</v>
      </c>
      <c r="G14" s="27">
        <v>2165</v>
      </c>
      <c r="H14" s="31">
        <v>76.900000000000006</v>
      </c>
      <c r="I14" s="29">
        <f t="shared" si="1"/>
        <v>166488.5</v>
      </c>
      <c r="J14" s="21">
        <f>SUM(I14:I15)</f>
        <v>599076.5</v>
      </c>
      <c r="K14" s="21">
        <f>600000*70/100</f>
        <v>420000</v>
      </c>
      <c r="L14" s="21">
        <f>I13-K14</f>
        <v>8310.9999999999418</v>
      </c>
      <c r="M14" s="6"/>
      <c r="N14" s="6"/>
      <c r="O14" s="6"/>
      <c r="P14" s="6"/>
      <c r="Q14" s="6"/>
    </row>
    <row r="15" spans="1:17" ht="27" x14ac:dyDescent="0.25">
      <c r="A15" s="22">
        <v>6</v>
      </c>
      <c r="B15" s="23" t="s">
        <v>84</v>
      </c>
      <c r="C15" s="23" t="s">
        <v>57</v>
      </c>
      <c r="D15" s="24" t="str">
        <f t="shared" si="0"/>
        <v>2.5.6</v>
      </c>
      <c r="E15" s="30" t="s">
        <v>92</v>
      </c>
      <c r="F15" s="26" t="s">
        <v>82</v>
      </c>
      <c r="G15" s="27">
        <v>6110</v>
      </c>
      <c r="H15" s="28">
        <v>70.8</v>
      </c>
      <c r="I15" s="29">
        <f t="shared" si="1"/>
        <v>432588</v>
      </c>
      <c r="J15" s="6"/>
      <c r="K15" s="21"/>
      <c r="L15" s="6"/>
      <c r="M15" s="6"/>
      <c r="N15" s="6"/>
      <c r="O15" s="6"/>
      <c r="P15" s="6"/>
      <c r="Q15" s="6"/>
    </row>
    <row r="16" spans="1:17" ht="24.75" customHeight="1" x14ac:dyDescent="0.25">
      <c r="A16" s="22">
        <v>7</v>
      </c>
      <c r="B16" s="23" t="s">
        <v>69</v>
      </c>
      <c r="C16" s="23" t="s">
        <v>57</v>
      </c>
      <c r="D16" s="24" t="str">
        <f t="shared" si="0"/>
        <v>2.5.6</v>
      </c>
      <c r="E16" s="30" t="s">
        <v>93</v>
      </c>
      <c r="F16" s="26" t="s">
        <v>82</v>
      </c>
      <c r="G16" s="27">
        <v>1560</v>
      </c>
      <c r="H16" s="31">
        <v>86.7</v>
      </c>
      <c r="I16" s="29">
        <f t="shared" si="1"/>
        <v>135252</v>
      </c>
      <c r="J16" s="21">
        <f>SUM(I16:I17)</f>
        <v>599790</v>
      </c>
      <c r="K16" s="21"/>
      <c r="L16" s="6"/>
      <c r="M16" s="6"/>
      <c r="N16" s="6"/>
      <c r="O16" s="6"/>
      <c r="P16" s="6"/>
      <c r="Q16" s="6"/>
    </row>
    <row r="17" spans="1:17" ht="34.5" customHeight="1" x14ac:dyDescent="0.25">
      <c r="A17" s="22">
        <v>8</v>
      </c>
      <c r="B17" s="23" t="s">
        <v>77</v>
      </c>
      <c r="C17" s="23" t="s">
        <v>57</v>
      </c>
      <c r="D17" s="24" t="str">
        <f t="shared" si="0"/>
        <v>2.5.6</v>
      </c>
      <c r="E17" s="30" t="s">
        <v>94</v>
      </c>
      <c r="F17" s="26" t="s">
        <v>82</v>
      </c>
      <c r="G17" s="27">
        <v>5570</v>
      </c>
      <c r="H17" s="28">
        <v>83.4</v>
      </c>
      <c r="I17" s="29">
        <f t="shared" si="1"/>
        <v>464538.00000000006</v>
      </c>
      <c r="J17" s="6"/>
      <c r="K17" s="21"/>
      <c r="L17" s="6"/>
      <c r="M17" s="6"/>
      <c r="N17" s="6"/>
      <c r="O17" s="6"/>
      <c r="P17" s="6"/>
      <c r="Q17" s="6"/>
    </row>
    <row r="18" spans="1:17" ht="34.5" customHeight="1" x14ac:dyDescent="0.25">
      <c r="A18" s="22">
        <v>9</v>
      </c>
      <c r="B18" s="23" t="s">
        <v>85</v>
      </c>
      <c r="C18" s="23" t="s">
        <v>57</v>
      </c>
      <c r="D18" s="24" t="str">
        <f t="shared" si="0"/>
        <v>2.5.6</v>
      </c>
      <c r="E18" s="30" t="s">
        <v>95</v>
      </c>
      <c r="F18" s="26" t="s">
        <v>82</v>
      </c>
      <c r="G18" s="27">
        <v>1500</v>
      </c>
      <c r="H18" s="31">
        <v>82.2</v>
      </c>
      <c r="I18" s="29">
        <f t="shared" si="1"/>
        <v>123300</v>
      </c>
      <c r="J18" s="21">
        <f>SUM(I18:I19)</f>
        <v>599863.5</v>
      </c>
      <c r="K18" s="21"/>
      <c r="L18" s="6"/>
      <c r="M18" s="6"/>
      <c r="N18" s="6"/>
      <c r="O18" s="6"/>
      <c r="P18" s="6"/>
      <c r="Q18" s="6"/>
    </row>
    <row r="19" spans="1:17" ht="34.5" customHeight="1" x14ac:dyDescent="0.25">
      <c r="A19" s="22">
        <v>10</v>
      </c>
      <c r="B19" s="23" t="s">
        <v>86</v>
      </c>
      <c r="C19" s="23" t="s">
        <v>57</v>
      </c>
      <c r="D19" s="24" t="str">
        <f t="shared" si="0"/>
        <v>2.5.6</v>
      </c>
      <c r="E19" s="30" t="s">
        <v>96</v>
      </c>
      <c r="F19" s="26" t="s">
        <v>82</v>
      </c>
      <c r="G19" s="27">
        <v>5535</v>
      </c>
      <c r="H19" s="28">
        <v>86.1</v>
      </c>
      <c r="I19" s="29">
        <f t="shared" si="1"/>
        <v>476563.49999999994</v>
      </c>
      <c r="J19" s="6"/>
      <c r="K19" s="21"/>
      <c r="L19" s="6"/>
      <c r="M19" s="6"/>
      <c r="N19" s="6"/>
      <c r="O19" s="6"/>
      <c r="P19" s="6"/>
      <c r="Q19" s="6"/>
    </row>
    <row r="20" spans="1:17" ht="34.5" customHeight="1" x14ac:dyDescent="0.25">
      <c r="A20" s="22">
        <v>11</v>
      </c>
      <c r="B20" s="23" t="s">
        <v>87</v>
      </c>
      <c r="C20" s="23" t="s">
        <v>57</v>
      </c>
      <c r="D20" s="24" t="str">
        <f t="shared" si="0"/>
        <v>2.5.6</v>
      </c>
      <c r="E20" s="30" t="s">
        <v>97</v>
      </c>
      <c r="F20" s="26" t="s">
        <v>82</v>
      </c>
      <c r="G20" s="27">
        <v>2235</v>
      </c>
      <c r="H20" s="31">
        <v>77</v>
      </c>
      <c r="I20" s="29">
        <f t="shared" si="1"/>
        <v>172095</v>
      </c>
      <c r="J20" s="21">
        <f>SUM(I20:I21)</f>
        <v>599705</v>
      </c>
      <c r="K20" s="21"/>
      <c r="L20" s="6"/>
      <c r="M20" s="6"/>
      <c r="N20" s="6"/>
      <c r="O20" s="6"/>
      <c r="P20" s="6"/>
      <c r="Q20" s="6"/>
    </row>
    <row r="21" spans="1:17" ht="34.5" customHeight="1" x14ac:dyDescent="0.25">
      <c r="A21" s="22">
        <v>12</v>
      </c>
      <c r="B21" s="23" t="s">
        <v>88</v>
      </c>
      <c r="C21" s="23" t="s">
        <v>57</v>
      </c>
      <c r="D21" s="24" t="str">
        <f t="shared" si="0"/>
        <v>2.5.6</v>
      </c>
      <c r="E21" s="30" t="s">
        <v>98</v>
      </c>
      <c r="F21" s="26" t="s">
        <v>82</v>
      </c>
      <c r="G21" s="27">
        <v>6100</v>
      </c>
      <c r="H21" s="28">
        <v>70.099999999999994</v>
      </c>
      <c r="I21" s="29">
        <f t="shared" si="1"/>
        <v>427609.99999999994</v>
      </c>
      <c r="J21" s="6"/>
      <c r="K21" s="21"/>
      <c r="L21" s="6"/>
      <c r="M21" s="6"/>
      <c r="N21" s="6"/>
      <c r="O21" s="6"/>
      <c r="P21" s="6"/>
      <c r="Q21" s="6"/>
    </row>
    <row r="22" spans="1:17" ht="28.5" customHeight="1" x14ac:dyDescent="0.25">
      <c r="A22" s="22">
        <v>13</v>
      </c>
      <c r="B22" s="23" t="s">
        <v>71</v>
      </c>
      <c r="C22" s="23" t="s">
        <v>57</v>
      </c>
      <c r="D22" s="24" t="str">
        <f t="shared" si="0"/>
        <v>2.5.6</v>
      </c>
      <c r="E22" s="30" t="s">
        <v>99</v>
      </c>
      <c r="F22" s="26" t="s">
        <v>82</v>
      </c>
      <c r="G22" s="27">
        <v>1510</v>
      </c>
      <c r="H22" s="31">
        <v>87.99</v>
      </c>
      <c r="I22" s="29">
        <f t="shared" si="1"/>
        <v>132864.9</v>
      </c>
      <c r="J22" s="21">
        <f>SUM(I22:I23)</f>
        <v>599849.29999999993</v>
      </c>
      <c r="K22" s="21"/>
      <c r="L22" s="6"/>
      <c r="M22" s="6"/>
      <c r="N22" s="6"/>
      <c r="O22" s="6"/>
      <c r="P22" s="6"/>
      <c r="Q22" s="6"/>
    </row>
    <row r="23" spans="1:17" ht="28.5" customHeight="1" x14ac:dyDescent="0.25">
      <c r="A23" s="22">
        <v>14</v>
      </c>
      <c r="B23" s="32" t="s">
        <v>74</v>
      </c>
      <c r="C23" s="23" t="s">
        <v>57</v>
      </c>
      <c r="D23" s="24" t="str">
        <f t="shared" si="0"/>
        <v>2.5.6</v>
      </c>
      <c r="E23" s="30" t="s">
        <v>100</v>
      </c>
      <c r="F23" s="26" t="s">
        <v>82</v>
      </c>
      <c r="G23" s="27">
        <v>5560</v>
      </c>
      <c r="H23" s="28">
        <v>83.99</v>
      </c>
      <c r="I23" s="29">
        <f t="shared" si="1"/>
        <v>466984.39999999997</v>
      </c>
      <c r="J23" s="6"/>
      <c r="K23" s="21"/>
      <c r="L23" s="6"/>
      <c r="M23" s="6"/>
      <c r="N23" s="6"/>
      <c r="O23" s="6"/>
      <c r="P23" s="6"/>
      <c r="Q23" s="6"/>
    </row>
    <row r="24" spans="1:17" ht="33.75" customHeight="1" x14ac:dyDescent="0.25">
      <c r="A24" s="22">
        <v>15</v>
      </c>
      <c r="B24" s="23" t="s">
        <v>70</v>
      </c>
      <c r="C24" s="23" t="s">
        <v>57</v>
      </c>
      <c r="D24" s="24" t="str">
        <f t="shared" si="0"/>
        <v>2.5.6</v>
      </c>
      <c r="E24" s="30" t="s">
        <v>101</v>
      </c>
      <c r="F24" s="26" t="s">
        <v>82</v>
      </c>
      <c r="G24" s="27">
        <v>1560</v>
      </c>
      <c r="H24" s="31">
        <v>86.7</v>
      </c>
      <c r="I24" s="29">
        <f t="shared" si="1"/>
        <v>135252</v>
      </c>
      <c r="J24" s="21">
        <f>SUM(I24:I25)</f>
        <v>599790</v>
      </c>
      <c r="K24" s="21"/>
      <c r="L24" s="6"/>
      <c r="M24" s="6"/>
      <c r="N24" s="6"/>
      <c r="O24" s="6"/>
      <c r="P24" s="6"/>
      <c r="Q24" s="6"/>
    </row>
    <row r="25" spans="1:17" ht="24.75" customHeight="1" x14ac:dyDescent="0.25">
      <c r="A25" s="22">
        <v>16</v>
      </c>
      <c r="B25" s="32" t="s">
        <v>73</v>
      </c>
      <c r="C25" s="23" t="s">
        <v>57</v>
      </c>
      <c r="D25" s="24" t="str">
        <f t="shared" si="0"/>
        <v>2.5.6</v>
      </c>
      <c r="E25" s="30" t="s">
        <v>102</v>
      </c>
      <c r="F25" s="26" t="s">
        <v>82</v>
      </c>
      <c r="G25" s="27">
        <v>5570</v>
      </c>
      <c r="H25" s="28">
        <v>83.4</v>
      </c>
      <c r="I25" s="29">
        <f t="shared" si="1"/>
        <v>464538.00000000006</v>
      </c>
      <c r="J25" s="6"/>
      <c r="K25" s="21"/>
      <c r="L25" s="6"/>
      <c r="M25" s="6"/>
      <c r="N25" s="6"/>
      <c r="O25" s="6"/>
      <c r="P25" s="6"/>
      <c r="Q25" s="6"/>
    </row>
    <row r="26" spans="1:17" ht="27.75" customHeight="1" x14ac:dyDescent="0.25">
      <c r="A26" s="22">
        <v>17</v>
      </c>
      <c r="B26" s="23" t="s">
        <v>61</v>
      </c>
      <c r="C26" s="23" t="s">
        <v>57</v>
      </c>
      <c r="D26" s="24" t="str">
        <f>LEFT(B26,5)</f>
        <v>2.5.6</v>
      </c>
      <c r="E26" s="25" t="s">
        <v>62</v>
      </c>
      <c r="F26" s="33" t="s">
        <v>63</v>
      </c>
      <c r="G26" s="27">
        <v>2</v>
      </c>
      <c r="H26" s="28">
        <v>54000</v>
      </c>
      <c r="I26" s="29">
        <f>G26*H26</f>
        <v>108000</v>
      </c>
      <c r="J26" s="109"/>
      <c r="K26" s="109"/>
      <c r="L26" s="6"/>
      <c r="M26" s="6"/>
      <c r="N26" s="6"/>
      <c r="O26" s="6"/>
      <c r="P26" s="6"/>
      <c r="Q26" s="6"/>
    </row>
    <row r="27" spans="1:17" ht="25.5" customHeight="1" x14ac:dyDescent="0.25">
      <c r="A27" s="22">
        <v>18</v>
      </c>
      <c r="B27" s="23" t="s">
        <v>80</v>
      </c>
      <c r="C27" s="34" t="s">
        <v>57</v>
      </c>
      <c r="D27" s="24" t="str">
        <f t="shared" ref="D27:D28" si="2">LEFT(B27,5)</f>
        <v>2.5.6</v>
      </c>
      <c r="E27" s="25" t="s">
        <v>81</v>
      </c>
      <c r="F27" s="35" t="s">
        <v>63</v>
      </c>
      <c r="G27" s="27">
        <v>7</v>
      </c>
      <c r="H27" s="28">
        <v>18900</v>
      </c>
      <c r="I27" s="29">
        <f>G27*H27</f>
        <v>132300</v>
      </c>
      <c r="J27" s="2"/>
      <c r="K27" s="109">
        <f>SUM(I26:I28)</f>
        <v>294300</v>
      </c>
      <c r="L27" s="6"/>
      <c r="M27" s="6"/>
      <c r="N27" s="6"/>
      <c r="O27" s="6"/>
      <c r="P27" s="6"/>
      <c r="Q27" s="6"/>
    </row>
    <row r="28" spans="1:17" ht="28.5" customHeight="1" thickBot="1" x14ac:dyDescent="0.3">
      <c r="A28" s="36">
        <v>19</v>
      </c>
      <c r="B28" s="37" t="s">
        <v>79</v>
      </c>
      <c r="C28" s="37" t="s">
        <v>57</v>
      </c>
      <c r="D28" s="38" t="str">
        <f t="shared" si="2"/>
        <v>2.5.6</v>
      </c>
      <c r="E28" s="39" t="s">
        <v>78</v>
      </c>
      <c r="F28" s="40" t="s">
        <v>63</v>
      </c>
      <c r="G28" s="41">
        <v>1</v>
      </c>
      <c r="H28" s="42">
        <v>54000</v>
      </c>
      <c r="I28" s="43">
        <f>G28*H28</f>
        <v>54000</v>
      </c>
      <c r="J28" s="2"/>
      <c r="K28" s="109"/>
      <c r="L28" s="6"/>
      <c r="M28" s="6"/>
      <c r="N28" s="6"/>
      <c r="O28" s="6"/>
      <c r="P28" s="6"/>
      <c r="Q28" s="6"/>
    </row>
    <row r="29" spans="1:17" ht="23.25" customHeight="1" thickBot="1" x14ac:dyDescent="0.3">
      <c r="I29" s="44">
        <f>SUM(I10:I28)</f>
        <v>34476004.299999997</v>
      </c>
      <c r="J29" s="2"/>
      <c r="L29" s="6"/>
      <c r="M29" s="6"/>
      <c r="N29" s="6"/>
      <c r="O29" s="6"/>
      <c r="P29" s="6"/>
      <c r="Q29" s="6"/>
    </row>
    <row r="30" spans="1:17" ht="15" customHeight="1" thickBot="1" x14ac:dyDescent="0.3">
      <c r="J30" s="2"/>
      <c r="P30" s="6"/>
      <c r="Q30" s="6"/>
    </row>
    <row r="31" spans="1:17" ht="26.25" customHeight="1" x14ac:dyDescent="0.25">
      <c r="B31" s="45" t="s">
        <v>76</v>
      </c>
      <c r="C31" s="46"/>
      <c r="D31" s="46"/>
      <c r="E31" s="47"/>
      <c r="J31" s="2"/>
      <c r="P31" s="6"/>
      <c r="Q31" s="6"/>
    </row>
    <row r="32" spans="1:17" x14ac:dyDescent="0.25">
      <c r="B32" s="48"/>
      <c r="C32" s="49"/>
      <c r="D32" s="49"/>
      <c r="E32" s="50"/>
      <c r="J32" s="6"/>
      <c r="K32" s="6"/>
      <c r="L32" s="6"/>
      <c r="M32" s="6"/>
      <c r="N32" s="6"/>
      <c r="O32" s="6"/>
      <c r="P32" s="6"/>
      <c r="Q32" s="6"/>
    </row>
    <row r="33" spans="2:21" x14ac:dyDescent="0.25">
      <c r="B33" s="51" t="s">
        <v>113</v>
      </c>
      <c r="C33" s="49"/>
      <c r="D33" s="49"/>
      <c r="E33" s="50"/>
      <c r="J33" s="6"/>
      <c r="K33" s="6"/>
      <c r="L33" s="6"/>
      <c r="M33" s="6"/>
      <c r="N33" s="6"/>
      <c r="O33" s="6"/>
      <c r="P33" s="6"/>
      <c r="Q33" s="6"/>
    </row>
    <row r="34" spans="2:21" ht="45" customHeight="1" x14ac:dyDescent="0.25">
      <c r="B34" s="51"/>
      <c r="C34" s="113" t="s">
        <v>120</v>
      </c>
      <c r="D34" s="113"/>
      <c r="E34" s="114"/>
      <c r="J34" s="6"/>
      <c r="K34" s="6"/>
      <c r="L34" s="6"/>
      <c r="M34" s="6"/>
      <c r="N34" s="6"/>
      <c r="O34" s="6"/>
      <c r="P34" s="6"/>
      <c r="Q34" s="6"/>
    </row>
    <row r="35" spans="2:21" x14ac:dyDescent="0.25">
      <c r="B35" s="51" t="s">
        <v>114</v>
      </c>
      <c r="C35" s="49"/>
      <c r="D35" s="49"/>
      <c r="E35" s="50"/>
      <c r="J35" s="6"/>
      <c r="K35" s="6"/>
      <c r="L35" s="6"/>
      <c r="M35" s="6"/>
      <c r="N35" s="6"/>
      <c r="O35" s="6"/>
      <c r="P35" s="6"/>
      <c r="Q35" s="6"/>
    </row>
    <row r="36" spans="2:21" ht="18" customHeight="1" x14ac:dyDescent="0.25">
      <c r="B36" s="51"/>
      <c r="C36" s="113" t="s">
        <v>115</v>
      </c>
      <c r="D36" s="113"/>
      <c r="E36" s="114"/>
      <c r="J36" s="6"/>
      <c r="K36" s="6"/>
      <c r="L36" s="6"/>
      <c r="M36" s="6"/>
      <c r="N36" s="6"/>
      <c r="O36" s="6"/>
      <c r="P36" s="6"/>
      <c r="Q36" s="6"/>
    </row>
    <row r="37" spans="2:21" ht="18" customHeight="1" x14ac:dyDescent="0.25">
      <c r="B37" s="51" t="s">
        <v>118</v>
      </c>
      <c r="C37" s="49"/>
      <c r="D37" s="49"/>
      <c r="E37" s="50"/>
      <c r="J37" s="6"/>
      <c r="K37" s="6"/>
      <c r="L37" s="6"/>
      <c r="M37" s="6"/>
      <c r="N37" s="6"/>
      <c r="O37" s="6"/>
      <c r="P37" s="6"/>
      <c r="Q37" s="6"/>
    </row>
    <row r="38" spans="2:21" ht="18" customHeight="1" x14ac:dyDescent="0.25">
      <c r="B38" s="51"/>
      <c r="C38" s="113" t="s">
        <v>116</v>
      </c>
      <c r="D38" s="113"/>
      <c r="E38" s="114"/>
      <c r="J38" s="6"/>
      <c r="K38" s="6"/>
      <c r="L38" s="6"/>
      <c r="M38" s="6"/>
      <c r="N38" s="6"/>
      <c r="O38" s="6"/>
      <c r="P38" s="6"/>
      <c r="Q38" s="6"/>
    </row>
    <row r="39" spans="2:21" ht="18" customHeight="1" x14ac:dyDescent="0.25">
      <c r="B39" s="51" t="s">
        <v>119</v>
      </c>
      <c r="C39" s="49"/>
      <c r="D39" s="49"/>
      <c r="E39" s="50"/>
      <c r="J39" s="6"/>
      <c r="K39" s="6"/>
      <c r="L39" s="6"/>
      <c r="M39" s="6"/>
      <c r="N39" s="6"/>
      <c r="O39" s="6"/>
      <c r="P39" s="6"/>
      <c r="Q39" s="6"/>
    </row>
    <row r="40" spans="2:21" ht="18" customHeight="1" thickBot="1" x14ac:dyDescent="0.3">
      <c r="B40" s="51"/>
      <c r="C40" s="113" t="s">
        <v>117</v>
      </c>
      <c r="D40" s="113"/>
      <c r="E40" s="114"/>
      <c r="J40" s="6"/>
      <c r="K40" s="6"/>
      <c r="L40" s="6"/>
      <c r="M40" s="6"/>
      <c r="N40" s="6"/>
      <c r="O40" s="6"/>
      <c r="P40" s="6"/>
      <c r="Q40" s="6"/>
    </row>
    <row r="41" spans="2:21" x14ac:dyDescent="0.25">
      <c r="B41" s="106" t="s">
        <v>14</v>
      </c>
      <c r="C41" s="46"/>
      <c r="D41" s="46"/>
      <c r="E41" s="47"/>
      <c r="J41" s="6"/>
      <c r="K41" s="6"/>
      <c r="L41" s="6"/>
      <c r="M41" s="6"/>
      <c r="N41" s="6"/>
      <c r="O41" s="6"/>
      <c r="P41" s="6"/>
      <c r="Q41" s="6"/>
    </row>
    <row r="42" spans="2:21" ht="30" customHeight="1" x14ac:dyDescent="0.25">
      <c r="B42" s="52"/>
      <c r="C42" s="113" t="s">
        <v>112</v>
      </c>
      <c r="D42" s="113"/>
      <c r="E42" s="114"/>
      <c r="G42" s="6"/>
      <c r="J42" s="6"/>
      <c r="K42" s="122"/>
      <c r="L42" s="122"/>
      <c r="M42" s="122"/>
      <c r="N42" s="6"/>
      <c r="O42" s="6"/>
      <c r="P42" s="6"/>
      <c r="Q42" s="6"/>
      <c r="U42" s="6"/>
    </row>
    <row r="43" spans="2:21" ht="20.25" customHeight="1" x14ac:dyDescent="0.25">
      <c r="B43" s="52"/>
      <c r="C43" s="113"/>
      <c r="D43" s="113"/>
      <c r="E43" s="114"/>
      <c r="G43" s="6"/>
      <c r="H43" s="6"/>
      <c r="I43" s="6"/>
      <c r="J43" s="6"/>
      <c r="K43" s="122"/>
      <c r="L43" s="122"/>
      <c r="M43" s="122"/>
      <c r="N43" s="6"/>
      <c r="O43" s="6"/>
      <c r="P43" s="6"/>
      <c r="Q43" s="6"/>
      <c r="U43" s="6"/>
    </row>
    <row r="44" spans="2:21" ht="38.25" customHeight="1" x14ac:dyDescent="0.25">
      <c r="B44" s="52"/>
      <c r="C44" s="113"/>
      <c r="D44" s="113"/>
      <c r="E44" s="114"/>
      <c r="G44" s="53"/>
      <c r="H44" s="53"/>
      <c r="I44" s="53"/>
      <c r="J44" s="58"/>
      <c r="K44" s="122"/>
      <c r="L44" s="122"/>
      <c r="M44" s="122"/>
      <c r="N44" s="6"/>
      <c r="O44" s="6"/>
      <c r="P44" s="6"/>
      <c r="Q44" s="6"/>
      <c r="U44" s="6"/>
    </row>
    <row r="45" spans="2:21" ht="26.25" customHeight="1" x14ac:dyDescent="0.25">
      <c r="B45" s="52"/>
      <c r="C45" s="113"/>
      <c r="D45" s="113"/>
      <c r="E45" s="114"/>
      <c r="G45" s="123"/>
      <c r="H45" s="53"/>
      <c r="I45" s="54"/>
      <c r="J45" s="58"/>
      <c r="K45" s="122"/>
      <c r="L45" s="122"/>
      <c r="M45" s="122"/>
      <c r="N45" s="6"/>
      <c r="O45" s="6"/>
      <c r="P45" s="6"/>
      <c r="Q45" s="6"/>
      <c r="U45" s="6"/>
    </row>
    <row r="46" spans="2:21" ht="26.25" customHeight="1" x14ac:dyDescent="0.25">
      <c r="B46" s="52"/>
      <c r="C46" s="113"/>
      <c r="D46" s="113"/>
      <c r="E46" s="114"/>
      <c r="G46" s="123"/>
      <c r="H46" s="53"/>
      <c r="I46" s="54"/>
      <c r="J46" s="58"/>
      <c r="K46" s="122"/>
      <c r="L46" s="122"/>
      <c r="M46" s="122"/>
      <c r="N46" s="6"/>
      <c r="O46" s="6"/>
      <c r="P46" s="6"/>
      <c r="Q46" s="6"/>
      <c r="U46" s="6"/>
    </row>
    <row r="47" spans="2:21" ht="26.25" customHeight="1" x14ac:dyDescent="0.25">
      <c r="B47" s="52"/>
      <c r="C47" s="113"/>
      <c r="D47" s="113"/>
      <c r="E47" s="114"/>
      <c r="G47" s="123"/>
      <c r="H47" s="53"/>
      <c r="I47" s="54"/>
      <c r="J47" s="58"/>
      <c r="K47" s="122"/>
      <c r="L47" s="122"/>
      <c r="M47" s="122"/>
      <c r="N47" s="55"/>
      <c r="O47" s="6"/>
      <c r="P47" s="56"/>
      <c r="Q47" s="6"/>
      <c r="U47" s="6"/>
    </row>
    <row r="48" spans="2:21" ht="26.25" customHeight="1" x14ac:dyDescent="0.25">
      <c r="B48" s="52"/>
      <c r="C48" s="113"/>
      <c r="D48" s="113"/>
      <c r="E48" s="114"/>
      <c r="G48" s="123"/>
      <c r="H48" s="53"/>
      <c r="I48" s="54"/>
      <c r="J48" s="58"/>
      <c r="K48" s="122"/>
      <c r="L48" s="122"/>
      <c r="M48" s="122"/>
      <c r="N48" s="6"/>
      <c r="O48" s="6"/>
      <c r="P48" s="56"/>
      <c r="Q48" s="57"/>
      <c r="U48" s="6"/>
    </row>
    <row r="49" spans="2:21" ht="26.25" customHeight="1" x14ac:dyDescent="0.25">
      <c r="B49" s="52"/>
      <c r="C49" s="113"/>
      <c r="D49" s="113"/>
      <c r="E49" s="114"/>
      <c r="G49" s="53"/>
      <c r="H49" s="53"/>
      <c r="I49" s="53"/>
      <c r="J49" s="58"/>
      <c r="K49" s="122"/>
      <c r="L49" s="122"/>
      <c r="M49" s="122"/>
      <c r="N49" s="6"/>
      <c r="O49" s="6"/>
      <c r="P49" s="6"/>
      <c r="Q49" s="6"/>
      <c r="U49" s="6"/>
    </row>
    <row r="50" spans="2:21" ht="26.25" customHeight="1" x14ac:dyDescent="0.25">
      <c r="B50" s="52"/>
      <c r="C50" s="113"/>
      <c r="D50" s="113"/>
      <c r="E50" s="114"/>
      <c r="G50" s="123"/>
      <c r="H50" s="53"/>
      <c r="I50" s="54"/>
      <c r="J50" s="58"/>
      <c r="K50" s="122"/>
      <c r="L50" s="122"/>
      <c r="M50" s="122"/>
      <c r="N50" s="6"/>
      <c r="O50" s="6"/>
      <c r="P50" s="6"/>
      <c r="Q50" s="6"/>
      <c r="U50" s="6"/>
    </row>
    <row r="51" spans="2:21" ht="26.25" customHeight="1" x14ac:dyDescent="0.25">
      <c r="B51" s="52"/>
      <c r="C51" s="113"/>
      <c r="D51" s="113"/>
      <c r="E51" s="114"/>
      <c r="G51" s="123"/>
      <c r="H51" s="53"/>
      <c r="I51" s="54"/>
      <c r="J51" s="58"/>
      <c r="K51" s="122"/>
      <c r="L51" s="122"/>
      <c r="M51" s="122"/>
      <c r="N51" s="6"/>
      <c r="O51" s="6"/>
      <c r="P51" s="6"/>
      <c r="Q51" s="6"/>
      <c r="U51" s="6"/>
    </row>
    <row r="52" spans="2:21" ht="26.25" customHeight="1" x14ac:dyDescent="0.25">
      <c r="B52" s="52"/>
      <c r="C52" s="113"/>
      <c r="D52" s="113"/>
      <c r="E52" s="114"/>
      <c r="G52" s="123"/>
      <c r="H52" s="53"/>
      <c r="I52" s="54"/>
      <c r="J52" s="58"/>
      <c r="K52" s="122"/>
      <c r="L52" s="122"/>
      <c r="M52" s="122"/>
      <c r="N52" s="6"/>
      <c r="O52" s="6"/>
      <c r="P52" s="6"/>
      <c r="Q52" s="6"/>
      <c r="U52" s="6"/>
    </row>
    <row r="53" spans="2:21" ht="26.25" customHeight="1" x14ac:dyDescent="0.25">
      <c r="B53" s="52"/>
      <c r="C53" s="113"/>
      <c r="D53" s="113"/>
      <c r="E53" s="114"/>
      <c r="G53" s="123"/>
      <c r="H53" s="53"/>
      <c r="I53" s="54"/>
      <c r="J53" s="58"/>
      <c r="K53" s="122"/>
      <c r="L53" s="122"/>
      <c r="M53" s="122"/>
      <c r="N53" s="6"/>
      <c r="O53" s="6"/>
      <c r="P53" s="6"/>
      <c r="Q53" s="6"/>
      <c r="U53" s="6"/>
    </row>
    <row r="54" spans="2:21" ht="21.75" customHeight="1" x14ac:dyDescent="0.25">
      <c r="B54" s="52"/>
      <c r="C54" s="113"/>
      <c r="D54" s="113"/>
      <c r="E54" s="114"/>
      <c r="G54" s="123"/>
      <c r="H54" s="53"/>
      <c r="I54" s="54"/>
      <c r="J54" s="58"/>
      <c r="K54" s="122"/>
      <c r="L54" s="122"/>
      <c r="M54" s="122"/>
      <c r="N54" s="6"/>
      <c r="O54" s="6"/>
      <c r="P54" s="6"/>
      <c r="Q54" s="6"/>
      <c r="U54" s="6"/>
    </row>
    <row r="55" spans="2:21" ht="252.75" customHeight="1" thickBot="1" x14ac:dyDescent="0.3">
      <c r="B55" s="52"/>
      <c r="C55" s="113"/>
      <c r="D55" s="113"/>
      <c r="E55" s="114"/>
      <c r="G55" s="123"/>
      <c r="H55" s="53"/>
      <c r="I55" s="54"/>
      <c r="J55" s="58"/>
      <c r="K55" s="122"/>
      <c r="L55" s="122"/>
      <c r="M55" s="122"/>
      <c r="N55" s="6"/>
      <c r="O55" s="6"/>
      <c r="P55" s="6"/>
      <c r="Q55" s="6"/>
      <c r="U55" s="6"/>
    </row>
    <row r="56" spans="2:21" ht="21.75" customHeight="1" x14ac:dyDescent="0.25">
      <c r="B56" s="106" t="s">
        <v>15</v>
      </c>
      <c r="C56" s="46"/>
      <c r="D56" s="46"/>
      <c r="E56" s="47"/>
      <c r="G56" s="58"/>
      <c r="H56" s="58"/>
      <c r="I56" s="58"/>
      <c r="J56" s="58"/>
      <c r="K56" s="58"/>
      <c r="L56" s="6"/>
      <c r="M56" s="6"/>
      <c r="N56" s="6"/>
      <c r="O56" s="6"/>
      <c r="P56" s="6"/>
      <c r="Q56" s="6"/>
      <c r="U56" s="6"/>
    </row>
    <row r="57" spans="2:21" ht="21" customHeight="1" thickBot="1" x14ac:dyDescent="0.3">
      <c r="B57" s="60"/>
      <c r="C57" s="115" t="s">
        <v>64</v>
      </c>
      <c r="D57" s="115"/>
      <c r="E57" s="116"/>
      <c r="I57" s="59"/>
      <c r="J57" s="6"/>
      <c r="K57" s="57"/>
      <c r="L57" s="6"/>
      <c r="M57" s="6"/>
      <c r="N57" s="6"/>
      <c r="O57" s="6"/>
      <c r="P57" s="6"/>
      <c r="Q57" s="6"/>
      <c r="U57" s="6"/>
    </row>
    <row r="58" spans="2:21" ht="23.25" customHeight="1" x14ac:dyDescent="0.25">
      <c r="B58" s="106" t="s">
        <v>16</v>
      </c>
      <c r="C58" s="107"/>
      <c r="D58" s="107"/>
      <c r="E58" s="108"/>
      <c r="J58" s="6"/>
      <c r="K58" s="6"/>
      <c r="L58" s="6"/>
      <c r="M58" s="6"/>
      <c r="N58" s="6"/>
      <c r="O58" s="6"/>
      <c r="P58" s="6"/>
      <c r="Q58" s="6"/>
      <c r="U58" s="6"/>
    </row>
    <row r="59" spans="2:21" ht="14.25" thickBot="1" x14ac:dyDescent="0.3">
      <c r="B59" s="60"/>
      <c r="C59" s="117" t="s">
        <v>65</v>
      </c>
      <c r="D59" s="117"/>
      <c r="E59" s="118"/>
      <c r="J59" s="6"/>
      <c r="K59" s="6"/>
      <c r="L59" s="6"/>
      <c r="M59" s="6"/>
      <c r="N59" s="6"/>
      <c r="O59" s="6"/>
      <c r="P59" s="6"/>
      <c r="Q59" s="6"/>
      <c r="U59" s="6"/>
    </row>
    <row r="60" spans="2:21" x14ac:dyDescent="0.25">
      <c r="B60" s="106" t="s">
        <v>17</v>
      </c>
      <c r="C60" s="46"/>
      <c r="D60" s="46"/>
      <c r="E60" s="47"/>
      <c r="J60" s="6"/>
      <c r="K60" s="6"/>
      <c r="L60" s="6"/>
      <c r="M60" s="6"/>
      <c r="N60" s="6"/>
      <c r="O60" s="6"/>
      <c r="P60" s="6"/>
      <c r="Q60" s="6"/>
      <c r="U60" s="6"/>
    </row>
    <row r="61" spans="2:21" x14ac:dyDescent="0.25">
      <c r="B61" s="51"/>
      <c r="C61" s="119" t="s">
        <v>103</v>
      </c>
      <c r="D61" s="119"/>
      <c r="E61" s="120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U61" s="6"/>
    </row>
    <row r="62" spans="2:21" ht="7.5" customHeight="1" thickBot="1" x14ac:dyDescent="0.3">
      <c r="B62" s="60"/>
      <c r="C62" s="61"/>
      <c r="D62" s="61"/>
      <c r="E62" s="6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U62" s="6"/>
    </row>
    <row r="63" spans="2:21" x14ac:dyDescent="0.25"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U63" s="6"/>
    </row>
    <row r="64" spans="2:21" ht="39" customHeight="1" x14ac:dyDescent="0.25">
      <c r="H64" s="6"/>
      <c r="I64" s="6"/>
      <c r="J64" s="6"/>
      <c r="K64" s="6"/>
      <c r="L64" s="6"/>
      <c r="M64" s="6"/>
      <c r="N64" s="6"/>
      <c r="O64" s="6"/>
      <c r="P64" s="6"/>
      <c r="Q64" s="6"/>
      <c r="U64" s="6"/>
    </row>
    <row r="65" spans="1:21" x14ac:dyDescent="0.25">
      <c r="H65" s="6"/>
      <c r="I65" s="6"/>
      <c r="J65" s="2"/>
      <c r="U65" s="6"/>
    </row>
    <row r="66" spans="1:21" x14ac:dyDescent="0.25">
      <c r="J66" s="2"/>
    </row>
    <row r="67" spans="1:21" x14ac:dyDescent="0.25">
      <c r="J67" s="2"/>
    </row>
    <row r="68" spans="1:21" x14ac:dyDescent="0.25">
      <c r="J68" s="2"/>
    </row>
    <row r="69" spans="1:21" x14ac:dyDescent="0.25">
      <c r="A69" s="49"/>
      <c r="B69" s="49"/>
      <c r="C69" s="49"/>
      <c r="D69" s="49"/>
      <c r="E69" s="49"/>
      <c r="J69" s="2"/>
    </row>
    <row r="70" spans="1:21" x14ac:dyDescent="0.25">
      <c r="A70" s="49"/>
      <c r="B70" s="49"/>
      <c r="C70" s="49"/>
      <c r="D70" s="49"/>
      <c r="E70" s="49"/>
      <c r="J70" s="2"/>
    </row>
    <row r="71" spans="1:21" ht="16.5" x14ac:dyDescent="0.25">
      <c r="A71" s="63"/>
      <c r="B71" s="64"/>
      <c r="C71" s="64"/>
      <c r="D71" s="121"/>
      <c r="E71" s="121"/>
      <c r="F71" s="58"/>
      <c r="G71" s="58"/>
      <c r="H71" s="58"/>
      <c r="I71" s="58"/>
      <c r="J71" s="58"/>
    </row>
    <row r="72" spans="1:21" x14ac:dyDescent="0.25">
      <c r="B72" s="58"/>
      <c r="C72" s="58"/>
      <c r="D72" s="58"/>
      <c r="E72" s="58"/>
      <c r="F72" s="58"/>
      <c r="G72" s="58"/>
      <c r="H72" s="58"/>
      <c r="I72" s="58"/>
      <c r="J72" s="58"/>
    </row>
    <row r="73" spans="1:21" ht="16.5" x14ac:dyDescent="0.25">
      <c r="B73" s="64"/>
      <c r="C73" s="64"/>
      <c r="D73" s="64"/>
      <c r="E73" s="64"/>
      <c r="F73" s="58"/>
      <c r="G73" s="58"/>
      <c r="H73" s="58"/>
      <c r="I73" s="58"/>
      <c r="J73" s="58"/>
    </row>
    <row r="74" spans="1:21" ht="16.5" x14ac:dyDescent="0.25">
      <c r="B74" s="64"/>
      <c r="C74" s="64"/>
      <c r="D74" s="64"/>
      <c r="E74" s="64"/>
      <c r="F74" s="64"/>
      <c r="G74" s="58"/>
      <c r="H74" s="58"/>
      <c r="I74" s="58"/>
      <c r="J74" s="58"/>
    </row>
    <row r="75" spans="1:21" ht="16.5" x14ac:dyDescent="0.25">
      <c r="B75" s="64"/>
      <c r="C75" s="64"/>
      <c r="D75" s="64"/>
      <c r="E75" s="64"/>
      <c r="F75" s="58"/>
      <c r="G75" s="58"/>
      <c r="H75" s="58"/>
      <c r="I75" s="58"/>
      <c r="J75" s="58"/>
    </row>
    <row r="76" spans="1:21" ht="16.5" x14ac:dyDescent="0.25">
      <c r="B76" s="64"/>
      <c r="C76" s="64"/>
      <c r="D76" s="64"/>
      <c r="E76" s="64"/>
      <c r="F76" s="58"/>
      <c r="G76" s="58"/>
      <c r="H76" s="58"/>
      <c r="I76" s="58"/>
      <c r="J76" s="58"/>
    </row>
    <row r="77" spans="1:21" ht="16.5" x14ac:dyDescent="0.25">
      <c r="B77" s="64"/>
      <c r="C77" s="64"/>
      <c r="D77" s="64"/>
      <c r="E77" s="64"/>
      <c r="F77" s="58"/>
      <c r="G77" s="58"/>
      <c r="H77" s="58"/>
      <c r="I77" s="58"/>
      <c r="J77" s="58"/>
    </row>
    <row r="78" spans="1:21" x14ac:dyDescent="0.25">
      <c r="B78" s="58"/>
      <c r="C78" s="58"/>
      <c r="D78" s="58"/>
      <c r="E78" s="58"/>
      <c r="F78" s="58"/>
      <c r="G78" s="58"/>
      <c r="H78" s="58"/>
      <c r="I78" s="58"/>
      <c r="J78" s="58"/>
    </row>
    <row r="79" spans="1:21" x14ac:dyDescent="0.25">
      <c r="B79" s="58"/>
      <c r="C79" s="58"/>
      <c r="D79" s="58"/>
      <c r="E79" s="58"/>
      <c r="F79" s="58"/>
      <c r="G79" s="58"/>
      <c r="H79" s="58"/>
      <c r="I79" s="58"/>
      <c r="J79" s="58"/>
    </row>
    <row r="80" spans="1:21" x14ac:dyDescent="0.25">
      <c r="B80" s="58"/>
      <c r="C80" s="58"/>
      <c r="D80" s="58"/>
      <c r="E80" s="58"/>
      <c r="F80" s="58"/>
      <c r="G80" s="58"/>
      <c r="H80" s="58"/>
      <c r="I80" s="58"/>
      <c r="J80" s="58"/>
    </row>
    <row r="81" spans="2:10" x14ac:dyDescent="0.25">
      <c r="B81" s="58"/>
      <c r="C81" s="58"/>
      <c r="D81" s="58"/>
      <c r="E81" s="58"/>
      <c r="F81" s="58"/>
      <c r="G81" s="58"/>
      <c r="H81" s="58"/>
      <c r="I81" s="58"/>
      <c r="J81" s="58"/>
    </row>
    <row r="82" spans="2:10" x14ac:dyDescent="0.25">
      <c r="B82" s="58"/>
      <c r="C82" s="58"/>
      <c r="D82" s="58"/>
      <c r="E82" s="58"/>
      <c r="F82" s="58"/>
      <c r="G82" s="58"/>
      <c r="H82" s="58"/>
      <c r="I82" s="58"/>
      <c r="J82" s="58"/>
    </row>
    <row r="83" spans="2:10" x14ac:dyDescent="0.25">
      <c r="B83" s="58"/>
      <c r="C83" s="58"/>
      <c r="D83" s="58"/>
      <c r="E83" s="58"/>
      <c r="F83" s="58"/>
      <c r="G83" s="58"/>
      <c r="H83" s="58"/>
      <c r="I83" s="58"/>
      <c r="J83" s="58"/>
    </row>
    <row r="84" spans="2:10" x14ac:dyDescent="0.25">
      <c r="B84" s="58"/>
      <c r="C84" s="58"/>
      <c r="D84" s="58"/>
      <c r="E84" s="58"/>
      <c r="F84" s="58"/>
      <c r="G84" s="58"/>
      <c r="H84" s="58"/>
      <c r="I84" s="58"/>
      <c r="J84" s="58"/>
    </row>
    <row r="85" spans="2:10" x14ac:dyDescent="0.25">
      <c r="B85" s="58"/>
      <c r="C85" s="58"/>
      <c r="D85" s="58"/>
      <c r="E85" s="58"/>
      <c r="F85" s="58"/>
      <c r="G85" s="58"/>
      <c r="H85" s="58"/>
      <c r="I85" s="58"/>
      <c r="J85" s="58"/>
    </row>
    <row r="86" spans="2:10" x14ac:dyDescent="0.25">
      <c r="B86" s="58"/>
      <c r="C86" s="58"/>
      <c r="D86" s="58"/>
      <c r="E86" s="58"/>
      <c r="F86" s="58"/>
      <c r="G86" s="58"/>
      <c r="H86" s="58"/>
      <c r="I86" s="58"/>
      <c r="J86" s="58"/>
    </row>
    <row r="87" spans="2:10" x14ac:dyDescent="0.25">
      <c r="B87" s="58"/>
      <c r="C87" s="58"/>
      <c r="D87" s="58"/>
      <c r="E87" s="58"/>
      <c r="F87" s="58"/>
      <c r="G87" s="58"/>
      <c r="H87" s="58"/>
      <c r="I87" s="58"/>
      <c r="J87" s="58"/>
    </row>
    <row r="88" spans="2:10" x14ac:dyDescent="0.25">
      <c r="B88" s="58"/>
      <c r="C88" s="58"/>
      <c r="D88" s="58"/>
      <c r="E88" s="58"/>
      <c r="F88" s="58"/>
      <c r="G88" s="58"/>
      <c r="H88" s="58"/>
      <c r="I88" s="58"/>
      <c r="J88" s="58"/>
    </row>
  </sheetData>
  <mergeCells count="22">
    <mergeCell ref="C59:E59"/>
    <mergeCell ref="C61:E61"/>
    <mergeCell ref="D71:E71"/>
    <mergeCell ref="K42:M55"/>
    <mergeCell ref="G45:G46"/>
    <mergeCell ref="G47:G48"/>
    <mergeCell ref="G50:G51"/>
    <mergeCell ref="G52:G53"/>
    <mergeCell ref="G54:G55"/>
    <mergeCell ref="A6:B6"/>
    <mergeCell ref="A7:B7"/>
    <mergeCell ref="C40:E40"/>
    <mergeCell ref="C42:E55"/>
    <mergeCell ref="C57:E57"/>
    <mergeCell ref="C34:E34"/>
    <mergeCell ref="C36:E36"/>
    <mergeCell ref="C38:E3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190" scale="79" firstPageNumber="0" orientation="landscape" horizontalDpi="300" verticalDpi="3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zoomScale="80" zoomScaleNormal="80" workbookViewId="0">
      <selection activeCell="C29" sqref="C29:G29"/>
    </sheetView>
  </sheetViews>
  <sheetFormatPr baseColWidth="10" defaultColWidth="9.140625" defaultRowHeight="13.5" x14ac:dyDescent="0.25"/>
  <cols>
    <col min="1" max="1" width="5.5703125" style="66" customWidth="1"/>
    <col min="2" max="2" width="15.140625" style="66" customWidth="1"/>
    <col min="3" max="3" width="14.140625" style="66" customWidth="1"/>
    <col min="4" max="4" width="26" style="66" customWidth="1"/>
    <col min="5" max="5" width="8" style="66" customWidth="1"/>
    <col min="6" max="6" width="21.85546875" style="66" customWidth="1"/>
    <col min="7" max="7" width="26" style="66" customWidth="1"/>
    <col min="8" max="8" width="9.28515625" style="66" customWidth="1"/>
    <col min="9" max="9" width="15.5703125" style="66" customWidth="1"/>
    <col min="10" max="10" width="15.28515625" style="66" customWidth="1"/>
    <col min="11" max="11" width="14.85546875" style="66" customWidth="1"/>
    <col min="12" max="14" width="5.85546875" style="66" customWidth="1"/>
    <col min="15" max="15" width="12.5703125" style="66" customWidth="1"/>
    <col min="16" max="1024" width="9.140625" style="66"/>
    <col min="1025" max="16384" width="9.140625" style="1"/>
  </cols>
  <sheetData>
    <row r="1" spans="1:11" ht="18" customHeight="1" x14ac:dyDescent="0.25">
      <c r="A1" s="142" t="s">
        <v>18</v>
      </c>
      <c r="B1" s="142"/>
      <c r="C1" s="142"/>
      <c r="D1" s="142"/>
      <c r="E1" s="142"/>
      <c r="F1" s="142"/>
      <c r="G1" s="142"/>
      <c r="H1" s="142"/>
      <c r="I1" s="142"/>
      <c r="J1" s="65" t="s">
        <v>19</v>
      </c>
      <c r="K1" s="74" t="s">
        <v>104</v>
      </c>
    </row>
    <row r="2" spans="1:11" ht="18.75" customHeight="1" thickBot="1" x14ac:dyDescent="0.3">
      <c r="A2" s="67"/>
      <c r="B2" s="67"/>
      <c r="C2" s="67"/>
      <c r="D2" s="68"/>
      <c r="E2" s="68"/>
      <c r="F2" s="68"/>
      <c r="G2" s="68"/>
      <c r="H2" s="68"/>
      <c r="I2" s="68"/>
      <c r="J2" s="68"/>
      <c r="K2" s="68"/>
    </row>
    <row r="3" spans="1:11" ht="18.75" customHeight="1" thickBot="1" x14ac:dyDescent="0.3">
      <c r="A3" s="143" t="s">
        <v>52</v>
      </c>
      <c r="B3" s="143"/>
      <c r="C3" s="143"/>
      <c r="D3" s="144" t="s">
        <v>55</v>
      </c>
      <c r="E3" s="144"/>
      <c r="F3" s="144"/>
      <c r="G3" s="144"/>
      <c r="H3" s="144"/>
      <c r="I3" s="144"/>
      <c r="J3" s="144"/>
      <c r="K3" s="144"/>
    </row>
    <row r="4" spans="1:11" ht="18.75" customHeight="1" thickBot="1" x14ac:dyDescent="0.3">
      <c r="A4" s="145" t="s">
        <v>53</v>
      </c>
      <c r="B4" s="145"/>
      <c r="C4" s="145"/>
      <c r="D4" s="144" t="s">
        <v>110</v>
      </c>
      <c r="E4" s="144"/>
      <c r="F4" s="144"/>
      <c r="G4" s="144"/>
      <c r="H4" s="144"/>
      <c r="I4" s="144"/>
      <c r="J4" s="144"/>
      <c r="K4" s="144"/>
    </row>
    <row r="5" spans="1:11" ht="18.75" customHeight="1" thickBot="1" x14ac:dyDescent="0.3">
      <c r="A5" s="145" t="s">
        <v>32</v>
      </c>
      <c r="B5" s="145"/>
      <c r="C5" s="145"/>
      <c r="D5" s="144" t="s">
        <v>56</v>
      </c>
      <c r="E5" s="144"/>
      <c r="F5" s="144"/>
      <c r="G5" s="144"/>
      <c r="H5" s="144"/>
      <c r="I5" s="144"/>
      <c r="J5" s="144"/>
      <c r="K5" s="144"/>
    </row>
    <row r="6" spans="1:11" ht="16.5" customHeight="1" thickBot="1" x14ac:dyDescent="0.3">
      <c r="A6" s="143" t="s">
        <v>54</v>
      </c>
      <c r="B6" s="143"/>
      <c r="C6" s="143"/>
      <c r="D6" s="144" t="s">
        <v>111</v>
      </c>
      <c r="E6" s="144"/>
      <c r="F6" s="144"/>
      <c r="G6" s="144"/>
      <c r="H6" s="144"/>
      <c r="I6" s="144"/>
      <c r="J6" s="144"/>
      <c r="K6" s="144"/>
    </row>
    <row r="7" spans="1:11" ht="16.5" customHeight="1" thickBot="1" x14ac:dyDescent="0.3">
      <c r="A7" s="145" t="s">
        <v>20</v>
      </c>
      <c r="B7" s="145"/>
      <c r="C7" s="145"/>
      <c r="D7" s="146" t="str">
        <f>'Necesidades Trimestrales'!C7 &amp; "° Trimestre - Año " &amp; 'Necesidades Trimestrales'!C6</f>
        <v>1° Trimestre - Año 2021</v>
      </c>
      <c r="E7" s="146"/>
      <c r="F7" s="146"/>
      <c r="G7" s="146"/>
      <c r="H7" s="146"/>
      <c r="I7" s="146"/>
      <c r="J7" s="146"/>
      <c r="K7" s="146"/>
    </row>
    <row r="8" spans="1:11" ht="16.5" customHeight="1" x14ac:dyDescent="0.25">
      <c r="A8" s="153" t="s">
        <v>21</v>
      </c>
      <c r="B8" s="154"/>
      <c r="C8" s="155"/>
      <c r="D8" s="147" t="s">
        <v>67</v>
      </c>
      <c r="E8" s="148"/>
      <c r="F8" s="148"/>
      <c r="G8" s="148"/>
      <c r="H8" s="148"/>
      <c r="I8" s="148"/>
      <c r="J8" s="148"/>
      <c r="K8" s="149"/>
    </row>
    <row r="9" spans="1:11" ht="16.5" customHeight="1" thickBot="1" x14ac:dyDescent="0.3">
      <c r="A9" s="156"/>
      <c r="B9" s="157"/>
      <c r="C9" s="158"/>
      <c r="D9" s="150"/>
      <c r="E9" s="151"/>
      <c r="F9" s="151"/>
      <c r="G9" s="151"/>
      <c r="H9" s="151"/>
      <c r="I9" s="151"/>
      <c r="J9" s="151"/>
      <c r="K9" s="152"/>
    </row>
    <row r="10" spans="1:11" ht="18" thickBot="1" x14ac:dyDescent="0.3">
      <c r="A10" s="69"/>
      <c r="B10" s="69"/>
      <c r="C10" s="69"/>
      <c r="D10" s="70"/>
      <c r="E10" s="70"/>
      <c r="F10" s="70"/>
      <c r="G10" s="70"/>
      <c r="H10" s="70"/>
      <c r="I10" s="70"/>
      <c r="J10" s="70"/>
      <c r="K10" s="70"/>
    </row>
    <row r="11" spans="1:11" ht="18.75" customHeight="1" thickBot="1" x14ac:dyDescent="0.3">
      <c r="A11" s="127" t="s">
        <v>22</v>
      </c>
      <c r="B11" s="129" t="s">
        <v>23</v>
      </c>
      <c r="C11" s="131" t="s">
        <v>24</v>
      </c>
      <c r="D11" s="132"/>
      <c r="E11" s="132"/>
      <c r="F11" s="132"/>
      <c r="G11" s="133"/>
      <c r="H11" s="137" t="s">
        <v>25</v>
      </c>
      <c r="I11" s="132" t="s">
        <v>26</v>
      </c>
      <c r="J11" s="132" t="s">
        <v>27</v>
      </c>
      <c r="K11" s="133" t="s">
        <v>28</v>
      </c>
    </row>
    <row r="12" spans="1:11" ht="24" customHeight="1" thickBot="1" x14ac:dyDescent="0.3">
      <c r="A12" s="128"/>
      <c r="B12" s="130"/>
      <c r="C12" s="134"/>
      <c r="D12" s="135"/>
      <c r="E12" s="135"/>
      <c r="F12" s="135"/>
      <c r="G12" s="136"/>
      <c r="H12" s="138"/>
      <c r="I12" s="135"/>
      <c r="J12" s="135"/>
      <c r="K12" s="136"/>
    </row>
    <row r="13" spans="1:11" ht="32.25" customHeight="1" x14ac:dyDescent="0.25">
      <c r="A13" s="13">
        <f>'Necesidades Trimestrales'!A10</f>
        <v>1</v>
      </c>
      <c r="B13" s="14" t="str">
        <f>'Necesidades Trimestrales'!B10</f>
        <v>2.5.6-797.24</v>
      </c>
      <c r="C13" s="141" t="str">
        <f>'Necesidades Trimestrales'!E10</f>
        <v>NAFTA SUPER; TIPO: PREMIUN, OCTANO: 97, PRESENTACION: POR LITRO, DESTINO: DPTO. S.F.V. DE CATAMARCA, COMERCIALIZACION: SIN VALOR</v>
      </c>
      <c r="D13" s="141"/>
      <c r="E13" s="141"/>
      <c r="F13" s="141"/>
      <c r="G13" s="141"/>
      <c r="H13" s="71" t="s">
        <v>29</v>
      </c>
      <c r="I13" s="17" t="str">
        <f>+'Necesidades Trimestrales'!F10</f>
        <v>LITROS EN VALES</v>
      </c>
      <c r="J13" s="72">
        <f>'Necesidades Trimestrales'!H10</f>
        <v>75.599999999999994</v>
      </c>
      <c r="K13" s="98">
        <f>'Necesidades Trimestrales'!G10</f>
        <v>126000</v>
      </c>
    </row>
    <row r="14" spans="1:11" ht="32.25" customHeight="1" x14ac:dyDescent="0.25">
      <c r="A14" s="22">
        <f>'Necesidades Trimestrales'!A11</f>
        <v>2</v>
      </c>
      <c r="B14" s="23" t="str">
        <f>'Necesidades Trimestrales'!B11</f>
        <v>2.5.6-793.31</v>
      </c>
      <c r="C14" s="140" t="str">
        <f>'Necesidades Trimestrales'!E11</f>
        <v>GAS OIL; PRESENTACION: POR LITRO, USO: MOTORES DIESEL, COMERCIALIZACION: GRADO 3, DESTINO: DPTO. S.F.V. DE CATAMARCA</v>
      </c>
      <c r="D14" s="140"/>
      <c r="E14" s="140"/>
      <c r="F14" s="140"/>
      <c r="G14" s="140"/>
      <c r="H14" s="73" t="s">
        <v>29</v>
      </c>
      <c r="I14" s="33" t="str">
        <f>+'Necesidades Trimestrales'!F11</f>
        <v>LITROS EN VALES</v>
      </c>
      <c r="J14" s="97">
        <f>'Necesidades Trimestrales'!H11</f>
        <v>70.400000000000006</v>
      </c>
      <c r="K14" s="99">
        <f>'Necesidades Trimestrales'!G11</f>
        <v>290600</v>
      </c>
    </row>
    <row r="15" spans="1:11" ht="32.25" customHeight="1" x14ac:dyDescent="0.25">
      <c r="A15" s="22">
        <f>'Necesidades Trimestrales'!A12</f>
        <v>3</v>
      </c>
      <c r="B15" s="23" t="str">
        <f>'Necesidades Trimestrales'!B12</f>
        <v>2.5.6-797.28</v>
      </c>
      <c r="C15" s="140" t="str">
        <f>'Necesidades Trimestrales'!E12</f>
        <v>NAFTA SUPER; TIPO: PREMIUN, OCTANO: 97, PRESENTACION: POR LITRO, DESTINO: DPTO. LA PAZ, COMERCIALIZACION: SIN VALOR</v>
      </c>
      <c r="D15" s="140"/>
      <c r="E15" s="140"/>
      <c r="F15" s="140"/>
      <c r="G15" s="140"/>
      <c r="H15" s="73" t="s">
        <v>29</v>
      </c>
      <c r="I15" s="33" t="str">
        <f>+'Necesidades Trimestrales'!F12</f>
        <v>LITROS EN VALES</v>
      </c>
      <c r="J15" s="97">
        <f>'Necesidades Trimestrales'!H12</f>
        <v>77</v>
      </c>
      <c r="K15" s="99">
        <f>'Necesidades Trimestrales'!G12</f>
        <v>2227</v>
      </c>
    </row>
    <row r="16" spans="1:11" ht="32.25" customHeight="1" x14ac:dyDescent="0.25">
      <c r="A16" s="22">
        <f>'Necesidades Trimestrales'!A13</f>
        <v>4</v>
      </c>
      <c r="B16" s="23" t="str">
        <f>'Necesidades Trimestrales'!B13</f>
        <v>2.5.6-793.35</v>
      </c>
      <c r="C16" s="140" t="str">
        <f>'Necesidades Trimestrales'!E13</f>
        <v>GAS OIL; PRESENTACION: POR LITRO, USO: MOTORES DIESEL, COMERCIALIZACION: GRADO 3, DESTINO: DPTO. LA PAZ</v>
      </c>
      <c r="D16" s="140"/>
      <c r="E16" s="140"/>
      <c r="F16" s="140"/>
      <c r="G16" s="140"/>
      <c r="H16" s="73" t="s">
        <v>29</v>
      </c>
      <c r="I16" s="33" t="str">
        <f>+'Necesidades Trimestrales'!F13</f>
        <v>LITROS EN VALES</v>
      </c>
      <c r="J16" s="97">
        <f>'Necesidades Trimestrales'!H13</f>
        <v>70.099999999999994</v>
      </c>
      <c r="K16" s="99">
        <f>'Necesidades Trimestrales'!G13</f>
        <v>6110</v>
      </c>
    </row>
    <row r="17" spans="1:11" ht="32.25" customHeight="1" x14ac:dyDescent="0.25">
      <c r="A17" s="22">
        <f>'Necesidades Trimestrales'!A14</f>
        <v>5</v>
      </c>
      <c r="B17" s="23" t="str">
        <f>'Necesidades Trimestrales'!B14</f>
        <v>2.5.6-797.53</v>
      </c>
      <c r="C17" s="140" t="str">
        <f>'Necesidades Trimestrales'!E14</f>
        <v>NAFTA SUPER; TIPO: PREMIUN, OCTANO: 97, PRESENTACION: POR LITRO, DESTINO: DPTO. BELEN COMERCIALIZACION: SIN VALOR</v>
      </c>
      <c r="D17" s="140"/>
      <c r="E17" s="140"/>
      <c r="F17" s="140"/>
      <c r="G17" s="140"/>
      <c r="H17" s="73" t="s">
        <v>29</v>
      </c>
      <c r="I17" s="33" t="str">
        <f>+'Necesidades Trimestrales'!F14</f>
        <v>LITROS EN VALES</v>
      </c>
      <c r="J17" s="97">
        <f>'Necesidades Trimestrales'!H14</f>
        <v>76.900000000000006</v>
      </c>
      <c r="K17" s="99">
        <f>'Necesidades Trimestrales'!G14</f>
        <v>2165</v>
      </c>
    </row>
    <row r="18" spans="1:11" ht="32.25" customHeight="1" x14ac:dyDescent="0.25">
      <c r="A18" s="22">
        <f>'Necesidades Trimestrales'!A15</f>
        <v>6</v>
      </c>
      <c r="B18" s="23" t="str">
        <f>'Necesidades Trimestrales'!B15</f>
        <v>2.5.6-793.37</v>
      </c>
      <c r="C18" s="140" t="str">
        <f>'Necesidades Trimestrales'!E15</f>
        <v>GAS OIL; PRESENTACION: POR LITRO, USO: MOTORES DIESEL, COMERCIALIZACION: GRADO 3, DESTINO: DPTO. BELEN</v>
      </c>
      <c r="D18" s="140"/>
      <c r="E18" s="140"/>
      <c r="F18" s="140"/>
      <c r="G18" s="140"/>
      <c r="H18" s="73" t="s">
        <v>29</v>
      </c>
      <c r="I18" s="33" t="str">
        <f>+'Necesidades Trimestrales'!F15</f>
        <v>LITROS EN VALES</v>
      </c>
      <c r="J18" s="97">
        <f>'Necesidades Trimestrales'!H15</f>
        <v>70.8</v>
      </c>
      <c r="K18" s="99">
        <f>'Necesidades Trimestrales'!G15</f>
        <v>6110</v>
      </c>
    </row>
    <row r="19" spans="1:11" ht="32.25" customHeight="1" x14ac:dyDescent="0.25">
      <c r="A19" s="22">
        <f>'Necesidades Trimestrales'!A16</f>
        <v>7</v>
      </c>
      <c r="B19" s="23" t="str">
        <f>'Necesidades Trimestrales'!B16</f>
        <v>2.5.6-797.29</v>
      </c>
      <c r="C19" s="140" t="str">
        <f>'Necesidades Trimestrales'!E16</f>
        <v>NAFTA SUPER; TIPO: PREMIUN, OCTANO: 97, PRESENTACION: POR LITRO, DESTINO: DPTO. ANDALGALA, COMERCIALIZACION: SIN VALOR</v>
      </c>
      <c r="D19" s="140"/>
      <c r="E19" s="140"/>
      <c r="F19" s="140"/>
      <c r="G19" s="140"/>
      <c r="H19" s="73" t="s">
        <v>29</v>
      </c>
      <c r="I19" s="33" t="str">
        <f>+'Necesidades Trimestrales'!F16</f>
        <v>LITROS EN VALES</v>
      </c>
      <c r="J19" s="97">
        <f>'Necesidades Trimestrales'!H16</f>
        <v>86.7</v>
      </c>
      <c r="K19" s="99">
        <f>'Necesidades Trimestrales'!G16</f>
        <v>1560</v>
      </c>
    </row>
    <row r="20" spans="1:11" ht="32.25" customHeight="1" x14ac:dyDescent="0.25">
      <c r="A20" s="22">
        <f>'Necesidades Trimestrales'!A17</f>
        <v>8</v>
      </c>
      <c r="B20" s="23" t="str">
        <f>'Necesidades Trimestrales'!B17</f>
        <v>2.5.6-793.45</v>
      </c>
      <c r="C20" s="140" t="str">
        <f>'Necesidades Trimestrales'!E17</f>
        <v>GAS OIL; PRESENTACION: POR LITRO, USO: MOTORES DIESEL, COMERCIALIZACION: GRADO 3, DESTINO: DPTO. ANDALGALA</v>
      </c>
      <c r="D20" s="140"/>
      <c r="E20" s="140"/>
      <c r="F20" s="140"/>
      <c r="G20" s="140"/>
      <c r="H20" s="73" t="s">
        <v>29</v>
      </c>
      <c r="I20" s="33" t="str">
        <f>+'Necesidades Trimestrales'!F17</f>
        <v>LITROS EN VALES</v>
      </c>
      <c r="J20" s="97">
        <f>'Necesidades Trimestrales'!H17</f>
        <v>83.4</v>
      </c>
      <c r="K20" s="99">
        <f>'Necesidades Trimestrales'!G17</f>
        <v>5570</v>
      </c>
    </row>
    <row r="21" spans="1:11" ht="32.25" customHeight="1" x14ac:dyDescent="0.25">
      <c r="A21" s="22">
        <f>'Necesidades Trimestrales'!A18</f>
        <v>9</v>
      </c>
      <c r="B21" s="23" t="str">
        <f>'Necesidades Trimestrales'!B18</f>
        <v>2.5.6-797.45</v>
      </c>
      <c r="C21" s="140" t="str">
        <f>'Necesidades Trimestrales'!E18</f>
        <v>NAFTA SUPER; TIPO: PREMIUN, OCTANO: 97, PRESENTACION: POR LITRO, DESTINO: DPTO. TINOGASTA, COMERCIALIZACION: SIN VALOR</v>
      </c>
      <c r="D21" s="140"/>
      <c r="E21" s="140"/>
      <c r="F21" s="140"/>
      <c r="G21" s="140"/>
      <c r="H21" s="73" t="s">
        <v>29</v>
      </c>
      <c r="I21" s="33" t="str">
        <f>+'Necesidades Trimestrales'!F18</f>
        <v>LITROS EN VALES</v>
      </c>
      <c r="J21" s="97">
        <f>'Necesidades Trimestrales'!H18</f>
        <v>82.2</v>
      </c>
      <c r="K21" s="99">
        <f>'Necesidades Trimestrales'!G18</f>
        <v>1500</v>
      </c>
    </row>
    <row r="22" spans="1:11" ht="32.25" customHeight="1" x14ac:dyDescent="0.25">
      <c r="A22" s="22">
        <f>'Necesidades Trimestrales'!A19</f>
        <v>10</v>
      </c>
      <c r="B22" s="23" t="str">
        <f>'Necesidades Trimestrales'!B19</f>
        <v>2.5.6-793.36</v>
      </c>
      <c r="C22" s="140" t="str">
        <f>'Necesidades Trimestrales'!E19</f>
        <v>GAS OIL; PRESENTACION: POR LITRO, USO: MOTORES DIESEL, COMERCIALIZACION: GRADO 3, DESTINO: DPTO. TINOGASTA</v>
      </c>
      <c r="D22" s="140"/>
      <c r="E22" s="140"/>
      <c r="F22" s="140"/>
      <c r="G22" s="140"/>
      <c r="H22" s="73" t="s">
        <v>29</v>
      </c>
      <c r="I22" s="33" t="str">
        <f>+'Necesidades Trimestrales'!F19</f>
        <v>LITROS EN VALES</v>
      </c>
      <c r="J22" s="97">
        <f>'Necesidades Trimestrales'!H19</f>
        <v>86.1</v>
      </c>
      <c r="K22" s="99">
        <f>'Necesidades Trimestrales'!G19</f>
        <v>5535</v>
      </c>
    </row>
    <row r="23" spans="1:11" ht="32.25" customHeight="1" x14ac:dyDescent="0.25">
      <c r="A23" s="22">
        <f>'Necesidades Trimestrales'!A20</f>
        <v>11</v>
      </c>
      <c r="B23" s="23" t="str">
        <f>'Necesidades Trimestrales'!B20</f>
        <v>2.5.6-797.47</v>
      </c>
      <c r="C23" s="140" t="str">
        <f>'Necesidades Trimestrales'!E20</f>
        <v>NAFTA SUPER; TIPO: PREMIUN, OCTANO: 97, PRESENTACION: POR LITRO, DESTINO: DPTO. EL ALTO, COMERCIALIZACION: SIN VALOR</v>
      </c>
      <c r="D23" s="140"/>
      <c r="E23" s="140"/>
      <c r="F23" s="140"/>
      <c r="G23" s="140"/>
      <c r="H23" s="73" t="s">
        <v>29</v>
      </c>
      <c r="I23" s="33" t="str">
        <f>+'Necesidades Trimestrales'!F20</f>
        <v>LITROS EN VALES</v>
      </c>
      <c r="J23" s="97">
        <f>'Necesidades Trimestrales'!H20</f>
        <v>77</v>
      </c>
      <c r="K23" s="99">
        <f>'Necesidades Trimestrales'!G20</f>
        <v>2235</v>
      </c>
    </row>
    <row r="24" spans="1:11" ht="32.25" customHeight="1" x14ac:dyDescent="0.25">
      <c r="A24" s="22">
        <f>'Necesidades Trimestrales'!A21</f>
        <v>12</v>
      </c>
      <c r="B24" s="23" t="str">
        <f>'Necesidades Trimestrales'!B21</f>
        <v>2.5.6-793.39</v>
      </c>
      <c r="C24" s="140" t="str">
        <f>'Necesidades Trimestrales'!E21</f>
        <v>GAS OIL; PRESENTACION: POR LITRO, USO: MOTORES DIESEL, COMERCIALIZACION: GRADO 3, DESTINO: DPTO. EL ALTO</v>
      </c>
      <c r="D24" s="140"/>
      <c r="E24" s="140"/>
      <c r="F24" s="140"/>
      <c r="G24" s="140"/>
      <c r="H24" s="73" t="s">
        <v>29</v>
      </c>
      <c r="I24" s="33" t="str">
        <f>+'Necesidades Trimestrales'!F21</f>
        <v>LITROS EN VALES</v>
      </c>
      <c r="J24" s="97">
        <f>'Necesidades Trimestrales'!H21</f>
        <v>70.099999999999994</v>
      </c>
      <c r="K24" s="99">
        <f>'Necesidades Trimestrales'!G21</f>
        <v>6100</v>
      </c>
    </row>
    <row r="25" spans="1:11" ht="32.25" customHeight="1" x14ac:dyDescent="0.25">
      <c r="A25" s="22">
        <f>'Necesidades Trimestrales'!A22</f>
        <v>13</v>
      </c>
      <c r="B25" s="23" t="str">
        <f>'Necesidades Trimestrales'!B22</f>
        <v>2.5.6-797.32</v>
      </c>
      <c r="C25" s="140" t="str">
        <f>'Necesidades Trimestrales'!E22</f>
        <v>NAFTA SUPER; TIPO: PREMIUN, OCTANO: 97, PRESENTACION: POR LITRO, DESTINO: DPTO. STA. MARIA, COMERCIALIZACION: SIN VALOR</v>
      </c>
      <c r="D25" s="140"/>
      <c r="E25" s="140"/>
      <c r="F25" s="140"/>
      <c r="G25" s="140"/>
      <c r="H25" s="73" t="s">
        <v>29</v>
      </c>
      <c r="I25" s="33" t="str">
        <f>+'Necesidades Trimestrales'!F22</f>
        <v>LITROS EN VALES</v>
      </c>
      <c r="J25" s="97">
        <f>'Necesidades Trimestrales'!H22</f>
        <v>87.99</v>
      </c>
      <c r="K25" s="99">
        <f>'Necesidades Trimestrales'!G22</f>
        <v>1510</v>
      </c>
    </row>
    <row r="26" spans="1:11" ht="32.25" customHeight="1" x14ac:dyDescent="0.25">
      <c r="A26" s="22">
        <f>'Necesidades Trimestrales'!A23</f>
        <v>14</v>
      </c>
      <c r="B26" s="23" t="str">
        <f>'Necesidades Trimestrales'!B23</f>
        <v>2.5.6-793.38</v>
      </c>
      <c r="C26" s="140" t="str">
        <f>'Necesidades Trimestrales'!E23</f>
        <v>GAS OIL; PRESENTACION: POR LITRO, USO: MOTORES DIESEL, COMERCIALIZACION: GRADO 3, DESTINO: DPTO. STA. MARIA</v>
      </c>
      <c r="D26" s="140"/>
      <c r="E26" s="140"/>
      <c r="F26" s="140"/>
      <c r="G26" s="140"/>
      <c r="H26" s="73" t="s">
        <v>29</v>
      </c>
      <c r="I26" s="33" t="str">
        <f>+'Necesidades Trimestrales'!F23</f>
        <v>LITROS EN VALES</v>
      </c>
      <c r="J26" s="97">
        <f>'Necesidades Trimestrales'!H23</f>
        <v>83.99</v>
      </c>
      <c r="K26" s="99">
        <f>'Necesidades Trimestrales'!G23</f>
        <v>5560</v>
      </c>
    </row>
    <row r="27" spans="1:11" ht="32.25" customHeight="1" x14ac:dyDescent="0.25">
      <c r="A27" s="22">
        <f>'Necesidades Trimestrales'!A24</f>
        <v>15</v>
      </c>
      <c r="B27" s="23" t="str">
        <f>'Necesidades Trimestrales'!B24</f>
        <v>2.5.6-797.26</v>
      </c>
      <c r="C27" s="140" t="str">
        <f>'Necesidades Trimestrales'!E24</f>
        <v>NAFTA SUPER; TIPO: PREMIUN, OCTANO: 97, PRESENTACION: POR LITRO, DESTINO: DPTO. POMAN, COMERCIALIZACION: SIN VALOR</v>
      </c>
      <c r="D27" s="140"/>
      <c r="E27" s="140"/>
      <c r="F27" s="140"/>
      <c r="G27" s="140"/>
      <c r="H27" s="73" t="s">
        <v>29</v>
      </c>
      <c r="I27" s="33" t="str">
        <f>+'Necesidades Trimestrales'!F24</f>
        <v>LITROS EN VALES</v>
      </c>
      <c r="J27" s="97">
        <f>'Necesidades Trimestrales'!H24</f>
        <v>86.7</v>
      </c>
      <c r="K27" s="99">
        <f>'Necesidades Trimestrales'!G24</f>
        <v>1560</v>
      </c>
    </row>
    <row r="28" spans="1:11" ht="32.25" customHeight="1" x14ac:dyDescent="0.25">
      <c r="A28" s="22">
        <f>'Necesidades Trimestrales'!A25</f>
        <v>16</v>
      </c>
      <c r="B28" s="23" t="str">
        <f>'Necesidades Trimestrales'!B25</f>
        <v>2.5.6-793.33</v>
      </c>
      <c r="C28" s="140" t="str">
        <f>'Necesidades Trimestrales'!E25</f>
        <v>GAS OIL; PRESENTACION: POR LITRO, USO: MOTORES DIESEL, COMERCIALIZACION: GRADO 3, DESTINO: DPTO. POMAN</v>
      </c>
      <c r="D28" s="140"/>
      <c r="E28" s="140"/>
      <c r="F28" s="140"/>
      <c r="G28" s="140"/>
      <c r="H28" s="73" t="s">
        <v>29</v>
      </c>
      <c r="I28" s="33" t="str">
        <f>+'Necesidades Trimestrales'!F25</f>
        <v>LITROS EN VALES</v>
      </c>
      <c r="J28" s="97">
        <f>'Necesidades Trimestrales'!H25</f>
        <v>83.4</v>
      </c>
      <c r="K28" s="99">
        <f>'Necesidades Trimestrales'!G25</f>
        <v>5570</v>
      </c>
    </row>
    <row r="29" spans="1:11" ht="32.25" customHeight="1" x14ac:dyDescent="0.25">
      <c r="A29" s="22">
        <f>'Necesidades Trimestrales'!A26</f>
        <v>17</v>
      </c>
      <c r="B29" s="23" t="str">
        <f>'Necesidades Trimestrales'!B26</f>
        <v>2.5.6-7104.19</v>
      </c>
      <c r="C29" s="140" t="str">
        <f>'Necesidades Trimestrales'!E26</f>
        <v>ACEITES LUBRICANTES; DENOMINACION: SAE 15 W 40, USO: AUTOMOTOR, PRESENTACION: TAMBOR X 205 L, NORMA: SAE 15 W 40</v>
      </c>
      <c r="D29" s="140"/>
      <c r="E29" s="140"/>
      <c r="F29" s="140"/>
      <c r="G29" s="140"/>
      <c r="H29" s="73" t="s">
        <v>29</v>
      </c>
      <c r="I29" s="33" t="str">
        <f>+'Necesidades Trimestrales'!F26</f>
        <v>UNIDAD</v>
      </c>
      <c r="J29" s="97">
        <f>'Necesidades Trimestrales'!H26</f>
        <v>54000</v>
      </c>
      <c r="K29" s="99">
        <f>'Necesidades Trimestrales'!G26</f>
        <v>2</v>
      </c>
    </row>
    <row r="30" spans="1:11" ht="32.25" customHeight="1" x14ac:dyDescent="0.25">
      <c r="A30" s="22">
        <f>'Necesidades Trimestrales'!A27</f>
        <v>18</v>
      </c>
      <c r="B30" s="23" t="str">
        <f>'Necesidades Trimestrales'!B27</f>
        <v>2.5.6-7104.503</v>
      </c>
      <c r="C30" s="140" t="str">
        <f>'Necesidades Trimestrales'!E27</f>
        <v>ACEITES LUBRICANTES; USO: AUTOMOTOR, PRESENTACION: ENVASE X 20 L, NORMA: 5W-30, COMERCIALIZACION: POR UNIDAD</v>
      </c>
      <c r="D30" s="140"/>
      <c r="E30" s="140"/>
      <c r="F30" s="140"/>
      <c r="G30" s="140"/>
      <c r="H30" s="73" t="s">
        <v>29</v>
      </c>
      <c r="I30" s="33" t="str">
        <f>+'Necesidades Trimestrales'!F27</f>
        <v>UNIDAD</v>
      </c>
      <c r="J30" s="97">
        <f>'Necesidades Trimestrales'!H27</f>
        <v>18900</v>
      </c>
      <c r="K30" s="99">
        <f>'Necesidades Trimestrales'!G27</f>
        <v>7</v>
      </c>
    </row>
    <row r="31" spans="1:11" ht="37.5" customHeight="1" thickBot="1" x14ac:dyDescent="0.3">
      <c r="A31" s="36">
        <f>'Necesidades Trimestrales'!A28</f>
        <v>19</v>
      </c>
      <c r="B31" s="100" t="str">
        <f>'Necesidades Trimestrales'!B28</f>
        <v>2.5.6-7104.31</v>
      </c>
      <c r="C31" s="139" t="str">
        <f>'Necesidades Trimestrales'!E28</f>
        <v>ACEITES LUBRICANTES; DENOMINACION: SAE 20 W 50, USO: AUTOMOTOR, PRESENTACION: TAMBOR X 205 L, NORMA: SAE 20 W 50</v>
      </c>
      <c r="D31" s="139"/>
      <c r="E31" s="139"/>
      <c r="F31" s="139"/>
      <c r="G31" s="139"/>
      <c r="H31" s="101" t="s">
        <v>29</v>
      </c>
      <c r="I31" s="40" t="str">
        <f>+'Necesidades Trimestrales'!F28</f>
        <v>UNIDAD</v>
      </c>
      <c r="J31" s="102">
        <f>'Necesidades Trimestrales'!H28</f>
        <v>54000</v>
      </c>
      <c r="K31" s="103">
        <f>'Necesidades Trimestrales'!G28</f>
        <v>1</v>
      </c>
    </row>
    <row r="32" spans="1:11" ht="33.75" customHeight="1" thickBot="1" x14ac:dyDescent="0.3">
      <c r="A32" s="124" t="s">
        <v>121</v>
      </c>
      <c r="B32" s="124"/>
      <c r="C32" s="124"/>
      <c r="D32" s="124"/>
      <c r="E32" s="124"/>
      <c r="F32" s="124"/>
      <c r="G32" s="124"/>
      <c r="H32" s="124"/>
      <c r="I32" s="124"/>
      <c r="J32" s="125">
        <f>SUMPRODUCT(J13:J31,K13:K31)</f>
        <v>34476004.299999997</v>
      </c>
      <c r="K32" s="126"/>
    </row>
  </sheetData>
  <mergeCells count="41">
    <mergeCell ref="C28:G28"/>
    <mergeCell ref="C29:G29"/>
    <mergeCell ref="C30:G30"/>
    <mergeCell ref="C23:G23"/>
    <mergeCell ref="C24:G24"/>
    <mergeCell ref="C25:G25"/>
    <mergeCell ref="C26:G26"/>
    <mergeCell ref="C27:G27"/>
    <mergeCell ref="C17:G17"/>
    <mergeCell ref="C18:G18"/>
    <mergeCell ref="C19:G19"/>
    <mergeCell ref="C20:G20"/>
    <mergeCell ref="D8:K9"/>
    <mergeCell ref="A8:C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2:I32"/>
    <mergeCell ref="J32:K32"/>
    <mergeCell ref="A11:A12"/>
    <mergeCell ref="B11:B12"/>
    <mergeCell ref="C11:G12"/>
    <mergeCell ref="H11:H12"/>
    <mergeCell ref="I11:I12"/>
    <mergeCell ref="J11:J12"/>
    <mergeCell ref="K11:K12"/>
    <mergeCell ref="C31:G31"/>
    <mergeCell ref="C22:G22"/>
    <mergeCell ref="C21:G21"/>
    <mergeCell ref="C14:G14"/>
    <mergeCell ref="C13:G13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8"/>
  <sheetViews>
    <sheetView workbookViewId="0">
      <selection activeCell="A24" sqref="A24:P24"/>
    </sheetView>
  </sheetViews>
  <sheetFormatPr baseColWidth="10" defaultColWidth="11" defaultRowHeight="13.5" x14ac:dyDescent="0.25"/>
  <cols>
    <col min="1" max="5" width="4.42578125" style="1" customWidth="1"/>
    <col min="6" max="6" width="6.140625" style="1" customWidth="1"/>
    <col min="7" max="7" width="4.42578125" style="78" customWidth="1"/>
    <col min="8" max="14" width="4.42578125" style="1" customWidth="1"/>
    <col min="15" max="15" width="13.140625" style="77" customWidth="1"/>
    <col min="16" max="16" width="13" style="77" customWidth="1"/>
    <col min="17" max="17" width="16.28515625" style="96" customWidth="1"/>
    <col min="18" max="16384" width="11" style="1"/>
  </cols>
  <sheetData>
    <row r="1" spans="1:17" ht="15.75" customHeight="1" x14ac:dyDescent="0.25">
      <c r="A1" s="167" t="s">
        <v>3</v>
      </c>
      <c r="B1" s="167"/>
      <c r="C1" s="167"/>
      <c r="D1" s="168">
        <f>'Necesidades Trimestrales'!C6</f>
        <v>2021</v>
      </c>
      <c r="E1" s="168"/>
      <c r="F1" s="75"/>
      <c r="G1" s="75"/>
      <c r="H1" s="76"/>
      <c r="I1" s="76"/>
      <c r="J1" s="76"/>
      <c r="K1" s="76"/>
      <c r="L1" s="76"/>
      <c r="M1" s="76"/>
      <c r="N1" s="76"/>
      <c r="P1" s="169" t="s">
        <v>30</v>
      </c>
      <c r="Q1" s="169"/>
    </row>
    <row r="2" spans="1:17" ht="15.75" customHeight="1" x14ac:dyDescent="0.25">
      <c r="H2" s="76"/>
      <c r="I2" s="76"/>
      <c r="J2" s="76"/>
      <c r="K2" s="76"/>
      <c r="L2" s="76"/>
      <c r="M2" s="76"/>
      <c r="N2" s="76"/>
      <c r="P2" s="169"/>
      <c r="Q2" s="169"/>
    </row>
    <row r="4" spans="1:17" ht="18" customHeight="1" thickBot="1" x14ac:dyDescent="0.35">
      <c r="A4" s="170" t="s">
        <v>31</v>
      </c>
      <c r="B4" s="170"/>
      <c r="C4" s="170"/>
      <c r="D4" s="170"/>
      <c r="E4" s="170"/>
      <c r="F4" s="170"/>
      <c r="G4" s="171" t="str">
        <f>' NotaPedido'!D3</f>
        <v>Ministerio de Seguridad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ht="18" customHeight="1" thickBot="1" x14ac:dyDescent="0.35">
      <c r="A5" s="172" t="s">
        <v>53</v>
      </c>
      <c r="B5" s="173"/>
      <c r="C5" s="173"/>
      <c r="D5" s="173"/>
      <c r="E5" s="173"/>
      <c r="F5" s="174"/>
      <c r="G5" s="171" t="str">
        <f>' NotaPedido'!D4</f>
        <v>7 - Direccion de Administracion de la Policía de la Provincia de Catamarca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ht="18" customHeight="1" thickBot="1" x14ac:dyDescent="0.35">
      <c r="A6" s="172" t="s">
        <v>32</v>
      </c>
      <c r="B6" s="173"/>
      <c r="C6" s="173"/>
      <c r="D6" s="173"/>
      <c r="E6" s="173"/>
      <c r="F6" s="174"/>
      <c r="G6" s="171" t="str">
        <f>' NotaPedido'!D5</f>
        <v>Policía de la Provincia de Catamarca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ht="18" customHeight="1" thickBot="1" x14ac:dyDescent="0.35">
      <c r="A7" s="172" t="s">
        <v>54</v>
      </c>
      <c r="B7" s="173"/>
      <c r="C7" s="173"/>
      <c r="D7" s="173"/>
      <c r="E7" s="173"/>
      <c r="F7" s="174"/>
      <c r="G7" s="171" t="str">
        <f>' NotaPedido'!D6</f>
        <v>División Transporte Departamento Logistica (D-4)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18" customHeight="1" thickBot="1" x14ac:dyDescent="0.3">
      <c r="A8" s="175" t="s">
        <v>105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 x14ac:dyDescent="0.3">
      <c r="A9" s="177" t="s">
        <v>33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79"/>
      <c r="P9" s="79"/>
      <c r="Q9" s="80"/>
    </row>
    <row r="10" spans="1:17" ht="65.25" customHeight="1" x14ac:dyDescent="0.25">
      <c r="A10" s="17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08/2021,  afectando la erogación resultante a los créditos presupuestarios aprobados a favor de esta Unidad Ejecutora, conforme al siguiente detalle: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</row>
    <row r="11" spans="1:17" ht="13.5" customHeight="1" thickBot="1" x14ac:dyDescent="0.3">
      <c r="A11" s="81"/>
      <c r="B11" s="82"/>
      <c r="C11" s="82"/>
      <c r="D11" s="82"/>
      <c r="E11" s="82"/>
      <c r="F11" s="82"/>
      <c r="G11" s="83"/>
      <c r="H11" s="82"/>
      <c r="I11" s="82"/>
      <c r="J11" s="82"/>
      <c r="K11" s="82"/>
      <c r="L11" s="82"/>
      <c r="M11" s="82"/>
      <c r="N11" s="82"/>
      <c r="O11" s="84"/>
      <c r="P11" s="84"/>
      <c r="Q11" s="85"/>
    </row>
    <row r="12" spans="1:17" ht="15.75" customHeight="1" thickBot="1" x14ac:dyDescent="0.3">
      <c r="A12" s="179" t="s">
        <v>34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</row>
    <row r="13" spans="1:17" ht="15.75" customHeight="1" thickBot="1" x14ac:dyDescent="0.3">
      <c r="A13" s="180" t="s">
        <v>35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36</v>
      </c>
      <c r="P13" s="182"/>
      <c r="Q13" s="184" t="s">
        <v>37</v>
      </c>
    </row>
    <row r="14" spans="1:17" ht="15.75" customHeight="1" thickBot="1" x14ac:dyDescent="0.3">
      <c r="A14" s="86" t="s">
        <v>38</v>
      </c>
      <c r="B14" s="87" t="s">
        <v>39</v>
      </c>
      <c r="C14" s="87" t="s">
        <v>40</v>
      </c>
      <c r="D14" s="87" t="s">
        <v>41</v>
      </c>
      <c r="E14" s="87" t="s">
        <v>42</v>
      </c>
      <c r="F14" s="87" t="s">
        <v>43</v>
      </c>
      <c r="G14" s="88" t="s">
        <v>44</v>
      </c>
      <c r="H14" s="87" t="s">
        <v>45</v>
      </c>
      <c r="I14" s="87" t="s">
        <v>46</v>
      </c>
      <c r="J14" s="87" t="s">
        <v>47</v>
      </c>
      <c r="K14" s="87" t="s">
        <v>47</v>
      </c>
      <c r="L14" s="87" t="s">
        <v>48</v>
      </c>
      <c r="M14" s="89" t="s">
        <v>49</v>
      </c>
      <c r="N14" s="90" t="s">
        <v>50</v>
      </c>
      <c r="O14" s="183"/>
      <c r="P14" s="183"/>
      <c r="Q14" s="185"/>
    </row>
    <row r="15" spans="1:17" ht="17.25" customHeight="1" x14ac:dyDescent="0.25">
      <c r="A15" s="91">
        <v>16</v>
      </c>
      <c r="B15" s="91">
        <v>0</v>
      </c>
      <c r="C15" s="91">
        <v>0</v>
      </c>
      <c r="D15" s="91">
        <v>1</v>
      </c>
      <c r="E15" s="91">
        <v>0</v>
      </c>
      <c r="F15" s="91">
        <v>10</v>
      </c>
      <c r="G15" s="91">
        <v>2</v>
      </c>
      <c r="H15" s="91">
        <v>1</v>
      </c>
      <c r="I15" s="91">
        <v>2</v>
      </c>
      <c r="J15" s="91">
        <v>5</v>
      </c>
      <c r="K15" s="91">
        <v>6</v>
      </c>
      <c r="L15" s="91">
        <v>0</v>
      </c>
      <c r="M15" s="91">
        <v>1</v>
      </c>
      <c r="N15" s="91" t="s">
        <v>68</v>
      </c>
      <c r="O15" s="176" t="s">
        <v>58</v>
      </c>
      <c r="P15" s="176"/>
      <c r="Q15" s="92">
        <f>'Necesidades Trimestrales'!M10+'Necesidades Trimestrales'!K27</f>
        <v>15286220</v>
      </c>
    </row>
    <row r="16" spans="1:17" ht="17.25" customHeight="1" x14ac:dyDescent="0.25">
      <c r="A16" s="93">
        <v>16</v>
      </c>
      <c r="B16" s="93">
        <v>0</v>
      </c>
      <c r="C16" s="93">
        <v>0</v>
      </c>
      <c r="D16" s="93">
        <v>7</v>
      </c>
      <c r="E16" s="93">
        <v>0</v>
      </c>
      <c r="F16" s="93">
        <v>10</v>
      </c>
      <c r="G16" s="93">
        <v>2</v>
      </c>
      <c r="H16" s="93">
        <v>1</v>
      </c>
      <c r="I16" s="93">
        <v>2</v>
      </c>
      <c r="J16" s="93">
        <v>5</v>
      </c>
      <c r="K16" s="93">
        <v>6</v>
      </c>
      <c r="L16" s="93">
        <v>0</v>
      </c>
      <c r="M16" s="93">
        <v>1</v>
      </c>
      <c r="N16" s="93" t="s">
        <v>68</v>
      </c>
      <c r="O16" s="162" t="s">
        <v>58</v>
      </c>
      <c r="P16" s="162"/>
      <c r="Q16" s="94">
        <f>'Necesidades Trimestrales'!M10</f>
        <v>14991920</v>
      </c>
    </row>
    <row r="17" spans="1:17" ht="17.25" customHeight="1" x14ac:dyDescent="0.25">
      <c r="A17" s="91">
        <v>16</v>
      </c>
      <c r="B17" s="91">
        <v>0</v>
      </c>
      <c r="C17" s="91">
        <v>0</v>
      </c>
      <c r="D17" s="93">
        <v>9</v>
      </c>
      <c r="E17" s="93">
        <v>0</v>
      </c>
      <c r="F17" s="93">
        <v>7001</v>
      </c>
      <c r="G17" s="91">
        <v>2</v>
      </c>
      <c r="H17" s="93">
        <v>1</v>
      </c>
      <c r="I17" s="91">
        <v>2</v>
      </c>
      <c r="J17" s="91">
        <v>5</v>
      </c>
      <c r="K17" s="91">
        <v>6</v>
      </c>
      <c r="L17" s="91">
        <v>0</v>
      </c>
      <c r="M17" s="91">
        <v>1</v>
      </c>
      <c r="N17" s="91" t="s">
        <v>68</v>
      </c>
      <c r="O17" s="176" t="s">
        <v>58</v>
      </c>
      <c r="P17" s="176"/>
      <c r="Q17" s="94">
        <f>'Necesidades Trimestrales'!J12</f>
        <v>599790</v>
      </c>
    </row>
    <row r="18" spans="1:17" ht="17.25" customHeight="1" x14ac:dyDescent="0.25">
      <c r="A18" s="93">
        <v>16</v>
      </c>
      <c r="B18" s="93">
        <v>0</v>
      </c>
      <c r="C18" s="93">
        <v>0</v>
      </c>
      <c r="D18" s="93">
        <v>10</v>
      </c>
      <c r="E18" s="93">
        <v>0</v>
      </c>
      <c r="F18" s="93">
        <v>3501</v>
      </c>
      <c r="G18" s="93">
        <v>2</v>
      </c>
      <c r="H18" s="93">
        <v>1</v>
      </c>
      <c r="I18" s="93">
        <v>2</v>
      </c>
      <c r="J18" s="93">
        <v>5</v>
      </c>
      <c r="K18" s="93">
        <v>6</v>
      </c>
      <c r="L18" s="93">
        <v>0</v>
      </c>
      <c r="M18" s="93">
        <v>1</v>
      </c>
      <c r="N18" s="93" t="s">
        <v>68</v>
      </c>
      <c r="O18" s="162" t="s">
        <v>58</v>
      </c>
      <c r="P18" s="162"/>
      <c r="Q18" s="94">
        <f>'Necesidades Trimestrales'!J14</f>
        <v>599076.5</v>
      </c>
    </row>
    <row r="19" spans="1:17" ht="17.25" customHeight="1" x14ac:dyDescent="0.25">
      <c r="A19" s="93">
        <v>16</v>
      </c>
      <c r="B19" s="93">
        <v>0</v>
      </c>
      <c r="C19" s="93">
        <v>0</v>
      </c>
      <c r="D19" s="93">
        <v>11</v>
      </c>
      <c r="E19" s="93">
        <v>0</v>
      </c>
      <c r="F19" s="93">
        <v>2101</v>
      </c>
      <c r="G19" s="93">
        <v>2</v>
      </c>
      <c r="H19" s="93">
        <v>1</v>
      </c>
      <c r="I19" s="93">
        <v>2</v>
      </c>
      <c r="J19" s="93">
        <v>5</v>
      </c>
      <c r="K19" s="93">
        <v>6</v>
      </c>
      <c r="L19" s="93">
        <v>0</v>
      </c>
      <c r="M19" s="93">
        <v>1</v>
      </c>
      <c r="N19" s="93" t="s">
        <v>68</v>
      </c>
      <c r="O19" s="162" t="s">
        <v>58</v>
      </c>
      <c r="P19" s="162"/>
      <c r="Q19" s="94">
        <f>'Necesidades Trimestrales'!J16</f>
        <v>599790</v>
      </c>
    </row>
    <row r="20" spans="1:17" ht="17.25" customHeight="1" x14ac:dyDescent="0.25">
      <c r="A20" s="93">
        <v>16</v>
      </c>
      <c r="B20" s="93">
        <v>0</v>
      </c>
      <c r="C20" s="93">
        <v>0</v>
      </c>
      <c r="D20" s="93">
        <v>12</v>
      </c>
      <c r="E20" s="93">
        <v>0</v>
      </c>
      <c r="F20" s="93">
        <v>10501</v>
      </c>
      <c r="G20" s="93">
        <v>2</v>
      </c>
      <c r="H20" s="93">
        <v>1</v>
      </c>
      <c r="I20" s="93">
        <v>2</v>
      </c>
      <c r="J20" s="93">
        <v>5</v>
      </c>
      <c r="K20" s="93">
        <v>6</v>
      </c>
      <c r="L20" s="93">
        <v>0</v>
      </c>
      <c r="M20" s="93">
        <v>1</v>
      </c>
      <c r="N20" s="93" t="s">
        <v>68</v>
      </c>
      <c r="O20" s="162" t="s">
        <v>58</v>
      </c>
      <c r="P20" s="162"/>
      <c r="Q20" s="94">
        <f>'Necesidades Trimestrales'!J18</f>
        <v>599863.5</v>
      </c>
    </row>
    <row r="21" spans="1:17" ht="17.25" customHeight="1" x14ac:dyDescent="0.25">
      <c r="A21" s="93">
        <v>16</v>
      </c>
      <c r="B21" s="93">
        <v>0</v>
      </c>
      <c r="C21" s="93">
        <v>0</v>
      </c>
      <c r="D21" s="93">
        <v>13</v>
      </c>
      <c r="E21" s="93">
        <v>0</v>
      </c>
      <c r="F21" s="93">
        <v>5601</v>
      </c>
      <c r="G21" s="93">
        <v>2</v>
      </c>
      <c r="H21" s="93">
        <v>1</v>
      </c>
      <c r="I21" s="93">
        <v>2</v>
      </c>
      <c r="J21" s="93">
        <v>5</v>
      </c>
      <c r="K21" s="93">
        <v>6</v>
      </c>
      <c r="L21" s="93">
        <v>0</v>
      </c>
      <c r="M21" s="93">
        <v>1</v>
      </c>
      <c r="N21" s="93" t="s">
        <v>68</v>
      </c>
      <c r="O21" s="162" t="s">
        <v>58</v>
      </c>
      <c r="P21" s="162"/>
      <c r="Q21" s="94">
        <f>'Necesidades Trimestrales'!J20</f>
        <v>599705</v>
      </c>
    </row>
    <row r="22" spans="1:17" ht="17.25" customHeight="1" x14ac:dyDescent="0.25">
      <c r="A22" s="93">
        <v>16</v>
      </c>
      <c r="B22" s="93">
        <v>0</v>
      </c>
      <c r="C22" s="93">
        <v>0</v>
      </c>
      <c r="D22" s="93">
        <v>14</v>
      </c>
      <c r="E22" s="93">
        <v>0</v>
      </c>
      <c r="F22" s="93">
        <v>9101</v>
      </c>
      <c r="G22" s="93">
        <v>2</v>
      </c>
      <c r="H22" s="93">
        <v>1</v>
      </c>
      <c r="I22" s="93">
        <v>2</v>
      </c>
      <c r="J22" s="93">
        <v>5</v>
      </c>
      <c r="K22" s="93">
        <v>6</v>
      </c>
      <c r="L22" s="93">
        <v>0</v>
      </c>
      <c r="M22" s="93">
        <v>1</v>
      </c>
      <c r="N22" s="93" t="s">
        <v>68</v>
      </c>
      <c r="O22" s="162" t="s">
        <v>58</v>
      </c>
      <c r="P22" s="162"/>
      <c r="Q22" s="94">
        <f>'Necesidades Trimestrales'!J22</f>
        <v>599849.29999999993</v>
      </c>
    </row>
    <row r="23" spans="1:17" ht="17.25" customHeight="1" x14ac:dyDescent="0.25">
      <c r="A23" s="93">
        <v>16</v>
      </c>
      <c r="B23" s="93">
        <v>0</v>
      </c>
      <c r="C23" s="93">
        <v>0</v>
      </c>
      <c r="D23" s="93">
        <v>15</v>
      </c>
      <c r="E23" s="93">
        <v>0</v>
      </c>
      <c r="F23" s="93">
        <v>8401</v>
      </c>
      <c r="G23" s="93">
        <v>2</v>
      </c>
      <c r="H23" s="93">
        <v>1</v>
      </c>
      <c r="I23" s="93">
        <v>2</v>
      </c>
      <c r="J23" s="93">
        <v>5</v>
      </c>
      <c r="K23" s="93">
        <v>6</v>
      </c>
      <c r="L23" s="93">
        <v>0</v>
      </c>
      <c r="M23" s="93">
        <v>1</v>
      </c>
      <c r="N23" s="93" t="s">
        <v>68</v>
      </c>
      <c r="O23" s="162" t="s">
        <v>58</v>
      </c>
      <c r="P23" s="162"/>
      <c r="Q23" s="94">
        <f>'Necesidades Trimestrales'!J24</f>
        <v>599790</v>
      </c>
    </row>
    <row r="24" spans="1:17" ht="33.75" customHeight="1" thickBot="1" x14ac:dyDescent="0.3">
      <c r="A24" s="160" t="s">
        <v>122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95">
        <f>SUM(Q15:Q23)</f>
        <v>34476004.299999997</v>
      </c>
    </row>
    <row r="25" spans="1:17" ht="18" customHeight="1" thickBot="1" x14ac:dyDescent="0.3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</row>
    <row r="26" spans="1:17" ht="17.25" customHeight="1" thickBot="1" x14ac:dyDescent="0.3">
      <c r="A26" s="163" t="s">
        <v>51</v>
      </c>
      <c r="B26" s="164"/>
      <c r="C26" s="164"/>
      <c r="D26" s="164"/>
      <c r="E26" s="164"/>
      <c r="F26" s="165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</row>
    <row r="27" spans="1:17" ht="18" customHeight="1" thickBot="1" x14ac:dyDescent="0.3">
      <c r="A27" s="159" t="s">
        <v>66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</row>
    <row r="28" spans="1:17" ht="15" customHeight="1" x14ac:dyDescent="0.25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</row>
  </sheetData>
  <mergeCells count="32">
    <mergeCell ref="O17:P17"/>
    <mergeCell ref="O18:P18"/>
    <mergeCell ref="O20:P20"/>
    <mergeCell ref="O22:P22"/>
    <mergeCell ref="A9:N9"/>
    <mergeCell ref="A10:Q10"/>
    <mergeCell ref="A12:Q12"/>
    <mergeCell ref="A13:N13"/>
    <mergeCell ref="O13:P14"/>
    <mergeCell ref="Q13:Q14"/>
    <mergeCell ref="O15:P15"/>
    <mergeCell ref="O16:P16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27:Q28"/>
    <mergeCell ref="A24:P24"/>
    <mergeCell ref="A25:Q25"/>
    <mergeCell ref="O19:P19"/>
    <mergeCell ref="O21:P21"/>
    <mergeCell ref="O23:P23"/>
    <mergeCell ref="A26:F26"/>
    <mergeCell ref="G26:Q26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AlyVero</dc:creator>
  <cp:lastModifiedBy>ELIAS QUINTAR</cp:lastModifiedBy>
  <cp:revision>2</cp:revision>
  <cp:lastPrinted>2020-10-21T14:31:05Z</cp:lastPrinted>
  <dcterms:created xsi:type="dcterms:W3CDTF">2020-07-17T23:44:49Z</dcterms:created>
  <dcterms:modified xsi:type="dcterms:W3CDTF">2021-08-12T14:20:28Z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