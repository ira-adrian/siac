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9DB6A5C-5991-41C2-8932-84DFC5C4AD3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IMPIEZA NT" sheetId="1" r:id="rId1"/>
    <sheet name="LIMPIEZA NPYE" sheetId="2" r:id="rId2"/>
    <sheet name="LIMPIEZA APG" sheetId="3" r:id="rId3"/>
  </sheets>
  <definedNames>
    <definedName name="_xlnm._FilterDatabase" localSheetId="0" hidden="1">'LIMPIEZA NT'!$A$9:$I$52</definedName>
    <definedName name="_xlnm.Print_Area" localSheetId="2">'LIMPIEZA APG'!$A$1:$Q$29</definedName>
    <definedName name="_xlnm.Print_Area" localSheetId="1">'LIMPIEZA NPYE'!$A$1:$K$55</definedName>
  </definedNames>
  <calcPr calcId="181029"/>
</workbook>
</file>

<file path=xl/calcChain.xml><?xml version="1.0" encoding="utf-8"?>
<calcChain xmlns="http://schemas.openxmlformats.org/spreadsheetml/2006/main">
  <c r="D1" i="3" l="1"/>
  <c r="G7" i="3" l="1"/>
  <c r="K52" i="2" l="1"/>
  <c r="K53" i="2"/>
  <c r="K54" i="2"/>
  <c r="J52" i="2"/>
  <c r="J53" i="2"/>
  <c r="J54" i="2"/>
  <c r="I52" i="2"/>
  <c r="I53" i="2"/>
  <c r="I54" i="2"/>
  <c r="C51" i="2"/>
  <c r="C52" i="2"/>
  <c r="C53" i="2"/>
  <c r="C54" i="2"/>
  <c r="B50" i="2"/>
  <c r="B51" i="2"/>
  <c r="B52" i="2"/>
  <c r="B53" i="2"/>
  <c r="B54" i="2"/>
  <c r="I51" i="1"/>
  <c r="D51" i="1"/>
  <c r="I50" i="1"/>
  <c r="D50" i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I12" i="2"/>
  <c r="J12" i="2" l="1"/>
  <c r="A28" i="3"/>
  <c r="A10" i="3"/>
  <c r="G6" i="3"/>
  <c r="D3" i="2"/>
  <c r="G4" i="3" s="1"/>
  <c r="D4" i="2"/>
  <c r="G5" i="3" s="1"/>
  <c r="D7" i="2"/>
  <c r="K12" i="2"/>
  <c r="B12" i="2"/>
  <c r="C12" i="2"/>
  <c r="Q25" i="3"/>
  <c r="I52" i="1"/>
  <c r="D52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J55" i="2" l="1"/>
</calcChain>
</file>

<file path=xl/sharedStrings.xml><?xml version="1.0" encoding="utf-8"?>
<sst xmlns="http://schemas.openxmlformats.org/spreadsheetml/2006/main" count="470" uniqueCount="212">
  <si>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</si>
  <si>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</si>
  <si>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</si>
  <si>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</si>
  <si>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</si>
  <si>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</si>
  <si>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</si>
  <si>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</si>
  <si>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</si>
  <si>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</si>
  <si>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</si>
  <si>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</si>
  <si>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</si>
  <si>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</si>
  <si>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</si>
  <si>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</si>
  <si>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2.9.1-6951.28</t>
  </si>
  <si>
    <t>ELEMENTOS DE LIMPIEZA</t>
  </si>
  <si>
    <t>LIMPIADORES; TIPO: LAVANDINA, PRESENTACION: ENVASE X 1 L</t>
  </si>
  <si>
    <t>UNIDAD</t>
  </si>
  <si>
    <t>2.9.1-564.23</t>
  </si>
  <si>
    <t>BALDES DE PLASTICO; CAPACIDAD: 12 L, TIPO DE PLASTICO: POLIPROPILENO</t>
  </si>
  <si>
    <t>2.9.1-6951.185</t>
  </si>
  <si>
    <t>LIMPIADORES; TIPO: HIPOCLORITO, PRESENTACION: ENVASE X 5 L</t>
  </si>
  <si>
    <t>2.9.1-6951.290</t>
  </si>
  <si>
    <t>LIMPIADORES; TIPO: DETERGENTE ENZIMATICO, PRESENTACION: ENVASE X 5 L, BIODEGRADABLE: SI</t>
  </si>
  <si>
    <t>2.9.1-6951.157</t>
  </si>
  <si>
    <t>LIMPIADORES; TIPO: DESODORANTE LIQUIDO , PRESENTACION: BIDON X 5 L</t>
  </si>
  <si>
    <t>2.9.1-544.82</t>
  </si>
  <si>
    <t>DESODORANTES DE AMBIENTE; FORMATO: AEROSOL, FRAGANCIA: ORIGINAL, PRESENTACION: ENVASE X 360 CM3, LIBRE DE CFC: SI</t>
  </si>
  <si>
    <t>2.5.4-505.13</t>
  </si>
  <si>
    <t>DESINFECTANTES; CAPACIDAD: 5 L, USO P/CONTROL: BACTERIAS, PRINCIPIO ACTIVO: SAL AMONIO CUATERNARIO, PRESENTACION: ENVASE X 5 L, CONTROL: BACTERIAS</t>
  </si>
  <si>
    <t>2.9.1-4784.54</t>
  </si>
  <si>
    <t>LIMPIADORES MULTIUSO; COMPUESTOS BIODEGRADABLES: SI, PRESENTACION: ENVASE X 5 L, TIPO: SECUESTRANTE D/POLVO P/LAMPAZO</t>
  </si>
  <si>
    <t>2.9.1-6960.20</t>
  </si>
  <si>
    <t>ELEM. LIMPIEZA P/INDUMENTARIA; TIPO: JABON EN POLVO, PRESENTACION: ENVASE X 3 Kg</t>
  </si>
  <si>
    <t>2.9.1-761.7</t>
  </si>
  <si>
    <t>GUANTES P/LIMPIEZA; MATERIAL: LATEX C/FELPA INTERIOR, TAMAÑO: CHICO</t>
  </si>
  <si>
    <t>PAR</t>
  </si>
  <si>
    <t>2.9.1-761.6</t>
  </si>
  <si>
    <t>GUANTES P/LIMPIEZA; TAMAÑO: MEDIANO, MATERIAL: LATEX C/FELPA INTERIOR</t>
  </si>
  <si>
    <t>2.9.1-761.5</t>
  </si>
  <si>
    <t>GUANTES P/LIMPIEZA; TAMAÑO: GRANDE, MATERIAL: LATEX C/FELPA INTERIOR</t>
  </si>
  <si>
    <t>2.9.1-6952.22</t>
  </si>
  <si>
    <t>CEPILLOS; TIPO: ESCOBA REFORZADA, MATERIAL: PAJA</t>
  </si>
  <si>
    <t>2.9.1-6952.29</t>
  </si>
  <si>
    <t>CEPILLOS; TIPO: ESCOBILLA LIMPIA INODORO, MATERIAL: PLASTICO</t>
  </si>
  <si>
    <t>2.9.1-1083.7</t>
  </si>
  <si>
    <t>ESPONJA DE ACERO; CUERPO: ACERO INOXIDABLE, PESO: 20 GR, MATERIAL DEL CUERPO: ACERO INOXIDABLE, MATERIAL: ACERO INOXIDABLE</t>
  </si>
  <si>
    <t>2.9.1-1164.36</t>
  </si>
  <si>
    <t>ESPONJAS; MATERIAL: FIBRA VERDE, USO: COCINA, ADITAMENTO: SIN, FORMA: RECTANGULAR, LARGO X ANCHO X ESP: 22 X 16 mm</t>
  </si>
  <si>
    <t>2.9.1-6960.27</t>
  </si>
  <si>
    <t>ELEM. LIMPIEZA P/INDUMENTARIA; TIPO: JABON EN PAN, PRESENTACION: 200 GR</t>
  </si>
  <si>
    <t>2.9.1-6951.116</t>
  </si>
  <si>
    <t>LIMPIADORES; TIPO: LIMPIAVIDRIOS, PRESENTACION: ENVASE X 5 L</t>
  </si>
  <si>
    <t>2.9.1-6951.80</t>
  </si>
  <si>
    <t>LIMPIADORES; TIPO: QUITASARRO, PRESENTACION: ENVASE X 500 CM3</t>
  </si>
  <si>
    <t>2.1.5-393.13</t>
  </si>
  <si>
    <t>FERRETERIA</t>
  </si>
  <si>
    <t>CABOS DE MADERA; APLICACION: P/ESCOBA, FORMA: RECTO</t>
  </si>
  <si>
    <t>2.9.1-6951.174</t>
  </si>
  <si>
    <t>LIMPIADORES; TIPO: POLVO LIMPIADOR, PRESENTACION: ENVASE X 400 GR</t>
  </si>
  <si>
    <t>2.7.5-1491.5</t>
  </si>
  <si>
    <t>HERRAMIENTAS</t>
  </si>
  <si>
    <t>PULVERIZADORES; MATERIAL: PLASTICO REFORZADO, CAPACIDAD: 1000 CM3, TIPO: MANUAL</t>
  </si>
  <si>
    <t>2.9.1-683.5</t>
  </si>
  <si>
    <t>SECADORES DE GOMA; LARGO: 40 Cm, COLOR: NEGRO</t>
  </si>
  <si>
    <t>2.9.1-683.4</t>
  </si>
  <si>
    <t>SECADORES DE GOMA; LARGO: 80 Cm, COLOR: ROJO</t>
  </si>
  <si>
    <t>2.9.1-6960.1</t>
  </si>
  <si>
    <t>ELEM. LIMPIEZA P/INDUMENTARIA; TIPO: SUAVIZANTE P/ROPA, PRESENTACION: ENVASE X 5 L</t>
  </si>
  <si>
    <t>2.9.1-713.18</t>
  </si>
  <si>
    <t>TRAPOS DE PISO; DIMENSION: 48 X 60 Cm</t>
  </si>
  <si>
    <t>2.9.1-678.7</t>
  </si>
  <si>
    <t>TRAPOS REJILLA; DIMENSION: 40 X 50 Cm, COLOR: SIN VALOR, MATERIAL: ALGODÓN</t>
  </si>
  <si>
    <t>2.9.1-714.5</t>
  </si>
  <si>
    <t>FRANELAS; DIMENSION: 40 X 50 Cm</t>
  </si>
  <si>
    <t>2.9.1-2030.1</t>
  </si>
  <si>
    <t>LANAS DE ACERO; PRESENTACION: PAQUETE, CONTENIDO: MADEJA</t>
  </si>
  <si>
    <t>2.3.4-786.83</t>
  </si>
  <si>
    <t>PAPEL HIGIENICO; PRESENTACION: ENVASE X 6 ROLLOS, TIPO: TISSUE, ANCHO: 9 Cm, LARGO: 300 M, TIPO DE HOJA: SIMPLE</t>
  </si>
  <si>
    <t>2.9.1-646.18</t>
  </si>
  <si>
    <t>BOLSAS DE RESIDUOS; COLOR: OBSCURO, ESPESOR: 40 Mn, DIMENSION: 45 X 60 Cm, PRESENTACION: SIN VALOR</t>
  </si>
  <si>
    <t>2.9.1-646.104</t>
  </si>
  <si>
    <t>BOLSAS DE RESIDUOS; DIMENSION: 60 X 90 Cm, PRESENTACION: ENVASE X 100 UN, ESPESOR: 50 Mn</t>
  </si>
  <si>
    <t>2.9.1-646.21</t>
  </si>
  <si>
    <t>BOLSAS DE RESIDUOS; ESPESOR: 60 Mn, COLOR: TRANSPARENTE, DIMENSION: 45 X 60 Cm, PRESENTACION: SIN VALOR</t>
  </si>
  <si>
    <t>2.5.8-5590.41</t>
  </si>
  <si>
    <t>LIBRERIA,PAP. Y UTILES OFICINA</t>
  </si>
  <si>
    <t>FILMS DE POLIETILENO; ESPESOR: 100 Mn, ANCHO: 2 M, PRESENTACION: ROLLO X 100 M, USO: ALIMENTARIO</t>
  </si>
  <si>
    <t>2.5.8-5590.3</t>
  </si>
  <si>
    <t>FILMS DE POLIETILENO; ESPESOR: 70 Mn, ANCHO: SIN VALOR, PRESENTACION: POR KILOGRAMO, USO: SIN VALOR</t>
  </si>
  <si>
    <t>Especificidades Item N° 1:</t>
  </si>
  <si>
    <t>Descripción técnica</t>
  </si>
  <si>
    <t>AGUA LAVANDINA CONCENTRADA X 55 GRS. DE CLORO ACTIVO EN ENVASE DE 1 LITRO, ETIQUETADO. TIPO: X5.-</t>
  </si>
  <si>
    <t>Plazos y lugares de entrega</t>
  </si>
  <si>
    <t>Calidad Minima esperada</t>
  </si>
  <si>
    <t>Mantenimiento</t>
  </si>
  <si>
    <t>Garantia</t>
  </si>
  <si>
    <t>Especificidades Item N° 3:</t>
  </si>
  <si>
    <t>CERA PARA PISOS COLOR ROJO, ENVASE DE 5 LITROS, ETIQUETADO.-</t>
  </si>
  <si>
    <t>Especificidades Item N° 4:</t>
  </si>
  <si>
    <t>HIPOCLORITO DE SODIO 100 GRS. DE CLORO ACTIVO X LITRO EN ENVASE DE 5 LITROS ETIQUETADO, PRIMERA MARCA.-</t>
  </si>
  <si>
    <t>Especificidades Item N° 5:</t>
  </si>
  <si>
    <t>DETERGENTE BIODEGRADABLE CONCENTRADO 15% DE MATERIA ACTIVA EN ENVASE DE 5 LITROS, ETIQUETADO.-</t>
  </si>
  <si>
    <t>Especificidades Item N° 6:</t>
  </si>
  <si>
    <t>DESODORANTE PARA PISO EN ENVASE DE 5 LITROS. ETIQUETADO. FRAGANCIA LAVANDA. PRIMERA MARCA.-</t>
  </si>
  <si>
    <t>Especificidades Item N° 9:</t>
  </si>
  <si>
    <t>LIQUIDO SECUESTRANTE DE POLVO PARA PISO EN ENVASE DE 5 LITROS. ETIQUETADO. PRIMERA MARCA.</t>
  </si>
  <si>
    <t>Especificidades Item N° 10:</t>
  </si>
  <si>
    <t>JABON EN POLVO BAJA ESPUMA PARA LAVADORA INDUSTRIAL, EN PAQUETE DE 3 KG. SIN SUAVIZANTE.-</t>
  </si>
  <si>
    <t>Especificidades Item N° 11:</t>
  </si>
  <si>
    <t>GUANTE DE LATEX AFELPADO POR DENTRO DE USO DOMESTICO, N°7.-</t>
  </si>
  <si>
    <t>Especificidades Item N° 12:</t>
  </si>
  <si>
    <t>GUANTE DE LÁTEX AFELPADO POR DENTRO DE USO DOMÉSTICO, N°8.-</t>
  </si>
  <si>
    <t>Especificidades Item N° 13:</t>
  </si>
  <si>
    <t>GUANTE DE LÁTEX AFELPADO POR DENTRO DE USO DOMÉSTICO, N°9.-</t>
  </si>
  <si>
    <t>Especificidades Item N° 19:</t>
  </si>
  <si>
    <t>LIQUIDO LIMPIA VIDRIOS, EN ENVASE DE 5 LITROS. ETIQUETADO.-</t>
  </si>
  <si>
    <t>Especificidades Item N° 21:</t>
  </si>
  <si>
    <t>PALO PARA SECADOR DE 1,60 METROS DE LONGITUD SIN FORRAR. PRESENTAR MUESTRA.-</t>
  </si>
  <si>
    <t>Especificidades Item N° 24:</t>
  </si>
  <si>
    <t>SECADOR DE GOMA REFORZADO CON ALMA DE HIERRO DE 40 CM. DE LONGITUD.-</t>
  </si>
  <si>
    <t>Especificidades Item N° 25:</t>
  </si>
  <si>
    <t>SECADOR DE GOMA COLOR ROJO REFORZADO CON ALMA DE HIERRO DE 80 CM. DE LONGITUD.-</t>
  </si>
  <si>
    <t>Especificidades Item N° 27:</t>
  </si>
  <si>
    <t>TRAPO DE PISO DE 48 X 60 CM. 90% DE ALGODÓN, PRIMERA MARCA.-</t>
  </si>
  <si>
    <t>Especificidades Item N° 32:</t>
  </si>
  <si>
    <t>BOLSA CON FUELLE PARA RESIDUOS DE 60 X 45 CM. DE 40 MICRONES, COLOR NEGRO DE BAJA DENSIDAD EN PAQUETES DE 100 UNIDADES. NO DE ARRASTRE.-</t>
  </si>
  <si>
    <t>Especificidades Item N° 33:</t>
  </si>
  <si>
    <t>Especificidades Item N° 34:</t>
  </si>
  <si>
    <t>Especificidades Item N° 35:</t>
  </si>
  <si>
    <t>Especificidades Item N° 36:</t>
  </si>
  <si>
    <t>NYLON CRISTAL DE 1 MTS DOBLE ANCHO DE 100 MICRONES. EN ROLLO DE 100 MTS DE LONGITUD.-</t>
  </si>
  <si>
    <t>Especificidades Item N° 37:</t>
  </si>
  <si>
    <t>Especificidades Item N° 38:</t>
  </si>
  <si>
    <t>Especificidades Item N° 39:</t>
  </si>
  <si>
    <t>Especificidades Item N° 40: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</si>
  <si>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</si>
  <si>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</si>
  <si>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</si>
  <si>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</si>
  <si>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</si>
  <si>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</si>
  <si>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</si>
  <si>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</si>
  <si>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Adquisición de Elementos de Limpieza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</si>
  <si>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</si>
  <si>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</si>
  <si>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</si>
  <si>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</si>
  <si>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</si>
  <si>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</si>
  <si>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</si>
  <si>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</si>
  <si>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</si>
  <si>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</si>
  <si>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</si>
  <si>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</si>
  <si>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</si>
  <si>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</si>
  <si>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</si>
  <si>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</si>
  <si>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</si>
  <si>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</si>
  <si>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</si>
  <si>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</si>
  <si>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</si>
  <si>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</si>
  <si>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</si>
  <si>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</si>
  <si>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</si>
  <si>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</si>
  <si>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</si>
  <si>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</si>
  <si>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</si>
  <si>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</si>
  <si>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</si>
  <si>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Madera, corcho y sus manufact.</t>
  </si>
  <si>
    <t>Productos de Papel y Cartón</t>
  </si>
  <si>
    <t>Insecticidas, Fumigantes y Otros</t>
  </si>
  <si>
    <t>Productos de Material Plástico</t>
  </si>
  <si>
    <t>Herramientas Menores</t>
  </si>
  <si>
    <t>Elementos de Limpieza</t>
  </si>
  <si>
    <t>JUSTIFICACIÓN:</t>
  </si>
  <si>
    <t>BOLSAS DE RESIDUOS PATOLOGICOS; COLOR: ROJO, MEDIDA: 50 X 70 Cm, ESPESOR: 120 Mn, TIPO: PARA INCINERACION</t>
  </si>
  <si>
    <t>PROD. MEDICO/FARMACEUTICOS/LAB</t>
  </si>
  <si>
    <t>2.9.5-4558.7</t>
  </si>
  <si>
    <t>Mantenimiento de Oferta: 30 dias hábiles.</t>
  </si>
  <si>
    <t>BOLSA DE CONSORCIO CON FUELLE PARA RESIDUOS DE 90 X 60 CM DE 40 MICRONES, COLOR NEGRO DE BAJA DENSIDAD. NO DE ARRASTRE.-</t>
  </si>
  <si>
    <t>BOLSA DE CONSORCIO CON FUELLE PARA RESIDUOS DE 90 X 60 CM. DE 40 MICRONES, COLOR VERDE DE BAJA DENSIDAD. NO DE ARRASTRE.-</t>
  </si>
  <si>
    <t>BOLSA CRISTAL CON FUELLE PARA RESIDUOS DE 45 X 60 CM. DE 40 MICRONES, EN PAQUETES DE 20 UNIDADES, BAJA DENSIDAD, MATERIAL VIRGEN, NO DE ARRASTRE.-</t>
  </si>
  <si>
    <t>POLIETILENO DE 25 CM DE ANCHO X 70 MICRONES DE ESPESOR</t>
  </si>
  <si>
    <t>POLIETILENO DE 30 CM DE ANCHO X 70 MICRONES DE ESPESOR</t>
  </si>
  <si>
    <t>POLIETILENO DE 35 CM DE ANCHO X 70 MICRONES DE ESPESOR</t>
  </si>
  <si>
    <t>POLIETILENO DE 40 CM DE ANCHO X 70 MICRONES DE ESPESOR</t>
  </si>
  <si>
    <t>LUSTRADORES; TIPO: CERA DE LUSTRAR LIQUIDA, PRESENTACION: ENVASE X 5 L</t>
  </si>
  <si>
    <t>2.9.1-6950.8</t>
  </si>
  <si>
    <t>KG</t>
  </si>
  <si>
    <t>2.3.4-783.49</t>
  </si>
  <si>
    <t>TOALLAS DE PAPEL; MATERIAL: PAPEL TISUE, GRAMAJE: 42 GR/M2, DIMENSION: 0,19 X 300 M, PRESENTACION: ROLLO</t>
  </si>
  <si>
    <t>2.3.4-783.90</t>
  </si>
  <si>
    <t>PRODUCTOS DE PAPEL Y CARTON</t>
  </si>
  <si>
    <t>TOALLAS DE PAPEL; MATERIAL: PAPEL ABSORBENTE, GRAMAJE: 35 GR, DIMENSION: 20 X 24 Cm, PRESENTACION: ENVASE X 2500 HOJAS</t>
  </si>
  <si>
    <t>CAJA</t>
  </si>
  <si>
    <t>Costo total estimado: un millon novecientos sesenta y ocho mil setecientos ochenta y nueve con 55/100.-----------------</t>
  </si>
  <si>
    <t>Plazo de Entrega: 10 dias - Lugar de Entrega: Servicio de Deposito Central - Av. Illia Esq. Mariano Moreno</t>
  </si>
  <si>
    <t>009/2021</t>
  </si>
  <si>
    <t>Servicio de Depósito Central y Servicio Control de Infecciones</t>
  </si>
  <si>
    <t>TOTAL DE PESOS: UN MILLON NOVECIENTOS SESENTA Y OCHO MIL SETECIENTOS OCHENTA Y NUEVE CON 55/100.-</t>
  </si>
  <si>
    <t>Utiles Menores Medicos, Quirurgicos y de Laboratorio</t>
  </si>
  <si>
    <t>237 - Direccion de Mantenimiento / 168 - Direccion Asistencial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</si>
</sst>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9" x14ac:knownFonts="1">
    <font>
      <sz val="12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sz val="14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Border="0" applyProtection="0"/>
    <xf numFmtId="0" fontId="1" fillId="0" borderId="0"/>
    <xf numFmtId="0" fontId="12" fillId="0" borderId="10" applyProtection="0"/>
    <xf numFmtId="166" fontId="13" fillId="0" borderId="0" applyBorder="0" applyProtection="0"/>
    <xf numFmtId="0" fontId="14" fillId="5" borderId="0" applyBorder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2" applyFont="1"/>
    <xf numFmtId="0" fontId="6" fillId="0" borderId="0" xfId="2" applyFont="1" applyAlignment="1">
      <alignment horizontal="left" wrapText="1"/>
    </xf>
    <xf numFmtId="0" fontId="6" fillId="0" borderId="0" xfId="2" applyFont="1" applyAlignment="1">
      <alignment horizontal="center" wrapText="1"/>
    </xf>
    <xf numFmtId="0" fontId="5" fillId="2" borderId="0" xfId="2" applyFont="1" applyFill="1" applyAlignment="1">
      <alignment horizontal="left" wrapText="1" indent="1"/>
    </xf>
    <xf numFmtId="0" fontId="7" fillId="3" borderId="0" xfId="2" applyFont="1" applyFill="1" applyAlignment="1">
      <alignment horizontal="left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Fill="1" applyBorder="1" applyAlignment="1">
      <alignment vertical="center" wrapText="1"/>
    </xf>
    <xf numFmtId="0" fontId="11" fillId="0" borderId="2" xfId="2" applyFont="1" applyBorder="1"/>
    <xf numFmtId="0" fontId="2" fillId="0" borderId="3" xfId="2" applyFont="1" applyBorder="1"/>
    <xf numFmtId="0" fontId="2" fillId="0" borderId="4" xfId="2" applyFont="1" applyBorder="1"/>
    <xf numFmtId="0" fontId="2" fillId="0" borderId="5" xfId="2" applyFont="1" applyBorder="1"/>
    <xf numFmtId="0" fontId="2" fillId="0" borderId="0" xfId="2" applyFont="1" applyBorder="1"/>
    <xf numFmtId="0" fontId="2" fillId="0" borderId="6" xfId="2" applyFont="1" applyBorder="1"/>
    <xf numFmtId="0" fontId="11" fillId="0" borderId="5" xfId="2" applyFont="1" applyBorder="1" applyAlignment="1">
      <alignment horizontal="left" indent="3"/>
    </xf>
    <xf numFmtId="0" fontId="2" fillId="0" borderId="5" xfId="2" applyFont="1" applyBorder="1" applyAlignment="1">
      <alignment horizontal="left" indent="3"/>
    </xf>
    <xf numFmtId="0" fontId="2" fillId="0" borderId="0" xfId="2" applyFont="1" applyBorder="1" applyAlignment="1">
      <alignment horizontal="center" wrapText="1"/>
    </xf>
    <xf numFmtId="0" fontId="2" fillId="0" borderId="6" xfId="2" applyFont="1" applyBorder="1" applyAlignment="1">
      <alignment horizontal="center" wrapText="1"/>
    </xf>
    <xf numFmtId="0" fontId="2" fillId="0" borderId="7" xfId="2" applyFont="1" applyBorder="1" applyAlignment="1">
      <alignment horizontal="left" indent="3"/>
    </xf>
    <xf numFmtId="0" fontId="2" fillId="0" borderId="8" xfId="2" applyFont="1" applyBorder="1"/>
    <xf numFmtId="0" fontId="2" fillId="0" borderId="9" xfId="2" applyFont="1" applyBorder="1"/>
    <xf numFmtId="0" fontId="15" fillId="0" borderId="11" xfId="2" applyFont="1" applyBorder="1" applyAlignment="1">
      <alignment horizontal="right" vertical="center"/>
    </xf>
    <xf numFmtId="0" fontId="16" fillId="2" borderId="12" xfId="2" applyFont="1" applyFill="1" applyBorder="1" applyAlignment="1">
      <alignment horizontal="center" vertical="center"/>
    </xf>
    <xf numFmtId="0" fontId="13" fillId="0" borderId="0" xfId="2" applyFont="1" applyBorder="1" applyAlignment="1">
      <alignment vertical="center"/>
    </xf>
    <xf numFmtId="0" fontId="15" fillId="0" borderId="13" xfId="2" applyFont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0" fontId="16" fillId="0" borderId="0" xfId="2" applyFont="1" applyBorder="1" applyAlignment="1">
      <alignment horizontal="left" vertical="center" wrapText="1" indent="1"/>
    </xf>
    <xf numFmtId="0" fontId="19" fillId="0" borderId="19" xfId="2" applyFont="1" applyBorder="1" applyAlignment="1">
      <alignment horizontal="center" vertical="center"/>
    </xf>
    <xf numFmtId="0" fontId="19" fillId="3" borderId="19" xfId="2" applyFont="1" applyFill="1" applyBorder="1" applyAlignment="1">
      <alignment horizontal="left" vertical="center"/>
    </xf>
    <xf numFmtId="0" fontId="19" fillId="2" borderId="19" xfId="2" applyFont="1" applyFill="1" applyBorder="1" applyAlignment="1">
      <alignment horizontal="center" vertical="center"/>
    </xf>
    <xf numFmtId="0" fontId="19" fillId="3" borderId="19" xfId="2" applyFont="1" applyFill="1" applyBorder="1" applyAlignment="1">
      <alignment horizontal="center" vertical="center" wrapText="1"/>
    </xf>
    <xf numFmtId="165" fontId="19" fillId="3" borderId="19" xfId="1" applyNumberFormat="1" applyFont="1" applyFill="1" applyBorder="1" applyAlignment="1" applyProtection="1">
      <alignment horizontal="right" vertical="center" wrapText="1"/>
    </xf>
    <xf numFmtId="3" fontId="19" fillId="3" borderId="19" xfId="2" applyNumberFormat="1" applyFont="1" applyFill="1" applyBorder="1" applyAlignment="1">
      <alignment horizontal="center" vertical="center"/>
    </xf>
    <xf numFmtId="0" fontId="1" fillId="0" borderId="0" xfId="2"/>
    <xf numFmtId="0" fontId="13" fillId="0" borderId="0" xfId="2" quotePrefix="1" applyFont="1" applyBorder="1" applyAlignment="1">
      <alignment vertical="center"/>
    </xf>
    <xf numFmtId="3" fontId="20" fillId="0" borderId="0" xfId="2" applyNumberFormat="1" applyFont="1" applyBorder="1" applyAlignment="1"/>
    <xf numFmtId="168" fontId="1" fillId="0" borderId="0" xfId="2" applyNumberFormat="1" applyAlignment="1">
      <alignment horizontal="left"/>
    </xf>
    <xf numFmtId="0" fontId="1" fillId="0" borderId="0" xfId="2" applyAlignment="1">
      <alignment horizontal="left"/>
    </xf>
    <xf numFmtId="0" fontId="13" fillId="0" borderId="0" xfId="2" applyFont="1"/>
    <xf numFmtId="0" fontId="1" fillId="0" borderId="0" xfId="2" applyBorder="1"/>
    <xf numFmtId="0" fontId="1" fillId="0" borderId="11" xfId="2" applyBorder="1"/>
    <xf numFmtId="0" fontId="1" fillId="0" borderId="26" xfId="2" applyBorder="1"/>
    <xf numFmtId="0" fontId="1" fillId="0" borderId="13" xfId="2" applyBorder="1"/>
    <xf numFmtId="0" fontId="1" fillId="0" borderId="13" xfId="2" applyBorder="1" applyAlignment="1">
      <alignment horizontal="left"/>
    </xf>
    <xf numFmtId="0" fontId="1" fillId="0" borderId="27" xfId="2" applyBorder="1"/>
    <xf numFmtId="0" fontId="24" fillId="0" borderId="30" xfId="2" applyFont="1" applyBorder="1" applyAlignment="1">
      <alignment horizontal="center" vertical="center"/>
    </xf>
    <xf numFmtId="0" fontId="24" fillId="0" borderId="31" xfId="2" applyFont="1" applyBorder="1" applyAlignment="1">
      <alignment horizontal="center" vertical="center"/>
    </xf>
    <xf numFmtId="0" fontId="24" fillId="0" borderId="31" xfId="2" applyFont="1" applyBorder="1" applyAlignment="1">
      <alignment horizontal="left" vertical="center"/>
    </xf>
    <xf numFmtId="0" fontId="24" fillId="0" borderId="32" xfId="2" applyFont="1" applyBorder="1" applyAlignment="1">
      <alignment horizontal="center" vertical="center"/>
    </xf>
    <xf numFmtId="0" fontId="24" fillId="0" borderId="25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1" fillId="0" borderId="34" xfId="2" applyFont="1" applyBorder="1" applyAlignment="1">
      <alignment horizontal="center" vertical="center"/>
    </xf>
    <xf numFmtId="165" fontId="1" fillId="0" borderId="35" xfId="4" applyNumberFormat="1" applyFont="1" applyBorder="1" applyAlignment="1" applyProtection="1">
      <alignment horizontal="center" vertical="center"/>
    </xf>
    <xf numFmtId="0" fontId="1" fillId="2" borderId="33" xfId="2" applyFont="1" applyFill="1" applyBorder="1" applyAlignment="1">
      <alignment horizontal="center" vertical="center"/>
    </xf>
    <xf numFmtId="0" fontId="1" fillId="2" borderId="34" xfId="2" applyFont="1" applyFill="1" applyBorder="1" applyAlignment="1">
      <alignment horizontal="center" vertical="center"/>
    </xf>
    <xf numFmtId="0" fontId="1" fillId="3" borderId="34" xfId="2" applyFont="1" applyFill="1" applyBorder="1" applyAlignment="1">
      <alignment horizontal="center" vertical="center"/>
    </xf>
    <xf numFmtId="0" fontId="22" fillId="0" borderId="36" xfId="2" applyFont="1" applyBorder="1" applyAlignment="1">
      <alignment horizontal="center" vertical="center"/>
    </xf>
    <xf numFmtId="0" fontId="22" fillId="0" borderId="37" xfId="2" applyFont="1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22" fillId="0" borderId="38" xfId="2" applyFont="1" applyBorder="1" applyAlignment="1">
      <alignment horizontal="center" vertical="center"/>
    </xf>
    <xf numFmtId="0" fontId="22" fillId="0" borderId="34" xfId="2" applyFont="1" applyBorder="1" applyAlignment="1">
      <alignment horizontal="center" vertical="center"/>
    </xf>
    <xf numFmtId="165" fontId="0" fillId="0" borderId="35" xfId="4" applyNumberFormat="1" applyFont="1" applyBorder="1" applyAlignment="1" applyProtection="1">
      <alignment horizontal="center" vertical="center"/>
    </xf>
    <xf numFmtId="0" fontId="22" fillId="0" borderId="30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1" fillId="0" borderId="39" xfId="2" applyBorder="1" applyAlignment="1">
      <alignment horizontal="center" vertical="center"/>
    </xf>
    <xf numFmtId="0" fontId="22" fillId="0" borderId="32" xfId="2" applyFont="1" applyBorder="1" applyAlignment="1">
      <alignment horizontal="center" vertical="center"/>
    </xf>
    <xf numFmtId="0" fontId="22" fillId="0" borderId="39" xfId="2" applyFont="1" applyBorder="1" applyAlignment="1">
      <alignment horizontal="center" vertical="center"/>
    </xf>
    <xf numFmtId="165" fontId="0" fillId="0" borderId="42" xfId="4" applyNumberFormat="1" applyFont="1" applyBorder="1" applyAlignment="1" applyProtection="1">
      <alignment horizontal="center" vertical="center"/>
    </xf>
    <xf numFmtId="0" fontId="1" fillId="0" borderId="43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45" xfId="2" applyBorder="1" applyAlignment="1">
      <alignment horizontal="center" vertical="center"/>
    </xf>
    <xf numFmtId="165" fontId="0" fillId="0" borderId="46" xfId="4" applyNumberFormat="1" applyFont="1" applyBorder="1" applyAlignment="1" applyProtection="1">
      <alignment horizontal="center" vertical="center"/>
    </xf>
    <xf numFmtId="165" fontId="24" fillId="0" borderId="47" xfId="2" applyNumberFormat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1" fillId="0" borderId="34" xfId="2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27" fillId="2" borderId="1" xfId="2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165" fontId="28" fillId="2" borderId="1" xfId="1" applyNumberFormat="1" applyFont="1" applyFill="1" applyBorder="1" applyAlignment="1" applyProtection="1">
      <alignment horizontal="center" vertical="center" wrapText="1"/>
    </xf>
    <xf numFmtId="165" fontId="28" fillId="3" borderId="19" xfId="1" applyNumberFormat="1" applyFont="1" applyFill="1" applyBorder="1" applyAlignment="1" applyProtection="1">
      <alignment horizontal="center" vertical="center" wrapText="1"/>
    </xf>
    <xf numFmtId="165" fontId="28" fillId="3" borderId="1" xfId="1" applyNumberFormat="1" applyFont="1" applyFill="1" applyBorder="1" applyAlignment="1" applyProtection="1">
      <alignment horizontal="center" vertical="center" wrapText="1"/>
    </xf>
    <xf numFmtId="0" fontId="2" fillId="4" borderId="6" xfId="2" applyFont="1" applyFill="1" applyBorder="1" applyAlignment="1">
      <alignment horizontal="center" wrapText="1"/>
    </xf>
    <xf numFmtId="0" fontId="2" fillId="2" borderId="6" xfId="2" applyFont="1" applyFill="1" applyBorder="1" applyAlignment="1">
      <alignment horizontal="left" wrapText="1"/>
    </xf>
    <xf numFmtId="0" fontId="2" fillId="4" borderId="6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left"/>
    </xf>
    <xf numFmtId="0" fontId="4" fillId="0" borderId="0" xfId="2" applyFont="1" applyBorder="1" applyAlignment="1">
      <alignment horizontal="left" vertical="center" wrapText="1"/>
    </xf>
    <xf numFmtId="0" fontId="3" fillId="0" borderId="0" xfId="2" applyFont="1" applyBorder="1" applyAlignment="1">
      <alignment horizontal="center"/>
    </xf>
    <xf numFmtId="0" fontId="5" fillId="2" borderId="0" xfId="2" applyFont="1" applyFill="1" applyBorder="1" applyAlignment="1">
      <alignment horizontal="left" wrapText="1" indent="1"/>
    </xf>
    <xf numFmtId="0" fontId="26" fillId="0" borderId="49" xfId="2" applyFont="1" applyBorder="1" applyAlignment="1">
      <alignment horizontal="left" vertical="center"/>
    </xf>
    <xf numFmtId="0" fontId="16" fillId="0" borderId="1" xfId="2" applyFont="1" applyBorder="1" applyAlignment="1">
      <alignment horizontal="left" vertical="center" wrapText="1" indent="1"/>
    </xf>
    <xf numFmtId="167" fontId="17" fillId="0" borderId="1" xfId="2" applyNumberFormat="1" applyFont="1" applyBorder="1" applyAlignment="1">
      <alignment horizontal="center" vertical="center"/>
    </xf>
    <xf numFmtId="0" fontId="19" fillId="3" borderId="19" xfId="2" applyFont="1" applyFill="1" applyBorder="1" applyAlignment="1">
      <alignment horizontal="left" vertical="center" wrapText="1"/>
    </xf>
    <xf numFmtId="0" fontId="18" fillId="0" borderId="18" xfId="2" applyFont="1" applyBorder="1" applyAlignment="1">
      <alignment horizontal="center" vertical="center" wrapText="1"/>
    </xf>
    <xf numFmtId="0" fontId="18" fillId="0" borderId="17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left" vertical="center" wrapText="1"/>
    </xf>
    <xf numFmtId="0" fontId="16" fillId="3" borderId="1" xfId="2" applyFont="1" applyFill="1" applyBorder="1" applyAlignment="1">
      <alignment horizontal="left" vertical="center" wrapText="1" indent="1"/>
    </xf>
    <xf numFmtId="0" fontId="15" fillId="0" borderId="0" xfId="2" applyFont="1" applyBorder="1" applyAlignment="1">
      <alignment horizontal="center" vertical="center"/>
    </xf>
    <xf numFmtId="0" fontId="17" fillId="0" borderId="14" xfId="2" applyFont="1" applyBorder="1" applyAlignment="1">
      <alignment horizontal="left" vertical="center" wrapText="1"/>
    </xf>
    <xf numFmtId="0" fontId="17" fillId="0" borderId="16" xfId="2" applyFont="1" applyBorder="1" applyAlignment="1">
      <alignment horizontal="left" vertical="center"/>
    </xf>
    <xf numFmtId="0" fontId="16" fillId="2" borderId="17" xfId="2" applyFont="1" applyFill="1" applyBorder="1" applyAlignment="1">
      <alignment horizontal="left" vertical="center" wrapText="1" indent="1"/>
    </xf>
    <xf numFmtId="0" fontId="18" fillId="0" borderId="16" xfId="2" applyFont="1" applyBorder="1" applyAlignment="1">
      <alignment horizontal="center" vertical="center"/>
    </xf>
    <xf numFmtId="0" fontId="22" fillId="2" borderId="47" xfId="2" applyFont="1" applyFill="1" applyBorder="1" applyAlignment="1">
      <alignment horizontal="left" vertical="center" wrapText="1" indent="1"/>
    </xf>
    <xf numFmtId="0" fontId="1" fillId="0" borderId="34" xfId="2" applyBorder="1" applyAlignment="1">
      <alignment horizontal="left" vertical="center"/>
    </xf>
    <xf numFmtId="0" fontId="1" fillId="0" borderId="40" xfId="2" applyBorder="1" applyAlignment="1">
      <alignment horizontal="center" vertical="center"/>
    </xf>
    <xf numFmtId="0" fontId="1" fillId="0" borderId="41" xfId="2" applyBorder="1" applyAlignment="1">
      <alignment horizontal="center" vertical="center"/>
    </xf>
    <xf numFmtId="0" fontId="1" fillId="0" borderId="44" xfId="2" applyBorder="1" applyAlignment="1">
      <alignment horizontal="left" vertical="center"/>
    </xf>
    <xf numFmtId="0" fontId="25" fillId="0" borderId="47" xfId="2" applyFont="1" applyBorder="1" applyAlignment="1">
      <alignment horizontal="left" vertical="center" wrapText="1"/>
    </xf>
    <xf numFmtId="0" fontId="1" fillId="0" borderId="28" xfId="2" applyBorder="1"/>
    <xf numFmtId="0" fontId="20" fillId="0" borderId="20" xfId="2" applyFont="1" applyBorder="1" applyAlignment="1">
      <alignment vertical="center" wrapText="1"/>
    </xf>
    <xf numFmtId="0" fontId="20" fillId="0" borderId="48" xfId="2" applyFont="1" applyBorder="1" applyAlignment="1">
      <alignment vertical="center" wrapText="1"/>
    </xf>
    <xf numFmtId="0" fontId="20" fillId="0" borderId="17" xfId="2" applyFont="1" applyBorder="1" applyAlignment="1">
      <alignment vertical="center" wrapText="1"/>
    </xf>
    <xf numFmtId="0" fontId="22" fillId="0" borderId="29" xfId="2" applyFont="1" applyBorder="1" applyAlignment="1">
      <alignment vertical="center" wrapText="1"/>
    </xf>
    <xf numFmtId="0" fontId="1" fillId="0" borderId="34" xfId="2" applyFont="1" applyBorder="1" applyAlignment="1">
      <alignment horizontal="left" vertical="center" wrapText="1"/>
    </xf>
    <xf numFmtId="0" fontId="22" fillId="0" borderId="25" xfId="2" applyFont="1" applyBorder="1" applyAlignment="1">
      <alignment horizontal="left" vertical="center" wrapText="1" indent="1"/>
    </xf>
    <xf numFmtId="0" fontId="24" fillId="0" borderId="28" xfId="2" applyFont="1" applyBorder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/>
    </xf>
    <xf numFmtId="0" fontId="1" fillId="0" borderId="34" xfId="2" applyFont="1" applyBorder="1" applyAlignment="1">
      <alignment horizontal="left" vertical="center"/>
    </xf>
    <xf numFmtId="0" fontId="22" fillId="0" borderId="24" xfId="2" applyFont="1" applyBorder="1"/>
    <xf numFmtId="0" fontId="1" fillId="0" borderId="20" xfId="2" applyFont="1" applyBorder="1" applyAlignment="1">
      <alignment horizontal="center"/>
    </xf>
    <xf numFmtId="3" fontId="20" fillId="0" borderId="21" xfId="2" applyNumberFormat="1" applyFont="1" applyBorder="1" applyAlignment="1">
      <alignment horizontal="center"/>
    </xf>
    <xf numFmtId="0" fontId="21" fillId="0" borderId="12" xfId="2" applyFont="1" applyBorder="1" applyAlignment="1">
      <alignment horizontal="center" vertical="center" wrapText="1"/>
    </xf>
    <xf numFmtId="0" fontId="13" fillId="0" borderId="12" xfId="2" applyFont="1" applyBorder="1"/>
    <xf numFmtId="0" fontId="22" fillId="0" borderId="12" xfId="2" applyFont="1" applyBorder="1" applyAlignment="1">
      <alignment horizontal="left" indent="1"/>
    </xf>
    <xf numFmtId="0" fontId="19" fillId="0" borderId="14" xfId="2" applyFont="1" applyBorder="1" applyAlignment="1">
      <alignment horizontal="left" vertical="center" wrapText="1"/>
    </xf>
    <xf numFmtId="0" fontId="19" fillId="0" borderId="22" xfId="2" applyFont="1" applyBorder="1" applyAlignment="1">
      <alignment horizontal="left" vertical="center" wrapText="1"/>
    </xf>
    <xf numFmtId="0" fontId="19" fillId="0" borderId="23" xfId="2" applyFont="1" applyBorder="1" applyAlignment="1">
      <alignment horizontal="left" vertical="center" wrapText="1"/>
    </xf>
    <xf numFmtId="0" fontId="23" fillId="0" borderId="12" xfId="2" applyFont="1" applyBorder="1" applyAlignment="1">
      <alignment horizontal="left"/>
    </xf>
  </cellXfs>
  <cellStyles count="9">
    <cellStyle name="Encabezado 1" xfId="3" xr:uid="{00000000-0005-0000-0000-000000000000}"/>
    <cellStyle name="Moneda" xfId="1" builtinId="4"/>
    <cellStyle name="Moneda_AUTORIZACION Y NOTA DE PEDIDO" xfId="4" xr:uid="{00000000-0005-0000-0000-000002000000}"/>
    <cellStyle name="Neutral 1" xfId="5" xr:uid="{00000000-0005-0000-0000-000003000000}"/>
    <cellStyle name="Normal" xfId="0" builtinId="0"/>
    <cellStyle name="Normal 2" xfId="2" xr:uid="{00000000-0005-0000-0000-000005000000}"/>
    <cellStyle name="Normal 3" xfId="6" xr:uid="{00000000-0005-0000-0000-000006000000}"/>
    <cellStyle name="Normal 4" xfId="7" xr:uid="{00000000-0005-0000-0000-000007000000}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17"/>
  <sheetViews>
    <sheetView tabSelected="1" zoomScale="85" zoomScaleNormal="85" workbookViewId="0">
      <selection activeCell="E10" sqref="E10"/>
    </sheetView>
  </sheetViews>
  <sheetFormatPr baseColWidth="10" defaultColWidth="9.875" defaultRowHeight="12.75" x14ac:dyDescent="0.2"/>
  <cols>
    <col min="1" max="1" width="4.125" style="1" customWidth="1"/>
    <col min="2" max="2" width="11.625" style="1" customWidth="1"/>
    <col min="3" max="3" width="29.25" style="1" customWidth="1"/>
    <col min="4" max="4" width="7.625" style="1" customWidth="1"/>
    <col min="5" max="5" width="71.125" style="1" customWidth="1"/>
    <col min="6" max="6" width="9.875" style="1"/>
    <col min="7" max="7" width="11.375" style="1" customWidth="1"/>
    <col min="8" max="8" width="12.5" style="1" customWidth="1"/>
    <col min="9" max="9" width="16.75" style="1" customWidth="1"/>
    <col min="10" max="16384" width="9.875" style="1"/>
  </cols>
  <sheetData>
    <row r="2" spans="1:9" ht="27" x14ac:dyDescent="0.35">
      <c r="B2" s="95" t="s">
        <v>0</v>
      </c>
      <c r="C2" s="95"/>
      <c r="D2" s="95"/>
      <c r="E2" s="95"/>
      <c r="F2" s="95"/>
      <c r="G2" s="95"/>
      <c r="H2" s="95"/>
    </row>
    <row r="4" spans="1:9" ht="18" customHeight="1" x14ac:dyDescent="0.25">
      <c r="A4" s="94" t="s">
        <v>1</v>
      </c>
      <c r="B4" s="94"/>
      <c r="C4" s="96" t="s">
        <v>2</v>
      </c>
      <c r="D4" s="96"/>
      <c r="E4" s="96"/>
      <c r="F4" s="2"/>
      <c r="G4" s="3"/>
      <c r="H4" s="2"/>
    </row>
    <row r="5" spans="1:9" ht="18" customHeight="1" x14ac:dyDescent="0.25">
      <c r="A5" s="94" t="s">
        <v>3</v>
      </c>
      <c r="B5" s="94"/>
      <c r="C5" s="96" t="s">
        <v>4</v>
      </c>
      <c r="D5" s="96"/>
      <c r="E5" s="96"/>
      <c r="F5" s="2"/>
      <c r="G5" s="3"/>
      <c r="H5" s="2"/>
    </row>
    <row r="6" spans="1:9" ht="16.5" customHeight="1" x14ac:dyDescent="0.25">
      <c r="A6" s="94" t="s">
        <v>5</v>
      </c>
      <c r="B6" s="94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94" t="s">
        <v>6</v>
      </c>
      <c r="B7" s="94"/>
      <c r="C7" s="4">
        <v>2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52.5" customHeight="1" thickBot="1" x14ac:dyDescent="0.25">
      <c r="A10" s="7">
        <v>1</v>
      </c>
      <c r="B10" s="8" t="s">
        <v>16</v>
      </c>
      <c r="C10" s="9" t="s">
        <v>17</v>
      </c>
      <c r="D10" s="10" t="str">
        <f>LEFT(B10,5)</f>
        <v>2.9.1</v>
      </c>
      <c r="E10" s="11" t="s">
        <v>18</v>
      </c>
      <c r="F10" s="84" t="s">
        <v>19</v>
      </c>
      <c r="G10" s="84">
        <v>300</v>
      </c>
      <c r="H10" s="87">
        <v>76.5</v>
      </c>
      <c r="I10" s="86">
        <f t="shared" ref="I10:I52" si="0">G10*H10</f>
        <v>22950</v>
      </c>
    </row>
    <row r="11" spans="1:9" ht="52.5" customHeight="1" thickBot="1" x14ac:dyDescent="0.25">
      <c r="A11" s="7">
        <v>2</v>
      </c>
      <c r="B11" s="8" t="s">
        <v>20</v>
      </c>
      <c r="C11" s="9" t="s">
        <v>17</v>
      </c>
      <c r="D11" s="10" t="str">
        <f t="shared" ref="D11:D52" si="1">LEFT(B11,5)</f>
        <v>2.9.1</v>
      </c>
      <c r="E11" s="11" t="s">
        <v>21</v>
      </c>
      <c r="F11" s="84" t="s">
        <v>19</v>
      </c>
      <c r="G11" s="84">
        <v>50</v>
      </c>
      <c r="H11" s="87">
        <v>284</v>
      </c>
      <c r="I11" s="86">
        <f t="shared" si="0"/>
        <v>14200</v>
      </c>
    </row>
    <row r="12" spans="1:9" ht="52.5" customHeight="1" thickBot="1" x14ac:dyDescent="0.25">
      <c r="A12" s="7">
        <v>3</v>
      </c>
      <c r="B12" s="8" t="s">
        <v>197</v>
      </c>
      <c r="C12" s="9" t="s">
        <v>17</v>
      </c>
      <c r="D12" s="10" t="str">
        <f t="shared" si="1"/>
        <v>2.9.1</v>
      </c>
      <c r="E12" s="11" t="s">
        <v>196</v>
      </c>
      <c r="F12" s="84" t="s">
        <v>19</v>
      </c>
      <c r="G12" s="84">
        <v>50</v>
      </c>
      <c r="H12" s="87">
        <v>740</v>
      </c>
      <c r="I12" s="86">
        <f t="shared" si="0"/>
        <v>37000</v>
      </c>
    </row>
    <row r="13" spans="1:9" ht="52.5" customHeight="1" thickBot="1" x14ac:dyDescent="0.25">
      <c r="A13" s="7">
        <v>4</v>
      </c>
      <c r="B13" s="8" t="s">
        <v>22</v>
      </c>
      <c r="C13" s="9" t="s">
        <v>17</v>
      </c>
      <c r="D13" s="10" t="str">
        <f t="shared" si="1"/>
        <v>2.9.1</v>
      </c>
      <c r="E13" s="11" t="s">
        <v>23</v>
      </c>
      <c r="F13" s="84" t="s">
        <v>19</v>
      </c>
      <c r="G13" s="84">
        <v>200</v>
      </c>
      <c r="H13" s="87">
        <v>330</v>
      </c>
      <c r="I13" s="86">
        <f t="shared" si="0"/>
        <v>66000</v>
      </c>
    </row>
    <row r="14" spans="1:9" ht="52.5" customHeight="1" thickBot="1" x14ac:dyDescent="0.25">
      <c r="A14" s="7">
        <v>5</v>
      </c>
      <c r="B14" s="8" t="s">
        <v>24</v>
      </c>
      <c r="C14" s="9" t="s">
        <v>17</v>
      </c>
      <c r="D14" s="10" t="str">
        <f t="shared" si="1"/>
        <v>2.9.1</v>
      </c>
      <c r="E14" s="11" t="s">
        <v>25</v>
      </c>
      <c r="F14" s="84" t="s">
        <v>19</v>
      </c>
      <c r="G14" s="84">
        <v>60</v>
      </c>
      <c r="H14" s="87">
        <v>435</v>
      </c>
      <c r="I14" s="86">
        <f t="shared" si="0"/>
        <v>26100</v>
      </c>
    </row>
    <row r="15" spans="1:9" ht="52.5" customHeight="1" thickBot="1" x14ac:dyDescent="0.25">
      <c r="A15" s="7">
        <v>6</v>
      </c>
      <c r="B15" s="8" t="s">
        <v>26</v>
      </c>
      <c r="C15" s="9" t="s">
        <v>17</v>
      </c>
      <c r="D15" s="10" t="str">
        <f t="shared" si="1"/>
        <v>2.9.1</v>
      </c>
      <c r="E15" s="11" t="s">
        <v>27</v>
      </c>
      <c r="F15" s="84" t="s">
        <v>19</v>
      </c>
      <c r="G15" s="84">
        <v>720</v>
      </c>
      <c r="H15" s="87">
        <v>210</v>
      </c>
      <c r="I15" s="86">
        <f t="shared" si="0"/>
        <v>151200</v>
      </c>
    </row>
    <row r="16" spans="1:9" ht="52.5" customHeight="1" thickBot="1" x14ac:dyDescent="0.25">
      <c r="A16" s="7">
        <v>7</v>
      </c>
      <c r="B16" s="8" t="s">
        <v>28</v>
      </c>
      <c r="C16" s="9" t="s">
        <v>17</v>
      </c>
      <c r="D16" s="10" t="str">
        <f t="shared" si="1"/>
        <v>2.9.1</v>
      </c>
      <c r="E16" s="11" t="s">
        <v>29</v>
      </c>
      <c r="F16" s="84" t="s">
        <v>19</v>
      </c>
      <c r="G16" s="84">
        <v>120</v>
      </c>
      <c r="H16" s="87">
        <v>150</v>
      </c>
      <c r="I16" s="86">
        <f t="shared" si="0"/>
        <v>18000</v>
      </c>
    </row>
    <row r="17" spans="1:9" ht="52.5" customHeight="1" thickBot="1" x14ac:dyDescent="0.25">
      <c r="A17" s="7">
        <v>8</v>
      </c>
      <c r="B17" s="8" t="s">
        <v>30</v>
      </c>
      <c r="C17" s="9" t="s">
        <v>17</v>
      </c>
      <c r="D17" s="10" t="str">
        <f t="shared" si="1"/>
        <v>2.5.4</v>
      </c>
      <c r="E17" s="11" t="s">
        <v>31</v>
      </c>
      <c r="F17" s="84" t="s">
        <v>19</v>
      </c>
      <c r="G17" s="84">
        <v>70</v>
      </c>
      <c r="H17" s="87">
        <v>1100</v>
      </c>
      <c r="I17" s="86">
        <f t="shared" si="0"/>
        <v>77000</v>
      </c>
    </row>
    <row r="18" spans="1:9" ht="52.5" customHeight="1" thickBot="1" x14ac:dyDescent="0.25">
      <c r="A18" s="7">
        <v>9</v>
      </c>
      <c r="B18" s="8" t="s">
        <v>32</v>
      </c>
      <c r="C18" s="9" t="s">
        <v>17</v>
      </c>
      <c r="D18" s="10" t="str">
        <f t="shared" si="1"/>
        <v>2.9.1</v>
      </c>
      <c r="E18" s="11" t="s">
        <v>33</v>
      </c>
      <c r="F18" s="84" t="s">
        <v>19</v>
      </c>
      <c r="G18" s="84">
        <v>15</v>
      </c>
      <c r="H18" s="87">
        <v>1995</v>
      </c>
      <c r="I18" s="86">
        <f t="shared" si="0"/>
        <v>29925</v>
      </c>
    </row>
    <row r="19" spans="1:9" ht="52.5" customHeight="1" thickBot="1" x14ac:dyDescent="0.25">
      <c r="A19" s="7">
        <v>10</v>
      </c>
      <c r="B19" s="8" t="s">
        <v>34</v>
      </c>
      <c r="C19" s="9" t="s">
        <v>17</v>
      </c>
      <c r="D19" s="10" t="str">
        <f t="shared" si="1"/>
        <v>2.9.1</v>
      </c>
      <c r="E19" s="11" t="s">
        <v>35</v>
      </c>
      <c r="F19" s="84" t="s">
        <v>19</v>
      </c>
      <c r="G19" s="84">
        <v>200</v>
      </c>
      <c r="H19" s="87">
        <v>435</v>
      </c>
      <c r="I19" s="86">
        <f t="shared" si="0"/>
        <v>87000</v>
      </c>
    </row>
    <row r="20" spans="1:9" ht="52.5" customHeight="1" thickBot="1" x14ac:dyDescent="0.25">
      <c r="A20" s="7">
        <v>11</v>
      </c>
      <c r="B20" s="8" t="s">
        <v>36</v>
      </c>
      <c r="C20" s="9" t="s">
        <v>17</v>
      </c>
      <c r="D20" s="10" t="str">
        <f t="shared" si="1"/>
        <v>2.9.1</v>
      </c>
      <c r="E20" s="11" t="s">
        <v>37</v>
      </c>
      <c r="F20" s="84" t="s">
        <v>38</v>
      </c>
      <c r="G20" s="84">
        <v>180</v>
      </c>
      <c r="H20" s="87">
        <v>175</v>
      </c>
      <c r="I20" s="86">
        <f t="shared" si="0"/>
        <v>31500</v>
      </c>
    </row>
    <row r="21" spans="1:9" ht="52.5" customHeight="1" thickBot="1" x14ac:dyDescent="0.25">
      <c r="A21" s="7">
        <v>12</v>
      </c>
      <c r="B21" s="8" t="s">
        <v>39</v>
      </c>
      <c r="C21" s="9" t="s">
        <v>17</v>
      </c>
      <c r="D21" s="10" t="str">
        <f t="shared" si="1"/>
        <v>2.9.1</v>
      </c>
      <c r="E21" s="11" t="s">
        <v>40</v>
      </c>
      <c r="F21" s="84" t="s">
        <v>38</v>
      </c>
      <c r="G21" s="84">
        <v>150</v>
      </c>
      <c r="H21" s="87">
        <v>175</v>
      </c>
      <c r="I21" s="86">
        <f t="shared" si="0"/>
        <v>26250</v>
      </c>
    </row>
    <row r="22" spans="1:9" ht="52.5" customHeight="1" thickBot="1" x14ac:dyDescent="0.25">
      <c r="A22" s="7">
        <v>13</v>
      </c>
      <c r="B22" s="8" t="s">
        <v>41</v>
      </c>
      <c r="C22" s="9" t="s">
        <v>17</v>
      </c>
      <c r="D22" s="10" t="str">
        <f t="shared" si="1"/>
        <v>2.9.1</v>
      </c>
      <c r="E22" s="11" t="s">
        <v>42</v>
      </c>
      <c r="F22" s="84" t="s">
        <v>38</v>
      </c>
      <c r="G22" s="84">
        <v>100</v>
      </c>
      <c r="H22" s="87">
        <v>175</v>
      </c>
      <c r="I22" s="86">
        <f t="shared" si="0"/>
        <v>17500</v>
      </c>
    </row>
    <row r="23" spans="1:9" ht="52.5" customHeight="1" thickBot="1" x14ac:dyDescent="0.25">
      <c r="A23" s="7">
        <v>14</v>
      </c>
      <c r="B23" s="8" t="s">
        <v>43</v>
      </c>
      <c r="C23" s="9" t="s">
        <v>17</v>
      </c>
      <c r="D23" s="10" t="str">
        <f t="shared" si="1"/>
        <v>2.9.1</v>
      </c>
      <c r="E23" s="11" t="s">
        <v>44</v>
      </c>
      <c r="F23" s="84" t="s">
        <v>19</v>
      </c>
      <c r="G23" s="84">
        <v>70</v>
      </c>
      <c r="H23" s="87">
        <v>330</v>
      </c>
      <c r="I23" s="86">
        <f t="shared" si="0"/>
        <v>23100</v>
      </c>
    </row>
    <row r="24" spans="1:9" ht="52.5" customHeight="1" thickBot="1" x14ac:dyDescent="0.25">
      <c r="A24" s="7">
        <v>15</v>
      </c>
      <c r="B24" s="8" t="s">
        <v>45</v>
      </c>
      <c r="C24" s="9" t="s">
        <v>17</v>
      </c>
      <c r="D24" s="10" t="str">
        <f t="shared" si="1"/>
        <v>2.9.1</v>
      </c>
      <c r="E24" s="11" t="s">
        <v>46</v>
      </c>
      <c r="F24" s="84" t="s">
        <v>19</v>
      </c>
      <c r="G24" s="84">
        <v>120</v>
      </c>
      <c r="H24" s="87">
        <v>195</v>
      </c>
      <c r="I24" s="86">
        <f t="shared" si="0"/>
        <v>23400</v>
      </c>
    </row>
    <row r="25" spans="1:9" ht="52.5" customHeight="1" thickBot="1" x14ac:dyDescent="0.25">
      <c r="A25" s="7">
        <v>16</v>
      </c>
      <c r="B25" s="8" t="s">
        <v>47</v>
      </c>
      <c r="C25" s="9" t="s">
        <v>17</v>
      </c>
      <c r="D25" s="10" t="str">
        <f t="shared" si="1"/>
        <v>2.9.1</v>
      </c>
      <c r="E25" s="11" t="s">
        <v>48</v>
      </c>
      <c r="F25" s="84" t="s">
        <v>19</v>
      </c>
      <c r="G25" s="84">
        <v>200</v>
      </c>
      <c r="H25" s="87">
        <v>38</v>
      </c>
      <c r="I25" s="86">
        <f t="shared" si="0"/>
        <v>7600</v>
      </c>
    </row>
    <row r="26" spans="1:9" ht="52.5" customHeight="1" thickBot="1" x14ac:dyDescent="0.25">
      <c r="A26" s="7">
        <v>17</v>
      </c>
      <c r="B26" s="8" t="s">
        <v>49</v>
      </c>
      <c r="C26" s="9" t="s">
        <v>17</v>
      </c>
      <c r="D26" s="10" t="str">
        <f t="shared" si="1"/>
        <v>2.9.1</v>
      </c>
      <c r="E26" s="11" t="s">
        <v>50</v>
      </c>
      <c r="F26" s="84" t="s">
        <v>19</v>
      </c>
      <c r="G26" s="84">
        <v>150</v>
      </c>
      <c r="H26" s="87">
        <v>120</v>
      </c>
      <c r="I26" s="86">
        <f t="shared" si="0"/>
        <v>18000</v>
      </c>
    </row>
    <row r="27" spans="1:9" ht="52.5" customHeight="1" thickBot="1" x14ac:dyDescent="0.25">
      <c r="A27" s="7">
        <v>18</v>
      </c>
      <c r="B27" s="8" t="s">
        <v>51</v>
      </c>
      <c r="C27" s="9" t="s">
        <v>17</v>
      </c>
      <c r="D27" s="10" t="str">
        <f t="shared" si="1"/>
        <v>2.9.1</v>
      </c>
      <c r="E27" s="11" t="s">
        <v>52</v>
      </c>
      <c r="F27" s="84" t="s">
        <v>19</v>
      </c>
      <c r="G27" s="84">
        <v>75</v>
      </c>
      <c r="H27" s="87">
        <v>46.5</v>
      </c>
      <c r="I27" s="86">
        <f t="shared" si="0"/>
        <v>3487.5</v>
      </c>
    </row>
    <row r="28" spans="1:9" ht="52.5" customHeight="1" thickBot="1" x14ac:dyDescent="0.25">
      <c r="A28" s="7">
        <v>19</v>
      </c>
      <c r="B28" s="8" t="s">
        <v>53</v>
      </c>
      <c r="C28" s="9" t="s">
        <v>17</v>
      </c>
      <c r="D28" s="10" t="str">
        <f t="shared" si="1"/>
        <v>2.9.1</v>
      </c>
      <c r="E28" s="11" t="s">
        <v>54</v>
      </c>
      <c r="F28" s="84" t="s">
        <v>19</v>
      </c>
      <c r="G28" s="84">
        <v>15</v>
      </c>
      <c r="H28" s="87">
        <v>435</v>
      </c>
      <c r="I28" s="86">
        <f t="shared" si="0"/>
        <v>6525</v>
      </c>
    </row>
    <row r="29" spans="1:9" ht="52.5" customHeight="1" thickBot="1" x14ac:dyDescent="0.25">
      <c r="A29" s="7">
        <v>20</v>
      </c>
      <c r="B29" s="8" t="s">
        <v>55</v>
      </c>
      <c r="C29" s="9" t="s">
        <v>17</v>
      </c>
      <c r="D29" s="10" t="str">
        <f t="shared" si="1"/>
        <v>2.9.1</v>
      </c>
      <c r="E29" s="11" t="s">
        <v>56</v>
      </c>
      <c r="F29" s="84" t="s">
        <v>19</v>
      </c>
      <c r="G29" s="84">
        <v>30</v>
      </c>
      <c r="H29" s="87">
        <v>82.5</v>
      </c>
      <c r="I29" s="86">
        <f t="shared" si="0"/>
        <v>2475</v>
      </c>
    </row>
    <row r="30" spans="1:9" ht="52.5" customHeight="1" thickBot="1" x14ac:dyDescent="0.25">
      <c r="A30" s="7">
        <v>21</v>
      </c>
      <c r="B30" s="8" t="s">
        <v>57</v>
      </c>
      <c r="C30" s="9" t="s">
        <v>58</v>
      </c>
      <c r="D30" s="10" t="str">
        <f t="shared" si="1"/>
        <v>2.1.5</v>
      </c>
      <c r="E30" s="11" t="s">
        <v>59</v>
      </c>
      <c r="F30" s="84" t="s">
        <v>19</v>
      </c>
      <c r="G30" s="84">
        <v>120</v>
      </c>
      <c r="H30" s="87">
        <v>63</v>
      </c>
      <c r="I30" s="86">
        <f t="shared" si="0"/>
        <v>7560</v>
      </c>
    </row>
    <row r="31" spans="1:9" ht="52.5" customHeight="1" thickBot="1" x14ac:dyDescent="0.25">
      <c r="A31" s="7">
        <v>22</v>
      </c>
      <c r="B31" s="8" t="s">
        <v>60</v>
      </c>
      <c r="C31" s="9" t="s">
        <v>17</v>
      </c>
      <c r="D31" s="10" t="str">
        <f t="shared" si="1"/>
        <v>2.9.1</v>
      </c>
      <c r="E31" s="11" t="s">
        <v>61</v>
      </c>
      <c r="F31" s="84" t="s">
        <v>19</v>
      </c>
      <c r="G31" s="84">
        <v>100</v>
      </c>
      <c r="H31" s="87">
        <v>300</v>
      </c>
      <c r="I31" s="86">
        <f t="shared" si="0"/>
        <v>30000</v>
      </c>
    </row>
    <row r="32" spans="1:9" ht="52.5" customHeight="1" thickBot="1" x14ac:dyDescent="0.25">
      <c r="A32" s="7">
        <v>23</v>
      </c>
      <c r="B32" s="8" t="s">
        <v>62</v>
      </c>
      <c r="C32" s="9" t="s">
        <v>63</v>
      </c>
      <c r="D32" s="10" t="str">
        <f t="shared" si="1"/>
        <v>2.7.5</v>
      </c>
      <c r="E32" s="11" t="s">
        <v>64</v>
      </c>
      <c r="F32" s="84" t="s">
        <v>19</v>
      </c>
      <c r="G32" s="84">
        <v>150</v>
      </c>
      <c r="H32" s="87">
        <v>260</v>
      </c>
      <c r="I32" s="86">
        <f t="shared" si="0"/>
        <v>39000</v>
      </c>
    </row>
    <row r="33" spans="1:9" ht="52.5" customHeight="1" thickBot="1" x14ac:dyDescent="0.25">
      <c r="A33" s="7">
        <v>24</v>
      </c>
      <c r="B33" s="8" t="s">
        <v>65</v>
      </c>
      <c r="C33" s="9" t="s">
        <v>17</v>
      </c>
      <c r="D33" s="10" t="str">
        <f t="shared" si="1"/>
        <v>2.9.1</v>
      </c>
      <c r="E33" s="11" t="s">
        <v>66</v>
      </c>
      <c r="F33" s="84" t="s">
        <v>19</v>
      </c>
      <c r="G33" s="84">
        <v>180</v>
      </c>
      <c r="H33" s="87">
        <v>147</v>
      </c>
      <c r="I33" s="86">
        <f t="shared" si="0"/>
        <v>26460</v>
      </c>
    </row>
    <row r="34" spans="1:9" ht="52.5" customHeight="1" thickBot="1" x14ac:dyDescent="0.25">
      <c r="A34" s="7">
        <v>25</v>
      </c>
      <c r="B34" s="8" t="s">
        <v>67</v>
      </c>
      <c r="C34" s="9" t="s">
        <v>17</v>
      </c>
      <c r="D34" s="10" t="str">
        <f t="shared" si="1"/>
        <v>2.9.1</v>
      </c>
      <c r="E34" s="11" t="s">
        <v>68</v>
      </c>
      <c r="F34" s="84" t="s">
        <v>19</v>
      </c>
      <c r="G34" s="84">
        <v>30</v>
      </c>
      <c r="H34" s="87">
        <v>433.5</v>
      </c>
      <c r="I34" s="86">
        <f t="shared" si="0"/>
        <v>13005</v>
      </c>
    </row>
    <row r="35" spans="1:9" ht="52.5" customHeight="1" thickBot="1" x14ac:dyDescent="0.25">
      <c r="A35" s="7">
        <v>26</v>
      </c>
      <c r="B35" s="8" t="s">
        <v>69</v>
      </c>
      <c r="C35" s="9" t="s">
        <v>17</v>
      </c>
      <c r="D35" s="10" t="str">
        <f t="shared" si="1"/>
        <v>2.9.1</v>
      </c>
      <c r="E35" s="11" t="s">
        <v>70</v>
      </c>
      <c r="F35" s="84" t="s">
        <v>19</v>
      </c>
      <c r="G35" s="84">
        <v>40</v>
      </c>
      <c r="H35" s="87">
        <v>315</v>
      </c>
      <c r="I35" s="86">
        <f t="shared" si="0"/>
        <v>12600</v>
      </c>
    </row>
    <row r="36" spans="1:9" ht="52.5" customHeight="1" thickBot="1" x14ac:dyDescent="0.25">
      <c r="A36" s="7">
        <v>27</v>
      </c>
      <c r="B36" s="8" t="s">
        <v>71</v>
      </c>
      <c r="C36" s="9" t="s">
        <v>17</v>
      </c>
      <c r="D36" s="10" t="str">
        <f t="shared" si="1"/>
        <v>2.9.1</v>
      </c>
      <c r="E36" s="11" t="s">
        <v>72</v>
      </c>
      <c r="F36" s="84" t="s">
        <v>19</v>
      </c>
      <c r="G36" s="84">
        <v>300</v>
      </c>
      <c r="H36" s="87">
        <v>73.5</v>
      </c>
      <c r="I36" s="86">
        <f t="shared" si="0"/>
        <v>22050</v>
      </c>
    </row>
    <row r="37" spans="1:9" ht="52.5" customHeight="1" thickBot="1" x14ac:dyDescent="0.25">
      <c r="A37" s="7">
        <v>28</v>
      </c>
      <c r="B37" s="8" t="s">
        <v>73</v>
      </c>
      <c r="C37" s="9" t="s">
        <v>17</v>
      </c>
      <c r="D37" s="10" t="str">
        <f t="shared" si="1"/>
        <v>2.9.1</v>
      </c>
      <c r="E37" s="11" t="s">
        <v>74</v>
      </c>
      <c r="F37" s="84" t="s">
        <v>19</v>
      </c>
      <c r="G37" s="84">
        <v>300</v>
      </c>
      <c r="H37" s="87">
        <v>42</v>
      </c>
      <c r="I37" s="86">
        <f t="shared" si="0"/>
        <v>12600</v>
      </c>
    </row>
    <row r="38" spans="1:9" ht="52.5" customHeight="1" thickBot="1" x14ac:dyDescent="0.25">
      <c r="A38" s="7">
        <v>29</v>
      </c>
      <c r="B38" s="8" t="s">
        <v>75</v>
      </c>
      <c r="C38" s="9" t="s">
        <v>17</v>
      </c>
      <c r="D38" s="10" t="str">
        <f t="shared" si="1"/>
        <v>2.9.1</v>
      </c>
      <c r="E38" s="11" t="s">
        <v>76</v>
      </c>
      <c r="F38" s="84" t="s">
        <v>19</v>
      </c>
      <c r="G38" s="84">
        <v>200</v>
      </c>
      <c r="H38" s="87">
        <v>76.5</v>
      </c>
      <c r="I38" s="86">
        <f t="shared" si="0"/>
        <v>15300</v>
      </c>
    </row>
    <row r="39" spans="1:9" ht="52.5" customHeight="1" thickBot="1" x14ac:dyDescent="0.25">
      <c r="A39" s="7">
        <v>30</v>
      </c>
      <c r="B39" s="8" t="s">
        <v>77</v>
      </c>
      <c r="C39" s="9" t="s">
        <v>17</v>
      </c>
      <c r="D39" s="10" t="str">
        <f t="shared" si="1"/>
        <v>2.9.1</v>
      </c>
      <c r="E39" s="11" t="s">
        <v>78</v>
      </c>
      <c r="F39" s="84" t="s">
        <v>19</v>
      </c>
      <c r="G39" s="84">
        <v>300</v>
      </c>
      <c r="H39" s="87">
        <v>46.5</v>
      </c>
      <c r="I39" s="86">
        <f t="shared" si="0"/>
        <v>13950</v>
      </c>
    </row>
    <row r="40" spans="1:9" ht="52.5" customHeight="1" thickBot="1" x14ac:dyDescent="0.25">
      <c r="A40" s="7">
        <v>31</v>
      </c>
      <c r="B40" s="8" t="s">
        <v>79</v>
      </c>
      <c r="C40" s="9" t="s">
        <v>17</v>
      </c>
      <c r="D40" s="10" t="str">
        <f t="shared" si="1"/>
        <v>2.3.4</v>
      </c>
      <c r="E40" s="11" t="s">
        <v>80</v>
      </c>
      <c r="F40" s="84" t="s">
        <v>19</v>
      </c>
      <c r="G40" s="84">
        <v>150</v>
      </c>
      <c r="H40" s="87">
        <v>630</v>
      </c>
      <c r="I40" s="86">
        <f t="shared" si="0"/>
        <v>94500</v>
      </c>
    </row>
    <row r="41" spans="1:9" ht="52.5" customHeight="1" thickBot="1" x14ac:dyDescent="0.25">
      <c r="A41" s="7">
        <v>32</v>
      </c>
      <c r="B41" s="8" t="s">
        <v>81</v>
      </c>
      <c r="C41" s="9" t="s">
        <v>17</v>
      </c>
      <c r="D41" s="10" t="str">
        <f t="shared" si="1"/>
        <v>2.9.1</v>
      </c>
      <c r="E41" s="11" t="s">
        <v>82</v>
      </c>
      <c r="F41" s="84" t="s">
        <v>19</v>
      </c>
      <c r="G41" s="84">
        <v>18000</v>
      </c>
      <c r="H41" s="87">
        <v>3.45</v>
      </c>
      <c r="I41" s="86">
        <f t="shared" si="0"/>
        <v>62100</v>
      </c>
    </row>
    <row r="42" spans="1:9" ht="52.5" customHeight="1" thickBot="1" x14ac:dyDescent="0.25">
      <c r="A42" s="7">
        <v>33</v>
      </c>
      <c r="B42" s="8" t="s">
        <v>83</v>
      </c>
      <c r="C42" s="9" t="s">
        <v>17</v>
      </c>
      <c r="D42" s="10" t="str">
        <f t="shared" si="1"/>
        <v>2.9.1</v>
      </c>
      <c r="E42" s="11" t="s">
        <v>84</v>
      </c>
      <c r="F42" s="84" t="s">
        <v>19</v>
      </c>
      <c r="G42" s="84">
        <v>130</v>
      </c>
      <c r="H42" s="87">
        <v>900</v>
      </c>
      <c r="I42" s="86">
        <f t="shared" si="0"/>
        <v>117000</v>
      </c>
    </row>
    <row r="43" spans="1:9" ht="52.5" customHeight="1" thickBot="1" x14ac:dyDescent="0.25">
      <c r="A43" s="7">
        <v>34</v>
      </c>
      <c r="B43" s="8" t="s">
        <v>83</v>
      </c>
      <c r="C43" s="9" t="s">
        <v>17</v>
      </c>
      <c r="D43" s="10" t="str">
        <f t="shared" si="1"/>
        <v>2.9.1</v>
      </c>
      <c r="E43" s="11" t="s">
        <v>84</v>
      </c>
      <c r="F43" s="84" t="s">
        <v>19</v>
      </c>
      <c r="G43" s="84">
        <v>45</v>
      </c>
      <c r="H43" s="87">
        <v>950</v>
      </c>
      <c r="I43" s="86">
        <f t="shared" si="0"/>
        <v>42750</v>
      </c>
    </row>
    <row r="44" spans="1:9" ht="52.5" customHeight="1" thickBot="1" x14ac:dyDescent="0.25">
      <c r="A44" s="7">
        <v>35</v>
      </c>
      <c r="B44" s="8" t="s">
        <v>85</v>
      </c>
      <c r="C44" s="9" t="s">
        <v>17</v>
      </c>
      <c r="D44" s="10" t="str">
        <f t="shared" si="1"/>
        <v>2.9.1</v>
      </c>
      <c r="E44" s="11" t="s">
        <v>86</v>
      </c>
      <c r="F44" s="84" t="s">
        <v>19</v>
      </c>
      <c r="G44" s="84">
        <v>5000</v>
      </c>
      <c r="H44" s="87">
        <v>9.5</v>
      </c>
      <c r="I44" s="86">
        <f t="shared" si="0"/>
        <v>47500</v>
      </c>
    </row>
    <row r="45" spans="1:9" ht="52.5" customHeight="1" thickBot="1" x14ac:dyDescent="0.25">
      <c r="A45" s="7">
        <v>36</v>
      </c>
      <c r="B45" s="8" t="s">
        <v>87</v>
      </c>
      <c r="C45" s="9" t="s">
        <v>88</v>
      </c>
      <c r="D45" s="10" t="str">
        <f t="shared" si="1"/>
        <v>2.5.8</v>
      </c>
      <c r="E45" s="11" t="s">
        <v>89</v>
      </c>
      <c r="F45" s="84" t="s">
        <v>19</v>
      </c>
      <c r="G45" s="84">
        <v>2</v>
      </c>
      <c r="H45" s="87">
        <v>16801</v>
      </c>
      <c r="I45" s="86">
        <f t="shared" si="0"/>
        <v>33602</v>
      </c>
    </row>
    <row r="46" spans="1:9" ht="52.5" customHeight="1" thickBot="1" x14ac:dyDescent="0.25">
      <c r="A46" s="7">
        <v>37</v>
      </c>
      <c r="B46" s="8" t="s">
        <v>90</v>
      </c>
      <c r="C46" s="9" t="s">
        <v>88</v>
      </c>
      <c r="D46" s="10" t="str">
        <f t="shared" si="1"/>
        <v>2.5.8</v>
      </c>
      <c r="E46" s="11" t="s">
        <v>91</v>
      </c>
      <c r="F46" s="84" t="s">
        <v>198</v>
      </c>
      <c r="G46" s="84">
        <v>30</v>
      </c>
      <c r="H46" s="87">
        <v>2151.5</v>
      </c>
      <c r="I46" s="86">
        <f t="shared" si="0"/>
        <v>64545</v>
      </c>
    </row>
    <row r="47" spans="1:9" ht="52.5" customHeight="1" thickBot="1" x14ac:dyDescent="0.25">
      <c r="A47" s="7">
        <v>38</v>
      </c>
      <c r="B47" s="8" t="s">
        <v>90</v>
      </c>
      <c r="C47" s="9" t="s">
        <v>88</v>
      </c>
      <c r="D47" s="10" t="str">
        <f t="shared" si="1"/>
        <v>2.5.8</v>
      </c>
      <c r="E47" s="11" t="s">
        <v>91</v>
      </c>
      <c r="F47" s="84" t="s">
        <v>198</v>
      </c>
      <c r="G47" s="84">
        <v>20</v>
      </c>
      <c r="H47" s="87">
        <v>3125</v>
      </c>
      <c r="I47" s="86">
        <f t="shared" si="0"/>
        <v>62500</v>
      </c>
    </row>
    <row r="48" spans="1:9" ht="52.5" customHeight="1" thickBot="1" x14ac:dyDescent="0.25">
      <c r="A48" s="7">
        <v>39</v>
      </c>
      <c r="B48" s="8" t="s">
        <v>90</v>
      </c>
      <c r="C48" s="9" t="s">
        <v>88</v>
      </c>
      <c r="D48" s="10" t="str">
        <f t="shared" si="1"/>
        <v>2.5.8</v>
      </c>
      <c r="E48" s="11" t="s">
        <v>91</v>
      </c>
      <c r="F48" s="84" t="s">
        <v>198</v>
      </c>
      <c r="G48" s="84">
        <v>45</v>
      </c>
      <c r="H48" s="87">
        <v>2366.67</v>
      </c>
      <c r="I48" s="86">
        <f t="shared" si="0"/>
        <v>106500.15000000001</v>
      </c>
    </row>
    <row r="49" spans="1:9" ht="52.5" customHeight="1" thickBot="1" x14ac:dyDescent="0.25">
      <c r="A49" s="7">
        <v>40</v>
      </c>
      <c r="B49" s="8" t="s">
        <v>90</v>
      </c>
      <c r="C49" s="9" t="s">
        <v>88</v>
      </c>
      <c r="D49" s="10" t="str">
        <f t="shared" si="1"/>
        <v>2.5.8</v>
      </c>
      <c r="E49" s="11" t="s">
        <v>91</v>
      </c>
      <c r="F49" s="84" t="s">
        <v>198</v>
      </c>
      <c r="G49" s="84">
        <v>30</v>
      </c>
      <c r="H49" s="87">
        <v>2886.33</v>
      </c>
      <c r="I49" s="86">
        <f t="shared" si="0"/>
        <v>86589.9</v>
      </c>
    </row>
    <row r="50" spans="1:9" ht="52.5" customHeight="1" thickBot="1" x14ac:dyDescent="0.25">
      <c r="A50" s="7">
        <v>41</v>
      </c>
      <c r="B50" s="80" t="s">
        <v>199</v>
      </c>
      <c r="C50" s="81" t="s">
        <v>17</v>
      </c>
      <c r="D50" s="82" t="str">
        <f t="shared" si="1"/>
        <v>2.3.4</v>
      </c>
      <c r="E50" s="83" t="s">
        <v>200</v>
      </c>
      <c r="F50" s="85" t="s">
        <v>19</v>
      </c>
      <c r="G50" s="85">
        <v>100</v>
      </c>
      <c r="H50" s="86">
        <v>1100</v>
      </c>
      <c r="I50" s="86">
        <f t="shared" si="0"/>
        <v>110000</v>
      </c>
    </row>
    <row r="51" spans="1:9" ht="40.9" customHeight="1" thickBot="1" x14ac:dyDescent="0.25">
      <c r="A51" s="7">
        <v>42</v>
      </c>
      <c r="B51" s="80" t="s">
        <v>201</v>
      </c>
      <c r="C51" s="81" t="s">
        <v>202</v>
      </c>
      <c r="D51" s="82" t="str">
        <f t="shared" si="1"/>
        <v>2.3.4</v>
      </c>
      <c r="E51" s="83" t="s">
        <v>203</v>
      </c>
      <c r="F51" s="85" t="s">
        <v>204</v>
      </c>
      <c r="G51" s="85">
        <v>142</v>
      </c>
      <c r="H51" s="86">
        <v>1600</v>
      </c>
      <c r="I51" s="86">
        <f t="shared" si="0"/>
        <v>227200</v>
      </c>
    </row>
    <row r="52" spans="1:9" ht="40.9" customHeight="1" thickBot="1" x14ac:dyDescent="0.25">
      <c r="A52" s="7">
        <v>43</v>
      </c>
      <c r="B52" s="8" t="s">
        <v>187</v>
      </c>
      <c r="C52" s="9" t="s">
        <v>186</v>
      </c>
      <c r="D52" s="10" t="str">
        <f t="shared" si="1"/>
        <v>2.9.5</v>
      </c>
      <c r="E52" s="11" t="s">
        <v>185</v>
      </c>
      <c r="F52" s="84" t="s">
        <v>19</v>
      </c>
      <c r="G52" s="84">
        <v>4500</v>
      </c>
      <c r="H52" s="88">
        <v>7.17</v>
      </c>
      <c r="I52" s="86">
        <f t="shared" si="0"/>
        <v>32265</v>
      </c>
    </row>
    <row r="53" spans="1:9" s="78" customFormat="1" ht="26.45" customHeight="1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s="78" customFormat="1" ht="26.45" customHeight="1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8.75" x14ac:dyDescent="0.2">
      <c r="A55" s="78"/>
      <c r="B55" s="97" t="s">
        <v>206</v>
      </c>
      <c r="C55" s="97"/>
      <c r="D55" s="97"/>
      <c r="E55" s="97"/>
      <c r="F55" s="78"/>
      <c r="G55" s="78"/>
      <c r="H55" s="78"/>
      <c r="I55" s="78"/>
    </row>
    <row r="56" spans="1:9" ht="18.75" x14ac:dyDescent="0.2">
      <c r="A56" s="78"/>
      <c r="B56" s="97" t="s">
        <v>188</v>
      </c>
      <c r="C56" s="97"/>
      <c r="D56" s="97"/>
      <c r="E56" s="97"/>
      <c r="F56" s="78"/>
      <c r="G56" s="78"/>
      <c r="H56" s="78"/>
      <c r="I56" s="78"/>
    </row>
    <row r="58" spans="1:9" ht="5.25" customHeight="1" thickBot="1" x14ac:dyDescent="0.25"/>
    <row r="59" spans="1:9" x14ac:dyDescent="0.2">
      <c r="B59" s="12" t="s">
        <v>92</v>
      </c>
      <c r="C59" s="13"/>
      <c r="D59" s="13"/>
      <c r="E59" s="14"/>
    </row>
    <row r="60" spans="1:9" ht="41.25" customHeight="1" x14ac:dyDescent="0.2">
      <c r="B60" s="15"/>
      <c r="C60" s="16"/>
      <c r="D60" s="16"/>
      <c r="E60" s="17"/>
    </row>
    <row r="61" spans="1:9" x14ac:dyDescent="0.2">
      <c r="B61" s="18" t="s">
        <v>93</v>
      </c>
      <c r="C61" s="16"/>
      <c r="D61" s="16"/>
      <c r="E61" s="17"/>
    </row>
    <row r="62" spans="1:9" x14ac:dyDescent="0.2">
      <c r="B62" s="18"/>
      <c r="C62" s="89" t="s">
        <v>94</v>
      </c>
      <c r="D62" s="89"/>
      <c r="E62" s="89"/>
    </row>
    <row r="63" spans="1:9" x14ac:dyDescent="0.2">
      <c r="B63" s="18" t="s">
        <v>95</v>
      </c>
      <c r="C63" s="16"/>
      <c r="D63" s="16"/>
      <c r="E63" s="17"/>
    </row>
    <row r="64" spans="1:9" x14ac:dyDescent="0.2">
      <c r="B64" s="19"/>
      <c r="C64" s="93"/>
      <c r="D64" s="93"/>
      <c r="E64" s="93"/>
    </row>
    <row r="65" spans="2:5" ht="26.25" customHeight="1" x14ac:dyDescent="0.2">
      <c r="B65" s="19"/>
      <c r="C65" s="92"/>
      <c r="D65" s="92"/>
      <c r="E65" s="92"/>
    </row>
    <row r="66" spans="2:5" x14ac:dyDescent="0.2">
      <c r="B66" s="18" t="s">
        <v>96</v>
      </c>
      <c r="C66" s="16"/>
      <c r="D66" s="16"/>
      <c r="E66" s="17"/>
    </row>
    <row r="67" spans="2:5" ht="26.25" customHeight="1" x14ac:dyDescent="0.2">
      <c r="B67" s="19"/>
      <c r="C67" s="89"/>
      <c r="D67" s="89"/>
      <c r="E67" s="89"/>
    </row>
    <row r="68" spans="2:5" x14ac:dyDescent="0.2">
      <c r="B68" s="18" t="s">
        <v>97</v>
      </c>
      <c r="C68" s="20"/>
      <c r="D68" s="20"/>
      <c r="E68" s="21"/>
    </row>
    <row r="69" spans="2:5" ht="23.25" customHeight="1" x14ac:dyDescent="0.2">
      <c r="B69" s="19"/>
      <c r="C69" s="90"/>
      <c r="D69" s="90"/>
      <c r="E69" s="90"/>
    </row>
    <row r="70" spans="2:5" x14ac:dyDescent="0.2">
      <c r="B70" s="18" t="s">
        <v>98</v>
      </c>
      <c r="C70" s="16"/>
      <c r="D70" s="16"/>
      <c r="E70" s="17"/>
    </row>
    <row r="71" spans="2:5" x14ac:dyDescent="0.2">
      <c r="B71" s="18"/>
      <c r="C71" s="91"/>
      <c r="D71" s="91"/>
      <c r="E71" s="91"/>
    </row>
    <row r="72" spans="2:5" ht="13.5" thickBot="1" x14ac:dyDescent="0.25">
      <c r="B72" s="22"/>
      <c r="C72" s="23"/>
      <c r="D72" s="23"/>
      <c r="E72" s="24"/>
    </row>
    <row r="73" spans="2:5" ht="5.25" customHeight="1" thickBot="1" x14ac:dyDescent="0.25"/>
    <row r="74" spans="2:5" x14ac:dyDescent="0.2">
      <c r="B74" s="12" t="s">
        <v>99</v>
      </c>
      <c r="C74" s="13"/>
      <c r="D74" s="13"/>
      <c r="E74" s="14"/>
    </row>
    <row r="75" spans="2:5" ht="41.25" customHeight="1" x14ac:dyDescent="0.2">
      <c r="B75" s="15"/>
      <c r="C75" s="16"/>
      <c r="D75" s="16"/>
      <c r="E75" s="17"/>
    </row>
    <row r="76" spans="2:5" x14ac:dyDescent="0.2">
      <c r="B76" s="18" t="s">
        <v>93</v>
      </c>
      <c r="C76" s="16"/>
      <c r="D76" s="16"/>
      <c r="E76" s="17"/>
    </row>
    <row r="77" spans="2:5" x14ac:dyDescent="0.2">
      <c r="B77" s="18"/>
      <c r="C77" s="89" t="s">
        <v>100</v>
      </c>
      <c r="D77" s="89"/>
      <c r="E77" s="89"/>
    </row>
    <row r="78" spans="2:5" x14ac:dyDescent="0.2">
      <c r="B78" s="18" t="s">
        <v>95</v>
      </c>
      <c r="C78" s="16"/>
      <c r="D78" s="16"/>
      <c r="E78" s="17"/>
    </row>
    <row r="79" spans="2:5" x14ac:dyDescent="0.2">
      <c r="B79" s="19"/>
      <c r="C79" s="93"/>
      <c r="D79" s="93"/>
      <c r="E79" s="93"/>
    </row>
    <row r="80" spans="2:5" ht="26.25" customHeight="1" x14ac:dyDescent="0.2">
      <c r="B80" s="19"/>
      <c r="C80" s="92"/>
      <c r="D80" s="92"/>
      <c r="E80" s="92"/>
    </row>
    <row r="81" spans="2:5" x14ac:dyDescent="0.2">
      <c r="B81" s="18" t="s">
        <v>96</v>
      </c>
      <c r="C81" s="16"/>
      <c r="D81" s="16"/>
      <c r="E81" s="17"/>
    </row>
    <row r="82" spans="2:5" ht="26.25" customHeight="1" x14ac:dyDescent="0.2">
      <c r="B82" s="19"/>
      <c r="C82" s="89"/>
      <c r="D82" s="89"/>
      <c r="E82" s="89"/>
    </row>
    <row r="83" spans="2:5" x14ac:dyDescent="0.2">
      <c r="B83" s="18" t="s">
        <v>97</v>
      </c>
      <c r="C83" s="20"/>
      <c r="D83" s="20"/>
      <c r="E83" s="21"/>
    </row>
    <row r="84" spans="2:5" ht="23.25" customHeight="1" x14ac:dyDescent="0.2">
      <c r="B84" s="19"/>
      <c r="C84" s="90"/>
      <c r="D84" s="90"/>
      <c r="E84" s="90"/>
    </row>
    <row r="85" spans="2:5" x14ac:dyDescent="0.2">
      <c r="B85" s="18" t="s">
        <v>98</v>
      </c>
      <c r="C85" s="16"/>
      <c r="D85" s="16"/>
      <c r="E85" s="17"/>
    </row>
    <row r="86" spans="2:5" x14ac:dyDescent="0.2">
      <c r="B86" s="18"/>
      <c r="C86" s="91"/>
      <c r="D86" s="91"/>
      <c r="E86" s="91"/>
    </row>
    <row r="87" spans="2:5" ht="13.5" thickBot="1" x14ac:dyDescent="0.25">
      <c r="B87" s="22"/>
      <c r="C87" s="23"/>
      <c r="D87" s="23"/>
      <c r="E87" s="24"/>
    </row>
    <row r="88" spans="2:5" ht="5.25" customHeight="1" thickBot="1" x14ac:dyDescent="0.25"/>
    <row r="89" spans="2:5" x14ac:dyDescent="0.2">
      <c r="B89" s="12" t="s">
        <v>101</v>
      </c>
      <c r="C89" s="13"/>
      <c r="D89" s="13"/>
      <c r="E89" s="14"/>
    </row>
    <row r="90" spans="2:5" ht="41.25" customHeight="1" x14ac:dyDescent="0.2">
      <c r="B90" s="15"/>
      <c r="C90" s="16"/>
      <c r="D90" s="16"/>
      <c r="E90" s="17"/>
    </row>
    <row r="91" spans="2:5" x14ac:dyDescent="0.2">
      <c r="B91" s="18" t="s">
        <v>93</v>
      </c>
      <c r="C91" s="16"/>
      <c r="D91" s="16"/>
      <c r="E91" s="17"/>
    </row>
    <row r="92" spans="2:5" x14ac:dyDescent="0.2">
      <c r="B92" s="18"/>
      <c r="C92" s="89" t="s">
        <v>102</v>
      </c>
      <c r="D92" s="89"/>
      <c r="E92" s="89"/>
    </row>
    <row r="93" spans="2:5" x14ac:dyDescent="0.2">
      <c r="B93" s="18" t="s">
        <v>95</v>
      </c>
      <c r="C93" s="16"/>
      <c r="D93" s="16"/>
      <c r="E93" s="17"/>
    </row>
    <row r="94" spans="2:5" x14ac:dyDescent="0.2">
      <c r="B94" s="19"/>
      <c r="C94" s="93"/>
      <c r="D94" s="93"/>
      <c r="E94" s="93"/>
    </row>
    <row r="95" spans="2:5" ht="26.25" customHeight="1" x14ac:dyDescent="0.2">
      <c r="B95" s="19"/>
      <c r="C95" s="92"/>
      <c r="D95" s="92"/>
      <c r="E95" s="92"/>
    </row>
    <row r="96" spans="2:5" x14ac:dyDescent="0.2">
      <c r="B96" s="18" t="s">
        <v>96</v>
      </c>
      <c r="C96" s="16"/>
      <c r="D96" s="16"/>
      <c r="E96" s="17"/>
    </row>
    <row r="97" spans="2:5" ht="26.25" customHeight="1" x14ac:dyDescent="0.2">
      <c r="B97" s="19"/>
      <c r="C97" s="89"/>
      <c r="D97" s="89"/>
      <c r="E97" s="89"/>
    </row>
    <row r="98" spans="2:5" x14ac:dyDescent="0.2">
      <c r="B98" s="18" t="s">
        <v>97</v>
      </c>
      <c r="C98" s="20"/>
      <c r="D98" s="20"/>
      <c r="E98" s="21"/>
    </row>
    <row r="99" spans="2:5" ht="23.25" customHeight="1" x14ac:dyDescent="0.2">
      <c r="B99" s="19"/>
      <c r="C99" s="90"/>
      <c r="D99" s="90"/>
      <c r="E99" s="90"/>
    </row>
    <row r="100" spans="2:5" x14ac:dyDescent="0.2">
      <c r="B100" s="18" t="s">
        <v>98</v>
      </c>
      <c r="C100" s="16"/>
      <c r="D100" s="16"/>
      <c r="E100" s="17"/>
    </row>
    <row r="101" spans="2:5" x14ac:dyDescent="0.2">
      <c r="B101" s="18"/>
      <c r="C101" s="91"/>
      <c r="D101" s="91"/>
      <c r="E101" s="91"/>
    </row>
    <row r="102" spans="2:5" ht="13.5" thickBot="1" x14ac:dyDescent="0.25">
      <c r="B102" s="22"/>
      <c r="C102" s="23"/>
      <c r="D102" s="23"/>
      <c r="E102" s="24"/>
    </row>
    <row r="103" spans="2:5" ht="5.25" customHeight="1" thickBot="1" x14ac:dyDescent="0.25"/>
    <row r="104" spans="2:5" x14ac:dyDescent="0.2">
      <c r="B104" s="12" t="s">
        <v>103</v>
      </c>
      <c r="C104" s="13"/>
      <c r="D104" s="13"/>
      <c r="E104" s="14"/>
    </row>
    <row r="105" spans="2:5" ht="41.25" customHeight="1" x14ac:dyDescent="0.2">
      <c r="B105" s="15"/>
      <c r="C105" s="16"/>
      <c r="D105" s="16"/>
      <c r="E105" s="17"/>
    </row>
    <row r="106" spans="2:5" x14ac:dyDescent="0.2">
      <c r="B106" s="18" t="s">
        <v>93</v>
      </c>
      <c r="C106" s="16"/>
      <c r="D106" s="16"/>
      <c r="E106" s="17"/>
    </row>
    <row r="107" spans="2:5" x14ac:dyDescent="0.2">
      <c r="B107" s="18"/>
      <c r="C107" s="89" t="s">
        <v>104</v>
      </c>
      <c r="D107" s="89"/>
      <c r="E107" s="89"/>
    </row>
    <row r="108" spans="2:5" x14ac:dyDescent="0.2">
      <c r="B108" s="18" t="s">
        <v>95</v>
      </c>
      <c r="C108" s="16"/>
      <c r="D108" s="16"/>
      <c r="E108" s="17"/>
    </row>
    <row r="109" spans="2:5" x14ac:dyDescent="0.2">
      <c r="B109" s="19"/>
      <c r="C109" s="93"/>
      <c r="D109" s="93"/>
      <c r="E109" s="93"/>
    </row>
    <row r="110" spans="2:5" ht="26.25" customHeight="1" x14ac:dyDescent="0.2">
      <c r="B110" s="19"/>
      <c r="C110" s="92"/>
      <c r="D110" s="92"/>
      <c r="E110" s="92"/>
    </row>
    <row r="111" spans="2:5" x14ac:dyDescent="0.2">
      <c r="B111" s="18" t="s">
        <v>96</v>
      </c>
      <c r="C111" s="16"/>
      <c r="D111" s="16"/>
      <c r="E111" s="17"/>
    </row>
    <row r="112" spans="2:5" ht="26.25" customHeight="1" x14ac:dyDescent="0.2">
      <c r="B112" s="19"/>
      <c r="C112" s="89"/>
      <c r="D112" s="89"/>
      <c r="E112" s="89"/>
    </row>
    <row r="113" spans="2:5" x14ac:dyDescent="0.2">
      <c r="B113" s="18" t="s">
        <v>97</v>
      </c>
      <c r="C113" s="20"/>
      <c r="D113" s="20"/>
      <c r="E113" s="21"/>
    </row>
    <row r="114" spans="2:5" ht="23.25" customHeight="1" x14ac:dyDescent="0.2">
      <c r="B114" s="19"/>
      <c r="C114" s="90"/>
      <c r="D114" s="90"/>
      <c r="E114" s="90"/>
    </row>
    <row r="115" spans="2:5" x14ac:dyDescent="0.2">
      <c r="B115" s="18" t="s">
        <v>98</v>
      </c>
      <c r="C115" s="16"/>
      <c r="D115" s="16"/>
      <c r="E115" s="17"/>
    </row>
    <row r="116" spans="2:5" x14ac:dyDescent="0.2">
      <c r="B116" s="18"/>
      <c r="C116" s="91"/>
      <c r="D116" s="91"/>
      <c r="E116" s="91"/>
    </row>
    <row r="117" spans="2:5" ht="13.5" thickBot="1" x14ac:dyDescent="0.25">
      <c r="B117" s="22"/>
      <c r="C117" s="23"/>
      <c r="D117" s="23"/>
      <c r="E117" s="24"/>
    </row>
    <row r="118" spans="2:5" ht="5.25" customHeight="1" thickBot="1" x14ac:dyDescent="0.25"/>
    <row r="119" spans="2:5" x14ac:dyDescent="0.2">
      <c r="B119" s="12" t="s">
        <v>105</v>
      </c>
      <c r="C119" s="13"/>
      <c r="D119" s="13"/>
      <c r="E119" s="14"/>
    </row>
    <row r="120" spans="2:5" ht="41.25" customHeight="1" x14ac:dyDescent="0.2">
      <c r="B120" s="15"/>
      <c r="C120" s="16"/>
      <c r="D120" s="16"/>
      <c r="E120" s="17"/>
    </row>
    <row r="121" spans="2:5" x14ac:dyDescent="0.2">
      <c r="B121" s="18" t="s">
        <v>93</v>
      </c>
      <c r="C121" s="16"/>
      <c r="D121" s="16"/>
      <c r="E121" s="17"/>
    </row>
    <row r="122" spans="2:5" x14ac:dyDescent="0.2">
      <c r="B122" s="18"/>
      <c r="C122" s="89" t="s">
        <v>106</v>
      </c>
      <c r="D122" s="89"/>
      <c r="E122" s="89"/>
    </row>
    <row r="123" spans="2:5" x14ac:dyDescent="0.2">
      <c r="B123" s="18" t="s">
        <v>95</v>
      </c>
      <c r="C123" s="16"/>
      <c r="D123" s="16"/>
      <c r="E123" s="17"/>
    </row>
    <row r="124" spans="2:5" x14ac:dyDescent="0.2">
      <c r="B124" s="19"/>
      <c r="C124" s="93"/>
      <c r="D124" s="93"/>
      <c r="E124" s="93"/>
    </row>
    <row r="125" spans="2:5" ht="26.25" customHeight="1" x14ac:dyDescent="0.2">
      <c r="B125" s="19"/>
      <c r="C125" s="92"/>
      <c r="D125" s="92"/>
      <c r="E125" s="92"/>
    </row>
    <row r="126" spans="2:5" x14ac:dyDescent="0.2">
      <c r="B126" s="18" t="s">
        <v>96</v>
      </c>
      <c r="C126" s="16"/>
      <c r="D126" s="16"/>
      <c r="E126" s="17"/>
    </row>
    <row r="127" spans="2:5" ht="26.25" customHeight="1" x14ac:dyDescent="0.2">
      <c r="B127" s="19"/>
      <c r="C127" s="89"/>
      <c r="D127" s="89"/>
      <c r="E127" s="89"/>
    </row>
    <row r="128" spans="2:5" x14ac:dyDescent="0.2">
      <c r="B128" s="18" t="s">
        <v>97</v>
      </c>
      <c r="C128" s="20"/>
      <c r="D128" s="20"/>
      <c r="E128" s="21"/>
    </row>
    <row r="129" spans="2:5" ht="23.25" customHeight="1" x14ac:dyDescent="0.2">
      <c r="B129" s="19"/>
      <c r="C129" s="90"/>
      <c r="D129" s="90"/>
      <c r="E129" s="90"/>
    </row>
    <row r="130" spans="2:5" x14ac:dyDescent="0.2">
      <c r="B130" s="18" t="s">
        <v>98</v>
      </c>
      <c r="C130" s="16"/>
      <c r="D130" s="16"/>
      <c r="E130" s="17"/>
    </row>
    <row r="131" spans="2:5" x14ac:dyDescent="0.2">
      <c r="B131" s="18"/>
      <c r="C131" s="91"/>
      <c r="D131" s="91"/>
      <c r="E131" s="91"/>
    </row>
    <row r="132" spans="2:5" ht="13.5" thickBot="1" x14ac:dyDescent="0.25">
      <c r="B132" s="22"/>
      <c r="C132" s="23"/>
      <c r="D132" s="23"/>
      <c r="E132" s="24"/>
    </row>
    <row r="133" spans="2:5" ht="5.25" customHeight="1" thickBot="1" x14ac:dyDescent="0.25"/>
    <row r="134" spans="2:5" x14ac:dyDescent="0.2">
      <c r="B134" s="12" t="s">
        <v>107</v>
      </c>
      <c r="C134" s="13"/>
      <c r="D134" s="13"/>
      <c r="E134" s="14"/>
    </row>
    <row r="135" spans="2:5" ht="41.25" customHeight="1" x14ac:dyDescent="0.2">
      <c r="B135" s="15"/>
      <c r="C135" s="16"/>
      <c r="D135" s="16"/>
      <c r="E135" s="17"/>
    </row>
    <row r="136" spans="2:5" x14ac:dyDescent="0.2">
      <c r="B136" s="18" t="s">
        <v>93</v>
      </c>
      <c r="C136" s="16"/>
      <c r="D136" s="16"/>
      <c r="E136" s="17"/>
    </row>
    <row r="137" spans="2:5" x14ac:dyDescent="0.2">
      <c r="B137" s="18"/>
      <c r="C137" s="89" t="s">
        <v>108</v>
      </c>
      <c r="D137" s="89"/>
      <c r="E137" s="89"/>
    </row>
    <row r="138" spans="2:5" x14ac:dyDescent="0.2">
      <c r="B138" s="18" t="s">
        <v>95</v>
      </c>
      <c r="C138" s="16"/>
      <c r="D138" s="16"/>
      <c r="E138" s="17"/>
    </row>
    <row r="139" spans="2:5" x14ac:dyDescent="0.2">
      <c r="B139" s="19"/>
      <c r="C139" s="93"/>
      <c r="D139" s="93"/>
      <c r="E139" s="93"/>
    </row>
    <row r="140" spans="2:5" ht="26.25" customHeight="1" x14ac:dyDescent="0.2">
      <c r="B140" s="19"/>
      <c r="C140" s="92"/>
      <c r="D140" s="92"/>
      <c r="E140" s="92"/>
    </row>
    <row r="141" spans="2:5" x14ac:dyDescent="0.2">
      <c r="B141" s="18" t="s">
        <v>96</v>
      </c>
      <c r="C141" s="16"/>
      <c r="D141" s="16"/>
      <c r="E141" s="17"/>
    </row>
    <row r="142" spans="2:5" ht="26.25" customHeight="1" x14ac:dyDescent="0.2">
      <c r="B142" s="19"/>
      <c r="C142" s="89"/>
      <c r="D142" s="89"/>
      <c r="E142" s="89"/>
    </row>
    <row r="143" spans="2:5" x14ac:dyDescent="0.2">
      <c r="B143" s="18" t="s">
        <v>97</v>
      </c>
      <c r="C143" s="20"/>
      <c r="D143" s="20"/>
      <c r="E143" s="21"/>
    </row>
    <row r="144" spans="2:5" ht="23.25" customHeight="1" x14ac:dyDescent="0.2">
      <c r="B144" s="19"/>
      <c r="C144" s="90"/>
      <c r="D144" s="90"/>
      <c r="E144" s="90"/>
    </row>
    <row r="145" spans="2:5" x14ac:dyDescent="0.2">
      <c r="B145" s="18" t="s">
        <v>98</v>
      </c>
      <c r="C145" s="16"/>
      <c r="D145" s="16"/>
      <c r="E145" s="17"/>
    </row>
    <row r="146" spans="2:5" x14ac:dyDescent="0.2">
      <c r="B146" s="18"/>
      <c r="C146" s="91"/>
      <c r="D146" s="91"/>
      <c r="E146" s="91"/>
    </row>
    <row r="147" spans="2:5" ht="13.5" thickBot="1" x14ac:dyDescent="0.25">
      <c r="B147" s="22"/>
      <c r="C147" s="23"/>
      <c r="D147" s="23"/>
      <c r="E147" s="24"/>
    </row>
    <row r="148" spans="2:5" ht="5.25" customHeight="1" thickBot="1" x14ac:dyDescent="0.25"/>
    <row r="149" spans="2:5" x14ac:dyDescent="0.2">
      <c r="B149" s="12" t="s">
        <v>109</v>
      </c>
      <c r="C149" s="13"/>
      <c r="D149" s="13"/>
      <c r="E149" s="14"/>
    </row>
    <row r="150" spans="2:5" ht="41.25" customHeight="1" x14ac:dyDescent="0.2">
      <c r="B150" s="15"/>
      <c r="C150" s="16"/>
      <c r="D150" s="16"/>
      <c r="E150" s="17"/>
    </row>
    <row r="151" spans="2:5" x14ac:dyDescent="0.2">
      <c r="B151" s="18" t="s">
        <v>93</v>
      </c>
      <c r="C151" s="16"/>
      <c r="D151" s="16"/>
      <c r="E151" s="17"/>
    </row>
    <row r="152" spans="2:5" x14ac:dyDescent="0.2">
      <c r="B152" s="18"/>
      <c r="C152" s="89" t="s">
        <v>110</v>
      </c>
      <c r="D152" s="89"/>
      <c r="E152" s="89"/>
    </row>
    <row r="153" spans="2:5" x14ac:dyDescent="0.2">
      <c r="B153" s="18" t="s">
        <v>95</v>
      </c>
      <c r="C153" s="16"/>
      <c r="D153" s="16"/>
      <c r="E153" s="17"/>
    </row>
    <row r="154" spans="2:5" x14ac:dyDescent="0.2">
      <c r="B154" s="19"/>
      <c r="C154" s="93"/>
      <c r="D154" s="93"/>
      <c r="E154" s="93"/>
    </row>
    <row r="155" spans="2:5" ht="26.25" customHeight="1" x14ac:dyDescent="0.2">
      <c r="B155" s="19"/>
      <c r="C155" s="92"/>
      <c r="D155" s="92"/>
      <c r="E155" s="92"/>
    </row>
    <row r="156" spans="2:5" x14ac:dyDescent="0.2">
      <c r="B156" s="18" t="s">
        <v>96</v>
      </c>
      <c r="C156" s="16"/>
      <c r="D156" s="16"/>
      <c r="E156" s="17"/>
    </row>
    <row r="157" spans="2:5" ht="26.25" customHeight="1" x14ac:dyDescent="0.2">
      <c r="B157" s="19"/>
      <c r="C157" s="89"/>
      <c r="D157" s="89"/>
      <c r="E157" s="89"/>
    </row>
    <row r="158" spans="2:5" x14ac:dyDescent="0.2">
      <c r="B158" s="18" t="s">
        <v>97</v>
      </c>
      <c r="C158" s="20"/>
      <c r="D158" s="20"/>
      <c r="E158" s="21"/>
    </row>
    <row r="159" spans="2:5" ht="23.25" customHeight="1" x14ac:dyDescent="0.2">
      <c r="B159" s="19"/>
      <c r="C159" s="90"/>
      <c r="D159" s="90"/>
      <c r="E159" s="90"/>
    </row>
    <row r="160" spans="2:5" x14ac:dyDescent="0.2">
      <c r="B160" s="18" t="s">
        <v>98</v>
      </c>
      <c r="C160" s="16"/>
      <c r="D160" s="16"/>
      <c r="E160" s="17"/>
    </row>
    <row r="161" spans="2:5" x14ac:dyDescent="0.2">
      <c r="B161" s="18"/>
      <c r="C161" s="91"/>
      <c r="D161" s="91"/>
      <c r="E161" s="91"/>
    </row>
    <row r="162" spans="2:5" ht="13.5" thickBot="1" x14ac:dyDescent="0.25">
      <c r="B162" s="22"/>
      <c r="C162" s="23"/>
      <c r="D162" s="23"/>
      <c r="E162" s="24"/>
    </row>
    <row r="163" spans="2:5" ht="5.25" customHeight="1" thickBot="1" x14ac:dyDescent="0.25"/>
    <row r="164" spans="2:5" x14ac:dyDescent="0.2">
      <c r="B164" s="12" t="s">
        <v>111</v>
      </c>
      <c r="C164" s="13"/>
      <c r="D164" s="13"/>
      <c r="E164" s="14"/>
    </row>
    <row r="165" spans="2:5" ht="41.25" customHeight="1" x14ac:dyDescent="0.2">
      <c r="B165" s="15"/>
      <c r="C165" s="16"/>
      <c r="D165" s="16"/>
      <c r="E165" s="17"/>
    </row>
    <row r="166" spans="2:5" x14ac:dyDescent="0.2">
      <c r="B166" s="18" t="s">
        <v>93</v>
      </c>
      <c r="C166" s="16"/>
      <c r="D166" s="16"/>
      <c r="E166" s="17"/>
    </row>
    <row r="167" spans="2:5" x14ac:dyDescent="0.2">
      <c r="B167" s="18"/>
      <c r="C167" s="89" t="s">
        <v>112</v>
      </c>
      <c r="D167" s="89"/>
      <c r="E167" s="89"/>
    </row>
    <row r="168" spans="2:5" x14ac:dyDescent="0.2">
      <c r="B168" s="18" t="s">
        <v>95</v>
      </c>
      <c r="C168" s="16"/>
      <c r="D168" s="16"/>
      <c r="E168" s="17"/>
    </row>
    <row r="169" spans="2:5" x14ac:dyDescent="0.2">
      <c r="B169" s="19"/>
      <c r="C169" s="93"/>
      <c r="D169" s="93"/>
      <c r="E169" s="93"/>
    </row>
    <row r="170" spans="2:5" ht="26.25" customHeight="1" x14ac:dyDescent="0.2">
      <c r="B170" s="19"/>
      <c r="C170" s="92"/>
      <c r="D170" s="92"/>
      <c r="E170" s="92"/>
    </row>
    <row r="171" spans="2:5" x14ac:dyDescent="0.2">
      <c r="B171" s="18" t="s">
        <v>96</v>
      </c>
      <c r="C171" s="16"/>
      <c r="D171" s="16"/>
      <c r="E171" s="17"/>
    </row>
    <row r="172" spans="2:5" ht="26.25" customHeight="1" x14ac:dyDescent="0.2">
      <c r="B172" s="19"/>
      <c r="C172" s="89"/>
      <c r="D172" s="89"/>
      <c r="E172" s="89"/>
    </row>
    <row r="173" spans="2:5" x14ac:dyDescent="0.2">
      <c r="B173" s="18" t="s">
        <v>97</v>
      </c>
      <c r="C173" s="20"/>
      <c r="D173" s="20"/>
      <c r="E173" s="21"/>
    </row>
    <row r="174" spans="2:5" ht="23.25" customHeight="1" x14ac:dyDescent="0.2">
      <c r="B174" s="19"/>
      <c r="C174" s="90"/>
      <c r="D174" s="90"/>
      <c r="E174" s="90"/>
    </row>
    <row r="175" spans="2:5" x14ac:dyDescent="0.2">
      <c r="B175" s="18" t="s">
        <v>98</v>
      </c>
      <c r="C175" s="16"/>
      <c r="D175" s="16"/>
      <c r="E175" s="17"/>
    </row>
    <row r="176" spans="2:5" x14ac:dyDescent="0.2">
      <c r="B176" s="18"/>
      <c r="C176" s="91"/>
      <c r="D176" s="91"/>
      <c r="E176" s="91"/>
    </row>
    <row r="177" spans="2:5" ht="13.5" thickBot="1" x14ac:dyDescent="0.25">
      <c r="B177" s="22"/>
      <c r="C177" s="23"/>
      <c r="D177" s="23"/>
      <c r="E177" s="24"/>
    </row>
    <row r="178" spans="2:5" ht="5.25" customHeight="1" thickBot="1" x14ac:dyDescent="0.25"/>
    <row r="179" spans="2:5" x14ac:dyDescent="0.2">
      <c r="B179" s="12" t="s">
        <v>113</v>
      </c>
      <c r="C179" s="13"/>
      <c r="D179" s="13"/>
      <c r="E179" s="14"/>
    </row>
    <row r="180" spans="2:5" ht="41.25" customHeight="1" x14ac:dyDescent="0.2">
      <c r="B180" s="15"/>
      <c r="C180" s="16"/>
      <c r="D180" s="16"/>
      <c r="E180" s="17"/>
    </row>
    <row r="181" spans="2:5" x14ac:dyDescent="0.2">
      <c r="B181" s="18" t="s">
        <v>93</v>
      </c>
      <c r="C181" s="16"/>
      <c r="D181" s="16"/>
      <c r="E181" s="17"/>
    </row>
    <row r="182" spans="2:5" x14ac:dyDescent="0.2">
      <c r="B182" s="18"/>
      <c r="C182" s="89" t="s">
        <v>114</v>
      </c>
      <c r="D182" s="89"/>
      <c r="E182" s="89"/>
    </row>
    <row r="183" spans="2:5" x14ac:dyDescent="0.2">
      <c r="B183" s="18" t="s">
        <v>95</v>
      </c>
      <c r="C183" s="16"/>
      <c r="D183" s="16"/>
      <c r="E183" s="17"/>
    </row>
    <row r="184" spans="2:5" x14ac:dyDescent="0.2">
      <c r="B184" s="19"/>
      <c r="C184" s="93"/>
      <c r="D184" s="93"/>
      <c r="E184" s="93"/>
    </row>
    <row r="185" spans="2:5" ht="26.25" customHeight="1" x14ac:dyDescent="0.2">
      <c r="B185" s="19"/>
      <c r="C185" s="92"/>
      <c r="D185" s="92"/>
      <c r="E185" s="92"/>
    </row>
    <row r="186" spans="2:5" x14ac:dyDescent="0.2">
      <c r="B186" s="18" t="s">
        <v>96</v>
      </c>
      <c r="C186" s="16"/>
      <c r="D186" s="16"/>
      <c r="E186" s="17"/>
    </row>
    <row r="187" spans="2:5" ht="26.25" customHeight="1" x14ac:dyDescent="0.2">
      <c r="B187" s="19"/>
      <c r="C187" s="89"/>
      <c r="D187" s="89"/>
      <c r="E187" s="89"/>
    </row>
    <row r="188" spans="2:5" x14ac:dyDescent="0.2">
      <c r="B188" s="18" t="s">
        <v>97</v>
      </c>
      <c r="C188" s="20"/>
      <c r="D188" s="20"/>
      <c r="E188" s="21"/>
    </row>
    <row r="189" spans="2:5" ht="23.25" customHeight="1" x14ac:dyDescent="0.2">
      <c r="B189" s="19"/>
      <c r="C189" s="90"/>
      <c r="D189" s="90"/>
      <c r="E189" s="90"/>
    </row>
    <row r="190" spans="2:5" x14ac:dyDescent="0.2">
      <c r="B190" s="18" t="s">
        <v>98</v>
      </c>
      <c r="C190" s="16"/>
      <c r="D190" s="16"/>
      <c r="E190" s="17"/>
    </row>
    <row r="191" spans="2:5" x14ac:dyDescent="0.2">
      <c r="B191" s="18"/>
      <c r="C191" s="91"/>
      <c r="D191" s="91"/>
      <c r="E191" s="91"/>
    </row>
    <row r="192" spans="2:5" ht="13.5" thickBot="1" x14ac:dyDescent="0.25">
      <c r="B192" s="22"/>
      <c r="C192" s="23"/>
      <c r="D192" s="23"/>
      <c r="E192" s="24"/>
    </row>
    <row r="193" spans="2:5" ht="5.25" customHeight="1" thickBot="1" x14ac:dyDescent="0.25"/>
    <row r="194" spans="2:5" x14ac:dyDescent="0.2">
      <c r="B194" s="12" t="s">
        <v>115</v>
      </c>
      <c r="C194" s="13"/>
      <c r="D194" s="13"/>
      <c r="E194" s="14"/>
    </row>
    <row r="195" spans="2:5" ht="41.25" customHeight="1" x14ac:dyDescent="0.2">
      <c r="B195" s="15"/>
      <c r="C195" s="16"/>
      <c r="D195" s="16"/>
      <c r="E195" s="17"/>
    </row>
    <row r="196" spans="2:5" x14ac:dyDescent="0.2">
      <c r="B196" s="18" t="s">
        <v>93</v>
      </c>
      <c r="C196" s="16"/>
      <c r="D196" s="16"/>
      <c r="E196" s="17"/>
    </row>
    <row r="197" spans="2:5" x14ac:dyDescent="0.2">
      <c r="B197" s="18"/>
      <c r="C197" s="89" t="s">
        <v>116</v>
      </c>
      <c r="D197" s="89"/>
      <c r="E197" s="89"/>
    </row>
    <row r="198" spans="2:5" x14ac:dyDescent="0.2">
      <c r="B198" s="18" t="s">
        <v>95</v>
      </c>
      <c r="C198" s="16"/>
      <c r="D198" s="16"/>
      <c r="E198" s="17"/>
    </row>
    <row r="199" spans="2:5" x14ac:dyDescent="0.2">
      <c r="B199" s="19"/>
      <c r="C199" s="93"/>
      <c r="D199" s="93"/>
      <c r="E199" s="93"/>
    </row>
    <row r="200" spans="2:5" ht="26.25" customHeight="1" x14ac:dyDescent="0.2">
      <c r="B200" s="19"/>
      <c r="C200" s="92"/>
      <c r="D200" s="92"/>
      <c r="E200" s="92"/>
    </row>
    <row r="201" spans="2:5" x14ac:dyDescent="0.2">
      <c r="B201" s="18" t="s">
        <v>96</v>
      </c>
      <c r="C201" s="16"/>
      <c r="D201" s="16"/>
      <c r="E201" s="17"/>
    </row>
    <row r="202" spans="2:5" ht="26.25" customHeight="1" x14ac:dyDescent="0.2">
      <c r="B202" s="19"/>
      <c r="C202" s="89"/>
      <c r="D202" s="89"/>
      <c r="E202" s="89"/>
    </row>
    <row r="203" spans="2:5" x14ac:dyDescent="0.2">
      <c r="B203" s="18" t="s">
        <v>97</v>
      </c>
      <c r="C203" s="20"/>
      <c r="D203" s="20"/>
      <c r="E203" s="21"/>
    </row>
    <row r="204" spans="2:5" ht="23.25" customHeight="1" x14ac:dyDescent="0.2">
      <c r="B204" s="19"/>
      <c r="C204" s="90"/>
      <c r="D204" s="90"/>
      <c r="E204" s="90"/>
    </row>
    <row r="205" spans="2:5" x14ac:dyDescent="0.2">
      <c r="B205" s="18" t="s">
        <v>98</v>
      </c>
      <c r="C205" s="16"/>
      <c r="D205" s="16"/>
      <c r="E205" s="17"/>
    </row>
    <row r="206" spans="2:5" x14ac:dyDescent="0.2">
      <c r="B206" s="18"/>
      <c r="C206" s="91"/>
      <c r="D206" s="91"/>
      <c r="E206" s="91"/>
    </row>
    <row r="207" spans="2:5" ht="13.5" thickBot="1" x14ac:dyDescent="0.25">
      <c r="B207" s="22"/>
      <c r="C207" s="23"/>
      <c r="D207" s="23"/>
      <c r="E207" s="24"/>
    </row>
    <row r="208" spans="2:5" ht="5.25" customHeight="1" thickBot="1" x14ac:dyDescent="0.25"/>
    <row r="209" spans="2:5" x14ac:dyDescent="0.2">
      <c r="B209" s="12" t="s">
        <v>117</v>
      </c>
      <c r="C209" s="13"/>
      <c r="D209" s="13"/>
      <c r="E209" s="14"/>
    </row>
    <row r="210" spans="2:5" ht="41.25" customHeight="1" x14ac:dyDescent="0.2">
      <c r="B210" s="15"/>
      <c r="C210" s="16"/>
      <c r="D210" s="16"/>
      <c r="E210" s="17"/>
    </row>
    <row r="211" spans="2:5" x14ac:dyDescent="0.2">
      <c r="B211" s="18" t="s">
        <v>93</v>
      </c>
      <c r="C211" s="16"/>
      <c r="D211" s="16"/>
      <c r="E211" s="17"/>
    </row>
    <row r="212" spans="2:5" x14ac:dyDescent="0.2">
      <c r="B212" s="18"/>
      <c r="C212" s="89" t="s">
        <v>118</v>
      </c>
      <c r="D212" s="89"/>
      <c r="E212" s="89"/>
    </row>
    <row r="213" spans="2:5" x14ac:dyDescent="0.2">
      <c r="B213" s="18" t="s">
        <v>95</v>
      </c>
      <c r="C213" s="16"/>
      <c r="D213" s="16"/>
      <c r="E213" s="17"/>
    </row>
    <row r="214" spans="2:5" x14ac:dyDescent="0.2">
      <c r="B214" s="19"/>
      <c r="C214" s="93"/>
      <c r="D214" s="93"/>
      <c r="E214" s="93"/>
    </row>
    <row r="215" spans="2:5" ht="26.25" customHeight="1" x14ac:dyDescent="0.2">
      <c r="B215" s="19"/>
      <c r="C215" s="92"/>
      <c r="D215" s="92"/>
      <c r="E215" s="92"/>
    </row>
    <row r="216" spans="2:5" x14ac:dyDescent="0.2">
      <c r="B216" s="18" t="s">
        <v>96</v>
      </c>
      <c r="C216" s="16"/>
      <c r="D216" s="16"/>
      <c r="E216" s="17"/>
    </row>
    <row r="217" spans="2:5" ht="26.25" customHeight="1" x14ac:dyDescent="0.2">
      <c r="B217" s="19"/>
      <c r="C217" s="89"/>
      <c r="D217" s="89"/>
      <c r="E217" s="89"/>
    </row>
    <row r="218" spans="2:5" x14ac:dyDescent="0.2">
      <c r="B218" s="18" t="s">
        <v>97</v>
      </c>
      <c r="C218" s="20"/>
      <c r="D218" s="20"/>
      <c r="E218" s="21"/>
    </row>
    <row r="219" spans="2:5" ht="23.25" customHeight="1" x14ac:dyDescent="0.2">
      <c r="B219" s="19"/>
      <c r="C219" s="90"/>
      <c r="D219" s="90"/>
      <c r="E219" s="90"/>
    </row>
    <row r="220" spans="2:5" x14ac:dyDescent="0.2">
      <c r="B220" s="18" t="s">
        <v>98</v>
      </c>
      <c r="C220" s="16"/>
      <c r="D220" s="16"/>
      <c r="E220" s="17"/>
    </row>
    <row r="221" spans="2:5" x14ac:dyDescent="0.2">
      <c r="B221" s="18"/>
      <c r="C221" s="91"/>
      <c r="D221" s="91"/>
      <c r="E221" s="91"/>
    </row>
    <row r="222" spans="2:5" ht="13.5" thickBot="1" x14ac:dyDescent="0.25">
      <c r="B222" s="22"/>
      <c r="C222" s="23"/>
      <c r="D222" s="23"/>
      <c r="E222" s="24"/>
    </row>
    <row r="223" spans="2:5" ht="5.25" customHeight="1" thickBot="1" x14ac:dyDescent="0.25"/>
    <row r="224" spans="2:5" x14ac:dyDescent="0.2">
      <c r="B224" s="12" t="s">
        <v>119</v>
      </c>
      <c r="C224" s="13"/>
      <c r="D224" s="13"/>
      <c r="E224" s="14"/>
    </row>
    <row r="225" spans="2:5" ht="41.25" customHeight="1" x14ac:dyDescent="0.2">
      <c r="B225" s="15"/>
      <c r="C225" s="16"/>
      <c r="D225" s="16"/>
      <c r="E225" s="17"/>
    </row>
    <row r="226" spans="2:5" x14ac:dyDescent="0.2">
      <c r="B226" s="18" t="s">
        <v>93</v>
      </c>
      <c r="C226" s="16"/>
      <c r="D226" s="16"/>
      <c r="E226" s="17"/>
    </row>
    <row r="227" spans="2:5" x14ac:dyDescent="0.2">
      <c r="B227" s="18"/>
      <c r="C227" s="89" t="s">
        <v>120</v>
      </c>
      <c r="D227" s="89"/>
      <c r="E227" s="89"/>
    </row>
    <row r="228" spans="2:5" x14ac:dyDescent="0.2">
      <c r="B228" s="18" t="s">
        <v>95</v>
      </c>
      <c r="C228" s="16"/>
      <c r="D228" s="16"/>
      <c r="E228" s="17"/>
    </row>
    <row r="229" spans="2:5" x14ac:dyDescent="0.2">
      <c r="B229" s="19"/>
      <c r="C229" s="93"/>
      <c r="D229" s="93"/>
      <c r="E229" s="93"/>
    </row>
    <row r="230" spans="2:5" ht="26.25" customHeight="1" x14ac:dyDescent="0.2">
      <c r="B230" s="19"/>
      <c r="C230" s="92"/>
      <c r="D230" s="92"/>
      <c r="E230" s="92"/>
    </row>
    <row r="231" spans="2:5" x14ac:dyDescent="0.2">
      <c r="B231" s="18" t="s">
        <v>96</v>
      </c>
      <c r="C231" s="16"/>
      <c r="D231" s="16"/>
      <c r="E231" s="17"/>
    </row>
    <row r="232" spans="2:5" ht="26.25" customHeight="1" x14ac:dyDescent="0.2">
      <c r="B232" s="19"/>
      <c r="C232" s="89"/>
      <c r="D232" s="89"/>
      <c r="E232" s="89"/>
    </row>
    <row r="233" spans="2:5" x14ac:dyDescent="0.2">
      <c r="B233" s="18" t="s">
        <v>97</v>
      </c>
      <c r="C233" s="20"/>
      <c r="D233" s="20"/>
      <c r="E233" s="21"/>
    </row>
    <row r="234" spans="2:5" ht="23.25" customHeight="1" x14ac:dyDescent="0.2">
      <c r="B234" s="19"/>
      <c r="C234" s="90"/>
      <c r="D234" s="90"/>
      <c r="E234" s="90"/>
    </row>
    <row r="235" spans="2:5" x14ac:dyDescent="0.2">
      <c r="B235" s="18" t="s">
        <v>98</v>
      </c>
      <c r="C235" s="16"/>
      <c r="D235" s="16"/>
      <c r="E235" s="17"/>
    </row>
    <row r="236" spans="2:5" x14ac:dyDescent="0.2">
      <c r="B236" s="18"/>
      <c r="C236" s="91"/>
      <c r="D236" s="91"/>
      <c r="E236" s="91"/>
    </row>
    <row r="237" spans="2:5" ht="13.5" thickBot="1" x14ac:dyDescent="0.25">
      <c r="B237" s="22"/>
      <c r="C237" s="23"/>
      <c r="D237" s="23"/>
      <c r="E237" s="24"/>
    </row>
    <row r="238" spans="2:5" ht="5.25" customHeight="1" thickBot="1" x14ac:dyDescent="0.25"/>
    <row r="239" spans="2:5" x14ac:dyDescent="0.2">
      <c r="B239" s="12" t="s">
        <v>121</v>
      </c>
      <c r="C239" s="13"/>
      <c r="D239" s="13"/>
      <c r="E239" s="14"/>
    </row>
    <row r="240" spans="2:5" ht="41.25" customHeight="1" x14ac:dyDescent="0.2">
      <c r="B240" s="15"/>
      <c r="C240" s="16"/>
      <c r="D240" s="16"/>
      <c r="E240" s="17"/>
    </row>
    <row r="241" spans="2:5" x14ac:dyDescent="0.2">
      <c r="B241" s="18" t="s">
        <v>93</v>
      </c>
      <c r="C241" s="16"/>
      <c r="D241" s="16"/>
      <c r="E241" s="17"/>
    </row>
    <row r="242" spans="2:5" x14ac:dyDescent="0.2">
      <c r="B242" s="18"/>
      <c r="C242" s="89" t="s">
        <v>122</v>
      </c>
      <c r="D242" s="89"/>
      <c r="E242" s="89"/>
    </row>
    <row r="243" spans="2:5" x14ac:dyDescent="0.2">
      <c r="B243" s="18" t="s">
        <v>95</v>
      </c>
      <c r="C243" s="16"/>
      <c r="D243" s="16"/>
      <c r="E243" s="17"/>
    </row>
    <row r="244" spans="2:5" x14ac:dyDescent="0.2">
      <c r="B244" s="19"/>
      <c r="C244" s="93"/>
      <c r="D244" s="93"/>
      <c r="E244" s="93"/>
    </row>
    <row r="245" spans="2:5" ht="26.25" customHeight="1" x14ac:dyDescent="0.2">
      <c r="B245" s="19"/>
      <c r="C245" s="92"/>
      <c r="D245" s="92"/>
      <c r="E245" s="92"/>
    </row>
    <row r="246" spans="2:5" x14ac:dyDescent="0.2">
      <c r="B246" s="18" t="s">
        <v>96</v>
      </c>
      <c r="C246" s="16"/>
      <c r="D246" s="16"/>
      <c r="E246" s="17"/>
    </row>
    <row r="247" spans="2:5" ht="26.25" customHeight="1" x14ac:dyDescent="0.2">
      <c r="B247" s="19"/>
      <c r="C247" s="89"/>
      <c r="D247" s="89"/>
      <c r="E247" s="89"/>
    </row>
    <row r="248" spans="2:5" x14ac:dyDescent="0.2">
      <c r="B248" s="18" t="s">
        <v>97</v>
      </c>
      <c r="C248" s="20"/>
      <c r="D248" s="20"/>
      <c r="E248" s="21"/>
    </row>
    <row r="249" spans="2:5" ht="23.25" customHeight="1" x14ac:dyDescent="0.2">
      <c r="B249" s="19"/>
      <c r="C249" s="90"/>
      <c r="D249" s="90"/>
      <c r="E249" s="90"/>
    </row>
    <row r="250" spans="2:5" x14ac:dyDescent="0.2">
      <c r="B250" s="18" t="s">
        <v>98</v>
      </c>
      <c r="C250" s="16"/>
      <c r="D250" s="16"/>
      <c r="E250" s="17"/>
    </row>
    <row r="251" spans="2:5" x14ac:dyDescent="0.2">
      <c r="B251" s="18"/>
      <c r="C251" s="91"/>
      <c r="D251" s="91"/>
      <c r="E251" s="91"/>
    </row>
    <row r="252" spans="2:5" ht="13.5" thickBot="1" x14ac:dyDescent="0.25">
      <c r="B252" s="22"/>
      <c r="C252" s="23"/>
      <c r="D252" s="23"/>
      <c r="E252" s="24"/>
    </row>
    <row r="253" spans="2:5" ht="5.25" customHeight="1" thickBot="1" x14ac:dyDescent="0.25"/>
    <row r="254" spans="2:5" x14ac:dyDescent="0.2">
      <c r="B254" s="12" t="s">
        <v>123</v>
      </c>
      <c r="C254" s="13"/>
      <c r="D254" s="13"/>
      <c r="E254" s="14"/>
    </row>
    <row r="255" spans="2:5" ht="41.25" customHeight="1" x14ac:dyDescent="0.2">
      <c r="B255" s="15"/>
      <c r="C255" s="16"/>
      <c r="D255" s="16"/>
      <c r="E255" s="17"/>
    </row>
    <row r="256" spans="2:5" x14ac:dyDescent="0.2">
      <c r="B256" s="18" t="s">
        <v>93</v>
      </c>
      <c r="C256" s="16"/>
      <c r="D256" s="16"/>
      <c r="E256" s="17"/>
    </row>
    <row r="257" spans="2:5" x14ac:dyDescent="0.2">
      <c r="B257" s="18"/>
      <c r="C257" s="89" t="s">
        <v>124</v>
      </c>
      <c r="D257" s="89"/>
      <c r="E257" s="89"/>
    </row>
    <row r="258" spans="2:5" x14ac:dyDescent="0.2">
      <c r="B258" s="18" t="s">
        <v>95</v>
      </c>
      <c r="C258" s="16"/>
      <c r="D258" s="16"/>
      <c r="E258" s="17"/>
    </row>
    <row r="259" spans="2:5" x14ac:dyDescent="0.2">
      <c r="B259" s="19"/>
      <c r="C259" s="93"/>
      <c r="D259" s="93"/>
      <c r="E259" s="93"/>
    </row>
    <row r="260" spans="2:5" ht="26.25" customHeight="1" x14ac:dyDescent="0.2">
      <c r="B260" s="19"/>
      <c r="C260" s="92"/>
      <c r="D260" s="92"/>
      <c r="E260" s="92"/>
    </row>
    <row r="261" spans="2:5" x14ac:dyDescent="0.2">
      <c r="B261" s="18" t="s">
        <v>96</v>
      </c>
      <c r="C261" s="16"/>
      <c r="D261" s="16"/>
      <c r="E261" s="17"/>
    </row>
    <row r="262" spans="2:5" ht="26.25" customHeight="1" x14ac:dyDescent="0.2">
      <c r="B262" s="19"/>
      <c r="C262" s="89"/>
      <c r="D262" s="89"/>
      <c r="E262" s="89"/>
    </row>
    <row r="263" spans="2:5" x14ac:dyDescent="0.2">
      <c r="B263" s="18" t="s">
        <v>97</v>
      </c>
      <c r="C263" s="20"/>
      <c r="D263" s="20"/>
      <c r="E263" s="21"/>
    </row>
    <row r="264" spans="2:5" ht="23.25" customHeight="1" x14ac:dyDescent="0.2">
      <c r="B264" s="19"/>
      <c r="C264" s="90"/>
      <c r="D264" s="90"/>
      <c r="E264" s="90"/>
    </row>
    <row r="265" spans="2:5" x14ac:dyDescent="0.2">
      <c r="B265" s="18" t="s">
        <v>98</v>
      </c>
      <c r="C265" s="16"/>
      <c r="D265" s="16"/>
      <c r="E265" s="17"/>
    </row>
    <row r="266" spans="2:5" x14ac:dyDescent="0.2">
      <c r="B266" s="18"/>
      <c r="C266" s="91"/>
      <c r="D266" s="91"/>
      <c r="E266" s="91"/>
    </row>
    <row r="267" spans="2:5" ht="13.5" thickBot="1" x14ac:dyDescent="0.25">
      <c r="B267" s="22"/>
      <c r="C267" s="23"/>
      <c r="D267" s="23"/>
      <c r="E267" s="24"/>
    </row>
    <row r="268" spans="2:5" ht="5.25" customHeight="1" thickBot="1" x14ac:dyDescent="0.25"/>
    <row r="269" spans="2:5" x14ac:dyDescent="0.2">
      <c r="B269" s="12" t="s">
        <v>125</v>
      </c>
      <c r="C269" s="13"/>
      <c r="D269" s="13"/>
      <c r="E269" s="14"/>
    </row>
    <row r="270" spans="2:5" ht="41.25" customHeight="1" x14ac:dyDescent="0.2">
      <c r="B270" s="15"/>
      <c r="C270" s="16"/>
      <c r="D270" s="16"/>
      <c r="E270" s="17"/>
    </row>
    <row r="271" spans="2:5" x14ac:dyDescent="0.2">
      <c r="B271" s="18" t="s">
        <v>93</v>
      </c>
      <c r="C271" s="16"/>
      <c r="D271" s="16"/>
      <c r="E271" s="17"/>
    </row>
    <row r="272" spans="2:5" x14ac:dyDescent="0.2">
      <c r="B272" s="18"/>
      <c r="C272" s="89" t="s">
        <v>126</v>
      </c>
      <c r="D272" s="89"/>
      <c r="E272" s="89"/>
    </row>
    <row r="273" spans="2:5" x14ac:dyDescent="0.2">
      <c r="B273" s="18" t="s">
        <v>95</v>
      </c>
      <c r="C273" s="16"/>
      <c r="D273" s="16"/>
      <c r="E273" s="17"/>
    </row>
    <row r="274" spans="2:5" x14ac:dyDescent="0.2">
      <c r="B274" s="19"/>
      <c r="C274" s="93"/>
      <c r="D274" s="93"/>
      <c r="E274" s="93"/>
    </row>
    <row r="275" spans="2:5" ht="26.25" customHeight="1" x14ac:dyDescent="0.2">
      <c r="B275" s="19"/>
      <c r="C275" s="92"/>
      <c r="D275" s="92"/>
      <c r="E275" s="92"/>
    </row>
    <row r="276" spans="2:5" x14ac:dyDescent="0.2">
      <c r="B276" s="18" t="s">
        <v>96</v>
      </c>
      <c r="C276" s="16"/>
      <c r="D276" s="16"/>
      <c r="E276" s="17"/>
    </row>
    <row r="277" spans="2:5" ht="26.25" customHeight="1" x14ac:dyDescent="0.2">
      <c r="B277" s="19"/>
      <c r="C277" s="89"/>
      <c r="D277" s="89"/>
      <c r="E277" s="89"/>
    </row>
    <row r="278" spans="2:5" x14ac:dyDescent="0.2">
      <c r="B278" s="18" t="s">
        <v>97</v>
      </c>
      <c r="C278" s="20"/>
      <c r="D278" s="20"/>
      <c r="E278" s="21"/>
    </row>
    <row r="279" spans="2:5" ht="23.25" customHeight="1" x14ac:dyDescent="0.2">
      <c r="B279" s="19"/>
      <c r="C279" s="90"/>
      <c r="D279" s="90"/>
      <c r="E279" s="90"/>
    </row>
    <row r="280" spans="2:5" x14ac:dyDescent="0.2">
      <c r="B280" s="18" t="s">
        <v>98</v>
      </c>
      <c r="C280" s="16"/>
      <c r="D280" s="16"/>
      <c r="E280" s="17"/>
    </row>
    <row r="281" spans="2:5" x14ac:dyDescent="0.2">
      <c r="B281" s="18"/>
      <c r="C281" s="91"/>
      <c r="D281" s="91"/>
      <c r="E281" s="91"/>
    </row>
    <row r="282" spans="2:5" ht="13.5" thickBot="1" x14ac:dyDescent="0.25">
      <c r="B282" s="22"/>
      <c r="C282" s="23"/>
      <c r="D282" s="23"/>
      <c r="E282" s="24"/>
    </row>
    <row r="283" spans="2:5" ht="5.25" customHeight="1" thickBot="1" x14ac:dyDescent="0.25"/>
    <row r="284" spans="2:5" x14ac:dyDescent="0.2">
      <c r="B284" s="12" t="s">
        <v>127</v>
      </c>
      <c r="C284" s="13"/>
      <c r="D284" s="13"/>
      <c r="E284" s="14"/>
    </row>
    <row r="285" spans="2:5" ht="41.25" customHeight="1" x14ac:dyDescent="0.2">
      <c r="B285" s="15"/>
      <c r="C285" s="16"/>
      <c r="D285" s="16"/>
      <c r="E285" s="17"/>
    </row>
    <row r="286" spans="2:5" x14ac:dyDescent="0.2">
      <c r="B286" s="18" t="s">
        <v>93</v>
      </c>
      <c r="C286" s="16"/>
      <c r="D286" s="16"/>
      <c r="E286" s="17"/>
    </row>
    <row r="287" spans="2:5" x14ac:dyDescent="0.2">
      <c r="B287" s="18"/>
      <c r="C287" s="89" t="s">
        <v>128</v>
      </c>
      <c r="D287" s="89"/>
      <c r="E287" s="89"/>
    </row>
    <row r="288" spans="2:5" x14ac:dyDescent="0.2">
      <c r="B288" s="18" t="s">
        <v>95</v>
      </c>
      <c r="C288" s="16"/>
      <c r="D288" s="16"/>
      <c r="E288" s="17"/>
    </row>
    <row r="289" spans="2:5" x14ac:dyDescent="0.2">
      <c r="B289" s="19"/>
      <c r="C289" s="93"/>
      <c r="D289" s="93"/>
      <c r="E289" s="93"/>
    </row>
    <row r="290" spans="2:5" ht="26.25" customHeight="1" x14ac:dyDescent="0.2">
      <c r="B290" s="19"/>
      <c r="C290" s="92"/>
      <c r="D290" s="92"/>
      <c r="E290" s="92"/>
    </row>
    <row r="291" spans="2:5" x14ac:dyDescent="0.2">
      <c r="B291" s="18" t="s">
        <v>96</v>
      </c>
      <c r="C291" s="16"/>
      <c r="D291" s="16"/>
      <c r="E291" s="17"/>
    </row>
    <row r="292" spans="2:5" ht="26.25" customHeight="1" x14ac:dyDescent="0.2">
      <c r="B292" s="19"/>
      <c r="C292" s="89"/>
      <c r="D292" s="89"/>
      <c r="E292" s="89"/>
    </row>
    <row r="293" spans="2:5" x14ac:dyDescent="0.2">
      <c r="B293" s="18" t="s">
        <v>97</v>
      </c>
      <c r="C293" s="20"/>
      <c r="D293" s="20"/>
      <c r="E293" s="21"/>
    </row>
    <row r="294" spans="2:5" ht="23.25" customHeight="1" x14ac:dyDescent="0.2">
      <c r="B294" s="19"/>
      <c r="C294" s="90"/>
      <c r="D294" s="90"/>
      <c r="E294" s="90"/>
    </row>
    <row r="295" spans="2:5" x14ac:dyDescent="0.2">
      <c r="B295" s="18" t="s">
        <v>98</v>
      </c>
      <c r="C295" s="16"/>
      <c r="D295" s="16"/>
      <c r="E295" s="17"/>
    </row>
    <row r="296" spans="2:5" x14ac:dyDescent="0.2">
      <c r="B296" s="18"/>
      <c r="C296" s="91"/>
      <c r="D296" s="91"/>
      <c r="E296" s="91"/>
    </row>
    <row r="297" spans="2:5" ht="13.5" thickBot="1" x14ac:dyDescent="0.25">
      <c r="B297" s="22"/>
      <c r="C297" s="23"/>
      <c r="D297" s="23"/>
      <c r="E297" s="24"/>
    </row>
    <row r="298" spans="2:5" ht="5.25" customHeight="1" thickBot="1" x14ac:dyDescent="0.25"/>
    <row r="299" spans="2:5" x14ac:dyDescent="0.2">
      <c r="B299" s="12" t="s">
        <v>129</v>
      </c>
      <c r="C299" s="13"/>
      <c r="D299" s="13"/>
      <c r="E299" s="14"/>
    </row>
    <row r="300" spans="2:5" ht="41.25" customHeight="1" x14ac:dyDescent="0.2">
      <c r="B300" s="15"/>
      <c r="C300" s="16"/>
      <c r="D300" s="16"/>
      <c r="E300" s="17"/>
    </row>
    <row r="301" spans="2:5" x14ac:dyDescent="0.2">
      <c r="B301" s="18" t="s">
        <v>93</v>
      </c>
      <c r="C301" s="16"/>
      <c r="D301" s="16"/>
      <c r="E301" s="17"/>
    </row>
    <row r="302" spans="2:5" x14ac:dyDescent="0.2">
      <c r="B302" s="18"/>
      <c r="C302" s="89" t="s">
        <v>189</v>
      </c>
      <c r="D302" s="89"/>
      <c r="E302" s="89"/>
    </row>
    <row r="303" spans="2:5" x14ac:dyDescent="0.2">
      <c r="B303" s="18" t="s">
        <v>95</v>
      </c>
      <c r="C303" s="16"/>
      <c r="D303" s="16"/>
      <c r="E303" s="17"/>
    </row>
    <row r="304" spans="2:5" x14ac:dyDescent="0.2">
      <c r="B304" s="19"/>
      <c r="C304" s="93"/>
      <c r="D304" s="93"/>
      <c r="E304" s="93"/>
    </row>
    <row r="305" spans="2:5" ht="26.25" customHeight="1" x14ac:dyDescent="0.2">
      <c r="B305" s="19"/>
      <c r="C305" s="92"/>
      <c r="D305" s="92"/>
      <c r="E305" s="92"/>
    </row>
    <row r="306" spans="2:5" x14ac:dyDescent="0.2">
      <c r="B306" s="18" t="s">
        <v>96</v>
      </c>
      <c r="C306" s="16"/>
      <c r="D306" s="16"/>
      <c r="E306" s="17"/>
    </row>
    <row r="307" spans="2:5" ht="26.25" customHeight="1" x14ac:dyDescent="0.2">
      <c r="B307" s="19"/>
      <c r="C307" s="89"/>
      <c r="D307" s="89"/>
      <c r="E307" s="89"/>
    </row>
    <row r="308" spans="2:5" x14ac:dyDescent="0.2">
      <c r="B308" s="18" t="s">
        <v>97</v>
      </c>
      <c r="C308" s="20"/>
      <c r="D308" s="20"/>
      <c r="E308" s="21"/>
    </row>
    <row r="309" spans="2:5" ht="23.25" customHeight="1" x14ac:dyDescent="0.2">
      <c r="B309" s="19"/>
      <c r="C309" s="90"/>
      <c r="D309" s="90"/>
      <c r="E309" s="90"/>
    </row>
    <row r="310" spans="2:5" x14ac:dyDescent="0.2">
      <c r="B310" s="18" t="s">
        <v>98</v>
      </c>
      <c r="C310" s="16"/>
      <c r="D310" s="16"/>
      <c r="E310" s="17"/>
    </row>
    <row r="311" spans="2:5" x14ac:dyDescent="0.2">
      <c r="B311" s="18"/>
      <c r="C311" s="91"/>
      <c r="D311" s="91"/>
      <c r="E311" s="91"/>
    </row>
    <row r="312" spans="2:5" ht="13.5" thickBot="1" x14ac:dyDescent="0.25">
      <c r="B312" s="22"/>
      <c r="C312" s="23"/>
      <c r="D312" s="23"/>
      <c r="E312" s="24"/>
    </row>
    <row r="313" spans="2:5" ht="5.25" customHeight="1" thickBot="1" x14ac:dyDescent="0.25"/>
    <row r="314" spans="2:5" x14ac:dyDescent="0.2">
      <c r="B314" s="12" t="s">
        <v>130</v>
      </c>
      <c r="C314" s="13"/>
      <c r="D314" s="13"/>
      <c r="E314" s="14"/>
    </row>
    <row r="315" spans="2:5" ht="41.25" customHeight="1" x14ac:dyDescent="0.2">
      <c r="B315" s="15"/>
      <c r="C315" s="16"/>
      <c r="D315" s="16"/>
      <c r="E315" s="17"/>
    </row>
    <row r="316" spans="2:5" x14ac:dyDescent="0.2">
      <c r="B316" s="18" t="s">
        <v>93</v>
      </c>
      <c r="C316" s="16"/>
      <c r="D316" s="16"/>
      <c r="E316" s="17"/>
    </row>
    <row r="317" spans="2:5" x14ac:dyDescent="0.2">
      <c r="B317" s="18"/>
      <c r="C317" s="89" t="s">
        <v>190</v>
      </c>
      <c r="D317" s="89"/>
      <c r="E317" s="89"/>
    </row>
    <row r="318" spans="2:5" x14ac:dyDescent="0.2">
      <c r="B318" s="18" t="s">
        <v>95</v>
      </c>
      <c r="C318" s="16"/>
      <c r="D318" s="16"/>
      <c r="E318" s="17"/>
    </row>
    <row r="319" spans="2:5" x14ac:dyDescent="0.2">
      <c r="B319" s="19"/>
      <c r="C319" s="93"/>
      <c r="D319" s="93"/>
      <c r="E319" s="93"/>
    </row>
    <row r="320" spans="2:5" ht="26.25" customHeight="1" x14ac:dyDescent="0.2">
      <c r="B320" s="19"/>
      <c r="C320" s="92"/>
      <c r="D320" s="92"/>
      <c r="E320" s="92"/>
    </row>
    <row r="321" spans="2:5" x14ac:dyDescent="0.2">
      <c r="B321" s="18" t="s">
        <v>96</v>
      </c>
      <c r="C321" s="16"/>
      <c r="D321" s="16"/>
      <c r="E321" s="17"/>
    </row>
    <row r="322" spans="2:5" ht="26.25" customHeight="1" x14ac:dyDescent="0.2">
      <c r="B322" s="19"/>
      <c r="C322" s="89"/>
      <c r="D322" s="89"/>
      <c r="E322" s="89"/>
    </row>
    <row r="323" spans="2:5" x14ac:dyDescent="0.2">
      <c r="B323" s="18" t="s">
        <v>97</v>
      </c>
      <c r="C323" s="20"/>
      <c r="D323" s="20"/>
      <c r="E323" s="21"/>
    </row>
    <row r="324" spans="2:5" ht="23.25" customHeight="1" x14ac:dyDescent="0.2">
      <c r="B324" s="19"/>
      <c r="C324" s="90"/>
      <c r="D324" s="90"/>
      <c r="E324" s="90"/>
    </row>
    <row r="325" spans="2:5" x14ac:dyDescent="0.2">
      <c r="B325" s="18" t="s">
        <v>98</v>
      </c>
      <c r="C325" s="16"/>
      <c r="D325" s="16"/>
      <c r="E325" s="17"/>
    </row>
    <row r="326" spans="2:5" x14ac:dyDescent="0.2">
      <c r="B326" s="18"/>
      <c r="C326" s="91"/>
      <c r="D326" s="91"/>
      <c r="E326" s="91"/>
    </row>
    <row r="327" spans="2:5" ht="13.5" thickBot="1" x14ac:dyDescent="0.25">
      <c r="B327" s="22"/>
      <c r="C327" s="23"/>
      <c r="D327" s="23"/>
      <c r="E327" s="24"/>
    </row>
    <row r="328" spans="2:5" ht="5.25" customHeight="1" thickBot="1" x14ac:dyDescent="0.25"/>
    <row r="329" spans="2:5" x14ac:dyDescent="0.2">
      <c r="B329" s="12" t="s">
        <v>131</v>
      </c>
      <c r="C329" s="13"/>
      <c r="D329" s="13"/>
      <c r="E329" s="14"/>
    </row>
    <row r="330" spans="2:5" ht="41.25" customHeight="1" x14ac:dyDescent="0.2">
      <c r="B330" s="15"/>
      <c r="C330" s="16"/>
      <c r="D330" s="16"/>
      <c r="E330" s="17"/>
    </row>
    <row r="331" spans="2:5" x14ac:dyDescent="0.2">
      <c r="B331" s="18" t="s">
        <v>93</v>
      </c>
      <c r="C331" s="16"/>
      <c r="D331" s="16"/>
      <c r="E331" s="17"/>
    </row>
    <row r="332" spans="2:5" x14ac:dyDescent="0.2">
      <c r="B332" s="18"/>
      <c r="C332" s="89" t="s">
        <v>191</v>
      </c>
      <c r="D332" s="89"/>
      <c r="E332" s="89"/>
    </row>
    <row r="333" spans="2:5" x14ac:dyDescent="0.2">
      <c r="B333" s="18" t="s">
        <v>95</v>
      </c>
      <c r="C333" s="16"/>
      <c r="D333" s="16"/>
      <c r="E333" s="17"/>
    </row>
    <row r="334" spans="2:5" x14ac:dyDescent="0.2">
      <c r="B334" s="19"/>
      <c r="C334" s="93"/>
      <c r="D334" s="93"/>
      <c r="E334" s="93"/>
    </row>
    <row r="335" spans="2:5" ht="26.25" customHeight="1" x14ac:dyDescent="0.2">
      <c r="B335" s="19"/>
      <c r="C335" s="92"/>
      <c r="D335" s="92"/>
      <c r="E335" s="92"/>
    </row>
    <row r="336" spans="2:5" x14ac:dyDescent="0.2">
      <c r="B336" s="18" t="s">
        <v>96</v>
      </c>
      <c r="C336" s="16"/>
      <c r="D336" s="16"/>
      <c r="E336" s="17"/>
    </row>
    <row r="337" spans="2:5" ht="26.25" customHeight="1" x14ac:dyDescent="0.2">
      <c r="B337" s="19"/>
      <c r="C337" s="89"/>
      <c r="D337" s="89"/>
      <c r="E337" s="89"/>
    </row>
    <row r="338" spans="2:5" x14ac:dyDescent="0.2">
      <c r="B338" s="18" t="s">
        <v>97</v>
      </c>
      <c r="C338" s="20"/>
      <c r="D338" s="20"/>
      <c r="E338" s="21"/>
    </row>
    <row r="339" spans="2:5" ht="23.25" customHeight="1" x14ac:dyDescent="0.2">
      <c r="B339" s="19"/>
      <c r="C339" s="90"/>
      <c r="D339" s="90"/>
      <c r="E339" s="90"/>
    </row>
    <row r="340" spans="2:5" x14ac:dyDescent="0.2">
      <c r="B340" s="18" t="s">
        <v>98</v>
      </c>
      <c r="C340" s="16"/>
      <c r="D340" s="16"/>
      <c r="E340" s="17"/>
    </row>
    <row r="341" spans="2:5" x14ac:dyDescent="0.2">
      <c r="B341" s="18"/>
      <c r="C341" s="91"/>
      <c r="D341" s="91"/>
      <c r="E341" s="91"/>
    </row>
    <row r="342" spans="2:5" ht="13.5" thickBot="1" x14ac:dyDescent="0.25">
      <c r="B342" s="22"/>
      <c r="C342" s="23"/>
      <c r="D342" s="23"/>
      <c r="E342" s="24"/>
    </row>
    <row r="343" spans="2:5" ht="5.25" customHeight="1" thickBot="1" x14ac:dyDescent="0.25"/>
    <row r="344" spans="2:5" x14ac:dyDescent="0.2">
      <c r="B344" s="12" t="s">
        <v>132</v>
      </c>
      <c r="C344" s="13"/>
      <c r="D344" s="13"/>
      <c r="E344" s="14"/>
    </row>
    <row r="345" spans="2:5" ht="41.25" customHeight="1" x14ac:dyDescent="0.2">
      <c r="B345" s="15"/>
      <c r="C345" s="16"/>
      <c r="D345" s="16"/>
      <c r="E345" s="17"/>
    </row>
    <row r="346" spans="2:5" x14ac:dyDescent="0.2">
      <c r="B346" s="18" t="s">
        <v>93</v>
      </c>
      <c r="C346" s="16"/>
      <c r="D346" s="16"/>
      <c r="E346" s="17"/>
    </row>
    <row r="347" spans="2:5" x14ac:dyDescent="0.2">
      <c r="B347" s="18"/>
      <c r="C347" s="89" t="s">
        <v>133</v>
      </c>
      <c r="D347" s="89"/>
      <c r="E347" s="89"/>
    </row>
    <row r="348" spans="2:5" x14ac:dyDescent="0.2">
      <c r="B348" s="18" t="s">
        <v>95</v>
      </c>
      <c r="C348" s="16"/>
      <c r="D348" s="16"/>
      <c r="E348" s="17"/>
    </row>
    <row r="349" spans="2:5" x14ac:dyDescent="0.2">
      <c r="B349" s="19"/>
      <c r="C349" s="93"/>
      <c r="D349" s="93"/>
      <c r="E349" s="93"/>
    </row>
    <row r="350" spans="2:5" ht="26.25" customHeight="1" x14ac:dyDescent="0.2">
      <c r="B350" s="19"/>
      <c r="C350" s="92"/>
      <c r="D350" s="92"/>
      <c r="E350" s="92"/>
    </row>
    <row r="351" spans="2:5" x14ac:dyDescent="0.2">
      <c r="B351" s="18" t="s">
        <v>96</v>
      </c>
      <c r="C351" s="16"/>
      <c r="D351" s="16"/>
      <c r="E351" s="17"/>
    </row>
    <row r="352" spans="2:5" ht="26.25" customHeight="1" x14ac:dyDescent="0.2">
      <c r="B352" s="19"/>
      <c r="C352" s="89"/>
      <c r="D352" s="89"/>
      <c r="E352" s="89"/>
    </row>
    <row r="353" spans="2:5" x14ac:dyDescent="0.2">
      <c r="B353" s="18" t="s">
        <v>97</v>
      </c>
      <c r="C353" s="20"/>
      <c r="D353" s="20"/>
      <c r="E353" s="21"/>
    </row>
    <row r="354" spans="2:5" ht="23.25" customHeight="1" x14ac:dyDescent="0.2">
      <c r="B354" s="19"/>
      <c r="C354" s="90"/>
      <c r="D354" s="90"/>
      <c r="E354" s="90"/>
    </row>
    <row r="355" spans="2:5" x14ac:dyDescent="0.2">
      <c r="B355" s="18" t="s">
        <v>98</v>
      </c>
      <c r="C355" s="16"/>
      <c r="D355" s="16"/>
      <c r="E355" s="17"/>
    </row>
    <row r="356" spans="2:5" x14ac:dyDescent="0.2">
      <c r="B356" s="18"/>
      <c r="C356" s="91"/>
      <c r="D356" s="91"/>
      <c r="E356" s="91"/>
    </row>
    <row r="357" spans="2:5" ht="13.5" thickBot="1" x14ac:dyDescent="0.25">
      <c r="B357" s="22"/>
      <c r="C357" s="23"/>
      <c r="D357" s="23"/>
      <c r="E357" s="24"/>
    </row>
    <row r="358" spans="2:5" ht="5.25" customHeight="1" thickBot="1" x14ac:dyDescent="0.25"/>
    <row r="359" spans="2:5" x14ac:dyDescent="0.2">
      <c r="B359" s="12" t="s">
        <v>134</v>
      </c>
      <c r="C359" s="13"/>
      <c r="D359" s="13"/>
      <c r="E359" s="14"/>
    </row>
    <row r="360" spans="2:5" ht="41.25" customHeight="1" x14ac:dyDescent="0.2">
      <c r="B360" s="15"/>
      <c r="C360" s="16"/>
      <c r="D360" s="16"/>
      <c r="E360" s="17"/>
    </row>
    <row r="361" spans="2:5" x14ac:dyDescent="0.2">
      <c r="B361" s="18" t="s">
        <v>93</v>
      </c>
      <c r="C361" s="16"/>
      <c r="D361" s="16"/>
      <c r="E361" s="17"/>
    </row>
    <row r="362" spans="2:5" x14ac:dyDescent="0.2">
      <c r="B362" s="18"/>
      <c r="C362" s="89" t="s">
        <v>192</v>
      </c>
      <c r="D362" s="89"/>
      <c r="E362" s="89"/>
    </row>
    <row r="363" spans="2:5" x14ac:dyDescent="0.2">
      <c r="B363" s="18" t="s">
        <v>95</v>
      </c>
      <c r="C363" s="16"/>
      <c r="D363" s="16"/>
      <c r="E363" s="17"/>
    </row>
    <row r="364" spans="2:5" x14ac:dyDescent="0.2">
      <c r="B364" s="19"/>
      <c r="C364" s="93"/>
      <c r="D364" s="93"/>
      <c r="E364" s="93"/>
    </row>
    <row r="365" spans="2:5" ht="26.25" customHeight="1" x14ac:dyDescent="0.2">
      <c r="B365" s="19"/>
      <c r="C365" s="92"/>
      <c r="D365" s="92"/>
      <c r="E365" s="92"/>
    </row>
    <row r="366" spans="2:5" x14ac:dyDescent="0.2">
      <c r="B366" s="18" t="s">
        <v>96</v>
      </c>
      <c r="C366" s="16"/>
      <c r="D366" s="16"/>
      <c r="E366" s="17"/>
    </row>
    <row r="367" spans="2:5" ht="26.25" customHeight="1" x14ac:dyDescent="0.2">
      <c r="B367" s="19"/>
      <c r="C367" s="89"/>
      <c r="D367" s="89"/>
      <c r="E367" s="89"/>
    </row>
    <row r="368" spans="2:5" x14ac:dyDescent="0.2">
      <c r="B368" s="18" t="s">
        <v>97</v>
      </c>
      <c r="C368" s="20"/>
      <c r="D368" s="20"/>
      <c r="E368" s="21"/>
    </row>
    <row r="369" spans="2:5" ht="23.25" customHeight="1" x14ac:dyDescent="0.2">
      <c r="B369" s="19"/>
      <c r="C369" s="90"/>
      <c r="D369" s="90"/>
      <c r="E369" s="90"/>
    </row>
    <row r="370" spans="2:5" x14ac:dyDescent="0.2">
      <c r="B370" s="18" t="s">
        <v>98</v>
      </c>
      <c r="C370" s="16"/>
      <c r="D370" s="16"/>
      <c r="E370" s="17"/>
    </row>
    <row r="371" spans="2:5" x14ac:dyDescent="0.2">
      <c r="B371" s="18"/>
      <c r="C371" s="91"/>
      <c r="D371" s="91"/>
      <c r="E371" s="91"/>
    </row>
    <row r="372" spans="2:5" ht="13.5" thickBot="1" x14ac:dyDescent="0.25">
      <c r="B372" s="22"/>
      <c r="C372" s="23"/>
      <c r="D372" s="23"/>
      <c r="E372" s="24"/>
    </row>
    <row r="373" spans="2:5" ht="5.25" customHeight="1" thickBot="1" x14ac:dyDescent="0.25"/>
    <row r="374" spans="2:5" x14ac:dyDescent="0.2">
      <c r="B374" s="12" t="s">
        <v>135</v>
      </c>
      <c r="C374" s="13"/>
      <c r="D374" s="13"/>
      <c r="E374" s="14"/>
    </row>
    <row r="375" spans="2:5" ht="41.25" customHeight="1" x14ac:dyDescent="0.2">
      <c r="B375" s="15"/>
      <c r="C375" s="16"/>
      <c r="D375" s="16"/>
      <c r="E375" s="17"/>
    </row>
    <row r="376" spans="2:5" x14ac:dyDescent="0.2">
      <c r="B376" s="18" t="s">
        <v>93</v>
      </c>
      <c r="C376" s="16"/>
      <c r="D376" s="16"/>
      <c r="E376" s="17"/>
    </row>
    <row r="377" spans="2:5" x14ac:dyDescent="0.2">
      <c r="B377" s="18"/>
      <c r="C377" s="89" t="s">
        <v>193</v>
      </c>
      <c r="D377" s="89"/>
      <c r="E377" s="89"/>
    </row>
    <row r="378" spans="2:5" x14ac:dyDescent="0.2">
      <c r="B378" s="18" t="s">
        <v>95</v>
      </c>
      <c r="C378" s="16"/>
      <c r="D378" s="16"/>
      <c r="E378" s="17"/>
    </row>
    <row r="379" spans="2:5" x14ac:dyDescent="0.2">
      <c r="B379" s="19"/>
      <c r="C379" s="93"/>
      <c r="D379" s="93"/>
      <c r="E379" s="93"/>
    </row>
    <row r="380" spans="2:5" ht="26.25" customHeight="1" x14ac:dyDescent="0.2">
      <c r="B380" s="19"/>
      <c r="C380" s="92"/>
      <c r="D380" s="92"/>
      <c r="E380" s="92"/>
    </row>
    <row r="381" spans="2:5" x14ac:dyDescent="0.2">
      <c r="B381" s="18" t="s">
        <v>96</v>
      </c>
      <c r="C381" s="16"/>
      <c r="D381" s="16"/>
      <c r="E381" s="17"/>
    </row>
    <row r="382" spans="2:5" ht="26.25" customHeight="1" x14ac:dyDescent="0.2">
      <c r="B382" s="19"/>
      <c r="C382" s="89"/>
      <c r="D382" s="89"/>
      <c r="E382" s="89"/>
    </row>
    <row r="383" spans="2:5" x14ac:dyDescent="0.2">
      <c r="B383" s="18" t="s">
        <v>97</v>
      </c>
      <c r="C383" s="20"/>
      <c r="D383" s="20"/>
      <c r="E383" s="21"/>
    </row>
    <row r="384" spans="2:5" ht="23.25" customHeight="1" x14ac:dyDescent="0.2">
      <c r="B384" s="19"/>
      <c r="C384" s="90"/>
      <c r="D384" s="90"/>
      <c r="E384" s="90"/>
    </row>
    <row r="385" spans="2:5" x14ac:dyDescent="0.2">
      <c r="B385" s="18" t="s">
        <v>98</v>
      </c>
      <c r="C385" s="16"/>
      <c r="D385" s="16"/>
      <c r="E385" s="17"/>
    </row>
    <row r="386" spans="2:5" x14ac:dyDescent="0.2">
      <c r="B386" s="18"/>
      <c r="C386" s="91"/>
      <c r="D386" s="91"/>
      <c r="E386" s="91"/>
    </row>
    <row r="387" spans="2:5" ht="13.5" thickBot="1" x14ac:dyDescent="0.25">
      <c r="B387" s="22"/>
      <c r="C387" s="23"/>
      <c r="D387" s="23"/>
      <c r="E387" s="24"/>
    </row>
    <row r="388" spans="2:5" ht="5.25" customHeight="1" thickBot="1" x14ac:dyDescent="0.25"/>
    <row r="389" spans="2:5" x14ac:dyDescent="0.2">
      <c r="B389" s="12" t="s">
        <v>136</v>
      </c>
      <c r="C389" s="13"/>
      <c r="D389" s="13"/>
      <c r="E389" s="14"/>
    </row>
    <row r="390" spans="2:5" ht="41.25" customHeight="1" x14ac:dyDescent="0.2">
      <c r="B390" s="15"/>
      <c r="C390" s="16"/>
      <c r="D390" s="16"/>
      <c r="E390" s="17"/>
    </row>
    <row r="391" spans="2:5" x14ac:dyDescent="0.2">
      <c r="B391" s="18" t="s">
        <v>93</v>
      </c>
      <c r="C391" s="16"/>
      <c r="D391" s="16"/>
      <c r="E391" s="17"/>
    </row>
    <row r="392" spans="2:5" x14ac:dyDescent="0.2">
      <c r="B392" s="18"/>
      <c r="C392" s="89" t="s">
        <v>194</v>
      </c>
      <c r="D392" s="89"/>
      <c r="E392" s="89"/>
    </row>
    <row r="393" spans="2:5" x14ac:dyDescent="0.2">
      <c r="B393" s="18" t="s">
        <v>95</v>
      </c>
      <c r="C393" s="16"/>
      <c r="D393" s="16"/>
      <c r="E393" s="17"/>
    </row>
    <row r="394" spans="2:5" x14ac:dyDescent="0.2">
      <c r="B394" s="19"/>
      <c r="C394" s="93"/>
      <c r="D394" s="93"/>
      <c r="E394" s="93"/>
    </row>
    <row r="395" spans="2:5" ht="26.25" customHeight="1" x14ac:dyDescent="0.2">
      <c r="B395" s="19"/>
      <c r="C395" s="92"/>
      <c r="D395" s="92"/>
      <c r="E395" s="92"/>
    </row>
    <row r="396" spans="2:5" x14ac:dyDescent="0.2">
      <c r="B396" s="18" t="s">
        <v>96</v>
      </c>
      <c r="C396" s="16"/>
      <c r="D396" s="16"/>
      <c r="E396" s="17"/>
    </row>
    <row r="397" spans="2:5" ht="26.25" customHeight="1" x14ac:dyDescent="0.2">
      <c r="B397" s="19"/>
      <c r="C397" s="89"/>
      <c r="D397" s="89"/>
      <c r="E397" s="89"/>
    </row>
    <row r="398" spans="2:5" x14ac:dyDescent="0.2">
      <c r="B398" s="18" t="s">
        <v>97</v>
      </c>
      <c r="C398" s="20"/>
      <c r="D398" s="20"/>
      <c r="E398" s="21"/>
    </row>
    <row r="399" spans="2:5" ht="23.25" customHeight="1" x14ac:dyDescent="0.2">
      <c r="B399" s="19"/>
      <c r="C399" s="90"/>
      <c r="D399" s="90"/>
      <c r="E399" s="90"/>
    </row>
    <row r="400" spans="2:5" x14ac:dyDescent="0.2">
      <c r="B400" s="18" t="s">
        <v>98</v>
      </c>
      <c r="C400" s="16"/>
      <c r="D400" s="16"/>
      <c r="E400" s="17"/>
    </row>
    <row r="401" spans="2:5" x14ac:dyDescent="0.2">
      <c r="B401" s="18"/>
      <c r="C401" s="91"/>
      <c r="D401" s="91"/>
      <c r="E401" s="91"/>
    </row>
    <row r="402" spans="2:5" ht="13.5" thickBot="1" x14ac:dyDescent="0.25">
      <c r="B402" s="22"/>
      <c r="C402" s="23"/>
      <c r="D402" s="23"/>
      <c r="E402" s="24"/>
    </row>
    <row r="403" spans="2:5" ht="5.25" customHeight="1" thickBot="1" x14ac:dyDescent="0.25"/>
    <row r="404" spans="2:5" x14ac:dyDescent="0.2">
      <c r="B404" s="12" t="s">
        <v>137</v>
      </c>
      <c r="C404" s="13"/>
      <c r="D404" s="13"/>
      <c r="E404" s="14"/>
    </row>
    <row r="405" spans="2:5" ht="41.25" customHeight="1" x14ac:dyDescent="0.2">
      <c r="B405" s="15"/>
      <c r="C405" s="16"/>
      <c r="D405" s="16"/>
      <c r="E405" s="17"/>
    </row>
    <row r="406" spans="2:5" x14ac:dyDescent="0.2">
      <c r="B406" s="18" t="s">
        <v>93</v>
      </c>
      <c r="C406" s="16"/>
      <c r="D406" s="16"/>
      <c r="E406" s="17"/>
    </row>
    <row r="407" spans="2:5" x14ac:dyDescent="0.2">
      <c r="B407" s="18"/>
      <c r="C407" s="89" t="s">
        <v>195</v>
      </c>
      <c r="D407" s="89"/>
      <c r="E407" s="89"/>
    </row>
    <row r="408" spans="2:5" x14ac:dyDescent="0.2">
      <c r="B408" s="18" t="s">
        <v>95</v>
      </c>
      <c r="C408" s="16"/>
      <c r="D408" s="16"/>
      <c r="E408" s="17"/>
    </row>
    <row r="409" spans="2:5" x14ac:dyDescent="0.2">
      <c r="B409" s="19"/>
      <c r="C409" s="93"/>
      <c r="D409" s="93"/>
      <c r="E409" s="93"/>
    </row>
    <row r="410" spans="2:5" ht="26.25" customHeight="1" x14ac:dyDescent="0.2">
      <c r="B410" s="19"/>
      <c r="C410" s="92"/>
      <c r="D410" s="92"/>
      <c r="E410" s="92"/>
    </row>
    <row r="411" spans="2:5" x14ac:dyDescent="0.2">
      <c r="B411" s="18" t="s">
        <v>96</v>
      </c>
      <c r="C411" s="16"/>
      <c r="D411" s="16"/>
      <c r="E411" s="17"/>
    </row>
    <row r="412" spans="2:5" ht="26.25" customHeight="1" x14ac:dyDescent="0.2">
      <c r="B412" s="19"/>
      <c r="C412" s="89"/>
      <c r="D412" s="89"/>
      <c r="E412" s="89"/>
    </row>
    <row r="413" spans="2:5" x14ac:dyDescent="0.2">
      <c r="B413" s="18" t="s">
        <v>97</v>
      </c>
      <c r="C413" s="20"/>
      <c r="D413" s="20"/>
      <c r="E413" s="21"/>
    </row>
    <row r="414" spans="2:5" ht="23.25" customHeight="1" x14ac:dyDescent="0.2">
      <c r="B414" s="19"/>
      <c r="C414" s="90"/>
      <c r="D414" s="90"/>
      <c r="E414" s="90"/>
    </row>
    <row r="415" spans="2:5" x14ac:dyDescent="0.2">
      <c r="B415" s="18" t="s">
        <v>98</v>
      </c>
      <c r="C415" s="16"/>
      <c r="D415" s="16"/>
      <c r="E415" s="17"/>
    </row>
    <row r="416" spans="2:5" x14ac:dyDescent="0.2">
      <c r="B416" s="18"/>
      <c r="C416" s="91"/>
      <c r="D416" s="91"/>
      <c r="E416" s="91"/>
    </row>
    <row r="417" spans="2:5" ht="13.5" thickBot="1" x14ac:dyDescent="0.25">
      <c r="B417" s="22"/>
      <c r="C417" s="23"/>
      <c r="D417" s="23"/>
      <c r="E417" s="24"/>
    </row>
  </sheetData>
  <autoFilter ref="A9:I52" xr:uid="{00000000-0009-0000-0000-000000000000}"/>
  <mergeCells count="153">
    <mergeCell ref="B2:H2"/>
    <mergeCell ref="A4:B4"/>
    <mergeCell ref="C4:E4"/>
    <mergeCell ref="A5:B5"/>
    <mergeCell ref="C5:E5"/>
    <mergeCell ref="A6:B6"/>
    <mergeCell ref="C67:E67"/>
    <mergeCell ref="B55:E55"/>
    <mergeCell ref="B56:E56"/>
    <mergeCell ref="C62:E62"/>
    <mergeCell ref="C64:E64"/>
    <mergeCell ref="C69:E69"/>
    <mergeCell ref="C71:E71"/>
    <mergeCell ref="C80:E80"/>
    <mergeCell ref="A7:B7"/>
    <mergeCell ref="C65:E65"/>
    <mergeCell ref="C77:E77"/>
    <mergeCell ref="C79:E79"/>
    <mergeCell ref="C97:E97"/>
    <mergeCell ref="C110:E110"/>
    <mergeCell ref="C82:E82"/>
    <mergeCell ref="C95:E95"/>
    <mergeCell ref="C84:E84"/>
    <mergeCell ref="C86:E86"/>
    <mergeCell ref="C92:E92"/>
    <mergeCell ref="C94:E94"/>
    <mergeCell ref="C99:E99"/>
    <mergeCell ref="C101:E101"/>
    <mergeCell ref="C107:E107"/>
    <mergeCell ref="C109:E109"/>
    <mergeCell ref="C127:E127"/>
    <mergeCell ref="C140:E140"/>
    <mergeCell ref="C112:E112"/>
    <mergeCell ref="C125:E125"/>
    <mergeCell ref="C114:E114"/>
    <mergeCell ref="C116:E116"/>
    <mergeCell ref="C122:E122"/>
    <mergeCell ref="C124:E124"/>
    <mergeCell ref="C129:E129"/>
    <mergeCell ref="C131:E131"/>
    <mergeCell ref="C137:E137"/>
    <mergeCell ref="C139:E139"/>
    <mergeCell ref="C157:E157"/>
    <mergeCell ref="C170:E170"/>
    <mergeCell ref="C142:E142"/>
    <mergeCell ref="C155:E155"/>
    <mergeCell ref="C144:E144"/>
    <mergeCell ref="C146:E146"/>
    <mergeCell ref="C152:E152"/>
    <mergeCell ref="C154:E154"/>
    <mergeCell ref="C159:E159"/>
    <mergeCell ref="C161:E161"/>
    <mergeCell ref="C167:E167"/>
    <mergeCell ref="C169:E169"/>
    <mergeCell ref="C187:E187"/>
    <mergeCell ref="C200:E200"/>
    <mergeCell ref="C172:E172"/>
    <mergeCell ref="C185:E185"/>
    <mergeCell ref="C174:E174"/>
    <mergeCell ref="C176:E176"/>
    <mergeCell ref="C182:E182"/>
    <mergeCell ref="C184:E184"/>
    <mergeCell ref="C189:E189"/>
    <mergeCell ref="C191:E191"/>
    <mergeCell ref="C197:E197"/>
    <mergeCell ref="C199:E199"/>
    <mergeCell ref="C217:E217"/>
    <mergeCell ref="C230:E230"/>
    <mergeCell ref="C202:E202"/>
    <mergeCell ref="C215:E215"/>
    <mergeCell ref="C204:E204"/>
    <mergeCell ref="C206:E206"/>
    <mergeCell ref="C212:E212"/>
    <mergeCell ref="C214:E214"/>
    <mergeCell ref="C219:E219"/>
    <mergeCell ref="C221:E221"/>
    <mergeCell ref="C227:E227"/>
    <mergeCell ref="C229:E229"/>
    <mergeCell ref="C247:E247"/>
    <mergeCell ref="C260:E260"/>
    <mergeCell ref="C232:E232"/>
    <mergeCell ref="C245:E245"/>
    <mergeCell ref="C234:E234"/>
    <mergeCell ref="C236:E236"/>
    <mergeCell ref="C242:E242"/>
    <mergeCell ref="C244:E244"/>
    <mergeCell ref="C249:E249"/>
    <mergeCell ref="C251:E251"/>
    <mergeCell ref="C257:E257"/>
    <mergeCell ref="C259:E259"/>
    <mergeCell ref="C277:E277"/>
    <mergeCell ref="C290:E290"/>
    <mergeCell ref="C262:E262"/>
    <mergeCell ref="C275:E275"/>
    <mergeCell ref="C264:E264"/>
    <mergeCell ref="C266:E266"/>
    <mergeCell ref="C272:E272"/>
    <mergeCell ref="C274:E274"/>
    <mergeCell ref="C279:E279"/>
    <mergeCell ref="C281:E281"/>
    <mergeCell ref="C287:E287"/>
    <mergeCell ref="C289:E289"/>
    <mergeCell ref="C307:E307"/>
    <mergeCell ref="C320:E320"/>
    <mergeCell ref="C292:E292"/>
    <mergeCell ref="C305:E305"/>
    <mergeCell ref="C294:E294"/>
    <mergeCell ref="C296:E296"/>
    <mergeCell ref="C302:E302"/>
    <mergeCell ref="C304:E304"/>
    <mergeCell ref="C309:E309"/>
    <mergeCell ref="C311:E311"/>
    <mergeCell ref="C317:E317"/>
    <mergeCell ref="C319:E319"/>
    <mergeCell ref="C337:E337"/>
    <mergeCell ref="C350:E350"/>
    <mergeCell ref="C322:E322"/>
    <mergeCell ref="C335:E335"/>
    <mergeCell ref="C324:E324"/>
    <mergeCell ref="C326:E326"/>
    <mergeCell ref="C332:E332"/>
    <mergeCell ref="C334:E334"/>
    <mergeCell ref="C339:E339"/>
    <mergeCell ref="C341:E341"/>
    <mergeCell ref="C347:E347"/>
    <mergeCell ref="C349:E349"/>
    <mergeCell ref="C367:E367"/>
    <mergeCell ref="C380:E380"/>
    <mergeCell ref="C352:E352"/>
    <mergeCell ref="C365:E365"/>
    <mergeCell ref="C354:E354"/>
    <mergeCell ref="C356:E356"/>
    <mergeCell ref="C362:E362"/>
    <mergeCell ref="C364:E364"/>
    <mergeCell ref="C369:E369"/>
    <mergeCell ref="C371:E371"/>
    <mergeCell ref="C377:E377"/>
    <mergeCell ref="C379:E379"/>
    <mergeCell ref="C412:E412"/>
    <mergeCell ref="C414:E414"/>
    <mergeCell ref="C416:E416"/>
    <mergeCell ref="C397:E397"/>
    <mergeCell ref="C410:E410"/>
    <mergeCell ref="C382:E382"/>
    <mergeCell ref="C395:E395"/>
    <mergeCell ref="C384:E384"/>
    <mergeCell ref="C386:E386"/>
    <mergeCell ref="C392:E392"/>
    <mergeCell ref="C394:E394"/>
    <mergeCell ref="C399:E399"/>
    <mergeCell ref="C401:E401"/>
    <mergeCell ref="C407:E407"/>
    <mergeCell ref="C409:E40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5"/>
  <sheetViews>
    <sheetView zoomScale="70" zoomScaleNormal="70" workbookViewId="0">
      <selection activeCell="D6" sqref="D6:K6"/>
    </sheetView>
  </sheetViews>
  <sheetFormatPr baseColWidth="10" defaultColWidth="8.25" defaultRowHeight="12.75" x14ac:dyDescent="0.2"/>
  <cols>
    <col min="1" max="1" width="5" style="27" customWidth="1"/>
    <col min="2" max="2" width="13.625" style="27" customWidth="1"/>
    <col min="3" max="3" width="12.75" style="27" customWidth="1"/>
    <col min="4" max="4" width="23.375" style="27" customWidth="1"/>
    <col min="5" max="5" width="7.25" style="27" customWidth="1"/>
    <col min="6" max="6" width="7.125" style="27" customWidth="1"/>
    <col min="7" max="7" width="37.75" style="27" customWidth="1"/>
    <col min="8" max="8" width="8.375" style="27" customWidth="1"/>
    <col min="9" max="9" width="14" style="27" customWidth="1"/>
    <col min="10" max="10" width="13.25" style="27" customWidth="1"/>
    <col min="11" max="11" width="14" style="27" customWidth="1"/>
    <col min="12" max="14" width="5.25" style="27" customWidth="1"/>
    <col min="15" max="15" width="11.25" style="27" customWidth="1"/>
    <col min="16" max="1024" width="8.25" style="27"/>
    <col min="1025" max="16384" width="8.25" style="38"/>
  </cols>
  <sheetData>
    <row r="1" spans="1:11" ht="18" customHeight="1" thickBot="1" x14ac:dyDescent="0.25">
      <c r="A1" s="105" t="s">
        <v>138</v>
      </c>
      <c r="B1" s="105"/>
      <c r="C1" s="105"/>
      <c r="D1" s="105"/>
      <c r="E1" s="105"/>
      <c r="F1" s="105"/>
      <c r="G1" s="105"/>
      <c r="H1" s="105"/>
      <c r="I1" s="105"/>
      <c r="J1" s="25" t="s">
        <v>139</v>
      </c>
      <c r="K1" s="26" t="s">
        <v>207</v>
      </c>
    </row>
    <row r="2" spans="1:11" ht="18.75" customHeight="1" thickBot="1" x14ac:dyDescent="0.25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25">
      <c r="A3" s="106" t="s">
        <v>140</v>
      </c>
      <c r="B3" s="106"/>
      <c r="C3" s="106"/>
      <c r="D3" s="104" t="str">
        <f>'LIMPIEZA NT'!C4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3" t="s">
        <v>141</v>
      </c>
      <c r="B4" s="103"/>
      <c r="C4" s="103"/>
      <c r="D4" s="104" t="str">
        <f>'LIMPIEZA NT'!C5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3" t="s">
        <v>142</v>
      </c>
      <c r="B5" s="103"/>
      <c r="C5" s="103"/>
      <c r="D5" s="104" t="s">
        <v>211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6" t="s">
        <v>143</v>
      </c>
      <c r="B6" s="106"/>
      <c r="C6" s="106"/>
      <c r="D6" s="104" t="s">
        <v>208</v>
      </c>
      <c r="E6" s="104"/>
      <c r="F6" s="104"/>
      <c r="G6" s="104"/>
      <c r="H6" s="104"/>
      <c r="I6" s="104"/>
      <c r="J6" s="104"/>
      <c r="K6" s="104"/>
    </row>
    <row r="7" spans="1:11" ht="16.5" customHeight="1" thickBot="1" x14ac:dyDescent="0.25">
      <c r="A7" s="103" t="s">
        <v>144</v>
      </c>
      <c r="B7" s="103"/>
      <c r="C7" s="103"/>
      <c r="D7" s="104" t="str">
        <f>'LIMPIEZA NT'!C7 &amp; "° Trimestre - Año " &amp; 'LIMPIEZA NT'!C6</f>
        <v>2° Trimestre - Año 2021</v>
      </c>
      <c r="E7" s="104"/>
      <c r="F7" s="104"/>
      <c r="G7" s="104"/>
      <c r="H7" s="104"/>
      <c r="I7" s="104"/>
      <c r="J7" s="104"/>
      <c r="K7" s="104"/>
    </row>
    <row r="8" spans="1:11" ht="16.5" customHeight="1" thickBot="1" x14ac:dyDescent="0.25">
      <c r="A8" s="107" t="s">
        <v>145</v>
      </c>
      <c r="B8" s="107"/>
      <c r="C8" s="107"/>
      <c r="D8" s="108" t="s">
        <v>146</v>
      </c>
      <c r="E8" s="108"/>
      <c r="F8" s="108"/>
      <c r="G8" s="108"/>
      <c r="H8" s="108"/>
      <c r="I8" s="108"/>
      <c r="J8" s="108"/>
      <c r="K8" s="108"/>
    </row>
    <row r="9" spans="1:11" ht="16.5" thickBot="1" x14ac:dyDescent="0.25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thickBot="1" x14ac:dyDescent="0.25">
      <c r="A10" s="109" t="s">
        <v>147</v>
      </c>
      <c r="B10" s="101" t="s">
        <v>148</v>
      </c>
      <c r="C10" s="101" t="s">
        <v>149</v>
      </c>
      <c r="D10" s="101"/>
      <c r="E10" s="101"/>
      <c r="F10" s="101"/>
      <c r="G10" s="101"/>
      <c r="H10" s="101" t="s">
        <v>150</v>
      </c>
      <c r="I10" s="101" t="s">
        <v>151</v>
      </c>
      <c r="J10" s="101" t="s">
        <v>152</v>
      </c>
      <c r="K10" s="102" t="s">
        <v>153</v>
      </c>
    </row>
    <row r="11" spans="1:11" ht="24" customHeight="1" thickBot="1" x14ac:dyDescent="0.25">
      <c r="A11" s="109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45.75" customHeight="1" thickBot="1" x14ac:dyDescent="0.25">
      <c r="A12" s="32">
        <v>1</v>
      </c>
      <c r="B12" s="33" t="str">
        <f>'LIMPIEZA NT'!B10</f>
        <v>2.9.1-6951.28</v>
      </c>
      <c r="C12" s="100" t="str">
        <f>'LIMPIEZA NT'!E10</f>
        <v>LIMPIADORES; TIPO: LAVANDINA, PRESENTACION: ENVASE X 1 L</v>
      </c>
      <c r="D12" s="100"/>
      <c r="E12" s="100"/>
      <c r="F12" s="100"/>
      <c r="G12" s="100"/>
      <c r="H12" s="34" t="s">
        <v>154</v>
      </c>
      <c r="I12" s="35" t="str">
        <f>'LIMPIEZA NT'!F10</f>
        <v>UNIDAD</v>
      </c>
      <c r="J12" s="36">
        <f>'LIMPIEZA NT'!H10</f>
        <v>76.5</v>
      </c>
      <c r="K12" s="37">
        <f>'LIMPIEZA NT'!G10</f>
        <v>300</v>
      </c>
    </row>
    <row r="13" spans="1:11" ht="37.5" customHeight="1" thickBot="1" x14ac:dyDescent="0.25">
      <c r="A13" s="32">
        <v>2</v>
      </c>
      <c r="B13" s="33" t="str">
        <f>'LIMPIEZA NT'!B11</f>
        <v>2.9.1-564.23</v>
      </c>
      <c r="C13" s="100" t="str">
        <f>'LIMPIEZA NT'!E11</f>
        <v>BALDES DE PLASTICO; CAPACIDAD: 12 L, TIPO DE PLASTICO: POLIPROPILENO</v>
      </c>
      <c r="D13" s="100"/>
      <c r="E13" s="100"/>
      <c r="F13" s="100"/>
      <c r="G13" s="100"/>
      <c r="H13" s="34" t="s">
        <v>154</v>
      </c>
      <c r="I13" s="35" t="str">
        <f>'LIMPIEZA NT'!F11</f>
        <v>UNIDAD</v>
      </c>
      <c r="J13" s="36">
        <f>'LIMPIEZA NT'!H11</f>
        <v>284</v>
      </c>
      <c r="K13" s="37">
        <f>'LIMPIEZA NT'!G11</f>
        <v>50</v>
      </c>
    </row>
    <row r="14" spans="1:11" ht="28.5" customHeight="1" thickBot="1" x14ac:dyDescent="0.25">
      <c r="A14" s="32">
        <v>3</v>
      </c>
      <c r="B14" s="33" t="str">
        <f>'LIMPIEZA NT'!B12</f>
        <v>2.9.1-6950.8</v>
      </c>
      <c r="C14" s="100" t="str">
        <f>'LIMPIEZA NT'!E12</f>
        <v>LUSTRADORES; TIPO: CERA DE LUSTRAR LIQUIDA, PRESENTACION: ENVASE X 5 L</v>
      </c>
      <c r="D14" s="100"/>
      <c r="E14" s="100"/>
      <c r="F14" s="100"/>
      <c r="G14" s="100"/>
      <c r="H14" s="34" t="s">
        <v>154</v>
      </c>
      <c r="I14" s="35" t="str">
        <f>'LIMPIEZA NT'!F12</f>
        <v>UNIDAD</v>
      </c>
      <c r="J14" s="36">
        <f>'LIMPIEZA NT'!H12</f>
        <v>740</v>
      </c>
      <c r="K14" s="37">
        <f>'LIMPIEZA NT'!G12</f>
        <v>50</v>
      </c>
    </row>
    <row r="15" spans="1:11" ht="35.25" customHeight="1" thickBot="1" x14ac:dyDescent="0.25">
      <c r="A15" s="32">
        <v>4</v>
      </c>
      <c r="B15" s="33" t="str">
        <f>'LIMPIEZA NT'!B13</f>
        <v>2.9.1-6951.185</v>
      </c>
      <c r="C15" s="100" t="str">
        <f>'LIMPIEZA NT'!E13</f>
        <v>LIMPIADORES; TIPO: HIPOCLORITO, PRESENTACION: ENVASE X 5 L</v>
      </c>
      <c r="D15" s="100"/>
      <c r="E15" s="100"/>
      <c r="F15" s="100"/>
      <c r="G15" s="100"/>
      <c r="H15" s="34" t="s">
        <v>154</v>
      </c>
      <c r="I15" s="35" t="str">
        <f>'LIMPIEZA NT'!F13</f>
        <v>UNIDAD</v>
      </c>
      <c r="J15" s="36">
        <f>'LIMPIEZA NT'!H13</f>
        <v>330</v>
      </c>
      <c r="K15" s="37">
        <f>'LIMPIEZA NT'!G13</f>
        <v>200</v>
      </c>
    </row>
    <row r="16" spans="1:11" ht="33" customHeight="1" thickBot="1" x14ac:dyDescent="0.25">
      <c r="A16" s="32">
        <v>5</v>
      </c>
      <c r="B16" s="33" t="str">
        <f>'LIMPIEZA NT'!B14</f>
        <v>2.9.1-6951.290</v>
      </c>
      <c r="C16" s="100" t="str">
        <f>'LIMPIEZA NT'!E14</f>
        <v>LIMPIADORES; TIPO: DETERGENTE ENZIMATICO, PRESENTACION: ENVASE X 5 L, BIODEGRADABLE: SI</v>
      </c>
      <c r="D16" s="100"/>
      <c r="E16" s="100"/>
      <c r="F16" s="100"/>
      <c r="G16" s="100"/>
      <c r="H16" s="34" t="s">
        <v>154</v>
      </c>
      <c r="I16" s="35" t="str">
        <f>'LIMPIEZA NT'!F14</f>
        <v>UNIDAD</v>
      </c>
      <c r="J16" s="36">
        <f>'LIMPIEZA NT'!H14</f>
        <v>435</v>
      </c>
      <c r="K16" s="37">
        <f>'LIMPIEZA NT'!G14</f>
        <v>60</v>
      </c>
    </row>
    <row r="17" spans="1:11" ht="36" customHeight="1" thickBot="1" x14ac:dyDescent="0.25">
      <c r="A17" s="32">
        <v>6</v>
      </c>
      <c r="B17" s="33" t="str">
        <f>'LIMPIEZA NT'!B15</f>
        <v>2.9.1-6951.157</v>
      </c>
      <c r="C17" s="100" t="str">
        <f>'LIMPIEZA NT'!E15</f>
        <v>LIMPIADORES; TIPO: DESODORANTE LIQUIDO , PRESENTACION: BIDON X 5 L</v>
      </c>
      <c r="D17" s="100"/>
      <c r="E17" s="100"/>
      <c r="F17" s="100"/>
      <c r="G17" s="100"/>
      <c r="H17" s="34" t="s">
        <v>154</v>
      </c>
      <c r="I17" s="35" t="str">
        <f>'LIMPIEZA NT'!F15</f>
        <v>UNIDAD</v>
      </c>
      <c r="J17" s="36">
        <f>'LIMPIEZA NT'!H15</f>
        <v>210</v>
      </c>
      <c r="K17" s="37">
        <f>'LIMPIEZA NT'!G15</f>
        <v>720</v>
      </c>
    </row>
    <row r="18" spans="1:11" ht="39" customHeight="1" thickBot="1" x14ac:dyDescent="0.25">
      <c r="A18" s="32">
        <v>7</v>
      </c>
      <c r="B18" s="33" t="str">
        <f>'LIMPIEZA NT'!B16</f>
        <v>2.9.1-544.82</v>
      </c>
      <c r="C18" s="100" t="str">
        <f>'LIMPIEZA NT'!E16</f>
        <v>DESODORANTES DE AMBIENTE; FORMATO: AEROSOL, FRAGANCIA: ORIGINAL, PRESENTACION: ENVASE X 360 CM3, LIBRE DE CFC: SI</v>
      </c>
      <c r="D18" s="100"/>
      <c r="E18" s="100"/>
      <c r="F18" s="100"/>
      <c r="G18" s="100"/>
      <c r="H18" s="34" t="s">
        <v>154</v>
      </c>
      <c r="I18" s="35" t="str">
        <f>'LIMPIEZA NT'!F16</f>
        <v>UNIDAD</v>
      </c>
      <c r="J18" s="36">
        <f>'LIMPIEZA NT'!H16</f>
        <v>150</v>
      </c>
      <c r="K18" s="37">
        <f>'LIMPIEZA NT'!G16</f>
        <v>120</v>
      </c>
    </row>
    <row r="19" spans="1:11" ht="33" customHeight="1" thickBot="1" x14ac:dyDescent="0.25">
      <c r="A19" s="32">
        <v>8</v>
      </c>
      <c r="B19" s="33" t="str">
        <f>'LIMPIEZA NT'!B17</f>
        <v>2.5.4-505.13</v>
      </c>
      <c r="C19" s="100" t="str">
        <f>'LIMPIEZA NT'!E17</f>
        <v>DESINFECTANTES; CAPACIDAD: 5 L, USO P/CONTROL: BACTERIAS, PRINCIPIO ACTIVO: SAL AMONIO CUATERNARIO, PRESENTACION: ENVASE X 5 L, CONTROL: BACTERIAS</v>
      </c>
      <c r="D19" s="100"/>
      <c r="E19" s="100"/>
      <c r="F19" s="100"/>
      <c r="G19" s="100"/>
      <c r="H19" s="34" t="s">
        <v>154</v>
      </c>
      <c r="I19" s="35" t="str">
        <f>'LIMPIEZA NT'!F17</f>
        <v>UNIDAD</v>
      </c>
      <c r="J19" s="36">
        <f>'LIMPIEZA NT'!H17</f>
        <v>1100</v>
      </c>
      <c r="K19" s="37">
        <f>'LIMPIEZA NT'!G17</f>
        <v>70</v>
      </c>
    </row>
    <row r="20" spans="1:11" ht="28.5" customHeight="1" thickBot="1" x14ac:dyDescent="0.25">
      <c r="A20" s="32">
        <v>9</v>
      </c>
      <c r="B20" s="33" t="str">
        <f>'LIMPIEZA NT'!B18</f>
        <v>2.9.1-4784.54</v>
      </c>
      <c r="C20" s="100" t="str">
        <f>'LIMPIEZA NT'!E18</f>
        <v>LIMPIADORES MULTIUSO; COMPUESTOS BIODEGRADABLES: SI, PRESENTACION: ENVASE X 5 L, TIPO: SECUESTRANTE D/POLVO P/LAMPAZO</v>
      </c>
      <c r="D20" s="100"/>
      <c r="E20" s="100"/>
      <c r="F20" s="100"/>
      <c r="G20" s="100"/>
      <c r="H20" s="34" t="s">
        <v>154</v>
      </c>
      <c r="I20" s="35" t="str">
        <f>'LIMPIEZA NT'!F18</f>
        <v>UNIDAD</v>
      </c>
      <c r="J20" s="36">
        <f>'LIMPIEZA NT'!H18</f>
        <v>1995</v>
      </c>
      <c r="K20" s="37">
        <f>'LIMPIEZA NT'!G18</f>
        <v>15</v>
      </c>
    </row>
    <row r="21" spans="1:11" ht="33" customHeight="1" thickBot="1" x14ac:dyDescent="0.25">
      <c r="A21" s="32">
        <v>10</v>
      </c>
      <c r="B21" s="33" t="str">
        <f>'LIMPIEZA NT'!B19</f>
        <v>2.9.1-6960.20</v>
      </c>
      <c r="C21" s="100" t="str">
        <f>'LIMPIEZA NT'!E19</f>
        <v>ELEM. LIMPIEZA P/INDUMENTARIA; TIPO: JABON EN POLVO, PRESENTACION: ENVASE X 3 Kg</v>
      </c>
      <c r="D21" s="100"/>
      <c r="E21" s="100"/>
      <c r="F21" s="100"/>
      <c r="G21" s="100"/>
      <c r="H21" s="34" t="s">
        <v>154</v>
      </c>
      <c r="I21" s="35" t="str">
        <f>'LIMPIEZA NT'!F19</f>
        <v>UNIDAD</v>
      </c>
      <c r="J21" s="36">
        <f>'LIMPIEZA NT'!H19</f>
        <v>435</v>
      </c>
      <c r="K21" s="37">
        <f>'LIMPIEZA NT'!G19</f>
        <v>200</v>
      </c>
    </row>
    <row r="22" spans="1:11" ht="28.5" customHeight="1" thickBot="1" x14ac:dyDescent="0.25">
      <c r="A22" s="32">
        <v>11</v>
      </c>
      <c r="B22" s="33" t="str">
        <f>'LIMPIEZA NT'!B20</f>
        <v>2.9.1-761.7</v>
      </c>
      <c r="C22" s="100" t="str">
        <f>'LIMPIEZA NT'!E20</f>
        <v>GUANTES P/LIMPIEZA; MATERIAL: LATEX C/FELPA INTERIOR, TAMAÑO: CHICO</v>
      </c>
      <c r="D22" s="100"/>
      <c r="E22" s="100"/>
      <c r="F22" s="100"/>
      <c r="G22" s="100"/>
      <c r="H22" s="34" t="s">
        <v>154</v>
      </c>
      <c r="I22" s="35" t="str">
        <f>'LIMPIEZA NT'!F20</f>
        <v>PAR</v>
      </c>
      <c r="J22" s="36">
        <f>'LIMPIEZA NT'!H20</f>
        <v>175</v>
      </c>
      <c r="K22" s="37">
        <f>'LIMPIEZA NT'!G20</f>
        <v>180</v>
      </c>
    </row>
    <row r="23" spans="1:11" ht="29.25" customHeight="1" thickBot="1" x14ac:dyDescent="0.25">
      <c r="A23" s="32">
        <v>12</v>
      </c>
      <c r="B23" s="33" t="str">
        <f>'LIMPIEZA NT'!B21</f>
        <v>2.9.1-761.6</v>
      </c>
      <c r="C23" s="100" t="str">
        <f>'LIMPIEZA NT'!E21</f>
        <v>GUANTES P/LIMPIEZA; TAMAÑO: MEDIANO, MATERIAL: LATEX C/FELPA INTERIOR</v>
      </c>
      <c r="D23" s="100"/>
      <c r="E23" s="100"/>
      <c r="F23" s="100"/>
      <c r="G23" s="100"/>
      <c r="H23" s="34" t="s">
        <v>154</v>
      </c>
      <c r="I23" s="35" t="str">
        <f>'LIMPIEZA NT'!F21</f>
        <v>PAR</v>
      </c>
      <c r="J23" s="36">
        <f>'LIMPIEZA NT'!H21</f>
        <v>175</v>
      </c>
      <c r="K23" s="37">
        <f>'LIMPIEZA NT'!G21</f>
        <v>150</v>
      </c>
    </row>
    <row r="24" spans="1:11" ht="27" customHeight="1" thickBot="1" x14ac:dyDescent="0.25">
      <c r="A24" s="32">
        <v>13</v>
      </c>
      <c r="B24" s="33" t="str">
        <f>'LIMPIEZA NT'!B22</f>
        <v>2.9.1-761.5</v>
      </c>
      <c r="C24" s="100" t="str">
        <f>'LIMPIEZA NT'!E22</f>
        <v>GUANTES P/LIMPIEZA; TAMAÑO: GRANDE, MATERIAL: LATEX C/FELPA INTERIOR</v>
      </c>
      <c r="D24" s="100"/>
      <c r="E24" s="100"/>
      <c r="F24" s="100"/>
      <c r="G24" s="100"/>
      <c r="H24" s="34" t="s">
        <v>154</v>
      </c>
      <c r="I24" s="35" t="str">
        <f>'LIMPIEZA NT'!F22</f>
        <v>PAR</v>
      </c>
      <c r="J24" s="36">
        <f>'LIMPIEZA NT'!H22</f>
        <v>175</v>
      </c>
      <c r="K24" s="37">
        <f>'LIMPIEZA NT'!G22</f>
        <v>100</v>
      </c>
    </row>
    <row r="25" spans="1:11" ht="30" customHeight="1" thickBot="1" x14ac:dyDescent="0.25">
      <c r="A25" s="32">
        <v>14</v>
      </c>
      <c r="B25" s="33" t="str">
        <f>'LIMPIEZA NT'!B23</f>
        <v>2.9.1-6952.22</v>
      </c>
      <c r="C25" s="100" t="str">
        <f>'LIMPIEZA NT'!E23</f>
        <v>CEPILLOS; TIPO: ESCOBA REFORZADA, MATERIAL: PAJA</v>
      </c>
      <c r="D25" s="100"/>
      <c r="E25" s="100"/>
      <c r="F25" s="100"/>
      <c r="G25" s="100"/>
      <c r="H25" s="34" t="s">
        <v>154</v>
      </c>
      <c r="I25" s="35" t="str">
        <f>'LIMPIEZA NT'!F23</f>
        <v>UNIDAD</v>
      </c>
      <c r="J25" s="36">
        <f>'LIMPIEZA NT'!H23</f>
        <v>330</v>
      </c>
      <c r="K25" s="37">
        <f>'LIMPIEZA NT'!G23</f>
        <v>70</v>
      </c>
    </row>
    <row r="26" spans="1:11" ht="39" customHeight="1" thickBot="1" x14ac:dyDescent="0.25">
      <c r="A26" s="32">
        <v>15</v>
      </c>
      <c r="B26" s="33" t="str">
        <f>'LIMPIEZA NT'!B24</f>
        <v>2.9.1-6952.29</v>
      </c>
      <c r="C26" s="100" t="str">
        <f>'LIMPIEZA NT'!E24</f>
        <v>CEPILLOS; TIPO: ESCOBILLA LIMPIA INODORO, MATERIAL: PLASTICO</v>
      </c>
      <c r="D26" s="100"/>
      <c r="E26" s="100"/>
      <c r="F26" s="100"/>
      <c r="G26" s="100"/>
      <c r="H26" s="34" t="s">
        <v>154</v>
      </c>
      <c r="I26" s="35" t="str">
        <f>'LIMPIEZA NT'!F24</f>
        <v>UNIDAD</v>
      </c>
      <c r="J26" s="36">
        <f>'LIMPIEZA NT'!H24</f>
        <v>195</v>
      </c>
      <c r="K26" s="37">
        <f>'LIMPIEZA NT'!G24</f>
        <v>120</v>
      </c>
    </row>
    <row r="27" spans="1:11" ht="35.25" customHeight="1" thickBot="1" x14ac:dyDescent="0.25">
      <c r="A27" s="32">
        <v>16</v>
      </c>
      <c r="B27" s="33" t="str">
        <f>'LIMPIEZA NT'!B25</f>
        <v>2.9.1-1083.7</v>
      </c>
      <c r="C27" s="100" t="str">
        <f>'LIMPIEZA NT'!E25</f>
        <v>ESPONJA DE ACERO; CUERPO: ACERO INOXIDABLE, PESO: 20 GR, MATERIAL DEL CUERPO: ACERO INOXIDABLE, MATERIAL: ACERO INOXIDABLE</v>
      </c>
      <c r="D27" s="100"/>
      <c r="E27" s="100"/>
      <c r="F27" s="100"/>
      <c r="G27" s="100"/>
      <c r="H27" s="34" t="s">
        <v>154</v>
      </c>
      <c r="I27" s="35" t="str">
        <f>'LIMPIEZA NT'!F25</f>
        <v>UNIDAD</v>
      </c>
      <c r="J27" s="36">
        <f>'LIMPIEZA NT'!H25</f>
        <v>38</v>
      </c>
      <c r="K27" s="37">
        <f>'LIMPIEZA NT'!G25</f>
        <v>200</v>
      </c>
    </row>
    <row r="28" spans="1:11" ht="31.5" customHeight="1" thickBot="1" x14ac:dyDescent="0.25">
      <c r="A28" s="32">
        <v>17</v>
      </c>
      <c r="B28" s="33" t="str">
        <f>'LIMPIEZA NT'!B26</f>
        <v>2.9.1-1164.36</v>
      </c>
      <c r="C28" s="100" t="str">
        <f>'LIMPIEZA NT'!E26</f>
        <v>ESPONJAS; MATERIAL: FIBRA VERDE, USO: COCINA, ADITAMENTO: SIN, FORMA: RECTANGULAR, LARGO X ANCHO X ESP: 22 X 16 mm</v>
      </c>
      <c r="D28" s="100"/>
      <c r="E28" s="100"/>
      <c r="F28" s="100"/>
      <c r="G28" s="100"/>
      <c r="H28" s="34" t="s">
        <v>154</v>
      </c>
      <c r="I28" s="35" t="str">
        <f>'LIMPIEZA NT'!F26</f>
        <v>UNIDAD</v>
      </c>
      <c r="J28" s="36">
        <f>'LIMPIEZA NT'!H26</f>
        <v>120</v>
      </c>
      <c r="K28" s="37">
        <f>'LIMPIEZA NT'!G26</f>
        <v>150</v>
      </c>
    </row>
    <row r="29" spans="1:11" ht="38.25" customHeight="1" thickBot="1" x14ac:dyDescent="0.25">
      <c r="A29" s="32">
        <v>18</v>
      </c>
      <c r="B29" s="33" t="str">
        <f>'LIMPIEZA NT'!B27</f>
        <v>2.9.1-6960.27</v>
      </c>
      <c r="C29" s="100" t="str">
        <f>'LIMPIEZA NT'!E27</f>
        <v>ELEM. LIMPIEZA P/INDUMENTARIA; TIPO: JABON EN PAN, PRESENTACION: 200 GR</v>
      </c>
      <c r="D29" s="100"/>
      <c r="E29" s="100"/>
      <c r="F29" s="100"/>
      <c r="G29" s="100"/>
      <c r="H29" s="34" t="s">
        <v>154</v>
      </c>
      <c r="I29" s="35" t="str">
        <f>'LIMPIEZA NT'!F27</f>
        <v>UNIDAD</v>
      </c>
      <c r="J29" s="36">
        <f>'LIMPIEZA NT'!H27</f>
        <v>46.5</v>
      </c>
      <c r="K29" s="37">
        <f>'LIMPIEZA NT'!G27</f>
        <v>75</v>
      </c>
    </row>
    <row r="30" spans="1:11" ht="30" customHeight="1" thickBot="1" x14ac:dyDescent="0.25">
      <c r="A30" s="32">
        <v>19</v>
      </c>
      <c r="B30" s="33" t="str">
        <f>'LIMPIEZA NT'!B28</f>
        <v>2.9.1-6951.116</v>
      </c>
      <c r="C30" s="100" t="str">
        <f>'LIMPIEZA NT'!E28</f>
        <v>LIMPIADORES; TIPO: LIMPIAVIDRIOS, PRESENTACION: ENVASE X 5 L</v>
      </c>
      <c r="D30" s="100"/>
      <c r="E30" s="100"/>
      <c r="F30" s="100"/>
      <c r="G30" s="100"/>
      <c r="H30" s="34" t="s">
        <v>154</v>
      </c>
      <c r="I30" s="35" t="str">
        <f>'LIMPIEZA NT'!F28</f>
        <v>UNIDAD</v>
      </c>
      <c r="J30" s="36">
        <f>'LIMPIEZA NT'!H28</f>
        <v>435</v>
      </c>
      <c r="K30" s="37">
        <f>'LIMPIEZA NT'!G28</f>
        <v>15</v>
      </c>
    </row>
    <row r="31" spans="1:11" ht="37.5" customHeight="1" thickBot="1" x14ac:dyDescent="0.25">
      <c r="A31" s="32">
        <v>20</v>
      </c>
      <c r="B31" s="33" t="str">
        <f>'LIMPIEZA NT'!B29</f>
        <v>2.9.1-6951.80</v>
      </c>
      <c r="C31" s="100" t="str">
        <f>'LIMPIEZA NT'!E29</f>
        <v>LIMPIADORES; TIPO: QUITASARRO, PRESENTACION: ENVASE X 500 CM3</v>
      </c>
      <c r="D31" s="100"/>
      <c r="E31" s="100"/>
      <c r="F31" s="100"/>
      <c r="G31" s="100"/>
      <c r="H31" s="34" t="s">
        <v>154</v>
      </c>
      <c r="I31" s="35" t="str">
        <f>'LIMPIEZA NT'!F29</f>
        <v>UNIDAD</v>
      </c>
      <c r="J31" s="36">
        <f>'LIMPIEZA NT'!H29</f>
        <v>82.5</v>
      </c>
      <c r="K31" s="37">
        <f>'LIMPIEZA NT'!G29</f>
        <v>30</v>
      </c>
    </row>
    <row r="32" spans="1:11" ht="30" customHeight="1" thickBot="1" x14ac:dyDescent="0.25">
      <c r="A32" s="32">
        <v>21</v>
      </c>
      <c r="B32" s="33" t="str">
        <f>'LIMPIEZA NT'!B30</f>
        <v>2.1.5-393.13</v>
      </c>
      <c r="C32" s="100" t="str">
        <f>'LIMPIEZA NT'!E30</f>
        <v>CABOS DE MADERA; APLICACION: P/ESCOBA, FORMA: RECTO</v>
      </c>
      <c r="D32" s="100"/>
      <c r="E32" s="100"/>
      <c r="F32" s="100"/>
      <c r="G32" s="100"/>
      <c r="H32" s="34" t="s">
        <v>154</v>
      </c>
      <c r="I32" s="35" t="str">
        <f>'LIMPIEZA NT'!F30</f>
        <v>UNIDAD</v>
      </c>
      <c r="J32" s="36">
        <f>'LIMPIEZA NT'!H30</f>
        <v>63</v>
      </c>
      <c r="K32" s="37">
        <f>'LIMPIEZA NT'!G30</f>
        <v>120</v>
      </c>
    </row>
    <row r="33" spans="1:11" ht="35.25" customHeight="1" thickBot="1" x14ac:dyDescent="0.25">
      <c r="A33" s="32">
        <v>22</v>
      </c>
      <c r="B33" s="33" t="str">
        <f>'LIMPIEZA NT'!B31</f>
        <v>2.9.1-6951.174</v>
      </c>
      <c r="C33" s="100" t="str">
        <f>'LIMPIEZA NT'!E31</f>
        <v>LIMPIADORES; TIPO: POLVO LIMPIADOR, PRESENTACION: ENVASE X 400 GR</v>
      </c>
      <c r="D33" s="100"/>
      <c r="E33" s="100"/>
      <c r="F33" s="100"/>
      <c r="G33" s="100"/>
      <c r="H33" s="34" t="s">
        <v>154</v>
      </c>
      <c r="I33" s="35" t="str">
        <f>'LIMPIEZA NT'!F31</f>
        <v>UNIDAD</v>
      </c>
      <c r="J33" s="36">
        <f>'LIMPIEZA NT'!H31</f>
        <v>300</v>
      </c>
      <c r="K33" s="37">
        <f>'LIMPIEZA NT'!G31</f>
        <v>100</v>
      </c>
    </row>
    <row r="34" spans="1:11" ht="28.5" customHeight="1" thickBot="1" x14ac:dyDescent="0.25">
      <c r="A34" s="32">
        <v>23</v>
      </c>
      <c r="B34" s="33" t="str">
        <f>'LIMPIEZA NT'!B32</f>
        <v>2.7.5-1491.5</v>
      </c>
      <c r="C34" s="100" t="str">
        <f>'LIMPIEZA NT'!E32</f>
        <v>PULVERIZADORES; MATERIAL: PLASTICO REFORZADO, CAPACIDAD: 1000 CM3, TIPO: MANUAL</v>
      </c>
      <c r="D34" s="100"/>
      <c r="E34" s="100"/>
      <c r="F34" s="100"/>
      <c r="G34" s="100"/>
      <c r="H34" s="34" t="s">
        <v>154</v>
      </c>
      <c r="I34" s="35" t="str">
        <f>'LIMPIEZA NT'!F32</f>
        <v>UNIDAD</v>
      </c>
      <c r="J34" s="36">
        <f>'LIMPIEZA NT'!H32</f>
        <v>260</v>
      </c>
      <c r="K34" s="37">
        <f>'LIMPIEZA NT'!G32</f>
        <v>150</v>
      </c>
    </row>
    <row r="35" spans="1:11" ht="25.5" customHeight="1" thickBot="1" x14ac:dyDescent="0.25">
      <c r="A35" s="32">
        <v>24</v>
      </c>
      <c r="B35" s="33" t="str">
        <f>'LIMPIEZA NT'!B33</f>
        <v>2.9.1-683.5</v>
      </c>
      <c r="C35" s="100" t="str">
        <f>'LIMPIEZA NT'!E33</f>
        <v>SECADORES DE GOMA; LARGO: 40 Cm, COLOR: NEGRO</v>
      </c>
      <c r="D35" s="100"/>
      <c r="E35" s="100"/>
      <c r="F35" s="100"/>
      <c r="G35" s="100"/>
      <c r="H35" s="34" t="s">
        <v>154</v>
      </c>
      <c r="I35" s="35" t="str">
        <f>'LIMPIEZA NT'!F33</f>
        <v>UNIDAD</v>
      </c>
      <c r="J35" s="36">
        <f>'LIMPIEZA NT'!H33</f>
        <v>147</v>
      </c>
      <c r="K35" s="37">
        <f>'LIMPIEZA NT'!G33</f>
        <v>180</v>
      </c>
    </row>
    <row r="36" spans="1:11" ht="30" customHeight="1" thickBot="1" x14ac:dyDescent="0.25">
      <c r="A36" s="32">
        <v>25</v>
      </c>
      <c r="B36" s="33" t="str">
        <f>'LIMPIEZA NT'!B34</f>
        <v>2.9.1-683.4</v>
      </c>
      <c r="C36" s="100" t="str">
        <f>'LIMPIEZA NT'!E34</f>
        <v>SECADORES DE GOMA; LARGO: 80 Cm, COLOR: ROJO</v>
      </c>
      <c r="D36" s="100"/>
      <c r="E36" s="100"/>
      <c r="F36" s="100"/>
      <c r="G36" s="100"/>
      <c r="H36" s="34" t="s">
        <v>154</v>
      </c>
      <c r="I36" s="35" t="str">
        <f>'LIMPIEZA NT'!F34</f>
        <v>UNIDAD</v>
      </c>
      <c r="J36" s="36">
        <f>'LIMPIEZA NT'!H34</f>
        <v>433.5</v>
      </c>
      <c r="K36" s="37">
        <f>'LIMPIEZA NT'!G34</f>
        <v>30</v>
      </c>
    </row>
    <row r="37" spans="1:11" ht="32.25" customHeight="1" thickBot="1" x14ac:dyDescent="0.25">
      <c r="A37" s="32">
        <v>26</v>
      </c>
      <c r="B37" s="33" t="str">
        <f>'LIMPIEZA NT'!B35</f>
        <v>2.9.1-6960.1</v>
      </c>
      <c r="C37" s="100" t="str">
        <f>'LIMPIEZA NT'!E35</f>
        <v>ELEM. LIMPIEZA P/INDUMENTARIA; TIPO: SUAVIZANTE P/ROPA, PRESENTACION: ENVASE X 5 L</v>
      </c>
      <c r="D37" s="100"/>
      <c r="E37" s="100"/>
      <c r="F37" s="100"/>
      <c r="G37" s="100"/>
      <c r="H37" s="34" t="s">
        <v>154</v>
      </c>
      <c r="I37" s="35" t="str">
        <f>'LIMPIEZA NT'!F35</f>
        <v>UNIDAD</v>
      </c>
      <c r="J37" s="36">
        <f>'LIMPIEZA NT'!H35</f>
        <v>315</v>
      </c>
      <c r="K37" s="37">
        <f>'LIMPIEZA NT'!G35</f>
        <v>40</v>
      </c>
    </row>
    <row r="38" spans="1:11" ht="26.25" customHeight="1" thickBot="1" x14ac:dyDescent="0.25">
      <c r="A38" s="32">
        <v>27</v>
      </c>
      <c r="B38" s="33" t="str">
        <f>'LIMPIEZA NT'!B36</f>
        <v>2.9.1-713.18</v>
      </c>
      <c r="C38" s="100" t="str">
        <f>'LIMPIEZA NT'!E36</f>
        <v>TRAPOS DE PISO; DIMENSION: 48 X 60 Cm</v>
      </c>
      <c r="D38" s="100"/>
      <c r="E38" s="100"/>
      <c r="F38" s="100"/>
      <c r="G38" s="100"/>
      <c r="H38" s="34" t="s">
        <v>154</v>
      </c>
      <c r="I38" s="35" t="str">
        <f>'LIMPIEZA NT'!F36</f>
        <v>UNIDAD</v>
      </c>
      <c r="J38" s="36">
        <f>'LIMPIEZA NT'!H36</f>
        <v>73.5</v>
      </c>
      <c r="K38" s="37">
        <f>'LIMPIEZA NT'!G36</f>
        <v>300</v>
      </c>
    </row>
    <row r="39" spans="1:11" ht="39" customHeight="1" thickBot="1" x14ac:dyDescent="0.25">
      <c r="A39" s="32">
        <v>28</v>
      </c>
      <c r="B39" s="33" t="str">
        <f>'LIMPIEZA NT'!B37</f>
        <v>2.9.1-678.7</v>
      </c>
      <c r="C39" s="100" t="str">
        <f>'LIMPIEZA NT'!E37</f>
        <v>TRAPOS REJILLA; DIMENSION: 40 X 50 Cm, COLOR: SIN VALOR, MATERIAL: ALGODÓN</v>
      </c>
      <c r="D39" s="100"/>
      <c r="E39" s="100"/>
      <c r="F39" s="100"/>
      <c r="G39" s="100"/>
      <c r="H39" s="34" t="s">
        <v>154</v>
      </c>
      <c r="I39" s="35" t="str">
        <f>'LIMPIEZA NT'!F37</f>
        <v>UNIDAD</v>
      </c>
      <c r="J39" s="36">
        <f>'LIMPIEZA NT'!H37</f>
        <v>42</v>
      </c>
      <c r="K39" s="37">
        <f>'LIMPIEZA NT'!G37</f>
        <v>300</v>
      </c>
    </row>
    <row r="40" spans="1:11" ht="31.5" customHeight="1" thickBot="1" x14ac:dyDescent="0.25">
      <c r="A40" s="32">
        <v>29</v>
      </c>
      <c r="B40" s="33" t="str">
        <f>'LIMPIEZA NT'!B38</f>
        <v>2.9.1-714.5</v>
      </c>
      <c r="C40" s="100" t="str">
        <f>'LIMPIEZA NT'!E38</f>
        <v>FRANELAS; DIMENSION: 40 X 50 Cm</v>
      </c>
      <c r="D40" s="100"/>
      <c r="E40" s="100"/>
      <c r="F40" s="100"/>
      <c r="G40" s="100"/>
      <c r="H40" s="34" t="s">
        <v>154</v>
      </c>
      <c r="I40" s="35" t="str">
        <f>'LIMPIEZA NT'!F38</f>
        <v>UNIDAD</v>
      </c>
      <c r="J40" s="36">
        <f>'LIMPIEZA NT'!H38</f>
        <v>76.5</v>
      </c>
      <c r="K40" s="37">
        <f>'LIMPIEZA NT'!G38</f>
        <v>200</v>
      </c>
    </row>
    <row r="41" spans="1:11" ht="24" customHeight="1" thickBot="1" x14ac:dyDescent="0.25">
      <c r="A41" s="32">
        <v>30</v>
      </c>
      <c r="B41" s="33" t="str">
        <f>'LIMPIEZA NT'!B39</f>
        <v>2.9.1-2030.1</v>
      </c>
      <c r="C41" s="100" t="str">
        <f>'LIMPIEZA NT'!E39</f>
        <v>LANAS DE ACERO; PRESENTACION: PAQUETE, CONTENIDO: MADEJA</v>
      </c>
      <c r="D41" s="100"/>
      <c r="E41" s="100"/>
      <c r="F41" s="100"/>
      <c r="G41" s="100"/>
      <c r="H41" s="34" t="s">
        <v>154</v>
      </c>
      <c r="I41" s="35" t="str">
        <f>'LIMPIEZA NT'!F39</f>
        <v>UNIDAD</v>
      </c>
      <c r="J41" s="36">
        <f>'LIMPIEZA NT'!H39</f>
        <v>46.5</v>
      </c>
      <c r="K41" s="37">
        <f>'LIMPIEZA NT'!G39</f>
        <v>300</v>
      </c>
    </row>
    <row r="42" spans="1:11" ht="37.5" customHeight="1" thickBot="1" x14ac:dyDescent="0.25">
      <c r="A42" s="32">
        <v>31</v>
      </c>
      <c r="B42" s="33" t="str">
        <f>'LIMPIEZA NT'!B40</f>
        <v>2.3.4-786.83</v>
      </c>
      <c r="C42" s="100" t="str">
        <f>'LIMPIEZA NT'!E40</f>
        <v>PAPEL HIGIENICO; PRESENTACION: ENVASE X 6 ROLLOS, TIPO: TISSUE, ANCHO: 9 Cm, LARGO: 300 M, TIPO DE HOJA: SIMPLE</v>
      </c>
      <c r="D42" s="100"/>
      <c r="E42" s="100"/>
      <c r="F42" s="100"/>
      <c r="G42" s="100"/>
      <c r="H42" s="34" t="s">
        <v>154</v>
      </c>
      <c r="I42" s="35" t="str">
        <f>'LIMPIEZA NT'!F40</f>
        <v>UNIDAD</v>
      </c>
      <c r="J42" s="36">
        <f>'LIMPIEZA NT'!H40</f>
        <v>630</v>
      </c>
      <c r="K42" s="37">
        <f>'LIMPIEZA NT'!G40</f>
        <v>150</v>
      </c>
    </row>
    <row r="43" spans="1:11" ht="31.5" customHeight="1" thickBot="1" x14ac:dyDescent="0.25">
      <c r="A43" s="32">
        <v>32</v>
      </c>
      <c r="B43" s="33" t="str">
        <f>'LIMPIEZA NT'!B41</f>
        <v>2.9.1-646.18</v>
      </c>
      <c r="C43" s="100" t="str">
        <f>'LIMPIEZA NT'!E41</f>
        <v>BOLSAS DE RESIDUOS; COLOR: OBSCURO, ESPESOR: 40 Mn, DIMENSION: 45 X 60 Cm, PRESENTACION: SIN VALOR</v>
      </c>
      <c r="D43" s="100"/>
      <c r="E43" s="100"/>
      <c r="F43" s="100"/>
      <c r="G43" s="100"/>
      <c r="H43" s="34" t="s">
        <v>154</v>
      </c>
      <c r="I43" s="35" t="str">
        <f>'LIMPIEZA NT'!F41</f>
        <v>UNIDAD</v>
      </c>
      <c r="J43" s="36">
        <f>'LIMPIEZA NT'!H41</f>
        <v>3.45</v>
      </c>
      <c r="K43" s="37">
        <f>'LIMPIEZA NT'!G41</f>
        <v>18000</v>
      </c>
    </row>
    <row r="44" spans="1:11" ht="25.5" customHeight="1" thickBot="1" x14ac:dyDescent="0.25">
      <c r="A44" s="32">
        <v>33</v>
      </c>
      <c r="B44" s="33" t="str">
        <f>'LIMPIEZA NT'!B42</f>
        <v>2.9.1-646.104</v>
      </c>
      <c r="C44" s="100" t="str">
        <f>'LIMPIEZA NT'!E42</f>
        <v>BOLSAS DE RESIDUOS; DIMENSION: 60 X 90 Cm, PRESENTACION: ENVASE X 100 UN, ESPESOR: 50 Mn</v>
      </c>
      <c r="D44" s="100"/>
      <c r="E44" s="100"/>
      <c r="F44" s="100"/>
      <c r="G44" s="100"/>
      <c r="H44" s="34" t="s">
        <v>154</v>
      </c>
      <c r="I44" s="35" t="str">
        <f>'LIMPIEZA NT'!F42</f>
        <v>UNIDAD</v>
      </c>
      <c r="J44" s="36">
        <f>'LIMPIEZA NT'!H42</f>
        <v>900</v>
      </c>
      <c r="K44" s="37">
        <f>'LIMPIEZA NT'!G42</f>
        <v>130</v>
      </c>
    </row>
    <row r="45" spans="1:11" ht="31.5" customHeight="1" thickBot="1" x14ac:dyDescent="0.25">
      <c r="A45" s="32">
        <v>34</v>
      </c>
      <c r="B45" s="33" t="str">
        <f>'LIMPIEZA NT'!B43</f>
        <v>2.9.1-646.104</v>
      </c>
      <c r="C45" s="100" t="str">
        <f>'LIMPIEZA NT'!E43</f>
        <v>BOLSAS DE RESIDUOS; DIMENSION: 60 X 90 Cm, PRESENTACION: ENVASE X 100 UN, ESPESOR: 50 Mn</v>
      </c>
      <c r="D45" s="100"/>
      <c r="E45" s="100"/>
      <c r="F45" s="100"/>
      <c r="G45" s="100"/>
      <c r="H45" s="34" t="s">
        <v>154</v>
      </c>
      <c r="I45" s="35" t="str">
        <f>'LIMPIEZA NT'!F43</f>
        <v>UNIDAD</v>
      </c>
      <c r="J45" s="36">
        <f>'LIMPIEZA NT'!H43</f>
        <v>950</v>
      </c>
      <c r="K45" s="37">
        <f>'LIMPIEZA NT'!G43</f>
        <v>45</v>
      </c>
    </row>
    <row r="46" spans="1:11" ht="30.75" customHeight="1" thickBot="1" x14ac:dyDescent="0.25">
      <c r="A46" s="32">
        <v>35</v>
      </c>
      <c r="B46" s="33" t="str">
        <f>'LIMPIEZA NT'!B44</f>
        <v>2.9.1-646.21</v>
      </c>
      <c r="C46" s="100" t="str">
        <f>'LIMPIEZA NT'!E44</f>
        <v>BOLSAS DE RESIDUOS; ESPESOR: 60 Mn, COLOR: TRANSPARENTE, DIMENSION: 45 X 60 Cm, PRESENTACION: SIN VALOR</v>
      </c>
      <c r="D46" s="100"/>
      <c r="E46" s="100"/>
      <c r="F46" s="100"/>
      <c r="G46" s="100"/>
      <c r="H46" s="34" t="s">
        <v>154</v>
      </c>
      <c r="I46" s="35" t="str">
        <f>'LIMPIEZA NT'!F44</f>
        <v>UNIDAD</v>
      </c>
      <c r="J46" s="36">
        <f>'LIMPIEZA NT'!H44</f>
        <v>9.5</v>
      </c>
      <c r="K46" s="37">
        <f>'LIMPIEZA NT'!G44</f>
        <v>5000</v>
      </c>
    </row>
    <row r="47" spans="1:11" ht="33" customHeight="1" thickBot="1" x14ac:dyDescent="0.25">
      <c r="A47" s="32">
        <v>36</v>
      </c>
      <c r="B47" s="33" t="str">
        <f>'LIMPIEZA NT'!B45</f>
        <v>2.5.8-5590.41</v>
      </c>
      <c r="C47" s="100" t="str">
        <f>'LIMPIEZA NT'!E45</f>
        <v>FILMS DE POLIETILENO; ESPESOR: 100 Mn, ANCHO: 2 M, PRESENTACION: ROLLO X 100 M, USO: ALIMENTARIO</v>
      </c>
      <c r="D47" s="100"/>
      <c r="E47" s="100"/>
      <c r="F47" s="100"/>
      <c r="G47" s="100"/>
      <c r="H47" s="34" t="s">
        <v>154</v>
      </c>
      <c r="I47" s="35" t="str">
        <f>'LIMPIEZA NT'!F45</f>
        <v>UNIDAD</v>
      </c>
      <c r="J47" s="36">
        <f>'LIMPIEZA NT'!H45</f>
        <v>16801</v>
      </c>
      <c r="K47" s="37">
        <f>'LIMPIEZA NT'!G45</f>
        <v>2</v>
      </c>
    </row>
    <row r="48" spans="1:11" ht="33" customHeight="1" thickBot="1" x14ac:dyDescent="0.25">
      <c r="A48" s="32">
        <v>37</v>
      </c>
      <c r="B48" s="33" t="str">
        <f>'LIMPIEZA NT'!B46</f>
        <v>2.5.8-5590.3</v>
      </c>
      <c r="C48" s="100" t="str">
        <f>'LIMPIEZA NT'!E46</f>
        <v>FILMS DE POLIETILENO; ESPESOR: 70 Mn, ANCHO: SIN VALOR, PRESENTACION: POR KILOGRAMO, USO: SIN VALOR</v>
      </c>
      <c r="D48" s="100"/>
      <c r="E48" s="100"/>
      <c r="F48" s="100"/>
      <c r="G48" s="100"/>
      <c r="H48" s="34" t="s">
        <v>154</v>
      </c>
      <c r="I48" s="35" t="str">
        <f>'LIMPIEZA NT'!F46</f>
        <v>KG</v>
      </c>
      <c r="J48" s="36">
        <f>'LIMPIEZA NT'!H46</f>
        <v>2151.5</v>
      </c>
      <c r="K48" s="37">
        <f>'LIMPIEZA NT'!G46</f>
        <v>30</v>
      </c>
    </row>
    <row r="49" spans="1:1024" ht="33" customHeight="1" thickBot="1" x14ac:dyDescent="0.25">
      <c r="A49" s="32">
        <v>38</v>
      </c>
      <c r="B49" s="33" t="str">
        <f>'LIMPIEZA NT'!B47</f>
        <v>2.5.8-5590.3</v>
      </c>
      <c r="C49" s="100" t="str">
        <f>'LIMPIEZA NT'!E47</f>
        <v>FILMS DE POLIETILENO; ESPESOR: 70 Mn, ANCHO: SIN VALOR, PRESENTACION: POR KILOGRAMO, USO: SIN VALOR</v>
      </c>
      <c r="D49" s="100"/>
      <c r="E49" s="100"/>
      <c r="F49" s="100"/>
      <c r="G49" s="100"/>
      <c r="H49" s="34" t="s">
        <v>154</v>
      </c>
      <c r="I49" s="35" t="str">
        <f>'LIMPIEZA NT'!F47</f>
        <v>KG</v>
      </c>
      <c r="J49" s="36">
        <f>'LIMPIEZA NT'!H47</f>
        <v>3125</v>
      </c>
      <c r="K49" s="37">
        <f>'LIMPIEZA NT'!G47</f>
        <v>20</v>
      </c>
    </row>
    <row r="50" spans="1:1024" ht="33" customHeight="1" thickBot="1" x14ac:dyDescent="0.25">
      <c r="A50" s="32">
        <v>39</v>
      </c>
      <c r="B50" s="33" t="str">
        <f>'LIMPIEZA NT'!B48</f>
        <v>2.5.8-5590.3</v>
      </c>
      <c r="C50" s="100" t="str">
        <f>'LIMPIEZA NT'!E48</f>
        <v>FILMS DE POLIETILENO; ESPESOR: 70 Mn, ANCHO: SIN VALOR, PRESENTACION: POR KILOGRAMO, USO: SIN VALOR</v>
      </c>
      <c r="D50" s="100"/>
      <c r="E50" s="100"/>
      <c r="F50" s="100"/>
      <c r="G50" s="100"/>
      <c r="H50" s="34" t="s">
        <v>154</v>
      </c>
      <c r="I50" s="35" t="str">
        <f>'LIMPIEZA NT'!F48</f>
        <v>KG</v>
      </c>
      <c r="J50" s="36">
        <f>'LIMPIEZA NT'!H48</f>
        <v>2366.67</v>
      </c>
      <c r="K50" s="37">
        <f>'LIMPIEZA NT'!G48</f>
        <v>45</v>
      </c>
    </row>
    <row r="51" spans="1:1024" ht="33" customHeight="1" thickBot="1" x14ac:dyDescent="0.25">
      <c r="A51" s="32">
        <v>40</v>
      </c>
      <c r="B51" s="33" t="str">
        <f>'LIMPIEZA NT'!B49</f>
        <v>2.5.8-5590.3</v>
      </c>
      <c r="C51" s="100" t="str">
        <f>'LIMPIEZA NT'!E49</f>
        <v>FILMS DE POLIETILENO; ESPESOR: 70 Mn, ANCHO: SIN VALOR, PRESENTACION: POR KILOGRAMO, USO: SIN VALOR</v>
      </c>
      <c r="D51" s="100"/>
      <c r="E51" s="100"/>
      <c r="F51" s="100"/>
      <c r="G51" s="100"/>
      <c r="H51" s="34" t="s">
        <v>154</v>
      </c>
      <c r="I51" s="35" t="str">
        <f>'LIMPIEZA NT'!F49</f>
        <v>KG</v>
      </c>
      <c r="J51" s="36">
        <f>'LIMPIEZA NT'!H49</f>
        <v>2886.33</v>
      </c>
      <c r="K51" s="37">
        <f>'LIMPIEZA NT'!G49</f>
        <v>30</v>
      </c>
      <c r="O51" s="39"/>
    </row>
    <row r="52" spans="1:1024" ht="33" customHeight="1" thickBot="1" x14ac:dyDescent="0.25">
      <c r="A52" s="32">
        <v>41</v>
      </c>
      <c r="B52" s="33" t="str">
        <f>'LIMPIEZA NT'!B50</f>
        <v>2.3.4-783.49</v>
      </c>
      <c r="C52" s="100" t="str">
        <f>'LIMPIEZA NT'!E50</f>
        <v>TOALLAS DE PAPEL; MATERIAL: PAPEL TISUE, GRAMAJE: 42 GR/M2, DIMENSION: 0,19 X 300 M, PRESENTACION: ROLLO</v>
      </c>
      <c r="D52" s="100"/>
      <c r="E52" s="100"/>
      <c r="F52" s="100"/>
      <c r="G52" s="100"/>
      <c r="H52" s="34" t="s">
        <v>154</v>
      </c>
      <c r="I52" s="35" t="str">
        <f>'LIMPIEZA NT'!F50</f>
        <v>UNIDAD</v>
      </c>
      <c r="J52" s="36">
        <f>'LIMPIEZA NT'!H50</f>
        <v>1100</v>
      </c>
      <c r="K52" s="37">
        <f>'LIMPIEZA NT'!G50</f>
        <v>100</v>
      </c>
      <c r="O52" s="39"/>
    </row>
    <row r="53" spans="1:1024" ht="33" customHeight="1" thickBot="1" x14ac:dyDescent="0.25">
      <c r="A53" s="32">
        <v>42</v>
      </c>
      <c r="B53" s="33" t="str">
        <f>'LIMPIEZA NT'!B51</f>
        <v>2.3.4-783.90</v>
      </c>
      <c r="C53" s="100" t="str">
        <f>'LIMPIEZA NT'!E51</f>
        <v>TOALLAS DE PAPEL; MATERIAL: PAPEL ABSORBENTE, GRAMAJE: 35 GR, DIMENSION: 20 X 24 Cm, PRESENTACION: ENVASE X 2500 HOJAS</v>
      </c>
      <c r="D53" s="100"/>
      <c r="E53" s="100"/>
      <c r="F53" s="100"/>
      <c r="G53" s="100"/>
      <c r="H53" s="34" t="s">
        <v>154</v>
      </c>
      <c r="I53" s="35" t="str">
        <f>'LIMPIEZA NT'!F51</f>
        <v>CAJA</v>
      </c>
      <c r="J53" s="36">
        <f>'LIMPIEZA NT'!H51</f>
        <v>1600</v>
      </c>
      <c r="K53" s="37">
        <f>'LIMPIEZA NT'!G51</f>
        <v>142</v>
      </c>
      <c r="O53" s="39"/>
    </row>
    <row r="54" spans="1:1024" ht="33" customHeight="1" thickBot="1" x14ac:dyDescent="0.25">
      <c r="A54" s="32">
        <v>43</v>
      </c>
      <c r="B54" s="33" t="str">
        <f>'LIMPIEZA NT'!B52</f>
        <v>2.9.5-4558.7</v>
      </c>
      <c r="C54" s="100" t="str">
        <f>'LIMPIEZA NT'!E52</f>
        <v>BOLSAS DE RESIDUOS PATOLOGICOS; COLOR: ROJO, MEDIDA: 50 X 70 Cm, ESPESOR: 120 Mn, TIPO: PARA INCINERACION</v>
      </c>
      <c r="D54" s="100"/>
      <c r="E54" s="100"/>
      <c r="F54" s="100"/>
      <c r="G54" s="100"/>
      <c r="H54" s="34" t="s">
        <v>154</v>
      </c>
      <c r="I54" s="35" t="str">
        <f>'LIMPIEZA NT'!F52</f>
        <v>UNIDAD</v>
      </c>
      <c r="J54" s="36">
        <f>'LIMPIEZA NT'!H52</f>
        <v>7.17</v>
      </c>
      <c r="K54" s="37">
        <f>'LIMPIEZA NT'!G52</f>
        <v>4500</v>
      </c>
    </row>
    <row r="55" spans="1:1024" ht="30" customHeight="1" thickBot="1" x14ac:dyDescent="0.25">
      <c r="A55" s="98" t="s">
        <v>205</v>
      </c>
      <c r="B55" s="98"/>
      <c r="C55" s="98"/>
      <c r="D55" s="98"/>
      <c r="E55" s="98"/>
      <c r="F55" s="98"/>
      <c r="G55" s="98"/>
      <c r="H55" s="98"/>
      <c r="I55" s="98"/>
      <c r="J55" s="99">
        <f>SUMPRODUCT(J12:J54,K12:K54)</f>
        <v>1968789.5499999998</v>
      </c>
      <c r="K55" s="99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</row>
  </sheetData>
  <mergeCells count="65">
    <mergeCell ref="A5:C5"/>
    <mergeCell ref="D5:K5"/>
    <mergeCell ref="C54:G54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4:G34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46:G46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A55:I55"/>
    <mergeCell ref="J55:K55"/>
    <mergeCell ref="C47:G47"/>
    <mergeCell ref="C48:G48"/>
    <mergeCell ref="C49:G49"/>
    <mergeCell ref="C50:G50"/>
    <mergeCell ref="C51:G51"/>
    <mergeCell ref="C52:G52"/>
    <mergeCell ref="C53:G53"/>
  </mergeCells>
  <printOptions horizontalCentered="1"/>
  <pageMargins left="0.19685039370078741" right="0.19685039370078741" top="0.98425196850393704" bottom="0.92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zoomScale="130" zoomScaleNormal="130" workbookViewId="0">
      <selection activeCell="A28" sqref="A1:Q29"/>
    </sheetView>
  </sheetViews>
  <sheetFormatPr baseColWidth="10" defaultColWidth="9.875" defaultRowHeight="12.75" x14ac:dyDescent="0.2"/>
  <cols>
    <col min="1" max="4" width="4" style="38" customWidth="1"/>
    <col min="5" max="5" width="3.75" style="38" customWidth="1"/>
    <col min="6" max="6" width="4.625" style="38" customWidth="1"/>
    <col min="7" max="7" width="4" style="42" customWidth="1"/>
    <col min="8" max="14" width="4" style="38" customWidth="1"/>
    <col min="15" max="16" width="13.375" style="38" customWidth="1"/>
    <col min="17" max="17" width="13.25" style="38" customWidth="1"/>
    <col min="18" max="18" width="9.875" style="38"/>
    <col min="19" max="19" width="12" style="38" bestFit="1" customWidth="1"/>
    <col min="20" max="16384" width="9.875" style="38"/>
  </cols>
  <sheetData>
    <row r="1" spans="1:17" ht="15.75" customHeight="1" thickBot="1" x14ac:dyDescent="0.3">
      <c r="A1" s="129" t="s">
        <v>5</v>
      </c>
      <c r="B1" s="129"/>
      <c r="C1" s="129"/>
      <c r="D1" s="130">
        <f>'LIMPIEZA NT'!C6</f>
        <v>2021</v>
      </c>
      <c r="E1" s="130"/>
      <c r="F1" s="40"/>
      <c r="G1" s="40"/>
      <c r="H1" s="41"/>
      <c r="I1" s="41"/>
      <c r="J1" s="41"/>
      <c r="K1" s="41"/>
      <c r="L1" s="41"/>
      <c r="M1" s="41"/>
      <c r="N1" s="41"/>
      <c r="P1" s="131" t="s">
        <v>155</v>
      </c>
      <c r="Q1" s="131"/>
    </row>
    <row r="2" spans="1:17" ht="15.75" customHeight="1" thickBot="1" x14ac:dyDescent="0.25">
      <c r="H2" s="41"/>
      <c r="I2" s="41"/>
      <c r="J2" s="41"/>
      <c r="K2" s="41"/>
      <c r="L2" s="41"/>
      <c r="M2" s="41"/>
      <c r="N2" s="41"/>
      <c r="P2" s="131"/>
      <c r="Q2" s="131"/>
    </row>
    <row r="4" spans="1:17" s="43" customFormat="1" ht="18" customHeight="1" thickBot="1" x14ac:dyDescent="0.25">
      <c r="A4" s="132" t="s">
        <v>156</v>
      </c>
      <c r="B4" s="132"/>
      <c r="C4" s="132"/>
      <c r="D4" s="132"/>
      <c r="E4" s="132"/>
      <c r="F4" s="132"/>
      <c r="G4" s="133" t="str">
        <f>'LIMPIEZA NPYE'!D3</f>
        <v>40 - Ministerio de Salud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43" customFormat="1" ht="18" customHeight="1" thickBot="1" x14ac:dyDescent="0.25">
      <c r="A5" s="134" t="s">
        <v>141</v>
      </c>
      <c r="B5" s="135"/>
      <c r="C5" s="135"/>
      <c r="D5" s="135"/>
      <c r="E5" s="135"/>
      <c r="F5" s="136"/>
      <c r="G5" s="133" t="str">
        <f>'LIMPIEZA NPYE'!D4</f>
        <v>23 - Hospital Interzonal San Juan Bautista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43" customFormat="1" ht="18" customHeight="1" thickBot="1" x14ac:dyDescent="0.25">
      <c r="A6" s="134" t="s">
        <v>142</v>
      </c>
      <c r="B6" s="135"/>
      <c r="C6" s="135"/>
      <c r="D6" s="135"/>
      <c r="E6" s="135"/>
      <c r="F6" s="136"/>
      <c r="G6" s="133" t="str">
        <f>'LIMPIEZA NPYE'!D5</f>
        <v>237 - Direccion de Mantenimiento / 168 - Direccion Asistencial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43" customFormat="1" ht="18" customHeight="1" thickBot="1" x14ac:dyDescent="0.25">
      <c r="A7" s="134" t="s">
        <v>143</v>
      </c>
      <c r="B7" s="135"/>
      <c r="C7" s="135"/>
      <c r="D7" s="135"/>
      <c r="E7" s="135"/>
      <c r="F7" s="136"/>
      <c r="G7" s="133" t="str">
        <f>'LIMPIEZA NPYE'!D6</f>
        <v>Servicio de Depósito Central y Servicio Control de Infecciones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7" t="s">
        <v>157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28" t="s">
        <v>158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44"/>
      <c r="P9" s="44"/>
      <c r="Q9" s="45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de Pedido N° " &amp; 'LIMPIEZA NPYE'!K1&amp;",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009/2021,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thickBot="1" x14ac:dyDescent="0.25">
      <c r="A11" s="46"/>
      <c r="B11" s="47"/>
      <c r="C11" s="47"/>
      <c r="D11" s="47"/>
      <c r="E11" s="47"/>
      <c r="F11" s="47"/>
      <c r="G11" s="48"/>
      <c r="H11" s="47"/>
      <c r="I11" s="47"/>
      <c r="J11" s="47"/>
      <c r="K11" s="47"/>
      <c r="L11" s="47"/>
      <c r="M11" s="47"/>
      <c r="N11" s="47"/>
      <c r="O11" s="47"/>
      <c r="P11" s="47"/>
      <c r="Q11" s="49"/>
    </row>
    <row r="12" spans="1:17" ht="15.75" customHeight="1" thickBot="1" x14ac:dyDescent="0.25">
      <c r="A12" s="123" t="s">
        <v>159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thickBot="1" x14ac:dyDescent="0.25">
      <c r="A13" s="124" t="s">
        <v>160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161</v>
      </c>
      <c r="P13" s="125"/>
      <c r="Q13" s="126" t="s">
        <v>162</v>
      </c>
    </row>
    <row r="14" spans="1:17" ht="15.75" customHeight="1" x14ac:dyDescent="0.2">
      <c r="A14" s="50" t="s">
        <v>163</v>
      </c>
      <c r="B14" s="51" t="s">
        <v>164</v>
      </c>
      <c r="C14" s="51" t="s">
        <v>165</v>
      </c>
      <c r="D14" s="51" t="s">
        <v>166</v>
      </c>
      <c r="E14" s="51" t="s">
        <v>167</v>
      </c>
      <c r="F14" s="51" t="s">
        <v>168</v>
      </c>
      <c r="G14" s="52" t="s">
        <v>169</v>
      </c>
      <c r="H14" s="51" t="s">
        <v>170</v>
      </c>
      <c r="I14" s="51" t="s">
        <v>171</v>
      </c>
      <c r="J14" s="51" t="s">
        <v>172</v>
      </c>
      <c r="K14" s="51" t="s">
        <v>172</v>
      </c>
      <c r="L14" s="51" t="s">
        <v>173</v>
      </c>
      <c r="M14" s="53" t="s">
        <v>174</v>
      </c>
      <c r="N14" s="54" t="s">
        <v>175</v>
      </c>
      <c r="O14" s="125"/>
      <c r="P14" s="125"/>
      <c r="Q14" s="126"/>
    </row>
    <row r="15" spans="1:17" ht="18.600000000000001" customHeight="1" x14ac:dyDescent="0.2">
      <c r="A15" s="55">
        <v>33</v>
      </c>
      <c r="B15" s="56"/>
      <c r="C15" s="56"/>
      <c r="D15" s="56">
        <v>4</v>
      </c>
      <c r="E15" s="56"/>
      <c r="F15" s="56">
        <v>4901</v>
      </c>
      <c r="G15" s="56">
        <v>3</v>
      </c>
      <c r="H15" s="56" t="s">
        <v>176</v>
      </c>
      <c r="I15" s="56">
        <v>2</v>
      </c>
      <c r="J15" s="56">
        <v>1</v>
      </c>
      <c r="K15" s="56">
        <v>5</v>
      </c>
      <c r="L15" s="56"/>
      <c r="M15" s="56">
        <v>1</v>
      </c>
      <c r="N15" s="56" t="s">
        <v>177</v>
      </c>
      <c r="O15" s="127" t="s">
        <v>178</v>
      </c>
      <c r="P15" s="127"/>
      <c r="Q15" s="57">
        <v>7560</v>
      </c>
    </row>
    <row r="16" spans="1:17" ht="18.600000000000001" customHeight="1" x14ac:dyDescent="0.2">
      <c r="A16" s="55">
        <v>33</v>
      </c>
      <c r="B16" s="56"/>
      <c r="C16" s="56"/>
      <c r="D16" s="56">
        <v>4</v>
      </c>
      <c r="E16" s="56"/>
      <c r="F16" s="56">
        <v>4901</v>
      </c>
      <c r="G16" s="56">
        <v>3</v>
      </c>
      <c r="H16" s="56" t="s">
        <v>176</v>
      </c>
      <c r="I16" s="56">
        <v>2</v>
      </c>
      <c r="J16" s="56">
        <v>3</v>
      </c>
      <c r="K16" s="56">
        <v>4</v>
      </c>
      <c r="L16" s="56"/>
      <c r="M16" s="56">
        <v>1</v>
      </c>
      <c r="N16" s="56" t="s">
        <v>177</v>
      </c>
      <c r="O16" s="127" t="s">
        <v>179</v>
      </c>
      <c r="P16" s="127"/>
      <c r="Q16" s="57">
        <v>431700</v>
      </c>
    </row>
    <row r="17" spans="1:18" ht="18.600000000000001" customHeight="1" x14ac:dyDescent="0.2">
      <c r="A17" s="55">
        <v>33</v>
      </c>
      <c r="B17" s="56"/>
      <c r="C17" s="56"/>
      <c r="D17" s="56">
        <v>4</v>
      </c>
      <c r="E17" s="56"/>
      <c r="F17" s="56">
        <v>4901</v>
      </c>
      <c r="G17" s="56">
        <v>3</v>
      </c>
      <c r="H17" s="56" t="s">
        <v>176</v>
      </c>
      <c r="I17" s="56">
        <v>2</v>
      </c>
      <c r="J17" s="56">
        <v>5</v>
      </c>
      <c r="K17" s="56">
        <v>4</v>
      </c>
      <c r="L17" s="56"/>
      <c r="M17" s="56">
        <v>1</v>
      </c>
      <c r="N17" s="56" t="s">
        <v>177</v>
      </c>
      <c r="O17" s="127" t="s">
        <v>180</v>
      </c>
      <c r="P17" s="127"/>
      <c r="Q17" s="57">
        <v>77000</v>
      </c>
    </row>
    <row r="18" spans="1:18" ht="18.600000000000001" customHeight="1" x14ac:dyDescent="0.2">
      <c r="A18" s="55">
        <v>33</v>
      </c>
      <c r="B18" s="56"/>
      <c r="C18" s="56"/>
      <c r="D18" s="56">
        <v>4</v>
      </c>
      <c r="E18" s="56"/>
      <c r="F18" s="56">
        <v>4901</v>
      </c>
      <c r="G18" s="56">
        <v>3</v>
      </c>
      <c r="H18" s="56" t="s">
        <v>176</v>
      </c>
      <c r="I18" s="56">
        <v>2</v>
      </c>
      <c r="J18" s="56">
        <v>5</v>
      </c>
      <c r="K18" s="56">
        <v>8</v>
      </c>
      <c r="L18" s="56"/>
      <c r="M18" s="56">
        <v>1</v>
      </c>
      <c r="N18" s="56" t="s">
        <v>177</v>
      </c>
      <c r="O18" s="127" t="s">
        <v>181</v>
      </c>
      <c r="P18" s="127"/>
      <c r="Q18" s="57">
        <v>353737.05</v>
      </c>
    </row>
    <row r="19" spans="1:18" ht="18.600000000000001" customHeight="1" x14ac:dyDescent="0.2">
      <c r="A19" s="55">
        <v>33</v>
      </c>
      <c r="B19" s="56"/>
      <c r="C19" s="56"/>
      <c r="D19" s="56">
        <v>4</v>
      </c>
      <c r="E19" s="56"/>
      <c r="F19" s="56">
        <v>4901</v>
      </c>
      <c r="G19" s="56">
        <v>3</v>
      </c>
      <c r="H19" s="56" t="s">
        <v>176</v>
      </c>
      <c r="I19" s="56">
        <v>2</v>
      </c>
      <c r="J19" s="56">
        <v>7</v>
      </c>
      <c r="K19" s="56">
        <v>5</v>
      </c>
      <c r="L19" s="56"/>
      <c r="M19" s="56">
        <v>1</v>
      </c>
      <c r="N19" s="56" t="s">
        <v>177</v>
      </c>
      <c r="O19" s="79" t="s">
        <v>182</v>
      </c>
      <c r="P19" s="79"/>
      <c r="Q19" s="57">
        <v>39000</v>
      </c>
    </row>
    <row r="20" spans="1:18" ht="18.600000000000001" customHeight="1" x14ac:dyDescent="0.2">
      <c r="A20" s="58">
        <v>33</v>
      </c>
      <c r="B20" s="59"/>
      <c r="C20" s="59"/>
      <c r="D20" s="59">
        <v>4</v>
      </c>
      <c r="E20" s="59"/>
      <c r="F20" s="59">
        <v>4901</v>
      </c>
      <c r="G20" s="59">
        <v>3</v>
      </c>
      <c r="H20" s="59" t="s">
        <v>176</v>
      </c>
      <c r="I20" s="60">
        <v>2</v>
      </c>
      <c r="J20" s="60">
        <v>9</v>
      </c>
      <c r="K20" s="60">
        <v>1</v>
      </c>
      <c r="L20" s="59"/>
      <c r="M20" s="59">
        <v>1</v>
      </c>
      <c r="N20" s="59" t="s">
        <v>177</v>
      </c>
      <c r="O20" s="121" t="s">
        <v>183</v>
      </c>
      <c r="P20" s="121"/>
      <c r="Q20" s="57">
        <v>1027527.5</v>
      </c>
    </row>
    <row r="21" spans="1:18" ht="27.6" customHeight="1" x14ac:dyDescent="0.2">
      <c r="A21" s="58">
        <v>33</v>
      </c>
      <c r="B21" s="59"/>
      <c r="C21" s="59"/>
      <c r="D21" s="59">
        <v>2</v>
      </c>
      <c r="E21" s="59"/>
      <c r="F21" s="59">
        <v>4901</v>
      </c>
      <c r="G21" s="59">
        <v>3</v>
      </c>
      <c r="H21" s="59" t="s">
        <v>176</v>
      </c>
      <c r="I21" s="60">
        <v>2</v>
      </c>
      <c r="J21" s="60">
        <v>9</v>
      </c>
      <c r="K21" s="60">
        <v>5</v>
      </c>
      <c r="L21" s="59"/>
      <c r="M21" s="59">
        <v>1</v>
      </c>
      <c r="N21" s="59" t="s">
        <v>177</v>
      </c>
      <c r="O21" s="121" t="s">
        <v>210</v>
      </c>
      <c r="P21" s="121"/>
      <c r="Q21" s="57">
        <v>32265</v>
      </c>
    </row>
    <row r="22" spans="1:18" ht="13.15" customHeight="1" x14ac:dyDescent="0.2">
      <c r="A22" s="61"/>
      <c r="B22" s="62"/>
      <c r="C22" s="62"/>
      <c r="D22" s="62"/>
      <c r="E22" s="62"/>
      <c r="F22" s="63"/>
      <c r="G22" s="62"/>
      <c r="H22" s="62"/>
      <c r="I22" s="62"/>
      <c r="J22" s="62"/>
      <c r="K22" s="62"/>
      <c r="L22" s="62"/>
      <c r="M22" s="64"/>
      <c r="N22" s="65"/>
      <c r="O22" s="111"/>
      <c r="P22" s="111"/>
      <c r="Q22" s="66"/>
      <c r="R22" s="44"/>
    </row>
    <row r="23" spans="1:18" ht="13.15" customHeight="1" x14ac:dyDescent="0.2">
      <c r="A23" s="67"/>
      <c r="B23" s="68"/>
      <c r="C23" s="68"/>
      <c r="D23" s="68"/>
      <c r="E23" s="68"/>
      <c r="F23" s="69"/>
      <c r="G23" s="68"/>
      <c r="H23" s="68"/>
      <c r="I23" s="68"/>
      <c r="J23" s="68"/>
      <c r="K23" s="68"/>
      <c r="L23" s="68"/>
      <c r="M23" s="70"/>
      <c r="N23" s="71"/>
      <c r="O23" s="112"/>
      <c r="P23" s="113"/>
      <c r="Q23" s="72"/>
      <c r="R23" s="44"/>
    </row>
    <row r="24" spans="1:18" ht="13.15" customHeight="1" thickBo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4"/>
      <c r="O24" s="114"/>
      <c r="P24" s="114"/>
      <c r="Q24" s="76"/>
    </row>
    <row r="25" spans="1:18" ht="27" customHeight="1" thickBot="1" x14ac:dyDescent="0.25">
      <c r="A25" s="115" t="s">
        <v>209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77">
        <f>+SUM(Q15:Q24)</f>
        <v>1968789.55</v>
      </c>
    </row>
    <row r="26" spans="1:18" ht="18" customHeight="1" thickBot="1" x14ac:dyDescent="0.2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8" ht="17.25" customHeight="1" thickBot="1" x14ac:dyDescent="0.25">
      <c r="A27" s="117" t="s">
        <v>184</v>
      </c>
      <c r="B27" s="118"/>
      <c r="C27" s="118"/>
      <c r="D27" s="118"/>
      <c r="E27" s="118"/>
      <c r="F27" s="119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</row>
    <row r="28" spans="1:18" ht="18" customHeight="1" thickBot="1" x14ac:dyDescent="0.25">
      <c r="A28" s="110" t="str">
        <f>"Para la "&amp; 'LIMPIEZA NPYE'!D8 &amp;" para ser destinados al " &amp; 'LIMPIEZA NPYE'!D6 &amp;" del HISJB del Ministerio de Salud."</f>
        <v>Para la Adquisición de Elementos de Limpieza para ser destinados al Servicio de Depósito Central y Servicio Control de Infecciones del HISJB del Ministerio de Salud.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</row>
    <row r="29" spans="1:18" ht="15" customHeight="1" thickBot="1" x14ac:dyDescent="0.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</row>
  </sheetData>
  <mergeCells count="32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20:P20"/>
    <mergeCell ref="A28:Q29"/>
    <mergeCell ref="O22:P22"/>
    <mergeCell ref="O23:P23"/>
    <mergeCell ref="O24:P24"/>
    <mergeCell ref="A25:P25"/>
    <mergeCell ref="A26:Q26"/>
    <mergeCell ref="A27:F27"/>
    <mergeCell ref="G27:Q2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LIMPIEZA NT</vt:lpstr>
      <vt:lpstr>LIMPIEZA NPYE</vt:lpstr>
      <vt:lpstr>LIMPIEZA APG</vt:lpstr>
      <vt:lpstr>'LIMPIEZA APG'!Área_de_impresión</vt:lpstr>
      <vt:lpstr>'LIMPIEZA NPYE'!Área_de_impresión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lastPrinted>2021-03-16T12:14:45Z</cp:lastPrinted>
  <dcterms:created xsi:type="dcterms:W3CDTF">2021-02-08T13:57:00Z</dcterms:created>
  <dcterms:modified xsi:type="dcterms:W3CDTF">2021-08-17T12:15:03Z</dcterms:modified>
</cp:coreProperties>
</file>