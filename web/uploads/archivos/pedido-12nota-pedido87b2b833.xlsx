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23"/>
  <workbookPr defaultThemeVersion="124226"/>
  <xr:revisionPtr revIDLastSave="0" documentId="11_7D0F33CCD2063E03C01D9C8A638525406E71BE2F" xr6:coauthVersionLast="47" xr6:coauthVersionMax="47" xr10:uidLastSave="{00000000-0000-0000-0000-000000000000}"/>
  <bookViews>
    <workbookView xWindow="-120" yWindow="-120" windowWidth="19440" windowHeight="11040" tabRatio="500" xr2:uid="{00000000-000D-0000-FFFF-FFFF00000000}"/>
  </bookViews>
  <sheets>
    <sheet name="Necesidades Trimestr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10" i="1" l="1"/>
  <c r="I28" i="1"/>
  <c r="I29" i="1"/>
  <c r="I11" i="1" l="1"/>
  <c r="J10" i="1" s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30" i="1"/>
  <c r="I31" i="1"/>
  <c r="I32" i="1"/>
  <c r="J12" i="1" l="1"/>
  <c r="J14" i="1"/>
  <c r="J24" i="1"/>
  <c r="J22" i="1"/>
  <c r="J20" i="1"/>
  <c r="J18" i="1"/>
  <c r="J16" i="1"/>
  <c r="K10" i="1"/>
  <c r="I33" i="1" l="1"/>
  <c r="J33" i="1" s="1"/>
  <c r="I34" i="1" l="1"/>
</calcChain>
</file>

<file path=xl/sharedStrings.xml><?xml version="1.0" encoding="utf-8"?>
<sst xmlns="http://schemas.openxmlformats.org/spreadsheetml/2006/main" count="517" uniqueCount="100">
  <si>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</si>
  <si>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</si>
  <si>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</si>
  <si>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</si>
  <si>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</si>
  <si>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</si>
  <si>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</si>
  <si>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</si>
  <si>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</si>
  <si>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</si>
  <si>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</si>
  <si>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</si>
  <si>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</si>
  <si>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</si>
  <si>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</si>
  <si>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</si>
  <si>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2.5.6-797.54</t>
  </si>
  <si>
    <t>COMBUSTIBLES Y LUBRICANTES</t>
  </si>
  <si>
    <t>2.5.6</t>
  </si>
  <si>
    <r>
      <t>NAFTA SUPER; TIPO: SEGUN PLIEGO, OCTANO: DESDE 95, PRESENTACION: POR LITRO, DESTINO: DPTO.</t>
    </r>
    <r>
      <rPr>
        <b/>
        <sz val="10"/>
        <rFont val="Century Gothic"/>
        <family val="2"/>
      </rPr>
      <t xml:space="preserve"> S.F.V. DE CATAMARCA</t>
    </r>
    <r>
      <rPr>
        <sz val="10"/>
        <rFont val="Century Gothic"/>
        <family val="2"/>
      </rPr>
      <t>, COMERCIALIZACION: SIN VALOR</t>
    </r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</si>
  <si>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</si>
  <si>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</si>
  <si>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</si>
  <si>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2.5.6-797.55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</si>
  <si>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LA PAZ</t>
    </r>
    <r>
      <rPr>
        <sz val="10"/>
        <rFont val="Century Gothic"/>
        <family val="2"/>
      </rPr>
      <t>, COMERCIALIZACION: SIN VALOR</t>
    </r>
  </si>
  <si>
    <t>2.5.6-793.35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</si>
  <si>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LA PAZ</t>
    </r>
  </si>
  <si>
    <t>2.5.6-797.56</t>
  </si>
  <si>
    <r>
      <t xml:space="preserve">NAFTA SUPER; TIPO: SEGUN PLIEGO, OCTANO: DESDE 95, PRESENTACION: POR LITRO DESTINO: LUBRICANTES DPTO. </t>
    </r>
    <r>
      <rPr>
        <b/>
        <sz val="10"/>
        <rFont val="Century Gothic"/>
        <family val="2"/>
      </rPr>
      <t>BELEN</t>
    </r>
    <r>
      <rPr>
        <sz val="10"/>
        <rFont val="Century Gothic"/>
        <family val="2"/>
      </rPr>
      <t xml:space="preserve"> COMERCIALIZACION: SIN VALOR</t>
    </r>
  </si>
  <si>
    <t>2.5.6-793.37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</si>
  <si>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BELEN</t>
    </r>
  </si>
  <si>
    <t>2.5.6-797.57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</si>
  <si>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ANDALGALA,</t>
    </r>
    <r>
      <rPr>
        <sz val="10"/>
        <rFont val="Century Gothic"/>
        <family val="2"/>
      </rPr>
      <t xml:space="preserve"> COMERCIALIZACION: SIN VALOR</t>
    </r>
  </si>
  <si>
    <t>2.5.6-793.45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</si>
  <si>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ANDALGALA</t>
    </r>
  </si>
  <si>
    <t>2.5.6-797.58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</si>
  <si>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TINOGASTA,</t>
    </r>
    <r>
      <rPr>
        <sz val="10"/>
        <rFont val="Century Gothic"/>
        <family val="2"/>
      </rPr>
      <t xml:space="preserve"> COMERCIALIZACION: SIN VALOR</t>
    </r>
  </si>
  <si>
    <t>2.5.6-793.36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</si>
  <si>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TINOGASTA</t>
    </r>
  </si>
  <si>
    <t>2.5.6-797.59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</si>
  <si>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EL ALTO</t>
    </r>
    <r>
      <rPr>
        <sz val="10"/>
        <rFont val="Century Gothic"/>
        <family val="2"/>
      </rPr>
      <t>, COMERCIALIZACION: SIN VALOR</t>
    </r>
  </si>
  <si>
    <t>2.5.6-793.39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</si>
  <si>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EL ALTO</t>
    </r>
  </si>
  <si>
    <t>2.5.6-797.60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</si>
  <si>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STA. MARIA</t>
    </r>
    <r>
      <rPr>
        <sz val="10"/>
        <rFont val="Century Gothic"/>
        <family val="2"/>
      </rPr>
      <t>, COMERCIALIZACION: SIN VALOR</t>
    </r>
  </si>
  <si>
    <t>2.5.6-793.38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</si>
  <si>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STA. MARIA</t>
    </r>
  </si>
  <si>
    <t>2.5.6-797.61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</si>
  <si>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POMAN,</t>
    </r>
    <r>
      <rPr>
        <sz val="10"/>
        <rFont val="Century Gothic"/>
        <family val="2"/>
      </rPr>
      <t xml:space="preserve"> COMERCIALIZACION: SIN VALOR</t>
    </r>
  </si>
  <si>
    <t>2.5.6-793.33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</si>
  <si>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POMAN</t>
    </r>
  </si>
  <si>
    <t>2.5.6-7104.19</t>
  </si>
  <si>
    <t>ACEITES LUBRICANTES; DENOMINACION: SAE 15 W 40, USO: AUTOMOTOR, PRESENTACION: TAMBOR X 205 L, NORMA: SAE 15 W 40</t>
  </si>
  <si>
    <t>UNIDAD</t>
  </si>
  <si>
    <t>2.5.6-7104.577</t>
  </si>
  <si>
    <t>ACEITES LUBRICANTES; DENOMINACION: SAE 5 W 30, USO: AUTOMOTOR, PRESENTACION: TAMBOR X 205 L, NORMA: SAE 5 W 30</t>
  </si>
  <si>
    <t>2.5.6-7104.261</t>
  </si>
  <si>
    <t>ACEITES LUBRICANTES; USO: AUTOMOTOR, PRESENTACION: TAMBOR X 205 L</t>
  </si>
  <si>
    <t>2.5.6-7104.578</t>
  </si>
  <si>
    <t>ACEITES LUBRICANTES; DENOMINACION: SAE 15 W 50, USO: AUTOMOTOR, PRESENTACION: TAMBOR X 205 L, NORMA: SAE 15 W 50</t>
  </si>
  <si>
    <t>2.5.6-7104.31</t>
  </si>
  <si>
    <t>ACEITES LUBRICANTES; DENOMINACION: SAE 20 W 50, USO: AUTOMOTOR, PRESENTACION: TAMBOR X 205 L, NORMA: SAE 20 W 50</t>
  </si>
  <si>
    <t>2.5.6-1623.2</t>
  </si>
  <si>
    <t>FLUIDOS P/FRENOS; DENSIDAD A 15 ºC: 1,03 °C, PUNTO DE INFLAMACION: 140 °C, PUNTO DE ESCURRIMIENTO: -50, PRESENTACION: ENVASE X 20 L, VISCOSIDAD A 100º C: 3,4 cst, PUNTO DE EBULLICION: 230 °C</t>
  </si>
  <si>
    <t>2.5.6-7104.500</t>
  </si>
  <si>
    <t>ACEITES LUBRICANTES; USO: SISTEMA HIDRAULICO, PRESENTACION: ENVASE X 1 L, NORMA: ISO VG 5, COMERCIALIZACION: POR LITRO</t>
  </si>
  <si>
    <t>2.5.9-3157.16</t>
  </si>
  <si>
    <t>ANTICONGELANTE/REFRIGERANT; TIPO: NTICONGELANTE/REFRIGERANTE, PUNTO DE EBULLICION: SIN, PUNTO DE CONGELACION: SIN, PRESENTACION: ENVASE X 1 L</t>
  </si>
  <si>
    <t>Especificidades:</t>
  </si>
  <si>
    <t>Descripción técnica ITEM 1 y 2:</t>
  </si>
  <si>
    <t>REQUISITO: Se debe contar con mas de una Boca de expendio para Actividad 1 y 7</t>
  </si>
  <si>
    <t>Descripción técnica ITEM 1- 3- 5- 7- 9- 11- 13- 15:</t>
  </si>
  <si>
    <t>NAFTA SUPER; TIPO: PREMIUN, OCTANO: 98, PRESENTACION: X LITRO.</t>
  </si>
  <si>
    <t>Descripción técnica ITEM 2- 4- 6- 8- 10- 12- 14- 16:</t>
  </si>
  <si>
    <t xml:space="preserve"> GAS OIL; PRESENTACION: POR LITRO, USO: MOTORES DIESEL, COMERCIALIZACION: GRADO 3          </t>
  </si>
  <si>
    <t>Descripción técnica ITEM17:</t>
  </si>
  <si>
    <t xml:space="preserve">Caracteristicas:   Aceite  Sintético 15W40 con normas  ACEA  A3/B3, A3/B4. API SN, S, SL, SJ. Para Camioneta  Tambor x 205 lts.      </t>
  </si>
  <si>
    <t>Descripción técnica ITEM18:</t>
  </si>
  <si>
    <t xml:space="preserve">Caracteristicas:  Aceite Semi sintético 5W30  con normas  ACEA  A3/B3, A3/B4. API SN, S, SL, SJ. Para Camionetas .  Tambor x 205 lts.     </t>
  </si>
  <si>
    <t>Descripción técnica ITEM19:</t>
  </si>
  <si>
    <t xml:space="preserve">Caracteristicas:  Aceite sintético 10W50  con normas  API SL/SJ, SH, SG, JASO MA para motos  Tambor x 205 lts  </t>
  </si>
  <si>
    <t>Descripción técnica ITEM20:</t>
  </si>
  <si>
    <t xml:space="preserve">Caracteristicas:  Aceite Semi sintético 15W50  con normas  API SL/SJ, SH, SG, JASO MA para motos  Tambor x 205 lts  </t>
  </si>
  <si>
    <t>Descripción técnica ITEM21:</t>
  </si>
  <si>
    <t>Caracteristicas: Aceite Semi sintético 20W50 con normas API SL/SJ, SH, SG, JASO MA para motos  Tambor x 205 lts</t>
  </si>
  <si>
    <t>Descripción técnica ITEM22:</t>
  </si>
  <si>
    <t xml:space="preserve">Caracteristicas:   Liquido de Freno  por 20 lts.      </t>
  </si>
  <si>
    <t>Descripción técnica ITEM23:</t>
  </si>
  <si>
    <t>Caracteristicas:  LIQUIDO HIDRAULICO</t>
  </si>
  <si>
    <t>Descripción técnica ITEM24:</t>
  </si>
  <si>
    <t>Caracteristicas: REFRIGERANTE AUTOMOTOR EMBASE POR 1TL</t>
  </si>
  <si>
    <t> </t>
  </si>
  <si>
    <t>Plazos y lugares de entrega</t>
  </si>
  <si>
    <t>Plazo de entrega tres 3 días hábiles. Periodo de utilización tres meses. ENTREGA el monto en VALES de combustible, para los item 1 al 16 deben entregarse el 50 %  en vales por 30 Litros; el 20 % en vales por  20 Litros y el 30 % restante en vales por 10 Litros, en la DIRECCIÓN DE ADMINISTRACIÓN sito en Chacabuco N* 809 , San Fernando del Valle de Catamarca, en horario de 8 a 12 horas. El COMBUSTIBLE en la boca de expendio de las cabeceras departamentales. LOS LUBRICANTES , en Dpto. Logística, sito en Av. Felix Avellaneda Km2  RP N 33, Sumalao Valle Viejo,
Actividad 1 – U.R. I (Dpto. CAPITAL)  COMBUSTIBLE ( $ 27.563.772,00)
75.600  litros Nafta Súper.-
 174.360 litros Gasoil Grado 3.-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 LUBRICANTES ( $ 4.933.514,00)
Actividad 7 – INTERIOR PROVINCIAL  (Dpto. VALLE VIEJO- Dpto. FME- Dpto.AMBATO - Dpto. PACLIN) COMBUSTIBLE ( $ 27.563.772,00)
75.600  litros Nafta Súper.-
 174.360 litros Gasoil Grado 3.
Actividad 09 – U.R. 2 Dpto. La Paz ($ 1.121.600,00)
2.700  litros Nafta Súper.-
7.400 litros Gasoil Grado 3.-
Actividad 10 – U.R. 3 Dpto. Belen ($ 1.121.600,00)
2.700  litros Nafta Súper.-
7.400 litros Gasoil Grado 3.-
Actividad 11 – U.R. 4 (Dpto. Andalgala) ($ 1.121.600,00)
2.700  litros Nafta Súper.-
7.400 litros Gasoil Grado 3.-
Actividad 12 – U.R. 5 Dpto. Tinogasta ($ 1.126.840,00)
2.700  litros Nafta Súper.-
7.400  litros Gasoil Grado 3.-
Actividad 13 –Jefatura de Zona “C” (Dpto. El Alto) ($ 1.121.600,00)
2.700  litros Nafta Súper.-
7.400 litros Gasoil Grado 3.-
Actividad 14 – Jefatura de Zona “D” (Dpto. Santa María) ($ 1.136.400,00)
2.700  litros Nafta Súper.-
7.400  litros Gasoil Grado 3.-
Actividad 15 – Jefatura de Zona “F” (Dpto. Poman) ($ 1.122.010,00)
2.700  litros Nafta Súper.-
7.400  litros Gasoil Grado 3.-</t>
  </si>
  <si>
    <t>Calidad Minima esperada</t>
  </si>
  <si>
    <t>Que Cumpla con lo Solicitado de Forma Integra.</t>
  </si>
  <si>
    <t>Mantenimiento</t>
  </si>
  <si>
    <t>30 (treinta) días</t>
  </si>
  <si>
    <t>Garantia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</si>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</sst>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70" formatCode="_ [$$-2C0A]\ * #,##0.00_ ;_ [$$-2C0A]\ * \-#,##0.00_ ;_ [$$-2C0A]\ * &quot;-&quot;??_ ;_ @_ "/>
    <numFmt numFmtId="171" formatCode="_-[$$-2C0A]\ * #,##0.00_-;\-[$$-2C0A]\ * #,##0.00_-;_-[$$-2C0A]\ * &quot;-&quot;??_-;_-@_-"/>
  </numFmts>
  <fonts count="16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  <font>
      <sz val="10"/>
      <color rgb="FF000000"/>
      <name val="Century Gothi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91">
    <xf numFmtId="0" fontId="0" fillId="0" borderId="0" xfId="0"/>
    <xf numFmtId="0" fontId="5" fillId="3" borderId="0" xfId="0" applyFont="1" applyFill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170" fontId="7" fillId="3" borderId="4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5" fillId="3" borderId="14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10" fillId="3" borderId="16" xfId="0" applyFont="1" applyFill="1" applyBorder="1" applyAlignment="1">
      <alignment horizontal="left" indent="3"/>
    </xf>
    <xf numFmtId="0" fontId="5" fillId="4" borderId="8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4" borderId="18" xfId="0" applyFont="1" applyFill="1" applyBorder="1" applyAlignment="1">
      <alignment wrapText="1"/>
    </xf>
    <xf numFmtId="0" fontId="11" fillId="4" borderId="16" xfId="0" applyFont="1" applyFill="1" applyBorder="1" applyAlignment="1">
      <alignment wrapText="1"/>
    </xf>
    <xf numFmtId="0" fontId="5" fillId="4" borderId="17" xfId="0" applyFont="1" applyFill="1" applyBorder="1" applyAlignment="1">
      <alignment wrapText="1"/>
    </xf>
    <xf numFmtId="0" fontId="10" fillId="4" borderId="16" xfId="0" applyFont="1" applyFill="1" applyBorder="1" applyAlignment="1">
      <alignment wrapText="1"/>
    </xf>
    <xf numFmtId="0" fontId="5" fillId="4" borderId="20" xfId="0" applyFont="1" applyFill="1" applyBorder="1" applyAlignment="1">
      <alignment wrapText="1"/>
    </xf>
    <xf numFmtId="0" fontId="12" fillId="3" borderId="0" xfId="0" applyFont="1" applyFill="1"/>
    <xf numFmtId="0" fontId="13" fillId="3" borderId="0" xfId="0" applyFont="1" applyFill="1"/>
    <xf numFmtId="0" fontId="0" fillId="0" borderId="0" xfId="0" applyAlignment="1">
      <alignment wrapText="1"/>
    </xf>
    <xf numFmtId="170" fontId="6" fillId="3" borderId="23" xfId="0" applyNumberFormat="1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 wrapText="1"/>
    </xf>
    <xf numFmtId="49" fontId="5" fillId="3" borderId="22" xfId="0" applyNumberFormat="1" applyFont="1" applyFill="1" applyBorder="1" applyAlignment="1">
      <alignment vertical="center" wrapText="1"/>
    </xf>
    <xf numFmtId="49" fontId="5" fillId="3" borderId="22" xfId="0" applyNumberFormat="1" applyFont="1" applyFill="1" applyBorder="1" applyAlignment="1">
      <alignment horizontal="left" vertical="center"/>
    </xf>
    <xf numFmtId="49" fontId="5" fillId="3" borderId="22" xfId="0" applyNumberFormat="1" applyFont="1" applyFill="1" applyBorder="1" applyAlignment="1">
      <alignment horizontal="left" vertical="center" wrapText="1"/>
    </xf>
    <xf numFmtId="49" fontId="5" fillId="3" borderId="22" xfId="0" applyNumberFormat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170" fontId="9" fillId="3" borderId="22" xfId="0" applyNumberFormat="1" applyFont="1" applyFill="1" applyBorder="1" applyAlignment="1">
      <alignment vertical="center" wrapText="1"/>
    </xf>
    <xf numFmtId="164" fontId="9" fillId="3" borderId="22" xfId="1" applyNumberFormat="1" applyFont="1" applyFill="1" applyBorder="1" applyAlignment="1">
      <alignment vertical="center"/>
    </xf>
    <xf numFmtId="49" fontId="5" fillId="3" borderId="22" xfId="0" applyNumberFormat="1" applyFont="1" applyFill="1" applyBorder="1" applyAlignment="1">
      <alignment vertical="center"/>
    </xf>
    <xf numFmtId="0" fontId="12" fillId="3" borderId="0" xfId="0" applyFont="1" applyFill="1" applyBorder="1"/>
    <xf numFmtId="170" fontId="12" fillId="3" borderId="0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wrapText="1"/>
    </xf>
    <xf numFmtId="171" fontId="12" fillId="3" borderId="0" xfId="0" applyNumberFormat="1" applyFont="1" applyFill="1" applyBorder="1"/>
    <xf numFmtId="1" fontId="8" fillId="3" borderId="22" xfId="0" applyNumberFormat="1" applyFont="1" applyFill="1" applyBorder="1" applyAlignment="1">
      <alignment horizontal="center" wrapText="1"/>
    </xf>
    <xf numFmtId="0" fontId="12" fillId="3" borderId="0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14" fillId="4" borderId="0" xfId="0" applyFont="1" applyFill="1" applyBorder="1" applyAlignment="1">
      <alignment wrapText="1"/>
    </xf>
    <xf numFmtId="0" fontId="13" fillId="4" borderId="0" xfId="0" applyFont="1" applyFill="1" applyBorder="1" applyAlignment="1">
      <alignment wrapText="1"/>
    </xf>
    <xf numFmtId="0" fontId="5" fillId="4" borderId="19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wrapText="1" indent="1"/>
    </xf>
    <xf numFmtId="0" fontId="7" fillId="3" borderId="0" xfId="0" applyFont="1" applyFill="1" applyBorder="1" applyAlignment="1">
      <alignment horizontal="left" wrapText="1" indent="1"/>
    </xf>
    <xf numFmtId="0" fontId="11" fillId="4" borderId="16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 wrapText="1"/>
    </xf>
    <xf numFmtId="0" fontId="11" fillId="4" borderId="17" xfId="0" applyFont="1" applyFill="1" applyBorder="1" applyAlignment="1">
      <alignment horizontal="left" wrapText="1"/>
    </xf>
    <xf numFmtId="0" fontId="5" fillId="4" borderId="19" xfId="0" applyFont="1" applyFill="1" applyBorder="1" applyAlignment="1">
      <alignment wrapText="1"/>
    </xf>
    <xf numFmtId="0" fontId="5" fillId="4" borderId="21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wrapText="1"/>
    </xf>
    <xf numFmtId="0" fontId="11" fillId="4" borderId="6" xfId="0" applyFont="1" applyFill="1" applyBorder="1" applyAlignment="1">
      <alignment horizontal="left" wrapText="1"/>
    </xf>
    <xf numFmtId="0" fontId="11" fillId="4" borderId="7" xfId="0" applyFont="1" applyFill="1" applyBorder="1" applyAlignment="1">
      <alignment horizontal="left" wrapText="1"/>
    </xf>
    <xf numFmtId="0" fontId="6" fillId="4" borderId="0" xfId="0" applyFont="1" applyFill="1" applyBorder="1" applyAlignment="1">
      <alignment wrapText="1"/>
    </xf>
    <xf numFmtId="0" fontId="6" fillId="4" borderId="9" xfId="0" applyFont="1" applyFill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11" fillId="4" borderId="8" xfId="0" applyFont="1" applyFill="1" applyBorder="1" applyAlignment="1">
      <alignment horizontal="left" wrapText="1"/>
    </xf>
    <xf numFmtId="0" fontId="11" fillId="4" borderId="9" xfId="0" applyFont="1" applyFill="1" applyBorder="1" applyAlignment="1">
      <alignment horizontal="left" wrapText="1"/>
    </xf>
    <xf numFmtId="0" fontId="5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14" fillId="4" borderId="0" xfId="0" applyFont="1" applyFill="1" applyBorder="1" applyAlignment="1">
      <alignment wrapText="1"/>
    </xf>
    <xf numFmtId="0" fontId="13" fillId="4" borderId="0" xfId="0" applyFont="1" applyFill="1" applyBorder="1" applyAlignment="1">
      <alignment wrapText="1"/>
    </xf>
    <xf numFmtId="0" fontId="9" fillId="5" borderId="22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vertical="center" wrapText="1"/>
    </xf>
    <xf numFmtId="49" fontId="5" fillId="5" borderId="22" xfId="0" applyNumberFormat="1" applyFont="1" applyFill="1" applyBorder="1" applyAlignment="1">
      <alignment vertical="center" wrapText="1"/>
    </xf>
    <xf numFmtId="49" fontId="5" fillId="5" borderId="22" xfId="0" applyNumberFormat="1" applyFont="1" applyFill="1" applyBorder="1" applyAlignment="1">
      <alignment vertical="center"/>
    </xf>
    <xf numFmtId="49" fontId="5" fillId="5" borderId="22" xfId="0" applyNumberFormat="1" applyFont="1" applyFill="1" applyBorder="1" applyAlignment="1">
      <alignment horizontal="left" vertical="center" wrapText="1"/>
    </xf>
    <xf numFmtId="49" fontId="5" fillId="5" borderId="22" xfId="0" applyNumberFormat="1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170" fontId="9" fillId="5" borderId="22" xfId="0" applyNumberFormat="1" applyFont="1" applyFill="1" applyBorder="1" applyAlignment="1">
      <alignment vertical="center" wrapText="1"/>
    </xf>
    <xf numFmtId="164" fontId="9" fillId="5" borderId="22" xfId="1" applyNumberFormat="1" applyFont="1" applyFill="1" applyBorder="1" applyAlignment="1">
      <alignment vertical="center"/>
    </xf>
    <xf numFmtId="170" fontId="12" fillId="5" borderId="0" xfId="0" applyNumberFormat="1" applyFont="1" applyFill="1" applyBorder="1" applyAlignment="1">
      <alignment horizontal="center" vertical="center"/>
    </xf>
    <xf numFmtId="0" fontId="12" fillId="5" borderId="0" xfId="0" applyFont="1" applyFill="1" applyBorder="1"/>
    <xf numFmtId="0" fontId="5" fillId="5" borderId="0" xfId="0" applyFont="1" applyFill="1" applyBorder="1"/>
    <xf numFmtId="0" fontId="15" fillId="0" borderId="0" xfId="0" applyFont="1" applyAlignment="1">
      <alignment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03"/>
  <sheetViews>
    <sheetView tabSelected="1" view="pageBreakPreview" topLeftCell="A23" zoomScale="70" zoomScaleNormal="70" zoomScaleSheetLayoutView="70" workbookViewId="0">
      <selection activeCell="E27" sqref="E27"/>
    </sheetView>
  </sheetViews>
  <sheetFormatPr defaultColWidth="11" defaultRowHeight="13.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03.140625" style="9" customWidth="1"/>
    <col min="6" max="6" width="11" style="1"/>
    <col min="7" max="7" width="12.7109375" style="1" customWidth="1"/>
    <col min="8" max="8" width="15.42578125" style="1" customWidth="1"/>
    <col min="9" max="9" width="18.5703125" style="2" customWidth="1"/>
    <col min="10" max="10" width="16.28515625" style="27" bestFit="1" customWidth="1"/>
    <col min="11" max="11" width="21.7109375" style="3" customWidth="1"/>
    <col min="12" max="16384" width="11" style="3"/>
  </cols>
  <sheetData>
    <row r="2" spans="1:11">
      <c r="B2" s="53" t="s">
        <v>0</v>
      </c>
      <c r="C2" s="53"/>
      <c r="D2" s="53"/>
      <c r="E2" s="53"/>
      <c r="F2" s="53"/>
      <c r="G2" s="53"/>
      <c r="H2" s="53"/>
    </row>
    <row r="4" spans="1:11" ht="18" customHeight="1">
      <c r="A4" s="52" t="s">
        <v>1</v>
      </c>
      <c r="B4" s="52"/>
      <c r="C4" s="54" t="s">
        <v>2</v>
      </c>
      <c r="D4" s="54"/>
      <c r="E4" s="54"/>
      <c r="F4" s="4"/>
      <c r="G4" s="4"/>
      <c r="H4" s="4"/>
    </row>
    <row r="5" spans="1:11" ht="18" customHeight="1">
      <c r="A5" s="52" t="s">
        <v>3</v>
      </c>
      <c r="B5" s="52"/>
      <c r="C5" s="55" t="s">
        <v>4</v>
      </c>
      <c r="D5" s="55"/>
      <c r="E5" s="55"/>
      <c r="F5" s="4"/>
      <c r="G5" s="4"/>
      <c r="H5" s="4"/>
    </row>
    <row r="6" spans="1:11" ht="16.5" customHeight="1">
      <c r="A6" s="52" t="s">
        <v>5</v>
      </c>
      <c r="B6" s="52"/>
      <c r="C6" s="5">
        <v>2022</v>
      </c>
      <c r="D6" s="6"/>
      <c r="E6" s="6"/>
      <c r="F6" s="4"/>
      <c r="G6" s="4"/>
      <c r="H6" s="4"/>
    </row>
    <row r="7" spans="1:11" ht="16.5" customHeight="1">
      <c r="A7" s="52" t="s">
        <v>6</v>
      </c>
      <c r="B7" s="52"/>
      <c r="C7" s="5">
        <v>1</v>
      </c>
      <c r="D7" s="6"/>
      <c r="E7" s="6"/>
      <c r="F7" s="4"/>
      <c r="G7" s="4"/>
      <c r="H7" s="4"/>
    </row>
    <row r="8" spans="1:11" ht="14.25" thickBot="1">
      <c r="B8" s="4"/>
      <c r="C8" s="4"/>
      <c r="D8" s="7"/>
      <c r="E8" s="7"/>
      <c r="F8" s="4"/>
      <c r="G8" s="4"/>
      <c r="H8" s="4"/>
    </row>
    <row r="9" spans="1:11" s="8" customFormat="1" ht="38.25">
      <c r="A9" s="11" t="s">
        <v>7</v>
      </c>
      <c r="B9" s="12" t="s">
        <v>8</v>
      </c>
      <c r="C9" s="12" t="s">
        <v>9</v>
      </c>
      <c r="D9" s="12" t="s">
        <v>10</v>
      </c>
      <c r="E9" s="13" t="s">
        <v>11</v>
      </c>
      <c r="F9" s="12" t="s">
        <v>12</v>
      </c>
      <c r="G9" s="12" t="s">
        <v>13</v>
      </c>
      <c r="H9" s="12" t="s">
        <v>14</v>
      </c>
      <c r="I9" s="14" t="s">
        <v>15</v>
      </c>
      <c r="J9" s="41"/>
    </row>
    <row r="10" spans="1:11" s="8" customFormat="1" ht="27">
      <c r="A10" s="31">
        <v>1</v>
      </c>
      <c r="B10" s="32" t="s">
        <v>16</v>
      </c>
      <c r="C10" s="33" t="s">
        <v>17</v>
      </c>
      <c r="D10" s="34" t="s">
        <v>18</v>
      </c>
      <c r="E10" s="35" t="s">
        <v>19</v>
      </c>
      <c r="F10" s="36" t="s">
        <v>20</v>
      </c>
      <c r="G10" s="37">
        <v>151200</v>
      </c>
      <c r="H10" s="38">
        <v>113.9</v>
      </c>
      <c r="I10" s="39">
        <f t="shared" ref="I10:I32" si="0">H10*G10</f>
        <v>17221680</v>
      </c>
      <c r="J10" s="42">
        <f>SUM(I10:I11)</f>
        <v>55127544</v>
      </c>
      <c r="K10" s="44">
        <f>J10/2</f>
        <v>27563772</v>
      </c>
    </row>
    <row r="11" spans="1:11" s="8" customFormat="1" ht="27">
      <c r="A11" s="31">
        <v>2</v>
      </c>
      <c r="B11" s="32" t="s">
        <v>21</v>
      </c>
      <c r="C11" s="33" t="s">
        <v>17</v>
      </c>
      <c r="D11" s="40" t="s">
        <v>18</v>
      </c>
      <c r="E11" s="35" t="s">
        <v>22</v>
      </c>
      <c r="F11" s="36" t="s">
        <v>20</v>
      </c>
      <c r="G11" s="37">
        <v>348720</v>
      </c>
      <c r="H11" s="38">
        <v>108.7</v>
      </c>
      <c r="I11" s="39">
        <f t="shared" si="0"/>
        <v>37905864</v>
      </c>
      <c r="J11" s="46">
        <f>+G10/2</f>
        <v>75600</v>
      </c>
      <c r="K11" s="47">
        <f>+G11/2</f>
        <v>174360</v>
      </c>
    </row>
    <row r="12" spans="1:11" s="8" customFormat="1" ht="27">
      <c r="A12" s="31">
        <v>3</v>
      </c>
      <c r="B12" s="32" t="s">
        <v>23</v>
      </c>
      <c r="C12" s="33" t="s">
        <v>17</v>
      </c>
      <c r="D12" s="40" t="s">
        <v>18</v>
      </c>
      <c r="E12" s="35" t="s">
        <v>24</v>
      </c>
      <c r="F12" s="36" t="s">
        <v>20</v>
      </c>
      <c r="G12" s="45">
        <v>2700</v>
      </c>
      <c r="H12" s="38">
        <v>114.2</v>
      </c>
      <c r="I12" s="39">
        <f t="shared" si="0"/>
        <v>308340</v>
      </c>
      <c r="J12" s="42">
        <f>SUM(I12:I13)</f>
        <v>1121600</v>
      </c>
      <c r="K12" s="41"/>
    </row>
    <row r="13" spans="1:11" s="8" customFormat="1" ht="27">
      <c r="A13" s="31">
        <v>4</v>
      </c>
      <c r="B13" s="32" t="s">
        <v>25</v>
      </c>
      <c r="C13" s="33" t="s">
        <v>17</v>
      </c>
      <c r="D13" s="40" t="s">
        <v>18</v>
      </c>
      <c r="E13" s="35" t="s">
        <v>26</v>
      </c>
      <c r="F13" s="36" t="s">
        <v>20</v>
      </c>
      <c r="G13" s="45">
        <v>7400</v>
      </c>
      <c r="H13" s="38">
        <v>109.9</v>
      </c>
      <c r="I13" s="39">
        <f t="shared" si="0"/>
        <v>813260</v>
      </c>
      <c r="J13" s="42"/>
      <c r="K13" s="41"/>
    </row>
    <row r="14" spans="1:11" s="8" customFormat="1" ht="27">
      <c r="A14" s="31">
        <v>5</v>
      </c>
      <c r="B14" s="32" t="s">
        <v>27</v>
      </c>
      <c r="C14" s="33" t="s">
        <v>17</v>
      </c>
      <c r="D14" s="40" t="s">
        <v>18</v>
      </c>
      <c r="E14" s="35" t="s">
        <v>28</v>
      </c>
      <c r="F14" s="36" t="s">
        <v>20</v>
      </c>
      <c r="G14" s="45">
        <v>2700</v>
      </c>
      <c r="H14" s="38">
        <v>114.2</v>
      </c>
      <c r="I14" s="39">
        <f t="shared" si="0"/>
        <v>308340</v>
      </c>
      <c r="J14" s="42">
        <f>SUM(I14:I15)</f>
        <v>1121600</v>
      </c>
      <c r="K14" s="41"/>
    </row>
    <row r="15" spans="1:11" s="8" customFormat="1" ht="27">
      <c r="A15" s="31">
        <v>6</v>
      </c>
      <c r="B15" s="32" t="s">
        <v>29</v>
      </c>
      <c r="C15" s="33" t="s">
        <v>17</v>
      </c>
      <c r="D15" s="40" t="s">
        <v>18</v>
      </c>
      <c r="E15" s="35" t="s">
        <v>30</v>
      </c>
      <c r="F15" s="36" t="s">
        <v>20</v>
      </c>
      <c r="G15" s="45">
        <v>7400</v>
      </c>
      <c r="H15" s="38">
        <v>109.9</v>
      </c>
      <c r="I15" s="39">
        <f t="shared" si="0"/>
        <v>813260</v>
      </c>
      <c r="J15" s="42"/>
      <c r="K15" s="41"/>
    </row>
    <row r="16" spans="1:11" s="8" customFormat="1" ht="27">
      <c r="A16" s="31">
        <v>7</v>
      </c>
      <c r="B16" s="32" t="s">
        <v>31</v>
      </c>
      <c r="C16" s="33" t="s">
        <v>17</v>
      </c>
      <c r="D16" s="40" t="s">
        <v>18</v>
      </c>
      <c r="E16" s="35" t="s">
        <v>32</v>
      </c>
      <c r="F16" s="36" t="s">
        <v>20</v>
      </c>
      <c r="G16" s="45">
        <v>2700</v>
      </c>
      <c r="H16" s="38">
        <v>114.2</v>
      </c>
      <c r="I16" s="39">
        <f t="shared" si="0"/>
        <v>308340</v>
      </c>
      <c r="J16" s="42">
        <f>SUM(I16:I17)</f>
        <v>1121600</v>
      </c>
      <c r="K16" s="41"/>
    </row>
    <row r="17" spans="1:11" s="8" customFormat="1" ht="27">
      <c r="A17" s="31">
        <v>8</v>
      </c>
      <c r="B17" s="32" t="s">
        <v>33</v>
      </c>
      <c r="C17" s="33" t="s">
        <v>17</v>
      </c>
      <c r="D17" s="40" t="s">
        <v>18</v>
      </c>
      <c r="E17" s="35" t="s">
        <v>34</v>
      </c>
      <c r="F17" s="36" t="s">
        <v>20</v>
      </c>
      <c r="G17" s="45">
        <v>7400</v>
      </c>
      <c r="H17" s="38">
        <v>109.9</v>
      </c>
      <c r="I17" s="39">
        <f t="shared" si="0"/>
        <v>813260</v>
      </c>
      <c r="J17" s="42"/>
      <c r="K17" s="41"/>
    </row>
    <row r="18" spans="1:11" s="8" customFormat="1" ht="27">
      <c r="A18" s="31">
        <v>9</v>
      </c>
      <c r="B18" s="32" t="s">
        <v>35</v>
      </c>
      <c r="C18" s="33" t="s">
        <v>17</v>
      </c>
      <c r="D18" s="40" t="s">
        <v>18</v>
      </c>
      <c r="E18" s="35" t="s">
        <v>36</v>
      </c>
      <c r="F18" s="36" t="s">
        <v>20</v>
      </c>
      <c r="G18" s="45">
        <v>2700</v>
      </c>
      <c r="H18" s="38">
        <v>113.4</v>
      </c>
      <c r="I18" s="39">
        <f t="shared" si="0"/>
        <v>306180</v>
      </c>
      <c r="J18" s="42">
        <f>SUM(I18:I19)</f>
        <v>1126840</v>
      </c>
      <c r="K18" s="41"/>
    </row>
    <row r="19" spans="1:11" s="8" customFormat="1" ht="27">
      <c r="A19" s="31">
        <v>10</v>
      </c>
      <c r="B19" s="32" t="s">
        <v>37</v>
      </c>
      <c r="C19" s="33" t="s">
        <v>17</v>
      </c>
      <c r="D19" s="40" t="s">
        <v>18</v>
      </c>
      <c r="E19" s="35" t="s">
        <v>38</v>
      </c>
      <c r="F19" s="36" t="s">
        <v>20</v>
      </c>
      <c r="G19" s="45">
        <v>7400</v>
      </c>
      <c r="H19" s="38">
        <v>110.9</v>
      </c>
      <c r="I19" s="39">
        <f t="shared" si="0"/>
        <v>820660</v>
      </c>
      <c r="J19" s="42"/>
      <c r="K19" s="41"/>
    </row>
    <row r="20" spans="1:11" s="8" customFormat="1" ht="27">
      <c r="A20" s="31">
        <v>11</v>
      </c>
      <c r="B20" s="32" t="s">
        <v>39</v>
      </c>
      <c r="C20" s="33" t="s">
        <v>17</v>
      </c>
      <c r="D20" s="40" t="s">
        <v>18</v>
      </c>
      <c r="E20" s="35" t="s">
        <v>40</v>
      </c>
      <c r="F20" s="36" t="s">
        <v>20</v>
      </c>
      <c r="G20" s="45">
        <v>2700</v>
      </c>
      <c r="H20" s="38">
        <v>114.2</v>
      </c>
      <c r="I20" s="39">
        <f t="shared" si="0"/>
        <v>308340</v>
      </c>
      <c r="J20" s="42">
        <f>SUM(I20:I21)</f>
        <v>1121600</v>
      </c>
      <c r="K20" s="41"/>
    </row>
    <row r="21" spans="1:11" s="8" customFormat="1" ht="27">
      <c r="A21" s="31">
        <v>12</v>
      </c>
      <c r="B21" s="32" t="s">
        <v>41</v>
      </c>
      <c r="C21" s="33" t="s">
        <v>17</v>
      </c>
      <c r="D21" s="40" t="s">
        <v>18</v>
      </c>
      <c r="E21" s="35" t="s">
        <v>42</v>
      </c>
      <c r="F21" s="36" t="s">
        <v>20</v>
      </c>
      <c r="G21" s="45">
        <v>7400</v>
      </c>
      <c r="H21" s="38">
        <v>109.9</v>
      </c>
      <c r="I21" s="39">
        <f t="shared" si="0"/>
        <v>813260</v>
      </c>
      <c r="J21" s="42"/>
      <c r="K21" s="41"/>
    </row>
    <row r="22" spans="1:11" s="8" customFormat="1" ht="27">
      <c r="A22" s="31">
        <v>13</v>
      </c>
      <c r="B22" s="32" t="s">
        <v>43</v>
      </c>
      <c r="C22" s="33" t="s">
        <v>17</v>
      </c>
      <c r="D22" s="40" t="s">
        <v>18</v>
      </c>
      <c r="E22" s="35" t="s">
        <v>44</v>
      </c>
      <c r="F22" s="36" t="s">
        <v>20</v>
      </c>
      <c r="G22" s="45">
        <v>2700</v>
      </c>
      <c r="H22" s="38">
        <v>114.2</v>
      </c>
      <c r="I22" s="39">
        <f t="shared" si="0"/>
        <v>308340</v>
      </c>
      <c r="J22" s="42">
        <f>SUM(I22:I23)</f>
        <v>1136400</v>
      </c>
      <c r="K22" s="41"/>
    </row>
    <row r="23" spans="1:11" s="8" customFormat="1" ht="27">
      <c r="A23" s="31">
        <v>14</v>
      </c>
      <c r="B23" s="32" t="s">
        <v>45</v>
      </c>
      <c r="C23" s="33" t="s">
        <v>17</v>
      </c>
      <c r="D23" s="40" t="s">
        <v>18</v>
      </c>
      <c r="E23" s="35" t="s">
        <v>46</v>
      </c>
      <c r="F23" s="36" t="s">
        <v>20</v>
      </c>
      <c r="G23" s="45">
        <v>7400</v>
      </c>
      <c r="H23" s="38">
        <v>111.9</v>
      </c>
      <c r="I23" s="39">
        <f t="shared" si="0"/>
        <v>828060</v>
      </c>
      <c r="J23" s="42"/>
      <c r="K23" s="41"/>
    </row>
    <row r="24" spans="1:11" s="8" customFormat="1" ht="27">
      <c r="A24" s="31">
        <v>15</v>
      </c>
      <c r="B24" s="32" t="s">
        <v>47</v>
      </c>
      <c r="C24" s="33" t="s">
        <v>17</v>
      </c>
      <c r="D24" s="40" t="s">
        <v>18</v>
      </c>
      <c r="E24" s="35" t="s">
        <v>48</v>
      </c>
      <c r="F24" s="36" t="s">
        <v>20</v>
      </c>
      <c r="G24" s="45">
        <v>2700</v>
      </c>
      <c r="H24" s="38">
        <v>114.9</v>
      </c>
      <c r="I24" s="39">
        <f t="shared" si="0"/>
        <v>310230</v>
      </c>
      <c r="J24" s="42">
        <f>SUM(I24:I25)</f>
        <v>1122010</v>
      </c>
      <c r="K24" s="41"/>
    </row>
    <row r="25" spans="1:11" s="8" customFormat="1" ht="27">
      <c r="A25" s="31">
        <v>16</v>
      </c>
      <c r="B25" s="32" t="s">
        <v>49</v>
      </c>
      <c r="C25" s="33" t="s">
        <v>17</v>
      </c>
      <c r="D25" s="40" t="s">
        <v>18</v>
      </c>
      <c r="E25" s="35" t="s">
        <v>50</v>
      </c>
      <c r="F25" s="36" t="s">
        <v>20</v>
      </c>
      <c r="G25" s="45">
        <v>7400</v>
      </c>
      <c r="H25" s="38">
        <v>109.7</v>
      </c>
      <c r="I25" s="39">
        <f t="shared" si="0"/>
        <v>811780</v>
      </c>
      <c r="J25" s="42"/>
      <c r="K25" s="41"/>
    </row>
    <row r="26" spans="1:11" s="8" customFormat="1" ht="27">
      <c r="A26" s="31">
        <v>17</v>
      </c>
      <c r="B26" s="32" t="s">
        <v>51</v>
      </c>
      <c r="C26" s="33" t="s">
        <v>17</v>
      </c>
      <c r="D26" s="40" t="s">
        <v>18</v>
      </c>
      <c r="E26" s="35" t="s">
        <v>52</v>
      </c>
      <c r="F26" s="36" t="s">
        <v>53</v>
      </c>
      <c r="G26" s="37">
        <v>6</v>
      </c>
      <c r="H26" s="38">
        <v>111850</v>
      </c>
      <c r="I26" s="39">
        <f t="shared" si="0"/>
        <v>671100</v>
      </c>
      <c r="J26" s="42"/>
      <c r="K26" s="41"/>
    </row>
    <row r="27" spans="1:11" s="8" customFormat="1" ht="36.75" customHeight="1">
      <c r="A27" s="31">
        <v>18</v>
      </c>
      <c r="B27" s="32" t="s">
        <v>54</v>
      </c>
      <c r="C27" s="33" t="s">
        <v>17</v>
      </c>
      <c r="D27" s="40" t="s">
        <v>18</v>
      </c>
      <c r="E27" s="90" t="s">
        <v>55</v>
      </c>
      <c r="F27" s="36" t="s">
        <v>53</v>
      </c>
      <c r="G27" s="37">
        <v>6</v>
      </c>
      <c r="H27" s="38">
        <v>172800</v>
      </c>
      <c r="I27" s="39">
        <f t="shared" si="0"/>
        <v>1036800</v>
      </c>
      <c r="J27" s="42"/>
      <c r="K27" s="41"/>
    </row>
    <row r="28" spans="1:11" s="8" customFormat="1" ht="29.25" customHeight="1">
      <c r="A28" s="31">
        <v>19</v>
      </c>
      <c r="B28" s="32" t="s">
        <v>56</v>
      </c>
      <c r="C28" s="33" t="s">
        <v>17</v>
      </c>
      <c r="D28" s="40" t="s">
        <v>18</v>
      </c>
      <c r="E28" s="35" t="s">
        <v>57</v>
      </c>
      <c r="F28" s="36" t="s">
        <v>53</v>
      </c>
      <c r="G28" s="37">
        <v>2</v>
      </c>
      <c r="H28" s="38">
        <v>323797</v>
      </c>
      <c r="I28" s="39">
        <f t="shared" si="0"/>
        <v>647594</v>
      </c>
      <c r="J28" s="42"/>
      <c r="K28" s="41"/>
    </row>
    <row r="29" spans="1:11" s="8" customFormat="1" ht="25.5" customHeight="1">
      <c r="A29" s="31">
        <v>20</v>
      </c>
      <c r="B29" s="32" t="s">
        <v>58</v>
      </c>
      <c r="C29" s="33" t="s">
        <v>17</v>
      </c>
      <c r="D29" s="40" t="s">
        <v>18</v>
      </c>
      <c r="E29" s="35" t="s">
        <v>59</v>
      </c>
      <c r="F29" s="36" t="s">
        <v>53</v>
      </c>
      <c r="G29" s="37">
        <v>2</v>
      </c>
      <c r="H29" s="38">
        <v>258760</v>
      </c>
      <c r="I29" s="39">
        <f t="shared" ref="I29" si="1">H29*G29</f>
        <v>517520</v>
      </c>
      <c r="J29" s="42"/>
      <c r="K29" s="41"/>
    </row>
    <row r="30" spans="1:11" s="8" customFormat="1" ht="27">
      <c r="A30" s="31">
        <v>21</v>
      </c>
      <c r="B30" s="32" t="s">
        <v>60</v>
      </c>
      <c r="C30" s="33" t="s">
        <v>17</v>
      </c>
      <c r="D30" s="40" t="s">
        <v>18</v>
      </c>
      <c r="E30" s="35" t="s">
        <v>61</v>
      </c>
      <c r="F30" s="36" t="s">
        <v>53</v>
      </c>
      <c r="G30" s="37">
        <v>5</v>
      </c>
      <c r="H30" s="38">
        <v>105810</v>
      </c>
      <c r="I30" s="39">
        <f t="shared" si="0"/>
        <v>529050</v>
      </c>
      <c r="J30" s="42"/>
      <c r="K30" s="41"/>
    </row>
    <row r="31" spans="1:11" s="89" customFormat="1" ht="27">
      <c r="A31" s="78">
        <v>22</v>
      </c>
      <c r="B31" s="79" t="s">
        <v>62</v>
      </c>
      <c r="C31" s="80" t="s">
        <v>17</v>
      </c>
      <c r="D31" s="81" t="s">
        <v>18</v>
      </c>
      <c r="E31" s="82" t="s">
        <v>63</v>
      </c>
      <c r="F31" s="83" t="s">
        <v>53</v>
      </c>
      <c r="G31" s="84">
        <v>50</v>
      </c>
      <c r="H31" s="85">
        <v>21800</v>
      </c>
      <c r="I31" s="86">
        <f t="shared" si="0"/>
        <v>1090000</v>
      </c>
      <c r="J31" s="87"/>
      <c r="K31" s="88"/>
    </row>
    <row r="32" spans="1:11" s="89" customFormat="1" ht="27">
      <c r="A32" s="78">
        <v>23</v>
      </c>
      <c r="B32" s="79" t="s">
        <v>64</v>
      </c>
      <c r="C32" s="80" t="s">
        <v>17</v>
      </c>
      <c r="D32" s="81" t="s">
        <v>18</v>
      </c>
      <c r="E32" s="82" t="s">
        <v>65</v>
      </c>
      <c r="F32" s="83" t="s">
        <v>53</v>
      </c>
      <c r="G32" s="84">
        <v>200</v>
      </c>
      <c r="H32" s="85">
        <v>1090</v>
      </c>
      <c r="I32" s="86">
        <f t="shared" si="0"/>
        <v>218000</v>
      </c>
      <c r="J32" s="87"/>
      <c r="K32" s="88"/>
    </row>
    <row r="33" spans="1:20" s="89" customFormat="1" ht="33.75" customHeight="1">
      <c r="A33" s="78">
        <v>24</v>
      </c>
      <c r="B33" s="79" t="s">
        <v>66</v>
      </c>
      <c r="C33" s="80" t="s">
        <v>17</v>
      </c>
      <c r="D33" s="81" t="s">
        <v>18</v>
      </c>
      <c r="E33" s="82" t="s">
        <v>67</v>
      </c>
      <c r="F33" s="83" t="s">
        <v>53</v>
      </c>
      <c r="G33" s="84">
        <v>205</v>
      </c>
      <c r="H33" s="85">
        <v>1090</v>
      </c>
      <c r="I33" s="86">
        <f t="shared" ref="I33" si="2">H33*G33</f>
        <v>223450</v>
      </c>
      <c r="J33" s="87">
        <f>SUM(I26:I33)</f>
        <v>4933514</v>
      </c>
      <c r="K33" s="88"/>
    </row>
    <row r="34" spans="1:20" ht="19.5" customHeight="1" thickBot="1">
      <c r="I34" s="30">
        <f>SUM(I10:I33)</f>
        <v>67932708</v>
      </c>
      <c r="J34" s="28"/>
      <c r="K34" s="28"/>
    </row>
    <row r="35" spans="1:20" ht="14.25" thickBot="1">
      <c r="A35" s="10"/>
      <c r="B35" s="10"/>
      <c r="C35" s="10"/>
      <c r="D35" s="10"/>
      <c r="E35" s="3"/>
      <c r="F35" s="3"/>
      <c r="G35" s="3"/>
      <c r="H35" s="3"/>
      <c r="I35" s="3"/>
    </row>
    <row r="36" spans="1:20">
      <c r="A36" s="3"/>
      <c r="B36" s="15" t="s">
        <v>68</v>
      </c>
      <c r="C36" s="16"/>
      <c r="D36" s="16"/>
      <c r="E36" s="17"/>
      <c r="F36" s="3"/>
      <c r="G36" s="3"/>
      <c r="H36" s="3"/>
      <c r="I36" s="3"/>
      <c r="K36" s="27"/>
      <c r="L36" s="27"/>
      <c r="M36" s="27"/>
      <c r="N36" s="27"/>
      <c r="O36" s="27"/>
      <c r="P36" s="27"/>
      <c r="Q36" s="27"/>
      <c r="R36" s="28"/>
      <c r="S36" s="28"/>
    </row>
    <row r="37" spans="1:20">
      <c r="A37" s="3"/>
      <c r="B37" s="19" t="s">
        <v>69</v>
      </c>
      <c r="C37" s="8"/>
      <c r="D37" s="8"/>
      <c r="E37" s="18"/>
      <c r="F37" s="3"/>
      <c r="G37" s="3"/>
      <c r="H37" s="3"/>
      <c r="I37" s="3"/>
      <c r="K37" s="27"/>
      <c r="L37" s="27"/>
      <c r="M37" s="27"/>
      <c r="N37" s="27"/>
      <c r="O37" s="27"/>
      <c r="P37" s="27"/>
      <c r="Q37" s="27"/>
      <c r="R37" s="28"/>
      <c r="S37" s="28"/>
      <c r="T37" s="28"/>
    </row>
    <row r="38" spans="1:20" ht="45" customHeight="1">
      <c r="A38" s="3"/>
      <c r="B38" s="19"/>
      <c r="C38" s="63" t="s">
        <v>70</v>
      </c>
      <c r="D38" s="63"/>
      <c r="E38" s="64"/>
      <c r="F38" s="3"/>
      <c r="G38" s="3"/>
      <c r="H38" s="3"/>
      <c r="I38" s="3"/>
      <c r="K38" s="27"/>
      <c r="L38" s="27"/>
      <c r="M38" s="27"/>
      <c r="N38" s="27"/>
      <c r="O38" s="27"/>
      <c r="P38" s="27"/>
      <c r="Q38" s="27"/>
      <c r="R38" s="28"/>
      <c r="S38" s="28"/>
      <c r="T38" s="28"/>
    </row>
    <row r="39" spans="1:20">
      <c r="A39" s="3"/>
      <c r="B39" s="19" t="s">
        <v>71</v>
      </c>
      <c r="C39" s="8"/>
      <c r="D39" s="8"/>
      <c r="E39" s="18"/>
      <c r="F39" s="3"/>
      <c r="G39" s="3"/>
      <c r="H39" s="3"/>
      <c r="I39" s="3"/>
      <c r="K39" s="27"/>
      <c r="L39" s="27"/>
      <c r="M39" s="27"/>
      <c r="N39" s="27"/>
      <c r="O39" s="27"/>
      <c r="P39" s="27"/>
      <c r="Q39" s="27"/>
      <c r="R39" s="28"/>
      <c r="S39" s="28"/>
      <c r="T39" s="28"/>
    </row>
    <row r="40" spans="1:20" ht="45" customHeight="1">
      <c r="A40" s="3"/>
      <c r="B40" s="19"/>
      <c r="C40" s="63" t="s">
        <v>72</v>
      </c>
      <c r="D40" s="63"/>
      <c r="E40" s="64"/>
      <c r="F40" s="3"/>
      <c r="G40" s="3"/>
      <c r="H40" s="3"/>
      <c r="I40" s="3"/>
      <c r="K40" s="27"/>
      <c r="L40" s="27"/>
      <c r="M40" s="27"/>
      <c r="N40" s="27"/>
      <c r="O40" s="27"/>
      <c r="P40" s="27"/>
      <c r="Q40" s="27"/>
      <c r="R40" s="28"/>
      <c r="S40" s="28"/>
      <c r="T40" s="28"/>
    </row>
    <row r="41" spans="1:20">
      <c r="A41" s="3"/>
      <c r="B41" s="19" t="s">
        <v>73</v>
      </c>
      <c r="C41" s="8"/>
      <c r="D41" s="8"/>
      <c r="E41" s="18"/>
      <c r="F41" s="3"/>
      <c r="G41" s="3"/>
      <c r="H41" s="3"/>
      <c r="I41" s="3"/>
      <c r="K41" s="27"/>
      <c r="L41" s="27"/>
      <c r="M41" s="27"/>
      <c r="N41" s="27"/>
      <c r="O41" s="27"/>
      <c r="P41" s="27"/>
      <c r="Q41" s="27"/>
      <c r="R41" s="28"/>
      <c r="S41" s="28"/>
      <c r="T41" s="28"/>
    </row>
    <row r="42" spans="1:20" ht="45" customHeight="1">
      <c r="A42" s="3"/>
      <c r="B42" s="19"/>
      <c r="C42" s="63" t="s">
        <v>74</v>
      </c>
      <c r="D42" s="63"/>
      <c r="E42" s="64"/>
      <c r="F42" s="3"/>
      <c r="G42" s="3"/>
      <c r="H42" s="3"/>
      <c r="I42" s="3"/>
      <c r="K42" s="27"/>
      <c r="L42" s="27"/>
      <c r="M42" s="27"/>
      <c r="N42" s="27"/>
      <c r="O42" s="27"/>
      <c r="P42" s="27"/>
      <c r="Q42" s="27"/>
      <c r="R42" s="28"/>
      <c r="S42" s="28"/>
      <c r="T42" s="28"/>
    </row>
    <row r="43" spans="1:20">
      <c r="A43" s="3"/>
      <c r="B43" s="19" t="s">
        <v>75</v>
      </c>
      <c r="C43" s="8"/>
      <c r="D43" s="8"/>
      <c r="E43" s="18"/>
      <c r="F43" s="3"/>
      <c r="G43" s="3"/>
      <c r="H43" s="3"/>
      <c r="I43" s="3"/>
      <c r="K43" s="27"/>
      <c r="L43" s="27"/>
      <c r="M43" s="27"/>
      <c r="N43" s="27"/>
      <c r="O43" s="27"/>
      <c r="P43" s="27"/>
      <c r="Q43" s="27"/>
      <c r="R43" s="28"/>
      <c r="S43" s="28"/>
      <c r="T43" s="28"/>
    </row>
    <row r="44" spans="1:20" ht="18" customHeight="1">
      <c r="A44" s="3"/>
      <c r="B44" s="19"/>
      <c r="C44" s="63" t="s">
        <v>76</v>
      </c>
      <c r="D44" s="63"/>
      <c r="E44" s="64"/>
      <c r="F44" s="3"/>
      <c r="G44" s="3"/>
      <c r="H44" s="3"/>
      <c r="I44" s="3"/>
      <c r="K44" s="27"/>
      <c r="L44" s="27"/>
      <c r="M44" s="27"/>
      <c r="N44" s="27"/>
      <c r="O44" s="27"/>
      <c r="P44" s="27"/>
      <c r="Q44" s="27"/>
      <c r="R44" s="28"/>
      <c r="S44" s="28"/>
      <c r="T44" s="28"/>
    </row>
    <row r="45" spans="1:20" ht="18" customHeight="1">
      <c r="A45" s="3"/>
      <c r="B45" s="19" t="s">
        <v>77</v>
      </c>
      <c r="C45" s="8"/>
      <c r="D45" s="8"/>
      <c r="E45" s="18"/>
      <c r="F45" s="3"/>
      <c r="G45" s="3"/>
      <c r="H45" s="3"/>
      <c r="I45" s="3"/>
      <c r="K45" s="27"/>
      <c r="L45" s="27"/>
      <c r="M45" s="27"/>
      <c r="N45" s="27"/>
      <c r="O45" s="27"/>
      <c r="P45" s="27"/>
      <c r="Q45" s="27"/>
      <c r="R45" s="28"/>
      <c r="S45" s="28"/>
      <c r="T45" s="28"/>
    </row>
    <row r="46" spans="1:20" ht="18" customHeight="1">
      <c r="A46" s="3"/>
      <c r="B46" s="19"/>
      <c r="C46" s="63" t="s">
        <v>78</v>
      </c>
      <c r="D46" s="63"/>
      <c r="E46" s="64"/>
      <c r="F46" s="3"/>
      <c r="G46" s="3"/>
      <c r="H46" s="3"/>
      <c r="I46" s="3"/>
      <c r="K46" s="27"/>
      <c r="L46" s="27"/>
      <c r="M46" s="27"/>
      <c r="N46" s="27"/>
      <c r="O46" s="27"/>
      <c r="P46" s="27"/>
      <c r="Q46" s="27"/>
      <c r="R46" s="28"/>
      <c r="S46" s="28"/>
      <c r="T46" s="28"/>
    </row>
    <row r="47" spans="1:20" ht="18" customHeight="1">
      <c r="A47" s="3"/>
      <c r="B47" s="19" t="s">
        <v>79</v>
      </c>
      <c r="C47" s="8"/>
      <c r="D47" s="8"/>
      <c r="E47" s="18"/>
      <c r="F47" s="3"/>
      <c r="G47" s="3"/>
      <c r="H47" s="3"/>
      <c r="I47" s="3"/>
      <c r="K47" s="27"/>
      <c r="L47" s="27"/>
      <c r="M47" s="27"/>
      <c r="N47" s="27"/>
      <c r="O47" s="27"/>
      <c r="P47" s="27"/>
      <c r="Q47" s="27"/>
      <c r="R47" s="28"/>
      <c r="S47" s="28"/>
      <c r="T47" s="28"/>
    </row>
    <row r="48" spans="1:20" ht="18" customHeight="1">
      <c r="A48" s="3"/>
      <c r="B48" s="19"/>
      <c r="C48" s="63" t="s">
        <v>80</v>
      </c>
      <c r="D48" s="63"/>
      <c r="E48" s="64"/>
      <c r="F48" s="3"/>
      <c r="G48" s="3"/>
      <c r="H48" s="3"/>
      <c r="I48" s="3"/>
      <c r="K48" s="27"/>
      <c r="L48" s="27"/>
      <c r="M48" s="27"/>
      <c r="N48" s="27"/>
      <c r="O48" s="27"/>
      <c r="P48" s="27"/>
      <c r="Q48" s="27"/>
      <c r="R48" s="28"/>
      <c r="S48" s="28"/>
      <c r="T48" s="28"/>
    </row>
    <row r="49" spans="1:21" ht="18" customHeight="1">
      <c r="A49" s="3"/>
      <c r="B49" s="19" t="s">
        <v>81</v>
      </c>
      <c r="C49" s="8"/>
      <c r="D49" s="8"/>
      <c r="E49" s="18"/>
      <c r="F49" s="3"/>
      <c r="G49" s="3"/>
      <c r="H49" s="3"/>
      <c r="I49" s="3"/>
      <c r="K49" s="27"/>
      <c r="L49" s="27"/>
      <c r="M49" s="27"/>
      <c r="N49" s="27"/>
      <c r="O49" s="27"/>
      <c r="P49" s="27"/>
      <c r="Q49" s="27"/>
      <c r="R49" s="28"/>
      <c r="S49" s="28"/>
      <c r="T49" s="28"/>
    </row>
    <row r="50" spans="1:21" ht="18" customHeight="1">
      <c r="A50" s="3"/>
      <c r="B50" s="19"/>
      <c r="C50" s="63" t="s">
        <v>82</v>
      </c>
      <c r="D50" s="63"/>
      <c r="E50" s="64"/>
      <c r="F50" s="3"/>
      <c r="G50" s="3"/>
      <c r="H50" s="3"/>
      <c r="I50" s="3"/>
      <c r="K50" s="27"/>
      <c r="L50" s="27"/>
      <c r="M50" s="27"/>
      <c r="N50" s="27"/>
      <c r="O50" s="27"/>
      <c r="P50" s="27"/>
      <c r="Q50" s="27"/>
      <c r="R50" s="28"/>
      <c r="S50" s="28"/>
      <c r="T50" s="28"/>
    </row>
    <row r="51" spans="1:21" ht="18" customHeight="1">
      <c r="A51" s="3"/>
      <c r="B51" s="19" t="s">
        <v>83</v>
      </c>
      <c r="C51" s="8"/>
      <c r="D51" s="8"/>
      <c r="E51" s="18"/>
      <c r="F51" s="3"/>
      <c r="G51" s="3"/>
      <c r="H51" s="3"/>
      <c r="I51" s="3"/>
      <c r="K51" s="27"/>
      <c r="L51" s="27"/>
      <c r="M51" s="27"/>
      <c r="N51" s="27"/>
      <c r="O51" s="27"/>
      <c r="P51" s="27"/>
      <c r="Q51" s="27"/>
      <c r="R51" s="28"/>
      <c r="S51" s="28"/>
      <c r="T51" s="28"/>
    </row>
    <row r="52" spans="1:21" ht="18" customHeight="1">
      <c r="A52" s="3"/>
      <c r="B52" s="19"/>
      <c r="C52" s="63" t="s">
        <v>84</v>
      </c>
      <c r="D52" s="63"/>
      <c r="E52" s="64"/>
      <c r="F52" s="3"/>
      <c r="G52" s="3"/>
      <c r="H52" s="3"/>
      <c r="I52" s="3"/>
      <c r="K52" s="27"/>
      <c r="L52" s="27"/>
      <c r="M52" s="27"/>
      <c r="N52" s="27"/>
      <c r="O52" s="27"/>
      <c r="P52" s="27"/>
      <c r="Q52" s="27"/>
      <c r="R52" s="28"/>
      <c r="S52" s="28"/>
      <c r="T52" s="28"/>
    </row>
    <row r="53" spans="1:21">
      <c r="A53" s="3"/>
      <c r="B53" s="19" t="s">
        <v>85</v>
      </c>
      <c r="C53" s="8"/>
      <c r="D53" s="8"/>
      <c r="E53" s="18"/>
      <c r="F53" s="3"/>
      <c r="G53" s="3"/>
      <c r="H53" s="3"/>
      <c r="I53" s="3"/>
      <c r="K53" s="27"/>
      <c r="L53" s="27"/>
      <c r="M53" s="27"/>
      <c r="N53" s="27"/>
      <c r="O53" s="27"/>
      <c r="P53" s="27"/>
      <c r="Q53" s="27"/>
      <c r="R53" s="28"/>
      <c r="S53" s="28"/>
      <c r="T53" s="28"/>
    </row>
    <row r="54" spans="1:21" ht="18" customHeight="1">
      <c r="A54" s="3"/>
      <c r="B54" s="19"/>
      <c r="C54" s="63" t="s">
        <v>86</v>
      </c>
      <c r="D54" s="63"/>
      <c r="E54" s="64"/>
      <c r="F54" s="3"/>
      <c r="G54" s="3"/>
      <c r="H54" s="3"/>
      <c r="I54" s="3"/>
      <c r="K54" s="27"/>
      <c r="L54" s="27"/>
      <c r="M54" s="27"/>
      <c r="N54" s="27"/>
      <c r="O54" s="27"/>
      <c r="P54" s="27"/>
      <c r="Q54" s="27"/>
      <c r="R54" s="28"/>
      <c r="S54" s="28"/>
      <c r="T54" s="28"/>
    </row>
    <row r="55" spans="1:21" ht="18" customHeight="1">
      <c r="A55" s="3"/>
      <c r="B55" s="19" t="s">
        <v>87</v>
      </c>
      <c r="C55" s="8"/>
      <c r="D55" s="8"/>
      <c r="E55" s="18"/>
      <c r="F55" s="3"/>
      <c r="G55" s="3"/>
      <c r="H55" s="3"/>
      <c r="I55" s="3"/>
      <c r="K55" s="27"/>
      <c r="L55" s="27"/>
      <c r="M55" s="27"/>
      <c r="N55" s="27"/>
      <c r="O55" s="27"/>
      <c r="P55" s="27"/>
      <c r="Q55" s="27"/>
      <c r="R55" s="28"/>
      <c r="S55" s="28"/>
      <c r="T55" s="28"/>
    </row>
    <row r="56" spans="1:21" ht="18" customHeight="1">
      <c r="A56" s="3"/>
      <c r="B56" s="19"/>
      <c r="C56" s="63" t="s">
        <v>88</v>
      </c>
      <c r="D56" s="63"/>
      <c r="E56" s="64"/>
      <c r="F56" s="3"/>
      <c r="G56" s="3"/>
      <c r="H56" s="3"/>
      <c r="I56" s="3"/>
      <c r="K56" s="27"/>
      <c r="L56" s="27"/>
      <c r="M56" s="27"/>
      <c r="N56" s="27"/>
      <c r="O56" s="27"/>
      <c r="P56" s="27"/>
      <c r="Q56" s="27"/>
      <c r="R56" s="28"/>
      <c r="S56" s="28"/>
      <c r="T56" s="28"/>
    </row>
    <row r="57" spans="1:21" ht="18" customHeight="1">
      <c r="A57" s="3"/>
      <c r="B57" s="19" t="s">
        <v>89</v>
      </c>
      <c r="C57" s="8"/>
      <c r="D57" s="8"/>
      <c r="E57" s="18"/>
      <c r="F57" s="3"/>
      <c r="G57" s="3"/>
      <c r="H57" s="3"/>
      <c r="I57" s="3"/>
      <c r="K57" s="27"/>
      <c r="L57" s="27"/>
      <c r="M57" s="27"/>
      <c r="N57" s="27"/>
      <c r="O57" s="27"/>
      <c r="P57" s="27"/>
      <c r="Q57" s="27"/>
      <c r="R57" s="28"/>
      <c r="S57" s="28"/>
      <c r="T57" s="28"/>
    </row>
    <row r="58" spans="1:21" ht="18" customHeight="1" thickBot="1">
      <c r="A58" s="3"/>
      <c r="B58" s="19"/>
      <c r="C58" s="63" t="s">
        <v>90</v>
      </c>
      <c r="D58" s="63"/>
      <c r="E58" s="64"/>
      <c r="F58" s="3"/>
      <c r="G58" s="3"/>
      <c r="H58" s="3"/>
      <c r="I58" s="3"/>
      <c r="K58" s="27"/>
      <c r="L58" s="27"/>
      <c r="M58" s="27"/>
      <c r="N58" s="27"/>
      <c r="O58" s="27"/>
      <c r="P58" s="27"/>
      <c r="Q58" s="27"/>
      <c r="R58" s="28"/>
      <c r="S58" s="28"/>
      <c r="T58" s="28"/>
    </row>
    <row r="59" spans="1:21" ht="38.25" customHeight="1">
      <c r="A59" s="51" t="s">
        <v>91</v>
      </c>
      <c r="B59" s="65" t="s">
        <v>92</v>
      </c>
      <c r="C59" s="66"/>
      <c r="D59" s="66"/>
      <c r="E59" s="67"/>
      <c r="F59" s="51" t="s">
        <v>91</v>
      </c>
      <c r="G59" s="51" t="s">
        <v>91</v>
      </c>
      <c r="H59" s="51" t="s">
        <v>91</v>
      </c>
      <c r="I59" s="48" t="s">
        <v>91</v>
      </c>
      <c r="J59" s="43" t="s">
        <v>91</v>
      </c>
      <c r="K59" s="48" t="s">
        <v>91</v>
      </c>
      <c r="L59" s="48" t="s">
        <v>91</v>
      </c>
      <c r="M59" s="48" t="s">
        <v>91</v>
      </c>
      <c r="N59" s="48" t="s">
        <v>91</v>
      </c>
      <c r="O59" s="48" t="s">
        <v>91</v>
      </c>
      <c r="P59" s="48" t="s">
        <v>91</v>
      </c>
      <c r="Q59" s="49" t="s">
        <v>91</v>
      </c>
      <c r="R59" s="49" t="s">
        <v>91</v>
      </c>
      <c r="S59" s="49" t="s">
        <v>91</v>
      </c>
      <c r="T59" s="51" t="s">
        <v>91</v>
      </c>
      <c r="U59" s="29"/>
    </row>
    <row r="60" spans="1:21" ht="12.75" customHeight="1">
      <c r="A60" s="51" t="s">
        <v>91</v>
      </c>
      <c r="B60" s="20" t="s">
        <v>91</v>
      </c>
      <c r="C60" s="68" t="s">
        <v>93</v>
      </c>
      <c r="D60" s="68"/>
      <c r="E60" s="69"/>
      <c r="F60" s="51" t="s">
        <v>91</v>
      </c>
      <c r="G60" s="48" t="s">
        <v>91</v>
      </c>
      <c r="H60" s="51" t="s">
        <v>91</v>
      </c>
      <c r="I60" s="51" t="s">
        <v>91</v>
      </c>
      <c r="J60" s="43" t="s">
        <v>91</v>
      </c>
      <c r="K60" s="76" t="s">
        <v>91</v>
      </c>
      <c r="L60" s="76"/>
      <c r="M60" s="76"/>
      <c r="N60" s="48" t="s">
        <v>91</v>
      </c>
      <c r="O60" s="48" t="s">
        <v>91</v>
      </c>
      <c r="P60" s="48" t="s">
        <v>91</v>
      </c>
      <c r="Q60" s="48" t="s">
        <v>91</v>
      </c>
      <c r="R60" s="49" t="s">
        <v>91</v>
      </c>
      <c r="S60" s="49" t="s">
        <v>91</v>
      </c>
      <c r="T60" s="49" t="s">
        <v>91</v>
      </c>
      <c r="U60" s="48" t="s">
        <v>91</v>
      </c>
    </row>
    <row r="61" spans="1:21" ht="20.25" hidden="1" customHeight="1">
      <c r="A61" s="51" t="s">
        <v>91</v>
      </c>
      <c r="B61" s="20" t="s">
        <v>91</v>
      </c>
      <c r="C61" s="68"/>
      <c r="D61" s="68"/>
      <c r="E61" s="69"/>
      <c r="F61" s="51" t="s">
        <v>91</v>
      </c>
      <c r="G61" s="48" t="s">
        <v>91</v>
      </c>
      <c r="H61" s="48" t="s">
        <v>91</v>
      </c>
      <c r="I61" s="48" t="s">
        <v>91</v>
      </c>
      <c r="J61" s="43" t="s">
        <v>91</v>
      </c>
      <c r="K61" s="76"/>
      <c r="L61" s="76"/>
      <c r="M61" s="76"/>
      <c r="N61" s="48" t="s">
        <v>91</v>
      </c>
      <c r="O61" s="48" t="s">
        <v>91</v>
      </c>
      <c r="P61" s="48" t="s">
        <v>91</v>
      </c>
      <c r="Q61" s="48" t="s">
        <v>91</v>
      </c>
      <c r="R61" s="49" t="s">
        <v>91</v>
      </c>
      <c r="S61" s="49" t="s">
        <v>91</v>
      </c>
      <c r="T61" s="49" t="s">
        <v>91</v>
      </c>
      <c r="U61" s="48" t="s">
        <v>91</v>
      </c>
    </row>
    <row r="62" spans="1:21" ht="6.75" customHeight="1">
      <c r="A62" s="51" t="s">
        <v>91</v>
      </c>
      <c r="B62" s="20" t="s">
        <v>91</v>
      </c>
      <c r="C62" s="68"/>
      <c r="D62" s="68"/>
      <c r="E62" s="69"/>
      <c r="F62" s="51" t="s">
        <v>91</v>
      </c>
      <c r="G62" s="49" t="s">
        <v>91</v>
      </c>
      <c r="H62" s="49" t="s">
        <v>91</v>
      </c>
      <c r="I62" s="49" t="s">
        <v>91</v>
      </c>
      <c r="J62" s="43" t="s">
        <v>91</v>
      </c>
      <c r="K62" s="76"/>
      <c r="L62" s="76"/>
      <c r="M62" s="76"/>
      <c r="N62" s="48" t="s">
        <v>91</v>
      </c>
      <c r="O62" s="48" t="s">
        <v>91</v>
      </c>
      <c r="P62" s="48" t="s">
        <v>91</v>
      </c>
      <c r="Q62" s="48" t="s">
        <v>91</v>
      </c>
      <c r="R62" s="49" t="s">
        <v>91</v>
      </c>
      <c r="S62" s="49" t="s">
        <v>91</v>
      </c>
      <c r="T62" s="49" t="s">
        <v>91</v>
      </c>
      <c r="U62" s="48" t="s">
        <v>91</v>
      </c>
    </row>
    <row r="63" spans="1:21" ht="26.25" hidden="1" customHeight="1">
      <c r="A63" s="51" t="s">
        <v>91</v>
      </c>
      <c r="B63" s="20" t="s">
        <v>91</v>
      </c>
      <c r="C63" s="68"/>
      <c r="D63" s="68"/>
      <c r="E63" s="69"/>
      <c r="F63" s="51" t="s">
        <v>91</v>
      </c>
      <c r="G63" s="77" t="s">
        <v>91</v>
      </c>
      <c r="H63" s="49" t="s">
        <v>91</v>
      </c>
      <c r="I63" s="49" t="s">
        <v>91</v>
      </c>
      <c r="J63" s="43" t="s">
        <v>91</v>
      </c>
      <c r="K63" s="76"/>
      <c r="L63" s="76"/>
      <c r="M63" s="76"/>
      <c r="N63" s="48" t="s">
        <v>91</v>
      </c>
      <c r="O63" s="48" t="s">
        <v>91</v>
      </c>
      <c r="P63" s="48" t="s">
        <v>91</v>
      </c>
      <c r="Q63" s="48" t="s">
        <v>91</v>
      </c>
      <c r="R63" s="49" t="s">
        <v>91</v>
      </c>
      <c r="S63" s="49" t="s">
        <v>91</v>
      </c>
      <c r="T63" s="49" t="s">
        <v>91</v>
      </c>
      <c r="U63" s="48" t="s">
        <v>91</v>
      </c>
    </row>
    <row r="64" spans="1:21" ht="30.75" customHeight="1">
      <c r="A64" s="51" t="s">
        <v>91</v>
      </c>
      <c r="B64" s="20" t="s">
        <v>91</v>
      </c>
      <c r="C64" s="68"/>
      <c r="D64" s="68"/>
      <c r="E64" s="69"/>
      <c r="F64" s="51" t="s">
        <v>91</v>
      </c>
      <c r="G64" s="77"/>
      <c r="H64" s="49" t="s">
        <v>91</v>
      </c>
      <c r="I64" s="49" t="s">
        <v>91</v>
      </c>
      <c r="J64" s="43" t="s">
        <v>91</v>
      </c>
      <c r="K64" s="76"/>
      <c r="L64" s="76"/>
      <c r="M64" s="76"/>
      <c r="N64" s="48" t="s">
        <v>91</v>
      </c>
      <c r="O64" s="48" t="s">
        <v>91</v>
      </c>
      <c r="P64" s="48" t="s">
        <v>91</v>
      </c>
      <c r="Q64" s="48" t="s">
        <v>91</v>
      </c>
      <c r="R64" s="49" t="s">
        <v>91</v>
      </c>
      <c r="S64" s="49" t="s">
        <v>91</v>
      </c>
      <c r="T64" s="49" t="s">
        <v>91</v>
      </c>
      <c r="U64" s="48" t="s">
        <v>91</v>
      </c>
    </row>
    <row r="65" spans="1:21" ht="26.25" customHeight="1">
      <c r="A65" s="51" t="s">
        <v>91</v>
      </c>
      <c r="B65" s="20" t="s">
        <v>91</v>
      </c>
      <c r="C65" s="68"/>
      <c r="D65" s="68"/>
      <c r="E65" s="69"/>
      <c r="F65" s="51" t="s">
        <v>91</v>
      </c>
      <c r="G65" s="77" t="s">
        <v>91</v>
      </c>
      <c r="H65" s="49" t="s">
        <v>91</v>
      </c>
      <c r="I65" s="49" t="s">
        <v>91</v>
      </c>
      <c r="J65" s="43" t="s">
        <v>91</v>
      </c>
      <c r="K65" s="76"/>
      <c r="L65" s="76"/>
      <c r="M65" s="76"/>
      <c r="N65" s="48" t="s">
        <v>91</v>
      </c>
      <c r="O65" s="48" t="s">
        <v>91</v>
      </c>
      <c r="P65" s="48" t="s">
        <v>91</v>
      </c>
      <c r="Q65" s="48" t="s">
        <v>91</v>
      </c>
      <c r="R65" s="49" t="s">
        <v>91</v>
      </c>
      <c r="S65" s="49" t="s">
        <v>91</v>
      </c>
      <c r="T65" s="49" t="s">
        <v>91</v>
      </c>
      <c r="U65" s="48" t="s">
        <v>91</v>
      </c>
    </row>
    <row r="66" spans="1:21" ht="26.25" customHeight="1">
      <c r="A66" s="51" t="s">
        <v>91</v>
      </c>
      <c r="B66" s="20" t="s">
        <v>91</v>
      </c>
      <c r="C66" s="68"/>
      <c r="D66" s="68"/>
      <c r="E66" s="69"/>
      <c r="F66" s="51" t="s">
        <v>91</v>
      </c>
      <c r="G66" s="77"/>
      <c r="H66" s="49" t="s">
        <v>91</v>
      </c>
      <c r="I66" s="49" t="s">
        <v>91</v>
      </c>
      <c r="J66" s="43" t="s">
        <v>91</v>
      </c>
      <c r="K66" s="76"/>
      <c r="L66" s="76"/>
      <c r="M66" s="76"/>
      <c r="N66" s="48" t="s">
        <v>91</v>
      </c>
      <c r="O66" s="48" t="s">
        <v>91</v>
      </c>
      <c r="P66" s="48" t="s">
        <v>91</v>
      </c>
      <c r="Q66" s="48" t="s">
        <v>91</v>
      </c>
      <c r="R66" s="49" t="s">
        <v>91</v>
      </c>
      <c r="S66" s="49" t="s">
        <v>91</v>
      </c>
      <c r="T66" s="49" t="s">
        <v>91</v>
      </c>
      <c r="U66" s="48" t="s">
        <v>91</v>
      </c>
    </row>
    <row r="67" spans="1:21" ht="26.25" customHeight="1">
      <c r="A67" s="51" t="s">
        <v>91</v>
      </c>
      <c r="B67" s="20" t="s">
        <v>91</v>
      </c>
      <c r="C67" s="68"/>
      <c r="D67" s="68"/>
      <c r="E67" s="69"/>
      <c r="F67" s="51" t="s">
        <v>91</v>
      </c>
      <c r="G67" s="49" t="s">
        <v>91</v>
      </c>
      <c r="H67" s="49" t="s">
        <v>91</v>
      </c>
      <c r="I67" s="49" t="s">
        <v>91</v>
      </c>
      <c r="J67" s="43" t="s">
        <v>91</v>
      </c>
      <c r="K67" s="76"/>
      <c r="L67" s="76"/>
      <c r="M67" s="76"/>
      <c r="N67" s="48" t="s">
        <v>91</v>
      </c>
      <c r="O67" s="48" t="s">
        <v>91</v>
      </c>
      <c r="P67" s="48" t="s">
        <v>91</v>
      </c>
      <c r="Q67" s="48" t="s">
        <v>91</v>
      </c>
      <c r="R67" s="49" t="s">
        <v>91</v>
      </c>
      <c r="S67" s="49" t="s">
        <v>91</v>
      </c>
      <c r="T67" s="49" t="s">
        <v>91</v>
      </c>
      <c r="U67" s="48" t="s">
        <v>91</v>
      </c>
    </row>
    <row r="68" spans="1:21" ht="26.25" customHeight="1">
      <c r="A68" s="51" t="s">
        <v>91</v>
      </c>
      <c r="B68" s="20" t="s">
        <v>91</v>
      </c>
      <c r="C68" s="68"/>
      <c r="D68" s="68"/>
      <c r="E68" s="69"/>
      <c r="F68" s="51" t="s">
        <v>91</v>
      </c>
      <c r="G68" s="77" t="s">
        <v>91</v>
      </c>
      <c r="H68" s="49" t="s">
        <v>91</v>
      </c>
      <c r="I68" s="49" t="s">
        <v>91</v>
      </c>
      <c r="J68" s="43" t="s">
        <v>91</v>
      </c>
      <c r="K68" s="76"/>
      <c r="L68" s="76"/>
      <c r="M68" s="76"/>
      <c r="N68" s="48" t="s">
        <v>91</v>
      </c>
      <c r="O68" s="48" t="s">
        <v>91</v>
      </c>
      <c r="P68" s="48" t="s">
        <v>91</v>
      </c>
      <c r="Q68" s="48" t="s">
        <v>91</v>
      </c>
      <c r="R68" s="49" t="s">
        <v>91</v>
      </c>
      <c r="S68" s="49" t="s">
        <v>91</v>
      </c>
      <c r="T68" s="49" t="s">
        <v>91</v>
      </c>
      <c r="U68" s="48" t="s">
        <v>91</v>
      </c>
    </row>
    <row r="69" spans="1:21" ht="26.25" customHeight="1">
      <c r="A69" s="51" t="s">
        <v>91</v>
      </c>
      <c r="B69" s="20" t="s">
        <v>91</v>
      </c>
      <c r="C69" s="68"/>
      <c r="D69" s="68"/>
      <c r="E69" s="69"/>
      <c r="F69" s="51" t="s">
        <v>91</v>
      </c>
      <c r="G69" s="77"/>
      <c r="H69" s="49" t="s">
        <v>91</v>
      </c>
      <c r="I69" s="49" t="s">
        <v>91</v>
      </c>
      <c r="J69" s="43" t="s">
        <v>91</v>
      </c>
      <c r="K69" s="76"/>
      <c r="L69" s="76"/>
      <c r="M69" s="76"/>
      <c r="N69" s="48" t="s">
        <v>91</v>
      </c>
      <c r="O69" s="48" t="s">
        <v>91</v>
      </c>
      <c r="P69" s="48" t="s">
        <v>91</v>
      </c>
      <c r="Q69" s="48" t="s">
        <v>91</v>
      </c>
      <c r="R69" s="49" t="s">
        <v>91</v>
      </c>
      <c r="S69" s="49" t="s">
        <v>91</v>
      </c>
      <c r="T69" s="49" t="s">
        <v>91</v>
      </c>
      <c r="U69" s="48" t="s">
        <v>91</v>
      </c>
    </row>
    <row r="70" spans="1:21" ht="26.25" customHeight="1">
      <c r="A70" s="51" t="s">
        <v>91</v>
      </c>
      <c r="B70" s="20" t="s">
        <v>91</v>
      </c>
      <c r="C70" s="68"/>
      <c r="D70" s="68"/>
      <c r="E70" s="69"/>
      <c r="F70" s="51" t="s">
        <v>91</v>
      </c>
      <c r="G70" s="77" t="s">
        <v>91</v>
      </c>
      <c r="H70" s="49" t="s">
        <v>91</v>
      </c>
      <c r="I70" s="49" t="s">
        <v>91</v>
      </c>
      <c r="J70" s="43" t="s">
        <v>91</v>
      </c>
      <c r="K70" s="76"/>
      <c r="L70" s="76"/>
      <c r="M70" s="76"/>
      <c r="N70" s="48" t="s">
        <v>91</v>
      </c>
      <c r="O70" s="48" t="s">
        <v>91</v>
      </c>
      <c r="P70" s="48" t="s">
        <v>91</v>
      </c>
      <c r="Q70" s="48" t="s">
        <v>91</v>
      </c>
      <c r="R70" s="49" t="s">
        <v>91</v>
      </c>
      <c r="S70" s="49" t="s">
        <v>91</v>
      </c>
      <c r="T70" s="49" t="s">
        <v>91</v>
      </c>
      <c r="U70" s="48" t="s">
        <v>91</v>
      </c>
    </row>
    <row r="71" spans="1:21" ht="26.25" customHeight="1">
      <c r="A71" s="51" t="s">
        <v>91</v>
      </c>
      <c r="B71" s="20" t="s">
        <v>91</v>
      </c>
      <c r="C71" s="68"/>
      <c r="D71" s="68"/>
      <c r="E71" s="69"/>
      <c r="F71" s="51" t="s">
        <v>91</v>
      </c>
      <c r="G71" s="77"/>
      <c r="H71" s="49" t="s">
        <v>91</v>
      </c>
      <c r="I71" s="49" t="s">
        <v>91</v>
      </c>
      <c r="J71" s="43" t="s">
        <v>91</v>
      </c>
      <c r="K71" s="76"/>
      <c r="L71" s="76"/>
      <c r="M71" s="76"/>
      <c r="N71" s="48" t="s">
        <v>91</v>
      </c>
      <c r="O71" s="48" t="s">
        <v>91</v>
      </c>
      <c r="P71" s="48" t="s">
        <v>91</v>
      </c>
      <c r="Q71" s="48" t="s">
        <v>91</v>
      </c>
      <c r="R71" s="49" t="s">
        <v>91</v>
      </c>
      <c r="S71" s="49" t="s">
        <v>91</v>
      </c>
      <c r="T71" s="49" t="s">
        <v>91</v>
      </c>
      <c r="U71" s="48" t="s">
        <v>91</v>
      </c>
    </row>
    <row r="72" spans="1:21" ht="64.5" customHeight="1">
      <c r="A72" s="51" t="s">
        <v>91</v>
      </c>
      <c r="B72" s="20" t="s">
        <v>91</v>
      </c>
      <c r="C72" s="68"/>
      <c r="D72" s="68"/>
      <c r="E72" s="69"/>
      <c r="F72" s="51" t="s">
        <v>91</v>
      </c>
      <c r="G72" s="77" t="s">
        <v>91</v>
      </c>
      <c r="H72" s="49" t="s">
        <v>91</v>
      </c>
      <c r="I72" s="49" t="s">
        <v>91</v>
      </c>
      <c r="J72" s="43" t="s">
        <v>91</v>
      </c>
      <c r="K72" s="76"/>
      <c r="L72" s="76"/>
      <c r="M72" s="76"/>
      <c r="N72" s="48" t="s">
        <v>91</v>
      </c>
      <c r="O72" s="48" t="s">
        <v>91</v>
      </c>
      <c r="P72" s="48" t="s">
        <v>91</v>
      </c>
      <c r="Q72" s="48" t="s">
        <v>91</v>
      </c>
      <c r="R72" s="49" t="s">
        <v>91</v>
      </c>
      <c r="S72" s="49" t="s">
        <v>91</v>
      </c>
      <c r="T72" s="49" t="s">
        <v>91</v>
      </c>
      <c r="U72" s="48" t="s">
        <v>91</v>
      </c>
    </row>
    <row r="73" spans="1:21" ht="272.25" customHeight="1" thickBot="1">
      <c r="A73" s="51" t="s">
        <v>91</v>
      </c>
      <c r="B73" s="21" t="s">
        <v>91</v>
      </c>
      <c r="C73" s="70"/>
      <c r="D73" s="70"/>
      <c r="E73" s="71"/>
      <c r="F73" s="51" t="s">
        <v>91</v>
      </c>
      <c r="G73" s="77"/>
      <c r="H73" s="49" t="s">
        <v>91</v>
      </c>
      <c r="I73" s="49" t="s">
        <v>91</v>
      </c>
      <c r="J73" s="43" t="s">
        <v>91</v>
      </c>
      <c r="K73" s="76"/>
      <c r="L73" s="76"/>
      <c r="M73" s="76"/>
      <c r="N73" s="48" t="s">
        <v>91</v>
      </c>
      <c r="O73" s="48" t="s">
        <v>91</v>
      </c>
      <c r="P73" s="48" t="s">
        <v>91</v>
      </c>
      <c r="Q73" s="48" t="s">
        <v>91</v>
      </c>
      <c r="R73" s="49" t="s">
        <v>91</v>
      </c>
      <c r="S73" s="49" t="s">
        <v>91</v>
      </c>
      <c r="T73" s="49" t="s">
        <v>91</v>
      </c>
      <c r="U73" s="48" t="s">
        <v>91</v>
      </c>
    </row>
    <row r="74" spans="1:21" ht="21.75" customHeight="1">
      <c r="A74" s="51" t="s">
        <v>91</v>
      </c>
      <c r="B74" s="72" t="s">
        <v>94</v>
      </c>
      <c r="C74" s="57"/>
      <c r="D74" s="57"/>
      <c r="E74" s="73"/>
      <c r="F74" s="48" t="s">
        <v>91</v>
      </c>
      <c r="G74" s="48" t="s">
        <v>91</v>
      </c>
      <c r="H74" s="48" t="s">
        <v>91</v>
      </c>
      <c r="I74" s="48" t="s">
        <v>91</v>
      </c>
      <c r="J74" s="43" t="s">
        <v>91</v>
      </c>
      <c r="K74" s="48" t="s">
        <v>91</v>
      </c>
      <c r="L74" s="48" t="s">
        <v>91</v>
      </c>
      <c r="M74" s="48" t="s">
        <v>91</v>
      </c>
      <c r="N74" s="48" t="s">
        <v>91</v>
      </c>
      <c r="O74" s="48" t="s">
        <v>91</v>
      </c>
      <c r="P74" s="48" t="s">
        <v>91</v>
      </c>
      <c r="Q74" s="49" t="s">
        <v>91</v>
      </c>
      <c r="R74" s="49" t="s">
        <v>91</v>
      </c>
      <c r="S74" s="49" t="s">
        <v>91</v>
      </c>
      <c r="T74" s="48" t="s">
        <v>91</v>
      </c>
      <c r="U74" s="29"/>
    </row>
    <row r="75" spans="1:21" ht="21" customHeight="1" thickBot="1">
      <c r="A75" s="51" t="s">
        <v>91</v>
      </c>
      <c r="B75" s="21" t="s">
        <v>91</v>
      </c>
      <c r="C75" s="74" t="s">
        <v>95</v>
      </c>
      <c r="D75" s="74"/>
      <c r="E75" s="75"/>
      <c r="F75" s="51" t="s">
        <v>91</v>
      </c>
      <c r="G75" s="51" t="s">
        <v>91</v>
      </c>
      <c r="H75" s="51" t="s">
        <v>91</v>
      </c>
      <c r="I75" s="51" t="s">
        <v>91</v>
      </c>
      <c r="J75" s="43" t="s">
        <v>91</v>
      </c>
      <c r="K75" s="48" t="s">
        <v>91</v>
      </c>
      <c r="L75" s="48" t="s">
        <v>91</v>
      </c>
      <c r="M75" s="48" t="s">
        <v>91</v>
      </c>
      <c r="N75" s="48" t="s">
        <v>91</v>
      </c>
      <c r="O75" s="48" t="s">
        <v>91</v>
      </c>
      <c r="P75" s="48" t="s">
        <v>91</v>
      </c>
      <c r="Q75" s="48" t="s">
        <v>91</v>
      </c>
      <c r="R75" s="49" t="s">
        <v>91</v>
      </c>
      <c r="S75" s="49" t="s">
        <v>91</v>
      </c>
      <c r="T75" s="49" t="s">
        <v>91</v>
      </c>
      <c r="U75" s="48" t="s">
        <v>91</v>
      </c>
    </row>
    <row r="76" spans="1:21" ht="23.25" customHeight="1">
      <c r="A76" s="51" t="s">
        <v>91</v>
      </c>
      <c r="B76" s="56" t="s">
        <v>96</v>
      </c>
      <c r="C76" s="57"/>
      <c r="D76" s="57"/>
      <c r="E76" s="58"/>
      <c r="F76" s="51" t="s">
        <v>91</v>
      </c>
      <c r="G76" s="51" t="s">
        <v>91</v>
      </c>
      <c r="H76" s="51" t="s">
        <v>91</v>
      </c>
      <c r="I76" s="51" t="s">
        <v>91</v>
      </c>
      <c r="J76" s="43" t="s">
        <v>91</v>
      </c>
      <c r="K76" s="48" t="s">
        <v>91</v>
      </c>
      <c r="L76" s="48" t="s">
        <v>91</v>
      </c>
      <c r="M76" s="48" t="s">
        <v>91</v>
      </c>
      <c r="N76" s="48" t="s">
        <v>91</v>
      </c>
      <c r="O76" s="48" t="s">
        <v>91</v>
      </c>
      <c r="P76" s="48" t="s">
        <v>91</v>
      </c>
      <c r="Q76" s="48" t="s">
        <v>91</v>
      </c>
      <c r="R76" s="49" t="s">
        <v>91</v>
      </c>
      <c r="S76" s="49" t="s">
        <v>91</v>
      </c>
      <c r="T76" s="49" t="s">
        <v>91</v>
      </c>
      <c r="U76" s="48" t="s">
        <v>91</v>
      </c>
    </row>
    <row r="77" spans="1:21" ht="14.25" thickBot="1">
      <c r="A77" s="51" t="s">
        <v>91</v>
      </c>
      <c r="B77" s="22" t="s">
        <v>91</v>
      </c>
      <c r="C77" s="59" t="s">
        <v>97</v>
      </c>
      <c r="D77" s="59"/>
      <c r="E77" s="60"/>
      <c r="F77" s="51" t="s">
        <v>91</v>
      </c>
      <c r="G77" s="51" t="s">
        <v>91</v>
      </c>
      <c r="H77" s="51" t="s">
        <v>91</v>
      </c>
      <c r="I77" s="51" t="s">
        <v>91</v>
      </c>
      <c r="J77" s="43" t="s">
        <v>91</v>
      </c>
      <c r="K77" s="48" t="s">
        <v>91</v>
      </c>
      <c r="L77" s="48" t="s">
        <v>91</v>
      </c>
      <c r="M77" s="48" t="s">
        <v>91</v>
      </c>
      <c r="N77" s="48" t="s">
        <v>91</v>
      </c>
      <c r="O77" s="48" t="s">
        <v>91</v>
      </c>
      <c r="P77" s="48" t="s">
        <v>91</v>
      </c>
      <c r="Q77" s="48" t="s">
        <v>91</v>
      </c>
      <c r="R77" s="49" t="s">
        <v>91</v>
      </c>
      <c r="S77" s="49" t="s">
        <v>91</v>
      </c>
      <c r="T77" s="49" t="s">
        <v>91</v>
      </c>
      <c r="U77" s="48" t="s">
        <v>91</v>
      </c>
    </row>
    <row r="78" spans="1:21">
      <c r="A78" s="51" t="s">
        <v>91</v>
      </c>
      <c r="B78" s="23" t="s">
        <v>98</v>
      </c>
      <c r="C78" s="51" t="s">
        <v>91</v>
      </c>
      <c r="D78" s="51" t="s">
        <v>91</v>
      </c>
      <c r="E78" s="24" t="s">
        <v>91</v>
      </c>
      <c r="F78" s="51" t="s">
        <v>91</v>
      </c>
      <c r="G78" s="51" t="s">
        <v>91</v>
      </c>
      <c r="H78" s="51" t="s">
        <v>91</v>
      </c>
      <c r="I78" s="51" t="s">
        <v>91</v>
      </c>
      <c r="J78" s="43" t="s">
        <v>91</v>
      </c>
      <c r="K78" s="48" t="s">
        <v>91</v>
      </c>
      <c r="L78" s="48" t="s">
        <v>91</v>
      </c>
      <c r="M78" s="48" t="s">
        <v>91</v>
      </c>
      <c r="N78" s="48" t="s">
        <v>91</v>
      </c>
      <c r="O78" s="48" t="s">
        <v>91</v>
      </c>
      <c r="P78" s="48" t="s">
        <v>91</v>
      </c>
      <c r="Q78" s="48" t="s">
        <v>91</v>
      </c>
      <c r="R78" s="49" t="s">
        <v>91</v>
      </c>
      <c r="S78" s="49" t="s">
        <v>91</v>
      </c>
      <c r="T78" s="49" t="s">
        <v>91</v>
      </c>
      <c r="U78" s="48" t="s">
        <v>91</v>
      </c>
    </row>
    <row r="79" spans="1:21">
      <c r="A79" s="51" t="s">
        <v>91</v>
      </c>
      <c r="B79" s="25" t="s">
        <v>91</v>
      </c>
      <c r="C79" s="61" t="s">
        <v>99</v>
      </c>
      <c r="D79" s="61"/>
      <c r="E79" s="62"/>
      <c r="F79" s="51" t="s">
        <v>91</v>
      </c>
      <c r="G79" s="48" t="s">
        <v>91</v>
      </c>
      <c r="H79" s="48" t="s">
        <v>91</v>
      </c>
      <c r="I79" s="48" t="s">
        <v>91</v>
      </c>
      <c r="J79" s="43" t="s">
        <v>91</v>
      </c>
      <c r="K79" s="48" t="s">
        <v>91</v>
      </c>
      <c r="L79" s="48" t="s">
        <v>91</v>
      </c>
      <c r="M79" s="48" t="s">
        <v>91</v>
      </c>
      <c r="N79" s="48" t="s">
        <v>91</v>
      </c>
      <c r="O79" s="48" t="s">
        <v>91</v>
      </c>
      <c r="P79" s="48" t="s">
        <v>91</v>
      </c>
      <c r="Q79" s="48" t="s">
        <v>91</v>
      </c>
      <c r="R79" s="49" t="s">
        <v>91</v>
      </c>
      <c r="S79" s="49" t="s">
        <v>91</v>
      </c>
      <c r="T79" s="49" t="s">
        <v>91</v>
      </c>
      <c r="U79" s="48" t="s">
        <v>91</v>
      </c>
    </row>
    <row r="80" spans="1:21" ht="7.5" customHeight="1" thickBot="1">
      <c r="A80" s="51" t="s">
        <v>91</v>
      </c>
      <c r="B80" s="22" t="s">
        <v>91</v>
      </c>
      <c r="C80" s="50" t="s">
        <v>91</v>
      </c>
      <c r="D80" s="50" t="s">
        <v>91</v>
      </c>
      <c r="E80" s="26" t="s">
        <v>91</v>
      </c>
      <c r="F80" s="51" t="s">
        <v>91</v>
      </c>
      <c r="G80" s="48" t="s">
        <v>91</v>
      </c>
      <c r="H80" s="48" t="s">
        <v>91</v>
      </c>
      <c r="I80" s="48" t="s">
        <v>91</v>
      </c>
      <c r="J80" s="43" t="s">
        <v>91</v>
      </c>
      <c r="K80" s="48" t="s">
        <v>91</v>
      </c>
      <c r="L80" s="48" t="s">
        <v>91</v>
      </c>
      <c r="M80" s="48" t="s">
        <v>91</v>
      </c>
      <c r="N80" s="48" t="s">
        <v>91</v>
      </c>
      <c r="O80" s="48" t="s">
        <v>91</v>
      </c>
      <c r="P80" s="48" t="s">
        <v>91</v>
      </c>
      <c r="Q80" s="48" t="s">
        <v>91</v>
      </c>
      <c r="R80" s="49" t="s">
        <v>91</v>
      </c>
      <c r="S80" s="49" t="s">
        <v>91</v>
      </c>
      <c r="T80" s="49" t="s">
        <v>91</v>
      </c>
      <c r="U80" s="48" t="s">
        <v>91</v>
      </c>
    </row>
    <row r="82" spans="1:9">
      <c r="A82" s="10"/>
      <c r="B82" s="10"/>
      <c r="C82" s="10"/>
      <c r="D82" s="10"/>
      <c r="E82" s="3"/>
      <c r="F82" s="3"/>
      <c r="G82" s="3"/>
      <c r="H82" s="3"/>
      <c r="I82" s="3"/>
    </row>
    <row r="86" spans="1:9">
      <c r="A86" s="10"/>
      <c r="B86" s="10"/>
      <c r="C86" s="10"/>
      <c r="D86" s="10"/>
      <c r="E86" s="3"/>
      <c r="F86" s="3"/>
      <c r="G86" s="3"/>
      <c r="H86" s="3"/>
      <c r="I86" s="3"/>
    </row>
    <row r="87" spans="1:9">
      <c r="A87" s="10"/>
      <c r="B87" s="10"/>
      <c r="C87" s="10"/>
      <c r="D87" s="10"/>
      <c r="E87" s="3"/>
      <c r="F87" s="3"/>
      <c r="G87" s="3"/>
      <c r="H87" s="3"/>
      <c r="I87" s="3"/>
    </row>
    <row r="88" spans="1:9">
      <c r="A88" s="10"/>
      <c r="B88" s="10"/>
      <c r="C88" s="10"/>
      <c r="D88" s="10"/>
      <c r="E88" s="3"/>
      <c r="F88" s="3"/>
      <c r="G88" s="3"/>
      <c r="H88" s="3"/>
      <c r="I88" s="3"/>
    </row>
    <row r="89" spans="1:9">
      <c r="A89" s="10"/>
      <c r="B89" s="10"/>
      <c r="C89" s="10"/>
      <c r="D89" s="10"/>
      <c r="E89" s="3"/>
      <c r="F89" s="3"/>
      <c r="G89" s="3"/>
      <c r="H89" s="3"/>
      <c r="I89" s="3"/>
    </row>
    <row r="90" spans="1:9">
      <c r="A90" s="10"/>
      <c r="B90" s="10"/>
      <c r="C90" s="10"/>
      <c r="D90" s="10"/>
      <c r="E90" s="3"/>
      <c r="F90" s="3"/>
      <c r="G90" s="3"/>
      <c r="H90" s="3"/>
      <c r="I90" s="3"/>
    </row>
    <row r="91" spans="1:9">
      <c r="A91" s="10"/>
      <c r="B91" s="10"/>
      <c r="C91" s="10"/>
      <c r="D91" s="10"/>
      <c r="E91" s="3"/>
      <c r="F91" s="3"/>
      <c r="G91" s="3"/>
      <c r="H91" s="3"/>
      <c r="I91" s="3"/>
    </row>
    <row r="92" spans="1:9">
      <c r="A92" s="10"/>
      <c r="B92" s="10"/>
      <c r="C92" s="10"/>
      <c r="D92" s="10"/>
      <c r="E92" s="3"/>
      <c r="F92" s="3"/>
      <c r="G92" s="3"/>
      <c r="H92" s="3"/>
      <c r="I92" s="3"/>
    </row>
    <row r="93" spans="1:9">
      <c r="A93" s="10"/>
      <c r="B93" s="10"/>
      <c r="C93" s="10"/>
      <c r="D93" s="10"/>
      <c r="E93" s="3"/>
      <c r="F93" s="3"/>
      <c r="G93" s="3"/>
      <c r="H93" s="3"/>
      <c r="I93" s="3"/>
    </row>
    <row r="94" spans="1:9">
      <c r="A94" s="10"/>
      <c r="B94" s="10"/>
      <c r="C94" s="10"/>
      <c r="D94" s="10"/>
      <c r="E94" s="3"/>
      <c r="F94" s="3"/>
      <c r="G94" s="3"/>
      <c r="H94" s="3"/>
      <c r="I94" s="3"/>
    </row>
    <row r="95" spans="1:9">
      <c r="A95" s="10"/>
      <c r="B95" s="10"/>
      <c r="C95" s="10"/>
      <c r="D95" s="10"/>
      <c r="E95" s="3"/>
      <c r="F95" s="3"/>
      <c r="G95" s="3"/>
      <c r="H95" s="3"/>
      <c r="I95" s="3"/>
    </row>
    <row r="96" spans="1:9">
      <c r="A96" s="10"/>
      <c r="B96" s="10"/>
      <c r="C96" s="10"/>
      <c r="D96" s="10"/>
      <c r="E96" s="3"/>
      <c r="F96" s="3"/>
      <c r="G96" s="3"/>
      <c r="H96" s="3"/>
      <c r="I96" s="3"/>
    </row>
    <row r="97" spans="1:9">
      <c r="A97" s="10"/>
      <c r="B97" s="10"/>
      <c r="C97" s="10"/>
      <c r="D97" s="10"/>
      <c r="E97" s="3"/>
      <c r="F97" s="3"/>
      <c r="G97" s="3"/>
      <c r="H97" s="3"/>
      <c r="I97" s="3"/>
    </row>
    <row r="98" spans="1:9">
      <c r="A98" s="10"/>
      <c r="B98" s="10"/>
      <c r="C98" s="10"/>
      <c r="D98" s="10"/>
      <c r="E98" s="3"/>
      <c r="F98" s="3"/>
      <c r="G98" s="3"/>
      <c r="H98" s="3"/>
      <c r="I98" s="3"/>
    </row>
    <row r="99" spans="1:9">
      <c r="A99" s="10"/>
      <c r="B99" s="10"/>
      <c r="C99" s="10"/>
      <c r="D99" s="10"/>
      <c r="E99" s="3"/>
      <c r="F99" s="3"/>
      <c r="G99" s="3"/>
      <c r="H99" s="3"/>
      <c r="I99" s="3"/>
    </row>
    <row r="100" spans="1:9">
      <c r="A100" s="10"/>
      <c r="B100" s="10"/>
      <c r="C100" s="10"/>
      <c r="D100" s="10"/>
      <c r="E100" s="3"/>
      <c r="F100" s="3"/>
      <c r="G100" s="3"/>
      <c r="H100" s="3"/>
      <c r="I100" s="3"/>
    </row>
    <row r="101" spans="1:9">
      <c r="A101" s="10"/>
      <c r="B101" s="10"/>
      <c r="C101" s="10"/>
      <c r="D101" s="10"/>
      <c r="E101" s="3"/>
      <c r="F101" s="3"/>
      <c r="G101" s="3"/>
      <c r="H101" s="3"/>
      <c r="I101" s="3"/>
    </row>
    <row r="102" spans="1:9">
      <c r="A102" s="10"/>
      <c r="B102" s="10"/>
      <c r="C102" s="10"/>
      <c r="D102" s="10"/>
      <c r="E102" s="3"/>
      <c r="F102" s="3"/>
      <c r="G102" s="3"/>
      <c r="H102" s="3"/>
      <c r="I102" s="3"/>
    </row>
    <row r="103" spans="1:9">
      <c r="A103" s="10"/>
      <c r="B103" s="10"/>
      <c r="C103" s="10"/>
      <c r="D103" s="10"/>
      <c r="E103" s="3"/>
      <c r="F103" s="3"/>
      <c r="G103" s="3"/>
      <c r="H103" s="3"/>
      <c r="I103" s="3"/>
    </row>
  </sheetData>
  <mergeCells count="31">
    <mergeCell ref="C40:E40"/>
    <mergeCell ref="C38:E38"/>
    <mergeCell ref="K60:M73"/>
    <mergeCell ref="G63:G64"/>
    <mergeCell ref="G65:G66"/>
    <mergeCell ref="G68:G69"/>
    <mergeCell ref="G70:G71"/>
    <mergeCell ref="G72:G73"/>
    <mergeCell ref="B76:E76"/>
    <mergeCell ref="C77:E77"/>
    <mergeCell ref="C79:E79"/>
    <mergeCell ref="C42:E42"/>
    <mergeCell ref="C44:E44"/>
    <mergeCell ref="C46:E46"/>
    <mergeCell ref="C52:E52"/>
    <mergeCell ref="C54:E54"/>
    <mergeCell ref="C56:E56"/>
    <mergeCell ref="C58:E58"/>
    <mergeCell ref="B59:E59"/>
    <mergeCell ref="C60:E73"/>
    <mergeCell ref="B74:E74"/>
    <mergeCell ref="C75:E75"/>
    <mergeCell ref="C48:E48"/>
    <mergeCell ref="C50:E50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51181102362204722" footer="0.51181102362204722"/>
  <pageSetup paperSize="9" scale="59" firstPageNumber="0" fitToWidth="0" fitToHeight="0" orientation="landscape" verticalDpi="300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PATRIMONIO POLICIA</cp:lastModifiedBy>
  <cp:revision>2</cp:revision>
  <dcterms:created xsi:type="dcterms:W3CDTF">2020-07-17T23:44:49Z</dcterms:created>
  <dcterms:modified xsi:type="dcterms:W3CDTF">2022-01-26T13:25:47Z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