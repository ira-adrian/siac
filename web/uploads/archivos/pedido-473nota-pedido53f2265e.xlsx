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DF76B419-BF8D-466A-A14C-5454CAF9F554}" xr6:coauthVersionLast="46" xr6:coauthVersionMax="46" xr10:uidLastSave="{00000000-0000-0000-0000-000000000000}"/>
  <bookViews>
    <workbookView xWindow="-120" yWindow="-120" windowWidth="29040" windowHeight="15840" tabRatio="500" activeTab="2" xr2:uid="{00000000-000D-0000-FFFF-FFFF00000000}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Gastar'!$A$1:$Q$27</definedName>
    <definedName name="_xlnm.Print_Area" localSheetId="1">NotaPedido!$A$1:$K$29</definedName>
  </definedNames>
  <calcPr calcId="181029"/>
</workbook>
</file>

<file path=xl/calcChain.xml><?xml version="1.0" encoding="utf-8"?>
<calcChain xmlns="http://schemas.openxmlformats.org/spreadsheetml/2006/main">
  <c r="I22" i="1" l="1"/>
  <c r="I23" i="1"/>
  <c r="I24" i="1"/>
  <c r="I25" i="1"/>
  <c r="I26" i="1"/>
  <c r="I21" i="1"/>
  <c r="I11" i="1"/>
  <c r="I12" i="1"/>
  <c r="I13" i="1"/>
  <c r="I14" i="1"/>
  <c r="I15" i="1"/>
  <c r="I16" i="1"/>
  <c r="I17" i="1"/>
  <c r="I18" i="1"/>
  <c r="I19" i="1"/>
  <c r="I20" i="1"/>
  <c r="I10" i="1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K13" i="2" l="1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A26" i="3" l="1"/>
  <c r="A10" i="3"/>
  <c r="K12" i="2"/>
  <c r="J12" i="2"/>
  <c r="I12" i="2"/>
  <c r="C12" i="2"/>
  <c r="B12" i="2"/>
  <c r="J29" i="2" l="1"/>
  <c r="G6" i="3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<sst xmlns="http://schemas.openxmlformats.org/spreadsheetml/2006/main" count="264" uniqueCount="143">
  <si>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</si>
  <si>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</si>
  <si>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</si>
  <si>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</si>
  <si>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</si>
  <si>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</si>
  <si>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</si>
  <si>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</si>
  <si>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</si>
  <si>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</si>
  <si>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</si>
  <si>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</si>
  <si>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</si>
  <si>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</si>
  <si>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</si>
  <si>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</si>
  <si>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</si>
  <si>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</si>
  <si>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</si>
  <si>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</si>
  <si>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</si>
  <si>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</si>
  <si>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</si>
  <si>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</si>
  <si>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</si>
  <si>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</si>
  <si>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</si>
  <si>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</si>
  <si>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</si>
  <si>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</si>
  <si>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</si>
  <si>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</si>
  <si>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</si>
  <si>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</si>
  <si>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</si>
  <si>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</si>
  <si>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</si>
  <si>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</si>
  <si>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</si>
  <si>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</si>
  <si>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</si>
  <si>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</si>
  <si>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</si>
  <si>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</si>
  <si>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</si>
  <si>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</si>
  <si>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</si>
  <si>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</si>
  <si>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</si>
  <si>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</si>
  <si>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</si>
  <si>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</si>
  <si>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</si>
  <si>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</si>
  <si>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</si>
  <si>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</si>
  <si>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</si>
  <si>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</si>
  <si>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Costo total estimado:</t>
  </si>
  <si>
    <t>NO</t>
  </si>
  <si>
    <t>40 - Ministerio de Salud</t>
  </si>
  <si>
    <t>23 - Hospital Interzonal San Juan Bautista</t>
  </si>
  <si>
    <t>168 - Direccion Asistencial</t>
  </si>
  <si>
    <t>3.1</t>
  </si>
  <si>
    <t>1.1</t>
  </si>
  <si>
    <t>UNIDAD</t>
  </si>
  <si>
    <t>CAJAS</t>
  </si>
  <si>
    <t>PACK</t>
  </si>
  <si>
    <t>Servicio de Nutrición</t>
  </si>
  <si>
    <t>VASO TÉRMICO PARA INFUSIONES X 180 CC. CON TAPAS</t>
  </si>
  <si>
    <t>Según necesidad de Servicio de Nutricion del HISJB</t>
  </si>
  <si>
    <t xml:space="preserve">90 dias habiles </t>
  </si>
  <si>
    <t>Adquisición de Descartables Para Nutrición</t>
  </si>
  <si>
    <t xml:space="preserve">Productos de papel y carton </t>
  </si>
  <si>
    <t xml:space="preserve">Productos de material plastico </t>
  </si>
  <si>
    <t>2.9.4-692.10</t>
  </si>
  <si>
    <t>BAZAR Y MENAJE</t>
  </si>
  <si>
    <t>BANDEJA P/TRANSP. DE ALIMENTO; CAPACIDAD: 750 GR, MATERIAL: ALUMINIO, TIPO: C/TAPA, DIMENSION: 20 X 14 X 5 Cm</t>
  </si>
  <si>
    <t xml:space="preserve">BANDEJA DE ALUMINIO F:50 TIPO ALPAC MEDIDAS 16 CM X 12 CM X 4,5 CM RECTANGULAR CON TAPA DE CARTON LAMINADO F:50 TIPO ALPAC </t>
  </si>
  <si>
    <t xml:space="preserve">BANDEJA DE ALUMINIO F:75 TIPO ALPAC MEDIDAS 16 CM X 12 CM X 4,5 CM RECTANGULAR CON TAPA DE CARTON LAMINADO F:75 TIPO ALPAC </t>
  </si>
  <si>
    <t>BANDEJA P/TRANSP. DE ALIMENTO; DIMENSION: 18 X 14 X 4 Cm, TIPO: C/TAPA, MATERIAL: ALUMINIO APTO MICROONDAS, CAPACIDAD: 750 CM3</t>
  </si>
  <si>
    <t>2.9.4-4743.24</t>
  </si>
  <si>
    <t>CUCHARAS; TIPO: DE MESA, MATERIAL: PLASTICO</t>
  </si>
  <si>
    <t>Especificidades Item N° 4:</t>
  </si>
  <si>
    <t xml:space="preserve">CUCHARAS PLÁSTICAS TAMAÑO SOPERA </t>
  </si>
  <si>
    <t>2.9.4</t>
  </si>
  <si>
    <t>2.9.4-690.15</t>
  </si>
  <si>
    <t>Especificidades Item N° 5:</t>
  </si>
  <si>
    <t xml:space="preserve">CUCHARITAS P/POSTRE PLÁSTICAS </t>
  </si>
  <si>
    <t>CUCHARAS; TIPO: TE, MATERIAL: PLASTICO</t>
  </si>
  <si>
    <t>2.9.4-690.16</t>
  </si>
  <si>
    <t>Especificidades Item N° 6:</t>
  </si>
  <si>
    <t>CUCHILLOS FIRMES CON SERRUCHO DE PLÁSTICO</t>
  </si>
  <si>
    <t>CUCHILLOS; TIPO: DE MESA, MATERIAL: PLASTICO</t>
  </si>
  <si>
    <t>2.9.4.</t>
  </si>
  <si>
    <t>2.9.4-689.15</t>
  </si>
  <si>
    <t>TENEDORES; TIPO: DE MESA, MATERIAL: PLASTICO</t>
  </si>
  <si>
    <t>Especificidades Item N° 7:</t>
  </si>
  <si>
    <t>TENEDORES DE PLASTICO FIRMES</t>
  </si>
  <si>
    <t>Especificidades Item N° 8:</t>
  </si>
  <si>
    <t>BANDEJA PLASTICA CUADRADA N° 103 MEDIDAS LARGO X ANCHO X ALTURA - 175 MM X 135 MM X 50 MM</t>
  </si>
  <si>
    <t>BANDEJAS DE MESA; MATERIAL: PLASTICO, DIMENSION: 18,5 X 15 X 5,5 Cm, FORMA: RECTANGULAR</t>
  </si>
  <si>
    <t>2.9.4-1015.34</t>
  </si>
  <si>
    <t>BOLSAS DE POLIETILENO; TAMAÑO: 15 X 25 Cm, ESPESOR: 17 Mn, PRESENTACION: ROLLO X 200 UN</t>
  </si>
  <si>
    <t>2.5.8-3977.40</t>
  </si>
  <si>
    <t>FERRETERIA</t>
  </si>
  <si>
    <t>2.5.8</t>
  </si>
  <si>
    <t>VASOS; MATERIAL: POLIESTIRENO, TIPO: TERMICO, CAPACIDAD: 240 mL</t>
  </si>
  <si>
    <t>2.9.4-1184.49</t>
  </si>
  <si>
    <t>VASO PLASTICO REDONDO CON TAPA PARA  POSTRES X 240 CC.</t>
  </si>
  <si>
    <t>Especificidades Item N° 13:</t>
  </si>
  <si>
    <t xml:space="preserve">SERVILLETAS 33 X 33 PRESENTACION CAJA POR 1000 UNIDADES </t>
  </si>
  <si>
    <t>SERVILLETAS DE PAPEL; TIPO: LISAS, MOTIVO: SIN, DIMENSION: 33 X 33 Cm, PRESENTACION: ENVASE X 2000 UN</t>
  </si>
  <si>
    <t>2.3.4-938.75</t>
  </si>
  <si>
    <t>2.3.4</t>
  </si>
  <si>
    <t>Especificidades Item N° 11:</t>
  </si>
  <si>
    <t>Especificidades Item N° 12:</t>
  </si>
  <si>
    <t>BANDEJAS DE PLASTICO; MATERIAL: PLASTICO, LARGO X ANCHO: 233 X 170 mm, FORMA: OVAL, PRESENTACION: CAJA X 600</t>
  </si>
  <si>
    <t>BANDEJA PLÁSTICAS OVALADAS N° 145 MEDIDAS 233 MM X 170MM X 46 MM - PRESENTACION POR UNIDAD</t>
  </si>
  <si>
    <t>SERVILLETAS DE PAPEL; TIPO: ROLLO, MOTIVO: SIN, DIMENSION: 25 X 10 Cm, PRESENTACION: ENVASE X 3 UN</t>
  </si>
  <si>
    <t>2.3.4-938.59</t>
  </si>
  <si>
    <t>FILMS DE POLIETILENO; ESPESOR: 10 Mn, ANCHO: 45 Cm, PRESENTACION: ROLLO X 900 M, USO: ALIMENTARIO</t>
  </si>
  <si>
    <t>2.5.8-5590.59</t>
  </si>
  <si>
    <t>LIBRERIA,PAP. Y UTILES OFICINA</t>
  </si>
  <si>
    <t>2.5.8-1055.37</t>
  </si>
  <si>
    <t>Especificidades Item N° 16:</t>
  </si>
  <si>
    <t>VASOS; MATERIAL: POLIESTIRENO EXPANDIDO, TIPO: DESCARTABLE, CAPACIDAD: 180 CM3</t>
  </si>
  <si>
    <t>2.9.4-1184.42</t>
  </si>
  <si>
    <t>VASOS PLASTICOS DESCARTABLES; MATERIAL: POLIESTIRENO, MOTIVO: LISO, CAPACIDAD: 240 CM3, PRESENTACION: ENVASE X 1000 UN, TIPO: APTO MICROONDAS</t>
  </si>
  <si>
    <t>2.9.4-588.70</t>
  </si>
  <si>
    <t>Especificidades Item N° 03:</t>
  </si>
  <si>
    <t>GUANTES USO MEDICINAL; TIPO: DESCARTABLE, TAMAÑO: UNICO, MATERIAL: POLIETILENO, PRESENTACION: ENVASE X 100 UN, ESTERIL: SI, TALCO: NO, DESCARTABLE: SI</t>
  </si>
  <si>
    <t>2.9.5-1909.206</t>
  </si>
  <si>
    <t>PROD. MEDICO/FARMACEUTICOS/LAB</t>
  </si>
  <si>
    <t>2.9.5</t>
  </si>
  <si>
    <t>COMPOTERAS; MATERIAL: POLICARBONATO, CAPACIDAD: 250 mL</t>
  </si>
  <si>
    <t>2.9.4-6970.3</t>
  </si>
  <si>
    <t xml:space="preserve">COMPOTERAS/CONSOMERA CON TAPA TERMICA X 300 CC </t>
  </si>
  <si>
    <t>343 - 2020</t>
  </si>
  <si>
    <t xml:space="preserve">Utensillos de cocina y comedor </t>
  </si>
  <si>
    <t>Utensillos Men, Med, Quir y Laborat.</t>
  </si>
  <si>
    <t>TOTAL DE PESOS: UN MILLON CINCUENTA Y UN MIL SETECIENTOS CON 00/100.-</t>
  </si>
  <si>
    <t>2.9.4-4743.16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</si>
</sst>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9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b/>
      <sz val="9"/>
      <name val="Arial"/>
      <family val="2"/>
      <charset val="1"/>
    </font>
    <font>
      <sz val="11"/>
      <color rgb="FF333333"/>
      <name val="Arial"/>
      <family val="2"/>
    </font>
    <font>
      <sz val="10"/>
      <color rgb="FF333333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42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0" fillId="0" borderId="14" xfId="0" applyBorder="1"/>
    <xf numFmtId="0" fontId="14" fillId="0" borderId="14" xfId="0" applyFont="1" applyFill="1" applyBorder="1"/>
    <xf numFmtId="0" fontId="26" fillId="0" borderId="0" xfId="0" applyFont="1"/>
    <xf numFmtId="0" fontId="27" fillId="0" borderId="14" xfId="0" applyFont="1" applyBorder="1"/>
    <xf numFmtId="0" fontId="26" fillId="0" borderId="14" xfId="0" applyFont="1" applyBorder="1"/>
    <xf numFmtId="0" fontId="14" fillId="0" borderId="14" xfId="0" applyFont="1" applyBorder="1" applyAlignment="1">
      <alignment wrapText="1"/>
    </xf>
    <xf numFmtId="0" fontId="27" fillId="0" borderId="0" xfId="0" applyFont="1" applyAlignment="1">
      <alignment wrapText="1"/>
    </xf>
    <xf numFmtId="0" fontId="14" fillId="0" borderId="14" xfId="0" applyFont="1" applyBorder="1"/>
    <xf numFmtId="0" fontId="27" fillId="0" borderId="14" xfId="0" applyFont="1" applyBorder="1" applyAlignment="1">
      <alignment wrapText="1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5" borderId="34" xfId="3" applyNumberFormat="1" applyFont="1" applyFill="1" applyBorder="1" applyAlignment="1" applyProtection="1">
      <alignment horizontal="center" vertical="center"/>
    </xf>
    <xf numFmtId="0" fontId="0" fillId="5" borderId="35" xfId="0" applyFont="1" applyFill="1" applyBorder="1" applyAlignment="1">
      <alignment horizontal="center" vertical="center"/>
    </xf>
    <xf numFmtId="0" fontId="0" fillId="5" borderId="36" xfId="0" applyFont="1" applyFill="1" applyBorder="1" applyAlignment="1">
      <alignment horizontal="center" vertical="center"/>
    </xf>
    <xf numFmtId="0" fontId="14" fillId="5" borderId="36" xfId="0" applyFont="1" applyFill="1" applyBorder="1" applyAlignment="1">
      <alignment horizontal="center" vertical="center"/>
    </xf>
    <xf numFmtId="0" fontId="0" fillId="5" borderId="37" xfId="0" applyFont="1" applyFill="1" applyBorder="1" applyAlignment="1">
      <alignment horizontal="center" vertical="center"/>
    </xf>
    <xf numFmtId="0" fontId="14" fillId="5" borderId="38" xfId="0" applyFont="1" applyFill="1" applyBorder="1" applyAlignment="1">
      <alignment horizontal="center" vertical="center"/>
    </xf>
    <xf numFmtId="166" fontId="0" fillId="5" borderId="39" xfId="3" applyNumberFormat="1" applyFont="1" applyFill="1" applyBorder="1" applyAlignment="1" applyProtection="1">
      <alignment horizontal="center" vertical="center"/>
    </xf>
    <xf numFmtId="0" fontId="0" fillId="5" borderId="38" xfId="0" applyFont="1" applyFill="1" applyBorder="1" applyAlignment="1">
      <alignment horizontal="center" vertical="center"/>
    </xf>
    <xf numFmtId="166" fontId="13" fillId="5" borderId="44" xfId="0" applyNumberFormat="1" applyFont="1" applyFill="1" applyBorder="1" applyAlignment="1">
      <alignment horizontal="center" vertical="center"/>
    </xf>
    <xf numFmtId="0" fontId="28" fillId="0" borderId="14" xfId="0" applyFont="1" applyBorder="1"/>
    <xf numFmtId="0" fontId="15" fillId="3" borderId="6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 wrapText="1"/>
    </xf>
    <xf numFmtId="0" fontId="15" fillId="3" borderId="6" xfId="0" applyFont="1" applyFill="1" applyBorder="1" applyAlignment="1">
      <alignment horizontal="left" wrapText="1"/>
    </xf>
    <xf numFmtId="0" fontId="15" fillId="4" borderId="6" xfId="0" applyFont="1" applyFill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0" fontId="15" fillId="4" borderId="6" xfId="0" applyFont="1" applyFill="1" applyBorder="1" applyAlignment="1">
      <alignment horizontal="left"/>
    </xf>
    <xf numFmtId="0" fontId="15" fillId="4" borderId="6" xfId="0" applyFont="1" applyFill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0" fontId="4" fillId="5" borderId="19" xfId="0" applyFont="1" applyFill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25" fillId="5" borderId="44" xfId="0" applyFont="1" applyFill="1" applyBorder="1" applyAlignment="1">
      <alignment horizontal="left" vertical="center" wrapText="1"/>
    </xf>
    <xf numFmtId="0" fontId="0" fillId="0" borderId="22" xfId="0" applyBorder="1"/>
    <xf numFmtId="0" fontId="24" fillId="5" borderId="32" xfId="0" applyFont="1" applyFill="1" applyBorder="1" applyAlignment="1">
      <alignment horizontal="left" vertical="center" wrapText="1"/>
    </xf>
    <xf numFmtId="0" fontId="24" fillId="5" borderId="38" xfId="0" applyFont="1" applyFill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09"/>
  <sheetViews>
    <sheetView topLeftCell="A7" zoomScale="80" zoomScaleNormal="80" workbookViewId="0">
      <selection activeCell="K23" sqref="K23"/>
    </sheetView>
  </sheetViews>
  <sheetFormatPr baseColWidth="10" defaultColWidth="11" defaultRowHeight="12.75" x14ac:dyDescent="0.2"/>
  <cols>
    <col min="1" max="1" width="4.5703125" style="37" customWidth="1"/>
    <col min="2" max="2" width="14.7109375" style="37" customWidth="1"/>
    <col min="3" max="3" width="32.42578125" style="37" customWidth="1"/>
    <col min="4" max="4" width="8.42578125" style="37" customWidth="1"/>
    <col min="5" max="5" width="79" style="37" customWidth="1"/>
    <col min="6" max="6" width="11" style="37"/>
    <col min="7" max="7" width="12.7109375" style="37" customWidth="1"/>
    <col min="8" max="8" width="13.85546875" style="37" customWidth="1"/>
    <col min="9" max="9" width="18.5703125" style="37" customWidth="1"/>
    <col min="10" max="16384" width="11" style="37"/>
  </cols>
  <sheetData>
    <row r="2" spans="1:9" ht="27" x14ac:dyDescent="0.35">
      <c r="B2" s="100" t="s">
        <v>0</v>
      </c>
      <c r="C2" s="100"/>
      <c r="D2" s="100"/>
      <c r="E2" s="100"/>
      <c r="F2" s="100"/>
      <c r="G2" s="100"/>
      <c r="H2" s="100"/>
    </row>
    <row r="4" spans="1:9" ht="18" customHeight="1" x14ac:dyDescent="0.25">
      <c r="A4" s="97" t="s">
        <v>1</v>
      </c>
      <c r="B4" s="97"/>
      <c r="C4" s="101" t="s">
        <v>60</v>
      </c>
      <c r="D4" s="101"/>
      <c r="E4" s="101"/>
      <c r="F4" s="38"/>
      <c r="G4" s="39"/>
      <c r="H4" s="38"/>
    </row>
    <row r="5" spans="1:9" ht="18" customHeight="1" x14ac:dyDescent="0.25">
      <c r="A5" s="97" t="s">
        <v>2</v>
      </c>
      <c r="B5" s="97"/>
      <c r="C5" s="101" t="s">
        <v>61</v>
      </c>
      <c r="D5" s="101"/>
      <c r="E5" s="101"/>
      <c r="F5" s="38"/>
      <c r="G5" s="39"/>
      <c r="H5" s="38"/>
    </row>
    <row r="6" spans="1:9" ht="16.5" customHeight="1" x14ac:dyDescent="0.25">
      <c r="A6" s="97" t="s">
        <v>3</v>
      </c>
      <c r="B6" s="97"/>
      <c r="C6" s="60">
        <v>2020</v>
      </c>
      <c r="D6" s="61"/>
      <c r="E6" s="61"/>
      <c r="F6" s="38"/>
      <c r="G6" s="39"/>
      <c r="H6" s="38"/>
    </row>
    <row r="7" spans="1:9" ht="16.5" customHeight="1" x14ac:dyDescent="0.25">
      <c r="A7" s="97" t="s">
        <v>4</v>
      </c>
      <c r="B7" s="97"/>
      <c r="C7" s="60">
        <v>4</v>
      </c>
      <c r="D7" s="61"/>
      <c r="E7" s="61"/>
      <c r="F7" s="38"/>
      <c r="G7" s="39"/>
      <c r="H7" s="38"/>
    </row>
    <row r="8" spans="1:9" ht="13.5" thickBot="1" x14ac:dyDescent="0.25">
      <c r="B8" s="38"/>
      <c r="C8" s="39"/>
      <c r="D8" s="38"/>
      <c r="E8" s="38"/>
      <c r="F8" s="38"/>
      <c r="G8" s="39"/>
      <c r="H8" s="38"/>
    </row>
    <row r="9" spans="1:9" ht="39" thickBot="1" x14ac:dyDescent="0.25">
      <c r="A9" s="53" t="s">
        <v>5</v>
      </c>
      <c r="B9" s="53" t="s">
        <v>6</v>
      </c>
      <c r="C9" s="53" t="s">
        <v>7</v>
      </c>
      <c r="D9" s="53" t="s">
        <v>8</v>
      </c>
      <c r="E9" s="53" t="s">
        <v>9</v>
      </c>
      <c r="F9" s="53" t="s">
        <v>10</v>
      </c>
      <c r="G9" s="53" t="s">
        <v>11</v>
      </c>
      <c r="H9" s="53" t="s">
        <v>12</v>
      </c>
      <c r="I9" s="53" t="s">
        <v>13</v>
      </c>
    </row>
    <row r="10" spans="1:9" ht="31.9" customHeight="1" thickBot="1" x14ac:dyDescent="0.25">
      <c r="A10" s="54">
        <v>1</v>
      </c>
      <c r="B10" t="s">
        <v>142</v>
      </c>
      <c r="C10" s="69" t="s">
        <v>76</v>
      </c>
      <c r="D10" s="56" t="s">
        <v>85</v>
      </c>
      <c r="E10" s="74" t="s">
        <v>77</v>
      </c>
      <c r="F10" s="57" t="s">
        <v>65</v>
      </c>
      <c r="G10" s="57">
        <v>18000</v>
      </c>
      <c r="H10" s="58">
        <v>16.5</v>
      </c>
      <c r="I10" s="59">
        <f>G10*H10</f>
        <v>297000</v>
      </c>
    </row>
    <row r="11" spans="1:9" ht="31.9" customHeight="1" thickBot="1" x14ac:dyDescent="0.25">
      <c r="A11" s="54">
        <v>2</v>
      </c>
      <c r="B11" s="69" t="s">
        <v>81</v>
      </c>
      <c r="C11" s="69" t="s">
        <v>76</v>
      </c>
      <c r="D11" s="56" t="s">
        <v>85</v>
      </c>
      <c r="E11" s="74" t="s">
        <v>80</v>
      </c>
      <c r="F11" s="57" t="s">
        <v>65</v>
      </c>
      <c r="G11" s="57">
        <v>5000</v>
      </c>
      <c r="H11" s="58">
        <v>14</v>
      </c>
      <c r="I11" s="59">
        <f t="shared" ref="I11:I20" si="0">G11*H11</f>
        <v>70000</v>
      </c>
    </row>
    <row r="12" spans="1:9" ht="31.9" customHeight="1" thickBot="1" x14ac:dyDescent="0.25">
      <c r="A12" s="54">
        <v>3</v>
      </c>
      <c r="B12" s="71" t="s">
        <v>136</v>
      </c>
      <c r="C12" s="55" t="s">
        <v>76</v>
      </c>
      <c r="D12" s="56" t="s">
        <v>85</v>
      </c>
      <c r="E12" s="75" t="s">
        <v>135</v>
      </c>
      <c r="F12" s="57" t="s">
        <v>65</v>
      </c>
      <c r="G12" s="57">
        <v>18000</v>
      </c>
      <c r="H12" s="58">
        <v>15</v>
      </c>
      <c r="I12" s="59">
        <f t="shared" si="0"/>
        <v>270000</v>
      </c>
    </row>
    <row r="13" spans="1:9" ht="31.9" customHeight="1" thickBot="1" x14ac:dyDescent="0.25">
      <c r="A13" s="54">
        <v>4</v>
      </c>
      <c r="B13" s="69" t="s">
        <v>86</v>
      </c>
      <c r="C13" s="69" t="s">
        <v>76</v>
      </c>
      <c r="D13" s="56" t="s">
        <v>85</v>
      </c>
      <c r="E13" s="74" t="s">
        <v>82</v>
      </c>
      <c r="F13" s="57" t="s">
        <v>65</v>
      </c>
      <c r="G13" s="57">
        <v>12000</v>
      </c>
      <c r="H13" s="58">
        <v>2.5</v>
      </c>
      <c r="I13" s="59">
        <f t="shared" si="0"/>
        <v>30000</v>
      </c>
    </row>
    <row r="14" spans="1:9" ht="31.9" customHeight="1" thickBot="1" x14ac:dyDescent="0.25">
      <c r="A14" s="54">
        <v>5</v>
      </c>
      <c r="B14" s="69" t="s">
        <v>90</v>
      </c>
      <c r="C14" s="55" t="s">
        <v>76</v>
      </c>
      <c r="D14" s="56" t="s">
        <v>85</v>
      </c>
      <c r="E14" s="76" t="s">
        <v>89</v>
      </c>
      <c r="F14" s="57" t="s">
        <v>65</v>
      </c>
      <c r="G14" s="57">
        <v>12000</v>
      </c>
      <c r="H14" s="58">
        <v>1</v>
      </c>
      <c r="I14" s="59">
        <f t="shared" si="0"/>
        <v>12000</v>
      </c>
    </row>
    <row r="15" spans="1:9" ht="31.9" customHeight="1" thickBot="1" x14ac:dyDescent="0.25">
      <c r="A15" s="54">
        <v>6</v>
      </c>
      <c r="B15" s="69" t="s">
        <v>95</v>
      </c>
      <c r="C15" s="55" t="s">
        <v>76</v>
      </c>
      <c r="D15" s="56" t="s">
        <v>94</v>
      </c>
      <c r="E15" s="76" t="s">
        <v>93</v>
      </c>
      <c r="F15" s="57" t="s">
        <v>65</v>
      </c>
      <c r="G15" s="57">
        <v>12000</v>
      </c>
      <c r="H15" s="58">
        <v>1.7</v>
      </c>
      <c r="I15" s="59">
        <f t="shared" si="0"/>
        <v>20400</v>
      </c>
    </row>
    <row r="16" spans="1:9" ht="31.9" customHeight="1" thickBot="1" x14ac:dyDescent="0.25">
      <c r="A16" s="54">
        <v>7</v>
      </c>
      <c r="B16" s="69" t="s">
        <v>75</v>
      </c>
      <c r="C16" s="70" t="s">
        <v>76</v>
      </c>
      <c r="D16" s="56" t="s">
        <v>85</v>
      </c>
      <c r="E16" s="76" t="s">
        <v>96</v>
      </c>
      <c r="F16" s="57" t="s">
        <v>65</v>
      </c>
      <c r="G16" s="57">
        <v>12000</v>
      </c>
      <c r="H16" s="58">
        <v>1.7</v>
      </c>
      <c r="I16" s="59">
        <f t="shared" si="0"/>
        <v>20400</v>
      </c>
    </row>
    <row r="17" spans="1:9" ht="31.9" customHeight="1" thickBot="1" x14ac:dyDescent="0.25">
      <c r="A17" s="54">
        <v>8</v>
      </c>
      <c r="B17" s="69" t="s">
        <v>102</v>
      </c>
      <c r="C17" s="55" t="s">
        <v>76</v>
      </c>
      <c r="D17" s="56" t="s">
        <v>85</v>
      </c>
      <c r="E17" s="74" t="s">
        <v>101</v>
      </c>
      <c r="F17" s="57" t="s">
        <v>65</v>
      </c>
      <c r="G17" s="57">
        <v>1500</v>
      </c>
      <c r="H17" s="58">
        <v>6</v>
      </c>
      <c r="I17" s="59">
        <f t="shared" si="0"/>
        <v>9000</v>
      </c>
    </row>
    <row r="18" spans="1:9" ht="31.9" customHeight="1" thickBot="1" x14ac:dyDescent="0.25">
      <c r="A18" s="54">
        <v>9</v>
      </c>
      <c r="B18" s="69" t="s">
        <v>104</v>
      </c>
      <c r="C18" s="69" t="s">
        <v>105</v>
      </c>
      <c r="D18" s="56" t="s">
        <v>106</v>
      </c>
      <c r="E18" s="74" t="s">
        <v>103</v>
      </c>
      <c r="F18" s="57" t="s">
        <v>65</v>
      </c>
      <c r="G18" s="57">
        <v>50</v>
      </c>
      <c r="H18" s="58">
        <v>300</v>
      </c>
      <c r="I18" s="59">
        <f t="shared" si="0"/>
        <v>15000</v>
      </c>
    </row>
    <row r="19" spans="1:9" ht="31.9" customHeight="1" thickBot="1" x14ac:dyDescent="0.25">
      <c r="A19" s="54">
        <v>10</v>
      </c>
      <c r="B19" s="69" t="s">
        <v>108</v>
      </c>
      <c r="C19" s="55" t="s">
        <v>76</v>
      </c>
      <c r="D19" s="56" t="s">
        <v>85</v>
      </c>
      <c r="E19" s="76" t="s">
        <v>107</v>
      </c>
      <c r="F19" s="57" t="s">
        <v>65</v>
      </c>
      <c r="G19" s="57">
        <v>18000</v>
      </c>
      <c r="H19" s="58">
        <v>5</v>
      </c>
      <c r="I19" s="59">
        <f t="shared" si="0"/>
        <v>90000</v>
      </c>
    </row>
    <row r="20" spans="1:9" ht="31.9" customHeight="1" thickBot="1" x14ac:dyDescent="0.25">
      <c r="A20" s="54">
        <v>11</v>
      </c>
      <c r="B20" s="71" t="s">
        <v>129</v>
      </c>
      <c r="C20" s="55" t="s">
        <v>76</v>
      </c>
      <c r="D20" s="56" t="s">
        <v>85</v>
      </c>
      <c r="E20" s="75" t="s">
        <v>128</v>
      </c>
      <c r="F20" s="57" t="s">
        <v>65</v>
      </c>
      <c r="G20" s="57">
        <v>18000</v>
      </c>
      <c r="H20" s="58">
        <v>7</v>
      </c>
      <c r="I20" s="59">
        <f t="shared" si="0"/>
        <v>126000</v>
      </c>
    </row>
    <row r="21" spans="1:9" ht="31.9" customHeight="1" thickBot="1" x14ac:dyDescent="0.25">
      <c r="A21" s="54">
        <v>12</v>
      </c>
      <c r="B21" s="69" t="s">
        <v>113</v>
      </c>
      <c r="C21" s="69" t="s">
        <v>76</v>
      </c>
      <c r="D21" s="56" t="s">
        <v>114</v>
      </c>
      <c r="E21" s="74" t="s">
        <v>112</v>
      </c>
      <c r="F21" s="57" t="s">
        <v>66</v>
      </c>
      <c r="G21" s="57">
        <v>10</v>
      </c>
      <c r="H21" s="58">
        <v>1200</v>
      </c>
      <c r="I21" s="59">
        <f>G21*H21</f>
        <v>12000</v>
      </c>
    </row>
    <row r="22" spans="1:9" ht="31.9" customHeight="1" thickBot="1" x14ac:dyDescent="0.25">
      <c r="A22" s="54">
        <v>13</v>
      </c>
      <c r="B22" t="s">
        <v>124</v>
      </c>
      <c r="C22" s="55" t="s">
        <v>76</v>
      </c>
      <c r="D22" s="56" t="s">
        <v>106</v>
      </c>
      <c r="E22" s="74" t="s">
        <v>117</v>
      </c>
      <c r="F22" s="57" t="s">
        <v>65</v>
      </c>
      <c r="G22" s="57">
        <v>1000</v>
      </c>
      <c r="H22" s="58">
        <v>30</v>
      </c>
      <c r="I22" s="59">
        <f t="shared" ref="I22:I26" si="1">G22*H22</f>
        <v>30000</v>
      </c>
    </row>
    <row r="23" spans="1:9" ht="31.9" customHeight="1" thickBot="1" x14ac:dyDescent="0.25">
      <c r="A23" s="54">
        <v>14</v>
      </c>
      <c r="B23" s="72" t="s">
        <v>122</v>
      </c>
      <c r="C23" s="72" t="s">
        <v>123</v>
      </c>
      <c r="D23" s="56" t="s">
        <v>106</v>
      </c>
      <c r="E23" s="77" t="s">
        <v>121</v>
      </c>
      <c r="F23" s="57" t="s">
        <v>65</v>
      </c>
      <c r="G23" s="57">
        <v>3</v>
      </c>
      <c r="H23" s="58">
        <v>1000</v>
      </c>
      <c r="I23" s="59">
        <f t="shared" si="1"/>
        <v>3000</v>
      </c>
    </row>
    <row r="24" spans="1:9" ht="31.9" customHeight="1" thickBot="1" x14ac:dyDescent="0.25">
      <c r="A24" s="54">
        <v>15</v>
      </c>
      <c r="B24" s="73" t="s">
        <v>127</v>
      </c>
      <c r="C24" s="55" t="s">
        <v>76</v>
      </c>
      <c r="D24" s="56" t="s">
        <v>85</v>
      </c>
      <c r="E24" s="77" t="s">
        <v>126</v>
      </c>
      <c r="F24" s="57" t="s">
        <v>65</v>
      </c>
      <c r="G24" s="57">
        <v>5000</v>
      </c>
      <c r="H24" s="58">
        <v>8</v>
      </c>
      <c r="I24" s="59">
        <f t="shared" si="1"/>
        <v>40000</v>
      </c>
    </row>
    <row r="25" spans="1:9" ht="31.9" customHeight="1" thickBot="1" x14ac:dyDescent="0.25">
      <c r="A25" s="54">
        <v>16</v>
      </c>
      <c r="B25" s="69" t="s">
        <v>120</v>
      </c>
      <c r="C25" s="55" t="s">
        <v>76</v>
      </c>
      <c r="D25" s="56" t="s">
        <v>114</v>
      </c>
      <c r="E25" s="74" t="s">
        <v>119</v>
      </c>
      <c r="F25" s="57" t="s">
        <v>67</v>
      </c>
      <c r="G25" s="57">
        <v>70</v>
      </c>
      <c r="H25" s="58">
        <v>90</v>
      </c>
      <c r="I25" s="59">
        <f t="shared" si="1"/>
        <v>6300</v>
      </c>
    </row>
    <row r="26" spans="1:9" ht="45.75" customHeight="1" thickBot="1" x14ac:dyDescent="0.25">
      <c r="A26" s="54">
        <v>17</v>
      </c>
      <c r="B26" s="69" t="s">
        <v>132</v>
      </c>
      <c r="C26" s="92" t="s">
        <v>133</v>
      </c>
      <c r="D26" s="56" t="s">
        <v>134</v>
      </c>
      <c r="E26" s="74" t="s">
        <v>131</v>
      </c>
      <c r="F26" s="57" t="s">
        <v>66</v>
      </c>
      <c r="G26" s="57">
        <v>10</v>
      </c>
      <c r="H26" s="58">
        <v>60</v>
      </c>
      <c r="I26" s="59">
        <f t="shared" si="1"/>
        <v>600</v>
      </c>
    </row>
    <row r="29" spans="1:9" x14ac:dyDescent="0.2">
      <c r="B29" s="40" t="s">
        <v>14</v>
      </c>
      <c r="C29" s="41"/>
      <c r="D29" s="41"/>
      <c r="E29" s="42"/>
    </row>
    <row r="30" spans="1:9" ht="5.25" customHeight="1" x14ac:dyDescent="0.2">
      <c r="B30" s="43"/>
      <c r="C30" s="44"/>
      <c r="D30" s="44"/>
      <c r="E30" s="45"/>
    </row>
    <row r="31" spans="1:9" x14ac:dyDescent="0.2">
      <c r="B31" s="46" t="s">
        <v>15</v>
      </c>
      <c r="C31" s="44"/>
      <c r="D31" s="44"/>
      <c r="E31" s="45"/>
    </row>
    <row r="32" spans="1:9" ht="41.25" customHeight="1" x14ac:dyDescent="0.2">
      <c r="B32" s="46"/>
      <c r="C32" s="95" t="s">
        <v>79</v>
      </c>
      <c r="D32" s="95"/>
      <c r="E32" s="95"/>
    </row>
    <row r="33" spans="2:5" x14ac:dyDescent="0.2">
      <c r="B33" s="46" t="s">
        <v>16</v>
      </c>
      <c r="C33" s="44"/>
      <c r="D33" s="44"/>
      <c r="E33" s="45"/>
    </row>
    <row r="34" spans="2:5" x14ac:dyDescent="0.2">
      <c r="B34" s="47"/>
      <c r="C34" s="98" t="s">
        <v>70</v>
      </c>
      <c r="D34" s="98"/>
      <c r="E34" s="98"/>
    </row>
    <row r="35" spans="2:5" x14ac:dyDescent="0.2">
      <c r="B35" s="47"/>
      <c r="C35" s="99"/>
      <c r="D35" s="99"/>
      <c r="E35" s="99"/>
    </row>
    <row r="36" spans="2:5" x14ac:dyDescent="0.2">
      <c r="B36" s="46" t="s">
        <v>17</v>
      </c>
      <c r="C36" s="44"/>
      <c r="D36" s="44"/>
      <c r="E36" s="45"/>
    </row>
    <row r="37" spans="2:5" ht="26.25" customHeight="1" x14ac:dyDescent="0.2">
      <c r="B37" s="47"/>
      <c r="C37" s="94"/>
      <c r="D37" s="94"/>
      <c r="E37" s="94"/>
    </row>
    <row r="38" spans="2:5" x14ac:dyDescent="0.2">
      <c r="B38" s="46" t="s">
        <v>18</v>
      </c>
      <c r="C38" s="48"/>
      <c r="D38" s="48"/>
      <c r="E38" s="49"/>
    </row>
    <row r="39" spans="2:5" ht="26.25" customHeight="1" x14ac:dyDescent="0.2">
      <c r="B39" s="47"/>
      <c r="C39" s="96" t="s">
        <v>71</v>
      </c>
      <c r="D39" s="96"/>
      <c r="E39" s="96"/>
    </row>
    <row r="40" spans="2:5" x14ac:dyDescent="0.2">
      <c r="B40" s="46" t="s">
        <v>19</v>
      </c>
      <c r="C40" s="44"/>
      <c r="D40" s="44"/>
      <c r="E40" s="45"/>
    </row>
    <row r="41" spans="2:5" ht="23.25" customHeight="1" x14ac:dyDescent="0.2">
      <c r="B41" s="46"/>
      <c r="C41" s="93"/>
      <c r="D41" s="93"/>
      <c r="E41" s="93"/>
    </row>
    <row r="42" spans="2:5" x14ac:dyDescent="0.2">
      <c r="B42" s="50"/>
      <c r="C42" s="51"/>
      <c r="D42" s="51"/>
      <c r="E42" s="52"/>
    </row>
    <row r="44" spans="2:5" x14ac:dyDescent="0.2">
      <c r="B44" s="40" t="s">
        <v>20</v>
      </c>
      <c r="C44" s="41"/>
      <c r="D44" s="41"/>
      <c r="E44" s="42"/>
    </row>
    <row r="45" spans="2:5" ht="7.5" customHeight="1" x14ac:dyDescent="0.2">
      <c r="B45" s="43"/>
      <c r="C45" s="44"/>
      <c r="D45" s="44"/>
      <c r="E45" s="45"/>
    </row>
    <row r="46" spans="2:5" x14ac:dyDescent="0.2">
      <c r="B46" s="46" t="s">
        <v>15</v>
      </c>
      <c r="C46" s="44"/>
      <c r="D46" s="44"/>
      <c r="E46" s="45"/>
    </row>
    <row r="47" spans="2:5" ht="39" customHeight="1" x14ac:dyDescent="0.2">
      <c r="B47" s="46"/>
      <c r="C47" s="95" t="s">
        <v>78</v>
      </c>
      <c r="D47" s="95"/>
      <c r="E47" s="95"/>
    </row>
    <row r="48" spans="2:5" x14ac:dyDescent="0.2">
      <c r="B48" s="46" t="s">
        <v>16</v>
      </c>
      <c r="C48" s="44"/>
      <c r="D48" s="44"/>
      <c r="E48" s="45"/>
    </row>
    <row r="49" spans="2:5" x14ac:dyDescent="0.2">
      <c r="B49" s="47"/>
      <c r="C49" s="93"/>
      <c r="D49" s="93"/>
      <c r="E49" s="93"/>
    </row>
    <row r="50" spans="2:5" x14ac:dyDescent="0.2">
      <c r="B50" s="47"/>
      <c r="C50" s="93"/>
      <c r="D50" s="93"/>
      <c r="E50" s="93"/>
    </row>
    <row r="51" spans="2:5" x14ac:dyDescent="0.2">
      <c r="B51" s="46" t="s">
        <v>17</v>
      </c>
      <c r="C51" s="44"/>
      <c r="D51" s="44"/>
      <c r="E51" s="45"/>
    </row>
    <row r="52" spans="2:5" x14ac:dyDescent="0.2">
      <c r="B52" s="47"/>
      <c r="C52" s="94"/>
      <c r="D52" s="94"/>
      <c r="E52" s="94"/>
    </row>
    <row r="53" spans="2:5" x14ac:dyDescent="0.2">
      <c r="B53" s="46" t="s">
        <v>18</v>
      </c>
      <c r="C53" s="48"/>
      <c r="D53" s="48"/>
      <c r="E53" s="49"/>
    </row>
    <row r="54" spans="2:5" x14ac:dyDescent="0.2">
      <c r="B54" s="47"/>
      <c r="C54" s="94"/>
      <c r="D54" s="94"/>
      <c r="E54" s="94"/>
    </row>
    <row r="55" spans="2:5" x14ac:dyDescent="0.2">
      <c r="B55" s="46" t="s">
        <v>19</v>
      </c>
      <c r="C55" s="44"/>
      <c r="D55" s="44"/>
      <c r="E55" s="45"/>
    </row>
    <row r="56" spans="2:5" x14ac:dyDescent="0.2">
      <c r="B56" s="46"/>
      <c r="C56" s="93"/>
      <c r="D56" s="93"/>
      <c r="E56" s="93"/>
    </row>
    <row r="57" spans="2:5" x14ac:dyDescent="0.2">
      <c r="B57" s="50"/>
      <c r="C57" s="51"/>
      <c r="D57" s="51"/>
      <c r="E57" s="52"/>
    </row>
    <row r="58" spans="2:5" ht="13.5" thickBot="1" x14ac:dyDescent="0.25"/>
    <row r="59" spans="2:5" x14ac:dyDescent="0.2">
      <c r="B59" s="40" t="s">
        <v>83</v>
      </c>
      <c r="C59" s="41"/>
      <c r="D59" s="41"/>
      <c r="E59" s="42"/>
    </row>
    <row r="60" spans="2:5" x14ac:dyDescent="0.2">
      <c r="B60" s="43"/>
      <c r="C60" s="44"/>
      <c r="D60" s="44"/>
      <c r="E60" s="45"/>
    </row>
    <row r="61" spans="2:5" x14ac:dyDescent="0.2">
      <c r="B61" s="46" t="s">
        <v>15</v>
      </c>
      <c r="C61" s="44"/>
      <c r="D61" s="44"/>
      <c r="E61" s="45"/>
    </row>
    <row r="62" spans="2:5" x14ac:dyDescent="0.2">
      <c r="B62" s="46"/>
      <c r="C62" s="95" t="s">
        <v>84</v>
      </c>
      <c r="D62" s="95"/>
      <c r="E62" s="95"/>
    </row>
    <row r="63" spans="2:5" x14ac:dyDescent="0.2">
      <c r="B63" s="46" t="s">
        <v>16</v>
      </c>
      <c r="C63" s="44"/>
      <c r="D63" s="44"/>
      <c r="E63" s="45"/>
    </row>
    <row r="64" spans="2:5" x14ac:dyDescent="0.2">
      <c r="B64" s="47"/>
      <c r="C64" s="93"/>
      <c r="D64" s="93"/>
      <c r="E64" s="93"/>
    </row>
    <row r="65" spans="2:5" x14ac:dyDescent="0.2">
      <c r="B65" s="47"/>
      <c r="C65" s="93"/>
      <c r="D65" s="93"/>
      <c r="E65" s="93"/>
    </row>
    <row r="66" spans="2:5" x14ac:dyDescent="0.2">
      <c r="B66" s="46" t="s">
        <v>17</v>
      </c>
      <c r="C66" s="44"/>
      <c r="D66" s="44"/>
      <c r="E66" s="45"/>
    </row>
    <row r="67" spans="2:5" x14ac:dyDescent="0.2">
      <c r="B67" s="47"/>
      <c r="C67" s="94"/>
      <c r="D67" s="94"/>
      <c r="E67" s="94"/>
    </row>
    <row r="68" spans="2:5" x14ac:dyDescent="0.2">
      <c r="B68" s="46" t="s">
        <v>18</v>
      </c>
      <c r="C68" s="48"/>
      <c r="D68" s="48"/>
      <c r="E68" s="49"/>
    </row>
    <row r="69" spans="2:5" x14ac:dyDescent="0.2">
      <c r="B69" s="47"/>
      <c r="C69" s="94"/>
      <c r="D69" s="94"/>
      <c r="E69" s="94"/>
    </row>
    <row r="70" spans="2:5" x14ac:dyDescent="0.2">
      <c r="B70" s="46" t="s">
        <v>19</v>
      </c>
      <c r="C70" s="44"/>
      <c r="D70" s="44"/>
      <c r="E70" s="45"/>
    </row>
    <row r="71" spans="2:5" x14ac:dyDescent="0.2">
      <c r="B71" s="46"/>
      <c r="C71" s="93"/>
      <c r="D71" s="93"/>
      <c r="E71" s="93"/>
    </row>
    <row r="72" spans="2:5" ht="13.5" thickBot="1" x14ac:dyDescent="0.25">
      <c r="B72" s="50"/>
      <c r="C72" s="51"/>
      <c r="D72" s="51"/>
      <c r="E72" s="52"/>
    </row>
    <row r="74" spans="2:5" ht="13.5" thickBot="1" x14ac:dyDescent="0.25"/>
    <row r="75" spans="2:5" x14ac:dyDescent="0.2">
      <c r="B75" s="40" t="s">
        <v>87</v>
      </c>
      <c r="C75" s="41"/>
      <c r="D75" s="41"/>
      <c r="E75" s="42"/>
    </row>
    <row r="76" spans="2:5" x14ac:dyDescent="0.2">
      <c r="B76" s="43"/>
      <c r="C76" s="44"/>
      <c r="D76" s="44"/>
      <c r="E76" s="45"/>
    </row>
    <row r="77" spans="2:5" x14ac:dyDescent="0.2">
      <c r="B77" s="46" t="s">
        <v>15</v>
      </c>
      <c r="C77" s="44"/>
      <c r="D77" s="44"/>
      <c r="E77" s="45"/>
    </row>
    <row r="78" spans="2:5" x14ac:dyDescent="0.2">
      <c r="B78" s="46"/>
      <c r="C78" s="95" t="s">
        <v>88</v>
      </c>
      <c r="D78" s="95"/>
      <c r="E78" s="95"/>
    </row>
    <row r="79" spans="2:5" x14ac:dyDescent="0.2">
      <c r="B79" s="46" t="s">
        <v>16</v>
      </c>
      <c r="C79" s="44"/>
      <c r="D79" s="44"/>
      <c r="E79" s="45"/>
    </row>
    <row r="80" spans="2:5" x14ac:dyDescent="0.2">
      <c r="B80" s="47"/>
      <c r="C80" s="93"/>
      <c r="D80" s="93"/>
      <c r="E80" s="93"/>
    </row>
    <row r="81" spans="2:5" x14ac:dyDescent="0.2">
      <c r="B81" s="47"/>
      <c r="C81" s="93"/>
      <c r="D81" s="93"/>
      <c r="E81" s="93"/>
    </row>
    <row r="82" spans="2:5" x14ac:dyDescent="0.2">
      <c r="B82" s="46" t="s">
        <v>17</v>
      </c>
      <c r="C82" s="44"/>
      <c r="D82" s="44"/>
      <c r="E82" s="45"/>
    </row>
    <row r="83" spans="2:5" x14ac:dyDescent="0.2">
      <c r="B83" s="47"/>
      <c r="C83" s="94"/>
      <c r="D83" s="94"/>
      <c r="E83" s="94"/>
    </row>
    <row r="84" spans="2:5" x14ac:dyDescent="0.2">
      <c r="B84" s="46" t="s">
        <v>18</v>
      </c>
      <c r="C84" s="48"/>
      <c r="D84" s="48"/>
      <c r="E84" s="49"/>
    </row>
    <row r="85" spans="2:5" x14ac:dyDescent="0.2">
      <c r="B85" s="47"/>
      <c r="C85" s="94"/>
      <c r="D85" s="94"/>
      <c r="E85" s="94"/>
    </row>
    <row r="86" spans="2:5" x14ac:dyDescent="0.2">
      <c r="B86" s="46" t="s">
        <v>19</v>
      </c>
      <c r="C86" s="44"/>
      <c r="D86" s="44"/>
      <c r="E86" s="45"/>
    </row>
    <row r="87" spans="2:5" x14ac:dyDescent="0.2">
      <c r="B87" s="46"/>
      <c r="C87" s="93"/>
      <c r="D87" s="93"/>
      <c r="E87" s="93"/>
    </row>
    <row r="88" spans="2:5" ht="13.5" thickBot="1" x14ac:dyDescent="0.25">
      <c r="B88" s="50"/>
      <c r="C88" s="51"/>
      <c r="D88" s="51"/>
      <c r="E88" s="52"/>
    </row>
    <row r="89" spans="2:5" ht="13.5" thickBot="1" x14ac:dyDescent="0.25"/>
    <row r="90" spans="2:5" x14ac:dyDescent="0.2">
      <c r="B90" s="40" t="s">
        <v>91</v>
      </c>
      <c r="C90" s="41"/>
      <c r="D90" s="41"/>
      <c r="E90" s="42"/>
    </row>
    <row r="91" spans="2:5" x14ac:dyDescent="0.2">
      <c r="B91" s="43"/>
      <c r="C91" s="44"/>
      <c r="D91" s="44"/>
      <c r="E91" s="45"/>
    </row>
    <row r="92" spans="2:5" x14ac:dyDescent="0.2">
      <c r="B92" s="46" t="s">
        <v>15</v>
      </c>
      <c r="C92" s="44"/>
      <c r="D92" s="44"/>
      <c r="E92" s="45"/>
    </row>
    <row r="93" spans="2:5" x14ac:dyDescent="0.2">
      <c r="B93" s="46"/>
      <c r="C93" s="95" t="s">
        <v>92</v>
      </c>
      <c r="D93" s="95"/>
      <c r="E93" s="95"/>
    </row>
    <row r="94" spans="2:5" x14ac:dyDescent="0.2">
      <c r="B94" s="46" t="s">
        <v>16</v>
      </c>
      <c r="C94" s="44"/>
      <c r="D94" s="44"/>
      <c r="E94" s="45"/>
    </row>
    <row r="95" spans="2:5" x14ac:dyDescent="0.2">
      <c r="B95" s="47"/>
      <c r="C95" s="93"/>
      <c r="D95" s="93"/>
      <c r="E95" s="93"/>
    </row>
    <row r="96" spans="2:5" x14ac:dyDescent="0.2">
      <c r="B96" s="47"/>
      <c r="C96" s="93"/>
      <c r="D96" s="93"/>
      <c r="E96" s="93"/>
    </row>
    <row r="97" spans="2:5" x14ac:dyDescent="0.2">
      <c r="B97" s="46" t="s">
        <v>17</v>
      </c>
      <c r="C97" s="44"/>
      <c r="D97" s="44"/>
      <c r="E97" s="45"/>
    </row>
    <row r="98" spans="2:5" x14ac:dyDescent="0.2">
      <c r="B98" s="47"/>
      <c r="C98" s="94"/>
      <c r="D98" s="94"/>
      <c r="E98" s="94"/>
    </row>
    <row r="99" spans="2:5" x14ac:dyDescent="0.2">
      <c r="B99" s="46" t="s">
        <v>18</v>
      </c>
      <c r="C99" s="48"/>
      <c r="D99" s="48"/>
      <c r="E99" s="49"/>
    </row>
    <row r="100" spans="2:5" x14ac:dyDescent="0.2">
      <c r="B100" s="47"/>
      <c r="C100" s="94"/>
      <c r="D100" s="94"/>
      <c r="E100" s="94"/>
    </row>
    <row r="101" spans="2:5" x14ac:dyDescent="0.2">
      <c r="B101" s="46" t="s">
        <v>19</v>
      </c>
      <c r="C101" s="44"/>
      <c r="D101" s="44"/>
      <c r="E101" s="45"/>
    </row>
    <row r="102" spans="2:5" x14ac:dyDescent="0.2">
      <c r="B102" s="46"/>
      <c r="C102" s="93"/>
      <c r="D102" s="93"/>
      <c r="E102" s="93"/>
    </row>
    <row r="103" spans="2:5" ht="13.5" thickBot="1" x14ac:dyDescent="0.25">
      <c r="B103" s="50"/>
      <c r="C103" s="51"/>
      <c r="D103" s="51"/>
      <c r="E103" s="52"/>
    </row>
    <row r="104" spans="2:5" ht="13.5" thickBot="1" x14ac:dyDescent="0.25"/>
    <row r="105" spans="2:5" x14ac:dyDescent="0.2">
      <c r="B105" s="40" t="s">
        <v>97</v>
      </c>
      <c r="C105" s="41"/>
      <c r="D105" s="41"/>
      <c r="E105" s="42"/>
    </row>
    <row r="106" spans="2:5" x14ac:dyDescent="0.2">
      <c r="B106" s="43"/>
      <c r="C106" s="44"/>
      <c r="D106" s="44"/>
      <c r="E106" s="45"/>
    </row>
    <row r="107" spans="2:5" x14ac:dyDescent="0.2">
      <c r="B107" s="46" t="s">
        <v>15</v>
      </c>
      <c r="C107" s="44"/>
      <c r="D107" s="44"/>
      <c r="E107" s="45"/>
    </row>
    <row r="108" spans="2:5" x14ac:dyDescent="0.2">
      <c r="B108" s="46"/>
      <c r="C108" s="95" t="s">
        <v>98</v>
      </c>
      <c r="D108" s="95"/>
      <c r="E108" s="95"/>
    </row>
    <row r="109" spans="2:5" x14ac:dyDescent="0.2">
      <c r="B109" s="46" t="s">
        <v>16</v>
      </c>
      <c r="C109" s="44"/>
      <c r="D109" s="44"/>
      <c r="E109" s="45"/>
    </row>
    <row r="110" spans="2:5" x14ac:dyDescent="0.2">
      <c r="B110" s="47"/>
      <c r="C110" s="93"/>
      <c r="D110" s="93"/>
      <c r="E110" s="93"/>
    </row>
    <row r="111" spans="2:5" x14ac:dyDescent="0.2">
      <c r="B111" s="47"/>
      <c r="C111" s="93"/>
      <c r="D111" s="93"/>
      <c r="E111" s="93"/>
    </row>
    <row r="112" spans="2:5" x14ac:dyDescent="0.2">
      <c r="B112" s="46" t="s">
        <v>17</v>
      </c>
      <c r="C112" s="44"/>
      <c r="D112" s="44"/>
      <c r="E112" s="45"/>
    </row>
    <row r="113" spans="2:5" x14ac:dyDescent="0.2">
      <c r="B113" s="47"/>
      <c r="C113" s="94"/>
      <c r="D113" s="94"/>
      <c r="E113" s="94"/>
    </row>
    <row r="114" spans="2:5" x14ac:dyDescent="0.2">
      <c r="B114" s="46" t="s">
        <v>18</v>
      </c>
      <c r="C114" s="48"/>
      <c r="D114" s="48"/>
      <c r="E114" s="49"/>
    </row>
    <row r="115" spans="2:5" x14ac:dyDescent="0.2">
      <c r="B115" s="47"/>
      <c r="C115" s="94"/>
      <c r="D115" s="94"/>
      <c r="E115" s="94"/>
    </row>
    <row r="116" spans="2:5" x14ac:dyDescent="0.2">
      <c r="B116" s="46" t="s">
        <v>19</v>
      </c>
      <c r="C116" s="44"/>
      <c r="D116" s="44"/>
      <c r="E116" s="45"/>
    </row>
    <row r="117" spans="2:5" x14ac:dyDescent="0.2">
      <c r="B117" s="46"/>
      <c r="C117" s="93"/>
      <c r="D117" s="93"/>
      <c r="E117" s="93"/>
    </row>
    <row r="118" spans="2:5" ht="13.5" thickBot="1" x14ac:dyDescent="0.25">
      <c r="B118" s="50"/>
      <c r="C118" s="51"/>
      <c r="D118" s="51"/>
      <c r="E118" s="52"/>
    </row>
    <row r="119" spans="2:5" ht="13.5" thickBot="1" x14ac:dyDescent="0.25"/>
    <row r="120" spans="2:5" x14ac:dyDescent="0.2">
      <c r="B120" s="40" t="s">
        <v>99</v>
      </c>
      <c r="C120" s="41"/>
      <c r="D120" s="41"/>
      <c r="E120" s="42"/>
    </row>
    <row r="121" spans="2:5" x14ac:dyDescent="0.2">
      <c r="B121" s="43"/>
      <c r="C121" s="44"/>
      <c r="D121" s="44"/>
      <c r="E121" s="45"/>
    </row>
    <row r="122" spans="2:5" x14ac:dyDescent="0.2">
      <c r="B122" s="46" t="s">
        <v>15</v>
      </c>
      <c r="C122" s="44"/>
      <c r="D122" s="44"/>
      <c r="E122" s="45"/>
    </row>
    <row r="123" spans="2:5" x14ac:dyDescent="0.2">
      <c r="B123" s="46"/>
      <c r="C123" s="95" t="s">
        <v>100</v>
      </c>
      <c r="D123" s="95"/>
      <c r="E123" s="95"/>
    </row>
    <row r="124" spans="2:5" x14ac:dyDescent="0.2">
      <c r="B124" s="46" t="s">
        <v>16</v>
      </c>
      <c r="C124" s="44"/>
      <c r="D124" s="44"/>
      <c r="E124" s="45"/>
    </row>
    <row r="125" spans="2:5" x14ac:dyDescent="0.2">
      <c r="B125" s="47"/>
      <c r="C125" s="93"/>
      <c r="D125" s="93"/>
      <c r="E125" s="93"/>
    </row>
    <row r="126" spans="2:5" x14ac:dyDescent="0.2">
      <c r="B126" s="47"/>
      <c r="C126" s="93"/>
      <c r="D126" s="93"/>
      <c r="E126" s="93"/>
    </row>
    <row r="127" spans="2:5" x14ac:dyDescent="0.2">
      <c r="B127" s="46" t="s">
        <v>17</v>
      </c>
      <c r="C127" s="44"/>
      <c r="D127" s="44"/>
      <c r="E127" s="45"/>
    </row>
    <row r="128" spans="2:5" x14ac:dyDescent="0.2">
      <c r="B128" s="47"/>
      <c r="C128" s="94"/>
      <c r="D128" s="94"/>
      <c r="E128" s="94"/>
    </row>
    <row r="129" spans="2:5" x14ac:dyDescent="0.2">
      <c r="B129" s="46" t="s">
        <v>18</v>
      </c>
      <c r="C129" s="48"/>
      <c r="D129" s="48"/>
      <c r="E129" s="49"/>
    </row>
    <row r="130" spans="2:5" x14ac:dyDescent="0.2">
      <c r="B130" s="47"/>
      <c r="C130" s="94"/>
      <c r="D130" s="94"/>
      <c r="E130" s="94"/>
    </row>
    <row r="131" spans="2:5" x14ac:dyDescent="0.2">
      <c r="B131" s="46" t="s">
        <v>19</v>
      </c>
      <c r="C131" s="44"/>
      <c r="D131" s="44"/>
      <c r="E131" s="45"/>
    </row>
    <row r="132" spans="2:5" x14ac:dyDescent="0.2">
      <c r="B132" s="46"/>
      <c r="C132" s="93"/>
      <c r="D132" s="93"/>
      <c r="E132" s="93"/>
    </row>
    <row r="133" spans="2:5" ht="13.5" thickBot="1" x14ac:dyDescent="0.25">
      <c r="B133" s="50"/>
      <c r="C133" s="51"/>
      <c r="D133" s="51"/>
      <c r="E133" s="52"/>
    </row>
    <row r="134" spans="2:5" ht="13.5" thickBot="1" x14ac:dyDescent="0.25"/>
    <row r="135" spans="2:5" x14ac:dyDescent="0.2">
      <c r="B135" s="40" t="s">
        <v>115</v>
      </c>
      <c r="C135" s="41"/>
      <c r="D135" s="41"/>
      <c r="E135" s="42"/>
    </row>
    <row r="136" spans="2:5" x14ac:dyDescent="0.2">
      <c r="B136" s="43"/>
      <c r="C136" s="44"/>
      <c r="D136" s="44"/>
      <c r="E136" s="45"/>
    </row>
    <row r="137" spans="2:5" x14ac:dyDescent="0.2">
      <c r="B137" s="46" t="s">
        <v>15</v>
      </c>
      <c r="C137" s="44"/>
      <c r="D137" s="44"/>
      <c r="E137" s="45"/>
    </row>
    <row r="138" spans="2:5" x14ac:dyDescent="0.2">
      <c r="B138" s="46"/>
      <c r="C138" s="95" t="s">
        <v>109</v>
      </c>
      <c r="D138" s="95"/>
      <c r="E138" s="95"/>
    </row>
    <row r="139" spans="2:5" x14ac:dyDescent="0.2">
      <c r="B139" s="46" t="s">
        <v>16</v>
      </c>
      <c r="C139" s="44"/>
      <c r="D139" s="44"/>
      <c r="E139" s="45"/>
    </row>
    <row r="140" spans="2:5" x14ac:dyDescent="0.2">
      <c r="B140" s="47"/>
      <c r="C140" s="93"/>
      <c r="D140" s="93"/>
      <c r="E140" s="93"/>
    </row>
    <row r="141" spans="2:5" x14ac:dyDescent="0.2">
      <c r="B141" s="47"/>
      <c r="C141" s="93"/>
      <c r="D141" s="93"/>
      <c r="E141" s="93"/>
    </row>
    <row r="142" spans="2:5" x14ac:dyDescent="0.2">
      <c r="B142" s="46" t="s">
        <v>17</v>
      </c>
      <c r="C142" s="44"/>
      <c r="D142" s="44"/>
      <c r="E142" s="45"/>
    </row>
    <row r="143" spans="2:5" x14ac:dyDescent="0.2">
      <c r="B143" s="47"/>
      <c r="C143" s="94"/>
      <c r="D143" s="94"/>
      <c r="E143" s="94"/>
    </row>
    <row r="144" spans="2:5" x14ac:dyDescent="0.2">
      <c r="B144" s="46" t="s">
        <v>18</v>
      </c>
      <c r="C144" s="48"/>
      <c r="D144" s="48"/>
      <c r="E144" s="49"/>
    </row>
    <row r="145" spans="2:5" x14ac:dyDescent="0.2">
      <c r="B145" s="47"/>
      <c r="C145" s="94"/>
      <c r="D145" s="94"/>
      <c r="E145" s="94"/>
    </row>
    <row r="146" spans="2:5" x14ac:dyDescent="0.2">
      <c r="B146" s="46" t="s">
        <v>19</v>
      </c>
      <c r="C146" s="44"/>
      <c r="D146" s="44"/>
      <c r="E146" s="45"/>
    </row>
    <row r="147" spans="2:5" x14ac:dyDescent="0.2">
      <c r="B147" s="46"/>
      <c r="C147" s="93"/>
      <c r="D147" s="93"/>
      <c r="E147" s="93"/>
    </row>
    <row r="148" spans="2:5" ht="13.5" thickBot="1" x14ac:dyDescent="0.25">
      <c r="B148" s="50"/>
      <c r="C148" s="51"/>
      <c r="D148" s="51"/>
      <c r="E148" s="52"/>
    </row>
    <row r="149" spans="2:5" ht="13.5" thickBot="1" x14ac:dyDescent="0.25"/>
    <row r="150" spans="2:5" x14ac:dyDescent="0.2">
      <c r="B150" s="40" t="s">
        <v>116</v>
      </c>
      <c r="C150" s="41"/>
      <c r="D150" s="41"/>
      <c r="E150" s="42"/>
    </row>
    <row r="151" spans="2:5" x14ac:dyDescent="0.2">
      <c r="B151" s="43"/>
      <c r="C151" s="44"/>
      <c r="D151" s="44"/>
      <c r="E151" s="45"/>
    </row>
    <row r="152" spans="2:5" x14ac:dyDescent="0.2">
      <c r="B152" s="46" t="s">
        <v>15</v>
      </c>
      <c r="C152" s="44"/>
      <c r="D152" s="44"/>
      <c r="E152" s="45"/>
    </row>
    <row r="153" spans="2:5" x14ac:dyDescent="0.2">
      <c r="B153" s="46"/>
      <c r="C153" s="95" t="s">
        <v>111</v>
      </c>
      <c r="D153" s="95"/>
      <c r="E153" s="95"/>
    </row>
    <row r="154" spans="2:5" x14ac:dyDescent="0.2">
      <c r="B154" s="46" t="s">
        <v>16</v>
      </c>
      <c r="C154" s="44"/>
      <c r="D154" s="44"/>
      <c r="E154" s="45"/>
    </row>
    <row r="155" spans="2:5" x14ac:dyDescent="0.2">
      <c r="B155" s="47"/>
      <c r="C155" s="93"/>
      <c r="D155" s="93"/>
      <c r="E155" s="93"/>
    </row>
    <row r="156" spans="2:5" x14ac:dyDescent="0.2">
      <c r="B156" s="47"/>
      <c r="C156" s="93"/>
      <c r="D156" s="93"/>
      <c r="E156" s="93"/>
    </row>
    <row r="157" spans="2:5" x14ac:dyDescent="0.2">
      <c r="B157" s="46" t="s">
        <v>17</v>
      </c>
      <c r="C157" s="44"/>
      <c r="D157" s="44"/>
      <c r="E157" s="45"/>
    </row>
    <row r="158" spans="2:5" x14ac:dyDescent="0.2">
      <c r="B158" s="47"/>
      <c r="C158" s="94"/>
      <c r="D158" s="94"/>
      <c r="E158" s="94"/>
    </row>
    <row r="159" spans="2:5" x14ac:dyDescent="0.2">
      <c r="B159" s="46" t="s">
        <v>18</v>
      </c>
      <c r="C159" s="48"/>
      <c r="D159" s="48"/>
      <c r="E159" s="49"/>
    </row>
    <row r="160" spans="2:5" x14ac:dyDescent="0.2">
      <c r="B160" s="47"/>
      <c r="C160" s="94"/>
      <c r="D160" s="94"/>
      <c r="E160" s="94"/>
    </row>
    <row r="161" spans="2:5" x14ac:dyDescent="0.2">
      <c r="B161" s="46" t="s">
        <v>19</v>
      </c>
      <c r="C161" s="44"/>
      <c r="D161" s="44"/>
      <c r="E161" s="45"/>
    </row>
    <row r="162" spans="2:5" x14ac:dyDescent="0.2">
      <c r="B162" s="46"/>
      <c r="C162" s="93"/>
      <c r="D162" s="93"/>
      <c r="E162" s="93"/>
    </row>
    <row r="163" spans="2:5" ht="13.5" thickBot="1" x14ac:dyDescent="0.25">
      <c r="B163" s="50"/>
      <c r="C163" s="51"/>
      <c r="D163" s="51"/>
      <c r="E163" s="52"/>
    </row>
    <row r="164" spans="2:5" ht="13.5" thickBot="1" x14ac:dyDescent="0.25"/>
    <row r="165" spans="2:5" x14ac:dyDescent="0.2">
      <c r="B165" s="40" t="s">
        <v>110</v>
      </c>
      <c r="C165" s="41"/>
      <c r="D165" s="41"/>
      <c r="E165" s="42"/>
    </row>
    <row r="166" spans="2:5" x14ac:dyDescent="0.2">
      <c r="B166" s="43"/>
      <c r="C166" s="44"/>
      <c r="D166" s="44"/>
      <c r="E166" s="45"/>
    </row>
    <row r="167" spans="2:5" x14ac:dyDescent="0.2">
      <c r="B167" s="46" t="s">
        <v>15</v>
      </c>
      <c r="C167" s="44"/>
      <c r="D167" s="44"/>
      <c r="E167" s="45"/>
    </row>
    <row r="168" spans="2:5" x14ac:dyDescent="0.2">
      <c r="B168" s="46"/>
      <c r="C168" s="95" t="s">
        <v>118</v>
      </c>
      <c r="D168" s="95"/>
      <c r="E168" s="95"/>
    </row>
    <row r="169" spans="2:5" x14ac:dyDescent="0.2">
      <c r="B169" s="46" t="s">
        <v>16</v>
      </c>
      <c r="C169" s="44"/>
      <c r="D169" s="44"/>
      <c r="E169" s="45"/>
    </row>
    <row r="170" spans="2:5" x14ac:dyDescent="0.2">
      <c r="B170" s="47"/>
      <c r="C170" s="93"/>
      <c r="D170" s="93"/>
      <c r="E170" s="93"/>
    </row>
    <row r="171" spans="2:5" x14ac:dyDescent="0.2">
      <c r="B171" s="47"/>
      <c r="C171" s="93"/>
      <c r="D171" s="93"/>
      <c r="E171" s="93"/>
    </row>
    <row r="172" spans="2:5" x14ac:dyDescent="0.2">
      <c r="B172" s="46" t="s">
        <v>17</v>
      </c>
      <c r="C172" s="44"/>
      <c r="D172" s="44"/>
      <c r="E172" s="45"/>
    </row>
    <row r="173" spans="2:5" x14ac:dyDescent="0.2">
      <c r="B173" s="47"/>
      <c r="C173" s="94"/>
      <c r="D173" s="94"/>
      <c r="E173" s="94"/>
    </row>
    <row r="174" spans="2:5" x14ac:dyDescent="0.2">
      <c r="B174" s="46" t="s">
        <v>18</v>
      </c>
      <c r="C174" s="48"/>
      <c r="D174" s="48"/>
      <c r="E174" s="49"/>
    </row>
    <row r="175" spans="2:5" x14ac:dyDescent="0.2">
      <c r="B175" s="47"/>
      <c r="C175" s="94"/>
      <c r="D175" s="94"/>
      <c r="E175" s="94"/>
    </row>
    <row r="176" spans="2:5" x14ac:dyDescent="0.2">
      <c r="B176" s="46" t="s">
        <v>19</v>
      </c>
      <c r="C176" s="44"/>
      <c r="D176" s="44"/>
      <c r="E176" s="45"/>
    </row>
    <row r="177" spans="2:5" x14ac:dyDescent="0.2">
      <c r="B177" s="46"/>
      <c r="C177" s="93"/>
      <c r="D177" s="93"/>
      <c r="E177" s="93"/>
    </row>
    <row r="178" spans="2:5" ht="13.5" thickBot="1" x14ac:dyDescent="0.25">
      <c r="B178" s="50"/>
      <c r="C178" s="51"/>
      <c r="D178" s="51"/>
      <c r="E178" s="52"/>
    </row>
    <row r="179" spans="2:5" ht="13.5" thickBot="1" x14ac:dyDescent="0.25"/>
    <row r="180" spans="2:5" x14ac:dyDescent="0.2">
      <c r="B180" s="40" t="s">
        <v>125</v>
      </c>
      <c r="C180" s="41"/>
      <c r="D180" s="41"/>
      <c r="E180" s="42"/>
    </row>
    <row r="181" spans="2:5" x14ac:dyDescent="0.2">
      <c r="B181" s="43"/>
      <c r="C181" s="44"/>
      <c r="D181" s="44"/>
      <c r="E181" s="45"/>
    </row>
    <row r="182" spans="2:5" x14ac:dyDescent="0.2">
      <c r="B182" s="46" t="s">
        <v>15</v>
      </c>
      <c r="C182" s="44"/>
      <c r="D182" s="44"/>
      <c r="E182" s="45"/>
    </row>
    <row r="183" spans="2:5" x14ac:dyDescent="0.2">
      <c r="B183" s="46"/>
      <c r="C183" s="95" t="s">
        <v>69</v>
      </c>
      <c r="D183" s="95"/>
      <c r="E183" s="95"/>
    </row>
    <row r="184" spans="2:5" x14ac:dyDescent="0.2">
      <c r="B184" s="46" t="s">
        <v>16</v>
      </c>
      <c r="C184" s="44"/>
      <c r="D184" s="44"/>
      <c r="E184" s="45"/>
    </row>
    <row r="185" spans="2:5" x14ac:dyDescent="0.2">
      <c r="B185" s="47"/>
      <c r="C185" s="93"/>
      <c r="D185" s="93"/>
      <c r="E185" s="93"/>
    </row>
    <row r="186" spans="2:5" x14ac:dyDescent="0.2">
      <c r="B186" s="47"/>
      <c r="C186" s="93"/>
      <c r="D186" s="93"/>
      <c r="E186" s="93"/>
    </row>
    <row r="187" spans="2:5" x14ac:dyDescent="0.2">
      <c r="B187" s="46" t="s">
        <v>17</v>
      </c>
      <c r="C187" s="44"/>
      <c r="D187" s="44"/>
      <c r="E187" s="45"/>
    </row>
    <row r="188" spans="2:5" x14ac:dyDescent="0.2">
      <c r="B188" s="47"/>
      <c r="C188" s="94"/>
      <c r="D188" s="94"/>
      <c r="E188" s="94"/>
    </row>
    <row r="189" spans="2:5" x14ac:dyDescent="0.2">
      <c r="B189" s="46" t="s">
        <v>18</v>
      </c>
      <c r="C189" s="48"/>
      <c r="D189" s="48"/>
      <c r="E189" s="49"/>
    </row>
    <row r="190" spans="2:5" x14ac:dyDescent="0.2">
      <c r="B190" s="47"/>
      <c r="C190" s="94"/>
      <c r="D190" s="94"/>
      <c r="E190" s="94"/>
    </row>
    <row r="191" spans="2:5" x14ac:dyDescent="0.2">
      <c r="B191" s="46" t="s">
        <v>19</v>
      </c>
      <c r="C191" s="44"/>
      <c r="D191" s="44"/>
      <c r="E191" s="45"/>
    </row>
    <row r="192" spans="2:5" x14ac:dyDescent="0.2">
      <c r="B192" s="46"/>
      <c r="C192" s="93"/>
      <c r="D192" s="93"/>
      <c r="E192" s="93"/>
    </row>
    <row r="193" spans="2:5" ht="13.5" thickBot="1" x14ac:dyDescent="0.25">
      <c r="B193" s="50"/>
      <c r="C193" s="51"/>
      <c r="D193" s="51"/>
      <c r="E193" s="52"/>
    </row>
    <row r="195" spans="2:5" ht="13.5" thickBot="1" x14ac:dyDescent="0.25"/>
    <row r="196" spans="2:5" x14ac:dyDescent="0.2">
      <c r="B196" s="40" t="s">
        <v>130</v>
      </c>
      <c r="C196" s="41"/>
      <c r="D196" s="41"/>
      <c r="E196" s="42"/>
    </row>
    <row r="197" spans="2:5" x14ac:dyDescent="0.2">
      <c r="B197" s="43"/>
      <c r="C197" s="44"/>
      <c r="D197" s="44"/>
      <c r="E197" s="45"/>
    </row>
    <row r="198" spans="2:5" x14ac:dyDescent="0.2">
      <c r="B198" s="46" t="s">
        <v>15</v>
      </c>
      <c r="C198" s="44"/>
      <c r="D198" s="44"/>
      <c r="E198" s="45"/>
    </row>
    <row r="199" spans="2:5" x14ac:dyDescent="0.2">
      <c r="B199" s="46"/>
      <c r="C199" s="95" t="s">
        <v>137</v>
      </c>
      <c r="D199" s="95"/>
      <c r="E199" s="95"/>
    </row>
    <row r="200" spans="2:5" x14ac:dyDescent="0.2">
      <c r="B200" s="46" t="s">
        <v>16</v>
      </c>
      <c r="C200" s="44"/>
      <c r="D200" s="44"/>
      <c r="E200" s="45"/>
    </row>
    <row r="201" spans="2:5" x14ac:dyDescent="0.2">
      <c r="B201" s="47"/>
      <c r="C201" s="93"/>
      <c r="D201" s="93"/>
      <c r="E201" s="93"/>
    </row>
    <row r="202" spans="2:5" x14ac:dyDescent="0.2">
      <c r="B202" s="47"/>
      <c r="C202" s="93"/>
      <c r="D202" s="93"/>
      <c r="E202" s="93"/>
    </row>
    <row r="203" spans="2:5" x14ac:dyDescent="0.2">
      <c r="B203" s="46" t="s">
        <v>17</v>
      </c>
      <c r="C203" s="44"/>
      <c r="D203" s="44"/>
      <c r="E203" s="45"/>
    </row>
    <row r="204" spans="2:5" x14ac:dyDescent="0.2">
      <c r="B204" s="47"/>
      <c r="C204" s="94"/>
      <c r="D204" s="94"/>
      <c r="E204" s="94"/>
    </row>
    <row r="205" spans="2:5" x14ac:dyDescent="0.2">
      <c r="B205" s="46" t="s">
        <v>18</v>
      </c>
      <c r="C205" s="48"/>
      <c r="D205" s="48"/>
      <c r="E205" s="49"/>
    </row>
    <row r="206" spans="2:5" x14ac:dyDescent="0.2">
      <c r="B206" s="47"/>
      <c r="C206" s="94"/>
      <c r="D206" s="94"/>
      <c r="E206" s="94"/>
    </row>
    <row r="207" spans="2:5" x14ac:dyDescent="0.2">
      <c r="B207" s="46" t="s">
        <v>19</v>
      </c>
      <c r="C207" s="44"/>
      <c r="D207" s="44"/>
      <c r="E207" s="45"/>
    </row>
    <row r="208" spans="2:5" x14ac:dyDescent="0.2">
      <c r="B208" s="46"/>
      <c r="C208" s="93"/>
      <c r="D208" s="93"/>
      <c r="E208" s="93"/>
    </row>
    <row r="209" spans="2:5" ht="13.5" thickBot="1" x14ac:dyDescent="0.25">
      <c r="B209" s="50"/>
      <c r="C209" s="51"/>
      <c r="D209" s="51"/>
      <c r="E209" s="52"/>
    </row>
  </sheetData>
  <mergeCells count="79">
    <mergeCell ref="B2:H2"/>
    <mergeCell ref="A4:B4"/>
    <mergeCell ref="C4:E4"/>
    <mergeCell ref="A5:B5"/>
    <mergeCell ref="C5:E5"/>
    <mergeCell ref="A6:B6"/>
    <mergeCell ref="A7:B7"/>
    <mergeCell ref="C32:E32"/>
    <mergeCell ref="C34:E34"/>
    <mergeCell ref="C35:E35"/>
    <mergeCell ref="C50:E50"/>
    <mergeCell ref="C52:E52"/>
    <mergeCell ref="C54:E54"/>
    <mergeCell ref="C56:E56"/>
    <mergeCell ref="C37:E37"/>
    <mergeCell ref="C39:E39"/>
    <mergeCell ref="C41:E41"/>
    <mergeCell ref="C47:E47"/>
    <mergeCell ref="C49:E49"/>
    <mergeCell ref="C62:E62"/>
    <mergeCell ref="C64:E64"/>
    <mergeCell ref="C65:E65"/>
    <mergeCell ref="C67:E67"/>
    <mergeCell ref="C69:E69"/>
    <mergeCell ref="C71:E71"/>
    <mergeCell ref="C78:E78"/>
    <mergeCell ref="C80:E80"/>
    <mergeCell ref="C81:E81"/>
    <mergeCell ref="C83:E83"/>
    <mergeCell ref="C85:E85"/>
    <mergeCell ref="C87:E87"/>
    <mergeCell ref="C93:E93"/>
    <mergeCell ref="C95:E95"/>
    <mergeCell ref="C96:E96"/>
    <mergeCell ref="C98:E98"/>
    <mergeCell ref="C100:E100"/>
    <mergeCell ref="C102:E102"/>
    <mergeCell ref="C108:E108"/>
    <mergeCell ref="C110:E110"/>
    <mergeCell ref="C111:E111"/>
    <mergeCell ref="C113:E113"/>
    <mergeCell ref="C115:E115"/>
    <mergeCell ref="C117:E117"/>
    <mergeCell ref="C123:E123"/>
    <mergeCell ref="C125:E125"/>
    <mergeCell ref="C126:E126"/>
    <mergeCell ref="C128:E128"/>
    <mergeCell ref="C130:E130"/>
    <mergeCell ref="C132:E132"/>
    <mergeCell ref="C138:E138"/>
    <mergeCell ref="C140:E140"/>
    <mergeCell ref="C141:E141"/>
    <mergeCell ref="C143:E143"/>
    <mergeCell ref="C145:E145"/>
    <mergeCell ref="C147:E147"/>
    <mergeCell ref="C153:E153"/>
    <mergeCell ref="C155:E155"/>
    <mergeCell ref="C156:E156"/>
    <mergeCell ref="C158:E158"/>
    <mergeCell ref="C160:E160"/>
    <mergeCell ref="C162:E162"/>
    <mergeCell ref="C168:E168"/>
    <mergeCell ref="C170:E170"/>
    <mergeCell ref="C171:E171"/>
    <mergeCell ref="C173:E173"/>
    <mergeCell ref="C175:E175"/>
    <mergeCell ref="C177:E177"/>
    <mergeCell ref="C183:E183"/>
    <mergeCell ref="C185:E185"/>
    <mergeCell ref="C186:E186"/>
    <mergeCell ref="C188:E188"/>
    <mergeCell ref="C190:E190"/>
    <mergeCell ref="C192:E192"/>
    <mergeCell ref="C199:E199"/>
    <mergeCell ref="C201:E201"/>
    <mergeCell ref="C202:E202"/>
    <mergeCell ref="C204:E204"/>
    <mergeCell ref="C206:E206"/>
    <mergeCell ref="C208:E208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29"/>
  <sheetViews>
    <sheetView topLeftCell="A10" zoomScale="70" zoomScaleNormal="70" workbookViewId="0">
      <selection activeCell="R27" sqref="R27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10" t="s">
        <v>21</v>
      </c>
      <c r="B1" s="110"/>
      <c r="C1" s="110"/>
      <c r="D1" s="110"/>
      <c r="E1" s="110"/>
      <c r="F1" s="110"/>
      <c r="G1" s="110"/>
      <c r="H1" s="110"/>
      <c r="I1" s="110"/>
      <c r="J1" s="3" t="s">
        <v>22</v>
      </c>
      <c r="K1" s="62" t="s">
        <v>138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11" t="s">
        <v>55</v>
      </c>
      <c r="B3" s="111"/>
      <c r="C3" s="111"/>
      <c r="D3" s="112" t="str">
        <f>'Necesidades Trimestrales'!C4</f>
        <v>40 - Ministerio de Salud</v>
      </c>
      <c r="E3" s="112"/>
      <c r="F3" s="112"/>
      <c r="G3" s="112"/>
      <c r="H3" s="112"/>
      <c r="I3" s="112"/>
      <c r="J3" s="112"/>
      <c r="K3" s="112"/>
    </row>
    <row r="4" spans="1:11" ht="18.75" customHeight="1" thickBot="1" x14ac:dyDescent="0.25">
      <c r="A4" s="113" t="s">
        <v>56</v>
      </c>
      <c r="B4" s="113"/>
      <c r="C4" s="113"/>
      <c r="D4" s="112" t="str">
        <f>'Necesidades Trimestrales'!C5</f>
        <v>23 - Hospital Interzonal San Juan Bautista</v>
      </c>
      <c r="E4" s="112"/>
      <c r="F4" s="112"/>
      <c r="G4" s="112"/>
      <c r="H4" s="112"/>
      <c r="I4" s="112"/>
      <c r="J4" s="112"/>
      <c r="K4" s="112"/>
    </row>
    <row r="5" spans="1:11" ht="18.75" customHeight="1" thickBot="1" x14ac:dyDescent="0.25">
      <c r="A5" s="113" t="s">
        <v>34</v>
      </c>
      <c r="B5" s="113"/>
      <c r="C5" s="113"/>
      <c r="D5" s="112" t="s">
        <v>62</v>
      </c>
      <c r="E5" s="112"/>
      <c r="F5" s="112"/>
      <c r="G5" s="112"/>
      <c r="H5" s="112"/>
      <c r="I5" s="112"/>
      <c r="J5" s="112"/>
      <c r="K5" s="112"/>
    </row>
    <row r="6" spans="1:11" ht="16.5" customHeight="1" thickBot="1" x14ac:dyDescent="0.25">
      <c r="A6" s="111" t="s">
        <v>57</v>
      </c>
      <c r="B6" s="111"/>
      <c r="C6" s="111"/>
      <c r="D6" s="112" t="s">
        <v>68</v>
      </c>
      <c r="E6" s="112"/>
      <c r="F6" s="112"/>
      <c r="G6" s="112"/>
      <c r="H6" s="112"/>
      <c r="I6" s="112"/>
      <c r="J6" s="112"/>
      <c r="K6" s="112"/>
    </row>
    <row r="7" spans="1:11" ht="16.5" customHeight="1" x14ac:dyDescent="0.2">
      <c r="A7" s="113" t="s">
        <v>23</v>
      </c>
      <c r="B7" s="113"/>
      <c r="C7" s="113"/>
      <c r="D7" s="112" t="str">
        <f>'Necesidades Trimestrales'!C7 &amp; "° Trimestre - Año " &amp; 'Necesidades Trimestrales'!C6</f>
        <v>4° Trimestre - Año 2020</v>
      </c>
      <c r="E7" s="112"/>
      <c r="F7" s="112"/>
      <c r="G7" s="112"/>
      <c r="H7" s="112"/>
      <c r="I7" s="112"/>
      <c r="J7" s="112"/>
      <c r="K7" s="112"/>
    </row>
    <row r="8" spans="1:11" ht="16.5" customHeight="1" x14ac:dyDescent="0.2">
      <c r="A8" s="105" t="s">
        <v>24</v>
      </c>
      <c r="B8" s="105"/>
      <c r="C8" s="105"/>
      <c r="D8" s="106" t="s">
        <v>72</v>
      </c>
      <c r="E8" s="106"/>
      <c r="F8" s="106"/>
      <c r="G8" s="106"/>
      <c r="H8" s="106"/>
      <c r="I8" s="106"/>
      <c r="J8" s="106"/>
      <c r="K8" s="106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07" t="s">
        <v>25</v>
      </c>
      <c r="B10" s="108" t="s">
        <v>26</v>
      </c>
      <c r="C10" s="108" t="s">
        <v>27</v>
      </c>
      <c r="D10" s="108"/>
      <c r="E10" s="108"/>
      <c r="F10" s="108"/>
      <c r="G10" s="108"/>
      <c r="H10" s="108" t="s">
        <v>28</v>
      </c>
      <c r="I10" s="108" t="s">
        <v>29</v>
      </c>
      <c r="J10" s="108" t="s">
        <v>30</v>
      </c>
      <c r="K10" s="109" t="s">
        <v>31</v>
      </c>
    </row>
    <row r="11" spans="1:11" ht="24" customHeight="1" thickBot="1" x14ac:dyDescent="0.25">
      <c r="A11" s="107"/>
      <c r="B11" s="108"/>
      <c r="C11" s="108"/>
      <c r="D11" s="108"/>
      <c r="E11" s="108"/>
      <c r="F11" s="108"/>
      <c r="G11" s="108"/>
      <c r="H11" s="108"/>
      <c r="I11" s="108"/>
      <c r="J11" s="108"/>
      <c r="K11" s="109"/>
    </row>
    <row r="12" spans="1:11" ht="32.25" customHeight="1" thickBot="1" x14ac:dyDescent="0.25">
      <c r="A12" s="8">
        <v>1</v>
      </c>
      <c r="B12" s="63" t="str">
        <f>'Necesidades Trimestrales'!B10</f>
        <v>2.9.4-4743.16</v>
      </c>
      <c r="C12" s="102" t="str">
        <f>'Necesidades Trimestrales'!E10</f>
        <v>BANDEJA P/TRANSP. DE ALIMENTO; CAPACIDAD: 750 GR, MATERIAL: ALUMINIO, TIPO: C/TAPA, DIMENSION: 20 X 14 X 5 Cm</v>
      </c>
      <c r="D12" s="102"/>
      <c r="E12" s="102"/>
      <c r="F12" s="102"/>
      <c r="G12" s="102"/>
      <c r="H12" s="64" t="s">
        <v>59</v>
      </c>
      <c r="I12" s="65" t="str">
        <f>'Necesidades Trimestrales'!F10</f>
        <v>UNIDAD</v>
      </c>
      <c r="J12" s="66">
        <f>'Necesidades Trimestrales'!H10</f>
        <v>16.5</v>
      </c>
      <c r="K12" s="67">
        <f>'Necesidades Trimestrales'!G10</f>
        <v>18000</v>
      </c>
    </row>
    <row r="13" spans="1:11" ht="27" customHeight="1" thickBot="1" x14ac:dyDescent="0.25">
      <c r="A13" s="8">
        <v>2</v>
      </c>
      <c r="B13" s="63" t="str">
        <f>'Necesidades Trimestrales'!B11</f>
        <v>2.9.4-4743.24</v>
      </c>
      <c r="C13" s="102" t="str">
        <f>'Necesidades Trimestrales'!E11</f>
        <v>BANDEJA P/TRANSP. DE ALIMENTO; DIMENSION: 18 X 14 X 4 Cm, TIPO: C/TAPA, MATERIAL: ALUMINIO APTO MICROONDAS, CAPACIDAD: 750 CM3</v>
      </c>
      <c r="D13" s="102"/>
      <c r="E13" s="102"/>
      <c r="F13" s="102"/>
      <c r="G13" s="102"/>
      <c r="H13" s="64" t="s">
        <v>59</v>
      </c>
      <c r="I13" s="65" t="str">
        <f>'Necesidades Trimestrales'!F11</f>
        <v>UNIDAD</v>
      </c>
      <c r="J13" s="66">
        <f>'Necesidades Trimestrales'!H11</f>
        <v>14</v>
      </c>
      <c r="K13" s="67">
        <f>'Necesidades Trimestrales'!G11</f>
        <v>5000</v>
      </c>
    </row>
    <row r="14" spans="1:11" ht="20.25" customHeight="1" thickBot="1" x14ac:dyDescent="0.25">
      <c r="A14" s="8">
        <v>3</v>
      </c>
      <c r="B14" s="63" t="str">
        <f>'Necesidades Trimestrales'!B12</f>
        <v>2.9.4-6970.3</v>
      </c>
      <c r="C14" s="102" t="str">
        <f>'Necesidades Trimestrales'!E12</f>
        <v>COMPOTERAS; MATERIAL: POLICARBONATO, CAPACIDAD: 250 mL</v>
      </c>
      <c r="D14" s="102"/>
      <c r="E14" s="102"/>
      <c r="F14" s="102"/>
      <c r="G14" s="102"/>
      <c r="H14" s="64" t="s">
        <v>59</v>
      </c>
      <c r="I14" s="65" t="str">
        <f>'Necesidades Trimestrales'!F12</f>
        <v>UNIDAD</v>
      </c>
      <c r="J14" s="66">
        <f>'Necesidades Trimestrales'!H12</f>
        <v>15</v>
      </c>
      <c r="K14" s="67">
        <f>'Necesidades Trimestrales'!G12</f>
        <v>18000</v>
      </c>
    </row>
    <row r="15" spans="1:11" ht="20.25" customHeight="1" thickBot="1" x14ac:dyDescent="0.25">
      <c r="A15" s="8">
        <v>4</v>
      </c>
      <c r="B15" s="63" t="str">
        <f>'Necesidades Trimestrales'!B13</f>
        <v>2.9.4-690.15</v>
      </c>
      <c r="C15" s="102" t="str">
        <f>'Necesidades Trimestrales'!E13</f>
        <v>CUCHARAS; TIPO: DE MESA, MATERIAL: PLASTICO</v>
      </c>
      <c r="D15" s="102"/>
      <c r="E15" s="102"/>
      <c r="F15" s="102"/>
      <c r="G15" s="102"/>
      <c r="H15" s="64" t="s">
        <v>59</v>
      </c>
      <c r="I15" s="65" t="str">
        <f>'Necesidades Trimestrales'!F13</f>
        <v>UNIDAD</v>
      </c>
      <c r="J15" s="66">
        <f>'Necesidades Trimestrales'!H13</f>
        <v>2.5</v>
      </c>
      <c r="K15" s="67">
        <f>'Necesidades Trimestrales'!G13</f>
        <v>12000</v>
      </c>
    </row>
    <row r="16" spans="1:11" ht="20.25" customHeight="1" thickBot="1" x14ac:dyDescent="0.25">
      <c r="A16" s="8">
        <v>5</v>
      </c>
      <c r="B16" s="63" t="str">
        <f>'Necesidades Trimestrales'!B14</f>
        <v>2.9.4-690.16</v>
      </c>
      <c r="C16" s="102" t="str">
        <f>'Necesidades Trimestrales'!E14</f>
        <v>CUCHARAS; TIPO: TE, MATERIAL: PLASTICO</v>
      </c>
      <c r="D16" s="102"/>
      <c r="E16" s="102"/>
      <c r="F16" s="102"/>
      <c r="G16" s="102"/>
      <c r="H16" s="64" t="s">
        <v>59</v>
      </c>
      <c r="I16" s="65" t="str">
        <f>'Necesidades Trimestrales'!F14</f>
        <v>UNIDAD</v>
      </c>
      <c r="J16" s="66">
        <f>'Necesidades Trimestrales'!H14</f>
        <v>1</v>
      </c>
      <c r="K16" s="67">
        <f>'Necesidades Trimestrales'!G14</f>
        <v>12000</v>
      </c>
    </row>
    <row r="17" spans="1:1024" ht="20.25" customHeight="1" thickBot="1" x14ac:dyDescent="0.25">
      <c r="A17" s="8">
        <v>6</v>
      </c>
      <c r="B17" s="63" t="str">
        <f>'Necesidades Trimestrales'!B15</f>
        <v>2.9.4-689.15</v>
      </c>
      <c r="C17" s="102" t="str">
        <f>'Necesidades Trimestrales'!E15</f>
        <v>CUCHILLOS; TIPO: DE MESA, MATERIAL: PLASTICO</v>
      </c>
      <c r="D17" s="102"/>
      <c r="E17" s="102"/>
      <c r="F17" s="102"/>
      <c r="G17" s="102"/>
      <c r="H17" s="64" t="s">
        <v>59</v>
      </c>
      <c r="I17" s="65" t="str">
        <f>'Necesidades Trimestrales'!F15</f>
        <v>UNIDAD</v>
      </c>
      <c r="J17" s="66">
        <f>'Necesidades Trimestrales'!H15</f>
        <v>1.7</v>
      </c>
      <c r="K17" s="67">
        <f>'Necesidades Trimestrales'!G15</f>
        <v>12000</v>
      </c>
    </row>
    <row r="18" spans="1:1024" ht="20.25" customHeight="1" thickBot="1" x14ac:dyDescent="0.25">
      <c r="A18" s="8">
        <v>7</v>
      </c>
      <c r="B18" s="63" t="str">
        <f>'Necesidades Trimestrales'!B16</f>
        <v>2.9.4-692.10</v>
      </c>
      <c r="C18" s="102" t="str">
        <f>'Necesidades Trimestrales'!E16</f>
        <v>TENEDORES; TIPO: DE MESA, MATERIAL: PLASTICO</v>
      </c>
      <c r="D18" s="102"/>
      <c r="E18" s="102"/>
      <c r="F18" s="102"/>
      <c r="G18" s="102"/>
      <c r="H18" s="64" t="s">
        <v>59</v>
      </c>
      <c r="I18" s="65" t="str">
        <f>'Necesidades Trimestrales'!F16</f>
        <v>UNIDAD</v>
      </c>
      <c r="J18" s="66">
        <f>'Necesidades Trimestrales'!H16</f>
        <v>1.7</v>
      </c>
      <c r="K18" s="67">
        <f>'Necesidades Trimestrales'!G16</f>
        <v>12000</v>
      </c>
    </row>
    <row r="19" spans="1:1024" ht="20.25" customHeight="1" thickBot="1" x14ac:dyDescent="0.25">
      <c r="A19" s="8">
        <v>8</v>
      </c>
      <c r="B19" s="63" t="str">
        <f>'Necesidades Trimestrales'!B17</f>
        <v>2.9.4-1015.34</v>
      </c>
      <c r="C19" s="102" t="str">
        <f>'Necesidades Trimestrales'!E17</f>
        <v>BANDEJAS DE MESA; MATERIAL: PLASTICO, DIMENSION: 18,5 X 15 X 5,5 Cm, FORMA: RECTANGULAR</v>
      </c>
      <c r="D19" s="102"/>
      <c r="E19" s="102"/>
      <c r="F19" s="102"/>
      <c r="G19" s="102"/>
      <c r="H19" s="64" t="s">
        <v>59</v>
      </c>
      <c r="I19" s="65" t="str">
        <f>'Necesidades Trimestrales'!F17</f>
        <v>UNIDAD</v>
      </c>
      <c r="J19" s="66">
        <f>'Necesidades Trimestrales'!H17</f>
        <v>6</v>
      </c>
      <c r="K19" s="67">
        <f>'Necesidades Trimestrales'!G17</f>
        <v>1500</v>
      </c>
    </row>
    <row r="20" spans="1:1024" ht="20.25" customHeight="1" thickBot="1" x14ac:dyDescent="0.25">
      <c r="A20" s="8">
        <v>9</v>
      </c>
      <c r="B20" s="63" t="str">
        <f>'Necesidades Trimestrales'!B18</f>
        <v>2.5.8-3977.40</v>
      </c>
      <c r="C20" s="102" t="str">
        <f>'Necesidades Trimestrales'!E18</f>
        <v>BOLSAS DE POLIETILENO; TAMAÑO: 15 X 25 Cm, ESPESOR: 17 Mn, PRESENTACION: ROLLO X 200 UN</v>
      </c>
      <c r="D20" s="102"/>
      <c r="E20" s="102"/>
      <c r="F20" s="102"/>
      <c r="G20" s="102"/>
      <c r="H20" s="64" t="s">
        <v>59</v>
      </c>
      <c r="I20" s="65" t="str">
        <f>'Necesidades Trimestrales'!F18</f>
        <v>UNIDAD</v>
      </c>
      <c r="J20" s="66">
        <f>'Necesidades Trimestrales'!H18</f>
        <v>300</v>
      </c>
      <c r="K20" s="67">
        <f>'Necesidades Trimestrales'!G18</f>
        <v>50</v>
      </c>
    </row>
    <row r="21" spans="1:1024" ht="20.25" customHeight="1" thickBot="1" x14ac:dyDescent="0.25">
      <c r="A21" s="8">
        <v>10</v>
      </c>
      <c r="B21" s="63" t="str">
        <f>'Necesidades Trimestrales'!B19</f>
        <v>2.9.4-1184.49</v>
      </c>
      <c r="C21" s="102" t="str">
        <f>'Necesidades Trimestrales'!E19</f>
        <v>VASOS; MATERIAL: POLIESTIRENO, TIPO: TERMICO, CAPACIDAD: 240 mL</v>
      </c>
      <c r="D21" s="102"/>
      <c r="E21" s="102"/>
      <c r="F21" s="102"/>
      <c r="G21" s="102"/>
      <c r="H21" s="64" t="s">
        <v>59</v>
      </c>
      <c r="I21" s="65" t="str">
        <f>'Necesidades Trimestrales'!F19</f>
        <v>UNIDAD</v>
      </c>
      <c r="J21" s="66">
        <f>'Necesidades Trimestrales'!H19</f>
        <v>5</v>
      </c>
      <c r="K21" s="67">
        <f>'Necesidades Trimestrales'!G19</f>
        <v>18000</v>
      </c>
    </row>
    <row r="22" spans="1:1024" ht="33" customHeight="1" thickBot="1" x14ac:dyDescent="0.25">
      <c r="A22" s="8">
        <v>11</v>
      </c>
      <c r="B22" s="63" t="str">
        <f>'Necesidades Trimestrales'!B20</f>
        <v>2.9.4-588.70</v>
      </c>
      <c r="C22" s="102" t="str">
        <f>'Necesidades Trimestrales'!E20</f>
        <v>VASOS PLASTICOS DESCARTABLES; MATERIAL: POLIESTIRENO, MOTIVO: LISO, CAPACIDAD: 240 CM3, PRESENTACION: ENVASE X 1000 UN, TIPO: APTO MICROONDAS</v>
      </c>
      <c r="D22" s="102"/>
      <c r="E22" s="102"/>
      <c r="F22" s="102"/>
      <c r="G22" s="102"/>
      <c r="H22" s="64" t="s">
        <v>59</v>
      </c>
      <c r="I22" s="65" t="str">
        <f>'Necesidades Trimestrales'!F20</f>
        <v>UNIDAD</v>
      </c>
      <c r="J22" s="66">
        <f>'Necesidades Trimestrales'!H20</f>
        <v>7</v>
      </c>
      <c r="K22" s="67">
        <f>'Necesidades Trimestrales'!G20</f>
        <v>18000</v>
      </c>
    </row>
    <row r="23" spans="1:1024" ht="30.75" customHeight="1" thickBot="1" x14ac:dyDescent="0.25">
      <c r="A23" s="8">
        <v>12</v>
      </c>
      <c r="B23" s="63" t="str">
        <f>'Necesidades Trimestrales'!B21</f>
        <v>2.3.4-938.75</v>
      </c>
      <c r="C23" s="102" t="str">
        <f>'Necesidades Trimestrales'!E21</f>
        <v>SERVILLETAS DE PAPEL; TIPO: LISAS, MOTIVO: SIN, DIMENSION: 33 X 33 Cm, PRESENTACION: ENVASE X 2000 UN</v>
      </c>
      <c r="D23" s="102"/>
      <c r="E23" s="102"/>
      <c r="F23" s="102"/>
      <c r="G23" s="102"/>
      <c r="H23" s="64" t="s">
        <v>59</v>
      </c>
      <c r="I23" s="65" t="str">
        <f>'Necesidades Trimestrales'!F21</f>
        <v>CAJAS</v>
      </c>
      <c r="J23" s="66">
        <f>'Necesidades Trimestrales'!H21</f>
        <v>1200</v>
      </c>
      <c r="K23" s="67">
        <f>'Necesidades Trimestrales'!G21</f>
        <v>10</v>
      </c>
    </row>
    <row r="24" spans="1:1024" ht="27" customHeight="1" thickBot="1" x14ac:dyDescent="0.25">
      <c r="A24" s="8">
        <v>13</v>
      </c>
      <c r="B24" s="63" t="str">
        <f>'Necesidades Trimestrales'!B22</f>
        <v>2.5.8-1055.37</v>
      </c>
      <c r="C24" s="102" t="str">
        <f>'Necesidades Trimestrales'!E22</f>
        <v>BANDEJAS DE PLASTICO; MATERIAL: PLASTICO, LARGO X ANCHO: 233 X 170 mm, FORMA: OVAL, PRESENTACION: CAJA X 600</v>
      </c>
      <c r="D24" s="102"/>
      <c r="E24" s="102"/>
      <c r="F24" s="102"/>
      <c r="G24" s="102"/>
      <c r="H24" s="64" t="s">
        <v>59</v>
      </c>
      <c r="I24" s="65" t="str">
        <f>'Necesidades Trimestrales'!F22</f>
        <v>UNIDAD</v>
      </c>
      <c r="J24" s="66">
        <f>'Necesidades Trimestrales'!H22</f>
        <v>30</v>
      </c>
      <c r="K24" s="67">
        <f>'Necesidades Trimestrales'!G22</f>
        <v>1000</v>
      </c>
    </row>
    <row r="25" spans="1:1024" ht="30.75" customHeight="1" thickBot="1" x14ac:dyDescent="0.25">
      <c r="A25" s="8">
        <v>14</v>
      </c>
      <c r="B25" s="63" t="str">
        <f>'Necesidades Trimestrales'!B23</f>
        <v>2.5.8-5590.59</v>
      </c>
      <c r="C25" s="102" t="str">
        <f>'Necesidades Trimestrales'!E23</f>
        <v>FILMS DE POLIETILENO; ESPESOR: 10 Mn, ANCHO: 45 Cm, PRESENTACION: ROLLO X 900 M, USO: ALIMENTARIO</v>
      </c>
      <c r="D25" s="102"/>
      <c r="E25" s="102"/>
      <c r="F25" s="102"/>
      <c r="G25" s="102"/>
      <c r="H25" s="64" t="s">
        <v>59</v>
      </c>
      <c r="I25" s="65" t="str">
        <f>'Necesidades Trimestrales'!F23</f>
        <v>UNIDAD</v>
      </c>
      <c r="J25" s="66">
        <f>'Necesidades Trimestrales'!H23</f>
        <v>1000</v>
      </c>
      <c r="K25" s="67">
        <f>'Necesidades Trimestrales'!G23</f>
        <v>3</v>
      </c>
    </row>
    <row r="26" spans="1:1024" ht="20.25" customHeight="1" thickBot="1" x14ac:dyDescent="0.25">
      <c r="A26" s="8">
        <v>15</v>
      </c>
      <c r="B26" s="63" t="str">
        <f>'Necesidades Trimestrales'!B24</f>
        <v>2.9.4-1184.42</v>
      </c>
      <c r="C26" s="102" t="str">
        <f>'Necesidades Trimestrales'!E24</f>
        <v>VASOS; MATERIAL: POLIESTIRENO EXPANDIDO, TIPO: DESCARTABLE, CAPACIDAD: 180 CM3</v>
      </c>
      <c r="D26" s="102"/>
      <c r="E26" s="102"/>
      <c r="F26" s="102"/>
      <c r="G26" s="102"/>
      <c r="H26" s="64" t="s">
        <v>59</v>
      </c>
      <c r="I26" s="65" t="str">
        <f>'Necesidades Trimestrales'!F24</f>
        <v>UNIDAD</v>
      </c>
      <c r="J26" s="66">
        <f>'Necesidades Trimestrales'!H24</f>
        <v>8</v>
      </c>
      <c r="K26" s="67">
        <f>'Necesidades Trimestrales'!G24</f>
        <v>5000</v>
      </c>
    </row>
    <row r="27" spans="1:1024" ht="30" customHeight="1" thickBot="1" x14ac:dyDescent="0.25">
      <c r="A27" s="8">
        <v>16</v>
      </c>
      <c r="B27" s="63" t="str">
        <f>'Necesidades Trimestrales'!B25</f>
        <v>2.3.4-938.59</v>
      </c>
      <c r="C27" s="102" t="str">
        <f>'Necesidades Trimestrales'!E25</f>
        <v>SERVILLETAS DE PAPEL; TIPO: ROLLO, MOTIVO: SIN, DIMENSION: 25 X 10 Cm, PRESENTACION: ENVASE X 3 UN</v>
      </c>
      <c r="D27" s="102"/>
      <c r="E27" s="102"/>
      <c r="F27" s="102"/>
      <c r="G27" s="102"/>
      <c r="H27" s="64" t="s">
        <v>59</v>
      </c>
      <c r="I27" s="65" t="str">
        <f>'Necesidades Trimestrales'!F25</f>
        <v>PACK</v>
      </c>
      <c r="J27" s="66">
        <f>'Necesidades Trimestrales'!H25</f>
        <v>90</v>
      </c>
      <c r="K27" s="67">
        <f>'Necesidades Trimestrales'!G25</f>
        <v>70</v>
      </c>
    </row>
    <row r="28" spans="1:1024" ht="39.75" customHeight="1" thickBot="1" x14ac:dyDescent="0.25">
      <c r="A28" s="8">
        <v>17</v>
      </c>
      <c r="B28" s="63" t="str">
        <f>'Necesidades Trimestrales'!B26</f>
        <v>2.9.5-1909.206</v>
      </c>
      <c r="C28" s="102" t="str">
        <f>'Necesidades Trimestrales'!E26</f>
        <v>GUANTES USO MEDICINAL; TIPO: DESCARTABLE, TAMAÑO: UNICO, MATERIAL: POLIETILENO, PRESENTACION: ENVASE X 100 UN, ESTERIL: SI, TALCO: NO, DESCARTABLE: SI</v>
      </c>
      <c r="D28" s="102"/>
      <c r="E28" s="102"/>
      <c r="F28" s="102"/>
      <c r="G28" s="102"/>
      <c r="H28" s="64" t="s">
        <v>59</v>
      </c>
      <c r="I28" s="65" t="str">
        <f>'Necesidades Trimestrales'!F26</f>
        <v>CAJAS</v>
      </c>
      <c r="J28" s="66">
        <f>'Necesidades Trimestrales'!H26</f>
        <v>60</v>
      </c>
      <c r="K28" s="67">
        <f>'Necesidades Trimestrales'!G26</f>
        <v>10</v>
      </c>
    </row>
    <row r="29" spans="1:1024" ht="20.25" customHeight="1" thickBot="1" x14ac:dyDescent="0.25">
      <c r="A29" s="103" t="s">
        <v>58</v>
      </c>
      <c r="B29" s="103"/>
      <c r="C29" s="103"/>
      <c r="D29" s="103"/>
      <c r="E29" s="103"/>
      <c r="F29" s="103"/>
      <c r="G29" s="103"/>
      <c r="H29" s="103"/>
      <c r="I29" s="103"/>
      <c r="J29" s="104">
        <f>SUMPRODUCT(J12:J28,K12:K28)</f>
        <v>1051700</v>
      </c>
      <c r="K29" s="104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  <c r="ACF29"/>
      <c r="ACG29"/>
      <c r="ACH29"/>
      <c r="ACI29"/>
      <c r="ACJ29"/>
      <c r="ACK29"/>
      <c r="ACL29"/>
      <c r="ACM29"/>
      <c r="ACN29"/>
      <c r="ACO29"/>
      <c r="ACP29"/>
      <c r="ACQ29"/>
      <c r="ACR29"/>
      <c r="ACS29"/>
      <c r="ACT29"/>
      <c r="ACU29"/>
      <c r="ACV29"/>
      <c r="ACW29"/>
      <c r="ACX29"/>
      <c r="ACY29"/>
      <c r="ACZ29"/>
      <c r="ADA29"/>
      <c r="ADB29"/>
      <c r="ADC29"/>
      <c r="ADD29"/>
      <c r="ADE29"/>
      <c r="ADF29"/>
      <c r="ADG29"/>
      <c r="ADH29"/>
      <c r="ADI29"/>
      <c r="ADJ29"/>
      <c r="ADK29"/>
      <c r="ADL29"/>
      <c r="ADM29"/>
      <c r="ADN29"/>
      <c r="ADO29"/>
      <c r="ADP29"/>
      <c r="ADQ29"/>
      <c r="ADR29"/>
      <c r="ADS29"/>
      <c r="ADT29"/>
      <c r="ADU29"/>
      <c r="ADV29"/>
      <c r="ADW29"/>
      <c r="ADX29"/>
      <c r="ADY29"/>
      <c r="ADZ29"/>
      <c r="AEA29"/>
      <c r="AEB29"/>
      <c r="AEC29"/>
      <c r="AED29"/>
      <c r="AEE29"/>
      <c r="AEF29"/>
      <c r="AEG29"/>
      <c r="AEH29"/>
      <c r="AEI29"/>
      <c r="AEJ29"/>
      <c r="AEK29"/>
      <c r="AEL29"/>
      <c r="AEM29"/>
      <c r="AEN29"/>
      <c r="AEO29"/>
      <c r="AEP29"/>
      <c r="AEQ29"/>
      <c r="AER29"/>
      <c r="AES29"/>
      <c r="AET29"/>
      <c r="AEU29"/>
      <c r="AEV29"/>
      <c r="AEW29"/>
      <c r="AEX29"/>
      <c r="AEY29"/>
      <c r="AEZ29"/>
      <c r="AFA29"/>
      <c r="AFB29"/>
      <c r="AFC29"/>
      <c r="AFD29"/>
      <c r="AFE29"/>
      <c r="AFF29"/>
      <c r="AFG29"/>
      <c r="AFH29"/>
      <c r="AFI29"/>
      <c r="AFJ29"/>
      <c r="AFK29"/>
      <c r="AFL29"/>
      <c r="AFM29"/>
      <c r="AFN29"/>
      <c r="AFO29"/>
      <c r="AFP29"/>
      <c r="AFQ29"/>
      <c r="AFR29"/>
      <c r="AFS29"/>
      <c r="AFT29"/>
      <c r="AFU29"/>
      <c r="AFV29"/>
      <c r="AFW29"/>
      <c r="AFX29"/>
      <c r="AFY29"/>
      <c r="AFZ29"/>
      <c r="AGA29"/>
      <c r="AGB29"/>
      <c r="AGC29"/>
      <c r="AGD29"/>
      <c r="AGE29"/>
      <c r="AGF29"/>
      <c r="AGG29"/>
      <c r="AGH29"/>
      <c r="AGI29"/>
      <c r="AGJ29"/>
      <c r="AGK29"/>
      <c r="AGL29"/>
      <c r="AGM29"/>
      <c r="AGN29"/>
      <c r="AGO29"/>
      <c r="AGP29"/>
      <c r="AGQ29"/>
      <c r="AGR29"/>
      <c r="AGS29"/>
      <c r="AGT29"/>
      <c r="AGU29"/>
      <c r="AGV29"/>
      <c r="AGW29"/>
      <c r="AGX29"/>
      <c r="AGY29"/>
      <c r="AGZ29"/>
      <c r="AHA29"/>
      <c r="AHB29"/>
      <c r="AHC29"/>
      <c r="AHD29"/>
      <c r="AHE29"/>
      <c r="AHF29"/>
      <c r="AHG29"/>
      <c r="AHH29"/>
      <c r="AHI29"/>
      <c r="AHJ29"/>
      <c r="AHK29"/>
      <c r="AHL29"/>
      <c r="AHM29"/>
      <c r="AHN29"/>
      <c r="AHO29"/>
      <c r="AHP29"/>
      <c r="AHQ29"/>
      <c r="AHR29"/>
      <c r="AHS29"/>
      <c r="AHT29"/>
      <c r="AHU29"/>
      <c r="AHV29"/>
      <c r="AHW29"/>
      <c r="AHX29"/>
      <c r="AHY29"/>
      <c r="AHZ29"/>
      <c r="AIA29"/>
      <c r="AIB29"/>
      <c r="AIC29"/>
      <c r="AID29"/>
      <c r="AIE29"/>
      <c r="AIF29"/>
      <c r="AIG29"/>
      <c r="AIH29"/>
      <c r="AII29"/>
      <c r="AIJ29"/>
      <c r="AIK29"/>
      <c r="AIL29"/>
      <c r="AIM29"/>
      <c r="AIN29"/>
      <c r="AIO29"/>
      <c r="AIP29"/>
      <c r="AIQ29"/>
      <c r="AIR29"/>
      <c r="AIS29"/>
      <c r="AIT29"/>
      <c r="AIU29"/>
      <c r="AIV29"/>
      <c r="AIW29"/>
      <c r="AIX29"/>
      <c r="AIY29"/>
      <c r="AIZ29"/>
      <c r="AJA29"/>
      <c r="AJB29"/>
      <c r="AJC29"/>
      <c r="AJD29"/>
      <c r="AJE29"/>
      <c r="AJF29"/>
      <c r="AJG29"/>
      <c r="AJH29"/>
      <c r="AJI29"/>
      <c r="AJJ29"/>
      <c r="AJK29"/>
      <c r="AJL29"/>
      <c r="AJM29"/>
      <c r="AJN29"/>
      <c r="AJO29"/>
      <c r="AJP29"/>
      <c r="AJQ29"/>
      <c r="AJR29"/>
      <c r="AJS29"/>
      <c r="AJT29"/>
      <c r="AJU29"/>
      <c r="AJV29"/>
      <c r="AJW29"/>
      <c r="AJX29"/>
      <c r="AJY29"/>
      <c r="AJZ29"/>
      <c r="AKA29"/>
      <c r="AKB29"/>
      <c r="AKC29"/>
      <c r="AKD29"/>
      <c r="AKE29"/>
      <c r="AKF29"/>
      <c r="AKG29"/>
      <c r="AKH29"/>
      <c r="AKI29"/>
      <c r="AKJ29"/>
      <c r="AKK29"/>
      <c r="AKL29"/>
      <c r="AKM29"/>
      <c r="AKN29"/>
      <c r="AKO29"/>
      <c r="AKP29"/>
      <c r="AKQ29"/>
      <c r="AKR29"/>
      <c r="AKS29"/>
      <c r="AKT29"/>
      <c r="AKU29"/>
      <c r="AKV29"/>
      <c r="AKW29"/>
      <c r="AKX29"/>
      <c r="AKY29"/>
      <c r="AKZ29"/>
      <c r="ALA29"/>
      <c r="ALB29"/>
      <c r="ALC29"/>
      <c r="ALD29"/>
      <c r="ALE29"/>
      <c r="ALF29"/>
      <c r="ALG29"/>
      <c r="ALH29"/>
      <c r="ALI29"/>
      <c r="ALJ29"/>
      <c r="ALK29"/>
      <c r="ALL29"/>
      <c r="ALM29"/>
      <c r="ALN29"/>
      <c r="ALO29"/>
      <c r="ALP29"/>
      <c r="ALQ29"/>
      <c r="ALR29"/>
      <c r="ALS29"/>
      <c r="ALT29"/>
      <c r="ALU29"/>
      <c r="ALV29"/>
      <c r="ALW29"/>
      <c r="ALX29"/>
      <c r="ALY29"/>
      <c r="ALZ29"/>
      <c r="AMA29"/>
      <c r="AMB29"/>
      <c r="AMC29"/>
      <c r="AMD29"/>
      <c r="AME29"/>
      <c r="AMF29"/>
      <c r="AMG29"/>
      <c r="AMH29"/>
      <c r="AMI29"/>
      <c r="AMJ29"/>
    </row>
  </sheetData>
  <mergeCells count="39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24:G24"/>
    <mergeCell ref="C25:G25"/>
    <mergeCell ref="C26:G26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27:G27"/>
    <mergeCell ref="C28:G28"/>
    <mergeCell ref="A29:I29"/>
    <mergeCell ref="J29:K29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7"/>
  <sheetViews>
    <sheetView tabSelected="1" topLeftCell="A2" zoomScale="120" zoomScaleNormal="120" workbookViewId="0">
      <selection activeCell="Q23" sqref="Q23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38" t="s">
        <v>3</v>
      </c>
      <c r="B1" s="138"/>
      <c r="C1" s="138"/>
      <c r="D1" s="139">
        <f>'Necesidades Trimestrales'!C6</f>
        <v>2020</v>
      </c>
      <c r="E1" s="139"/>
      <c r="F1" s="10"/>
      <c r="G1" s="10"/>
      <c r="H1" s="11"/>
      <c r="I1" s="11"/>
      <c r="J1" s="11"/>
      <c r="K1" s="11"/>
      <c r="L1" s="11"/>
      <c r="M1" s="11"/>
      <c r="N1" s="11"/>
      <c r="P1" s="140" t="s">
        <v>32</v>
      </c>
      <c r="Q1" s="140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40"/>
      <c r="Q2" s="140"/>
    </row>
    <row r="4" spans="1:17" s="12" customFormat="1" ht="18" customHeight="1" thickBot="1" x14ac:dyDescent="0.25">
      <c r="A4" s="141" t="s">
        <v>33</v>
      </c>
      <c r="B4" s="141"/>
      <c r="C4" s="141"/>
      <c r="D4" s="141"/>
      <c r="E4" s="141"/>
      <c r="F4" s="141"/>
      <c r="G4" s="136" t="str">
        <f>NotaPedido!D3</f>
        <v>40 - Ministerio de Salud</v>
      </c>
      <c r="H4" s="136"/>
      <c r="I4" s="136"/>
      <c r="J4" s="136"/>
      <c r="K4" s="136"/>
      <c r="L4" s="136"/>
      <c r="M4" s="136"/>
      <c r="N4" s="136"/>
      <c r="O4" s="136"/>
      <c r="P4" s="136"/>
      <c r="Q4" s="136"/>
    </row>
    <row r="5" spans="1:17" s="12" customFormat="1" ht="18" customHeight="1" thickBot="1" x14ac:dyDescent="0.25">
      <c r="A5" s="133" t="s">
        <v>56</v>
      </c>
      <c r="B5" s="134"/>
      <c r="C5" s="134"/>
      <c r="D5" s="134"/>
      <c r="E5" s="134"/>
      <c r="F5" s="135"/>
      <c r="G5" s="136" t="str">
        <f>NotaPedido!D4</f>
        <v>23 - Hospital Interzonal San Juan Bautista</v>
      </c>
      <c r="H5" s="136"/>
      <c r="I5" s="136"/>
      <c r="J5" s="136"/>
      <c r="K5" s="136"/>
      <c r="L5" s="136"/>
      <c r="M5" s="136"/>
      <c r="N5" s="136"/>
      <c r="O5" s="136"/>
      <c r="P5" s="136"/>
      <c r="Q5" s="136"/>
    </row>
    <row r="6" spans="1:17" s="12" customFormat="1" ht="18" customHeight="1" thickBot="1" x14ac:dyDescent="0.25">
      <c r="A6" s="133" t="s">
        <v>34</v>
      </c>
      <c r="B6" s="134"/>
      <c r="C6" s="134"/>
      <c r="D6" s="134"/>
      <c r="E6" s="134"/>
      <c r="F6" s="135"/>
      <c r="G6" s="136" t="str">
        <f>NotaPedido!D5</f>
        <v>168 - Direccion Asistencial</v>
      </c>
      <c r="H6" s="136"/>
      <c r="I6" s="136"/>
      <c r="J6" s="136"/>
      <c r="K6" s="136"/>
      <c r="L6" s="136"/>
      <c r="M6" s="136"/>
      <c r="N6" s="136"/>
      <c r="O6" s="136"/>
      <c r="P6" s="136"/>
      <c r="Q6" s="136"/>
    </row>
    <row r="7" spans="1:17" s="12" customFormat="1" ht="18" customHeight="1" thickBot="1" x14ac:dyDescent="0.25">
      <c r="A7" s="133" t="s">
        <v>57</v>
      </c>
      <c r="B7" s="134"/>
      <c r="C7" s="134"/>
      <c r="D7" s="134"/>
      <c r="E7" s="134"/>
      <c r="F7" s="135"/>
      <c r="G7" s="136" t="str">
        <f>NotaPedido!D6</f>
        <v>Servicio de Nutrición</v>
      </c>
      <c r="H7" s="136"/>
      <c r="I7" s="136"/>
      <c r="J7" s="136"/>
      <c r="K7" s="136"/>
      <c r="L7" s="136"/>
      <c r="M7" s="136"/>
      <c r="N7" s="136"/>
      <c r="O7" s="136"/>
      <c r="P7" s="136"/>
      <c r="Q7" s="136"/>
    </row>
    <row r="8" spans="1:17" ht="18" customHeight="1" thickBot="1" x14ac:dyDescent="0.25">
      <c r="A8" s="137" t="s">
        <v>35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</row>
    <row r="9" spans="1:17" ht="18" customHeight="1" x14ac:dyDescent="0.2">
      <c r="A9" s="127" t="s">
        <v>36</v>
      </c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"/>
      <c r="P9" s="1"/>
      <c r="Q9" s="13"/>
    </row>
    <row r="10" spans="1:17" ht="54.75" customHeight="1" x14ac:dyDescent="0.2">
      <c r="A10" s="128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343 - 2020,  afectando la erogación resultante a los créditos presupuestarios aprobados a favor de esta Unidad Ejecutora, conforme al siguiente detalle:</v>
      </c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29" t="s">
        <v>37</v>
      </c>
      <c r="B12" s="129"/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</row>
    <row r="13" spans="1:17" ht="15.75" customHeight="1" x14ac:dyDescent="0.2">
      <c r="A13" s="130" t="s">
        <v>38</v>
      </c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1" t="s">
        <v>39</v>
      </c>
      <c r="P13" s="131"/>
      <c r="Q13" s="132" t="s">
        <v>40</v>
      </c>
    </row>
    <row r="14" spans="1:17" ht="15.75" customHeight="1" x14ac:dyDescent="0.2">
      <c r="A14" s="18" t="s">
        <v>41</v>
      </c>
      <c r="B14" s="19" t="s">
        <v>42</v>
      </c>
      <c r="C14" s="19" t="s">
        <v>43</v>
      </c>
      <c r="D14" s="19" t="s">
        <v>44</v>
      </c>
      <c r="E14" s="19" t="s">
        <v>45</v>
      </c>
      <c r="F14" s="19" t="s">
        <v>46</v>
      </c>
      <c r="G14" s="20" t="s">
        <v>47</v>
      </c>
      <c r="H14" s="19" t="s">
        <v>48</v>
      </c>
      <c r="I14" s="19" t="s">
        <v>49</v>
      </c>
      <c r="J14" s="19" t="s">
        <v>50</v>
      </c>
      <c r="K14" s="19" t="s">
        <v>50</v>
      </c>
      <c r="L14" s="19" t="s">
        <v>51</v>
      </c>
      <c r="M14" s="21" t="s">
        <v>52</v>
      </c>
      <c r="N14" s="22" t="s">
        <v>53</v>
      </c>
      <c r="O14" s="131"/>
      <c r="P14" s="131"/>
      <c r="Q14" s="132"/>
    </row>
    <row r="15" spans="1:17" ht="17.25" customHeight="1" x14ac:dyDescent="0.2">
      <c r="A15" s="78">
        <v>33</v>
      </c>
      <c r="B15" s="79"/>
      <c r="C15" s="79"/>
      <c r="D15" s="79">
        <v>2</v>
      </c>
      <c r="E15" s="79"/>
      <c r="F15" s="79">
        <v>4901</v>
      </c>
      <c r="G15" s="79">
        <v>3</v>
      </c>
      <c r="H15" s="80" t="s">
        <v>63</v>
      </c>
      <c r="I15" s="81">
        <v>2</v>
      </c>
      <c r="J15" s="81">
        <v>3</v>
      </c>
      <c r="K15" s="81">
        <v>4</v>
      </c>
      <c r="L15" s="79"/>
      <c r="M15" s="82">
        <v>1</v>
      </c>
      <c r="N15" s="80" t="s">
        <v>64</v>
      </c>
      <c r="O15" s="124" t="s">
        <v>73</v>
      </c>
      <c r="P15" s="124"/>
      <c r="Q15" s="83">
        <v>18300</v>
      </c>
    </row>
    <row r="16" spans="1:17" ht="17.25" customHeight="1" x14ac:dyDescent="0.2">
      <c r="A16" s="84">
        <v>33</v>
      </c>
      <c r="B16" s="85"/>
      <c r="C16" s="85"/>
      <c r="D16" s="85">
        <v>2</v>
      </c>
      <c r="E16" s="85"/>
      <c r="F16" s="85">
        <v>4901</v>
      </c>
      <c r="G16" s="85">
        <v>3</v>
      </c>
      <c r="H16" s="86" t="s">
        <v>63</v>
      </c>
      <c r="I16" s="85">
        <v>2</v>
      </c>
      <c r="J16" s="85">
        <v>5</v>
      </c>
      <c r="K16" s="85">
        <v>8</v>
      </c>
      <c r="L16" s="85"/>
      <c r="M16" s="87">
        <v>1</v>
      </c>
      <c r="N16" s="88" t="s">
        <v>64</v>
      </c>
      <c r="O16" s="125" t="s">
        <v>74</v>
      </c>
      <c r="P16" s="125"/>
      <c r="Q16" s="89">
        <v>48000</v>
      </c>
    </row>
    <row r="17" spans="1:19" ht="17.25" customHeight="1" x14ac:dyDescent="0.2">
      <c r="A17" s="84">
        <v>33</v>
      </c>
      <c r="B17" s="85"/>
      <c r="C17" s="85"/>
      <c r="D17" s="85">
        <v>2</v>
      </c>
      <c r="E17" s="85"/>
      <c r="F17" s="90">
        <v>4901</v>
      </c>
      <c r="G17" s="85">
        <v>3</v>
      </c>
      <c r="H17" s="86" t="s">
        <v>63</v>
      </c>
      <c r="I17" s="85">
        <v>2</v>
      </c>
      <c r="J17" s="85">
        <v>9</v>
      </c>
      <c r="K17" s="85">
        <v>4</v>
      </c>
      <c r="L17" s="85"/>
      <c r="M17" s="87">
        <v>1</v>
      </c>
      <c r="N17" s="88" t="s">
        <v>64</v>
      </c>
      <c r="O17" s="125" t="s">
        <v>139</v>
      </c>
      <c r="P17" s="125"/>
      <c r="Q17" s="89">
        <v>984800</v>
      </c>
      <c r="S17" s="68"/>
    </row>
    <row r="18" spans="1:19" ht="17.25" customHeight="1" x14ac:dyDescent="0.2">
      <c r="A18" s="84">
        <v>33</v>
      </c>
      <c r="B18" s="85"/>
      <c r="C18" s="85"/>
      <c r="D18" s="85">
        <v>2</v>
      </c>
      <c r="E18" s="85"/>
      <c r="F18" s="90">
        <v>4901</v>
      </c>
      <c r="G18" s="85">
        <v>3</v>
      </c>
      <c r="H18" s="86" t="s">
        <v>63</v>
      </c>
      <c r="I18" s="85">
        <v>2</v>
      </c>
      <c r="J18" s="85">
        <v>9</v>
      </c>
      <c r="K18" s="85">
        <v>5</v>
      </c>
      <c r="L18" s="85"/>
      <c r="M18" s="87">
        <v>1</v>
      </c>
      <c r="N18" s="88" t="s">
        <v>64</v>
      </c>
      <c r="O18" s="126" t="s">
        <v>140</v>
      </c>
      <c r="P18" s="119"/>
      <c r="Q18" s="27">
        <v>600</v>
      </c>
    </row>
    <row r="19" spans="1:19" ht="17.25" customHeight="1" x14ac:dyDescent="0.2">
      <c r="A19" s="23"/>
      <c r="B19" s="24"/>
      <c r="C19" s="24"/>
      <c r="D19" s="24"/>
      <c r="E19" s="24"/>
      <c r="F19" s="26"/>
      <c r="G19" s="24"/>
      <c r="H19" s="24"/>
      <c r="I19" s="24"/>
      <c r="J19" s="24"/>
      <c r="K19" s="24"/>
      <c r="L19" s="24"/>
      <c r="M19" s="25"/>
      <c r="N19" s="26"/>
      <c r="O19" s="119"/>
      <c r="P19" s="119"/>
      <c r="Q19" s="27"/>
    </row>
    <row r="20" spans="1:19" ht="17.25" customHeight="1" x14ac:dyDescent="0.2">
      <c r="A20" s="23"/>
      <c r="B20" s="24"/>
      <c r="C20" s="24"/>
      <c r="D20" s="24"/>
      <c r="E20" s="24"/>
      <c r="F20" s="26"/>
      <c r="G20" s="24"/>
      <c r="H20" s="24"/>
      <c r="I20" s="24"/>
      <c r="J20" s="24"/>
      <c r="K20" s="24"/>
      <c r="L20" s="24"/>
      <c r="M20" s="25"/>
      <c r="N20" s="26"/>
      <c r="O20" s="119"/>
      <c r="P20" s="119"/>
      <c r="Q20" s="27"/>
    </row>
    <row r="21" spans="1:19" ht="17.25" customHeight="1" x14ac:dyDescent="0.2">
      <c r="A21" s="28"/>
      <c r="B21" s="29"/>
      <c r="C21" s="29"/>
      <c r="D21" s="29"/>
      <c r="E21" s="29"/>
      <c r="F21" s="30"/>
      <c r="G21" s="29"/>
      <c r="H21" s="29"/>
      <c r="I21" s="29"/>
      <c r="J21" s="29"/>
      <c r="K21" s="29"/>
      <c r="L21" s="29"/>
      <c r="M21" s="31"/>
      <c r="N21" s="32"/>
      <c r="O21" s="120"/>
      <c r="P21" s="120"/>
      <c r="Q21" s="27"/>
      <c r="R21" s="1"/>
    </row>
    <row r="22" spans="1:19" ht="17.25" customHeight="1" x14ac:dyDescent="0.2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5"/>
      <c r="N22" s="34"/>
      <c r="O22" s="121"/>
      <c r="P22" s="121"/>
      <c r="Q22" s="36"/>
    </row>
    <row r="23" spans="1:19" ht="20.25" customHeight="1" x14ac:dyDescent="0.2">
      <c r="A23" s="122" t="s">
        <v>141</v>
      </c>
      <c r="B23" s="122"/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91">
        <f>SUM(Q15:Q22)</f>
        <v>1051700</v>
      </c>
    </row>
    <row r="24" spans="1:19" ht="18" customHeight="1" thickBot="1" x14ac:dyDescent="0.25">
      <c r="A24" s="123"/>
      <c r="B24" s="123"/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</row>
    <row r="25" spans="1:19" ht="17.25" customHeight="1" thickBot="1" x14ac:dyDescent="0.25">
      <c r="A25" s="114" t="s">
        <v>54</v>
      </c>
      <c r="B25" s="115"/>
      <c r="C25" s="115"/>
      <c r="D25" s="115"/>
      <c r="E25" s="115"/>
      <c r="F25" s="116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</row>
    <row r="26" spans="1:19" ht="18" customHeight="1" thickBot="1" x14ac:dyDescent="0.25">
      <c r="A26" s="118" t="str">
        <f>"Para la "&amp; NotaPedido!D8 &amp;" para ser destinados al " &amp; NotaPedido!D6 &amp;"  del HISJB del Ministerio de Salud."</f>
        <v>Para la Adquisición de Descartables Para Nutrición para ser destinados al Servicio de Nutrición  del HISJB del Ministerio de Salud.</v>
      </c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</row>
    <row r="27" spans="1:19" ht="15" customHeight="1" x14ac:dyDescent="0.2">
      <c r="A27" s="118"/>
      <c r="B27" s="118"/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COMPRAS</cp:lastModifiedBy>
  <cp:revision>2</cp:revision>
  <cp:lastPrinted>2020-07-17T22:18:48Z</cp:lastPrinted>
  <dcterms:created xsi:type="dcterms:W3CDTF">2020-07-17T23:44:49Z</dcterms:created>
  <dcterms:modified xsi:type="dcterms:W3CDTF">2021-08-17T16:28:11Z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