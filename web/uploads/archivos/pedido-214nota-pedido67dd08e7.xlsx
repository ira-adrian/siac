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DESARROLLO SOCIAL\comedores emergentes\"/>
    </mc:Choice>
  </mc:AlternateContent>
  <xr:revisionPtr revIDLastSave="0" documentId="13_ncr:1_{AE495485-4EA5-4DED-9A20-0529AAFD021D}" xr6:coauthVersionLast="47" xr6:coauthVersionMax="47" xr10:uidLastSave="{00000000-0000-0000-0000-000000000000}"/>
  <bookViews>
    <workbookView xWindow="-120" yWindow="-120" windowWidth="29040" windowHeight="15840" tabRatio="500" firstSheet="3" activeTab="3" xr2:uid="{00000000-000D-0000-FFFF-FFFF00000000}"/>
  </bookViews>
  <sheets>
    <sheet name="gas" sheetId="4" state="hidden" r:id="rId1"/>
    <sheet name="limpieza" sheetId="5" state="hidden" r:id="rId2"/>
    <sheet name="alimento" sheetId="1" state="hidden" r:id="rId3"/>
    <sheet name="ALIM-IMP" sheetId="9" r:id="rId4"/>
    <sheet name="Autor Gastar" sheetId="11" r:id="rId5"/>
    <sheet name=" NotaPedido" sheetId="10" r:id="rId6"/>
    <sheet name="GAS-IMP" sheetId="7" state="hidden" r:id="rId7"/>
    <sheet name="LIM-IMP" sheetId="8" state="hidden" r:id="rId8"/>
  </sheets>
  <externalReferences>
    <externalReference r:id="rId9"/>
    <externalReference r:id="rId10"/>
  </externalReferences>
  <definedNames>
    <definedName name="_xlnm.Print_Area" localSheetId="5">' NotaPedido'!$A$1:$L$46</definedName>
    <definedName name="_xlnm.Print_Area" localSheetId="3">'ALIM-IMP'!$A$8:$I$43</definedName>
    <definedName name="_xlnm.Print_Area" localSheetId="4">'Autor Gastar'!$A$1:$Q$27</definedName>
    <definedName name="_xlnm.Print_Area" localSheetId="1">limpieza!$A$1:$I$118</definedName>
    <definedName name="_xlnm.Print_Titles" localSheetId="5">' NotaPedido'!$1:$9</definedName>
  </definedNames>
  <calcPr calcId="181029"/>
</workbook>
</file>

<file path=xl/calcChain.xml><?xml version="1.0" encoding="utf-8"?>
<calcChain xmlns="http://schemas.openxmlformats.org/spreadsheetml/2006/main">
  <c r="J10" i="9" l="1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9" i="9"/>
  <c r="I15" i="11"/>
  <c r="D1" i="11"/>
  <c r="K45" i="10" l="1"/>
  <c r="J45" i="10"/>
  <c r="L45" i="10" s="1"/>
  <c r="I45" i="10"/>
  <c r="C45" i="10"/>
  <c r="B45" i="10"/>
  <c r="K44" i="10"/>
  <c r="J44" i="10"/>
  <c r="I44" i="10"/>
  <c r="C44" i="10"/>
  <c r="B44" i="10"/>
  <c r="K43" i="10"/>
  <c r="J43" i="10"/>
  <c r="L43" i="10" s="1"/>
  <c r="I43" i="10"/>
  <c r="C43" i="10"/>
  <c r="B43" i="10"/>
  <c r="K42" i="10"/>
  <c r="J42" i="10"/>
  <c r="I42" i="10"/>
  <c r="C42" i="10"/>
  <c r="B42" i="10"/>
  <c r="K41" i="10"/>
  <c r="J41" i="10"/>
  <c r="I41" i="10"/>
  <c r="C41" i="10"/>
  <c r="B41" i="10"/>
  <c r="K40" i="10"/>
  <c r="J40" i="10"/>
  <c r="I40" i="10"/>
  <c r="C40" i="10"/>
  <c r="B40" i="10"/>
  <c r="K39" i="10"/>
  <c r="J39" i="10"/>
  <c r="L39" i="10" s="1"/>
  <c r="I39" i="10"/>
  <c r="C39" i="10"/>
  <c r="B39" i="10"/>
  <c r="K38" i="10"/>
  <c r="J38" i="10"/>
  <c r="I38" i="10"/>
  <c r="C38" i="10"/>
  <c r="B38" i="10"/>
  <c r="K37" i="10"/>
  <c r="J37" i="10"/>
  <c r="I37" i="10"/>
  <c r="C37" i="10"/>
  <c r="B37" i="10"/>
  <c r="K36" i="10"/>
  <c r="J36" i="10"/>
  <c r="I36" i="10"/>
  <c r="C36" i="10"/>
  <c r="B36" i="10"/>
  <c r="K35" i="10"/>
  <c r="J35" i="10"/>
  <c r="L35" i="10" s="1"/>
  <c r="I35" i="10"/>
  <c r="C35" i="10"/>
  <c r="B35" i="10"/>
  <c r="K34" i="10"/>
  <c r="J34" i="10"/>
  <c r="I34" i="10"/>
  <c r="C34" i="10"/>
  <c r="B34" i="10"/>
  <c r="K33" i="10"/>
  <c r="J33" i="10"/>
  <c r="I33" i="10"/>
  <c r="C33" i="10"/>
  <c r="B33" i="10"/>
  <c r="K32" i="10"/>
  <c r="J32" i="10"/>
  <c r="I32" i="10"/>
  <c r="C32" i="10"/>
  <c r="B32" i="10"/>
  <c r="K31" i="10"/>
  <c r="J31" i="10"/>
  <c r="L31" i="10" s="1"/>
  <c r="I31" i="10"/>
  <c r="C31" i="10"/>
  <c r="B31" i="10"/>
  <c r="K30" i="10"/>
  <c r="J30" i="10"/>
  <c r="I30" i="10"/>
  <c r="C30" i="10"/>
  <c r="B30" i="10"/>
  <c r="K29" i="10"/>
  <c r="J29" i="10"/>
  <c r="I29" i="10"/>
  <c r="C29" i="10"/>
  <c r="B29" i="10"/>
  <c r="K28" i="10"/>
  <c r="J28" i="10"/>
  <c r="I28" i="10"/>
  <c r="C28" i="10"/>
  <c r="B28" i="10"/>
  <c r="K27" i="10"/>
  <c r="J27" i="10"/>
  <c r="L27" i="10" s="1"/>
  <c r="I27" i="10"/>
  <c r="C27" i="10"/>
  <c r="B27" i="10"/>
  <c r="K26" i="10"/>
  <c r="J26" i="10"/>
  <c r="I26" i="10"/>
  <c r="C26" i="10"/>
  <c r="B26" i="10"/>
  <c r="K25" i="10"/>
  <c r="J25" i="10"/>
  <c r="I25" i="10"/>
  <c r="C25" i="10"/>
  <c r="B25" i="10"/>
  <c r="K24" i="10"/>
  <c r="J24" i="10"/>
  <c r="I24" i="10"/>
  <c r="C24" i="10"/>
  <c r="B24" i="10"/>
  <c r="K23" i="10"/>
  <c r="J23" i="10"/>
  <c r="L23" i="10" s="1"/>
  <c r="I23" i="10"/>
  <c r="C23" i="10"/>
  <c r="B23" i="10"/>
  <c r="K22" i="10"/>
  <c r="J22" i="10"/>
  <c r="I22" i="10"/>
  <c r="C22" i="10"/>
  <c r="B22" i="10"/>
  <c r="K21" i="10"/>
  <c r="J21" i="10"/>
  <c r="I21" i="10"/>
  <c r="C21" i="10"/>
  <c r="B21" i="10"/>
  <c r="K20" i="10"/>
  <c r="J20" i="10"/>
  <c r="I20" i="10"/>
  <c r="C20" i="10"/>
  <c r="B20" i="10"/>
  <c r="K19" i="10"/>
  <c r="J19" i="10"/>
  <c r="L19" i="10" s="1"/>
  <c r="I19" i="10"/>
  <c r="C19" i="10"/>
  <c r="B19" i="10"/>
  <c r="K18" i="10"/>
  <c r="J18" i="10"/>
  <c r="I18" i="10"/>
  <c r="C18" i="10"/>
  <c r="B18" i="10"/>
  <c r="K17" i="10"/>
  <c r="J17" i="10"/>
  <c r="I17" i="10"/>
  <c r="C17" i="10"/>
  <c r="B17" i="10"/>
  <c r="K16" i="10"/>
  <c r="J16" i="10"/>
  <c r="I16" i="10"/>
  <c r="C16" i="10"/>
  <c r="B16" i="10"/>
  <c r="K15" i="10"/>
  <c r="J15" i="10"/>
  <c r="L15" i="10" s="1"/>
  <c r="I15" i="10"/>
  <c r="C15" i="10"/>
  <c r="B15" i="10"/>
  <c r="K14" i="10"/>
  <c r="J14" i="10"/>
  <c r="I14" i="10"/>
  <c r="C14" i="10"/>
  <c r="B14" i="10"/>
  <c r="K13" i="10"/>
  <c r="J13" i="10"/>
  <c r="I13" i="10"/>
  <c r="C13" i="10"/>
  <c r="B13" i="10"/>
  <c r="K12" i="10"/>
  <c r="J12" i="10"/>
  <c r="I12" i="10"/>
  <c r="C12" i="10"/>
  <c r="B12" i="10"/>
  <c r="D7" i="10"/>
  <c r="D4" i="10"/>
  <c r="G5" i="11" s="1"/>
  <c r="G4" i="11"/>
  <c r="L44" i="10" l="1"/>
  <c r="L16" i="10"/>
  <c r="L12" i="10"/>
  <c r="L20" i="10"/>
  <c r="L24" i="10"/>
  <c r="L32" i="10"/>
  <c r="L36" i="10"/>
  <c r="L40" i="10"/>
  <c r="L13" i="10"/>
  <c r="L17" i="10"/>
  <c r="L21" i="10"/>
  <c r="L25" i="10"/>
  <c r="L33" i="10"/>
  <c r="L37" i="10"/>
  <c r="L41" i="10"/>
  <c r="L14" i="10"/>
  <c r="L18" i="10"/>
  <c r="L22" i="10"/>
  <c r="L26" i="10"/>
  <c r="L30" i="10"/>
  <c r="L34" i="10"/>
  <c r="L38" i="10"/>
  <c r="L42" i="10"/>
  <c r="L28" i="10"/>
  <c r="L29" i="10"/>
  <c r="J46" i="10" l="1"/>
  <c r="I11" i="7"/>
  <c r="I38" i="9" l="1"/>
  <c r="I39" i="9"/>
  <c r="I40" i="9"/>
  <c r="I41" i="9"/>
  <c r="I42" i="9"/>
  <c r="I10" i="7" l="1"/>
  <c r="I12" i="7" s="1"/>
  <c r="I11" i="8"/>
  <c r="I10" i="8"/>
  <c r="I9" i="8"/>
  <c r="I11" i="9" l="1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10" i="9"/>
  <c r="I9" i="9"/>
  <c r="E111" i="5"/>
  <c r="B111" i="5"/>
  <c r="E76" i="5"/>
  <c r="B76" i="5"/>
  <c r="B41" i="5"/>
  <c r="E41" i="5"/>
  <c r="E39" i="4"/>
  <c r="B39" i="4"/>
  <c r="E1082" i="1"/>
  <c r="B1082" i="1"/>
  <c r="E1047" i="1"/>
  <c r="B1047" i="1"/>
  <c r="E1012" i="1"/>
  <c r="B1012" i="1"/>
  <c r="E977" i="1"/>
  <c r="B977" i="1"/>
  <c r="E942" i="1"/>
  <c r="B942" i="1"/>
  <c r="E907" i="1"/>
  <c r="B907" i="1"/>
  <c r="E872" i="1"/>
  <c r="B872" i="1"/>
  <c r="E837" i="1"/>
  <c r="B837" i="1"/>
  <c r="E802" i="1"/>
  <c r="B802" i="1"/>
  <c r="E767" i="1"/>
  <c r="B767" i="1"/>
  <c r="E732" i="1"/>
  <c r="B732" i="1"/>
  <c r="E697" i="1"/>
  <c r="B697" i="1"/>
  <c r="E662" i="1"/>
  <c r="B662" i="1"/>
  <c r="E627" i="1"/>
  <c r="B627" i="1"/>
  <c r="E592" i="1"/>
  <c r="B592" i="1"/>
  <c r="E557" i="1"/>
  <c r="B557" i="1"/>
  <c r="E522" i="1"/>
  <c r="B522" i="1"/>
  <c r="E487" i="1"/>
  <c r="B487" i="1"/>
  <c r="E452" i="1"/>
  <c r="B452" i="1"/>
  <c r="E417" i="1"/>
  <c r="B417" i="1"/>
  <c r="E382" i="1"/>
  <c r="B382" i="1"/>
  <c r="E347" i="1"/>
  <c r="B347" i="1"/>
  <c r="E312" i="1"/>
  <c r="B312" i="1"/>
  <c r="E277" i="1"/>
  <c r="B277" i="1"/>
  <c r="E242" i="1"/>
  <c r="B242" i="1"/>
  <c r="E207" i="1"/>
  <c r="B207" i="1"/>
  <c r="E172" i="1"/>
  <c r="B172" i="1"/>
  <c r="E137" i="1"/>
  <c r="B137" i="1"/>
  <c r="E102" i="1"/>
  <c r="B102" i="1"/>
  <c r="E67" i="1"/>
  <c r="B67" i="1"/>
  <c r="I43" i="9" l="1"/>
  <c r="Q15" i="11" s="1"/>
  <c r="Q23" i="11" s="1"/>
  <c r="E110" i="5"/>
  <c r="B110" i="5"/>
  <c r="E109" i="5"/>
  <c r="B109" i="5"/>
  <c r="E108" i="5"/>
  <c r="B108" i="5"/>
  <c r="E107" i="5"/>
  <c r="B107" i="5"/>
  <c r="E106" i="5"/>
  <c r="B106" i="5"/>
  <c r="E105" i="5"/>
  <c r="B105" i="5"/>
  <c r="E104" i="5"/>
  <c r="B104" i="5"/>
  <c r="E103" i="5"/>
  <c r="B103" i="5"/>
  <c r="E102" i="5"/>
  <c r="B102" i="5"/>
  <c r="E101" i="5"/>
  <c r="B101" i="5"/>
  <c r="E100" i="5"/>
  <c r="B100" i="5"/>
  <c r="E99" i="5"/>
  <c r="B99" i="5"/>
  <c r="E98" i="5"/>
  <c r="B98" i="5"/>
  <c r="E97" i="5"/>
  <c r="B97" i="5"/>
  <c r="E96" i="5"/>
  <c r="B96" i="5"/>
  <c r="E95" i="5"/>
  <c r="B95" i="5"/>
  <c r="E94" i="5"/>
  <c r="B94" i="5"/>
  <c r="E93" i="5"/>
  <c r="B93" i="5"/>
  <c r="E92" i="5"/>
  <c r="B92" i="5"/>
  <c r="E75" i="5"/>
  <c r="B75" i="5"/>
  <c r="E74" i="5"/>
  <c r="B74" i="5"/>
  <c r="E73" i="5"/>
  <c r="B73" i="5"/>
  <c r="E72" i="5"/>
  <c r="B72" i="5"/>
  <c r="E71" i="5"/>
  <c r="B71" i="5"/>
  <c r="E70" i="5"/>
  <c r="B70" i="5"/>
  <c r="E69" i="5"/>
  <c r="B69" i="5"/>
  <c r="E68" i="5"/>
  <c r="B68" i="5"/>
  <c r="E67" i="5"/>
  <c r="B67" i="5"/>
  <c r="E66" i="5"/>
  <c r="B66" i="5"/>
  <c r="E65" i="5"/>
  <c r="B65" i="5"/>
  <c r="E64" i="5"/>
  <c r="B64" i="5"/>
  <c r="E63" i="5"/>
  <c r="B63" i="5"/>
  <c r="E62" i="5"/>
  <c r="B62" i="5"/>
  <c r="E61" i="5"/>
  <c r="B61" i="5"/>
  <c r="E60" i="5"/>
  <c r="B60" i="5"/>
  <c r="E59" i="5"/>
  <c r="B59" i="5"/>
  <c r="E58" i="5"/>
  <c r="B58" i="5"/>
  <c r="E57" i="5"/>
  <c r="B57" i="5"/>
  <c r="E40" i="5"/>
  <c r="B40" i="5"/>
  <c r="E39" i="5"/>
  <c r="B39" i="5"/>
  <c r="E38" i="5"/>
  <c r="B38" i="5"/>
  <c r="E37" i="5"/>
  <c r="B37" i="5"/>
  <c r="E36" i="5"/>
  <c r="B36" i="5"/>
  <c r="E35" i="5"/>
  <c r="B35" i="5"/>
  <c r="E34" i="5"/>
  <c r="B34" i="5"/>
  <c r="E33" i="5"/>
  <c r="B33" i="5"/>
  <c r="E32" i="5"/>
  <c r="B32" i="5"/>
  <c r="E31" i="5"/>
  <c r="B31" i="5"/>
  <c r="E30" i="5"/>
  <c r="B30" i="5"/>
  <c r="E29" i="5"/>
  <c r="B29" i="5"/>
  <c r="E28" i="5"/>
  <c r="B28" i="5"/>
  <c r="E27" i="5"/>
  <c r="B27" i="5"/>
  <c r="E26" i="5"/>
  <c r="B26" i="5"/>
  <c r="E25" i="5"/>
  <c r="B25" i="5"/>
  <c r="E24" i="5"/>
  <c r="B24" i="5"/>
  <c r="E23" i="5"/>
  <c r="B23" i="5"/>
  <c r="E22" i="5"/>
  <c r="B22" i="5"/>
  <c r="E38" i="4"/>
  <c r="B38" i="4"/>
  <c r="E37" i="4"/>
  <c r="B37" i="4"/>
  <c r="E36" i="4"/>
  <c r="B36" i="4"/>
  <c r="E35" i="4"/>
  <c r="B35" i="4"/>
  <c r="E34" i="4"/>
  <c r="B34" i="4"/>
  <c r="E33" i="4"/>
  <c r="B33" i="4"/>
  <c r="E32" i="4"/>
  <c r="B32" i="4"/>
  <c r="E31" i="4"/>
  <c r="B31" i="4"/>
  <c r="E30" i="4"/>
  <c r="B30" i="4"/>
  <c r="E29" i="4"/>
  <c r="B29" i="4"/>
  <c r="E28" i="4"/>
  <c r="B28" i="4"/>
  <c r="E27" i="4"/>
  <c r="B27" i="4"/>
  <c r="E26" i="4"/>
  <c r="B26" i="4"/>
  <c r="E25" i="4"/>
  <c r="B25" i="4"/>
  <c r="E24" i="4"/>
  <c r="B24" i="4"/>
  <c r="E23" i="4"/>
  <c r="B23" i="4"/>
  <c r="E22" i="4"/>
  <c r="B22" i="4"/>
  <c r="E21" i="4"/>
  <c r="B21" i="4"/>
  <c r="E20" i="4"/>
  <c r="B20" i="4"/>
  <c r="B547" i="1" l="1"/>
  <c r="E1081" i="1" l="1"/>
  <c r="B1081" i="1"/>
  <c r="E1080" i="1"/>
  <c r="B1080" i="1"/>
  <c r="E1079" i="1"/>
  <c r="B1079" i="1"/>
  <c r="E1078" i="1"/>
  <c r="B1078" i="1"/>
  <c r="E1077" i="1"/>
  <c r="B1077" i="1"/>
  <c r="E1076" i="1"/>
  <c r="B1076" i="1"/>
  <c r="E1075" i="1"/>
  <c r="B1075" i="1"/>
  <c r="E1074" i="1"/>
  <c r="B1074" i="1"/>
  <c r="E1073" i="1"/>
  <c r="B1073" i="1"/>
  <c r="E1072" i="1"/>
  <c r="B1072" i="1"/>
  <c r="E1071" i="1"/>
  <c r="B1071" i="1"/>
  <c r="E1070" i="1"/>
  <c r="B1070" i="1"/>
  <c r="E1069" i="1"/>
  <c r="B1069" i="1"/>
  <c r="E1068" i="1"/>
  <c r="B1068" i="1"/>
  <c r="E1067" i="1"/>
  <c r="B1067" i="1"/>
  <c r="E1066" i="1"/>
  <c r="B1066" i="1"/>
  <c r="E1065" i="1"/>
  <c r="B1065" i="1"/>
  <c r="E1064" i="1"/>
  <c r="B1064" i="1"/>
  <c r="E1063" i="1"/>
  <c r="B1063" i="1"/>
  <c r="E1046" i="1"/>
  <c r="B1046" i="1"/>
  <c r="E1045" i="1"/>
  <c r="B1045" i="1"/>
  <c r="E1044" i="1"/>
  <c r="B1044" i="1"/>
  <c r="E1043" i="1"/>
  <c r="B1043" i="1"/>
  <c r="E1042" i="1"/>
  <c r="B1042" i="1"/>
  <c r="E1041" i="1"/>
  <c r="B1041" i="1"/>
  <c r="E1040" i="1"/>
  <c r="B1040" i="1"/>
  <c r="E1039" i="1"/>
  <c r="B1039" i="1"/>
  <c r="E1038" i="1"/>
  <c r="B1038" i="1"/>
  <c r="E1037" i="1"/>
  <c r="B1037" i="1"/>
  <c r="E1036" i="1"/>
  <c r="B1036" i="1"/>
  <c r="E1035" i="1"/>
  <c r="B1035" i="1"/>
  <c r="E1034" i="1"/>
  <c r="B1034" i="1"/>
  <c r="E1033" i="1"/>
  <c r="B1033" i="1"/>
  <c r="E1032" i="1"/>
  <c r="B1032" i="1"/>
  <c r="E1031" i="1"/>
  <c r="B1031" i="1"/>
  <c r="E1030" i="1"/>
  <c r="B1030" i="1"/>
  <c r="E1029" i="1"/>
  <c r="B1029" i="1"/>
  <c r="E1028" i="1"/>
  <c r="B1028" i="1"/>
  <c r="E1011" i="1"/>
  <c r="B1011" i="1"/>
  <c r="E1010" i="1"/>
  <c r="B1010" i="1"/>
  <c r="E1009" i="1"/>
  <c r="B1009" i="1"/>
  <c r="E1008" i="1"/>
  <c r="B1008" i="1"/>
  <c r="E1007" i="1"/>
  <c r="B1007" i="1"/>
  <c r="E1006" i="1"/>
  <c r="B1006" i="1"/>
  <c r="E1005" i="1"/>
  <c r="B1005" i="1"/>
  <c r="E1004" i="1"/>
  <c r="B1004" i="1"/>
  <c r="E1003" i="1"/>
  <c r="B1003" i="1"/>
  <c r="E1002" i="1"/>
  <c r="B1002" i="1"/>
  <c r="E1001" i="1"/>
  <c r="B1001" i="1"/>
  <c r="E1000" i="1"/>
  <c r="B1000" i="1"/>
  <c r="E999" i="1"/>
  <c r="B999" i="1"/>
  <c r="E998" i="1"/>
  <c r="B998" i="1"/>
  <c r="E997" i="1"/>
  <c r="B997" i="1"/>
  <c r="E996" i="1"/>
  <c r="B996" i="1"/>
  <c r="E995" i="1"/>
  <c r="B995" i="1"/>
  <c r="E994" i="1"/>
  <c r="B994" i="1"/>
  <c r="E993" i="1"/>
  <c r="B993" i="1"/>
  <c r="E976" i="1"/>
  <c r="B976" i="1"/>
  <c r="E975" i="1"/>
  <c r="B975" i="1"/>
  <c r="E974" i="1"/>
  <c r="B974" i="1"/>
  <c r="E973" i="1"/>
  <c r="B973" i="1"/>
  <c r="E972" i="1"/>
  <c r="B972" i="1"/>
  <c r="E971" i="1"/>
  <c r="B971" i="1"/>
  <c r="E970" i="1"/>
  <c r="B970" i="1"/>
  <c r="E969" i="1"/>
  <c r="B969" i="1"/>
  <c r="E968" i="1"/>
  <c r="B968" i="1"/>
  <c r="E967" i="1"/>
  <c r="B967" i="1"/>
  <c r="E966" i="1"/>
  <c r="B966" i="1"/>
  <c r="E965" i="1"/>
  <c r="B965" i="1"/>
  <c r="E964" i="1"/>
  <c r="B964" i="1"/>
  <c r="E963" i="1"/>
  <c r="B963" i="1"/>
  <c r="E962" i="1"/>
  <c r="B962" i="1"/>
  <c r="E961" i="1"/>
  <c r="B961" i="1"/>
  <c r="E960" i="1"/>
  <c r="B960" i="1"/>
  <c r="E959" i="1"/>
  <c r="B959" i="1"/>
  <c r="E958" i="1"/>
  <c r="B958" i="1"/>
  <c r="E941" i="1"/>
  <c r="B941" i="1"/>
  <c r="E940" i="1"/>
  <c r="B940" i="1"/>
  <c r="E939" i="1"/>
  <c r="B939" i="1"/>
  <c r="E938" i="1"/>
  <c r="B938" i="1"/>
  <c r="E937" i="1"/>
  <c r="B937" i="1"/>
  <c r="E936" i="1"/>
  <c r="B936" i="1"/>
  <c r="E935" i="1"/>
  <c r="B935" i="1"/>
  <c r="E934" i="1"/>
  <c r="B934" i="1"/>
  <c r="E933" i="1"/>
  <c r="B933" i="1"/>
  <c r="E932" i="1"/>
  <c r="B932" i="1"/>
  <c r="E931" i="1"/>
  <c r="B931" i="1"/>
  <c r="E930" i="1"/>
  <c r="B930" i="1"/>
  <c r="E929" i="1"/>
  <c r="B929" i="1"/>
  <c r="E928" i="1"/>
  <c r="B928" i="1"/>
  <c r="E927" i="1"/>
  <c r="B927" i="1"/>
  <c r="E926" i="1"/>
  <c r="B926" i="1"/>
  <c r="E925" i="1"/>
  <c r="B925" i="1"/>
  <c r="E924" i="1"/>
  <c r="B924" i="1"/>
  <c r="E923" i="1"/>
  <c r="B923" i="1"/>
  <c r="E906" i="1"/>
  <c r="B906" i="1"/>
  <c r="E905" i="1"/>
  <c r="B905" i="1"/>
  <c r="E904" i="1"/>
  <c r="B904" i="1"/>
  <c r="E903" i="1"/>
  <c r="B903" i="1"/>
  <c r="E902" i="1"/>
  <c r="B902" i="1"/>
  <c r="E901" i="1"/>
  <c r="B901" i="1"/>
  <c r="E900" i="1"/>
  <c r="B900" i="1"/>
  <c r="E899" i="1"/>
  <c r="B899" i="1"/>
  <c r="E898" i="1"/>
  <c r="B898" i="1"/>
  <c r="E897" i="1"/>
  <c r="B897" i="1"/>
  <c r="E896" i="1"/>
  <c r="B896" i="1"/>
  <c r="E895" i="1"/>
  <c r="B895" i="1"/>
  <c r="E894" i="1"/>
  <c r="B894" i="1"/>
  <c r="E893" i="1"/>
  <c r="B893" i="1"/>
  <c r="E892" i="1"/>
  <c r="B892" i="1"/>
  <c r="E891" i="1"/>
  <c r="B891" i="1"/>
  <c r="E890" i="1"/>
  <c r="B890" i="1"/>
  <c r="E889" i="1"/>
  <c r="B889" i="1"/>
  <c r="E888" i="1"/>
  <c r="B888" i="1"/>
  <c r="E871" i="1"/>
  <c r="B871" i="1"/>
  <c r="E870" i="1"/>
  <c r="B870" i="1"/>
  <c r="E869" i="1"/>
  <c r="B869" i="1"/>
  <c r="E868" i="1"/>
  <c r="B868" i="1"/>
  <c r="E867" i="1"/>
  <c r="B867" i="1"/>
  <c r="E866" i="1"/>
  <c r="B866" i="1"/>
  <c r="E865" i="1"/>
  <c r="B865" i="1"/>
  <c r="E864" i="1"/>
  <c r="B864" i="1"/>
  <c r="E863" i="1"/>
  <c r="B863" i="1"/>
  <c r="E862" i="1"/>
  <c r="B862" i="1"/>
  <c r="E861" i="1"/>
  <c r="B861" i="1"/>
  <c r="E860" i="1"/>
  <c r="B860" i="1"/>
  <c r="E859" i="1"/>
  <c r="B859" i="1"/>
  <c r="E858" i="1"/>
  <c r="B858" i="1"/>
  <c r="E857" i="1"/>
  <c r="B857" i="1"/>
  <c r="E856" i="1"/>
  <c r="B856" i="1"/>
  <c r="E855" i="1"/>
  <c r="B855" i="1"/>
  <c r="E854" i="1"/>
  <c r="B854" i="1"/>
  <c r="E853" i="1"/>
  <c r="B853" i="1"/>
  <c r="E836" i="1"/>
  <c r="B836" i="1"/>
  <c r="E835" i="1"/>
  <c r="B835" i="1"/>
  <c r="E834" i="1"/>
  <c r="B834" i="1"/>
  <c r="E833" i="1"/>
  <c r="B833" i="1"/>
  <c r="E832" i="1"/>
  <c r="B832" i="1"/>
  <c r="E831" i="1"/>
  <c r="B831" i="1"/>
  <c r="E830" i="1"/>
  <c r="B830" i="1"/>
  <c r="E829" i="1"/>
  <c r="B829" i="1"/>
  <c r="E828" i="1"/>
  <c r="B828" i="1"/>
  <c r="E827" i="1"/>
  <c r="B827" i="1"/>
  <c r="E826" i="1"/>
  <c r="B826" i="1"/>
  <c r="E825" i="1"/>
  <c r="B825" i="1"/>
  <c r="E824" i="1"/>
  <c r="B824" i="1"/>
  <c r="E823" i="1"/>
  <c r="B823" i="1"/>
  <c r="E822" i="1"/>
  <c r="B822" i="1"/>
  <c r="E821" i="1"/>
  <c r="B821" i="1"/>
  <c r="E820" i="1"/>
  <c r="B820" i="1"/>
  <c r="E819" i="1"/>
  <c r="B819" i="1"/>
  <c r="E818" i="1"/>
  <c r="B818" i="1"/>
  <c r="E801" i="1"/>
  <c r="B801" i="1"/>
  <c r="E800" i="1"/>
  <c r="B800" i="1"/>
  <c r="E799" i="1"/>
  <c r="B799" i="1"/>
  <c r="E798" i="1"/>
  <c r="B798" i="1"/>
  <c r="E797" i="1"/>
  <c r="B797" i="1"/>
  <c r="E796" i="1"/>
  <c r="B796" i="1"/>
  <c r="E795" i="1"/>
  <c r="B795" i="1"/>
  <c r="E794" i="1"/>
  <c r="B794" i="1"/>
  <c r="E793" i="1"/>
  <c r="B793" i="1"/>
  <c r="E792" i="1"/>
  <c r="B792" i="1"/>
  <c r="E791" i="1"/>
  <c r="B791" i="1"/>
  <c r="E790" i="1"/>
  <c r="B790" i="1"/>
  <c r="E789" i="1"/>
  <c r="B789" i="1"/>
  <c r="E788" i="1"/>
  <c r="B788" i="1"/>
  <c r="E787" i="1"/>
  <c r="B787" i="1"/>
  <c r="E786" i="1"/>
  <c r="B786" i="1"/>
  <c r="E785" i="1"/>
  <c r="B785" i="1"/>
  <c r="E784" i="1"/>
  <c r="B784" i="1"/>
  <c r="E783" i="1"/>
  <c r="B783" i="1"/>
  <c r="E766" i="1"/>
  <c r="B766" i="1"/>
  <c r="E765" i="1"/>
  <c r="B765" i="1"/>
  <c r="E764" i="1"/>
  <c r="B764" i="1"/>
  <c r="E763" i="1"/>
  <c r="B763" i="1"/>
  <c r="E762" i="1"/>
  <c r="B762" i="1"/>
  <c r="E761" i="1"/>
  <c r="B761" i="1"/>
  <c r="E760" i="1"/>
  <c r="B760" i="1"/>
  <c r="E759" i="1"/>
  <c r="B759" i="1"/>
  <c r="E758" i="1"/>
  <c r="B758" i="1"/>
  <c r="E757" i="1"/>
  <c r="B757" i="1"/>
  <c r="E756" i="1"/>
  <c r="B756" i="1"/>
  <c r="E755" i="1"/>
  <c r="B755" i="1"/>
  <c r="E754" i="1"/>
  <c r="B754" i="1"/>
  <c r="E753" i="1"/>
  <c r="B753" i="1"/>
  <c r="E752" i="1"/>
  <c r="B752" i="1"/>
  <c r="E751" i="1"/>
  <c r="B751" i="1"/>
  <c r="E750" i="1"/>
  <c r="B750" i="1"/>
  <c r="E749" i="1"/>
  <c r="B749" i="1"/>
  <c r="E748" i="1"/>
  <c r="B748" i="1"/>
  <c r="E731" i="1"/>
  <c r="B731" i="1"/>
  <c r="E730" i="1"/>
  <c r="B730" i="1"/>
  <c r="E729" i="1"/>
  <c r="B729" i="1"/>
  <c r="E728" i="1"/>
  <c r="B728" i="1"/>
  <c r="E727" i="1"/>
  <c r="B727" i="1"/>
  <c r="E726" i="1"/>
  <c r="B726" i="1"/>
  <c r="E725" i="1"/>
  <c r="B725" i="1"/>
  <c r="E724" i="1"/>
  <c r="B724" i="1"/>
  <c r="E723" i="1"/>
  <c r="B723" i="1"/>
  <c r="E722" i="1"/>
  <c r="B722" i="1"/>
  <c r="E721" i="1"/>
  <c r="B721" i="1"/>
  <c r="E720" i="1"/>
  <c r="B720" i="1"/>
  <c r="E719" i="1"/>
  <c r="B719" i="1"/>
  <c r="E718" i="1"/>
  <c r="B718" i="1"/>
  <c r="E717" i="1"/>
  <c r="B717" i="1"/>
  <c r="E716" i="1"/>
  <c r="B716" i="1"/>
  <c r="E715" i="1"/>
  <c r="B715" i="1"/>
  <c r="E714" i="1"/>
  <c r="B714" i="1"/>
  <c r="E713" i="1"/>
  <c r="B713" i="1"/>
  <c r="E696" i="1"/>
  <c r="B696" i="1"/>
  <c r="E695" i="1"/>
  <c r="B695" i="1"/>
  <c r="E694" i="1"/>
  <c r="B694" i="1"/>
  <c r="E693" i="1"/>
  <c r="B693" i="1"/>
  <c r="E692" i="1"/>
  <c r="B692" i="1"/>
  <c r="E691" i="1"/>
  <c r="B691" i="1"/>
  <c r="E690" i="1"/>
  <c r="B690" i="1"/>
  <c r="E689" i="1"/>
  <c r="B689" i="1"/>
  <c r="E688" i="1"/>
  <c r="B688" i="1"/>
  <c r="E687" i="1"/>
  <c r="B687" i="1"/>
  <c r="E686" i="1"/>
  <c r="B686" i="1"/>
  <c r="E685" i="1"/>
  <c r="B685" i="1"/>
  <c r="E684" i="1"/>
  <c r="B684" i="1"/>
  <c r="E683" i="1"/>
  <c r="B683" i="1"/>
  <c r="E682" i="1"/>
  <c r="B682" i="1"/>
  <c r="E681" i="1"/>
  <c r="B681" i="1"/>
  <c r="E680" i="1"/>
  <c r="B680" i="1"/>
  <c r="E679" i="1"/>
  <c r="B679" i="1"/>
  <c r="E678" i="1"/>
  <c r="B678" i="1"/>
  <c r="E661" i="1"/>
  <c r="B661" i="1"/>
  <c r="E660" i="1"/>
  <c r="B660" i="1"/>
  <c r="E659" i="1"/>
  <c r="B659" i="1"/>
  <c r="E658" i="1"/>
  <c r="B658" i="1"/>
  <c r="E657" i="1"/>
  <c r="B657" i="1"/>
  <c r="E656" i="1"/>
  <c r="B656" i="1"/>
  <c r="E655" i="1"/>
  <c r="B655" i="1"/>
  <c r="E654" i="1"/>
  <c r="B654" i="1"/>
  <c r="E653" i="1"/>
  <c r="B653" i="1"/>
  <c r="E652" i="1"/>
  <c r="B652" i="1"/>
  <c r="E651" i="1"/>
  <c r="B651" i="1"/>
  <c r="E650" i="1"/>
  <c r="B650" i="1"/>
  <c r="E649" i="1"/>
  <c r="B649" i="1"/>
  <c r="E648" i="1"/>
  <c r="B648" i="1"/>
  <c r="E647" i="1"/>
  <c r="B647" i="1"/>
  <c r="E646" i="1"/>
  <c r="B646" i="1"/>
  <c r="E645" i="1"/>
  <c r="B645" i="1"/>
  <c r="E644" i="1"/>
  <c r="B644" i="1"/>
  <c r="E643" i="1"/>
  <c r="B643" i="1"/>
  <c r="E626" i="1"/>
  <c r="B626" i="1"/>
  <c r="E625" i="1"/>
  <c r="B625" i="1"/>
  <c r="E624" i="1"/>
  <c r="B624" i="1"/>
  <c r="E623" i="1"/>
  <c r="B623" i="1"/>
  <c r="E622" i="1"/>
  <c r="B622" i="1"/>
  <c r="E621" i="1"/>
  <c r="B621" i="1"/>
  <c r="E620" i="1"/>
  <c r="B620" i="1"/>
  <c r="E619" i="1"/>
  <c r="B619" i="1"/>
  <c r="E618" i="1"/>
  <c r="B618" i="1"/>
  <c r="E617" i="1"/>
  <c r="B617" i="1"/>
  <c r="E616" i="1"/>
  <c r="B616" i="1"/>
  <c r="E615" i="1"/>
  <c r="B615" i="1"/>
  <c r="E614" i="1"/>
  <c r="B614" i="1"/>
  <c r="E613" i="1"/>
  <c r="B613" i="1"/>
  <c r="E612" i="1"/>
  <c r="B612" i="1"/>
  <c r="E611" i="1"/>
  <c r="B611" i="1"/>
  <c r="E610" i="1"/>
  <c r="B610" i="1"/>
  <c r="E609" i="1"/>
  <c r="B609" i="1"/>
  <c r="E608" i="1"/>
  <c r="B608" i="1"/>
  <c r="E591" i="1"/>
  <c r="B591" i="1"/>
  <c r="E590" i="1"/>
  <c r="B590" i="1"/>
  <c r="E589" i="1"/>
  <c r="B589" i="1"/>
  <c r="E588" i="1"/>
  <c r="B588" i="1"/>
  <c r="E587" i="1"/>
  <c r="B587" i="1"/>
  <c r="E586" i="1"/>
  <c r="B586" i="1"/>
  <c r="E585" i="1"/>
  <c r="B585" i="1"/>
  <c r="E584" i="1"/>
  <c r="B584" i="1"/>
  <c r="E583" i="1"/>
  <c r="B583" i="1"/>
  <c r="E582" i="1"/>
  <c r="B582" i="1"/>
  <c r="E581" i="1"/>
  <c r="B581" i="1"/>
  <c r="E580" i="1"/>
  <c r="B580" i="1"/>
  <c r="E579" i="1"/>
  <c r="B579" i="1"/>
  <c r="E578" i="1"/>
  <c r="B578" i="1"/>
  <c r="E577" i="1"/>
  <c r="B577" i="1"/>
  <c r="E576" i="1"/>
  <c r="B576" i="1"/>
  <c r="E575" i="1"/>
  <c r="B575" i="1"/>
  <c r="E574" i="1"/>
  <c r="B574" i="1"/>
  <c r="E573" i="1"/>
  <c r="B573" i="1"/>
  <c r="E556" i="1"/>
  <c r="B556" i="1"/>
  <c r="E555" i="1"/>
  <c r="B555" i="1"/>
  <c r="E554" i="1"/>
  <c r="B554" i="1"/>
  <c r="E553" i="1"/>
  <c r="B553" i="1"/>
  <c r="E552" i="1"/>
  <c r="B552" i="1"/>
  <c r="E551" i="1"/>
  <c r="B551" i="1"/>
  <c r="E550" i="1"/>
  <c r="B550" i="1"/>
  <c r="E549" i="1"/>
  <c r="B549" i="1"/>
  <c r="E548" i="1"/>
  <c r="B548" i="1"/>
  <c r="E547" i="1"/>
  <c r="E546" i="1"/>
  <c r="B546" i="1"/>
  <c r="E545" i="1"/>
  <c r="B545" i="1"/>
  <c r="E544" i="1"/>
  <c r="B544" i="1"/>
  <c r="E543" i="1"/>
  <c r="B543" i="1"/>
  <c r="E542" i="1"/>
  <c r="B542" i="1"/>
  <c r="E541" i="1"/>
  <c r="B541" i="1"/>
  <c r="E540" i="1"/>
  <c r="B540" i="1"/>
  <c r="E539" i="1"/>
  <c r="B539" i="1"/>
  <c r="E538" i="1"/>
  <c r="B538" i="1"/>
  <c r="E521" i="1"/>
  <c r="B521" i="1"/>
  <c r="E520" i="1"/>
  <c r="B520" i="1"/>
  <c r="E519" i="1"/>
  <c r="B519" i="1"/>
  <c r="E518" i="1"/>
  <c r="B518" i="1"/>
  <c r="E517" i="1"/>
  <c r="B517" i="1"/>
  <c r="E516" i="1"/>
  <c r="B516" i="1"/>
  <c r="E515" i="1"/>
  <c r="B515" i="1"/>
  <c r="E514" i="1"/>
  <c r="B514" i="1"/>
  <c r="E513" i="1"/>
  <c r="B513" i="1"/>
  <c r="E512" i="1"/>
  <c r="B512" i="1"/>
  <c r="E511" i="1"/>
  <c r="B511" i="1"/>
  <c r="E510" i="1"/>
  <c r="B510" i="1"/>
  <c r="E509" i="1"/>
  <c r="B509" i="1"/>
  <c r="E508" i="1"/>
  <c r="B508" i="1"/>
  <c r="E507" i="1"/>
  <c r="B507" i="1"/>
  <c r="E506" i="1"/>
  <c r="B506" i="1"/>
  <c r="E505" i="1"/>
  <c r="B505" i="1"/>
  <c r="E504" i="1"/>
  <c r="B504" i="1"/>
  <c r="E503" i="1"/>
  <c r="B503" i="1"/>
  <c r="E486" i="1"/>
  <c r="B486" i="1"/>
  <c r="E485" i="1"/>
  <c r="B485" i="1"/>
  <c r="E484" i="1"/>
  <c r="B484" i="1"/>
  <c r="E483" i="1"/>
  <c r="B483" i="1"/>
  <c r="E482" i="1"/>
  <c r="B482" i="1"/>
  <c r="E481" i="1"/>
  <c r="B481" i="1"/>
  <c r="E480" i="1"/>
  <c r="B480" i="1"/>
  <c r="E479" i="1"/>
  <c r="B479" i="1"/>
  <c r="E478" i="1"/>
  <c r="B478" i="1"/>
  <c r="E477" i="1"/>
  <c r="B477" i="1"/>
  <c r="E476" i="1"/>
  <c r="B476" i="1"/>
  <c r="E475" i="1"/>
  <c r="B475" i="1"/>
  <c r="E474" i="1"/>
  <c r="B474" i="1"/>
  <c r="E473" i="1"/>
  <c r="B473" i="1"/>
  <c r="E472" i="1"/>
  <c r="B472" i="1"/>
  <c r="E471" i="1"/>
  <c r="B471" i="1"/>
  <c r="E470" i="1"/>
  <c r="B470" i="1"/>
  <c r="E469" i="1"/>
  <c r="B469" i="1"/>
  <c r="E468" i="1"/>
  <c r="B468" i="1"/>
  <c r="E451" i="1"/>
  <c r="B451" i="1"/>
  <c r="E450" i="1"/>
  <c r="B450" i="1"/>
  <c r="E449" i="1"/>
  <c r="B449" i="1"/>
  <c r="E448" i="1"/>
  <c r="B448" i="1"/>
  <c r="E447" i="1"/>
  <c r="B447" i="1"/>
  <c r="E446" i="1"/>
  <c r="B446" i="1"/>
  <c r="E445" i="1"/>
  <c r="B445" i="1"/>
  <c r="E444" i="1"/>
  <c r="B444" i="1"/>
  <c r="E443" i="1"/>
  <c r="B443" i="1"/>
  <c r="E442" i="1"/>
  <c r="B442" i="1"/>
  <c r="E441" i="1"/>
  <c r="B441" i="1"/>
  <c r="E440" i="1"/>
  <c r="B440" i="1"/>
  <c r="E439" i="1"/>
  <c r="B439" i="1"/>
  <c r="E438" i="1"/>
  <c r="B438" i="1"/>
  <c r="E437" i="1"/>
  <c r="B437" i="1"/>
  <c r="E436" i="1"/>
  <c r="B436" i="1"/>
  <c r="E435" i="1"/>
  <c r="B435" i="1"/>
  <c r="E434" i="1"/>
  <c r="B434" i="1"/>
  <c r="E433" i="1"/>
  <c r="B433" i="1"/>
  <c r="E416" i="1"/>
  <c r="B416" i="1"/>
  <c r="E415" i="1"/>
  <c r="B415" i="1"/>
  <c r="E414" i="1"/>
  <c r="B414" i="1"/>
  <c r="E413" i="1"/>
  <c r="B413" i="1"/>
  <c r="E412" i="1"/>
  <c r="B412" i="1"/>
  <c r="E411" i="1"/>
  <c r="B411" i="1"/>
  <c r="E410" i="1"/>
  <c r="B410" i="1"/>
  <c r="E409" i="1"/>
  <c r="B409" i="1"/>
  <c r="E408" i="1"/>
  <c r="B408" i="1"/>
  <c r="E407" i="1"/>
  <c r="B407" i="1"/>
  <c r="E406" i="1"/>
  <c r="B406" i="1"/>
  <c r="E405" i="1"/>
  <c r="B405" i="1"/>
  <c r="E404" i="1"/>
  <c r="B404" i="1"/>
  <c r="E403" i="1"/>
  <c r="B403" i="1"/>
  <c r="E402" i="1"/>
  <c r="B402" i="1"/>
  <c r="E401" i="1"/>
  <c r="B401" i="1"/>
  <c r="E400" i="1"/>
  <c r="B400" i="1"/>
  <c r="E399" i="1"/>
  <c r="B399" i="1"/>
  <c r="E398" i="1"/>
  <c r="B398" i="1"/>
  <c r="E381" i="1"/>
  <c r="B381" i="1"/>
  <c r="E380" i="1"/>
  <c r="B380" i="1"/>
  <c r="E379" i="1"/>
  <c r="B379" i="1"/>
  <c r="E378" i="1"/>
  <c r="B378" i="1"/>
  <c r="E377" i="1"/>
  <c r="B377" i="1"/>
  <c r="E376" i="1"/>
  <c r="B376" i="1"/>
  <c r="E375" i="1"/>
  <c r="B375" i="1"/>
  <c r="E374" i="1"/>
  <c r="B374" i="1"/>
  <c r="E373" i="1"/>
  <c r="B373" i="1"/>
  <c r="E372" i="1"/>
  <c r="B372" i="1"/>
  <c r="E371" i="1"/>
  <c r="B371" i="1"/>
  <c r="E370" i="1"/>
  <c r="B370" i="1"/>
  <c r="E369" i="1"/>
  <c r="B369" i="1"/>
  <c r="E368" i="1"/>
  <c r="B368" i="1"/>
  <c r="E367" i="1"/>
  <c r="B367" i="1"/>
  <c r="E366" i="1"/>
  <c r="B366" i="1"/>
  <c r="E365" i="1"/>
  <c r="B365" i="1"/>
  <c r="E364" i="1"/>
  <c r="B364" i="1"/>
  <c r="E363" i="1"/>
  <c r="B363" i="1"/>
  <c r="E346" i="1"/>
  <c r="B346" i="1"/>
  <c r="E345" i="1"/>
  <c r="B345" i="1"/>
  <c r="E344" i="1"/>
  <c r="B344" i="1"/>
  <c r="E343" i="1"/>
  <c r="B343" i="1"/>
  <c r="E342" i="1"/>
  <c r="B342" i="1"/>
  <c r="E341" i="1"/>
  <c r="B341" i="1"/>
  <c r="E340" i="1"/>
  <c r="B340" i="1"/>
  <c r="E339" i="1"/>
  <c r="B339" i="1"/>
  <c r="E338" i="1"/>
  <c r="B338" i="1"/>
  <c r="E337" i="1"/>
  <c r="B337" i="1"/>
  <c r="E336" i="1"/>
  <c r="B336" i="1"/>
  <c r="E335" i="1"/>
  <c r="B335" i="1"/>
  <c r="E334" i="1"/>
  <c r="B334" i="1"/>
  <c r="E333" i="1"/>
  <c r="B333" i="1"/>
  <c r="E332" i="1"/>
  <c r="B332" i="1"/>
  <c r="E331" i="1"/>
  <c r="B331" i="1"/>
  <c r="E330" i="1"/>
  <c r="B330" i="1"/>
  <c r="E329" i="1"/>
  <c r="B329" i="1"/>
  <c r="E328" i="1"/>
  <c r="B328" i="1"/>
  <c r="E311" i="1"/>
  <c r="B311" i="1"/>
  <c r="E310" i="1"/>
  <c r="B310" i="1"/>
  <c r="E309" i="1"/>
  <c r="B309" i="1"/>
  <c r="E308" i="1"/>
  <c r="B308" i="1"/>
  <c r="E307" i="1"/>
  <c r="B307" i="1"/>
  <c r="E306" i="1"/>
  <c r="B306" i="1"/>
  <c r="E305" i="1"/>
  <c r="B305" i="1"/>
  <c r="E304" i="1"/>
  <c r="B304" i="1"/>
  <c r="E303" i="1"/>
  <c r="B303" i="1"/>
  <c r="E302" i="1"/>
  <c r="B302" i="1"/>
  <c r="E301" i="1"/>
  <c r="B301" i="1"/>
  <c r="E300" i="1"/>
  <c r="B300" i="1"/>
  <c r="E299" i="1"/>
  <c r="B299" i="1"/>
  <c r="E298" i="1"/>
  <c r="B298" i="1"/>
  <c r="E297" i="1"/>
  <c r="B297" i="1"/>
  <c r="E296" i="1"/>
  <c r="B296" i="1"/>
  <c r="E295" i="1"/>
  <c r="B295" i="1"/>
  <c r="E294" i="1"/>
  <c r="B294" i="1"/>
  <c r="E293" i="1"/>
  <c r="B293" i="1"/>
  <c r="E276" i="1"/>
  <c r="B276" i="1"/>
  <c r="E275" i="1"/>
  <c r="B275" i="1"/>
  <c r="E274" i="1"/>
  <c r="B274" i="1"/>
  <c r="E273" i="1"/>
  <c r="B273" i="1"/>
  <c r="E272" i="1"/>
  <c r="B272" i="1"/>
  <c r="E271" i="1"/>
  <c r="B271" i="1"/>
  <c r="E270" i="1"/>
  <c r="B270" i="1"/>
  <c r="E269" i="1"/>
  <c r="B269" i="1"/>
  <c r="E268" i="1"/>
  <c r="B268" i="1"/>
  <c r="E267" i="1"/>
  <c r="B267" i="1"/>
  <c r="E266" i="1"/>
  <c r="B266" i="1"/>
  <c r="E265" i="1"/>
  <c r="B265" i="1"/>
  <c r="E264" i="1"/>
  <c r="B264" i="1"/>
  <c r="E263" i="1"/>
  <c r="B263" i="1"/>
  <c r="E262" i="1"/>
  <c r="B262" i="1"/>
  <c r="E261" i="1"/>
  <c r="B261" i="1"/>
  <c r="E260" i="1"/>
  <c r="B260" i="1"/>
  <c r="E259" i="1"/>
  <c r="B259" i="1"/>
  <c r="E258" i="1"/>
  <c r="B258" i="1"/>
  <c r="E241" i="1"/>
  <c r="B241" i="1"/>
  <c r="E240" i="1"/>
  <c r="B240" i="1"/>
  <c r="E239" i="1"/>
  <c r="B239" i="1"/>
  <c r="E238" i="1"/>
  <c r="B238" i="1"/>
  <c r="E237" i="1"/>
  <c r="B237" i="1"/>
  <c r="E236" i="1"/>
  <c r="B236" i="1"/>
  <c r="E235" i="1"/>
  <c r="B235" i="1"/>
  <c r="E234" i="1"/>
  <c r="B234" i="1"/>
  <c r="E233" i="1"/>
  <c r="B233" i="1"/>
  <c r="E232" i="1"/>
  <c r="B232" i="1"/>
  <c r="E231" i="1"/>
  <c r="B231" i="1"/>
  <c r="E230" i="1"/>
  <c r="B230" i="1"/>
  <c r="E229" i="1"/>
  <c r="B229" i="1"/>
  <c r="E228" i="1"/>
  <c r="B228" i="1"/>
  <c r="E227" i="1"/>
  <c r="B227" i="1"/>
  <c r="E226" i="1"/>
  <c r="B226" i="1"/>
  <c r="E225" i="1"/>
  <c r="B225" i="1"/>
  <c r="E224" i="1"/>
  <c r="B224" i="1"/>
  <c r="E223" i="1"/>
  <c r="B223" i="1"/>
  <c r="E206" i="1"/>
  <c r="B206" i="1"/>
  <c r="E205" i="1"/>
  <c r="B205" i="1"/>
  <c r="E204" i="1"/>
  <c r="B204" i="1"/>
  <c r="E203" i="1"/>
  <c r="B203" i="1"/>
  <c r="E202" i="1"/>
  <c r="B202" i="1"/>
  <c r="E201" i="1"/>
  <c r="B201" i="1"/>
  <c r="E200" i="1"/>
  <c r="B200" i="1"/>
  <c r="E199" i="1"/>
  <c r="B199" i="1"/>
  <c r="E198" i="1"/>
  <c r="B198" i="1"/>
  <c r="E197" i="1"/>
  <c r="B197" i="1"/>
  <c r="E196" i="1"/>
  <c r="B196" i="1"/>
  <c r="E195" i="1"/>
  <c r="B195" i="1"/>
  <c r="E194" i="1"/>
  <c r="B194" i="1"/>
  <c r="E193" i="1"/>
  <c r="B193" i="1"/>
  <c r="E192" i="1"/>
  <c r="B192" i="1"/>
  <c r="E191" i="1"/>
  <c r="B191" i="1"/>
  <c r="E190" i="1"/>
  <c r="B190" i="1"/>
  <c r="E189" i="1"/>
  <c r="B189" i="1"/>
  <c r="E188" i="1"/>
  <c r="B188" i="1"/>
  <c r="E171" i="1"/>
  <c r="B171" i="1"/>
  <c r="E170" i="1"/>
  <c r="B170" i="1"/>
  <c r="E169" i="1"/>
  <c r="B169" i="1"/>
  <c r="E168" i="1"/>
  <c r="B168" i="1"/>
  <c r="E167" i="1"/>
  <c r="B167" i="1"/>
  <c r="E166" i="1"/>
  <c r="B166" i="1"/>
  <c r="E165" i="1"/>
  <c r="B165" i="1"/>
  <c r="E164" i="1"/>
  <c r="B164" i="1"/>
  <c r="E163" i="1"/>
  <c r="B163" i="1"/>
  <c r="E162" i="1"/>
  <c r="B162" i="1"/>
  <c r="E161" i="1"/>
  <c r="B161" i="1"/>
  <c r="E160" i="1"/>
  <c r="B160" i="1"/>
  <c r="E159" i="1"/>
  <c r="B159" i="1"/>
  <c r="E158" i="1"/>
  <c r="B158" i="1"/>
  <c r="E157" i="1"/>
  <c r="B157" i="1"/>
  <c r="E156" i="1"/>
  <c r="B156" i="1"/>
  <c r="E155" i="1"/>
  <c r="B155" i="1"/>
  <c r="E154" i="1"/>
  <c r="B154" i="1"/>
  <c r="E153" i="1"/>
  <c r="B153" i="1"/>
  <c r="E136" i="1"/>
  <c r="B136" i="1"/>
  <c r="E135" i="1"/>
  <c r="B135" i="1"/>
  <c r="E134" i="1"/>
  <c r="B134" i="1"/>
  <c r="E133" i="1"/>
  <c r="B133" i="1"/>
  <c r="E132" i="1"/>
  <c r="B132" i="1"/>
  <c r="E131" i="1"/>
  <c r="B131" i="1"/>
  <c r="E130" i="1"/>
  <c r="B130" i="1"/>
  <c r="E129" i="1"/>
  <c r="B129" i="1"/>
  <c r="E128" i="1"/>
  <c r="B128" i="1"/>
  <c r="E127" i="1"/>
  <c r="B127" i="1"/>
  <c r="E126" i="1"/>
  <c r="B126" i="1"/>
  <c r="E125" i="1"/>
  <c r="B125" i="1"/>
  <c r="E124" i="1"/>
  <c r="B124" i="1"/>
  <c r="E123" i="1"/>
  <c r="B123" i="1"/>
  <c r="E122" i="1"/>
  <c r="B122" i="1"/>
  <c r="E121" i="1"/>
  <c r="B121" i="1"/>
  <c r="E120" i="1"/>
  <c r="B120" i="1"/>
  <c r="E119" i="1"/>
  <c r="B119" i="1"/>
  <c r="E118" i="1"/>
  <c r="B118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D38" i="1" l="1"/>
  <c r="D37" i="1"/>
  <c r="I11" i="5" l="1"/>
  <c r="I12" i="5"/>
  <c r="I10" i="5"/>
  <c r="I10" i="4" l="1"/>
  <c r="D26" i="1"/>
  <c r="D27" i="1"/>
  <c r="D17" i="1" l="1"/>
  <c r="D18" i="1"/>
  <c r="D21" i="1"/>
  <c r="D22" i="1"/>
  <c r="D24" i="1"/>
  <c r="D25" i="1"/>
  <c r="D19" i="1"/>
  <c r="D30" i="1"/>
  <c r="D33" i="1"/>
  <c r="D34" i="1"/>
  <c r="D12" i="1"/>
  <c r="D15" i="1"/>
  <c r="D9" i="1" l="1"/>
</calcChain>
</file>

<file path=xl/sharedStrings.xml><?xml version="1.0" encoding="utf-8"?>
<sst xmlns="http://schemas.openxmlformats.org/spreadsheetml/2006/main" count="1569" uniqueCount="341">
  <si>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</si>
  <si>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</si>
  <si>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</si>
  <si>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</si>
  <si>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</si>
  <si>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</si>
  <si>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</si>
  <si>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</si>
  <si>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</si>
  <si>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</si>
  <si>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</si>
  <si>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</si>
  <si>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</si>
  <si>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</si>
  <si>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</si>
  <si>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</si>
  <si>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</si>
  <si>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</si>
  <si>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</si>
  <si>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</si>
  <si>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</si>
  <si>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</si>
  <si>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ALIMENTOS</t>
  </si>
  <si>
    <t>25- Direccion Provincial de Gestion Administracion y RRHH</t>
  </si>
  <si>
    <t>ALTA</t>
  </si>
  <si>
    <t>S/E</t>
  </si>
  <si>
    <t>Especificidades Item N° 3:</t>
  </si>
  <si>
    <t>45- Ministerio de Desarrollo Social y Deporte.-</t>
  </si>
  <si>
    <t>2.1.1-482.69</t>
  </si>
  <si>
    <t>2.1.1-435.60</t>
  </si>
  <si>
    <t>2.1.1-6547.56</t>
  </si>
  <si>
    <t>2.1.1-6546.4</t>
  </si>
  <si>
    <t>2.1.1-6547.17</t>
  </si>
  <si>
    <t>2.1.1-6546.46</t>
  </si>
  <si>
    <t>2.1.1-6546.100</t>
  </si>
  <si>
    <t>2.1.1</t>
  </si>
  <si>
    <t>HARINAS; TIPO: MAIZ, PRESENTACION: ENVASE X 1 Kg, MATERIAL ENVASE: PAPEL, CERTICADO FORESTAL (GFS): SIN, ELEM. TRANSPORTE: SIN, MATERIAL ELEM. TRANSPORTE: SIN, LIBRE DE GLUTEN: NO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</si>
  <si>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</si>
  <si>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LEGUMBRES; VARIEDAD: POROTO BLANCO OVAL, ESTADO: SECO, PRESENTACION: BOLSA, PESO: 500 GR</t>
  </si>
  <si>
    <t>VERDURAS Y HORTALIZAS; VARIEDAD: TOMATE PERITA, ESTADO: TRITURADO, PRESENTACION: BOTELLA, PESO: 950 GR</t>
  </si>
  <si>
    <t>LEGUMBRES; VARIEDAD: ARVEJA, ESTADO: REMOJADO EN CONSERVA, PRESENTACION: LATA, PESO: 350 GR</t>
  </si>
  <si>
    <t>VERDURAS Y HORTALIZAS; VARIEDAD: CEBOLLA, ESTADO: NATURAL, PRESENTACION: GRANEL, PESO: SIN VALOR</t>
  </si>
  <si>
    <t>VERDURAS Y HORTALIZAS; ESTADO: NATURAL, PRESENTACION: GRANEL, VARIEDAD: PAPA BLANCA, PESO: SIN VALOR</t>
  </si>
  <si>
    <t>2.1.1-6546.403</t>
  </si>
  <si>
    <t>2.1.1-6546.95</t>
  </si>
  <si>
    <t>2.1.1-6546.401</t>
  </si>
  <si>
    <t>2.1.1-6546.47</t>
  </si>
  <si>
    <t>2.1.1-6546.162</t>
  </si>
  <si>
    <t>2.1.1-541.7</t>
  </si>
  <si>
    <t>2.1.1-541.49</t>
  </si>
  <si>
    <t>VERDURAS Y HORTALIZAS; VARIEDAD: ZANAHORIA, ESTADO: NATURAL, PRESENTACION: BOLSA, PESO: NO CORRESPONDE, ELEM. TRANSPORTE: SIN, MATERIAL ELEM. TRANSPORTE: SIN, LIBRE DE GLUTEN: SI, ORGANICO: NO</t>
  </si>
  <si>
    <t>VERDURAS Y HORTALIZAS; VARIEDAD: MORRON VERDE, ESTADO: NATURAL, PRESENTACION: GRANEL, PESO: SIN VALOR</t>
  </si>
  <si>
    <t>VERDURAS Y HORTALIZAS; VARIEDAD: AJO, ESTADO: NATURAL, PRESENTACION: UNIDAD, PESO: NO CORRESPONDE, ELEM. TRANSPORTE: SIN, MATERIAL ELEM. TRANSPORTE: SIN, LIBRE DE GLUTEN: SI, ORGANICO: NO</t>
  </si>
  <si>
    <t>VERDURAS Y HORTALIZAS; VARIEDAD: CEBOLLA DE VERDEO, ESTADO: NATURAL, PRESENTACION: GRANEL, PESO: SIN VALOR</t>
  </si>
  <si>
    <t>VERDURAS Y HORTALIZAS; VARIEDAD: ZAPALLO CRIOLLO, ESTADO: NATURAL, PRESENTACION: UNIDAD, PESO: SIN VALOR</t>
  </si>
  <si>
    <t>CARNES; ESPECIE: VACUNA, CORTE: PICADA ESPECIAL, TIPO: VACUNA</t>
  </si>
  <si>
    <t>CARNES; ESPECIE: VACUNA, CORTE: NALGA, TIPO: VACUNA</t>
  </si>
  <si>
    <t>2.1.1-489.132</t>
  </si>
  <si>
    <t>2.1.1-489.66</t>
  </si>
  <si>
    <t>2.1.1-489.67</t>
  </si>
  <si>
    <t>2.1.1-489.109</t>
  </si>
  <si>
    <t>2.1.1-514.15</t>
  </si>
  <si>
    <t>ESPECIAS; TIPO: PIMIENTA BLANCA, PRESENTACION: ENVASE X 1 Kg</t>
  </si>
  <si>
    <t>ESPECIAS; TIPO: OREGANO, PRESENTACION: BOLSA DE 1 Kg</t>
  </si>
  <si>
    <t>ESPECIAS; TIPO: PIMENTON, PRESENTACION: BOLSA DE 1 Kg</t>
  </si>
  <si>
    <t>ESPECIAS; TIPO: PROVENZAL, PRESENTACION: PAQUETE X 1 Kg</t>
  </si>
  <si>
    <t>SAL DE MESA; CONSISTENCIA: GRUESA, ENVASE: BOLSA, PESO: 1 Kg, TIPO: SIN VALOR</t>
  </si>
  <si>
    <t>2.5.6-798.8</t>
  </si>
  <si>
    <t>COMBUSTIBLES Y LUBRICANTES</t>
  </si>
  <si>
    <t>2.5.6</t>
  </si>
  <si>
    <t>GAS EN GARRAFA; CAPACIDAD: 10 Kg</t>
  </si>
  <si>
    <t>ELEMENTOS DE LIMPIEZA</t>
  </si>
  <si>
    <t>2.9.1</t>
  </si>
  <si>
    <t>2.1.1-6546.148</t>
  </si>
  <si>
    <t>VERDURAS Y HORTALIZAS; VARIEDAD: ZAPALLITO LARGO, ESTADO: NATURAL, PRESENTACION: CAJON, PESO: SIN VALOR</t>
  </si>
  <si>
    <t>2.1.1-669.32</t>
  </si>
  <si>
    <t>PANES; PRESENTACION: UNIDAD, TIPO: BAGUETTE</t>
  </si>
  <si>
    <t xml:space="preserve">UNIDAD </t>
  </si>
  <si>
    <t>KG</t>
  </si>
  <si>
    <t>LITROS</t>
  </si>
  <si>
    <t>2.1.1-621.3</t>
  </si>
  <si>
    <t>AVES; PRESENTACION: TROZADO SIN PIEL, ESPECIE: POLLO, EVISCERADO: SIN VALOR, TIPO: POLLO</t>
  </si>
  <si>
    <t>GARRAFA X 10 KGS. TIPO COMERCIAL</t>
  </si>
  <si>
    <t>2.9.1-6951.30</t>
  </si>
  <si>
    <t>2.9.1-6951.12</t>
  </si>
  <si>
    <t>2.9.1-4784.51</t>
  </si>
  <si>
    <t>LIMPIADORES; TIPO: LAVANDINA, PRESENTACION: ENVASE X 5 L</t>
  </si>
  <si>
    <t>LIMPIADORES; PRESENTACION: ENVASE X 5 L, TIPO: DETERGENTE</t>
  </si>
  <si>
    <t>LIMPIADORES MULTIUSO; COMPUESTOS BIODEGRADABLES: SI, PRESENTACION: ENVASE X 5 L, TIPO: DESENGRASANTE</t>
  </si>
  <si>
    <t>PRESENTACION EN BIDONES PLASTICOS POR 5LTS.</t>
  </si>
  <si>
    <t>2.1.1-6539.8</t>
  </si>
  <si>
    <t>2.1.1-6539.19</t>
  </si>
  <si>
    <t>2.1.1-6539.30</t>
  </si>
  <si>
    <t>2.1.1-6539.32</t>
  </si>
  <si>
    <t>FRUTAS; VARIEDAD: NARANJA ESPECIAL, ESTADO: NATURAL, PRESENTACION: CAJON, PESO: SIN VALOR</t>
  </si>
  <si>
    <t>FRUTAS; ESTADO: NATURAL, VARIEDAD: MANZANA RED ELEGIDA, PRESENTACION: CAJON, PESO: SIN VALOR</t>
  </si>
  <si>
    <t>FRUTAS; VARIEDAD: BANANA, PRESENTACION: CAJON, ESTADO: NATURAL, PESO: SIN VALOR</t>
  </si>
  <si>
    <t>FRUTAS; VARIEDAD: PERA AMARILLA, ESTADO: NATURAL, PRESENTACION: CAJON, PESO: SIN VALOR</t>
  </si>
  <si>
    <t>SEMANAL</t>
  </si>
  <si>
    <t>COMEDOR</t>
  </si>
  <si>
    <t>DOMICILIO DE ENTREGA</t>
  </si>
  <si>
    <t>60 DIAS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</si>
  <si>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</si>
  <si>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</si>
  <si>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</si>
  <si>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</si>
  <si>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</si>
  <si>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</si>
  <si>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</si>
  <si>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</si>
  <si>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</si>
  <si>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</si>
  <si>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</si>
  <si>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</si>
  <si>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</si>
  <si>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</si>
  <si>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</si>
  <si>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</si>
  <si>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</si>
  <si>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</si>
  <si>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</si>
  <si>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</si>
  <si>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</si>
  <si>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</si>
  <si>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</si>
  <si>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</si>
  <si>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</si>
  <si>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</si>
  <si>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</si>
  <si>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24 KG</t>
  </si>
  <si>
    <t>18 KG</t>
  </si>
  <si>
    <t>35 KG</t>
  </si>
  <si>
    <t>41 KG</t>
  </si>
  <si>
    <t>33 KG</t>
  </si>
  <si>
    <t>15 KG</t>
  </si>
  <si>
    <t>20 KG</t>
  </si>
  <si>
    <t>30 KG</t>
  </si>
  <si>
    <t>45 KG</t>
  </si>
  <si>
    <t>53 KG</t>
  </si>
  <si>
    <t>38 KG</t>
  </si>
  <si>
    <t>27 KG</t>
  </si>
  <si>
    <t>26 KG</t>
  </si>
  <si>
    <t>25 KG</t>
  </si>
  <si>
    <t>11 KG</t>
  </si>
  <si>
    <t>14 KG</t>
  </si>
  <si>
    <t>13 KG</t>
  </si>
  <si>
    <t>22 KG</t>
  </si>
  <si>
    <t>39 KG</t>
  </si>
  <si>
    <t>28 KG</t>
  </si>
  <si>
    <t>19 KG</t>
  </si>
  <si>
    <t>32 KG</t>
  </si>
  <si>
    <t>46 KG</t>
  </si>
  <si>
    <t>54 KG</t>
  </si>
  <si>
    <t>44 KG</t>
  </si>
  <si>
    <t>40 KG</t>
  </si>
  <si>
    <t>60 KG</t>
  </si>
  <si>
    <t>70 KG</t>
  </si>
  <si>
    <t>50 KG</t>
  </si>
  <si>
    <t>36 KG</t>
  </si>
  <si>
    <t>34 KG</t>
  </si>
  <si>
    <t>21 KG</t>
  </si>
  <si>
    <t>9 KG</t>
  </si>
  <si>
    <t>12 KG</t>
  </si>
  <si>
    <t>23 KG</t>
  </si>
  <si>
    <t>16 KG</t>
  </si>
  <si>
    <t>64 KG</t>
  </si>
  <si>
    <t>76 KG</t>
  </si>
  <si>
    <t>62 KG</t>
  </si>
  <si>
    <t>56 KG</t>
  </si>
  <si>
    <t>84 KG</t>
  </si>
  <si>
    <t>98 KG</t>
  </si>
  <si>
    <t>48 KG</t>
  </si>
  <si>
    <t>47 KG</t>
  </si>
  <si>
    <t>81 KG</t>
  </si>
  <si>
    <t>95 KG</t>
  </si>
  <si>
    <t>77 KG</t>
  </si>
  <si>
    <t>42 KG</t>
  </si>
  <si>
    <t>105 KG</t>
  </si>
  <si>
    <t>123 KG</t>
  </si>
  <si>
    <t>88 KG</t>
  </si>
  <si>
    <t>63 KG</t>
  </si>
  <si>
    <t>59 KG</t>
  </si>
  <si>
    <t>51 KG</t>
  </si>
  <si>
    <t>29 KG</t>
  </si>
  <si>
    <t>66 KG</t>
  </si>
  <si>
    <t>55 KG</t>
  </si>
  <si>
    <t>37 KG</t>
  </si>
  <si>
    <t>10 KG</t>
  </si>
  <si>
    <t>17 KG</t>
  </si>
  <si>
    <t>49 KG</t>
  </si>
  <si>
    <t>31 KG</t>
  </si>
  <si>
    <t>92 KG</t>
  </si>
  <si>
    <t>108 KG</t>
  </si>
  <si>
    <t>52 KG</t>
  </si>
  <si>
    <t>80 KG</t>
  </si>
  <si>
    <t>120 KG</t>
  </si>
  <si>
    <t>140 KG</t>
  </si>
  <si>
    <t>100 KG</t>
  </si>
  <si>
    <t>72 KG</t>
  </si>
  <si>
    <t>69 KG</t>
  </si>
  <si>
    <t>67 KG</t>
  </si>
  <si>
    <t>QUINCENAL</t>
  </si>
  <si>
    <t>2 KG</t>
  </si>
  <si>
    <t>SEMANAL INTERCALANDO CON ITEM 29</t>
  </si>
  <si>
    <t>SEMANAL INTERCALANDO CON ITEM 30</t>
  </si>
  <si>
    <t>SEMANAL INTERCALANDO CON ITEM 28</t>
  </si>
  <si>
    <t>SEMANAL INTERCALANDO CON ITEM 27</t>
  </si>
  <si>
    <t>AV. RIVIERA DEL VALLE ENTRE FLORIDA Y SANTA FE</t>
  </si>
  <si>
    <t>Bº RIVERA DEL VALLE ENTRE VILLA EUMELIA Y MONTE CRISTO</t>
  </si>
  <si>
    <t>Bº MUNICIPAL 35VV. NORTE C/14</t>
  </si>
  <si>
    <t>CLUB DEPORTIVO CHACARITA</t>
  </si>
  <si>
    <t>CALLE DR.DERMIDIO GALINDEZ C/2660</t>
  </si>
  <si>
    <t>LA MORO</t>
  </si>
  <si>
    <t>MAIPU NORTE 1º ETAPA MZA "H" Bº MI JARDIN</t>
  </si>
  <si>
    <t>PAPA FRANCISCO</t>
  </si>
  <si>
    <t>ENTRE AV.TEREBINTO Y AV.SAN JUAN LOTE "2" MZA. "B"</t>
  </si>
  <si>
    <t>E.P.C - 100 V.V NORTE</t>
  </si>
  <si>
    <t>Bº VV NORTE C/48 ENTRE ESPAÑA Y FRANCIA</t>
  </si>
  <si>
    <t>Bº SANTA MARTA MZA. "S" LOTE "M" C/39</t>
  </si>
  <si>
    <t>LA LUCIERNAGA</t>
  </si>
  <si>
    <t>Bº 20 V.V NORTE C/3</t>
  </si>
  <si>
    <t>VALLE VIEJO - SUMALAO</t>
  </si>
  <si>
    <t>PADRE SEGURA S/N</t>
  </si>
  <si>
    <t>Bº LAS VIAS OESTE LOTE 42</t>
  </si>
  <si>
    <t>SAN JOSE OBRERO</t>
  </si>
  <si>
    <t>Bº SAN JOSE OBRERO. PJE. SANDOVAL S/Nº</t>
  </si>
  <si>
    <t>VIRGEN DE LUJAN</t>
  </si>
  <si>
    <t>Bº OJO DE AGUA C/DR.TEODULFO BARRIONUEVO S/Nº</t>
  </si>
  <si>
    <t>RENACER</t>
  </si>
  <si>
    <t>Bº VIRGEN MORENITA</t>
  </si>
  <si>
    <t>CENTRO VECINAL MI JARDIN</t>
  </si>
  <si>
    <t>C/ LOS TULIPANES ENTRE FLOR DE CEREZO Y HOLANDA MZA.27 Bº MI JARDIN</t>
  </si>
  <si>
    <t>LA VIEJA ESQUINA</t>
  </si>
  <si>
    <t>B° CRISTO REY PJE CAPATAZ VILLAFAÑEZ Y ARMANDO CORREA</t>
  </si>
  <si>
    <t>GAUCHITO GIL</t>
  </si>
  <si>
    <t>B° 26 VIVIENDAS CASA N° 3</t>
  </si>
  <si>
    <t>2.1.1-439.67</t>
  </si>
  <si>
    <t>ACEITES COMESTIBLES; TIPO: GIRASOL, PRESENTACION: ENVASE X 900 CM3, MATERIAL ENVASE: PLASTICO 1 (PET), ELEM. TRANSPORTE: SIN, MATERIAL ELEM. TRANSPORTE : SIN, LIBRE DE GLUTEN: NO</t>
  </si>
  <si>
    <t>LEGUMBRES; VARIEDAD: LENTEJA, ESTADO: NATURAL, PRESENTACION: BOLSA PLASTICA, PESO: 500 GR</t>
  </si>
  <si>
    <t>2.1.1-6547.22</t>
  </si>
  <si>
    <t>MAIZ; TIPO: BLANCO PISADO, PRESENTACION: ENVASE X 500 GR, FORMA DE PRESENTACION: SIN VALOR</t>
  </si>
  <si>
    <t>2.1.1-2616.9</t>
  </si>
  <si>
    <t>SAL DE MESA; CONSISTENCIA: FINA, PESO: 500 GR, TIPO: SIN VALOR, ENVASE: PAQUETE</t>
  </si>
  <si>
    <t>2.1.1-514.2</t>
  </si>
  <si>
    <t>7 KG</t>
  </si>
  <si>
    <t>8 KG</t>
  </si>
  <si>
    <t>*SE REALIZA LA ENTREGA DE 20 UNIDADES POR SEMANA (1 POR CADA COMEDOR) LO QUE HACE UNA SUMA DE 80 UNIDADES MENSUALES  QUE REPRESENTAN UN TOTAL DE 240 UNIDADES TRIMESTRALES</t>
  </si>
  <si>
    <t>2.1.1-483.33</t>
  </si>
  <si>
    <t>HUEVO DE GALLINA; TAMAÑO: MEDIANOS, COLOR: BLANCOS, PRESENTACION: 30</t>
  </si>
  <si>
    <t>2.1.1-6546.158</t>
  </si>
  <si>
    <t>VERDURAS Y HORTALIZAS; ESTADO: NATURAL, VARIEDAD: ZAPALLO ANCO, PRESENTACION: GRANEL, PESO: SIN VALOR</t>
  </si>
  <si>
    <t>2.1.1-669.25</t>
  </si>
  <si>
    <t>PANES; TIPO: RALLADO, PRESENTACION: BOLSA DE 1000 GR</t>
  </si>
  <si>
    <t>JIREH LOTEO SUSSEX</t>
  </si>
  <si>
    <t>B° LA RIVERA CASA N° 28</t>
  </si>
  <si>
    <t>Bº SAN CARLOS OESTE AV. BONIFACIO COBACHO N° 670</t>
  </si>
  <si>
    <t xml:space="preserve">UNA SONRISA </t>
  </si>
  <si>
    <t xml:space="preserve">C.I.F Nº1 </t>
  </si>
  <si>
    <t>ESFUERZO PROPIO</t>
  </si>
  <si>
    <t xml:space="preserve">C.I.F - RIVERA DEL VALLE </t>
  </si>
  <si>
    <t xml:space="preserve">HOGAR DE CRISTO </t>
  </si>
  <si>
    <t xml:space="preserve">NUESTRO FUTURO </t>
  </si>
  <si>
    <t>CORAZONES FELICES</t>
  </si>
  <si>
    <t>LOTEO PARQUE SUR MZ 1 LOTE N° 21</t>
  </si>
  <si>
    <t>2.1.1-669.35</t>
  </si>
  <si>
    <t>PANES; TIPO: FRANCES, PRESENTACION: GRANEL</t>
  </si>
  <si>
    <t>2.1.1-6547.55</t>
  </si>
  <si>
    <t>LEGUMBRES; VARIEDAD: POROTO SECO, ESTADO: SECA Y CONSERVADA, PRESENTACION: BOLSA PLASTICA, PESO: 1 Kg</t>
  </si>
  <si>
    <t>2.1.1-2616.6</t>
  </si>
  <si>
    <t>MAIZ; TIPO: BLANCO, PRESENTACION: PAQUETE X 1 Kg, FORMA DE PRESENTACION: PISADO</t>
  </si>
  <si>
    <t>2.1.1-2431.13</t>
  </si>
  <si>
    <t>CALDOS; GUSTO: VERDURA, TIPO: DESHIDRATADO, PRESENTACION: ENVASE X 12 UN</t>
  </si>
  <si>
    <t>VERDURAS Y HORTALIZAS; VARIEDAD: PEREJIL, ESTADO: NATURAL, PRESENTACION: GRANEL, PESO: SIN VALOR</t>
  </si>
  <si>
    <t>2.1.1-6546.132</t>
  </si>
  <si>
    <t>2.5.6-798.7</t>
  </si>
  <si>
    <t>GAS EN GARRAFA; CAPACIDAD: 45 Kg</t>
  </si>
  <si>
    <t>GARRAFA X 45 KGS. TIPO COMERCIAL</t>
  </si>
  <si>
    <t>CADA 20 DIAS</t>
  </si>
  <si>
    <t>*SE REALIZA LA ENTREGA DE 3 UNIDADES CADA 20 DIAS (1 POR CADA COMEDOR) LO QUE HACE UNA SUMA DE 9 UNIDADES BIMESTRALES  QUE REPRESENTAN UN TOTAL DE 27 UNIDADES SEMESTRALES</t>
  </si>
  <si>
    <t>TRIMESTRE</t>
  </si>
  <si>
    <t>*SE REALIZA LA ENTREGA DE 34 UNIDADES POR SEMANA (2 POR CADA COMEDOR) LO QUE HACE UNA SUMA DE 136 UNIDADES MENSUALES  QUE REPRESENTAN UN TOTAL DE 816 UNIDADES SEMESTRALES</t>
  </si>
  <si>
    <t>2.1.1-2868.59</t>
  </si>
  <si>
    <t>FIDEOS SECOS; VARIEDAD: MOSTACHOLES, RELLENO: SIN, PRESENTACION: ENVASE X 500 GR, MATERIAL ENVASE: PVC, ELEM. TRANSPORTE: CAJA, MATERIAL ELEM. TRANSPORTE: CARTON, CERTIFICADO FORESTAL (GFS): SIN, LIBRE DE GLUTEN: NO</t>
  </si>
  <si>
    <t>NOTA DE PEDIDO</t>
  </si>
  <si>
    <t>N°</t>
  </si>
  <si>
    <t>203/2022</t>
  </si>
  <si>
    <t xml:space="preserve">JURISDICCIÓN: </t>
  </si>
  <si>
    <t>SAF:</t>
  </si>
  <si>
    <t>UNIDAD EJECUTORA:</t>
  </si>
  <si>
    <t xml:space="preserve">DEPENDENCIA SOLICITANTE: </t>
  </si>
  <si>
    <t>01- Actividad Central</t>
  </si>
  <si>
    <t>PERIODO UTILIZACIÓN:</t>
  </si>
  <si>
    <t>OBJETO:</t>
  </si>
  <si>
    <t>Adquisición de Alimentos para asistir a Personas de escasos Recursos a traves de los Comedores Emergentes.-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</si>
  <si>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</si>
  <si>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</si>
  <si>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</si>
  <si>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</si>
  <si>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</si>
  <si>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</si>
  <si>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</si>
  <si>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Importe Estimado</t>
  </si>
  <si>
    <t>SI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</si>
  <si>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</si>
  <si>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</si>
  <si>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</si>
  <si>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</si>
  <si>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"Autorizo la realización de los  trámites correspondientes, a fin de proveer a  este Organismo los bienes y/o servicios que se detallan en Nota  de Pedido N° 203/22,  afectando la erogación resultante a los créditos presupuestarios aprobados a favor de esta Unidad Ejecutora, conforme al siguiente detalle:"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</si>
  <si>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</si>
  <si>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</si>
  <si>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</si>
  <si>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</si>
  <si>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</si>
  <si>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</si>
  <si>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</si>
  <si>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</si>
  <si>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</si>
  <si>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</si>
  <si>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</si>
  <si>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</si>
  <si>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</si>
  <si>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</si>
  <si>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</si>
  <si>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</si>
  <si>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</si>
  <si>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Alimentos para Personas</t>
  </si>
  <si>
    <t>JUSTIFICACIÓN:</t>
  </si>
  <si>
    <t>PAQUETE</t>
  </si>
  <si>
    <t>BOLSA</t>
  </si>
  <si>
    <t>MAPLE</t>
  </si>
  <si>
    <t>BOTELLA</t>
  </si>
  <si>
    <t>LATA</t>
  </si>
  <si>
    <t>CABEZA</t>
  </si>
  <si>
    <t>ATADO</t>
  </si>
  <si>
    <t>CAJON</t>
  </si>
  <si>
    <t>CAJA</t>
  </si>
  <si>
    <t>Costo total estimado:  TOTAL DE PESOS: NOVENTA Y CUATRO MILLONES CUATROCIENTOS TREINTA Y UN MIL QUINIENTOS SESENTA Y CUATRO CON 00/100.-</t>
  </si>
  <si>
    <t>TOTAL DE PESOS: NOVENTA Y CUATRO MILLONES CUATROCIENTOS TREINTA Y UN MIL QUINIENTOS SESENTA Y CUATRO CON 00/100.-</t>
  </si>
  <si>
    <t>20 - Direccion Provincial de Programas Alimentarias</t>
  </si>
  <si>
    <t>45- Ministerio de Desarrollo Social.-</t>
  </si>
  <si>
    <t>45- Ministerio de Desarrollo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</si>
</sst>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_ &quot;$&quot;\ * #,##0.00_ ;_ &quot;$&quot;\ * \-#,##0.00_ ;_ &quot;$&quot;\ * &quot;-&quot;??_ ;_ @_ "/>
    <numFmt numFmtId="165" formatCode="_-* #,##0.00&quot; €&quot;_-;\-* #,##0.00&quot; €&quot;_-;_-* \-??&quot; €&quot;_-;_-@_-"/>
    <numFmt numFmtId="166" formatCode="[$$-2C0A]\ #,##0.00;[$$-2C0A]&quot; -&quot;#,##0.00"/>
    <numFmt numFmtId="167" formatCode="&quot;$&quot;\ #,##0.00"/>
    <numFmt numFmtId="168" formatCode="[$$-2C0A]\ #,##0.00"/>
    <numFmt numFmtId="169" formatCode="dd\-mm\-yy;@"/>
    <numFmt numFmtId="170" formatCode="_(\$* #,##0.00_);_(\$* \(#,##0.00\);_(\$* \-??_);_(@_)"/>
  </numFmts>
  <fonts count="3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9"/>
      <color rgb="FFFF0000"/>
      <name val="Times New Roman"/>
      <family val="1"/>
    </font>
    <font>
      <b/>
      <sz val="9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9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name val="Arial"/>
      <family val="2"/>
    </font>
    <font>
      <b/>
      <sz val="11"/>
      <color rgb="FFFF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7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3" fillId="0" borderId="0" applyBorder="0" applyProtection="0"/>
    <xf numFmtId="0" fontId="1" fillId="0" borderId="1" applyProtection="0"/>
    <xf numFmtId="0" fontId="2" fillId="2" borderId="0" applyBorder="0" applyProtection="0"/>
    <xf numFmtId="170" fontId="19" fillId="0" borderId="0" applyBorder="0" applyProtection="0"/>
  </cellStyleXfs>
  <cellXfs count="279">
    <xf numFmtId="0" fontId="0" fillId="0" borderId="0" xfId="0"/>
    <xf numFmtId="0" fontId="4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1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0" xfId="0" applyFont="1" applyBorder="1"/>
    <xf numFmtId="0" fontId="4" fillId="0" borderId="13" xfId="0" applyFont="1" applyBorder="1"/>
    <xf numFmtId="0" fontId="11" fillId="0" borderId="12" xfId="0" applyFont="1" applyBorder="1" applyAlignment="1">
      <alignment horizontal="left" indent="3"/>
    </xf>
    <xf numFmtId="0" fontId="4" fillId="0" borderId="12" xfId="0" applyFont="1" applyBorder="1" applyAlignment="1">
      <alignment horizontal="left" indent="3"/>
    </xf>
    <xf numFmtId="0" fontId="4" fillId="0" borderId="0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left" indent="3"/>
    </xf>
    <xf numFmtId="0" fontId="4" fillId="0" borderId="15" xfId="0" applyFont="1" applyBorder="1"/>
    <xf numFmtId="0" fontId="4" fillId="0" borderId="16" xfId="0" applyFont="1" applyBorder="1"/>
    <xf numFmtId="0" fontId="12" fillId="3" borderId="0" xfId="0" applyFont="1" applyFill="1" applyAlignment="1">
      <alignment horizontal="left" wrapText="1" indent="1"/>
    </xf>
    <xf numFmtId="0" fontId="8" fillId="0" borderId="0" xfId="0" applyFont="1" applyAlignment="1">
      <alignment horizontal="left" wrapText="1"/>
    </xf>
    <xf numFmtId="0" fontId="0" fillId="0" borderId="5" xfId="0" applyBorder="1"/>
    <xf numFmtId="0" fontId="8" fillId="0" borderId="9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0" fillId="0" borderId="8" xfId="0" applyBorder="1"/>
    <xf numFmtId="0" fontId="8" fillId="0" borderId="10" xfId="0" applyFont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 applyAlignment="1">
      <alignment horizontal="center"/>
    </xf>
    <xf numFmtId="41" fontId="0" fillId="0" borderId="5" xfId="0" applyNumberFormat="1" applyBorder="1" applyAlignment="1"/>
    <xf numFmtId="0" fontId="8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10" fillId="0" borderId="36" xfId="0" applyFont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0" fillId="0" borderId="36" xfId="0" applyBorder="1" applyAlignment="1">
      <alignment horizontal="right"/>
    </xf>
    <xf numFmtId="0" fontId="0" fillId="0" borderId="3" xfId="0" applyBorder="1" applyAlignment="1">
      <alignment horizontal="center"/>
    </xf>
    <xf numFmtId="41" fontId="0" fillId="0" borderId="3" xfId="0" applyNumberFormat="1" applyBorder="1" applyAlignment="1"/>
    <xf numFmtId="0" fontId="0" fillId="0" borderId="8" xfId="0" applyBorder="1" applyAlignment="1">
      <alignment horizontal="center"/>
    </xf>
    <xf numFmtId="41" fontId="0" fillId="0" borderId="8" xfId="0" applyNumberFormat="1" applyBorder="1" applyAlignment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4" fillId="0" borderId="1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0" fillId="5" borderId="3" xfId="0" applyFill="1" applyBorder="1"/>
    <xf numFmtId="0" fontId="10" fillId="5" borderId="2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/>
    </xf>
    <xf numFmtId="3" fontId="13" fillId="5" borderId="3" xfId="0" applyNumberFormat="1" applyFont="1" applyFill="1" applyBorder="1" applyAlignment="1">
      <alignment horizontal="right" vertical="center"/>
    </xf>
    <xf numFmtId="166" fontId="9" fillId="6" borderId="27" xfId="1" applyNumberFormat="1" applyFont="1" applyFill="1" applyBorder="1" applyAlignment="1" applyProtection="1">
      <alignment horizontal="right" vertical="center" wrapText="1"/>
    </xf>
    <xf numFmtId="166" fontId="9" fillId="6" borderId="28" xfId="1" applyNumberFormat="1" applyFont="1" applyFill="1" applyBorder="1" applyAlignment="1" applyProtection="1">
      <alignment horizontal="right" vertical="center" wrapText="1"/>
    </xf>
    <xf numFmtId="0" fontId="9" fillId="5" borderId="31" xfId="0" applyFont="1" applyFill="1" applyBorder="1" applyAlignment="1">
      <alignment horizontal="center" vertical="center"/>
    </xf>
    <xf numFmtId="0" fontId="0" fillId="5" borderId="5" xfId="0" applyFill="1" applyBorder="1"/>
    <xf numFmtId="0" fontId="10" fillId="5" borderId="5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/>
    </xf>
    <xf numFmtId="3" fontId="13" fillId="5" borderId="5" xfId="0" applyNumberFormat="1" applyFont="1" applyFill="1" applyBorder="1" applyAlignment="1">
      <alignment horizontal="right" vertical="center"/>
    </xf>
    <xf numFmtId="166" fontId="9" fillId="6" borderId="5" xfId="1" applyNumberFormat="1" applyFont="1" applyFill="1" applyBorder="1" applyAlignment="1" applyProtection="1">
      <alignment horizontal="right" vertical="center" wrapText="1"/>
    </xf>
    <xf numFmtId="166" fontId="9" fillId="6" borderId="6" xfId="1" applyNumberFormat="1" applyFont="1" applyFill="1" applyBorder="1" applyAlignment="1" applyProtection="1">
      <alignment horizontal="right" vertical="center" wrapText="1"/>
    </xf>
    <xf numFmtId="0" fontId="3" fillId="5" borderId="5" xfId="0" applyFont="1" applyFill="1" applyBorder="1"/>
    <xf numFmtId="0" fontId="9" fillId="5" borderId="20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 vertical="center" wrapText="1"/>
    </xf>
    <xf numFmtId="0" fontId="0" fillId="5" borderId="20" xfId="0" applyFont="1" applyFill="1" applyBorder="1" applyAlignment="1">
      <alignment horizontal="center"/>
    </xf>
    <xf numFmtId="3" fontId="13" fillId="5" borderId="20" xfId="0" applyNumberFormat="1" applyFont="1" applyFill="1" applyBorder="1" applyAlignment="1">
      <alignment horizontal="right" vertical="center"/>
    </xf>
    <xf numFmtId="0" fontId="0" fillId="5" borderId="0" xfId="0" applyFill="1" applyBorder="1"/>
    <xf numFmtId="3" fontId="13" fillId="5" borderId="22" xfId="0" applyNumberFormat="1" applyFont="1" applyFill="1" applyBorder="1" applyAlignment="1">
      <alignment horizontal="right" vertical="center"/>
    </xf>
    <xf numFmtId="166" fontId="9" fillId="6" borderId="21" xfId="1" applyNumberFormat="1" applyFont="1" applyFill="1" applyBorder="1" applyAlignment="1" applyProtection="1">
      <alignment horizontal="right" vertical="center" wrapText="1"/>
    </xf>
    <xf numFmtId="166" fontId="9" fillId="6" borderId="32" xfId="1" applyNumberFormat="1" applyFont="1" applyFill="1" applyBorder="1" applyAlignment="1" applyProtection="1">
      <alignment horizontal="right" vertical="center" wrapText="1"/>
    </xf>
    <xf numFmtId="0" fontId="3" fillId="5" borderId="20" xfId="0" applyFont="1" applyFill="1" applyBorder="1" applyAlignment="1">
      <alignment horizontal="center"/>
    </xf>
    <xf numFmtId="3" fontId="13" fillId="5" borderId="5" xfId="0" applyNumberFormat="1" applyFont="1" applyFill="1" applyBorder="1" applyAlignment="1">
      <alignment horizontal="right"/>
    </xf>
    <xf numFmtId="0" fontId="9" fillId="5" borderId="41" xfId="0" applyFont="1" applyFill="1" applyBorder="1" applyAlignment="1">
      <alignment horizontal="center" vertical="center"/>
    </xf>
    <xf numFmtId="0" fontId="0" fillId="5" borderId="8" xfId="0" applyFill="1" applyBorder="1"/>
    <xf numFmtId="0" fontId="10" fillId="5" borderId="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/>
    </xf>
    <xf numFmtId="3" fontId="13" fillId="5" borderId="8" xfId="0" applyNumberFormat="1" applyFont="1" applyFill="1" applyBorder="1" applyAlignment="1">
      <alignment horizontal="right"/>
    </xf>
    <xf numFmtId="166" fontId="9" fillId="6" borderId="29" xfId="1" applyNumberFormat="1" applyFont="1" applyFill="1" applyBorder="1" applyAlignment="1" applyProtection="1">
      <alignment horizontal="right" vertical="center" wrapText="1"/>
    </xf>
    <xf numFmtId="166" fontId="9" fillId="6" borderId="30" xfId="1" applyNumberFormat="1" applyFont="1" applyFill="1" applyBorder="1" applyAlignment="1" applyProtection="1">
      <alignment horizontal="right" vertical="center" wrapText="1"/>
    </xf>
    <xf numFmtId="0" fontId="4" fillId="6" borderId="0" xfId="0" applyFont="1" applyFill="1" applyBorder="1" applyAlignment="1">
      <alignment horizontal="center"/>
    </xf>
    <xf numFmtId="0" fontId="4" fillId="6" borderId="13" xfId="0" applyFont="1" applyFill="1" applyBorder="1" applyAlignment="1"/>
    <xf numFmtId="166" fontId="9" fillId="6" borderId="36" xfId="1" applyNumberFormat="1" applyFont="1" applyFill="1" applyBorder="1" applyAlignment="1" applyProtection="1">
      <alignment horizontal="right" vertical="center" wrapText="1"/>
    </xf>
    <xf numFmtId="166" fontId="9" fillId="6" borderId="37" xfId="1" applyNumberFormat="1" applyFont="1" applyFill="1" applyBorder="1" applyAlignment="1" applyProtection="1">
      <alignment horizontal="right" vertical="center" wrapText="1"/>
    </xf>
    <xf numFmtId="166" fontId="9" fillId="6" borderId="3" xfId="1" applyNumberFormat="1" applyFont="1" applyFill="1" applyBorder="1" applyAlignment="1" applyProtection="1">
      <alignment horizontal="right" vertical="center" wrapText="1"/>
    </xf>
    <xf numFmtId="0" fontId="4" fillId="6" borderId="10" xfId="0" applyFont="1" applyFill="1" applyBorder="1" applyAlignment="1">
      <alignment horizontal="center"/>
    </xf>
    <xf numFmtId="0" fontId="4" fillId="6" borderId="11" xfId="0" applyFont="1" applyFill="1" applyBorder="1" applyAlignment="1"/>
    <xf numFmtId="0" fontId="4" fillId="6" borderId="15" xfId="0" applyFont="1" applyFill="1" applyBorder="1" applyAlignment="1">
      <alignment horizontal="center"/>
    </xf>
    <xf numFmtId="0" fontId="4" fillId="6" borderId="16" xfId="0" applyFont="1" applyFill="1" applyBorder="1" applyAlignment="1"/>
    <xf numFmtId="0" fontId="4" fillId="3" borderId="33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5" xfId="0" applyFont="1" applyFill="1" applyBorder="1" applyAlignment="1"/>
    <xf numFmtId="0" fontId="4" fillId="6" borderId="20" xfId="0" applyFont="1" applyFill="1" applyBorder="1" applyAlignment="1">
      <alignment horizontal="center"/>
    </xf>
    <xf numFmtId="0" fontId="4" fillId="6" borderId="20" xfId="0" applyFont="1" applyFill="1" applyBorder="1" applyAlignment="1"/>
    <xf numFmtId="0" fontId="4" fillId="6" borderId="21" xfId="0" applyFont="1" applyFill="1" applyBorder="1" applyAlignment="1">
      <alignment horizontal="center"/>
    </xf>
    <xf numFmtId="0" fontId="4" fillId="6" borderId="21" xfId="0" applyFont="1" applyFill="1" applyBorder="1" applyAlignment="1"/>
    <xf numFmtId="166" fontId="15" fillId="3" borderId="3" xfId="1" applyNumberFormat="1" applyFont="1" applyFill="1" applyBorder="1" applyAlignment="1" applyProtection="1">
      <alignment horizontal="right" vertical="center" wrapText="1"/>
    </xf>
    <xf numFmtId="166" fontId="15" fillId="3" borderId="5" xfId="1" applyNumberFormat="1" applyFont="1" applyFill="1" applyBorder="1" applyAlignment="1" applyProtection="1">
      <alignment horizontal="right" vertical="center" wrapText="1"/>
    </xf>
    <xf numFmtId="166" fontId="15" fillId="3" borderId="29" xfId="1" applyNumberFormat="1" applyFont="1" applyFill="1" applyBorder="1" applyAlignment="1" applyProtection="1">
      <alignment horizontal="right" vertical="center" wrapText="1"/>
    </xf>
    <xf numFmtId="166" fontId="9" fillId="3" borderId="28" xfId="1" applyNumberFormat="1" applyFont="1" applyFill="1" applyBorder="1" applyAlignment="1" applyProtection="1">
      <alignment horizontal="right" vertical="center" wrapText="1"/>
    </xf>
    <xf numFmtId="166" fontId="9" fillId="3" borderId="6" xfId="1" applyNumberFormat="1" applyFont="1" applyFill="1" applyBorder="1" applyAlignment="1" applyProtection="1">
      <alignment horizontal="right" vertical="center" wrapText="1"/>
    </xf>
    <xf numFmtId="166" fontId="9" fillId="3" borderId="30" xfId="1" applyNumberFormat="1" applyFont="1" applyFill="1" applyBorder="1" applyAlignment="1" applyProtection="1">
      <alignment horizontal="right" vertical="center" wrapText="1"/>
    </xf>
    <xf numFmtId="166" fontId="9" fillId="3" borderId="37" xfId="1" applyNumberFormat="1" applyFont="1" applyFill="1" applyBorder="1" applyAlignment="1" applyProtection="1">
      <alignment horizontal="right" vertical="center" wrapText="1"/>
    </xf>
    <xf numFmtId="166" fontId="14" fillId="0" borderId="0" xfId="0" applyNumberFormat="1" applyFont="1"/>
    <xf numFmtId="0" fontId="4" fillId="6" borderId="5" xfId="0" applyFont="1" applyFill="1" applyBorder="1" applyAlignment="1">
      <alignment horizontal="center"/>
    </xf>
    <xf numFmtId="0" fontId="3" fillId="0" borderId="35" xfId="0" applyFont="1" applyBorder="1"/>
    <xf numFmtId="0" fontId="3" fillId="0" borderId="36" xfId="0" applyFont="1" applyBorder="1"/>
    <xf numFmtId="166" fontId="9" fillId="3" borderId="36" xfId="1" applyNumberFormat="1" applyFont="1" applyFill="1" applyBorder="1" applyAlignment="1" applyProtection="1">
      <alignment horizontal="right" vertical="center" wrapText="1"/>
    </xf>
    <xf numFmtId="0" fontId="3" fillId="0" borderId="36" xfId="0" applyFont="1" applyBorder="1" applyAlignment="1">
      <alignment horizontal="center"/>
    </xf>
    <xf numFmtId="0" fontId="4" fillId="5" borderId="0" xfId="0" applyFont="1" applyFill="1"/>
    <xf numFmtId="166" fontId="16" fillId="5" borderId="5" xfId="1" applyNumberFormat="1" applyFont="1" applyFill="1" applyBorder="1" applyAlignment="1" applyProtection="1">
      <alignment horizontal="right" vertical="center" wrapText="1"/>
    </xf>
    <xf numFmtId="166" fontId="16" fillId="5" borderId="6" xfId="1" applyNumberFormat="1" applyFont="1" applyFill="1" applyBorder="1" applyAlignment="1" applyProtection="1">
      <alignment horizontal="right" vertical="center" wrapText="1"/>
    </xf>
    <xf numFmtId="0" fontId="9" fillId="5" borderId="4" xfId="0" applyFont="1" applyFill="1" applyBorder="1" applyAlignment="1">
      <alignment horizontal="center" vertical="center"/>
    </xf>
    <xf numFmtId="0" fontId="17" fillId="0" borderId="42" xfId="0" applyFont="1" applyBorder="1" applyAlignment="1">
      <alignment horizontal="right" vertical="center"/>
    </xf>
    <xf numFmtId="0" fontId="18" fillId="6" borderId="43" xfId="0" applyFont="1" applyFill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20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 wrapText="1" indent="1"/>
    </xf>
    <xf numFmtId="0" fontId="24" fillId="0" borderId="50" xfId="0" applyFont="1" applyBorder="1" applyAlignment="1">
      <alignment horizontal="center" vertical="center"/>
    </xf>
    <xf numFmtId="0" fontId="24" fillId="5" borderId="50" xfId="0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4" fillId="5" borderId="50" xfId="0" applyFont="1" applyFill="1" applyBorder="1" applyAlignment="1">
      <alignment horizontal="center" vertical="center" wrapText="1"/>
    </xf>
    <xf numFmtId="166" fontId="24" fillId="5" borderId="50" xfId="1" applyNumberFormat="1" applyFont="1" applyFill="1" applyBorder="1" applyAlignment="1" applyProtection="1">
      <alignment horizontal="right" vertical="center" wrapText="1"/>
    </xf>
    <xf numFmtId="3" fontId="24" fillId="5" borderId="50" xfId="0" applyNumberFormat="1" applyFont="1" applyFill="1" applyBorder="1" applyAlignment="1">
      <alignment horizontal="center" vertical="center"/>
    </xf>
    <xf numFmtId="167" fontId="24" fillId="5" borderId="50" xfId="0" applyNumberFormat="1" applyFont="1" applyFill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166" fontId="24" fillId="5" borderId="33" xfId="1" applyNumberFormat="1" applyFont="1" applyFill="1" applyBorder="1" applyAlignment="1" applyProtection="1">
      <alignment horizontal="right" vertical="center" wrapText="1"/>
    </xf>
    <xf numFmtId="3" fontId="24" fillId="5" borderId="33" xfId="0" applyNumberFormat="1" applyFont="1" applyFill="1" applyBorder="1" applyAlignment="1">
      <alignment horizontal="center" vertical="center"/>
    </xf>
    <xf numFmtId="167" fontId="24" fillId="5" borderId="33" xfId="0" applyNumberFormat="1" applyFont="1" applyFill="1" applyBorder="1" applyAlignment="1">
      <alignment horizontal="center" vertical="center"/>
    </xf>
    <xf numFmtId="3" fontId="27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/>
    <xf numFmtId="0" fontId="0" fillId="0" borderId="0" xfId="0" applyBorder="1"/>
    <xf numFmtId="0" fontId="0" fillId="0" borderId="42" xfId="0" applyBorder="1"/>
    <xf numFmtId="0" fontId="0" fillId="0" borderId="56" xfId="0" applyBorder="1"/>
    <xf numFmtId="0" fontId="0" fillId="0" borderId="44" xfId="0" applyBorder="1"/>
    <xf numFmtId="0" fontId="0" fillId="0" borderId="44" xfId="0" applyBorder="1" applyAlignment="1">
      <alignment horizontal="left"/>
    </xf>
    <xf numFmtId="0" fontId="0" fillId="0" borderId="57" xfId="0" applyBorder="1"/>
    <xf numFmtId="0" fontId="31" fillId="0" borderId="60" xfId="0" applyFon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/>
    </xf>
    <xf numFmtId="0" fontId="31" fillId="0" borderId="61" xfId="0" applyFont="1" applyBorder="1" applyAlignment="1">
      <alignment horizontal="left" vertical="center"/>
    </xf>
    <xf numFmtId="0" fontId="31" fillId="0" borderId="62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0" fillId="6" borderId="63" xfId="0" applyFont="1" applyFill="1" applyBorder="1" applyAlignment="1">
      <alignment horizontal="center" vertical="center"/>
    </xf>
    <xf numFmtId="0" fontId="0" fillId="6" borderId="64" xfId="0" applyFont="1" applyFill="1" applyBorder="1" applyAlignment="1">
      <alignment horizontal="center" vertical="center"/>
    </xf>
    <xf numFmtId="0" fontId="0" fillId="5" borderId="64" xfId="0" applyFont="1" applyFill="1" applyBorder="1" applyAlignment="1">
      <alignment horizontal="center" vertical="center"/>
    </xf>
    <xf numFmtId="0" fontId="0" fillId="6" borderId="65" xfId="0" applyFont="1" applyFill="1" applyBorder="1" applyAlignment="1">
      <alignment horizontal="center" vertical="center"/>
    </xf>
    <xf numFmtId="164" fontId="3" fillId="5" borderId="66" xfId="4" applyNumberFormat="1" applyFont="1" applyFill="1" applyBorder="1" applyAlignment="1" applyProtection="1">
      <alignment horizontal="center" vertical="center"/>
    </xf>
    <xf numFmtId="0" fontId="0" fillId="0" borderId="67" xfId="0" applyFont="1" applyBorder="1" applyAlignment="1">
      <alignment horizontal="center" vertical="center"/>
    </xf>
    <xf numFmtId="0" fontId="0" fillId="0" borderId="68" xfId="0" applyFont="1" applyBorder="1" applyAlignment="1">
      <alignment horizontal="center" vertical="center"/>
    </xf>
    <xf numFmtId="0" fontId="0" fillId="0" borderId="69" xfId="0" applyFont="1" applyBorder="1" applyAlignment="1">
      <alignment horizontal="center" vertical="center"/>
    </xf>
    <xf numFmtId="166" fontId="0" fillId="0" borderId="70" xfId="4" applyNumberFormat="1" applyFont="1" applyBorder="1" applyAlignment="1" applyProtection="1">
      <alignment horizontal="center" vertical="center"/>
    </xf>
    <xf numFmtId="0" fontId="0" fillId="0" borderId="71" xfId="0" applyFont="1" applyBorder="1" applyAlignment="1">
      <alignment horizontal="center" vertical="center"/>
    </xf>
    <xf numFmtId="166" fontId="0" fillId="0" borderId="72" xfId="4" applyNumberFormat="1" applyFont="1" applyBorder="1" applyAlignment="1" applyProtection="1">
      <alignment horizontal="center" vertical="center"/>
    </xf>
    <xf numFmtId="0" fontId="29" fillId="0" borderId="67" xfId="0" applyFont="1" applyBorder="1" applyAlignment="1">
      <alignment horizontal="center" vertical="center"/>
    </xf>
    <xf numFmtId="0" fontId="29" fillId="0" borderId="68" xfId="0" applyFon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29" fillId="0" borderId="69" xfId="0" applyFont="1" applyBorder="1" applyAlignment="1">
      <alignment horizontal="center" vertical="center"/>
    </xf>
    <xf numFmtId="0" fontId="29" fillId="0" borderId="71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166" fontId="0" fillId="0" borderId="76" xfId="4" applyNumberFormat="1" applyFont="1" applyBorder="1" applyAlignment="1" applyProtection="1">
      <alignment horizontal="center" vertical="center"/>
    </xf>
    <xf numFmtId="166" fontId="31" fillId="5" borderId="77" xfId="0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5" xfId="0" applyFill="1" applyBorder="1" applyAlignment="1">
      <alignment vertical="center" wrapText="1"/>
    </xf>
    <xf numFmtId="0" fontId="0" fillId="5" borderId="0" xfId="0" applyFill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9" fillId="4" borderId="31" xfId="0" applyFont="1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vertical="center" wrapText="1"/>
    </xf>
    <xf numFmtId="0" fontId="0" fillId="4" borderId="5" xfId="0" applyFont="1" applyFill="1" applyBorder="1" applyAlignment="1">
      <alignment horizontal="center" vertical="center"/>
    </xf>
    <xf numFmtId="3" fontId="13" fillId="4" borderId="5" xfId="0" applyNumberFormat="1" applyFont="1" applyFill="1" applyBorder="1" applyAlignment="1">
      <alignment horizontal="right" vertical="center"/>
    </xf>
    <xf numFmtId="166" fontId="16" fillId="4" borderId="5" xfId="1" applyNumberFormat="1" applyFont="1" applyFill="1" applyBorder="1" applyAlignment="1" applyProtection="1">
      <alignment horizontal="right" vertical="center" wrapText="1"/>
    </xf>
    <xf numFmtId="166" fontId="16" fillId="4" borderId="6" xfId="1" applyNumberFormat="1" applyFont="1" applyFill="1" applyBorder="1" applyAlignment="1" applyProtection="1">
      <alignment horizontal="right" vertical="center" wrapText="1"/>
    </xf>
    <xf numFmtId="0" fontId="3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20" xfId="0" applyFont="1" applyFill="1" applyBorder="1" applyAlignment="1">
      <alignment horizontal="center" vertical="center"/>
    </xf>
    <xf numFmtId="3" fontId="13" fillId="4" borderId="20" xfId="0" applyNumberFormat="1" applyFont="1" applyFill="1" applyBorder="1" applyAlignment="1">
      <alignment horizontal="right" vertical="center"/>
    </xf>
    <xf numFmtId="3" fontId="13" fillId="4" borderId="22" xfId="0" applyNumberFormat="1" applyFont="1" applyFill="1" applyBorder="1" applyAlignment="1">
      <alignment horizontal="right" vertical="center"/>
    </xf>
    <xf numFmtId="0" fontId="0" fillId="4" borderId="5" xfId="0" applyFill="1" applyBorder="1" applyAlignment="1">
      <alignment horizontal="center" vertical="center"/>
    </xf>
    <xf numFmtId="166" fontId="16" fillId="4" borderId="21" xfId="1" applyNumberFormat="1" applyFont="1" applyFill="1" applyBorder="1" applyAlignment="1" applyProtection="1">
      <alignment horizontal="right" vertical="center" wrapText="1"/>
    </xf>
    <xf numFmtId="0" fontId="3" fillId="4" borderId="20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vertical="center" wrapText="1"/>
    </xf>
    <xf numFmtId="0" fontId="12" fillId="3" borderId="0" xfId="0" applyFont="1" applyFill="1" applyBorder="1" applyAlignment="1">
      <alignment horizontal="left" wrapText="1" indent="1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3" borderId="35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0" fontId="4" fillId="6" borderId="14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29" fillId="6" borderId="77" xfId="0" applyFont="1" applyFill="1" applyBorder="1" applyAlignment="1">
      <alignment horizontal="left" vertical="center" wrapText="1" indent="1"/>
    </xf>
    <xf numFmtId="0" fontId="0" fillId="0" borderId="68" xfId="0" applyFont="1" applyBorder="1" applyAlignment="1">
      <alignment horizontal="left" vertical="center"/>
    </xf>
    <xf numFmtId="0" fontId="0" fillId="0" borderId="71" xfId="0" applyFont="1" applyBorder="1" applyAlignment="1">
      <alignment horizontal="left" vertical="center"/>
    </xf>
    <xf numFmtId="0" fontId="0" fillId="0" borderId="71" xfId="0" applyBorder="1" applyAlignment="1">
      <alignment horizontal="left" vertical="center"/>
    </xf>
    <xf numFmtId="0" fontId="0" fillId="0" borderId="74" xfId="0" applyBorder="1" applyAlignment="1">
      <alignment horizontal="left" vertical="center"/>
    </xf>
    <xf numFmtId="0" fontId="32" fillId="5" borderId="77" xfId="0" applyFont="1" applyFill="1" applyBorder="1" applyAlignment="1">
      <alignment horizontal="left" vertical="center" wrapText="1"/>
    </xf>
    <xf numFmtId="0" fontId="33" fillId="5" borderId="77" xfId="0" applyFont="1" applyFill="1" applyBorder="1" applyAlignment="1">
      <alignment horizontal="left" vertical="center" wrapText="1"/>
    </xf>
    <xf numFmtId="0" fontId="0" fillId="0" borderId="58" xfId="0" applyBorder="1"/>
    <xf numFmtId="0" fontId="27" fillId="0" borderId="18" xfId="0" applyFont="1" applyBorder="1" applyAlignment="1">
      <alignment vertical="center" wrapText="1"/>
    </xf>
    <xf numFmtId="0" fontId="27" fillId="0" borderId="78" xfId="0" applyFont="1" applyBorder="1" applyAlignment="1">
      <alignment vertical="center" wrapText="1"/>
    </xf>
    <xf numFmtId="0" fontId="27" fillId="0" borderId="4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3" fillId="5" borderId="64" xfId="0" applyFont="1" applyFill="1" applyBorder="1" applyAlignment="1">
      <alignment horizontal="left" vertical="center" wrapText="1"/>
    </xf>
    <xf numFmtId="0" fontId="0" fillId="5" borderId="64" xfId="0" applyFont="1" applyFill="1" applyBorder="1" applyAlignment="1">
      <alignment horizontal="left" vertical="center" wrapText="1"/>
    </xf>
    <xf numFmtId="0" fontId="24" fillId="0" borderId="45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29" fillId="0" borderId="43" xfId="0" applyFont="1" applyBorder="1" applyAlignment="1">
      <alignment horizontal="left" indent="1"/>
    </xf>
    <xf numFmtId="0" fontId="30" fillId="0" borderId="43" xfId="0" applyFont="1" applyBorder="1" applyAlignment="1">
      <alignment horizontal="left"/>
    </xf>
    <xf numFmtId="0" fontId="29" fillId="0" borderId="54" xfId="0" applyFont="1" applyBorder="1"/>
    <xf numFmtId="0" fontId="29" fillId="0" borderId="55" xfId="0" applyFont="1" applyBorder="1" applyAlignment="1">
      <alignment horizontal="left" vertical="center" wrapText="1" indent="1"/>
    </xf>
    <xf numFmtId="0" fontId="31" fillId="0" borderId="58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 wrapText="1"/>
    </xf>
    <xf numFmtId="0" fontId="31" fillId="0" borderId="59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/>
    </xf>
    <xf numFmtId="3" fontId="27" fillId="0" borderId="19" xfId="0" applyNumberFormat="1" applyFont="1" applyBorder="1" applyAlignment="1">
      <alignment horizontal="center"/>
    </xf>
    <xf numFmtId="0" fontId="28" fillId="0" borderId="43" xfId="0" applyFont="1" applyBorder="1" applyAlignment="1">
      <alignment horizontal="center" vertical="center" wrapText="1"/>
    </xf>
    <xf numFmtId="0" fontId="19" fillId="0" borderId="43" xfId="0" applyFont="1" applyBorder="1"/>
    <xf numFmtId="0" fontId="18" fillId="5" borderId="17" xfId="0" applyFont="1" applyFill="1" applyBorder="1" applyAlignment="1">
      <alignment horizontal="left" vertical="center" wrapText="1" indent="1"/>
    </xf>
    <xf numFmtId="168" fontId="18" fillId="5" borderId="18" xfId="0" applyNumberFormat="1" applyFont="1" applyFill="1" applyBorder="1" applyAlignment="1">
      <alignment horizontal="center" vertical="center"/>
    </xf>
    <xf numFmtId="168" fontId="18" fillId="5" borderId="35" xfId="0" applyNumberFormat="1" applyFont="1" applyFill="1" applyBorder="1" applyAlignment="1">
      <alignment horizontal="center" vertical="center"/>
    </xf>
    <xf numFmtId="168" fontId="18" fillId="5" borderId="19" xfId="0" applyNumberFormat="1" applyFont="1" applyFill="1" applyBorder="1" applyAlignment="1">
      <alignment horizontal="center" vertical="center"/>
    </xf>
    <xf numFmtId="0" fontId="25" fillId="5" borderId="50" xfId="0" applyFont="1" applyFill="1" applyBorder="1" applyAlignment="1">
      <alignment horizontal="left" vertical="center" wrapText="1"/>
    </xf>
    <xf numFmtId="0" fontId="23" fillId="0" borderId="48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/>
    </xf>
    <xf numFmtId="0" fontId="21" fillId="0" borderId="45" xfId="0" applyFont="1" applyBorder="1" applyAlignment="1">
      <alignment horizontal="left" vertical="center" wrapText="1"/>
    </xf>
    <xf numFmtId="0" fontId="22" fillId="5" borderId="17" xfId="0" applyFont="1" applyFill="1" applyBorder="1" applyAlignment="1">
      <alignment horizontal="left" vertical="center" wrapText="1" indent="1"/>
    </xf>
    <xf numFmtId="0" fontId="20" fillId="0" borderId="46" xfId="0" applyFont="1" applyBorder="1" applyAlignment="1">
      <alignment horizontal="left" vertical="center" wrapText="1"/>
    </xf>
    <xf numFmtId="0" fontId="20" fillId="0" borderId="47" xfId="0" applyFont="1" applyBorder="1" applyAlignment="1">
      <alignment horizontal="left" vertical="center"/>
    </xf>
    <xf numFmtId="0" fontId="18" fillId="6" borderId="48" xfId="0" applyFont="1" applyFill="1" applyBorder="1" applyAlignment="1">
      <alignment horizontal="left" vertical="center" wrapText="1" indent="1"/>
    </xf>
    <xf numFmtId="0" fontId="21" fillId="0" borderId="46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 vertical="center"/>
    </xf>
    <xf numFmtId="0" fontId="20" fillId="0" borderId="45" xfId="0" applyFont="1" applyBorder="1" applyAlignment="1">
      <alignment horizontal="left" vertical="center" wrapText="1"/>
    </xf>
    <xf numFmtId="0" fontId="4" fillId="6" borderId="5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14" fillId="6" borderId="18" xfId="0" applyFont="1" applyFill="1" applyBorder="1" applyAlignment="1">
      <alignment horizontal="left" wrapText="1"/>
    </xf>
    <xf numFmtId="0" fontId="14" fillId="6" borderId="35" xfId="0" applyFont="1" applyFill="1" applyBorder="1" applyAlignment="1">
      <alignment horizontal="left" wrapText="1"/>
    </xf>
    <xf numFmtId="0" fontId="14" fillId="6" borderId="19" xfId="0" applyFont="1" applyFill="1" applyBorder="1" applyAlignment="1">
      <alignment horizontal="left" wrapText="1"/>
    </xf>
    <xf numFmtId="0" fontId="4" fillId="6" borderId="21" xfId="0" applyFont="1" applyFill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0" fillId="5" borderId="3" xfId="0" applyFill="1" applyBorder="1" applyAlignment="1">
      <alignment vertical="center" wrapText="1"/>
    </xf>
    <xf numFmtId="0" fontId="0" fillId="5" borderId="3" xfId="0" applyFont="1" applyFill="1" applyBorder="1" applyAlignment="1">
      <alignment horizontal="center" vertical="center"/>
    </xf>
    <xf numFmtId="166" fontId="16" fillId="5" borderId="27" xfId="1" applyNumberFormat="1" applyFont="1" applyFill="1" applyBorder="1" applyAlignment="1" applyProtection="1">
      <alignment horizontal="right" vertical="center" wrapText="1"/>
    </xf>
    <xf numFmtId="166" fontId="16" fillId="5" borderId="28" xfId="1" applyNumberFormat="1" applyFont="1" applyFill="1" applyBorder="1" applyAlignment="1" applyProtection="1">
      <alignment horizontal="right" vertical="center" wrapText="1"/>
    </xf>
  </cellXfs>
  <cellStyles count="5">
    <cellStyle name="Encabezado 1" xfId="2" xr:uid="{00000000-0005-0000-0000-000000000000}"/>
    <cellStyle name="Moneda" xfId="1" builtinId="4"/>
    <cellStyle name="Moneda_AUTORIZACION Y NOTA DE PEDIDO" xfId="4" xr:uid="{00000000-0005-0000-0000-000002000000}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scrit\COMEDORES\COMEDORES%20EMERGENTES\COMESORES%20DESDE%2025-06-20\LISTA%20COMEDORES%20EMERGENT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ownloads\COMBUSTIBLE\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EDORES EMERGENTES"/>
      <sheetName val="Hoja1"/>
      <sheetName val="UNA SONRISA"/>
      <sheetName val="C.I.F. Nº 1"/>
      <sheetName val="C.I.F"/>
      <sheetName val="COMEDOR ESFUERZO PROPIO"/>
      <sheetName val="ANGELITOS "/>
      <sheetName val="LA CHACARITA"/>
      <sheetName val="LA MORO"/>
      <sheetName val="PAPA FRANCISCO"/>
      <sheetName val="EPC NORTE"/>
      <sheetName val="HOGAR DE CRISTO"/>
      <sheetName val="LA LUCIERNAGA"/>
      <sheetName val="CLUB SUMALAO "/>
      <sheetName val="NUESTRO FUTURO LAS VIAS"/>
      <sheetName val="SAN JOSE OBRERO"/>
      <sheetName val="VIRGEN DE LUJAN"/>
      <sheetName val="RENACER"/>
      <sheetName val="CENTRO VECINAL MI JARDIN"/>
      <sheetName val="karina"/>
    </sheetNames>
    <sheetDataSet>
      <sheetData sheetId="0">
        <row r="3">
          <cell r="B3" t="str">
            <v>UNA SONRISA AV. LOS COBACHO</v>
          </cell>
          <cell r="G3" t="str">
            <v>Bº SAN CARLOS OESTE AV. Bonifacio cobacho 670</v>
          </cell>
        </row>
        <row r="4">
          <cell r="B4" t="str">
            <v>C.I.F Nº1 - RIVERA DEL VALLE Y FLORIDA</v>
          </cell>
          <cell r="G4" t="str">
            <v>AV. RIVIERA DEL VALLE ENTRE FLORIDA Y SANTA FE</v>
          </cell>
        </row>
        <row r="5">
          <cell r="B5" t="str">
            <v>C.I.F - RIVERA DEL VALLE - DILORENZO</v>
          </cell>
          <cell r="G5" t="str">
            <v>Bº RIVERA DEL VALLE ENTRE VILLA EUMELIA Y MONTE CRISTO</v>
          </cell>
        </row>
        <row r="6">
          <cell r="B6" t="str">
            <v>ESFUERZO PROPIO- Bº ALTOS DE CHOYA</v>
          </cell>
          <cell r="G6" t="str">
            <v>Bº MUNICIPAL 35VV. NORTE C/14</v>
          </cell>
        </row>
        <row r="7">
          <cell r="B7" t="str">
            <v>ANGELITOS - LOTEO SUSSEX</v>
          </cell>
          <cell r="G7" t="str">
            <v>Bº LOTEO SUSEX MZA.Nº 4 LOTE Nº3</v>
          </cell>
        </row>
        <row r="8">
          <cell r="B8" t="str">
            <v>CLUB DEPORTIVO CHACARITA</v>
          </cell>
          <cell r="G8" t="str">
            <v>CALLE DR.DERMIDIO GALINDEZ C/2660</v>
          </cell>
        </row>
        <row r="9">
          <cell r="B9" t="str">
            <v>LA MORO</v>
          </cell>
          <cell r="G9" t="str">
            <v>MAIPU NORTE 1º ETAPA MZA "H" Bº MI JARDIN</v>
          </cell>
        </row>
        <row r="10">
          <cell r="B10" t="str">
            <v>PAPA FRANCISCO</v>
          </cell>
          <cell r="G10" t="str">
            <v>ENTRE AV.TEREBINTO Y AV.SAN JUAN LOTE "2" MZA. "B"</v>
          </cell>
        </row>
        <row r="11">
          <cell r="B11" t="str">
            <v>E.P.C - 100 V.V NORTE</v>
          </cell>
          <cell r="G11" t="str">
            <v>Bº VV NORTE C/48 ENTRE ESPAÑA Y FRANCIA</v>
          </cell>
        </row>
        <row r="12">
          <cell r="B12" t="str">
            <v>HOGAR DE CRISTO - PADRE RAUL CONTRERAS</v>
          </cell>
          <cell r="G12" t="str">
            <v>Bº SANTA MARTA MZA. "S" LOTE "M" C/39</v>
          </cell>
        </row>
        <row r="13">
          <cell r="B13" t="str">
            <v>LA LUCIERNAGA</v>
          </cell>
          <cell r="G13" t="str">
            <v>Bº 20 V.V NORTE C/3</v>
          </cell>
        </row>
        <row r="14">
          <cell r="B14" t="str">
            <v>VALLE VIEJO - SUMALAO</v>
          </cell>
          <cell r="G14" t="str">
            <v>PADRE SEGURA S/N</v>
          </cell>
        </row>
        <row r="15">
          <cell r="B15" t="str">
            <v>NUESTRO FUTURO - LAS VIAS</v>
          </cell>
          <cell r="G15" t="str">
            <v>Bº LAS VIAS OESTE LOTE 42</v>
          </cell>
        </row>
        <row r="16">
          <cell r="B16" t="str">
            <v>SAN JOSE OBRERO</v>
          </cell>
          <cell r="G16" t="str">
            <v>Bº SAN JOSE OBRERO. PJE. SANDOVAL S/Nº</v>
          </cell>
        </row>
        <row r="17">
          <cell r="B17" t="str">
            <v>VIRGEN DE LUJAN</v>
          </cell>
          <cell r="G17" t="str">
            <v>Bº OJO DE AGUA C/DR.TEODULFO BARRIONUEVO S/Nº</v>
          </cell>
        </row>
        <row r="18">
          <cell r="B18" t="str">
            <v>RENACER</v>
          </cell>
          <cell r="G18" t="str">
            <v>Bº VIRGEN MORENITA</v>
          </cell>
        </row>
        <row r="19">
          <cell r="B19" t="str">
            <v>CENTRO VECINAL MI JARDIN</v>
          </cell>
          <cell r="G19" t="str">
            <v>C/ LOS TULIPANES ENTRE FLOR DE CEREZO Y HOLANDA MZA.27 Bº MI JARDIN</v>
          </cell>
        </row>
        <row r="20">
          <cell r="B20" t="str">
            <v>LA VIEJA ESQUINA</v>
          </cell>
          <cell r="G20" t="str">
            <v>B° CRISTO REY PJE CAPATAZ VILLAFAÑEZ Y ARMANDO CORREA</v>
          </cell>
        </row>
        <row r="21">
          <cell r="B21" t="str">
            <v>GAUCHITO GIL</v>
          </cell>
          <cell r="G21" t="str">
            <v>B° 26 VIVIENDAS CASA N° 3</v>
          </cell>
        </row>
        <row r="22">
          <cell r="B22" t="str">
            <v>LOS TOLDOS</v>
          </cell>
          <cell r="G22" t="str">
            <v>LOTEO PARQUE SUR CALLE S/NOMBRE S/N°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workbookViewId="0">
      <selection sqref="A1:XFD1048576"/>
    </sheetView>
  </sheetViews>
  <sheetFormatPr baseColWidth="10" defaultColWidth="11" defaultRowHeight="12.75" x14ac:dyDescent="0.2"/>
  <cols>
    <col min="1" max="1" width="4.5703125" style="1" customWidth="1"/>
    <col min="2" max="2" width="19.85546875" style="1" customWidth="1"/>
    <col min="3" max="3" width="32.42578125" style="1" customWidth="1"/>
    <col min="4" max="4" width="10.42578125" style="1" customWidth="1"/>
    <col min="5" max="5" width="68.8554687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208" t="s">
        <v>0</v>
      </c>
      <c r="C2" s="208"/>
      <c r="D2" s="208"/>
      <c r="E2" s="208"/>
      <c r="F2" s="208"/>
      <c r="G2" s="208"/>
      <c r="H2" s="208"/>
    </row>
    <row r="4" spans="1:9" ht="18" customHeight="1" x14ac:dyDescent="0.25">
      <c r="A4" s="209" t="s">
        <v>1</v>
      </c>
      <c r="B4" s="209"/>
      <c r="C4" s="210" t="s">
        <v>27</v>
      </c>
      <c r="D4" s="210"/>
      <c r="E4" s="210"/>
      <c r="F4" s="2"/>
      <c r="G4" s="3"/>
      <c r="H4" s="2"/>
    </row>
    <row r="5" spans="1:9" ht="18" customHeight="1" x14ac:dyDescent="0.25">
      <c r="A5" s="209" t="s">
        <v>2</v>
      </c>
      <c r="B5" s="209"/>
      <c r="C5" s="210" t="s">
        <v>23</v>
      </c>
      <c r="D5" s="210"/>
      <c r="E5" s="210"/>
      <c r="F5" s="2"/>
      <c r="G5" s="3"/>
      <c r="H5" s="2"/>
    </row>
    <row r="6" spans="1:9" ht="16.5" customHeight="1" x14ac:dyDescent="0.25">
      <c r="A6" s="209" t="s">
        <v>3</v>
      </c>
      <c r="B6" s="209"/>
      <c r="C6" s="20">
        <v>2020</v>
      </c>
      <c r="D6" s="21"/>
      <c r="E6" s="21"/>
      <c r="F6" s="2"/>
      <c r="G6" s="3"/>
      <c r="H6" s="2"/>
    </row>
    <row r="7" spans="1:9" ht="16.5" customHeight="1" x14ac:dyDescent="0.25">
      <c r="A7" s="209" t="s">
        <v>4</v>
      </c>
      <c r="B7" s="209"/>
      <c r="C7" s="20">
        <v>3</v>
      </c>
      <c r="D7" s="21"/>
      <c r="E7" s="21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23" t="s">
        <v>5</v>
      </c>
      <c r="B9" s="32" t="s">
        <v>6</v>
      </c>
      <c r="C9" s="32" t="s">
        <v>7</v>
      </c>
      <c r="D9" s="28" t="s">
        <v>8</v>
      </c>
      <c r="E9" s="32" t="s">
        <v>9</v>
      </c>
      <c r="F9" s="24" t="s">
        <v>10</v>
      </c>
      <c r="G9" s="25" t="s">
        <v>11</v>
      </c>
      <c r="H9" s="25" t="s">
        <v>12</v>
      </c>
      <c r="I9" s="26" t="s">
        <v>13</v>
      </c>
    </row>
    <row r="10" spans="1:9" ht="13.5" thickBot="1" x14ac:dyDescent="0.25">
      <c r="A10" s="33">
        <v>28</v>
      </c>
      <c r="B10" s="34" t="s">
        <v>67</v>
      </c>
      <c r="C10" s="35" t="s">
        <v>68</v>
      </c>
      <c r="D10" s="36" t="s">
        <v>69</v>
      </c>
      <c r="E10" s="35" t="s">
        <v>70</v>
      </c>
      <c r="F10" s="37" t="s">
        <v>14</v>
      </c>
      <c r="G10" s="38">
        <v>240</v>
      </c>
      <c r="H10" s="90">
        <v>450</v>
      </c>
      <c r="I10" s="91">
        <f>+G10*H10</f>
        <v>108000</v>
      </c>
    </row>
    <row r="12" spans="1:9" ht="13.5" thickBot="1" x14ac:dyDescent="0.25"/>
    <row r="13" spans="1:9" x14ac:dyDescent="0.2">
      <c r="B13" s="7" t="s">
        <v>15</v>
      </c>
      <c r="C13" s="8"/>
      <c r="D13" s="8"/>
      <c r="E13" s="9"/>
    </row>
    <row r="14" spans="1:9" ht="5.25" customHeight="1" x14ac:dyDescent="0.2">
      <c r="B14" s="10"/>
      <c r="C14" s="11"/>
      <c r="D14" s="11"/>
      <c r="E14" s="12"/>
    </row>
    <row r="15" spans="1:9" x14ac:dyDescent="0.2">
      <c r="B15" s="13" t="s">
        <v>16</v>
      </c>
      <c r="C15" s="11"/>
      <c r="D15" s="11"/>
      <c r="E15" s="12"/>
    </row>
    <row r="16" spans="1:9" ht="25.5" customHeight="1" x14ac:dyDescent="0.2">
      <c r="B16" s="216" t="s">
        <v>82</v>
      </c>
      <c r="C16" s="217"/>
      <c r="D16" s="217"/>
      <c r="E16" s="218"/>
    </row>
    <row r="17" spans="2:5" ht="13.5" thickBot="1" x14ac:dyDescent="0.25">
      <c r="B17" s="13" t="s">
        <v>17</v>
      </c>
      <c r="C17" s="11"/>
      <c r="D17" s="11"/>
      <c r="E17" s="12"/>
    </row>
    <row r="18" spans="2:5" ht="13.5" thickBot="1" x14ac:dyDescent="0.25">
      <c r="B18" s="211" t="s">
        <v>98</v>
      </c>
      <c r="C18" s="215"/>
      <c r="D18" s="215"/>
      <c r="E18" s="212"/>
    </row>
    <row r="19" spans="2:5" ht="13.5" thickBot="1" x14ac:dyDescent="0.25">
      <c r="B19" s="211" t="s">
        <v>99</v>
      </c>
      <c r="C19" s="212"/>
      <c r="D19" s="49" t="s">
        <v>11</v>
      </c>
      <c r="E19" s="49" t="s">
        <v>100</v>
      </c>
    </row>
    <row r="20" spans="2:5" x14ac:dyDescent="0.2">
      <c r="B20" s="213" t="str">
        <f>'[1]COMEDORES EMERGENTES'!$B$3</f>
        <v>UNA SONRISA AV. LOS COBACHO</v>
      </c>
      <c r="C20" s="214"/>
      <c r="D20" s="88">
        <v>1</v>
      </c>
      <c r="E20" s="89" t="str">
        <f>'[1]COMEDORES EMERGENTES'!$G$3</f>
        <v>Bº SAN CARLOS OESTE AV. Bonifacio cobacho 670</v>
      </c>
    </row>
    <row r="21" spans="2:5" x14ac:dyDescent="0.2">
      <c r="B21" s="206" t="str">
        <f>'[1]COMEDORES EMERGENTES'!$B$4</f>
        <v>C.I.F Nº1 - RIVERA DEL VALLE Y FLORIDA</v>
      </c>
      <c r="C21" s="207"/>
      <c r="D21" s="88">
        <v>1</v>
      </c>
      <c r="E21" s="89" t="str">
        <f>'[1]COMEDORES EMERGENTES'!$G$4</f>
        <v>AV. RIVIERA DEL VALLE ENTRE FLORIDA Y SANTA FE</v>
      </c>
    </row>
    <row r="22" spans="2:5" x14ac:dyDescent="0.2">
      <c r="B22" s="206" t="str">
        <f>'[1]COMEDORES EMERGENTES'!$B$5</f>
        <v>C.I.F - RIVERA DEL VALLE - DILORENZO</v>
      </c>
      <c r="C22" s="207"/>
      <c r="D22" s="88">
        <v>1</v>
      </c>
      <c r="E22" s="89" t="str">
        <f>'[1]COMEDORES EMERGENTES'!$G$5</f>
        <v>Bº RIVERA DEL VALLE ENTRE VILLA EUMELIA Y MONTE CRISTO</v>
      </c>
    </row>
    <row r="23" spans="2:5" x14ac:dyDescent="0.2">
      <c r="B23" s="206" t="str">
        <f>'[1]COMEDORES EMERGENTES'!$B$6</f>
        <v>ESFUERZO PROPIO- Bº ALTOS DE CHOYA</v>
      </c>
      <c r="C23" s="207"/>
      <c r="D23" s="88">
        <v>1</v>
      </c>
      <c r="E23" s="89" t="str">
        <f>'[1]COMEDORES EMERGENTES'!$G$6</f>
        <v>Bº MUNICIPAL 35VV. NORTE C/14</v>
      </c>
    </row>
    <row r="24" spans="2:5" x14ac:dyDescent="0.2">
      <c r="B24" s="206" t="str">
        <f>'[1]COMEDORES EMERGENTES'!$B$7</f>
        <v>ANGELITOS - LOTEO SUSSEX</v>
      </c>
      <c r="C24" s="207"/>
      <c r="D24" s="88">
        <v>1</v>
      </c>
      <c r="E24" s="89" t="str">
        <f>'[1]COMEDORES EMERGENTES'!$G$7</f>
        <v>Bº LOTEO SUSEX MZA.Nº 4 LOTE Nº3</v>
      </c>
    </row>
    <row r="25" spans="2:5" x14ac:dyDescent="0.2">
      <c r="B25" s="206" t="str">
        <f>'[1]COMEDORES EMERGENTES'!$B$8</f>
        <v>CLUB DEPORTIVO CHACARITA</v>
      </c>
      <c r="C25" s="207"/>
      <c r="D25" s="88">
        <v>1</v>
      </c>
      <c r="E25" s="89" t="str">
        <f>'[1]COMEDORES EMERGENTES'!$G$8</f>
        <v>CALLE DR.DERMIDIO GALINDEZ C/2660</v>
      </c>
    </row>
    <row r="26" spans="2:5" x14ac:dyDescent="0.2">
      <c r="B26" s="206" t="str">
        <f>'[1]COMEDORES EMERGENTES'!$B$9</f>
        <v>LA MORO</v>
      </c>
      <c r="C26" s="207"/>
      <c r="D26" s="88">
        <v>1</v>
      </c>
      <c r="E26" s="89" t="str">
        <f>'[1]COMEDORES EMERGENTES'!$G$9</f>
        <v>MAIPU NORTE 1º ETAPA MZA "H" Bº MI JARDIN</v>
      </c>
    </row>
    <row r="27" spans="2:5" x14ac:dyDescent="0.2">
      <c r="B27" s="206" t="str">
        <f>'[1]COMEDORES EMERGENTES'!$B$10</f>
        <v>PAPA FRANCISCO</v>
      </c>
      <c r="C27" s="207"/>
      <c r="D27" s="88">
        <v>1</v>
      </c>
      <c r="E27" s="89" t="str">
        <f>'[1]COMEDORES EMERGENTES'!$G$10</f>
        <v>ENTRE AV.TEREBINTO Y AV.SAN JUAN LOTE "2" MZA. "B"</v>
      </c>
    </row>
    <row r="28" spans="2:5" x14ac:dyDescent="0.2">
      <c r="B28" s="206" t="str">
        <f>'[1]COMEDORES EMERGENTES'!$B$11</f>
        <v>E.P.C - 100 V.V NORTE</v>
      </c>
      <c r="C28" s="207"/>
      <c r="D28" s="88">
        <v>1</v>
      </c>
      <c r="E28" s="89" t="str">
        <f>'[1]COMEDORES EMERGENTES'!$G$11</f>
        <v>Bº VV NORTE C/48 ENTRE ESPAÑA Y FRANCIA</v>
      </c>
    </row>
    <row r="29" spans="2:5" x14ac:dyDescent="0.2">
      <c r="B29" s="206" t="str">
        <f>'[1]COMEDORES EMERGENTES'!$B$12</f>
        <v>HOGAR DE CRISTO - PADRE RAUL CONTRERAS</v>
      </c>
      <c r="C29" s="207"/>
      <c r="D29" s="88">
        <v>1</v>
      </c>
      <c r="E29" s="89" t="str">
        <f>'[1]COMEDORES EMERGENTES'!$G$12</f>
        <v>Bº SANTA MARTA MZA. "S" LOTE "M" C/39</v>
      </c>
    </row>
    <row r="30" spans="2:5" x14ac:dyDescent="0.2">
      <c r="B30" s="206" t="str">
        <f>'[1]COMEDORES EMERGENTES'!$B$13</f>
        <v>LA LUCIERNAGA</v>
      </c>
      <c r="C30" s="207"/>
      <c r="D30" s="88">
        <v>1</v>
      </c>
      <c r="E30" s="89" t="str">
        <f>'[1]COMEDORES EMERGENTES'!$G$13</f>
        <v>Bº 20 V.V NORTE C/3</v>
      </c>
    </row>
    <row r="31" spans="2:5" x14ac:dyDescent="0.2">
      <c r="B31" s="206" t="str">
        <f>'[1]COMEDORES EMERGENTES'!$B$14</f>
        <v>VALLE VIEJO - SUMALAO</v>
      </c>
      <c r="C31" s="207"/>
      <c r="D31" s="88">
        <v>1</v>
      </c>
      <c r="E31" s="89" t="str">
        <f>'[1]COMEDORES EMERGENTES'!$G$14</f>
        <v>PADRE SEGURA S/N</v>
      </c>
    </row>
    <row r="32" spans="2:5" x14ac:dyDescent="0.2">
      <c r="B32" s="206" t="str">
        <f>'[1]COMEDORES EMERGENTES'!$B$15</f>
        <v>NUESTRO FUTURO - LAS VIAS</v>
      </c>
      <c r="C32" s="207"/>
      <c r="D32" s="88">
        <v>1</v>
      </c>
      <c r="E32" s="89" t="str">
        <f>'[1]COMEDORES EMERGENTES'!$G$15</f>
        <v>Bº LAS VIAS OESTE LOTE 42</v>
      </c>
    </row>
    <row r="33" spans="2:5" x14ac:dyDescent="0.2">
      <c r="B33" s="206" t="str">
        <f>'[1]COMEDORES EMERGENTES'!$B$16</f>
        <v>SAN JOSE OBRERO</v>
      </c>
      <c r="C33" s="207"/>
      <c r="D33" s="88">
        <v>1</v>
      </c>
      <c r="E33" s="89" t="str">
        <f>'[1]COMEDORES EMERGENTES'!$G$16</f>
        <v>Bº SAN JOSE OBRERO. PJE. SANDOVAL S/Nº</v>
      </c>
    </row>
    <row r="34" spans="2:5" x14ac:dyDescent="0.2">
      <c r="B34" s="206" t="str">
        <f>'[1]COMEDORES EMERGENTES'!$B$17</f>
        <v>VIRGEN DE LUJAN</v>
      </c>
      <c r="C34" s="207"/>
      <c r="D34" s="88">
        <v>1</v>
      </c>
      <c r="E34" s="89" t="str">
        <f>'[1]COMEDORES EMERGENTES'!$G$17</f>
        <v>Bº OJO DE AGUA C/DR.TEODULFO BARRIONUEVO S/Nº</v>
      </c>
    </row>
    <row r="35" spans="2:5" x14ac:dyDescent="0.2">
      <c r="B35" s="206" t="str">
        <f>'[1]COMEDORES EMERGENTES'!$B$18</f>
        <v>RENACER</v>
      </c>
      <c r="C35" s="207"/>
      <c r="D35" s="88">
        <v>1</v>
      </c>
      <c r="E35" s="89" t="str">
        <f>'[1]COMEDORES EMERGENTES'!$G$18</f>
        <v>Bº VIRGEN MORENITA</v>
      </c>
    </row>
    <row r="36" spans="2:5" x14ac:dyDescent="0.2">
      <c r="B36" s="206" t="str">
        <f>'[1]COMEDORES EMERGENTES'!$B$19</f>
        <v>CENTRO VECINAL MI JARDIN</v>
      </c>
      <c r="C36" s="207"/>
      <c r="D36" s="88">
        <v>1</v>
      </c>
      <c r="E36" s="89" t="str">
        <f>'[1]COMEDORES EMERGENTES'!$G$19</f>
        <v>C/ LOS TULIPANES ENTRE FLOR DE CEREZO Y HOLANDA MZA.27 Bº MI JARDIN</v>
      </c>
    </row>
    <row r="37" spans="2:5" x14ac:dyDescent="0.2">
      <c r="B37" s="206" t="str">
        <f>'[1]COMEDORES EMERGENTES'!$B$20</f>
        <v>LA VIEJA ESQUINA</v>
      </c>
      <c r="C37" s="207"/>
      <c r="D37" s="88">
        <v>1</v>
      </c>
      <c r="E37" s="89" t="str">
        <f>'[1]COMEDORES EMERGENTES'!$G$20</f>
        <v>B° CRISTO REY PJE CAPATAZ VILLAFAÑEZ Y ARMANDO CORREA</v>
      </c>
    </row>
    <row r="38" spans="2:5" x14ac:dyDescent="0.2">
      <c r="B38" s="206" t="str">
        <f>'[1]COMEDORES EMERGENTES'!$B$21</f>
        <v>GAUCHITO GIL</v>
      </c>
      <c r="C38" s="207"/>
      <c r="D38" s="88">
        <v>1</v>
      </c>
      <c r="E38" s="89" t="str">
        <f>'[1]COMEDORES EMERGENTES'!$G$21</f>
        <v>B° 26 VIVIENDAS CASA N° 3</v>
      </c>
    </row>
    <row r="39" spans="2:5" x14ac:dyDescent="0.2">
      <c r="B39" s="206" t="str">
        <f>'[1]COMEDORES EMERGENTES'!$B$22</f>
        <v>LOS TOLDOS</v>
      </c>
      <c r="C39" s="207"/>
      <c r="D39" s="88">
        <v>1</v>
      </c>
      <c r="E39" s="89" t="str">
        <f>'[1]COMEDORES EMERGENTES'!$G$22</f>
        <v>LOTEO PARQUE SUR CALLE S/NOMBRE S/N°</v>
      </c>
    </row>
    <row r="40" spans="2:5" x14ac:dyDescent="0.2">
      <c r="B40" s="13" t="s">
        <v>20</v>
      </c>
      <c r="C40" s="11"/>
      <c r="D40" s="11"/>
      <c r="E40" s="12"/>
    </row>
    <row r="41" spans="2:5" x14ac:dyDescent="0.2">
      <c r="B41" s="203" t="s">
        <v>25</v>
      </c>
      <c r="C41" s="204"/>
      <c r="D41" s="204"/>
      <c r="E41" s="205"/>
    </row>
    <row r="42" spans="2:5" ht="13.5" thickBot="1" x14ac:dyDescent="0.25">
      <c r="B42" s="17"/>
      <c r="C42" s="18"/>
      <c r="D42" s="18"/>
      <c r="E42" s="19"/>
    </row>
  </sheetData>
  <mergeCells count="31">
    <mergeCell ref="B22:C22"/>
    <mergeCell ref="B38:C38"/>
    <mergeCell ref="B18:E18"/>
    <mergeCell ref="B16:E16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A6:B6"/>
    <mergeCell ref="A7:B7"/>
    <mergeCell ref="B19:C19"/>
    <mergeCell ref="B20:C20"/>
    <mergeCell ref="B21:C21"/>
    <mergeCell ref="B2:H2"/>
    <mergeCell ref="A4:B4"/>
    <mergeCell ref="C4:E4"/>
    <mergeCell ref="A5:B5"/>
    <mergeCell ref="C5:E5"/>
    <mergeCell ref="B41:E41"/>
    <mergeCell ref="B33:C33"/>
    <mergeCell ref="B34:C34"/>
    <mergeCell ref="B35:C35"/>
    <mergeCell ref="B36:C36"/>
    <mergeCell ref="B37:C37"/>
    <mergeCell ref="B39:C39"/>
  </mergeCells>
  <pageMargins left="0.43307086614173229" right="0.51181102362204722" top="0.31496062992125984" bottom="0.74803149606299213" header="0.31496062992125984" footer="0.31496062992125984"/>
  <pageSetup paperSize="5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18"/>
  <sheetViews>
    <sheetView workbookViewId="0">
      <selection sqref="A1:XFD1048576"/>
    </sheetView>
  </sheetViews>
  <sheetFormatPr baseColWidth="10" defaultColWidth="11" defaultRowHeight="12.75" x14ac:dyDescent="0.2"/>
  <cols>
    <col min="1" max="1" width="3.5703125" style="1" customWidth="1"/>
    <col min="2" max="2" width="19.28515625" style="1" customWidth="1"/>
    <col min="3" max="3" width="29.28515625" style="1" customWidth="1"/>
    <col min="4" max="4" width="8.85546875" style="1" customWidth="1"/>
    <col min="5" max="5" width="110.140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208" t="s">
        <v>0</v>
      </c>
      <c r="C2" s="208"/>
      <c r="D2" s="208"/>
      <c r="E2" s="208"/>
      <c r="F2" s="208"/>
      <c r="G2" s="208"/>
      <c r="H2" s="208"/>
    </row>
    <row r="4" spans="1:9" ht="18" customHeight="1" x14ac:dyDescent="0.25">
      <c r="A4" s="209" t="s">
        <v>1</v>
      </c>
      <c r="B4" s="209"/>
      <c r="C4" s="210" t="s">
        <v>27</v>
      </c>
      <c r="D4" s="210"/>
      <c r="E4" s="210"/>
      <c r="F4" s="2"/>
      <c r="G4" s="3"/>
      <c r="H4" s="2"/>
    </row>
    <row r="5" spans="1:9" ht="18" customHeight="1" x14ac:dyDescent="0.25">
      <c r="A5" s="209" t="s">
        <v>2</v>
      </c>
      <c r="B5" s="209"/>
      <c r="C5" s="210" t="s">
        <v>23</v>
      </c>
      <c r="D5" s="210"/>
      <c r="E5" s="210"/>
      <c r="F5" s="2"/>
      <c r="G5" s="3"/>
      <c r="H5" s="2"/>
    </row>
    <row r="6" spans="1:9" ht="16.5" customHeight="1" x14ac:dyDescent="0.25">
      <c r="A6" s="209" t="s">
        <v>3</v>
      </c>
      <c r="B6" s="209"/>
      <c r="C6" s="20">
        <v>2020</v>
      </c>
      <c r="D6" s="21"/>
      <c r="E6" s="21"/>
      <c r="F6" s="2"/>
      <c r="G6" s="3"/>
      <c r="H6" s="2"/>
    </row>
    <row r="7" spans="1:9" ht="16.5" customHeight="1" x14ac:dyDescent="0.25">
      <c r="A7" s="209" t="s">
        <v>4</v>
      </c>
      <c r="B7" s="209"/>
      <c r="C7" s="20">
        <v>3</v>
      </c>
      <c r="D7" s="21"/>
      <c r="E7" s="21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23" t="s">
        <v>5</v>
      </c>
      <c r="B9" s="32" t="s">
        <v>6</v>
      </c>
      <c r="C9" s="23" t="s">
        <v>7</v>
      </c>
      <c r="D9" s="23" t="s">
        <v>8</v>
      </c>
      <c r="E9" s="32" t="s">
        <v>9</v>
      </c>
      <c r="F9" s="24" t="s">
        <v>10</v>
      </c>
      <c r="G9" s="25" t="s">
        <v>11</v>
      </c>
      <c r="H9" s="25" t="s">
        <v>12</v>
      </c>
      <c r="I9" s="26" t="s">
        <v>13</v>
      </c>
    </row>
    <row r="10" spans="1:9" x14ac:dyDescent="0.2">
      <c r="A10" s="4">
        <v>1</v>
      </c>
      <c r="B10" s="29" t="s">
        <v>83</v>
      </c>
      <c r="C10" s="43" t="s">
        <v>71</v>
      </c>
      <c r="D10" s="46" t="s">
        <v>72</v>
      </c>
      <c r="E10" s="29" t="s">
        <v>86</v>
      </c>
      <c r="F10" s="39" t="s">
        <v>79</v>
      </c>
      <c r="G10" s="40">
        <v>240</v>
      </c>
      <c r="H10" s="92">
        <v>175</v>
      </c>
      <c r="I10" s="61">
        <f>+H10*G10</f>
        <v>42000</v>
      </c>
    </row>
    <row r="11" spans="1:9" x14ac:dyDescent="0.2">
      <c r="A11" s="5">
        <v>2</v>
      </c>
      <c r="B11" s="22" t="s">
        <v>84</v>
      </c>
      <c r="C11" s="44" t="s">
        <v>71</v>
      </c>
      <c r="D11" s="47" t="s">
        <v>72</v>
      </c>
      <c r="E11" s="22" t="s">
        <v>87</v>
      </c>
      <c r="F11" s="30" t="s">
        <v>79</v>
      </c>
      <c r="G11" s="31">
        <v>240</v>
      </c>
      <c r="H11" s="67">
        <v>225</v>
      </c>
      <c r="I11" s="68">
        <f>+H11*G11</f>
        <v>54000</v>
      </c>
    </row>
    <row r="12" spans="1:9" ht="13.5" thickBot="1" x14ac:dyDescent="0.25">
      <c r="A12" s="6">
        <v>3</v>
      </c>
      <c r="B12" s="27" t="s">
        <v>85</v>
      </c>
      <c r="C12" s="45" t="s">
        <v>71</v>
      </c>
      <c r="D12" s="48" t="s">
        <v>72</v>
      </c>
      <c r="E12" s="27" t="s">
        <v>88</v>
      </c>
      <c r="F12" s="41" t="s">
        <v>79</v>
      </c>
      <c r="G12" s="42">
        <v>240</v>
      </c>
      <c r="H12" s="86">
        <v>320</v>
      </c>
      <c r="I12" s="87">
        <f>+H12*G12</f>
        <v>76800</v>
      </c>
    </row>
    <row r="15" spans="1:9" x14ac:dyDescent="0.2">
      <c r="B15" s="7" t="s">
        <v>15</v>
      </c>
      <c r="C15" s="8"/>
      <c r="D15" s="8"/>
      <c r="E15" s="9"/>
    </row>
    <row r="16" spans="1:9" ht="5.25" customHeight="1" x14ac:dyDescent="0.2">
      <c r="B16" s="10"/>
      <c r="C16" s="11"/>
      <c r="D16" s="11"/>
      <c r="E16" s="12"/>
    </row>
    <row r="17" spans="2:5" x14ac:dyDescent="0.2">
      <c r="B17" s="13" t="s">
        <v>16</v>
      </c>
      <c r="C17" s="11"/>
      <c r="D17" s="11"/>
      <c r="E17" s="12"/>
    </row>
    <row r="18" spans="2:5" ht="25.5" customHeight="1" x14ac:dyDescent="0.2">
      <c r="B18" s="13"/>
      <c r="C18" s="217" t="s">
        <v>89</v>
      </c>
      <c r="D18" s="217"/>
      <c r="E18" s="218"/>
    </row>
    <row r="19" spans="2:5" ht="13.5" thickBot="1" x14ac:dyDescent="0.25">
      <c r="B19" s="13" t="s">
        <v>17</v>
      </c>
      <c r="C19" s="11"/>
      <c r="D19" s="11"/>
      <c r="E19" s="12"/>
    </row>
    <row r="20" spans="2:5" ht="13.5" thickBot="1" x14ac:dyDescent="0.25">
      <c r="B20" s="211" t="s">
        <v>98</v>
      </c>
      <c r="C20" s="215"/>
      <c r="D20" s="215"/>
      <c r="E20" s="212"/>
    </row>
    <row r="21" spans="2:5" ht="13.5" thickBot="1" x14ac:dyDescent="0.25">
      <c r="B21" s="211" t="s">
        <v>99</v>
      </c>
      <c r="C21" s="212"/>
      <c r="D21" s="49" t="s">
        <v>11</v>
      </c>
      <c r="E21" s="49" t="s">
        <v>100</v>
      </c>
    </row>
    <row r="22" spans="2:5" x14ac:dyDescent="0.2">
      <c r="B22" s="213" t="str">
        <f>'[1]COMEDORES EMERGENTES'!$B$3</f>
        <v>UNA SONRISA AV. LOS COBACHO</v>
      </c>
      <c r="C22" s="214"/>
      <c r="D22" s="88">
        <v>1</v>
      </c>
      <c r="E22" s="89" t="str">
        <f>'[1]COMEDORES EMERGENTES'!$G$3</f>
        <v>Bº SAN CARLOS OESTE AV. Bonifacio cobacho 670</v>
      </c>
    </row>
    <row r="23" spans="2:5" x14ac:dyDescent="0.2">
      <c r="B23" s="206" t="str">
        <f>'[1]COMEDORES EMERGENTES'!$B$4</f>
        <v>C.I.F Nº1 - RIVERA DEL VALLE Y FLORIDA</v>
      </c>
      <c r="C23" s="207"/>
      <c r="D23" s="88">
        <v>1</v>
      </c>
      <c r="E23" s="89" t="str">
        <f>'[1]COMEDORES EMERGENTES'!$G$4</f>
        <v>AV. RIVIERA DEL VALLE ENTRE FLORIDA Y SANTA FE</v>
      </c>
    </row>
    <row r="24" spans="2:5" x14ac:dyDescent="0.2">
      <c r="B24" s="206" t="str">
        <f>'[1]COMEDORES EMERGENTES'!$B$5</f>
        <v>C.I.F - RIVERA DEL VALLE - DILORENZO</v>
      </c>
      <c r="C24" s="207"/>
      <c r="D24" s="88">
        <v>1</v>
      </c>
      <c r="E24" s="89" t="str">
        <f>'[1]COMEDORES EMERGENTES'!$G$5</f>
        <v>Bº RIVERA DEL VALLE ENTRE VILLA EUMELIA Y MONTE CRISTO</v>
      </c>
    </row>
    <row r="25" spans="2:5" x14ac:dyDescent="0.2">
      <c r="B25" s="206" t="str">
        <f>'[1]COMEDORES EMERGENTES'!$B$6</f>
        <v>ESFUERZO PROPIO- Bº ALTOS DE CHOYA</v>
      </c>
      <c r="C25" s="207"/>
      <c r="D25" s="88">
        <v>1</v>
      </c>
      <c r="E25" s="89" t="str">
        <f>'[1]COMEDORES EMERGENTES'!$G$6</f>
        <v>Bº MUNICIPAL 35VV. NORTE C/14</v>
      </c>
    </row>
    <row r="26" spans="2:5" x14ac:dyDescent="0.2">
      <c r="B26" s="206" t="str">
        <f>'[1]COMEDORES EMERGENTES'!$B$7</f>
        <v>ANGELITOS - LOTEO SUSSEX</v>
      </c>
      <c r="C26" s="207"/>
      <c r="D26" s="88">
        <v>1</v>
      </c>
      <c r="E26" s="89" t="str">
        <f>'[1]COMEDORES EMERGENTES'!$G$7</f>
        <v>Bº LOTEO SUSEX MZA.Nº 4 LOTE Nº3</v>
      </c>
    </row>
    <row r="27" spans="2:5" x14ac:dyDescent="0.2">
      <c r="B27" s="206" t="str">
        <f>'[1]COMEDORES EMERGENTES'!$B$8</f>
        <v>CLUB DEPORTIVO CHACARITA</v>
      </c>
      <c r="C27" s="207"/>
      <c r="D27" s="88">
        <v>1</v>
      </c>
      <c r="E27" s="89" t="str">
        <f>'[1]COMEDORES EMERGENTES'!$G$8</f>
        <v>CALLE DR.DERMIDIO GALINDEZ C/2660</v>
      </c>
    </row>
    <row r="28" spans="2:5" x14ac:dyDescent="0.2">
      <c r="B28" s="206" t="str">
        <f>'[1]COMEDORES EMERGENTES'!$B$9</f>
        <v>LA MORO</v>
      </c>
      <c r="C28" s="207"/>
      <c r="D28" s="88">
        <v>1</v>
      </c>
      <c r="E28" s="89" t="str">
        <f>'[1]COMEDORES EMERGENTES'!$G$9</f>
        <v>MAIPU NORTE 1º ETAPA MZA "H" Bº MI JARDIN</v>
      </c>
    </row>
    <row r="29" spans="2:5" x14ac:dyDescent="0.2">
      <c r="B29" s="206" t="str">
        <f>'[1]COMEDORES EMERGENTES'!$B$10</f>
        <v>PAPA FRANCISCO</v>
      </c>
      <c r="C29" s="207"/>
      <c r="D29" s="88">
        <v>1</v>
      </c>
      <c r="E29" s="89" t="str">
        <f>'[1]COMEDORES EMERGENTES'!$G$10</f>
        <v>ENTRE AV.TEREBINTO Y AV.SAN JUAN LOTE "2" MZA. "B"</v>
      </c>
    </row>
    <row r="30" spans="2:5" x14ac:dyDescent="0.2">
      <c r="B30" s="206" t="str">
        <f>'[1]COMEDORES EMERGENTES'!$B$11</f>
        <v>E.P.C - 100 V.V NORTE</v>
      </c>
      <c r="C30" s="207"/>
      <c r="D30" s="88">
        <v>1</v>
      </c>
      <c r="E30" s="89" t="str">
        <f>'[1]COMEDORES EMERGENTES'!$G$11</f>
        <v>Bº VV NORTE C/48 ENTRE ESPAÑA Y FRANCIA</v>
      </c>
    </row>
    <row r="31" spans="2:5" x14ac:dyDescent="0.2">
      <c r="B31" s="206" t="str">
        <f>'[1]COMEDORES EMERGENTES'!$B$12</f>
        <v>HOGAR DE CRISTO - PADRE RAUL CONTRERAS</v>
      </c>
      <c r="C31" s="207"/>
      <c r="D31" s="88">
        <v>1</v>
      </c>
      <c r="E31" s="89" t="str">
        <f>'[1]COMEDORES EMERGENTES'!$G$12</f>
        <v>Bº SANTA MARTA MZA. "S" LOTE "M" C/39</v>
      </c>
    </row>
    <row r="32" spans="2:5" x14ac:dyDescent="0.2">
      <c r="B32" s="206" t="str">
        <f>'[1]COMEDORES EMERGENTES'!$B$13</f>
        <v>LA LUCIERNAGA</v>
      </c>
      <c r="C32" s="207"/>
      <c r="D32" s="88">
        <v>1</v>
      </c>
      <c r="E32" s="89" t="str">
        <f>'[1]COMEDORES EMERGENTES'!$G$13</f>
        <v>Bº 20 V.V NORTE C/3</v>
      </c>
    </row>
    <row r="33" spans="2:5" x14ac:dyDescent="0.2">
      <c r="B33" s="206" t="str">
        <f>'[1]COMEDORES EMERGENTES'!$B$14</f>
        <v>VALLE VIEJO - SUMALAO</v>
      </c>
      <c r="C33" s="207"/>
      <c r="D33" s="88">
        <v>1</v>
      </c>
      <c r="E33" s="89" t="str">
        <f>'[1]COMEDORES EMERGENTES'!$G$14</f>
        <v>PADRE SEGURA S/N</v>
      </c>
    </row>
    <row r="34" spans="2:5" x14ac:dyDescent="0.2">
      <c r="B34" s="206" t="str">
        <f>'[1]COMEDORES EMERGENTES'!$B$15</f>
        <v>NUESTRO FUTURO - LAS VIAS</v>
      </c>
      <c r="C34" s="207"/>
      <c r="D34" s="88">
        <v>1</v>
      </c>
      <c r="E34" s="89" t="str">
        <f>'[1]COMEDORES EMERGENTES'!$G$15</f>
        <v>Bº LAS VIAS OESTE LOTE 42</v>
      </c>
    </row>
    <row r="35" spans="2:5" x14ac:dyDescent="0.2">
      <c r="B35" s="206" t="str">
        <f>'[1]COMEDORES EMERGENTES'!$B$16</f>
        <v>SAN JOSE OBRERO</v>
      </c>
      <c r="C35" s="207"/>
      <c r="D35" s="88">
        <v>1</v>
      </c>
      <c r="E35" s="89" t="str">
        <f>'[1]COMEDORES EMERGENTES'!$G$16</f>
        <v>Bº SAN JOSE OBRERO. PJE. SANDOVAL S/Nº</v>
      </c>
    </row>
    <row r="36" spans="2:5" x14ac:dyDescent="0.2">
      <c r="B36" s="206" t="str">
        <f>'[1]COMEDORES EMERGENTES'!$B$17</f>
        <v>VIRGEN DE LUJAN</v>
      </c>
      <c r="C36" s="207"/>
      <c r="D36" s="88">
        <v>1</v>
      </c>
      <c r="E36" s="89" t="str">
        <f>'[1]COMEDORES EMERGENTES'!$G$17</f>
        <v>Bº OJO DE AGUA C/DR.TEODULFO BARRIONUEVO S/Nº</v>
      </c>
    </row>
    <row r="37" spans="2:5" x14ac:dyDescent="0.2">
      <c r="B37" s="206" t="str">
        <f>'[1]COMEDORES EMERGENTES'!$B$18</f>
        <v>RENACER</v>
      </c>
      <c r="C37" s="207"/>
      <c r="D37" s="88">
        <v>1</v>
      </c>
      <c r="E37" s="89" t="str">
        <f>'[1]COMEDORES EMERGENTES'!$G$18</f>
        <v>Bº VIRGEN MORENITA</v>
      </c>
    </row>
    <row r="38" spans="2:5" x14ac:dyDescent="0.2">
      <c r="B38" s="206" t="str">
        <f>'[1]COMEDORES EMERGENTES'!$B$19</f>
        <v>CENTRO VECINAL MI JARDIN</v>
      </c>
      <c r="C38" s="207"/>
      <c r="D38" s="88">
        <v>1</v>
      </c>
      <c r="E38" s="89" t="str">
        <f>'[1]COMEDORES EMERGENTES'!$G$19</f>
        <v>C/ LOS TULIPANES ENTRE FLOR DE CEREZO Y HOLANDA MZA.27 Bº MI JARDIN</v>
      </c>
    </row>
    <row r="39" spans="2:5" x14ac:dyDescent="0.2">
      <c r="B39" s="206" t="str">
        <f>'[1]COMEDORES EMERGENTES'!$B$20</f>
        <v>LA VIEJA ESQUINA</v>
      </c>
      <c r="C39" s="207"/>
      <c r="D39" s="88">
        <v>1</v>
      </c>
      <c r="E39" s="89" t="str">
        <f>'[1]COMEDORES EMERGENTES'!$G$20</f>
        <v>B° CRISTO REY PJE CAPATAZ VILLAFAÑEZ Y ARMANDO CORREA</v>
      </c>
    </row>
    <row r="40" spans="2:5" x14ac:dyDescent="0.2">
      <c r="B40" s="206" t="str">
        <f>'[1]COMEDORES EMERGENTES'!$B$21</f>
        <v>GAUCHITO GIL</v>
      </c>
      <c r="C40" s="207"/>
      <c r="D40" s="88">
        <v>1</v>
      </c>
      <c r="E40" s="89" t="str">
        <f>'[1]COMEDORES EMERGENTES'!$G$21</f>
        <v>B° 26 VIVIENDAS CASA N° 3</v>
      </c>
    </row>
    <row r="41" spans="2:5" x14ac:dyDescent="0.2">
      <c r="B41" s="206" t="str">
        <f>'[1]COMEDORES EMERGENTES'!$B$22</f>
        <v>LOS TOLDOS</v>
      </c>
      <c r="C41" s="207"/>
      <c r="D41" s="88">
        <v>1</v>
      </c>
      <c r="E41" s="89" t="str">
        <f>'[1]COMEDORES EMERGENTES'!$G$22</f>
        <v>LOTEO PARQUE SUR CALLE S/NOMBRE S/N°</v>
      </c>
    </row>
    <row r="42" spans="2:5" x14ac:dyDescent="0.2">
      <c r="B42" s="13" t="s">
        <v>18</v>
      </c>
      <c r="C42" s="11"/>
      <c r="D42" s="11"/>
      <c r="E42" s="12"/>
    </row>
    <row r="43" spans="2:5" x14ac:dyDescent="0.2">
      <c r="B43" s="14"/>
      <c r="C43" s="219" t="s">
        <v>24</v>
      </c>
      <c r="D43" s="219"/>
      <c r="E43" s="219"/>
    </row>
    <row r="44" spans="2:5" x14ac:dyDescent="0.2">
      <c r="B44" s="13" t="s">
        <v>19</v>
      </c>
      <c r="C44" s="15"/>
      <c r="D44" s="15"/>
      <c r="E44" s="16"/>
    </row>
    <row r="45" spans="2:5" x14ac:dyDescent="0.2">
      <c r="B45" s="14"/>
      <c r="C45" s="219" t="s">
        <v>101</v>
      </c>
      <c r="D45" s="219"/>
      <c r="E45" s="219"/>
    </row>
    <row r="46" spans="2:5" x14ac:dyDescent="0.2">
      <c r="B46" s="13" t="s">
        <v>20</v>
      </c>
      <c r="C46" s="11"/>
      <c r="D46" s="11"/>
      <c r="E46" s="12"/>
    </row>
    <row r="47" spans="2:5" x14ac:dyDescent="0.2">
      <c r="B47" s="13"/>
      <c r="C47" s="205" t="s">
        <v>25</v>
      </c>
      <c r="D47" s="205"/>
      <c r="E47" s="205"/>
    </row>
    <row r="48" spans="2:5" ht="13.5" thickBot="1" x14ac:dyDescent="0.25">
      <c r="B48" s="17"/>
      <c r="C48" s="18"/>
      <c r="D48" s="18"/>
      <c r="E48" s="19"/>
    </row>
    <row r="50" spans="2:5" x14ac:dyDescent="0.2">
      <c r="B50" s="7" t="s">
        <v>21</v>
      </c>
      <c r="C50" s="8"/>
      <c r="D50" s="8"/>
      <c r="E50" s="9"/>
    </row>
    <row r="51" spans="2:5" x14ac:dyDescent="0.2">
      <c r="B51" s="10"/>
      <c r="C51" s="11"/>
      <c r="D51" s="11"/>
      <c r="E51" s="12"/>
    </row>
    <row r="52" spans="2:5" x14ac:dyDescent="0.2">
      <c r="B52" s="13" t="s">
        <v>16</v>
      </c>
      <c r="C52" s="11"/>
      <c r="D52" s="11"/>
      <c r="E52" s="12"/>
    </row>
    <row r="53" spans="2:5" ht="25.5" customHeight="1" x14ac:dyDescent="0.2">
      <c r="B53" s="13"/>
      <c r="C53" s="217" t="s">
        <v>89</v>
      </c>
      <c r="D53" s="217"/>
      <c r="E53" s="218"/>
    </row>
    <row r="54" spans="2:5" ht="13.5" thickBot="1" x14ac:dyDescent="0.25">
      <c r="B54" s="13" t="s">
        <v>17</v>
      </c>
      <c r="C54" s="11"/>
      <c r="D54" s="11"/>
      <c r="E54" s="12"/>
    </row>
    <row r="55" spans="2:5" ht="13.5" thickBot="1" x14ac:dyDescent="0.25">
      <c r="B55" s="211" t="s">
        <v>98</v>
      </c>
      <c r="C55" s="215"/>
      <c r="D55" s="215"/>
      <c r="E55" s="212"/>
    </row>
    <row r="56" spans="2:5" ht="13.5" thickBot="1" x14ac:dyDescent="0.25">
      <c r="B56" s="211" t="s">
        <v>99</v>
      </c>
      <c r="C56" s="212"/>
      <c r="D56" s="49" t="s">
        <v>11</v>
      </c>
      <c r="E56" s="49" t="s">
        <v>100</v>
      </c>
    </row>
    <row r="57" spans="2:5" x14ac:dyDescent="0.2">
      <c r="B57" s="213" t="str">
        <f>'[1]COMEDORES EMERGENTES'!$B$3</f>
        <v>UNA SONRISA AV. LOS COBACHO</v>
      </c>
      <c r="C57" s="214"/>
      <c r="D57" s="88">
        <v>1</v>
      </c>
      <c r="E57" s="89" t="str">
        <f>'[1]COMEDORES EMERGENTES'!$G$3</f>
        <v>Bº SAN CARLOS OESTE AV. Bonifacio cobacho 670</v>
      </c>
    </row>
    <row r="58" spans="2:5" x14ac:dyDescent="0.2">
      <c r="B58" s="206" t="str">
        <f>'[1]COMEDORES EMERGENTES'!$B$4</f>
        <v>C.I.F Nº1 - RIVERA DEL VALLE Y FLORIDA</v>
      </c>
      <c r="C58" s="207"/>
      <c r="D58" s="88">
        <v>1</v>
      </c>
      <c r="E58" s="89" t="str">
        <f>'[1]COMEDORES EMERGENTES'!$G$4</f>
        <v>AV. RIVIERA DEL VALLE ENTRE FLORIDA Y SANTA FE</v>
      </c>
    </row>
    <row r="59" spans="2:5" x14ac:dyDescent="0.2">
      <c r="B59" s="206" t="str">
        <f>'[1]COMEDORES EMERGENTES'!$B$5</f>
        <v>C.I.F - RIVERA DEL VALLE - DILORENZO</v>
      </c>
      <c r="C59" s="207"/>
      <c r="D59" s="88">
        <v>1</v>
      </c>
      <c r="E59" s="89" t="str">
        <f>'[1]COMEDORES EMERGENTES'!$G$5</f>
        <v>Bº RIVERA DEL VALLE ENTRE VILLA EUMELIA Y MONTE CRISTO</v>
      </c>
    </row>
    <row r="60" spans="2:5" x14ac:dyDescent="0.2">
      <c r="B60" s="206" t="str">
        <f>'[1]COMEDORES EMERGENTES'!$B$6</f>
        <v>ESFUERZO PROPIO- Bº ALTOS DE CHOYA</v>
      </c>
      <c r="C60" s="207"/>
      <c r="D60" s="88">
        <v>1</v>
      </c>
      <c r="E60" s="89" t="str">
        <f>'[1]COMEDORES EMERGENTES'!$G$6</f>
        <v>Bº MUNICIPAL 35VV. NORTE C/14</v>
      </c>
    </row>
    <row r="61" spans="2:5" x14ac:dyDescent="0.2">
      <c r="B61" s="206" t="str">
        <f>'[1]COMEDORES EMERGENTES'!$B$7</f>
        <v>ANGELITOS - LOTEO SUSSEX</v>
      </c>
      <c r="C61" s="207"/>
      <c r="D61" s="88">
        <v>1</v>
      </c>
      <c r="E61" s="89" t="str">
        <f>'[1]COMEDORES EMERGENTES'!$G$7</f>
        <v>Bº LOTEO SUSEX MZA.Nº 4 LOTE Nº3</v>
      </c>
    </row>
    <row r="62" spans="2:5" x14ac:dyDescent="0.2">
      <c r="B62" s="206" t="str">
        <f>'[1]COMEDORES EMERGENTES'!$B$8</f>
        <v>CLUB DEPORTIVO CHACARITA</v>
      </c>
      <c r="C62" s="207"/>
      <c r="D62" s="88">
        <v>1</v>
      </c>
      <c r="E62" s="89" t="str">
        <f>'[1]COMEDORES EMERGENTES'!$G$8</f>
        <v>CALLE DR.DERMIDIO GALINDEZ C/2660</v>
      </c>
    </row>
    <row r="63" spans="2:5" x14ac:dyDescent="0.2">
      <c r="B63" s="206" t="str">
        <f>'[1]COMEDORES EMERGENTES'!$B$9</f>
        <v>LA MORO</v>
      </c>
      <c r="C63" s="207"/>
      <c r="D63" s="88">
        <v>1</v>
      </c>
      <c r="E63" s="89" t="str">
        <f>'[1]COMEDORES EMERGENTES'!$G$9</f>
        <v>MAIPU NORTE 1º ETAPA MZA "H" Bº MI JARDIN</v>
      </c>
    </row>
    <row r="64" spans="2:5" x14ac:dyDescent="0.2">
      <c r="B64" s="206" t="str">
        <f>'[1]COMEDORES EMERGENTES'!$B$10</f>
        <v>PAPA FRANCISCO</v>
      </c>
      <c r="C64" s="207"/>
      <c r="D64" s="88">
        <v>1</v>
      </c>
      <c r="E64" s="89" t="str">
        <f>'[1]COMEDORES EMERGENTES'!$G$10</f>
        <v>ENTRE AV.TEREBINTO Y AV.SAN JUAN LOTE "2" MZA. "B"</v>
      </c>
    </row>
    <row r="65" spans="2:5" x14ac:dyDescent="0.2">
      <c r="B65" s="206" t="str">
        <f>'[1]COMEDORES EMERGENTES'!$B$11</f>
        <v>E.P.C - 100 V.V NORTE</v>
      </c>
      <c r="C65" s="207"/>
      <c r="D65" s="88">
        <v>1</v>
      </c>
      <c r="E65" s="89" t="str">
        <f>'[1]COMEDORES EMERGENTES'!$G$11</f>
        <v>Bº VV NORTE C/48 ENTRE ESPAÑA Y FRANCIA</v>
      </c>
    </row>
    <row r="66" spans="2:5" x14ac:dyDescent="0.2">
      <c r="B66" s="206" t="str">
        <f>'[1]COMEDORES EMERGENTES'!$B$12</f>
        <v>HOGAR DE CRISTO - PADRE RAUL CONTRERAS</v>
      </c>
      <c r="C66" s="207"/>
      <c r="D66" s="88">
        <v>1</v>
      </c>
      <c r="E66" s="89" t="str">
        <f>'[1]COMEDORES EMERGENTES'!$G$12</f>
        <v>Bº SANTA MARTA MZA. "S" LOTE "M" C/39</v>
      </c>
    </row>
    <row r="67" spans="2:5" x14ac:dyDescent="0.2">
      <c r="B67" s="206" t="str">
        <f>'[1]COMEDORES EMERGENTES'!$B$13</f>
        <v>LA LUCIERNAGA</v>
      </c>
      <c r="C67" s="207"/>
      <c r="D67" s="88">
        <v>1</v>
      </c>
      <c r="E67" s="89" t="str">
        <f>'[1]COMEDORES EMERGENTES'!$G$13</f>
        <v>Bº 20 V.V NORTE C/3</v>
      </c>
    </row>
    <row r="68" spans="2:5" x14ac:dyDescent="0.2">
      <c r="B68" s="206" t="str">
        <f>'[1]COMEDORES EMERGENTES'!$B$14</f>
        <v>VALLE VIEJO - SUMALAO</v>
      </c>
      <c r="C68" s="207"/>
      <c r="D68" s="88">
        <v>1</v>
      </c>
      <c r="E68" s="89" t="str">
        <f>'[1]COMEDORES EMERGENTES'!$G$14</f>
        <v>PADRE SEGURA S/N</v>
      </c>
    </row>
    <row r="69" spans="2:5" x14ac:dyDescent="0.2">
      <c r="B69" s="206" t="str">
        <f>'[1]COMEDORES EMERGENTES'!$B$15</f>
        <v>NUESTRO FUTURO - LAS VIAS</v>
      </c>
      <c r="C69" s="207"/>
      <c r="D69" s="88">
        <v>1</v>
      </c>
      <c r="E69" s="89" t="str">
        <f>'[1]COMEDORES EMERGENTES'!$G$15</f>
        <v>Bº LAS VIAS OESTE LOTE 42</v>
      </c>
    </row>
    <row r="70" spans="2:5" x14ac:dyDescent="0.2">
      <c r="B70" s="206" t="str">
        <f>'[1]COMEDORES EMERGENTES'!$B$16</f>
        <v>SAN JOSE OBRERO</v>
      </c>
      <c r="C70" s="207"/>
      <c r="D70" s="88">
        <v>1</v>
      </c>
      <c r="E70" s="89" t="str">
        <f>'[1]COMEDORES EMERGENTES'!$G$16</f>
        <v>Bº SAN JOSE OBRERO. PJE. SANDOVAL S/Nº</v>
      </c>
    </row>
    <row r="71" spans="2:5" x14ac:dyDescent="0.2">
      <c r="B71" s="206" t="str">
        <f>'[1]COMEDORES EMERGENTES'!$B$17</f>
        <v>VIRGEN DE LUJAN</v>
      </c>
      <c r="C71" s="207"/>
      <c r="D71" s="88">
        <v>1</v>
      </c>
      <c r="E71" s="89" t="str">
        <f>'[1]COMEDORES EMERGENTES'!$G$17</f>
        <v>Bº OJO DE AGUA C/DR.TEODULFO BARRIONUEVO S/Nº</v>
      </c>
    </row>
    <row r="72" spans="2:5" x14ac:dyDescent="0.2">
      <c r="B72" s="206" t="str">
        <f>'[1]COMEDORES EMERGENTES'!$B$18</f>
        <v>RENACER</v>
      </c>
      <c r="C72" s="207"/>
      <c r="D72" s="88">
        <v>1</v>
      </c>
      <c r="E72" s="89" t="str">
        <f>'[1]COMEDORES EMERGENTES'!$G$18</f>
        <v>Bº VIRGEN MORENITA</v>
      </c>
    </row>
    <row r="73" spans="2:5" x14ac:dyDescent="0.2">
      <c r="B73" s="206" t="str">
        <f>'[1]COMEDORES EMERGENTES'!$B$19</f>
        <v>CENTRO VECINAL MI JARDIN</v>
      </c>
      <c r="C73" s="207"/>
      <c r="D73" s="88">
        <v>1</v>
      </c>
      <c r="E73" s="89" t="str">
        <f>'[1]COMEDORES EMERGENTES'!$G$19</f>
        <v>C/ LOS TULIPANES ENTRE FLOR DE CEREZO Y HOLANDA MZA.27 Bº MI JARDIN</v>
      </c>
    </row>
    <row r="74" spans="2:5" x14ac:dyDescent="0.2">
      <c r="B74" s="206" t="str">
        <f>'[1]COMEDORES EMERGENTES'!$B$20</f>
        <v>LA VIEJA ESQUINA</v>
      </c>
      <c r="C74" s="207"/>
      <c r="D74" s="88">
        <v>1</v>
      </c>
      <c r="E74" s="89" t="str">
        <f>'[1]COMEDORES EMERGENTES'!$G$20</f>
        <v>B° CRISTO REY PJE CAPATAZ VILLAFAÑEZ Y ARMANDO CORREA</v>
      </c>
    </row>
    <row r="75" spans="2:5" x14ac:dyDescent="0.2">
      <c r="B75" s="206" t="str">
        <f>'[1]COMEDORES EMERGENTES'!$B$21</f>
        <v>GAUCHITO GIL</v>
      </c>
      <c r="C75" s="207"/>
      <c r="D75" s="88">
        <v>1</v>
      </c>
      <c r="E75" s="89" t="str">
        <f>'[1]COMEDORES EMERGENTES'!$G$21</f>
        <v>B° 26 VIVIENDAS CASA N° 3</v>
      </c>
    </row>
    <row r="76" spans="2:5" x14ac:dyDescent="0.2">
      <c r="B76" s="206" t="str">
        <f>'[1]COMEDORES EMERGENTES'!$B$22</f>
        <v>LOS TOLDOS</v>
      </c>
      <c r="C76" s="207"/>
      <c r="D76" s="88">
        <v>1</v>
      </c>
      <c r="E76" s="89" t="str">
        <f>'[1]COMEDORES EMERGENTES'!$G$22</f>
        <v>LOTEO PARQUE SUR CALLE S/NOMBRE S/N°</v>
      </c>
    </row>
    <row r="77" spans="2:5" x14ac:dyDescent="0.2">
      <c r="B77" s="13" t="s">
        <v>18</v>
      </c>
      <c r="C77" s="11"/>
      <c r="D77" s="11"/>
      <c r="E77" s="12"/>
    </row>
    <row r="78" spans="2:5" x14ac:dyDescent="0.2">
      <c r="B78" s="14"/>
      <c r="C78" s="219" t="s">
        <v>24</v>
      </c>
      <c r="D78" s="219"/>
      <c r="E78" s="219"/>
    </row>
    <row r="79" spans="2:5" x14ac:dyDescent="0.2">
      <c r="B79" s="13" t="s">
        <v>19</v>
      </c>
      <c r="C79" s="15"/>
      <c r="D79" s="15"/>
      <c r="E79" s="16"/>
    </row>
    <row r="80" spans="2:5" x14ac:dyDescent="0.2">
      <c r="B80" s="14"/>
      <c r="C80" s="219" t="s">
        <v>101</v>
      </c>
      <c r="D80" s="219"/>
      <c r="E80" s="219"/>
    </row>
    <row r="81" spans="2:5" x14ac:dyDescent="0.2">
      <c r="B81" s="13" t="s">
        <v>20</v>
      </c>
      <c r="C81" s="11"/>
      <c r="D81" s="11"/>
      <c r="E81" s="12"/>
    </row>
    <row r="82" spans="2:5" x14ac:dyDescent="0.2">
      <c r="B82" s="13"/>
      <c r="C82" s="205" t="s">
        <v>25</v>
      </c>
      <c r="D82" s="205"/>
      <c r="E82" s="205"/>
    </row>
    <row r="83" spans="2:5" ht="13.5" thickBot="1" x14ac:dyDescent="0.25">
      <c r="B83" s="17"/>
      <c r="C83" s="18"/>
      <c r="D83" s="18"/>
      <c r="E83" s="19"/>
    </row>
    <row r="84" spans="2:5" ht="13.5" thickBot="1" x14ac:dyDescent="0.25"/>
    <row r="85" spans="2:5" x14ac:dyDescent="0.2">
      <c r="B85" s="7" t="s">
        <v>26</v>
      </c>
      <c r="C85" s="8"/>
      <c r="D85" s="8"/>
      <c r="E85" s="9"/>
    </row>
    <row r="86" spans="2:5" x14ac:dyDescent="0.2">
      <c r="B86" s="10"/>
      <c r="C86" s="11"/>
      <c r="D86" s="11"/>
      <c r="E86" s="12"/>
    </row>
    <row r="87" spans="2:5" x14ac:dyDescent="0.2">
      <c r="B87" s="13" t="s">
        <v>16</v>
      </c>
      <c r="C87" s="11"/>
      <c r="D87" s="11"/>
      <c r="E87" s="12"/>
    </row>
    <row r="88" spans="2:5" ht="25.5" customHeight="1" x14ac:dyDescent="0.2">
      <c r="B88" s="13"/>
      <c r="C88" s="217" t="s">
        <v>89</v>
      </c>
      <c r="D88" s="217"/>
      <c r="E88" s="218"/>
    </row>
    <row r="89" spans="2:5" ht="13.5" thickBot="1" x14ac:dyDescent="0.25">
      <c r="B89" s="13" t="s">
        <v>17</v>
      </c>
      <c r="C89" s="11"/>
      <c r="D89" s="11"/>
      <c r="E89" s="12"/>
    </row>
    <row r="90" spans="2:5" ht="13.5" thickBot="1" x14ac:dyDescent="0.25">
      <c r="B90" s="211" t="s">
        <v>98</v>
      </c>
      <c r="C90" s="215"/>
      <c r="D90" s="215"/>
      <c r="E90" s="212"/>
    </row>
    <row r="91" spans="2:5" ht="13.5" thickBot="1" x14ac:dyDescent="0.25">
      <c r="B91" s="211" t="s">
        <v>99</v>
      </c>
      <c r="C91" s="212"/>
      <c r="D91" s="49" t="s">
        <v>11</v>
      </c>
      <c r="E91" s="49" t="s">
        <v>100</v>
      </c>
    </row>
    <row r="92" spans="2:5" x14ac:dyDescent="0.2">
      <c r="B92" s="213" t="str">
        <f>'[1]COMEDORES EMERGENTES'!$B$3</f>
        <v>UNA SONRISA AV. LOS COBACHO</v>
      </c>
      <c r="C92" s="214"/>
      <c r="D92" s="88">
        <v>1</v>
      </c>
      <c r="E92" s="89" t="str">
        <f>'[1]COMEDORES EMERGENTES'!$G$3</f>
        <v>Bº SAN CARLOS OESTE AV. Bonifacio cobacho 670</v>
      </c>
    </row>
    <row r="93" spans="2:5" x14ac:dyDescent="0.2">
      <c r="B93" s="206" t="str">
        <f>'[1]COMEDORES EMERGENTES'!$B$4</f>
        <v>C.I.F Nº1 - RIVERA DEL VALLE Y FLORIDA</v>
      </c>
      <c r="C93" s="207"/>
      <c r="D93" s="88">
        <v>1</v>
      </c>
      <c r="E93" s="89" t="str">
        <f>'[1]COMEDORES EMERGENTES'!$G$4</f>
        <v>AV. RIVIERA DEL VALLE ENTRE FLORIDA Y SANTA FE</v>
      </c>
    </row>
    <row r="94" spans="2:5" x14ac:dyDescent="0.2">
      <c r="B94" s="206" t="str">
        <f>'[1]COMEDORES EMERGENTES'!$B$5</f>
        <v>C.I.F - RIVERA DEL VALLE - DILORENZO</v>
      </c>
      <c r="C94" s="207"/>
      <c r="D94" s="88">
        <v>1</v>
      </c>
      <c r="E94" s="89" t="str">
        <f>'[1]COMEDORES EMERGENTES'!$G$5</f>
        <v>Bº RIVERA DEL VALLE ENTRE VILLA EUMELIA Y MONTE CRISTO</v>
      </c>
    </row>
    <row r="95" spans="2:5" x14ac:dyDescent="0.2">
      <c r="B95" s="206" t="str">
        <f>'[1]COMEDORES EMERGENTES'!$B$6</f>
        <v>ESFUERZO PROPIO- Bº ALTOS DE CHOYA</v>
      </c>
      <c r="C95" s="207"/>
      <c r="D95" s="88">
        <v>1</v>
      </c>
      <c r="E95" s="89" t="str">
        <f>'[1]COMEDORES EMERGENTES'!$G$6</f>
        <v>Bº MUNICIPAL 35VV. NORTE C/14</v>
      </c>
    </row>
    <row r="96" spans="2:5" x14ac:dyDescent="0.2">
      <c r="B96" s="206" t="str">
        <f>'[1]COMEDORES EMERGENTES'!$B$7</f>
        <v>ANGELITOS - LOTEO SUSSEX</v>
      </c>
      <c r="C96" s="207"/>
      <c r="D96" s="88">
        <v>1</v>
      </c>
      <c r="E96" s="89" t="str">
        <f>'[1]COMEDORES EMERGENTES'!$G$7</f>
        <v>Bº LOTEO SUSEX MZA.Nº 4 LOTE Nº3</v>
      </c>
    </row>
    <row r="97" spans="2:5" x14ac:dyDescent="0.2">
      <c r="B97" s="206" t="str">
        <f>'[1]COMEDORES EMERGENTES'!$B$8</f>
        <v>CLUB DEPORTIVO CHACARITA</v>
      </c>
      <c r="C97" s="207"/>
      <c r="D97" s="88">
        <v>1</v>
      </c>
      <c r="E97" s="89" t="str">
        <f>'[1]COMEDORES EMERGENTES'!$G$8</f>
        <v>CALLE DR.DERMIDIO GALINDEZ C/2660</v>
      </c>
    </row>
    <row r="98" spans="2:5" x14ac:dyDescent="0.2">
      <c r="B98" s="206" t="str">
        <f>'[1]COMEDORES EMERGENTES'!$B$9</f>
        <v>LA MORO</v>
      </c>
      <c r="C98" s="207"/>
      <c r="D98" s="88">
        <v>1</v>
      </c>
      <c r="E98" s="89" t="str">
        <f>'[1]COMEDORES EMERGENTES'!$G$9</f>
        <v>MAIPU NORTE 1º ETAPA MZA "H" Bº MI JARDIN</v>
      </c>
    </row>
    <row r="99" spans="2:5" x14ac:dyDescent="0.2">
      <c r="B99" s="206" t="str">
        <f>'[1]COMEDORES EMERGENTES'!$B$10</f>
        <v>PAPA FRANCISCO</v>
      </c>
      <c r="C99" s="207"/>
      <c r="D99" s="88">
        <v>1</v>
      </c>
      <c r="E99" s="89" t="str">
        <f>'[1]COMEDORES EMERGENTES'!$G$10</f>
        <v>ENTRE AV.TEREBINTO Y AV.SAN JUAN LOTE "2" MZA. "B"</v>
      </c>
    </row>
    <row r="100" spans="2:5" x14ac:dyDescent="0.2">
      <c r="B100" s="206" t="str">
        <f>'[1]COMEDORES EMERGENTES'!$B$11</f>
        <v>E.P.C - 100 V.V NORTE</v>
      </c>
      <c r="C100" s="207"/>
      <c r="D100" s="88">
        <v>1</v>
      </c>
      <c r="E100" s="89" t="str">
        <f>'[1]COMEDORES EMERGENTES'!$G$11</f>
        <v>Bº VV NORTE C/48 ENTRE ESPAÑA Y FRANCIA</v>
      </c>
    </row>
    <row r="101" spans="2:5" x14ac:dyDescent="0.2">
      <c r="B101" s="206" t="str">
        <f>'[1]COMEDORES EMERGENTES'!$B$12</f>
        <v>HOGAR DE CRISTO - PADRE RAUL CONTRERAS</v>
      </c>
      <c r="C101" s="207"/>
      <c r="D101" s="88">
        <v>1</v>
      </c>
      <c r="E101" s="89" t="str">
        <f>'[1]COMEDORES EMERGENTES'!$G$12</f>
        <v>Bº SANTA MARTA MZA. "S" LOTE "M" C/39</v>
      </c>
    </row>
    <row r="102" spans="2:5" x14ac:dyDescent="0.2">
      <c r="B102" s="206" t="str">
        <f>'[1]COMEDORES EMERGENTES'!$B$13</f>
        <v>LA LUCIERNAGA</v>
      </c>
      <c r="C102" s="207"/>
      <c r="D102" s="88">
        <v>1</v>
      </c>
      <c r="E102" s="89" t="str">
        <f>'[1]COMEDORES EMERGENTES'!$G$13</f>
        <v>Bº 20 V.V NORTE C/3</v>
      </c>
    </row>
    <row r="103" spans="2:5" x14ac:dyDescent="0.2">
      <c r="B103" s="206" t="str">
        <f>'[1]COMEDORES EMERGENTES'!$B$14</f>
        <v>VALLE VIEJO - SUMALAO</v>
      </c>
      <c r="C103" s="207"/>
      <c r="D103" s="88">
        <v>1</v>
      </c>
      <c r="E103" s="89" t="str">
        <f>'[1]COMEDORES EMERGENTES'!$G$14</f>
        <v>PADRE SEGURA S/N</v>
      </c>
    </row>
    <row r="104" spans="2:5" x14ac:dyDescent="0.2">
      <c r="B104" s="206" t="str">
        <f>'[1]COMEDORES EMERGENTES'!$B$15</f>
        <v>NUESTRO FUTURO - LAS VIAS</v>
      </c>
      <c r="C104" s="207"/>
      <c r="D104" s="88">
        <v>1</v>
      </c>
      <c r="E104" s="89" t="str">
        <f>'[1]COMEDORES EMERGENTES'!$G$15</f>
        <v>Bº LAS VIAS OESTE LOTE 42</v>
      </c>
    </row>
    <row r="105" spans="2:5" x14ac:dyDescent="0.2">
      <c r="B105" s="206" t="str">
        <f>'[1]COMEDORES EMERGENTES'!$B$16</f>
        <v>SAN JOSE OBRERO</v>
      </c>
      <c r="C105" s="207"/>
      <c r="D105" s="88">
        <v>1</v>
      </c>
      <c r="E105" s="89" t="str">
        <f>'[1]COMEDORES EMERGENTES'!$G$16</f>
        <v>Bº SAN JOSE OBRERO. PJE. SANDOVAL S/Nº</v>
      </c>
    </row>
    <row r="106" spans="2:5" x14ac:dyDescent="0.2">
      <c r="B106" s="206" t="str">
        <f>'[1]COMEDORES EMERGENTES'!$B$17</f>
        <v>VIRGEN DE LUJAN</v>
      </c>
      <c r="C106" s="207"/>
      <c r="D106" s="88">
        <v>1</v>
      </c>
      <c r="E106" s="89" t="str">
        <f>'[1]COMEDORES EMERGENTES'!$G$17</f>
        <v>Bº OJO DE AGUA C/DR.TEODULFO BARRIONUEVO S/Nº</v>
      </c>
    </row>
    <row r="107" spans="2:5" x14ac:dyDescent="0.2">
      <c r="B107" s="206" t="str">
        <f>'[1]COMEDORES EMERGENTES'!$B$18</f>
        <v>RENACER</v>
      </c>
      <c r="C107" s="207"/>
      <c r="D107" s="88">
        <v>1</v>
      </c>
      <c r="E107" s="89" t="str">
        <f>'[1]COMEDORES EMERGENTES'!$G$18</f>
        <v>Bº VIRGEN MORENITA</v>
      </c>
    </row>
    <row r="108" spans="2:5" x14ac:dyDescent="0.2">
      <c r="B108" s="206" t="str">
        <f>'[1]COMEDORES EMERGENTES'!$B$19</f>
        <v>CENTRO VECINAL MI JARDIN</v>
      </c>
      <c r="C108" s="207"/>
      <c r="D108" s="88">
        <v>1</v>
      </c>
      <c r="E108" s="89" t="str">
        <f>'[1]COMEDORES EMERGENTES'!$G$19</f>
        <v>C/ LOS TULIPANES ENTRE FLOR DE CEREZO Y HOLANDA MZA.27 Bº MI JARDIN</v>
      </c>
    </row>
    <row r="109" spans="2:5" x14ac:dyDescent="0.2">
      <c r="B109" s="206" t="str">
        <f>'[1]COMEDORES EMERGENTES'!$B$20</f>
        <v>LA VIEJA ESQUINA</v>
      </c>
      <c r="C109" s="207"/>
      <c r="D109" s="88">
        <v>1</v>
      </c>
      <c r="E109" s="89" t="str">
        <f>'[1]COMEDORES EMERGENTES'!$G$20</f>
        <v>B° CRISTO REY PJE CAPATAZ VILLAFAÑEZ Y ARMANDO CORREA</v>
      </c>
    </row>
    <row r="110" spans="2:5" x14ac:dyDescent="0.2">
      <c r="B110" s="206" t="str">
        <f>'[1]COMEDORES EMERGENTES'!$B$21</f>
        <v>GAUCHITO GIL</v>
      </c>
      <c r="C110" s="207"/>
      <c r="D110" s="88">
        <v>1</v>
      </c>
      <c r="E110" s="89" t="str">
        <f>'[1]COMEDORES EMERGENTES'!$G$21</f>
        <v>B° 26 VIVIENDAS CASA N° 3</v>
      </c>
    </row>
    <row r="111" spans="2:5" x14ac:dyDescent="0.2">
      <c r="B111" s="206" t="str">
        <f>'[1]COMEDORES EMERGENTES'!$B$22</f>
        <v>LOS TOLDOS</v>
      </c>
      <c r="C111" s="207"/>
      <c r="D111" s="88">
        <v>1</v>
      </c>
      <c r="E111" s="89" t="str">
        <f>'[1]COMEDORES EMERGENTES'!$G$22</f>
        <v>LOTEO PARQUE SUR CALLE S/NOMBRE S/N°</v>
      </c>
    </row>
    <row r="112" spans="2:5" x14ac:dyDescent="0.2">
      <c r="B112" s="13" t="s">
        <v>18</v>
      </c>
      <c r="C112" s="11"/>
      <c r="D112" s="11"/>
      <c r="E112" s="12"/>
    </row>
    <row r="113" spans="2:5" x14ac:dyDescent="0.2">
      <c r="B113" s="14"/>
      <c r="C113" s="219" t="s">
        <v>24</v>
      </c>
      <c r="D113" s="219"/>
      <c r="E113" s="219"/>
    </row>
    <row r="114" spans="2:5" x14ac:dyDescent="0.2">
      <c r="B114" s="13" t="s">
        <v>19</v>
      </c>
      <c r="C114" s="15"/>
      <c r="D114" s="15"/>
      <c r="E114" s="16"/>
    </row>
    <row r="115" spans="2:5" x14ac:dyDescent="0.2">
      <c r="B115" s="14"/>
      <c r="C115" s="219" t="s">
        <v>101</v>
      </c>
      <c r="D115" s="219"/>
      <c r="E115" s="219"/>
    </row>
    <row r="116" spans="2:5" x14ac:dyDescent="0.2">
      <c r="B116" s="13" t="s">
        <v>20</v>
      </c>
      <c r="C116" s="11"/>
      <c r="D116" s="11"/>
      <c r="E116" s="12"/>
    </row>
    <row r="117" spans="2:5" x14ac:dyDescent="0.2">
      <c r="B117" s="13"/>
      <c r="C117" s="205" t="s">
        <v>25</v>
      </c>
      <c r="D117" s="205"/>
      <c r="E117" s="205"/>
    </row>
    <row r="118" spans="2:5" ht="13.5" thickBot="1" x14ac:dyDescent="0.25">
      <c r="B118" s="17"/>
      <c r="C118" s="18"/>
      <c r="D118" s="18"/>
      <c r="E118" s="19"/>
    </row>
  </sheetData>
  <mergeCells count="85">
    <mergeCell ref="A6:B6"/>
    <mergeCell ref="B2:H2"/>
    <mergeCell ref="A4:B4"/>
    <mergeCell ref="C4:E4"/>
    <mergeCell ref="A5:B5"/>
    <mergeCell ref="C5:E5"/>
    <mergeCell ref="A7:B7"/>
    <mergeCell ref="C18:E18"/>
    <mergeCell ref="C43:E43"/>
    <mergeCell ref="C45:E45"/>
    <mergeCell ref="C47:E47"/>
    <mergeCell ref="B20:E20"/>
    <mergeCell ref="B21:C21"/>
    <mergeCell ref="B22:C22"/>
    <mergeCell ref="B23:C23"/>
    <mergeCell ref="B41:C41"/>
    <mergeCell ref="B24:C24"/>
    <mergeCell ref="B25:C25"/>
    <mergeCell ref="B26:C26"/>
    <mergeCell ref="B27:C27"/>
    <mergeCell ref="B28:C28"/>
    <mergeCell ref="B29:C29"/>
    <mergeCell ref="C117:E117"/>
    <mergeCell ref="C82:E82"/>
    <mergeCell ref="C88:E88"/>
    <mergeCell ref="C113:E113"/>
    <mergeCell ref="C115:E115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11:C111"/>
    <mergeCell ref="B101:C101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55:E55"/>
    <mergeCell ref="B56:C56"/>
    <mergeCell ref="B57:C57"/>
    <mergeCell ref="C53:E53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90:E90"/>
    <mergeCell ref="B91:C91"/>
    <mergeCell ref="C80:E80"/>
    <mergeCell ref="C78:E78"/>
    <mergeCell ref="B76:C76"/>
    <mergeCell ref="B107:C107"/>
    <mergeCell ref="B108:C108"/>
    <mergeCell ref="B109:C109"/>
    <mergeCell ref="B110:C110"/>
    <mergeCell ref="B102:C102"/>
    <mergeCell ref="B103:C103"/>
    <mergeCell ref="B104:C104"/>
    <mergeCell ref="B105:C105"/>
    <mergeCell ref="B106:C106"/>
  </mergeCells>
  <pageMargins left="0.23622047244094491" right="0.23622047244094491" top="0.23622047244094491" bottom="0.31496062992125984" header="0.19685039370078741" footer="0.31496062992125984"/>
  <pageSetup paperSize="5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89"/>
  <sheetViews>
    <sheetView topLeftCell="D1" workbookViewId="0">
      <selection activeCell="E38" sqref="E38"/>
    </sheetView>
  </sheetViews>
  <sheetFormatPr baseColWidth="10" defaultColWidth="11" defaultRowHeight="12.75" x14ac:dyDescent="0.2"/>
  <cols>
    <col min="1" max="1" width="4.5703125" style="1" customWidth="1"/>
    <col min="2" max="2" width="15.5703125" style="1" customWidth="1"/>
    <col min="3" max="3" width="32.42578125" style="1" customWidth="1"/>
    <col min="4" max="4" width="10" style="54" customWidth="1"/>
    <col min="5" max="5" width="168.28515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1" spans="1:9" ht="27" x14ac:dyDescent="0.35">
      <c r="B1" s="208" t="s">
        <v>0</v>
      </c>
      <c r="C1" s="208"/>
      <c r="D1" s="208"/>
      <c r="E1" s="208"/>
      <c r="F1" s="208"/>
      <c r="G1" s="208"/>
      <c r="H1" s="208"/>
    </row>
    <row r="2" spans="1:9" ht="6" customHeight="1" x14ac:dyDescent="0.2"/>
    <row r="3" spans="1:9" ht="16.5" customHeight="1" x14ac:dyDescent="0.25">
      <c r="A3" s="209" t="s">
        <v>1</v>
      </c>
      <c r="B3" s="209"/>
      <c r="C3" s="210" t="s">
        <v>27</v>
      </c>
      <c r="D3" s="210"/>
      <c r="E3" s="210"/>
      <c r="F3" s="2"/>
      <c r="G3" s="3"/>
      <c r="H3" s="2"/>
    </row>
    <row r="4" spans="1:9" ht="17.25" customHeight="1" x14ac:dyDescent="0.25">
      <c r="A4" s="209" t="s">
        <v>2</v>
      </c>
      <c r="B4" s="209"/>
      <c r="C4" s="210" t="s">
        <v>23</v>
      </c>
      <c r="D4" s="210"/>
      <c r="E4" s="210"/>
      <c r="F4" s="2"/>
      <c r="G4" s="3"/>
      <c r="H4" s="2"/>
    </row>
    <row r="5" spans="1:9" ht="15" customHeight="1" x14ac:dyDescent="0.25">
      <c r="A5" s="209" t="s">
        <v>3</v>
      </c>
      <c r="B5" s="209"/>
      <c r="C5" s="20">
        <v>2020</v>
      </c>
      <c r="D5" s="50"/>
      <c r="E5" s="21"/>
      <c r="F5" s="2"/>
      <c r="G5" s="3"/>
      <c r="H5" s="2"/>
    </row>
    <row r="6" spans="1:9" ht="16.5" customHeight="1" x14ac:dyDescent="0.25">
      <c r="A6" s="209" t="s">
        <v>4</v>
      </c>
      <c r="B6" s="209"/>
      <c r="C6" s="20">
        <v>3</v>
      </c>
      <c r="D6" s="50"/>
      <c r="E6" s="21"/>
      <c r="F6" s="2"/>
      <c r="G6" s="3"/>
      <c r="H6" s="2"/>
    </row>
    <row r="7" spans="1:9" ht="7.5" customHeight="1" thickBot="1" x14ac:dyDescent="0.25">
      <c r="B7" s="2"/>
      <c r="C7" s="3"/>
      <c r="D7" s="3"/>
      <c r="E7" s="2"/>
      <c r="F7" s="2"/>
      <c r="G7" s="3"/>
      <c r="H7" s="2"/>
    </row>
    <row r="8" spans="1:9" ht="39" thickBot="1" x14ac:dyDescent="0.25">
      <c r="A8" s="23" t="s">
        <v>5</v>
      </c>
      <c r="B8" s="32" t="s">
        <v>6</v>
      </c>
      <c r="C8" s="32" t="s">
        <v>7</v>
      </c>
      <c r="D8" s="28" t="s">
        <v>8</v>
      </c>
      <c r="E8" s="32" t="s">
        <v>9</v>
      </c>
      <c r="F8" s="24" t="s">
        <v>10</v>
      </c>
      <c r="G8" s="25" t="s">
        <v>11</v>
      </c>
      <c r="H8" s="25" t="s">
        <v>12</v>
      </c>
      <c r="I8" s="26" t="s">
        <v>13</v>
      </c>
    </row>
    <row r="9" spans="1:9" ht="15.75" customHeight="1" x14ac:dyDescent="0.2">
      <c r="A9" s="55">
        <v>1</v>
      </c>
      <c r="B9" s="56" t="s">
        <v>28</v>
      </c>
      <c r="C9" s="56" t="s">
        <v>22</v>
      </c>
      <c r="D9" s="57" t="str">
        <f>LEFT(B9,5)</f>
        <v>2.1.1</v>
      </c>
      <c r="E9" s="56" t="s">
        <v>36</v>
      </c>
      <c r="F9" s="58" t="s">
        <v>77</v>
      </c>
      <c r="G9" s="59">
        <v>7164</v>
      </c>
      <c r="H9" s="60"/>
      <c r="I9" s="61"/>
    </row>
    <row r="10" spans="1:9" x14ac:dyDescent="0.2">
      <c r="A10" s="62">
        <v>2</v>
      </c>
      <c r="B10" s="63" t="s">
        <v>29</v>
      </c>
      <c r="C10" s="63" t="s">
        <v>22</v>
      </c>
      <c r="D10" s="64" t="s">
        <v>35</v>
      </c>
      <c r="E10" s="63" t="s">
        <v>37</v>
      </c>
      <c r="F10" s="65" t="s">
        <v>77</v>
      </c>
      <c r="G10" s="66">
        <v>5232</v>
      </c>
      <c r="H10" s="67"/>
      <c r="I10" s="68"/>
    </row>
    <row r="11" spans="1:9" x14ac:dyDescent="0.2">
      <c r="A11" s="62">
        <v>3</v>
      </c>
      <c r="B11" s="69" t="s">
        <v>239</v>
      </c>
      <c r="C11" s="69" t="s">
        <v>22</v>
      </c>
      <c r="D11" s="70" t="s">
        <v>35</v>
      </c>
      <c r="E11" s="69" t="s">
        <v>238</v>
      </c>
      <c r="F11" s="71" t="s">
        <v>77</v>
      </c>
      <c r="G11" s="66">
        <v>9504</v>
      </c>
      <c r="H11" s="67"/>
      <c r="I11" s="68"/>
    </row>
    <row r="12" spans="1:9" x14ac:dyDescent="0.2">
      <c r="A12" s="62">
        <v>4</v>
      </c>
      <c r="B12" s="69" t="s">
        <v>241</v>
      </c>
      <c r="C12" s="69" t="s">
        <v>22</v>
      </c>
      <c r="D12" s="72" t="str">
        <f>LEFT(B12,5)</f>
        <v>2.1.1</v>
      </c>
      <c r="E12" s="69" t="s">
        <v>240</v>
      </c>
      <c r="F12" s="71" t="s">
        <v>77</v>
      </c>
      <c r="G12" s="66">
        <v>9504</v>
      </c>
      <c r="H12" s="67"/>
      <c r="I12" s="68"/>
    </row>
    <row r="13" spans="1:9" x14ac:dyDescent="0.2">
      <c r="A13" s="62">
        <v>5</v>
      </c>
      <c r="B13" s="63" t="s">
        <v>30</v>
      </c>
      <c r="C13" s="63" t="s">
        <v>22</v>
      </c>
      <c r="D13" s="64" t="s">
        <v>35</v>
      </c>
      <c r="E13" s="63" t="s">
        <v>38</v>
      </c>
      <c r="F13" s="65" t="s">
        <v>77</v>
      </c>
      <c r="G13" s="66">
        <v>4284</v>
      </c>
      <c r="H13" s="67"/>
      <c r="I13" s="68"/>
    </row>
    <row r="14" spans="1:9" x14ac:dyDescent="0.2">
      <c r="A14" s="62">
        <v>6</v>
      </c>
      <c r="B14" s="63" t="s">
        <v>31</v>
      </c>
      <c r="C14" s="63" t="s">
        <v>22</v>
      </c>
      <c r="D14" s="64" t="s">
        <v>35</v>
      </c>
      <c r="E14" s="63" t="s">
        <v>39</v>
      </c>
      <c r="F14" s="65" t="s">
        <v>77</v>
      </c>
      <c r="G14" s="66">
        <v>12828</v>
      </c>
      <c r="H14" s="67"/>
      <c r="I14" s="68"/>
    </row>
    <row r="15" spans="1:9" x14ac:dyDescent="0.2">
      <c r="A15" s="62">
        <v>7</v>
      </c>
      <c r="B15" s="63" t="s">
        <v>32</v>
      </c>
      <c r="C15" s="63" t="s">
        <v>22</v>
      </c>
      <c r="D15" s="64" t="str">
        <f t="shared" ref="D15:D34" si="0">LEFT(B15,5)</f>
        <v>2.1.1</v>
      </c>
      <c r="E15" s="63" t="s">
        <v>40</v>
      </c>
      <c r="F15" s="65" t="s">
        <v>77</v>
      </c>
      <c r="G15" s="66">
        <v>8544</v>
      </c>
      <c r="H15" s="67"/>
      <c r="I15" s="68"/>
    </row>
    <row r="16" spans="1:9" x14ac:dyDescent="0.2">
      <c r="A16" s="62">
        <v>8</v>
      </c>
      <c r="B16" s="69" t="s">
        <v>236</v>
      </c>
      <c r="C16" s="63" t="s">
        <v>22</v>
      </c>
      <c r="D16" s="64" t="s">
        <v>35</v>
      </c>
      <c r="E16" s="63" t="s">
        <v>237</v>
      </c>
      <c r="F16" s="65" t="s">
        <v>77</v>
      </c>
      <c r="G16" s="66">
        <v>2412</v>
      </c>
      <c r="H16" s="67"/>
      <c r="I16" s="68"/>
    </row>
    <row r="17" spans="1:9" x14ac:dyDescent="0.2">
      <c r="A17" s="62">
        <v>9</v>
      </c>
      <c r="B17" s="63" t="s">
        <v>33</v>
      </c>
      <c r="C17" s="63" t="s">
        <v>22</v>
      </c>
      <c r="D17" s="64" t="str">
        <f t="shared" si="0"/>
        <v>2.1.1</v>
      </c>
      <c r="E17" s="63" t="s">
        <v>41</v>
      </c>
      <c r="F17" s="65" t="s">
        <v>78</v>
      </c>
      <c r="G17" s="66">
        <v>13296</v>
      </c>
      <c r="H17" s="67"/>
      <c r="I17" s="68"/>
    </row>
    <row r="18" spans="1:9" x14ac:dyDescent="0.2">
      <c r="A18" s="62">
        <v>10</v>
      </c>
      <c r="B18" s="63" t="s">
        <v>34</v>
      </c>
      <c r="C18" s="63" t="s">
        <v>22</v>
      </c>
      <c r="D18" s="64" t="str">
        <f t="shared" si="0"/>
        <v>2.1.1</v>
      </c>
      <c r="E18" s="63" t="s">
        <v>42</v>
      </c>
      <c r="F18" s="65" t="s">
        <v>78</v>
      </c>
      <c r="G18" s="66">
        <v>16668</v>
      </c>
      <c r="H18" s="67"/>
      <c r="I18" s="68"/>
    </row>
    <row r="19" spans="1:9" x14ac:dyDescent="0.2">
      <c r="A19" s="62">
        <v>11</v>
      </c>
      <c r="B19" s="63" t="s">
        <v>43</v>
      </c>
      <c r="C19" s="63" t="s">
        <v>22</v>
      </c>
      <c r="D19" s="64" t="str">
        <f t="shared" si="0"/>
        <v>2.1.1</v>
      </c>
      <c r="E19" s="63" t="s">
        <v>50</v>
      </c>
      <c r="F19" s="73" t="s">
        <v>78</v>
      </c>
      <c r="G19" s="74">
        <v>10464</v>
      </c>
      <c r="H19" s="67"/>
      <c r="I19" s="68"/>
    </row>
    <row r="20" spans="1:9" x14ac:dyDescent="0.2">
      <c r="A20" s="62">
        <v>12</v>
      </c>
      <c r="B20" s="63" t="s">
        <v>44</v>
      </c>
      <c r="C20" s="63" t="s">
        <v>22</v>
      </c>
      <c r="D20" s="64" t="s">
        <v>35</v>
      </c>
      <c r="E20" s="63" t="s">
        <v>51</v>
      </c>
      <c r="F20" s="65" t="s">
        <v>14</v>
      </c>
      <c r="G20" s="66">
        <v>14256</v>
      </c>
      <c r="H20" s="67"/>
      <c r="I20" s="68"/>
    </row>
    <row r="21" spans="1:9" x14ac:dyDescent="0.2">
      <c r="A21" s="62">
        <v>13</v>
      </c>
      <c r="B21" s="63" t="s">
        <v>45</v>
      </c>
      <c r="C21" s="63" t="s">
        <v>22</v>
      </c>
      <c r="D21" s="64" t="str">
        <f>LEFT(B21,5)</f>
        <v>2.1.1</v>
      </c>
      <c r="E21" s="63" t="s">
        <v>52</v>
      </c>
      <c r="F21" s="65" t="s">
        <v>14</v>
      </c>
      <c r="G21" s="66">
        <v>1440</v>
      </c>
      <c r="H21" s="67"/>
      <c r="I21" s="68"/>
    </row>
    <row r="22" spans="1:9" x14ac:dyDescent="0.2">
      <c r="A22" s="62">
        <v>14</v>
      </c>
      <c r="B22" s="75" t="s">
        <v>73</v>
      </c>
      <c r="C22" s="75" t="s">
        <v>22</v>
      </c>
      <c r="D22" s="64" t="str">
        <f t="shared" si="0"/>
        <v>2.1.1</v>
      </c>
      <c r="E22" s="75" t="s">
        <v>74</v>
      </c>
      <c r="F22" s="65" t="s">
        <v>78</v>
      </c>
      <c r="G22" s="66">
        <v>4752</v>
      </c>
      <c r="H22" s="67"/>
      <c r="I22" s="68"/>
    </row>
    <row r="23" spans="1:9" x14ac:dyDescent="0.2">
      <c r="A23" s="62">
        <v>15</v>
      </c>
      <c r="B23" s="63" t="s">
        <v>46</v>
      </c>
      <c r="C23" s="63" t="s">
        <v>22</v>
      </c>
      <c r="D23" s="64" t="s">
        <v>35</v>
      </c>
      <c r="E23" s="63" t="s">
        <v>53</v>
      </c>
      <c r="F23" s="65" t="s">
        <v>14</v>
      </c>
      <c r="G23" s="66">
        <v>2856</v>
      </c>
      <c r="H23" s="67"/>
      <c r="I23" s="68"/>
    </row>
    <row r="24" spans="1:9" x14ac:dyDescent="0.2">
      <c r="A24" s="62">
        <v>16</v>
      </c>
      <c r="B24" s="63" t="s">
        <v>47</v>
      </c>
      <c r="C24" s="63" t="s">
        <v>22</v>
      </c>
      <c r="D24" s="64" t="str">
        <f>LEFT(B24,5)</f>
        <v>2.1.1</v>
      </c>
      <c r="E24" s="63" t="s">
        <v>54</v>
      </c>
      <c r="F24" s="65" t="s">
        <v>78</v>
      </c>
      <c r="G24" s="66">
        <v>9504</v>
      </c>
      <c r="H24" s="67"/>
      <c r="I24" s="68"/>
    </row>
    <row r="25" spans="1:9" x14ac:dyDescent="0.2">
      <c r="A25" s="62">
        <v>17</v>
      </c>
      <c r="B25" s="63" t="s">
        <v>48</v>
      </c>
      <c r="C25" s="63" t="s">
        <v>22</v>
      </c>
      <c r="D25" s="64" t="str">
        <f t="shared" si="0"/>
        <v>2.1.1</v>
      </c>
      <c r="E25" s="63" t="s">
        <v>55</v>
      </c>
      <c r="F25" s="65" t="s">
        <v>78</v>
      </c>
      <c r="G25" s="66">
        <v>4752</v>
      </c>
      <c r="H25" s="67"/>
      <c r="I25" s="68"/>
    </row>
    <row r="26" spans="1:9" x14ac:dyDescent="0.2">
      <c r="A26" s="62">
        <v>18</v>
      </c>
      <c r="B26" s="63" t="s">
        <v>49</v>
      </c>
      <c r="C26" s="63" t="s">
        <v>22</v>
      </c>
      <c r="D26" s="64" t="str">
        <f t="shared" si="0"/>
        <v>2.1.1</v>
      </c>
      <c r="E26" s="63" t="s">
        <v>56</v>
      </c>
      <c r="F26" s="65" t="s">
        <v>78</v>
      </c>
      <c r="G26" s="66">
        <v>8544</v>
      </c>
      <c r="H26" s="67"/>
      <c r="I26" s="68"/>
    </row>
    <row r="27" spans="1:9" x14ac:dyDescent="0.2">
      <c r="A27" s="62">
        <v>19</v>
      </c>
      <c r="B27" s="63" t="s">
        <v>80</v>
      </c>
      <c r="C27" s="63" t="s">
        <v>22</v>
      </c>
      <c r="D27" s="64" t="str">
        <f t="shared" si="0"/>
        <v>2.1.1</v>
      </c>
      <c r="E27" s="63" t="s">
        <v>81</v>
      </c>
      <c r="F27" s="65" t="s">
        <v>78</v>
      </c>
      <c r="G27" s="66">
        <v>7164</v>
      </c>
      <c r="H27" s="67"/>
      <c r="I27" s="68"/>
    </row>
    <row r="28" spans="1:9" x14ac:dyDescent="0.2">
      <c r="A28" s="62">
        <v>20</v>
      </c>
      <c r="B28" s="63" t="s">
        <v>75</v>
      </c>
      <c r="C28" s="63" t="s">
        <v>22</v>
      </c>
      <c r="D28" s="64" t="s">
        <v>35</v>
      </c>
      <c r="E28" s="63" t="s">
        <v>76</v>
      </c>
      <c r="F28" s="65" t="s">
        <v>78</v>
      </c>
      <c r="G28" s="66">
        <v>19008</v>
      </c>
      <c r="H28" s="67"/>
      <c r="I28" s="68"/>
    </row>
    <row r="29" spans="1:9" x14ac:dyDescent="0.2">
      <c r="A29" s="62">
        <v>21</v>
      </c>
      <c r="B29" s="63" t="s">
        <v>57</v>
      </c>
      <c r="C29" s="63" t="s">
        <v>22</v>
      </c>
      <c r="D29" s="64" t="s">
        <v>35</v>
      </c>
      <c r="E29" s="63" t="s">
        <v>62</v>
      </c>
      <c r="F29" s="65" t="s">
        <v>78</v>
      </c>
      <c r="G29" s="76">
        <v>120</v>
      </c>
      <c r="H29" s="67"/>
      <c r="I29" s="68"/>
    </row>
    <row r="30" spans="1:9" x14ac:dyDescent="0.2">
      <c r="A30" s="62">
        <v>22</v>
      </c>
      <c r="B30" s="63" t="s">
        <v>58</v>
      </c>
      <c r="C30" s="63" t="s">
        <v>22</v>
      </c>
      <c r="D30" s="64" t="str">
        <f t="shared" si="0"/>
        <v>2.1.1</v>
      </c>
      <c r="E30" s="63" t="s">
        <v>63</v>
      </c>
      <c r="F30" s="65" t="s">
        <v>78</v>
      </c>
      <c r="G30" s="66">
        <v>120</v>
      </c>
      <c r="H30" s="67"/>
      <c r="I30" s="68"/>
    </row>
    <row r="31" spans="1:9" x14ac:dyDescent="0.2">
      <c r="A31" s="62">
        <v>23</v>
      </c>
      <c r="B31" s="63" t="s">
        <v>59</v>
      </c>
      <c r="C31" s="63" t="s">
        <v>22</v>
      </c>
      <c r="D31" s="64" t="s">
        <v>35</v>
      </c>
      <c r="E31" s="63" t="s">
        <v>64</v>
      </c>
      <c r="F31" s="65" t="s">
        <v>78</v>
      </c>
      <c r="G31" s="66">
        <v>120</v>
      </c>
      <c r="H31" s="67"/>
      <c r="I31" s="68"/>
    </row>
    <row r="32" spans="1:9" x14ac:dyDescent="0.2">
      <c r="A32" s="62">
        <v>24</v>
      </c>
      <c r="B32" s="63" t="s">
        <v>60</v>
      </c>
      <c r="C32" s="63" t="s">
        <v>22</v>
      </c>
      <c r="D32" s="64" t="s">
        <v>35</v>
      </c>
      <c r="E32" s="63" t="s">
        <v>65</v>
      </c>
      <c r="F32" s="65" t="s">
        <v>78</v>
      </c>
      <c r="G32" s="66">
        <v>120</v>
      </c>
      <c r="H32" s="67"/>
      <c r="I32" s="68"/>
    </row>
    <row r="33" spans="1:9" x14ac:dyDescent="0.2">
      <c r="A33" s="62">
        <v>25</v>
      </c>
      <c r="B33" s="69" t="s">
        <v>243</v>
      </c>
      <c r="C33" s="69" t="s">
        <v>22</v>
      </c>
      <c r="D33" s="72" t="str">
        <f>LEFT(B33,5)</f>
        <v>2.1.1</v>
      </c>
      <c r="E33" s="69" t="s">
        <v>242</v>
      </c>
      <c r="F33" s="71" t="s">
        <v>14</v>
      </c>
      <c r="G33" s="66">
        <v>492</v>
      </c>
      <c r="H33" s="67"/>
      <c r="I33" s="68"/>
    </row>
    <row r="34" spans="1:9" x14ac:dyDescent="0.2">
      <c r="A34" s="62">
        <v>26</v>
      </c>
      <c r="B34" s="63" t="s">
        <v>61</v>
      </c>
      <c r="C34" s="63" t="s">
        <v>22</v>
      </c>
      <c r="D34" s="64" t="str">
        <f t="shared" si="0"/>
        <v>2.1.1</v>
      </c>
      <c r="E34" s="63" t="s">
        <v>66</v>
      </c>
      <c r="F34" s="65" t="s">
        <v>78</v>
      </c>
      <c r="G34" s="66">
        <v>270</v>
      </c>
      <c r="H34" s="77"/>
      <c r="I34" s="78"/>
    </row>
    <row r="35" spans="1:9" x14ac:dyDescent="0.2">
      <c r="A35" s="62">
        <v>27</v>
      </c>
      <c r="B35" s="63" t="s">
        <v>90</v>
      </c>
      <c r="C35" s="63" t="s">
        <v>22</v>
      </c>
      <c r="D35" s="64" t="s">
        <v>35</v>
      </c>
      <c r="E35" s="63" t="s">
        <v>94</v>
      </c>
      <c r="F35" s="79" t="s">
        <v>14</v>
      </c>
      <c r="G35" s="80">
        <v>23760</v>
      </c>
      <c r="H35" s="67"/>
      <c r="I35" s="68"/>
    </row>
    <row r="36" spans="1:9" x14ac:dyDescent="0.2">
      <c r="A36" s="62">
        <v>28</v>
      </c>
      <c r="B36" s="63" t="s">
        <v>91</v>
      </c>
      <c r="C36" s="63" t="s">
        <v>22</v>
      </c>
      <c r="D36" s="64" t="s">
        <v>35</v>
      </c>
      <c r="E36" s="63" t="s">
        <v>95</v>
      </c>
      <c r="F36" s="79" t="s">
        <v>14</v>
      </c>
      <c r="G36" s="80">
        <v>23760</v>
      </c>
      <c r="H36" s="67"/>
      <c r="I36" s="68"/>
    </row>
    <row r="37" spans="1:9" x14ac:dyDescent="0.2">
      <c r="A37" s="62">
        <v>29</v>
      </c>
      <c r="B37" s="63" t="s">
        <v>92</v>
      </c>
      <c r="C37" s="63" t="s">
        <v>22</v>
      </c>
      <c r="D37" s="64" t="str">
        <f>LEFT(B37,5)</f>
        <v>2.1.1</v>
      </c>
      <c r="E37" s="63" t="s">
        <v>96</v>
      </c>
      <c r="F37" s="79" t="s">
        <v>14</v>
      </c>
      <c r="G37" s="80">
        <v>23760</v>
      </c>
      <c r="H37" s="67"/>
      <c r="I37" s="68"/>
    </row>
    <row r="38" spans="1:9" ht="13.5" thickBot="1" x14ac:dyDescent="0.25">
      <c r="A38" s="81">
        <v>30</v>
      </c>
      <c r="B38" s="82" t="s">
        <v>93</v>
      </c>
      <c r="C38" s="82" t="s">
        <v>22</v>
      </c>
      <c r="D38" s="83" t="str">
        <f>LEFT(B38,5)</f>
        <v>2.1.1</v>
      </c>
      <c r="E38" s="82" t="s">
        <v>97</v>
      </c>
      <c r="F38" s="84" t="s">
        <v>14</v>
      </c>
      <c r="G38" s="85">
        <v>23760</v>
      </c>
      <c r="H38" s="86"/>
      <c r="I38" s="87"/>
    </row>
    <row r="41" spans="1:9" x14ac:dyDescent="0.2">
      <c r="B41" s="7" t="s">
        <v>15</v>
      </c>
      <c r="C41" s="8"/>
      <c r="D41" s="51"/>
      <c r="E41" s="9"/>
    </row>
    <row r="42" spans="1:9" ht="5.25" customHeight="1" x14ac:dyDescent="0.2">
      <c r="B42" s="10"/>
      <c r="C42" s="11"/>
      <c r="D42" s="52"/>
      <c r="E42" s="12"/>
    </row>
    <row r="43" spans="1:9" x14ac:dyDescent="0.2">
      <c r="B43" s="13" t="s">
        <v>16</v>
      </c>
      <c r="C43" s="11"/>
      <c r="D43" s="52"/>
      <c r="E43" s="12"/>
    </row>
    <row r="44" spans="1:9" ht="25.5" customHeight="1" x14ac:dyDescent="0.2">
      <c r="B44" s="13"/>
      <c r="C44" s="219"/>
      <c r="D44" s="219"/>
      <c r="E44" s="219"/>
    </row>
    <row r="45" spans="1:9" ht="13.5" thickBot="1" x14ac:dyDescent="0.25">
      <c r="B45" s="13" t="s">
        <v>17</v>
      </c>
      <c r="C45" s="11"/>
      <c r="D45" s="52"/>
      <c r="E45" s="12"/>
    </row>
    <row r="46" spans="1:9" ht="13.5" thickBot="1" x14ac:dyDescent="0.25">
      <c r="B46" s="211" t="s">
        <v>98</v>
      </c>
      <c r="C46" s="215"/>
      <c r="D46" s="215"/>
      <c r="E46" s="212"/>
    </row>
    <row r="47" spans="1:9" ht="13.5" thickBot="1" x14ac:dyDescent="0.25">
      <c r="B47" s="211" t="s">
        <v>99</v>
      </c>
      <c r="C47" s="212"/>
      <c r="D47" s="49" t="s">
        <v>11</v>
      </c>
      <c r="E47" s="49" t="s">
        <v>100</v>
      </c>
    </row>
    <row r="48" spans="1:9" x14ac:dyDescent="0.2">
      <c r="B48" s="213" t="str">
        <f>'[1]COMEDORES EMERGENTES'!$B$3</f>
        <v>UNA SONRISA AV. LOS COBACHO</v>
      </c>
      <c r="C48" s="214"/>
      <c r="D48" s="93" t="s">
        <v>129</v>
      </c>
      <c r="E48" s="94" t="str">
        <f>'[1]COMEDORES EMERGENTES'!$G$3</f>
        <v>Bº SAN CARLOS OESTE AV. Bonifacio cobacho 670</v>
      </c>
    </row>
    <row r="49" spans="2:5" x14ac:dyDescent="0.2">
      <c r="B49" s="206" t="str">
        <f>'[1]COMEDORES EMERGENTES'!$B$4</f>
        <v>C.I.F Nº1 - RIVERA DEL VALLE Y FLORIDA</v>
      </c>
      <c r="C49" s="207"/>
      <c r="D49" s="88" t="s">
        <v>131</v>
      </c>
      <c r="E49" s="89" t="str">
        <f>'[1]COMEDORES EMERGENTES'!$G$4</f>
        <v>AV. RIVIERA DEL VALLE ENTRE FLORIDA Y SANTA FE</v>
      </c>
    </row>
    <row r="50" spans="2:5" x14ac:dyDescent="0.2">
      <c r="B50" s="206" t="str">
        <f>'[1]COMEDORES EMERGENTES'!$B$5</f>
        <v>C.I.F - RIVERA DEL VALLE - DILORENZO</v>
      </c>
      <c r="C50" s="207"/>
      <c r="D50" s="88" t="s">
        <v>132</v>
      </c>
      <c r="E50" s="89" t="str">
        <f>'[1]COMEDORES EMERGENTES'!$G$5</f>
        <v>Bº RIVERA DEL VALLE ENTRE VILLA EUMELIA Y MONTE CRISTO</v>
      </c>
    </row>
    <row r="51" spans="2:5" x14ac:dyDescent="0.2">
      <c r="B51" s="206" t="str">
        <f>'[1]COMEDORES EMERGENTES'!$B$6</f>
        <v>ESFUERZO PROPIO- Bº ALTOS DE CHOYA</v>
      </c>
      <c r="C51" s="207"/>
      <c r="D51" s="88" t="s">
        <v>133</v>
      </c>
      <c r="E51" s="89" t="str">
        <f>'[1]COMEDORES EMERGENTES'!$G$6</f>
        <v>Bº MUNICIPAL 35VV. NORTE C/14</v>
      </c>
    </row>
    <row r="52" spans="2:5" x14ac:dyDescent="0.2">
      <c r="B52" s="206" t="str">
        <f>'[1]COMEDORES EMERGENTES'!$B$7</f>
        <v>ANGELITOS - LOTEO SUSSEX</v>
      </c>
      <c r="C52" s="207"/>
      <c r="D52" s="88" t="s">
        <v>134</v>
      </c>
      <c r="E52" s="89" t="str">
        <f>'[1]COMEDORES EMERGENTES'!$G$7</f>
        <v>Bº LOTEO SUSEX MZA.Nº 4 LOTE Nº3</v>
      </c>
    </row>
    <row r="53" spans="2:5" x14ac:dyDescent="0.2">
      <c r="B53" s="206" t="str">
        <f>'[1]COMEDORES EMERGENTES'!$B$8</f>
        <v>CLUB DEPORTIVO CHACARITA</v>
      </c>
      <c r="C53" s="207"/>
      <c r="D53" s="88" t="s">
        <v>135</v>
      </c>
      <c r="E53" s="89" t="str">
        <f>'[1]COMEDORES EMERGENTES'!$G$8</f>
        <v>CALLE DR.DERMIDIO GALINDEZ C/2660</v>
      </c>
    </row>
    <row r="54" spans="2:5" x14ac:dyDescent="0.2">
      <c r="B54" s="206" t="str">
        <f>'[1]COMEDORES EMERGENTES'!$B$9</f>
        <v>LA MORO</v>
      </c>
      <c r="C54" s="207"/>
      <c r="D54" s="88" t="s">
        <v>130</v>
      </c>
      <c r="E54" s="89" t="str">
        <f>'[1]COMEDORES EMERGENTES'!$G$9</f>
        <v>MAIPU NORTE 1º ETAPA MZA "H" Bº MI JARDIN</v>
      </c>
    </row>
    <row r="55" spans="2:5" x14ac:dyDescent="0.2">
      <c r="B55" s="206" t="str">
        <f>'[1]COMEDORES EMERGENTES'!$B$10</f>
        <v>PAPA FRANCISCO</v>
      </c>
      <c r="C55" s="207"/>
      <c r="D55" s="88" t="s">
        <v>136</v>
      </c>
      <c r="E55" s="89" t="str">
        <f>'[1]COMEDORES EMERGENTES'!$G$10</f>
        <v>ENTRE AV.TEREBINTO Y AV.SAN JUAN LOTE "2" MZA. "B"</v>
      </c>
    </row>
    <row r="56" spans="2:5" x14ac:dyDescent="0.2">
      <c r="B56" s="206" t="str">
        <f>'[1]COMEDORES EMERGENTES'!$B$11</f>
        <v>E.P.C - 100 V.V NORTE</v>
      </c>
      <c r="C56" s="207"/>
      <c r="D56" s="88" t="s">
        <v>137</v>
      </c>
      <c r="E56" s="89" t="str">
        <f>'[1]COMEDORES EMERGENTES'!$G$11</f>
        <v>Bº VV NORTE C/48 ENTRE ESPAÑA Y FRANCIA</v>
      </c>
    </row>
    <row r="57" spans="2:5" x14ac:dyDescent="0.2">
      <c r="B57" s="206" t="str">
        <f>'[1]COMEDORES EMERGENTES'!$B$12</f>
        <v>HOGAR DE CRISTO - PADRE RAUL CONTRERAS</v>
      </c>
      <c r="C57" s="207"/>
      <c r="D57" s="88" t="s">
        <v>137</v>
      </c>
      <c r="E57" s="89" t="str">
        <f>'[1]COMEDORES EMERGENTES'!$G$12</f>
        <v>Bº SANTA MARTA MZA. "S" LOTE "M" C/39</v>
      </c>
    </row>
    <row r="58" spans="2:5" x14ac:dyDescent="0.2">
      <c r="B58" s="206" t="str">
        <f>'[1]COMEDORES EMERGENTES'!$B$13</f>
        <v>LA LUCIERNAGA</v>
      </c>
      <c r="C58" s="207"/>
      <c r="D58" s="88" t="s">
        <v>136</v>
      </c>
      <c r="E58" s="89" t="str">
        <f>'[1]COMEDORES EMERGENTES'!$G$13</f>
        <v>Bº 20 V.V NORTE C/3</v>
      </c>
    </row>
    <row r="59" spans="2:5" x14ac:dyDescent="0.2">
      <c r="B59" s="206" t="str">
        <f>'[1]COMEDORES EMERGENTES'!$B$14</f>
        <v>VALLE VIEJO - SUMALAO</v>
      </c>
      <c r="C59" s="207"/>
      <c r="D59" s="88" t="s">
        <v>138</v>
      </c>
      <c r="E59" s="89" t="str">
        <f>'[1]COMEDORES EMERGENTES'!$G$14</f>
        <v>PADRE SEGURA S/N</v>
      </c>
    </row>
    <row r="60" spans="2:5" x14ac:dyDescent="0.2">
      <c r="B60" s="206" t="str">
        <f>'[1]COMEDORES EMERGENTES'!$B$15</f>
        <v>NUESTRO FUTURO - LAS VIAS</v>
      </c>
      <c r="C60" s="207"/>
      <c r="D60" s="88" t="s">
        <v>136</v>
      </c>
      <c r="E60" s="89" t="str">
        <f>'[1]COMEDORES EMERGENTES'!$G$15</f>
        <v>Bº LAS VIAS OESTE LOTE 42</v>
      </c>
    </row>
    <row r="61" spans="2:5" x14ac:dyDescent="0.2">
      <c r="B61" s="206" t="str">
        <f>'[1]COMEDORES EMERGENTES'!$B$16</f>
        <v>SAN JOSE OBRERO</v>
      </c>
      <c r="C61" s="207"/>
      <c r="D61" s="88" t="s">
        <v>135</v>
      </c>
      <c r="E61" s="89" t="str">
        <f>'[1]COMEDORES EMERGENTES'!$G$16</f>
        <v>Bº SAN JOSE OBRERO. PJE. SANDOVAL S/Nº</v>
      </c>
    </row>
    <row r="62" spans="2:5" x14ac:dyDescent="0.2">
      <c r="B62" s="206" t="str">
        <f>'[1]COMEDORES EMERGENTES'!$B$17</f>
        <v>VIRGEN DE LUJAN</v>
      </c>
      <c r="C62" s="207"/>
      <c r="D62" s="88" t="s">
        <v>136</v>
      </c>
      <c r="E62" s="89" t="str">
        <f>'[1]COMEDORES EMERGENTES'!$G$17</f>
        <v>Bº OJO DE AGUA C/DR.TEODULFO BARRIONUEVO S/Nº</v>
      </c>
    </row>
    <row r="63" spans="2:5" x14ac:dyDescent="0.2">
      <c r="B63" s="206" t="str">
        <f>'[1]COMEDORES EMERGENTES'!$B$18</f>
        <v>RENACER</v>
      </c>
      <c r="C63" s="207"/>
      <c r="D63" s="88" t="s">
        <v>139</v>
      </c>
      <c r="E63" s="89" t="str">
        <f>'[1]COMEDORES EMERGENTES'!$G$18</f>
        <v>Bº VIRGEN MORENITA</v>
      </c>
    </row>
    <row r="64" spans="2:5" x14ac:dyDescent="0.2">
      <c r="B64" s="206" t="str">
        <f>'[1]COMEDORES EMERGENTES'!$B$19</f>
        <v>CENTRO VECINAL MI JARDIN</v>
      </c>
      <c r="C64" s="207"/>
      <c r="D64" s="88" t="s">
        <v>140</v>
      </c>
      <c r="E64" s="89" t="str">
        <f>'[1]COMEDORES EMERGENTES'!$G$19</f>
        <v>C/ LOS TULIPANES ENTRE FLOR DE CEREZO Y HOLANDA MZA.27 Bº MI JARDIN</v>
      </c>
    </row>
    <row r="65" spans="2:5" x14ac:dyDescent="0.2">
      <c r="B65" s="206" t="str">
        <f>'[1]COMEDORES EMERGENTES'!$B$20</f>
        <v>LA VIEJA ESQUINA</v>
      </c>
      <c r="C65" s="207"/>
      <c r="D65" s="88" t="s">
        <v>141</v>
      </c>
      <c r="E65" s="89" t="str">
        <f>'[1]COMEDORES EMERGENTES'!$G$20</f>
        <v>B° CRISTO REY PJE CAPATAZ VILLAFAÑEZ Y ARMANDO CORREA</v>
      </c>
    </row>
    <row r="66" spans="2:5" x14ac:dyDescent="0.2">
      <c r="B66" s="206" t="str">
        <f>'[1]COMEDORES EMERGENTES'!$B$21</f>
        <v>GAUCHITO GIL</v>
      </c>
      <c r="C66" s="207"/>
      <c r="D66" s="88" t="s">
        <v>142</v>
      </c>
      <c r="E66" s="89" t="str">
        <f>'[1]COMEDORES EMERGENTES'!$G$21</f>
        <v>B° 26 VIVIENDAS CASA N° 3</v>
      </c>
    </row>
    <row r="67" spans="2:5" ht="13.5" thickBot="1" x14ac:dyDescent="0.25">
      <c r="B67" s="220" t="str">
        <f>'[1]COMEDORES EMERGENTES'!$B$22</f>
        <v>LOS TOLDOS</v>
      </c>
      <c r="C67" s="221"/>
      <c r="D67" s="95" t="s">
        <v>162</v>
      </c>
      <c r="E67" s="96" t="str">
        <f>'[1]COMEDORES EMERGENTES'!$G$22</f>
        <v>LOTEO PARQUE SUR CALLE S/NOMBRE S/N°</v>
      </c>
    </row>
    <row r="68" spans="2:5" x14ac:dyDescent="0.2">
      <c r="B68" s="13" t="s">
        <v>18</v>
      </c>
      <c r="C68" s="11"/>
      <c r="D68" s="52"/>
      <c r="E68" s="12"/>
    </row>
    <row r="69" spans="2:5" ht="12.75" customHeight="1" x14ac:dyDescent="0.2">
      <c r="B69" s="14"/>
      <c r="C69" s="219" t="s">
        <v>24</v>
      </c>
      <c r="D69" s="219"/>
      <c r="E69" s="219"/>
    </row>
    <row r="70" spans="2:5" x14ac:dyDescent="0.2">
      <c r="B70" s="13" t="s">
        <v>19</v>
      </c>
      <c r="C70" s="15"/>
      <c r="D70" s="15"/>
      <c r="E70" s="16"/>
    </row>
    <row r="71" spans="2:5" ht="14.25" customHeight="1" x14ac:dyDescent="0.2">
      <c r="B71" s="14"/>
      <c r="C71" s="219" t="s">
        <v>101</v>
      </c>
      <c r="D71" s="219"/>
      <c r="E71" s="219"/>
    </row>
    <row r="72" spans="2:5" x14ac:dyDescent="0.2">
      <c r="B72" s="13" t="s">
        <v>20</v>
      </c>
      <c r="C72" s="11"/>
      <c r="D72" s="52"/>
      <c r="E72" s="12"/>
    </row>
    <row r="73" spans="2:5" ht="11.25" customHeight="1" x14ac:dyDescent="0.2">
      <c r="B73" s="13"/>
      <c r="C73" s="205" t="s">
        <v>25</v>
      </c>
      <c r="D73" s="205"/>
      <c r="E73" s="205"/>
    </row>
    <row r="74" spans="2:5" x14ac:dyDescent="0.2">
      <c r="B74" s="17"/>
      <c r="C74" s="18"/>
      <c r="D74" s="53"/>
      <c r="E74" s="19"/>
    </row>
    <row r="75" spans="2:5" ht="13.5" thickBot="1" x14ac:dyDescent="0.25"/>
    <row r="76" spans="2:5" x14ac:dyDescent="0.2">
      <c r="B76" s="7" t="s">
        <v>21</v>
      </c>
      <c r="C76" s="8"/>
      <c r="D76" s="51"/>
      <c r="E76" s="9"/>
    </row>
    <row r="77" spans="2:5" ht="5.25" customHeight="1" x14ac:dyDescent="0.2">
      <c r="B77" s="10"/>
      <c r="C77" s="11"/>
      <c r="D77" s="52"/>
      <c r="E77" s="12"/>
    </row>
    <row r="78" spans="2:5" x14ac:dyDescent="0.2">
      <c r="B78" s="13" t="s">
        <v>16</v>
      </c>
      <c r="C78" s="11"/>
      <c r="D78" s="52"/>
      <c r="E78" s="12"/>
    </row>
    <row r="79" spans="2:5" ht="25.5" customHeight="1" x14ac:dyDescent="0.2">
      <c r="B79" s="13"/>
      <c r="C79" s="219"/>
      <c r="D79" s="219"/>
      <c r="E79" s="219"/>
    </row>
    <row r="80" spans="2:5" ht="13.5" thickBot="1" x14ac:dyDescent="0.25">
      <c r="B80" s="13" t="s">
        <v>17</v>
      </c>
      <c r="C80" s="11"/>
      <c r="D80" s="52"/>
      <c r="E80" s="12"/>
    </row>
    <row r="81" spans="2:5" ht="13.5" thickBot="1" x14ac:dyDescent="0.25">
      <c r="B81" s="211" t="s">
        <v>98</v>
      </c>
      <c r="C81" s="215"/>
      <c r="D81" s="215"/>
      <c r="E81" s="212"/>
    </row>
    <row r="82" spans="2:5" ht="13.5" thickBot="1" x14ac:dyDescent="0.25">
      <c r="B82" s="211" t="s">
        <v>99</v>
      </c>
      <c r="C82" s="212"/>
      <c r="D82" s="49" t="s">
        <v>11</v>
      </c>
      <c r="E82" s="49" t="s">
        <v>100</v>
      </c>
    </row>
    <row r="83" spans="2:5" x14ac:dyDescent="0.2">
      <c r="B83" s="213" t="str">
        <f>'[1]COMEDORES EMERGENTES'!$B$3</f>
        <v>UNA SONRISA AV. LOS COBACHO</v>
      </c>
      <c r="C83" s="214"/>
      <c r="D83" s="93" t="s">
        <v>130</v>
      </c>
      <c r="E83" s="94" t="str">
        <f>'[1]COMEDORES EMERGENTES'!$G$3</f>
        <v>Bº SAN CARLOS OESTE AV. Bonifacio cobacho 670</v>
      </c>
    </row>
    <row r="84" spans="2:5" x14ac:dyDescent="0.2">
      <c r="B84" s="206" t="str">
        <f>'[1]COMEDORES EMERGENTES'!$B$4</f>
        <v>C.I.F Nº1 - RIVERA DEL VALLE Y FLORIDA</v>
      </c>
      <c r="C84" s="207"/>
      <c r="D84" s="88" t="s">
        <v>142</v>
      </c>
      <c r="E84" s="89" t="str">
        <f>'[1]COMEDORES EMERGENTES'!$G$4</f>
        <v>AV. RIVIERA DEL VALLE ENTRE FLORIDA Y SANTA FE</v>
      </c>
    </row>
    <row r="85" spans="2:5" x14ac:dyDescent="0.2">
      <c r="B85" s="206" t="str">
        <f>'[1]COMEDORES EMERGENTES'!$B$5</f>
        <v>C.I.F - RIVERA DEL VALLE - DILORENZO</v>
      </c>
      <c r="C85" s="207"/>
      <c r="D85" s="88" t="s">
        <v>136</v>
      </c>
      <c r="E85" s="89" t="str">
        <f>'[1]COMEDORES EMERGENTES'!$G$5</f>
        <v>Bº RIVERA DEL VALLE ENTRE VILLA EUMELIA Y MONTE CRISTO</v>
      </c>
    </row>
    <row r="86" spans="2:5" x14ac:dyDescent="0.2">
      <c r="B86" s="206" t="str">
        <f>'[1]COMEDORES EMERGENTES'!$B$6</f>
        <v>ESFUERZO PROPIO- Bº ALTOS DE CHOYA</v>
      </c>
      <c r="C86" s="207"/>
      <c r="D86" s="88" t="s">
        <v>129</v>
      </c>
      <c r="E86" s="89" t="str">
        <f>'[1]COMEDORES EMERGENTES'!$G$6</f>
        <v>Bº MUNICIPAL 35VV. NORTE C/14</v>
      </c>
    </row>
    <row r="87" spans="2:5" x14ac:dyDescent="0.2">
      <c r="B87" s="206" t="str">
        <f>'[1]COMEDORES EMERGENTES'!$B$7</f>
        <v>ANGELITOS - LOTEO SUSSEX</v>
      </c>
      <c r="C87" s="207"/>
      <c r="D87" s="88" t="s">
        <v>143</v>
      </c>
      <c r="E87" s="89" t="str">
        <f>'[1]COMEDORES EMERGENTES'!$G$7</f>
        <v>Bº LOTEO SUSEX MZA.Nº 4 LOTE Nº3</v>
      </c>
    </row>
    <row r="88" spans="2:5" x14ac:dyDescent="0.2">
      <c r="B88" s="206" t="str">
        <f>'[1]COMEDORES EMERGENTES'!$B$8</f>
        <v>CLUB DEPORTIVO CHACARITA</v>
      </c>
      <c r="C88" s="207"/>
      <c r="D88" s="88" t="s">
        <v>144</v>
      </c>
      <c r="E88" s="89" t="str">
        <f>'[1]COMEDORES EMERGENTES'!$G$8</f>
        <v>CALLE DR.DERMIDIO GALINDEZ C/2660</v>
      </c>
    </row>
    <row r="89" spans="2:5" x14ac:dyDescent="0.2">
      <c r="B89" s="206" t="str">
        <f>'[1]COMEDORES EMERGENTES'!$B$9</f>
        <v>LA MORO</v>
      </c>
      <c r="C89" s="207"/>
      <c r="D89" s="88" t="s">
        <v>145</v>
      </c>
      <c r="E89" s="89" t="str">
        <f>'[1]COMEDORES EMERGENTES'!$G$9</f>
        <v>MAIPU NORTE 1º ETAPA MZA "H" Bº MI JARDIN</v>
      </c>
    </row>
    <row r="90" spans="2:5" x14ac:dyDescent="0.2">
      <c r="B90" s="206" t="str">
        <f>'[1]COMEDORES EMERGENTES'!$B$10</f>
        <v>PAPA FRANCISCO</v>
      </c>
      <c r="C90" s="207"/>
      <c r="D90" s="88" t="s">
        <v>146</v>
      </c>
      <c r="E90" s="89" t="str">
        <f>'[1]COMEDORES EMERGENTES'!$G$10</f>
        <v>ENTRE AV.TEREBINTO Y AV.SAN JUAN LOTE "2" MZA. "B"</v>
      </c>
    </row>
    <row r="91" spans="2:5" x14ac:dyDescent="0.2">
      <c r="B91" s="206" t="str">
        <f>'[1]COMEDORES EMERGENTES'!$B$11</f>
        <v>E.P.C - 100 V.V NORTE</v>
      </c>
      <c r="C91" s="207"/>
      <c r="D91" s="88" t="s">
        <v>133</v>
      </c>
      <c r="E91" s="89" t="str">
        <f>'[1]COMEDORES EMERGENTES'!$G$11</f>
        <v>Bº VV NORTE C/48 ENTRE ESPAÑA Y FRANCIA</v>
      </c>
    </row>
    <row r="92" spans="2:5" x14ac:dyDescent="0.2">
      <c r="B92" s="206" t="str">
        <f>'[1]COMEDORES EMERGENTES'!$B$12</f>
        <v>HOGAR DE CRISTO - PADRE RAUL CONTRERAS</v>
      </c>
      <c r="C92" s="207"/>
      <c r="D92" s="88" t="s">
        <v>133</v>
      </c>
      <c r="E92" s="89" t="str">
        <f>'[1]COMEDORES EMERGENTES'!$G$12</f>
        <v>Bº SANTA MARTA MZA. "S" LOTE "M" C/39</v>
      </c>
    </row>
    <row r="93" spans="2:5" x14ac:dyDescent="0.2">
      <c r="B93" s="206" t="str">
        <f>'[1]COMEDORES EMERGENTES'!$B$13</f>
        <v>LA LUCIERNAGA</v>
      </c>
      <c r="C93" s="207"/>
      <c r="D93" s="88" t="s">
        <v>146</v>
      </c>
      <c r="E93" s="89" t="str">
        <f>'[1]COMEDORES EMERGENTES'!$G$13</f>
        <v>Bº 20 V.V NORTE C/3</v>
      </c>
    </row>
    <row r="94" spans="2:5" x14ac:dyDescent="0.2">
      <c r="B94" s="206" t="str">
        <f>'[1]COMEDORES EMERGENTES'!$B$14</f>
        <v>VALLE VIEJO - SUMALAO</v>
      </c>
      <c r="C94" s="207"/>
      <c r="D94" s="88" t="s">
        <v>147</v>
      </c>
      <c r="E94" s="89" t="str">
        <f>'[1]COMEDORES EMERGENTES'!$G$14</f>
        <v>PADRE SEGURA S/N</v>
      </c>
    </row>
    <row r="95" spans="2:5" x14ac:dyDescent="0.2">
      <c r="B95" s="206" t="str">
        <f>'[1]COMEDORES EMERGENTES'!$B$15</f>
        <v>NUESTRO FUTURO - LAS VIAS</v>
      </c>
      <c r="C95" s="207"/>
      <c r="D95" s="88" t="s">
        <v>146</v>
      </c>
      <c r="E95" s="89" t="str">
        <f>'[1]COMEDORES EMERGENTES'!$G$15</f>
        <v>Bº LAS VIAS OESTE LOTE 42</v>
      </c>
    </row>
    <row r="96" spans="2:5" x14ac:dyDescent="0.2">
      <c r="B96" s="206" t="str">
        <f>'[1]COMEDORES EMERGENTES'!$B$16</f>
        <v>SAN JOSE OBRERO</v>
      </c>
      <c r="C96" s="207"/>
      <c r="D96" s="88" t="s">
        <v>144</v>
      </c>
      <c r="E96" s="89" t="str">
        <f>'[1]COMEDORES EMERGENTES'!$G$16</f>
        <v>Bº SAN JOSE OBRERO. PJE. SANDOVAL S/Nº</v>
      </c>
    </row>
    <row r="97" spans="2:5" x14ac:dyDescent="0.2">
      <c r="B97" s="206" t="str">
        <f>'[1]COMEDORES EMERGENTES'!$B$17</f>
        <v>VIRGEN DE LUJAN</v>
      </c>
      <c r="C97" s="207"/>
      <c r="D97" s="88" t="s">
        <v>146</v>
      </c>
      <c r="E97" s="89" t="str">
        <f>'[1]COMEDORES EMERGENTES'!$G$17</f>
        <v>Bº OJO DE AGUA C/DR.TEODULFO BARRIONUEVO S/Nº</v>
      </c>
    </row>
    <row r="98" spans="2:5" x14ac:dyDescent="0.2">
      <c r="B98" s="206" t="str">
        <f>'[1]COMEDORES EMERGENTES'!$B$18</f>
        <v>RENACER</v>
      </c>
      <c r="C98" s="207"/>
      <c r="D98" s="88" t="s">
        <v>148</v>
      </c>
      <c r="E98" s="89" t="str">
        <f>'[1]COMEDORES EMERGENTES'!$G$18</f>
        <v>Bº VIRGEN MORENITA</v>
      </c>
    </row>
    <row r="99" spans="2:5" x14ac:dyDescent="0.2">
      <c r="B99" s="206" t="str">
        <f>'[1]COMEDORES EMERGENTES'!$B$19</f>
        <v>CENTRO VECINAL MI JARDIN</v>
      </c>
      <c r="C99" s="207"/>
      <c r="D99" s="88" t="s">
        <v>135</v>
      </c>
      <c r="E99" s="89" t="str">
        <f>'[1]COMEDORES EMERGENTES'!$G$19</f>
        <v>C/ LOS TULIPANES ENTRE FLOR DE CEREZO Y HOLANDA MZA.27 Bº MI JARDIN</v>
      </c>
    </row>
    <row r="100" spans="2:5" x14ac:dyDescent="0.2">
      <c r="B100" s="206" t="str">
        <f>'[1]COMEDORES EMERGENTES'!$B$20</f>
        <v>LA VIEJA ESQUINA</v>
      </c>
      <c r="C100" s="207"/>
      <c r="D100" s="88" t="s">
        <v>149</v>
      </c>
      <c r="E100" s="89" t="str">
        <f>'[1]COMEDORES EMERGENTES'!$G$20</f>
        <v>B° CRISTO REY PJE CAPATAZ VILLAFAÑEZ Y ARMANDO CORREA</v>
      </c>
    </row>
    <row r="101" spans="2:5" x14ac:dyDescent="0.2">
      <c r="B101" s="206" t="str">
        <f>'[1]COMEDORES EMERGENTES'!$B$21</f>
        <v>GAUCHITO GIL</v>
      </c>
      <c r="C101" s="207"/>
      <c r="D101" s="88" t="s">
        <v>130</v>
      </c>
      <c r="E101" s="89" t="str">
        <f>'[1]COMEDORES EMERGENTES'!$G$21</f>
        <v>B° 26 VIVIENDAS CASA N° 3</v>
      </c>
    </row>
    <row r="102" spans="2:5" ht="13.5" thickBot="1" x14ac:dyDescent="0.25">
      <c r="B102" s="220" t="str">
        <f>'[1]COMEDORES EMERGENTES'!$B$22</f>
        <v>LOS TOLDOS</v>
      </c>
      <c r="C102" s="221"/>
      <c r="D102" s="95" t="s">
        <v>161</v>
      </c>
      <c r="E102" s="96" t="str">
        <f>'[1]COMEDORES EMERGENTES'!$G$22</f>
        <v>LOTEO PARQUE SUR CALLE S/NOMBRE S/N°</v>
      </c>
    </row>
    <row r="103" spans="2:5" x14ac:dyDescent="0.2">
      <c r="B103" s="13" t="s">
        <v>18</v>
      </c>
      <c r="C103" s="11"/>
      <c r="D103" s="52"/>
      <c r="E103" s="12"/>
    </row>
    <row r="104" spans="2:5" ht="12.75" customHeight="1" x14ac:dyDescent="0.2">
      <c r="B104" s="14"/>
      <c r="C104" s="219" t="s">
        <v>24</v>
      </c>
      <c r="D104" s="219"/>
      <c r="E104" s="219"/>
    </row>
    <row r="105" spans="2:5" x14ac:dyDescent="0.2">
      <c r="B105" s="13" t="s">
        <v>19</v>
      </c>
      <c r="C105" s="15"/>
      <c r="D105" s="15"/>
      <c r="E105" s="16"/>
    </row>
    <row r="106" spans="2:5" ht="14.25" customHeight="1" x14ac:dyDescent="0.2">
      <c r="B106" s="14"/>
      <c r="C106" s="219" t="s">
        <v>101</v>
      </c>
      <c r="D106" s="219"/>
      <c r="E106" s="219"/>
    </row>
    <row r="107" spans="2:5" x14ac:dyDescent="0.2">
      <c r="B107" s="13" t="s">
        <v>20</v>
      </c>
      <c r="C107" s="11"/>
      <c r="D107" s="52"/>
      <c r="E107" s="12"/>
    </row>
    <row r="108" spans="2:5" ht="11.25" customHeight="1" x14ac:dyDescent="0.2">
      <c r="B108" s="13"/>
      <c r="C108" s="205" t="s">
        <v>25</v>
      </c>
      <c r="D108" s="205"/>
      <c r="E108" s="205"/>
    </row>
    <row r="109" spans="2:5" ht="13.5" thickBot="1" x14ac:dyDescent="0.25">
      <c r="B109" s="17"/>
      <c r="C109" s="18"/>
      <c r="D109" s="53"/>
      <c r="E109" s="19"/>
    </row>
    <row r="110" spans="2:5" ht="13.5" thickBot="1" x14ac:dyDescent="0.25"/>
    <row r="111" spans="2:5" x14ac:dyDescent="0.2">
      <c r="B111" s="7" t="s">
        <v>26</v>
      </c>
      <c r="C111" s="8"/>
      <c r="D111" s="51"/>
      <c r="E111" s="9"/>
    </row>
    <row r="112" spans="2:5" ht="5.25" customHeight="1" x14ac:dyDescent="0.2">
      <c r="B112" s="10"/>
      <c r="C112" s="11"/>
      <c r="D112" s="52"/>
      <c r="E112" s="12"/>
    </row>
    <row r="113" spans="2:5" x14ac:dyDescent="0.2">
      <c r="B113" s="13" t="s">
        <v>16</v>
      </c>
      <c r="C113" s="11"/>
      <c r="D113" s="52"/>
      <c r="E113" s="12"/>
    </row>
    <row r="114" spans="2:5" ht="25.5" customHeight="1" x14ac:dyDescent="0.2">
      <c r="B114" s="13"/>
      <c r="C114" s="217"/>
      <c r="D114" s="217"/>
      <c r="E114" s="218"/>
    </row>
    <row r="115" spans="2:5" ht="13.5" thickBot="1" x14ac:dyDescent="0.25">
      <c r="B115" s="13" t="s">
        <v>17</v>
      </c>
      <c r="C115" s="11"/>
      <c r="D115" s="52"/>
      <c r="E115" s="12"/>
    </row>
    <row r="116" spans="2:5" ht="13.5" thickBot="1" x14ac:dyDescent="0.25">
      <c r="B116" s="211" t="s">
        <v>98</v>
      </c>
      <c r="C116" s="215"/>
      <c r="D116" s="215"/>
      <c r="E116" s="212"/>
    </row>
    <row r="117" spans="2:5" ht="13.5" thickBot="1" x14ac:dyDescent="0.25">
      <c r="B117" s="211" t="s">
        <v>99</v>
      </c>
      <c r="C117" s="212"/>
      <c r="D117" s="49" t="s">
        <v>11</v>
      </c>
      <c r="E117" s="49" t="s">
        <v>100</v>
      </c>
    </row>
    <row r="118" spans="2:5" x14ac:dyDescent="0.2">
      <c r="B118" s="213" t="str">
        <f>'[1]COMEDORES EMERGENTES'!$B$3</f>
        <v>UNA SONRISA AV. LOS COBACHO</v>
      </c>
      <c r="C118" s="214"/>
      <c r="D118" s="93" t="s">
        <v>150</v>
      </c>
      <c r="E118" s="94" t="str">
        <f>'[1]COMEDORES EMERGENTES'!$G$3</f>
        <v>Bº SAN CARLOS OESTE AV. Bonifacio cobacho 670</v>
      </c>
    </row>
    <row r="119" spans="2:5" x14ac:dyDescent="0.2">
      <c r="B119" s="206" t="str">
        <f>'[1]COMEDORES EMERGENTES'!$B$4</f>
        <v>C.I.F Nº1 - RIVERA DEL VALLE Y FLORIDA</v>
      </c>
      <c r="C119" s="207"/>
      <c r="D119" s="88" t="s">
        <v>151</v>
      </c>
      <c r="E119" s="89" t="str">
        <f>'[1]COMEDORES EMERGENTES'!$G$4</f>
        <v>AV. RIVIERA DEL VALLE ENTRE FLORIDA Y SANTA FE</v>
      </c>
    </row>
    <row r="120" spans="2:5" x14ac:dyDescent="0.2">
      <c r="B120" s="206" t="str">
        <f>'[1]COMEDORES EMERGENTES'!$B$5</f>
        <v>C.I.F - RIVERA DEL VALLE - DILORENZO</v>
      </c>
      <c r="C120" s="207"/>
      <c r="D120" s="88" t="s">
        <v>152</v>
      </c>
      <c r="E120" s="89" t="str">
        <f>'[1]COMEDORES EMERGENTES'!$G$5</f>
        <v>Bº RIVERA DEL VALLE ENTRE VILLA EUMELIA Y MONTE CRISTO</v>
      </c>
    </row>
    <row r="121" spans="2:5" x14ac:dyDescent="0.2">
      <c r="B121" s="206" t="str">
        <f>'[1]COMEDORES EMERGENTES'!$B$6</f>
        <v>ESFUERZO PROPIO- Bº ALTOS DE CHOYA</v>
      </c>
      <c r="C121" s="207"/>
      <c r="D121" s="88" t="s">
        <v>153</v>
      </c>
      <c r="E121" s="89" t="str">
        <f>'[1]COMEDORES EMERGENTES'!$G$6</f>
        <v>Bº MUNICIPAL 35VV. NORTE C/14</v>
      </c>
    </row>
    <row r="122" spans="2:5" x14ac:dyDescent="0.2">
      <c r="B122" s="206" t="str">
        <f>'[1]COMEDORES EMERGENTES'!$B$7</f>
        <v>ANGELITOS - LOTEO SUSSEX</v>
      </c>
      <c r="C122" s="207"/>
      <c r="D122" s="88" t="s">
        <v>135</v>
      </c>
      <c r="E122" s="89" t="str">
        <f>'[1]COMEDORES EMERGENTES'!$G$7</f>
        <v>Bº LOTEO SUSEX MZA.Nº 4 LOTE Nº3</v>
      </c>
    </row>
    <row r="123" spans="2:5" x14ac:dyDescent="0.2">
      <c r="B123" s="206" t="str">
        <f>'[1]COMEDORES EMERGENTES'!$B$8</f>
        <v>CLUB DEPORTIVO CHACARITA</v>
      </c>
      <c r="C123" s="207"/>
      <c r="D123" s="88" t="s">
        <v>141</v>
      </c>
      <c r="E123" s="89" t="str">
        <f>'[1]COMEDORES EMERGENTES'!$G$8</f>
        <v>CALLE DR.DERMIDIO GALINDEZ C/2660</v>
      </c>
    </row>
    <row r="124" spans="2:5" x14ac:dyDescent="0.2">
      <c r="B124" s="206" t="str">
        <f>'[1]COMEDORES EMERGENTES'!$B$9</f>
        <v>LA MORO</v>
      </c>
      <c r="C124" s="207"/>
      <c r="D124" s="88" t="s">
        <v>129</v>
      </c>
      <c r="E124" s="89" t="str">
        <f>'[1]COMEDORES EMERGENTES'!$G$9</f>
        <v>MAIPU NORTE 1º ETAPA MZA "H" Bº MI JARDIN</v>
      </c>
    </row>
    <row r="125" spans="2:5" x14ac:dyDescent="0.2">
      <c r="B125" s="206" t="str">
        <f>'[1]COMEDORES EMERGENTES'!$B$10</f>
        <v>PAPA FRANCISCO</v>
      </c>
      <c r="C125" s="207"/>
      <c r="D125" s="88" t="s">
        <v>154</v>
      </c>
      <c r="E125" s="89" t="str">
        <f>'[1]COMEDORES EMERGENTES'!$G$10</f>
        <v>ENTRE AV.TEREBINTO Y AV.SAN JUAN LOTE "2" MZA. "B"</v>
      </c>
    </row>
    <row r="126" spans="2:5" x14ac:dyDescent="0.2">
      <c r="B126" s="206" t="str">
        <f>'[1]COMEDORES EMERGENTES'!$B$11</f>
        <v>E.P.C - 100 V.V NORTE</v>
      </c>
      <c r="C126" s="207"/>
      <c r="D126" s="88" t="s">
        <v>155</v>
      </c>
      <c r="E126" s="89" t="str">
        <f>'[1]COMEDORES EMERGENTES'!$G$11</f>
        <v>Bº VV NORTE C/48 ENTRE ESPAÑA Y FRANCIA</v>
      </c>
    </row>
    <row r="127" spans="2:5" x14ac:dyDescent="0.2">
      <c r="B127" s="206" t="str">
        <f>'[1]COMEDORES EMERGENTES'!$B$12</f>
        <v>HOGAR DE CRISTO - PADRE RAUL CONTRERAS</v>
      </c>
      <c r="C127" s="207"/>
      <c r="D127" s="88" t="s">
        <v>155</v>
      </c>
      <c r="E127" s="89" t="str">
        <f>'[1]COMEDORES EMERGENTES'!$G$12</f>
        <v>Bº SANTA MARTA MZA. "S" LOTE "M" C/39</v>
      </c>
    </row>
    <row r="128" spans="2:5" x14ac:dyDescent="0.2">
      <c r="B128" s="206" t="str">
        <f>'[1]COMEDORES EMERGENTES'!$B$13</f>
        <v>LA LUCIERNAGA</v>
      </c>
      <c r="C128" s="207"/>
      <c r="D128" s="88" t="s">
        <v>154</v>
      </c>
      <c r="E128" s="89" t="str">
        <f>'[1]COMEDORES EMERGENTES'!$G$13</f>
        <v>Bº 20 V.V NORTE C/3</v>
      </c>
    </row>
    <row r="129" spans="2:5" x14ac:dyDescent="0.2">
      <c r="B129" s="206" t="str">
        <f>'[1]COMEDORES EMERGENTES'!$B$14</f>
        <v>VALLE VIEJO - SUMALAO</v>
      </c>
      <c r="C129" s="207"/>
      <c r="D129" s="88" t="s">
        <v>156</v>
      </c>
      <c r="E129" s="89" t="str">
        <f>'[1]COMEDORES EMERGENTES'!$G$14</f>
        <v>PADRE SEGURA S/N</v>
      </c>
    </row>
    <row r="130" spans="2:5" x14ac:dyDescent="0.2">
      <c r="B130" s="206" t="str">
        <f>'[1]COMEDORES EMERGENTES'!$B$15</f>
        <v>NUESTRO FUTURO - LAS VIAS</v>
      </c>
      <c r="C130" s="207"/>
      <c r="D130" s="88" t="s">
        <v>154</v>
      </c>
      <c r="E130" s="89" t="str">
        <f>'[1]COMEDORES EMERGENTES'!$G$15</f>
        <v>Bº LAS VIAS OESTE LOTE 42</v>
      </c>
    </row>
    <row r="131" spans="2:5" x14ac:dyDescent="0.2">
      <c r="B131" s="206" t="str">
        <f>'[1]COMEDORES EMERGENTES'!$B$16</f>
        <v>SAN JOSE OBRERO</v>
      </c>
      <c r="C131" s="207"/>
      <c r="D131" s="88" t="s">
        <v>141</v>
      </c>
      <c r="E131" s="89" t="str">
        <f>'[1]COMEDORES EMERGENTES'!$G$16</f>
        <v>Bº SAN JOSE OBRERO. PJE. SANDOVAL S/Nº</v>
      </c>
    </row>
    <row r="132" spans="2:5" x14ac:dyDescent="0.2">
      <c r="B132" s="206" t="str">
        <f>'[1]COMEDORES EMERGENTES'!$B$17</f>
        <v>VIRGEN DE LUJAN</v>
      </c>
      <c r="C132" s="207"/>
      <c r="D132" s="88" t="s">
        <v>154</v>
      </c>
      <c r="E132" s="89" t="str">
        <f>'[1]COMEDORES EMERGENTES'!$G$17</f>
        <v>Bº OJO DE AGUA C/DR.TEODULFO BARRIONUEVO S/Nº</v>
      </c>
    </row>
    <row r="133" spans="2:5" x14ac:dyDescent="0.2">
      <c r="B133" s="206" t="str">
        <f>'[1]COMEDORES EMERGENTES'!$B$18</f>
        <v>RENACER</v>
      </c>
      <c r="C133" s="207"/>
      <c r="D133" s="88" t="s">
        <v>157</v>
      </c>
      <c r="E133" s="89" t="str">
        <f>'[1]COMEDORES EMERGENTES'!$G$18</f>
        <v>Bº VIRGEN MORENITA</v>
      </c>
    </row>
    <row r="134" spans="2:5" x14ac:dyDescent="0.2">
      <c r="B134" s="206" t="str">
        <f>'[1]COMEDORES EMERGENTES'!$B$19</f>
        <v>CENTRO VECINAL MI JARDIN</v>
      </c>
      <c r="C134" s="207"/>
      <c r="D134" s="88" t="s">
        <v>158</v>
      </c>
      <c r="E134" s="89" t="str">
        <f>'[1]COMEDORES EMERGENTES'!$G$19</f>
        <v>C/ LOS TULIPANES ENTRE FLOR DE CEREZO Y HOLANDA MZA.27 Bº MI JARDIN</v>
      </c>
    </row>
    <row r="135" spans="2:5" x14ac:dyDescent="0.2">
      <c r="B135" s="206" t="str">
        <f>'[1]COMEDORES EMERGENTES'!$B$20</f>
        <v>LA VIEJA ESQUINA</v>
      </c>
      <c r="C135" s="207"/>
      <c r="D135" s="88" t="s">
        <v>159</v>
      </c>
      <c r="E135" s="89" t="str">
        <f>'[1]COMEDORES EMERGENTES'!$G$20</f>
        <v>B° CRISTO REY PJE CAPATAZ VILLAFAÑEZ Y ARMANDO CORREA</v>
      </c>
    </row>
    <row r="136" spans="2:5" x14ac:dyDescent="0.2">
      <c r="B136" s="206" t="str">
        <f>'[1]COMEDORES EMERGENTES'!$B$21</f>
        <v>GAUCHITO GIL</v>
      </c>
      <c r="C136" s="207"/>
      <c r="D136" s="88" t="s">
        <v>159</v>
      </c>
      <c r="E136" s="89" t="str">
        <f>'[1]COMEDORES EMERGENTES'!$G$21</f>
        <v>B° 26 VIVIENDAS CASA N° 3</v>
      </c>
    </row>
    <row r="137" spans="2:5" ht="13.5" thickBot="1" x14ac:dyDescent="0.25">
      <c r="B137" s="220" t="str">
        <f>'[1]COMEDORES EMERGENTES'!$B$22</f>
        <v>LOS TOLDOS</v>
      </c>
      <c r="C137" s="221"/>
      <c r="D137" s="95" t="s">
        <v>164</v>
      </c>
      <c r="E137" s="96" t="str">
        <f>'[1]COMEDORES EMERGENTES'!$G$22</f>
        <v>LOTEO PARQUE SUR CALLE S/NOMBRE S/N°</v>
      </c>
    </row>
    <row r="138" spans="2:5" x14ac:dyDescent="0.2">
      <c r="B138" s="13" t="s">
        <v>18</v>
      </c>
      <c r="C138" s="11"/>
      <c r="D138" s="52"/>
      <c r="E138" s="12"/>
    </row>
    <row r="139" spans="2:5" ht="12.75" customHeight="1" x14ac:dyDescent="0.2">
      <c r="B139" s="14"/>
      <c r="C139" s="219" t="s">
        <v>24</v>
      </c>
      <c r="D139" s="219"/>
      <c r="E139" s="219"/>
    </row>
    <row r="140" spans="2:5" x14ac:dyDescent="0.2">
      <c r="B140" s="13" t="s">
        <v>19</v>
      </c>
      <c r="C140" s="15"/>
      <c r="D140" s="15"/>
      <c r="E140" s="16"/>
    </row>
    <row r="141" spans="2:5" ht="14.25" customHeight="1" x14ac:dyDescent="0.2">
      <c r="B141" s="14"/>
      <c r="C141" s="219" t="s">
        <v>101</v>
      </c>
      <c r="D141" s="219"/>
      <c r="E141" s="219"/>
    </row>
    <row r="142" spans="2:5" x14ac:dyDescent="0.2">
      <c r="B142" s="13" t="s">
        <v>20</v>
      </c>
      <c r="C142" s="11"/>
      <c r="D142" s="52"/>
      <c r="E142" s="12"/>
    </row>
    <row r="143" spans="2:5" ht="11.25" customHeight="1" x14ac:dyDescent="0.2">
      <c r="B143" s="13"/>
      <c r="C143" s="205" t="s">
        <v>25</v>
      </c>
      <c r="D143" s="205"/>
      <c r="E143" s="205"/>
    </row>
    <row r="144" spans="2:5" ht="13.5" thickBot="1" x14ac:dyDescent="0.25">
      <c r="B144" s="17"/>
      <c r="C144" s="18"/>
      <c r="D144" s="53"/>
      <c r="E144" s="19"/>
    </row>
    <row r="145" spans="2:5" ht="13.5" thickBot="1" x14ac:dyDescent="0.25"/>
    <row r="146" spans="2:5" x14ac:dyDescent="0.2">
      <c r="B146" s="7" t="s">
        <v>102</v>
      </c>
      <c r="C146" s="8"/>
      <c r="D146" s="51"/>
      <c r="E146" s="9"/>
    </row>
    <row r="147" spans="2:5" ht="5.25" customHeight="1" x14ac:dyDescent="0.2">
      <c r="B147" s="10"/>
      <c r="C147" s="11"/>
      <c r="D147" s="52"/>
      <c r="E147" s="12"/>
    </row>
    <row r="148" spans="2:5" x14ac:dyDescent="0.2">
      <c r="B148" s="13" t="s">
        <v>16</v>
      </c>
      <c r="C148" s="11"/>
      <c r="D148" s="52"/>
      <c r="E148" s="12"/>
    </row>
    <row r="149" spans="2:5" ht="25.5" customHeight="1" x14ac:dyDescent="0.2">
      <c r="B149" s="13"/>
      <c r="C149" s="217"/>
      <c r="D149" s="217"/>
      <c r="E149" s="218"/>
    </row>
    <row r="150" spans="2:5" ht="13.5" thickBot="1" x14ac:dyDescent="0.25">
      <c r="B150" s="13" t="s">
        <v>17</v>
      </c>
      <c r="C150" s="11"/>
      <c r="D150" s="52"/>
      <c r="E150" s="12"/>
    </row>
    <row r="151" spans="2:5" ht="13.5" thickBot="1" x14ac:dyDescent="0.25">
      <c r="B151" s="211" t="s">
        <v>98</v>
      </c>
      <c r="C151" s="215"/>
      <c r="D151" s="215"/>
      <c r="E151" s="212"/>
    </row>
    <row r="152" spans="2:5" ht="13.5" thickBot="1" x14ac:dyDescent="0.25">
      <c r="B152" s="211" t="s">
        <v>99</v>
      </c>
      <c r="C152" s="212"/>
      <c r="D152" s="49" t="s">
        <v>11</v>
      </c>
      <c r="E152" s="49" t="s">
        <v>100</v>
      </c>
    </row>
    <row r="153" spans="2:5" x14ac:dyDescent="0.2">
      <c r="B153" s="213" t="str">
        <f>'[1]COMEDORES EMERGENTES'!$B$3</f>
        <v>UNA SONRISA AV. LOS COBACHO</v>
      </c>
      <c r="C153" s="214"/>
      <c r="D153" s="93" t="s">
        <v>150</v>
      </c>
      <c r="E153" s="94" t="str">
        <f>'[1]COMEDORES EMERGENTES'!$G$3</f>
        <v>Bº SAN CARLOS OESTE AV. Bonifacio cobacho 670</v>
      </c>
    </row>
    <row r="154" spans="2:5" x14ac:dyDescent="0.2">
      <c r="B154" s="206" t="str">
        <f>'[1]COMEDORES EMERGENTES'!$B$4</f>
        <v>C.I.F Nº1 - RIVERA DEL VALLE Y FLORIDA</v>
      </c>
      <c r="C154" s="207"/>
      <c r="D154" s="88" t="s">
        <v>151</v>
      </c>
      <c r="E154" s="89" t="str">
        <f>'[1]COMEDORES EMERGENTES'!$G$4</f>
        <v>AV. RIVIERA DEL VALLE ENTRE FLORIDA Y SANTA FE</v>
      </c>
    </row>
    <row r="155" spans="2:5" x14ac:dyDescent="0.2">
      <c r="B155" s="206" t="str">
        <f>'[1]COMEDORES EMERGENTES'!$B$5</f>
        <v>C.I.F - RIVERA DEL VALLE - DILORENZO</v>
      </c>
      <c r="C155" s="207"/>
      <c r="D155" s="88" t="s">
        <v>152</v>
      </c>
      <c r="E155" s="89" t="str">
        <f>'[1]COMEDORES EMERGENTES'!$G$5</f>
        <v>Bº RIVERA DEL VALLE ENTRE VILLA EUMELIA Y MONTE CRISTO</v>
      </c>
    </row>
    <row r="156" spans="2:5" x14ac:dyDescent="0.2">
      <c r="B156" s="206" t="str">
        <f>'[1]COMEDORES EMERGENTES'!$B$6</f>
        <v>ESFUERZO PROPIO- Bº ALTOS DE CHOYA</v>
      </c>
      <c r="C156" s="207"/>
      <c r="D156" s="88" t="s">
        <v>153</v>
      </c>
      <c r="E156" s="89" t="str">
        <f>'[1]COMEDORES EMERGENTES'!$G$6</f>
        <v>Bº MUNICIPAL 35VV. NORTE C/14</v>
      </c>
    </row>
    <row r="157" spans="2:5" x14ac:dyDescent="0.2">
      <c r="B157" s="206" t="str">
        <f>'[1]COMEDORES EMERGENTES'!$B$7</f>
        <v>ANGELITOS - LOTEO SUSSEX</v>
      </c>
      <c r="C157" s="207"/>
      <c r="D157" s="88" t="s">
        <v>135</v>
      </c>
      <c r="E157" s="89" t="str">
        <f>'[1]COMEDORES EMERGENTES'!$G$7</f>
        <v>Bº LOTEO SUSEX MZA.Nº 4 LOTE Nº3</v>
      </c>
    </row>
    <row r="158" spans="2:5" x14ac:dyDescent="0.2">
      <c r="B158" s="206" t="str">
        <f>'[1]COMEDORES EMERGENTES'!$B$8</f>
        <v>CLUB DEPORTIVO CHACARITA</v>
      </c>
      <c r="C158" s="207"/>
      <c r="D158" s="88" t="s">
        <v>141</v>
      </c>
      <c r="E158" s="89" t="str">
        <f>'[1]COMEDORES EMERGENTES'!$G$8</f>
        <v>CALLE DR.DERMIDIO GALINDEZ C/2660</v>
      </c>
    </row>
    <row r="159" spans="2:5" x14ac:dyDescent="0.2">
      <c r="B159" s="206" t="str">
        <f>'[1]COMEDORES EMERGENTES'!$B$9</f>
        <v>LA MORO</v>
      </c>
      <c r="C159" s="207"/>
      <c r="D159" s="88" t="s">
        <v>129</v>
      </c>
      <c r="E159" s="89" t="str">
        <f>'[1]COMEDORES EMERGENTES'!$G$9</f>
        <v>MAIPU NORTE 1º ETAPA MZA "H" Bº MI JARDIN</v>
      </c>
    </row>
    <row r="160" spans="2:5" x14ac:dyDescent="0.2">
      <c r="B160" s="206" t="str">
        <f>'[1]COMEDORES EMERGENTES'!$B$10</f>
        <v>PAPA FRANCISCO</v>
      </c>
      <c r="C160" s="207"/>
      <c r="D160" s="88" t="s">
        <v>154</v>
      </c>
      <c r="E160" s="89" t="str">
        <f>'[1]COMEDORES EMERGENTES'!$G$10</f>
        <v>ENTRE AV.TEREBINTO Y AV.SAN JUAN LOTE "2" MZA. "B"</v>
      </c>
    </row>
    <row r="161" spans="2:5" x14ac:dyDescent="0.2">
      <c r="B161" s="206" t="str">
        <f>'[1]COMEDORES EMERGENTES'!$B$11</f>
        <v>E.P.C - 100 V.V NORTE</v>
      </c>
      <c r="C161" s="207"/>
      <c r="D161" s="88" t="s">
        <v>155</v>
      </c>
      <c r="E161" s="89" t="str">
        <f>'[1]COMEDORES EMERGENTES'!$G$11</f>
        <v>Bº VV NORTE C/48 ENTRE ESPAÑA Y FRANCIA</v>
      </c>
    </row>
    <row r="162" spans="2:5" x14ac:dyDescent="0.2">
      <c r="B162" s="206" t="str">
        <f>'[1]COMEDORES EMERGENTES'!$B$12</f>
        <v>HOGAR DE CRISTO - PADRE RAUL CONTRERAS</v>
      </c>
      <c r="C162" s="207"/>
      <c r="D162" s="88" t="s">
        <v>155</v>
      </c>
      <c r="E162" s="89" t="str">
        <f>'[1]COMEDORES EMERGENTES'!$G$12</f>
        <v>Bº SANTA MARTA MZA. "S" LOTE "M" C/39</v>
      </c>
    </row>
    <row r="163" spans="2:5" x14ac:dyDescent="0.2">
      <c r="B163" s="206" t="str">
        <f>'[1]COMEDORES EMERGENTES'!$B$13</f>
        <v>LA LUCIERNAGA</v>
      </c>
      <c r="C163" s="207"/>
      <c r="D163" s="88" t="s">
        <v>154</v>
      </c>
      <c r="E163" s="89" t="str">
        <f>'[1]COMEDORES EMERGENTES'!$G$13</f>
        <v>Bº 20 V.V NORTE C/3</v>
      </c>
    </row>
    <row r="164" spans="2:5" x14ac:dyDescent="0.2">
      <c r="B164" s="206" t="str">
        <f>'[1]COMEDORES EMERGENTES'!$B$14</f>
        <v>VALLE VIEJO - SUMALAO</v>
      </c>
      <c r="C164" s="207"/>
      <c r="D164" s="88" t="s">
        <v>156</v>
      </c>
      <c r="E164" s="89" t="str">
        <f>'[1]COMEDORES EMERGENTES'!$G$14</f>
        <v>PADRE SEGURA S/N</v>
      </c>
    </row>
    <row r="165" spans="2:5" x14ac:dyDescent="0.2">
      <c r="B165" s="206" t="str">
        <f>'[1]COMEDORES EMERGENTES'!$B$15</f>
        <v>NUESTRO FUTURO - LAS VIAS</v>
      </c>
      <c r="C165" s="207"/>
      <c r="D165" s="88" t="s">
        <v>154</v>
      </c>
      <c r="E165" s="89" t="str">
        <f>'[1]COMEDORES EMERGENTES'!$G$15</f>
        <v>Bº LAS VIAS OESTE LOTE 42</v>
      </c>
    </row>
    <row r="166" spans="2:5" x14ac:dyDescent="0.2">
      <c r="B166" s="206" t="str">
        <f>'[1]COMEDORES EMERGENTES'!$B$16</f>
        <v>SAN JOSE OBRERO</v>
      </c>
      <c r="C166" s="207"/>
      <c r="D166" s="88" t="s">
        <v>141</v>
      </c>
      <c r="E166" s="89" t="str">
        <f>'[1]COMEDORES EMERGENTES'!$G$16</f>
        <v>Bº SAN JOSE OBRERO. PJE. SANDOVAL S/Nº</v>
      </c>
    </row>
    <row r="167" spans="2:5" x14ac:dyDescent="0.2">
      <c r="B167" s="206" t="str">
        <f>'[1]COMEDORES EMERGENTES'!$B$17</f>
        <v>VIRGEN DE LUJAN</v>
      </c>
      <c r="C167" s="207"/>
      <c r="D167" s="88" t="s">
        <v>154</v>
      </c>
      <c r="E167" s="89" t="str">
        <f>'[1]COMEDORES EMERGENTES'!$G$17</f>
        <v>Bº OJO DE AGUA C/DR.TEODULFO BARRIONUEVO S/Nº</v>
      </c>
    </row>
    <row r="168" spans="2:5" x14ac:dyDescent="0.2">
      <c r="B168" s="206" t="str">
        <f>'[1]COMEDORES EMERGENTES'!$B$18</f>
        <v>RENACER</v>
      </c>
      <c r="C168" s="207"/>
      <c r="D168" s="88" t="s">
        <v>157</v>
      </c>
      <c r="E168" s="89" t="str">
        <f>'[1]COMEDORES EMERGENTES'!$G$18</f>
        <v>Bº VIRGEN MORENITA</v>
      </c>
    </row>
    <row r="169" spans="2:5" x14ac:dyDescent="0.2">
      <c r="B169" s="206" t="str">
        <f>'[1]COMEDORES EMERGENTES'!$B$19</f>
        <v>CENTRO VECINAL MI JARDIN</v>
      </c>
      <c r="C169" s="207"/>
      <c r="D169" s="88" t="s">
        <v>158</v>
      </c>
      <c r="E169" s="89" t="str">
        <f>'[1]COMEDORES EMERGENTES'!$G$19</f>
        <v>C/ LOS TULIPANES ENTRE FLOR DE CEREZO Y HOLANDA MZA.27 Bº MI JARDIN</v>
      </c>
    </row>
    <row r="170" spans="2:5" x14ac:dyDescent="0.2">
      <c r="B170" s="206" t="str">
        <f>'[1]COMEDORES EMERGENTES'!$B$20</f>
        <v>LA VIEJA ESQUINA</v>
      </c>
      <c r="C170" s="207"/>
      <c r="D170" s="88" t="s">
        <v>159</v>
      </c>
      <c r="E170" s="89" t="str">
        <f>'[1]COMEDORES EMERGENTES'!$G$20</f>
        <v>B° CRISTO REY PJE CAPATAZ VILLAFAÑEZ Y ARMANDO CORREA</v>
      </c>
    </row>
    <row r="171" spans="2:5" x14ac:dyDescent="0.2">
      <c r="B171" s="206" t="str">
        <f>'[1]COMEDORES EMERGENTES'!$B$21</f>
        <v>GAUCHITO GIL</v>
      </c>
      <c r="C171" s="207"/>
      <c r="D171" s="88" t="s">
        <v>159</v>
      </c>
      <c r="E171" s="89" t="str">
        <f>'[1]COMEDORES EMERGENTES'!$G$21</f>
        <v>B° 26 VIVIENDAS CASA N° 3</v>
      </c>
    </row>
    <row r="172" spans="2:5" ht="13.5" thickBot="1" x14ac:dyDescent="0.25">
      <c r="B172" s="220" t="str">
        <f>'[1]COMEDORES EMERGENTES'!$B$22</f>
        <v>LOS TOLDOS</v>
      </c>
      <c r="C172" s="221"/>
      <c r="D172" s="95" t="s">
        <v>164</v>
      </c>
      <c r="E172" s="96" t="str">
        <f>'[1]COMEDORES EMERGENTES'!$G$22</f>
        <v>LOTEO PARQUE SUR CALLE S/NOMBRE S/N°</v>
      </c>
    </row>
    <row r="173" spans="2:5" x14ac:dyDescent="0.2">
      <c r="B173" s="13" t="s">
        <v>18</v>
      </c>
      <c r="C173" s="11"/>
      <c r="D173" s="52"/>
      <c r="E173" s="12"/>
    </row>
    <row r="174" spans="2:5" ht="12.75" customHeight="1" x14ac:dyDescent="0.2">
      <c r="B174" s="14"/>
      <c r="C174" s="219" t="s">
        <v>24</v>
      </c>
      <c r="D174" s="219"/>
      <c r="E174" s="219"/>
    </row>
    <row r="175" spans="2:5" x14ac:dyDescent="0.2">
      <c r="B175" s="13" t="s">
        <v>19</v>
      </c>
      <c r="C175" s="15"/>
      <c r="D175" s="15"/>
      <c r="E175" s="16"/>
    </row>
    <row r="176" spans="2:5" ht="14.25" customHeight="1" x14ac:dyDescent="0.2">
      <c r="B176" s="14"/>
      <c r="C176" s="219" t="s">
        <v>101</v>
      </c>
      <c r="D176" s="219"/>
      <c r="E176" s="219"/>
    </row>
    <row r="177" spans="2:5" x14ac:dyDescent="0.2">
      <c r="B177" s="13" t="s">
        <v>20</v>
      </c>
      <c r="C177" s="11"/>
      <c r="D177" s="52"/>
      <c r="E177" s="12"/>
    </row>
    <row r="178" spans="2:5" ht="11.25" customHeight="1" x14ac:dyDescent="0.2">
      <c r="B178" s="13"/>
      <c r="C178" s="205" t="s">
        <v>25</v>
      </c>
      <c r="D178" s="205"/>
      <c r="E178" s="205"/>
    </row>
    <row r="179" spans="2:5" ht="13.5" thickBot="1" x14ac:dyDescent="0.25">
      <c r="B179" s="17"/>
      <c r="C179" s="18"/>
      <c r="D179" s="53"/>
      <c r="E179" s="19"/>
    </row>
    <row r="180" spans="2:5" ht="13.5" thickBot="1" x14ac:dyDescent="0.25"/>
    <row r="181" spans="2:5" x14ac:dyDescent="0.2">
      <c r="B181" s="7" t="s">
        <v>103</v>
      </c>
      <c r="C181" s="8"/>
      <c r="D181" s="51"/>
      <c r="E181" s="9"/>
    </row>
    <row r="182" spans="2:5" ht="5.25" customHeight="1" x14ac:dyDescent="0.2">
      <c r="B182" s="10"/>
      <c r="C182" s="11"/>
      <c r="D182" s="52"/>
      <c r="E182" s="12"/>
    </row>
    <row r="183" spans="2:5" x14ac:dyDescent="0.2">
      <c r="B183" s="13" t="s">
        <v>16</v>
      </c>
      <c r="C183" s="11"/>
      <c r="D183" s="52"/>
      <c r="E183" s="12"/>
    </row>
    <row r="184" spans="2:5" ht="25.5" customHeight="1" x14ac:dyDescent="0.2">
      <c r="B184" s="13"/>
      <c r="C184" s="219"/>
      <c r="D184" s="219"/>
      <c r="E184" s="219"/>
    </row>
    <row r="185" spans="2:5" ht="13.5" thickBot="1" x14ac:dyDescent="0.25">
      <c r="B185" s="13" t="s">
        <v>17</v>
      </c>
      <c r="C185" s="11"/>
      <c r="D185" s="52"/>
      <c r="E185" s="12"/>
    </row>
    <row r="186" spans="2:5" ht="13.5" thickBot="1" x14ac:dyDescent="0.25">
      <c r="B186" s="211" t="s">
        <v>98</v>
      </c>
      <c r="C186" s="215"/>
      <c r="D186" s="215"/>
      <c r="E186" s="212"/>
    </row>
    <row r="187" spans="2:5" ht="13.5" thickBot="1" x14ac:dyDescent="0.25">
      <c r="B187" s="211" t="s">
        <v>99</v>
      </c>
      <c r="C187" s="212"/>
      <c r="D187" s="49" t="s">
        <v>11</v>
      </c>
      <c r="E187" s="49" t="s">
        <v>100</v>
      </c>
    </row>
    <row r="188" spans="2:5" x14ac:dyDescent="0.2">
      <c r="B188" s="213" t="str">
        <f>'[1]COMEDORES EMERGENTES'!$B$3</f>
        <v>UNA SONRISA AV. LOS COBACHO</v>
      </c>
      <c r="C188" s="214"/>
      <c r="D188" s="93" t="s">
        <v>144</v>
      </c>
      <c r="E188" s="94" t="str">
        <f>'[1]COMEDORES EMERGENTES'!$G$3</f>
        <v>Bº SAN CARLOS OESTE AV. Bonifacio cobacho 670</v>
      </c>
    </row>
    <row r="189" spans="2:5" x14ac:dyDescent="0.2">
      <c r="B189" s="206" t="str">
        <f>'[1]COMEDORES EMERGENTES'!$B$4</f>
        <v>C.I.F Nº1 - RIVERA DEL VALLE Y FLORIDA</v>
      </c>
      <c r="C189" s="207"/>
      <c r="D189" s="88" t="s">
        <v>160</v>
      </c>
      <c r="E189" s="89" t="str">
        <f>'[1]COMEDORES EMERGENTES'!$G$4</f>
        <v>AV. RIVIERA DEL VALLE ENTRE FLORIDA Y SANTA FE</v>
      </c>
    </row>
    <row r="190" spans="2:5" x14ac:dyDescent="0.2">
      <c r="B190" s="206" t="str">
        <f>'[1]COMEDORES EMERGENTES'!$B$5</f>
        <v>C.I.F - RIVERA DEL VALLE - DILORENZO</v>
      </c>
      <c r="C190" s="207"/>
      <c r="D190" s="88" t="s">
        <v>129</v>
      </c>
      <c r="E190" s="89" t="str">
        <f>'[1]COMEDORES EMERGENTES'!$G$5</f>
        <v>Bº RIVERA DEL VALLE ENTRE VILLA EUMELIA Y MONTE CRISTO</v>
      </c>
    </row>
    <row r="191" spans="2:5" x14ac:dyDescent="0.2">
      <c r="B191" s="206" t="str">
        <f>'[1]COMEDORES EMERGENTES'!$B$6</f>
        <v>ESFUERZO PROPIO- Bº ALTOS DE CHOYA</v>
      </c>
      <c r="C191" s="207"/>
      <c r="D191" s="88" t="s">
        <v>135</v>
      </c>
      <c r="E191" s="89" t="str">
        <f>'[1]COMEDORES EMERGENTES'!$G$6</f>
        <v>Bº MUNICIPAL 35VV. NORTE C/14</v>
      </c>
    </row>
    <row r="192" spans="2:5" x14ac:dyDescent="0.2">
      <c r="B192" s="206" t="str">
        <f>'[1]COMEDORES EMERGENTES'!$B$7</f>
        <v>ANGELITOS - LOTEO SUSSEX</v>
      </c>
      <c r="C192" s="207"/>
      <c r="D192" s="88" t="s">
        <v>161</v>
      </c>
      <c r="E192" s="89" t="str">
        <f>'[1]COMEDORES EMERGENTES'!$G$7</f>
        <v>Bº LOTEO SUSEX MZA.Nº 4 LOTE Nº3</v>
      </c>
    </row>
    <row r="193" spans="2:5" x14ac:dyDescent="0.2">
      <c r="B193" s="206" t="str">
        <f>'[1]COMEDORES EMERGENTES'!$B$8</f>
        <v>CLUB DEPORTIVO CHACARITA</v>
      </c>
      <c r="C193" s="207"/>
      <c r="D193" s="88" t="s">
        <v>162</v>
      </c>
      <c r="E193" s="89" t="str">
        <f>'[1]COMEDORES EMERGENTES'!$G$8</f>
        <v>CALLE DR.DERMIDIO GALINDEZ C/2660</v>
      </c>
    </row>
    <row r="194" spans="2:5" x14ac:dyDescent="0.2">
      <c r="B194" s="206" t="str">
        <f>'[1]COMEDORES EMERGENTES'!$B$9</f>
        <v>LA MORO</v>
      </c>
      <c r="C194" s="207"/>
      <c r="D194" s="88" t="s">
        <v>143</v>
      </c>
      <c r="E194" s="89" t="str">
        <f>'[1]COMEDORES EMERGENTES'!$G$9</f>
        <v>MAIPU NORTE 1º ETAPA MZA "H" Bº MI JARDIN</v>
      </c>
    </row>
    <row r="195" spans="2:5" x14ac:dyDescent="0.2">
      <c r="B195" s="206" t="str">
        <f>'[1]COMEDORES EMERGENTES'!$B$10</f>
        <v>PAPA FRANCISCO</v>
      </c>
      <c r="C195" s="207"/>
      <c r="D195" s="88" t="s">
        <v>130</v>
      </c>
      <c r="E195" s="89" t="str">
        <f>'[1]COMEDORES EMERGENTES'!$G$10</f>
        <v>ENTRE AV.TEREBINTO Y AV.SAN JUAN LOTE "2" MZA. "B"</v>
      </c>
    </row>
    <row r="196" spans="2:5" x14ac:dyDescent="0.2">
      <c r="B196" s="206" t="str">
        <f>'[1]COMEDORES EMERGENTES'!$B$11</f>
        <v>E.P.C - 100 V.V NORTE</v>
      </c>
      <c r="C196" s="207"/>
      <c r="D196" s="88" t="s">
        <v>140</v>
      </c>
      <c r="E196" s="89" t="str">
        <f>'[1]COMEDORES EMERGENTES'!$G$11</f>
        <v>Bº VV NORTE C/48 ENTRE ESPAÑA Y FRANCIA</v>
      </c>
    </row>
    <row r="197" spans="2:5" x14ac:dyDescent="0.2">
      <c r="B197" s="206" t="str">
        <f>'[1]COMEDORES EMERGENTES'!$B$12</f>
        <v>HOGAR DE CRISTO - PADRE RAUL CONTRERAS</v>
      </c>
      <c r="C197" s="207"/>
      <c r="D197" s="88" t="s">
        <v>140</v>
      </c>
      <c r="E197" s="89" t="str">
        <f>'[1]COMEDORES EMERGENTES'!$G$12</f>
        <v>Bº SANTA MARTA MZA. "S" LOTE "M" C/39</v>
      </c>
    </row>
    <row r="198" spans="2:5" x14ac:dyDescent="0.2">
      <c r="B198" s="206" t="str">
        <f>'[1]COMEDORES EMERGENTES'!$B$13</f>
        <v>LA LUCIERNAGA</v>
      </c>
      <c r="C198" s="207"/>
      <c r="D198" s="88" t="s">
        <v>130</v>
      </c>
      <c r="E198" s="89" t="str">
        <f>'[1]COMEDORES EMERGENTES'!$G$13</f>
        <v>Bº 20 V.V NORTE C/3</v>
      </c>
    </row>
    <row r="199" spans="2:5" x14ac:dyDescent="0.2">
      <c r="B199" s="206" t="str">
        <f>'[1]COMEDORES EMERGENTES'!$B$14</f>
        <v>VALLE VIEJO - SUMALAO</v>
      </c>
      <c r="C199" s="207"/>
      <c r="D199" s="88" t="s">
        <v>150</v>
      </c>
      <c r="E199" s="89" t="str">
        <f>'[1]COMEDORES EMERGENTES'!$G$14</f>
        <v>PADRE SEGURA S/N</v>
      </c>
    </row>
    <row r="200" spans="2:5" x14ac:dyDescent="0.2">
      <c r="B200" s="206" t="str">
        <f>'[1]COMEDORES EMERGENTES'!$B$15</f>
        <v>NUESTRO FUTURO - LAS VIAS</v>
      </c>
      <c r="C200" s="207"/>
      <c r="D200" s="88" t="s">
        <v>130</v>
      </c>
      <c r="E200" s="89" t="str">
        <f>'[1]COMEDORES EMERGENTES'!$G$15</f>
        <v>Bº LAS VIAS OESTE LOTE 42</v>
      </c>
    </row>
    <row r="201" spans="2:5" x14ac:dyDescent="0.2">
      <c r="B201" s="206" t="str">
        <f>'[1]COMEDORES EMERGENTES'!$B$16</f>
        <v>SAN JOSE OBRERO</v>
      </c>
      <c r="C201" s="207"/>
      <c r="D201" s="88" t="s">
        <v>162</v>
      </c>
      <c r="E201" s="89" t="str">
        <f>'[1]COMEDORES EMERGENTES'!$G$16</f>
        <v>Bº SAN JOSE OBRERO. PJE. SANDOVAL S/Nº</v>
      </c>
    </row>
    <row r="202" spans="2:5" x14ac:dyDescent="0.2">
      <c r="B202" s="206" t="str">
        <f>'[1]COMEDORES EMERGENTES'!$B$17</f>
        <v>VIRGEN DE LUJAN</v>
      </c>
      <c r="C202" s="207"/>
      <c r="D202" s="88" t="s">
        <v>130</v>
      </c>
      <c r="E202" s="89" t="str">
        <f>'[1]COMEDORES EMERGENTES'!$G$17</f>
        <v>Bº OJO DE AGUA C/DR.TEODULFO BARRIONUEVO S/Nº</v>
      </c>
    </row>
    <row r="203" spans="2:5" x14ac:dyDescent="0.2">
      <c r="B203" s="206" t="str">
        <f>'[1]COMEDORES EMERGENTES'!$B$18</f>
        <v>RENACER</v>
      </c>
      <c r="C203" s="207"/>
      <c r="D203" s="88" t="s">
        <v>163</v>
      </c>
      <c r="E203" s="89" t="str">
        <f>'[1]COMEDORES EMERGENTES'!$G$18</f>
        <v>Bº VIRGEN MORENITA</v>
      </c>
    </row>
    <row r="204" spans="2:5" x14ac:dyDescent="0.2">
      <c r="B204" s="206" t="str">
        <f>'[1]COMEDORES EMERGENTES'!$B$19</f>
        <v>CENTRO VECINAL MI JARDIN</v>
      </c>
      <c r="C204" s="207"/>
      <c r="D204" s="88" t="s">
        <v>164</v>
      </c>
      <c r="E204" s="89" t="str">
        <f>'[1]COMEDORES EMERGENTES'!$G$19</f>
        <v>C/ LOS TULIPANES ENTRE FLOR DE CEREZO Y HOLANDA MZA.27 Bº MI JARDIN</v>
      </c>
    </row>
    <row r="205" spans="2:5" x14ac:dyDescent="0.2">
      <c r="B205" s="206" t="str">
        <f>'[1]COMEDORES EMERGENTES'!$B$20</f>
        <v>LA VIEJA ESQUINA</v>
      </c>
      <c r="C205" s="207"/>
      <c r="D205" s="88" t="s">
        <v>134</v>
      </c>
      <c r="E205" s="89" t="str">
        <f>'[1]COMEDORES EMERGENTES'!$G$20</f>
        <v>B° CRISTO REY PJE CAPATAZ VILLAFAÑEZ Y ARMANDO CORREA</v>
      </c>
    </row>
    <row r="206" spans="2:5" x14ac:dyDescent="0.2">
      <c r="B206" s="206" t="str">
        <f>'[1]COMEDORES EMERGENTES'!$B$21</f>
        <v>GAUCHITO GIL</v>
      </c>
      <c r="C206" s="207"/>
      <c r="D206" s="88" t="s">
        <v>134</v>
      </c>
      <c r="E206" s="89" t="str">
        <f>'[1]COMEDORES EMERGENTES'!$G$21</f>
        <v>B° 26 VIVIENDAS CASA N° 3</v>
      </c>
    </row>
    <row r="207" spans="2:5" ht="13.5" thickBot="1" x14ac:dyDescent="0.25">
      <c r="B207" s="220" t="str">
        <f>'[1]COMEDORES EMERGENTES'!$B$22</f>
        <v>LOS TOLDOS</v>
      </c>
      <c r="C207" s="221"/>
      <c r="D207" s="95" t="s">
        <v>244</v>
      </c>
      <c r="E207" s="96" t="str">
        <f>'[1]COMEDORES EMERGENTES'!$G$22</f>
        <v>LOTEO PARQUE SUR CALLE S/NOMBRE S/N°</v>
      </c>
    </row>
    <row r="208" spans="2:5" x14ac:dyDescent="0.2">
      <c r="B208" s="13" t="s">
        <v>18</v>
      </c>
      <c r="C208" s="11"/>
      <c r="D208" s="52"/>
      <c r="E208" s="12"/>
    </row>
    <row r="209" spans="2:5" ht="12.75" customHeight="1" x14ac:dyDescent="0.2">
      <c r="B209" s="14"/>
      <c r="C209" s="219" t="s">
        <v>24</v>
      </c>
      <c r="D209" s="219"/>
      <c r="E209" s="219"/>
    </row>
    <row r="210" spans="2:5" x14ac:dyDescent="0.2">
      <c r="B210" s="13" t="s">
        <v>19</v>
      </c>
      <c r="C210" s="15"/>
      <c r="D210" s="15"/>
      <c r="E210" s="16"/>
    </row>
    <row r="211" spans="2:5" ht="14.25" customHeight="1" x14ac:dyDescent="0.2">
      <c r="B211" s="14"/>
      <c r="C211" s="219" t="s">
        <v>101</v>
      </c>
      <c r="D211" s="219"/>
      <c r="E211" s="219"/>
    </row>
    <row r="212" spans="2:5" x14ac:dyDescent="0.2">
      <c r="B212" s="13" t="s">
        <v>20</v>
      </c>
      <c r="C212" s="11"/>
      <c r="D212" s="52"/>
      <c r="E212" s="12"/>
    </row>
    <row r="213" spans="2:5" ht="11.25" customHeight="1" x14ac:dyDescent="0.2">
      <c r="B213" s="13"/>
      <c r="C213" s="205" t="s">
        <v>25</v>
      </c>
      <c r="D213" s="205"/>
      <c r="E213" s="205"/>
    </row>
    <row r="214" spans="2:5" ht="13.5" thickBot="1" x14ac:dyDescent="0.25">
      <c r="B214" s="17"/>
      <c r="C214" s="18"/>
      <c r="D214" s="53"/>
      <c r="E214" s="19"/>
    </row>
    <row r="215" spans="2:5" ht="13.5" thickBot="1" x14ac:dyDescent="0.25"/>
    <row r="216" spans="2:5" x14ac:dyDescent="0.2">
      <c r="B216" s="7" t="s">
        <v>104</v>
      </c>
      <c r="C216" s="8"/>
      <c r="D216" s="51"/>
      <c r="E216" s="9"/>
    </row>
    <row r="217" spans="2:5" ht="5.25" customHeight="1" x14ac:dyDescent="0.2">
      <c r="B217" s="10"/>
      <c r="C217" s="11"/>
      <c r="D217" s="52"/>
      <c r="E217" s="12"/>
    </row>
    <row r="218" spans="2:5" x14ac:dyDescent="0.2">
      <c r="B218" s="13" t="s">
        <v>16</v>
      </c>
      <c r="C218" s="11"/>
      <c r="D218" s="52"/>
      <c r="E218" s="12"/>
    </row>
    <row r="219" spans="2:5" ht="25.5" customHeight="1" x14ac:dyDescent="0.2">
      <c r="B219" s="13"/>
      <c r="C219" s="219"/>
      <c r="D219" s="219"/>
      <c r="E219" s="219"/>
    </row>
    <row r="220" spans="2:5" ht="13.5" thickBot="1" x14ac:dyDescent="0.25">
      <c r="B220" s="13" t="s">
        <v>17</v>
      </c>
      <c r="C220" s="11"/>
      <c r="D220" s="52"/>
      <c r="E220" s="12"/>
    </row>
    <row r="221" spans="2:5" ht="13.5" thickBot="1" x14ac:dyDescent="0.25">
      <c r="B221" s="211" t="s">
        <v>98</v>
      </c>
      <c r="C221" s="215"/>
      <c r="D221" s="215"/>
      <c r="E221" s="212"/>
    </row>
    <row r="222" spans="2:5" ht="13.5" thickBot="1" x14ac:dyDescent="0.25">
      <c r="B222" s="211" t="s">
        <v>99</v>
      </c>
      <c r="C222" s="212"/>
      <c r="D222" s="49" t="s">
        <v>11</v>
      </c>
      <c r="E222" s="49" t="s">
        <v>100</v>
      </c>
    </row>
    <row r="223" spans="2:5" x14ac:dyDescent="0.2">
      <c r="B223" s="213" t="str">
        <f>'[1]COMEDORES EMERGENTES'!$B$3</f>
        <v>UNA SONRISA AV. LOS COBACHO</v>
      </c>
      <c r="C223" s="214"/>
      <c r="D223" s="93">
        <v>43</v>
      </c>
      <c r="E223" s="94" t="str">
        <f>'[1]COMEDORES EMERGENTES'!$G$3</f>
        <v>Bº SAN CARLOS OESTE AV. Bonifacio cobacho 670</v>
      </c>
    </row>
    <row r="224" spans="2:5" x14ac:dyDescent="0.2">
      <c r="B224" s="206" t="str">
        <f>'[1]COMEDORES EMERGENTES'!$B$4</f>
        <v>C.I.F Nº1 - RIVERA DEL VALLE Y FLORIDA</v>
      </c>
      <c r="C224" s="207"/>
      <c r="D224" s="88">
        <v>62</v>
      </c>
      <c r="E224" s="89" t="str">
        <f>'[1]COMEDORES EMERGENTES'!$G$4</f>
        <v>AV. RIVIERA DEL VALLE ENTRE FLORIDA Y SANTA FE</v>
      </c>
    </row>
    <row r="225" spans="2:5" x14ac:dyDescent="0.2">
      <c r="B225" s="206" t="str">
        <f>'[1]COMEDORES EMERGENTES'!$B$5</f>
        <v>C.I.F - RIVERA DEL VALLE - DILORENZO</v>
      </c>
      <c r="C225" s="207"/>
      <c r="D225" s="88">
        <v>73</v>
      </c>
      <c r="E225" s="89" t="str">
        <f>'[1]COMEDORES EMERGENTES'!$G$5</f>
        <v>Bº RIVERA DEL VALLE ENTRE VILLA EUMELIA Y MONTE CRISTO</v>
      </c>
    </row>
    <row r="226" spans="2:5" x14ac:dyDescent="0.2">
      <c r="B226" s="206" t="str">
        <f>'[1]COMEDORES EMERGENTES'!$B$6</f>
        <v>ESFUERZO PROPIO- Bº ALTOS DE CHOYA</v>
      </c>
      <c r="C226" s="207"/>
      <c r="D226" s="88">
        <v>59</v>
      </c>
      <c r="E226" s="89" t="str">
        <f>'[1]COMEDORES EMERGENTES'!$G$6</f>
        <v>Bº MUNICIPAL 35VV. NORTE C/14</v>
      </c>
    </row>
    <row r="227" spans="2:5" x14ac:dyDescent="0.2">
      <c r="B227" s="206" t="str">
        <f>'[1]COMEDORES EMERGENTES'!$B$7</f>
        <v>ANGELITOS - LOTEO SUSSEX</v>
      </c>
      <c r="C227" s="207"/>
      <c r="D227" s="88">
        <v>27</v>
      </c>
      <c r="E227" s="89" t="str">
        <f>'[1]COMEDORES EMERGENTES'!$G$7</f>
        <v>Bº LOTEO SUSEX MZA.Nº 4 LOTE Nº3</v>
      </c>
    </row>
    <row r="228" spans="2:5" x14ac:dyDescent="0.2">
      <c r="B228" s="206" t="str">
        <f>'[1]COMEDORES EMERGENTES'!$B$8</f>
        <v>CLUB DEPORTIVO CHACARITA</v>
      </c>
      <c r="C228" s="207"/>
      <c r="D228" s="88">
        <v>35</v>
      </c>
      <c r="E228" s="89" t="str">
        <f>'[1]COMEDORES EMERGENTES'!$G$8</f>
        <v>CALLE DR.DERMIDIO GALINDEZ C/2660</v>
      </c>
    </row>
    <row r="229" spans="2:5" x14ac:dyDescent="0.2">
      <c r="B229" s="206" t="str">
        <f>'[1]COMEDORES EMERGENTES'!$B$9</f>
        <v>LA MORO</v>
      </c>
      <c r="C229" s="207"/>
      <c r="D229" s="88">
        <v>32</v>
      </c>
      <c r="E229" s="89" t="str">
        <f>'[1]COMEDORES EMERGENTES'!$G$9</f>
        <v>MAIPU NORTE 1º ETAPA MZA "H" Bº MI JARDIN</v>
      </c>
    </row>
    <row r="230" spans="2:5" x14ac:dyDescent="0.2">
      <c r="B230" s="206" t="str">
        <f>'[1]COMEDORES EMERGENTES'!$B$10</f>
        <v>PAPA FRANCISCO</v>
      </c>
      <c r="C230" s="207"/>
      <c r="D230" s="88">
        <v>54</v>
      </c>
      <c r="E230" s="89" t="str">
        <f>'[1]COMEDORES EMERGENTES'!$G$10</f>
        <v>ENTRE AV.TEREBINTO Y AV.SAN JUAN LOTE "2" MZA. "B"</v>
      </c>
    </row>
    <row r="231" spans="2:5" x14ac:dyDescent="0.2">
      <c r="B231" s="206" t="str">
        <f>'[1]COMEDORES EMERGENTES'!$B$11</f>
        <v>E.P.C - 100 V.V NORTE</v>
      </c>
      <c r="C231" s="207"/>
      <c r="D231" s="88">
        <v>81</v>
      </c>
      <c r="E231" s="89" t="str">
        <f>'[1]COMEDORES EMERGENTES'!$G$11</f>
        <v>Bº VV NORTE C/48 ENTRE ESPAÑA Y FRANCIA</v>
      </c>
    </row>
    <row r="232" spans="2:5" x14ac:dyDescent="0.2">
      <c r="B232" s="206" t="str">
        <f>'[1]COMEDORES EMERGENTES'!$B$12</f>
        <v>HOGAR DE CRISTO - PADRE RAUL CONTRERAS</v>
      </c>
      <c r="C232" s="207"/>
      <c r="D232" s="88">
        <v>81</v>
      </c>
      <c r="E232" s="89" t="str">
        <f>'[1]COMEDORES EMERGENTES'!$G$12</f>
        <v>Bº SANTA MARTA MZA. "S" LOTE "M" C/39</v>
      </c>
    </row>
    <row r="233" spans="2:5" x14ac:dyDescent="0.2">
      <c r="B233" s="206" t="str">
        <f>'[1]COMEDORES EMERGENTES'!$B$13</f>
        <v>LA LUCIERNAGA</v>
      </c>
      <c r="C233" s="207"/>
      <c r="D233" s="88">
        <v>54</v>
      </c>
      <c r="E233" s="89" t="str">
        <f>'[1]COMEDORES EMERGENTES'!$G$13</f>
        <v>Bº 20 V.V NORTE C/3</v>
      </c>
    </row>
    <row r="234" spans="2:5" x14ac:dyDescent="0.2">
      <c r="B234" s="206" t="str">
        <f>'[1]COMEDORES EMERGENTES'!$B$14</f>
        <v>VALLE VIEJO - SUMALAO</v>
      </c>
      <c r="C234" s="207"/>
      <c r="D234" s="88">
        <v>95</v>
      </c>
      <c r="E234" s="89" t="str">
        <f>'[1]COMEDORES EMERGENTES'!$G$14</f>
        <v>PADRE SEGURA S/N</v>
      </c>
    </row>
    <row r="235" spans="2:5" x14ac:dyDescent="0.2">
      <c r="B235" s="206" t="str">
        <f>'[1]COMEDORES EMERGENTES'!$B$15</f>
        <v>NUESTRO FUTURO - LAS VIAS</v>
      </c>
      <c r="C235" s="207"/>
      <c r="D235" s="88">
        <v>54</v>
      </c>
      <c r="E235" s="89" t="str">
        <f>'[1]COMEDORES EMERGENTES'!$G$15</f>
        <v>Bº LAS VIAS OESTE LOTE 42</v>
      </c>
    </row>
    <row r="236" spans="2:5" x14ac:dyDescent="0.2">
      <c r="B236" s="206" t="str">
        <f>'[1]COMEDORES EMERGENTES'!$B$16</f>
        <v>SAN JOSE OBRERO</v>
      </c>
      <c r="C236" s="207"/>
      <c r="D236" s="88">
        <v>35</v>
      </c>
      <c r="E236" s="89" t="str">
        <f>'[1]COMEDORES EMERGENTES'!$G$16</f>
        <v>Bº SAN JOSE OBRERO. PJE. SANDOVAL S/Nº</v>
      </c>
    </row>
    <row r="237" spans="2:5" x14ac:dyDescent="0.2">
      <c r="B237" s="206" t="str">
        <f>'[1]COMEDORES EMERGENTES'!$B$17</f>
        <v>VIRGEN DE LUJAN</v>
      </c>
      <c r="C237" s="207"/>
      <c r="D237" s="88">
        <v>54</v>
      </c>
      <c r="E237" s="89" t="str">
        <f>'[1]COMEDORES EMERGENTES'!$G$17</f>
        <v>Bº OJO DE AGUA C/DR.TEODULFO BARRIONUEVO S/Nº</v>
      </c>
    </row>
    <row r="238" spans="2:5" x14ac:dyDescent="0.2">
      <c r="B238" s="206" t="str">
        <f>'[1]COMEDORES EMERGENTES'!$B$18</f>
        <v>RENACER</v>
      </c>
      <c r="C238" s="207"/>
      <c r="D238" s="88">
        <v>68</v>
      </c>
      <c r="E238" s="89" t="str">
        <f>'[1]COMEDORES EMERGENTES'!$G$18</f>
        <v>Bº VIRGEN MORENITA</v>
      </c>
    </row>
    <row r="239" spans="2:5" x14ac:dyDescent="0.2">
      <c r="B239" s="206" t="str">
        <f>'[1]COMEDORES EMERGENTES'!$B$19</f>
        <v>CENTRO VECINAL MI JARDIN</v>
      </c>
      <c r="C239" s="207"/>
      <c r="D239" s="88">
        <v>49</v>
      </c>
      <c r="E239" s="89" t="str">
        <f>'[1]COMEDORES EMERGENTES'!$G$19</f>
        <v>C/ LOS TULIPANES ENTRE FLOR DE CEREZO Y HOLANDA MZA.27 Bº MI JARDIN</v>
      </c>
    </row>
    <row r="240" spans="2:5" x14ac:dyDescent="0.2">
      <c r="B240" s="206" t="str">
        <f>'[1]COMEDORES EMERGENTES'!$B$20</f>
        <v>LA VIEJA ESQUINA</v>
      </c>
      <c r="C240" s="207"/>
      <c r="D240" s="88">
        <v>46</v>
      </c>
      <c r="E240" s="89" t="str">
        <f>'[1]COMEDORES EMERGENTES'!$G$20</f>
        <v>B° CRISTO REY PJE CAPATAZ VILLAFAÑEZ Y ARMANDO CORREA</v>
      </c>
    </row>
    <row r="241" spans="2:5" x14ac:dyDescent="0.2">
      <c r="B241" s="206" t="str">
        <f>'[1]COMEDORES EMERGENTES'!$B$21</f>
        <v>GAUCHITO GIL</v>
      </c>
      <c r="C241" s="207"/>
      <c r="D241" s="88">
        <v>45</v>
      </c>
      <c r="E241" s="89" t="str">
        <f>'[1]COMEDORES EMERGENTES'!$G$21</f>
        <v>B° 26 VIVIENDAS CASA N° 3</v>
      </c>
    </row>
    <row r="242" spans="2:5" ht="13.5" thickBot="1" x14ac:dyDescent="0.25">
      <c r="B242" s="220" t="str">
        <f>'[1]COMEDORES EMERGENTES'!$B$22</f>
        <v>LOS TOLDOS</v>
      </c>
      <c r="C242" s="221"/>
      <c r="D242" s="95">
        <v>22</v>
      </c>
      <c r="E242" s="96" t="str">
        <f>'[1]COMEDORES EMERGENTES'!$G$22</f>
        <v>LOTEO PARQUE SUR CALLE S/NOMBRE S/N°</v>
      </c>
    </row>
    <row r="243" spans="2:5" x14ac:dyDescent="0.2">
      <c r="B243" s="13" t="s">
        <v>18</v>
      </c>
      <c r="C243" s="11"/>
      <c r="D243" s="52"/>
      <c r="E243" s="12"/>
    </row>
    <row r="244" spans="2:5" ht="12.75" customHeight="1" x14ac:dyDescent="0.2">
      <c r="B244" s="14"/>
      <c r="C244" s="219" t="s">
        <v>24</v>
      </c>
      <c r="D244" s="219"/>
      <c r="E244" s="219"/>
    </row>
    <row r="245" spans="2:5" x14ac:dyDescent="0.2">
      <c r="B245" s="13" t="s">
        <v>19</v>
      </c>
      <c r="C245" s="15"/>
      <c r="D245" s="15"/>
      <c r="E245" s="16"/>
    </row>
    <row r="246" spans="2:5" ht="14.25" customHeight="1" x14ac:dyDescent="0.2">
      <c r="B246" s="14"/>
      <c r="C246" s="219" t="s">
        <v>101</v>
      </c>
      <c r="D246" s="219"/>
      <c r="E246" s="219"/>
    </row>
    <row r="247" spans="2:5" x14ac:dyDescent="0.2">
      <c r="B247" s="13" t="s">
        <v>20</v>
      </c>
      <c r="C247" s="11"/>
      <c r="D247" s="52"/>
      <c r="E247" s="12"/>
    </row>
    <row r="248" spans="2:5" ht="11.25" customHeight="1" x14ac:dyDescent="0.2">
      <c r="B248" s="13"/>
      <c r="C248" s="205" t="s">
        <v>25</v>
      </c>
      <c r="D248" s="205"/>
      <c r="E248" s="205"/>
    </row>
    <row r="249" spans="2:5" ht="13.5" thickBot="1" x14ac:dyDescent="0.25">
      <c r="B249" s="17"/>
      <c r="C249" s="18"/>
      <c r="D249" s="53"/>
      <c r="E249" s="19"/>
    </row>
    <row r="250" spans="2:5" ht="13.5" thickBot="1" x14ac:dyDescent="0.25"/>
    <row r="251" spans="2:5" x14ac:dyDescent="0.2">
      <c r="B251" s="7" t="s">
        <v>105</v>
      </c>
      <c r="C251" s="8"/>
      <c r="D251" s="51"/>
      <c r="E251" s="9"/>
    </row>
    <row r="252" spans="2:5" ht="5.25" customHeight="1" x14ac:dyDescent="0.2">
      <c r="B252" s="10"/>
      <c r="C252" s="11"/>
      <c r="D252" s="52"/>
      <c r="E252" s="12"/>
    </row>
    <row r="253" spans="2:5" x14ac:dyDescent="0.2">
      <c r="B253" s="13" t="s">
        <v>16</v>
      </c>
      <c r="C253" s="11"/>
      <c r="D253" s="52"/>
      <c r="E253" s="12"/>
    </row>
    <row r="254" spans="2:5" ht="25.5" customHeight="1" x14ac:dyDescent="0.2">
      <c r="B254" s="13"/>
      <c r="C254" s="219"/>
      <c r="D254" s="219"/>
      <c r="E254" s="219"/>
    </row>
    <row r="255" spans="2:5" ht="13.5" thickBot="1" x14ac:dyDescent="0.25">
      <c r="B255" s="13" t="s">
        <v>17</v>
      </c>
      <c r="C255" s="11"/>
      <c r="D255" s="52"/>
      <c r="E255" s="12"/>
    </row>
    <row r="256" spans="2:5" ht="13.5" thickBot="1" x14ac:dyDescent="0.25">
      <c r="B256" s="211" t="s">
        <v>98</v>
      </c>
      <c r="C256" s="215"/>
      <c r="D256" s="215"/>
      <c r="E256" s="212"/>
    </row>
    <row r="257" spans="2:5" ht="13.5" thickBot="1" x14ac:dyDescent="0.25">
      <c r="B257" s="211" t="s">
        <v>99</v>
      </c>
      <c r="C257" s="212"/>
      <c r="D257" s="49" t="s">
        <v>11</v>
      </c>
      <c r="E257" s="49" t="s">
        <v>100</v>
      </c>
    </row>
    <row r="258" spans="2:5" x14ac:dyDescent="0.2">
      <c r="B258" s="213" t="str">
        <f>'[1]COMEDORES EMERGENTES'!$B$3</f>
        <v>UNA SONRISA AV. LOS COBACHO</v>
      </c>
      <c r="C258" s="214"/>
      <c r="D258" s="93">
        <v>29</v>
      </c>
      <c r="E258" s="94" t="str">
        <f>'[1]COMEDORES EMERGENTES'!$G$3</f>
        <v>Bº SAN CARLOS OESTE AV. Bonifacio cobacho 670</v>
      </c>
    </row>
    <row r="259" spans="2:5" x14ac:dyDescent="0.2">
      <c r="B259" s="206" t="str">
        <f>'[1]COMEDORES EMERGENTES'!$B$4</f>
        <v>C.I.F Nº1 - RIVERA DEL VALLE Y FLORIDA</v>
      </c>
      <c r="C259" s="207"/>
      <c r="D259" s="88">
        <v>41</v>
      </c>
      <c r="E259" s="89" t="str">
        <f>'[1]COMEDORES EMERGENTES'!$G$4</f>
        <v>AV. RIVIERA DEL VALLE ENTRE FLORIDA Y SANTA FE</v>
      </c>
    </row>
    <row r="260" spans="2:5" x14ac:dyDescent="0.2">
      <c r="B260" s="206" t="str">
        <f>'[1]COMEDORES EMERGENTES'!$B$5</f>
        <v>C.I.F - RIVERA DEL VALLE - DILORENZO</v>
      </c>
      <c r="C260" s="207"/>
      <c r="D260" s="88">
        <v>49</v>
      </c>
      <c r="E260" s="89" t="str">
        <f>'[1]COMEDORES EMERGENTES'!$G$5</f>
        <v>Bº RIVERA DEL VALLE ENTRE VILLA EUMELIA Y MONTE CRISTO</v>
      </c>
    </row>
    <row r="261" spans="2:5" x14ac:dyDescent="0.2">
      <c r="B261" s="206" t="str">
        <f>'[1]COMEDORES EMERGENTES'!$B$6</f>
        <v>ESFUERZO PROPIO- Bº ALTOS DE CHOYA</v>
      </c>
      <c r="C261" s="207"/>
      <c r="D261" s="88">
        <v>40</v>
      </c>
      <c r="E261" s="89" t="str">
        <f>'[1]COMEDORES EMERGENTES'!$G$6</f>
        <v>Bº MUNICIPAL 35VV. NORTE C/14</v>
      </c>
    </row>
    <row r="262" spans="2:5" x14ac:dyDescent="0.2">
      <c r="B262" s="206" t="str">
        <f>'[1]COMEDORES EMERGENTES'!$B$7</f>
        <v>ANGELITOS - LOTEO SUSSEX</v>
      </c>
      <c r="C262" s="207"/>
      <c r="D262" s="88">
        <v>18</v>
      </c>
      <c r="E262" s="89" t="str">
        <f>'[1]COMEDORES EMERGENTES'!$G$7</f>
        <v>Bº LOTEO SUSEX MZA.Nº 4 LOTE Nº3</v>
      </c>
    </row>
    <row r="263" spans="2:5" x14ac:dyDescent="0.2">
      <c r="B263" s="206" t="str">
        <f>'[1]COMEDORES EMERGENTES'!$B$8</f>
        <v>CLUB DEPORTIVO CHACARITA</v>
      </c>
      <c r="C263" s="207"/>
      <c r="D263" s="88">
        <v>23</v>
      </c>
      <c r="E263" s="89" t="str">
        <f>'[1]COMEDORES EMERGENTES'!$G$8</f>
        <v>CALLE DR.DERMIDIO GALINDEZ C/2660</v>
      </c>
    </row>
    <row r="264" spans="2:5" x14ac:dyDescent="0.2">
      <c r="B264" s="206" t="str">
        <f>'[1]COMEDORES EMERGENTES'!$B$9</f>
        <v>LA MORO</v>
      </c>
      <c r="C264" s="207"/>
      <c r="D264" s="88">
        <v>22</v>
      </c>
      <c r="E264" s="89" t="str">
        <f>'[1]COMEDORES EMERGENTES'!$G$9</f>
        <v>MAIPU NORTE 1º ETAPA MZA "H" Bº MI JARDIN</v>
      </c>
    </row>
    <row r="265" spans="2:5" x14ac:dyDescent="0.2">
      <c r="B265" s="206" t="str">
        <f>'[1]COMEDORES EMERGENTES'!$B$10</f>
        <v>PAPA FRANCISCO</v>
      </c>
      <c r="C265" s="207"/>
      <c r="D265" s="88">
        <v>36</v>
      </c>
      <c r="E265" s="89" t="str">
        <f>'[1]COMEDORES EMERGENTES'!$G$10</f>
        <v>ENTRE AV.TEREBINTO Y AV.SAN JUAN LOTE "2" MZA. "B"</v>
      </c>
    </row>
    <row r="266" spans="2:5" x14ac:dyDescent="0.2">
      <c r="B266" s="206" t="str">
        <f>'[1]COMEDORES EMERGENTES'!$B$11</f>
        <v>E.P.C - 100 V.V NORTE</v>
      </c>
      <c r="C266" s="207"/>
      <c r="D266" s="88">
        <v>54</v>
      </c>
      <c r="E266" s="89" t="str">
        <f>'[1]COMEDORES EMERGENTES'!$G$11</f>
        <v>Bº VV NORTE C/48 ENTRE ESPAÑA Y FRANCIA</v>
      </c>
    </row>
    <row r="267" spans="2:5" x14ac:dyDescent="0.2">
      <c r="B267" s="206" t="str">
        <f>'[1]COMEDORES EMERGENTES'!$B$12</f>
        <v>HOGAR DE CRISTO - PADRE RAUL CONTRERAS</v>
      </c>
      <c r="C267" s="207"/>
      <c r="D267" s="88">
        <v>54</v>
      </c>
      <c r="E267" s="89" t="str">
        <f>'[1]COMEDORES EMERGENTES'!$G$12</f>
        <v>Bº SANTA MARTA MZA. "S" LOTE "M" C/39</v>
      </c>
    </row>
    <row r="268" spans="2:5" x14ac:dyDescent="0.2">
      <c r="B268" s="206" t="str">
        <f>'[1]COMEDORES EMERGENTES'!$B$13</f>
        <v>LA LUCIERNAGA</v>
      </c>
      <c r="C268" s="207"/>
      <c r="D268" s="88">
        <v>36</v>
      </c>
      <c r="E268" s="89" t="str">
        <f>'[1]COMEDORES EMERGENTES'!$G$13</f>
        <v>Bº 20 V.V NORTE C/3</v>
      </c>
    </row>
    <row r="269" spans="2:5" x14ac:dyDescent="0.2">
      <c r="B269" s="206" t="str">
        <f>'[1]COMEDORES EMERGENTES'!$B$14</f>
        <v>VALLE VIEJO - SUMALAO</v>
      </c>
      <c r="C269" s="207"/>
      <c r="D269" s="88">
        <v>63</v>
      </c>
      <c r="E269" s="89" t="str">
        <f>'[1]COMEDORES EMERGENTES'!$G$14</f>
        <v>PADRE SEGURA S/N</v>
      </c>
    </row>
    <row r="270" spans="2:5" x14ac:dyDescent="0.2">
      <c r="B270" s="206" t="str">
        <f>'[1]COMEDORES EMERGENTES'!$B$15</f>
        <v>NUESTRO FUTURO - LAS VIAS</v>
      </c>
      <c r="C270" s="207"/>
      <c r="D270" s="88">
        <v>36</v>
      </c>
      <c r="E270" s="89" t="str">
        <f>'[1]COMEDORES EMERGENTES'!$G$15</f>
        <v>Bº LAS VIAS OESTE LOTE 42</v>
      </c>
    </row>
    <row r="271" spans="2:5" x14ac:dyDescent="0.2">
      <c r="B271" s="206" t="str">
        <f>'[1]COMEDORES EMERGENTES'!$B$16</f>
        <v>SAN JOSE OBRERO</v>
      </c>
      <c r="C271" s="207"/>
      <c r="D271" s="88">
        <v>23</v>
      </c>
      <c r="E271" s="89" t="str">
        <f>'[1]COMEDORES EMERGENTES'!$G$16</f>
        <v>Bº SAN JOSE OBRERO. PJE. SANDOVAL S/Nº</v>
      </c>
    </row>
    <row r="272" spans="2:5" x14ac:dyDescent="0.2">
      <c r="B272" s="206" t="str">
        <f>'[1]COMEDORES EMERGENTES'!$B$17</f>
        <v>VIRGEN DE LUJAN</v>
      </c>
      <c r="C272" s="207"/>
      <c r="D272" s="88">
        <v>36</v>
      </c>
      <c r="E272" s="89" t="str">
        <f>'[1]COMEDORES EMERGENTES'!$G$17</f>
        <v>Bº OJO DE AGUA C/DR.TEODULFO BARRIONUEVO S/Nº</v>
      </c>
    </row>
    <row r="273" spans="2:5" x14ac:dyDescent="0.2">
      <c r="B273" s="206" t="str">
        <f>'[1]COMEDORES EMERGENTES'!$B$18</f>
        <v>RENACER</v>
      </c>
      <c r="C273" s="207"/>
      <c r="D273" s="88">
        <v>45</v>
      </c>
      <c r="E273" s="89" t="str">
        <f>'[1]COMEDORES EMERGENTES'!$G$18</f>
        <v>Bº VIRGEN MORENITA</v>
      </c>
    </row>
    <row r="274" spans="2:5" x14ac:dyDescent="0.2">
      <c r="B274" s="206" t="str">
        <f>'[1]COMEDORES EMERGENTES'!$B$19</f>
        <v>CENTRO VECINAL MI JARDIN</v>
      </c>
      <c r="C274" s="207"/>
      <c r="D274" s="88">
        <v>32</v>
      </c>
      <c r="E274" s="89" t="str">
        <f>'[1]COMEDORES EMERGENTES'!$G$19</f>
        <v>C/ LOS TULIPANES ENTRE FLOR DE CEREZO Y HOLANDA MZA.27 Bº MI JARDIN</v>
      </c>
    </row>
    <row r="275" spans="2:5" x14ac:dyDescent="0.2">
      <c r="B275" s="206" t="str">
        <f>'[1]COMEDORES EMERGENTES'!$B$20</f>
        <v>LA VIEJA ESQUINA</v>
      </c>
      <c r="C275" s="207"/>
      <c r="D275" s="88">
        <v>31</v>
      </c>
      <c r="E275" s="89" t="str">
        <f>'[1]COMEDORES EMERGENTES'!$G$20</f>
        <v>B° CRISTO REY PJE CAPATAZ VILLAFAÑEZ Y ARMANDO CORREA</v>
      </c>
    </row>
    <row r="276" spans="2:5" x14ac:dyDescent="0.2">
      <c r="B276" s="206" t="str">
        <f>'[1]COMEDORES EMERGENTES'!$B$21</f>
        <v>GAUCHITO GIL</v>
      </c>
      <c r="C276" s="207"/>
      <c r="D276" s="88">
        <v>30</v>
      </c>
      <c r="E276" s="89" t="str">
        <f>'[1]COMEDORES EMERGENTES'!$G$21</f>
        <v>B° 26 VIVIENDAS CASA N° 3</v>
      </c>
    </row>
    <row r="277" spans="2:5" ht="13.5" thickBot="1" x14ac:dyDescent="0.25">
      <c r="B277" s="220" t="str">
        <f>'[1]COMEDORES EMERGENTES'!$B$22</f>
        <v>LOS TOLDOS</v>
      </c>
      <c r="C277" s="221"/>
      <c r="D277" s="95">
        <v>14</v>
      </c>
      <c r="E277" s="96" t="str">
        <f>'[1]COMEDORES EMERGENTES'!$G$22</f>
        <v>LOTEO PARQUE SUR CALLE S/NOMBRE S/N°</v>
      </c>
    </row>
    <row r="278" spans="2:5" x14ac:dyDescent="0.2">
      <c r="B278" s="13" t="s">
        <v>18</v>
      </c>
      <c r="C278" s="11"/>
      <c r="D278" s="52"/>
      <c r="E278" s="12"/>
    </row>
    <row r="279" spans="2:5" ht="12.75" customHeight="1" x14ac:dyDescent="0.2">
      <c r="B279" s="14"/>
      <c r="C279" s="219" t="s">
        <v>24</v>
      </c>
      <c r="D279" s="219"/>
      <c r="E279" s="219"/>
    </row>
    <row r="280" spans="2:5" x14ac:dyDescent="0.2">
      <c r="B280" s="13" t="s">
        <v>19</v>
      </c>
      <c r="C280" s="15"/>
      <c r="D280" s="15"/>
      <c r="E280" s="16"/>
    </row>
    <row r="281" spans="2:5" ht="14.25" customHeight="1" x14ac:dyDescent="0.2">
      <c r="B281" s="14"/>
      <c r="C281" s="219" t="s">
        <v>101</v>
      </c>
      <c r="D281" s="219"/>
      <c r="E281" s="219"/>
    </row>
    <row r="282" spans="2:5" x14ac:dyDescent="0.2">
      <c r="B282" s="13" t="s">
        <v>20</v>
      </c>
      <c r="C282" s="11"/>
      <c r="D282" s="52"/>
      <c r="E282" s="12"/>
    </row>
    <row r="283" spans="2:5" ht="11.25" customHeight="1" x14ac:dyDescent="0.2">
      <c r="B283" s="13"/>
      <c r="C283" s="205" t="s">
        <v>25</v>
      </c>
      <c r="D283" s="205"/>
      <c r="E283" s="205"/>
    </row>
    <row r="284" spans="2:5" ht="13.5" thickBot="1" x14ac:dyDescent="0.25">
      <c r="B284" s="17"/>
      <c r="C284" s="18"/>
      <c r="D284" s="53"/>
      <c r="E284" s="19"/>
    </row>
    <row r="285" spans="2:5" ht="13.5" thickBot="1" x14ac:dyDescent="0.25"/>
    <row r="286" spans="2:5" x14ac:dyDescent="0.2">
      <c r="B286" s="7" t="s">
        <v>106</v>
      </c>
      <c r="C286" s="8"/>
      <c r="D286" s="51"/>
      <c r="E286" s="9"/>
    </row>
    <row r="287" spans="2:5" ht="5.25" customHeight="1" x14ac:dyDescent="0.2">
      <c r="B287" s="10"/>
      <c r="C287" s="11"/>
      <c r="D287" s="52"/>
      <c r="E287" s="12"/>
    </row>
    <row r="288" spans="2:5" x14ac:dyDescent="0.2">
      <c r="B288" s="13" t="s">
        <v>16</v>
      </c>
      <c r="C288" s="11"/>
      <c r="D288" s="52"/>
      <c r="E288" s="12"/>
    </row>
    <row r="289" spans="2:5" ht="25.5" customHeight="1" x14ac:dyDescent="0.2">
      <c r="B289" s="13"/>
      <c r="C289" s="217"/>
      <c r="D289" s="217"/>
      <c r="E289" s="218"/>
    </row>
    <row r="290" spans="2:5" ht="13.5" thickBot="1" x14ac:dyDescent="0.25">
      <c r="B290" s="13" t="s">
        <v>17</v>
      </c>
      <c r="C290" s="11"/>
      <c r="D290" s="52"/>
      <c r="E290" s="12"/>
    </row>
    <row r="291" spans="2:5" ht="13.5" thickBot="1" x14ac:dyDescent="0.25">
      <c r="B291" s="211" t="s">
        <v>98</v>
      </c>
      <c r="C291" s="215"/>
      <c r="D291" s="215"/>
      <c r="E291" s="212"/>
    </row>
    <row r="292" spans="2:5" ht="13.5" thickBot="1" x14ac:dyDescent="0.25">
      <c r="B292" s="211" t="s">
        <v>99</v>
      </c>
      <c r="C292" s="212"/>
      <c r="D292" s="49" t="s">
        <v>11</v>
      </c>
      <c r="E292" s="49" t="s">
        <v>100</v>
      </c>
    </row>
    <row r="293" spans="2:5" x14ac:dyDescent="0.2">
      <c r="B293" s="213" t="str">
        <f>'[1]COMEDORES EMERGENTES'!$B$3</f>
        <v>UNA SONRISA AV. LOS COBACHO</v>
      </c>
      <c r="C293" s="214"/>
      <c r="D293" s="93">
        <v>8</v>
      </c>
      <c r="E293" s="94" t="str">
        <f>'[1]COMEDORES EMERGENTES'!$G$3</f>
        <v>Bº SAN CARLOS OESTE AV. Bonifacio cobacho 670</v>
      </c>
    </row>
    <row r="294" spans="2:5" x14ac:dyDescent="0.2">
      <c r="B294" s="206" t="str">
        <f>'[1]COMEDORES EMERGENTES'!$B$4</f>
        <v>C.I.F Nº1 - RIVERA DEL VALLE Y FLORIDA</v>
      </c>
      <c r="C294" s="207"/>
      <c r="D294" s="88">
        <v>12</v>
      </c>
      <c r="E294" s="89" t="str">
        <f>'[1]COMEDORES EMERGENTES'!$G$4</f>
        <v>AV. RIVIERA DEL VALLE ENTRE FLORIDA Y SANTA FE</v>
      </c>
    </row>
    <row r="295" spans="2:5" x14ac:dyDescent="0.2">
      <c r="B295" s="206" t="str">
        <f>'[1]COMEDORES EMERGENTES'!$B$5</f>
        <v>C.I.F - RIVERA DEL VALLE - DILORENZO</v>
      </c>
      <c r="C295" s="207"/>
      <c r="D295" s="88">
        <v>14</v>
      </c>
      <c r="E295" s="89" t="str">
        <f>'[1]COMEDORES EMERGENTES'!$G$5</f>
        <v>Bº RIVERA DEL VALLE ENTRE VILLA EUMELIA Y MONTE CRISTO</v>
      </c>
    </row>
    <row r="296" spans="2:5" x14ac:dyDescent="0.2">
      <c r="B296" s="206" t="str">
        <f>'[1]COMEDORES EMERGENTES'!$B$6</f>
        <v>ESFUERZO PROPIO- Bº ALTOS DE CHOYA</v>
      </c>
      <c r="C296" s="207"/>
      <c r="D296" s="88">
        <v>11</v>
      </c>
      <c r="E296" s="89" t="str">
        <f>'[1]COMEDORES EMERGENTES'!$G$6</f>
        <v>Bº MUNICIPAL 35VV. NORTE C/14</v>
      </c>
    </row>
    <row r="297" spans="2:5" x14ac:dyDescent="0.2">
      <c r="B297" s="206" t="str">
        <f>'[1]COMEDORES EMERGENTES'!$B$7</f>
        <v>ANGELITOS - LOTEO SUSSEX</v>
      </c>
      <c r="C297" s="207"/>
      <c r="D297" s="88">
        <v>5</v>
      </c>
      <c r="E297" s="89" t="str">
        <f>'[1]COMEDORES EMERGENTES'!$G$7</f>
        <v>Bº LOTEO SUSEX MZA.Nº 4 LOTE Nº3</v>
      </c>
    </row>
    <row r="298" spans="2:5" x14ac:dyDescent="0.2">
      <c r="B298" s="206" t="str">
        <f>'[1]COMEDORES EMERGENTES'!$B$8</f>
        <v>CLUB DEPORTIVO CHACARITA</v>
      </c>
      <c r="C298" s="207"/>
      <c r="D298" s="88">
        <v>7</v>
      </c>
      <c r="E298" s="89" t="str">
        <f>'[1]COMEDORES EMERGENTES'!$G$8</f>
        <v>CALLE DR.DERMIDIO GALINDEZ C/2660</v>
      </c>
    </row>
    <row r="299" spans="2:5" x14ac:dyDescent="0.2">
      <c r="B299" s="206" t="str">
        <f>'[1]COMEDORES EMERGENTES'!$B$9</f>
        <v>LA MORO</v>
      </c>
      <c r="C299" s="207"/>
      <c r="D299" s="88">
        <v>6</v>
      </c>
      <c r="E299" s="89" t="str">
        <f>'[1]COMEDORES EMERGENTES'!$G$9</f>
        <v>MAIPU NORTE 1º ETAPA MZA "H" Bº MI JARDIN</v>
      </c>
    </row>
    <row r="300" spans="2:5" x14ac:dyDescent="0.2">
      <c r="B300" s="206" t="str">
        <f>'[1]COMEDORES EMERGENTES'!$B$10</f>
        <v>PAPA FRANCISCO</v>
      </c>
      <c r="C300" s="207"/>
      <c r="D300" s="88">
        <v>10</v>
      </c>
      <c r="E300" s="89" t="str">
        <f>'[1]COMEDORES EMERGENTES'!$G$10</f>
        <v>ENTRE AV.TEREBINTO Y AV.SAN JUAN LOTE "2" MZA. "B"</v>
      </c>
    </row>
    <row r="301" spans="2:5" x14ac:dyDescent="0.2">
      <c r="B301" s="206" t="str">
        <f>'[1]COMEDORES EMERGENTES'!$B$11</f>
        <v>E.P.C - 100 V.V NORTE</v>
      </c>
      <c r="C301" s="207"/>
      <c r="D301" s="88">
        <v>15</v>
      </c>
      <c r="E301" s="89" t="str">
        <f>'[1]COMEDORES EMERGENTES'!$G$11</f>
        <v>Bº VV NORTE C/48 ENTRE ESPAÑA Y FRANCIA</v>
      </c>
    </row>
    <row r="302" spans="2:5" x14ac:dyDescent="0.2">
      <c r="B302" s="206" t="str">
        <f>'[1]COMEDORES EMERGENTES'!$B$12</f>
        <v>HOGAR DE CRISTO - PADRE RAUL CONTRERAS</v>
      </c>
      <c r="C302" s="207"/>
      <c r="D302" s="88">
        <v>15</v>
      </c>
      <c r="E302" s="89" t="str">
        <f>'[1]COMEDORES EMERGENTES'!$G$12</f>
        <v>Bº SANTA MARTA MZA. "S" LOTE "M" C/39</v>
      </c>
    </row>
    <row r="303" spans="2:5" x14ac:dyDescent="0.2">
      <c r="B303" s="206" t="str">
        <f>'[1]COMEDORES EMERGENTES'!$B$13</f>
        <v>LA LUCIERNAGA</v>
      </c>
      <c r="C303" s="207"/>
      <c r="D303" s="88">
        <v>10</v>
      </c>
      <c r="E303" s="89" t="str">
        <f>'[1]COMEDORES EMERGENTES'!$G$13</f>
        <v>Bº 20 V.V NORTE C/3</v>
      </c>
    </row>
    <row r="304" spans="2:5" x14ac:dyDescent="0.2">
      <c r="B304" s="206" t="str">
        <f>'[1]COMEDORES EMERGENTES'!$B$14</f>
        <v>VALLE VIEJO - SUMALAO</v>
      </c>
      <c r="C304" s="207"/>
      <c r="D304" s="88">
        <v>18</v>
      </c>
      <c r="E304" s="89" t="str">
        <f>'[1]COMEDORES EMERGENTES'!$G$14</f>
        <v>PADRE SEGURA S/N</v>
      </c>
    </row>
    <row r="305" spans="2:5" x14ac:dyDescent="0.2">
      <c r="B305" s="206" t="str">
        <f>'[1]COMEDORES EMERGENTES'!$B$15</f>
        <v>NUESTRO FUTURO - LAS VIAS</v>
      </c>
      <c r="C305" s="207"/>
      <c r="D305" s="88">
        <v>10</v>
      </c>
      <c r="E305" s="89" t="str">
        <f>'[1]COMEDORES EMERGENTES'!$G$15</f>
        <v>Bº LAS VIAS OESTE LOTE 42</v>
      </c>
    </row>
    <row r="306" spans="2:5" x14ac:dyDescent="0.2">
      <c r="B306" s="206" t="str">
        <f>'[1]COMEDORES EMERGENTES'!$B$16</f>
        <v>SAN JOSE OBRERO</v>
      </c>
      <c r="C306" s="207"/>
      <c r="D306" s="88">
        <v>7</v>
      </c>
      <c r="E306" s="89" t="str">
        <f>'[1]COMEDORES EMERGENTES'!$G$16</f>
        <v>Bº SAN JOSE OBRERO. PJE. SANDOVAL S/Nº</v>
      </c>
    </row>
    <row r="307" spans="2:5" x14ac:dyDescent="0.2">
      <c r="B307" s="206" t="str">
        <f>'[1]COMEDORES EMERGENTES'!$B$17</f>
        <v>VIRGEN DE LUJAN</v>
      </c>
      <c r="C307" s="207"/>
      <c r="D307" s="88">
        <v>10</v>
      </c>
      <c r="E307" s="89" t="str">
        <f>'[1]COMEDORES EMERGENTES'!$G$17</f>
        <v>Bº OJO DE AGUA C/DR.TEODULFO BARRIONUEVO S/Nº</v>
      </c>
    </row>
    <row r="308" spans="2:5" x14ac:dyDescent="0.2">
      <c r="B308" s="206" t="str">
        <f>'[1]COMEDORES EMERGENTES'!$B$18</f>
        <v>RENACER</v>
      </c>
      <c r="C308" s="207"/>
      <c r="D308" s="88">
        <v>13</v>
      </c>
      <c r="E308" s="89" t="str">
        <f>'[1]COMEDORES EMERGENTES'!$G$18</f>
        <v>Bº VIRGEN MORENITA</v>
      </c>
    </row>
    <row r="309" spans="2:5" x14ac:dyDescent="0.2">
      <c r="B309" s="206" t="str">
        <f>'[1]COMEDORES EMERGENTES'!$B$19</f>
        <v>CENTRO VECINAL MI JARDIN</v>
      </c>
      <c r="C309" s="207"/>
      <c r="D309" s="88">
        <v>9</v>
      </c>
      <c r="E309" s="89" t="str">
        <f>'[1]COMEDORES EMERGENTES'!$G$19</f>
        <v>C/ LOS TULIPANES ENTRE FLOR DE CEREZO Y HOLANDA MZA.27 Bº MI JARDIN</v>
      </c>
    </row>
    <row r="310" spans="2:5" x14ac:dyDescent="0.2">
      <c r="B310" s="206" t="str">
        <f>'[1]COMEDORES EMERGENTES'!$B$20</f>
        <v>LA VIEJA ESQUINA</v>
      </c>
      <c r="C310" s="207"/>
      <c r="D310" s="88">
        <v>9</v>
      </c>
      <c r="E310" s="89" t="str">
        <f>'[1]COMEDORES EMERGENTES'!$G$20</f>
        <v>B° CRISTO REY PJE CAPATAZ VILLAFAÑEZ Y ARMANDO CORREA</v>
      </c>
    </row>
    <row r="311" spans="2:5" x14ac:dyDescent="0.2">
      <c r="B311" s="206" t="str">
        <f>'[1]COMEDORES EMERGENTES'!$B$21</f>
        <v>GAUCHITO GIL</v>
      </c>
      <c r="C311" s="207"/>
      <c r="D311" s="88">
        <v>8</v>
      </c>
      <c r="E311" s="89" t="str">
        <f>'[1]COMEDORES EMERGENTES'!$G$21</f>
        <v>B° 26 VIVIENDAS CASA N° 3</v>
      </c>
    </row>
    <row r="312" spans="2:5" ht="13.5" thickBot="1" x14ac:dyDescent="0.25">
      <c r="B312" s="220" t="str">
        <f>'[1]COMEDORES EMERGENTES'!$B$22</f>
        <v>LOS TOLDOS</v>
      </c>
      <c r="C312" s="221"/>
      <c r="D312" s="95">
        <v>4</v>
      </c>
      <c r="E312" s="96" t="str">
        <f>'[1]COMEDORES EMERGENTES'!$G$22</f>
        <v>LOTEO PARQUE SUR CALLE S/NOMBRE S/N°</v>
      </c>
    </row>
    <row r="313" spans="2:5" x14ac:dyDescent="0.2">
      <c r="B313" s="13" t="s">
        <v>18</v>
      </c>
      <c r="C313" s="11"/>
      <c r="D313" s="52"/>
      <c r="E313" s="12"/>
    </row>
    <row r="314" spans="2:5" ht="12.75" customHeight="1" x14ac:dyDescent="0.2">
      <c r="B314" s="14"/>
      <c r="C314" s="219" t="s">
        <v>24</v>
      </c>
      <c r="D314" s="219"/>
      <c r="E314" s="219"/>
    </row>
    <row r="315" spans="2:5" x14ac:dyDescent="0.2">
      <c r="B315" s="13" t="s">
        <v>19</v>
      </c>
      <c r="C315" s="15"/>
      <c r="D315" s="15"/>
      <c r="E315" s="16"/>
    </row>
    <row r="316" spans="2:5" ht="14.25" customHeight="1" x14ac:dyDescent="0.2">
      <c r="B316" s="14"/>
      <c r="C316" s="219" t="s">
        <v>101</v>
      </c>
      <c r="D316" s="219"/>
      <c r="E316" s="219"/>
    </row>
    <row r="317" spans="2:5" x14ac:dyDescent="0.2">
      <c r="B317" s="13" t="s">
        <v>20</v>
      </c>
      <c r="C317" s="11"/>
      <c r="D317" s="52"/>
      <c r="E317" s="12"/>
    </row>
    <row r="318" spans="2:5" ht="11.25" customHeight="1" x14ac:dyDescent="0.2">
      <c r="B318" s="13"/>
      <c r="C318" s="205" t="s">
        <v>25</v>
      </c>
      <c r="D318" s="205"/>
      <c r="E318" s="205"/>
    </row>
    <row r="319" spans="2:5" ht="13.5" thickBot="1" x14ac:dyDescent="0.25">
      <c r="B319" s="17"/>
      <c r="C319" s="18"/>
      <c r="D319" s="53"/>
      <c r="E319" s="19"/>
    </row>
    <row r="320" spans="2:5" ht="13.5" thickBot="1" x14ac:dyDescent="0.25"/>
    <row r="321" spans="2:5" x14ac:dyDescent="0.2">
      <c r="B321" s="7" t="s">
        <v>107</v>
      </c>
      <c r="C321" s="8"/>
      <c r="D321" s="51"/>
      <c r="E321" s="9"/>
    </row>
    <row r="322" spans="2:5" ht="5.25" customHeight="1" x14ac:dyDescent="0.2">
      <c r="B322" s="10"/>
      <c r="C322" s="11"/>
      <c r="D322" s="52"/>
      <c r="E322" s="12"/>
    </row>
    <row r="323" spans="2:5" x14ac:dyDescent="0.2">
      <c r="B323" s="13" t="s">
        <v>16</v>
      </c>
      <c r="C323" s="11"/>
      <c r="D323" s="52"/>
      <c r="E323" s="12"/>
    </row>
    <row r="324" spans="2:5" ht="25.5" customHeight="1" x14ac:dyDescent="0.2">
      <c r="B324" s="13"/>
      <c r="C324" s="219"/>
      <c r="D324" s="219"/>
      <c r="E324" s="219"/>
    </row>
    <row r="325" spans="2:5" ht="13.5" thickBot="1" x14ac:dyDescent="0.25">
      <c r="B325" s="13" t="s">
        <v>17</v>
      </c>
      <c r="C325" s="11"/>
      <c r="D325" s="52"/>
      <c r="E325" s="12"/>
    </row>
    <row r="326" spans="2:5" ht="13.5" thickBot="1" x14ac:dyDescent="0.25">
      <c r="B326" s="211" t="s">
        <v>98</v>
      </c>
      <c r="C326" s="215"/>
      <c r="D326" s="215"/>
      <c r="E326" s="212"/>
    </row>
    <row r="327" spans="2:5" ht="13.5" thickBot="1" x14ac:dyDescent="0.25">
      <c r="B327" s="211" t="s">
        <v>99</v>
      </c>
      <c r="C327" s="212"/>
      <c r="D327" s="49" t="s">
        <v>11</v>
      </c>
      <c r="E327" s="49" t="s">
        <v>100</v>
      </c>
    </row>
    <row r="328" spans="2:5" x14ac:dyDescent="0.2">
      <c r="B328" s="213" t="str">
        <f>'[1]COMEDORES EMERGENTES'!$B$3</f>
        <v>UNA SONRISA AV. LOS COBACHO</v>
      </c>
      <c r="C328" s="214"/>
      <c r="D328" s="93" t="s">
        <v>137</v>
      </c>
      <c r="E328" s="94" t="str">
        <f>'[1]COMEDORES EMERGENTES'!$G$3</f>
        <v>Bº SAN CARLOS OESTE AV. Bonifacio cobacho 670</v>
      </c>
    </row>
    <row r="329" spans="2:5" x14ac:dyDescent="0.2">
      <c r="B329" s="206" t="str">
        <f>'[1]COMEDORES EMERGENTES'!$B$4</f>
        <v>C.I.F Nº1 - RIVERA DEL VALLE Y FLORIDA</v>
      </c>
      <c r="C329" s="207"/>
      <c r="D329" s="88" t="s">
        <v>165</v>
      </c>
      <c r="E329" s="89" t="str">
        <f>'[1]COMEDORES EMERGENTES'!$G$4</f>
        <v>AV. RIVIERA DEL VALLE ENTRE FLORIDA Y SANTA FE</v>
      </c>
    </row>
    <row r="330" spans="2:5" x14ac:dyDescent="0.2">
      <c r="B330" s="206" t="str">
        <f>'[1]COMEDORES EMERGENTES'!$B$5</f>
        <v>C.I.F - RIVERA DEL VALLE - DILORENZO</v>
      </c>
      <c r="C330" s="207"/>
      <c r="D330" s="88" t="s">
        <v>166</v>
      </c>
      <c r="E330" s="89" t="str">
        <f>'[1]COMEDORES EMERGENTES'!$G$5</f>
        <v>Bº RIVERA DEL VALLE ENTRE VILLA EUMELIA Y MONTE CRISTO</v>
      </c>
    </row>
    <row r="331" spans="2:5" x14ac:dyDescent="0.2">
      <c r="B331" s="206" t="str">
        <f>'[1]COMEDORES EMERGENTES'!$B$6</f>
        <v>ESFUERZO PROPIO- Bº ALTOS DE CHOYA</v>
      </c>
      <c r="C331" s="207"/>
      <c r="D331" s="88" t="s">
        <v>167</v>
      </c>
      <c r="E331" s="89" t="str">
        <f>'[1]COMEDORES EMERGENTES'!$G$6</f>
        <v>Bº MUNICIPAL 35VV. NORTE C/14</v>
      </c>
    </row>
    <row r="332" spans="2:5" x14ac:dyDescent="0.2">
      <c r="B332" s="206" t="str">
        <f>'[1]COMEDORES EMERGENTES'!$B$7</f>
        <v>ANGELITOS - LOTEO SUSSEX</v>
      </c>
      <c r="C332" s="207"/>
      <c r="D332" s="88" t="s">
        <v>148</v>
      </c>
      <c r="E332" s="89" t="str">
        <f>'[1]COMEDORES EMERGENTES'!$G$7</f>
        <v>Bº LOTEO SUSEX MZA.Nº 4 LOTE Nº3</v>
      </c>
    </row>
    <row r="333" spans="2:5" x14ac:dyDescent="0.2">
      <c r="B333" s="206" t="str">
        <f>'[1]COMEDORES EMERGENTES'!$B$8</f>
        <v>CLUB DEPORTIVO CHACARITA</v>
      </c>
      <c r="C333" s="207"/>
      <c r="D333" s="88" t="s">
        <v>158</v>
      </c>
      <c r="E333" s="89" t="str">
        <f>'[1]COMEDORES EMERGENTES'!$G$8</f>
        <v>CALLE DR.DERMIDIO GALINDEZ C/2660</v>
      </c>
    </row>
    <row r="334" spans="2:5" x14ac:dyDescent="0.2">
      <c r="B334" s="206" t="str">
        <f>'[1]COMEDORES EMERGENTES'!$B$9</f>
        <v>LA MORO</v>
      </c>
      <c r="C334" s="207"/>
      <c r="D334" s="88" t="s">
        <v>159</v>
      </c>
      <c r="E334" s="89" t="str">
        <f>'[1]COMEDORES EMERGENTES'!$G$9</f>
        <v>MAIPU NORTE 1º ETAPA MZA "H" Bº MI JARDIN</v>
      </c>
    </row>
    <row r="335" spans="2:5" x14ac:dyDescent="0.2">
      <c r="B335" s="206" t="str">
        <f>'[1]COMEDORES EMERGENTES'!$B$10</f>
        <v>PAPA FRANCISCO</v>
      </c>
      <c r="C335" s="207"/>
      <c r="D335" s="88" t="s">
        <v>168</v>
      </c>
      <c r="E335" s="89" t="str">
        <f>'[1]COMEDORES EMERGENTES'!$G$10</f>
        <v>ENTRE AV.TEREBINTO Y AV.SAN JUAN LOTE "2" MZA. "B"</v>
      </c>
    </row>
    <row r="336" spans="2:5" x14ac:dyDescent="0.2">
      <c r="B336" s="206" t="str">
        <f>'[1]COMEDORES EMERGENTES'!$B$11</f>
        <v>E.P.C - 100 V.V NORTE</v>
      </c>
      <c r="C336" s="207"/>
      <c r="D336" s="88" t="s">
        <v>169</v>
      </c>
      <c r="E336" s="89" t="str">
        <f>'[1]COMEDORES EMERGENTES'!$G$11</f>
        <v>Bº VV NORTE C/48 ENTRE ESPAÑA Y FRANCIA</v>
      </c>
    </row>
    <row r="337" spans="2:5" x14ac:dyDescent="0.2">
      <c r="B337" s="206" t="str">
        <f>'[1]COMEDORES EMERGENTES'!$B$12</f>
        <v>HOGAR DE CRISTO - PADRE RAUL CONTRERAS</v>
      </c>
      <c r="C337" s="207"/>
      <c r="D337" s="88" t="s">
        <v>169</v>
      </c>
      <c r="E337" s="89" t="str">
        <f>'[1]COMEDORES EMERGENTES'!$G$12</f>
        <v>Bº SANTA MARTA MZA. "S" LOTE "M" C/39</v>
      </c>
    </row>
    <row r="338" spans="2:5" x14ac:dyDescent="0.2">
      <c r="B338" s="206" t="str">
        <f>'[1]COMEDORES EMERGENTES'!$B$13</f>
        <v>LA LUCIERNAGA</v>
      </c>
      <c r="C338" s="207"/>
      <c r="D338" s="88" t="s">
        <v>168</v>
      </c>
      <c r="E338" s="89" t="str">
        <f>'[1]COMEDORES EMERGENTES'!$G$13</f>
        <v>Bº 20 V.V NORTE C/3</v>
      </c>
    </row>
    <row r="339" spans="2:5" x14ac:dyDescent="0.2">
      <c r="B339" s="206" t="str">
        <f>'[1]COMEDORES EMERGENTES'!$B$14</f>
        <v>VALLE VIEJO - SUMALAO</v>
      </c>
      <c r="C339" s="207"/>
      <c r="D339" s="88" t="s">
        <v>170</v>
      </c>
      <c r="E339" s="89" t="str">
        <f>'[1]COMEDORES EMERGENTES'!$G$14</f>
        <v>PADRE SEGURA S/N</v>
      </c>
    </row>
    <row r="340" spans="2:5" x14ac:dyDescent="0.2">
      <c r="B340" s="206" t="str">
        <f>'[1]COMEDORES EMERGENTES'!$B$15</f>
        <v>NUESTRO FUTURO - LAS VIAS</v>
      </c>
      <c r="C340" s="207"/>
      <c r="D340" s="88" t="s">
        <v>168</v>
      </c>
      <c r="E340" s="89" t="str">
        <f>'[1]COMEDORES EMERGENTES'!$G$15</f>
        <v>Bº LAS VIAS OESTE LOTE 42</v>
      </c>
    </row>
    <row r="341" spans="2:5" x14ac:dyDescent="0.2">
      <c r="B341" s="206" t="str">
        <f>'[1]COMEDORES EMERGENTES'!$B$16</f>
        <v>SAN JOSE OBRERO</v>
      </c>
      <c r="C341" s="207"/>
      <c r="D341" s="88" t="s">
        <v>158</v>
      </c>
      <c r="E341" s="89" t="str">
        <f>'[1]COMEDORES EMERGENTES'!$G$16</f>
        <v>Bº SAN JOSE OBRERO. PJE. SANDOVAL S/Nº</v>
      </c>
    </row>
    <row r="342" spans="2:5" x14ac:dyDescent="0.2">
      <c r="B342" s="206" t="str">
        <f>'[1]COMEDORES EMERGENTES'!$B$17</f>
        <v>VIRGEN DE LUJAN</v>
      </c>
      <c r="C342" s="207"/>
      <c r="D342" s="88" t="s">
        <v>168</v>
      </c>
      <c r="E342" s="89" t="str">
        <f>'[1]COMEDORES EMERGENTES'!$G$17</f>
        <v>Bº OJO DE AGUA C/DR.TEODULFO BARRIONUEVO S/Nº</v>
      </c>
    </row>
    <row r="343" spans="2:5" x14ac:dyDescent="0.2">
      <c r="B343" s="206" t="str">
        <f>'[1]COMEDORES EMERGENTES'!$B$18</f>
        <v>RENACER</v>
      </c>
      <c r="C343" s="207"/>
      <c r="D343" s="88" t="s">
        <v>156</v>
      </c>
      <c r="E343" s="89" t="str">
        <f>'[1]COMEDORES EMERGENTES'!$G$18</f>
        <v>Bº VIRGEN MORENITA</v>
      </c>
    </row>
    <row r="344" spans="2:5" x14ac:dyDescent="0.2">
      <c r="B344" s="206" t="str">
        <f>'[1]COMEDORES EMERGENTES'!$B$19</f>
        <v>CENTRO VECINAL MI JARDIN</v>
      </c>
      <c r="C344" s="207"/>
      <c r="D344" s="88" t="s">
        <v>157</v>
      </c>
      <c r="E344" s="89" t="str">
        <f>'[1]COMEDORES EMERGENTES'!$G$19</f>
        <v>C/ LOS TULIPANES ENTRE FLOR DE CEREZO Y HOLANDA MZA.27 Bº MI JARDIN</v>
      </c>
    </row>
    <row r="345" spans="2:5" x14ac:dyDescent="0.2">
      <c r="B345" s="206" t="str">
        <f>'[1]COMEDORES EMERGENTES'!$B$20</f>
        <v>LA VIEJA ESQUINA</v>
      </c>
      <c r="C345" s="207"/>
      <c r="D345" s="88" t="s">
        <v>171</v>
      </c>
      <c r="E345" s="89" t="str">
        <f>'[1]COMEDORES EMERGENTES'!$G$20</f>
        <v>B° CRISTO REY PJE CAPATAZ VILLAFAÑEZ Y ARMANDO CORREA</v>
      </c>
    </row>
    <row r="346" spans="2:5" x14ac:dyDescent="0.2">
      <c r="B346" s="206" t="str">
        <f>'[1]COMEDORES EMERGENTES'!$B$21</f>
        <v>GAUCHITO GIL</v>
      </c>
      <c r="C346" s="207"/>
      <c r="D346" s="88" t="s">
        <v>172</v>
      </c>
      <c r="E346" s="89" t="str">
        <f>'[1]COMEDORES EMERGENTES'!$G$21</f>
        <v>B° 26 VIVIENDAS CASA N° 3</v>
      </c>
    </row>
    <row r="347" spans="2:5" ht="13.5" thickBot="1" x14ac:dyDescent="0.25">
      <c r="B347" s="220" t="str">
        <f>'[1]COMEDORES EMERGENTES'!$B$22</f>
        <v>LOS TOLDOS</v>
      </c>
      <c r="C347" s="221"/>
      <c r="D347" s="95" t="s">
        <v>146</v>
      </c>
      <c r="E347" s="96" t="str">
        <f>'[1]COMEDORES EMERGENTES'!$G$22</f>
        <v>LOTEO PARQUE SUR CALLE S/NOMBRE S/N°</v>
      </c>
    </row>
    <row r="348" spans="2:5" x14ac:dyDescent="0.2">
      <c r="B348" s="13" t="s">
        <v>18</v>
      </c>
      <c r="C348" s="11"/>
      <c r="D348" s="52"/>
      <c r="E348" s="12"/>
    </row>
    <row r="349" spans="2:5" ht="12.75" customHeight="1" x14ac:dyDescent="0.2">
      <c r="B349" s="14"/>
      <c r="C349" s="219" t="s">
        <v>24</v>
      </c>
      <c r="D349" s="219"/>
      <c r="E349" s="219"/>
    </row>
    <row r="350" spans="2:5" x14ac:dyDescent="0.2">
      <c r="B350" s="13" t="s">
        <v>19</v>
      </c>
      <c r="C350" s="15"/>
      <c r="D350" s="15"/>
      <c r="E350" s="16"/>
    </row>
    <row r="351" spans="2:5" ht="14.25" customHeight="1" x14ac:dyDescent="0.2">
      <c r="B351" s="14"/>
      <c r="C351" s="219" t="s">
        <v>101</v>
      </c>
      <c r="D351" s="219"/>
      <c r="E351" s="219"/>
    </row>
    <row r="352" spans="2:5" x14ac:dyDescent="0.2">
      <c r="B352" s="13" t="s">
        <v>20</v>
      </c>
      <c r="C352" s="11"/>
      <c r="D352" s="52"/>
      <c r="E352" s="12"/>
    </row>
    <row r="353" spans="2:5" ht="11.25" customHeight="1" x14ac:dyDescent="0.2">
      <c r="B353" s="13"/>
      <c r="C353" s="205" t="s">
        <v>25</v>
      </c>
      <c r="D353" s="205"/>
      <c r="E353" s="205"/>
    </row>
    <row r="354" spans="2:5" ht="13.5" thickBot="1" x14ac:dyDescent="0.25">
      <c r="B354" s="17"/>
      <c r="C354" s="18"/>
      <c r="D354" s="53"/>
      <c r="E354" s="19"/>
    </row>
    <row r="355" spans="2:5" ht="13.5" thickBot="1" x14ac:dyDescent="0.25"/>
    <row r="356" spans="2:5" x14ac:dyDescent="0.2">
      <c r="B356" s="7" t="s">
        <v>108</v>
      </c>
      <c r="C356" s="8"/>
      <c r="D356" s="51"/>
      <c r="E356" s="9"/>
    </row>
    <row r="357" spans="2:5" ht="5.25" customHeight="1" x14ac:dyDescent="0.2">
      <c r="B357" s="10"/>
      <c r="C357" s="11"/>
      <c r="D357" s="52"/>
      <c r="E357" s="12"/>
    </row>
    <row r="358" spans="2:5" x14ac:dyDescent="0.2">
      <c r="B358" s="13" t="s">
        <v>16</v>
      </c>
      <c r="C358" s="11"/>
      <c r="D358" s="52"/>
      <c r="E358" s="12"/>
    </row>
    <row r="359" spans="2:5" ht="25.5" customHeight="1" x14ac:dyDescent="0.2">
      <c r="B359" s="13"/>
      <c r="C359" s="219"/>
      <c r="D359" s="219"/>
      <c r="E359" s="219"/>
    </row>
    <row r="360" spans="2:5" ht="13.5" thickBot="1" x14ac:dyDescent="0.25">
      <c r="B360" s="13" t="s">
        <v>17</v>
      </c>
      <c r="C360" s="11"/>
      <c r="D360" s="52"/>
      <c r="E360" s="12"/>
    </row>
    <row r="361" spans="2:5" ht="13.5" thickBot="1" x14ac:dyDescent="0.25">
      <c r="B361" s="211" t="s">
        <v>98</v>
      </c>
      <c r="C361" s="215"/>
      <c r="D361" s="215"/>
      <c r="E361" s="212"/>
    </row>
    <row r="362" spans="2:5" ht="13.5" thickBot="1" x14ac:dyDescent="0.25">
      <c r="B362" s="211" t="s">
        <v>99</v>
      </c>
      <c r="C362" s="212"/>
      <c r="D362" s="49" t="s">
        <v>11</v>
      </c>
      <c r="E362" s="49" t="s">
        <v>100</v>
      </c>
    </row>
    <row r="363" spans="2:5" x14ac:dyDescent="0.2">
      <c r="B363" s="213" t="str">
        <f>'[1]COMEDORES EMERGENTES'!$B$3</f>
        <v>UNA SONRISA AV. LOS COBACHO</v>
      </c>
      <c r="C363" s="214"/>
      <c r="D363" s="93" t="s">
        <v>168</v>
      </c>
      <c r="E363" s="94" t="str">
        <f>'[1]COMEDORES EMERGENTES'!$G$3</f>
        <v>Bº SAN CARLOS OESTE AV. Bonifacio cobacho 670</v>
      </c>
    </row>
    <row r="364" spans="2:5" x14ac:dyDescent="0.2">
      <c r="B364" s="206" t="str">
        <f>'[1]COMEDORES EMERGENTES'!$B$4</f>
        <v>C.I.F Nº1 - RIVERA DEL VALLE Y FLORIDA</v>
      </c>
      <c r="C364" s="207"/>
      <c r="D364" s="88" t="s">
        <v>173</v>
      </c>
      <c r="E364" s="89" t="str">
        <f>'[1]COMEDORES EMERGENTES'!$G$4</f>
        <v>AV. RIVIERA DEL VALLE ENTRE FLORIDA Y SANTA FE</v>
      </c>
    </row>
    <row r="365" spans="2:5" x14ac:dyDescent="0.2">
      <c r="B365" s="206" t="str">
        <f>'[1]COMEDORES EMERGENTES'!$B$5</f>
        <v>C.I.F - RIVERA DEL VALLE - DILORENZO</v>
      </c>
      <c r="C365" s="207"/>
      <c r="D365" s="88" t="s">
        <v>174</v>
      </c>
      <c r="E365" s="89" t="str">
        <f>'[1]COMEDORES EMERGENTES'!$G$5</f>
        <v>Bº RIVERA DEL VALLE ENTRE VILLA EUMELIA Y MONTE CRISTO</v>
      </c>
    </row>
    <row r="366" spans="2:5" x14ac:dyDescent="0.2">
      <c r="B366" s="206" t="str">
        <f>'[1]COMEDORES EMERGENTES'!$B$6</f>
        <v>ESFUERZO PROPIO- Bº ALTOS DE CHOYA</v>
      </c>
      <c r="C366" s="207"/>
      <c r="D366" s="88" t="s">
        <v>175</v>
      </c>
      <c r="E366" s="89" t="str">
        <f>'[1]COMEDORES EMERGENTES'!$G$6</f>
        <v>Bº MUNICIPAL 35VV. NORTE C/14</v>
      </c>
    </row>
    <row r="367" spans="2:5" x14ac:dyDescent="0.2">
      <c r="B367" s="206" t="str">
        <f>'[1]COMEDORES EMERGENTES'!$B$7</f>
        <v>ANGELITOS - LOTEO SUSSEX</v>
      </c>
      <c r="C367" s="207"/>
      <c r="D367" s="88" t="s">
        <v>131</v>
      </c>
      <c r="E367" s="89" t="str">
        <f>'[1]COMEDORES EMERGENTES'!$G$7</f>
        <v>Bº LOTEO SUSEX MZA.Nº 4 LOTE Nº3</v>
      </c>
    </row>
    <row r="368" spans="2:5" x14ac:dyDescent="0.2">
      <c r="B368" s="206" t="str">
        <f>'[1]COMEDORES EMERGENTES'!$B$8</f>
        <v>CLUB DEPORTIVO CHACARITA</v>
      </c>
      <c r="C368" s="207"/>
      <c r="D368" s="88" t="s">
        <v>151</v>
      </c>
      <c r="E368" s="89" t="str">
        <f>'[1]COMEDORES EMERGENTES'!$G$8</f>
        <v>CALLE DR.DERMIDIO GALINDEZ C/2660</v>
      </c>
    </row>
    <row r="369" spans="2:5" x14ac:dyDescent="0.2">
      <c r="B369" s="206" t="str">
        <f>'[1]COMEDORES EMERGENTES'!$B$9</f>
        <v>LA MORO</v>
      </c>
      <c r="C369" s="207"/>
      <c r="D369" s="88" t="s">
        <v>176</v>
      </c>
      <c r="E369" s="89" t="str">
        <f>'[1]COMEDORES EMERGENTES'!$G$9</f>
        <v>MAIPU NORTE 1º ETAPA MZA "H" Bº MI JARDIN</v>
      </c>
    </row>
    <row r="370" spans="2:5" x14ac:dyDescent="0.2">
      <c r="B370" s="206" t="str">
        <f>'[1]COMEDORES EMERGENTES'!$B$10</f>
        <v>PAPA FRANCISCO</v>
      </c>
      <c r="C370" s="207"/>
      <c r="D370" s="88" t="s">
        <v>156</v>
      </c>
      <c r="E370" s="89" t="str">
        <f>'[1]COMEDORES EMERGENTES'!$G$10</f>
        <v>ENTRE AV.TEREBINTO Y AV.SAN JUAN LOTE "2" MZA. "B"</v>
      </c>
    </row>
    <row r="371" spans="2:5" x14ac:dyDescent="0.2">
      <c r="B371" s="206" t="str">
        <f>'[1]COMEDORES EMERGENTES'!$B$11</f>
        <v>E.P.C - 100 V.V NORTE</v>
      </c>
      <c r="C371" s="207"/>
      <c r="D371" s="88" t="s">
        <v>177</v>
      </c>
      <c r="E371" s="89" t="str">
        <f>'[1]COMEDORES EMERGENTES'!$G$11</f>
        <v>Bº VV NORTE C/48 ENTRE ESPAÑA Y FRANCIA</v>
      </c>
    </row>
    <row r="372" spans="2:5" x14ac:dyDescent="0.2">
      <c r="B372" s="206" t="str">
        <f>'[1]COMEDORES EMERGENTES'!$B$12</f>
        <v>HOGAR DE CRISTO - PADRE RAUL CONTRERAS</v>
      </c>
      <c r="C372" s="207"/>
      <c r="D372" s="88" t="s">
        <v>177</v>
      </c>
      <c r="E372" s="89" t="str">
        <f>'[1]COMEDORES EMERGENTES'!$G$12</f>
        <v>Bº SANTA MARTA MZA. "S" LOTE "M" C/39</v>
      </c>
    </row>
    <row r="373" spans="2:5" x14ac:dyDescent="0.2">
      <c r="B373" s="206" t="str">
        <f>'[1]COMEDORES EMERGENTES'!$B$13</f>
        <v>LA LUCIERNAGA</v>
      </c>
      <c r="C373" s="207"/>
      <c r="D373" s="88" t="s">
        <v>156</v>
      </c>
      <c r="E373" s="89" t="str">
        <f>'[1]COMEDORES EMERGENTES'!$G$13</f>
        <v>Bº 20 V.V NORTE C/3</v>
      </c>
    </row>
    <row r="374" spans="2:5" x14ac:dyDescent="0.2">
      <c r="B374" s="206" t="str">
        <f>'[1]COMEDORES EMERGENTES'!$B$14</f>
        <v>VALLE VIEJO - SUMALAO</v>
      </c>
      <c r="C374" s="207"/>
      <c r="D374" s="88" t="s">
        <v>178</v>
      </c>
      <c r="E374" s="89" t="str">
        <f>'[1]COMEDORES EMERGENTES'!$G$14</f>
        <v>PADRE SEGURA S/N</v>
      </c>
    </row>
    <row r="375" spans="2:5" x14ac:dyDescent="0.2">
      <c r="B375" s="206" t="str">
        <f>'[1]COMEDORES EMERGENTES'!$B$15</f>
        <v>NUESTRO FUTURO - LAS VIAS</v>
      </c>
      <c r="C375" s="207"/>
      <c r="D375" s="88" t="s">
        <v>156</v>
      </c>
      <c r="E375" s="89" t="str">
        <f>'[1]COMEDORES EMERGENTES'!$G$15</f>
        <v>Bº LAS VIAS OESTE LOTE 42</v>
      </c>
    </row>
    <row r="376" spans="2:5" x14ac:dyDescent="0.2">
      <c r="B376" s="206" t="str">
        <f>'[1]COMEDORES EMERGENTES'!$B$16</f>
        <v>SAN JOSE OBRERO</v>
      </c>
      <c r="C376" s="207"/>
      <c r="D376" s="88" t="s">
        <v>151</v>
      </c>
      <c r="E376" s="89" t="str">
        <f>'[1]COMEDORES EMERGENTES'!$G$16</f>
        <v>Bº SAN JOSE OBRERO. PJE. SANDOVAL S/Nº</v>
      </c>
    </row>
    <row r="377" spans="2:5" x14ac:dyDescent="0.2">
      <c r="B377" s="206" t="str">
        <f>'[1]COMEDORES EMERGENTES'!$B$17</f>
        <v>VIRGEN DE LUJAN</v>
      </c>
      <c r="C377" s="207"/>
      <c r="D377" s="88" t="s">
        <v>156</v>
      </c>
      <c r="E377" s="89" t="str">
        <f>'[1]COMEDORES EMERGENTES'!$G$17</f>
        <v>Bº OJO DE AGUA C/DR.TEODULFO BARRIONUEVO S/Nº</v>
      </c>
    </row>
    <row r="378" spans="2:5" x14ac:dyDescent="0.2">
      <c r="B378" s="206" t="str">
        <f>'[1]COMEDORES EMERGENTES'!$B$18</f>
        <v>RENACER</v>
      </c>
      <c r="C378" s="207"/>
      <c r="D378" s="88" t="s">
        <v>179</v>
      </c>
      <c r="E378" s="89" t="str">
        <f>'[1]COMEDORES EMERGENTES'!$G$18</f>
        <v>Bº VIRGEN MORENITA</v>
      </c>
    </row>
    <row r="379" spans="2:5" x14ac:dyDescent="0.2">
      <c r="B379" s="206" t="str">
        <f>'[1]COMEDORES EMERGENTES'!$B$19</f>
        <v>CENTRO VECINAL MI JARDIN</v>
      </c>
      <c r="C379" s="207"/>
      <c r="D379" s="88" t="s">
        <v>180</v>
      </c>
      <c r="E379" s="89" t="str">
        <f>'[1]COMEDORES EMERGENTES'!$G$19</f>
        <v>C/ LOS TULIPANES ENTRE FLOR DE CEREZO Y HOLANDA MZA.27 Bº MI JARDIN</v>
      </c>
    </row>
    <row r="380" spans="2:5" x14ac:dyDescent="0.2">
      <c r="B380" s="206" t="str">
        <f>'[1]COMEDORES EMERGENTES'!$B$20</f>
        <v>LA VIEJA ESQUINA</v>
      </c>
      <c r="C380" s="207"/>
      <c r="D380" s="88" t="s">
        <v>155</v>
      </c>
      <c r="E380" s="89" t="str">
        <f>'[1]COMEDORES EMERGENTES'!$G$20</f>
        <v>B° CRISTO REY PJE CAPATAZ VILLAFAÑEZ Y ARMANDO CORREA</v>
      </c>
    </row>
    <row r="381" spans="2:5" x14ac:dyDescent="0.2">
      <c r="B381" s="206" t="str">
        <f>'[1]COMEDORES EMERGENTES'!$B$21</f>
        <v>GAUCHITO GIL</v>
      </c>
      <c r="C381" s="207"/>
      <c r="D381" s="88" t="s">
        <v>181</v>
      </c>
      <c r="E381" s="89" t="str">
        <f>'[1]COMEDORES EMERGENTES'!$G$21</f>
        <v>B° 26 VIVIENDAS CASA N° 3</v>
      </c>
    </row>
    <row r="382" spans="2:5" ht="13.5" thickBot="1" x14ac:dyDescent="0.25">
      <c r="B382" s="220" t="str">
        <f>'[1]COMEDORES EMERGENTES'!$B$22</f>
        <v>LOS TOLDOS</v>
      </c>
      <c r="C382" s="221"/>
      <c r="D382" s="95" t="s">
        <v>148</v>
      </c>
      <c r="E382" s="96" t="str">
        <f>'[1]COMEDORES EMERGENTES'!$G$22</f>
        <v>LOTEO PARQUE SUR CALLE S/NOMBRE S/N°</v>
      </c>
    </row>
    <row r="383" spans="2:5" x14ac:dyDescent="0.2">
      <c r="B383" s="13" t="s">
        <v>18</v>
      </c>
      <c r="C383" s="11"/>
      <c r="D383" s="52"/>
      <c r="E383" s="12"/>
    </row>
    <row r="384" spans="2:5" ht="12.75" customHeight="1" x14ac:dyDescent="0.2">
      <c r="B384" s="14"/>
      <c r="C384" s="219" t="s">
        <v>24</v>
      </c>
      <c r="D384" s="219"/>
      <c r="E384" s="219"/>
    </row>
    <row r="385" spans="2:5" x14ac:dyDescent="0.2">
      <c r="B385" s="13" t="s">
        <v>19</v>
      </c>
      <c r="C385" s="15"/>
      <c r="D385" s="15"/>
      <c r="E385" s="16"/>
    </row>
    <row r="386" spans="2:5" ht="14.25" customHeight="1" x14ac:dyDescent="0.2">
      <c r="B386" s="14"/>
      <c r="C386" s="219" t="s">
        <v>101</v>
      </c>
      <c r="D386" s="219"/>
      <c r="E386" s="219"/>
    </row>
    <row r="387" spans="2:5" x14ac:dyDescent="0.2">
      <c r="B387" s="13" t="s">
        <v>20</v>
      </c>
      <c r="C387" s="11"/>
      <c r="D387" s="52"/>
      <c r="E387" s="12"/>
    </row>
    <row r="388" spans="2:5" ht="11.25" customHeight="1" x14ac:dyDescent="0.2">
      <c r="B388" s="13"/>
      <c r="C388" s="205" t="s">
        <v>25</v>
      </c>
      <c r="D388" s="205"/>
      <c r="E388" s="205"/>
    </row>
    <row r="389" spans="2:5" ht="13.5" thickBot="1" x14ac:dyDescent="0.25">
      <c r="B389" s="17"/>
      <c r="C389" s="18"/>
      <c r="D389" s="53"/>
      <c r="E389" s="19"/>
    </row>
    <row r="390" spans="2:5" ht="13.5" thickBot="1" x14ac:dyDescent="0.25"/>
    <row r="391" spans="2:5" x14ac:dyDescent="0.2">
      <c r="B391" s="7" t="s">
        <v>109</v>
      </c>
      <c r="C391" s="8"/>
      <c r="D391" s="51"/>
      <c r="E391" s="9"/>
    </row>
    <row r="392" spans="2:5" ht="5.25" customHeight="1" x14ac:dyDescent="0.2">
      <c r="B392" s="10"/>
      <c r="C392" s="11"/>
      <c r="D392" s="52"/>
      <c r="E392" s="12"/>
    </row>
    <row r="393" spans="2:5" x14ac:dyDescent="0.2">
      <c r="B393" s="13" t="s">
        <v>16</v>
      </c>
      <c r="C393" s="11"/>
      <c r="D393" s="52"/>
      <c r="E393" s="12"/>
    </row>
    <row r="394" spans="2:5" ht="25.5" customHeight="1" x14ac:dyDescent="0.2">
      <c r="B394" s="13"/>
      <c r="C394" s="219"/>
      <c r="D394" s="219"/>
      <c r="E394" s="219"/>
    </row>
    <row r="395" spans="2:5" ht="13.5" thickBot="1" x14ac:dyDescent="0.25">
      <c r="B395" s="13" t="s">
        <v>17</v>
      </c>
      <c r="C395" s="11"/>
      <c r="D395" s="52"/>
      <c r="E395" s="12"/>
    </row>
    <row r="396" spans="2:5" ht="13.5" thickBot="1" x14ac:dyDescent="0.25">
      <c r="B396" s="211" t="s">
        <v>98</v>
      </c>
      <c r="C396" s="215"/>
      <c r="D396" s="215"/>
      <c r="E396" s="212"/>
    </row>
    <row r="397" spans="2:5" ht="13.5" thickBot="1" x14ac:dyDescent="0.25">
      <c r="B397" s="211" t="s">
        <v>99</v>
      </c>
      <c r="C397" s="212"/>
      <c r="D397" s="49" t="s">
        <v>11</v>
      </c>
      <c r="E397" s="49" t="s">
        <v>100</v>
      </c>
    </row>
    <row r="398" spans="2:5" x14ac:dyDescent="0.2">
      <c r="B398" s="213" t="str">
        <f>'[1]COMEDORES EMERGENTES'!$B$3</f>
        <v>UNA SONRISA AV. LOS COBACHO</v>
      </c>
      <c r="C398" s="214"/>
      <c r="D398" s="93" t="s">
        <v>131</v>
      </c>
      <c r="E398" s="94" t="str">
        <f>'[1]COMEDORES EMERGENTES'!$G$3</f>
        <v>Bº SAN CARLOS OESTE AV. Bonifacio cobacho 670</v>
      </c>
    </row>
    <row r="399" spans="2:5" x14ac:dyDescent="0.2">
      <c r="B399" s="206" t="str">
        <f>'[1]COMEDORES EMERGENTES'!$B$4</f>
        <v>C.I.F Nº1 - RIVERA DEL VALLE Y FLORIDA</v>
      </c>
      <c r="C399" s="207"/>
      <c r="D399" s="88" t="s">
        <v>182</v>
      </c>
      <c r="E399" s="89" t="str">
        <f>'[1]COMEDORES EMERGENTES'!$G$4</f>
        <v>AV. RIVIERA DEL VALLE ENTRE FLORIDA Y SANTA FE</v>
      </c>
    </row>
    <row r="400" spans="2:5" x14ac:dyDescent="0.2">
      <c r="B400" s="206" t="str">
        <f>'[1]COMEDORES EMERGENTES'!$B$5</f>
        <v>C.I.F - RIVERA DEL VALLE - DILORENZO</v>
      </c>
      <c r="C400" s="207"/>
      <c r="D400" s="88" t="s">
        <v>181</v>
      </c>
      <c r="E400" s="89" t="str">
        <f>'[1]COMEDORES EMERGENTES'!$G$5</f>
        <v>Bº RIVERA DEL VALLE ENTRE VILLA EUMELIA Y MONTE CRISTO</v>
      </c>
    </row>
    <row r="401" spans="2:5" x14ac:dyDescent="0.2">
      <c r="B401" s="206" t="str">
        <f>'[1]COMEDORES EMERGENTES'!$B$6</f>
        <v>ESFUERZO PROPIO- Bº ALTOS DE CHOYA</v>
      </c>
      <c r="C401" s="207"/>
      <c r="D401" s="88" t="s">
        <v>171</v>
      </c>
      <c r="E401" s="89" t="str">
        <f>'[1]COMEDORES EMERGENTES'!$G$6</f>
        <v>Bº MUNICIPAL 35VV. NORTE C/14</v>
      </c>
    </row>
    <row r="402" spans="2:5" x14ac:dyDescent="0.2">
      <c r="B402" s="206" t="str">
        <f>'[1]COMEDORES EMERGENTES'!$B$7</f>
        <v>ANGELITOS - LOTEO SUSSEX</v>
      </c>
      <c r="C402" s="207"/>
      <c r="D402" s="88" t="s">
        <v>146</v>
      </c>
      <c r="E402" s="89" t="str">
        <f>'[1]COMEDORES EMERGENTES'!$G$7</f>
        <v>Bº LOTEO SUSEX MZA.Nº 4 LOTE Nº3</v>
      </c>
    </row>
    <row r="403" spans="2:5" x14ac:dyDescent="0.2">
      <c r="B403" s="206" t="str">
        <f>'[1]COMEDORES EMERGENTES'!$B$8</f>
        <v>CLUB DEPORTIVO CHACARITA</v>
      </c>
      <c r="C403" s="207"/>
      <c r="D403" s="88" t="s">
        <v>183</v>
      </c>
      <c r="E403" s="89" t="str">
        <f>'[1]COMEDORES EMERGENTES'!$G$8</f>
        <v>CALLE DR.DERMIDIO GALINDEZ C/2660</v>
      </c>
    </row>
    <row r="404" spans="2:5" x14ac:dyDescent="0.2">
      <c r="B404" s="206" t="str">
        <f>'[1]COMEDORES EMERGENTES'!$B$9</f>
        <v>LA MORO</v>
      </c>
      <c r="C404" s="207"/>
      <c r="D404" s="88" t="s">
        <v>141</v>
      </c>
      <c r="E404" s="89" t="str">
        <f>'[1]COMEDORES EMERGENTES'!$G$9</f>
        <v>MAIPU NORTE 1º ETAPA MZA "H" Bº MI JARDIN</v>
      </c>
    </row>
    <row r="405" spans="2:5" x14ac:dyDescent="0.2">
      <c r="B405" s="206" t="str">
        <f>'[1]COMEDORES EMERGENTES'!$B$10</f>
        <v>PAPA FRANCISCO</v>
      </c>
      <c r="C405" s="207"/>
      <c r="D405" s="88" t="s">
        <v>153</v>
      </c>
      <c r="E405" s="89" t="str">
        <f>'[1]COMEDORES EMERGENTES'!$G$10</f>
        <v>ENTRE AV.TEREBINTO Y AV.SAN JUAN LOTE "2" MZA. "B"</v>
      </c>
    </row>
    <row r="406" spans="2:5" x14ac:dyDescent="0.2">
      <c r="B406" s="206" t="str">
        <f>'[1]COMEDORES EMERGENTES'!$B$11</f>
        <v>E.P.C - 100 V.V NORTE</v>
      </c>
      <c r="C406" s="207"/>
      <c r="D406" s="88" t="s">
        <v>184</v>
      </c>
      <c r="E406" s="89" t="str">
        <f>'[1]COMEDORES EMERGENTES'!$G$11</f>
        <v>Bº VV NORTE C/48 ENTRE ESPAÑA Y FRANCIA</v>
      </c>
    </row>
    <row r="407" spans="2:5" x14ac:dyDescent="0.2">
      <c r="B407" s="206" t="str">
        <f>'[1]COMEDORES EMERGENTES'!$B$12</f>
        <v>HOGAR DE CRISTO - PADRE RAUL CONTRERAS</v>
      </c>
      <c r="C407" s="207"/>
      <c r="D407" s="88" t="s">
        <v>184</v>
      </c>
      <c r="E407" s="89" t="str">
        <f>'[1]COMEDORES EMERGENTES'!$G$12</f>
        <v>Bº SANTA MARTA MZA. "S" LOTE "M" C/39</v>
      </c>
    </row>
    <row r="408" spans="2:5" x14ac:dyDescent="0.2">
      <c r="B408" s="206" t="str">
        <f>'[1]COMEDORES EMERGENTES'!$B$13</f>
        <v>LA LUCIERNAGA</v>
      </c>
      <c r="C408" s="207"/>
      <c r="D408" s="88" t="s">
        <v>153</v>
      </c>
      <c r="E408" s="89" t="str">
        <f>'[1]COMEDORES EMERGENTES'!$G$13</f>
        <v>Bº 20 V.V NORTE C/3</v>
      </c>
    </row>
    <row r="409" spans="2:5" x14ac:dyDescent="0.2">
      <c r="B409" s="206" t="str">
        <f>'[1]COMEDORES EMERGENTES'!$B$14</f>
        <v>VALLE VIEJO - SUMALAO</v>
      </c>
      <c r="C409" s="207"/>
      <c r="D409" s="88" t="s">
        <v>175</v>
      </c>
      <c r="E409" s="89" t="str">
        <f>'[1]COMEDORES EMERGENTES'!$G$14</f>
        <v>PADRE SEGURA S/N</v>
      </c>
    </row>
    <row r="410" spans="2:5" x14ac:dyDescent="0.2">
      <c r="B410" s="206" t="str">
        <f>'[1]COMEDORES EMERGENTES'!$B$15</f>
        <v>NUESTRO FUTURO - LAS VIAS</v>
      </c>
      <c r="C410" s="207"/>
      <c r="D410" s="88" t="s">
        <v>153</v>
      </c>
      <c r="E410" s="89" t="str">
        <f>'[1]COMEDORES EMERGENTES'!$G$15</f>
        <v>Bº LAS VIAS OESTE LOTE 42</v>
      </c>
    </row>
    <row r="411" spans="2:5" x14ac:dyDescent="0.2">
      <c r="B411" s="206" t="str">
        <f>'[1]COMEDORES EMERGENTES'!$B$16</f>
        <v>SAN JOSE OBRERO</v>
      </c>
      <c r="C411" s="207"/>
      <c r="D411" s="88" t="s">
        <v>183</v>
      </c>
      <c r="E411" s="89" t="str">
        <f>'[1]COMEDORES EMERGENTES'!$G$16</f>
        <v>Bº SAN JOSE OBRERO. PJE. SANDOVAL S/Nº</v>
      </c>
    </row>
    <row r="412" spans="2:5" x14ac:dyDescent="0.2">
      <c r="B412" s="206" t="str">
        <f>'[1]COMEDORES EMERGENTES'!$B$17</f>
        <v>VIRGEN DE LUJAN</v>
      </c>
      <c r="C412" s="207"/>
      <c r="D412" s="88" t="s">
        <v>153</v>
      </c>
      <c r="E412" s="89" t="str">
        <f>'[1]COMEDORES EMERGENTES'!$G$17</f>
        <v>Bº OJO DE AGUA C/DR.TEODULFO BARRIONUEVO S/Nº</v>
      </c>
    </row>
    <row r="413" spans="2:5" x14ac:dyDescent="0.2">
      <c r="B413" s="206" t="str">
        <f>'[1]COMEDORES EMERGENTES'!$B$18</f>
        <v>RENACER</v>
      </c>
      <c r="C413" s="207"/>
      <c r="D413" s="88" t="s">
        <v>185</v>
      </c>
      <c r="E413" s="89" t="str">
        <f>'[1]COMEDORES EMERGENTES'!$G$18</f>
        <v>Bº VIRGEN MORENITA</v>
      </c>
    </row>
    <row r="414" spans="2:5" x14ac:dyDescent="0.2">
      <c r="B414" s="206" t="str">
        <f>'[1]COMEDORES EMERGENTES'!$B$19</f>
        <v>CENTRO VECINAL MI JARDIN</v>
      </c>
      <c r="C414" s="207"/>
      <c r="D414" s="88" t="s">
        <v>154</v>
      </c>
      <c r="E414" s="89" t="str">
        <f>'[1]COMEDORES EMERGENTES'!$G$19</f>
        <v>C/ LOS TULIPANES ENTRE FLOR DE CEREZO Y HOLANDA MZA.27 Bº MI JARDIN</v>
      </c>
    </row>
    <row r="415" spans="2:5" x14ac:dyDescent="0.2">
      <c r="B415" s="206" t="str">
        <f>'[1]COMEDORES EMERGENTES'!$B$20</f>
        <v>LA VIEJA ESQUINA</v>
      </c>
      <c r="C415" s="207"/>
      <c r="D415" s="88" t="s">
        <v>139</v>
      </c>
      <c r="E415" s="89" t="str">
        <f>'[1]COMEDORES EMERGENTES'!$G$20</f>
        <v>B° CRISTO REY PJE CAPATAZ VILLAFAÑEZ Y ARMANDO CORREA</v>
      </c>
    </row>
    <row r="416" spans="2:5" x14ac:dyDescent="0.2">
      <c r="B416" s="206" t="str">
        <f>'[1]COMEDORES EMERGENTES'!$B$21</f>
        <v>GAUCHITO GIL</v>
      </c>
      <c r="C416" s="207"/>
      <c r="D416" s="88" t="s">
        <v>186</v>
      </c>
      <c r="E416" s="89" t="str">
        <f>'[1]COMEDORES EMERGENTES'!$G$21</f>
        <v>B° 26 VIVIENDAS CASA N° 3</v>
      </c>
    </row>
    <row r="417" spans="2:5" ht="13.5" thickBot="1" x14ac:dyDescent="0.25">
      <c r="B417" s="220" t="str">
        <f>'[1]COMEDORES EMERGENTES'!$B$22</f>
        <v>LOS TOLDOS</v>
      </c>
      <c r="C417" s="221"/>
      <c r="D417" s="95" t="s">
        <v>130</v>
      </c>
      <c r="E417" s="96" t="str">
        <f>'[1]COMEDORES EMERGENTES'!$G$22</f>
        <v>LOTEO PARQUE SUR CALLE S/NOMBRE S/N°</v>
      </c>
    </row>
    <row r="418" spans="2:5" x14ac:dyDescent="0.2">
      <c r="B418" s="13" t="s">
        <v>18</v>
      </c>
      <c r="C418" s="11"/>
      <c r="D418" s="52"/>
      <c r="E418" s="12"/>
    </row>
    <row r="419" spans="2:5" ht="12.75" customHeight="1" x14ac:dyDescent="0.2">
      <c r="B419" s="14"/>
      <c r="C419" s="219" t="s">
        <v>24</v>
      </c>
      <c r="D419" s="219"/>
      <c r="E419" s="219"/>
    </row>
    <row r="420" spans="2:5" x14ac:dyDescent="0.2">
      <c r="B420" s="13" t="s">
        <v>19</v>
      </c>
      <c r="C420" s="15"/>
      <c r="D420" s="15"/>
      <c r="E420" s="16"/>
    </row>
    <row r="421" spans="2:5" ht="14.25" customHeight="1" x14ac:dyDescent="0.2">
      <c r="B421" s="14"/>
      <c r="C421" s="219" t="s">
        <v>101</v>
      </c>
      <c r="D421" s="219"/>
      <c r="E421" s="219"/>
    </row>
    <row r="422" spans="2:5" x14ac:dyDescent="0.2">
      <c r="B422" s="13" t="s">
        <v>20</v>
      </c>
      <c r="C422" s="11"/>
      <c r="D422" s="52"/>
      <c r="E422" s="12"/>
    </row>
    <row r="423" spans="2:5" ht="11.25" customHeight="1" x14ac:dyDescent="0.2">
      <c r="B423" s="13"/>
      <c r="C423" s="205" t="s">
        <v>25</v>
      </c>
      <c r="D423" s="205"/>
      <c r="E423" s="205"/>
    </row>
    <row r="424" spans="2:5" ht="13.5" thickBot="1" x14ac:dyDescent="0.25">
      <c r="B424" s="17"/>
      <c r="C424" s="18"/>
      <c r="D424" s="53"/>
      <c r="E424" s="19"/>
    </row>
    <row r="425" spans="2:5" ht="13.5" thickBot="1" x14ac:dyDescent="0.25"/>
    <row r="426" spans="2:5" x14ac:dyDescent="0.2">
      <c r="B426" s="7" t="s">
        <v>110</v>
      </c>
      <c r="C426" s="8"/>
      <c r="D426" s="51"/>
      <c r="E426" s="9"/>
    </row>
    <row r="427" spans="2:5" x14ac:dyDescent="0.2">
      <c r="B427" s="10"/>
      <c r="C427" s="11"/>
      <c r="D427" s="52"/>
      <c r="E427" s="12"/>
    </row>
    <row r="428" spans="2:5" x14ac:dyDescent="0.2">
      <c r="B428" s="13" t="s">
        <v>16</v>
      </c>
      <c r="C428" s="11"/>
      <c r="D428" s="52"/>
      <c r="E428" s="12"/>
    </row>
    <row r="429" spans="2:5" ht="25.5" customHeight="1" x14ac:dyDescent="0.2">
      <c r="B429" s="13"/>
      <c r="C429" s="219"/>
      <c r="D429" s="219"/>
      <c r="E429" s="219"/>
    </row>
    <row r="430" spans="2:5" ht="13.5" thickBot="1" x14ac:dyDescent="0.25">
      <c r="B430" s="13" t="s">
        <v>17</v>
      </c>
      <c r="C430" s="11"/>
      <c r="D430" s="52"/>
      <c r="E430" s="12"/>
    </row>
    <row r="431" spans="2:5" ht="13.5" thickBot="1" x14ac:dyDescent="0.25">
      <c r="B431" s="211" t="s">
        <v>98</v>
      </c>
      <c r="C431" s="215"/>
      <c r="D431" s="215"/>
      <c r="E431" s="212"/>
    </row>
    <row r="432" spans="2:5" ht="13.5" thickBot="1" x14ac:dyDescent="0.25">
      <c r="B432" s="211" t="s">
        <v>99</v>
      </c>
      <c r="C432" s="212"/>
      <c r="D432" s="49" t="s">
        <v>11</v>
      </c>
      <c r="E432" s="49" t="s">
        <v>100</v>
      </c>
    </row>
    <row r="433" spans="2:5" x14ac:dyDescent="0.2">
      <c r="B433" s="213" t="str">
        <f>'[1]COMEDORES EMERGENTES'!$B$3</f>
        <v>UNA SONRISA AV. LOS COBACHO</v>
      </c>
      <c r="C433" s="214"/>
      <c r="D433" s="93">
        <v>48</v>
      </c>
      <c r="E433" s="94" t="str">
        <f>'[1]COMEDORES EMERGENTES'!$G$3</f>
        <v>Bº SAN CARLOS OESTE AV. Bonifacio cobacho 670</v>
      </c>
    </row>
    <row r="434" spans="2:5" x14ac:dyDescent="0.2">
      <c r="B434" s="206" t="str">
        <f>'[1]COMEDORES EMERGENTES'!$B$4</f>
        <v>C.I.F Nº1 - RIVERA DEL VALLE Y FLORIDA</v>
      </c>
      <c r="C434" s="207"/>
      <c r="D434" s="88">
        <v>69</v>
      </c>
      <c r="E434" s="89" t="str">
        <f>'[1]COMEDORES EMERGENTES'!$G$4</f>
        <v>AV. RIVIERA DEL VALLE ENTRE FLORIDA Y SANTA FE</v>
      </c>
    </row>
    <row r="435" spans="2:5" x14ac:dyDescent="0.2">
      <c r="B435" s="206" t="str">
        <f>'[1]COMEDORES EMERGENTES'!$B$5</f>
        <v>C.I.F - RIVERA DEL VALLE - DILORENZO</v>
      </c>
      <c r="C435" s="207"/>
      <c r="D435" s="88">
        <v>81</v>
      </c>
      <c r="E435" s="89" t="str">
        <f>'[1]COMEDORES EMERGENTES'!$G$5</f>
        <v>Bº RIVERA DEL VALLE ENTRE VILLA EUMELIA Y MONTE CRISTO</v>
      </c>
    </row>
    <row r="436" spans="2:5" x14ac:dyDescent="0.2">
      <c r="B436" s="206" t="str">
        <f>'[1]COMEDORES EMERGENTES'!$B$6</f>
        <v>ESFUERZO PROPIO- Bº ALTOS DE CHOYA</v>
      </c>
      <c r="C436" s="207"/>
      <c r="D436" s="88">
        <v>66</v>
      </c>
      <c r="E436" s="89" t="str">
        <f>'[1]COMEDORES EMERGENTES'!$G$6</f>
        <v>Bº MUNICIPAL 35VV. NORTE C/14</v>
      </c>
    </row>
    <row r="437" spans="2:5" x14ac:dyDescent="0.2">
      <c r="B437" s="206" t="str">
        <f>'[1]COMEDORES EMERGENTES'!$B$7</f>
        <v>ANGELITOS - LOTEO SUSSEX</v>
      </c>
      <c r="C437" s="207"/>
      <c r="D437" s="88">
        <v>30</v>
      </c>
      <c r="E437" s="89" t="str">
        <f>'[1]COMEDORES EMERGENTES'!$G$7</f>
        <v>Bº LOTEO SUSEX MZA.Nº 4 LOTE Nº3</v>
      </c>
    </row>
    <row r="438" spans="2:5" x14ac:dyDescent="0.2">
      <c r="B438" s="206" t="str">
        <f>'[1]COMEDORES EMERGENTES'!$B$8</f>
        <v>CLUB DEPORTIVO CHACARITA</v>
      </c>
      <c r="C438" s="207"/>
      <c r="D438" s="88">
        <v>39</v>
      </c>
      <c r="E438" s="89" t="str">
        <f>'[1]COMEDORES EMERGENTES'!$G$8</f>
        <v>CALLE DR.DERMIDIO GALINDEZ C/2660</v>
      </c>
    </row>
    <row r="439" spans="2:5" x14ac:dyDescent="0.2">
      <c r="B439" s="206" t="str">
        <f>'[1]COMEDORES EMERGENTES'!$B$9</f>
        <v>LA MORO</v>
      </c>
      <c r="C439" s="207"/>
      <c r="D439" s="88">
        <v>36</v>
      </c>
      <c r="E439" s="89" t="str">
        <f>'[1]COMEDORES EMERGENTES'!$G$9</f>
        <v>MAIPU NORTE 1º ETAPA MZA "H" Bº MI JARDIN</v>
      </c>
    </row>
    <row r="440" spans="2:5" x14ac:dyDescent="0.2">
      <c r="B440" s="206" t="str">
        <f>'[1]COMEDORES EMERGENTES'!$B$10</f>
        <v>PAPA FRANCISCO</v>
      </c>
      <c r="C440" s="207"/>
      <c r="D440" s="88">
        <v>60</v>
      </c>
      <c r="E440" s="89" t="str">
        <f>'[1]COMEDORES EMERGENTES'!$G$10</f>
        <v>ENTRE AV.TEREBINTO Y AV.SAN JUAN LOTE "2" MZA. "B"</v>
      </c>
    </row>
    <row r="441" spans="2:5" x14ac:dyDescent="0.2">
      <c r="B441" s="206" t="str">
        <f>'[1]COMEDORES EMERGENTES'!$B$11</f>
        <v>E.P.C - 100 V.V NORTE</v>
      </c>
      <c r="C441" s="207"/>
      <c r="D441" s="88">
        <v>90</v>
      </c>
      <c r="E441" s="89" t="str">
        <f>'[1]COMEDORES EMERGENTES'!$G$11</f>
        <v>Bº VV NORTE C/48 ENTRE ESPAÑA Y FRANCIA</v>
      </c>
    </row>
    <row r="442" spans="2:5" x14ac:dyDescent="0.2">
      <c r="B442" s="206" t="str">
        <f>'[1]COMEDORES EMERGENTES'!$B$12</f>
        <v>HOGAR DE CRISTO - PADRE RAUL CONTRERAS</v>
      </c>
      <c r="C442" s="207"/>
      <c r="D442" s="88">
        <v>90</v>
      </c>
      <c r="E442" s="89" t="str">
        <f>'[1]COMEDORES EMERGENTES'!$G$12</f>
        <v>Bº SANTA MARTA MZA. "S" LOTE "M" C/39</v>
      </c>
    </row>
    <row r="443" spans="2:5" x14ac:dyDescent="0.2">
      <c r="B443" s="206" t="str">
        <f>'[1]COMEDORES EMERGENTES'!$B$13</f>
        <v>LA LUCIERNAGA</v>
      </c>
      <c r="C443" s="207"/>
      <c r="D443" s="88">
        <v>60</v>
      </c>
      <c r="E443" s="89" t="str">
        <f>'[1]COMEDORES EMERGENTES'!$G$13</f>
        <v>Bº 20 V.V NORTE C/3</v>
      </c>
    </row>
    <row r="444" spans="2:5" x14ac:dyDescent="0.2">
      <c r="B444" s="206" t="str">
        <f>'[1]COMEDORES EMERGENTES'!$B$14</f>
        <v>VALLE VIEJO - SUMALAO</v>
      </c>
      <c r="C444" s="207"/>
      <c r="D444" s="88">
        <v>105</v>
      </c>
      <c r="E444" s="89" t="str">
        <f>'[1]COMEDORES EMERGENTES'!$G$14</f>
        <v>PADRE SEGURA S/N</v>
      </c>
    </row>
    <row r="445" spans="2:5" x14ac:dyDescent="0.2">
      <c r="B445" s="206" t="str">
        <f>'[1]COMEDORES EMERGENTES'!$B$15</f>
        <v>NUESTRO FUTURO - LAS VIAS</v>
      </c>
      <c r="C445" s="207"/>
      <c r="D445" s="88">
        <v>60</v>
      </c>
      <c r="E445" s="89" t="str">
        <f>'[1]COMEDORES EMERGENTES'!$G$15</f>
        <v>Bº LAS VIAS OESTE LOTE 42</v>
      </c>
    </row>
    <row r="446" spans="2:5" x14ac:dyDescent="0.2">
      <c r="B446" s="206" t="str">
        <f>'[1]COMEDORES EMERGENTES'!$B$16</f>
        <v>SAN JOSE OBRERO</v>
      </c>
      <c r="C446" s="207"/>
      <c r="D446" s="88">
        <v>39</v>
      </c>
      <c r="E446" s="89" t="str">
        <f>'[1]COMEDORES EMERGENTES'!$G$16</f>
        <v>Bº SAN JOSE OBRERO. PJE. SANDOVAL S/Nº</v>
      </c>
    </row>
    <row r="447" spans="2:5" x14ac:dyDescent="0.2">
      <c r="B447" s="206" t="str">
        <f>'[1]COMEDORES EMERGENTES'!$B$17</f>
        <v>VIRGEN DE LUJAN</v>
      </c>
      <c r="C447" s="207"/>
      <c r="D447" s="88">
        <v>60</v>
      </c>
      <c r="E447" s="89" t="str">
        <f>'[1]COMEDORES EMERGENTES'!$G$17</f>
        <v>Bº OJO DE AGUA C/DR.TEODULFO BARRIONUEVO S/Nº</v>
      </c>
    </row>
    <row r="448" spans="2:5" x14ac:dyDescent="0.2">
      <c r="B448" s="206" t="str">
        <f>'[1]COMEDORES EMERGENTES'!$B$18</f>
        <v>RENACER</v>
      </c>
      <c r="C448" s="207"/>
      <c r="D448" s="88">
        <v>75</v>
      </c>
      <c r="E448" s="89" t="str">
        <f>'[1]COMEDORES EMERGENTES'!$G$18</f>
        <v>Bº VIRGEN MORENITA</v>
      </c>
    </row>
    <row r="449" spans="2:5" x14ac:dyDescent="0.2">
      <c r="B449" s="206" t="str">
        <f>'[1]COMEDORES EMERGENTES'!$B$19</f>
        <v>CENTRO VECINAL MI JARDIN</v>
      </c>
      <c r="C449" s="207"/>
      <c r="D449" s="88">
        <v>54</v>
      </c>
      <c r="E449" s="89" t="str">
        <f>'[1]COMEDORES EMERGENTES'!$G$19</f>
        <v>C/ LOS TULIPANES ENTRE FLOR DE CEREZO Y HOLANDA MZA.27 Bº MI JARDIN</v>
      </c>
    </row>
    <row r="450" spans="2:5" x14ac:dyDescent="0.2">
      <c r="B450" s="206" t="str">
        <f>'[1]COMEDORES EMERGENTES'!$B$20</f>
        <v>LA VIEJA ESQUINA</v>
      </c>
      <c r="C450" s="207"/>
      <c r="D450" s="88">
        <v>52</v>
      </c>
      <c r="E450" s="89" t="str">
        <f>'[1]COMEDORES EMERGENTES'!$G$20</f>
        <v>B° CRISTO REY PJE CAPATAZ VILLAFAÑEZ Y ARMANDO CORREA</v>
      </c>
    </row>
    <row r="451" spans="2:5" x14ac:dyDescent="0.2">
      <c r="B451" s="206" t="str">
        <f>'[1]COMEDORES EMERGENTES'!$B$21</f>
        <v>GAUCHITO GIL</v>
      </c>
      <c r="C451" s="207"/>
      <c r="D451" s="88">
        <v>50</v>
      </c>
      <c r="E451" s="89" t="str">
        <f>'[1]COMEDORES EMERGENTES'!$G$21</f>
        <v>B° 26 VIVIENDAS CASA N° 3</v>
      </c>
    </row>
    <row r="452" spans="2:5" ht="13.5" thickBot="1" x14ac:dyDescent="0.25">
      <c r="B452" s="220" t="str">
        <f>'[1]COMEDORES EMERGENTES'!$B$22</f>
        <v>LOS TOLDOS</v>
      </c>
      <c r="C452" s="221"/>
      <c r="D452" s="95">
        <v>24</v>
      </c>
      <c r="E452" s="96" t="str">
        <f>'[1]COMEDORES EMERGENTES'!$G$22</f>
        <v>LOTEO PARQUE SUR CALLE S/NOMBRE S/N°</v>
      </c>
    </row>
    <row r="453" spans="2:5" x14ac:dyDescent="0.2">
      <c r="B453" s="13" t="s">
        <v>18</v>
      </c>
      <c r="C453" s="11"/>
      <c r="D453" s="52"/>
      <c r="E453" s="12"/>
    </row>
    <row r="454" spans="2:5" x14ac:dyDescent="0.2">
      <c r="B454" s="14"/>
      <c r="C454" s="219" t="s">
        <v>24</v>
      </c>
      <c r="D454" s="219"/>
      <c r="E454" s="219"/>
    </row>
    <row r="455" spans="2:5" x14ac:dyDescent="0.2">
      <c r="B455" s="13" t="s">
        <v>19</v>
      </c>
      <c r="C455" s="15"/>
      <c r="D455" s="15"/>
      <c r="E455" s="16"/>
    </row>
    <row r="456" spans="2:5" x14ac:dyDescent="0.2">
      <c r="B456" s="14"/>
      <c r="C456" s="219" t="s">
        <v>101</v>
      </c>
      <c r="D456" s="219"/>
      <c r="E456" s="219"/>
    </row>
    <row r="457" spans="2:5" x14ac:dyDescent="0.2">
      <c r="B457" s="13" t="s">
        <v>20</v>
      </c>
      <c r="C457" s="11"/>
      <c r="D457" s="52"/>
      <c r="E457" s="12"/>
    </row>
    <row r="458" spans="2:5" x14ac:dyDescent="0.2">
      <c r="B458" s="13"/>
      <c r="C458" s="205" t="s">
        <v>25</v>
      </c>
      <c r="D458" s="205"/>
      <c r="E458" s="205"/>
    </row>
    <row r="459" spans="2:5" ht="13.5" thickBot="1" x14ac:dyDescent="0.25">
      <c r="B459" s="17"/>
      <c r="C459" s="18"/>
      <c r="D459" s="53"/>
      <c r="E459" s="19"/>
    </row>
    <row r="460" spans="2:5" ht="13.5" thickBot="1" x14ac:dyDescent="0.25"/>
    <row r="461" spans="2:5" x14ac:dyDescent="0.2">
      <c r="B461" s="7" t="s">
        <v>111</v>
      </c>
      <c r="C461" s="8"/>
      <c r="D461" s="51"/>
      <c r="E461" s="9"/>
    </row>
    <row r="462" spans="2:5" x14ac:dyDescent="0.2">
      <c r="B462" s="10"/>
      <c r="C462" s="11"/>
      <c r="D462" s="52"/>
      <c r="E462" s="12"/>
    </row>
    <row r="463" spans="2:5" x14ac:dyDescent="0.2">
      <c r="B463" s="13" t="s">
        <v>16</v>
      </c>
      <c r="C463" s="11"/>
      <c r="D463" s="52"/>
      <c r="E463" s="12"/>
    </row>
    <row r="464" spans="2:5" ht="25.5" customHeight="1" x14ac:dyDescent="0.2">
      <c r="B464" s="13"/>
      <c r="C464" s="219"/>
      <c r="D464" s="219"/>
      <c r="E464" s="219"/>
    </row>
    <row r="465" spans="2:5" ht="13.5" thickBot="1" x14ac:dyDescent="0.25">
      <c r="B465" s="13" t="s">
        <v>17</v>
      </c>
      <c r="C465" s="11"/>
      <c r="D465" s="52"/>
      <c r="E465" s="12"/>
    </row>
    <row r="466" spans="2:5" ht="13.5" thickBot="1" x14ac:dyDescent="0.25">
      <c r="B466" s="211" t="s">
        <v>98</v>
      </c>
      <c r="C466" s="215"/>
      <c r="D466" s="215"/>
      <c r="E466" s="212"/>
    </row>
    <row r="467" spans="2:5" ht="13.5" thickBot="1" x14ac:dyDescent="0.25">
      <c r="B467" s="211" t="s">
        <v>99</v>
      </c>
      <c r="C467" s="212"/>
      <c r="D467" s="49" t="s">
        <v>11</v>
      </c>
      <c r="E467" s="49" t="s">
        <v>100</v>
      </c>
    </row>
    <row r="468" spans="2:5" x14ac:dyDescent="0.2">
      <c r="B468" s="213" t="str">
        <f>'[1]COMEDORES EMERGENTES'!$B$3</f>
        <v>UNA SONRISA AV. LOS COBACHO</v>
      </c>
      <c r="C468" s="214"/>
      <c r="D468" s="93">
        <v>5</v>
      </c>
      <c r="E468" s="94" t="str">
        <f>'[1]COMEDORES EMERGENTES'!$G$3</f>
        <v>Bº SAN CARLOS OESTE AV. Bonifacio cobacho 670</v>
      </c>
    </row>
    <row r="469" spans="2:5" x14ac:dyDescent="0.2">
      <c r="B469" s="206" t="str">
        <f>'[1]COMEDORES EMERGENTES'!$B$4</f>
        <v>C.I.F Nº1 - RIVERA DEL VALLE Y FLORIDA</v>
      </c>
      <c r="C469" s="207"/>
      <c r="D469" s="88">
        <v>7</v>
      </c>
      <c r="E469" s="89" t="str">
        <f>'[1]COMEDORES EMERGENTES'!$G$4</f>
        <v>AV. RIVIERA DEL VALLE ENTRE FLORIDA Y SANTA FE</v>
      </c>
    </row>
    <row r="470" spans="2:5" x14ac:dyDescent="0.2">
      <c r="B470" s="206" t="str">
        <f>'[1]COMEDORES EMERGENTES'!$B$5</f>
        <v>C.I.F - RIVERA DEL VALLE - DILORENZO</v>
      </c>
      <c r="C470" s="207"/>
      <c r="D470" s="88">
        <v>8</v>
      </c>
      <c r="E470" s="89" t="str">
        <f>'[1]COMEDORES EMERGENTES'!$G$5</f>
        <v>Bº RIVERA DEL VALLE ENTRE VILLA EUMELIA Y MONTE CRISTO</v>
      </c>
    </row>
    <row r="471" spans="2:5" x14ac:dyDescent="0.2">
      <c r="B471" s="206" t="str">
        <f>'[1]COMEDORES EMERGENTES'!$B$6</f>
        <v>ESFUERZO PROPIO- Bº ALTOS DE CHOYA</v>
      </c>
      <c r="C471" s="207"/>
      <c r="D471" s="88">
        <v>7</v>
      </c>
      <c r="E471" s="89" t="str">
        <f>'[1]COMEDORES EMERGENTES'!$G$6</f>
        <v>Bº MUNICIPAL 35VV. NORTE C/14</v>
      </c>
    </row>
    <row r="472" spans="2:5" x14ac:dyDescent="0.2">
      <c r="B472" s="206" t="str">
        <f>'[1]COMEDORES EMERGENTES'!$B$7</f>
        <v>ANGELITOS - LOTEO SUSSEX</v>
      </c>
      <c r="C472" s="207"/>
      <c r="D472" s="88">
        <v>3</v>
      </c>
      <c r="E472" s="89" t="str">
        <f>'[1]COMEDORES EMERGENTES'!$G$7</f>
        <v>Bº LOTEO SUSEX MZA.Nº 4 LOTE Nº3</v>
      </c>
    </row>
    <row r="473" spans="2:5" x14ac:dyDescent="0.2">
      <c r="B473" s="206" t="str">
        <f>'[1]COMEDORES EMERGENTES'!$B$8</f>
        <v>CLUB DEPORTIVO CHACARITA</v>
      </c>
      <c r="C473" s="207"/>
      <c r="D473" s="88">
        <v>4</v>
      </c>
      <c r="E473" s="89" t="str">
        <f>'[1]COMEDORES EMERGENTES'!$G$8</f>
        <v>CALLE DR.DERMIDIO GALINDEZ C/2660</v>
      </c>
    </row>
    <row r="474" spans="2:5" x14ac:dyDescent="0.2">
      <c r="B474" s="206" t="str">
        <f>'[1]COMEDORES EMERGENTES'!$B$9</f>
        <v>LA MORO</v>
      </c>
      <c r="C474" s="207"/>
      <c r="D474" s="88">
        <v>4</v>
      </c>
      <c r="E474" s="89" t="str">
        <f>'[1]COMEDORES EMERGENTES'!$G$9</f>
        <v>MAIPU NORTE 1º ETAPA MZA "H" Bº MI JARDIN</v>
      </c>
    </row>
    <row r="475" spans="2:5" x14ac:dyDescent="0.2">
      <c r="B475" s="206" t="str">
        <f>'[1]COMEDORES EMERGENTES'!$B$10</f>
        <v>PAPA FRANCISCO</v>
      </c>
      <c r="C475" s="207"/>
      <c r="D475" s="88">
        <v>6</v>
      </c>
      <c r="E475" s="89" t="str">
        <f>'[1]COMEDORES EMERGENTES'!$G$10</f>
        <v>ENTRE AV.TEREBINTO Y AV.SAN JUAN LOTE "2" MZA. "B"</v>
      </c>
    </row>
    <row r="476" spans="2:5" x14ac:dyDescent="0.2">
      <c r="B476" s="206" t="str">
        <f>'[1]COMEDORES EMERGENTES'!$B$11</f>
        <v>E.P.C - 100 V.V NORTE</v>
      </c>
      <c r="C476" s="207"/>
      <c r="D476" s="88">
        <v>9</v>
      </c>
      <c r="E476" s="89" t="str">
        <f>'[1]COMEDORES EMERGENTES'!$G$11</f>
        <v>Bº VV NORTE C/48 ENTRE ESPAÑA Y FRANCIA</v>
      </c>
    </row>
    <row r="477" spans="2:5" x14ac:dyDescent="0.2">
      <c r="B477" s="206" t="str">
        <f>'[1]COMEDORES EMERGENTES'!$B$12</f>
        <v>HOGAR DE CRISTO - PADRE RAUL CONTRERAS</v>
      </c>
      <c r="C477" s="207"/>
      <c r="D477" s="88">
        <v>9</v>
      </c>
      <c r="E477" s="89" t="str">
        <f>'[1]COMEDORES EMERGENTES'!$G$12</f>
        <v>Bº SANTA MARTA MZA. "S" LOTE "M" C/39</v>
      </c>
    </row>
    <row r="478" spans="2:5" x14ac:dyDescent="0.2">
      <c r="B478" s="206" t="str">
        <f>'[1]COMEDORES EMERGENTES'!$B$13</f>
        <v>LA LUCIERNAGA</v>
      </c>
      <c r="C478" s="207"/>
      <c r="D478" s="88">
        <v>6</v>
      </c>
      <c r="E478" s="89" t="str">
        <f>'[1]COMEDORES EMERGENTES'!$G$13</f>
        <v>Bº 20 V.V NORTE C/3</v>
      </c>
    </row>
    <row r="479" spans="2:5" x14ac:dyDescent="0.2">
      <c r="B479" s="206" t="str">
        <f>'[1]COMEDORES EMERGENTES'!$B$14</f>
        <v>VALLE VIEJO - SUMALAO</v>
      </c>
      <c r="C479" s="207"/>
      <c r="D479" s="88">
        <v>11</v>
      </c>
      <c r="E479" s="89" t="str">
        <f>'[1]COMEDORES EMERGENTES'!$G$14</f>
        <v>PADRE SEGURA S/N</v>
      </c>
    </row>
    <row r="480" spans="2:5" x14ac:dyDescent="0.2">
      <c r="B480" s="206" t="str">
        <f>'[1]COMEDORES EMERGENTES'!$B$15</f>
        <v>NUESTRO FUTURO - LAS VIAS</v>
      </c>
      <c r="C480" s="207"/>
      <c r="D480" s="88">
        <v>6</v>
      </c>
      <c r="E480" s="89" t="str">
        <f>'[1]COMEDORES EMERGENTES'!$G$15</f>
        <v>Bº LAS VIAS OESTE LOTE 42</v>
      </c>
    </row>
    <row r="481" spans="2:5" x14ac:dyDescent="0.2">
      <c r="B481" s="206" t="str">
        <f>'[1]COMEDORES EMERGENTES'!$B$16</f>
        <v>SAN JOSE OBRERO</v>
      </c>
      <c r="C481" s="207"/>
      <c r="D481" s="88">
        <v>4</v>
      </c>
      <c r="E481" s="89" t="str">
        <f>'[1]COMEDORES EMERGENTES'!$G$16</f>
        <v>Bº SAN JOSE OBRERO. PJE. SANDOVAL S/Nº</v>
      </c>
    </row>
    <row r="482" spans="2:5" x14ac:dyDescent="0.2">
      <c r="B482" s="206" t="str">
        <f>'[1]COMEDORES EMERGENTES'!$B$17</f>
        <v>VIRGEN DE LUJAN</v>
      </c>
      <c r="C482" s="207"/>
      <c r="D482" s="88">
        <v>6</v>
      </c>
      <c r="E482" s="89" t="str">
        <f>'[1]COMEDORES EMERGENTES'!$G$17</f>
        <v>Bº OJO DE AGUA C/DR.TEODULFO BARRIONUEVO S/Nº</v>
      </c>
    </row>
    <row r="483" spans="2:5" x14ac:dyDescent="0.2">
      <c r="B483" s="206" t="str">
        <f>'[1]COMEDORES EMERGENTES'!$B$18</f>
        <v>RENACER</v>
      </c>
      <c r="C483" s="207"/>
      <c r="D483" s="88">
        <v>8</v>
      </c>
      <c r="E483" s="89" t="str">
        <f>'[1]COMEDORES EMERGENTES'!$G$18</f>
        <v>Bº VIRGEN MORENITA</v>
      </c>
    </row>
    <row r="484" spans="2:5" x14ac:dyDescent="0.2">
      <c r="B484" s="206" t="str">
        <f>'[1]COMEDORES EMERGENTES'!$B$19</f>
        <v>CENTRO VECINAL MI JARDIN</v>
      </c>
      <c r="C484" s="207"/>
      <c r="D484" s="88">
        <v>5</v>
      </c>
      <c r="E484" s="89" t="str">
        <f>'[1]COMEDORES EMERGENTES'!$G$19</f>
        <v>C/ LOS TULIPANES ENTRE FLOR DE CEREZO Y HOLANDA MZA.27 Bº MI JARDIN</v>
      </c>
    </row>
    <row r="485" spans="2:5" x14ac:dyDescent="0.2">
      <c r="B485" s="206" t="str">
        <f>'[1]COMEDORES EMERGENTES'!$B$20</f>
        <v>LA VIEJA ESQUINA</v>
      </c>
      <c r="C485" s="207"/>
      <c r="D485" s="88">
        <v>5</v>
      </c>
      <c r="E485" s="89" t="str">
        <f>'[1]COMEDORES EMERGENTES'!$G$20</f>
        <v>B° CRISTO REY PJE CAPATAZ VILLAFAÑEZ Y ARMANDO CORREA</v>
      </c>
    </row>
    <row r="486" spans="2:5" x14ac:dyDescent="0.2">
      <c r="B486" s="206" t="str">
        <f>'[1]COMEDORES EMERGENTES'!$B$21</f>
        <v>GAUCHITO GIL</v>
      </c>
      <c r="C486" s="207"/>
      <c r="D486" s="88">
        <v>5</v>
      </c>
      <c r="E486" s="89" t="str">
        <f>'[1]COMEDORES EMERGENTES'!$G$21</f>
        <v>B° 26 VIVIENDAS CASA N° 3</v>
      </c>
    </row>
    <row r="487" spans="2:5" ht="13.5" thickBot="1" x14ac:dyDescent="0.25">
      <c r="B487" s="220" t="str">
        <f>'[1]COMEDORES EMERGENTES'!$B$22</f>
        <v>LOS TOLDOS</v>
      </c>
      <c r="C487" s="221"/>
      <c r="D487" s="95">
        <v>2</v>
      </c>
      <c r="E487" s="96" t="str">
        <f>'[1]COMEDORES EMERGENTES'!$G$22</f>
        <v>LOTEO PARQUE SUR CALLE S/NOMBRE S/N°</v>
      </c>
    </row>
    <row r="488" spans="2:5" x14ac:dyDescent="0.2">
      <c r="B488" s="13" t="s">
        <v>18</v>
      </c>
      <c r="C488" s="11"/>
      <c r="D488" s="52"/>
      <c r="E488" s="12"/>
    </row>
    <row r="489" spans="2:5" x14ac:dyDescent="0.2">
      <c r="B489" s="14"/>
      <c r="C489" s="219" t="s">
        <v>24</v>
      </c>
      <c r="D489" s="219"/>
      <c r="E489" s="219"/>
    </row>
    <row r="490" spans="2:5" x14ac:dyDescent="0.2">
      <c r="B490" s="13" t="s">
        <v>19</v>
      </c>
      <c r="C490" s="15"/>
      <c r="D490" s="15"/>
      <c r="E490" s="16"/>
    </row>
    <row r="491" spans="2:5" x14ac:dyDescent="0.2">
      <c r="B491" s="14"/>
      <c r="C491" s="219" t="s">
        <v>101</v>
      </c>
      <c r="D491" s="219"/>
      <c r="E491" s="219"/>
    </row>
    <row r="492" spans="2:5" x14ac:dyDescent="0.2">
      <c r="B492" s="13" t="s">
        <v>20</v>
      </c>
      <c r="C492" s="11"/>
      <c r="D492" s="52"/>
      <c r="E492" s="12"/>
    </row>
    <row r="493" spans="2:5" x14ac:dyDescent="0.2">
      <c r="B493" s="13"/>
      <c r="C493" s="205" t="s">
        <v>25</v>
      </c>
      <c r="D493" s="205"/>
      <c r="E493" s="205"/>
    </row>
    <row r="494" spans="2:5" ht="13.5" thickBot="1" x14ac:dyDescent="0.25">
      <c r="B494" s="17"/>
      <c r="C494" s="18"/>
      <c r="D494" s="53"/>
      <c r="E494" s="19"/>
    </row>
    <row r="495" spans="2:5" ht="13.5" thickBot="1" x14ac:dyDescent="0.25"/>
    <row r="496" spans="2:5" x14ac:dyDescent="0.2">
      <c r="B496" s="7" t="s">
        <v>112</v>
      </c>
      <c r="C496" s="8"/>
      <c r="D496" s="51"/>
      <c r="E496" s="9"/>
    </row>
    <row r="497" spans="2:5" x14ac:dyDescent="0.2">
      <c r="B497" s="10"/>
      <c r="C497" s="11"/>
      <c r="D497" s="52"/>
      <c r="E497" s="12"/>
    </row>
    <row r="498" spans="2:5" x14ac:dyDescent="0.2">
      <c r="B498" s="13" t="s">
        <v>16</v>
      </c>
      <c r="C498" s="11"/>
      <c r="D498" s="52"/>
      <c r="E498" s="12"/>
    </row>
    <row r="499" spans="2:5" ht="25.5" customHeight="1" x14ac:dyDescent="0.2">
      <c r="B499" s="13"/>
      <c r="C499" s="219"/>
      <c r="D499" s="219"/>
      <c r="E499" s="219"/>
    </row>
    <row r="500" spans="2:5" ht="13.5" thickBot="1" x14ac:dyDescent="0.25">
      <c r="B500" s="13" t="s">
        <v>17</v>
      </c>
      <c r="C500" s="11"/>
      <c r="D500" s="52"/>
      <c r="E500" s="12"/>
    </row>
    <row r="501" spans="2:5" ht="13.5" thickBot="1" x14ac:dyDescent="0.25">
      <c r="B501" s="211" t="s">
        <v>98</v>
      </c>
      <c r="C501" s="215"/>
      <c r="D501" s="215"/>
      <c r="E501" s="212"/>
    </row>
    <row r="502" spans="2:5" ht="13.5" thickBot="1" x14ac:dyDescent="0.25">
      <c r="B502" s="211" t="s">
        <v>99</v>
      </c>
      <c r="C502" s="212"/>
      <c r="D502" s="49" t="s">
        <v>11</v>
      </c>
      <c r="E502" s="49" t="s">
        <v>100</v>
      </c>
    </row>
    <row r="503" spans="2:5" x14ac:dyDescent="0.2">
      <c r="B503" s="213" t="str">
        <f>'[1]COMEDORES EMERGENTES'!$B$3</f>
        <v>UNA SONRISA AV. LOS COBACHO</v>
      </c>
      <c r="C503" s="214"/>
      <c r="D503" s="93" t="s">
        <v>164</v>
      </c>
      <c r="E503" s="94" t="str">
        <f>'[1]COMEDORES EMERGENTES'!$G$3</f>
        <v>Bº SAN CARLOS OESTE AV. Bonifacio cobacho 670</v>
      </c>
    </row>
    <row r="504" spans="2:5" x14ac:dyDescent="0.2">
      <c r="B504" s="206" t="str">
        <f>'[1]COMEDORES EMERGENTES'!$B$4</f>
        <v>C.I.F Nº1 - RIVERA DEL VALLE Y FLORIDA</v>
      </c>
      <c r="C504" s="207"/>
      <c r="D504" s="88" t="s">
        <v>163</v>
      </c>
      <c r="E504" s="89" t="str">
        <f>'[1]COMEDORES EMERGENTES'!$G$4</f>
        <v>AV. RIVIERA DEL VALLE ENTRE FLORIDA Y SANTA FE</v>
      </c>
    </row>
    <row r="505" spans="2:5" x14ac:dyDescent="0.2">
      <c r="B505" s="206" t="str">
        <f>'[1]COMEDORES EMERGENTES'!$B$5</f>
        <v>C.I.F - RIVERA DEL VALLE - DILORENZO</v>
      </c>
      <c r="C505" s="207"/>
      <c r="D505" s="88" t="s">
        <v>140</v>
      </c>
      <c r="E505" s="89" t="str">
        <f>'[1]COMEDORES EMERGENTES'!$G$5</f>
        <v>Bº RIVERA DEL VALLE ENTRE VILLA EUMELIA Y MONTE CRISTO</v>
      </c>
    </row>
    <row r="506" spans="2:5" x14ac:dyDescent="0.2">
      <c r="B506" s="206" t="str">
        <f>'[1]COMEDORES EMERGENTES'!$B$6</f>
        <v>ESFUERZO PROPIO- Bº ALTOS DE CHOYA</v>
      </c>
      <c r="C506" s="207"/>
      <c r="D506" s="88" t="s">
        <v>146</v>
      </c>
      <c r="E506" s="89" t="str">
        <f>'[1]COMEDORES EMERGENTES'!$G$6</f>
        <v>Bº MUNICIPAL 35VV. NORTE C/14</v>
      </c>
    </row>
    <row r="507" spans="2:5" x14ac:dyDescent="0.2">
      <c r="B507" s="206" t="str">
        <f>'[1]COMEDORES EMERGENTES'!$B$7</f>
        <v>ANGELITOS - LOTEO SUSSEX</v>
      </c>
      <c r="C507" s="207"/>
      <c r="D507" s="88" t="s">
        <v>187</v>
      </c>
      <c r="E507" s="89" t="str">
        <f>'[1]COMEDORES EMERGENTES'!$G$7</f>
        <v>Bº LOTEO SUSEX MZA.Nº 4 LOTE Nº3</v>
      </c>
    </row>
    <row r="508" spans="2:5" x14ac:dyDescent="0.2">
      <c r="B508" s="206" t="str">
        <f>'[1]COMEDORES EMERGENTES'!$B$8</f>
        <v>CLUB DEPORTIVO CHACARITA</v>
      </c>
      <c r="C508" s="207"/>
      <c r="D508" s="88" t="s">
        <v>145</v>
      </c>
      <c r="E508" s="89" t="str">
        <f>'[1]COMEDORES EMERGENTES'!$G$8</f>
        <v>CALLE DR.DERMIDIO GALINDEZ C/2660</v>
      </c>
    </row>
    <row r="509" spans="2:5" x14ac:dyDescent="0.2">
      <c r="B509" s="206" t="str">
        <f>'[1]COMEDORES EMERGENTES'!$B$9</f>
        <v>LA MORO</v>
      </c>
      <c r="C509" s="207"/>
      <c r="D509" s="88" t="s">
        <v>162</v>
      </c>
      <c r="E509" s="89" t="str">
        <f>'[1]COMEDORES EMERGENTES'!$G$9</f>
        <v>MAIPU NORTE 1º ETAPA MZA "H" Bº MI JARDIN</v>
      </c>
    </row>
    <row r="510" spans="2:5" x14ac:dyDescent="0.2">
      <c r="B510" s="206" t="str">
        <f>'[1]COMEDORES EMERGENTES'!$B$10</f>
        <v>PAPA FRANCISCO</v>
      </c>
      <c r="C510" s="207"/>
      <c r="D510" s="88" t="s">
        <v>135</v>
      </c>
      <c r="E510" s="89" t="str">
        <f>'[1]COMEDORES EMERGENTES'!$G$10</f>
        <v>ENTRE AV.TEREBINTO Y AV.SAN JUAN LOTE "2" MZA. "B"</v>
      </c>
    </row>
    <row r="511" spans="2:5" x14ac:dyDescent="0.2">
      <c r="B511" s="206" t="str">
        <f>'[1]COMEDORES EMERGENTES'!$B$11</f>
        <v>E.P.C - 100 V.V NORTE</v>
      </c>
      <c r="C511" s="207"/>
      <c r="D511" s="88" t="s">
        <v>136</v>
      </c>
      <c r="E511" s="89" t="str">
        <f>'[1]COMEDORES EMERGENTES'!$G$11</f>
        <v>Bº VV NORTE C/48 ENTRE ESPAÑA Y FRANCIA</v>
      </c>
    </row>
    <row r="512" spans="2:5" x14ac:dyDescent="0.2">
      <c r="B512" s="206" t="str">
        <f>'[1]COMEDORES EMERGENTES'!$B$12</f>
        <v>HOGAR DE CRISTO - PADRE RAUL CONTRERAS</v>
      </c>
      <c r="C512" s="207"/>
      <c r="D512" s="88" t="s">
        <v>136</v>
      </c>
      <c r="E512" s="89" t="str">
        <f>'[1]COMEDORES EMERGENTES'!$G$12</f>
        <v>Bº SANTA MARTA MZA. "S" LOTE "M" C/39</v>
      </c>
    </row>
    <row r="513" spans="2:5" x14ac:dyDescent="0.2">
      <c r="B513" s="206" t="str">
        <f>'[1]COMEDORES EMERGENTES'!$B$13</f>
        <v>LA LUCIERNAGA</v>
      </c>
      <c r="C513" s="207"/>
      <c r="D513" s="88" t="s">
        <v>135</v>
      </c>
      <c r="E513" s="89" t="str">
        <f>'[1]COMEDORES EMERGENTES'!$G$13</f>
        <v>Bº 20 V.V NORTE C/3</v>
      </c>
    </row>
    <row r="514" spans="2:5" x14ac:dyDescent="0.2">
      <c r="B514" s="206" t="str">
        <f>'[1]COMEDORES EMERGENTES'!$B$14</f>
        <v>VALLE VIEJO - SUMALAO</v>
      </c>
      <c r="C514" s="207"/>
      <c r="D514" s="88" t="s">
        <v>131</v>
      </c>
      <c r="E514" s="89" t="str">
        <f>'[1]COMEDORES EMERGENTES'!$G$14</f>
        <v>PADRE SEGURA S/N</v>
      </c>
    </row>
    <row r="515" spans="2:5" x14ac:dyDescent="0.2">
      <c r="B515" s="206" t="str">
        <f>'[1]COMEDORES EMERGENTES'!$B$15</f>
        <v>NUESTRO FUTURO - LAS VIAS</v>
      </c>
      <c r="C515" s="207"/>
      <c r="D515" s="88" t="s">
        <v>135</v>
      </c>
      <c r="E515" s="89" t="str">
        <f>'[1]COMEDORES EMERGENTES'!$G$15</f>
        <v>Bº LAS VIAS OESTE LOTE 42</v>
      </c>
    </row>
    <row r="516" spans="2:5" x14ac:dyDescent="0.2">
      <c r="B516" s="206" t="str">
        <f>'[1]COMEDORES EMERGENTES'!$B$16</f>
        <v>SAN JOSE OBRERO</v>
      </c>
      <c r="C516" s="207"/>
      <c r="D516" s="88" t="s">
        <v>145</v>
      </c>
      <c r="E516" s="89" t="str">
        <f>'[1]COMEDORES EMERGENTES'!$G$16</f>
        <v>Bº SAN JOSE OBRERO. PJE. SANDOVAL S/Nº</v>
      </c>
    </row>
    <row r="517" spans="2:5" x14ac:dyDescent="0.2">
      <c r="B517" s="206" t="str">
        <f>'[1]COMEDORES EMERGENTES'!$B$17</f>
        <v>VIRGEN DE LUJAN</v>
      </c>
      <c r="C517" s="207"/>
      <c r="D517" s="88" t="s">
        <v>135</v>
      </c>
      <c r="E517" s="89" t="str">
        <f>'[1]COMEDORES EMERGENTES'!$G$17</f>
        <v>Bº OJO DE AGUA C/DR.TEODULFO BARRIONUEVO S/Nº</v>
      </c>
    </row>
    <row r="518" spans="2:5" x14ac:dyDescent="0.2">
      <c r="B518" s="206" t="str">
        <f>'[1]COMEDORES EMERGENTES'!$B$18</f>
        <v>RENACER</v>
      </c>
      <c r="C518" s="207"/>
      <c r="D518" s="88" t="s">
        <v>142</v>
      </c>
      <c r="E518" s="89" t="str">
        <f>'[1]COMEDORES EMERGENTES'!$G$18</f>
        <v>Bº VIRGEN MORENITA</v>
      </c>
    </row>
    <row r="519" spans="2:5" x14ac:dyDescent="0.2">
      <c r="B519" s="206" t="str">
        <f>'[1]COMEDORES EMERGENTES'!$B$19</f>
        <v>CENTRO VECINAL MI JARDIN</v>
      </c>
      <c r="C519" s="207"/>
      <c r="D519" s="88" t="s">
        <v>130</v>
      </c>
      <c r="E519" s="89" t="str">
        <f>'[1]COMEDORES EMERGENTES'!$G$19</f>
        <v>C/ LOS TULIPANES ENTRE FLOR DE CEREZO Y HOLANDA MZA.27 Bº MI JARDIN</v>
      </c>
    </row>
    <row r="520" spans="2:5" x14ac:dyDescent="0.2">
      <c r="B520" s="206" t="str">
        <f>'[1]COMEDORES EMERGENTES'!$B$20</f>
        <v>LA VIEJA ESQUINA</v>
      </c>
      <c r="C520" s="207"/>
      <c r="D520" s="88" t="s">
        <v>188</v>
      </c>
      <c r="E520" s="89" t="str">
        <f>'[1]COMEDORES EMERGENTES'!$G$20</f>
        <v>B° CRISTO REY PJE CAPATAZ VILLAFAÑEZ Y ARMANDO CORREA</v>
      </c>
    </row>
    <row r="521" spans="2:5" x14ac:dyDescent="0.2">
      <c r="B521" s="206" t="str">
        <f>'[1]COMEDORES EMERGENTES'!$B$21</f>
        <v>GAUCHITO GIL</v>
      </c>
      <c r="C521" s="207"/>
      <c r="D521" s="88" t="s">
        <v>188</v>
      </c>
      <c r="E521" s="89" t="str">
        <f>'[1]COMEDORES EMERGENTES'!$G$21</f>
        <v>B° 26 VIVIENDAS CASA N° 3</v>
      </c>
    </row>
    <row r="522" spans="2:5" ht="13.5" thickBot="1" x14ac:dyDescent="0.25">
      <c r="B522" s="220" t="str">
        <f>'[1]COMEDORES EMERGENTES'!$B$22</f>
        <v>LOS TOLDOS</v>
      </c>
      <c r="C522" s="221"/>
      <c r="D522" s="95" t="s">
        <v>245</v>
      </c>
      <c r="E522" s="96" t="str">
        <f>'[1]COMEDORES EMERGENTES'!$G$22</f>
        <v>LOTEO PARQUE SUR CALLE S/NOMBRE S/N°</v>
      </c>
    </row>
    <row r="523" spans="2:5" x14ac:dyDescent="0.2">
      <c r="B523" s="13" t="s">
        <v>18</v>
      </c>
      <c r="C523" s="11"/>
      <c r="D523" s="52"/>
      <c r="E523" s="12"/>
    </row>
    <row r="524" spans="2:5" x14ac:dyDescent="0.2">
      <c r="B524" s="14"/>
      <c r="C524" s="219" t="s">
        <v>24</v>
      </c>
      <c r="D524" s="219"/>
      <c r="E524" s="219"/>
    </row>
    <row r="525" spans="2:5" x14ac:dyDescent="0.2">
      <c r="B525" s="13" t="s">
        <v>19</v>
      </c>
      <c r="C525" s="15"/>
      <c r="D525" s="15"/>
      <c r="E525" s="16"/>
    </row>
    <row r="526" spans="2:5" x14ac:dyDescent="0.2">
      <c r="B526" s="14"/>
      <c r="C526" s="219" t="s">
        <v>101</v>
      </c>
      <c r="D526" s="219"/>
      <c r="E526" s="219"/>
    </row>
    <row r="527" spans="2:5" x14ac:dyDescent="0.2">
      <c r="B527" s="13" t="s">
        <v>20</v>
      </c>
      <c r="C527" s="11"/>
      <c r="D527" s="52"/>
      <c r="E527" s="12"/>
    </row>
    <row r="528" spans="2:5" x14ac:dyDescent="0.2">
      <c r="B528" s="13"/>
      <c r="C528" s="205" t="s">
        <v>25</v>
      </c>
      <c r="D528" s="205"/>
      <c r="E528" s="205"/>
    </row>
    <row r="529" spans="2:5" ht="13.5" thickBot="1" x14ac:dyDescent="0.25">
      <c r="B529" s="17"/>
      <c r="C529" s="18"/>
      <c r="D529" s="53"/>
      <c r="E529" s="19"/>
    </row>
    <row r="530" spans="2:5" ht="13.5" thickBot="1" x14ac:dyDescent="0.25"/>
    <row r="531" spans="2:5" x14ac:dyDescent="0.2">
      <c r="B531" s="7" t="s">
        <v>113</v>
      </c>
      <c r="C531" s="8"/>
      <c r="D531" s="51"/>
      <c r="E531" s="9"/>
    </row>
    <row r="532" spans="2:5" x14ac:dyDescent="0.2">
      <c r="B532" s="10"/>
      <c r="C532" s="11"/>
      <c r="D532" s="52"/>
      <c r="E532" s="12"/>
    </row>
    <row r="533" spans="2:5" x14ac:dyDescent="0.2">
      <c r="B533" s="13" t="s">
        <v>16</v>
      </c>
      <c r="C533" s="11"/>
      <c r="D533" s="52"/>
      <c r="E533" s="12"/>
    </row>
    <row r="534" spans="2:5" ht="25.5" customHeight="1" x14ac:dyDescent="0.2">
      <c r="B534" s="13"/>
      <c r="C534" s="219"/>
      <c r="D534" s="219"/>
      <c r="E534" s="219"/>
    </row>
    <row r="535" spans="2:5" ht="13.5" thickBot="1" x14ac:dyDescent="0.25">
      <c r="B535" s="13" t="s">
        <v>17</v>
      </c>
      <c r="C535" s="11"/>
      <c r="D535" s="52"/>
      <c r="E535" s="12"/>
    </row>
    <row r="536" spans="2:5" ht="13.5" thickBot="1" x14ac:dyDescent="0.25">
      <c r="B536" s="211" t="s">
        <v>98</v>
      </c>
      <c r="C536" s="215"/>
      <c r="D536" s="215"/>
      <c r="E536" s="212"/>
    </row>
    <row r="537" spans="2:5" ht="13.5" thickBot="1" x14ac:dyDescent="0.25">
      <c r="B537" s="211" t="s">
        <v>99</v>
      </c>
      <c r="C537" s="212"/>
      <c r="D537" s="49" t="s">
        <v>11</v>
      </c>
      <c r="E537" s="49" t="s">
        <v>100</v>
      </c>
    </row>
    <row r="538" spans="2:5" x14ac:dyDescent="0.2">
      <c r="B538" s="213" t="str">
        <f>'[1]COMEDORES EMERGENTES'!$B$3</f>
        <v>UNA SONRISA AV. LOS COBACHO</v>
      </c>
      <c r="C538" s="214"/>
      <c r="D538" s="93">
        <v>10</v>
      </c>
      <c r="E538" s="94" t="str">
        <f>'[1]COMEDORES EMERGENTES'!$G$3</f>
        <v>Bº SAN CARLOS OESTE AV. Bonifacio cobacho 670</v>
      </c>
    </row>
    <row r="539" spans="2:5" x14ac:dyDescent="0.2">
      <c r="B539" s="206" t="str">
        <f>'[1]COMEDORES EMERGENTES'!$B$4</f>
        <v>C.I.F Nº1 - RIVERA DEL VALLE Y FLORIDA</v>
      </c>
      <c r="C539" s="207"/>
      <c r="D539" s="88">
        <v>14</v>
      </c>
      <c r="E539" s="89" t="str">
        <f>'[1]COMEDORES EMERGENTES'!$G$4</f>
        <v>AV. RIVIERA DEL VALLE ENTRE FLORIDA Y SANTA FE</v>
      </c>
    </row>
    <row r="540" spans="2:5" x14ac:dyDescent="0.2">
      <c r="B540" s="206" t="str">
        <f>'[1]COMEDORES EMERGENTES'!$B$5</f>
        <v>C.I.F - RIVERA DEL VALLE - DILORENZO</v>
      </c>
      <c r="C540" s="207"/>
      <c r="D540" s="88">
        <v>16</v>
      </c>
      <c r="E540" s="89" t="str">
        <f>'[1]COMEDORES EMERGENTES'!$G$5</f>
        <v>Bº RIVERA DEL VALLE ENTRE VILLA EUMELIA Y MONTE CRISTO</v>
      </c>
    </row>
    <row r="541" spans="2:5" x14ac:dyDescent="0.2">
      <c r="B541" s="206" t="str">
        <f>'[1]COMEDORES EMERGENTES'!$B$6</f>
        <v>ESFUERZO PROPIO- Bº ALTOS DE CHOYA</v>
      </c>
      <c r="C541" s="207"/>
      <c r="D541" s="88">
        <v>13</v>
      </c>
      <c r="E541" s="89" t="str">
        <f>'[1]COMEDORES EMERGENTES'!$G$6</f>
        <v>Bº MUNICIPAL 35VV. NORTE C/14</v>
      </c>
    </row>
    <row r="542" spans="2:5" x14ac:dyDescent="0.2">
      <c r="B542" s="206" t="str">
        <f>'[1]COMEDORES EMERGENTES'!$B$7</f>
        <v>ANGELITOS - LOTEO SUSSEX</v>
      </c>
      <c r="C542" s="207"/>
      <c r="D542" s="88">
        <v>6</v>
      </c>
      <c r="E542" s="89" t="str">
        <f>'[1]COMEDORES EMERGENTES'!$G$7</f>
        <v>Bº LOTEO SUSEX MZA.Nº 4 LOTE Nº3</v>
      </c>
    </row>
    <row r="543" spans="2:5" x14ac:dyDescent="0.2">
      <c r="B543" s="206" t="str">
        <f>'[1]COMEDORES EMERGENTES'!$B$8</f>
        <v>CLUB DEPORTIVO CHACARITA</v>
      </c>
      <c r="C543" s="207"/>
      <c r="D543" s="88">
        <v>8</v>
      </c>
      <c r="E543" s="89" t="str">
        <f>'[1]COMEDORES EMERGENTES'!$G$8</f>
        <v>CALLE DR.DERMIDIO GALINDEZ C/2660</v>
      </c>
    </row>
    <row r="544" spans="2:5" x14ac:dyDescent="0.2">
      <c r="B544" s="206" t="str">
        <f>'[1]COMEDORES EMERGENTES'!$B$9</f>
        <v>LA MORO</v>
      </c>
      <c r="C544" s="207"/>
      <c r="D544" s="88">
        <v>7</v>
      </c>
      <c r="E544" s="89" t="str">
        <f>'[1]COMEDORES EMERGENTES'!$G$9</f>
        <v>MAIPU NORTE 1º ETAPA MZA "H" Bº MI JARDIN</v>
      </c>
    </row>
    <row r="545" spans="2:5" x14ac:dyDescent="0.2">
      <c r="B545" s="206" t="str">
        <f>'[1]COMEDORES EMERGENTES'!$B$10</f>
        <v>PAPA FRANCISCO</v>
      </c>
      <c r="C545" s="207"/>
      <c r="D545" s="88">
        <v>12</v>
      </c>
      <c r="E545" s="89" t="str">
        <f>'[1]COMEDORES EMERGENTES'!$G$10</f>
        <v>ENTRE AV.TEREBINTO Y AV.SAN JUAN LOTE "2" MZA. "B"</v>
      </c>
    </row>
    <row r="546" spans="2:5" x14ac:dyDescent="0.2">
      <c r="B546" s="206" t="str">
        <f>'[1]COMEDORES EMERGENTES'!$B$11</f>
        <v>E.P.C - 100 V.V NORTE</v>
      </c>
      <c r="C546" s="207"/>
      <c r="D546" s="88">
        <v>18</v>
      </c>
      <c r="E546" s="89" t="str">
        <f>'[1]COMEDORES EMERGENTES'!$G$11</f>
        <v>Bº VV NORTE C/48 ENTRE ESPAÑA Y FRANCIA</v>
      </c>
    </row>
    <row r="547" spans="2:5" x14ac:dyDescent="0.2">
      <c r="B547" s="206" t="str">
        <f>'[1]COMEDORES EMERGENTES'!$B$12</f>
        <v>HOGAR DE CRISTO - PADRE RAUL CONTRERAS</v>
      </c>
      <c r="C547" s="207"/>
      <c r="D547" s="88">
        <v>18</v>
      </c>
      <c r="E547" s="89" t="str">
        <f>'[1]COMEDORES EMERGENTES'!$G$12</f>
        <v>Bº SANTA MARTA MZA. "S" LOTE "M" C/39</v>
      </c>
    </row>
    <row r="548" spans="2:5" x14ac:dyDescent="0.2">
      <c r="B548" s="206" t="str">
        <f>'[1]COMEDORES EMERGENTES'!$B$13</f>
        <v>LA LUCIERNAGA</v>
      </c>
      <c r="C548" s="207"/>
      <c r="D548" s="88">
        <v>12</v>
      </c>
      <c r="E548" s="89" t="str">
        <f>'[1]COMEDORES EMERGENTES'!$G$13</f>
        <v>Bº 20 V.V NORTE C/3</v>
      </c>
    </row>
    <row r="549" spans="2:5" x14ac:dyDescent="0.2">
      <c r="B549" s="206" t="str">
        <f>'[1]COMEDORES EMERGENTES'!$B$14</f>
        <v>VALLE VIEJO - SUMALAO</v>
      </c>
      <c r="C549" s="207"/>
      <c r="D549" s="88">
        <v>21</v>
      </c>
      <c r="E549" s="89" t="str">
        <f>'[1]COMEDORES EMERGENTES'!$G$14</f>
        <v>PADRE SEGURA S/N</v>
      </c>
    </row>
    <row r="550" spans="2:5" x14ac:dyDescent="0.2">
      <c r="B550" s="206" t="str">
        <f>'[1]COMEDORES EMERGENTES'!$B$15</f>
        <v>NUESTRO FUTURO - LAS VIAS</v>
      </c>
      <c r="C550" s="207"/>
      <c r="D550" s="88">
        <v>12</v>
      </c>
      <c r="E550" s="89" t="str">
        <f>'[1]COMEDORES EMERGENTES'!$G$15</f>
        <v>Bº LAS VIAS OESTE LOTE 42</v>
      </c>
    </row>
    <row r="551" spans="2:5" x14ac:dyDescent="0.2">
      <c r="B551" s="206" t="str">
        <f>'[1]COMEDORES EMERGENTES'!$B$16</f>
        <v>SAN JOSE OBRERO</v>
      </c>
      <c r="C551" s="207"/>
      <c r="D551" s="88">
        <v>8</v>
      </c>
      <c r="E551" s="89" t="str">
        <f>'[1]COMEDORES EMERGENTES'!$G$16</f>
        <v>Bº SAN JOSE OBRERO. PJE. SANDOVAL S/Nº</v>
      </c>
    </row>
    <row r="552" spans="2:5" x14ac:dyDescent="0.2">
      <c r="B552" s="206" t="str">
        <f>'[1]COMEDORES EMERGENTES'!$B$17</f>
        <v>VIRGEN DE LUJAN</v>
      </c>
      <c r="C552" s="207"/>
      <c r="D552" s="88">
        <v>12</v>
      </c>
      <c r="E552" s="89" t="str">
        <f>'[1]COMEDORES EMERGENTES'!$G$17</f>
        <v>Bº OJO DE AGUA C/DR.TEODULFO BARRIONUEVO S/Nº</v>
      </c>
    </row>
    <row r="553" spans="2:5" x14ac:dyDescent="0.2">
      <c r="B553" s="206" t="str">
        <f>'[1]COMEDORES EMERGENTES'!$B$18</f>
        <v>RENACER</v>
      </c>
      <c r="C553" s="207"/>
      <c r="D553" s="88">
        <v>15</v>
      </c>
      <c r="E553" s="89" t="str">
        <f>'[1]COMEDORES EMERGENTES'!$G$18</f>
        <v>Bº VIRGEN MORENITA</v>
      </c>
    </row>
    <row r="554" spans="2:5" x14ac:dyDescent="0.2">
      <c r="B554" s="206" t="str">
        <f>'[1]COMEDORES EMERGENTES'!$B$19</f>
        <v>CENTRO VECINAL MI JARDIN</v>
      </c>
      <c r="C554" s="207"/>
      <c r="D554" s="88">
        <v>11</v>
      </c>
      <c r="E554" s="89" t="str">
        <f>'[1]COMEDORES EMERGENTES'!$G$19</f>
        <v>C/ LOS TULIPANES ENTRE FLOR DE CEREZO Y HOLANDA MZA.27 Bº MI JARDIN</v>
      </c>
    </row>
    <row r="555" spans="2:5" x14ac:dyDescent="0.2">
      <c r="B555" s="206" t="str">
        <f>'[1]COMEDORES EMERGENTES'!$B$20</f>
        <v>LA VIEJA ESQUINA</v>
      </c>
      <c r="C555" s="207"/>
      <c r="D555" s="88">
        <v>10</v>
      </c>
      <c r="E555" s="89" t="str">
        <f>'[1]COMEDORES EMERGENTES'!$G$20</f>
        <v>B° CRISTO REY PJE CAPATAZ VILLAFAÑEZ Y ARMANDO CORREA</v>
      </c>
    </row>
    <row r="556" spans="2:5" x14ac:dyDescent="0.2">
      <c r="B556" s="206" t="str">
        <f>'[1]COMEDORES EMERGENTES'!$B$21</f>
        <v>GAUCHITO GIL</v>
      </c>
      <c r="C556" s="207"/>
      <c r="D556" s="88">
        <v>10</v>
      </c>
      <c r="E556" s="89" t="str">
        <f>'[1]COMEDORES EMERGENTES'!$G$21</f>
        <v>B° 26 VIVIENDAS CASA N° 3</v>
      </c>
    </row>
    <row r="557" spans="2:5" ht="13.5" thickBot="1" x14ac:dyDescent="0.25">
      <c r="B557" s="220" t="str">
        <f>'[1]COMEDORES EMERGENTES'!$B$22</f>
        <v>LOS TOLDOS</v>
      </c>
      <c r="C557" s="221"/>
      <c r="D557" s="95">
        <v>5</v>
      </c>
      <c r="E557" s="96" t="str">
        <f>'[1]COMEDORES EMERGENTES'!$G$22</f>
        <v>LOTEO PARQUE SUR CALLE S/NOMBRE S/N°</v>
      </c>
    </row>
    <row r="558" spans="2:5" x14ac:dyDescent="0.2">
      <c r="B558" s="13" t="s">
        <v>18</v>
      </c>
      <c r="C558" s="11"/>
      <c r="D558" s="52"/>
      <c r="E558" s="12"/>
    </row>
    <row r="559" spans="2:5" x14ac:dyDescent="0.2">
      <c r="B559" s="14"/>
      <c r="C559" s="219" t="s">
        <v>24</v>
      </c>
      <c r="D559" s="219"/>
      <c r="E559" s="219"/>
    </row>
    <row r="560" spans="2:5" x14ac:dyDescent="0.2">
      <c r="B560" s="13" t="s">
        <v>19</v>
      </c>
      <c r="C560" s="15"/>
      <c r="D560" s="15"/>
      <c r="E560" s="16"/>
    </row>
    <row r="561" spans="2:5" x14ac:dyDescent="0.2">
      <c r="B561" s="14"/>
      <c r="C561" s="219" t="s">
        <v>101</v>
      </c>
      <c r="D561" s="219"/>
      <c r="E561" s="219"/>
    </row>
    <row r="562" spans="2:5" x14ac:dyDescent="0.2">
      <c r="B562" s="13" t="s">
        <v>20</v>
      </c>
      <c r="C562" s="11"/>
      <c r="D562" s="52"/>
      <c r="E562" s="12"/>
    </row>
    <row r="563" spans="2:5" x14ac:dyDescent="0.2">
      <c r="B563" s="13"/>
      <c r="C563" s="205" t="s">
        <v>25</v>
      </c>
      <c r="D563" s="205"/>
      <c r="E563" s="205"/>
    </row>
    <row r="564" spans="2:5" ht="13.5" thickBot="1" x14ac:dyDescent="0.25">
      <c r="B564" s="17"/>
      <c r="C564" s="18"/>
      <c r="D564" s="53"/>
      <c r="E564" s="19"/>
    </row>
    <row r="565" spans="2:5" ht="13.5" thickBot="1" x14ac:dyDescent="0.25"/>
    <row r="566" spans="2:5" x14ac:dyDescent="0.2">
      <c r="B566" s="7" t="s">
        <v>114</v>
      </c>
      <c r="C566" s="8"/>
      <c r="D566" s="51"/>
      <c r="E566" s="9"/>
    </row>
    <row r="567" spans="2:5" x14ac:dyDescent="0.2">
      <c r="B567" s="10"/>
      <c r="C567" s="11"/>
      <c r="D567" s="52"/>
      <c r="E567" s="12"/>
    </row>
    <row r="568" spans="2:5" x14ac:dyDescent="0.2">
      <c r="B568" s="13" t="s">
        <v>16</v>
      </c>
      <c r="C568" s="11"/>
      <c r="D568" s="52"/>
      <c r="E568" s="12"/>
    </row>
    <row r="569" spans="2:5" ht="25.5" customHeight="1" x14ac:dyDescent="0.2">
      <c r="B569" s="13"/>
      <c r="C569" s="219"/>
      <c r="D569" s="219"/>
      <c r="E569" s="219"/>
    </row>
    <row r="570" spans="2:5" ht="13.5" thickBot="1" x14ac:dyDescent="0.25">
      <c r="B570" s="13" t="s">
        <v>17</v>
      </c>
      <c r="C570" s="11"/>
      <c r="D570" s="52"/>
      <c r="E570" s="12"/>
    </row>
    <row r="571" spans="2:5" ht="13.5" thickBot="1" x14ac:dyDescent="0.25">
      <c r="B571" s="211" t="s">
        <v>98</v>
      </c>
      <c r="C571" s="215"/>
      <c r="D571" s="215"/>
      <c r="E571" s="212"/>
    </row>
    <row r="572" spans="2:5" ht="13.5" thickBot="1" x14ac:dyDescent="0.25">
      <c r="B572" s="211" t="s">
        <v>99</v>
      </c>
      <c r="C572" s="212"/>
      <c r="D572" s="49" t="s">
        <v>11</v>
      </c>
      <c r="E572" s="49" t="s">
        <v>100</v>
      </c>
    </row>
    <row r="573" spans="2:5" x14ac:dyDescent="0.2">
      <c r="B573" s="213" t="str">
        <f>'[1]COMEDORES EMERGENTES'!$B$3</f>
        <v>UNA SONRISA AV. LOS COBACHO</v>
      </c>
      <c r="C573" s="214"/>
      <c r="D573" s="93" t="s">
        <v>150</v>
      </c>
      <c r="E573" s="94" t="str">
        <f>'[1]COMEDORES EMERGENTES'!$G$3</f>
        <v>Bº SAN CARLOS OESTE AV. Bonifacio cobacho 670</v>
      </c>
    </row>
    <row r="574" spans="2:5" x14ac:dyDescent="0.2">
      <c r="B574" s="206" t="str">
        <f>'[1]COMEDORES EMERGENTES'!$B$4</f>
        <v>C.I.F Nº1 - RIVERA DEL VALLE Y FLORIDA</v>
      </c>
      <c r="C574" s="207"/>
      <c r="D574" s="88" t="s">
        <v>151</v>
      </c>
      <c r="E574" s="89" t="str">
        <f>'[1]COMEDORES EMERGENTES'!$G$4</f>
        <v>AV. RIVIERA DEL VALLE ENTRE FLORIDA Y SANTA FE</v>
      </c>
    </row>
    <row r="575" spans="2:5" x14ac:dyDescent="0.2">
      <c r="B575" s="206" t="str">
        <f>'[1]COMEDORES EMERGENTES'!$B$5</f>
        <v>C.I.F - RIVERA DEL VALLE - DILORENZO</v>
      </c>
      <c r="C575" s="207"/>
      <c r="D575" s="88" t="s">
        <v>152</v>
      </c>
      <c r="E575" s="89" t="str">
        <f>'[1]COMEDORES EMERGENTES'!$G$5</f>
        <v>Bº RIVERA DEL VALLE ENTRE VILLA EUMELIA Y MONTE CRISTO</v>
      </c>
    </row>
    <row r="576" spans="2:5" x14ac:dyDescent="0.2">
      <c r="B576" s="206" t="str">
        <f>'[1]COMEDORES EMERGENTES'!$B$6</f>
        <v>ESFUERZO PROPIO- Bº ALTOS DE CHOYA</v>
      </c>
      <c r="C576" s="207"/>
      <c r="D576" s="88" t="s">
        <v>153</v>
      </c>
      <c r="E576" s="89" t="str">
        <f>'[1]COMEDORES EMERGENTES'!$G$6</f>
        <v>Bº MUNICIPAL 35VV. NORTE C/14</v>
      </c>
    </row>
    <row r="577" spans="2:5" x14ac:dyDescent="0.2">
      <c r="B577" s="206" t="str">
        <f>'[1]COMEDORES EMERGENTES'!$B$7</f>
        <v>ANGELITOS - LOTEO SUSSEX</v>
      </c>
      <c r="C577" s="207"/>
      <c r="D577" s="88" t="s">
        <v>135</v>
      </c>
      <c r="E577" s="89" t="str">
        <f>'[1]COMEDORES EMERGENTES'!$G$7</f>
        <v>Bº LOTEO SUSEX MZA.Nº 4 LOTE Nº3</v>
      </c>
    </row>
    <row r="578" spans="2:5" x14ac:dyDescent="0.2">
      <c r="B578" s="206" t="str">
        <f>'[1]COMEDORES EMERGENTES'!$B$8</f>
        <v>CLUB DEPORTIVO CHACARITA</v>
      </c>
      <c r="C578" s="207"/>
      <c r="D578" s="88" t="s">
        <v>141</v>
      </c>
      <c r="E578" s="89" t="str">
        <f>'[1]COMEDORES EMERGENTES'!$G$8</f>
        <v>CALLE DR.DERMIDIO GALINDEZ C/2660</v>
      </c>
    </row>
    <row r="579" spans="2:5" x14ac:dyDescent="0.2">
      <c r="B579" s="206" t="str">
        <f>'[1]COMEDORES EMERGENTES'!$B$9</f>
        <v>LA MORO</v>
      </c>
      <c r="C579" s="207"/>
      <c r="D579" s="88" t="s">
        <v>129</v>
      </c>
      <c r="E579" s="89" t="str">
        <f>'[1]COMEDORES EMERGENTES'!$G$9</f>
        <v>MAIPU NORTE 1º ETAPA MZA "H" Bº MI JARDIN</v>
      </c>
    </row>
    <row r="580" spans="2:5" x14ac:dyDescent="0.2">
      <c r="B580" s="206" t="str">
        <f>'[1]COMEDORES EMERGENTES'!$B$10</f>
        <v>PAPA FRANCISCO</v>
      </c>
      <c r="C580" s="207"/>
      <c r="D580" s="88" t="s">
        <v>154</v>
      </c>
      <c r="E580" s="89" t="str">
        <f>'[1]COMEDORES EMERGENTES'!$G$10</f>
        <v>ENTRE AV.TEREBINTO Y AV.SAN JUAN LOTE "2" MZA. "B"</v>
      </c>
    </row>
    <row r="581" spans="2:5" x14ac:dyDescent="0.2">
      <c r="B581" s="206" t="str">
        <f>'[1]COMEDORES EMERGENTES'!$B$11</f>
        <v>E.P.C - 100 V.V NORTE</v>
      </c>
      <c r="C581" s="207"/>
      <c r="D581" s="88" t="s">
        <v>155</v>
      </c>
      <c r="E581" s="89" t="str">
        <f>'[1]COMEDORES EMERGENTES'!$G$11</f>
        <v>Bº VV NORTE C/48 ENTRE ESPAÑA Y FRANCIA</v>
      </c>
    </row>
    <row r="582" spans="2:5" x14ac:dyDescent="0.2">
      <c r="B582" s="206" t="str">
        <f>'[1]COMEDORES EMERGENTES'!$B$12</f>
        <v>HOGAR DE CRISTO - PADRE RAUL CONTRERAS</v>
      </c>
      <c r="C582" s="207"/>
      <c r="D582" s="88" t="s">
        <v>155</v>
      </c>
      <c r="E582" s="89" t="str">
        <f>'[1]COMEDORES EMERGENTES'!$G$12</f>
        <v>Bº SANTA MARTA MZA. "S" LOTE "M" C/39</v>
      </c>
    </row>
    <row r="583" spans="2:5" x14ac:dyDescent="0.2">
      <c r="B583" s="206" t="str">
        <f>'[1]COMEDORES EMERGENTES'!$B$13</f>
        <v>LA LUCIERNAGA</v>
      </c>
      <c r="C583" s="207"/>
      <c r="D583" s="88" t="s">
        <v>154</v>
      </c>
      <c r="E583" s="89" t="str">
        <f>'[1]COMEDORES EMERGENTES'!$G$13</f>
        <v>Bº 20 V.V NORTE C/3</v>
      </c>
    </row>
    <row r="584" spans="2:5" x14ac:dyDescent="0.2">
      <c r="B584" s="206" t="str">
        <f>'[1]COMEDORES EMERGENTES'!$B$14</f>
        <v>VALLE VIEJO - SUMALAO</v>
      </c>
      <c r="C584" s="207"/>
      <c r="D584" s="88" t="s">
        <v>156</v>
      </c>
      <c r="E584" s="89" t="str">
        <f>'[1]COMEDORES EMERGENTES'!$G$14</f>
        <v>PADRE SEGURA S/N</v>
      </c>
    </row>
    <row r="585" spans="2:5" x14ac:dyDescent="0.2">
      <c r="B585" s="206" t="str">
        <f>'[1]COMEDORES EMERGENTES'!$B$15</f>
        <v>NUESTRO FUTURO - LAS VIAS</v>
      </c>
      <c r="C585" s="207"/>
      <c r="D585" s="88" t="s">
        <v>154</v>
      </c>
      <c r="E585" s="89" t="str">
        <f>'[1]COMEDORES EMERGENTES'!$G$15</f>
        <v>Bº LAS VIAS OESTE LOTE 42</v>
      </c>
    </row>
    <row r="586" spans="2:5" x14ac:dyDescent="0.2">
      <c r="B586" s="206" t="str">
        <f>'[1]COMEDORES EMERGENTES'!$B$16</f>
        <v>SAN JOSE OBRERO</v>
      </c>
      <c r="C586" s="207"/>
      <c r="D586" s="88" t="s">
        <v>141</v>
      </c>
      <c r="E586" s="89" t="str">
        <f>'[1]COMEDORES EMERGENTES'!$G$16</f>
        <v>Bº SAN JOSE OBRERO. PJE. SANDOVAL S/Nº</v>
      </c>
    </row>
    <row r="587" spans="2:5" x14ac:dyDescent="0.2">
      <c r="B587" s="206" t="str">
        <f>'[1]COMEDORES EMERGENTES'!$B$17</f>
        <v>VIRGEN DE LUJAN</v>
      </c>
      <c r="C587" s="207"/>
      <c r="D587" s="88" t="s">
        <v>154</v>
      </c>
      <c r="E587" s="89" t="str">
        <f>'[1]COMEDORES EMERGENTES'!$G$17</f>
        <v>Bº OJO DE AGUA C/DR.TEODULFO BARRIONUEVO S/Nº</v>
      </c>
    </row>
    <row r="588" spans="2:5" x14ac:dyDescent="0.2">
      <c r="B588" s="206" t="str">
        <f>'[1]COMEDORES EMERGENTES'!$B$18</f>
        <v>RENACER</v>
      </c>
      <c r="C588" s="207"/>
      <c r="D588" s="88" t="s">
        <v>157</v>
      </c>
      <c r="E588" s="89" t="str">
        <f>'[1]COMEDORES EMERGENTES'!$G$18</f>
        <v>Bº VIRGEN MORENITA</v>
      </c>
    </row>
    <row r="589" spans="2:5" x14ac:dyDescent="0.2">
      <c r="B589" s="206" t="str">
        <f>'[1]COMEDORES EMERGENTES'!$B$19</f>
        <v>CENTRO VECINAL MI JARDIN</v>
      </c>
      <c r="C589" s="207"/>
      <c r="D589" s="88" t="s">
        <v>158</v>
      </c>
      <c r="E589" s="89" t="str">
        <f>'[1]COMEDORES EMERGENTES'!$G$19</f>
        <v>C/ LOS TULIPANES ENTRE FLOR DE CEREZO Y HOLANDA MZA.27 Bº MI JARDIN</v>
      </c>
    </row>
    <row r="590" spans="2:5" x14ac:dyDescent="0.2">
      <c r="B590" s="206" t="str">
        <f>'[1]COMEDORES EMERGENTES'!$B$20</f>
        <v>LA VIEJA ESQUINA</v>
      </c>
      <c r="C590" s="207"/>
      <c r="D590" s="88" t="s">
        <v>159</v>
      </c>
      <c r="E590" s="89" t="str">
        <f>'[1]COMEDORES EMERGENTES'!$G$20</f>
        <v>B° CRISTO REY PJE CAPATAZ VILLAFAÑEZ Y ARMANDO CORREA</v>
      </c>
    </row>
    <row r="591" spans="2:5" x14ac:dyDescent="0.2">
      <c r="B591" s="206" t="str">
        <f>'[1]COMEDORES EMERGENTES'!$B$21</f>
        <v>GAUCHITO GIL</v>
      </c>
      <c r="C591" s="207"/>
      <c r="D591" s="88" t="s">
        <v>159</v>
      </c>
      <c r="E591" s="89" t="str">
        <f>'[1]COMEDORES EMERGENTES'!$G$21</f>
        <v>B° 26 VIVIENDAS CASA N° 3</v>
      </c>
    </row>
    <row r="592" spans="2:5" ht="13.5" thickBot="1" x14ac:dyDescent="0.25">
      <c r="B592" s="220" t="str">
        <f>'[1]COMEDORES EMERGENTES'!$B$22</f>
        <v>LOS TOLDOS</v>
      </c>
      <c r="C592" s="221"/>
      <c r="D592" s="95" t="s">
        <v>164</v>
      </c>
      <c r="E592" s="96" t="str">
        <f>'[1]COMEDORES EMERGENTES'!$G$22</f>
        <v>LOTEO PARQUE SUR CALLE S/NOMBRE S/N°</v>
      </c>
    </row>
    <row r="593" spans="2:5" x14ac:dyDescent="0.2">
      <c r="B593" s="13" t="s">
        <v>18</v>
      </c>
      <c r="C593" s="11"/>
      <c r="D593" s="52"/>
      <c r="E593" s="12"/>
    </row>
    <row r="594" spans="2:5" x14ac:dyDescent="0.2">
      <c r="B594" s="14"/>
      <c r="C594" s="219" t="s">
        <v>24</v>
      </c>
      <c r="D594" s="219"/>
      <c r="E594" s="219"/>
    </row>
    <row r="595" spans="2:5" x14ac:dyDescent="0.2">
      <c r="B595" s="13" t="s">
        <v>19</v>
      </c>
      <c r="C595" s="15"/>
      <c r="D595" s="15"/>
      <c r="E595" s="16"/>
    </row>
    <row r="596" spans="2:5" x14ac:dyDescent="0.2">
      <c r="B596" s="14"/>
      <c r="C596" s="219" t="s">
        <v>101</v>
      </c>
      <c r="D596" s="219"/>
      <c r="E596" s="219"/>
    </row>
    <row r="597" spans="2:5" x14ac:dyDescent="0.2">
      <c r="B597" s="13" t="s">
        <v>20</v>
      </c>
      <c r="C597" s="11"/>
      <c r="D597" s="52"/>
      <c r="E597" s="12"/>
    </row>
    <row r="598" spans="2:5" x14ac:dyDescent="0.2">
      <c r="B598" s="13"/>
      <c r="C598" s="205" t="s">
        <v>25</v>
      </c>
      <c r="D598" s="205"/>
      <c r="E598" s="205"/>
    </row>
    <row r="599" spans="2:5" ht="13.5" thickBot="1" x14ac:dyDescent="0.25">
      <c r="B599" s="17"/>
      <c r="C599" s="18"/>
      <c r="D599" s="53"/>
      <c r="E599" s="19"/>
    </row>
    <row r="600" spans="2:5" ht="13.5" thickBot="1" x14ac:dyDescent="0.25"/>
    <row r="601" spans="2:5" x14ac:dyDescent="0.2">
      <c r="B601" s="7" t="s">
        <v>115</v>
      </c>
      <c r="C601" s="8"/>
      <c r="D601" s="51"/>
      <c r="E601" s="9"/>
    </row>
    <row r="602" spans="2:5" x14ac:dyDescent="0.2">
      <c r="B602" s="10"/>
      <c r="C602" s="11"/>
      <c r="D602" s="52"/>
      <c r="E602" s="12"/>
    </row>
    <row r="603" spans="2:5" x14ac:dyDescent="0.2">
      <c r="B603" s="13" t="s">
        <v>16</v>
      </c>
      <c r="C603" s="11"/>
      <c r="D603" s="52"/>
      <c r="E603" s="12"/>
    </row>
    <row r="604" spans="2:5" ht="25.5" customHeight="1" x14ac:dyDescent="0.2">
      <c r="B604" s="13"/>
      <c r="C604" s="219"/>
      <c r="D604" s="219"/>
      <c r="E604" s="219"/>
    </row>
    <row r="605" spans="2:5" ht="13.5" thickBot="1" x14ac:dyDescent="0.25">
      <c r="B605" s="13" t="s">
        <v>17</v>
      </c>
      <c r="C605" s="11"/>
      <c r="D605" s="52"/>
      <c r="E605" s="12"/>
    </row>
    <row r="606" spans="2:5" ht="13.5" thickBot="1" x14ac:dyDescent="0.25">
      <c r="B606" s="211" t="s">
        <v>98</v>
      </c>
      <c r="C606" s="215"/>
      <c r="D606" s="215"/>
      <c r="E606" s="212"/>
    </row>
    <row r="607" spans="2:5" ht="13.5" thickBot="1" x14ac:dyDescent="0.25">
      <c r="B607" s="211" t="s">
        <v>99</v>
      </c>
      <c r="C607" s="212"/>
      <c r="D607" s="49" t="s">
        <v>11</v>
      </c>
      <c r="E607" s="49" t="s">
        <v>100</v>
      </c>
    </row>
    <row r="608" spans="2:5" x14ac:dyDescent="0.2">
      <c r="B608" s="213" t="str">
        <f>'[1]COMEDORES EMERGENTES'!$B$3</f>
        <v>UNA SONRISA AV. LOS COBACHO</v>
      </c>
      <c r="C608" s="214"/>
      <c r="D608" s="93" t="s">
        <v>164</v>
      </c>
      <c r="E608" s="94" t="str">
        <f>'[1]COMEDORES EMERGENTES'!$G$3</f>
        <v>Bº SAN CARLOS OESTE AV. Bonifacio cobacho 670</v>
      </c>
    </row>
    <row r="609" spans="2:5" x14ac:dyDescent="0.2">
      <c r="B609" s="206" t="str">
        <f>'[1]COMEDORES EMERGENTES'!$B$4</f>
        <v>C.I.F Nº1 - RIVERA DEL VALLE Y FLORIDA</v>
      </c>
      <c r="C609" s="207"/>
      <c r="D609" s="88" t="s">
        <v>163</v>
      </c>
      <c r="E609" s="89" t="str">
        <f>'[1]COMEDORES EMERGENTES'!$G$4</f>
        <v>AV. RIVIERA DEL VALLE ENTRE FLORIDA Y SANTA FE</v>
      </c>
    </row>
    <row r="610" spans="2:5" x14ac:dyDescent="0.2">
      <c r="B610" s="206" t="str">
        <f>'[1]COMEDORES EMERGENTES'!$B$5</f>
        <v>C.I.F - RIVERA DEL VALLE - DILORENZO</v>
      </c>
      <c r="C610" s="207"/>
      <c r="D610" s="88" t="s">
        <v>140</v>
      </c>
      <c r="E610" s="89" t="str">
        <f>'[1]COMEDORES EMERGENTES'!$G$5</f>
        <v>Bº RIVERA DEL VALLE ENTRE VILLA EUMELIA Y MONTE CRISTO</v>
      </c>
    </row>
    <row r="611" spans="2:5" x14ac:dyDescent="0.2">
      <c r="B611" s="206" t="str">
        <f>'[1]COMEDORES EMERGENTES'!$B$6</f>
        <v>ESFUERZO PROPIO- Bº ALTOS DE CHOYA</v>
      </c>
      <c r="C611" s="207"/>
      <c r="D611" s="88" t="s">
        <v>146</v>
      </c>
      <c r="E611" s="89" t="str">
        <f>'[1]COMEDORES EMERGENTES'!$G$6</f>
        <v>Bº MUNICIPAL 35VV. NORTE C/14</v>
      </c>
    </row>
    <row r="612" spans="2:5" x14ac:dyDescent="0.2">
      <c r="B612" s="206" t="str">
        <f>'[1]COMEDORES EMERGENTES'!$B$7</f>
        <v>ANGELITOS - LOTEO SUSSEX</v>
      </c>
      <c r="C612" s="207"/>
      <c r="D612" s="88" t="s">
        <v>187</v>
      </c>
      <c r="E612" s="89" t="str">
        <f>'[1]COMEDORES EMERGENTES'!$G$7</f>
        <v>Bº LOTEO SUSEX MZA.Nº 4 LOTE Nº3</v>
      </c>
    </row>
    <row r="613" spans="2:5" x14ac:dyDescent="0.2">
      <c r="B613" s="206" t="str">
        <f>'[1]COMEDORES EMERGENTES'!$B$8</f>
        <v>CLUB DEPORTIVO CHACARITA</v>
      </c>
      <c r="C613" s="207"/>
      <c r="D613" s="88" t="s">
        <v>145</v>
      </c>
      <c r="E613" s="89" t="str">
        <f>'[1]COMEDORES EMERGENTES'!$G$8</f>
        <v>CALLE DR.DERMIDIO GALINDEZ C/2660</v>
      </c>
    </row>
    <row r="614" spans="2:5" x14ac:dyDescent="0.2">
      <c r="B614" s="206" t="str">
        <f>'[1]COMEDORES EMERGENTES'!$B$9</f>
        <v>LA MORO</v>
      </c>
      <c r="C614" s="207"/>
      <c r="D614" s="88" t="s">
        <v>162</v>
      </c>
      <c r="E614" s="89" t="str">
        <f>'[1]COMEDORES EMERGENTES'!$G$9</f>
        <v>MAIPU NORTE 1º ETAPA MZA "H" Bº MI JARDIN</v>
      </c>
    </row>
    <row r="615" spans="2:5" x14ac:dyDescent="0.2">
      <c r="B615" s="206" t="str">
        <f>'[1]COMEDORES EMERGENTES'!$B$10</f>
        <v>PAPA FRANCISCO</v>
      </c>
      <c r="C615" s="207"/>
      <c r="D615" s="88" t="s">
        <v>135</v>
      </c>
      <c r="E615" s="89" t="str">
        <f>'[1]COMEDORES EMERGENTES'!$G$10</f>
        <v>ENTRE AV.TEREBINTO Y AV.SAN JUAN LOTE "2" MZA. "B"</v>
      </c>
    </row>
    <row r="616" spans="2:5" x14ac:dyDescent="0.2">
      <c r="B616" s="206" t="str">
        <f>'[1]COMEDORES EMERGENTES'!$B$11</f>
        <v>E.P.C - 100 V.V NORTE</v>
      </c>
      <c r="C616" s="207"/>
      <c r="D616" s="88" t="s">
        <v>136</v>
      </c>
      <c r="E616" s="89" t="str">
        <f>'[1]COMEDORES EMERGENTES'!$G$11</f>
        <v>Bº VV NORTE C/48 ENTRE ESPAÑA Y FRANCIA</v>
      </c>
    </row>
    <row r="617" spans="2:5" x14ac:dyDescent="0.2">
      <c r="B617" s="206" t="str">
        <f>'[1]COMEDORES EMERGENTES'!$B$12</f>
        <v>HOGAR DE CRISTO - PADRE RAUL CONTRERAS</v>
      </c>
      <c r="C617" s="207"/>
      <c r="D617" s="88" t="s">
        <v>136</v>
      </c>
      <c r="E617" s="89" t="str">
        <f>'[1]COMEDORES EMERGENTES'!$G$12</f>
        <v>Bº SANTA MARTA MZA. "S" LOTE "M" C/39</v>
      </c>
    </row>
    <row r="618" spans="2:5" x14ac:dyDescent="0.2">
      <c r="B618" s="206" t="str">
        <f>'[1]COMEDORES EMERGENTES'!$B$13</f>
        <v>LA LUCIERNAGA</v>
      </c>
      <c r="C618" s="207"/>
      <c r="D618" s="88" t="s">
        <v>135</v>
      </c>
      <c r="E618" s="89" t="str">
        <f>'[1]COMEDORES EMERGENTES'!$G$13</f>
        <v>Bº 20 V.V NORTE C/3</v>
      </c>
    </row>
    <row r="619" spans="2:5" x14ac:dyDescent="0.2">
      <c r="B619" s="206" t="str">
        <f>'[1]COMEDORES EMERGENTES'!$B$14</f>
        <v>VALLE VIEJO - SUMALAO</v>
      </c>
      <c r="C619" s="207"/>
      <c r="D619" s="88" t="s">
        <v>131</v>
      </c>
      <c r="E619" s="89" t="str">
        <f>'[1]COMEDORES EMERGENTES'!$G$14</f>
        <v>PADRE SEGURA S/N</v>
      </c>
    </row>
    <row r="620" spans="2:5" x14ac:dyDescent="0.2">
      <c r="B620" s="206" t="str">
        <f>'[1]COMEDORES EMERGENTES'!$B$15</f>
        <v>NUESTRO FUTURO - LAS VIAS</v>
      </c>
      <c r="C620" s="207"/>
      <c r="D620" s="88" t="s">
        <v>135</v>
      </c>
      <c r="E620" s="89" t="str">
        <f>'[1]COMEDORES EMERGENTES'!$G$15</f>
        <v>Bº LAS VIAS OESTE LOTE 42</v>
      </c>
    </row>
    <row r="621" spans="2:5" x14ac:dyDescent="0.2">
      <c r="B621" s="206" t="str">
        <f>'[1]COMEDORES EMERGENTES'!$B$16</f>
        <v>SAN JOSE OBRERO</v>
      </c>
      <c r="C621" s="207"/>
      <c r="D621" s="88" t="s">
        <v>145</v>
      </c>
      <c r="E621" s="89" t="str">
        <f>'[1]COMEDORES EMERGENTES'!$G$16</f>
        <v>Bº SAN JOSE OBRERO. PJE. SANDOVAL S/Nº</v>
      </c>
    </row>
    <row r="622" spans="2:5" x14ac:dyDescent="0.2">
      <c r="B622" s="206" t="str">
        <f>'[1]COMEDORES EMERGENTES'!$B$17</f>
        <v>VIRGEN DE LUJAN</v>
      </c>
      <c r="C622" s="207"/>
      <c r="D622" s="88" t="s">
        <v>135</v>
      </c>
      <c r="E622" s="89" t="str">
        <f>'[1]COMEDORES EMERGENTES'!$G$17</f>
        <v>Bº OJO DE AGUA C/DR.TEODULFO BARRIONUEVO S/Nº</v>
      </c>
    </row>
    <row r="623" spans="2:5" x14ac:dyDescent="0.2">
      <c r="B623" s="206" t="str">
        <f>'[1]COMEDORES EMERGENTES'!$B$18</f>
        <v>RENACER</v>
      </c>
      <c r="C623" s="207"/>
      <c r="D623" s="88" t="s">
        <v>142</v>
      </c>
      <c r="E623" s="89" t="str">
        <f>'[1]COMEDORES EMERGENTES'!$G$18</f>
        <v>Bº VIRGEN MORENITA</v>
      </c>
    </row>
    <row r="624" spans="2:5" x14ac:dyDescent="0.2">
      <c r="B624" s="206" t="str">
        <f>'[1]COMEDORES EMERGENTES'!$B$19</f>
        <v>CENTRO VECINAL MI JARDIN</v>
      </c>
      <c r="C624" s="207"/>
      <c r="D624" s="88" t="s">
        <v>130</v>
      </c>
      <c r="E624" s="89" t="str">
        <f>'[1]COMEDORES EMERGENTES'!$G$19</f>
        <v>C/ LOS TULIPANES ENTRE FLOR DE CEREZO Y HOLANDA MZA.27 Bº MI JARDIN</v>
      </c>
    </row>
    <row r="625" spans="2:5" x14ac:dyDescent="0.2">
      <c r="B625" s="206" t="str">
        <f>'[1]COMEDORES EMERGENTES'!$B$20</f>
        <v>LA VIEJA ESQUINA</v>
      </c>
      <c r="C625" s="207"/>
      <c r="D625" s="88" t="s">
        <v>188</v>
      </c>
      <c r="E625" s="89" t="str">
        <f>'[1]COMEDORES EMERGENTES'!$G$20</f>
        <v>B° CRISTO REY PJE CAPATAZ VILLAFAÑEZ Y ARMANDO CORREA</v>
      </c>
    </row>
    <row r="626" spans="2:5" x14ac:dyDescent="0.2">
      <c r="B626" s="206" t="str">
        <f>'[1]COMEDORES EMERGENTES'!$B$21</f>
        <v>GAUCHITO GIL</v>
      </c>
      <c r="C626" s="207"/>
      <c r="D626" s="88" t="s">
        <v>188</v>
      </c>
      <c r="E626" s="89" t="str">
        <f>'[1]COMEDORES EMERGENTES'!$G$21</f>
        <v>B° 26 VIVIENDAS CASA N° 3</v>
      </c>
    </row>
    <row r="627" spans="2:5" ht="13.5" thickBot="1" x14ac:dyDescent="0.25">
      <c r="B627" s="220" t="str">
        <f>'[1]COMEDORES EMERGENTES'!$B$22</f>
        <v>LOS TOLDOS</v>
      </c>
      <c r="C627" s="221"/>
      <c r="D627" s="95" t="s">
        <v>245</v>
      </c>
      <c r="E627" s="96" t="str">
        <f>'[1]COMEDORES EMERGENTES'!$G$22</f>
        <v>LOTEO PARQUE SUR CALLE S/NOMBRE S/N°</v>
      </c>
    </row>
    <row r="628" spans="2:5" x14ac:dyDescent="0.2">
      <c r="B628" s="13" t="s">
        <v>18</v>
      </c>
      <c r="C628" s="11"/>
      <c r="D628" s="52"/>
      <c r="E628" s="12"/>
    </row>
    <row r="629" spans="2:5" x14ac:dyDescent="0.2">
      <c r="B629" s="14"/>
      <c r="C629" s="219" t="s">
        <v>24</v>
      </c>
      <c r="D629" s="219"/>
      <c r="E629" s="219"/>
    </row>
    <row r="630" spans="2:5" x14ac:dyDescent="0.2">
      <c r="B630" s="13" t="s">
        <v>19</v>
      </c>
      <c r="C630" s="15"/>
      <c r="D630" s="15"/>
      <c r="E630" s="16"/>
    </row>
    <row r="631" spans="2:5" x14ac:dyDescent="0.2">
      <c r="B631" s="14"/>
      <c r="C631" s="219" t="s">
        <v>101</v>
      </c>
      <c r="D631" s="219"/>
      <c r="E631" s="219"/>
    </row>
    <row r="632" spans="2:5" x14ac:dyDescent="0.2">
      <c r="B632" s="13" t="s">
        <v>20</v>
      </c>
      <c r="C632" s="11"/>
      <c r="D632" s="52"/>
      <c r="E632" s="12"/>
    </row>
    <row r="633" spans="2:5" x14ac:dyDescent="0.2">
      <c r="B633" s="13"/>
      <c r="C633" s="205" t="s">
        <v>25</v>
      </c>
      <c r="D633" s="205"/>
      <c r="E633" s="205"/>
    </row>
    <row r="634" spans="2:5" ht="13.5" thickBot="1" x14ac:dyDescent="0.25">
      <c r="B634" s="17"/>
      <c r="C634" s="18"/>
      <c r="D634" s="53"/>
      <c r="E634" s="19"/>
    </row>
    <row r="635" spans="2:5" ht="13.5" thickBot="1" x14ac:dyDescent="0.25"/>
    <row r="636" spans="2:5" x14ac:dyDescent="0.2">
      <c r="B636" s="7" t="s">
        <v>116</v>
      </c>
      <c r="C636" s="8"/>
      <c r="D636" s="51"/>
      <c r="E636" s="9"/>
    </row>
    <row r="637" spans="2:5" x14ac:dyDescent="0.2">
      <c r="B637" s="10"/>
      <c r="C637" s="11"/>
      <c r="D637" s="52"/>
      <c r="E637" s="12"/>
    </row>
    <row r="638" spans="2:5" x14ac:dyDescent="0.2">
      <c r="B638" s="13" t="s">
        <v>16</v>
      </c>
      <c r="C638" s="11"/>
      <c r="D638" s="52"/>
      <c r="E638" s="12"/>
    </row>
    <row r="639" spans="2:5" ht="25.5" customHeight="1" x14ac:dyDescent="0.2">
      <c r="B639" s="13"/>
      <c r="C639" s="219"/>
      <c r="D639" s="219"/>
      <c r="E639" s="219"/>
    </row>
    <row r="640" spans="2:5" ht="13.5" thickBot="1" x14ac:dyDescent="0.25">
      <c r="B640" s="13" t="s">
        <v>17</v>
      </c>
      <c r="C640" s="11"/>
      <c r="D640" s="52"/>
      <c r="E640" s="12"/>
    </row>
    <row r="641" spans="2:5" ht="13.5" thickBot="1" x14ac:dyDescent="0.25">
      <c r="B641" s="211" t="s">
        <v>98</v>
      </c>
      <c r="C641" s="215"/>
      <c r="D641" s="215"/>
      <c r="E641" s="212"/>
    </row>
    <row r="642" spans="2:5" ht="13.5" thickBot="1" x14ac:dyDescent="0.25">
      <c r="B642" s="211" t="s">
        <v>99</v>
      </c>
      <c r="C642" s="212"/>
      <c r="D642" s="49" t="s">
        <v>11</v>
      </c>
      <c r="E642" s="49" t="s">
        <v>100</v>
      </c>
    </row>
    <row r="643" spans="2:5" x14ac:dyDescent="0.2">
      <c r="B643" s="213" t="str">
        <f>'[1]COMEDORES EMERGENTES'!$B$3</f>
        <v>UNA SONRISA AV. LOS COBACHO</v>
      </c>
      <c r="C643" s="214"/>
      <c r="D643" s="93" t="s">
        <v>183</v>
      </c>
      <c r="E643" s="94" t="str">
        <f>'[1]COMEDORES EMERGENTES'!$G$3</f>
        <v>Bº SAN CARLOS OESTE AV. Bonifacio cobacho 670</v>
      </c>
    </row>
    <row r="644" spans="2:5" x14ac:dyDescent="0.2">
      <c r="B644" s="206" t="str">
        <f>'[1]COMEDORES EMERGENTES'!$B$4</f>
        <v>C.I.F Nº1 - RIVERA DEL VALLE Y FLORIDA</v>
      </c>
      <c r="C644" s="207"/>
      <c r="D644" s="88" t="s">
        <v>132</v>
      </c>
      <c r="E644" s="89" t="str">
        <f>'[1]COMEDORES EMERGENTES'!$G$4</f>
        <v>AV. RIVIERA DEL VALLE ENTRE FLORIDA Y SANTA FE</v>
      </c>
    </row>
    <row r="645" spans="2:5" x14ac:dyDescent="0.2">
      <c r="B645" s="206" t="str">
        <f>'[1]COMEDORES EMERGENTES'!$B$5</f>
        <v>C.I.F - RIVERA DEL VALLE - DILORENZO</v>
      </c>
      <c r="C645" s="207"/>
      <c r="D645" s="88" t="s">
        <v>189</v>
      </c>
      <c r="E645" s="89" t="str">
        <f>'[1]COMEDORES EMERGENTES'!$G$5</f>
        <v>Bº RIVERA DEL VALLE ENTRE VILLA EUMELIA Y MONTE CRISTO</v>
      </c>
    </row>
    <row r="646" spans="2:5" x14ac:dyDescent="0.2">
      <c r="B646" s="206" t="str">
        <f>'[1]COMEDORES EMERGENTES'!$B$6</f>
        <v>ESFUERZO PROPIO- Bº ALTOS DE CHOYA</v>
      </c>
      <c r="C646" s="207"/>
      <c r="D646" s="88" t="s">
        <v>154</v>
      </c>
      <c r="E646" s="89" t="str">
        <f>'[1]COMEDORES EMERGENTES'!$G$6</f>
        <v>Bº MUNICIPAL 35VV. NORTE C/14</v>
      </c>
    </row>
    <row r="647" spans="2:5" x14ac:dyDescent="0.2">
      <c r="B647" s="206" t="str">
        <f>'[1]COMEDORES EMERGENTES'!$B$7</f>
        <v>ANGELITOS - LOTEO SUSSEX</v>
      </c>
      <c r="C647" s="207"/>
      <c r="D647" s="88" t="s">
        <v>130</v>
      </c>
      <c r="E647" s="89" t="str">
        <f>'[1]COMEDORES EMERGENTES'!$G$7</f>
        <v>Bº LOTEO SUSEX MZA.Nº 4 LOTE Nº3</v>
      </c>
    </row>
    <row r="648" spans="2:5" x14ac:dyDescent="0.2">
      <c r="B648" s="206" t="str">
        <f>'[1]COMEDORES EMERGENTES'!$B$8</f>
        <v>CLUB DEPORTIVO CHACARITA</v>
      </c>
      <c r="C648" s="207"/>
      <c r="D648" s="88" t="s">
        <v>163</v>
      </c>
      <c r="E648" s="89" t="str">
        <f>'[1]COMEDORES EMERGENTES'!$G$8</f>
        <v>CALLE DR.DERMIDIO GALINDEZ C/2660</v>
      </c>
    </row>
    <row r="649" spans="2:5" x14ac:dyDescent="0.2">
      <c r="B649" s="206" t="str">
        <f>'[1]COMEDORES EMERGENTES'!$B$9</f>
        <v>LA MORO</v>
      </c>
      <c r="C649" s="207"/>
      <c r="D649" s="88" t="s">
        <v>146</v>
      </c>
      <c r="E649" s="89" t="str">
        <f>'[1]COMEDORES EMERGENTES'!$G$9</f>
        <v>MAIPU NORTE 1º ETAPA MZA "H" Bº MI JARDIN</v>
      </c>
    </row>
    <row r="650" spans="2:5" x14ac:dyDescent="0.2">
      <c r="B650" s="206" t="str">
        <f>'[1]COMEDORES EMERGENTES'!$B$10</f>
        <v>PAPA FRANCISCO</v>
      </c>
      <c r="C650" s="207"/>
      <c r="D650" s="88" t="s">
        <v>158</v>
      </c>
      <c r="E650" s="89" t="str">
        <f>'[1]COMEDORES EMERGENTES'!$G$10</f>
        <v>ENTRE AV.TEREBINTO Y AV.SAN JUAN LOTE "2" MZA. "B"</v>
      </c>
    </row>
    <row r="651" spans="2:5" x14ac:dyDescent="0.2">
      <c r="B651" s="206" t="str">
        <f>'[1]COMEDORES EMERGENTES'!$B$11</f>
        <v>E.P.C - 100 V.V NORTE</v>
      </c>
      <c r="C651" s="207"/>
      <c r="D651" s="88" t="s">
        <v>152</v>
      </c>
      <c r="E651" s="89" t="str">
        <f>'[1]COMEDORES EMERGENTES'!$G$11</f>
        <v>Bº VV NORTE C/48 ENTRE ESPAÑA Y FRANCIA</v>
      </c>
    </row>
    <row r="652" spans="2:5" x14ac:dyDescent="0.2">
      <c r="B652" s="206" t="str">
        <f>'[1]COMEDORES EMERGENTES'!$B$12</f>
        <v>HOGAR DE CRISTO - PADRE RAUL CONTRERAS</v>
      </c>
      <c r="C652" s="207"/>
      <c r="D652" s="88" t="s">
        <v>152</v>
      </c>
      <c r="E652" s="89" t="str">
        <f>'[1]COMEDORES EMERGENTES'!$G$12</f>
        <v>Bº SANTA MARTA MZA. "S" LOTE "M" C/39</v>
      </c>
    </row>
    <row r="653" spans="2:5" x14ac:dyDescent="0.2">
      <c r="B653" s="206" t="str">
        <f>'[1]COMEDORES EMERGENTES'!$B$13</f>
        <v>LA LUCIERNAGA</v>
      </c>
      <c r="C653" s="207"/>
      <c r="D653" s="88" t="s">
        <v>158</v>
      </c>
      <c r="E653" s="89" t="str">
        <f>'[1]COMEDORES EMERGENTES'!$G$13</f>
        <v>Bº 20 V.V NORTE C/3</v>
      </c>
    </row>
    <row r="654" spans="2:5" x14ac:dyDescent="0.2">
      <c r="B654" s="206" t="str">
        <f>'[1]COMEDORES EMERGENTES'!$B$14</f>
        <v>VALLE VIEJO - SUMALAO</v>
      </c>
      <c r="C654" s="207"/>
      <c r="D654" s="88" t="s">
        <v>180</v>
      </c>
      <c r="E654" s="89" t="str">
        <f>'[1]COMEDORES EMERGENTES'!$G$14</f>
        <v>PADRE SEGURA S/N</v>
      </c>
    </row>
    <row r="655" spans="2:5" x14ac:dyDescent="0.2">
      <c r="B655" s="206" t="str">
        <f>'[1]COMEDORES EMERGENTES'!$B$15</f>
        <v>NUESTRO FUTURO - LAS VIAS</v>
      </c>
      <c r="C655" s="207"/>
      <c r="D655" s="88" t="s">
        <v>158</v>
      </c>
      <c r="E655" s="89" t="str">
        <f>'[1]COMEDORES EMERGENTES'!$G$15</f>
        <v>Bº LAS VIAS OESTE LOTE 42</v>
      </c>
    </row>
    <row r="656" spans="2:5" x14ac:dyDescent="0.2">
      <c r="B656" s="206" t="str">
        <f>'[1]COMEDORES EMERGENTES'!$B$16</f>
        <v>SAN JOSE OBRERO</v>
      </c>
      <c r="C656" s="207"/>
      <c r="D656" s="88" t="s">
        <v>163</v>
      </c>
      <c r="E656" s="89" t="str">
        <f>'[1]COMEDORES EMERGENTES'!$G$16</f>
        <v>Bº SAN JOSE OBRERO. PJE. SANDOVAL S/Nº</v>
      </c>
    </row>
    <row r="657" spans="2:5" x14ac:dyDescent="0.2">
      <c r="B657" s="206" t="str">
        <f>'[1]COMEDORES EMERGENTES'!$B$17</f>
        <v>VIRGEN DE LUJAN</v>
      </c>
      <c r="C657" s="207"/>
      <c r="D657" s="88" t="s">
        <v>158</v>
      </c>
      <c r="E657" s="89" t="str">
        <f>'[1]COMEDORES EMERGENTES'!$G$17</f>
        <v>Bº OJO DE AGUA C/DR.TEODULFO BARRIONUEVO S/Nº</v>
      </c>
    </row>
    <row r="658" spans="2:5" x14ac:dyDescent="0.2">
      <c r="B658" s="206" t="str">
        <f>'[1]COMEDORES EMERGENTES'!$B$18</f>
        <v>RENACER</v>
      </c>
      <c r="C658" s="207"/>
      <c r="D658" s="88" t="s">
        <v>137</v>
      </c>
      <c r="E658" s="89" t="str">
        <f>'[1]COMEDORES EMERGENTES'!$G$18</f>
        <v>Bº VIRGEN MORENITA</v>
      </c>
    </row>
    <row r="659" spans="2:5" x14ac:dyDescent="0.2">
      <c r="B659" s="206" t="str">
        <f>'[1]COMEDORES EMERGENTES'!$B$19</f>
        <v>CENTRO VECINAL MI JARDIN</v>
      </c>
      <c r="C659" s="207"/>
      <c r="D659" s="88" t="s">
        <v>150</v>
      </c>
      <c r="E659" s="89" t="str">
        <f>'[1]COMEDORES EMERGENTES'!$G$19</f>
        <v>C/ LOS TULIPANES ENTRE FLOR DE CEREZO Y HOLANDA MZA.27 Bº MI JARDIN</v>
      </c>
    </row>
    <row r="660" spans="2:5" x14ac:dyDescent="0.2">
      <c r="B660" s="206" t="str">
        <f>'[1]COMEDORES EMERGENTES'!$B$20</f>
        <v>LA VIEJA ESQUINA</v>
      </c>
      <c r="C660" s="207"/>
      <c r="D660" s="88" t="s">
        <v>190</v>
      </c>
      <c r="E660" s="89" t="str">
        <f>'[1]COMEDORES EMERGENTES'!$G$20</f>
        <v>B° CRISTO REY PJE CAPATAZ VILLAFAÑEZ Y ARMANDO CORREA</v>
      </c>
    </row>
    <row r="661" spans="2:5" x14ac:dyDescent="0.2">
      <c r="B661" s="206" t="str">
        <f>'[1]COMEDORES EMERGENTES'!$B$21</f>
        <v>GAUCHITO GIL</v>
      </c>
      <c r="C661" s="207"/>
      <c r="D661" s="88" t="s">
        <v>136</v>
      </c>
      <c r="E661" s="89" t="str">
        <f>'[1]COMEDORES EMERGENTES'!$G$21</f>
        <v>B° 26 VIVIENDAS CASA N° 3</v>
      </c>
    </row>
    <row r="662" spans="2:5" ht="13.5" thickBot="1" x14ac:dyDescent="0.25">
      <c r="B662" s="220" t="str">
        <f>'[1]COMEDORES EMERGENTES'!$B$22</f>
        <v>LOS TOLDOS</v>
      </c>
      <c r="C662" s="221"/>
      <c r="D662" s="95" t="s">
        <v>144</v>
      </c>
      <c r="E662" s="96" t="str">
        <f>'[1]COMEDORES EMERGENTES'!$G$22</f>
        <v>LOTEO PARQUE SUR CALLE S/NOMBRE S/N°</v>
      </c>
    </row>
    <row r="663" spans="2:5" x14ac:dyDescent="0.2">
      <c r="B663" s="13" t="s">
        <v>18</v>
      </c>
      <c r="C663" s="11"/>
      <c r="D663" s="52"/>
      <c r="E663" s="12"/>
    </row>
    <row r="664" spans="2:5" x14ac:dyDescent="0.2">
      <c r="B664" s="14"/>
      <c r="C664" s="219" t="s">
        <v>24</v>
      </c>
      <c r="D664" s="219"/>
      <c r="E664" s="219"/>
    </row>
    <row r="665" spans="2:5" x14ac:dyDescent="0.2">
      <c r="B665" s="13" t="s">
        <v>19</v>
      </c>
      <c r="C665" s="15"/>
      <c r="D665" s="15"/>
      <c r="E665" s="16"/>
    </row>
    <row r="666" spans="2:5" x14ac:dyDescent="0.2">
      <c r="B666" s="14"/>
      <c r="C666" s="219" t="s">
        <v>101</v>
      </c>
      <c r="D666" s="219"/>
      <c r="E666" s="219"/>
    </row>
    <row r="667" spans="2:5" x14ac:dyDescent="0.2">
      <c r="B667" s="13" t="s">
        <v>20</v>
      </c>
      <c r="C667" s="11"/>
      <c r="D667" s="52"/>
      <c r="E667" s="12"/>
    </row>
    <row r="668" spans="2:5" x14ac:dyDescent="0.2">
      <c r="B668" s="13"/>
      <c r="C668" s="205" t="s">
        <v>25</v>
      </c>
      <c r="D668" s="205"/>
      <c r="E668" s="205"/>
    </row>
    <row r="669" spans="2:5" ht="13.5" thickBot="1" x14ac:dyDescent="0.25">
      <c r="B669" s="17"/>
      <c r="C669" s="18"/>
      <c r="D669" s="53"/>
      <c r="E669" s="19"/>
    </row>
    <row r="670" spans="2:5" ht="13.5" thickBot="1" x14ac:dyDescent="0.25"/>
    <row r="671" spans="2:5" x14ac:dyDescent="0.2">
      <c r="B671" s="7" t="s">
        <v>117</v>
      </c>
      <c r="C671" s="8"/>
      <c r="D671" s="51"/>
      <c r="E671" s="9"/>
    </row>
    <row r="672" spans="2:5" x14ac:dyDescent="0.2">
      <c r="B672" s="10"/>
      <c r="C672" s="11"/>
      <c r="D672" s="52"/>
      <c r="E672" s="12"/>
    </row>
    <row r="673" spans="2:5" x14ac:dyDescent="0.2">
      <c r="B673" s="13" t="s">
        <v>16</v>
      </c>
      <c r="C673" s="11"/>
      <c r="D673" s="52"/>
      <c r="E673" s="12"/>
    </row>
    <row r="674" spans="2:5" ht="25.5" customHeight="1" x14ac:dyDescent="0.2">
      <c r="B674" s="13"/>
      <c r="C674" s="219"/>
      <c r="D674" s="219"/>
      <c r="E674" s="219"/>
    </row>
    <row r="675" spans="2:5" ht="13.5" thickBot="1" x14ac:dyDescent="0.25">
      <c r="B675" s="13" t="s">
        <v>17</v>
      </c>
      <c r="C675" s="11"/>
      <c r="D675" s="52"/>
      <c r="E675" s="12"/>
    </row>
    <row r="676" spans="2:5" ht="13.5" thickBot="1" x14ac:dyDescent="0.25">
      <c r="B676" s="211" t="s">
        <v>98</v>
      </c>
      <c r="C676" s="215"/>
      <c r="D676" s="215"/>
      <c r="E676" s="212"/>
    </row>
    <row r="677" spans="2:5" ht="13.5" thickBot="1" x14ac:dyDescent="0.25">
      <c r="B677" s="211" t="s">
        <v>99</v>
      </c>
      <c r="C677" s="212"/>
      <c r="D677" s="49" t="s">
        <v>11</v>
      </c>
      <c r="E677" s="49" t="s">
        <v>100</v>
      </c>
    </row>
    <row r="678" spans="2:5" x14ac:dyDescent="0.2">
      <c r="B678" s="213" t="str">
        <f>'[1]COMEDORES EMERGENTES'!$B$3</f>
        <v>UNA SONRISA AV. LOS COBACHO</v>
      </c>
      <c r="C678" s="214"/>
      <c r="D678" s="93" t="s">
        <v>129</v>
      </c>
      <c r="E678" s="94" t="str">
        <f>'[1]COMEDORES EMERGENTES'!$G$3</f>
        <v>Bº SAN CARLOS OESTE AV. Bonifacio cobacho 670</v>
      </c>
    </row>
    <row r="679" spans="2:5" x14ac:dyDescent="0.2">
      <c r="B679" s="206" t="str">
        <f>'[1]COMEDORES EMERGENTES'!$B$4</f>
        <v>C.I.F Nº1 - RIVERA DEL VALLE Y FLORIDA</v>
      </c>
      <c r="C679" s="207"/>
      <c r="D679" s="88" t="s">
        <v>131</v>
      </c>
      <c r="E679" s="89" t="str">
        <f>'[1]COMEDORES EMERGENTES'!$G$4</f>
        <v>AV. RIVIERA DEL VALLE ENTRE FLORIDA Y SANTA FE</v>
      </c>
    </row>
    <row r="680" spans="2:5" x14ac:dyDescent="0.2">
      <c r="B680" s="206" t="str">
        <f>'[1]COMEDORES EMERGENTES'!$B$5</f>
        <v>C.I.F - RIVERA DEL VALLE - DILORENZO</v>
      </c>
      <c r="C680" s="207"/>
      <c r="D680" s="88" t="s">
        <v>132</v>
      </c>
      <c r="E680" s="89" t="str">
        <f>'[1]COMEDORES EMERGENTES'!$G$5</f>
        <v>Bº RIVERA DEL VALLE ENTRE VILLA EUMELIA Y MONTE CRISTO</v>
      </c>
    </row>
    <row r="681" spans="2:5" x14ac:dyDescent="0.2">
      <c r="B681" s="206" t="str">
        <f>'[1]COMEDORES EMERGENTES'!$B$6</f>
        <v>ESFUERZO PROPIO- Bº ALTOS DE CHOYA</v>
      </c>
      <c r="C681" s="207"/>
      <c r="D681" s="88" t="s">
        <v>133</v>
      </c>
      <c r="E681" s="89" t="str">
        <f>'[1]COMEDORES EMERGENTES'!$G$6</f>
        <v>Bº MUNICIPAL 35VV. NORTE C/14</v>
      </c>
    </row>
    <row r="682" spans="2:5" x14ac:dyDescent="0.2">
      <c r="B682" s="206" t="str">
        <f>'[1]COMEDORES EMERGENTES'!$B$7</f>
        <v>ANGELITOS - LOTEO SUSSEX</v>
      </c>
      <c r="C682" s="207"/>
      <c r="D682" s="88" t="s">
        <v>134</v>
      </c>
      <c r="E682" s="89" t="str">
        <f>'[1]COMEDORES EMERGENTES'!$G$7</f>
        <v>Bº LOTEO SUSEX MZA.Nº 4 LOTE Nº3</v>
      </c>
    </row>
    <row r="683" spans="2:5" x14ac:dyDescent="0.2">
      <c r="B683" s="206" t="str">
        <f>'[1]COMEDORES EMERGENTES'!$B$8</f>
        <v>CLUB DEPORTIVO CHACARITA</v>
      </c>
      <c r="C683" s="207"/>
      <c r="D683" s="88" t="s">
        <v>135</v>
      </c>
      <c r="E683" s="89" t="str">
        <f>'[1]COMEDORES EMERGENTES'!$G$8</f>
        <v>CALLE DR.DERMIDIO GALINDEZ C/2660</v>
      </c>
    </row>
    <row r="684" spans="2:5" x14ac:dyDescent="0.2">
      <c r="B684" s="206" t="str">
        <f>'[1]COMEDORES EMERGENTES'!$B$9</f>
        <v>LA MORO</v>
      </c>
      <c r="C684" s="207"/>
      <c r="D684" s="88" t="s">
        <v>130</v>
      </c>
      <c r="E684" s="89" t="str">
        <f>'[1]COMEDORES EMERGENTES'!$G$9</f>
        <v>MAIPU NORTE 1º ETAPA MZA "H" Bº MI JARDIN</v>
      </c>
    </row>
    <row r="685" spans="2:5" x14ac:dyDescent="0.2">
      <c r="B685" s="206" t="str">
        <f>'[1]COMEDORES EMERGENTES'!$B$10</f>
        <v>PAPA FRANCISCO</v>
      </c>
      <c r="C685" s="207"/>
      <c r="D685" s="88" t="s">
        <v>136</v>
      </c>
      <c r="E685" s="89" t="str">
        <f>'[1]COMEDORES EMERGENTES'!$G$10</f>
        <v>ENTRE AV.TEREBINTO Y AV.SAN JUAN LOTE "2" MZA. "B"</v>
      </c>
    </row>
    <row r="686" spans="2:5" x14ac:dyDescent="0.2">
      <c r="B686" s="206" t="str">
        <f>'[1]COMEDORES EMERGENTES'!$B$11</f>
        <v>E.P.C - 100 V.V NORTE</v>
      </c>
      <c r="C686" s="207"/>
      <c r="D686" s="88" t="s">
        <v>137</v>
      </c>
      <c r="E686" s="89" t="str">
        <f>'[1]COMEDORES EMERGENTES'!$G$11</f>
        <v>Bº VV NORTE C/48 ENTRE ESPAÑA Y FRANCIA</v>
      </c>
    </row>
    <row r="687" spans="2:5" x14ac:dyDescent="0.2">
      <c r="B687" s="206" t="str">
        <f>'[1]COMEDORES EMERGENTES'!$B$12</f>
        <v>HOGAR DE CRISTO - PADRE RAUL CONTRERAS</v>
      </c>
      <c r="C687" s="207"/>
      <c r="D687" s="88" t="s">
        <v>137</v>
      </c>
      <c r="E687" s="89" t="str">
        <f>'[1]COMEDORES EMERGENTES'!$G$12</f>
        <v>Bº SANTA MARTA MZA. "S" LOTE "M" C/39</v>
      </c>
    </row>
    <row r="688" spans="2:5" x14ac:dyDescent="0.2">
      <c r="B688" s="206" t="str">
        <f>'[1]COMEDORES EMERGENTES'!$B$13</f>
        <v>LA LUCIERNAGA</v>
      </c>
      <c r="C688" s="207"/>
      <c r="D688" s="88" t="s">
        <v>136</v>
      </c>
      <c r="E688" s="89" t="str">
        <f>'[1]COMEDORES EMERGENTES'!$G$13</f>
        <v>Bº 20 V.V NORTE C/3</v>
      </c>
    </row>
    <row r="689" spans="2:5" x14ac:dyDescent="0.2">
      <c r="B689" s="206" t="str">
        <f>'[1]COMEDORES EMERGENTES'!$B$14</f>
        <v>VALLE VIEJO - SUMALAO</v>
      </c>
      <c r="C689" s="207"/>
      <c r="D689" s="88" t="s">
        <v>138</v>
      </c>
      <c r="E689" s="89" t="str">
        <f>'[1]COMEDORES EMERGENTES'!$G$14</f>
        <v>PADRE SEGURA S/N</v>
      </c>
    </row>
    <row r="690" spans="2:5" x14ac:dyDescent="0.2">
      <c r="B690" s="206" t="str">
        <f>'[1]COMEDORES EMERGENTES'!$B$15</f>
        <v>NUESTRO FUTURO - LAS VIAS</v>
      </c>
      <c r="C690" s="207"/>
      <c r="D690" s="88" t="s">
        <v>136</v>
      </c>
      <c r="E690" s="89" t="str">
        <f>'[1]COMEDORES EMERGENTES'!$G$15</f>
        <v>Bº LAS VIAS OESTE LOTE 42</v>
      </c>
    </row>
    <row r="691" spans="2:5" x14ac:dyDescent="0.2">
      <c r="B691" s="206" t="str">
        <f>'[1]COMEDORES EMERGENTES'!$B$16</f>
        <v>SAN JOSE OBRERO</v>
      </c>
      <c r="C691" s="207"/>
      <c r="D691" s="88" t="s">
        <v>135</v>
      </c>
      <c r="E691" s="89" t="str">
        <f>'[1]COMEDORES EMERGENTES'!$G$16</f>
        <v>Bº SAN JOSE OBRERO. PJE. SANDOVAL S/Nº</v>
      </c>
    </row>
    <row r="692" spans="2:5" x14ac:dyDescent="0.2">
      <c r="B692" s="206" t="str">
        <f>'[1]COMEDORES EMERGENTES'!$B$17</f>
        <v>VIRGEN DE LUJAN</v>
      </c>
      <c r="C692" s="207"/>
      <c r="D692" s="88" t="s">
        <v>136</v>
      </c>
      <c r="E692" s="89" t="str">
        <f>'[1]COMEDORES EMERGENTES'!$G$17</f>
        <v>Bº OJO DE AGUA C/DR.TEODULFO BARRIONUEVO S/Nº</v>
      </c>
    </row>
    <row r="693" spans="2:5" x14ac:dyDescent="0.2">
      <c r="B693" s="206" t="str">
        <f>'[1]COMEDORES EMERGENTES'!$B$18</f>
        <v>RENACER</v>
      </c>
      <c r="C693" s="207"/>
      <c r="D693" s="88" t="s">
        <v>139</v>
      </c>
      <c r="E693" s="89" t="str">
        <f>'[1]COMEDORES EMERGENTES'!$G$18</f>
        <v>Bº VIRGEN MORENITA</v>
      </c>
    </row>
    <row r="694" spans="2:5" x14ac:dyDescent="0.2">
      <c r="B694" s="206" t="str">
        <f>'[1]COMEDORES EMERGENTES'!$B$19</f>
        <v>CENTRO VECINAL MI JARDIN</v>
      </c>
      <c r="C694" s="207"/>
      <c r="D694" s="88" t="s">
        <v>140</v>
      </c>
      <c r="E694" s="89" t="str">
        <f>'[1]COMEDORES EMERGENTES'!$G$19</f>
        <v>C/ LOS TULIPANES ENTRE FLOR DE CEREZO Y HOLANDA MZA.27 Bº MI JARDIN</v>
      </c>
    </row>
    <row r="695" spans="2:5" x14ac:dyDescent="0.2">
      <c r="B695" s="206" t="str">
        <f>'[1]COMEDORES EMERGENTES'!$B$20</f>
        <v>LA VIEJA ESQUINA</v>
      </c>
      <c r="C695" s="207"/>
      <c r="D695" s="88" t="s">
        <v>141</v>
      </c>
      <c r="E695" s="89" t="str">
        <f>'[1]COMEDORES EMERGENTES'!$G$20</f>
        <v>B° CRISTO REY PJE CAPATAZ VILLAFAÑEZ Y ARMANDO CORREA</v>
      </c>
    </row>
    <row r="696" spans="2:5" x14ac:dyDescent="0.2">
      <c r="B696" s="206" t="str">
        <f>'[1]COMEDORES EMERGENTES'!$B$21</f>
        <v>GAUCHITO GIL</v>
      </c>
      <c r="C696" s="207"/>
      <c r="D696" s="88" t="s">
        <v>142</v>
      </c>
      <c r="E696" s="89" t="str">
        <f>'[1]COMEDORES EMERGENTES'!$G$21</f>
        <v>B° 26 VIVIENDAS CASA N° 3</v>
      </c>
    </row>
    <row r="697" spans="2:5" ht="13.5" thickBot="1" x14ac:dyDescent="0.25">
      <c r="B697" s="220" t="str">
        <f>'[1]COMEDORES EMERGENTES'!$B$22</f>
        <v>LOS TOLDOS</v>
      </c>
      <c r="C697" s="221"/>
      <c r="D697" s="95" t="s">
        <v>162</v>
      </c>
      <c r="E697" s="96" t="str">
        <f>'[1]COMEDORES EMERGENTES'!$G$22</f>
        <v>LOTEO PARQUE SUR CALLE S/NOMBRE S/N°</v>
      </c>
    </row>
    <row r="698" spans="2:5" x14ac:dyDescent="0.2">
      <c r="B698" s="13" t="s">
        <v>18</v>
      </c>
      <c r="C698" s="11"/>
      <c r="D698" s="52"/>
      <c r="E698" s="12"/>
    </row>
    <row r="699" spans="2:5" x14ac:dyDescent="0.2">
      <c r="B699" s="14"/>
      <c r="C699" s="219" t="s">
        <v>24</v>
      </c>
      <c r="D699" s="219"/>
      <c r="E699" s="219"/>
    </row>
    <row r="700" spans="2:5" x14ac:dyDescent="0.2">
      <c r="B700" s="13" t="s">
        <v>19</v>
      </c>
      <c r="C700" s="15"/>
      <c r="D700" s="15"/>
      <c r="E700" s="16"/>
    </row>
    <row r="701" spans="2:5" x14ac:dyDescent="0.2">
      <c r="B701" s="14"/>
      <c r="C701" s="219" t="s">
        <v>101</v>
      </c>
      <c r="D701" s="219"/>
      <c r="E701" s="219"/>
    </row>
    <row r="702" spans="2:5" x14ac:dyDescent="0.2">
      <c r="B702" s="13" t="s">
        <v>20</v>
      </c>
      <c r="C702" s="11"/>
      <c r="D702" s="52"/>
      <c r="E702" s="12"/>
    </row>
    <row r="703" spans="2:5" x14ac:dyDescent="0.2">
      <c r="B703" s="13"/>
      <c r="C703" s="205" t="s">
        <v>25</v>
      </c>
      <c r="D703" s="205"/>
      <c r="E703" s="205"/>
    </row>
    <row r="704" spans="2:5" ht="13.5" thickBot="1" x14ac:dyDescent="0.25">
      <c r="B704" s="17"/>
      <c r="C704" s="18"/>
      <c r="D704" s="53"/>
      <c r="E704" s="19"/>
    </row>
    <row r="705" spans="2:5" ht="13.5" thickBot="1" x14ac:dyDescent="0.25"/>
    <row r="706" spans="2:5" x14ac:dyDescent="0.2">
      <c r="B706" s="7" t="s">
        <v>118</v>
      </c>
      <c r="C706" s="8"/>
      <c r="D706" s="51"/>
      <c r="E706" s="9"/>
    </row>
    <row r="707" spans="2:5" x14ac:dyDescent="0.2">
      <c r="B707" s="10"/>
      <c r="C707" s="11"/>
      <c r="D707" s="52"/>
      <c r="E707" s="12"/>
    </row>
    <row r="708" spans="2:5" x14ac:dyDescent="0.2">
      <c r="B708" s="13" t="s">
        <v>16</v>
      </c>
      <c r="C708" s="11"/>
      <c r="D708" s="52"/>
      <c r="E708" s="12"/>
    </row>
    <row r="709" spans="2:5" ht="25.5" customHeight="1" x14ac:dyDescent="0.2">
      <c r="B709" s="13"/>
      <c r="C709" s="219"/>
      <c r="D709" s="219"/>
      <c r="E709" s="219"/>
    </row>
    <row r="710" spans="2:5" ht="13.5" thickBot="1" x14ac:dyDescent="0.25">
      <c r="B710" s="13" t="s">
        <v>17</v>
      </c>
      <c r="C710" s="11"/>
      <c r="D710" s="52"/>
      <c r="E710" s="12"/>
    </row>
    <row r="711" spans="2:5" ht="13.5" thickBot="1" x14ac:dyDescent="0.25">
      <c r="B711" s="211" t="s">
        <v>98</v>
      </c>
      <c r="C711" s="215"/>
      <c r="D711" s="215"/>
      <c r="E711" s="212"/>
    </row>
    <row r="712" spans="2:5" ht="13.5" thickBot="1" x14ac:dyDescent="0.25">
      <c r="B712" s="211" t="s">
        <v>99</v>
      </c>
      <c r="C712" s="212"/>
      <c r="D712" s="49" t="s">
        <v>11</v>
      </c>
      <c r="E712" s="49" t="s">
        <v>100</v>
      </c>
    </row>
    <row r="713" spans="2:5" x14ac:dyDescent="0.2">
      <c r="B713" s="213" t="str">
        <f>'[1]COMEDORES EMERGENTES'!$B$3</f>
        <v>UNA SONRISA AV. LOS COBACHO</v>
      </c>
      <c r="C713" s="214"/>
      <c r="D713" s="93" t="s">
        <v>165</v>
      </c>
      <c r="E713" s="94" t="str">
        <f>'[1]COMEDORES EMERGENTES'!$G$3</f>
        <v>Bº SAN CARLOS OESTE AV. Bonifacio cobacho 670</v>
      </c>
    </row>
    <row r="714" spans="2:5" x14ac:dyDescent="0.2">
      <c r="B714" s="206" t="str">
        <f>'[1]COMEDORES EMERGENTES'!$B$4</f>
        <v>C.I.F Nº1 - RIVERA DEL VALLE Y FLORIDA</v>
      </c>
      <c r="C714" s="207"/>
      <c r="D714" s="88" t="s">
        <v>191</v>
      </c>
      <c r="E714" s="89" t="str">
        <f>'[1]COMEDORES EMERGENTES'!$G$4</f>
        <v>AV. RIVIERA DEL VALLE ENTRE FLORIDA Y SANTA FE</v>
      </c>
    </row>
    <row r="715" spans="2:5" x14ac:dyDescent="0.2">
      <c r="B715" s="206" t="str">
        <f>'[1]COMEDORES EMERGENTES'!$B$5</f>
        <v>C.I.F - RIVERA DEL VALLE - DILORENZO</v>
      </c>
      <c r="C715" s="207"/>
      <c r="D715" s="88" t="s">
        <v>192</v>
      </c>
      <c r="E715" s="89" t="str">
        <f>'[1]COMEDORES EMERGENTES'!$G$5</f>
        <v>Bº RIVERA DEL VALLE ENTRE VILLA EUMELIA Y MONTE CRISTO</v>
      </c>
    </row>
    <row r="716" spans="2:5" x14ac:dyDescent="0.2">
      <c r="B716" s="206" t="str">
        <f>'[1]COMEDORES EMERGENTES'!$B$6</f>
        <v>ESFUERZO PROPIO- Bº ALTOS DE CHOYA</v>
      </c>
      <c r="C716" s="207"/>
      <c r="D716" s="88" t="s">
        <v>179</v>
      </c>
      <c r="E716" s="89" t="str">
        <f>'[1]COMEDORES EMERGENTES'!$G$6</f>
        <v>Bº MUNICIPAL 35VV. NORTE C/14</v>
      </c>
    </row>
    <row r="717" spans="2:5" x14ac:dyDescent="0.2">
      <c r="B717" s="206" t="str">
        <f>'[1]COMEDORES EMERGENTES'!$B$7</f>
        <v>ANGELITOS - LOTEO SUSSEX</v>
      </c>
      <c r="C717" s="207"/>
      <c r="D717" s="88" t="s">
        <v>154</v>
      </c>
      <c r="E717" s="89" t="str">
        <f>'[1]COMEDORES EMERGENTES'!$G$7</f>
        <v>Bº LOTEO SUSEX MZA.Nº 4 LOTE Nº3</v>
      </c>
    </row>
    <row r="718" spans="2:5" x14ac:dyDescent="0.2">
      <c r="B718" s="206" t="str">
        <f>'[1]COMEDORES EMERGENTES'!$B$8</f>
        <v>CLUB DEPORTIVO CHACARITA</v>
      </c>
      <c r="C718" s="207"/>
      <c r="D718" s="88" t="s">
        <v>193</v>
      </c>
      <c r="E718" s="89" t="str">
        <f>'[1]COMEDORES EMERGENTES'!$G$8</f>
        <v>CALLE DR.DERMIDIO GALINDEZ C/2660</v>
      </c>
    </row>
    <row r="719" spans="2:5" x14ac:dyDescent="0.2">
      <c r="B719" s="206" t="str">
        <f>'[1]COMEDORES EMERGENTES'!$B$9</f>
        <v>LA MORO</v>
      </c>
      <c r="C719" s="207"/>
      <c r="D719" s="88" t="s">
        <v>171</v>
      </c>
      <c r="E719" s="89" t="str">
        <f>'[1]COMEDORES EMERGENTES'!$G$9</f>
        <v>MAIPU NORTE 1º ETAPA MZA "H" Bº MI JARDIN</v>
      </c>
    </row>
    <row r="720" spans="2:5" x14ac:dyDescent="0.2">
      <c r="B720" s="206" t="str">
        <f>'[1]COMEDORES EMERGENTES'!$B$10</f>
        <v>PAPA FRANCISCO</v>
      </c>
      <c r="C720" s="207"/>
      <c r="D720" s="88" t="s">
        <v>194</v>
      </c>
      <c r="E720" s="89" t="str">
        <f>'[1]COMEDORES EMERGENTES'!$G$10</f>
        <v>ENTRE AV.TEREBINTO Y AV.SAN JUAN LOTE "2" MZA. "B"</v>
      </c>
    </row>
    <row r="721" spans="2:5" x14ac:dyDescent="0.2">
      <c r="B721" s="206" t="str">
        <f>'[1]COMEDORES EMERGENTES'!$B$11</f>
        <v>E.P.C - 100 V.V NORTE</v>
      </c>
      <c r="C721" s="207"/>
      <c r="D721" s="88" t="s">
        <v>195</v>
      </c>
      <c r="E721" s="89" t="str">
        <f>'[1]COMEDORES EMERGENTES'!$G$11</f>
        <v>Bº VV NORTE C/48 ENTRE ESPAÑA Y FRANCIA</v>
      </c>
    </row>
    <row r="722" spans="2:5" x14ac:dyDescent="0.2">
      <c r="B722" s="206" t="str">
        <f>'[1]COMEDORES EMERGENTES'!$B$12</f>
        <v>HOGAR DE CRISTO - PADRE RAUL CONTRERAS</v>
      </c>
      <c r="C722" s="207"/>
      <c r="D722" s="88" t="s">
        <v>195</v>
      </c>
      <c r="E722" s="89" t="str">
        <f>'[1]COMEDORES EMERGENTES'!$G$12</f>
        <v>Bº SANTA MARTA MZA. "S" LOTE "M" C/39</v>
      </c>
    </row>
    <row r="723" spans="2:5" x14ac:dyDescent="0.2">
      <c r="B723" s="206" t="str">
        <f>'[1]COMEDORES EMERGENTES'!$B$13</f>
        <v>LA LUCIERNAGA</v>
      </c>
      <c r="C723" s="207"/>
      <c r="D723" s="88" t="s">
        <v>194</v>
      </c>
      <c r="E723" s="89" t="str">
        <f>'[1]COMEDORES EMERGENTES'!$G$13</f>
        <v>Bº 20 V.V NORTE C/3</v>
      </c>
    </row>
    <row r="724" spans="2:5" x14ac:dyDescent="0.2">
      <c r="B724" s="206" t="str">
        <f>'[1]COMEDORES EMERGENTES'!$B$14</f>
        <v>VALLE VIEJO - SUMALAO</v>
      </c>
      <c r="C724" s="207"/>
      <c r="D724" s="88" t="s">
        <v>196</v>
      </c>
      <c r="E724" s="89" t="str">
        <f>'[1]COMEDORES EMERGENTES'!$G$14</f>
        <v>PADRE SEGURA S/N</v>
      </c>
    </row>
    <row r="725" spans="2:5" x14ac:dyDescent="0.2">
      <c r="B725" s="206" t="str">
        <f>'[1]COMEDORES EMERGENTES'!$B$15</f>
        <v>NUESTRO FUTURO - LAS VIAS</v>
      </c>
      <c r="C725" s="207"/>
      <c r="D725" s="88" t="s">
        <v>194</v>
      </c>
      <c r="E725" s="89" t="str">
        <f>'[1]COMEDORES EMERGENTES'!$G$15</f>
        <v>Bº LAS VIAS OESTE LOTE 42</v>
      </c>
    </row>
    <row r="726" spans="2:5" x14ac:dyDescent="0.2">
      <c r="B726" s="206" t="str">
        <f>'[1]COMEDORES EMERGENTES'!$B$16</f>
        <v>SAN JOSE OBRERO</v>
      </c>
      <c r="C726" s="207"/>
      <c r="D726" s="88" t="s">
        <v>193</v>
      </c>
      <c r="E726" s="89" t="str">
        <f>'[1]COMEDORES EMERGENTES'!$G$16</f>
        <v>Bº SAN JOSE OBRERO. PJE. SANDOVAL S/Nº</v>
      </c>
    </row>
    <row r="727" spans="2:5" x14ac:dyDescent="0.2">
      <c r="B727" s="206" t="str">
        <f>'[1]COMEDORES EMERGENTES'!$B$17</f>
        <v>VIRGEN DE LUJAN</v>
      </c>
      <c r="C727" s="207"/>
      <c r="D727" s="88" t="s">
        <v>194</v>
      </c>
      <c r="E727" s="89" t="str">
        <f>'[1]COMEDORES EMERGENTES'!$G$17</f>
        <v>Bº OJO DE AGUA C/DR.TEODULFO BARRIONUEVO S/Nº</v>
      </c>
    </row>
    <row r="728" spans="2:5" x14ac:dyDescent="0.2">
      <c r="B728" s="206" t="str">
        <f>'[1]COMEDORES EMERGENTES'!$B$18</f>
        <v>RENACER</v>
      </c>
      <c r="C728" s="207"/>
      <c r="D728" s="88" t="s">
        <v>197</v>
      </c>
      <c r="E728" s="89" t="str">
        <f>'[1]COMEDORES EMERGENTES'!$G$18</f>
        <v>Bº VIRGEN MORENITA</v>
      </c>
    </row>
    <row r="729" spans="2:5" x14ac:dyDescent="0.2">
      <c r="B729" s="206" t="str">
        <f>'[1]COMEDORES EMERGENTES'!$B$19</f>
        <v>CENTRO VECINAL MI JARDIN</v>
      </c>
      <c r="C729" s="207"/>
      <c r="D729" s="88" t="s">
        <v>198</v>
      </c>
      <c r="E729" s="89" t="str">
        <f>'[1]COMEDORES EMERGENTES'!$G$19</f>
        <v>C/ LOS TULIPANES ENTRE FLOR DE CEREZO Y HOLANDA MZA.27 Bº MI JARDIN</v>
      </c>
    </row>
    <row r="730" spans="2:5" x14ac:dyDescent="0.2">
      <c r="B730" s="206" t="str">
        <f>'[1]COMEDORES EMERGENTES'!$B$20</f>
        <v>LA VIEJA ESQUINA</v>
      </c>
      <c r="C730" s="207"/>
      <c r="D730" s="88" t="s">
        <v>199</v>
      </c>
      <c r="E730" s="89" t="str">
        <f>'[1]COMEDORES EMERGENTES'!$G$20</f>
        <v>B° CRISTO REY PJE CAPATAZ VILLAFAÑEZ Y ARMANDO CORREA</v>
      </c>
    </row>
    <row r="731" spans="2:5" x14ac:dyDescent="0.2">
      <c r="B731" s="206" t="str">
        <f>'[1]COMEDORES EMERGENTES'!$B$21</f>
        <v>GAUCHITO GIL</v>
      </c>
      <c r="C731" s="207"/>
      <c r="D731" s="88" t="s">
        <v>200</v>
      </c>
      <c r="E731" s="89" t="str">
        <f>'[1]COMEDORES EMERGENTES'!$G$21</f>
        <v>B° 26 VIVIENDAS CASA N° 3</v>
      </c>
    </row>
    <row r="732" spans="2:5" ht="13.5" thickBot="1" x14ac:dyDescent="0.25">
      <c r="B732" s="220" t="str">
        <f>'[1]COMEDORES EMERGENTES'!$B$22</f>
        <v>LOS TOLDOS</v>
      </c>
      <c r="C732" s="221"/>
      <c r="D732" s="95" t="s">
        <v>150</v>
      </c>
      <c r="E732" s="96" t="str">
        <f>'[1]COMEDORES EMERGENTES'!$G$22</f>
        <v>LOTEO PARQUE SUR CALLE S/NOMBRE S/N°</v>
      </c>
    </row>
    <row r="733" spans="2:5" x14ac:dyDescent="0.2">
      <c r="B733" s="13" t="s">
        <v>18</v>
      </c>
      <c r="C733" s="11"/>
      <c r="D733" s="52"/>
      <c r="E733" s="12"/>
    </row>
    <row r="734" spans="2:5" x14ac:dyDescent="0.2">
      <c r="B734" s="14"/>
      <c r="C734" s="219" t="s">
        <v>24</v>
      </c>
      <c r="D734" s="219"/>
      <c r="E734" s="219"/>
    </row>
    <row r="735" spans="2:5" x14ac:dyDescent="0.2">
      <c r="B735" s="13" t="s">
        <v>19</v>
      </c>
      <c r="C735" s="15"/>
      <c r="D735" s="15"/>
      <c r="E735" s="16"/>
    </row>
    <row r="736" spans="2:5" x14ac:dyDescent="0.2">
      <c r="B736" s="14"/>
      <c r="C736" s="219" t="s">
        <v>101</v>
      </c>
      <c r="D736" s="219"/>
      <c r="E736" s="219"/>
    </row>
    <row r="737" spans="2:5" x14ac:dyDescent="0.2">
      <c r="B737" s="13" t="s">
        <v>20</v>
      </c>
      <c r="C737" s="11"/>
      <c r="D737" s="52"/>
      <c r="E737" s="12"/>
    </row>
    <row r="738" spans="2:5" x14ac:dyDescent="0.2">
      <c r="B738" s="13"/>
      <c r="C738" s="205" t="s">
        <v>25</v>
      </c>
      <c r="D738" s="205"/>
      <c r="E738" s="205"/>
    </row>
    <row r="739" spans="2:5" ht="13.5" thickBot="1" x14ac:dyDescent="0.25">
      <c r="B739" s="17"/>
      <c r="C739" s="18"/>
      <c r="D739" s="53"/>
      <c r="E739" s="19"/>
    </row>
    <row r="740" spans="2:5" ht="13.5" thickBot="1" x14ac:dyDescent="0.25"/>
    <row r="741" spans="2:5" x14ac:dyDescent="0.2">
      <c r="B741" s="7" t="s">
        <v>119</v>
      </c>
      <c r="C741" s="8"/>
      <c r="D741" s="51"/>
      <c r="E741" s="9"/>
    </row>
    <row r="742" spans="2:5" x14ac:dyDescent="0.2">
      <c r="B742" s="10"/>
      <c r="C742" s="11"/>
      <c r="D742" s="52"/>
      <c r="E742" s="12"/>
    </row>
    <row r="743" spans="2:5" x14ac:dyDescent="0.2">
      <c r="B743" s="13" t="s">
        <v>16</v>
      </c>
      <c r="C743" s="11"/>
      <c r="D743" s="52"/>
      <c r="E743" s="12"/>
    </row>
    <row r="744" spans="2:5" ht="25.5" customHeight="1" x14ac:dyDescent="0.2">
      <c r="B744" s="13"/>
      <c r="C744" s="219"/>
      <c r="D744" s="219"/>
      <c r="E744" s="219"/>
    </row>
    <row r="745" spans="2:5" ht="13.5" thickBot="1" x14ac:dyDescent="0.25">
      <c r="B745" s="13" t="s">
        <v>17</v>
      </c>
      <c r="C745" s="11"/>
      <c r="D745" s="52"/>
      <c r="E745" s="12"/>
    </row>
    <row r="746" spans="2:5" ht="13.5" thickBot="1" x14ac:dyDescent="0.25">
      <c r="B746" s="211" t="s">
        <v>201</v>
      </c>
      <c r="C746" s="215"/>
      <c r="D746" s="215"/>
      <c r="E746" s="212"/>
    </row>
    <row r="747" spans="2:5" ht="13.5" thickBot="1" x14ac:dyDescent="0.25">
      <c r="B747" s="211" t="s">
        <v>99</v>
      </c>
      <c r="C747" s="212"/>
      <c r="D747" s="49" t="s">
        <v>11</v>
      </c>
      <c r="E747" s="49" t="s">
        <v>100</v>
      </c>
    </row>
    <row r="748" spans="2:5" x14ac:dyDescent="0.2">
      <c r="B748" s="213" t="str">
        <f>'[1]COMEDORES EMERGENTES'!$B$3</f>
        <v>UNA SONRISA AV. LOS COBACHO</v>
      </c>
      <c r="C748" s="214"/>
      <c r="D748" s="93" t="s">
        <v>202</v>
      </c>
      <c r="E748" s="94" t="str">
        <f>'[1]COMEDORES EMERGENTES'!$G$3</f>
        <v>Bº SAN CARLOS OESTE AV. Bonifacio cobacho 670</v>
      </c>
    </row>
    <row r="749" spans="2:5" x14ac:dyDescent="0.2">
      <c r="B749" s="206" t="str">
        <f>'[1]COMEDORES EMERGENTES'!$B$4</f>
        <v>C.I.F Nº1 - RIVERA DEL VALLE Y FLORIDA</v>
      </c>
      <c r="C749" s="207"/>
      <c r="D749" s="88" t="s">
        <v>202</v>
      </c>
      <c r="E749" s="89" t="str">
        <f>'[1]COMEDORES EMERGENTES'!$G$4</f>
        <v>AV. RIVIERA DEL VALLE ENTRE FLORIDA Y SANTA FE</v>
      </c>
    </row>
    <row r="750" spans="2:5" x14ac:dyDescent="0.2">
      <c r="B750" s="206" t="str">
        <f>'[1]COMEDORES EMERGENTES'!$B$5</f>
        <v>C.I.F - RIVERA DEL VALLE - DILORENZO</v>
      </c>
      <c r="C750" s="207"/>
      <c r="D750" s="88" t="s">
        <v>202</v>
      </c>
      <c r="E750" s="89" t="str">
        <f>'[1]COMEDORES EMERGENTES'!$G$5</f>
        <v>Bº RIVERA DEL VALLE ENTRE VILLA EUMELIA Y MONTE CRISTO</v>
      </c>
    </row>
    <row r="751" spans="2:5" x14ac:dyDescent="0.2">
      <c r="B751" s="206" t="str">
        <f>'[1]COMEDORES EMERGENTES'!$B$6</f>
        <v>ESFUERZO PROPIO- Bº ALTOS DE CHOYA</v>
      </c>
      <c r="C751" s="207"/>
      <c r="D751" s="88" t="s">
        <v>202</v>
      </c>
      <c r="E751" s="89" t="str">
        <f>'[1]COMEDORES EMERGENTES'!$G$6</f>
        <v>Bº MUNICIPAL 35VV. NORTE C/14</v>
      </c>
    </row>
    <row r="752" spans="2:5" x14ac:dyDescent="0.2">
      <c r="B752" s="206" t="str">
        <f>'[1]COMEDORES EMERGENTES'!$B$7</f>
        <v>ANGELITOS - LOTEO SUSSEX</v>
      </c>
      <c r="C752" s="207"/>
      <c r="D752" s="88" t="s">
        <v>202</v>
      </c>
      <c r="E752" s="89" t="str">
        <f>'[1]COMEDORES EMERGENTES'!$G$7</f>
        <v>Bº LOTEO SUSEX MZA.Nº 4 LOTE Nº3</v>
      </c>
    </row>
    <row r="753" spans="2:5" x14ac:dyDescent="0.2">
      <c r="B753" s="206" t="str">
        <f>'[1]COMEDORES EMERGENTES'!$B$8</f>
        <v>CLUB DEPORTIVO CHACARITA</v>
      </c>
      <c r="C753" s="207"/>
      <c r="D753" s="88" t="s">
        <v>202</v>
      </c>
      <c r="E753" s="89" t="str">
        <f>'[1]COMEDORES EMERGENTES'!$G$8</f>
        <v>CALLE DR.DERMIDIO GALINDEZ C/2660</v>
      </c>
    </row>
    <row r="754" spans="2:5" x14ac:dyDescent="0.2">
      <c r="B754" s="206" t="str">
        <f>'[1]COMEDORES EMERGENTES'!$B$9</f>
        <v>LA MORO</v>
      </c>
      <c r="C754" s="207"/>
      <c r="D754" s="88" t="s">
        <v>202</v>
      </c>
      <c r="E754" s="89" t="str">
        <f>'[1]COMEDORES EMERGENTES'!$G$9</f>
        <v>MAIPU NORTE 1º ETAPA MZA "H" Bº MI JARDIN</v>
      </c>
    </row>
    <row r="755" spans="2:5" x14ac:dyDescent="0.2">
      <c r="B755" s="206" t="str">
        <f>'[1]COMEDORES EMERGENTES'!$B$10</f>
        <v>PAPA FRANCISCO</v>
      </c>
      <c r="C755" s="207"/>
      <c r="D755" s="88" t="s">
        <v>202</v>
      </c>
      <c r="E755" s="89" t="str">
        <f>'[1]COMEDORES EMERGENTES'!$G$10</f>
        <v>ENTRE AV.TEREBINTO Y AV.SAN JUAN LOTE "2" MZA. "B"</v>
      </c>
    </row>
    <row r="756" spans="2:5" x14ac:dyDescent="0.2">
      <c r="B756" s="206" t="str">
        <f>'[1]COMEDORES EMERGENTES'!$B$11</f>
        <v>E.P.C - 100 V.V NORTE</v>
      </c>
      <c r="C756" s="207"/>
      <c r="D756" s="88" t="s">
        <v>202</v>
      </c>
      <c r="E756" s="89" t="str">
        <f>'[1]COMEDORES EMERGENTES'!$G$11</f>
        <v>Bº VV NORTE C/48 ENTRE ESPAÑA Y FRANCIA</v>
      </c>
    </row>
    <row r="757" spans="2:5" x14ac:dyDescent="0.2">
      <c r="B757" s="206" t="str">
        <f>'[1]COMEDORES EMERGENTES'!$B$12</f>
        <v>HOGAR DE CRISTO - PADRE RAUL CONTRERAS</v>
      </c>
      <c r="C757" s="207"/>
      <c r="D757" s="88" t="s">
        <v>202</v>
      </c>
      <c r="E757" s="89" t="str">
        <f>'[1]COMEDORES EMERGENTES'!$G$12</f>
        <v>Bº SANTA MARTA MZA. "S" LOTE "M" C/39</v>
      </c>
    </row>
    <row r="758" spans="2:5" x14ac:dyDescent="0.2">
      <c r="B758" s="206" t="str">
        <f>'[1]COMEDORES EMERGENTES'!$B$13</f>
        <v>LA LUCIERNAGA</v>
      </c>
      <c r="C758" s="207"/>
      <c r="D758" s="88" t="s">
        <v>202</v>
      </c>
      <c r="E758" s="89" t="str">
        <f>'[1]COMEDORES EMERGENTES'!$G$13</f>
        <v>Bº 20 V.V NORTE C/3</v>
      </c>
    </row>
    <row r="759" spans="2:5" x14ac:dyDescent="0.2">
      <c r="B759" s="206" t="str">
        <f>'[1]COMEDORES EMERGENTES'!$B$14</f>
        <v>VALLE VIEJO - SUMALAO</v>
      </c>
      <c r="C759" s="207"/>
      <c r="D759" s="88" t="s">
        <v>202</v>
      </c>
      <c r="E759" s="89" t="str">
        <f>'[1]COMEDORES EMERGENTES'!$G$14</f>
        <v>PADRE SEGURA S/N</v>
      </c>
    </row>
    <row r="760" spans="2:5" x14ac:dyDescent="0.2">
      <c r="B760" s="206" t="str">
        <f>'[1]COMEDORES EMERGENTES'!$B$15</f>
        <v>NUESTRO FUTURO - LAS VIAS</v>
      </c>
      <c r="C760" s="207"/>
      <c r="D760" s="88" t="s">
        <v>202</v>
      </c>
      <c r="E760" s="89" t="str">
        <f>'[1]COMEDORES EMERGENTES'!$G$15</f>
        <v>Bº LAS VIAS OESTE LOTE 42</v>
      </c>
    </row>
    <row r="761" spans="2:5" x14ac:dyDescent="0.2">
      <c r="B761" s="206" t="str">
        <f>'[1]COMEDORES EMERGENTES'!$B$16</f>
        <v>SAN JOSE OBRERO</v>
      </c>
      <c r="C761" s="207"/>
      <c r="D761" s="88" t="s">
        <v>202</v>
      </c>
      <c r="E761" s="89" t="str">
        <f>'[1]COMEDORES EMERGENTES'!$G$16</f>
        <v>Bº SAN JOSE OBRERO. PJE. SANDOVAL S/Nº</v>
      </c>
    </row>
    <row r="762" spans="2:5" x14ac:dyDescent="0.2">
      <c r="B762" s="206" t="str">
        <f>'[1]COMEDORES EMERGENTES'!$B$17</f>
        <v>VIRGEN DE LUJAN</v>
      </c>
      <c r="C762" s="207"/>
      <c r="D762" s="88" t="s">
        <v>202</v>
      </c>
      <c r="E762" s="89" t="str">
        <f>'[1]COMEDORES EMERGENTES'!$G$17</f>
        <v>Bº OJO DE AGUA C/DR.TEODULFO BARRIONUEVO S/Nº</v>
      </c>
    </row>
    <row r="763" spans="2:5" x14ac:dyDescent="0.2">
      <c r="B763" s="206" t="str">
        <f>'[1]COMEDORES EMERGENTES'!$B$18</f>
        <v>RENACER</v>
      </c>
      <c r="C763" s="207"/>
      <c r="D763" s="88" t="s">
        <v>202</v>
      </c>
      <c r="E763" s="89" t="str">
        <f>'[1]COMEDORES EMERGENTES'!$G$18</f>
        <v>Bº VIRGEN MORENITA</v>
      </c>
    </row>
    <row r="764" spans="2:5" x14ac:dyDescent="0.2">
      <c r="B764" s="206" t="str">
        <f>'[1]COMEDORES EMERGENTES'!$B$19</f>
        <v>CENTRO VECINAL MI JARDIN</v>
      </c>
      <c r="C764" s="207"/>
      <c r="D764" s="88" t="s">
        <v>202</v>
      </c>
      <c r="E764" s="89" t="str">
        <f>'[1]COMEDORES EMERGENTES'!$G$19</f>
        <v>C/ LOS TULIPANES ENTRE FLOR DE CEREZO Y HOLANDA MZA.27 Bº MI JARDIN</v>
      </c>
    </row>
    <row r="765" spans="2:5" x14ac:dyDescent="0.2">
      <c r="B765" s="206" t="str">
        <f>'[1]COMEDORES EMERGENTES'!$B$20</f>
        <v>LA VIEJA ESQUINA</v>
      </c>
      <c r="C765" s="207"/>
      <c r="D765" s="88" t="s">
        <v>202</v>
      </c>
      <c r="E765" s="89" t="str">
        <f>'[1]COMEDORES EMERGENTES'!$G$20</f>
        <v>B° CRISTO REY PJE CAPATAZ VILLAFAÑEZ Y ARMANDO CORREA</v>
      </c>
    </row>
    <row r="766" spans="2:5" x14ac:dyDescent="0.2">
      <c r="B766" s="206" t="str">
        <f>'[1]COMEDORES EMERGENTES'!$B$21</f>
        <v>GAUCHITO GIL</v>
      </c>
      <c r="C766" s="207"/>
      <c r="D766" s="88" t="s">
        <v>202</v>
      </c>
      <c r="E766" s="89" t="str">
        <f>'[1]COMEDORES EMERGENTES'!$G$21</f>
        <v>B° 26 VIVIENDAS CASA N° 3</v>
      </c>
    </row>
    <row r="767" spans="2:5" ht="13.5" thickBot="1" x14ac:dyDescent="0.25">
      <c r="B767" s="220" t="str">
        <f>'[1]COMEDORES EMERGENTES'!$B$22</f>
        <v>LOS TOLDOS</v>
      </c>
      <c r="C767" s="221"/>
      <c r="D767" s="95" t="s">
        <v>202</v>
      </c>
      <c r="E767" s="96" t="str">
        <f>'[1]COMEDORES EMERGENTES'!$G$22</f>
        <v>LOTEO PARQUE SUR CALLE S/NOMBRE S/N°</v>
      </c>
    </row>
    <row r="768" spans="2:5" x14ac:dyDescent="0.2">
      <c r="B768" s="13" t="s">
        <v>18</v>
      </c>
      <c r="C768" s="11"/>
      <c r="D768" s="52"/>
      <c r="E768" s="12"/>
    </row>
    <row r="769" spans="2:5" x14ac:dyDescent="0.2">
      <c r="B769" s="14"/>
      <c r="C769" s="219" t="s">
        <v>24</v>
      </c>
      <c r="D769" s="219"/>
      <c r="E769" s="219"/>
    </row>
    <row r="770" spans="2:5" x14ac:dyDescent="0.2">
      <c r="B770" s="13" t="s">
        <v>19</v>
      </c>
      <c r="C770" s="15"/>
      <c r="D770" s="15"/>
      <c r="E770" s="16"/>
    </row>
    <row r="771" spans="2:5" x14ac:dyDescent="0.2">
      <c r="B771" s="14"/>
      <c r="C771" s="219" t="s">
        <v>101</v>
      </c>
      <c r="D771" s="219"/>
      <c r="E771" s="219"/>
    </row>
    <row r="772" spans="2:5" x14ac:dyDescent="0.2">
      <c r="B772" s="13" t="s">
        <v>20</v>
      </c>
      <c r="C772" s="11"/>
      <c r="D772" s="52"/>
      <c r="E772" s="12"/>
    </row>
    <row r="773" spans="2:5" x14ac:dyDescent="0.2">
      <c r="B773" s="13"/>
      <c r="C773" s="205" t="s">
        <v>25</v>
      </c>
      <c r="D773" s="205"/>
      <c r="E773" s="205"/>
    </row>
    <row r="774" spans="2:5" ht="13.5" thickBot="1" x14ac:dyDescent="0.25">
      <c r="B774" s="17"/>
      <c r="C774" s="18"/>
      <c r="D774" s="53"/>
      <c r="E774" s="19"/>
    </row>
    <row r="775" spans="2:5" ht="13.5" thickBot="1" x14ac:dyDescent="0.25"/>
    <row r="776" spans="2:5" x14ac:dyDescent="0.2">
      <c r="B776" s="7" t="s">
        <v>120</v>
      </c>
      <c r="C776" s="8"/>
      <c r="D776" s="51"/>
      <c r="E776" s="9"/>
    </row>
    <row r="777" spans="2:5" x14ac:dyDescent="0.2">
      <c r="B777" s="10"/>
      <c r="C777" s="11"/>
      <c r="D777" s="52"/>
      <c r="E777" s="12"/>
    </row>
    <row r="778" spans="2:5" x14ac:dyDescent="0.2">
      <c r="B778" s="13" t="s">
        <v>16</v>
      </c>
      <c r="C778" s="11"/>
      <c r="D778" s="52"/>
      <c r="E778" s="12"/>
    </row>
    <row r="779" spans="2:5" ht="25.5" customHeight="1" x14ac:dyDescent="0.2">
      <c r="B779" s="13"/>
      <c r="C779" s="219"/>
      <c r="D779" s="219"/>
      <c r="E779" s="219"/>
    </row>
    <row r="780" spans="2:5" ht="13.5" thickBot="1" x14ac:dyDescent="0.25">
      <c r="B780" s="13" t="s">
        <v>17</v>
      </c>
      <c r="C780" s="11"/>
      <c r="D780" s="52"/>
      <c r="E780" s="12"/>
    </row>
    <row r="781" spans="2:5" ht="13.5" thickBot="1" x14ac:dyDescent="0.25">
      <c r="B781" s="211" t="s">
        <v>201</v>
      </c>
      <c r="C781" s="215"/>
      <c r="D781" s="215"/>
      <c r="E781" s="212"/>
    </row>
    <row r="782" spans="2:5" ht="13.5" thickBot="1" x14ac:dyDescent="0.25">
      <c r="B782" s="211" t="s">
        <v>99</v>
      </c>
      <c r="C782" s="212"/>
      <c r="D782" s="49" t="s">
        <v>11</v>
      </c>
      <c r="E782" s="49" t="s">
        <v>100</v>
      </c>
    </row>
    <row r="783" spans="2:5" x14ac:dyDescent="0.2">
      <c r="B783" s="213" t="str">
        <f>'[1]COMEDORES EMERGENTES'!$B$3</f>
        <v>UNA SONRISA AV. LOS COBACHO</v>
      </c>
      <c r="C783" s="214"/>
      <c r="D783" s="93" t="s">
        <v>202</v>
      </c>
      <c r="E783" s="94" t="str">
        <f>'[1]COMEDORES EMERGENTES'!$G$3</f>
        <v>Bº SAN CARLOS OESTE AV. Bonifacio cobacho 670</v>
      </c>
    </row>
    <row r="784" spans="2:5" x14ac:dyDescent="0.2">
      <c r="B784" s="206" t="str">
        <f>'[1]COMEDORES EMERGENTES'!$B$4</f>
        <v>C.I.F Nº1 - RIVERA DEL VALLE Y FLORIDA</v>
      </c>
      <c r="C784" s="207"/>
      <c r="D784" s="88" t="s">
        <v>202</v>
      </c>
      <c r="E784" s="89" t="str">
        <f>'[1]COMEDORES EMERGENTES'!$G$4</f>
        <v>AV. RIVIERA DEL VALLE ENTRE FLORIDA Y SANTA FE</v>
      </c>
    </row>
    <row r="785" spans="2:5" x14ac:dyDescent="0.2">
      <c r="B785" s="206" t="str">
        <f>'[1]COMEDORES EMERGENTES'!$B$5</f>
        <v>C.I.F - RIVERA DEL VALLE - DILORENZO</v>
      </c>
      <c r="C785" s="207"/>
      <c r="D785" s="88" t="s">
        <v>202</v>
      </c>
      <c r="E785" s="89" t="str">
        <f>'[1]COMEDORES EMERGENTES'!$G$5</f>
        <v>Bº RIVERA DEL VALLE ENTRE VILLA EUMELIA Y MONTE CRISTO</v>
      </c>
    </row>
    <row r="786" spans="2:5" x14ac:dyDescent="0.2">
      <c r="B786" s="206" t="str">
        <f>'[1]COMEDORES EMERGENTES'!$B$6</f>
        <v>ESFUERZO PROPIO- Bº ALTOS DE CHOYA</v>
      </c>
      <c r="C786" s="207"/>
      <c r="D786" s="88" t="s">
        <v>202</v>
      </c>
      <c r="E786" s="89" t="str">
        <f>'[1]COMEDORES EMERGENTES'!$G$6</f>
        <v>Bº MUNICIPAL 35VV. NORTE C/14</v>
      </c>
    </row>
    <row r="787" spans="2:5" x14ac:dyDescent="0.2">
      <c r="B787" s="206" t="str">
        <f>'[1]COMEDORES EMERGENTES'!$B$7</f>
        <v>ANGELITOS - LOTEO SUSSEX</v>
      </c>
      <c r="C787" s="207"/>
      <c r="D787" s="88" t="s">
        <v>202</v>
      </c>
      <c r="E787" s="89" t="str">
        <f>'[1]COMEDORES EMERGENTES'!$G$7</f>
        <v>Bº LOTEO SUSEX MZA.Nº 4 LOTE Nº3</v>
      </c>
    </row>
    <row r="788" spans="2:5" x14ac:dyDescent="0.2">
      <c r="B788" s="206" t="str">
        <f>'[1]COMEDORES EMERGENTES'!$B$8</f>
        <v>CLUB DEPORTIVO CHACARITA</v>
      </c>
      <c r="C788" s="207"/>
      <c r="D788" s="88" t="s">
        <v>202</v>
      </c>
      <c r="E788" s="89" t="str">
        <f>'[1]COMEDORES EMERGENTES'!$G$8</f>
        <v>CALLE DR.DERMIDIO GALINDEZ C/2660</v>
      </c>
    </row>
    <row r="789" spans="2:5" x14ac:dyDescent="0.2">
      <c r="B789" s="206" t="str">
        <f>'[1]COMEDORES EMERGENTES'!$B$9</f>
        <v>LA MORO</v>
      </c>
      <c r="C789" s="207"/>
      <c r="D789" s="88" t="s">
        <v>202</v>
      </c>
      <c r="E789" s="89" t="str">
        <f>'[1]COMEDORES EMERGENTES'!$G$9</f>
        <v>MAIPU NORTE 1º ETAPA MZA "H" Bº MI JARDIN</v>
      </c>
    </row>
    <row r="790" spans="2:5" x14ac:dyDescent="0.2">
      <c r="B790" s="206" t="str">
        <f>'[1]COMEDORES EMERGENTES'!$B$10</f>
        <v>PAPA FRANCISCO</v>
      </c>
      <c r="C790" s="207"/>
      <c r="D790" s="88" t="s">
        <v>202</v>
      </c>
      <c r="E790" s="89" t="str">
        <f>'[1]COMEDORES EMERGENTES'!$G$10</f>
        <v>ENTRE AV.TEREBINTO Y AV.SAN JUAN LOTE "2" MZA. "B"</v>
      </c>
    </row>
    <row r="791" spans="2:5" x14ac:dyDescent="0.2">
      <c r="B791" s="206" t="str">
        <f>'[1]COMEDORES EMERGENTES'!$B$11</f>
        <v>E.P.C - 100 V.V NORTE</v>
      </c>
      <c r="C791" s="207"/>
      <c r="D791" s="88" t="s">
        <v>202</v>
      </c>
      <c r="E791" s="89" t="str">
        <f>'[1]COMEDORES EMERGENTES'!$G$11</f>
        <v>Bº VV NORTE C/48 ENTRE ESPAÑA Y FRANCIA</v>
      </c>
    </row>
    <row r="792" spans="2:5" x14ac:dyDescent="0.2">
      <c r="B792" s="206" t="str">
        <f>'[1]COMEDORES EMERGENTES'!$B$12</f>
        <v>HOGAR DE CRISTO - PADRE RAUL CONTRERAS</v>
      </c>
      <c r="C792" s="207"/>
      <c r="D792" s="88" t="s">
        <v>202</v>
      </c>
      <c r="E792" s="89" t="str">
        <f>'[1]COMEDORES EMERGENTES'!$G$12</f>
        <v>Bº SANTA MARTA MZA. "S" LOTE "M" C/39</v>
      </c>
    </row>
    <row r="793" spans="2:5" x14ac:dyDescent="0.2">
      <c r="B793" s="206" t="str">
        <f>'[1]COMEDORES EMERGENTES'!$B$13</f>
        <v>LA LUCIERNAGA</v>
      </c>
      <c r="C793" s="207"/>
      <c r="D793" s="88" t="s">
        <v>202</v>
      </c>
      <c r="E793" s="89" t="str">
        <f>'[1]COMEDORES EMERGENTES'!$G$13</f>
        <v>Bº 20 V.V NORTE C/3</v>
      </c>
    </row>
    <row r="794" spans="2:5" x14ac:dyDescent="0.2">
      <c r="B794" s="206" t="str">
        <f>'[1]COMEDORES EMERGENTES'!$B$14</f>
        <v>VALLE VIEJO - SUMALAO</v>
      </c>
      <c r="C794" s="207"/>
      <c r="D794" s="88" t="s">
        <v>202</v>
      </c>
      <c r="E794" s="89" t="str">
        <f>'[1]COMEDORES EMERGENTES'!$G$14</f>
        <v>PADRE SEGURA S/N</v>
      </c>
    </row>
    <row r="795" spans="2:5" x14ac:dyDescent="0.2">
      <c r="B795" s="206" t="str">
        <f>'[1]COMEDORES EMERGENTES'!$B$15</f>
        <v>NUESTRO FUTURO - LAS VIAS</v>
      </c>
      <c r="C795" s="207"/>
      <c r="D795" s="88" t="s">
        <v>202</v>
      </c>
      <c r="E795" s="89" t="str">
        <f>'[1]COMEDORES EMERGENTES'!$G$15</f>
        <v>Bº LAS VIAS OESTE LOTE 42</v>
      </c>
    </row>
    <row r="796" spans="2:5" x14ac:dyDescent="0.2">
      <c r="B796" s="206" t="str">
        <f>'[1]COMEDORES EMERGENTES'!$B$16</f>
        <v>SAN JOSE OBRERO</v>
      </c>
      <c r="C796" s="207"/>
      <c r="D796" s="88" t="s">
        <v>202</v>
      </c>
      <c r="E796" s="89" t="str">
        <f>'[1]COMEDORES EMERGENTES'!$G$16</f>
        <v>Bº SAN JOSE OBRERO. PJE. SANDOVAL S/Nº</v>
      </c>
    </row>
    <row r="797" spans="2:5" x14ac:dyDescent="0.2">
      <c r="B797" s="206" t="str">
        <f>'[1]COMEDORES EMERGENTES'!$B$17</f>
        <v>VIRGEN DE LUJAN</v>
      </c>
      <c r="C797" s="207"/>
      <c r="D797" s="88" t="s">
        <v>202</v>
      </c>
      <c r="E797" s="89" t="str">
        <f>'[1]COMEDORES EMERGENTES'!$G$17</f>
        <v>Bº OJO DE AGUA C/DR.TEODULFO BARRIONUEVO S/Nº</v>
      </c>
    </row>
    <row r="798" spans="2:5" x14ac:dyDescent="0.2">
      <c r="B798" s="206" t="str">
        <f>'[1]COMEDORES EMERGENTES'!$B$18</f>
        <v>RENACER</v>
      </c>
      <c r="C798" s="207"/>
      <c r="D798" s="88" t="s">
        <v>202</v>
      </c>
      <c r="E798" s="89" t="str">
        <f>'[1]COMEDORES EMERGENTES'!$G$18</f>
        <v>Bº VIRGEN MORENITA</v>
      </c>
    </row>
    <row r="799" spans="2:5" x14ac:dyDescent="0.2">
      <c r="B799" s="206" t="str">
        <f>'[1]COMEDORES EMERGENTES'!$B$19</f>
        <v>CENTRO VECINAL MI JARDIN</v>
      </c>
      <c r="C799" s="207"/>
      <c r="D799" s="88" t="s">
        <v>202</v>
      </c>
      <c r="E799" s="89" t="str">
        <f>'[1]COMEDORES EMERGENTES'!$G$19</f>
        <v>C/ LOS TULIPANES ENTRE FLOR DE CEREZO Y HOLANDA MZA.27 Bº MI JARDIN</v>
      </c>
    </row>
    <row r="800" spans="2:5" x14ac:dyDescent="0.2">
      <c r="B800" s="206" t="str">
        <f>'[1]COMEDORES EMERGENTES'!$B$20</f>
        <v>LA VIEJA ESQUINA</v>
      </c>
      <c r="C800" s="207"/>
      <c r="D800" s="88" t="s">
        <v>202</v>
      </c>
      <c r="E800" s="89" t="str">
        <f>'[1]COMEDORES EMERGENTES'!$G$20</f>
        <v>B° CRISTO REY PJE CAPATAZ VILLAFAÑEZ Y ARMANDO CORREA</v>
      </c>
    </row>
    <row r="801" spans="2:5" x14ac:dyDescent="0.2">
      <c r="B801" s="206" t="str">
        <f>'[1]COMEDORES EMERGENTES'!$B$21</f>
        <v>GAUCHITO GIL</v>
      </c>
      <c r="C801" s="207"/>
      <c r="D801" s="88" t="s">
        <v>202</v>
      </c>
      <c r="E801" s="89" t="str">
        <f>'[1]COMEDORES EMERGENTES'!$G$21</f>
        <v>B° 26 VIVIENDAS CASA N° 3</v>
      </c>
    </row>
    <row r="802" spans="2:5" ht="13.5" thickBot="1" x14ac:dyDescent="0.25">
      <c r="B802" s="220" t="str">
        <f>'[1]COMEDORES EMERGENTES'!$B$22</f>
        <v>LOS TOLDOS</v>
      </c>
      <c r="C802" s="221"/>
      <c r="D802" s="95" t="s">
        <v>202</v>
      </c>
      <c r="E802" s="96" t="str">
        <f>'[1]COMEDORES EMERGENTES'!$G$22</f>
        <v>LOTEO PARQUE SUR CALLE S/NOMBRE S/N°</v>
      </c>
    </row>
    <row r="803" spans="2:5" x14ac:dyDescent="0.2">
      <c r="B803" s="13" t="s">
        <v>18</v>
      </c>
      <c r="C803" s="11"/>
      <c r="D803" s="52"/>
      <c r="E803" s="12"/>
    </row>
    <row r="804" spans="2:5" x14ac:dyDescent="0.2">
      <c r="B804" s="14"/>
      <c r="C804" s="219" t="s">
        <v>24</v>
      </c>
      <c r="D804" s="219"/>
      <c r="E804" s="219"/>
    </row>
    <row r="805" spans="2:5" x14ac:dyDescent="0.2">
      <c r="B805" s="13" t="s">
        <v>19</v>
      </c>
      <c r="C805" s="15"/>
      <c r="D805" s="15"/>
      <c r="E805" s="16"/>
    </row>
    <row r="806" spans="2:5" x14ac:dyDescent="0.2">
      <c r="B806" s="14"/>
      <c r="C806" s="219" t="s">
        <v>101</v>
      </c>
      <c r="D806" s="219"/>
      <c r="E806" s="219"/>
    </row>
    <row r="807" spans="2:5" x14ac:dyDescent="0.2">
      <c r="B807" s="13" t="s">
        <v>20</v>
      </c>
      <c r="C807" s="11"/>
      <c r="D807" s="52"/>
      <c r="E807" s="12"/>
    </row>
    <row r="808" spans="2:5" x14ac:dyDescent="0.2">
      <c r="B808" s="13"/>
      <c r="C808" s="205" t="s">
        <v>25</v>
      </c>
      <c r="D808" s="205"/>
      <c r="E808" s="205"/>
    </row>
    <row r="809" spans="2:5" ht="13.5" thickBot="1" x14ac:dyDescent="0.25">
      <c r="B809" s="17"/>
      <c r="C809" s="18"/>
      <c r="D809" s="53"/>
      <c r="E809" s="19"/>
    </row>
    <row r="810" spans="2:5" ht="13.5" thickBot="1" x14ac:dyDescent="0.25"/>
    <row r="811" spans="2:5" x14ac:dyDescent="0.2">
      <c r="B811" s="7" t="s">
        <v>121</v>
      </c>
      <c r="C811" s="8"/>
      <c r="D811" s="51"/>
      <c r="E811" s="9"/>
    </row>
    <row r="812" spans="2:5" x14ac:dyDescent="0.2">
      <c r="B812" s="10"/>
      <c r="C812" s="11"/>
      <c r="D812" s="52"/>
      <c r="E812" s="12"/>
    </row>
    <row r="813" spans="2:5" x14ac:dyDescent="0.2">
      <c r="B813" s="13" t="s">
        <v>16</v>
      </c>
      <c r="C813" s="11"/>
      <c r="D813" s="52"/>
      <c r="E813" s="12"/>
    </row>
    <row r="814" spans="2:5" ht="25.5" customHeight="1" x14ac:dyDescent="0.2">
      <c r="B814" s="13"/>
      <c r="C814" s="219"/>
      <c r="D814" s="219"/>
      <c r="E814" s="219"/>
    </row>
    <row r="815" spans="2:5" ht="13.5" thickBot="1" x14ac:dyDescent="0.25">
      <c r="B815" s="13" t="s">
        <v>17</v>
      </c>
      <c r="C815" s="11"/>
      <c r="D815" s="52"/>
      <c r="E815" s="12"/>
    </row>
    <row r="816" spans="2:5" ht="13.5" thickBot="1" x14ac:dyDescent="0.25">
      <c r="B816" s="211" t="s">
        <v>201</v>
      </c>
      <c r="C816" s="215"/>
      <c r="D816" s="215"/>
      <c r="E816" s="212"/>
    </row>
    <row r="817" spans="2:5" ht="13.5" thickBot="1" x14ac:dyDescent="0.25">
      <c r="B817" s="211" t="s">
        <v>99</v>
      </c>
      <c r="C817" s="212"/>
      <c r="D817" s="49" t="s">
        <v>11</v>
      </c>
      <c r="E817" s="49" t="s">
        <v>100</v>
      </c>
    </row>
    <row r="818" spans="2:5" x14ac:dyDescent="0.2">
      <c r="B818" s="213" t="str">
        <f>'[1]COMEDORES EMERGENTES'!$B$3</f>
        <v>UNA SONRISA AV. LOS COBACHO</v>
      </c>
      <c r="C818" s="214"/>
      <c r="D818" s="93" t="s">
        <v>202</v>
      </c>
      <c r="E818" s="94" t="str">
        <f>'[1]COMEDORES EMERGENTES'!$G$3</f>
        <v>Bº SAN CARLOS OESTE AV. Bonifacio cobacho 670</v>
      </c>
    </row>
    <row r="819" spans="2:5" x14ac:dyDescent="0.2">
      <c r="B819" s="206" t="str">
        <f>'[1]COMEDORES EMERGENTES'!$B$4</f>
        <v>C.I.F Nº1 - RIVERA DEL VALLE Y FLORIDA</v>
      </c>
      <c r="C819" s="207"/>
      <c r="D819" s="88" t="s">
        <v>202</v>
      </c>
      <c r="E819" s="89" t="str">
        <f>'[1]COMEDORES EMERGENTES'!$G$4</f>
        <v>AV. RIVIERA DEL VALLE ENTRE FLORIDA Y SANTA FE</v>
      </c>
    </row>
    <row r="820" spans="2:5" x14ac:dyDescent="0.2">
      <c r="B820" s="206" t="str">
        <f>'[1]COMEDORES EMERGENTES'!$B$5</f>
        <v>C.I.F - RIVERA DEL VALLE - DILORENZO</v>
      </c>
      <c r="C820" s="207"/>
      <c r="D820" s="88" t="s">
        <v>202</v>
      </c>
      <c r="E820" s="89" t="str">
        <f>'[1]COMEDORES EMERGENTES'!$G$5</f>
        <v>Bº RIVERA DEL VALLE ENTRE VILLA EUMELIA Y MONTE CRISTO</v>
      </c>
    </row>
    <row r="821" spans="2:5" x14ac:dyDescent="0.2">
      <c r="B821" s="206" t="str">
        <f>'[1]COMEDORES EMERGENTES'!$B$6</f>
        <v>ESFUERZO PROPIO- Bº ALTOS DE CHOYA</v>
      </c>
      <c r="C821" s="207"/>
      <c r="D821" s="88" t="s">
        <v>202</v>
      </c>
      <c r="E821" s="89" t="str">
        <f>'[1]COMEDORES EMERGENTES'!$G$6</f>
        <v>Bº MUNICIPAL 35VV. NORTE C/14</v>
      </c>
    </row>
    <row r="822" spans="2:5" x14ac:dyDescent="0.2">
      <c r="B822" s="206" t="str">
        <f>'[1]COMEDORES EMERGENTES'!$B$7</f>
        <v>ANGELITOS - LOTEO SUSSEX</v>
      </c>
      <c r="C822" s="207"/>
      <c r="D822" s="88" t="s">
        <v>202</v>
      </c>
      <c r="E822" s="89" t="str">
        <f>'[1]COMEDORES EMERGENTES'!$G$7</f>
        <v>Bº LOTEO SUSEX MZA.Nº 4 LOTE Nº3</v>
      </c>
    </row>
    <row r="823" spans="2:5" x14ac:dyDescent="0.2">
      <c r="B823" s="206" t="str">
        <f>'[1]COMEDORES EMERGENTES'!$B$8</f>
        <v>CLUB DEPORTIVO CHACARITA</v>
      </c>
      <c r="C823" s="207"/>
      <c r="D823" s="88" t="s">
        <v>202</v>
      </c>
      <c r="E823" s="89" t="str">
        <f>'[1]COMEDORES EMERGENTES'!$G$8</f>
        <v>CALLE DR.DERMIDIO GALINDEZ C/2660</v>
      </c>
    </row>
    <row r="824" spans="2:5" x14ac:dyDescent="0.2">
      <c r="B824" s="206" t="str">
        <f>'[1]COMEDORES EMERGENTES'!$B$9</f>
        <v>LA MORO</v>
      </c>
      <c r="C824" s="207"/>
      <c r="D824" s="88" t="s">
        <v>202</v>
      </c>
      <c r="E824" s="89" t="str">
        <f>'[1]COMEDORES EMERGENTES'!$G$9</f>
        <v>MAIPU NORTE 1º ETAPA MZA "H" Bº MI JARDIN</v>
      </c>
    </row>
    <row r="825" spans="2:5" x14ac:dyDescent="0.2">
      <c r="B825" s="206" t="str">
        <f>'[1]COMEDORES EMERGENTES'!$B$10</f>
        <v>PAPA FRANCISCO</v>
      </c>
      <c r="C825" s="207"/>
      <c r="D825" s="88" t="s">
        <v>202</v>
      </c>
      <c r="E825" s="89" t="str">
        <f>'[1]COMEDORES EMERGENTES'!$G$10</f>
        <v>ENTRE AV.TEREBINTO Y AV.SAN JUAN LOTE "2" MZA. "B"</v>
      </c>
    </row>
    <row r="826" spans="2:5" x14ac:dyDescent="0.2">
      <c r="B826" s="206" t="str">
        <f>'[1]COMEDORES EMERGENTES'!$B$11</f>
        <v>E.P.C - 100 V.V NORTE</v>
      </c>
      <c r="C826" s="207"/>
      <c r="D826" s="88" t="s">
        <v>202</v>
      </c>
      <c r="E826" s="89" t="str">
        <f>'[1]COMEDORES EMERGENTES'!$G$11</f>
        <v>Bº VV NORTE C/48 ENTRE ESPAÑA Y FRANCIA</v>
      </c>
    </row>
    <row r="827" spans="2:5" x14ac:dyDescent="0.2">
      <c r="B827" s="206" t="str">
        <f>'[1]COMEDORES EMERGENTES'!$B$12</f>
        <v>HOGAR DE CRISTO - PADRE RAUL CONTRERAS</v>
      </c>
      <c r="C827" s="207"/>
      <c r="D827" s="88" t="s">
        <v>202</v>
      </c>
      <c r="E827" s="89" t="str">
        <f>'[1]COMEDORES EMERGENTES'!$G$12</f>
        <v>Bº SANTA MARTA MZA. "S" LOTE "M" C/39</v>
      </c>
    </row>
    <row r="828" spans="2:5" x14ac:dyDescent="0.2">
      <c r="B828" s="206" t="str">
        <f>'[1]COMEDORES EMERGENTES'!$B$13</f>
        <v>LA LUCIERNAGA</v>
      </c>
      <c r="C828" s="207"/>
      <c r="D828" s="88" t="s">
        <v>202</v>
      </c>
      <c r="E828" s="89" t="str">
        <f>'[1]COMEDORES EMERGENTES'!$G$13</f>
        <v>Bº 20 V.V NORTE C/3</v>
      </c>
    </row>
    <row r="829" spans="2:5" x14ac:dyDescent="0.2">
      <c r="B829" s="206" t="str">
        <f>'[1]COMEDORES EMERGENTES'!$B$14</f>
        <v>VALLE VIEJO - SUMALAO</v>
      </c>
      <c r="C829" s="207"/>
      <c r="D829" s="88" t="s">
        <v>202</v>
      </c>
      <c r="E829" s="89" t="str">
        <f>'[1]COMEDORES EMERGENTES'!$G$14</f>
        <v>PADRE SEGURA S/N</v>
      </c>
    </row>
    <row r="830" spans="2:5" x14ac:dyDescent="0.2">
      <c r="B830" s="206" t="str">
        <f>'[1]COMEDORES EMERGENTES'!$B$15</f>
        <v>NUESTRO FUTURO - LAS VIAS</v>
      </c>
      <c r="C830" s="207"/>
      <c r="D830" s="88" t="s">
        <v>202</v>
      </c>
      <c r="E830" s="89" t="str">
        <f>'[1]COMEDORES EMERGENTES'!$G$15</f>
        <v>Bº LAS VIAS OESTE LOTE 42</v>
      </c>
    </row>
    <row r="831" spans="2:5" x14ac:dyDescent="0.2">
      <c r="B831" s="206" t="str">
        <f>'[1]COMEDORES EMERGENTES'!$B$16</f>
        <v>SAN JOSE OBRERO</v>
      </c>
      <c r="C831" s="207"/>
      <c r="D831" s="88" t="s">
        <v>202</v>
      </c>
      <c r="E831" s="89" t="str">
        <f>'[1]COMEDORES EMERGENTES'!$G$16</f>
        <v>Bº SAN JOSE OBRERO. PJE. SANDOVAL S/Nº</v>
      </c>
    </row>
    <row r="832" spans="2:5" x14ac:dyDescent="0.2">
      <c r="B832" s="206" t="str">
        <f>'[1]COMEDORES EMERGENTES'!$B$17</f>
        <v>VIRGEN DE LUJAN</v>
      </c>
      <c r="C832" s="207"/>
      <c r="D832" s="88" t="s">
        <v>202</v>
      </c>
      <c r="E832" s="89" t="str">
        <f>'[1]COMEDORES EMERGENTES'!$G$17</f>
        <v>Bº OJO DE AGUA C/DR.TEODULFO BARRIONUEVO S/Nº</v>
      </c>
    </row>
    <row r="833" spans="2:5" x14ac:dyDescent="0.2">
      <c r="B833" s="206" t="str">
        <f>'[1]COMEDORES EMERGENTES'!$B$18</f>
        <v>RENACER</v>
      </c>
      <c r="C833" s="207"/>
      <c r="D833" s="88" t="s">
        <v>202</v>
      </c>
      <c r="E833" s="89" t="str">
        <f>'[1]COMEDORES EMERGENTES'!$G$18</f>
        <v>Bº VIRGEN MORENITA</v>
      </c>
    </row>
    <row r="834" spans="2:5" x14ac:dyDescent="0.2">
      <c r="B834" s="206" t="str">
        <f>'[1]COMEDORES EMERGENTES'!$B$19</f>
        <v>CENTRO VECINAL MI JARDIN</v>
      </c>
      <c r="C834" s="207"/>
      <c r="D834" s="88" t="s">
        <v>202</v>
      </c>
      <c r="E834" s="89" t="str">
        <f>'[1]COMEDORES EMERGENTES'!$G$19</f>
        <v>C/ LOS TULIPANES ENTRE FLOR DE CEREZO Y HOLANDA MZA.27 Bº MI JARDIN</v>
      </c>
    </row>
    <row r="835" spans="2:5" x14ac:dyDescent="0.2">
      <c r="B835" s="206" t="str">
        <f>'[1]COMEDORES EMERGENTES'!$B$20</f>
        <v>LA VIEJA ESQUINA</v>
      </c>
      <c r="C835" s="207"/>
      <c r="D835" s="88" t="s">
        <v>202</v>
      </c>
      <c r="E835" s="89" t="str">
        <f>'[1]COMEDORES EMERGENTES'!$G$20</f>
        <v>B° CRISTO REY PJE CAPATAZ VILLAFAÑEZ Y ARMANDO CORREA</v>
      </c>
    </row>
    <row r="836" spans="2:5" x14ac:dyDescent="0.2">
      <c r="B836" s="206" t="str">
        <f>'[1]COMEDORES EMERGENTES'!$B$21</f>
        <v>GAUCHITO GIL</v>
      </c>
      <c r="C836" s="207"/>
      <c r="D836" s="88" t="s">
        <v>202</v>
      </c>
      <c r="E836" s="89" t="str">
        <f>'[1]COMEDORES EMERGENTES'!$G$21</f>
        <v>B° 26 VIVIENDAS CASA N° 3</v>
      </c>
    </row>
    <row r="837" spans="2:5" ht="13.5" thickBot="1" x14ac:dyDescent="0.25">
      <c r="B837" s="220" t="str">
        <f>'[1]COMEDORES EMERGENTES'!$B$22</f>
        <v>LOS TOLDOS</v>
      </c>
      <c r="C837" s="221"/>
      <c r="D837" s="95" t="s">
        <v>202</v>
      </c>
      <c r="E837" s="96" t="str">
        <f>'[1]COMEDORES EMERGENTES'!$G$22</f>
        <v>LOTEO PARQUE SUR CALLE S/NOMBRE S/N°</v>
      </c>
    </row>
    <row r="838" spans="2:5" x14ac:dyDescent="0.2">
      <c r="B838" s="13" t="s">
        <v>18</v>
      </c>
      <c r="C838" s="11"/>
      <c r="D838" s="52"/>
      <c r="E838" s="12"/>
    </row>
    <row r="839" spans="2:5" x14ac:dyDescent="0.2">
      <c r="B839" s="14"/>
      <c r="C839" s="219" t="s">
        <v>24</v>
      </c>
      <c r="D839" s="219"/>
      <c r="E839" s="219"/>
    </row>
    <row r="840" spans="2:5" x14ac:dyDescent="0.2">
      <c r="B840" s="13" t="s">
        <v>19</v>
      </c>
      <c r="C840" s="15"/>
      <c r="D840" s="15"/>
      <c r="E840" s="16"/>
    </row>
    <row r="841" spans="2:5" x14ac:dyDescent="0.2">
      <c r="B841" s="14"/>
      <c r="C841" s="219" t="s">
        <v>101</v>
      </c>
      <c r="D841" s="219"/>
      <c r="E841" s="219"/>
    </row>
    <row r="842" spans="2:5" x14ac:dyDescent="0.2">
      <c r="B842" s="13" t="s">
        <v>20</v>
      </c>
      <c r="C842" s="11"/>
      <c r="D842" s="52"/>
      <c r="E842" s="12"/>
    </row>
    <row r="843" spans="2:5" x14ac:dyDescent="0.2">
      <c r="B843" s="13"/>
      <c r="C843" s="205" t="s">
        <v>25</v>
      </c>
      <c r="D843" s="205"/>
      <c r="E843" s="205"/>
    </row>
    <row r="844" spans="2:5" ht="13.5" thickBot="1" x14ac:dyDescent="0.25">
      <c r="B844" s="17"/>
      <c r="C844" s="18"/>
      <c r="D844" s="53"/>
      <c r="E844" s="19"/>
    </row>
    <row r="845" spans="2:5" ht="13.5" thickBot="1" x14ac:dyDescent="0.25"/>
    <row r="846" spans="2:5" x14ac:dyDescent="0.2">
      <c r="B846" s="7" t="s">
        <v>122</v>
      </c>
      <c r="C846" s="8"/>
      <c r="D846" s="51"/>
      <c r="E846" s="9"/>
    </row>
    <row r="847" spans="2:5" x14ac:dyDescent="0.2">
      <c r="B847" s="10"/>
      <c r="C847" s="11"/>
      <c r="D847" s="52"/>
      <c r="E847" s="12"/>
    </row>
    <row r="848" spans="2:5" x14ac:dyDescent="0.2">
      <c r="B848" s="13" t="s">
        <v>16</v>
      </c>
      <c r="C848" s="11"/>
      <c r="D848" s="52"/>
      <c r="E848" s="12"/>
    </row>
    <row r="849" spans="2:5" ht="25.5" customHeight="1" x14ac:dyDescent="0.2">
      <c r="B849" s="13"/>
      <c r="C849" s="219"/>
      <c r="D849" s="219"/>
      <c r="E849" s="219"/>
    </row>
    <row r="850" spans="2:5" ht="13.5" thickBot="1" x14ac:dyDescent="0.25">
      <c r="B850" s="13" t="s">
        <v>17</v>
      </c>
      <c r="C850" s="11"/>
      <c r="D850" s="52"/>
      <c r="E850" s="12"/>
    </row>
    <row r="851" spans="2:5" ht="13.5" thickBot="1" x14ac:dyDescent="0.25">
      <c r="B851" s="211" t="s">
        <v>201</v>
      </c>
      <c r="C851" s="215"/>
      <c r="D851" s="215"/>
      <c r="E851" s="212"/>
    </row>
    <row r="852" spans="2:5" ht="13.5" thickBot="1" x14ac:dyDescent="0.25">
      <c r="B852" s="211" t="s">
        <v>99</v>
      </c>
      <c r="C852" s="212"/>
      <c r="D852" s="49" t="s">
        <v>11</v>
      </c>
      <c r="E852" s="49" t="s">
        <v>100</v>
      </c>
    </row>
    <row r="853" spans="2:5" x14ac:dyDescent="0.2">
      <c r="B853" s="213" t="str">
        <f>'[1]COMEDORES EMERGENTES'!$B$3</f>
        <v>UNA SONRISA AV. LOS COBACHO</v>
      </c>
      <c r="C853" s="214"/>
      <c r="D853" s="93" t="s">
        <v>202</v>
      </c>
      <c r="E853" s="94" t="str">
        <f>'[1]COMEDORES EMERGENTES'!$G$3</f>
        <v>Bº SAN CARLOS OESTE AV. Bonifacio cobacho 670</v>
      </c>
    </row>
    <row r="854" spans="2:5" x14ac:dyDescent="0.2">
      <c r="B854" s="206" t="str">
        <f>'[1]COMEDORES EMERGENTES'!$B$4</f>
        <v>C.I.F Nº1 - RIVERA DEL VALLE Y FLORIDA</v>
      </c>
      <c r="C854" s="207"/>
      <c r="D854" s="88" t="s">
        <v>202</v>
      </c>
      <c r="E854" s="89" t="str">
        <f>'[1]COMEDORES EMERGENTES'!$G$4</f>
        <v>AV. RIVIERA DEL VALLE ENTRE FLORIDA Y SANTA FE</v>
      </c>
    </row>
    <row r="855" spans="2:5" x14ac:dyDescent="0.2">
      <c r="B855" s="206" t="str">
        <f>'[1]COMEDORES EMERGENTES'!$B$5</f>
        <v>C.I.F - RIVERA DEL VALLE - DILORENZO</v>
      </c>
      <c r="C855" s="207"/>
      <c r="D855" s="88" t="s">
        <v>202</v>
      </c>
      <c r="E855" s="89" t="str">
        <f>'[1]COMEDORES EMERGENTES'!$G$5</f>
        <v>Bº RIVERA DEL VALLE ENTRE VILLA EUMELIA Y MONTE CRISTO</v>
      </c>
    </row>
    <row r="856" spans="2:5" x14ac:dyDescent="0.2">
      <c r="B856" s="206" t="str">
        <f>'[1]COMEDORES EMERGENTES'!$B$6</f>
        <v>ESFUERZO PROPIO- Bº ALTOS DE CHOYA</v>
      </c>
      <c r="C856" s="207"/>
      <c r="D856" s="88" t="s">
        <v>202</v>
      </c>
      <c r="E856" s="89" t="str">
        <f>'[1]COMEDORES EMERGENTES'!$G$6</f>
        <v>Bº MUNICIPAL 35VV. NORTE C/14</v>
      </c>
    </row>
    <row r="857" spans="2:5" x14ac:dyDescent="0.2">
      <c r="B857" s="206" t="str">
        <f>'[1]COMEDORES EMERGENTES'!$B$7</f>
        <v>ANGELITOS - LOTEO SUSSEX</v>
      </c>
      <c r="C857" s="207"/>
      <c r="D857" s="88" t="s">
        <v>202</v>
      </c>
      <c r="E857" s="89" t="str">
        <f>'[1]COMEDORES EMERGENTES'!$G$7</f>
        <v>Bº LOTEO SUSEX MZA.Nº 4 LOTE Nº3</v>
      </c>
    </row>
    <row r="858" spans="2:5" x14ac:dyDescent="0.2">
      <c r="B858" s="206" t="str">
        <f>'[1]COMEDORES EMERGENTES'!$B$8</f>
        <v>CLUB DEPORTIVO CHACARITA</v>
      </c>
      <c r="C858" s="207"/>
      <c r="D858" s="88" t="s">
        <v>202</v>
      </c>
      <c r="E858" s="89" t="str">
        <f>'[1]COMEDORES EMERGENTES'!$G$8</f>
        <v>CALLE DR.DERMIDIO GALINDEZ C/2660</v>
      </c>
    </row>
    <row r="859" spans="2:5" x14ac:dyDescent="0.2">
      <c r="B859" s="206" t="str">
        <f>'[1]COMEDORES EMERGENTES'!$B$9</f>
        <v>LA MORO</v>
      </c>
      <c r="C859" s="207"/>
      <c r="D859" s="88" t="s">
        <v>202</v>
      </c>
      <c r="E859" s="89" t="str">
        <f>'[1]COMEDORES EMERGENTES'!$G$9</f>
        <v>MAIPU NORTE 1º ETAPA MZA "H" Bº MI JARDIN</v>
      </c>
    </row>
    <row r="860" spans="2:5" x14ac:dyDescent="0.2">
      <c r="B860" s="206" t="str">
        <f>'[1]COMEDORES EMERGENTES'!$B$10</f>
        <v>PAPA FRANCISCO</v>
      </c>
      <c r="C860" s="207"/>
      <c r="D860" s="88" t="s">
        <v>202</v>
      </c>
      <c r="E860" s="89" t="str">
        <f>'[1]COMEDORES EMERGENTES'!$G$10</f>
        <v>ENTRE AV.TEREBINTO Y AV.SAN JUAN LOTE "2" MZA. "B"</v>
      </c>
    </row>
    <row r="861" spans="2:5" x14ac:dyDescent="0.2">
      <c r="B861" s="206" t="str">
        <f>'[1]COMEDORES EMERGENTES'!$B$11</f>
        <v>E.P.C - 100 V.V NORTE</v>
      </c>
      <c r="C861" s="207"/>
      <c r="D861" s="88" t="s">
        <v>202</v>
      </c>
      <c r="E861" s="89" t="str">
        <f>'[1]COMEDORES EMERGENTES'!$G$11</f>
        <v>Bº VV NORTE C/48 ENTRE ESPAÑA Y FRANCIA</v>
      </c>
    </row>
    <row r="862" spans="2:5" x14ac:dyDescent="0.2">
      <c r="B862" s="206" t="str">
        <f>'[1]COMEDORES EMERGENTES'!$B$12</f>
        <v>HOGAR DE CRISTO - PADRE RAUL CONTRERAS</v>
      </c>
      <c r="C862" s="207"/>
      <c r="D862" s="88" t="s">
        <v>202</v>
      </c>
      <c r="E862" s="89" t="str">
        <f>'[1]COMEDORES EMERGENTES'!$G$12</f>
        <v>Bº SANTA MARTA MZA. "S" LOTE "M" C/39</v>
      </c>
    </row>
    <row r="863" spans="2:5" x14ac:dyDescent="0.2">
      <c r="B863" s="206" t="str">
        <f>'[1]COMEDORES EMERGENTES'!$B$13</f>
        <v>LA LUCIERNAGA</v>
      </c>
      <c r="C863" s="207"/>
      <c r="D863" s="88" t="s">
        <v>202</v>
      </c>
      <c r="E863" s="89" t="str">
        <f>'[1]COMEDORES EMERGENTES'!$G$13</f>
        <v>Bº 20 V.V NORTE C/3</v>
      </c>
    </row>
    <row r="864" spans="2:5" x14ac:dyDescent="0.2">
      <c r="B864" s="206" t="str">
        <f>'[1]COMEDORES EMERGENTES'!$B$14</f>
        <v>VALLE VIEJO - SUMALAO</v>
      </c>
      <c r="C864" s="207"/>
      <c r="D864" s="88" t="s">
        <v>202</v>
      </c>
      <c r="E864" s="89" t="str">
        <f>'[1]COMEDORES EMERGENTES'!$G$14</f>
        <v>PADRE SEGURA S/N</v>
      </c>
    </row>
    <row r="865" spans="2:5" x14ac:dyDescent="0.2">
      <c r="B865" s="206" t="str">
        <f>'[1]COMEDORES EMERGENTES'!$B$15</f>
        <v>NUESTRO FUTURO - LAS VIAS</v>
      </c>
      <c r="C865" s="207"/>
      <c r="D865" s="88" t="s">
        <v>202</v>
      </c>
      <c r="E865" s="89" t="str">
        <f>'[1]COMEDORES EMERGENTES'!$G$15</f>
        <v>Bº LAS VIAS OESTE LOTE 42</v>
      </c>
    </row>
    <row r="866" spans="2:5" x14ac:dyDescent="0.2">
      <c r="B866" s="206" t="str">
        <f>'[1]COMEDORES EMERGENTES'!$B$16</f>
        <v>SAN JOSE OBRERO</v>
      </c>
      <c r="C866" s="207"/>
      <c r="D866" s="88" t="s">
        <v>202</v>
      </c>
      <c r="E866" s="89" t="str">
        <f>'[1]COMEDORES EMERGENTES'!$G$16</f>
        <v>Bº SAN JOSE OBRERO. PJE. SANDOVAL S/Nº</v>
      </c>
    </row>
    <row r="867" spans="2:5" x14ac:dyDescent="0.2">
      <c r="B867" s="206" t="str">
        <f>'[1]COMEDORES EMERGENTES'!$B$17</f>
        <v>VIRGEN DE LUJAN</v>
      </c>
      <c r="C867" s="207"/>
      <c r="D867" s="88" t="s">
        <v>202</v>
      </c>
      <c r="E867" s="89" t="str">
        <f>'[1]COMEDORES EMERGENTES'!$G$17</f>
        <v>Bº OJO DE AGUA C/DR.TEODULFO BARRIONUEVO S/Nº</v>
      </c>
    </row>
    <row r="868" spans="2:5" x14ac:dyDescent="0.2">
      <c r="B868" s="206" t="str">
        <f>'[1]COMEDORES EMERGENTES'!$B$18</f>
        <v>RENACER</v>
      </c>
      <c r="C868" s="207"/>
      <c r="D868" s="88" t="s">
        <v>202</v>
      </c>
      <c r="E868" s="89" t="str">
        <f>'[1]COMEDORES EMERGENTES'!$G$18</f>
        <v>Bº VIRGEN MORENITA</v>
      </c>
    </row>
    <row r="869" spans="2:5" x14ac:dyDescent="0.2">
      <c r="B869" s="206" t="str">
        <f>'[1]COMEDORES EMERGENTES'!$B$19</f>
        <v>CENTRO VECINAL MI JARDIN</v>
      </c>
      <c r="C869" s="207"/>
      <c r="D869" s="88" t="s">
        <v>202</v>
      </c>
      <c r="E869" s="89" t="str">
        <f>'[1]COMEDORES EMERGENTES'!$G$19</f>
        <v>C/ LOS TULIPANES ENTRE FLOR DE CEREZO Y HOLANDA MZA.27 Bº MI JARDIN</v>
      </c>
    </row>
    <row r="870" spans="2:5" x14ac:dyDescent="0.2">
      <c r="B870" s="206" t="str">
        <f>'[1]COMEDORES EMERGENTES'!$B$20</f>
        <v>LA VIEJA ESQUINA</v>
      </c>
      <c r="C870" s="207"/>
      <c r="D870" s="88" t="s">
        <v>202</v>
      </c>
      <c r="E870" s="89" t="str">
        <f>'[1]COMEDORES EMERGENTES'!$G$20</f>
        <v>B° CRISTO REY PJE CAPATAZ VILLAFAÑEZ Y ARMANDO CORREA</v>
      </c>
    </row>
    <row r="871" spans="2:5" x14ac:dyDescent="0.2">
      <c r="B871" s="206" t="str">
        <f>'[1]COMEDORES EMERGENTES'!$B$21</f>
        <v>GAUCHITO GIL</v>
      </c>
      <c r="C871" s="207"/>
      <c r="D871" s="88" t="s">
        <v>202</v>
      </c>
      <c r="E871" s="89" t="str">
        <f>'[1]COMEDORES EMERGENTES'!$G$21</f>
        <v>B° 26 VIVIENDAS CASA N° 3</v>
      </c>
    </row>
    <row r="872" spans="2:5" ht="13.5" thickBot="1" x14ac:dyDescent="0.25">
      <c r="B872" s="220" t="str">
        <f>'[1]COMEDORES EMERGENTES'!$B$22</f>
        <v>LOS TOLDOS</v>
      </c>
      <c r="C872" s="221"/>
      <c r="D872" s="95" t="s">
        <v>202</v>
      </c>
      <c r="E872" s="96" t="str">
        <f>'[1]COMEDORES EMERGENTES'!$G$22</f>
        <v>LOTEO PARQUE SUR CALLE S/NOMBRE S/N°</v>
      </c>
    </row>
    <row r="873" spans="2:5" x14ac:dyDescent="0.2">
      <c r="B873" s="13" t="s">
        <v>18</v>
      </c>
      <c r="C873" s="11"/>
      <c r="D873" s="52"/>
      <c r="E873" s="12"/>
    </row>
    <row r="874" spans="2:5" x14ac:dyDescent="0.2">
      <c r="B874" s="14"/>
      <c r="C874" s="219" t="s">
        <v>24</v>
      </c>
      <c r="D874" s="219"/>
      <c r="E874" s="219"/>
    </row>
    <row r="875" spans="2:5" x14ac:dyDescent="0.2">
      <c r="B875" s="13" t="s">
        <v>19</v>
      </c>
      <c r="C875" s="15"/>
      <c r="D875" s="15"/>
      <c r="E875" s="16"/>
    </row>
    <row r="876" spans="2:5" x14ac:dyDescent="0.2">
      <c r="B876" s="14"/>
      <c r="C876" s="219" t="s">
        <v>101</v>
      </c>
      <c r="D876" s="219"/>
      <c r="E876" s="219"/>
    </row>
    <row r="877" spans="2:5" x14ac:dyDescent="0.2">
      <c r="B877" s="13" t="s">
        <v>20</v>
      </c>
      <c r="C877" s="11"/>
      <c r="D877" s="52"/>
      <c r="E877" s="12"/>
    </row>
    <row r="878" spans="2:5" x14ac:dyDescent="0.2">
      <c r="B878" s="13"/>
      <c r="C878" s="205" t="s">
        <v>25</v>
      </c>
      <c r="D878" s="205"/>
      <c r="E878" s="205"/>
    </row>
    <row r="879" spans="2:5" ht="13.5" thickBot="1" x14ac:dyDescent="0.25">
      <c r="B879" s="17"/>
      <c r="C879" s="18"/>
      <c r="D879" s="53"/>
      <c r="E879" s="19"/>
    </row>
    <row r="880" spans="2:5" ht="13.5" thickBot="1" x14ac:dyDescent="0.25"/>
    <row r="881" spans="2:5" x14ac:dyDescent="0.2">
      <c r="B881" s="7" t="s">
        <v>123</v>
      </c>
      <c r="C881" s="8"/>
      <c r="D881" s="51"/>
      <c r="E881" s="9"/>
    </row>
    <row r="882" spans="2:5" x14ac:dyDescent="0.2">
      <c r="B882" s="10"/>
      <c r="C882" s="11"/>
      <c r="D882" s="52"/>
      <c r="E882" s="12"/>
    </row>
    <row r="883" spans="2:5" x14ac:dyDescent="0.2">
      <c r="B883" s="13" t="s">
        <v>16</v>
      </c>
      <c r="C883" s="11"/>
      <c r="D883" s="52"/>
      <c r="E883" s="12"/>
    </row>
    <row r="884" spans="2:5" ht="25.5" customHeight="1" x14ac:dyDescent="0.2">
      <c r="B884" s="13"/>
      <c r="C884" s="217"/>
      <c r="D884" s="217"/>
      <c r="E884" s="218"/>
    </row>
    <row r="885" spans="2:5" ht="13.5" thickBot="1" x14ac:dyDescent="0.25">
      <c r="B885" s="13" t="s">
        <v>17</v>
      </c>
      <c r="C885" s="11"/>
      <c r="D885" s="52"/>
      <c r="E885" s="12"/>
    </row>
    <row r="886" spans="2:5" ht="13.5" thickBot="1" x14ac:dyDescent="0.25">
      <c r="B886" s="211" t="s">
        <v>98</v>
      </c>
      <c r="C886" s="215"/>
      <c r="D886" s="215"/>
      <c r="E886" s="212"/>
    </row>
    <row r="887" spans="2:5" ht="13.5" thickBot="1" x14ac:dyDescent="0.25">
      <c r="B887" s="211" t="s">
        <v>99</v>
      </c>
      <c r="C887" s="212"/>
      <c r="D887" s="49" t="s">
        <v>11</v>
      </c>
      <c r="E887" s="49" t="s">
        <v>100</v>
      </c>
    </row>
    <row r="888" spans="2:5" x14ac:dyDescent="0.2">
      <c r="B888" s="213" t="str">
        <f>'[1]COMEDORES EMERGENTES'!$B$3</f>
        <v>UNA SONRISA AV. LOS COBACHO</v>
      </c>
      <c r="C888" s="214"/>
      <c r="D888" s="93">
        <v>2</v>
      </c>
      <c r="E888" s="94" t="str">
        <f>'[1]COMEDORES EMERGENTES'!$G$3</f>
        <v>Bº SAN CARLOS OESTE AV. Bonifacio cobacho 670</v>
      </c>
    </row>
    <row r="889" spans="2:5" x14ac:dyDescent="0.2">
      <c r="B889" s="206" t="str">
        <f>'[1]COMEDORES EMERGENTES'!$B$4</f>
        <v>C.I.F Nº1 - RIVERA DEL VALLE Y FLORIDA</v>
      </c>
      <c r="C889" s="207"/>
      <c r="D889" s="88">
        <v>2</v>
      </c>
      <c r="E889" s="89" t="str">
        <f>'[1]COMEDORES EMERGENTES'!$G$4</f>
        <v>AV. RIVIERA DEL VALLE ENTRE FLORIDA Y SANTA FE</v>
      </c>
    </row>
    <row r="890" spans="2:5" x14ac:dyDescent="0.2">
      <c r="B890" s="206" t="str">
        <f>'[1]COMEDORES EMERGENTES'!$B$5</f>
        <v>C.I.F - RIVERA DEL VALLE - DILORENZO</v>
      </c>
      <c r="C890" s="207"/>
      <c r="D890" s="88">
        <v>3</v>
      </c>
      <c r="E890" s="89" t="str">
        <f>'[1]COMEDORES EMERGENTES'!$G$5</f>
        <v>Bº RIVERA DEL VALLE ENTRE VILLA EUMELIA Y MONTE CRISTO</v>
      </c>
    </row>
    <row r="891" spans="2:5" x14ac:dyDescent="0.2">
      <c r="B891" s="206" t="str">
        <f>'[1]COMEDORES EMERGENTES'!$B$6</f>
        <v>ESFUERZO PROPIO- Bº ALTOS DE CHOYA</v>
      </c>
      <c r="C891" s="207"/>
      <c r="D891" s="88">
        <v>2</v>
      </c>
      <c r="E891" s="89" t="str">
        <f>'[1]COMEDORES EMERGENTES'!$G$6</f>
        <v>Bº MUNICIPAL 35VV. NORTE C/14</v>
      </c>
    </row>
    <row r="892" spans="2:5" x14ac:dyDescent="0.2">
      <c r="B892" s="206" t="str">
        <f>'[1]COMEDORES EMERGENTES'!$B$7</f>
        <v>ANGELITOS - LOTEO SUSSEX</v>
      </c>
      <c r="C892" s="207"/>
      <c r="D892" s="88">
        <v>1</v>
      </c>
      <c r="E892" s="89" t="str">
        <f>'[1]COMEDORES EMERGENTES'!$G$7</f>
        <v>Bº LOTEO SUSEX MZA.Nº 4 LOTE Nº3</v>
      </c>
    </row>
    <row r="893" spans="2:5" x14ac:dyDescent="0.2">
      <c r="B893" s="206" t="str">
        <f>'[1]COMEDORES EMERGENTES'!$B$8</f>
        <v>CLUB DEPORTIVO CHACARITA</v>
      </c>
      <c r="C893" s="207"/>
      <c r="D893" s="88">
        <v>1</v>
      </c>
      <c r="E893" s="89" t="str">
        <f>'[1]COMEDORES EMERGENTES'!$G$8</f>
        <v>CALLE DR.DERMIDIO GALINDEZ C/2660</v>
      </c>
    </row>
    <row r="894" spans="2:5" x14ac:dyDescent="0.2">
      <c r="B894" s="206" t="str">
        <f>'[1]COMEDORES EMERGENTES'!$B$9</f>
        <v>LA MORO</v>
      </c>
      <c r="C894" s="207"/>
      <c r="D894" s="88">
        <v>1</v>
      </c>
      <c r="E894" s="89" t="str">
        <f>'[1]COMEDORES EMERGENTES'!$G$9</f>
        <v>MAIPU NORTE 1º ETAPA MZA "H" Bº MI JARDIN</v>
      </c>
    </row>
    <row r="895" spans="2:5" x14ac:dyDescent="0.2">
      <c r="B895" s="206" t="str">
        <f>'[1]COMEDORES EMERGENTES'!$B$10</f>
        <v>PAPA FRANCISCO</v>
      </c>
      <c r="C895" s="207"/>
      <c r="D895" s="88">
        <v>2</v>
      </c>
      <c r="E895" s="89" t="str">
        <f>'[1]COMEDORES EMERGENTES'!$G$10</f>
        <v>ENTRE AV.TEREBINTO Y AV.SAN JUAN LOTE "2" MZA. "B"</v>
      </c>
    </row>
    <row r="896" spans="2:5" x14ac:dyDescent="0.2">
      <c r="B896" s="206" t="str">
        <f>'[1]COMEDORES EMERGENTES'!$B$11</f>
        <v>E.P.C - 100 V.V NORTE</v>
      </c>
      <c r="C896" s="207"/>
      <c r="D896" s="88">
        <v>3</v>
      </c>
      <c r="E896" s="89" t="str">
        <f>'[1]COMEDORES EMERGENTES'!$G$11</f>
        <v>Bº VV NORTE C/48 ENTRE ESPAÑA Y FRANCIA</v>
      </c>
    </row>
    <row r="897" spans="2:5" x14ac:dyDescent="0.2">
      <c r="B897" s="206" t="str">
        <f>'[1]COMEDORES EMERGENTES'!$B$12</f>
        <v>HOGAR DE CRISTO - PADRE RAUL CONTRERAS</v>
      </c>
      <c r="C897" s="207"/>
      <c r="D897" s="88">
        <v>3</v>
      </c>
      <c r="E897" s="89" t="str">
        <f>'[1]COMEDORES EMERGENTES'!$G$12</f>
        <v>Bº SANTA MARTA MZA. "S" LOTE "M" C/39</v>
      </c>
    </row>
    <row r="898" spans="2:5" x14ac:dyDescent="0.2">
      <c r="B898" s="206" t="str">
        <f>'[1]COMEDORES EMERGENTES'!$B$13</f>
        <v>LA LUCIERNAGA</v>
      </c>
      <c r="C898" s="207"/>
      <c r="D898" s="88">
        <v>2</v>
      </c>
      <c r="E898" s="89" t="str">
        <f>'[1]COMEDORES EMERGENTES'!$G$13</f>
        <v>Bº 20 V.V NORTE C/3</v>
      </c>
    </row>
    <row r="899" spans="2:5" x14ac:dyDescent="0.2">
      <c r="B899" s="206" t="str">
        <f>'[1]COMEDORES EMERGENTES'!$B$14</f>
        <v>VALLE VIEJO - SUMALAO</v>
      </c>
      <c r="C899" s="207"/>
      <c r="D899" s="88">
        <v>4</v>
      </c>
      <c r="E899" s="89" t="str">
        <f>'[1]COMEDORES EMERGENTES'!$G$14</f>
        <v>PADRE SEGURA S/N</v>
      </c>
    </row>
    <row r="900" spans="2:5" x14ac:dyDescent="0.2">
      <c r="B900" s="206" t="str">
        <f>'[1]COMEDORES EMERGENTES'!$B$15</f>
        <v>NUESTRO FUTURO - LAS VIAS</v>
      </c>
      <c r="C900" s="207"/>
      <c r="D900" s="88">
        <v>2</v>
      </c>
      <c r="E900" s="89" t="str">
        <f>'[1]COMEDORES EMERGENTES'!$G$15</f>
        <v>Bº LAS VIAS OESTE LOTE 42</v>
      </c>
    </row>
    <row r="901" spans="2:5" x14ac:dyDescent="0.2">
      <c r="B901" s="206" t="str">
        <f>'[1]COMEDORES EMERGENTES'!$B$16</f>
        <v>SAN JOSE OBRERO</v>
      </c>
      <c r="C901" s="207"/>
      <c r="D901" s="88">
        <v>1</v>
      </c>
      <c r="E901" s="89" t="str">
        <f>'[1]COMEDORES EMERGENTES'!$G$16</f>
        <v>Bº SAN JOSE OBRERO. PJE. SANDOVAL S/Nº</v>
      </c>
    </row>
    <row r="902" spans="2:5" x14ac:dyDescent="0.2">
      <c r="B902" s="206" t="str">
        <f>'[1]COMEDORES EMERGENTES'!$B$17</f>
        <v>VIRGEN DE LUJAN</v>
      </c>
      <c r="C902" s="207"/>
      <c r="D902" s="88">
        <v>2</v>
      </c>
      <c r="E902" s="89" t="str">
        <f>'[1]COMEDORES EMERGENTES'!$G$17</f>
        <v>Bº OJO DE AGUA C/DR.TEODULFO BARRIONUEVO S/Nº</v>
      </c>
    </row>
    <row r="903" spans="2:5" x14ac:dyDescent="0.2">
      <c r="B903" s="206" t="str">
        <f>'[1]COMEDORES EMERGENTES'!$B$18</f>
        <v>RENACER</v>
      </c>
      <c r="C903" s="207"/>
      <c r="D903" s="88">
        <v>3</v>
      </c>
      <c r="E903" s="89" t="str">
        <f>'[1]COMEDORES EMERGENTES'!$G$18</f>
        <v>Bº VIRGEN MORENITA</v>
      </c>
    </row>
    <row r="904" spans="2:5" x14ac:dyDescent="0.2">
      <c r="B904" s="206" t="str">
        <f>'[1]COMEDORES EMERGENTES'!$B$19</f>
        <v>CENTRO VECINAL MI JARDIN</v>
      </c>
      <c r="C904" s="207"/>
      <c r="D904" s="88">
        <v>2</v>
      </c>
      <c r="E904" s="89" t="str">
        <f>'[1]COMEDORES EMERGENTES'!$G$19</f>
        <v>C/ LOS TULIPANES ENTRE FLOR DE CEREZO Y HOLANDA MZA.27 Bº MI JARDIN</v>
      </c>
    </row>
    <row r="905" spans="2:5" x14ac:dyDescent="0.2">
      <c r="B905" s="206" t="str">
        <f>'[1]COMEDORES EMERGENTES'!$B$20</f>
        <v>LA VIEJA ESQUINA</v>
      </c>
      <c r="C905" s="207"/>
      <c r="D905" s="88">
        <v>2</v>
      </c>
      <c r="E905" s="89" t="str">
        <f>'[1]COMEDORES EMERGENTES'!$G$20</f>
        <v>B° CRISTO REY PJE CAPATAZ VILLAFAÑEZ Y ARMANDO CORREA</v>
      </c>
    </row>
    <row r="906" spans="2:5" x14ac:dyDescent="0.2">
      <c r="B906" s="206" t="str">
        <f>'[1]COMEDORES EMERGENTES'!$B$21</f>
        <v>GAUCHITO GIL</v>
      </c>
      <c r="C906" s="207"/>
      <c r="D906" s="88">
        <v>2</v>
      </c>
      <c r="E906" s="89" t="str">
        <f>'[1]COMEDORES EMERGENTES'!$G$21</f>
        <v>B° 26 VIVIENDAS CASA N° 3</v>
      </c>
    </row>
    <row r="907" spans="2:5" ht="13.5" thickBot="1" x14ac:dyDescent="0.25">
      <c r="B907" s="220" t="str">
        <f>'[1]COMEDORES EMERGENTES'!$B$22</f>
        <v>LOS TOLDOS</v>
      </c>
      <c r="C907" s="221"/>
      <c r="D907" s="95">
        <v>1</v>
      </c>
      <c r="E907" s="96" t="str">
        <f>'[1]COMEDORES EMERGENTES'!$G$22</f>
        <v>LOTEO PARQUE SUR CALLE S/NOMBRE S/N°</v>
      </c>
    </row>
    <row r="908" spans="2:5" x14ac:dyDescent="0.2">
      <c r="B908" s="13" t="s">
        <v>18</v>
      </c>
      <c r="C908" s="11"/>
      <c r="D908" s="52"/>
      <c r="E908" s="12"/>
    </row>
    <row r="909" spans="2:5" x14ac:dyDescent="0.2">
      <c r="B909" s="14"/>
      <c r="C909" s="219" t="s">
        <v>24</v>
      </c>
      <c r="D909" s="219"/>
      <c r="E909" s="219"/>
    </row>
    <row r="910" spans="2:5" x14ac:dyDescent="0.2">
      <c r="B910" s="13" t="s">
        <v>19</v>
      </c>
      <c r="C910" s="15"/>
      <c r="D910" s="15"/>
      <c r="E910" s="16"/>
    </row>
    <row r="911" spans="2:5" x14ac:dyDescent="0.2">
      <c r="B911" s="14"/>
      <c r="C911" s="219" t="s">
        <v>101</v>
      </c>
      <c r="D911" s="219"/>
      <c r="E911" s="219"/>
    </row>
    <row r="912" spans="2:5" x14ac:dyDescent="0.2">
      <c r="B912" s="13" t="s">
        <v>20</v>
      </c>
      <c r="C912" s="11"/>
      <c r="D912" s="52"/>
      <c r="E912" s="12"/>
    </row>
    <row r="913" spans="2:5" x14ac:dyDescent="0.2">
      <c r="B913" s="13"/>
      <c r="C913" s="205" t="s">
        <v>25</v>
      </c>
      <c r="D913" s="205"/>
      <c r="E913" s="205"/>
    </row>
    <row r="914" spans="2:5" ht="13.5" thickBot="1" x14ac:dyDescent="0.25">
      <c r="B914" s="17"/>
      <c r="C914" s="18"/>
      <c r="D914" s="53"/>
      <c r="E914" s="19"/>
    </row>
    <row r="915" spans="2:5" ht="13.5" thickBot="1" x14ac:dyDescent="0.25"/>
    <row r="916" spans="2:5" x14ac:dyDescent="0.2">
      <c r="B916" s="7" t="s">
        <v>124</v>
      </c>
      <c r="C916" s="8"/>
      <c r="D916" s="51"/>
      <c r="E916" s="9"/>
    </row>
    <row r="917" spans="2:5" x14ac:dyDescent="0.2">
      <c r="B917" s="10"/>
      <c r="C917" s="11"/>
      <c r="D917" s="52"/>
      <c r="E917" s="12"/>
    </row>
    <row r="918" spans="2:5" x14ac:dyDescent="0.2">
      <c r="B918" s="13" t="s">
        <v>16</v>
      </c>
      <c r="C918" s="11"/>
      <c r="D918" s="52"/>
      <c r="E918" s="12"/>
    </row>
    <row r="919" spans="2:5" ht="25.5" customHeight="1" x14ac:dyDescent="0.2">
      <c r="B919" s="13"/>
      <c r="C919" s="219"/>
      <c r="D919" s="219"/>
      <c r="E919" s="219"/>
    </row>
    <row r="920" spans="2:5" ht="13.5" thickBot="1" x14ac:dyDescent="0.25">
      <c r="B920" s="13" t="s">
        <v>17</v>
      </c>
      <c r="C920" s="11"/>
      <c r="D920" s="52"/>
      <c r="E920" s="12"/>
    </row>
    <row r="921" spans="2:5" ht="13.5" thickBot="1" x14ac:dyDescent="0.25">
      <c r="B921" s="211" t="s">
        <v>98</v>
      </c>
      <c r="C921" s="215"/>
      <c r="D921" s="215"/>
      <c r="E921" s="212"/>
    </row>
    <row r="922" spans="2:5" ht="13.5" thickBot="1" x14ac:dyDescent="0.25">
      <c r="B922" s="211" t="s">
        <v>99</v>
      </c>
      <c r="C922" s="212"/>
      <c r="D922" s="49" t="s">
        <v>11</v>
      </c>
      <c r="E922" s="49" t="s">
        <v>100</v>
      </c>
    </row>
    <row r="923" spans="2:5" x14ac:dyDescent="0.2">
      <c r="B923" s="213" t="str">
        <f>'[1]COMEDORES EMERGENTES'!$B$3</f>
        <v>UNA SONRISA AV. LOS COBACHO</v>
      </c>
      <c r="C923" s="214"/>
      <c r="D923" s="93">
        <v>1</v>
      </c>
      <c r="E923" s="94" t="str">
        <f>'[1]COMEDORES EMERGENTES'!$G$3</f>
        <v>Bº SAN CARLOS OESTE AV. Bonifacio cobacho 670</v>
      </c>
    </row>
    <row r="924" spans="2:5" x14ac:dyDescent="0.2">
      <c r="B924" s="206" t="str">
        <f>'[1]COMEDORES EMERGENTES'!$B$4</f>
        <v>C.I.F Nº1 - RIVERA DEL VALLE Y FLORIDA</v>
      </c>
      <c r="C924" s="207"/>
      <c r="D924" s="88">
        <v>1</v>
      </c>
      <c r="E924" s="89" t="str">
        <f>'[1]COMEDORES EMERGENTES'!$G$4</f>
        <v>AV. RIVIERA DEL VALLE ENTRE FLORIDA Y SANTA FE</v>
      </c>
    </row>
    <row r="925" spans="2:5" x14ac:dyDescent="0.2">
      <c r="B925" s="206" t="str">
        <f>'[1]COMEDORES EMERGENTES'!$B$5</f>
        <v>C.I.F - RIVERA DEL VALLE - DILORENZO</v>
      </c>
      <c r="C925" s="207"/>
      <c r="D925" s="88">
        <v>1</v>
      </c>
      <c r="E925" s="89" t="str">
        <f>'[1]COMEDORES EMERGENTES'!$G$5</f>
        <v>Bº RIVERA DEL VALLE ENTRE VILLA EUMELIA Y MONTE CRISTO</v>
      </c>
    </row>
    <row r="926" spans="2:5" x14ac:dyDescent="0.2">
      <c r="B926" s="206" t="str">
        <f>'[1]COMEDORES EMERGENTES'!$B$6</f>
        <v>ESFUERZO PROPIO- Bº ALTOS DE CHOYA</v>
      </c>
      <c r="C926" s="207"/>
      <c r="D926" s="88">
        <v>1</v>
      </c>
      <c r="E926" s="89" t="str">
        <f>'[1]COMEDORES EMERGENTES'!$G$6</f>
        <v>Bº MUNICIPAL 35VV. NORTE C/14</v>
      </c>
    </row>
    <row r="927" spans="2:5" x14ac:dyDescent="0.2">
      <c r="B927" s="206" t="str">
        <f>'[1]COMEDORES EMERGENTES'!$B$7</f>
        <v>ANGELITOS - LOTEO SUSSEX</v>
      </c>
      <c r="C927" s="207"/>
      <c r="D927" s="88">
        <v>1</v>
      </c>
      <c r="E927" s="89" t="str">
        <f>'[1]COMEDORES EMERGENTES'!$G$7</f>
        <v>Bº LOTEO SUSEX MZA.Nº 4 LOTE Nº3</v>
      </c>
    </row>
    <row r="928" spans="2:5" x14ac:dyDescent="0.2">
      <c r="B928" s="206" t="str">
        <f>'[1]COMEDORES EMERGENTES'!$B$8</f>
        <v>CLUB DEPORTIVO CHACARITA</v>
      </c>
      <c r="C928" s="207"/>
      <c r="D928" s="88">
        <v>1</v>
      </c>
      <c r="E928" s="89" t="str">
        <f>'[1]COMEDORES EMERGENTES'!$G$8</f>
        <v>CALLE DR.DERMIDIO GALINDEZ C/2660</v>
      </c>
    </row>
    <row r="929" spans="2:5" x14ac:dyDescent="0.2">
      <c r="B929" s="206" t="str">
        <f>'[1]COMEDORES EMERGENTES'!$B$9</f>
        <v>LA MORO</v>
      </c>
      <c r="C929" s="207"/>
      <c r="D929" s="88">
        <v>1</v>
      </c>
      <c r="E929" s="89" t="str">
        <f>'[1]COMEDORES EMERGENTES'!$G$9</f>
        <v>MAIPU NORTE 1º ETAPA MZA "H" Bº MI JARDIN</v>
      </c>
    </row>
    <row r="930" spans="2:5" x14ac:dyDescent="0.2">
      <c r="B930" s="206" t="str">
        <f>'[1]COMEDORES EMERGENTES'!$B$10</f>
        <v>PAPA FRANCISCO</v>
      </c>
      <c r="C930" s="207"/>
      <c r="D930" s="88">
        <v>1</v>
      </c>
      <c r="E930" s="89" t="str">
        <f>'[1]COMEDORES EMERGENTES'!$G$10</f>
        <v>ENTRE AV.TEREBINTO Y AV.SAN JUAN LOTE "2" MZA. "B"</v>
      </c>
    </row>
    <row r="931" spans="2:5" x14ac:dyDescent="0.2">
      <c r="B931" s="206" t="str">
        <f>'[1]COMEDORES EMERGENTES'!$B$11</f>
        <v>E.P.C - 100 V.V NORTE</v>
      </c>
      <c r="C931" s="207"/>
      <c r="D931" s="88">
        <v>2</v>
      </c>
      <c r="E931" s="89" t="str">
        <f>'[1]COMEDORES EMERGENTES'!$G$11</f>
        <v>Bº VV NORTE C/48 ENTRE ESPAÑA Y FRANCIA</v>
      </c>
    </row>
    <row r="932" spans="2:5" x14ac:dyDescent="0.2">
      <c r="B932" s="206" t="str">
        <f>'[1]COMEDORES EMERGENTES'!$B$12</f>
        <v>HOGAR DE CRISTO - PADRE RAUL CONTRERAS</v>
      </c>
      <c r="C932" s="207"/>
      <c r="D932" s="88">
        <v>2</v>
      </c>
      <c r="E932" s="89" t="str">
        <f>'[1]COMEDORES EMERGENTES'!$G$12</f>
        <v>Bº SANTA MARTA MZA. "S" LOTE "M" C/39</v>
      </c>
    </row>
    <row r="933" spans="2:5" x14ac:dyDescent="0.2">
      <c r="B933" s="206" t="str">
        <f>'[1]COMEDORES EMERGENTES'!$B$13</f>
        <v>LA LUCIERNAGA</v>
      </c>
      <c r="C933" s="207"/>
      <c r="D933" s="88">
        <v>1</v>
      </c>
      <c r="E933" s="89" t="str">
        <f>'[1]COMEDORES EMERGENTES'!$G$13</f>
        <v>Bº 20 V.V NORTE C/3</v>
      </c>
    </row>
    <row r="934" spans="2:5" x14ac:dyDescent="0.2">
      <c r="B934" s="206" t="str">
        <f>'[1]COMEDORES EMERGENTES'!$B$14</f>
        <v>VALLE VIEJO - SUMALAO</v>
      </c>
      <c r="C934" s="207"/>
      <c r="D934" s="88">
        <v>2</v>
      </c>
      <c r="E934" s="89" t="str">
        <f>'[1]COMEDORES EMERGENTES'!$G$14</f>
        <v>PADRE SEGURA S/N</v>
      </c>
    </row>
    <row r="935" spans="2:5" x14ac:dyDescent="0.2">
      <c r="B935" s="206" t="str">
        <f>'[1]COMEDORES EMERGENTES'!$B$15</f>
        <v>NUESTRO FUTURO - LAS VIAS</v>
      </c>
      <c r="C935" s="207"/>
      <c r="D935" s="88">
        <v>1</v>
      </c>
      <c r="E935" s="89" t="str">
        <f>'[1]COMEDORES EMERGENTES'!$G$15</f>
        <v>Bº LAS VIAS OESTE LOTE 42</v>
      </c>
    </row>
    <row r="936" spans="2:5" x14ac:dyDescent="0.2">
      <c r="B936" s="206" t="str">
        <f>'[1]COMEDORES EMERGENTES'!$B$16</f>
        <v>SAN JOSE OBRERO</v>
      </c>
      <c r="C936" s="207"/>
      <c r="D936" s="88">
        <v>1</v>
      </c>
      <c r="E936" s="89" t="str">
        <f>'[1]COMEDORES EMERGENTES'!$G$16</f>
        <v>Bº SAN JOSE OBRERO. PJE. SANDOVAL S/Nº</v>
      </c>
    </row>
    <row r="937" spans="2:5" x14ac:dyDescent="0.2">
      <c r="B937" s="206" t="str">
        <f>'[1]COMEDORES EMERGENTES'!$B$17</f>
        <v>VIRGEN DE LUJAN</v>
      </c>
      <c r="C937" s="207"/>
      <c r="D937" s="88">
        <v>1</v>
      </c>
      <c r="E937" s="89" t="str">
        <f>'[1]COMEDORES EMERGENTES'!$G$17</f>
        <v>Bº OJO DE AGUA C/DR.TEODULFO BARRIONUEVO S/Nº</v>
      </c>
    </row>
    <row r="938" spans="2:5" x14ac:dyDescent="0.2">
      <c r="B938" s="206" t="str">
        <f>'[1]COMEDORES EMERGENTES'!$B$18</f>
        <v>RENACER</v>
      </c>
      <c r="C938" s="207"/>
      <c r="D938" s="88">
        <v>1</v>
      </c>
      <c r="E938" s="89" t="str">
        <f>'[1]COMEDORES EMERGENTES'!$G$18</f>
        <v>Bº VIRGEN MORENITA</v>
      </c>
    </row>
    <row r="939" spans="2:5" x14ac:dyDescent="0.2">
      <c r="B939" s="206" t="str">
        <f>'[1]COMEDORES EMERGENTES'!$B$19</f>
        <v>CENTRO VECINAL MI JARDIN</v>
      </c>
      <c r="C939" s="207"/>
      <c r="D939" s="88">
        <v>1</v>
      </c>
      <c r="E939" s="89" t="str">
        <f>'[1]COMEDORES EMERGENTES'!$G$19</f>
        <v>C/ LOS TULIPANES ENTRE FLOR DE CEREZO Y HOLANDA MZA.27 Bº MI JARDIN</v>
      </c>
    </row>
    <row r="940" spans="2:5" x14ac:dyDescent="0.2">
      <c r="B940" s="206" t="str">
        <f>'[1]COMEDORES EMERGENTES'!$B$20</f>
        <v>LA VIEJA ESQUINA</v>
      </c>
      <c r="C940" s="207"/>
      <c r="D940" s="88">
        <v>1</v>
      </c>
      <c r="E940" s="89" t="str">
        <f>'[1]COMEDORES EMERGENTES'!$G$20</f>
        <v>B° CRISTO REY PJE CAPATAZ VILLAFAÑEZ Y ARMANDO CORREA</v>
      </c>
    </row>
    <row r="941" spans="2:5" x14ac:dyDescent="0.2">
      <c r="B941" s="206" t="str">
        <f>'[1]COMEDORES EMERGENTES'!$B$21</f>
        <v>GAUCHITO GIL</v>
      </c>
      <c r="C941" s="207"/>
      <c r="D941" s="88">
        <v>1</v>
      </c>
      <c r="E941" s="89" t="str">
        <f>'[1]COMEDORES EMERGENTES'!$G$21</f>
        <v>B° 26 VIVIENDAS CASA N° 3</v>
      </c>
    </row>
    <row r="942" spans="2:5" ht="13.5" thickBot="1" x14ac:dyDescent="0.25">
      <c r="B942" s="220" t="str">
        <f>'[1]COMEDORES EMERGENTES'!$B$22</f>
        <v>LOS TOLDOS</v>
      </c>
      <c r="C942" s="221"/>
      <c r="D942" s="95">
        <v>1</v>
      </c>
      <c r="E942" s="96" t="str">
        <f>'[1]COMEDORES EMERGENTES'!$G$22</f>
        <v>LOTEO PARQUE SUR CALLE S/NOMBRE S/N°</v>
      </c>
    </row>
    <row r="943" spans="2:5" x14ac:dyDescent="0.2">
      <c r="B943" s="13" t="s">
        <v>18</v>
      </c>
      <c r="C943" s="11"/>
      <c r="D943" s="52"/>
      <c r="E943" s="12"/>
    </row>
    <row r="944" spans="2:5" x14ac:dyDescent="0.2">
      <c r="B944" s="14"/>
      <c r="C944" s="219" t="s">
        <v>24</v>
      </c>
      <c r="D944" s="219"/>
      <c r="E944" s="219"/>
    </row>
    <row r="945" spans="2:5" x14ac:dyDescent="0.2">
      <c r="B945" s="13" t="s">
        <v>19</v>
      </c>
      <c r="C945" s="15"/>
      <c r="D945" s="15"/>
      <c r="E945" s="16"/>
    </row>
    <row r="946" spans="2:5" x14ac:dyDescent="0.2">
      <c r="B946" s="14"/>
      <c r="C946" s="219" t="s">
        <v>101</v>
      </c>
      <c r="D946" s="219"/>
      <c r="E946" s="219"/>
    </row>
    <row r="947" spans="2:5" x14ac:dyDescent="0.2">
      <c r="B947" s="13" t="s">
        <v>20</v>
      </c>
      <c r="C947" s="11"/>
      <c r="D947" s="52"/>
      <c r="E947" s="12"/>
    </row>
    <row r="948" spans="2:5" x14ac:dyDescent="0.2">
      <c r="B948" s="13"/>
      <c r="C948" s="205" t="s">
        <v>25</v>
      </c>
      <c r="D948" s="205"/>
      <c r="E948" s="205"/>
    </row>
    <row r="949" spans="2:5" ht="13.5" thickBot="1" x14ac:dyDescent="0.25">
      <c r="B949" s="17"/>
      <c r="C949" s="18"/>
      <c r="D949" s="53"/>
      <c r="E949" s="19"/>
    </row>
    <row r="950" spans="2:5" ht="13.5" thickBot="1" x14ac:dyDescent="0.25"/>
    <row r="951" spans="2:5" x14ac:dyDescent="0.2">
      <c r="B951" s="7" t="s">
        <v>125</v>
      </c>
      <c r="C951" s="8"/>
      <c r="D951" s="51"/>
      <c r="E951" s="9"/>
    </row>
    <row r="952" spans="2:5" x14ac:dyDescent="0.2">
      <c r="B952" s="10"/>
      <c r="C952" s="11"/>
      <c r="D952" s="52"/>
      <c r="E952" s="12"/>
    </row>
    <row r="953" spans="2:5" x14ac:dyDescent="0.2">
      <c r="B953" s="13" t="s">
        <v>16</v>
      </c>
      <c r="C953" s="11"/>
      <c r="D953" s="52"/>
      <c r="E953" s="12"/>
    </row>
    <row r="954" spans="2:5" ht="25.5" customHeight="1" x14ac:dyDescent="0.2">
      <c r="B954" s="13"/>
      <c r="C954" s="219"/>
      <c r="D954" s="219"/>
      <c r="E954" s="219"/>
    </row>
    <row r="955" spans="2:5" ht="13.5" thickBot="1" x14ac:dyDescent="0.25">
      <c r="B955" s="13" t="s">
        <v>17</v>
      </c>
      <c r="C955" s="11"/>
      <c r="D955" s="52"/>
      <c r="E955" s="12"/>
    </row>
    <row r="956" spans="2:5" ht="13.5" thickBot="1" x14ac:dyDescent="0.25">
      <c r="B956" s="211" t="s">
        <v>203</v>
      </c>
      <c r="C956" s="215"/>
      <c r="D956" s="215"/>
      <c r="E956" s="212"/>
    </row>
    <row r="957" spans="2:5" ht="13.5" thickBot="1" x14ac:dyDescent="0.25">
      <c r="B957" s="211" t="s">
        <v>99</v>
      </c>
      <c r="C957" s="212"/>
      <c r="D957" s="49" t="s">
        <v>11</v>
      </c>
      <c r="E957" s="49" t="s">
        <v>100</v>
      </c>
    </row>
    <row r="958" spans="2:5" x14ac:dyDescent="0.2">
      <c r="B958" s="213" t="str">
        <f>'[1]COMEDORES EMERGENTES'!$B$3</f>
        <v>UNA SONRISA AV. LOS COBACHO</v>
      </c>
      <c r="C958" s="214"/>
      <c r="D958" s="93">
        <v>160</v>
      </c>
      <c r="E958" s="94" t="str">
        <f>'[1]COMEDORES EMERGENTES'!$G$3</f>
        <v>Bº SAN CARLOS OESTE AV. Bonifacio cobacho 670</v>
      </c>
    </row>
    <row r="959" spans="2:5" x14ac:dyDescent="0.2">
      <c r="B959" s="206" t="str">
        <f>'[1]COMEDORES EMERGENTES'!$B$4</f>
        <v>C.I.F Nº1 - RIVERA DEL VALLE Y FLORIDA</v>
      </c>
      <c r="C959" s="207"/>
      <c r="D959" s="88">
        <v>230</v>
      </c>
      <c r="E959" s="89" t="str">
        <f>'[1]COMEDORES EMERGENTES'!$G$4</f>
        <v>AV. RIVIERA DEL VALLE ENTRE FLORIDA Y SANTA FE</v>
      </c>
    </row>
    <row r="960" spans="2:5" x14ac:dyDescent="0.2">
      <c r="B960" s="206" t="str">
        <f>'[1]COMEDORES EMERGENTES'!$B$5</f>
        <v>C.I.F - RIVERA DEL VALLE - DILORENZO</v>
      </c>
      <c r="C960" s="207"/>
      <c r="D960" s="88">
        <v>270</v>
      </c>
      <c r="E960" s="89" t="str">
        <f>'[1]COMEDORES EMERGENTES'!$G$5</f>
        <v>Bº RIVERA DEL VALLE ENTRE VILLA EUMELIA Y MONTE CRISTO</v>
      </c>
    </row>
    <row r="961" spans="2:5" x14ac:dyDescent="0.2">
      <c r="B961" s="206" t="str">
        <f>'[1]COMEDORES EMERGENTES'!$B$6</f>
        <v>ESFUERZO PROPIO- Bº ALTOS DE CHOYA</v>
      </c>
      <c r="C961" s="207"/>
      <c r="D961" s="88">
        <v>220</v>
      </c>
      <c r="E961" s="89" t="str">
        <f>'[1]COMEDORES EMERGENTES'!$G$6</f>
        <v>Bº MUNICIPAL 35VV. NORTE C/14</v>
      </c>
    </row>
    <row r="962" spans="2:5" x14ac:dyDescent="0.2">
      <c r="B962" s="206" t="str">
        <f>'[1]COMEDORES EMERGENTES'!$B$7</f>
        <v>ANGELITOS - LOTEO SUSSEX</v>
      </c>
      <c r="C962" s="207"/>
      <c r="D962" s="88">
        <v>100</v>
      </c>
      <c r="E962" s="89" t="str">
        <f>'[1]COMEDORES EMERGENTES'!$G$7</f>
        <v>Bº LOTEO SUSEX MZA.Nº 4 LOTE Nº3</v>
      </c>
    </row>
    <row r="963" spans="2:5" x14ac:dyDescent="0.2">
      <c r="B963" s="206" t="str">
        <f>'[1]COMEDORES EMERGENTES'!$B$8</f>
        <v>CLUB DEPORTIVO CHACARITA</v>
      </c>
      <c r="C963" s="207"/>
      <c r="D963" s="88">
        <v>130</v>
      </c>
      <c r="E963" s="89" t="str">
        <f>'[1]COMEDORES EMERGENTES'!$G$8</f>
        <v>CALLE DR.DERMIDIO GALINDEZ C/2660</v>
      </c>
    </row>
    <row r="964" spans="2:5" x14ac:dyDescent="0.2">
      <c r="B964" s="206" t="str">
        <f>'[1]COMEDORES EMERGENTES'!$B$9</f>
        <v>LA MORO</v>
      </c>
      <c r="C964" s="207"/>
      <c r="D964" s="88">
        <v>120</v>
      </c>
      <c r="E964" s="89" t="str">
        <f>'[1]COMEDORES EMERGENTES'!$G$9</f>
        <v>MAIPU NORTE 1º ETAPA MZA "H" Bº MI JARDIN</v>
      </c>
    </row>
    <row r="965" spans="2:5" x14ac:dyDescent="0.2">
      <c r="B965" s="206" t="str">
        <f>'[1]COMEDORES EMERGENTES'!$B$10</f>
        <v>PAPA FRANCISCO</v>
      </c>
      <c r="C965" s="207"/>
      <c r="D965" s="88">
        <v>200</v>
      </c>
      <c r="E965" s="89" t="str">
        <f>'[1]COMEDORES EMERGENTES'!$G$10</f>
        <v>ENTRE AV.TEREBINTO Y AV.SAN JUAN LOTE "2" MZA. "B"</v>
      </c>
    </row>
    <row r="966" spans="2:5" x14ac:dyDescent="0.2">
      <c r="B966" s="206" t="str">
        <f>'[1]COMEDORES EMERGENTES'!$B$11</f>
        <v>E.P.C - 100 V.V NORTE</v>
      </c>
      <c r="C966" s="207"/>
      <c r="D966" s="88">
        <v>300</v>
      </c>
      <c r="E966" s="89" t="str">
        <f>'[1]COMEDORES EMERGENTES'!$G$11</f>
        <v>Bº VV NORTE C/48 ENTRE ESPAÑA Y FRANCIA</v>
      </c>
    </row>
    <row r="967" spans="2:5" x14ac:dyDescent="0.2">
      <c r="B967" s="206" t="str">
        <f>'[1]COMEDORES EMERGENTES'!$B$12</f>
        <v>HOGAR DE CRISTO - PADRE RAUL CONTRERAS</v>
      </c>
      <c r="C967" s="207"/>
      <c r="D967" s="88">
        <v>300</v>
      </c>
      <c r="E967" s="89" t="str">
        <f>'[1]COMEDORES EMERGENTES'!$G$12</f>
        <v>Bº SANTA MARTA MZA. "S" LOTE "M" C/39</v>
      </c>
    </row>
    <row r="968" spans="2:5" x14ac:dyDescent="0.2">
      <c r="B968" s="206" t="str">
        <f>'[1]COMEDORES EMERGENTES'!$B$13</f>
        <v>LA LUCIERNAGA</v>
      </c>
      <c r="C968" s="207"/>
      <c r="D968" s="88">
        <v>200</v>
      </c>
      <c r="E968" s="89" t="str">
        <f>'[1]COMEDORES EMERGENTES'!$G$13</f>
        <v>Bº 20 V.V NORTE C/3</v>
      </c>
    </row>
    <row r="969" spans="2:5" x14ac:dyDescent="0.2">
      <c r="B969" s="206" t="str">
        <f>'[1]COMEDORES EMERGENTES'!$B$14</f>
        <v>VALLE VIEJO - SUMALAO</v>
      </c>
      <c r="C969" s="207"/>
      <c r="D969" s="88">
        <v>350</v>
      </c>
      <c r="E969" s="89" t="str">
        <f>'[1]COMEDORES EMERGENTES'!$G$14</f>
        <v>PADRE SEGURA S/N</v>
      </c>
    </row>
    <row r="970" spans="2:5" x14ac:dyDescent="0.2">
      <c r="B970" s="206" t="str">
        <f>'[1]COMEDORES EMERGENTES'!$B$15</f>
        <v>NUESTRO FUTURO - LAS VIAS</v>
      </c>
      <c r="C970" s="207"/>
      <c r="D970" s="88">
        <v>200</v>
      </c>
      <c r="E970" s="89" t="str">
        <f>'[1]COMEDORES EMERGENTES'!$G$15</f>
        <v>Bº LAS VIAS OESTE LOTE 42</v>
      </c>
    </row>
    <row r="971" spans="2:5" x14ac:dyDescent="0.2">
      <c r="B971" s="206" t="str">
        <f>'[1]COMEDORES EMERGENTES'!$B$16</f>
        <v>SAN JOSE OBRERO</v>
      </c>
      <c r="C971" s="207"/>
      <c r="D971" s="88">
        <v>130</v>
      </c>
      <c r="E971" s="89" t="str">
        <f>'[1]COMEDORES EMERGENTES'!$G$16</f>
        <v>Bº SAN JOSE OBRERO. PJE. SANDOVAL S/Nº</v>
      </c>
    </row>
    <row r="972" spans="2:5" x14ac:dyDescent="0.2">
      <c r="B972" s="206" t="str">
        <f>'[1]COMEDORES EMERGENTES'!$B$17</f>
        <v>VIRGEN DE LUJAN</v>
      </c>
      <c r="C972" s="207"/>
      <c r="D972" s="88">
        <v>200</v>
      </c>
      <c r="E972" s="89" t="str">
        <f>'[1]COMEDORES EMERGENTES'!$G$17</f>
        <v>Bº OJO DE AGUA C/DR.TEODULFO BARRIONUEVO S/Nº</v>
      </c>
    </row>
    <row r="973" spans="2:5" x14ac:dyDescent="0.2">
      <c r="B973" s="206" t="str">
        <f>'[1]COMEDORES EMERGENTES'!$B$18</f>
        <v>RENACER</v>
      </c>
      <c r="C973" s="207"/>
      <c r="D973" s="88">
        <v>250</v>
      </c>
      <c r="E973" s="89" t="str">
        <f>'[1]COMEDORES EMERGENTES'!$G$18</f>
        <v>Bº VIRGEN MORENITA</v>
      </c>
    </row>
    <row r="974" spans="2:5" x14ac:dyDescent="0.2">
      <c r="B974" s="206" t="str">
        <f>'[1]COMEDORES EMERGENTES'!$B$19</f>
        <v>CENTRO VECINAL MI JARDIN</v>
      </c>
      <c r="C974" s="207"/>
      <c r="D974" s="88">
        <v>180</v>
      </c>
      <c r="E974" s="89" t="str">
        <f>'[1]COMEDORES EMERGENTES'!$G$19</f>
        <v>C/ LOS TULIPANES ENTRE FLOR DE CEREZO Y HOLANDA MZA.27 Bº MI JARDIN</v>
      </c>
    </row>
    <row r="975" spans="2:5" x14ac:dyDescent="0.2">
      <c r="B975" s="206" t="str">
        <f>'[1]COMEDORES EMERGENTES'!$B$20</f>
        <v>LA VIEJA ESQUINA</v>
      </c>
      <c r="C975" s="207"/>
      <c r="D975" s="88">
        <v>172</v>
      </c>
      <c r="E975" s="89" t="str">
        <f>'[1]COMEDORES EMERGENTES'!$G$20</f>
        <v>B° CRISTO REY PJE CAPATAZ VILLAFAÑEZ Y ARMANDO CORREA</v>
      </c>
    </row>
    <row r="976" spans="2:5" x14ac:dyDescent="0.2">
      <c r="B976" s="206" t="str">
        <f>'[1]COMEDORES EMERGENTES'!$B$21</f>
        <v>GAUCHITO GIL</v>
      </c>
      <c r="C976" s="207"/>
      <c r="D976" s="88">
        <v>168</v>
      </c>
      <c r="E976" s="89" t="str">
        <f>'[1]COMEDORES EMERGENTES'!$G$21</f>
        <v>B° 26 VIVIENDAS CASA N° 3</v>
      </c>
    </row>
    <row r="977" spans="2:5" ht="13.5" thickBot="1" x14ac:dyDescent="0.25">
      <c r="B977" s="220" t="str">
        <f>'[1]COMEDORES EMERGENTES'!$B$22</f>
        <v>LOS TOLDOS</v>
      </c>
      <c r="C977" s="221"/>
      <c r="D977" s="95">
        <v>80</v>
      </c>
      <c r="E977" s="96" t="str">
        <f>'[1]COMEDORES EMERGENTES'!$G$22</f>
        <v>LOTEO PARQUE SUR CALLE S/NOMBRE S/N°</v>
      </c>
    </row>
    <row r="978" spans="2:5" x14ac:dyDescent="0.2">
      <c r="B978" s="13" t="s">
        <v>18</v>
      </c>
      <c r="C978" s="11"/>
      <c r="D978" s="52"/>
      <c r="E978" s="12"/>
    </row>
    <row r="979" spans="2:5" x14ac:dyDescent="0.2">
      <c r="B979" s="14"/>
      <c r="C979" s="219" t="s">
        <v>24</v>
      </c>
      <c r="D979" s="219"/>
      <c r="E979" s="219"/>
    </row>
    <row r="980" spans="2:5" x14ac:dyDescent="0.2">
      <c r="B980" s="13" t="s">
        <v>19</v>
      </c>
      <c r="C980" s="15"/>
      <c r="D980" s="15"/>
      <c r="E980" s="16"/>
    </row>
    <row r="981" spans="2:5" x14ac:dyDescent="0.2">
      <c r="B981" s="14"/>
      <c r="C981" s="219" t="s">
        <v>101</v>
      </c>
      <c r="D981" s="219"/>
      <c r="E981" s="219"/>
    </row>
    <row r="982" spans="2:5" x14ac:dyDescent="0.2">
      <c r="B982" s="13" t="s">
        <v>20</v>
      </c>
      <c r="C982" s="11"/>
      <c r="D982" s="52"/>
      <c r="E982" s="12"/>
    </row>
    <row r="983" spans="2:5" x14ac:dyDescent="0.2">
      <c r="B983" s="13"/>
      <c r="C983" s="205" t="s">
        <v>25</v>
      </c>
      <c r="D983" s="205"/>
      <c r="E983" s="205"/>
    </row>
    <row r="984" spans="2:5" ht="13.5" thickBot="1" x14ac:dyDescent="0.25">
      <c r="B984" s="17"/>
      <c r="C984" s="18"/>
      <c r="D984" s="53"/>
      <c r="E984" s="19"/>
    </row>
    <row r="985" spans="2:5" ht="13.5" thickBot="1" x14ac:dyDescent="0.25"/>
    <row r="986" spans="2:5" x14ac:dyDescent="0.2">
      <c r="B986" s="7" t="s">
        <v>126</v>
      </c>
      <c r="C986" s="8"/>
      <c r="D986" s="51"/>
      <c r="E986" s="9"/>
    </row>
    <row r="987" spans="2:5" x14ac:dyDescent="0.2">
      <c r="B987" s="10"/>
      <c r="C987" s="11"/>
      <c r="D987" s="52"/>
      <c r="E987" s="12"/>
    </row>
    <row r="988" spans="2:5" x14ac:dyDescent="0.2">
      <c r="B988" s="13" t="s">
        <v>16</v>
      </c>
      <c r="C988" s="11"/>
      <c r="D988" s="52"/>
      <c r="E988" s="12"/>
    </row>
    <row r="989" spans="2:5" ht="30" customHeight="1" x14ac:dyDescent="0.2">
      <c r="B989" s="13"/>
      <c r="C989" s="219"/>
      <c r="D989" s="219"/>
      <c r="E989" s="219"/>
    </row>
    <row r="990" spans="2:5" ht="13.5" thickBot="1" x14ac:dyDescent="0.25">
      <c r="B990" s="13" t="s">
        <v>17</v>
      </c>
      <c r="C990" s="11"/>
      <c r="D990" s="52"/>
      <c r="E990" s="12"/>
    </row>
    <row r="991" spans="2:5" ht="13.5" thickBot="1" x14ac:dyDescent="0.25">
      <c r="B991" s="211" t="s">
        <v>204</v>
      </c>
      <c r="C991" s="215"/>
      <c r="D991" s="215"/>
      <c r="E991" s="212"/>
    </row>
    <row r="992" spans="2:5" ht="13.5" thickBot="1" x14ac:dyDescent="0.25">
      <c r="B992" s="211" t="s">
        <v>99</v>
      </c>
      <c r="C992" s="212"/>
      <c r="D992" s="49" t="s">
        <v>11</v>
      </c>
      <c r="E992" s="49" t="s">
        <v>100</v>
      </c>
    </row>
    <row r="993" spans="2:5" x14ac:dyDescent="0.2">
      <c r="B993" s="213" t="str">
        <f>'[1]COMEDORES EMERGENTES'!$B$3</f>
        <v>UNA SONRISA AV. LOS COBACHO</v>
      </c>
      <c r="C993" s="214"/>
      <c r="D993" s="93">
        <v>160</v>
      </c>
      <c r="E993" s="94" t="str">
        <f>'[1]COMEDORES EMERGENTES'!$G$3</f>
        <v>Bº SAN CARLOS OESTE AV. Bonifacio cobacho 670</v>
      </c>
    </row>
    <row r="994" spans="2:5" x14ac:dyDescent="0.2">
      <c r="B994" s="206" t="str">
        <f>'[1]COMEDORES EMERGENTES'!$B$4</f>
        <v>C.I.F Nº1 - RIVERA DEL VALLE Y FLORIDA</v>
      </c>
      <c r="C994" s="207"/>
      <c r="D994" s="88">
        <v>230</v>
      </c>
      <c r="E994" s="89" t="str">
        <f>'[1]COMEDORES EMERGENTES'!$G$4</f>
        <v>AV. RIVIERA DEL VALLE ENTRE FLORIDA Y SANTA FE</v>
      </c>
    </row>
    <row r="995" spans="2:5" x14ac:dyDescent="0.2">
      <c r="B995" s="206" t="str">
        <f>'[1]COMEDORES EMERGENTES'!$B$5</f>
        <v>C.I.F - RIVERA DEL VALLE - DILORENZO</v>
      </c>
      <c r="C995" s="207"/>
      <c r="D995" s="88">
        <v>270</v>
      </c>
      <c r="E995" s="89" t="str">
        <f>'[1]COMEDORES EMERGENTES'!$G$5</f>
        <v>Bº RIVERA DEL VALLE ENTRE VILLA EUMELIA Y MONTE CRISTO</v>
      </c>
    </row>
    <row r="996" spans="2:5" x14ac:dyDescent="0.2">
      <c r="B996" s="206" t="str">
        <f>'[1]COMEDORES EMERGENTES'!$B$6</f>
        <v>ESFUERZO PROPIO- Bº ALTOS DE CHOYA</v>
      </c>
      <c r="C996" s="207"/>
      <c r="D996" s="88">
        <v>220</v>
      </c>
      <c r="E996" s="89" t="str">
        <f>'[1]COMEDORES EMERGENTES'!$G$6</f>
        <v>Bº MUNICIPAL 35VV. NORTE C/14</v>
      </c>
    </row>
    <row r="997" spans="2:5" x14ac:dyDescent="0.2">
      <c r="B997" s="206" t="str">
        <f>'[1]COMEDORES EMERGENTES'!$B$7</f>
        <v>ANGELITOS - LOTEO SUSSEX</v>
      </c>
      <c r="C997" s="207"/>
      <c r="D997" s="88">
        <v>100</v>
      </c>
      <c r="E997" s="89" t="str">
        <f>'[1]COMEDORES EMERGENTES'!$G$7</f>
        <v>Bº LOTEO SUSEX MZA.Nº 4 LOTE Nº3</v>
      </c>
    </row>
    <row r="998" spans="2:5" x14ac:dyDescent="0.2">
      <c r="B998" s="206" t="str">
        <f>'[1]COMEDORES EMERGENTES'!$B$8</f>
        <v>CLUB DEPORTIVO CHACARITA</v>
      </c>
      <c r="C998" s="207"/>
      <c r="D998" s="88">
        <v>130</v>
      </c>
      <c r="E998" s="89" t="str">
        <f>'[1]COMEDORES EMERGENTES'!$G$8</f>
        <v>CALLE DR.DERMIDIO GALINDEZ C/2660</v>
      </c>
    </row>
    <row r="999" spans="2:5" x14ac:dyDescent="0.2">
      <c r="B999" s="206" t="str">
        <f>'[1]COMEDORES EMERGENTES'!$B$9</f>
        <v>LA MORO</v>
      </c>
      <c r="C999" s="207"/>
      <c r="D999" s="88">
        <v>120</v>
      </c>
      <c r="E999" s="89" t="str">
        <f>'[1]COMEDORES EMERGENTES'!$G$9</f>
        <v>MAIPU NORTE 1º ETAPA MZA "H" Bº MI JARDIN</v>
      </c>
    </row>
    <row r="1000" spans="2:5" x14ac:dyDescent="0.2">
      <c r="B1000" s="206" t="str">
        <f>'[1]COMEDORES EMERGENTES'!$B$10</f>
        <v>PAPA FRANCISCO</v>
      </c>
      <c r="C1000" s="207"/>
      <c r="D1000" s="88">
        <v>200</v>
      </c>
      <c r="E1000" s="89" t="str">
        <f>'[1]COMEDORES EMERGENTES'!$G$10</f>
        <v>ENTRE AV.TEREBINTO Y AV.SAN JUAN LOTE "2" MZA. "B"</v>
      </c>
    </row>
    <row r="1001" spans="2:5" x14ac:dyDescent="0.2">
      <c r="B1001" s="206" t="str">
        <f>'[1]COMEDORES EMERGENTES'!$B$11</f>
        <v>E.P.C - 100 V.V NORTE</v>
      </c>
      <c r="C1001" s="207"/>
      <c r="D1001" s="88">
        <v>300</v>
      </c>
      <c r="E1001" s="89" t="str">
        <f>'[1]COMEDORES EMERGENTES'!$G$11</f>
        <v>Bº VV NORTE C/48 ENTRE ESPAÑA Y FRANCIA</v>
      </c>
    </row>
    <row r="1002" spans="2:5" x14ac:dyDescent="0.2">
      <c r="B1002" s="206" t="str">
        <f>'[1]COMEDORES EMERGENTES'!$B$12</f>
        <v>HOGAR DE CRISTO - PADRE RAUL CONTRERAS</v>
      </c>
      <c r="C1002" s="207"/>
      <c r="D1002" s="88">
        <v>300</v>
      </c>
      <c r="E1002" s="89" t="str">
        <f>'[1]COMEDORES EMERGENTES'!$G$12</f>
        <v>Bº SANTA MARTA MZA. "S" LOTE "M" C/39</v>
      </c>
    </row>
    <row r="1003" spans="2:5" x14ac:dyDescent="0.2">
      <c r="B1003" s="206" t="str">
        <f>'[1]COMEDORES EMERGENTES'!$B$13</f>
        <v>LA LUCIERNAGA</v>
      </c>
      <c r="C1003" s="207"/>
      <c r="D1003" s="88">
        <v>200</v>
      </c>
      <c r="E1003" s="89" t="str">
        <f>'[1]COMEDORES EMERGENTES'!$G$13</f>
        <v>Bº 20 V.V NORTE C/3</v>
      </c>
    </row>
    <row r="1004" spans="2:5" x14ac:dyDescent="0.2">
      <c r="B1004" s="206" t="str">
        <f>'[1]COMEDORES EMERGENTES'!$B$14</f>
        <v>VALLE VIEJO - SUMALAO</v>
      </c>
      <c r="C1004" s="207"/>
      <c r="D1004" s="88">
        <v>350</v>
      </c>
      <c r="E1004" s="89" t="str">
        <f>'[1]COMEDORES EMERGENTES'!$G$14</f>
        <v>PADRE SEGURA S/N</v>
      </c>
    </row>
    <row r="1005" spans="2:5" x14ac:dyDescent="0.2">
      <c r="B1005" s="206" t="str">
        <f>'[1]COMEDORES EMERGENTES'!$B$15</f>
        <v>NUESTRO FUTURO - LAS VIAS</v>
      </c>
      <c r="C1005" s="207"/>
      <c r="D1005" s="88">
        <v>200</v>
      </c>
      <c r="E1005" s="89" t="str">
        <f>'[1]COMEDORES EMERGENTES'!$G$15</f>
        <v>Bº LAS VIAS OESTE LOTE 42</v>
      </c>
    </row>
    <row r="1006" spans="2:5" x14ac:dyDescent="0.2">
      <c r="B1006" s="206" t="str">
        <f>'[1]COMEDORES EMERGENTES'!$B$16</f>
        <v>SAN JOSE OBRERO</v>
      </c>
      <c r="C1006" s="207"/>
      <c r="D1006" s="88">
        <v>130</v>
      </c>
      <c r="E1006" s="89" t="str">
        <f>'[1]COMEDORES EMERGENTES'!$G$16</f>
        <v>Bº SAN JOSE OBRERO. PJE. SANDOVAL S/Nº</v>
      </c>
    </row>
    <row r="1007" spans="2:5" x14ac:dyDescent="0.2">
      <c r="B1007" s="206" t="str">
        <f>'[1]COMEDORES EMERGENTES'!$B$17</f>
        <v>VIRGEN DE LUJAN</v>
      </c>
      <c r="C1007" s="207"/>
      <c r="D1007" s="88">
        <v>200</v>
      </c>
      <c r="E1007" s="89" t="str">
        <f>'[1]COMEDORES EMERGENTES'!$G$17</f>
        <v>Bº OJO DE AGUA C/DR.TEODULFO BARRIONUEVO S/Nº</v>
      </c>
    </row>
    <row r="1008" spans="2:5" x14ac:dyDescent="0.2">
      <c r="B1008" s="206" t="str">
        <f>'[1]COMEDORES EMERGENTES'!$B$18</f>
        <v>RENACER</v>
      </c>
      <c r="C1008" s="207"/>
      <c r="D1008" s="88">
        <v>250</v>
      </c>
      <c r="E1008" s="89" t="str">
        <f>'[1]COMEDORES EMERGENTES'!$G$18</f>
        <v>Bº VIRGEN MORENITA</v>
      </c>
    </row>
    <row r="1009" spans="2:5" x14ac:dyDescent="0.2">
      <c r="B1009" s="206" t="str">
        <f>'[1]COMEDORES EMERGENTES'!$B$19</f>
        <v>CENTRO VECINAL MI JARDIN</v>
      </c>
      <c r="C1009" s="207"/>
      <c r="D1009" s="88">
        <v>180</v>
      </c>
      <c r="E1009" s="89" t="str">
        <f>'[1]COMEDORES EMERGENTES'!$G$19</f>
        <v>C/ LOS TULIPANES ENTRE FLOR DE CEREZO Y HOLANDA MZA.27 Bº MI JARDIN</v>
      </c>
    </row>
    <row r="1010" spans="2:5" x14ac:dyDescent="0.2">
      <c r="B1010" s="206" t="str">
        <f>'[1]COMEDORES EMERGENTES'!$B$20</f>
        <v>LA VIEJA ESQUINA</v>
      </c>
      <c r="C1010" s="207"/>
      <c r="D1010" s="88">
        <v>172</v>
      </c>
      <c r="E1010" s="89" t="str">
        <f>'[1]COMEDORES EMERGENTES'!$G$20</f>
        <v>B° CRISTO REY PJE CAPATAZ VILLAFAÑEZ Y ARMANDO CORREA</v>
      </c>
    </row>
    <row r="1011" spans="2:5" x14ac:dyDescent="0.2">
      <c r="B1011" s="206" t="str">
        <f>'[1]COMEDORES EMERGENTES'!$B$21</f>
        <v>GAUCHITO GIL</v>
      </c>
      <c r="C1011" s="207"/>
      <c r="D1011" s="88">
        <v>168</v>
      </c>
      <c r="E1011" s="89" t="str">
        <f>'[1]COMEDORES EMERGENTES'!$G$21</f>
        <v>B° 26 VIVIENDAS CASA N° 3</v>
      </c>
    </row>
    <row r="1012" spans="2:5" ht="13.5" thickBot="1" x14ac:dyDescent="0.25">
      <c r="B1012" s="220" t="str">
        <f>'[1]COMEDORES EMERGENTES'!$B$22</f>
        <v>LOS TOLDOS</v>
      </c>
      <c r="C1012" s="221"/>
      <c r="D1012" s="95">
        <v>80</v>
      </c>
      <c r="E1012" s="96" t="str">
        <f>'[1]COMEDORES EMERGENTES'!$G$22</f>
        <v>LOTEO PARQUE SUR CALLE S/NOMBRE S/N°</v>
      </c>
    </row>
    <row r="1013" spans="2:5" x14ac:dyDescent="0.2">
      <c r="B1013" s="13" t="s">
        <v>18</v>
      </c>
      <c r="C1013" s="11"/>
      <c r="D1013" s="52"/>
      <c r="E1013" s="12"/>
    </row>
    <row r="1014" spans="2:5" x14ac:dyDescent="0.2">
      <c r="B1014" s="14"/>
      <c r="C1014" s="219" t="s">
        <v>24</v>
      </c>
      <c r="D1014" s="219"/>
      <c r="E1014" s="219"/>
    </row>
    <row r="1015" spans="2:5" x14ac:dyDescent="0.2">
      <c r="B1015" s="13" t="s">
        <v>19</v>
      </c>
      <c r="C1015" s="15"/>
      <c r="D1015" s="15"/>
      <c r="E1015" s="16"/>
    </row>
    <row r="1016" spans="2:5" x14ac:dyDescent="0.2">
      <c r="B1016" s="14"/>
      <c r="C1016" s="219" t="s">
        <v>101</v>
      </c>
      <c r="D1016" s="219"/>
      <c r="E1016" s="219"/>
    </row>
    <row r="1017" spans="2:5" x14ac:dyDescent="0.2">
      <c r="B1017" s="13" t="s">
        <v>20</v>
      </c>
      <c r="C1017" s="11"/>
      <c r="D1017" s="52"/>
      <c r="E1017" s="12"/>
    </row>
    <row r="1018" spans="2:5" x14ac:dyDescent="0.2">
      <c r="B1018" s="13"/>
      <c r="C1018" s="205" t="s">
        <v>25</v>
      </c>
      <c r="D1018" s="205"/>
      <c r="E1018" s="205"/>
    </row>
    <row r="1019" spans="2:5" ht="13.5" thickBot="1" x14ac:dyDescent="0.25">
      <c r="B1019" s="17"/>
      <c r="C1019" s="18"/>
      <c r="D1019" s="53"/>
      <c r="E1019" s="19"/>
    </row>
    <row r="1020" spans="2:5" ht="13.5" thickBot="1" x14ac:dyDescent="0.25"/>
    <row r="1021" spans="2:5" x14ac:dyDescent="0.2">
      <c r="B1021" s="7" t="s">
        <v>127</v>
      </c>
      <c r="C1021" s="8"/>
      <c r="D1021" s="51"/>
      <c r="E1021" s="9"/>
    </row>
    <row r="1022" spans="2:5" x14ac:dyDescent="0.2">
      <c r="B1022" s="10"/>
      <c r="C1022" s="11"/>
      <c r="D1022" s="52"/>
      <c r="E1022" s="12"/>
    </row>
    <row r="1023" spans="2:5" x14ac:dyDescent="0.2">
      <c r="B1023" s="13" t="s">
        <v>16</v>
      </c>
      <c r="C1023" s="11"/>
      <c r="D1023" s="52"/>
      <c r="E1023" s="12"/>
    </row>
    <row r="1024" spans="2:5" ht="25.5" customHeight="1" x14ac:dyDescent="0.2">
      <c r="B1024" s="13"/>
      <c r="C1024" s="219"/>
      <c r="D1024" s="219"/>
      <c r="E1024" s="219"/>
    </row>
    <row r="1025" spans="2:5" ht="13.5" thickBot="1" x14ac:dyDescent="0.25">
      <c r="B1025" s="13" t="s">
        <v>17</v>
      </c>
      <c r="C1025" s="11"/>
      <c r="D1025" s="52"/>
      <c r="E1025" s="12"/>
    </row>
    <row r="1026" spans="2:5" ht="13.5" thickBot="1" x14ac:dyDescent="0.25">
      <c r="B1026" s="211" t="s">
        <v>206</v>
      </c>
      <c r="C1026" s="215"/>
      <c r="D1026" s="215"/>
      <c r="E1026" s="212"/>
    </row>
    <row r="1027" spans="2:5" ht="13.5" thickBot="1" x14ac:dyDescent="0.25">
      <c r="B1027" s="211" t="s">
        <v>99</v>
      </c>
      <c r="C1027" s="212"/>
      <c r="D1027" s="49" t="s">
        <v>11</v>
      </c>
      <c r="E1027" s="49" t="s">
        <v>100</v>
      </c>
    </row>
    <row r="1028" spans="2:5" x14ac:dyDescent="0.2">
      <c r="B1028" s="213" t="str">
        <f>'[1]COMEDORES EMERGENTES'!$B$3</f>
        <v>UNA SONRISA AV. LOS COBACHO</v>
      </c>
      <c r="C1028" s="214"/>
      <c r="D1028" s="93">
        <v>160</v>
      </c>
      <c r="E1028" s="94" t="str">
        <f>'[1]COMEDORES EMERGENTES'!$G$3</f>
        <v>Bº SAN CARLOS OESTE AV. Bonifacio cobacho 670</v>
      </c>
    </row>
    <row r="1029" spans="2:5" x14ac:dyDescent="0.2">
      <c r="B1029" s="206" t="str">
        <f>'[1]COMEDORES EMERGENTES'!$B$4</f>
        <v>C.I.F Nº1 - RIVERA DEL VALLE Y FLORIDA</v>
      </c>
      <c r="C1029" s="207"/>
      <c r="D1029" s="88">
        <v>230</v>
      </c>
      <c r="E1029" s="89" t="str">
        <f>'[1]COMEDORES EMERGENTES'!$G$4</f>
        <v>AV. RIVIERA DEL VALLE ENTRE FLORIDA Y SANTA FE</v>
      </c>
    </row>
    <row r="1030" spans="2:5" x14ac:dyDescent="0.2">
      <c r="B1030" s="206" t="str">
        <f>'[1]COMEDORES EMERGENTES'!$B$5</f>
        <v>C.I.F - RIVERA DEL VALLE - DILORENZO</v>
      </c>
      <c r="C1030" s="207"/>
      <c r="D1030" s="88">
        <v>270</v>
      </c>
      <c r="E1030" s="89" t="str">
        <f>'[1]COMEDORES EMERGENTES'!$G$5</f>
        <v>Bº RIVERA DEL VALLE ENTRE VILLA EUMELIA Y MONTE CRISTO</v>
      </c>
    </row>
    <row r="1031" spans="2:5" x14ac:dyDescent="0.2">
      <c r="B1031" s="206" t="str">
        <f>'[1]COMEDORES EMERGENTES'!$B$6</f>
        <v>ESFUERZO PROPIO- Bº ALTOS DE CHOYA</v>
      </c>
      <c r="C1031" s="207"/>
      <c r="D1031" s="88">
        <v>220</v>
      </c>
      <c r="E1031" s="89" t="str">
        <f>'[1]COMEDORES EMERGENTES'!$G$6</f>
        <v>Bº MUNICIPAL 35VV. NORTE C/14</v>
      </c>
    </row>
    <row r="1032" spans="2:5" x14ac:dyDescent="0.2">
      <c r="B1032" s="206" t="str">
        <f>'[1]COMEDORES EMERGENTES'!$B$7</f>
        <v>ANGELITOS - LOTEO SUSSEX</v>
      </c>
      <c r="C1032" s="207"/>
      <c r="D1032" s="88">
        <v>100</v>
      </c>
      <c r="E1032" s="89" t="str">
        <f>'[1]COMEDORES EMERGENTES'!$G$7</f>
        <v>Bº LOTEO SUSEX MZA.Nº 4 LOTE Nº3</v>
      </c>
    </row>
    <row r="1033" spans="2:5" x14ac:dyDescent="0.2">
      <c r="B1033" s="206" t="str">
        <f>'[1]COMEDORES EMERGENTES'!$B$8</f>
        <v>CLUB DEPORTIVO CHACARITA</v>
      </c>
      <c r="C1033" s="207"/>
      <c r="D1033" s="88">
        <v>130</v>
      </c>
      <c r="E1033" s="89" t="str">
        <f>'[1]COMEDORES EMERGENTES'!$G$8</f>
        <v>CALLE DR.DERMIDIO GALINDEZ C/2660</v>
      </c>
    </row>
    <row r="1034" spans="2:5" x14ac:dyDescent="0.2">
      <c r="B1034" s="206" t="str">
        <f>'[1]COMEDORES EMERGENTES'!$B$9</f>
        <v>LA MORO</v>
      </c>
      <c r="C1034" s="207"/>
      <c r="D1034" s="88">
        <v>120</v>
      </c>
      <c r="E1034" s="89" t="str">
        <f>'[1]COMEDORES EMERGENTES'!$G$9</f>
        <v>MAIPU NORTE 1º ETAPA MZA "H" Bº MI JARDIN</v>
      </c>
    </row>
    <row r="1035" spans="2:5" x14ac:dyDescent="0.2">
      <c r="B1035" s="206" t="str">
        <f>'[1]COMEDORES EMERGENTES'!$B$10</f>
        <v>PAPA FRANCISCO</v>
      </c>
      <c r="C1035" s="207"/>
      <c r="D1035" s="88">
        <v>200</v>
      </c>
      <c r="E1035" s="89" t="str">
        <f>'[1]COMEDORES EMERGENTES'!$G$10</f>
        <v>ENTRE AV.TEREBINTO Y AV.SAN JUAN LOTE "2" MZA. "B"</v>
      </c>
    </row>
    <row r="1036" spans="2:5" x14ac:dyDescent="0.2">
      <c r="B1036" s="206" t="str">
        <f>'[1]COMEDORES EMERGENTES'!$B$11</f>
        <v>E.P.C - 100 V.V NORTE</v>
      </c>
      <c r="C1036" s="207"/>
      <c r="D1036" s="88">
        <v>300</v>
      </c>
      <c r="E1036" s="89" t="str">
        <f>'[1]COMEDORES EMERGENTES'!$G$11</f>
        <v>Bº VV NORTE C/48 ENTRE ESPAÑA Y FRANCIA</v>
      </c>
    </row>
    <row r="1037" spans="2:5" x14ac:dyDescent="0.2">
      <c r="B1037" s="206" t="str">
        <f>'[1]COMEDORES EMERGENTES'!$B$12</f>
        <v>HOGAR DE CRISTO - PADRE RAUL CONTRERAS</v>
      </c>
      <c r="C1037" s="207"/>
      <c r="D1037" s="88">
        <v>300</v>
      </c>
      <c r="E1037" s="89" t="str">
        <f>'[1]COMEDORES EMERGENTES'!$G$12</f>
        <v>Bº SANTA MARTA MZA. "S" LOTE "M" C/39</v>
      </c>
    </row>
    <row r="1038" spans="2:5" x14ac:dyDescent="0.2">
      <c r="B1038" s="206" t="str">
        <f>'[1]COMEDORES EMERGENTES'!$B$13</f>
        <v>LA LUCIERNAGA</v>
      </c>
      <c r="C1038" s="207"/>
      <c r="D1038" s="88">
        <v>200</v>
      </c>
      <c r="E1038" s="89" t="str">
        <f>'[1]COMEDORES EMERGENTES'!$G$13</f>
        <v>Bº 20 V.V NORTE C/3</v>
      </c>
    </row>
    <row r="1039" spans="2:5" x14ac:dyDescent="0.2">
      <c r="B1039" s="206" t="str">
        <f>'[1]COMEDORES EMERGENTES'!$B$14</f>
        <v>VALLE VIEJO - SUMALAO</v>
      </c>
      <c r="C1039" s="207"/>
      <c r="D1039" s="88">
        <v>350</v>
      </c>
      <c r="E1039" s="89" t="str">
        <f>'[1]COMEDORES EMERGENTES'!$G$14</f>
        <v>PADRE SEGURA S/N</v>
      </c>
    </row>
    <row r="1040" spans="2:5" x14ac:dyDescent="0.2">
      <c r="B1040" s="206" t="str">
        <f>'[1]COMEDORES EMERGENTES'!$B$15</f>
        <v>NUESTRO FUTURO - LAS VIAS</v>
      </c>
      <c r="C1040" s="207"/>
      <c r="D1040" s="88">
        <v>200</v>
      </c>
      <c r="E1040" s="89" t="str">
        <f>'[1]COMEDORES EMERGENTES'!$G$15</f>
        <v>Bº LAS VIAS OESTE LOTE 42</v>
      </c>
    </row>
    <row r="1041" spans="2:5" x14ac:dyDescent="0.2">
      <c r="B1041" s="206" t="str">
        <f>'[1]COMEDORES EMERGENTES'!$B$16</f>
        <v>SAN JOSE OBRERO</v>
      </c>
      <c r="C1041" s="207"/>
      <c r="D1041" s="88">
        <v>130</v>
      </c>
      <c r="E1041" s="89" t="str">
        <f>'[1]COMEDORES EMERGENTES'!$G$16</f>
        <v>Bº SAN JOSE OBRERO. PJE. SANDOVAL S/Nº</v>
      </c>
    </row>
    <row r="1042" spans="2:5" x14ac:dyDescent="0.2">
      <c r="B1042" s="206" t="str">
        <f>'[1]COMEDORES EMERGENTES'!$B$17</f>
        <v>VIRGEN DE LUJAN</v>
      </c>
      <c r="C1042" s="207"/>
      <c r="D1042" s="88">
        <v>200</v>
      </c>
      <c r="E1042" s="89" t="str">
        <f>'[1]COMEDORES EMERGENTES'!$G$17</f>
        <v>Bº OJO DE AGUA C/DR.TEODULFO BARRIONUEVO S/Nº</v>
      </c>
    </row>
    <row r="1043" spans="2:5" x14ac:dyDescent="0.2">
      <c r="B1043" s="206" t="str">
        <f>'[1]COMEDORES EMERGENTES'!$B$18</f>
        <v>RENACER</v>
      </c>
      <c r="C1043" s="207"/>
      <c r="D1043" s="88">
        <v>250</v>
      </c>
      <c r="E1043" s="89" t="str">
        <f>'[1]COMEDORES EMERGENTES'!$G$18</f>
        <v>Bº VIRGEN MORENITA</v>
      </c>
    </row>
    <row r="1044" spans="2:5" x14ac:dyDescent="0.2">
      <c r="B1044" s="206" t="str">
        <f>'[1]COMEDORES EMERGENTES'!$B$19</f>
        <v>CENTRO VECINAL MI JARDIN</v>
      </c>
      <c r="C1044" s="207"/>
      <c r="D1044" s="88">
        <v>180</v>
      </c>
      <c r="E1044" s="89" t="str">
        <f>'[1]COMEDORES EMERGENTES'!$G$19</f>
        <v>C/ LOS TULIPANES ENTRE FLOR DE CEREZO Y HOLANDA MZA.27 Bº MI JARDIN</v>
      </c>
    </row>
    <row r="1045" spans="2:5" x14ac:dyDescent="0.2">
      <c r="B1045" s="206" t="str">
        <f>'[1]COMEDORES EMERGENTES'!$B$20</f>
        <v>LA VIEJA ESQUINA</v>
      </c>
      <c r="C1045" s="207"/>
      <c r="D1045" s="88">
        <v>172</v>
      </c>
      <c r="E1045" s="89" t="str">
        <f>'[1]COMEDORES EMERGENTES'!$G$20</f>
        <v>B° CRISTO REY PJE CAPATAZ VILLAFAÑEZ Y ARMANDO CORREA</v>
      </c>
    </row>
    <row r="1046" spans="2:5" x14ac:dyDescent="0.2">
      <c r="B1046" s="206" t="str">
        <f>'[1]COMEDORES EMERGENTES'!$B$21</f>
        <v>GAUCHITO GIL</v>
      </c>
      <c r="C1046" s="207"/>
      <c r="D1046" s="88">
        <v>168</v>
      </c>
      <c r="E1046" s="89" t="str">
        <f>'[1]COMEDORES EMERGENTES'!$G$21</f>
        <v>B° 26 VIVIENDAS CASA N° 3</v>
      </c>
    </row>
    <row r="1047" spans="2:5" ht="13.5" thickBot="1" x14ac:dyDescent="0.25">
      <c r="B1047" s="220" t="str">
        <f>'[1]COMEDORES EMERGENTES'!$B$22</f>
        <v>LOS TOLDOS</v>
      </c>
      <c r="C1047" s="221"/>
      <c r="D1047" s="95">
        <v>80</v>
      </c>
      <c r="E1047" s="96" t="str">
        <f>'[1]COMEDORES EMERGENTES'!$G$22</f>
        <v>LOTEO PARQUE SUR CALLE S/NOMBRE S/N°</v>
      </c>
    </row>
    <row r="1048" spans="2:5" x14ac:dyDescent="0.2">
      <c r="B1048" s="13" t="s">
        <v>18</v>
      </c>
      <c r="C1048" s="11"/>
      <c r="D1048" s="52"/>
      <c r="E1048" s="12"/>
    </row>
    <row r="1049" spans="2:5" x14ac:dyDescent="0.2">
      <c r="B1049" s="14"/>
      <c r="C1049" s="219" t="s">
        <v>24</v>
      </c>
      <c r="D1049" s="219"/>
      <c r="E1049" s="219"/>
    </row>
    <row r="1050" spans="2:5" x14ac:dyDescent="0.2">
      <c r="B1050" s="13" t="s">
        <v>19</v>
      </c>
      <c r="C1050" s="15"/>
      <c r="D1050" s="15"/>
      <c r="E1050" s="16"/>
    </row>
    <row r="1051" spans="2:5" x14ac:dyDescent="0.2">
      <c r="B1051" s="14"/>
      <c r="C1051" s="219" t="s">
        <v>101</v>
      </c>
      <c r="D1051" s="219"/>
      <c r="E1051" s="219"/>
    </row>
    <row r="1052" spans="2:5" x14ac:dyDescent="0.2">
      <c r="B1052" s="13" t="s">
        <v>20</v>
      </c>
      <c r="C1052" s="11"/>
      <c r="D1052" s="52"/>
      <c r="E1052" s="12"/>
    </row>
    <row r="1053" spans="2:5" x14ac:dyDescent="0.2">
      <c r="B1053" s="13"/>
      <c r="C1053" s="205" t="s">
        <v>25</v>
      </c>
      <c r="D1053" s="205"/>
      <c r="E1053" s="205"/>
    </row>
    <row r="1054" spans="2:5" ht="13.5" thickBot="1" x14ac:dyDescent="0.25">
      <c r="B1054" s="17"/>
      <c r="C1054" s="18"/>
      <c r="D1054" s="53"/>
      <c r="E1054" s="19"/>
    </row>
    <row r="1055" spans="2:5" ht="13.5" thickBot="1" x14ac:dyDescent="0.25"/>
    <row r="1056" spans="2:5" x14ac:dyDescent="0.2">
      <c r="B1056" s="7" t="s">
        <v>128</v>
      </c>
      <c r="C1056" s="8"/>
      <c r="D1056" s="51"/>
      <c r="E1056" s="9"/>
    </row>
    <row r="1057" spans="2:5" x14ac:dyDescent="0.2">
      <c r="B1057" s="10"/>
      <c r="C1057" s="11"/>
      <c r="D1057" s="52"/>
      <c r="E1057" s="12"/>
    </row>
    <row r="1058" spans="2:5" x14ac:dyDescent="0.2">
      <c r="B1058" s="13" t="s">
        <v>16</v>
      </c>
      <c r="C1058" s="11"/>
      <c r="D1058" s="52"/>
      <c r="E1058" s="12"/>
    </row>
    <row r="1059" spans="2:5" ht="25.5" customHeight="1" x14ac:dyDescent="0.2">
      <c r="B1059" s="13"/>
      <c r="C1059" s="219"/>
      <c r="D1059" s="219"/>
      <c r="E1059" s="219"/>
    </row>
    <row r="1060" spans="2:5" ht="13.5" thickBot="1" x14ac:dyDescent="0.25">
      <c r="B1060" s="13" t="s">
        <v>17</v>
      </c>
      <c r="C1060" s="11"/>
      <c r="D1060" s="52"/>
      <c r="E1060" s="12"/>
    </row>
    <row r="1061" spans="2:5" ht="13.5" thickBot="1" x14ac:dyDescent="0.25">
      <c r="B1061" s="211" t="s">
        <v>205</v>
      </c>
      <c r="C1061" s="215"/>
      <c r="D1061" s="215"/>
      <c r="E1061" s="212"/>
    </row>
    <row r="1062" spans="2:5" ht="13.5" thickBot="1" x14ac:dyDescent="0.25">
      <c r="B1062" s="211" t="s">
        <v>99</v>
      </c>
      <c r="C1062" s="212"/>
      <c r="D1062" s="49" t="s">
        <v>11</v>
      </c>
      <c r="E1062" s="49" t="s">
        <v>100</v>
      </c>
    </row>
    <row r="1063" spans="2:5" x14ac:dyDescent="0.2">
      <c r="B1063" s="213" t="str">
        <f>'[1]COMEDORES EMERGENTES'!$B$3</f>
        <v>UNA SONRISA AV. LOS COBACHO</v>
      </c>
      <c r="C1063" s="214"/>
      <c r="D1063" s="93">
        <v>160</v>
      </c>
      <c r="E1063" s="94" t="str">
        <f>'[1]COMEDORES EMERGENTES'!$G$3</f>
        <v>Bº SAN CARLOS OESTE AV. Bonifacio cobacho 670</v>
      </c>
    </row>
    <row r="1064" spans="2:5" x14ac:dyDescent="0.2">
      <c r="B1064" s="206" t="str">
        <f>'[1]COMEDORES EMERGENTES'!$B$4</f>
        <v>C.I.F Nº1 - RIVERA DEL VALLE Y FLORIDA</v>
      </c>
      <c r="C1064" s="207"/>
      <c r="D1064" s="88">
        <v>230</v>
      </c>
      <c r="E1064" s="89" t="str">
        <f>'[1]COMEDORES EMERGENTES'!$G$4</f>
        <v>AV. RIVIERA DEL VALLE ENTRE FLORIDA Y SANTA FE</v>
      </c>
    </row>
    <row r="1065" spans="2:5" x14ac:dyDescent="0.2">
      <c r="B1065" s="206" t="str">
        <f>'[1]COMEDORES EMERGENTES'!$B$5</f>
        <v>C.I.F - RIVERA DEL VALLE - DILORENZO</v>
      </c>
      <c r="C1065" s="207"/>
      <c r="D1065" s="88">
        <v>270</v>
      </c>
      <c r="E1065" s="89" t="str">
        <f>'[1]COMEDORES EMERGENTES'!$G$5</f>
        <v>Bº RIVERA DEL VALLE ENTRE VILLA EUMELIA Y MONTE CRISTO</v>
      </c>
    </row>
    <row r="1066" spans="2:5" x14ac:dyDescent="0.2">
      <c r="B1066" s="206" t="str">
        <f>'[1]COMEDORES EMERGENTES'!$B$6</f>
        <v>ESFUERZO PROPIO- Bº ALTOS DE CHOYA</v>
      </c>
      <c r="C1066" s="207"/>
      <c r="D1066" s="88">
        <v>220</v>
      </c>
      <c r="E1066" s="89" t="str">
        <f>'[1]COMEDORES EMERGENTES'!$G$6</f>
        <v>Bº MUNICIPAL 35VV. NORTE C/14</v>
      </c>
    </row>
    <row r="1067" spans="2:5" x14ac:dyDescent="0.2">
      <c r="B1067" s="206" t="str">
        <f>'[1]COMEDORES EMERGENTES'!$B$7</f>
        <v>ANGELITOS - LOTEO SUSSEX</v>
      </c>
      <c r="C1067" s="207"/>
      <c r="D1067" s="88">
        <v>100</v>
      </c>
      <c r="E1067" s="89" t="str">
        <f>'[1]COMEDORES EMERGENTES'!$G$7</f>
        <v>Bº LOTEO SUSEX MZA.Nº 4 LOTE Nº3</v>
      </c>
    </row>
    <row r="1068" spans="2:5" x14ac:dyDescent="0.2">
      <c r="B1068" s="206" t="str">
        <f>'[1]COMEDORES EMERGENTES'!$B$8</f>
        <v>CLUB DEPORTIVO CHACARITA</v>
      </c>
      <c r="C1068" s="207"/>
      <c r="D1068" s="88">
        <v>130</v>
      </c>
      <c r="E1068" s="89" t="str">
        <f>'[1]COMEDORES EMERGENTES'!$G$8</f>
        <v>CALLE DR.DERMIDIO GALINDEZ C/2660</v>
      </c>
    </row>
    <row r="1069" spans="2:5" x14ac:dyDescent="0.2">
      <c r="B1069" s="206" t="str">
        <f>'[1]COMEDORES EMERGENTES'!$B$9</f>
        <v>LA MORO</v>
      </c>
      <c r="C1069" s="207"/>
      <c r="D1069" s="88">
        <v>120</v>
      </c>
      <c r="E1069" s="89" t="str">
        <f>'[1]COMEDORES EMERGENTES'!$G$9</f>
        <v>MAIPU NORTE 1º ETAPA MZA "H" Bº MI JARDIN</v>
      </c>
    </row>
    <row r="1070" spans="2:5" x14ac:dyDescent="0.2">
      <c r="B1070" s="206" t="str">
        <f>'[1]COMEDORES EMERGENTES'!$B$10</f>
        <v>PAPA FRANCISCO</v>
      </c>
      <c r="C1070" s="207"/>
      <c r="D1070" s="88">
        <v>200</v>
      </c>
      <c r="E1070" s="89" t="str">
        <f>'[1]COMEDORES EMERGENTES'!$G$10</f>
        <v>ENTRE AV.TEREBINTO Y AV.SAN JUAN LOTE "2" MZA. "B"</v>
      </c>
    </row>
    <row r="1071" spans="2:5" x14ac:dyDescent="0.2">
      <c r="B1071" s="206" t="str">
        <f>'[1]COMEDORES EMERGENTES'!$B$11</f>
        <v>E.P.C - 100 V.V NORTE</v>
      </c>
      <c r="C1071" s="207"/>
      <c r="D1071" s="88">
        <v>300</v>
      </c>
      <c r="E1071" s="89" t="str">
        <f>'[1]COMEDORES EMERGENTES'!$G$11</f>
        <v>Bº VV NORTE C/48 ENTRE ESPAÑA Y FRANCIA</v>
      </c>
    </row>
    <row r="1072" spans="2:5" x14ac:dyDescent="0.2">
      <c r="B1072" s="206" t="str">
        <f>'[1]COMEDORES EMERGENTES'!$B$12</f>
        <v>HOGAR DE CRISTO - PADRE RAUL CONTRERAS</v>
      </c>
      <c r="C1072" s="207"/>
      <c r="D1072" s="88">
        <v>300</v>
      </c>
      <c r="E1072" s="89" t="str">
        <f>'[1]COMEDORES EMERGENTES'!$G$12</f>
        <v>Bº SANTA MARTA MZA. "S" LOTE "M" C/39</v>
      </c>
    </row>
    <row r="1073" spans="2:5" x14ac:dyDescent="0.2">
      <c r="B1073" s="206" t="str">
        <f>'[1]COMEDORES EMERGENTES'!$B$13</f>
        <v>LA LUCIERNAGA</v>
      </c>
      <c r="C1073" s="207"/>
      <c r="D1073" s="88">
        <v>200</v>
      </c>
      <c r="E1073" s="89" t="str">
        <f>'[1]COMEDORES EMERGENTES'!$G$13</f>
        <v>Bº 20 V.V NORTE C/3</v>
      </c>
    </row>
    <row r="1074" spans="2:5" x14ac:dyDescent="0.2">
      <c r="B1074" s="206" t="str">
        <f>'[1]COMEDORES EMERGENTES'!$B$14</f>
        <v>VALLE VIEJO - SUMALAO</v>
      </c>
      <c r="C1074" s="207"/>
      <c r="D1074" s="88">
        <v>350</v>
      </c>
      <c r="E1074" s="89" t="str">
        <f>'[1]COMEDORES EMERGENTES'!$G$14</f>
        <v>PADRE SEGURA S/N</v>
      </c>
    </row>
    <row r="1075" spans="2:5" x14ac:dyDescent="0.2">
      <c r="B1075" s="206" t="str">
        <f>'[1]COMEDORES EMERGENTES'!$B$15</f>
        <v>NUESTRO FUTURO - LAS VIAS</v>
      </c>
      <c r="C1075" s="207"/>
      <c r="D1075" s="88">
        <v>200</v>
      </c>
      <c r="E1075" s="89" t="str">
        <f>'[1]COMEDORES EMERGENTES'!$G$15</f>
        <v>Bº LAS VIAS OESTE LOTE 42</v>
      </c>
    </row>
    <row r="1076" spans="2:5" x14ac:dyDescent="0.2">
      <c r="B1076" s="206" t="str">
        <f>'[1]COMEDORES EMERGENTES'!$B$16</f>
        <v>SAN JOSE OBRERO</v>
      </c>
      <c r="C1076" s="207"/>
      <c r="D1076" s="88">
        <v>130</v>
      </c>
      <c r="E1076" s="89" t="str">
        <f>'[1]COMEDORES EMERGENTES'!$G$16</f>
        <v>Bº SAN JOSE OBRERO. PJE. SANDOVAL S/Nº</v>
      </c>
    </row>
    <row r="1077" spans="2:5" x14ac:dyDescent="0.2">
      <c r="B1077" s="206" t="str">
        <f>'[1]COMEDORES EMERGENTES'!$B$17</f>
        <v>VIRGEN DE LUJAN</v>
      </c>
      <c r="C1077" s="207"/>
      <c r="D1077" s="88">
        <v>200</v>
      </c>
      <c r="E1077" s="89" t="str">
        <f>'[1]COMEDORES EMERGENTES'!$G$17</f>
        <v>Bº OJO DE AGUA C/DR.TEODULFO BARRIONUEVO S/Nº</v>
      </c>
    </row>
    <row r="1078" spans="2:5" x14ac:dyDescent="0.2">
      <c r="B1078" s="206" t="str">
        <f>'[1]COMEDORES EMERGENTES'!$B$18</f>
        <v>RENACER</v>
      </c>
      <c r="C1078" s="207"/>
      <c r="D1078" s="88">
        <v>250</v>
      </c>
      <c r="E1078" s="89" t="str">
        <f>'[1]COMEDORES EMERGENTES'!$G$18</f>
        <v>Bº VIRGEN MORENITA</v>
      </c>
    </row>
    <row r="1079" spans="2:5" x14ac:dyDescent="0.2">
      <c r="B1079" s="206" t="str">
        <f>'[1]COMEDORES EMERGENTES'!$B$19</f>
        <v>CENTRO VECINAL MI JARDIN</v>
      </c>
      <c r="C1079" s="207"/>
      <c r="D1079" s="88">
        <v>180</v>
      </c>
      <c r="E1079" s="89" t="str">
        <f>'[1]COMEDORES EMERGENTES'!$G$19</f>
        <v>C/ LOS TULIPANES ENTRE FLOR DE CEREZO Y HOLANDA MZA.27 Bº MI JARDIN</v>
      </c>
    </row>
    <row r="1080" spans="2:5" x14ac:dyDescent="0.2">
      <c r="B1080" s="206" t="str">
        <f>'[1]COMEDORES EMERGENTES'!$B$20</f>
        <v>LA VIEJA ESQUINA</v>
      </c>
      <c r="C1080" s="207"/>
      <c r="D1080" s="88">
        <v>172</v>
      </c>
      <c r="E1080" s="89" t="str">
        <f>'[1]COMEDORES EMERGENTES'!$G$20</f>
        <v>B° CRISTO REY PJE CAPATAZ VILLAFAÑEZ Y ARMANDO CORREA</v>
      </c>
    </row>
    <row r="1081" spans="2:5" x14ac:dyDescent="0.2">
      <c r="B1081" s="206" t="str">
        <f>'[1]COMEDORES EMERGENTES'!$B$21</f>
        <v>GAUCHITO GIL</v>
      </c>
      <c r="C1081" s="207"/>
      <c r="D1081" s="88">
        <v>168</v>
      </c>
      <c r="E1081" s="89" t="str">
        <f>'[1]COMEDORES EMERGENTES'!$G$21</f>
        <v>B° 26 VIVIENDAS CASA N° 3</v>
      </c>
    </row>
    <row r="1082" spans="2:5" ht="13.5" thickBot="1" x14ac:dyDescent="0.25">
      <c r="B1082" s="220" t="str">
        <f>'[1]COMEDORES EMERGENTES'!$B$22</f>
        <v>LOS TOLDOS</v>
      </c>
      <c r="C1082" s="221"/>
      <c r="D1082" s="95">
        <v>80</v>
      </c>
      <c r="E1082" s="96" t="str">
        <f>'[1]COMEDORES EMERGENTES'!$G$22</f>
        <v>LOTEO PARQUE SUR CALLE S/NOMBRE S/N°</v>
      </c>
    </row>
    <row r="1083" spans="2:5" x14ac:dyDescent="0.2">
      <c r="B1083" s="13" t="s">
        <v>18</v>
      </c>
      <c r="C1083" s="11"/>
      <c r="D1083" s="52"/>
      <c r="E1083" s="12"/>
    </row>
    <row r="1084" spans="2:5" x14ac:dyDescent="0.2">
      <c r="B1084" s="14"/>
      <c r="C1084" s="219" t="s">
        <v>24</v>
      </c>
      <c r="D1084" s="219"/>
      <c r="E1084" s="219"/>
    </row>
    <row r="1085" spans="2:5" x14ac:dyDescent="0.2">
      <c r="B1085" s="13" t="s">
        <v>19</v>
      </c>
      <c r="C1085" s="15"/>
      <c r="D1085" s="15"/>
      <c r="E1085" s="16"/>
    </row>
    <row r="1086" spans="2:5" x14ac:dyDescent="0.2">
      <c r="B1086" s="14"/>
      <c r="C1086" s="219" t="s">
        <v>101</v>
      </c>
      <c r="D1086" s="219"/>
      <c r="E1086" s="219"/>
    </row>
    <row r="1087" spans="2:5" x14ac:dyDescent="0.2">
      <c r="B1087" s="13" t="s">
        <v>20</v>
      </c>
      <c r="C1087" s="11"/>
      <c r="D1087" s="52"/>
      <c r="E1087" s="12"/>
    </row>
    <row r="1088" spans="2:5" x14ac:dyDescent="0.2">
      <c r="B1088" s="13"/>
      <c r="C1088" s="205" t="s">
        <v>25</v>
      </c>
      <c r="D1088" s="205"/>
      <c r="E1088" s="205"/>
    </row>
    <row r="1089" spans="2:5" ht="13.5" thickBot="1" x14ac:dyDescent="0.25">
      <c r="B1089" s="17"/>
      <c r="C1089" s="18"/>
      <c r="D1089" s="53"/>
      <c r="E1089" s="19"/>
    </row>
  </sheetData>
  <mergeCells count="787">
    <mergeCell ref="C1086:E1086"/>
    <mergeCell ref="C1088:E1088"/>
    <mergeCell ref="C289:E289"/>
    <mergeCell ref="B1079:C1079"/>
    <mergeCell ref="B1080:C1080"/>
    <mergeCell ref="B1081:C1081"/>
    <mergeCell ref="C1084:E1084"/>
    <mergeCell ref="B1074:C1074"/>
    <mergeCell ref="B1075:C1075"/>
    <mergeCell ref="B1076:C1076"/>
    <mergeCell ref="B1077:C1077"/>
    <mergeCell ref="B1078:C1078"/>
    <mergeCell ref="B1069:C1069"/>
    <mergeCell ref="B1070:C1070"/>
    <mergeCell ref="B1071:C1071"/>
    <mergeCell ref="B1072:C1072"/>
    <mergeCell ref="B1073:C1073"/>
    <mergeCell ref="B1064:C1064"/>
    <mergeCell ref="B1065:C1065"/>
    <mergeCell ref="B1066:C1066"/>
    <mergeCell ref="B1067:C1067"/>
    <mergeCell ref="B1068:C1068"/>
    <mergeCell ref="C1053:E1053"/>
    <mergeCell ref="C1059:E1059"/>
    <mergeCell ref="B1061:E1061"/>
    <mergeCell ref="B1062:C1062"/>
    <mergeCell ref="B1063:C1063"/>
    <mergeCell ref="B1045:C1045"/>
    <mergeCell ref="B1046:C1046"/>
    <mergeCell ref="C1049:E1049"/>
    <mergeCell ref="C1051:E1051"/>
    <mergeCell ref="B1047:C1047"/>
    <mergeCell ref="B1040:C1040"/>
    <mergeCell ref="B1041:C1041"/>
    <mergeCell ref="B1042:C1042"/>
    <mergeCell ref="B1043:C1043"/>
    <mergeCell ref="B1044:C1044"/>
    <mergeCell ref="B1035:C1035"/>
    <mergeCell ref="B1036:C1036"/>
    <mergeCell ref="B1037:C1037"/>
    <mergeCell ref="B1038:C1038"/>
    <mergeCell ref="B1039:C1039"/>
    <mergeCell ref="B1030:C1030"/>
    <mergeCell ref="B1031:C1031"/>
    <mergeCell ref="B1032:C1032"/>
    <mergeCell ref="B1033:C1033"/>
    <mergeCell ref="B1034:C1034"/>
    <mergeCell ref="C1024:E1024"/>
    <mergeCell ref="B1026:E1026"/>
    <mergeCell ref="B1027:C1027"/>
    <mergeCell ref="B1028:C1028"/>
    <mergeCell ref="B1029:C1029"/>
    <mergeCell ref="B1011:C1011"/>
    <mergeCell ref="C1014:E1014"/>
    <mergeCell ref="C1016:E1016"/>
    <mergeCell ref="C1018:E1018"/>
    <mergeCell ref="B1006:C1006"/>
    <mergeCell ref="B1007:C1007"/>
    <mergeCell ref="B1008:C1008"/>
    <mergeCell ref="B1009:C1009"/>
    <mergeCell ref="B1010:C1010"/>
    <mergeCell ref="B1012:C1012"/>
    <mergeCell ref="B1001:C1001"/>
    <mergeCell ref="B1002:C1002"/>
    <mergeCell ref="B1003:C1003"/>
    <mergeCell ref="B1004:C1004"/>
    <mergeCell ref="B1005:C1005"/>
    <mergeCell ref="B996:C996"/>
    <mergeCell ref="B997:C997"/>
    <mergeCell ref="B998:C998"/>
    <mergeCell ref="B999:C999"/>
    <mergeCell ref="B1000:C1000"/>
    <mergeCell ref="B991:E991"/>
    <mergeCell ref="B992:C992"/>
    <mergeCell ref="B993:C993"/>
    <mergeCell ref="B994:C994"/>
    <mergeCell ref="B995:C995"/>
    <mergeCell ref="C979:E979"/>
    <mergeCell ref="C981:E981"/>
    <mergeCell ref="C983:E983"/>
    <mergeCell ref="C989:E989"/>
    <mergeCell ref="B972:C972"/>
    <mergeCell ref="B973:C973"/>
    <mergeCell ref="B974:C974"/>
    <mergeCell ref="B975:C975"/>
    <mergeCell ref="B976:C976"/>
    <mergeCell ref="B967:C967"/>
    <mergeCell ref="B968:C968"/>
    <mergeCell ref="B969:C969"/>
    <mergeCell ref="B970:C970"/>
    <mergeCell ref="B971:C971"/>
    <mergeCell ref="B962:C962"/>
    <mergeCell ref="B963:C963"/>
    <mergeCell ref="B964:C964"/>
    <mergeCell ref="B965:C965"/>
    <mergeCell ref="B966:C966"/>
    <mergeCell ref="B957:C957"/>
    <mergeCell ref="B958:C958"/>
    <mergeCell ref="B959:C959"/>
    <mergeCell ref="B960:C960"/>
    <mergeCell ref="B961:C961"/>
    <mergeCell ref="C944:E944"/>
    <mergeCell ref="C946:E946"/>
    <mergeCell ref="C948:E948"/>
    <mergeCell ref="C954:E954"/>
    <mergeCell ref="B956:E956"/>
    <mergeCell ref="B938:C938"/>
    <mergeCell ref="B939:C939"/>
    <mergeCell ref="B940:C940"/>
    <mergeCell ref="B941:C941"/>
    <mergeCell ref="B942:C942"/>
    <mergeCell ref="B933:C933"/>
    <mergeCell ref="B934:C934"/>
    <mergeCell ref="B935:C935"/>
    <mergeCell ref="B936:C936"/>
    <mergeCell ref="B937:C937"/>
    <mergeCell ref="B928:C928"/>
    <mergeCell ref="B929:C929"/>
    <mergeCell ref="B930:C930"/>
    <mergeCell ref="B931:C931"/>
    <mergeCell ref="B932:C932"/>
    <mergeCell ref="B923:C923"/>
    <mergeCell ref="B924:C924"/>
    <mergeCell ref="B925:C925"/>
    <mergeCell ref="B926:C926"/>
    <mergeCell ref="B927:C927"/>
    <mergeCell ref="C911:E911"/>
    <mergeCell ref="C913:E913"/>
    <mergeCell ref="C919:E919"/>
    <mergeCell ref="B921:E921"/>
    <mergeCell ref="B922:C922"/>
    <mergeCell ref="B904:C904"/>
    <mergeCell ref="B905:C905"/>
    <mergeCell ref="B906:C906"/>
    <mergeCell ref="C909:E909"/>
    <mergeCell ref="B899:C899"/>
    <mergeCell ref="B900:C900"/>
    <mergeCell ref="B901:C901"/>
    <mergeCell ref="B902:C902"/>
    <mergeCell ref="B903:C903"/>
    <mergeCell ref="B907:C907"/>
    <mergeCell ref="B894:C894"/>
    <mergeCell ref="B895:C895"/>
    <mergeCell ref="B896:C896"/>
    <mergeCell ref="B897:C897"/>
    <mergeCell ref="B898:C898"/>
    <mergeCell ref="B889:C889"/>
    <mergeCell ref="B890:C890"/>
    <mergeCell ref="B891:C891"/>
    <mergeCell ref="B892:C892"/>
    <mergeCell ref="B893:C893"/>
    <mergeCell ref="C878:E878"/>
    <mergeCell ref="C884:E884"/>
    <mergeCell ref="B886:E886"/>
    <mergeCell ref="B887:C887"/>
    <mergeCell ref="B888:C888"/>
    <mergeCell ref="B870:C870"/>
    <mergeCell ref="B871:C871"/>
    <mergeCell ref="C874:E874"/>
    <mergeCell ref="C876:E876"/>
    <mergeCell ref="B872:C872"/>
    <mergeCell ref="B865:C865"/>
    <mergeCell ref="B866:C866"/>
    <mergeCell ref="B867:C867"/>
    <mergeCell ref="B868:C868"/>
    <mergeCell ref="B869:C869"/>
    <mergeCell ref="B860:C860"/>
    <mergeCell ref="B861:C861"/>
    <mergeCell ref="B862:C862"/>
    <mergeCell ref="B863:C863"/>
    <mergeCell ref="B864:C864"/>
    <mergeCell ref="B855:C855"/>
    <mergeCell ref="B856:C856"/>
    <mergeCell ref="B857:C857"/>
    <mergeCell ref="B858:C858"/>
    <mergeCell ref="B859:C859"/>
    <mergeCell ref="C849:E849"/>
    <mergeCell ref="B851:E851"/>
    <mergeCell ref="B852:C852"/>
    <mergeCell ref="B853:C853"/>
    <mergeCell ref="B854:C854"/>
    <mergeCell ref="B836:C836"/>
    <mergeCell ref="C839:E839"/>
    <mergeCell ref="C841:E841"/>
    <mergeCell ref="C843:E843"/>
    <mergeCell ref="B831:C831"/>
    <mergeCell ref="B832:C832"/>
    <mergeCell ref="B833:C833"/>
    <mergeCell ref="B834:C834"/>
    <mergeCell ref="B835:C835"/>
    <mergeCell ref="B837:C837"/>
    <mergeCell ref="B802:C802"/>
    <mergeCell ref="B826:C826"/>
    <mergeCell ref="B827:C827"/>
    <mergeCell ref="B828:C828"/>
    <mergeCell ref="B829:C829"/>
    <mergeCell ref="B830:C830"/>
    <mergeCell ref="B821:C821"/>
    <mergeCell ref="B822:C822"/>
    <mergeCell ref="B823:C823"/>
    <mergeCell ref="B824:C824"/>
    <mergeCell ref="B825:C825"/>
    <mergeCell ref="B816:E816"/>
    <mergeCell ref="B817:C817"/>
    <mergeCell ref="B818:C818"/>
    <mergeCell ref="B819:C819"/>
    <mergeCell ref="B820:C820"/>
    <mergeCell ref="C804:E804"/>
    <mergeCell ref="C806:E806"/>
    <mergeCell ref="C808:E808"/>
    <mergeCell ref="C814:E814"/>
    <mergeCell ref="B797:C797"/>
    <mergeCell ref="B798:C798"/>
    <mergeCell ref="B799:C799"/>
    <mergeCell ref="B800:C800"/>
    <mergeCell ref="B801:C801"/>
    <mergeCell ref="B792:C792"/>
    <mergeCell ref="B793:C793"/>
    <mergeCell ref="B794:C794"/>
    <mergeCell ref="B795:C795"/>
    <mergeCell ref="B796:C796"/>
    <mergeCell ref="B787:C787"/>
    <mergeCell ref="B788:C788"/>
    <mergeCell ref="B789:C789"/>
    <mergeCell ref="B790:C790"/>
    <mergeCell ref="B791:C791"/>
    <mergeCell ref="B782:C782"/>
    <mergeCell ref="B783:C783"/>
    <mergeCell ref="B784:C784"/>
    <mergeCell ref="B785:C785"/>
    <mergeCell ref="B786:C786"/>
    <mergeCell ref="C769:E769"/>
    <mergeCell ref="C771:E771"/>
    <mergeCell ref="C773:E773"/>
    <mergeCell ref="C779:E779"/>
    <mergeCell ref="B781:E781"/>
    <mergeCell ref="B763:C763"/>
    <mergeCell ref="B764:C764"/>
    <mergeCell ref="B765:C765"/>
    <mergeCell ref="B766:C766"/>
    <mergeCell ref="B767:C767"/>
    <mergeCell ref="B758:C758"/>
    <mergeCell ref="B759:C759"/>
    <mergeCell ref="B760:C760"/>
    <mergeCell ref="B761:C761"/>
    <mergeCell ref="B762:C762"/>
    <mergeCell ref="B753:C753"/>
    <mergeCell ref="B754:C754"/>
    <mergeCell ref="B755:C755"/>
    <mergeCell ref="B756:C756"/>
    <mergeCell ref="B757:C757"/>
    <mergeCell ref="B748:C748"/>
    <mergeCell ref="B749:C749"/>
    <mergeCell ref="B750:C750"/>
    <mergeCell ref="B751:C751"/>
    <mergeCell ref="B752:C752"/>
    <mergeCell ref="C736:E736"/>
    <mergeCell ref="C738:E738"/>
    <mergeCell ref="C744:E744"/>
    <mergeCell ref="B746:E746"/>
    <mergeCell ref="B747:C747"/>
    <mergeCell ref="B729:C729"/>
    <mergeCell ref="B730:C730"/>
    <mergeCell ref="B731:C731"/>
    <mergeCell ref="C734:E734"/>
    <mergeCell ref="B724:C724"/>
    <mergeCell ref="B725:C725"/>
    <mergeCell ref="B726:C726"/>
    <mergeCell ref="B727:C727"/>
    <mergeCell ref="B728:C728"/>
    <mergeCell ref="B732:C732"/>
    <mergeCell ref="B719:C719"/>
    <mergeCell ref="B720:C720"/>
    <mergeCell ref="B721:C721"/>
    <mergeCell ref="B722:C722"/>
    <mergeCell ref="B723:C723"/>
    <mergeCell ref="B714:C714"/>
    <mergeCell ref="B715:C715"/>
    <mergeCell ref="B716:C716"/>
    <mergeCell ref="B717:C717"/>
    <mergeCell ref="B718:C718"/>
    <mergeCell ref="C703:E703"/>
    <mergeCell ref="C709:E709"/>
    <mergeCell ref="B711:E711"/>
    <mergeCell ref="B712:C712"/>
    <mergeCell ref="B713:C713"/>
    <mergeCell ref="B695:C695"/>
    <mergeCell ref="B696:C696"/>
    <mergeCell ref="C699:E699"/>
    <mergeCell ref="C701:E701"/>
    <mergeCell ref="B697:C697"/>
    <mergeCell ref="B690:C690"/>
    <mergeCell ref="B691:C691"/>
    <mergeCell ref="B692:C692"/>
    <mergeCell ref="B693:C693"/>
    <mergeCell ref="B694:C694"/>
    <mergeCell ref="B685:C685"/>
    <mergeCell ref="B686:C686"/>
    <mergeCell ref="B687:C687"/>
    <mergeCell ref="B688:C688"/>
    <mergeCell ref="B689:C689"/>
    <mergeCell ref="B680:C680"/>
    <mergeCell ref="B681:C681"/>
    <mergeCell ref="B682:C682"/>
    <mergeCell ref="B683:C683"/>
    <mergeCell ref="B684:C684"/>
    <mergeCell ref="C674:E674"/>
    <mergeCell ref="B676:E676"/>
    <mergeCell ref="B677:C677"/>
    <mergeCell ref="B678:C678"/>
    <mergeCell ref="B679:C679"/>
    <mergeCell ref="B661:C661"/>
    <mergeCell ref="C664:E664"/>
    <mergeCell ref="C666:E666"/>
    <mergeCell ref="C668:E668"/>
    <mergeCell ref="B656:C656"/>
    <mergeCell ref="B657:C657"/>
    <mergeCell ref="B658:C658"/>
    <mergeCell ref="B659:C659"/>
    <mergeCell ref="B660:C660"/>
    <mergeCell ref="B662:C662"/>
    <mergeCell ref="B627:C627"/>
    <mergeCell ref="B651:C651"/>
    <mergeCell ref="B652:C652"/>
    <mergeCell ref="B653:C653"/>
    <mergeCell ref="B654:C654"/>
    <mergeCell ref="B655:C655"/>
    <mergeCell ref="B646:C646"/>
    <mergeCell ref="B647:C647"/>
    <mergeCell ref="B648:C648"/>
    <mergeCell ref="B649:C649"/>
    <mergeCell ref="B650:C650"/>
    <mergeCell ref="B641:E641"/>
    <mergeCell ref="B642:C642"/>
    <mergeCell ref="B643:C643"/>
    <mergeCell ref="B644:C644"/>
    <mergeCell ref="B645:C645"/>
    <mergeCell ref="C629:E629"/>
    <mergeCell ref="C631:E631"/>
    <mergeCell ref="C633:E633"/>
    <mergeCell ref="C639:E639"/>
    <mergeCell ref="B622:C622"/>
    <mergeCell ref="B623:C623"/>
    <mergeCell ref="B624:C624"/>
    <mergeCell ref="B625:C625"/>
    <mergeCell ref="B626:C626"/>
    <mergeCell ref="B617:C617"/>
    <mergeCell ref="B618:C618"/>
    <mergeCell ref="B619:C619"/>
    <mergeCell ref="B620:C620"/>
    <mergeCell ref="B621:C621"/>
    <mergeCell ref="B612:C612"/>
    <mergeCell ref="B613:C613"/>
    <mergeCell ref="B614:C614"/>
    <mergeCell ref="B615:C615"/>
    <mergeCell ref="B616:C616"/>
    <mergeCell ref="B607:C607"/>
    <mergeCell ref="B608:C608"/>
    <mergeCell ref="B609:C609"/>
    <mergeCell ref="B610:C610"/>
    <mergeCell ref="B611:C611"/>
    <mergeCell ref="C594:E594"/>
    <mergeCell ref="C596:E596"/>
    <mergeCell ref="C598:E598"/>
    <mergeCell ref="C604:E604"/>
    <mergeCell ref="B606:E606"/>
    <mergeCell ref="B588:C588"/>
    <mergeCell ref="B589:C589"/>
    <mergeCell ref="B590:C590"/>
    <mergeCell ref="B591:C591"/>
    <mergeCell ref="B592:C592"/>
    <mergeCell ref="B583:C583"/>
    <mergeCell ref="B584:C584"/>
    <mergeCell ref="B585:C585"/>
    <mergeCell ref="B586:C586"/>
    <mergeCell ref="B587:C587"/>
    <mergeCell ref="B578:C578"/>
    <mergeCell ref="B579:C579"/>
    <mergeCell ref="B580:C580"/>
    <mergeCell ref="B581:C581"/>
    <mergeCell ref="B582:C582"/>
    <mergeCell ref="B573:C573"/>
    <mergeCell ref="B574:C574"/>
    <mergeCell ref="B575:C575"/>
    <mergeCell ref="B576:C576"/>
    <mergeCell ref="B577:C577"/>
    <mergeCell ref="C561:E561"/>
    <mergeCell ref="C563:E563"/>
    <mergeCell ref="C569:E569"/>
    <mergeCell ref="B571:E571"/>
    <mergeCell ref="B572:C572"/>
    <mergeCell ref="B554:C554"/>
    <mergeCell ref="B555:C555"/>
    <mergeCell ref="B556:C556"/>
    <mergeCell ref="C559:E559"/>
    <mergeCell ref="B549:C549"/>
    <mergeCell ref="B550:C550"/>
    <mergeCell ref="B551:C551"/>
    <mergeCell ref="B552:C552"/>
    <mergeCell ref="B553:C553"/>
    <mergeCell ref="B544:C544"/>
    <mergeCell ref="B545:C545"/>
    <mergeCell ref="B546:C546"/>
    <mergeCell ref="B547:C547"/>
    <mergeCell ref="B548:C548"/>
    <mergeCell ref="B539:C539"/>
    <mergeCell ref="B540:C540"/>
    <mergeCell ref="B541:C541"/>
    <mergeCell ref="B542:C542"/>
    <mergeCell ref="B543:C543"/>
    <mergeCell ref="C528:E528"/>
    <mergeCell ref="C534:E534"/>
    <mergeCell ref="B536:E536"/>
    <mergeCell ref="B537:C537"/>
    <mergeCell ref="B538:C538"/>
    <mergeCell ref="B520:C520"/>
    <mergeCell ref="B521:C521"/>
    <mergeCell ref="C524:E524"/>
    <mergeCell ref="C526:E526"/>
    <mergeCell ref="B515:C515"/>
    <mergeCell ref="B516:C516"/>
    <mergeCell ref="B517:C517"/>
    <mergeCell ref="B518:C518"/>
    <mergeCell ref="B519:C519"/>
    <mergeCell ref="B510:C510"/>
    <mergeCell ref="B511:C511"/>
    <mergeCell ref="B512:C512"/>
    <mergeCell ref="B513:C513"/>
    <mergeCell ref="B514:C514"/>
    <mergeCell ref="B505:C505"/>
    <mergeCell ref="B506:C506"/>
    <mergeCell ref="B507:C507"/>
    <mergeCell ref="B508:C508"/>
    <mergeCell ref="B509:C509"/>
    <mergeCell ref="C499:E499"/>
    <mergeCell ref="B501:E501"/>
    <mergeCell ref="B502:C502"/>
    <mergeCell ref="B503:C503"/>
    <mergeCell ref="B504:C504"/>
    <mergeCell ref="B486:C486"/>
    <mergeCell ref="C489:E489"/>
    <mergeCell ref="C491:E491"/>
    <mergeCell ref="C493:E493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E466"/>
    <mergeCell ref="B467:C467"/>
    <mergeCell ref="B468:C468"/>
    <mergeCell ref="B469:C469"/>
    <mergeCell ref="B470:C470"/>
    <mergeCell ref="C454:E454"/>
    <mergeCell ref="C456:E456"/>
    <mergeCell ref="C458:E458"/>
    <mergeCell ref="C464:E464"/>
    <mergeCell ref="B447:C447"/>
    <mergeCell ref="B448:C448"/>
    <mergeCell ref="B449:C449"/>
    <mergeCell ref="B450:C450"/>
    <mergeCell ref="B451:C451"/>
    <mergeCell ref="B442:C442"/>
    <mergeCell ref="B443:C443"/>
    <mergeCell ref="B444:C444"/>
    <mergeCell ref="B445:C445"/>
    <mergeCell ref="B446:C446"/>
    <mergeCell ref="B437:C437"/>
    <mergeCell ref="B438:C438"/>
    <mergeCell ref="B439:C439"/>
    <mergeCell ref="B440:C440"/>
    <mergeCell ref="B441:C441"/>
    <mergeCell ref="B432:C432"/>
    <mergeCell ref="B433:C433"/>
    <mergeCell ref="B434:C434"/>
    <mergeCell ref="B435:C435"/>
    <mergeCell ref="B436:C436"/>
    <mergeCell ref="C419:E419"/>
    <mergeCell ref="C421:E421"/>
    <mergeCell ref="C423:E423"/>
    <mergeCell ref="C429:E429"/>
    <mergeCell ref="B431:E431"/>
    <mergeCell ref="B413:C413"/>
    <mergeCell ref="B414:C414"/>
    <mergeCell ref="B415:C415"/>
    <mergeCell ref="B416:C416"/>
    <mergeCell ref="B408:C408"/>
    <mergeCell ref="B409:C409"/>
    <mergeCell ref="B410:C410"/>
    <mergeCell ref="B411:C411"/>
    <mergeCell ref="B412:C412"/>
    <mergeCell ref="B403:C403"/>
    <mergeCell ref="B404:C404"/>
    <mergeCell ref="B405:C405"/>
    <mergeCell ref="B406:C406"/>
    <mergeCell ref="B407:C407"/>
    <mergeCell ref="B398:C398"/>
    <mergeCell ref="B399:C399"/>
    <mergeCell ref="B400:C400"/>
    <mergeCell ref="B401:C401"/>
    <mergeCell ref="B402:C402"/>
    <mergeCell ref="C386:E386"/>
    <mergeCell ref="C388:E388"/>
    <mergeCell ref="C394:E394"/>
    <mergeCell ref="B396:E396"/>
    <mergeCell ref="B397:C397"/>
    <mergeCell ref="B379:C379"/>
    <mergeCell ref="B380:C380"/>
    <mergeCell ref="B381:C381"/>
    <mergeCell ref="C384:E384"/>
    <mergeCell ref="B374:C374"/>
    <mergeCell ref="B375:C375"/>
    <mergeCell ref="B376:C376"/>
    <mergeCell ref="B377:C377"/>
    <mergeCell ref="B378:C378"/>
    <mergeCell ref="B369:C369"/>
    <mergeCell ref="B370:C370"/>
    <mergeCell ref="B371:C371"/>
    <mergeCell ref="B372:C372"/>
    <mergeCell ref="B373:C373"/>
    <mergeCell ref="B364:C364"/>
    <mergeCell ref="B365:C365"/>
    <mergeCell ref="B366:C366"/>
    <mergeCell ref="B367:C367"/>
    <mergeCell ref="B368:C368"/>
    <mergeCell ref="C353:E353"/>
    <mergeCell ref="C359:E359"/>
    <mergeCell ref="B361:E361"/>
    <mergeCell ref="B362:C362"/>
    <mergeCell ref="B363:C363"/>
    <mergeCell ref="B345:C345"/>
    <mergeCell ref="B346:C346"/>
    <mergeCell ref="C349:E349"/>
    <mergeCell ref="C351:E351"/>
    <mergeCell ref="B340:C340"/>
    <mergeCell ref="B341:C341"/>
    <mergeCell ref="B342:C342"/>
    <mergeCell ref="B343:C343"/>
    <mergeCell ref="B344:C344"/>
    <mergeCell ref="B335:C335"/>
    <mergeCell ref="B336:C336"/>
    <mergeCell ref="B337:C337"/>
    <mergeCell ref="B338:C338"/>
    <mergeCell ref="B339:C339"/>
    <mergeCell ref="B330:C330"/>
    <mergeCell ref="B331:C331"/>
    <mergeCell ref="B332:C332"/>
    <mergeCell ref="B333:C333"/>
    <mergeCell ref="B334:C334"/>
    <mergeCell ref="C324:E324"/>
    <mergeCell ref="B326:E326"/>
    <mergeCell ref="B327:C327"/>
    <mergeCell ref="B328:C328"/>
    <mergeCell ref="B329:C329"/>
    <mergeCell ref="B311:C311"/>
    <mergeCell ref="C314:E314"/>
    <mergeCell ref="C316:E316"/>
    <mergeCell ref="C318:E318"/>
    <mergeCell ref="B306:C306"/>
    <mergeCell ref="B307:C307"/>
    <mergeCell ref="B308:C308"/>
    <mergeCell ref="B309:C309"/>
    <mergeCell ref="B310:C310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E291"/>
    <mergeCell ref="B292:C292"/>
    <mergeCell ref="B293:C293"/>
    <mergeCell ref="B294:C294"/>
    <mergeCell ref="B295:C295"/>
    <mergeCell ref="C279:E279"/>
    <mergeCell ref="C281:E281"/>
    <mergeCell ref="C283:E283"/>
    <mergeCell ref="B301:C301"/>
    <mergeCell ref="B272:C272"/>
    <mergeCell ref="B273:C273"/>
    <mergeCell ref="B274:C274"/>
    <mergeCell ref="B275:C275"/>
    <mergeCell ref="B276:C276"/>
    <mergeCell ref="B267:C267"/>
    <mergeCell ref="B268:C268"/>
    <mergeCell ref="B269:C269"/>
    <mergeCell ref="B270:C270"/>
    <mergeCell ref="B271:C271"/>
    <mergeCell ref="B262:C262"/>
    <mergeCell ref="B263:C263"/>
    <mergeCell ref="B264:C264"/>
    <mergeCell ref="B265:C265"/>
    <mergeCell ref="B266:C266"/>
    <mergeCell ref="B257:C257"/>
    <mergeCell ref="B258:C258"/>
    <mergeCell ref="B259:C259"/>
    <mergeCell ref="B260:C260"/>
    <mergeCell ref="B261:C261"/>
    <mergeCell ref="C244:E244"/>
    <mergeCell ref="C246:E246"/>
    <mergeCell ref="C248:E248"/>
    <mergeCell ref="C254:E254"/>
    <mergeCell ref="B256:E256"/>
    <mergeCell ref="B238:C238"/>
    <mergeCell ref="B239:C239"/>
    <mergeCell ref="B240:C240"/>
    <mergeCell ref="B241:C241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B223:C223"/>
    <mergeCell ref="B224:C224"/>
    <mergeCell ref="B225:C225"/>
    <mergeCell ref="B226:C226"/>
    <mergeCell ref="B227:C227"/>
    <mergeCell ref="C211:E211"/>
    <mergeCell ref="C213:E213"/>
    <mergeCell ref="C219:E219"/>
    <mergeCell ref="B221:E221"/>
    <mergeCell ref="B222:C222"/>
    <mergeCell ref="B204:C204"/>
    <mergeCell ref="B205:C205"/>
    <mergeCell ref="B206:C206"/>
    <mergeCell ref="C209:E209"/>
    <mergeCell ref="B199:C199"/>
    <mergeCell ref="B200:C200"/>
    <mergeCell ref="B201:C201"/>
    <mergeCell ref="B202:C202"/>
    <mergeCell ref="B203:C203"/>
    <mergeCell ref="B194:C194"/>
    <mergeCell ref="B195:C195"/>
    <mergeCell ref="B196:C196"/>
    <mergeCell ref="B197:C197"/>
    <mergeCell ref="B198:C198"/>
    <mergeCell ref="B189:C189"/>
    <mergeCell ref="B190:C190"/>
    <mergeCell ref="B191:C191"/>
    <mergeCell ref="B192:C192"/>
    <mergeCell ref="B193:C193"/>
    <mergeCell ref="C178:E178"/>
    <mergeCell ref="C184:E184"/>
    <mergeCell ref="B186:E186"/>
    <mergeCell ref="B187:C187"/>
    <mergeCell ref="B188:C188"/>
    <mergeCell ref="B170:C170"/>
    <mergeCell ref="B171:C171"/>
    <mergeCell ref="C174:E174"/>
    <mergeCell ref="C176:E176"/>
    <mergeCell ref="B165:C165"/>
    <mergeCell ref="B166:C166"/>
    <mergeCell ref="B167:C167"/>
    <mergeCell ref="B168:C168"/>
    <mergeCell ref="B169:C169"/>
    <mergeCell ref="B160:C160"/>
    <mergeCell ref="B161:C161"/>
    <mergeCell ref="B162:C162"/>
    <mergeCell ref="B163:C163"/>
    <mergeCell ref="B164:C164"/>
    <mergeCell ref="B156:C156"/>
    <mergeCell ref="B157:C157"/>
    <mergeCell ref="B158:C158"/>
    <mergeCell ref="B159:C159"/>
    <mergeCell ref="C149:E149"/>
    <mergeCell ref="B151:E151"/>
    <mergeCell ref="B152:C152"/>
    <mergeCell ref="B153:C153"/>
    <mergeCell ref="B154:C154"/>
    <mergeCell ref="B155:C155"/>
    <mergeCell ref="C79:E79"/>
    <mergeCell ref="B85:C85"/>
    <mergeCell ref="B128:C128"/>
    <mergeCell ref="B129:C129"/>
    <mergeCell ref="B130:C130"/>
    <mergeCell ref="B131:C131"/>
    <mergeCell ref="B132:C132"/>
    <mergeCell ref="C104:E104"/>
    <mergeCell ref="C106:E106"/>
    <mergeCell ref="C108:E108"/>
    <mergeCell ref="B116:E116"/>
    <mergeCell ref="B123:C123"/>
    <mergeCell ref="B124:C124"/>
    <mergeCell ref="B125:C125"/>
    <mergeCell ref="B126:C126"/>
    <mergeCell ref="B127:C127"/>
    <mergeCell ref="B86:C86"/>
    <mergeCell ref="B87:C87"/>
    <mergeCell ref="B88:C88"/>
    <mergeCell ref="B94:C94"/>
    <mergeCell ref="B95:C95"/>
    <mergeCell ref="B96:C96"/>
    <mergeCell ref="B97:C97"/>
    <mergeCell ref="B98:C98"/>
    <mergeCell ref="B57:C57"/>
    <mergeCell ref="B67:C67"/>
    <mergeCell ref="B89:C89"/>
    <mergeCell ref="B90:C90"/>
    <mergeCell ref="B91:C91"/>
    <mergeCell ref="B92:C92"/>
    <mergeCell ref="B93:C93"/>
    <mergeCell ref="B46:E46"/>
    <mergeCell ref="B81:E81"/>
    <mergeCell ref="B82:C82"/>
    <mergeCell ref="B83:C83"/>
    <mergeCell ref="B84:C84"/>
    <mergeCell ref="B63:C63"/>
    <mergeCell ref="B64:C64"/>
    <mergeCell ref="B65:C65"/>
    <mergeCell ref="B66:C66"/>
    <mergeCell ref="B58:C58"/>
    <mergeCell ref="B59:C59"/>
    <mergeCell ref="B60:C60"/>
    <mergeCell ref="B61:C61"/>
    <mergeCell ref="B62:C62"/>
    <mergeCell ref="C69:E69"/>
    <mergeCell ref="C71:E71"/>
    <mergeCell ref="C73:E73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1:H1"/>
    <mergeCell ref="A3:B3"/>
    <mergeCell ref="C3:E3"/>
    <mergeCell ref="A4:B4"/>
    <mergeCell ref="C4:E4"/>
    <mergeCell ref="A5:B5"/>
    <mergeCell ref="A6:B6"/>
    <mergeCell ref="C44:E44"/>
    <mergeCell ref="B47:C47"/>
    <mergeCell ref="B99:C99"/>
    <mergeCell ref="B100:C100"/>
    <mergeCell ref="B101:C101"/>
    <mergeCell ref="C114:E114"/>
    <mergeCell ref="B117:C117"/>
    <mergeCell ref="B118:C118"/>
    <mergeCell ref="B119:C119"/>
    <mergeCell ref="B120:C120"/>
    <mergeCell ref="B121:C121"/>
    <mergeCell ref="B122:C122"/>
    <mergeCell ref="B102:C102"/>
    <mergeCell ref="B1082:C1082"/>
    <mergeCell ref="C139:E139"/>
    <mergeCell ref="C141:E141"/>
    <mergeCell ref="B133:C133"/>
    <mergeCell ref="B134:C134"/>
    <mergeCell ref="B135:C135"/>
    <mergeCell ref="B136:C136"/>
    <mergeCell ref="C143:E143"/>
    <mergeCell ref="B977:C977"/>
    <mergeCell ref="B137:C137"/>
    <mergeCell ref="B172:C172"/>
    <mergeCell ref="B207:C207"/>
    <mergeCell ref="B242:C242"/>
    <mergeCell ref="B277:C277"/>
    <mergeCell ref="B312:C312"/>
    <mergeCell ref="B347:C347"/>
    <mergeCell ref="B382:C382"/>
    <mergeCell ref="B417:C417"/>
    <mergeCell ref="B452:C452"/>
    <mergeCell ref="B487:C487"/>
    <mergeCell ref="B522:C522"/>
    <mergeCell ref="B557:C557"/>
  </mergeCells>
  <pageMargins left="0" right="0" top="0.21" bottom="0" header="0.18" footer="0.21"/>
  <pageSetup paperSize="5" scale="60" firstPageNumber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43"/>
  <sheetViews>
    <sheetView tabSelected="1" topLeftCell="A28" zoomScale="80" zoomScaleNormal="80" workbookViewId="0">
      <selection activeCell="E51" sqref="E51"/>
    </sheetView>
  </sheetViews>
  <sheetFormatPr baseColWidth="10" defaultColWidth="11" defaultRowHeight="12.75" x14ac:dyDescent="0.2"/>
  <cols>
    <col min="1" max="1" width="4.5703125" style="1" customWidth="1"/>
    <col min="2" max="2" width="15.5703125" style="1" customWidth="1"/>
    <col min="3" max="3" width="32.42578125" style="1" customWidth="1"/>
    <col min="4" max="4" width="10" style="54" customWidth="1"/>
    <col min="5" max="5" width="168.28515625" style="1" customWidth="1"/>
    <col min="6" max="6" width="11" style="1"/>
    <col min="7" max="7" width="13.140625" style="1" customWidth="1"/>
    <col min="8" max="8" width="13.85546875" style="1" customWidth="1"/>
    <col min="9" max="9" width="18.5703125" style="1" customWidth="1"/>
    <col min="10" max="10" width="13.140625" style="1" bestFit="1" customWidth="1"/>
    <col min="11" max="16384" width="11" style="1"/>
  </cols>
  <sheetData>
    <row r="1" spans="1:11" ht="27" x14ac:dyDescent="0.35">
      <c r="B1" s="208" t="s">
        <v>0</v>
      </c>
      <c r="C1" s="208"/>
      <c r="D1" s="208"/>
      <c r="E1" s="208"/>
      <c r="F1" s="208"/>
      <c r="G1" s="208"/>
      <c r="H1" s="208"/>
    </row>
    <row r="2" spans="1:11" ht="17.25" customHeight="1" x14ac:dyDescent="0.2"/>
    <row r="3" spans="1:11" ht="31.5" customHeight="1" x14ac:dyDescent="0.25">
      <c r="A3" s="209" t="s">
        <v>1</v>
      </c>
      <c r="B3" s="209"/>
      <c r="C3" s="210" t="s">
        <v>339</v>
      </c>
      <c r="D3" s="210"/>
      <c r="E3" s="210"/>
      <c r="F3" s="2"/>
      <c r="G3" s="3"/>
      <c r="H3" s="2"/>
    </row>
    <row r="4" spans="1:11" ht="17.25" customHeight="1" x14ac:dyDescent="0.25">
      <c r="A4" s="209" t="s">
        <v>2</v>
      </c>
      <c r="B4" s="209"/>
      <c r="C4" s="210" t="s">
        <v>23</v>
      </c>
      <c r="D4" s="210"/>
      <c r="E4" s="210"/>
      <c r="F4" s="2"/>
      <c r="G4" s="3"/>
      <c r="H4" s="2"/>
    </row>
    <row r="5" spans="1:11" ht="15" customHeight="1" x14ac:dyDescent="0.25">
      <c r="A5" s="209" t="s">
        <v>3</v>
      </c>
      <c r="B5" s="209"/>
      <c r="C5" s="20">
        <v>2022</v>
      </c>
      <c r="D5" s="50"/>
      <c r="E5" s="21"/>
      <c r="F5" s="2"/>
      <c r="G5" s="3"/>
      <c r="H5" s="2"/>
    </row>
    <row r="6" spans="1:11" ht="16.5" customHeight="1" x14ac:dyDescent="0.25">
      <c r="A6" s="209" t="s">
        <v>279</v>
      </c>
      <c r="B6" s="209"/>
      <c r="C6" s="20">
        <v>2</v>
      </c>
      <c r="D6" s="50"/>
      <c r="E6" s="21"/>
      <c r="F6" s="2"/>
      <c r="G6" s="3"/>
      <c r="H6" s="2"/>
    </row>
    <row r="7" spans="1:11" ht="19.5" customHeight="1" thickBot="1" x14ac:dyDescent="0.25">
      <c r="B7" s="2"/>
      <c r="C7" s="3"/>
      <c r="D7" s="3"/>
      <c r="E7" s="2"/>
      <c r="F7" s="2"/>
      <c r="G7" s="3"/>
      <c r="H7" s="2"/>
    </row>
    <row r="8" spans="1:11" ht="39" thickBot="1" x14ac:dyDescent="0.25">
      <c r="A8" s="23" t="s">
        <v>5</v>
      </c>
      <c r="B8" s="32" t="s">
        <v>6</v>
      </c>
      <c r="C8" s="32" t="s">
        <v>7</v>
      </c>
      <c r="D8" s="28" t="s">
        <v>8</v>
      </c>
      <c r="E8" s="32" t="s">
        <v>9</v>
      </c>
      <c r="F8" s="24" t="s">
        <v>10</v>
      </c>
      <c r="G8" s="25" t="s">
        <v>11</v>
      </c>
      <c r="H8" s="25" t="s">
        <v>12</v>
      </c>
      <c r="I8" s="26" t="s">
        <v>13</v>
      </c>
    </row>
    <row r="9" spans="1:11" s="117" customFormat="1" ht="30" customHeight="1" x14ac:dyDescent="0.2">
      <c r="A9" s="55">
        <v>1</v>
      </c>
      <c r="B9" s="175" t="s">
        <v>281</v>
      </c>
      <c r="C9" s="175" t="s">
        <v>22</v>
      </c>
      <c r="D9" s="57" t="s">
        <v>35</v>
      </c>
      <c r="E9" s="275" t="s">
        <v>282</v>
      </c>
      <c r="F9" s="276" t="s">
        <v>327</v>
      </c>
      <c r="G9" s="59">
        <v>15840</v>
      </c>
      <c r="H9" s="277">
        <v>93</v>
      </c>
      <c r="I9" s="278">
        <f>G9*H9</f>
        <v>1473120</v>
      </c>
      <c r="J9" s="117" t="b">
        <f>E9=K9</f>
        <v>1</v>
      </c>
      <c r="K9" t="s">
        <v>282</v>
      </c>
    </row>
    <row r="10" spans="1:11" s="117" customFormat="1" ht="30" customHeight="1" x14ac:dyDescent="0.2">
      <c r="A10" s="183">
        <v>2</v>
      </c>
      <c r="B10" s="184" t="s">
        <v>29</v>
      </c>
      <c r="C10" s="184" t="s">
        <v>22</v>
      </c>
      <c r="D10" s="185" t="s">
        <v>35</v>
      </c>
      <c r="E10" s="186" t="s">
        <v>37</v>
      </c>
      <c r="F10" s="187" t="s">
        <v>328</v>
      </c>
      <c r="G10" s="188">
        <v>3348</v>
      </c>
      <c r="H10" s="189">
        <v>180</v>
      </c>
      <c r="I10" s="190">
        <f>G10*H10</f>
        <v>602640</v>
      </c>
      <c r="J10" s="117" t="b">
        <f t="shared" ref="J10:J42" si="0">E10=K10</f>
        <v>0</v>
      </c>
    </row>
    <row r="11" spans="1:11" s="117" customFormat="1" ht="30" customHeight="1" x14ac:dyDescent="0.2">
      <c r="A11" s="62">
        <v>3</v>
      </c>
      <c r="B11" s="178" t="s">
        <v>266</v>
      </c>
      <c r="C11" s="176" t="s">
        <v>22</v>
      </c>
      <c r="D11" s="64" t="s">
        <v>35</v>
      </c>
      <c r="E11" s="177" t="s">
        <v>267</v>
      </c>
      <c r="F11" s="179" t="s">
        <v>328</v>
      </c>
      <c r="G11" s="66">
        <v>3348</v>
      </c>
      <c r="H11" s="118">
        <v>328</v>
      </c>
      <c r="I11" s="119">
        <f t="shared" ref="I11:I42" si="1">G11*H11</f>
        <v>1098144</v>
      </c>
      <c r="J11" s="117" t="b">
        <f t="shared" si="0"/>
        <v>1</v>
      </c>
      <c r="K11" t="s">
        <v>267</v>
      </c>
    </row>
    <row r="12" spans="1:11" s="117" customFormat="1" ht="30" customHeight="1" x14ac:dyDescent="0.2">
      <c r="A12" s="183">
        <v>4</v>
      </c>
      <c r="B12" s="191" t="s">
        <v>247</v>
      </c>
      <c r="C12" s="191" t="s">
        <v>22</v>
      </c>
      <c r="D12" s="192" t="s">
        <v>35</v>
      </c>
      <c r="E12" s="193" t="s">
        <v>248</v>
      </c>
      <c r="F12" s="194" t="s">
        <v>329</v>
      </c>
      <c r="G12" s="188">
        <v>1320</v>
      </c>
      <c r="H12" s="189">
        <v>900</v>
      </c>
      <c r="I12" s="190">
        <f t="shared" si="1"/>
        <v>1188000</v>
      </c>
      <c r="J12" s="117" t="b">
        <f t="shared" si="0"/>
        <v>0</v>
      </c>
    </row>
    <row r="13" spans="1:11" s="117" customFormat="1" ht="30" customHeight="1" x14ac:dyDescent="0.2">
      <c r="A13" s="183">
        <v>5</v>
      </c>
      <c r="B13" s="184" t="s">
        <v>249</v>
      </c>
      <c r="C13" s="195" t="s">
        <v>22</v>
      </c>
      <c r="D13" s="185" t="s">
        <v>35</v>
      </c>
      <c r="E13" s="186" t="s">
        <v>250</v>
      </c>
      <c r="F13" s="194" t="s">
        <v>78</v>
      </c>
      <c r="G13" s="188">
        <v>15216</v>
      </c>
      <c r="H13" s="189">
        <v>135</v>
      </c>
      <c r="I13" s="190">
        <f t="shared" si="1"/>
        <v>2054160</v>
      </c>
      <c r="J13" s="117" t="b">
        <f t="shared" si="0"/>
        <v>0</v>
      </c>
    </row>
    <row r="14" spans="1:11" s="117" customFormat="1" ht="30" customHeight="1" x14ac:dyDescent="0.2">
      <c r="A14" s="183">
        <v>6</v>
      </c>
      <c r="B14" s="184" t="s">
        <v>31</v>
      </c>
      <c r="C14" s="184" t="s">
        <v>22</v>
      </c>
      <c r="D14" s="185" t="s">
        <v>35</v>
      </c>
      <c r="E14" s="186" t="s">
        <v>39</v>
      </c>
      <c r="F14" s="187" t="s">
        <v>330</v>
      </c>
      <c r="G14" s="188">
        <v>13200</v>
      </c>
      <c r="H14" s="189">
        <v>300</v>
      </c>
      <c r="I14" s="190">
        <f t="shared" si="1"/>
        <v>3960000</v>
      </c>
      <c r="J14" s="117" t="b">
        <f t="shared" si="0"/>
        <v>0</v>
      </c>
    </row>
    <row r="15" spans="1:11" s="117" customFormat="1" ht="30" customHeight="1" x14ac:dyDescent="0.2">
      <c r="A15" s="183">
        <v>7</v>
      </c>
      <c r="B15" s="184" t="s">
        <v>32</v>
      </c>
      <c r="C15" s="184" t="s">
        <v>22</v>
      </c>
      <c r="D15" s="185" t="s">
        <v>35</v>
      </c>
      <c r="E15" s="186" t="s">
        <v>40</v>
      </c>
      <c r="F15" s="187" t="s">
        <v>331</v>
      </c>
      <c r="G15" s="188">
        <v>9948</v>
      </c>
      <c r="H15" s="189">
        <v>78</v>
      </c>
      <c r="I15" s="190">
        <f t="shared" si="1"/>
        <v>775944</v>
      </c>
      <c r="J15" s="117" t="b">
        <f t="shared" si="0"/>
        <v>0</v>
      </c>
    </row>
    <row r="16" spans="1:11" s="117" customFormat="1" ht="30" customHeight="1" x14ac:dyDescent="0.2">
      <c r="A16" s="183">
        <v>8</v>
      </c>
      <c r="B16" s="191" t="s">
        <v>236</v>
      </c>
      <c r="C16" s="184" t="s">
        <v>22</v>
      </c>
      <c r="D16" s="185" t="s">
        <v>35</v>
      </c>
      <c r="E16" s="186" t="s">
        <v>237</v>
      </c>
      <c r="F16" s="187" t="s">
        <v>330</v>
      </c>
      <c r="G16" s="188">
        <v>4644</v>
      </c>
      <c r="H16" s="189">
        <v>397</v>
      </c>
      <c r="I16" s="190">
        <f t="shared" si="1"/>
        <v>1843668</v>
      </c>
      <c r="J16" s="117" t="b">
        <f t="shared" si="0"/>
        <v>0</v>
      </c>
    </row>
    <row r="17" spans="1:11" s="117" customFormat="1" ht="30" customHeight="1" x14ac:dyDescent="0.2">
      <c r="A17" s="183">
        <v>9</v>
      </c>
      <c r="B17" s="184" t="s">
        <v>33</v>
      </c>
      <c r="C17" s="184" t="s">
        <v>22</v>
      </c>
      <c r="D17" s="185" t="s">
        <v>35</v>
      </c>
      <c r="E17" s="186" t="s">
        <v>41</v>
      </c>
      <c r="F17" s="187" t="s">
        <v>78</v>
      </c>
      <c r="G17" s="188">
        <v>17844</v>
      </c>
      <c r="H17" s="189">
        <v>120</v>
      </c>
      <c r="I17" s="190">
        <f t="shared" si="1"/>
        <v>2141280</v>
      </c>
      <c r="J17" s="117" t="b">
        <f t="shared" si="0"/>
        <v>0</v>
      </c>
    </row>
    <row r="18" spans="1:11" s="117" customFormat="1" ht="30" customHeight="1" x14ac:dyDescent="0.2">
      <c r="A18" s="183">
        <v>10</v>
      </c>
      <c r="B18" s="184" t="s">
        <v>34</v>
      </c>
      <c r="C18" s="184" t="s">
        <v>22</v>
      </c>
      <c r="D18" s="185" t="s">
        <v>35</v>
      </c>
      <c r="E18" s="186" t="s">
        <v>42</v>
      </c>
      <c r="F18" s="187" t="s">
        <v>78</v>
      </c>
      <c r="G18" s="188">
        <v>36348</v>
      </c>
      <c r="H18" s="189">
        <v>90</v>
      </c>
      <c r="I18" s="190">
        <f t="shared" si="1"/>
        <v>3271320</v>
      </c>
      <c r="J18" s="117" t="b">
        <f t="shared" si="0"/>
        <v>0</v>
      </c>
    </row>
    <row r="19" spans="1:11" s="117" customFormat="1" ht="30" customHeight="1" x14ac:dyDescent="0.2">
      <c r="A19" s="183">
        <v>11</v>
      </c>
      <c r="B19" s="184" t="s">
        <v>43</v>
      </c>
      <c r="C19" s="184" t="s">
        <v>22</v>
      </c>
      <c r="D19" s="185" t="s">
        <v>35</v>
      </c>
      <c r="E19" s="186" t="s">
        <v>50</v>
      </c>
      <c r="F19" s="196" t="s">
        <v>78</v>
      </c>
      <c r="G19" s="197">
        <v>5280</v>
      </c>
      <c r="H19" s="189">
        <v>180</v>
      </c>
      <c r="I19" s="190">
        <f t="shared" si="1"/>
        <v>950400</v>
      </c>
      <c r="J19" s="117" t="b">
        <f t="shared" si="0"/>
        <v>0</v>
      </c>
    </row>
    <row r="20" spans="1:11" s="117" customFormat="1" ht="30" customHeight="1" x14ac:dyDescent="0.2">
      <c r="A20" s="183">
        <v>12</v>
      </c>
      <c r="B20" s="184" t="s">
        <v>44</v>
      </c>
      <c r="C20" s="184" t="s">
        <v>22</v>
      </c>
      <c r="D20" s="185" t="s">
        <v>35</v>
      </c>
      <c r="E20" s="186" t="s">
        <v>51</v>
      </c>
      <c r="F20" s="187" t="s">
        <v>14</v>
      </c>
      <c r="G20" s="188">
        <v>19800</v>
      </c>
      <c r="H20" s="189">
        <v>120</v>
      </c>
      <c r="I20" s="190">
        <f t="shared" si="1"/>
        <v>2376000</v>
      </c>
      <c r="J20" s="117" t="b">
        <f t="shared" si="0"/>
        <v>0</v>
      </c>
    </row>
    <row r="21" spans="1:11" s="117" customFormat="1" ht="30" customHeight="1" x14ac:dyDescent="0.2">
      <c r="A21" s="183">
        <v>13</v>
      </c>
      <c r="B21" s="184" t="s">
        <v>45</v>
      </c>
      <c r="C21" s="184" t="s">
        <v>22</v>
      </c>
      <c r="D21" s="185" t="s">
        <v>35</v>
      </c>
      <c r="E21" s="186" t="s">
        <v>52</v>
      </c>
      <c r="F21" s="187" t="s">
        <v>332</v>
      </c>
      <c r="G21" s="188">
        <v>4644</v>
      </c>
      <c r="H21" s="189">
        <v>90</v>
      </c>
      <c r="I21" s="190">
        <f t="shared" si="1"/>
        <v>417960</v>
      </c>
      <c r="J21" s="117" t="b">
        <f t="shared" si="0"/>
        <v>0</v>
      </c>
    </row>
    <row r="22" spans="1:11" s="117" customFormat="1" ht="30" customHeight="1" x14ac:dyDescent="0.2">
      <c r="A22" s="62">
        <v>14</v>
      </c>
      <c r="B22" s="176" t="s">
        <v>46</v>
      </c>
      <c r="C22" s="176" t="s">
        <v>22</v>
      </c>
      <c r="D22" s="64" t="s">
        <v>35</v>
      </c>
      <c r="E22" s="177" t="s">
        <v>53</v>
      </c>
      <c r="F22" s="179" t="s">
        <v>333</v>
      </c>
      <c r="G22" s="66">
        <v>6600</v>
      </c>
      <c r="H22" s="118">
        <v>140</v>
      </c>
      <c r="I22" s="119">
        <f t="shared" si="1"/>
        <v>924000</v>
      </c>
      <c r="J22" s="117" t="b">
        <f t="shared" si="0"/>
        <v>1</v>
      </c>
      <c r="K22" t="s">
        <v>53</v>
      </c>
    </row>
    <row r="23" spans="1:11" s="117" customFormat="1" ht="30" customHeight="1" x14ac:dyDescent="0.2">
      <c r="A23" s="62">
        <v>15</v>
      </c>
      <c r="B23" s="176" t="s">
        <v>47</v>
      </c>
      <c r="C23" s="176" t="s">
        <v>22</v>
      </c>
      <c r="D23" s="64" t="s">
        <v>35</v>
      </c>
      <c r="E23" s="177" t="s">
        <v>54</v>
      </c>
      <c r="F23" s="179" t="s">
        <v>78</v>
      </c>
      <c r="G23" s="66">
        <v>26400</v>
      </c>
      <c r="H23" s="118">
        <v>120</v>
      </c>
      <c r="I23" s="119">
        <f t="shared" si="1"/>
        <v>3168000</v>
      </c>
      <c r="J23" s="117" t="b">
        <f t="shared" si="0"/>
        <v>1</v>
      </c>
      <c r="K23" t="s">
        <v>54</v>
      </c>
    </row>
    <row r="24" spans="1:11" s="117" customFormat="1" ht="30" customHeight="1" x14ac:dyDescent="0.2">
      <c r="A24" s="62">
        <v>16</v>
      </c>
      <c r="B24" s="180" t="s">
        <v>28</v>
      </c>
      <c r="C24" s="180" t="s">
        <v>22</v>
      </c>
      <c r="D24" s="72" t="s">
        <v>35</v>
      </c>
      <c r="E24" s="181" t="s">
        <v>36</v>
      </c>
      <c r="F24" s="179" t="s">
        <v>327</v>
      </c>
      <c r="G24" s="66">
        <v>9948</v>
      </c>
      <c r="H24" s="118">
        <v>140</v>
      </c>
      <c r="I24" s="119">
        <f t="shared" si="1"/>
        <v>1392720</v>
      </c>
      <c r="J24" s="117" t="b">
        <f t="shared" si="0"/>
        <v>1</v>
      </c>
      <c r="K24" t="s">
        <v>36</v>
      </c>
    </row>
    <row r="25" spans="1:11" s="117" customFormat="1" ht="30" customHeight="1" x14ac:dyDescent="0.2">
      <c r="A25" s="183">
        <v>17</v>
      </c>
      <c r="B25" s="184" t="s">
        <v>48</v>
      </c>
      <c r="C25" s="184" t="s">
        <v>22</v>
      </c>
      <c r="D25" s="185" t="s">
        <v>35</v>
      </c>
      <c r="E25" s="186" t="s">
        <v>55</v>
      </c>
      <c r="F25" s="187" t="s">
        <v>78</v>
      </c>
      <c r="G25" s="188">
        <v>17160</v>
      </c>
      <c r="H25" s="189">
        <v>1275</v>
      </c>
      <c r="I25" s="190">
        <f t="shared" si="1"/>
        <v>21879000</v>
      </c>
      <c r="J25" s="117" t="b">
        <f t="shared" si="0"/>
        <v>0</v>
      </c>
    </row>
    <row r="26" spans="1:11" s="117" customFormat="1" ht="30" customHeight="1" x14ac:dyDescent="0.2">
      <c r="A26" s="183">
        <v>18</v>
      </c>
      <c r="B26" s="184" t="s">
        <v>49</v>
      </c>
      <c r="C26" s="184" t="s">
        <v>22</v>
      </c>
      <c r="D26" s="185" t="s">
        <v>35</v>
      </c>
      <c r="E26" s="186" t="s">
        <v>56</v>
      </c>
      <c r="F26" s="187" t="s">
        <v>78</v>
      </c>
      <c r="G26" s="188">
        <v>6600</v>
      </c>
      <c r="H26" s="189">
        <v>1875</v>
      </c>
      <c r="I26" s="190">
        <f t="shared" si="1"/>
        <v>12375000</v>
      </c>
      <c r="J26" s="117" t="b">
        <f t="shared" si="0"/>
        <v>0</v>
      </c>
    </row>
    <row r="27" spans="1:11" s="117" customFormat="1" ht="30" customHeight="1" x14ac:dyDescent="0.2">
      <c r="A27" s="183">
        <v>19</v>
      </c>
      <c r="B27" s="184" t="s">
        <v>80</v>
      </c>
      <c r="C27" s="184" t="s">
        <v>22</v>
      </c>
      <c r="D27" s="185" t="s">
        <v>35</v>
      </c>
      <c r="E27" s="186" t="s">
        <v>81</v>
      </c>
      <c r="F27" s="187" t="s">
        <v>78</v>
      </c>
      <c r="G27" s="188">
        <v>16548</v>
      </c>
      <c r="H27" s="189">
        <v>480</v>
      </c>
      <c r="I27" s="190">
        <f t="shared" si="1"/>
        <v>7943040</v>
      </c>
      <c r="J27" s="117" t="b">
        <f t="shared" si="0"/>
        <v>0</v>
      </c>
    </row>
    <row r="28" spans="1:11" s="117" customFormat="1" ht="30" customHeight="1" x14ac:dyDescent="0.2">
      <c r="A28" s="183">
        <v>20</v>
      </c>
      <c r="B28" s="184" t="s">
        <v>264</v>
      </c>
      <c r="C28" s="184" t="s">
        <v>22</v>
      </c>
      <c r="D28" s="185" t="s">
        <v>35</v>
      </c>
      <c r="E28" s="186" t="s">
        <v>265</v>
      </c>
      <c r="F28" s="187" t="s">
        <v>78</v>
      </c>
      <c r="G28" s="188">
        <v>39600</v>
      </c>
      <c r="H28" s="189">
        <v>280</v>
      </c>
      <c r="I28" s="190">
        <f t="shared" si="1"/>
        <v>11088000</v>
      </c>
      <c r="J28" s="117" t="b">
        <f t="shared" si="0"/>
        <v>0</v>
      </c>
    </row>
    <row r="29" spans="1:11" s="117" customFormat="1" ht="30" customHeight="1" x14ac:dyDescent="0.2">
      <c r="A29" s="183">
        <v>21</v>
      </c>
      <c r="B29" s="184" t="s">
        <v>57</v>
      </c>
      <c r="C29" s="184" t="s">
        <v>22</v>
      </c>
      <c r="D29" s="185" t="s">
        <v>35</v>
      </c>
      <c r="E29" s="186" t="s">
        <v>62</v>
      </c>
      <c r="F29" s="187" t="s">
        <v>328</v>
      </c>
      <c r="G29" s="198">
        <v>102</v>
      </c>
      <c r="H29" s="189">
        <v>840</v>
      </c>
      <c r="I29" s="190">
        <f t="shared" si="1"/>
        <v>85680</v>
      </c>
      <c r="J29" s="117" t="b">
        <f t="shared" si="0"/>
        <v>0</v>
      </c>
    </row>
    <row r="30" spans="1:11" s="117" customFormat="1" ht="30" customHeight="1" x14ac:dyDescent="0.2">
      <c r="A30" s="183">
        <v>22</v>
      </c>
      <c r="B30" s="184" t="s">
        <v>58</v>
      </c>
      <c r="C30" s="184" t="s">
        <v>22</v>
      </c>
      <c r="D30" s="185" t="s">
        <v>35</v>
      </c>
      <c r="E30" s="186" t="s">
        <v>63</v>
      </c>
      <c r="F30" s="187" t="s">
        <v>328</v>
      </c>
      <c r="G30" s="188">
        <v>102</v>
      </c>
      <c r="H30" s="189">
        <v>900</v>
      </c>
      <c r="I30" s="190">
        <f t="shared" si="1"/>
        <v>91800</v>
      </c>
      <c r="J30" s="117" t="b">
        <f t="shared" si="0"/>
        <v>0</v>
      </c>
    </row>
    <row r="31" spans="1:11" s="117" customFormat="1" ht="30" customHeight="1" x14ac:dyDescent="0.2">
      <c r="A31" s="183">
        <v>23</v>
      </c>
      <c r="B31" s="184" t="s">
        <v>59</v>
      </c>
      <c r="C31" s="184" t="s">
        <v>22</v>
      </c>
      <c r="D31" s="185" t="s">
        <v>35</v>
      </c>
      <c r="E31" s="186" t="s">
        <v>64</v>
      </c>
      <c r="F31" s="187" t="s">
        <v>328</v>
      </c>
      <c r="G31" s="188">
        <v>102</v>
      </c>
      <c r="H31" s="189">
        <v>750</v>
      </c>
      <c r="I31" s="190">
        <f t="shared" si="1"/>
        <v>76500</v>
      </c>
      <c r="J31" s="117" t="b">
        <f t="shared" si="0"/>
        <v>0</v>
      </c>
    </row>
    <row r="32" spans="1:11" s="117" customFormat="1" ht="30" customHeight="1" x14ac:dyDescent="0.2">
      <c r="A32" s="183">
        <v>24</v>
      </c>
      <c r="B32" s="184" t="s">
        <v>60</v>
      </c>
      <c r="C32" s="184" t="s">
        <v>22</v>
      </c>
      <c r="D32" s="185" t="s">
        <v>35</v>
      </c>
      <c r="E32" s="186" t="s">
        <v>65</v>
      </c>
      <c r="F32" s="187" t="s">
        <v>327</v>
      </c>
      <c r="G32" s="188">
        <v>102</v>
      </c>
      <c r="H32" s="189">
        <v>900</v>
      </c>
      <c r="I32" s="190">
        <f t="shared" si="1"/>
        <v>91800</v>
      </c>
      <c r="J32" s="117" t="b">
        <f t="shared" si="0"/>
        <v>0</v>
      </c>
    </row>
    <row r="33" spans="1:11" s="117" customFormat="1" ht="30" customHeight="1" x14ac:dyDescent="0.2">
      <c r="A33" s="183">
        <v>25</v>
      </c>
      <c r="B33" s="191" t="s">
        <v>243</v>
      </c>
      <c r="C33" s="191" t="s">
        <v>22</v>
      </c>
      <c r="D33" s="192" t="s">
        <v>35</v>
      </c>
      <c r="E33" s="193" t="s">
        <v>242</v>
      </c>
      <c r="F33" s="194" t="s">
        <v>327</v>
      </c>
      <c r="G33" s="188">
        <v>1320</v>
      </c>
      <c r="H33" s="189">
        <v>63</v>
      </c>
      <c r="I33" s="190">
        <f t="shared" si="1"/>
        <v>83160</v>
      </c>
      <c r="J33" s="117" t="b">
        <f t="shared" si="0"/>
        <v>0</v>
      </c>
    </row>
    <row r="34" spans="1:11" s="117" customFormat="1" ht="30" customHeight="1" x14ac:dyDescent="0.2">
      <c r="A34" s="183">
        <v>26</v>
      </c>
      <c r="B34" s="184" t="s">
        <v>61</v>
      </c>
      <c r="C34" s="184" t="s">
        <v>22</v>
      </c>
      <c r="D34" s="185" t="s">
        <v>35</v>
      </c>
      <c r="E34" s="186" t="s">
        <v>66</v>
      </c>
      <c r="F34" s="199" t="s">
        <v>328</v>
      </c>
      <c r="G34" s="188">
        <v>684</v>
      </c>
      <c r="H34" s="200">
        <v>126</v>
      </c>
      <c r="I34" s="190">
        <f t="shared" si="1"/>
        <v>86184</v>
      </c>
      <c r="J34" s="117" t="b">
        <f t="shared" si="0"/>
        <v>0</v>
      </c>
    </row>
    <row r="35" spans="1:11" s="117" customFormat="1" ht="30" customHeight="1" x14ac:dyDescent="0.2">
      <c r="A35" s="183">
        <v>27</v>
      </c>
      <c r="B35" s="184" t="s">
        <v>90</v>
      </c>
      <c r="C35" s="184" t="s">
        <v>22</v>
      </c>
      <c r="D35" s="185" t="s">
        <v>35</v>
      </c>
      <c r="E35" s="186" t="s">
        <v>94</v>
      </c>
      <c r="F35" s="201" t="s">
        <v>334</v>
      </c>
      <c r="G35" s="188">
        <v>390</v>
      </c>
      <c r="H35" s="189">
        <v>3000</v>
      </c>
      <c r="I35" s="190">
        <f t="shared" si="1"/>
        <v>1170000</v>
      </c>
      <c r="J35" s="117" t="b">
        <f t="shared" si="0"/>
        <v>0</v>
      </c>
    </row>
    <row r="36" spans="1:11" s="117" customFormat="1" ht="30" customHeight="1" x14ac:dyDescent="0.2">
      <c r="A36" s="183">
        <v>28</v>
      </c>
      <c r="B36" s="184" t="s">
        <v>91</v>
      </c>
      <c r="C36" s="184" t="s">
        <v>22</v>
      </c>
      <c r="D36" s="185" t="s">
        <v>35</v>
      </c>
      <c r="E36" s="186" t="s">
        <v>95</v>
      </c>
      <c r="F36" s="201" t="s">
        <v>334</v>
      </c>
      <c r="G36" s="188">
        <v>342</v>
      </c>
      <c r="H36" s="189">
        <v>8250</v>
      </c>
      <c r="I36" s="190">
        <f t="shared" si="1"/>
        <v>2821500</v>
      </c>
      <c r="J36" s="117" t="b">
        <f t="shared" si="0"/>
        <v>0</v>
      </c>
    </row>
    <row r="37" spans="1:11" s="117" customFormat="1" ht="30" customHeight="1" x14ac:dyDescent="0.2">
      <c r="A37" s="183">
        <v>29</v>
      </c>
      <c r="B37" s="184" t="s">
        <v>92</v>
      </c>
      <c r="C37" s="184" t="s">
        <v>22</v>
      </c>
      <c r="D37" s="185" t="s">
        <v>35</v>
      </c>
      <c r="E37" s="186" t="s">
        <v>96</v>
      </c>
      <c r="F37" s="201" t="s">
        <v>334</v>
      </c>
      <c r="G37" s="188">
        <v>342</v>
      </c>
      <c r="H37" s="189">
        <v>9000</v>
      </c>
      <c r="I37" s="190">
        <f t="shared" si="1"/>
        <v>3078000</v>
      </c>
      <c r="J37" s="117" t="b">
        <f t="shared" si="0"/>
        <v>0</v>
      </c>
    </row>
    <row r="38" spans="1:11" s="117" customFormat="1" ht="30" customHeight="1" x14ac:dyDescent="0.2">
      <c r="A38" s="202">
        <v>30</v>
      </c>
      <c r="B38" s="184" t="s">
        <v>93</v>
      </c>
      <c r="C38" s="184" t="s">
        <v>22</v>
      </c>
      <c r="D38" s="185" t="s">
        <v>35</v>
      </c>
      <c r="E38" s="186" t="s">
        <v>97</v>
      </c>
      <c r="F38" s="194" t="s">
        <v>334</v>
      </c>
      <c r="G38" s="188">
        <v>336</v>
      </c>
      <c r="H38" s="189">
        <v>6750</v>
      </c>
      <c r="I38" s="190">
        <f t="shared" si="1"/>
        <v>2268000</v>
      </c>
      <c r="J38" s="117" t="b">
        <f t="shared" si="0"/>
        <v>0</v>
      </c>
    </row>
    <row r="39" spans="1:11" s="117" customFormat="1" ht="30" customHeight="1" x14ac:dyDescent="0.2">
      <c r="A39" s="202">
        <v>31</v>
      </c>
      <c r="B39" s="184" t="s">
        <v>251</v>
      </c>
      <c r="C39" s="184" t="s">
        <v>22</v>
      </c>
      <c r="D39" s="185" t="s">
        <v>35</v>
      </c>
      <c r="E39" s="186" t="s">
        <v>252</v>
      </c>
      <c r="F39" s="194" t="s">
        <v>328</v>
      </c>
      <c r="G39" s="188">
        <v>3348</v>
      </c>
      <c r="H39" s="189">
        <v>278</v>
      </c>
      <c r="I39" s="190">
        <f t="shared" si="1"/>
        <v>930744</v>
      </c>
      <c r="J39" s="117" t="b">
        <f t="shared" si="0"/>
        <v>0</v>
      </c>
    </row>
    <row r="40" spans="1:11" s="117" customFormat="1" ht="30" customHeight="1" x14ac:dyDescent="0.2">
      <c r="A40" s="120">
        <v>32</v>
      </c>
      <c r="B40" s="176" t="s">
        <v>268</v>
      </c>
      <c r="C40" s="176" t="s">
        <v>22</v>
      </c>
      <c r="D40" s="64" t="s">
        <v>35</v>
      </c>
      <c r="E40" s="177" t="s">
        <v>269</v>
      </c>
      <c r="F40" s="179" t="s">
        <v>327</v>
      </c>
      <c r="G40" s="66">
        <v>6600</v>
      </c>
      <c r="H40" s="118">
        <v>343</v>
      </c>
      <c r="I40" s="119">
        <f t="shared" si="1"/>
        <v>2263800</v>
      </c>
      <c r="J40" s="117" t="b">
        <f t="shared" si="0"/>
        <v>1</v>
      </c>
      <c r="K40" t="s">
        <v>269</v>
      </c>
    </row>
    <row r="41" spans="1:11" s="117" customFormat="1" ht="30" customHeight="1" x14ac:dyDescent="0.2">
      <c r="A41" s="120">
        <v>33</v>
      </c>
      <c r="B41" s="176" t="s">
        <v>270</v>
      </c>
      <c r="C41" s="176" t="s">
        <v>22</v>
      </c>
      <c r="D41" s="64" t="s">
        <v>35</v>
      </c>
      <c r="E41" s="182" t="s">
        <v>271</v>
      </c>
      <c r="F41" s="179" t="s">
        <v>335</v>
      </c>
      <c r="G41" s="66">
        <v>1320</v>
      </c>
      <c r="H41" s="118">
        <v>170</v>
      </c>
      <c r="I41" s="119">
        <f t="shared" si="1"/>
        <v>224400</v>
      </c>
      <c r="J41" s="117" t="b">
        <f t="shared" si="0"/>
        <v>1</v>
      </c>
      <c r="K41" t="s">
        <v>271</v>
      </c>
    </row>
    <row r="42" spans="1:11" s="117" customFormat="1" ht="30" customHeight="1" x14ac:dyDescent="0.2">
      <c r="A42" s="202">
        <v>34</v>
      </c>
      <c r="B42" s="184" t="s">
        <v>273</v>
      </c>
      <c r="C42" s="184" t="s">
        <v>22</v>
      </c>
      <c r="D42" s="185" t="s">
        <v>35</v>
      </c>
      <c r="E42" s="186" t="s">
        <v>272</v>
      </c>
      <c r="F42" s="194" t="s">
        <v>333</v>
      </c>
      <c r="G42" s="188">
        <v>2640</v>
      </c>
      <c r="H42" s="189">
        <v>90</v>
      </c>
      <c r="I42" s="190">
        <f t="shared" si="1"/>
        <v>237600</v>
      </c>
      <c r="J42" s="117" t="b">
        <f t="shared" si="0"/>
        <v>0</v>
      </c>
    </row>
    <row r="43" spans="1:11" x14ac:dyDescent="0.2">
      <c r="I43" s="111">
        <f>SUM(I9:I42)</f>
        <v>94431564</v>
      </c>
    </row>
  </sheetData>
  <mergeCells count="7">
    <mergeCell ref="A5:B5"/>
    <mergeCell ref="A6:B6"/>
    <mergeCell ref="B1:H1"/>
    <mergeCell ref="A3:B3"/>
    <mergeCell ref="C3:E3"/>
    <mergeCell ref="A4:B4"/>
    <mergeCell ref="C4:E4"/>
  </mergeCells>
  <pageMargins left="0.39370078740157483" right="0.33" top="0.31496062992125984" bottom="0.31496062992125984" header="0.31496062992125984" footer="0.31496062992125984"/>
  <pageSetup paperSize="5"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7"/>
  <sheetViews>
    <sheetView topLeftCell="A2" zoomScaleNormal="100" workbookViewId="0">
      <selection activeCell="A15" sqref="A1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141" customWidth="1"/>
    <col min="8" max="14" width="4.42578125" customWidth="1"/>
    <col min="15" max="16" width="14.85546875" customWidth="1"/>
    <col min="17" max="17" width="16.5703125" bestFit="1" customWidth="1"/>
  </cols>
  <sheetData>
    <row r="1" spans="1:17" ht="15.75" customHeight="1" thickBot="1" x14ac:dyDescent="0.3">
      <c r="A1" s="247" t="s">
        <v>3</v>
      </c>
      <c r="B1" s="247"/>
      <c r="C1" s="247"/>
      <c r="D1" s="248">
        <f>'ALIM-IMP'!C5</f>
        <v>2022</v>
      </c>
      <c r="E1" s="248"/>
      <c r="F1" s="139"/>
      <c r="G1" s="139"/>
      <c r="H1" s="140"/>
      <c r="I1" s="140"/>
      <c r="J1" s="140"/>
      <c r="K1" s="140"/>
      <c r="L1" s="140"/>
      <c r="M1" s="140"/>
      <c r="N1" s="140"/>
      <c r="P1" s="249" t="s">
        <v>303</v>
      </c>
      <c r="Q1" s="249"/>
    </row>
    <row r="2" spans="1:17" ht="15.75" customHeight="1" thickBot="1" x14ac:dyDescent="0.25">
      <c r="H2" s="140"/>
      <c r="I2" s="140"/>
      <c r="J2" s="140"/>
      <c r="K2" s="140"/>
      <c r="L2" s="140"/>
      <c r="M2" s="140"/>
      <c r="N2" s="140"/>
      <c r="P2" s="249"/>
      <c r="Q2" s="249"/>
    </row>
    <row r="4" spans="1:17" s="142" customFormat="1" ht="18" customHeight="1" thickBot="1" x14ac:dyDescent="0.25">
      <c r="A4" s="250" t="s">
        <v>304</v>
      </c>
      <c r="B4" s="250"/>
      <c r="C4" s="250"/>
      <c r="D4" s="250"/>
      <c r="E4" s="250"/>
      <c r="F4" s="250"/>
      <c r="G4" s="239" t="str">
        <f>' NotaPedido'!D3</f>
        <v>45- Ministerio de Desarrollo Social</v>
      </c>
      <c r="H4" s="239"/>
      <c r="I4" s="239"/>
      <c r="J4" s="239"/>
      <c r="K4" s="239"/>
      <c r="L4" s="239"/>
      <c r="M4" s="239"/>
      <c r="N4" s="239"/>
      <c r="O4" s="239"/>
      <c r="P4" s="239"/>
      <c r="Q4" s="239"/>
    </row>
    <row r="5" spans="1:17" s="142" customFormat="1" ht="18" customHeight="1" thickBot="1" x14ac:dyDescent="0.25">
      <c r="A5" s="236" t="s">
        <v>287</v>
      </c>
      <c r="B5" s="237"/>
      <c r="C5" s="237"/>
      <c r="D5" s="237"/>
      <c r="E5" s="237"/>
      <c r="F5" s="238"/>
      <c r="G5" s="239" t="str">
        <f>' NotaPedido'!D4</f>
        <v>25- Direccion Provincial de Gestion Administracion y RRHH</v>
      </c>
      <c r="H5" s="239"/>
      <c r="I5" s="239"/>
      <c r="J5" s="239"/>
      <c r="K5" s="239"/>
      <c r="L5" s="239"/>
      <c r="M5" s="239"/>
      <c r="N5" s="239"/>
      <c r="O5" s="239"/>
      <c r="P5" s="239"/>
      <c r="Q5" s="239"/>
    </row>
    <row r="6" spans="1:17" s="142" customFormat="1" ht="18" customHeight="1" thickBot="1" x14ac:dyDescent="0.25">
      <c r="A6" s="236" t="s">
        <v>288</v>
      </c>
      <c r="B6" s="237"/>
      <c r="C6" s="237"/>
      <c r="D6" s="237"/>
      <c r="E6" s="237"/>
      <c r="F6" s="238"/>
      <c r="G6" s="239" t="s">
        <v>338</v>
      </c>
      <c r="H6" s="239"/>
      <c r="I6" s="239"/>
      <c r="J6" s="239"/>
      <c r="K6" s="239"/>
      <c r="L6" s="239"/>
      <c r="M6" s="239"/>
      <c r="N6" s="239"/>
      <c r="O6" s="239"/>
      <c r="P6" s="239"/>
      <c r="Q6" s="239"/>
    </row>
    <row r="7" spans="1:17" s="142" customFormat="1" ht="18" customHeight="1" thickBot="1" x14ac:dyDescent="0.25">
      <c r="A7" s="236" t="s">
        <v>289</v>
      </c>
      <c r="B7" s="237"/>
      <c r="C7" s="237"/>
      <c r="D7" s="237"/>
      <c r="E7" s="237"/>
      <c r="F7" s="238"/>
      <c r="G7" s="239" t="s">
        <v>290</v>
      </c>
      <c r="H7" s="239"/>
      <c r="I7" s="239"/>
      <c r="J7" s="239"/>
      <c r="K7" s="239"/>
      <c r="L7" s="239"/>
      <c r="M7" s="239"/>
      <c r="N7" s="239"/>
      <c r="O7" s="239"/>
      <c r="P7" s="239"/>
      <c r="Q7" s="239"/>
    </row>
    <row r="8" spans="1:17" ht="18" customHeight="1" thickBot="1" x14ac:dyDescent="0.25">
      <c r="A8" s="240" t="s">
        <v>305</v>
      </c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</row>
    <row r="9" spans="1:17" ht="18" customHeight="1" x14ac:dyDescent="0.2">
      <c r="A9" s="241" t="s">
        <v>306</v>
      </c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143"/>
      <c r="P9" s="143"/>
      <c r="Q9" s="144"/>
    </row>
    <row r="10" spans="1:17" ht="54.75" customHeight="1" x14ac:dyDescent="0.2">
      <c r="A10" s="242" t="s">
        <v>307</v>
      </c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</row>
    <row r="11" spans="1:17" ht="9" customHeight="1" thickBot="1" x14ac:dyDescent="0.25">
      <c r="A11" s="145"/>
      <c r="B11" s="146"/>
      <c r="C11" s="146"/>
      <c r="D11" s="146"/>
      <c r="E11" s="146"/>
      <c r="F11" s="146"/>
      <c r="G11" s="147"/>
      <c r="H11" s="146"/>
      <c r="I11" s="146"/>
      <c r="J11" s="146"/>
      <c r="K11" s="146"/>
      <c r="L11" s="146"/>
      <c r="M11" s="146"/>
      <c r="N11" s="146"/>
      <c r="O11" s="146"/>
      <c r="P11" s="146"/>
      <c r="Q11" s="148"/>
    </row>
    <row r="12" spans="1:17" ht="15.75" customHeight="1" thickBot="1" x14ac:dyDescent="0.25">
      <c r="A12" s="243" t="s">
        <v>308</v>
      </c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</row>
    <row r="13" spans="1:17" ht="15.75" customHeight="1" thickBot="1" x14ac:dyDescent="0.25">
      <c r="A13" s="244" t="s">
        <v>309</v>
      </c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5" t="s">
        <v>310</v>
      </c>
      <c r="P13" s="245"/>
      <c r="Q13" s="246" t="s">
        <v>311</v>
      </c>
    </row>
    <row r="14" spans="1:17" ht="15.75" customHeight="1" thickBot="1" x14ac:dyDescent="0.25">
      <c r="A14" s="149" t="s">
        <v>312</v>
      </c>
      <c r="B14" s="150" t="s">
        <v>313</v>
      </c>
      <c r="C14" s="150" t="s">
        <v>314</v>
      </c>
      <c r="D14" s="150" t="s">
        <v>315</v>
      </c>
      <c r="E14" s="150" t="s">
        <v>316</v>
      </c>
      <c r="F14" s="150" t="s">
        <v>317</v>
      </c>
      <c r="G14" s="151" t="s">
        <v>318</v>
      </c>
      <c r="H14" s="150" t="s">
        <v>319</v>
      </c>
      <c r="I14" s="150" t="s">
        <v>320</v>
      </c>
      <c r="J14" s="150" t="s">
        <v>321</v>
      </c>
      <c r="K14" s="150" t="s">
        <v>321</v>
      </c>
      <c r="L14" s="150" t="s">
        <v>322</v>
      </c>
      <c r="M14" s="152" t="s">
        <v>323</v>
      </c>
      <c r="N14" s="153" t="s">
        <v>324</v>
      </c>
      <c r="O14" s="245"/>
      <c r="P14" s="245"/>
      <c r="Q14" s="246"/>
    </row>
    <row r="15" spans="1:17" ht="17.25" customHeight="1" x14ac:dyDescent="0.2">
      <c r="A15" s="154">
        <v>1</v>
      </c>
      <c r="B15" s="155"/>
      <c r="C15" s="155"/>
      <c r="D15" s="155">
        <v>1</v>
      </c>
      <c r="E15" s="155"/>
      <c r="F15" s="155">
        <v>4901</v>
      </c>
      <c r="G15" s="155">
        <v>1</v>
      </c>
      <c r="H15" s="155">
        <v>4</v>
      </c>
      <c r="I15" s="156" t="str">
        <f>LEFT('[2]Necesidades Trimestrales'!D10,1)</f>
        <v>2</v>
      </c>
      <c r="J15" s="156">
        <v>1</v>
      </c>
      <c r="K15" s="156">
        <v>1</v>
      </c>
      <c r="L15" s="155"/>
      <c r="M15" s="157">
        <v>1</v>
      </c>
      <c r="N15" s="155">
        <v>1.1000000000000001</v>
      </c>
      <c r="O15" s="234" t="s">
        <v>325</v>
      </c>
      <c r="P15" s="235"/>
      <c r="Q15" s="158">
        <f>'ALIM-IMP'!I43</f>
        <v>94431564</v>
      </c>
    </row>
    <row r="16" spans="1:17" ht="17.25" customHeight="1" x14ac:dyDescent="0.2">
      <c r="A16" s="159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1"/>
      <c r="N16" s="160"/>
      <c r="O16" s="223"/>
      <c r="P16" s="223"/>
      <c r="Q16" s="162"/>
    </row>
    <row r="17" spans="1:18" ht="17.25" customHeight="1" x14ac:dyDescent="0.2">
      <c r="A17" s="159"/>
      <c r="B17" s="160"/>
      <c r="C17" s="160"/>
      <c r="D17" s="160"/>
      <c r="E17" s="160"/>
      <c r="F17" s="163"/>
      <c r="G17" s="160"/>
      <c r="H17" s="160"/>
      <c r="I17" s="160"/>
      <c r="J17" s="160"/>
      <c r="K17" s="160"/>
      <c r="L17" s="160"/>
      <c r="M17" s="161"/>
      <c r="N17" s="163"/>
      <c r="O17" s="224"/>
      <c r="P17" s="224"/>
      <c r="Q17" s="164"/>
    </row>
    <row r="18" spans="1:18" ht="17.25" customHeight="1" x14ac:dyDescent="0.2">
      <c r="A18" s="159"/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1"/>
      <c r="N18" s="163"/>
      <c r="O18" s="224"/>
      <c r="P18" s="224"/>
      <c r="Q18" s="164"/>
    </row>
    <row r="19" spans="1:18" ht="17.25" customHeight="1" x14ac:dyDescent="0.2">
      <c r="A19" s="159"/>
      <c r="B19" s="160"/>
      <c r="C19" s="160"/>
      <c r="D19" s="160"/>
      <c r="E19" s="160"/>
      <c r="F19" s="163"/>
      <c r="G19" s="160"/>
      <c r="H19" s="160"/>
      <c r="I19" s="160"/>
      <c r="J19" s="160"/>
      <c r="K19" s="160"/>
      <c r="L19" s="160"/>
      <c r="M19" s="161"/>
      <c r="N19" s="163"/>
      <c r="O19" s="224"/>
      <c r="P19" s="224"/>
      <c r="Q19" s="164"/>
    </row>
    <row r="20" spans="1:18" ht="17.25" customHeight="1" x14ac:dyDescent="0.2">
      <c r="A20" s="159"/>
      <c r="B20" s="160"/>
      <c r="C20" s="160"/>
      <c r="D20" s="160"/>
      <c r="E20" s="160"/>
      <c r="F20" s="163"/>
      <c r="G20" s="160"/>
      <c r="H20" s="160"/>
      <c r="I20" s="160"/>
      <c r="J20" s="160"/>
      <c r="K20" s="160"/>
      <c r="L20" s="160"/>
      <c r="M20" s="161"/>
      <c r="N20" s="163"/>
      <c r="O20" s="224"/>
      <c r="P20" s="224"/>
      <c r="Q20" s="164"/>
    </row>
    <row r="21" spans="1:18" ht="17.25" customHeight="1" x14ac:dyDescent="0.2">
      <c r="A21" s="165"/>
      <c r="B21" s="166"/>
      <c r="C21" s="166"/>
      <c r="D21" s="166"/>
      <c r="E21" s="166"/>
      <c r="F21" s="167"/>
      <c r="G21" s="166"/>
      <c r="H21" s="166"/>
      <c r="I21" s="166"/>
      <c r="J21" s="166"/>
      <c r="K21" s="166"/>
      <c r="L21" s="166"/>
      <c r="M21" s="168"/>
      <c r="N21" s="169"/>
      <c r="O21" s="225"/>
      <c r="P21" s="225"/>
      <c r="Q21" s="164"/>
      <c r="R21" s="143"/>
    </row>
    <row r="22" spans="1:18" ht="17.25" customHeight="1" thickBot="1" x14ac:dyDescent="0.25">
      <c r="A22" s="170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2"/>
      <c r="N22" s="171"/>
      <c r="O22" s="226"/>
      <c r="P22" s="226"/>
      <c r="Q22" s="173"/>
    </row>
    <row r="23" spans="1:18" ht="33.75" customHeight="1" thickBot="1" x14ac:dyDescent="0.25">
      <c r="A23" s="227" t="s">
        <v>337</v>
      </c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174">
        <f>SUM(Q15:Q22)</f>
        <v>94431564</v>
      </c>
    </row>
    <row r="24" spans="1:18" ht="18" customHeight="1" thickBot="1" x14ac:dyDescent="0.25">
      <c r="A24" s="229"/>
      <c r="B24" s="229"/>
      <c r="C24" s="229"/>
      <c r="D24" s="229"/>
      <c r="E24" s="229"/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29"/>
    </row>
    <row r="25" spans="1:18" ht="17.25" customHeight="1" thickBot="1" x14ac:dyDescent="0.25">
      <c r="A25" s="230" t="s">
        <v>326</v>
      </c>
      <c r="B25" s="231"/>
      <c r="C25" s="231"/>
      <c r="D25" s="231"/>
      <c r="E25" s="231"/>
      <c r="F25" s="232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</row>
    <row r="26" spans="1:18" ht="18" customHeight="1" thickBot="1" x14ac:dyDescent="0.25">
      <c r="A26" s="222" t="s">
        <v>293</v>
      </c>
      <c r="B26" s="222"/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</row>
    <row r="27" spans="1:18" ht="15" customHeight="1" thickBot="1" x14ac:dyDescent="0.25">
      <c r="A27" s="222"/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46"/>
  <sheetViews>
    <sheetView zoomScale="90" zoomScaleNormal="90" workbookViewId="0">
      <selection activeCell="U15" sqref="U15"/>
    </sheetView>
  </sheetViews>
  <sheetFormatPr baseColWidth="10" defaultColWidth="9.140625" defaultRowHeight="12.75" x14ac:dyDescent="0.2"/>
  <cols>
    <col min="1" max="1" width="5" style="123" customWidth="1"/>
    <col min="2" max="2" width="14.7109375" style="123" customWidth="1"/>
    <col min="3" max="3" width="14.140625" style="123" customWidth="1"/>
    <col min="4" max="4" width="26" style="123" customWidth="1"/>
    <col min="5" max="5" width="8" style="123" customWidth="1"/>
    <col min="6" max="6" width="7.85546875" style="123" customWidth="1"/>
    <col min="7" max="7" width="45" style="123" customWidth="1"/>
    <col min="8" max="8" width="9.28515625" style="123" customWidth="1"/>
    <col min="9" max="9" width="14.5703125" style="123" customWidth="1"/>
    <col min="10" max="10" width="14" style="123" customWidth="1"/>
    <col min="11" max="11" width="12.42578125" style="123" customWidth="1"/>
    <col min="12" max="12" width="14.140625" style="123" customWidth="1"/>
    <col min="13" max="14" width="5.85546875" style="123" customWidth="1"/>
    <col min="15" max="15" width="12.5703125" style="123" customWidth="1"/>
    <col min="16" max="16" width="9.140625" style="123"/>
    <col min="17" max="17" width="20.5703125" style="123" customWidth="1"/>
    <col min="18" max="1024" width="9.140625" style="123"/>
  </cols>
  <sheetData>
    <row r="1" spans="1:12" ht="18" customHeight="1" thickBot="1" x14ac:dyDescent="0.25">
      <c r="A1" s="265" t="s">
        <v>283</v>
      </c>
      <c r="B1" s="265"/>
      <c r="C1" s="265"/>
      <c r="D1" s="265"/>
      <c r="E1" s="265"/>
      <c r="F1" s="265"/>
      <c r="G1" s="265"/>
      <c r="H1" s="265"/>
      <c r="I1" s="265"/>
      <c r="J1" s="121" t="s">
        <v>284</v>
      </c>
      <c r="K1" s="122" t="s">
        <v>285</v>
      </c>
    </row>
    <row r="2" spans="1:12" ht="18.75" customHeight="1" thickBot="1" x14ac:dyDescent="0.25">
      <c r="A2" s="124"/>
      <c r="B2" s="124"/>
      <c r="C2" s="124"/>
      <c r="D2" s="125"/>
      <c r="E2" s="125"/>
      <c r="F2" s="125"/>
      <c r="G2" s="125"/>
      <c r="H2" s="125"/>
      <c r="I2" s="125"/>
      <c r="J2" s="125"/>
      <c r="K2" s="125"/>
    </row>
    <row r="3" spans="1:12" ht="18.75" customHeight="1" thickBot="1" x14ac:dyDescent="0.25">
      <c r="A3" s="266" t="s">
        <v>286</v>
      </c>
      <c r="B3" s="266"/>
      <c r="C3" s="266"/>
      <c r="D3" s="251" t="s">
        <v>340</v>
      </c>
      <c r="E3" s="251"/>
      <c r="F3" s="251"/>
      <c r="G3" s="251"/>
      <c r="H3" s="251"/>
      <c r="I3" s="251"/>
      <c r="J3" s="251"/>
      <c r="K3" s="251"/>
    </row>
    <row r="4" spans="1:12" ht="18.75" customHeight="1" thickBot="1" x14ac:dyDescent="0.25">
      <c r="A4" s="261" t="s">
        <v>287</v>
      </c>
      <c r="B4" s="261"/>
      <c r="C4" s="261"/>
      <c r="D4" s="251" t="str">
        <f>alimento!C4</f>
        <v>25- Direccion Provincial de Gestion Administracion y RRHH</v>
      </c>
      <c r="E4" s="251"/>
      <c r="F4" s="251"/>
      <c r="G4" s="251"/>
      <c r="H4" s="251"/>
      <c r="I4" s="251"/>
      <c r="J4" s="251"/>
      <c r="K4" s="251"/>
    </row>
    <row r="5" spans="1:12" ht="18.75" customHeight="1" thickBot="1" x14ac:dyDescent="0.25">
      <c r="A5" s="264" t="s">
        <v>288</v>
      </c>
      <c r="B5" s="264"/>
      <c r="C5" s="264"/>
      <c r="D5" s="260" t="s">
        <v>338</v>
      </c>
      <c r="E5" s="260"/>
      <c r="F5" s="260"/>
      <c r="G5" s="260"/>
      <c r="H5" s="260"/>
      <c r="I5" s="260"/>
      <c r="J5" s="260"/>
      <c r="K5" s="260"/>
    </row>
    <row r="6" spans="1:12" ht="16.5" customHeight="1" thickBot="1" x14ac:dyDescent="0.25">
      <c r="A6" s="259" t="s">
        <v>289</v>
      </c>
      <c r="B6" s="259"/>
      <c r="C6" s="259"/>
      <c r="D6" s="260" t="s">
        <v>290</v>
      </c>
      <c r="E6" s="260"/>
      <c r="F6" s="260"/>
      <c r="G6" s="260"/>
      <c r="H6" s="260"/>
      <c r="I6" s="260"/>
      <c r="J6" s="260"/>
      <c r="K6" s="260"/>
    </row>
    <row r="7" spans="1:12" ht="16.5" customHeight="1" thickBot="1" x14ac:dyDescent="0.25">
      <c r="A7" s="261" t="s">
        <v>291</v>
      </c>
      <c r="B7" s="261"/>
      <c r="C7" s="261"/>
      <c r="D7" s="251" t="str">
        <f>'ALIM-IMP'!C6&amp; "° Trimestre - Año " &amp; 'ALIM-IMP'!C5</f>
        <v>2° Trimestre - Año 2022</v>
      </c>
      <c r="E7" s="251"/>
      <c r="F7" s="251"/>
      <c r="G7" s="251"/>
      <c r="H7" s="251"/>
      <c r="I7" s="251"/>
      <c r="J7" s="251"/>
      <c r="K7" s="251"/>
    </row>
    <row r="8" spans="1:12" ht="16.5" customHeight="1" thickBot="1" x14ac:dyDescent="0.25">
      <c r="A8" s="262" t="s">
        <v>292</v>
      </c>
      <c r="B8" s="262"/>
      <c r="C8" s="262"/>
      <c r="D8" s="263" t="s">
        <v>293</v>
      </c>
      <c r="E8" s="263"/>
      <c r="F8" s="263"/>
      <c r="G8" s="263"/>
      <c r="H8" s="263"/>
      <c r="I8" s="263"/>
      <c r="J8" s="263"/>
      <c r="K8" s="263"/>
    </row>
    <row r="9" spans="1:12" ht="16.5" thickBot="1" x14ac:dyDescent="0.25">
      <c r="A9" s="126"/>
      <c r="B9" s="126"/>
      <c r="C9" s="126"/>
      <c r="D9" s="127"/>
      <c r="E9" s="127"/>
      <c r="F9" s="127"/>
      <c r="G9" s="127"/>
      <c r="H9" s="127"/>
      <c r="I9" s="127"/>
      <c r="J9" s="127"/>
      <c r="K9" s="127"/>
    </row>
    <row r="10" spans="1:12" ht="18.75" customHeight="1" thickBot="1" x14ac:dyDescent="0.25">
      <c r="A10" s="258" t="s">
        <v>294</v>
      </c>
      <c r="B10" s="257" t="s">
        <v>295</v>
      </c>
      <c r="C10" s="257" t="s">
        <v>296</v>
      </c>
      <c r="D10" s="257"/>
      <c r="E10" s="257"/>
      <c r="F10" s="257"/>
      <c r="G10" s="257"/>
      <c r="H10" s="257" t="s">
        <v>297</v>
      </c>
      <c r="I10" s="257" t="s">
        <v>298</v>
      </c>
      <c r="J10" s="257" t="s">
        <v>299</v>
      </c>
      <c r="K10" s="256" t="s">
        <v>300</v>
      </c>
      <c r="L10" s="256" t="s">
        <v>301</v>
      </c>
    </row>
    <row r="11" spans="1:12" ht="24" customHeight="1" thickBot="1" x14ac:dyDescent="0.25">
      <c r="A11" s="258"/>
      <c r="B11" s="257"/>
      <c r="C11" s="257"/>
      <c r="D11" s="257"/>
      <c r="E11" s="257"/>
      <c r="F11" s="257"/>
      <c r="G11" s="257"/>
      <c r="H11" s="257"/>
      <c r="I11" s="257"/>
      <c r="J11" s="257"/>
      <c r="K11" s="256"/>
      <c r="L11" s="256"/>
    </row>
    <row r="12" spans="1:12" ht="39.950000000000003" customHeight="1" thickBot="1" x14ac:dyDescent="0.25">
      <c r="A12" s="128">
        <v>1</v>
      </c>
      <c r="B12" s="129" t="str">
        <f>'ALIM-IMP'!B9</f>
        <v>2.1.1-2868.59</v>
      </c>
      <c r="C12" s="255" t="str">
        <f>'ALIM-IMP'!E9</f>
        <v>FIDEOS SECOS; VARIEDAD: MOSTACHOLES, RELLENO: SIN, PRESENTACION: ENVASE X 500 GR, MATERIAL ENVASE: PVC, ELEM. TRANSPORTE: CAJA, MATERIAL ELEM. TRANSPORTE: CARTON, CERTIFICADO FORESTAL (GFS): SIN, LIBRE DE GLUTEN: NO</v>
      </c>
      <c r="D12" s="255"/>
      <c r="E12" s="255"/>
      <c r="F12" s="255"/>
      <c r="G12" s="255"/>
      <c r="H12" s="130" t="s">
        <v>302</v>
      </c>
      <c r="I12" s="131" t="str">
        <f>'ALIM-IMP'!F9</f>
        <v>PAQUETE</v>
      </c>
      <c r="J12" s="132">
        <f>'ALIM-IMP'!H9</f>
        <v>93</v>
      </c>
      <c r="K12" s="133">
        <f>'ALIM-IMP'!G9</f>
        <v>15840</v>
      </c>
      <c r="L12" s="134">
        <f>J12*K12</f>
        <v>1473120</v>
      </c>
    </row>
    <row r="13" spans="1:12" ht="39.950000000000003" customHeight="1" thickBot="1" x14ac:dyDescent="0.25">
      <c r="A13" s="135">
        <v>2</v>
      </c>
      <c r="B13" s="129" t="str">
        <f>'ALIM-IMP'!B10</f>
        <v>2.1.1-435.60</v>
      </c>
      <c r="C13" s="255" t="str">
        <f>'ALIM-IMP'!E10</f>
        <v>ARROZ; TIPO GRANO: LARGO-FINO, TIPO: BLANCO, PROCESO: SIN CASCARA, PRESENTACION: BOLSA X 1 Kg, MATERIAL ENVASE: PLASTICO, CERTIFICADO FORESTAL (GFS): SIN, ELEM. TRANSPORTE: SIN, MATERIAL ELEM. TRANSPORTE: SIN, LIBRE DE GLUTEN: SI</v>
      </c>
      <c r="D13" s="255"/>
      <c r="E13" s="255"/>
      <c r="F13" s="255"/>
      <c r="G13" s="255"/>
      <c r="H13" s="130" t="s">
        <v>302</v>
      </c>
      <c r="I13" s="131" t="str">
        <f>'ALIM-IMP'!F10</f>
        <v>BOLSA</v>
      </c>
      <c r="J13" s="132">
        <f>'ALIM-IMP'!H10</f>
        <v>180</v>
      </c>
      <c r="K13" s="133">
        <f>'ALIM-IMP'!G10</f>
        <v>3348</v>
      </c>
      <c r="L13" s="134">
        <f t="shared" ref="L13:L45" si="0">J13*K13</f>
        <v>602640</v>
      </c>
    </row>
    <row r="14" spans="1:12" ht="39.950000000000003" customHeight="1" thickBot="1" x14ac:dyDescent="0.25">
      <c r="A14" s="135">
        <v>3</v>
      </c>
      <c r="B14" s="129" t="str">
        <f>'ALIM-IMP'!B11</f>
        <v>2.1.1-6547.55</v>
      </c>
      <c r="C14" s="255" t="str">
        <f>'ALIM-IMP'!E11</f>
        <v>LEGUMBRES; VARIEDAD: POROTO SECO, ESTADO: SECA Y CONSERVADA, PRESENTACION: BOLSA PLASTICA, PESO: 1 Kg</v>
      </c>
      <c r="D14" s="255"/>
      <c r="E14" s="255"/>
      <c r="F14" s="255"/>
      <c r="G14" s="255"/>
      <c r="H14" s="130" t="s">
        <v>302</v>
      </c>
      <c r="I14" s="131" t="str">
        <f>'ALIM-IMP'!F11</f>
        <v>BOLSA</v>
      </c>
      <c r="J14" s="132">
        <f>'ALIM-IMP'!H11</f>
        <v>328</v>
      </c>
      <c r="K14" s="133">
        <f>'ALIM-IMP'!G11</f>
        <v>3348</v>
      </c>
      <c r="L14" s="134">
        <f t="shared" si="0"/>
        <v>1098144</v>
      </c>
    </row>
    <row r="15" spans="1:12" ht="39.950000000000003" customHeight="1" thickBot="1" x14ac:dyDescent="0.25">
      <c r="A15" s="135">
        <v>4</v>
      </c>
      <c r="B15" s="129" t="str">
        <f>'ALIM-IMP'!B12</f>
        <v>2.1.1-483.33</v>
      </c>
      <c r="C15" s="255" t="str">
        <f>'ALIM-IMP'!E12</f>
        <v>HUEVO DE GALLINA; TAMAÑO: MEDIANOS, COLOR: BLANCOS, PRESENTACION: 30</v>
      </c>
      <c r="D15" s="255"/>
      <c r="E15" s="255"/>
      <c r="F15" s="255"/>
      <c r="G15" s="255"/>
      <c r="H15" s="130" t="s">
        <v>302</v>
      </c>
      <c r="I15" s="131" t="str">
        <f>'ALIM-IMP'!F12</f>
        <v>MAPLE</v>
      </c>
      <c r="J15" s="132">
        <f>'ALIM-IMP'!H12</f>
        <v>900</v>
      </c>
      <c r="K15" s="133">
        <f>'ALIM-IMP'!G12</f>
        <v>1320</v>
      </c>
      <c r="L15" s="134">
        <f t="shared" si="0"/>
        <v>1188000</v>
      </c>
    </row>
    <row r="16" spans="1:12" ht="39.950000000000003" customHeight="1" thickBot="1" x14ac:dyDescent="0.25">
      <c r="A16" s="135">
        <v>5</v>
      </c>
      <c r="B16" s="129" t="str">
        <f>'ALIM-IMP'!B13</f>
        <v>2.1.1-6546.158</v>
      </c>
      <c r="C16" s="255" t="str">
        <f>'ALIM-IMP'!E13</f>
        <v>VERDURAS Y HORTALIZAS; ESTADO: NATURAL, VARIEDAD: ZAPALLO ANCO, PRESENTACION: GRANEL, PESO: SIN VALOR</v>
      </c>
      <c r="D16" s="255"/>
      <c r="E16" s="255"/>
      <c r="F16" s="255"/>
      <c r="G16" s="255"/>
      <c r="H16" s="130" t="s">
        <v>302</v>
      </c>
      <c r="I16" s="131" t="str">
        <f>'ALIM-IMP'!F13</f>
        <v>KG</v>
      </c>
      <c r="J16" s="132">
        <f>'ALIM-IMP'!H13</f>
        <v>135</v>
      </c>
      <c r="K16" s="133">
        <f>'ALIM-IMP'!G13</f>
        <v>15216</v>
      </c>
      <c r="L16" s="134">
        <f t="shared" si="0"/>
        <v>2054160</v>
      </c>
    </row>
    <row r="17" spans="1:12" ht="39.950000000000003" customHeight="1" thickBot="1" x14ac:dyDescent="0.25">
      <c r="A17" s="135">
        <v>6</v>
      </c>
      <c r="B17" s="129" t="str">
        <f>'ALIM-IMP'!B14</f>
        <v>2.1.1-6546.4</v>
      </c>
      <c r="C17" s="255" t="str">
        <f>'ALIM-IMP'!E14</f>
        <v>VERDURAS Y HORTALIZAS; VARIEDAD: TOMATE PERITA, ESTADO: TRITURADO, PRESENTACION: BOTELLA, PESO: 950 GR</v>
      </c>
      <c r="D17" s="255"/>
      <c r="E17" s="255"/>
      <c r="F17" s="255"/>
      <c r="G17" s="255"/>
      <c r="H17" s="130" t="s">
        <v>302</v>
      </c>
      <c r="I17" s="131" t="str">
        <f>'ALIM-IMP'!F14</f>
        <v>BOTELLA</v>
      </c>
      <c r="J17" s="132">
        <f>'ALIM-IMP'!H14</f>
        <v>300</v>
      </c>
      <c r="K17" s="133">
        <f>'ALIM-IMP'!G14</f>
        <v>13200</v>
      </c>
      <c r="L17" s="134">
        <f t="shared" si="0"/>
        <v>3960000</v>
      </c>
    </row>
    <row r="18" spans="1:12" ht="39.950000000000003" customHeight="1" thickBot="1" x14ac:dyDescent="0.25">
      <c r="A18" s="135">
        <v>7</v>
      </c>
      <c r="B18" s="129" t="str">
        <f>'ALIM-IMP'!B15</f>
        <v>2.1.1-6547.17</v>
      </c>
      <c r="C18" s="255" t="str">
        <f>'ALIM-IMP'!E15</f>
        <v>LEGUMBRES; VARIEDAD: ARVEJA, ESTADO: REMOJADO EN CONSERVA, PRESENTACION: LATA, PESO: 350 GR</v>
      </c>
      <c r="D18" s="255"/>
      <c r="E18" s="255"/>
      <c r="F18" s="255"/>
      <c r="G18" s="255"/>
      <c r="H18" s="130" t="s">
        <v>302</v>
      </c>
      <c r="I18" s="131" t="str">
        <f>'ALIM-IMP'!F15</f>
        <v>LATA</v>
      </c>
      <c r="J18" s="132">
        <f>'ALIM-IMP'!H15</f>
        <v>78</v>
      </c>
      <c r="K18" s="133">
        <f>'ALIM-IMP'!G15</f>
        <v>9948</v>
      </c>
      <c r="L18" s="134">
        <f t="shared" si="0"/>
        <v>775944</v>
      </c>
    </row>
    <row r="19" spans="1:12" ht="39.950000000000003" customHeight="1" thickBot="1" x14ac:dyDescent="0.25">
      <c r="A19" s="135">
        <v>8</v>
      </c>
      <c r="B19" s="129" t="str">
        <f>'ALIM-IMP'!B16</f>
        <v>2.1.1-439.67</v>
      </c>
      <c r="C19" s="255" t="str">
        <f>'ALIM-IMP'!E16</f>
        <v>ACEITES COMESTIBLES; TIPO: GIRASOL, PRESENTACION: ENVASE X 900 CM3, MATERIAL ENVASE: PLASTICO 1 (PET), ELEM. TRANSPORTE: SIN, MATERIAL ELEM. TRANSPORTE : SIN, LIBRE DE GLUTEN: NO</v>
      </c>
      <c r="D19" s="255"/>
      <c r="E19" s="255"/>
      <c r="F19" s="255"/>
      <c r="G19" s="255"/>
      <c r="H19" s="130" t="s">
        <v>302</v>
      </c>
      <c r="I19" s="131" t="str">
        <f>'ALIM-IMP'!F16</f>
        <v>BOTELLA</v>
      </c>
      <c r="J19" s="132">
        <f>'ALIM-IMP'!H16</f>
        <v>397</v>
      </c>
      <c r="K19" s="133">
        <f>'ALIM-IMP'!G16</f>
        <v>4644</v>
      </c>
      <c r="L19" s="134">
        <f t="shared" si="0"/>
        <v>1843668</v>
      </c>
    </row>
    <row r="20" spans="1:12" ht="39.950000000000003" customHeight="1" thickBot="1" x14ac:dyDescent="0.25">
      <c r="A20" s="135">
        <v>9</v>
      </c>
      <c r="B20" s="129" t="str">
        <f>'ALIM-IMP'!B17</f>
        <v>2.1.1-6546.46</v>
      </c>
      <c r="C20" s="255" t="str">
        <f>'ALIM-IMP'!E17</f>
        <v>VERDURAS Y HORTALIZAS; VARIEDAD: CEBOLLA, ESTADO: NATURAL, PRESENTACION: GRANEL, PESO: SIN VALOR</v>
      </c>
      <c r="D20" s="255"/>
      <c r="E20" s="255"/>
      <c r="F20" s="255"/>
      <c r="G20" s="255"/>
      <c r="H20" s="130" t="s">
        <v>302</v>
      </c>
      <c r="I20" s="131" t="str">
        <f>'ALIM-IMP'!F17</f>
        <v>KG</v>
      </c>
      <c r="J20" s="132">
        <f>'ALIM-IMP'!H17</f>
        <v>120</v>
      </c>
      <c r="K20" s="133">
        <f>'ALIM-IMP'!G17</f>
        <v>17844</v>
      </c>
      <c r="L20" s="134">
        <f t="shared" si="0"/>
        <v>2141280</v>
      </c>
    </row>
    <row r="21" spans="1:12" ht="39.950000000000003" customHeight="1" thickBot="1" x14ac:dyDescent="0.25">
      <c r="A21" s="135">
        <v>10</v>
      </c>
      <c r="B21" s="129" t="str">
        <f>'ALIM-IMP'!B18</f>
        <v>2.1.1-6546.100</v>
      </c>
      <c r="C21" s="255" t="str">
        <f>'ALIM-IMP'!E18</f>
        <v>VERDURAS Y HORTALIZAS; ESTADO: NATURAL, PRESENTACION: GRANEL, VARIEDAD: PAPA BLANCA, PESO: SIN VALOR</v>
      </c>
      <c r="D21" s="255"/>
      <c r="E21" s="255"/>
      <c r="F21" s="255"/>
      <c r="G21" s="255"/>
      <c r="H21" s="130" t="s">
        <v>302</v>
      </c>
      <c r="I21" s="131" t="str">
        <f>'ALIM-IMP'!F18</f>
        <v>KG</v>
      </c>
      <c r="J21" s="132">
        <f>'ALIM-IMP'!H18</f>
        <v>90</v>
      </c>
      <c r="K21" s="133">
        <f>'ALIM-IMP'!G18</f>
        <v>36348</v>
      </c>
      <c r="L21" s="134">
        <f t="shared" si="0"/>
        <v>3271320</v>
      </c>
    </row>
    <row r="22" spans="1:12" ht="39.950000000000003" customHeight="1" thickBot="1" x14ac:dyDescent="0.25">
      <c r="A22" s="135">
        <v>11</v>
      </c>
      <c r="B22" s="129" t="str">
        <f>'ALIM-IMP'!B19</f>
        <v>2.1.1-6546.403</v>
      </c>
      <c r="C22" s="255" t="str">
        <f>'ALIM-IMP'!E19</f>
        <v>VERDURAS Y HORTALIZAS; VARIEDAD: ZANAHORIA, ESTADO: NATURAL, PRESENTACION: BOLSA, PESO: NO CORRESPONDE, ELEM. TRANSPORTE: SIN, MATERIAL ELEM. TRANSPORTE: SIN, LIBRE DE GLUTEN: SI, ORGANICO: NO</v>
      </c>
      <c r="D22" s="255"/>
      <c r="E22" s="255"/>
      <c r="F22" s="255"/>
      <c r="G22" s="255"/>
      <c r="H22" s="130" t="s">
        <v>302</v>
      </c>
      <c r="I22" s="131" t="str">
        <f>'ALIM-IMP'!F19</f>
        <v>KG</v>
      </c>
      <c r="J22" s="132">
        <f>'ALIM-IMP'!H19</f>
        <v>180</v>
      </c>
      <c r="K22" s="133">
        <f>'ALIM-IMP'!G19</f>
        <v>5280</v>
      </c>
      <c r="L22" s="134">
        <f t="shared" si="0"/>
        <v>950400</v>
      </c>
    </row>
    <row r="23" spans="1:12" ht="39.950000000000003" customHeight="1" thickBot="1" x14ac:dyDescent="0.25">
      <c r="A23" s="135">
        <v>12</v>
      </c>
      <c r="B23" s="129" t="str">
        <f>'ALIM-IMP'!B20</f>
        <v>2.1.1-6546.95</v>
      </c>
      <c r="C23" s="255" t="str">
        <f>'ALIM-IMP'!E20</f>
        <v>VERDURAS Y HORTALIZAS; VARIEDAD: MORRON VERDE, ESTADO: NATURAL, PRESENTACION: GRANEL, PESO: SIN VALOR</v>
      </c>
      <c r="D23" s="255"/>
      <c r="E23" s="255"/>
      <c r="F23" s="255"/>
      <c r="G23" s="255"/>
      <c r="H23" s="130" t="s">
        <v>302</v>
      </c>
      <c r="I23" s="131" t="str">
        <f>'ALIM-IMP'!F20</f>
        <v>UNIDAD</v>
      </c>
      <c r="J23" s="132">
        <f>'ALIM-IMP'!H20</f>
        <v>120</v>
      </c>
      <c r="K23" s="133">
        <f>'ALIM-IMP'!G20</f>
        <v>19800</v>
      </c>
      <c r="L23" s="134">
        <f t="shared" si="0"/>
        <v>2376000</v>
      </c>
    </row>
    <row r="24" spans="1:12" ht="39.950000000000003" customHeight="1" thickBot="1" x14ac:dyDescent="0.25">
      <c r="A24" s="135">
        <v>13</v>
      </c>
      <c r="B24" s="129" t="str">
        <f>'ALIM-IMP'!B21</f>
        <v>2.1.1-6546.401</v>
      </c>
      <c r="C24" s="255" t="str">
        <f>'ALIM-IMP'!E21</f>
        <v>VERDURAS Y HORTALIZAS; VARIEDAD: AJO, ESTADO: NATURAL, PRESENTACION: UNIDAD, PESO: NO CORRESPONDE, ELEM. TRANSPORTE: SIN, MATERIAL ELEM. TRANSPORTE: SIN, LIBRE DE GLUTEN: SI, ORGANICO: NO</v>
      </c>
      <c r="D24" s="255"/>
      <c r="E24" s="255"/>
      <c r="F24" s="255"/>
      <c r="G24" s="255"/>
      <c r="H24" s="130" t="s">
        <v>302</v>
      </c>
      <c r="I24" s="131" t="str">
        <f>'ALIM-IMP'!F21</f>
        <v>CABEZA</v>
      </c>
      <c r="J24" s="132">
        <f>'ALIM-IMP'!H21</f>
        <v>90</v>
      </c>
      <c r="K24" s="133">
        <f>'ALIM-IMP'!G21</f>
        <v>4644</v>
      </c>
      <c r="L24" s="134">
        <f t="shared" si="0"/>
        <v>417960</v>
      </c>
    </row>
    <row r="25" spans="1:12" ht="39.950000000000003" customHeight="1" thickBot="1" x14ac:dyDescent="0.25">
      <c r="A25" s="135">
        <v>14</v>
      </c>
      <c r="B25" s="129" t="str">
        <f>'ALIM-IMP'!B22</f>
        <v>2.1.1-6546.47</v>
      </c>
      <c r="C25" s="255" t="str">
        <f>'ALIM-IMP'!E22</f>
        <v>VERDURAS Y HORTALIZAS; VARIEDAD: CEBOLLA DE VERDEO, ESTADO: NATURAL, PRESENTACION: GRANEL, PESO: SIN VALOR</v>
      </c>
      <c r="D25" s="255"/>
      <c r="E25" s="255"/>
      <c r="F25" s="255"/>
      <c r="G25" s="255"/>
      <c r="H25" s="130" t="s">
        <v>302</v>
      </c>
      <c r="I25" s="131" t="str">
        <f>'ALIM-IMP'!F22</f>
        <v>ATADO</v>
      </c>
      <c r="J25" s="132">
        <f>'ALIM-IMP'!H22</f>
        <v>140</v>
      </c>
      <c r="K25" s="133">
        <f>'ALIM-IMP'!G22</f>
        <v>6600</v>
      </c>
      <c r="L25" s="134">
        <f t="shared" si="0"/>
        <v>924000</v>
      </c>
    </row>
    <row r="26" spans="1:12" ht="39.950000000000003" customHeight="1" thickBot="1" x14ac:dyDescent="0.25">
      <c r="A26" s="135">
        <v>15</v>
      </c>
      <c r="B26" s="129" t="str">
        <f>'ALIM-IMP'!B23</f>
        <v>2.1.1-6546.162</v>
      </c>
      <c r="C26" s="255" t="str">
        <f>'ALIM-IMP'!E23</f>
        <v>VERDURAS Y HORTALIZAS; VARIEDAD: ZAPALLO CRIOLLO, ESTADO: NATURAL, PRESENTACION: UNIDAD, PESO: SIN VALOR</v>
      </c>
      <c r="D26" s="255"/>
      <c r="E26" s="255"/>
      <c r="F26" s="255"/>
      <c r="G26" s="255"/>
      <c r="H26" s="130" t="s">
        <v>302</v>
      </c>
      <c r="I26" s="131" t="str">
        <f>'ALIM-IMP'!F23</f>
        <v>KG</v>
      </c>
      <c r="J26" s="132">
        <f>'ALIM-IMP'!H23</f>
        <v>120</v>
      </c>
      <c r="K26" s="133">
        <f>'ALIM-IMP'!G23</f>
        <v>26400</v>
      </c>
      <c r="L26" s="134">
        <f t="shared" si="0"/>
        <v>3168000</v>
      </c>
    </row>
    <row r="27" spans="1:12" ht="39.950000000000003" customHeight="1" thickBot="1" x14ac:dyDescent="0.25">
      <c r="A27" s="135">
        <v>16</v>
      </c>
      <c r="B27" s="129" t="str">
        <f>'ALIM-IMP'!B24</f>
        <v>2.1.1-482.69</v>
      </c>
      <c r="C27" s="255" t="str">
        <f>'ALIM-IMP'!E24</f>
        <v>HARINAS; TIPO: MAIZ, PRESENTACION: ENVASE X 1 Kg, MATERIAL ENVASE: PAPEL, CERTICADO FORESTAL (GFS): SIN, ELEM. TRANSPORTE: SIN, MATERIAL ELEM. TRANSPORTE: SIN, LIBRE DE GLUTEN: NO</v>
      </c>
      <c r="D27" s="255"/>
      <c r="E27" s="255"/>
      <c r="F27" s="255"/>
      <c r="G27" s="255"/>
      <c r="H27" s="130" t="s">
        <v>302</v>
      </c>
      <c r="I27" s="131" t="str">
        <f>'ALIM-IMP'!F24</f>
        <v>PAQUETE</v>
      </c>
      <c r="J27" s="132">
        <f>'ALIM-IMP'!H24</f>
        <v>140</v>
      </c>
      <c r="K27" s="133">
        <f>'ALIM-IMP'!G24</f>
        <v>9948</v>
      </c>
      <c r="L27" s="134">
        <f t="shared" si="0"/>
        <v>1392720</v>
      </c>
    </row>
    <row r="28" spans="1:12" ht="39.950000000000003" customHeight="1" thickBot="1" x14ac:dyDescent="0.25">
      <c r="A28" s="135">
        <v>17</v>
      </c>
      <c r="B28" s="129" t="str">
        <f>'ALIM-IMP'!B25</f>
        <v>2.1.1-541.7</v>
      </c>
      <c r="C28" s="255" t="str">
        <f>'ALIM-IMP'!E25</f>
        <v>CARNES; ESPECIE: VACUNA, CORTE: PICADA ESPECIAL, TIPO: VACUNA</v>
      </c>
      <c r="D28" s="255"/>
      <c r="E28" s="255"/>
      <c r="F28" s="255"/>
      <c r="G28" s="255"/>
      <c r="H28" s="130" t="s">
        <v>302</v>
      </c>
      <c r="I28" s="131" t="str">
        <f>'ALIM-IMP'!F25</f>
        <v>KG</v>
      </c>
      <c r="J28" s="132">
        <f>'ALIM-IMP'!H25</f>
        <v>1275</v>
      </c>
      <c r="K28" s="133">
        <f>'ALIM-IMP'!G25</f>
        <v>17160</v>
      </c>
      <c r="L28" s="134">
        <f t="shared" si="0"/>
        <v>21879000</v>
      </c>
    </row>
    <row r="29" spans="1:12" ht="39.950000000000003" customHeight="1" thickBot="1" x14ac:dyDescent="0.25">
      <c r="A29" s="135">
        <v>18</v>
      </c>
      <c r="B29" s="129" t="str">
        <f>'ALIM-IMP'!B26</f>
        <v>2.1.1-541.49</v>
      </c>
      <c r="C29" s="255" t="str">
        <f>'ALIM-IMP'!E26</f>
        <v>CARNES; ESPECIE: VACUNA, CORTE: NALGA, TIPO: VACUNA</v>
      </c>
      <c r="D29" s="255"/>
      <c r="E29" s="255"/>
      <c r="F29" s="255"/>
      <c r="G29" s="255"/>
      <c r="H29" s="130" t="s">
        <v>302</v>
      </c>
      <c r="I29" s="131" t="str">
        <f>'ALIM-IMP'!F26</f>
        <v>KG</v>
      </c>
      <c r="J29" s="132">
        <f>'ALIM-IMP'!H26</f>
        <v>1875</v>
      </c>
      <c r="K29" s="133">
        <f>'ALIM-IMP'!G26</f>
        <v>6600</v>
      </c>
      <c r="L29" s="134">
        <f t="shared" si="0"/>
        <v>12375000</v>
      </c>
    </row>
    <row r="30" spans="1:12" ht="39.950000000000003" customHeight="1" thickBot="1" x14ac:dyDescent="0.25">
      <c r="A30" s="135">
        <v>19</v>
      </c>
      <c r="B30" s="129" t="str">
        <f>'ALIM-IMP'!B27</f>
        <v>2.1.1-621.3</v>
      </c>
      <c r="C30" s="255" t="str">
        <f>'ALIM-IMP'!E27</f>
        <v>AVES; PRESENTACION: TROZADO SIN PIEL, ESPECIE: POLLO, EVISCERADO: SIN VALOR, TIPO: POLLO</v>
      </c>
      <c r="D30" s="255"/>
      <c r="E30" s="255"/>
      <c r="F30" s="255"/>
      <c r="G30" s="255"/>
      <c r="H30" s="130" t="s">
        <v>302</v>
      </c>
      <c r="I30" s="131" t="str">
        <f>'ALIM-IMP'!F27</f>
        <v>KG</v>
      </c>
      <c r="J30" s="132">
        <f>'ALIM-IMP'!H27</f>
        <v>480</v>
      </c>
      <c r="K30" s="133">
        <f>'ALIM-IMP'!G27</f>
        <v>16548</v>
      </c>
      <c r="L30" s="134">
        <f t="shared" si="0"/>
        <v>7943040</v>
      </c>
    </row>
    <row r="31" spans="1:12" ht="39.950000000000003" customHeight="1" thickBot="1" x14ac:dyDescent="0.25">
      <c r="A31" s="135">
        <v>20</v>
      </c>
      <c r="B31" s="129" t="str">
        <f>'ALIM-IMP'!B28</f>
        <v>2.1.1-669.35</v>
      </c>
      <c r="C31" s="255" t="str">
        <f>'ALIM-IMP'!E28</f>
        <v>PANES; TIPO: FRANCES, PRESENTACION: GRANEL</v>
      </c>
      <c r="D31" s="255"/>
      <c r="E31" s="255"/>
      <c r="F31" s="255"/>
      <c r="G31" s="255"/>
      <c r="H31" s="130" t="s">
        <v>302</v>
      </c>
      <c r="I31" s="131" t="str">
        <f>'ALIM-IMP'!F28</f>
        <v>KG</v>
      </c>
      <c r="J31" s="132">
        <f>'ALIM-IMP'!H28</f>
        <v>280</v>
      </c>
      <c r="K31" s="133">
        <f>'ALIM-IMP'!G28</f>
        <v>39600</v>
      </c>
      <c r="L31" s="134">
        <f t="shared" si="0"/>
        <v>11088000</v>
      </c>
    </row>
    <row r="32" spans="1:12" ht="39.950000000000003" customHeight="1" thickBot="1" x14ac:dyDescent="0.25">
      <c r="A32" s="135">
        <v>21</v>
      </c>
      <c r="B32" s="129" t="str">
        <f>'ALIM-IMP'!B29</f>
        <v>2.1.1-489.132</v>
      </c>
      <c r="C32" s="255" t="str">
        <f>'ALIM-IMP'!E29</f>
        <v>ESPECIAS; TIPO: PIMIENTA BLANCA, PRESENTACION: ENVASE X 1 Kg</v>
      </c>
      <c r="D32" s="255"/>
      <c r="E32" s="255"/>
      <c r="F32" s="255"/>
      <c r="G32" s="255"/>
      <c r="H32" s="130" t="s">
        <v>302</v>
      </c>
      <c r="I32" s="131" t="str">
        <f>'ALIM-IMP'!F29</f>
        <v>BOLSA</v>
      </c>
      <c r="J32" s="132">
        <f>'ALIM-IMP'!H29</f>
        <v>840</v>
      </c>
      <c r="K32" s="133">
        <f>'ALIM-IMP'!G29</f>
        <v>102</v>
      </c>
      <c r="L32" s="134">
        <f t="shared" si="0"/>
        <v>85680</v>
      </c>
    </row>
    <row r="33" spans="1:12" ht="39.950000000000003" customHeight="1" thickBot="1" x14ac:dyDescent="0.25">
      <c r="A33" s="135">
        <v>22</v>
      </c>
      <c r="B33" s="129" t="str">
        <f>'ALIM-IMP'!B30</f>
        <v>2.1.1-489.66</v>
      </c>
      <c r="C33" s="255" t="str">
        <f>'ALIM-IMP'!E30</f>
        <v>ESPECIAS; TIPO: OREGANO, PRESENTACION: BOLSA DE 1 Kg</v>
      </c>
      <c r="D33" s="255"/>
      <c r="E33" s="255"/>
      <c r="F33" s="255"/>
      <c r="G33" s="255"/>
      <c r="H33" s="130" t="s">
        <v>302</v>
      </c>
      <c r="I33" s="131" t="str">
        <f>'ALIM-IMP'!F30</f>
        <v>BOLSA</v>
      </c>
      <c r="J33" s="132">
        <f>'ALIM-IMP'!H30</f>
        <v>900</v>
      </c>
      <c r="K33" s="133">
        <f>'ALIM-IMP'!G30</f>
        <v>102</v>
      </c>
      <c r="L33" s="134">
        <f t="shared" si="0"/>
        <v>91800</v>
      </c>
    </row>
    <row r="34" spans="1:12" ht="39.950000000000003" customHeight="1" thickBot="1" x14ac:dyDescent="0.25">
      <c r="A34" s="135">
        <v>23</v>
      </c>
      <c r="B34" s="129" t="str">
        <f>'ALIM-IMP'!B31</f>
        <v>2.1.1-489.67</v>
      </c>
      <c r="C34" s="255" t="str">
        <f>'ALIM-IMP'!E31</f>
        <v>ESPECIAS; TIPO: PIMENTON, PRESENTACION: BOLSA DE 1 Kg</v>
      </c>
      <c r="D34" s="255"/>
      <c r="E34" s="255"/>
      <c r="F34" s="255"/>
      <c r="G34" s="255"/>
      <c r="H34" s="130" t="s">
        <v>302</v>
      </c>
      <c r="I34" s="131" t="str">
        <f>'ALIM-IMP'!F31</f>
        <v>BOLSA</v>
      </c>
      <c r="J34" s="132">
        <f>'ALIM-IMP'!H31</f>
        <v>750</v>
      </c>
      <c r="K34" s="133">
        <f>'ALIM-IMP'!G31</f>
        <v>102</v>
      </c>
      <c r="L34" s="134">
        <f t="shared" si="0"/>
        <v>76500</v>
      </c>
    </row>
    <row r="35" spans="1:12" ht="39.950000000000003" customHeight="1" thickBot="1" x14ac:dyDescent="0.25">
      <c r="A35" s="135">
        <v>24</v>
      </c>
      <c r="B35" s="129" t="str">
        <f>'ALIM-IMP'!B32</f>
        <v>2.1.1-489.109</v>
      </c>
      <c r="C35" s="255" t="str">
        <f>'ALIM-IMP'!E32</f>
        <v>ESPECIAS; TIPO: PROVENZAL, PRESENTACION: PAQUETE X 1 Kg</v>
      </c>
      <c r="D35" s="255"/>
      <c r="E35" s="255"/>
      <c r="F35" s="255"/>
      <c r="G35" s="255"/>
      <c r="H35" s="130" t="s">
        <v>302</v>
      </c>
      <c r="I35" s="131" t="str">
        <f>'ALIM-IMP'!F32</f>
        <v>PAQUETE</v>
      </c>
      <c r="J35" s="132">
        <f>'ALIM-IMP'!H32</f>
        <v>900</v>
      </c>
      <c r="K35" s="133">
        <f>'ALIM-IMP'!G32</f>
        <v>102</v>
      </c>
      <c r="L35" s="134">
        <f t="shared" si="0"/>
        <v>91800</v>
      </c>
    </row>
    <row r="36" spans="1:12" ht="39.950000000000003" customHeight="1" thickBot="1" x14ac:dyDescent="0.25">
      <c r="A36" s="135">
        <v>25</v>
      </c>
      <c r="B36" s="129" t="str">
        <f>'ALIM-IMP'!B33</f>
        <v>2.1.1-514.2</v>
      </c>
      <c r="C36" s="255" t="str">
        <f>'ALIM-IMP'!E33</f>
        <v>SAL DE MESA; CONSISTENCIA: FINA, PESO: 500 GR, TIPO: SIN VALOR, ENVASE: PAQUETE</v>
      </c>
      <c r="D36" s="255"/>
      <c r="E36" s="255"/>
      <c r="F36" s="255"/>
      <c r="G36" s="255"/>
      <c r="H36" s="130" t="s">
        <v>302</v>
      </c>
      <c r="I36" s="131" t="str">
        <f>'ALIM-IMP'!F33</f>
        <v>PAQUETE</v>
      </c>
      <c r="J36" s="132">
        <f>'ALIM-IMP'!H33</f>
        <v>63</v>
      </c>
      <c r="K36" s="133">
        <f>'ALIM-IMP'!G33</f>
        <v>1320</v>
      </c>
      <c r="L36" s="134">
        <f t="shared" si="0"/>
        <v>83160</v>
      </c>
    </row>
    <row r="37" spans="1:12" ht="39.950000000000003" customHeight="1" thickBot="1" x14ac:dyDescent="0.25">
      <c r="A37" s="135">
        <v>26</v>
      </c>
      <c r="B37" s="129" t="str">
        <f>'ALIM-IMP'!B34</f>
        <v>2.1.1-514.15</v>
      </c>
      <c r="C37" s="255" t="str">
        <f>'ALIM-IMP'!E34</f>
        <v>SAL DE MESA; CONSISTENCIA: GRUESA, ENVASE: BOLSA, PESO: 1 Kg, TIPO: SIN VALOR</v>
      </c>
      <c r="D37" s="255"/>
      <c r="E37" s="255"/>
      <c r="F37" s="255"/>
      <c r="G37" s="255"/>
      <c r="H37" s="130" t="s">
        <v>302</v>
      </c>
      <c r="I37" s="131" t="str">
        <f>'ALIM-IMP'!F34</f>
        <v>BOLSA</v>
      </c>
      <c r="J37" s="132">
        <f>'ALIM-IMP'!H34</f>
        <v>126</v>
      </c>
      <c r="K37" s="133">
        <f>'ALIM-IMP'!G34</f>
        <v>684</v>
      </c>
      <c r="L37" s="134">
        <f t="shared" si="0"/>
        <v>86184</v>
      </c>
    </row>
    <row r="38" spans="1:12" ht="39.950000000000003" customHeight="1" thickBot="1" x14ac:dyDescent="0.25">
      <c r="A38" s="135">
        <v>27</v>
      </c>
      <c r="B38" s="129" t="str">
        <f>'ALIM-IMP'!B35</f>
        <v>2.1.1-6539.8</v>
      </c>
      <c r="C38" s="255" t="str">
        <f>'ALIM-IMP'!E35</f>
        <v>FRUTAS; VARIEDAD: NARANJA ESPECIAL, ESTADO: NATURAL, PRESENTACION: CAJON, PESO: SIN VALOR</v>
      </c>
      <c r="D38" s="255"/>
      <c r="E38" s="255"/>
      <c r="F38" s="255"/>
      <c r="G38" s="255"/>
      <c r="H38" s="130" t="s">
        <v>302</v>
      </c>
      <c r="I38" s="131" t="str">
        <f>'ALIM-IMP'!F35</f>
        <v>CAJON</v>
      </c>
      <c r="J38" s="132">
        <f>'ALIM-IMP'!H35</f>
        <v>3000</v>
      </c>
      <c r="K38" s="133">
        <f>'ALIM-IMP'!G35</f>
        <v>390</v>
      </c>
      <c r="L38" s="134">
        <f t="shared" si="0"/>
        <v>1170000</v>
      </c>
    </row>
    <row r="39" spans="1:12" ht="39.950000000000003" customHeight="1" thickBot="1" x14ac:dyDescent="0.25">
      <c r="A39" s="135">
        <v>28</v>
      </c>
      <c r="B39" s="129" t="str">
        <f>'ALIM-IMP'!B36</f>
        <v>2.1.1-6539.19</v>
      </c>
      <c r="C39" s="255" t="str">
        <f>'ALIM-IMP'!E36</f>
        <v>FRUTAS; ESTADO: NATURAL, VARIEDAD: MANZANA RED ELEGIDA, PRESENTACION: CAJON, PESO: SIN VALOR</v>
      </c>
      <c r="D39" s="255"/>
      <c r="E39" s="255"/>
      <c r="F39" s="255"/>
      <c r="G39" s="255"/>
      <c r="H39" s="130" t="s">
        <v>302</v>
      </c>
      <c r="I39" s="131" t="str">
        <f>'ALIM-IMP'!F36</f>
        <v>CAJON</v>
      </c>
      <c r="J39" s="132">
        <f>'ALIM-IMP'!H36</f>
        <v>8250</v>
      </c>
      <c r="K39" s="133">
        <f>'ALIM-IMP'!G36</f>
        <v>342</v>
      </c>
      <c r="L39" s="134">
        <f t="shared" si="0"/>
        <v>2821500</v>
      </c>
    </row>
    <row r="40" spans="1:12" ht="39.950000000000003" customHeight="1" thickBot="1" x14ac:dyDescent="0.25">
      <c r="A40" s="135">
        <v>29</v>
      </c>
      <c r="B40" s="129" t="str">
        <f>'ALIM-IMP'!B37</f>
        <v>2.1.1-6539.30</v>
      </c>
      <c r="C40" s="255" t="str">
        <f>'ALIM-IMP'!E37</f>
        <v>FRUTAS; VARIEDAD: BANANA, PRESENTACION: CAJON, ESTADO: NATURAL, PESO: SIN VALOR</v>
      </c>
      <c r="D40" s="255"/>
      <c r="E40" s="255"/>
      <c r="F40" s="255"/>
      <c r="G40" s="255"/>
      <c r="H40" s="130" t="s">
        <v>302</v>
      </c>
      <c r="I40" s="131" t="str">
        <f>'ALIM-IMP'!F37</f>
        <v>CAJON</v>
      </c>
      <c r="J40" s="132">
        <f>'ALIM-IMP'!H37</f>
        <v>9000</v>
      </c>
      <c r="K40" s="133">
        <f>'ALIM-IMP'!G37</f>
        <v>342</v>
      </c>
      <c r="L40" s="134">
        <f t="shared" si="0"/>
        <v>3078000</v>
      </c>
    </row>
    <row r="41" spans="1:12" ht="39.950000000000003" customHeight="1" thickBot="1" x14ac:dyDescent="0.25">
      <c r="A41" s="135">
        <v>30</v>
      </c>
      <c r="B41" s="129" t="str">
        <f>'ALIM-IMP'!B38</f>
        <v>2.1.1-6539.32</v>
      </c>
      <c r="C41" s="255" t="str">
        <f>'ALIM-IMP'!E38</f>
        <v>FRUTAS; VARIEDAD: PERA AMARILLA, ESTADO: NATURAL, PRESENTACION: CAJON, PESO: SIN VALOR</v>
      </c>
      <c r="D41" s="255"/>
      <c r="E41" s="255"/>
      <c r="F41" s="255"/>
      <c r="G41" s="255"/>
      <c r="H41" s="130" t="s">
        <v>302</v>
      </c>
      <c r="I41" s="131" t="str">
        <f>'ALIM-IMP'!F38</f>
        <v>CAJON</v>
      </c>
      <c r="J41" s="136">
        <f>'ALIM-IMP'!H38</f>
        <v>6750</v>
      </c>
      <c r="K41" s="137">
        <f>'ALIM-IMP'!G38</f>
        <v>336</v>
      </c>
      <c r="L41" s="138">
        <f t="shared" si="0"/>
        <v>2268000</v>
      </c>
    </row>
    <row r="42" spans="1:12" ht="39.950000000000003" customHeight="1" thickBot="1" x14ac:dyDescent="0.25">
      <c r="A42" s="135">
        <v>31</v>
      </c>
      <c r="B42" s="129" t="str">
        <f>'ALIM-IMP'!B39</f>
        <v>2.1.1-669.25</v>
      </c>
      <c r="C42" s="255" t="str">
        <f>'ALIM-IMP'!E39</f>
        <v>PANES; TIPO: RALLADO, PRESENTACION: BOLSA DE 1000 GR</v>
      </c>
      <c r="D42" s="255"/>
      <c r="E42" s="255"/>
      <c r="F42" s="255"/>
      <c r="G42" s="255"/>
      <c r="H42" s="130" t="s">
        <v>302</v>
      </c>
      <c r="I42" s="131" t="str">
        <f>'ALIM-IMP'!F39</f>
        <v>BOLSA</v>
      </c>
      <c r="J42" s="136">
        <f>'ALIM-IMP'!H39</f>
        <v>278</v>
      </c>
      <c r="K42" s="137">
        <f>'ALIM-IMP'!G39</f>
        <v>3348</v>
      </c>
      <c r="L42" s="138">
        <f t="shared" si="0"/>
        <v>930744</v>
      </c>
    </row>
    <row r="43" spans="1:12" ht="39.950000000000003" customHeight="1" thickBot="1" x14ac:dyDescent="0.25">
      <c r="A43" s="135">
        <v>32</v>
      </c>
      <c r="B43" s="129" t="str">
        <f>'ALIM-IMP'!B40</f>
        <v>2.1.1-2616.6</v>
      </c>
      <c r="C43" s="255" t="str">
        <f>'ALIM-IMP'!E40</f>
        <v>MAIZ; TIPO: BLANCO, PRESENTACION: PAQUETE X 1 Kg, FORMA DE PRESENTACION: PISADO</v>
      </c>
      <c r="D43" s="255"/>
      <c r="E43" s="255"/>
      <c r="F43" s="255"/>
      <c r="G43" s="255"/>
      <c r="H43" s="130" t="s">
        <v>302</v>
      </c>
      <c r="I43" s="131" t="str">
        <f>'ALIM-IMP'!F40</f>
        <v>PAQUETE</v>
      </c>
      <c r="J43" s="136">
        <f>'ALIM-IMP'!H40</f>
        <v>343</v>
      </c>
      <c r="K43" s="137">
        <f>'ALIM-IMP'!G40</f>
        <v>6600</v>
      </c>
      <c r="L43" s="138">
        <f t="shared" si="0"/>
        <v>2263800</v>
      </c>
    </row>
    <row r="44" spans="1:12" ht="39.950000000000003" customHeight="1" thickBot="1" x14ac:dyDescent="0.25">
      <c r="A44" s="135">
        <v>33</v>
      </c>
      <c r="B44" s="129" t="str">
        <f>'ALIM-IMP'!B41</f>
        <v>2.1.1-2431.13</v>
      </c>
      <c r="C44" s="255" t="str">
        <f>'ALIM-IMP'!E41</f>
        <v>CALDOS; GUSTO: VERDURA, TIPO: DESHIDRATADO, PRESENTACION: ENVASE X 12 UN</v>
      </c>
      <c r="D44" s="255"/>
      <c r="E44" s="255"/>
      <c r="F44" s="255"/>
      <c r="G44" s="255"/>
      <c r="H44" s="130" t="s">
        <v>302</v>
      </c>
      <c r="I44" s="131" t="str">
        <f>'ALIM-IMP'!F41</f>
        <v>CAJA</v>
      </c>
      <c r="J44" s="136">
        <f>'ALIM-IMP'!H41</f>
        <v>170</v>
      </c>
      <c r="K44" s="137">
        <f>'ALIM-IMP'!G41</f>
        <v>1320</v>
      </c>
      <c r="L44" s="138">
        <f t="shared" si="0"/>
        <v>224400</v>
      </c>
    </row>
    <row r="45" spans="1:12" ht="39.950000000000003" customHeight="1" thickBot="1" x14ac:dyDescent="0.25">
      <c r="A45" s="135">
        <v>34</v>
      </c>
      <c r="B45" s="129" t="str">
        <f>'ALIM-IMP'!B42</f>
        <v>2.1.1-6546.132</v>
      </c>
      <c r="C45" s="255" t="str">
        <f>'ALIM-IMP'!E42</f>
        <v>VERDURAS Y HORTALIZAS; VARIEDAD: PEREJIL, ESTADO: NATURAL, PRESENTACION: GRANEL, PESO: SIN VALOR</v>
      </c>
      <c r="D45" s="255"/>
      <c r="E45" s="255"/>
      <c r="F45" s="255"/>
      <c r="G45" s="255"/>
      <c r="H45" s="130" t="s">
        <v>302</v>
      </c>
      <c r="I45" s="131" t="str">
        <f>'ALIM-IMP'!F42</f>
        <v>ATADO</v>
      </c>
      <c r="J45" s="136">
        <f>'ALIM-IMP'!H42</f>
        <v>90</v>
      </c>
      <c r="K45" s="137">
        <f>'ALIM-IMP'!G42</f>
        <v>2640</v>
      </c>
      <c r="L45" s="138">
        <f t="shared" si="0"/>
        <v>237600</v>
      </c>
    </row>
    <row r="46" spans="1:12" ht="30" customHeight="1" thickBot="1" x14ac:dyDescent="0.25">
      <c r="A46" s="251" t="s">
        <v>336</v>
      </c>
      <c r="B46" s="251"/>
      <c r="C46" s="251"/>
      <c r="D46" s="251"/>
      <c r="E46" s="251"/>
      <c r="F46" s="251"/>
      <c r="G46" s="251"/>
      <c r="H46" s="251"/>
      <c r="I46" s="251"/>
      <c r="J46" s="252">
        <f>SUM(L12:L45)</f>
        <v>94431564</v>
      </c>
      <c r="K46" s="253"/>
      <c r="L46" s="254"/>
    </row>
  </sheetData>
  <mergeCells count="57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5:G15"/>
    <mergeCell ref="A10:A11"/>
    <mergeCell ref="B10:B11"/>
    <mergeCell ref="C10:G11"/>
    <mergeCell ref="H10:H11"/>
    <mergeCell ref="K10:K11"/>
    <mergeCell ref="L10:L11"/>
    <mergeCell ref="C12:G12"/>
    <mergeCell ref="C13:G13"/>
    <mergeCell ref="C14:G14"/>
    <mergeCell ref="I10:I11"/>
    <mergeCell ref="J10:J11"/>
    <mergeCell ref="C27:G27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39:G39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A46:I46"/>
    <mergeCell ref="J46:L46"/>
    <mergeCell ref="C40:G40"/>
    <mergeCell ref="C41:G41"/>
    <mergeCell ref="C42:G42"/>
    <mergeCell ref="C43:G43"/>
    <mergeCell ref="C44:G44"/>
    <mergeCell ref="C45:G45"/>
  </mergeCells>
  <printOptions horizontalCentered="1"/>
  <pageMargins left="0.2" right="0.19685039370078741" top="0.23622047244094491" bottom="0.27559055118110237" header="0.19685039370078741" footer="0.15748031496062992"/>
  <pageSetup paperSize="7" scale="65" firstPageNumber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56"/>
  <sheetViews>
    <sheetView workbookViewId="0">
      <selection activeCell="E7" sqref="E7"/>
    </sheetView>
  </sheetViews>
  <sheetFormatPr baseColWidth="10" defaultColWidth="11" defaultRowHeight="12.75" x14ac:dyDescent="0.2"/>
  <cols>
    <col min="1" max="1" width="4.5703125" style="1" customWidth="1"/>
    <col min="2" max="2" width="19.85546875" style="1" customWidth="1"/>
    <col min="3" max="3" width="32.42578125" style="1" customWidth="1"/>
    <col min="4" max="4" width="10.42578125" style="1" customWidth="1"/>
    <col min="5" max="5" width="68.8554687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208" t="s">
        <v>0</v>
      </c>
      <c r="C2" s="208"/>
      <c r="D2" s="208"/>
      <c r="E2" s="208"/>
      <c r="F2" s="208"/>
      <c r="G2" s="208"/>
      <c r="H2" s="208"/>
    </row>
    <row r="4" spans="1:9" ht="18" customHeight="1" x14ac:dyDescent="0.25">
      <c r="A4" s="209" t="s">
        <v>1</v>
      </c>
      <c r="B4" s="209"/>
      <c r="C4" s="210" t="s">
        <v>27</v>
      </c>
      <c r="D4" s="210"/>
      <c r="E4" s="210"/>
      <c r="F4" s="2"/>
      <c r="G4" s="3"/>
      <c r="H4" s="2"/>
    </row>
    <row r="5" spans="1:9" ht="18" customHeight="1" x14ac:dyDescent="0.25">
      <c r="A5" s="209" t="s">
        <v>2</v>
      </c>
      <c r="B5" s="209"/>
      <c r="C5" s="210" t="s">
        <v>23</v>
      </c>
      <c r="D5" s="210"/>
      <c r="E5" s="210"/>
      <c r="F5" s="2"/>
      <c r="G5" s="3"/>
      <c r="H5" s="2"/>
    </row>
    <row r="6" spans="1:9" ht="16.5" customHeight="1" x14ac:dyDescent="0.25">
      <c r="A6" s="209" t="s">
        <v>3</v>
      </c>
      <c r="B6" s="209"/>
      <c r="C6" s="20">
        <v>2021</v>
      </c>
      <c r="D6" s="21"/>
      <c r="E6" s="21"/>
      <c r="F6" s="2"/>
      <c r="G6" s="3"/>
      <c r="H6" s="2"/>
    </row>
    <row r="7" spans="1:9" ht="16.5" customHeight="1" x14ac:dyDescent="0.25">
      <c r="A7" s="209" t="s">
        <v>4</v>
      </c>
      <c r="B7" s="209"/>
      <c r="C7" s="20">
        <v>3</v>
      </c>
      <c r="D7" s="21"/>
      <c r="E7" s="21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23" t="s">
        <v>5</v>
      </c>
      <c r="B9" s="32" t="s">
        <v>6</v>
      </c>
      <c r="C9" s="32" t="s">
        <v>7</v>
      </c>
      <c r="D9" s="28" t="s">
        <v>8</v>
      </c>
      <c r="E9" s="32" t="s">
        <v>9</v>
      </c>
      <c r="F9" s="24" t="s">
        <v>10</v>
      </c>
      <c r="G9" s="25" t="s">
        <v>11</v>
      </c>
      <c r="H9" s="25" t="s">
        <v>12</v>
      </c>
      <c r="I9" s="26" t="s">
        <v>13</v>
      </c>
    </row>
    <row r="10" spans="1:9" ht="13.5" thickBot="1" x14ac:dyDescent="0.25">
      <c r="A10" s="33">
        <v>1</v>
      </c>
      <c r="B10" s="34" t="s">
        <v>67</v>
      </c>
      <c r="C10" s="35" t="s">
        <v>68</v>
      </c>
      <c r="D10" s="36" t="s">
        <v>69</v>
      </c>
      <c r="E10" s="35" t="s">
        <v>70</v>
      </c>
      <c r="F10" s="37" t="s">
        <v>14</v>
      </c>
      <c r="G10" s="116">
        <v>816</v>
      </c>
      <c r="H10" s="115">
        <v>800</v>
      </c>
      <c r="I10" s="110">
        <f>G10*H10</f>
        <v>652800</v>
      </c>
    </row>
    <row r="11" spans="1:9" ht="13.5" thickBot="1" x14ac:dyDescent="0.25">
      <c r="A11" s="33">
        <v>2</v>
      </c>
      <c r="B11" s="113" t="s">
        <v>274</v>
      </c>
      <c r="C11" s="35" t="s">
        <v>68</v>
      </c>
      <c r="D11" s="36" t="s">
        <v>69</v>
      </c>
      <c r="E11" s="114" t="s">
        <v>275</v>
      </c>
      <c r="F11" s="37" t="s">
        <v>14</v>
      </c>
      <c r="G11" s="37">
        <v>27</v>
      </c>
      <c r="H11" s="115">
        <v>8200</v>
      </c>
      <c r="I11" s="110">
        <f>G11*H11</f>
        <v>221400</v>
      </c>
    </row>
    <row r="12" spans="1:9" ht="13.5" thickBot="1" x14ac:dyDescent="0.25">
      <c r="I12" s="111">
        <f>SUM(I10:I11)</f>
        <v>874200</v>
      </c>
    </row>
    <row r="13" spans="1:9" x14ac:dyDescent="0.2">
      <c r="B13" s="7" t="s">
        <v>15</v>
      </c>
      <c r="C13" s="8"/>
      <c r="D13" s="8"/>
      <c r="E13" s="9"/>
    </row>
    <row r="14" spans="1:9" ht="5.25" customHeight="1" x14ac:dyDescent="0.2">
      <c r="B14" s="10"/>
      <c r="C14" s="11"/>
      <c r="D14" s="11"/>
      <c r="E14" s="12"/>
    </row>
    <row r="15" spans="1:9" x14ac:dyDescent="0.2">
      <c r="B15" s="13" t="s">
        <v>16</v>
      </c>
      <c r="C15" s="11"/>
      <c r="D15" s="11"/>
      <c r="E15" s="12"/>
    </row>
    <row r="16" spans="1:9" ht="25.5" customHeight="1" x14ac:dyDescent="0.2">
      <c r="B16" s="216" t="s">
        <v>82</v>
      </c>
      <c r="C16" s="217"/>
      <c r="D16" s="217"/>
      <c r="E16" s="218"/>
    </row>
    <row r="17" spans="2:5" ht="13.5" thickBot="1" x14ac:dyDescent="0.25">
      <c r="B17" s="13" t="s">
        <v>17</v>
      </c>
      <c r="C17" s="11"/>
      <c r="D17" s="11"/>
      <c r="E17" s="12"/>
    </row>
    <row r="18" spans="2:5" ht="13.5" thickBot="1" x14ac:dyDescent="0.25">
      <c r="B18" s="211" t="s">
        <v>98</v>
      </c>
      <c r="C18" s="215"/>
      <c r="D18" s="215"/>
      <c r="E18" s="212"/>
    </row>
    <row r="19" spans="2:5" x14ac:dyDescent="0.2">
      <c r="B19" s="268" t="s">
        <v>99</v>
      </c>
      <c r="C19" s="269"/>
      <c r="D19" s="97" t="s">
        <v>11</v>
      </c>
      <c r="E19" s="97" t="s">
        <v>100</v>
      </c>
    </row>
    <row r="20" spans="2:5" x14ac:dyDescent="0.2">
      <c r="B20" s="267" t="s">
        <v>256</v>
      </c>
      <c r="C20" s="267"/>
      <c r="D20" s="98">
        <v>2</v>
      </c>
      <c r="E20" s="99" t="s">
        <v>255</v>
      </c>
    </row>
    <row r="21" spans="2:5" x14ac:dyDescent="0.2">
      <c r="B21" s="267" t="s">
        <v>257</v>
      </c>
      <c r="C21" s="267"/>
      <c r="D21" s="98">
        <v>2</v>
      </c>
      <c r="E21" s="99" t="s">
        <v>207</v>
      </c>
    </row>
    <row r="22" spans="2:5" x14ac:dyDescent="0.2">
      <c r="B22" s="267" t="s">
        <v>259</v>
      </c>
      <c r="C22" s="267"/>
      <c r="D22" s="98">
        <v>2</v>
      </c>
      <c r="E22" s="99" t="s">
        <v>208</v>
      </c>
    </row>
    <row r="23" spans="2:5" x14ac:dyDescent="0.2">
      <c r="B23" s="267" t="s">
        <v>258</v>
      </c>
      <c r="C23" s="267"/>
      <c r="D23" s="98">
        <v>2</v>
      </c>
      <c r="E23" s="99" t="s">
        <v>209</v>
      </c>
    </row>
    <row r="24" spans="2:5" x14ac:dyDescent="0.2">
      <c r="B24" s="267" t="s">
        <v>253</v>
      </c>
      <c r="C24" s="267"/>
      <c r="D24" s="98">
        <v>2</v>
      </c>
      <c r="E24" s="99" t="s">
        <v>254</v>
      </c>
    </row>
    <row r="25" spans="2:5" x14ac:dyDescent="0.2">
      <c r="B25" s="267" t="s">
        <v>210</v>
      </c>
      <c r="C25" s="267"/>
      <c r="D25" s="98">
        <v>2</v>
      </c>
      <c r="E25" s="99" t="s">
        <v>211</v>
      </c>
    </row>
    <row r="26" spans="2:5" x14ac:dyDescent="0.2">
      <c r="B26" s="267" t="s">
        <v>214</v>
      </c>
      <c r="C26" s="267"/>
      <c r="D26" s="98">
        <v>2</v>
      </c>
      <c r="E26" s="99" t="s">
        <v>215</v>
      </c>
    </row>
    <row r="27" spans="2:5" x14ac:dyDescent="0.2">
      <c r="B27" s="267" t="s">
        <v>216</v>
      </c>
      <c r="C27" s="267"/>
      <c r="D27" s="98">
        <v>2</v>
      </c>
      <c r="E27" s="99" t="s">
        <v>217</v>
      </c>
    </row>
    <row r="28" spans="2:5" x14ac:dyDescent="0.2">
      <c r="B28" s="267" t="s">
        <v>260</v>
      </c>
      <c r="C28" s="267"/>
      <c r="D28" s="98">
        <v>2</v>
      </c>
      <c r="E28" s="99" t="s">
        <v>218</v>
      </c>
    </row>
    <row r="29" spans="2:5" x14ac:dyDescent="0.2">
      <c r="B29" s="267" t="s">
        <v>221</v>
      </c>
      <c r="C29" s="267"/>
      <c r="D29" s="98">
        <v>2</v>
      </c>
      <c r="E29" s="99" t="s">
        <v>222</v>
      </c>
    </row>
    <row r="30" spans="2:5" x14ac:dyDescent="0.2">
      <c r="B30" s="267" t="s">
        <v>261</v>
      </c>
      <c r="C30" s="267"/>
      <c r="D30" s="98">
        <v>2</v>
      </c>
      <c r="E30" s="99" t="s">
        <v>223</v>
      </c>
    </row>
    <row r="31" spans="2:5" x14ac:dyDescent="0.2">
      <c r="B31" s="267" t="s">
        <v>224</v>
      </c>
      <c r="C31" s="267"/>
      <c r="D31" s="98">
        <v>2</v>
      </c>
      <c r="E31" s="99" t="s">
        <v>225</v>
      </c>
    </row>
    <row r="32" spans="2:5" x14ac:dyDescent="0.2">
      <c r="B32" s="267" t="s">
        <v>226</v>
      </c>
      <c r="C32" s="267"/>
      <c r="D32" s="98">
        <v>2</v>
      </c>
      <c r="E32" s="99" t="s">
        <v>227</v>
      </c>
    </row>
    <row r="33" spans="2:5" x14ac:dyDescent="0.2">
      <c r="B33" s="267" t="s">
        <v>228</v>
      </c>
      <c r="C33" s="267"/>
      <c r="D33" s="98">
        <v>2</v>
      </c>
      <c r="E33" s="99" t="s">
        <v>229</v>
      </c>
    </row>
    <row r="34" spans="2:5" x14ac:dyDescent="0.2">
      <c r="B34" s="267" t="s">
        <v>230</v>
      </c>
      <c r="C34" s="267"/>
      <c r="D34" s="98">
        <v>2</v>
      </c>
      <c r="E34" s="99" t="s">
        <v>231</v>
      </c>
    </row>
    <row r="35" spans="2:5" x14ac:dyDescent="0.2">
      <c r="B35" s="267" t="s">
        <v>232</v>
      </c>
      <c r="C35" s="267"/>
      <c r="D35" s="98">
        <v>2</v>
      </c>
      <c r="E35" s="99" t="s">
        <v>233</v>
      </c>
    </row>
    <row r="36" spans="2:5" ht="13.5" thickBot="1" x14ac:dyDescent="0.25">
      <c r="B36" s="267" t="s">
        <v>262</v>
      </c>
      <c r="C36" s="267"/>
      <c r="D36" s="98">
        <v>2</v>
      </c>
      <c r="E36" s="99" t="s">
        <v>263</v>
      </c>
    </row>
    <row r="37" spans="2:5" ht="24.75" customHeight="1" thickBot="1" x14ac:dyDescent="0.25">
      <c r="B37" s="270" t="s">
        <v>280</v>
      </c>
      <c r="C37" s="271"/>
      <c r="D37" s="271"/>
      <c r="E37" s="272"/>
    </row>
    <row r="38" spans="2:5" x14ac:dyDescent="0.2">
      <c r="B38" s="13" t="s">
        <v>20</v>
      </c>
      <c r="C38" s="11"/>
      <c r="D38" s="11"/>
      <c r="E38" s="12"/>
    </row>
    <row r="39" spans="2:5" x14ac:dyDescent="0.2">
      <c r="B39" s="203" t="s">
        <v>25</v>
      </c>
      <c r="C39" s="204"/>
      <c r="D39" s="204"/>
      <c r="E39" s="205"/>
    </row>
    <row r="40" spans="2:5" ht="13.5" thickBot="1" x14ac:dyDescent="0.25">
      <c r="B40" s="17"/>
      <c r="C40" s="18"/>
      <c r="D40" s="18"/>
      <c r="E40" s="19"/>
    </row>
    <row r="42" spans="2:5" ht="13.5" thickBot="1" x14ac:dyDescent="0.25"/>
    <row r="43" spans="2:5" x14ac:dyDescent="0.2">
      <c r="B43" s="7" t="s">
        <v>21</v>
      </c>
      <c r="C43" s="8"/>
      <c r="D43" s="8"/>
      <c r="E43" s="9"/>
    </row>
    <row r="44" spans="2:5" x14ac:dyDescent="0.2">
      <c r="B44" s="10"/>
      <c r="C44" s="11"/>
      <c r="D44" s="11"/>
      <c r="E44" s="12"/>
    </row>
    <row r="45" spans="2:5" x14ac:dyDescent="0.2">
      <c r="B45" s="13" t="s">
        <v>16</v>
      </c>
      <c r="C45" s="11"/>
      <c r="D45" s="11"/>
      <c r="E45" s="12"/>
    </row>
    <row r="46" spans="2:5" x14ac:dyDescent="0.2">
      <c r="B46" s="216" t="s">
        <v>276</v>
      </c>
      <c r="C46" s="217"/>
      <c r="D46" s="217"/>
      <c r="E46" s="218"/>
    </row>
    <row r="47" spans="2:5" ht="13.5" thickBot="1" x14ac:dyDescent="0.25">
      <c r="B47" s="13" t="s">
        <v>17</v>
      </c>
      <c r="C47" s="11"/>
      <c r="D47" s="11"/>
      <c r="E47" s="12"/>
    </row>
    <row r="48" spans="2:5" ht="13.5" thickBot="1" x14ac:dyDescent="0.25">
      <c r="B48" s="211" t="s">
        <v>277</v>
      </c>
      <c r="C48" s="215"/>
      <c r="D48" s="215"/>
      <c r="E48" s="212"/>
    </row>
    <row r="49" spans="2:5" x14ac:dyDescent="0.2">
      <c r="B49" s="268" t="s">
        <v>99</v>
      </c>
      <c r="C49" s="269"/>
      <c r="D49" s="97" t="s">
        <v>11</v>
      </c>
      <c r="E49" s="97" t="s">
        <v>100</v>
      </c>
    </row>
    <row r="50" spans="2:5" x14ac:dyDescent="0.2">
      <c r="B50" s="267" t="s">
        <v>212</v>
      </c>
      <c r="C50" s="267"/>
      <c r="D50" s="112">
        <v>1</v>
      </c>
      <c r="E50" s="99" t="s">
        <v>213</v>
      </c>
    </row>
    <row r="51" spans="2:5" x14ac:dyDescent="0.2">
      <c r="B51" s="267" t="s">
        <v>219</v>
      </c>
      <c r="C51" s="267"/>
      <c r="D51" s="112">
        <v>1</v>
      </c>
      <c r="E51" s="99" t="s">
        <v>220</v>
      </c>
    </row>
    <row r="52" spans="2:5" ht="13.5" thickBot="1" x14ac:dyDescent="0.25">
      <c r="B52" s="267" t="s">
        <v>234</v>
      </c>
      <c r="C52" s="267"/>
      <c r="D52" s="112">
        <v>1</v>
      </c>
      <c r="E52" s="99" t="s">
        <v>235</v>
      </c>
    </row>
    <row r="53" spans="2:5" ht="26.25" customHeight="1" thickBot="1" x14ac:dyDescent="0.25">
      <c r="B53" s="270" t="s">
        <v>278</v>
      </c>
      <c r="C53" s="271"/>
      <c r="D53" s="271"/>
      <c r="E53" s="272"/>
    </row>
    <row r="54" spans="2:5" x14ac:dyDescent="0.2">
      <c r="B54" s="13" t="s">
        <v>20</v>
      </c>
      <c r="C54" s="11"/>
      <c r="D54" s="11"/>
      <c r="E54" s="12"/>
    </row>
    <row r="55" spans="2:5" x14ac:dyDescent="0.2">
      <c r="B55" s="203" t="s">
        <v>25</v>
      </c>
      <c r="C55" s="204"/>
      <c r="D55" s="204"/>
      <c r="E55" s="205"/>
    </row>
    <row r="56" spans="2:5" ht="13.5" thickBot="1" x14ac:dyDescent="0.25">
      <c r="B56" s="17"/>
      <c r="C56" s="18"/>
      <c r="D56" s="18"/>
      <c r="E56" s="19"/>
    </row>
  </sheetData>
  <mergeCells count="37">
    <mergeCell ref="B52:C52"/>
    <mergeCell ref="B53:E53"/>
    <mergeCell ref="B55:E55"/>
    <mergeCell ref="B51:C51"/>
    <mergeCell ref="B50:C50"/>
    <mergeCell ref="B46:E46"/>
    <mergeCell ref="B48:E48"/>
    <mergeCell ref="B49:C49"/>
    <mergeCell ref="B39:E39"/>
    <mergeCell ref="B32:C32"/>
    <mergeCell ref="B33:C33"/>
    <mergeCell ref="B34:C34"/>
    <mergeCell ref="B35:C35"/>
    <mergeCell ref="B36:C36"/>
    <mergeCell ref="B37:E37"/>
    <mergeCell ref="B31:C3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21:C21"/>
    <mergeCell ref="B2:H2"/>
    <mergeCell ref="A4:B4"/>
    <mergeCell ref="C4:E4"/>
    <mergeCell ref="A5:B5"/>
    <mergeCell ref="C5:E5"/>
    <mergeCell ref="A6:B6"/>
    <mergeCell ref="A7:B7"/>
    <mergeCell ref="B16:E16"/>
    <mergeCell ref="B18:E18"/>
    <mergeCell ref="B19:C19"/>
    <mergeCell ref="B20:C20"/>
  </mergeCells>
  <pageMargins left="0.70866141732283472" right="0.70866141732283472" top="0.33" bottom="0.35" header="0.31496062992125984" footer="0.31496062992125984"/>
  <pageSetup paperSize="5" scale="8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0"/>
  <sheetViews>
    <sheetView topLeftCell="A76" workbookViewId="0">
      <selection activeCell="H28" sqref="H28"/>
    </sheetView>
  </sheetViews>
  <sheetFormatPr baseColWidth="10" defaultColWidth="11" defaultRowHeight="12.75" x14ac:dyDescent="0.2"/>
  <cols>
    <col min="1" max="1" width="3.5703125" style="1" customWidth="1"/>
    <col min="2" max="2" width="19.28515625" style="1" customWidth="1"/>
    <col min="3" max="3" width="29.28515625" style="1" customWidth="1"/>
    <col min="4" max="4" width="8.85546875" style="1" customWidth="1"/>
    <col min="5" max="5" width="110.140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1" spans="1:9" ht="27" x14ac:dyDescent="0.35">
      <c r="B1" s="208" t="s">
        <v>0</v>
      </c>
      <c r="C1" s="208"/>
      <c r="D1" s="208"/>
      <c r="E1" s="208"/>
      <c r="F1" s="208"/>
      <c r="G1" s="208"/>
      <c r="H1" s="208"/>
    </row>
    <row r="2" spans="1:9" ht="8.25" customHeight="1" x14ac:dyDescent="0.2"/>
    <row r="3" spans="1:9" ht="18" customHeight="1" x14ac:dyDescent="0.25">
      <c r="A3" s="209" t="s">
        <v>1</v>
      </c>
      <c r="B3" s="209"/>
      <c r="C3" s="210" t="s">
        <v>27</v>
      </c>
      <c r="D3" s="210"/>
      <c r="E3" s="210"/>
      <c r="F3" s="2"/>
      <c r="G3" s="3"/>
      <c r="H3" s="2"/>
    </row>
    <row r="4" spans="1:9" ht="18" customHeight="1" x14ac:dyDescent="0.25">
      <c r="A4" s="209" t="s">
        <v>2</v>
      </c>
      <c r="B4" s="209"/>
      <c r="C4" s="210" t="s">
        <v>23</v>
      </c>
      <c r="D4" s="210"/>
      <c r="E4" s="210"/>
      <c r="F4" s="2"/>
      <c r="G4" s="3"/>
      <c r="H4" s="2"/>
    </row>
    <row r="5" spans="1:9" ht="16.5" customHeight="1" x14ac:dyDescent="0.25">
      <c r="A5" s="209" t="s">
        <v>3</v>
      </c>
      <c r="B5" s="209"/>
      <c r="C5" s="20">
        <v>2020</v>
      </c>
      <c r="D5" s="21"/>
      <c r="E5" s="21"/>
      <c r="F5" s="2"/>
      <c r="G5" s="3"/>
      <c r="H5" s="2"/>
    </row>
    <row r="6" spans="1:9" ht="16.5" customHeight="1" x14ac:dyDescent="0.25">
      <c r="A6" s="209" t="s">
        <v>4</v>
      </c>
      <c r="B6" s="209"/>
      <c r="C6" s="20">
        <v>4</v>
      </c>
      <c r="D6" s="21"/>
      <c r="E6" s="21"/>
      <c r="F6" s="2"/>
      <c r="G6" s="3"/>
      <c r="H6" s="2"/>
    </row>
    <row r="7" spans="1:9" ht="9" customHeight="1" thickBot="1" x14ac:dyDescent="0.25">
      <c r="B7" s="2"/>
      <c r="C7" s="3"/>
      <c r="D7" s="2"/>
      <c r="E7" s="2"/>
      <c r="F7" s="2"/>
      <c r="G7" s="3"/>
      <c r="H7" s="2"/>
    </row>
    <row r="8" spans="1:9" ht="39" thickBot="1" x14ac:dyDescent="0.25">
      <c r="A8" s="23" t="s">
        <v>5</v>
      </c>
      <c r="B8" s="32" t="s">
        <v>6</v>
      </c>
      <c r="C8" s="23" t="s">
        <v>7</v>
      </c>
      <c r="D8" s="23" t="s">
        <v>8</v>
      </c>
      <c r="E8" s="32" t="s">
        <v>9</v>
      </c>
      <c r="F8" s="24" t="s">
        <v>10</v>
      </c>
      <c r="G8" s="25" t="s">
        <v>11</v>
      </c>
      <c r="H8" s="25" t="s">
        <v>12</v>
      </c>
      <c r="I8" s="26" t="s">
        <v>13</v>
      </c>
    </row>
    <row r="9" spans="1:9" x14ac:dyDescent="0.2">
      <c r="A9" s="4">
        <v>1</v>
      </c>
      <c r="B9" s="29" t="s">
        <v>83</v>
      </c>
      <c r="C9" s="43" t="s">
        <v>71</v>
      </c>
      <c r="D9" s="46" t="s">
        <v>72</v>
      </c>
      <c r="E9" s="29" t="s">
        <v>86</v>
      </c>
      <c r="F9" s="39" t="s">
        <v>79</v>
      </c>
      <c r="G9" s="40">
        <v>240</v>
      </c>
      <c r="H9" s="104"/>
      <c r="I9" s="107">
        <f>G9*H9</f>
        <v>0</v>
      </c>
    </row>
    <row r="10" spans="1:9" x14ac:dyDescent="0.2">
      <c r="A10" s="5">
        <v>2</v>
      </c>
      <c r="B10" s="22" t="s">
        <v>84</v>
      </c>
      <c r="C10" s="44" t="s">
        <v>71</v>
      </c>
      <c r="D10" s="47" t="s">
        <v>72</v>
      </c>
      <c r="E10" s="22" t="s">
        <v>87</v>
      </c>
      <c r="F10" s="30" t="s">
        <v>79</v>
      </c>
      <c r="G10" s="31">
        <v>240</v>
      </c>
      <c r="H10" s="105"/>
      <c r="I10" s="108">
        <f>G10*H10</f>
        <v>0</v>
      </c>
    </row>
    <row r="11" spans="1:9" ht="13.5" thickBot="1" x14ac:dyDescent="0.25">
      <c r="A11" s="6">
        <v>3</v>
      </c>
      <c r="B11" s="27" t="s">
        <v>85</v>
      </c>
      <c r="C11" s="45" t="s">
        <v>71</v>
      </c>
      <c r="D11" s="48" t="s">
        <v>72</v>
      </c>
      <c r="E11" s="27" t="s">
        <v>88</v>
      </c>
      <c r="F11" s="41" t="s">
        <v>79</v>
      </c>
      <c r="G11" s="42">
        <v>240</v>
      </c>
      <c r="H11" s="106"/>
      <c r="I11" s="109">
        <f>G11*H11</f>
        <v>0</v>
      </c>
    </row>
    <row r="14" spans="1:9" x14ac:dyDescent="0.2">
      <c r="B14" s="7" t="s">
        <v>15</v>
      </c>
      <c r="C14" s="8"/>
      <c r="D14" s="8"/>
      <c r="E14" s="9"/>
    </row>
    <row r="15" spans="1:9" ht="5.25" customHeight="1" x14ac:dyDescent="0.2">
      <c r="B15" s="10"/>
      <c r="C15" s="11"/>
      <c r="D15" s="11"/>
      <c r="E15" s="12"/>
    </row>
    <row r="16" spans="1:9" x14ac:dyDescent="0.2">
      <c r="B16" s="13" t="s">
        <v>16</v>
      </c>
      <c r="C16" s="11"/>
      <c r="D16" s="11"/>
      <c r="E16" s="12"/>
    </row>
    <row r="17" spans="2:5" x14ac:dyDescent="0.2">
      <c r="B17" s="13"/>
      <c r="C17" s="217" t="s">
        <v>89</v>
      </c>
      <c r="D17" s="217"/>
      <c r="E17" s="218"/>
    </row>
    <row r="18" spans="2:5" ht="13.5" thickBot="1" x14ac:dyDescent="0.25">
      <c r="B18" s="13" t="s">
        <v>17</v>
      </c>
      <c r="C18" s="11"/>
      <c r="D18" s="11"/>
      <c r="E18" s="12"/>
    </row>
    <row r="19" spans="2:5" ht="13.5" thickBot="1" x14ac:dyDescent="0.25">
      <c r="B19" s="211" t="s">
        <v>98</v>
      </c>
      <c r="C19" s="215"/>
      <c r="D19" s="215"/>
      <c r="E19" s="212"/>
    </row>
    <row r="20" spans="2:5" ht="13.5" thickBot="1" x14ac:dyDescent="0.25">
      <c r="B20" s="211" t="s">
        <v>99</v>
      </c>
      <c r="C20" s="212"/>
      <c r="D20" s="49" t="s">
        <v>11</v>
      </c>
      <c r="E20" s="49" t="s">
        <v>100</v>
      </c>
    </row>
    <row r="21" spans="2:5" x14ac:dyDescent="0.2">
      <c r="B21" s="273" t="s">
        <v>256</v>
      </c>
      <c r="C21" s="273"/>
      <c r="D21" s="102">
        <v>1</v>
      </c>
      <c r="E21" s="103" t="s">
        <v>255</v>
      </c>
    </row>
    <row r="22" spans="2:5" x14ac:dyDescent="0.2">
      <c r="B22" s="267" t="s">
        <v>257</v>
      </c>
      <c r="C22" s="267"/>
      <c r="D22" s="98">
        <v>1</v>
      </c>
      <c r="E22" s="99" t="s">
        <v>207</v>
      </c>
    </row>
    <row r="23" spans="2:5" x14ac:dyDescent="0.2">
      <c r="B23" s="267" t="s">
        <v>259</v>
      </c>
      <c r="C23" s="267"/>
      <c r="D23" s="98">
        <v>1</v>
      </c>
      <c r="E23" s="99" t="s">
        <v>208</v>
      </c>
    </row>
    <row r="24" spans="2:5" x14ac:dyDescent="0.2">
      <c r="B24" s="267" t="s">
        <v>258</v>
      </c>
      <c r="C24" s="267"/>
      <c r="D24" s="98">
        <v>1</v>
      </c>
      <c r="E24" s="99" t="s">
        <v>209</v>
      </c>
    </row>
    <row r="25" spans="2:5" x14ac:dyDescent="0.2">
      <c r="B25" s="267" t="s">
        <v>253</v>
      </c>
      <c r="C25" s="267"/>
      <c r="D25" s="98">
        <v>1</v>
      </c>
      <c r="E25" s="99" t="s">
        <v>254</v>
      </c>
    </row>
    <row r="26" spans="2:5" x14ac:dyDescent="0.2">
      <c r="B26" s="267" t="s">
        <v>210</v>
      </c>
      <c r="C26" s="267"/>
      <c r="D26" s="98">
        <v>1</v>
      </c>
      <c r="E26" s="99" t="s">
        <v>211</v>
      </c>
    </row>
    <row r="27" spans="2:5" x14ac:dyDescent="0.2">
      <c r="B27" s="267" t="s">
        <v>212</v>
      </c>
      <c r="C27" s="267"/>
      <c r="D27" s="98">
        <v>1</v>
      </c>
      <c r="E27" s="99" t="s">
        <v>213</v>
      </c>
    </row>
    <row r="28" spans="2:5" x14ac:dyDescent="0.2">
      <c r="B28" s="267" t="s">
        <v>214</v>
      </c>
      <c r="C28" s="267"/>
      <c r="D28" s="98">
        <v>1</v>
      </c>
      <c r="E28" s="99" t="s">
        <v>215</v>
      </c>
    </row>
    <row r="29" spans="2:5" x14ac:dyDescent="0.2">
      <c r="B29" s="267" t="s">
        <v>216</v>
      </c>
      <c r="C29" s="267"/>
      <c r="D29" s="98">
        <v>1</v>
      </c>
      <c r="E29" s="99" t="s">
        <v>217</v>
      </c>
    </row>
    <row r="30" spans="2:5" x14ac:dyDescent="0.2">
      <c r="B30" s="267" t="s">
        <v>260</v>
      </c>
      <c r="C30" s="267"/>
      <c r="D30" s="98">
        <v>1</v>
      </c>
      <c r="E30" s="99" t="s">
        <v>218</v>
      </c>
    </row>
    <row r="31" spans="2:5" x14ac:dyDescent="0.2">
      <c r="B31" s="267" t="s">
        <v>219</v>
      </c>
      <c r="C31" s="267"/>
      <c r="D31" s="98">
        <v>1</v>
      </c>
      <c r="E31" s="99" t="s">
        <v>220</v>
      </c>
    </row>
    <row r="32" spans="2:5" x14ac:dyDescent="0.2">
      <c r="B32" s="267" t="s">
        <v>221</v>
      </c>
      <c r="C32" s="267"/>
      <c r="D32" s="98">
        <v>1</v>
      </c>
      <c r="E32" s="99" t="s">
        <v>222</v>
      </c>
    </row>
    <row r="33" spans="2:5" x14ac:dyDescent="0.2">
      <c r="B33" s="267" t="s">
        <v>261</v>
      </c>
      <c r="C33" s="267"/>
      <c r="D33" s="98">
        <v>1</v>
      </c>
      <c r="E33" s="99" t="s">
        <v>223</v>
      </c>
    </row>
    <row r="34" spans="2:5" x14ac:dyDescent="0.2">
      <c r="B34" s="267" t="s">
        <v>224</v>
      </c>
      <c r="C34" s="267"/>
      <c r="D34" s="98">
        <v>1</v>
      </c>
      <c r="E34" s="99" t="s">
        <v>225</v>
      </c>
    </row>
    <row r="35" spans="2:5" x14ac:dyDescent="0.2">
      <c r="B35" s="267" t="s">
        <v>226</v>
      </c>
      <c r="C35" s="267"/>
      <c r="D35" s="98">
        <v>1</v>
      </c>
      <c r="E35" s="99" t="s">
        <v>227</v>
      </c>
    </row>
    <row r="36" spans="2:5" x14ac:dyDescent="0.2">
      <c r="B36" s="267" t="s">
        <v>228</v>
      </c>
      <c r="C36" s="267"/>
      <c r="D36" s="98">
        <v>1</v>
      </c>
      <c r="E36" s="99" t="s">
        <v>229</v>
      </c>
    </row>
    <row r="37" spans="2:5" x14ac:dyDescent="0.2">
      <c r="B37" s="267" t="s">
        <v>230</v>
      </c>
      <c r="C37" s="267"/>
      <c r="D37" s="98">
        <v>1</v>
      </c>
      <c r="E37" s="99" t="s">
        <v>231</v>
      </c>
    </row>
    <row r="38" spans="2:5" x14ac:dyDescent="0.2">
      <c r="B38" s="267" t="s">
        <v>232</v>
      </c>
      <c r="C38" s="267"/>
      <c r="D38" s="98">
        <v>1</v>
      </c>
      <c r="E38" s="99" t="s">
        <v>233</v>
      </c>
    </row>
    <row r="39" spans="2:5" x14ac:dyDescent="0.2">
      <c r="B39" s="267" t="s">
        <v>234</v>
      </c>
      <c r="C39" s="267"/>
      <c r="D39" s="98">
        <v>1</v>
      </c>
      <c r="E39" s="99" t="s">
        <v>235</v>
      </c>
    </row>
    <row r="40" spans="2:5" ht="13.5" thickBot="1" x14ac:dyDescent="0.25">
      <c r="B40" s="274" t="s">
        <v>262</v>
      </c>
      <c r="C40" s="274"/>
      <c r="D40" s="100">
        <v>1</v>
      </c>
      <c r="E40" s="101" t="s">
        <v>263</v>
      </c>
    </row>
    <row r="41" spans="2:5" ht="24.75" customHeight="1" thickBot="1" x14ac:dyDescent="0.25">
      <c r="B41" s="270" t="s">
        <v>246</v>
      </c>
      <c r="C41" s="271"/>
      <c r="D41" s="271"/>
      <c r="E41" s="272"/>
    </row>
    <row r="42" spans="2:5" x14ac:dyDescent="0.2">
      <c r="B42" s="13" t="s">
        <v>18</v>
      </c>
      <c r="C42" s="11"/>
      <c r="D42" s="11"/>
      <c r="E42" s="12"/>
    </row>
    <row r="43" spans="2:5" x14ac:dyDescent="0.2">
      <c r="B43" s="14"/>
      <c r="C43" s="219" t="s">
        <v>24</v>
      </c>
      <c r="D43" s="219"/>
      <c r="E43" s="219"/>
    </row>
    <row r="44" spans="2:5" x14ac:dyDescent="0.2">
      <c r="B44" s="13" t="s">
        <v>19</v>
      </c>
      <c r="C44" s="15"/>
      <c r="D44" s="15"/>
      <c r="E44" s="16"/>
    </row>
    <row r="45" spans="2:5" x14ac:dyDescent="0.2">
      <c r="B45" s="14"/>
      <c r="C45" s="219" t="s">
        <v>101</v>
      </c>
      <c r="D45" s="219"/>
      <c r="E45" s="219"/>
    </row>
    <row r="46" spans="2:5" x14ac:dyDescent="0.2">
      <c r="B46" s="13" t="s">
        <v>20</v>
      </c>
      <c r="C46" s="11"/>
      <c r="D46" s="11"/>
      <c r="E46" s="12"/>
    </row>
    <row r="47" spans="2:5" x14ac:dyDescent="0.2">
      <c r="B47" s="13"/>
      <c r="C47" s="205" t="s">
        <v>25</v>
      </c>
      <c r="D47" s="205"/>
      <c r="E47" s="205"/>
    </row>
    <row r="48" spans="2:5" ht="13.5" thickBot="1" x14ac:dyDescent="0.25">
      <c r="B48" s="17"/>
      <c r="C48" s="18"/>
      <c r="D48" s="18"/>
      <c r="E48" s="19"/>
    </row>
    <row r="50" spans="2:5" x14ac:dyDescent="0.2">
      <c r="B50" s="7" t="s">
        <v>21</v>
      </c>
      <c r="C50" s="8"/>
      <c r="D50" s="8"/>
      <c r="E50" s="9"/>
    </row>
    <row r="51" spans="2:5" x14ac:dyDescent="0.2">
      <c r="B51" s="10"/>
      <c r="C51" s="11"/>
      <c r="D51" s="11"/>
      <c r="E51" s="12"/>
    </row>
    <row r="52" spans="2:5" x14ac:dyDescent="0.2">
      <c r="B52" s="13" t="s">
        <v>16</v>
      </c>
      <c r="C52" s="11"/>
      <c r="D52" s="11"/>
      <c r="E52" s="12"/>
    </row>
    <row r="53" spans="2:5" x14ac:dyDescent="0.2">
      <c r="B53" s="13"/>
      <c r="C53" s="217" t="s">
        <v>89</v>
      </c>
      <c r="D53" s="217"/>
      <c r="E53" s="218"/>
    </row>
    <row r="54" spans="2:5" ht="13.5" thickBot="1" x14ac:dyDescent="0.25">
      <c r="B54" s="13" t="s">
        <v>17</v>
      </c>
      <c r="C54" s="11"/>
      <c r="D54" s="11"/>
      <c r="E54" s="12"/>
    </row>
    <row r="55" spans="2:5" ht="13.5" thickBot="1" x14ac:dyDescent="0.25">
      <c r="B55" s="211" t="s">
        <v>98</v>
      </c>
      <c r="C55" s="215"/>
      <c r="D55" s="215"/>
      <c r="E55" s="212"/>
    </row>
    <row r="56" spans="2:5" ht="13.5" thickBot="1" x14ac:dyDescent="0.25">
      <c r="B56" s="211" t="s">
        <v>99</v>
      </c>
      <c r="C56" s="212"/>
      <c r="D56" s="49" t="s">
        <v>11</v>
      </c>
      <c r="E56" s="49" t="s">
        <v>100</v>
      </c>
    </row>
    <row r="57" spans="2:5" x14ac:dyDescent="0.2">
      <c r="B57" s="273" t="s">
        <v>256</v>
      </c>
      <c r="C57" s="273"/>
      <c r="D57" s="102">
        <v>1</v>
      </c>
      <c r="E57" s="103" t="s">
        <v>255</v>
      </c>
    </row>
    <row r="58" spans="2:5" x14ac:dyDescent="0.2">
      <c r="B58" s="267" t="s">
        <v>257</v>
      </c>
      <c r="C58" s="267"/>
      <c r="D58" s="98">
        <v>1</v>
      </c>
      <c r="E58" s="99" t="s">
        <v>207</v>
      </c>
    </row>
    <row r="59" spans="2:5" x14ac:dyDescent="0.2">
      <c r="B59" s="267" t="s">
        <v>259</v>
      </c>
      <c r="C59" s="267"/>
      <c r="D59" s="98">
        <v>1</v>
      </c>
      <c r="E59" s="99" t="s">
        <v>208</v>
      </c>
    </row>
    <row r="60" spans="2:5" x14ac:dyDescent="0.2">
      <c r="B60" s="267" t="s">
        <v>258</v>
      </c>
      <c r="C60" s="267"/>
      <c r="D60" s="98">
        <v>1</v>
      </c>
      <c r="E60" s="99" t="s">
        <v>209</v>
      </c>
    </row>
    <row r="61" spans="2:5" x14ac:dyDescent="0.2">
      <c r="B61" s="267" t="s">
        <v>253</v>
      </c>
      <c r="C61" s="267"/>
      <c r="D61" s="98">
        <v>1</v>
      </c>
      <c r="E61" s="99" t="s">
        <v>254</v>
      </c>
    </row>
    <row r="62" spans="2:5" x14ac:dyDescent="0.2">
      <c r="B62" s="267" t="s">
        <v>210</v>
      </c>
      <c r="C62" s="267"/>
      <c r="D62" s="98">
        <v>1</v>
      </c>
      <c r="E62" s="99" t="s">
        <v>211</v>
      </c>
    </row>
    <row r="63" spans="2:5" x14ac:dyDescent="0.2">
      <c r="B63" s="267" t="s">
        <v>212</v>
      </c>
      <c r="C63" s="267"/>
      <c r="D63" s="98">
        <v>1</v>
      </c>
      <c r="E63" s="99" t="s">
        <v>213</v>
      </c>
    </row>
    <row r="64" spans="2:5" x14ac:dyDescent="0.2">
      <c r="B64" s="267" t="s">
        <v>214</v>
      </c>
      <c r="C64" s="267"/>
      <c r="D64" s="98">
        <v>1</v>
      </c>
      <c r="E64" s="99" t="s">
        <v>215</v>
      </c>
    </row>
    <row r="65" spans="2:5" x14ac:dyDescent="0.2">
      <c r="B65" s="267" t="s">
        <v>216</v>
      </c>
      <c r="C65" s="267"/>
      <c r="D65" s="98">
        <v>1</v>
      </c>
      <c r="E65" s="99" t="s">
        <v>217</v>
      </c>
    </row>
    <row r="66" spans="2:5" x14ac:dyDescent="0.2">
      <c r="B66" s="267" t="s">
        <v>260</v>
      </c>
      <c r="C66" s="267"/>
      <c r="D66" s="98">
        <v>1</v>
      </c>
      <c r="E66" s="99" t="s">
        <v>218</v>
      </c>
    </row>
    <row r="67" spans="2:5" x14ac:dyDescent="0.2">
      <c r="B67" s="267" t="s">
        <v>219</v>
      </c>
      <c r="C67" s="267"/>
      <c r="D67" s="98">
        <v>1</v>
      </c>
      <c r="E67" s="99" t="s">
        <v>220</v>
      </c>
    </row>
    <row r="68" spans="2:5" x14ac:dyDescent="0.2">
      <c r="B68" s="267" t="s">
        <v>221</v>
      </c>
      <c r="C68" s="267"/>
      <c r="D68" s="98">
        <v>1</v>
      </c>
      <c r="E68" s="99" t="s">
        <v>222</v>
      </c>
    </row>
    <row r="69" spans="2:5" x14ac:dyDescent="0.2">
      <c r="B69" s="267" t="s">
        <v>261</v>
      </c>
      <c r="C69" s="267"/>
      <c r="D69" s="98">
        <v>1</v>
      </c>
      <c r="E69" s="99" t="s">
        <v>223</v>
      </c>
    </row>
    <row r="70" spans="2:5" x14ac:dyDescent="0.2">
      <c r="B70" s="267" t="s">
        <v>224</v>
      </c>
      <c r="C70" s="267"/>
      <c r="D70" s="98">
        <v>1</v>
      </c>
      <c r="E70" s="99" t="s">
        <v>225</v>
      </c>
    </row>
    <row r="71" spans="2:5" x14ac:dyDescent="0.2">
      <c r="B71" s="267" t="s">
        <v>226</v>
      </c>
      <c r="C71" s="267"/>
      <c r="D71" s="98">
        <v>1</v>
      </c>
      <c r="E71" s="99" t="s">
        <v>227</v>
      </c>
    </row>
    <row r="72" spans="2:5" x14ac:dyDescent="0.2">
      <c r="B72" s="267" t="s">
        <v>228</v>
      </c>
      <c r="C72" s="267"/>
      <c r="D72" s="98">
        <v>1</v>
      </c>
      <c r="E72" s="99" t="s">
        <v>229</v>
      </c>
    </row>
    <row r="73" spans="2:5" x14ac:dyDescent="0.2">
      <c r="B73" s="267" t="s">
        <v>230</v>
      </c>
      <c r="C73" s="267"/>
      <c r="D73" s="98">
        <v>1</v>
      </c>
      <c r="E73" s="99" t="s">
        <v>231</v>
      </c>
    </row>
    <row r="74" spans="2:5" x14ac:dyDescent="0.2">
      <c r="B74" s="267" t="s">
        <v>232</v>
      </c>
      <c r="C74" s="267"/>
      <c r="D74" s="98">
        <v>1</v>
      </c>
      <c r="E74" s="99" t="s">
        <v>233</v>
      </c>
    </row>
    <row r="75" spans="2:5" x14ac:dyDescent="0.2">
      <c r="B75" s="267" t="s">
        <v>234</v>
      </c>
      <c r="C75" s="267"/>
      <c r="D75" s="98">
        <v>1</v>
      </c>
      <c r="E75" s="99" t="s">
        <v>235</v>
      </c>
    </row>
    <row r="76" spans="2:5" ht="13.5" thickBot="1" x14ac:dyDescent="0.25">
      <c r="B76" s="267" t="s">
        <v>262</v>
      </c>
      <c r="C76" s="267"/>
      <c r="D76" s="98">
        <v>1</v>
      </c>
      <c r="E76" s="99" t="s">
        <v>263</v>
      </c>
    </row>
    <row r="77" spans="2:5" ht="24.75" customHeight="1" thickBot="1" x14ac:dyDescent="0.25">
      <c r="B77" s="270" t="s">
        <v>246</v>
      </c>
      <c r="C77" s="271"/>
      <c r="D77" s="271"/>
      <c r="E77" s="272"/>
    </row>
    <row r="78" spans="2:5" x14ac:dyDescent="0.2">
      <c r="B78" s="13" t="s">
        <v>18</v>
      </c>
      <c r="C78" s="11"/>
      <c r="D78" s="11"/>
      <c r="E78" s="12"/>
    </row>
    <row r="79" spans="2:5" x14ac:dyDescent="0.2">
      <c r="B79" s="14"/>
      <c r="C79" s="219" t="s">
        <v>24</v>
      </c>
      <c r="D79" s="219"/>
      <c r="E79" s="219"/>
    </row>
    <row r="80" spans="2:5" x14ac:dyDescent="0.2">
      <c r="B80" s="13" t="s">
        <v>19</v>
      </c>
      <c r="C80" s="15"/>
      <c r="D80" s="15"/>
      <c r="E80" s="16"/>
    </row>
    <row r="81" spans="2:5" x14ac:dyDescent="0.2">
      <c r="B81" s="14"/>
      <c r="C81" s="219" t="s">
        <v>101</v>
      </c>
      <c r="D81" s="219"/>
      <c r="E81" s="219"/>
    </row>
    <row r="82" spans="2:5" x14ac:dyDescent="0.2">
      <c r="B82" s="13" t="s">
        <v>20</v>
      </c>
      <c r="C82" s="11"/>
      <c r="D82" s="11"/>
      <c r="E82" s="12"/>
    </row>
    <row r="83" spans="2:5" x14ac:dyDescent="0.2">
      <c r="B83" s="13"/>
      <c r="C83" s="205" t="s">
        <v>25</v>
      </c>
      <c r="D83" s="205"/>
      <c r="E83" s="205"/>
    </row>
    <row r="84" spans="2:5" ht="13.5" thickBot="1" x14ac:dyDescent="0.25">
      <c r="B84" s="17"/>
      <c r="C84" s="18"/>
      <c r="D84" s="18"/>
      <c r="E84" s="19"/>
    </row>
    <row r="85" spans="2:5" ht="13.5" thickBot="1" x14ac:dyDescent="0.25"/>
    <row r="86" spans="2:5" x14ac:dyDescent="0.2">
      <c r="B86" s="7" t="s">
        <v>26</v>
      </c>
      <c r="C86" s="8"/>
      <c r="D86" s="8"/>
      <c r="E86" s="9"/>
    </row>
    <row r="87" spans="2:5" x14ac:dyDescent="0.2">
      <c r="B87" s="10"/>
      <c r="C87" s="11"/>
      <c r="D87" s="11"/>
      <c r="E87" s="12"/>
    </row>
    <row r="88" spans="2:5" x14ac:dyDescent="0.2">
      <c r="B88" s="13" t="s">
        <v>16</v>
      </c>
      <c r="C88" s="11"/>
      <c r="D88" s="11"/>
      <c r="E88" s="12"/>
    </row>
    <row r="89" spans="2:5" x14ac:dyDescent="0.2">
      <c r="B89" s="13"/>
      <c r="C89" s="217" t="s">
        <v>89</v>
      </c>
      <c r="D89" s="217"/>
      <c r="E89" s="218"/>
    </row>
    <row r="90" spans="2:5" ht="13.5" thickBot="1" x14ac:dyDescent="0.25">
      <c r="B90" s="13" t="s">
        <v>17</v>
      </c>
      <c r="C90" s="11"/>
      <c r="D90" s="11"/>
      <c r="E90" s="12"/>
    </row>
    <row r="91" spans="2:5" ht="13.5" thickBot="1" x14ac:dyDescent="0.25">
      <c r="B91" s="211" t="s">
        <v>98</v>
      </c>
      <c r="C91" s="215"/>
      <c r="D91" s="215"/>
      <c r="E91" s="212"/>
    </row>
    <row r="92" spans="2:5" ht="13.5" thickBot="1" x14ac:dyDescent="0.25">
      <c r="B92" s="211" t="s">
        <v>99</v>
      </c>
      <c r="C92" s="212"/>
      <c r="D92" s="49" t="s">
        <v>11</v>
      </c>
      <c r="E92" s="49" t="s">
        <v>100</v>
      </c>
    </row>
    <row r="93" spans="2:5" x14ac:dyDescent="0.2">
      <c r="B93" s="273" t="s">
        <v>256</v>
      </c>
      <c r="C93" s="273"/>
      <c r="D93" s="102">
        <v>1</v>
      </c>
      <c r="E93" s="103" t="s">
        <v>255</v>
      </c>
    </row>
    <row r="94" spans="2:5" x14ac:dyDescent="0.2">
      <c r="B94" s="267" t="s">
        <v>257</v>
      </c>
      <c r="C94" s="267"/>
      <c r="D94" s="98">
        <v>1</v>
      </c>
      <c r="E94" s="99" t="s">
        <v>207</v>
      </c>
    </row>
    <row r="95" spans="2:5" x14ac:dyDescent="0.2">
      <c r="B95" s="267" t="s">
        <v>259</v>
      </c>
      <c r="C95" s="267"/>
      <c r="D95" s="98">
        <v>1</v>
      </c>
      <c r="E95" s="99" t="s">
        <v>208</v>
      </c>
    </row>
    <row r="96" spans="2:5" x14ac:dyDescent="0.2">
      <c r="B96" s="267" t="s">
        <v>258</v>
      </c>
      <c r="C96" s="267"/>
      <c r="D96" s="98">
        <v>1</v>
      </c>
      <c r="E96" s="99" t="s">
        <v>209</v>
      </c>
    </row>
    <row r="97" spans="2:5" x14ac:dyDescent="0.2">
      <c r="B97" s="267" t="s">
        <v>253</v>
      </c>
      <c r="C97" s="267"/>
      <c r="D97" s="98">
        <v>1</v>
      </c>
      <c r="E97" s="99" t="s">
        <v>254</v>
      </c>
    </row>
    <row r="98" spans="2:5" x14ac:dyDescent="0.2">
      <c r="B98" s="267" t="s">
        <v>210</v>
      </c>
      <c r="C98" s="267"/>
      <c r="D98" s="98">
        <v>1</v>
      </c>
      <c r="E98" s="99" t="s">
        <v>211</v>
      </c>
    </row>
    <row r="99" spans="2:5" x14ac:dyDescent="0.2">
      <c r="B99" s="267" t="s">
        <v>212</v>
      </c>
      <c r="C99" s="267"/>
      <c r="D99" s="98">
        <v>1</v>
      </c>
      <c r="E99" s="99" t="s">
        <v>213</v>
      </c>
    </row>
    <row r="100" spans="2:5" x14ac:dyDescent="0.2">
      <c r="B100" s="267" t="s">
        <v>214</v>
      </c>
      <c r="C100" s="267"/>
      <c r="D100" s="98">
        <v>1</v>
      </c>
      <c r="E100" s="99" t="s">
        <v>215</v>
      </c>
    </row>
    <row r="101" spans="2:5" x14ac:dyDescent="0.2">
      <c r="B101" s="267" t="s">
        <v>216</v>
      </c>
      <c r="C101" s="267"/>
      <c r="D101" s="98">
        <v>1</v>
      </c>
      <c r="E101" s="99" t="s">
        <v>217</v>
      </c>
    </row>
    <row r="102" spans="2:5" x14ac:dyDescent="0.2">
      <c r="B102" s="267" t="s">
        <v>260</v>
      </c>
      <c r="C102" s="267"/>
      <c r="D102" s="98">
        <v>1</v>
      </c>
      <c r="E102" s="99" t="s">
        <v>218</v>
      </c>
    </row>
    <row r="103" spans="2:5" x14ac:dyDescent="0.2">
      <c r="B103" s="267" t="s">
        <v>219</v>
      </c>
      <c r="C103" s="267"/>
      <c r="D103" s="98">
        <v>1</v>
      </c>
      <c r="E103" s="99" t="s">
        <v>220</v>
      </c>
    </row>
    <row r="104" spans="2:5" x14ac:dyDescent="0.2">
      <c r="B104" s="267" t="s">
        <v>221</v>
      </c>
      <c r="C104" s="267"/>
      <c r="D104" s="98">
        <v>1</v>
      </c>
      <c r="E104" s="99" t="s">
        <v>222</v>
      </c>
    </row>
    <row r="105" spans="2:5" x14ac:dyDescent="0.2">
      <c r="B105" s="267" t="s">
        <v>261</v>
      </c>
      <c r="C105" s="267"/>
      <c r="D105" s="98">
        <v>1</v>
      </c>
      <c r="E105" s="99" t="s">
        <v>223</v>
      </c>
    </row>
    <row r="106" spans="2:5" x14ac:dyDescent="0.2">
      <c r="B106" s="267" t="s">
        <v>224</v>
      </c>
      <c r="C106" s="267"/>
      <c r="D106" s="98">
        <v>1</v>
      </c>
      <c r="E106" s="99" t="s">
        <v>225</v>
      </c>
    </row>
    <row r="107" spans="2:5" x14ac:dyDescent="0.2">
      <c r="B107" s="267" t="s">
        <v>226</v>
      </c>
      <c r="C107" s="267"/>
      <c r="D107" s="98">
        <v>1</v>
      </c>
      <c r="E107" s="99" t="s">
        <v>227</v>
      </c>
    </row>
    <row r="108" spans="2:5" x14ac:dyDescent="0.2">
      <c r="B108" s="267" t="s">
        <v>228</v>
      </c>
      <c r="C108" s="267"/>
      <c r="D108" s="98">
        <v>1</v>
      </c>
      <c r="E108" s="99" t="s">
        <v>229</v>
      </c>
    </row>
    <row r="109" spans="2:5" x14ac:dyDescent="0.2">
      <c r="B109" s="267" t="s">
        <v>230</v>
      </c>
      <c r="C109" s="267"/>
      <c r="D109" s="98">
        <v>1</v>
      </c>
      <c r="E109" s="99" t="s">
        <v>231</v>
      </c>
    </row>
    <row r="110" spans="2:5" x14ac:dyDescent="0.2">
      <c r="B110" s="267" t="s">
        <v>232</v>
      </c>
      <c r="C110" s="267"/>
      <c r="D110" s="98">
        <v>1</v>
      </c>
      <c r="E110" s="99" t="s">
        <v>233</v>
      </c>
    </row>
    <row r="111" spans="2:5" x14ac:dyDescent="0.2">
      <c r="B111" s="267" t="s">
        <v>234</v>
      </c>
      <c r="C111" s="267"/>
      <c r="D111" s="98">
        <v>1</v>
      </c>
      <c r="E111" s="99" t="s">
        <v>235</v>
      </c>
    </row>
    <row r="112" spans="2:5" ht="13.5" thickBot="1" x14ac:dyDescent="0.25">
      <c r="B112" s="274" t="s">
        <v>262</v>
      </c>
      <c r="C112" s="274"/>
      <c r="D112" s="100">
        <v>1</v>
      </c>
      <c r="E112" s="101" t="s">
        <v>263</v>
      </c>
    </row>
    <row r="113" spans="2:5" ht="24.75" customHeight="1" thickBot="1" x14ac:dyDescent="0.25">
      <c r="B113" s="270" t="s">
        <v>246</v>
      </c>
      <c r="C113" s="271"/>
      <c r="D113" s="271"/>
      <c r="E113" s="272"/>
    </row>
    <row r="114" spans="2:5" x14ac:dyDescent="0.2">
      <c r="B114" s="13" t="s">
        <v>18</v>
      </c>
      <c r="C114" s="11"/>
      <c r="D114" s="11"/>
      <c r="E114" s="12"/>
    </row>
    <row r="115" spans="2:5" x14ac:dyDescent="0.2">
      <c r="B115" s="14"/>
      <c r="C115" s="219" t="s">
        <v>24</v>
      </c>
      <c r="D115" s="219"/>
      <c r="E115" s="219"/>
    </row>
    <row r="116" spans="2:5" x14ac:dyDescent="0.2">
      <c r="B116" s="13" t="s">
        <v>19</v>
      </c>
      <c r="C116" s="15"/>
      <c r="D116" s="15"/>
      <c r="E116" s="16"/>
    </row>
    <row r="117" spans="2:5" x14ac:dyDescent="0.2">
      <c r="B117" s="14"/>
      <c r="C117" s="219" t="s">
        <v>101</v>
      </c>
      <c r="D117" s="219"/>
      <c r="E117" s="219"/>
    </row>
    <row r="118" spans="2:5" x14ac:dyDescent="0.2">
      <c r="B118" s="13" t="s">
        <v>20</v>
      </c>
      <c r="C118" s="11"/>
      <c r="D118" s="11"/>
      <c r="E118" s="12"/>
    </row>
    <row r="119" spans="2:5" x14ac:dyDescent="0.2">
      <c r="B119" s="13"/>
      <c r="C119" s="205" t="s">
        <v>25</v>
      </c>
      <c r="D119" s="205"/>
      <c r="E119" s="205"/>
    </row>
    <row r="120" spans="2:5" ht="13.5" thickBot="1" x14ac:dyDescent="0.25">
      <c r="B120" s="17"/>
      <c r="C120" s="18"/>
      <c r="D120" s="18"/>
      <c r="E120" s="19"/>
    </row>
  </sheetData>
  <mergeCells count="88">
    <mergeCell ref="C119:E119"/>
    <mergeCell ref="B109:C109"/>
    <mergeCell ref="B110:C110"/>
    <mergeCell ref="B111:C111"/>
    <mergeCell ref="B112:C112"/>
    <mergeCell ref="C115:E115"/>
    <mergeCell ref="C117:E117"/>
    <mergeCell ref="B105:C105"/>
    <mergeCell ref="B106:C106"/>
    <mergeCell ref="B41:E41"/>
    <mergeCell ref="B113:E113"/>
    <mergeCell ref="B77:E77"/>
    <mergeCell ref="B108:C108"/>
    <mergeCell ref="B97:C97"/>
    <mergeCell ref="B98:C98"/>
    <mergeCell ref="B99:C99"/>
    <mergeCell ref="B100:C100"/>
    <mergeCell ref="B101:C101"/>
    <mergeCell ref="B107:C107"/>
    <mergeCell ref="B96:C96"/>
    <mergeCell ref="B75:C75"/>
    <mergeCell ref="B76:C76"/>
    <mergeCell ref="C79:E79"/>
    <mergeCell ref="B102:C102"/>
    <mergeCell ref="B103:C103"/>
    <mergeCell ref="C81:E81"/>
    <mergeCell ref="C83:E83"/>
    <mergeCell ref="C89:E89"/>
    <mergeCell ref="B91:E91"/>
    <mergeCell ref="B92:C92"/>
    <mergeCell ref="B104:C104"/>
    <mergeCell ref="B74:C74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93:C93"/>
    <mergeCell ref="B94:C94"/>
    <mergeCell ref="B95:C95"/>
    <mergeCell ref="B62:C62"/>
    <mergeCell ref="C43:E43"/>
    <mergeCell ref="C45:E45"/>
    <mergeCell ref="C47:E47"/>
    <mergeCell ref="C53:E53"/>
    <mergeCell ref="B55:E55"/>
    <mergeCell ref="B56:C56"/>
    <mergeCell ref="B57:C57"/>
    <mergeCell ref="B58:C58"/>
    <mergeCell ref="B59:C59"/>
    <mergeCell ref="B60:C60"/>
    <mergeCell ref="B61:C61"/>
    <mergeCell ref="B40:C40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8:C28"/>
    <mergeCell ref="A6:B6"/>
    <mergeCell ref="C17:E17"/>
    <mergeCell ref="B19:E19"/>
    <mergeCell ref="B20:C20"/>
    <mergeCell ref="B21:C21"/>
    <mergeCell ref="B22:C22"/>
    <mergeCell ref="B23:C23"/>
    <mergeCell ref="B24:C24"/>
    <mergeCell ref="B25:C25"/>
    <mergeCell ref="B26:C26"/>
    <mergeCell ref="B27:C27"/>
    <mergeCell ref="A5:B5"/>
    <mergeCell ref="B1:H1"/>
    <mergeCell ref="A3:B3"/>
    <mergeCell ref="C3:E3"/>
    <mergeCell ref="A4:B4"/>
    <mergeCell ref="C4:E4"/>
  </mergeCells>
  <pageMargins left="0.41" right="0.44" top="0.33" bottom="0.33" header="0.31496062992125984" footer="0.31496062992125984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5</vt:i4>
      </vt:variant>
    </vt:vector>
  </HeadingPairs>
  <TitlesOfParts>
    <vt:vector size="13" baseType="lpstr">
      <vt:lpstr>gas</vt:lpstr>
      <vt:lpstr>limpieza</vt:lpstr>
      <vt:lpstr>alimento</vt:lpstr>
      <vt:lpstr>ALIM-IMP</vt:lpstr>
      <vt:lpstr>Autor Gastar</vt:lpstr>
      <vt:lpstr> NotaPedido</vt:lpstr>
      <vt:lpstr>GAS-IMP</vt:lpstr>
      <vt:lpstr>LIM-IMP</vt:lpstr>
      <vt:lpstr>' NotaPedido'!Área_de_impresión</vt:lpstr>
      <vt:lpstr>'ALIM-IMP'!Área_de_impresión</vt:lpstr>
      <vt:lpstr>'Autor Gastar'!Área_de_impresión</vt:lpstr>
      <vt:lpstr>limpieza!Área_de_impresión</vt:lpstr>
      <vt:lpstr>' NotaPedido'!Títulos_a_imprimir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</dc:creator>
  <cp:lastModifiedBy>COMPRAS</cp:lastModifiedBy>
  <cp:revision>2</cp:revision>
  <cp:lastPrinted>2022-04-26T15:14:09Z</cp:lastPrinted>
  <dcterms:created xsi:type="dcterms:W3CDTF">2020-07-17T23:44:49Z</dcterms:created>
  <dcterms:modified xsi:type="dcterms:W3CDTF">2022-04-27T14:23:18Z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