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terpia antiinfecciosa\HSJB\"/>
    </mc:Choice>
  </mc:AlternateContent>
  <xr:revisionPtr revIDLastSave="0" documentId="13_ncr:1_{5B667426-07AB-4D00-91E9-B6233D5B864E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Gastar'!$A$1:$Q$26</definedName>
    <definedName name="_xlnm.Print_Area" localSheetId="0">'Necesidades Trimestrales'!$A$9:$I$66</definedName>
    <definedName name="_xlnm.Print_Area" localSheetId="1">NotaPedido!$A$1:$K$69</definedName>
  </definedNames>
  <calcPr calcId="181029"/>
</workbook>
</file>

<file path=xl/calcChain.xml><?xml version="1.0" encoding="utf-8"?>
<calcChain xmlns="http://schemas.openxmlformats.org/spreadsheetml/2006/main"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A25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J69" i="2" l="1"/>
  <c r="G6" i="3" l="1"/>
  <c r="G7" i="3"/>
  <c r="D7" i="2"/>
  <c r="D3" i="2"/>
  <c r="G4" i="3" s="1"/>
  <c r="D4" i="2"/>
  <c r="G5" i="3" s="1"/>
  <c r="D1" i="3" l="1"/>
  <c r="Q22" i="3"/>
</calcChain>
</file>

<file path=xl/sharedStrings.xml><?xml version="1.0" encoding="utf-8"?>
<sst xmlns="http://schemas.openxmlformats.org/spreadsheetml/2006/main" count="370" uniqueCount="198">
  <si>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</si>
  <si>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</si>
  <si>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</si>
  <si>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</si>
  <si>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</si>
  <si>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</si>
  <si>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</si>
  <si>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</si>
  <si>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</si>
  <si>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</si>
  <si>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</si>
  <si>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</si>
  <si>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</si>
  <si>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</si>
  <si>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</si>
  <si>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</si>
  <si>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</si>
  <si>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</si>
  <si>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</si>
  <si>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</si>
  <si>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</si>
  <si>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</si>
  <si>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</si>
  <si>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</si>
  <si>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</si>
  <si>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</si>
  <si>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</si>
  <si>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</si>
  <si>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</si>
  <si>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</si>
  <si>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</si>
  <si>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</si>
  <si>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</si>
  <si>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</si>
  <si>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</si>
  <si>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</si>
  <si>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</si>
  <si>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</si>
  <si>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</si>
  <si>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</si>
  <si>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</si>
  <si>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</si>
  <si>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</si>
  <si>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</si>
  <si>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</si>
  <si>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</si>
  <si>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</si>
  <si>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</si>
  <si>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</si>
  <si>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</si>
  <si>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</si>
  <si>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</si>
  <si>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</si>
  <si>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</si>
  <si>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</si>
  <si>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</si>
  <si>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</si>
  <si>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NO</t>
  </si>
  <si>
    <t>40 - Ministerio de Salud</t>
  </si>
  <si>
    <t>23 - Hospital Interzonal San Juan Bautista</t>
  </si>
  <si>
    <t>168 - Direccion Asistencial</t>
  </si>
  <si>
    <t>Servicio de Farmacia</t>
  </si>
  <si>
    <t>Productos Farmaceuticos y Medicinales</t>
  </si>
  <si>
    <t xml:space="preserve">45 dias habiles </t>
  </si>
  <si>
    <t>3.1</t>
  </si>
  <si>
    <t>1.1</t>
  </si>
  <si>
    <t>2.5.2-1829.35</t>
  </si>
  <si>
    <t>PROD. MEDICO/FARMACEUTICOS/LAB</t>
  </si>
  <si>
    <t>ANTIVIRALES; TIPO: MONODROGA, DROGA GENERICA: ACICLOVIR, FORMA FARMACEUTICA: COMPRIMIDO, PRESENTACION: 400 mGr</t>
  </si>
  <si>
    <t>COMPRIMIDO</t>
  </si>
  <si>
    <t>2.5.2-1821.235</t>
  </si>
  <si>
    <t>ANTIBIOTICOS P/PERSONAS; TIPO: MONODROGA, DROGA GENERICA: ACICLOVIR 500 MG, FORMA FARMACEUTICA: FRASCO AMPOLLA, PRESENTACION: 500 mGr</t>
  </si>
  <si>
    <t>AMPOLLA</t>
  </si>
  <si>
    <t>2.5.2-1724.16</t>
  </si>
  <si>
    <t>ANALGESICOS ; TIPO: MONODROGA, DROGA GENERICA: ACIDO ACETILSALICILICO, PRESENTACION: 100 mGr, FORMA FARMACEUTICA: COMPRIMIDO</t>
  </si>
  <si>
    <t>2.5.2-1864.6</t>
  </si>
  <si>
    <t>HIPOURICEMIANTES; TIPO: MONODROGA, DROGA GENERICA: ALLOPURINOL 300 mGr, FORMA FARMACEUTICA: COMPRIMIDO, PRESENTACION: UNIDAD</t>
  </si>
  <si>
    <t>2.5.2-1821.1</t>
  </si>
  <si>
    <t>ANTIBIOTICOS P/PERSONAS; TIPO: MONODROGA, DROGA GENERICA: AMIKACINA, PRESENTACION: 500 mGr, FORMA FARMACEUTICA: AMPOLLA</t>
  </si>
  <si>
    <t>2.5.2-1821.440</t>
  </si>
  <si>
    <t>ANTIBIOTICOS P/PERSONAS; TIPO: ASOCIACION, DROGA GENERICA: AMOXICIL. 875 MG+CLAVUL.125 MG mGr, FORMA FARMACEUTICA: COMPRIMIDO, PRESENTACION: UNIDAD</t>
  </si>
  <si>
    <t>2.5.2-1821.389</t>
  </si>
  <si>
    <t>ANTIBIOTICOS P/PERSONAS; TIPO: ASOCIACION, DROGA GENERICA: AMPICILINA + SULBACTAN, FORMA FARMACEUTICA: FRASCO AMPOLLA, PRESENTACION: ENVASE X 1,5 GR</t>
  </si>
  <si>
    <t>2.5.2-1821.8</t>
  </si>
  <si>
    <t>ANTIBIOTICOS P/PERSONAS; TIPO: MONODROGA, DROGA GENERICA: AMPICILINA, FORMA FARMACEUTICA: AMPOLLA, PRESENTACION: 1 GR</t>
  </si>
  <si>
    <t>2.5.2-1821.5</t>
  </si>
  <si>
    <t>ANTIBIOTICOS P/PERSONAS; TIPO: MONODROGA, DROGA GENERICA: AMPICILINA, FORMA FARMACEUTICA: COMPRIMIDOS, PRESENTACION: 500 mGr</t>
  </si>
  <si>
    <t>2.5.2-1823.113</t>
  </si>
  <si>
    <t>ANTIMICOTICOS; DROGA GENERICA: ANFOTERICINA B LIPOSOMAL, FORMA FARMACEUTICA: AMPOLLA, PRESENTACION: 50 MGR, TIPO: MONODROGA</t>
  </si>
  <si>
    <t>2.5.2-1883.139</t>
  </si>
  <si>
    <t>ANESTESICOS LOCALES; TIPO: ASOCIACION, DROGA GENERICA: BUPIVACAINA 0,5 % C/EPINEFRINA, FORMA FARMACEUTICA: FRASCO AMPOLLA, PRESENTACION: ENVASE X 20 mL</t>
  </si>
  <si>
    <t>FRASCO</t>
  </si>
  <si>
    <t>2.5.2-1883.24</t>
  </si>
  <si>
    <t>ANESTESICOS LOCALES; TIPO: MONODROGA, DROGA GENERICA: BUPIVACAINA 0,5 %, FORMA FARMACEUTICA: FRASCO, PRESENTACION: 20 mL</t>
  </si>
  <si>
    <t>2.5.2-1883.188</t>
  </si>
  <si>
    <t>ANESTESICOS LOCALES; TIPO: MONODROGA, DROGA GENERICA: BUPIVACAINA 0,5% HIPERBARICA, FORMA FARMACEUTICA: AMPOLLA, PRESENTACION: 4 ML CON AGUJA 27 G X 3 1/2 CON INTRODUCTOR</t>
  </si>
  <si>
    <t>2.5.2-1821.321</t>
  </si>
  <si>
    <t>ANTIBIOTICOS P/PERSONAS; TIPO: MONODROGA, DROGA GENERICA: CEFALEXINA 500 mGr, FORMA FARMACEUTICA: COMPRIMIDO, PRESENTACION: 1 UN</t>
  </si>
  <si>
    <t>2.5.2-1821.405</t>
  </si>
  <si>
    <t>ANTIBIOTICOS P/PERSONAS; TIPO: MONODROGA, DROGA GENERICA: CEFALOTINA SODICA, FORMA FARMACEUTICA: FRASCO AMPOLLA, PRESENTACION: 1 GR</t>
  </si>
  <si>
    <t>2.5.2-1821.387</t>
  </si>
  <si>
    <r>
      <t xml:space="preserve">ANTIBIOTICOS P/PERSONAS; TIPO: MONODROGA, DROGA GENERICA: CIPROFLOXACINA, FORMA FARMACEUTICA: </t>
    </r>
    <r>
      <rPr>
        <sz val="10"/>
        <color theme="1"/>
        <rFont val="Arial"/>
        <family val="2"/>
      </rPr>
      <t>SACHET</t>
    </r>
    <r>
      <rPr>
        <sz val="10"/>
        <color rgb="FF000000"/>
        <rFont val="Arial"/>
        <family val="2"/>
      </rPr>
      <t>, PRESENTACION: ENVASE X 200 mGr</t>
    </r>
  </si>
  <si>
    <t>SACHET</t>
  </si>
  <si>
    <t>2.5.2-1821.46</t>
  </si>
  <si>
    <t>ANTIBIOTICOS P/PERSONAS; TIPO: MONODROGA, FORMA FARMACEUTICA: COMPRIMIDO, PRESENTACION: 500 mGr, DROGA GENERICA: CIPROFLOXACINA</t>
  </si>
  <si>
    <t>2.5.2-1821.43</t>
  </si>
  <si>
    <t>ANTIBIOTICOS P/PERSONAS; TIPO: MONODROGA, DROGA GENERICA: CLINDAMICINA, FORMA FARMACEUTICA: AMPOLLA, PRESENTACION: 600 mGr</t>
  </si>
  <si>
    <t>2.5.2-1726.526</t>
  </si>
  <si>
    <t>SOLUCIONES P/MEDICINA; TIPO: CONTRASTE RADIOLOGICO NO IONICO, PRESENTACION: ENVASE X 50 ML</t>
  </si>
  <si>
    <t>2.5.2-1821.525</t>
  </si>
  <si>
    <t>ANTIBIOTICOS P/PERSONAS; TIPO: MONODROGA, DROGA GENERICA: COTRIMOXAZOL, FORMA FARMACEUTICA: AMPOLLA, PRESENTACION: 80 MG/ 400 MG</t>
  </si>
  <si>
    <t>2.5.2-1726.528</t>
  </si>
  <si>
    <t>SOLUCIONES P/MEDICINA; TIPO: DIATRIZOATO DE SODIO 25 GR; PRESENTACION: FRASCO X 50 ML</t>
  </si>
  <si>
    <t>2.5.2-1726.512</t>
  </si>
  <si>
    <t>SOLUCIONES P/MEDICINA; TIPO: DIATRIZOATO DE MEGLUMINA + DIATRIZOATO DE SODIO; PRESENTACION: FRASCO x 120 ml</t>
  </si>
  <si>
    <t>2.5.2-1724.140</t>
  </si>
  <si>
    <t>ANALGESICOS ; TIPO: MONODROGA, DROGA GENERICA: DICLOFENAC X 75 MG, FORMA FARMACEUTICA: COMPRIMIDO, PRESENTACION: UNIDAD</t>
  </si>
  <si>
    <t>2.5.2-1724.117</t>
  </si>
  <si>
    <r>
      <t xml:space="preserve">ANALGESICOS ; TIPO: ASOCIACION, DROGA GENERICA: DICLOFENAC </t>
    </r>
    <r>
      <rPr>
        <sz val="10"/>
        <color theme="1"/>
        <rFont val="Arial"/>
        <family val="2"/>
      </rPr>
      <t>SODICO</t>
    </r>
    <r>
      <rPr>
        <b/>
        <sz val="10"/>
        <color rgb="FFFF0000"/>
        <rFont val="Arial"/>
        <family val="2"/>
      </rPr>
      <t>,</t>
    </r>
    <r>
      <rPr>
        <sz val="10"/>
        <color rgb="FF000000"/>
        <rFont val="Arial"/>
        <family val="2"/>
      </rPr>
      <t xml:space="preserve"> FORMA FARMACEUTICA: AMPOLLA, PRESENTACION: 3 Ml</t>
    </r>
  </si>
  <si>
    <t>2.5.2-1724.208</t>
  </si>
  <si>
    <t>ANALGESICOS ; TIPO: MONODROGA, DROGA GENERICA: DIPIRONA SODICA 1 GR, FORMA FARMACEUTICA: AMPOLLA, PRESENTACION: 2 mL</t>
  </si>
  <si>
    <t>2.5.2-1821.238</t>
  </si>
  <si>
    <t>ANTIBIOTICOS P/PERSONAS; TIPO: MONODROGA, DROGA GENERICA: FLUCONAZOL 100 MG, FORMA FARMACEUTICA: COMPRIMIDO, PRESENTACION: 100 mGr</t>
  </si>
  <si>
    <t>2.5.2-1821.442</t>
  </si>
  <si>
    <t>ANTIBIOTICOS P/PERSONAS; TIPO: MONODROGA, DROGA GENERICA: FLUCONAZOL 200 MG, FORMA FARMACEUTICA: SOLUCION INYECTABLE, PRESENTACION: ENVASE X 100 mL</t>
  </si>
  <si>
    <t>ENVASE</t>
  </si>
  <si>
    <t>2.5.2-1821.491</t>
  </si>
  <si>
    <t>ANTIBIOTICOS P/PERSONAS; TIPO: MONODROGA, DROGA GENERICA: FOSFOMICINA, FORMA FARMACEUTICA: AMPOLLA, PRESENTACION: ENVASE X 1 GR</t>
  </si>
  <si>
    <t>2.5.2-3603.13</t>
  </si>
  <si>
    <t>EVACUANTES INTESTINALES; TIPO: ASOCIACION, DROGA GENERICA: FOSFATO MONOSODICO-BISODICO, FORMA FARMACEUTICA: SOLUCION, PRESENTACION: ENVASE X 45 mL</t>
  </si>
  <si>
    <t>2.5.2-1821.459</t>
  </si>
  <si>
    <t>ANTIBIOTICOS P/PERSONAS; TIPO: MONODROGA, DROGA GENERICA: IMIPENEM + CILASTATINA, FORMA FARMACEUTICA: FRASCO AMPOLLA, PRESENTACION: ENVASE X 500 mGr</t>
  </si>
  <si>
    <t>2.5.2-1859.29</t>
  </si>
  <si>
    <t>INMUNOMODULADORES; TIPO: MONODROGA, DROGA GENERICA: INMUNOGLOBULINA G HUMANA, FORMA FARMACEUTICA: VIAL, PRESENTACION: 10 GR</t>
  </si>
  <si>
    <t>2.5.2-2455.20</t>
  </si>
  <si>
    <t>ANESTESICOS GENERALES; DROGA GENERICA: KETAMINA 50 MG/ML, FORMA FARMACEUTICA: FRASCO AMPOLLA, PRESENTACION: 10 mL, TIPO: MONODROGA</t>
  </si>
  <si>
    <t>2.5.2-1724.23</t>
  </si>
  <si>
    <t>ANALGESICOS ; TIPO: MONODROGA, DROGA GENERICA: KETOROLAC, FORMA FARMACEUTICA: AMPOLLA, PRESENTACION: 30 mGr</t>
  </si>
  <si>
    <t>2.5.2-1883.186</t>
  </si>
  <si>
    <t>ANESTESICOS LOCALES; TIPO: MONODROGA, DROGA GENERICA: LIDOCAINA 2%S/EPINEFRINA, FORMA FARMACEUTICA: AMPOLLA, PRESENTACION: 5 mL</t>
  </si>
  <si>
    <t>2.5.2-1883.136</t>
  </si>
  <si>
    <t>ANESTESICOS LOCALES; TIPO: MONODROGA, DROGA GENERICA: LIDOCAINA 2% S/EPINEFRINA, FORMA FARMACEUTICA: FRASCO AMPOLLA, PRESENTACION: ENVASE X 20 mL</t>
  </si>
  <si>
    <t>2.5.2-1883.111</t>
  </si>
  <si>
    <t>ANESTESICOS LOCALES; TIPO: ASOCIACION, DROGA GENERICA: LIDOCAINA 2% C/EPINEFRINA, FORMA FARMACEUTICA: FRASCO AMPOLLA, PRESENTACION: 20 mL</t>
  </si>
  <si>
    <t>2.5.2-1883.149</t>
  </si>
  <si>
    <t>ANESTESICOS LOCALES; TIPO: MONODROGA, DROGA GENERICA: LIDOCAINA, FORMA FARMACEUTICA: JALEA, PRESENTACION: ENVASE X 25 GR</t>
  </si>
  <si>
    <t>2.5.2-1883.19</t>
  </si>
  <si>
    <t>ANESTESICOS LOCALES; TIPO: MONODROGA, DROGA GENERICA: LIDOCAINA VISCOSA, FORMA FARMACEUTICA: ENVASE, PRESENTACION: 50 mL</t>
  </si>
  <si>
    <t>2.5.2-1821.329</t>
  </si>
  <si>
    <t>ANTIBIOTICOS P/PERSONAS; TIPO: MONODROGA, DROGA GENERICA: LINEZOLID, FORMA FARMACEUTICA: SOLUCION, PRESENTACION: ENVASE X 300 mL</t>
  </si>
  <si>
    <t>2.5.2-1821.400</t>
  </si>
  <si>
    <t>ANTIBIOTICOS P/PERSONAS; TIPO: MONODROGA, DROGA GENERICA: METRONIDAZOL 500 mGr, FORMA FARMACEUTICA: SACHET X 100 mL, PRESENTACION: UNIDAD</t>
  </si>
  <si>
    <t>2.5.2-1821.115</t>
  </si>
  <si>
    <t>ANTIBIOTICOS P/PERSONAS; TIPO: MONODROGA, DROGA GENERICA: MINOCICLINA, FORMA FARMACEUTICA: COMPRIMIDO, PRESENTACION: 100 mGr</t>
  </si>
  <si>
    <t>2.5.2-1724.98</t>
  </si>
  <si>
    <t>ANALGESICOS ; TIPO: MONODROGA, DROGA GENERICA: MORFINA CLORIDRATO 1%, FORMA FARMACEUTICA: AMPOLLA, PRESENTACION: 1 mL</t>
  </si>
  <si>
    <t>2.5.2-1724.206</t>
  </si>
  <si>
    <t>ANALGESICOS ; TIPO: MONODROGA, DROGA GENERICA: NALBUFINA 10 mGr, FORMA FARMACEUTICA: AMPOLLA, PRESENTACION: ENVASE X 1 mL</t>
  </si>
  <si>
    <t>2.5.2-1883.165</t>
  </si>
  <si>
    <t>ANESTESICOS LOCALES; TIPO: MONODROGA, DROGA GENERICA: PANCURONIO BROMURO 4 mGr, FORMA FARMACEUTICA: AMPOLLA, PRESENTACION: ENVASE X 2 mL</t>
  </si>
  <si>
    <t>2.5.2-1724.243</t>
  </si>
  <si>
    <t>ANALGESICOS ; TIPO: MONODROGA, DROGA GENERICA: PARACETAMOL 1 GR, FORMA FARMACEUTICA: COMPRIMIDO, PRESENTACION: UNIDAD</t>
  </si>
  <si>
    <t>2.5.2-1724.245</t>
  </si>
  <si>
    <t>ANALGÉSICOS ; TIPO: MONODROGA, DROGA GENÉRICA: PARACETAMOL 500 MGR, FORMA FARMACEÚTICA: COMPRIMIDO, PRESENTACIÓN: X UNIDAD</t>
  </si>
  <si>
    <t>2.5.2-1821.220</t>
  </si>
  <si>
    <t>ANTIBIOTICOS P/PERSONAS; TIPO: MONODROGA, DROGA GENERICA: PENICILINA G. BENZATINICA, FORMA FARMACEUTICA: FRASCO AMPOLLA, PRESENTACION: 2.400.000 UI</t>
  </si>
  <si>
    <t>2.5.2-1821.13</t>
  </si>
  <si>
    <t>ANTIBIOTICOS P/PERSONAS; TIPO: MONODROGA, DROGA GENERICA: PENICILINA G. SODICA, FORMA FARMACEUTICA: AMPOLLA, PRESENTACION: 3.000.000 UI</t>
  </si>
  <si>
    <t>2.5.2-3603.15</t>
  </si>
  <si>
    <t>EVACUANTES INTESTINALES; TIPO: MONODROGA, DROGA GENERICA: POLIETILENGLICOL, FORMA FARMACEUTICA: SOLUCION, PRESENTACION: ENVASE X 4 L</t>
  </si>
  <si>
    <t>2.5.2-2455.48</t>
  </si>
  <si>
    <t>ANESTESICOS GENERALES; DROGA GENERICA: PROPOFOL 200mGr, FORMA FARMACEUTICA: AMPOLLA, PRESENTACION ENVASE: X 50ml, TIPO: MONODROGA</t>
  </si>
  <si>
    <t>2.5.2-2455.49</t>
  </si>
  <si>
    <t>ANESTÉSICOS GENERALES; DROGA GENÉRICA: PROPOFOL 2%, 400MGR, FORMA FARMACEÚTICA: AMPOLLA, PRESENTACIÓN ENVASE: X 50ML, TIPO: MONODROGA</t>
  </si>
  <si>
    <t>2.5.2-1883.173</t>
  </si>
  <si>
    <t>ANESTESICOS LOCALES; TIPO: MONODROGA, DROGA GENERICA: REMIFENTANILO 5 mGr, FORMA FARMACEUTICA: AMPOLLA, PRESENTACION: UNIDAD</t>
  </si>
  <si>
    <t>2.5.2-1822.6</t>
  </si>
  <si>
    <t>ANTIMICOBACTERIAS; TIPO: MONODROGA, DROGA GENERICA: RIFAMPICINA, PRESENTACION: 300 mGr, FORMA FARMACEUTICA: CAPSULA</t>
  </si>
  <si>
    <t>CAPSULAS</t>
  </si>
  <si>
    <t>2.5.2-1821.219</t>
  </si>
  <si>
    <t>ANTIBIOTICOS P/PERSONAS; TIPO: MONODROGA, DROGA GENERICA: RIFAMPICINA, FORMA FARMACEUTICA: FRASCO AMPOLLA, PRESENTACION: 600 mGr</t>
  </si>
  <si>
    <t>2.5.2-2455.31</t>
  </si>
  <si>
    <t>ANESTESICOS GENERALES; DROGA GENERICA: SEVOFLUORANO, FORMA FARMACEUTICA: SOLUCION, PRESENTACION: ENVASE X 250 mL, TIPO: MONODROGA</t>
  </si>
  <si>
    <t>2.5.2-2199.2</t>
  </si>
  <si>
    <t>BLOQUEANTES NEUROMUSCULARES; DROGA GENERICA: SUCCINILCOLINA, FORMA FARMACEUTICA: AMPOLLA, PRESENTACION: 500 mGr, TIPO: MONODROGA</t>
  </si>
  <si>
    <t>2.5.2-2199.13</t>
  </si>
  <si>
    <t>BLOQUEANTES NEUROMUSCULARES; DROGA GENERICA: BROMURO DE VECURONIO, FORMA FARMACEUTICA: AMPOLLA X 10 mGr, PRESENTACION: UNIDAD, TIPO: MONODROGA</t>
  </si>
  <si>
    <t>Costo total estimado: veintidos millones trescientos ochenta y siete mil doscientos ochenta y nueve con 00/100.------------</t>
  </si>
  <si>
    <t>TOTAL DE PESOS: VEINTIDOS MILLONES TRESCIENTOS OCHENTA Y SIETE MIL DOSCIENTOS OCHENTA Y NUEVE CON 00/100.--</t>
  </si>
  <si>
    <t>Presentar copia certificada de Resolución de Habilitación expedida por la Subsecretaria de Asistencia en Salud  Publica o copia certificada de Certificado de Habilitación de Establecimiento y/o copia certificada de Certificado de Transito Interjurisdiccional emitido por A.N.M.A.T, el que correspondiere conforme a la situación de cada establecimiento cotizante (Laboratorio, Droguería, etc.), en caso de corresponder. Indicar Marca y Numero de Certificado de ANMAT por ítem.VENCIMIENTO DE MEDICAMENTOS: UN PLAZO NO MENOR A 24 MESES DE LA FECHA DE RECEPCION.</t>
  </si>
  <si>
    <t xml:space="preserve">PLAZO DE MANTENIMIENTO DE OFERTA: 45 DIAS HABILES </t>
  </si>
  <si>
    <t>PLAZO DE ENTREGA: 20 DIAS CORRIDOS EN EL SERVICIO DE FARMACIA - AVDA. ILLIA Y MARIANO MORENO - DEBIENDO CORRER LOS GASTOS DE FLETES, ACARREO, CARGA, DESCARGA Y SEGURO A CARGO DEL ADJUDICATARIO.</t>
  </si>
  <si>
    <t>Adquisición de Medicamentos Antiinfecciosos, Analgesicos y otros</t>
  </si>
  <si>
    <t>20 dias corridos  - Servicio de Farmacia del HISJB - Avda. Illia y Mariano Moreno - DEBIENDO CORRER LOS GASTOS DE FLETES, ACARREO, CARGA, DESCARGA Y SEGURO A CARGO DEL ADJUDICATARIO.</t>
  </si>
  <si>
    <t>DOCFI-2022-00856363-CAT-DASIS#HSJB</t>
  </si>
  <si>
    <t>DIAS CORRIDOS</t>
  </si>
  <si>
    <t>ESPECIFICACIONES</t>
  </si>
  <si>
    <t>REVER 24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</si>
</sst>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_-&quot;$&quot;\ * #,##0.00_-;\-&quot;$&quot;\ * #,##0.00_-;_-&quot;$&quot;\ * &quot;-&quot;??_-;_-@"/>
  </numFmts>
  <fonts count="35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9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9"/>
      <color rgb="FF000000"/>
      <name val="Times New Roman"/>
      <family val="1"/>
    </font>
    <font>
      <sz val="9"/>
      <color rgb="FF000000"/>
      <name val="Arial"/>
      <family val="2"/>
    </font>
    <font>
      <b/>
      <sz val="8"/>
      <name val="Arial"/>
      <family val="2"/>
      <charset val="1"/>
    </font>
    <font>
      <sz val="20"/>
      <name val="Times New Roman"/>
      <family val="1"/>
    </font>
    <font>
      <b/>
      <sz val="9"/>
      <name val="Times New Roman"/>
      <family val="1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auto="1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210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9" fillId="0" borderId="14" xfId="0" applyFont="1" applyBorder="1" applyAlignment="1">
      <alignment horizontal="center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6" fillId="5" borderId="48" xfId="0" applyFont="1" applyFill="1" applyBorder="1" applyAlignment="1">
      <alignment vertical="center"/>
    </xf>
    <xf numFmtId="0" fontId="0" fillId="5" borderId="48" xfId="0" applyFont="1" applyFill="1" applyBorder="1" applyAlignment="1">
      <alignment horizontal="left" vertical="center" wrapText="1"/>
    </xf>
    <xf numFmtId="3" fontId="14" fillId="5" borderId="48" xfId="0" applyNumberFormat="1" applyFont="1" applyFill="1" applyBorder="1" applyAlignment="1">
      <alignment horizontal="center" vertical="center"/>
    </xf>
    <xf numFmtId="0" fontId="0" fillId="5" borderId="48" xfId="0" applyFont="1" applyFill="1" applyBorder="1" applyAlignment="1">
      <alignment horizontal="center" vertical="center" wrapText="1"/>
    </xf>
    <xf numFmtId="0" fontId="14" fillId="5" borderId="50" xfId="0" applyFont="1" applyFill="1" applyBorder="1" applyAlignment="1">
      <alignment horizontal="center" vertical="center"/>
    </xf>
    <xf numFmtId="169" fontId="14" fillId="5" borderId="54" xfId="0" applyNumberFormat="1" applyFont="1" applyFill="1" applyBorder="1" applyAlignment="1">
      <alignment horizontal="right" vertical="center"/>
    </xf>
    <xf numFmtId="166" fontId="20" fillId="4" borderId="56" xfId="1" applyNumberFormat="1" applyFont="1" applyFill="1" applyBorder="1" applyAlignment="1" applyProtection="1">
      <alignment horizontal="right" vertical="center" wrapText="1"/>
    </xf>
    <xf numFmtId="0" fontId="21" fillId="0" borderId="0" xfId="0" applyFont="1" applyAlignment="1">
      <alignment horizontal="left" wrapText="1"/>
    </xf>
    <xf numFmtId="0" fontId="30" fillId="0" borderId="14" xfId="0" applyFont="1" applyBorder="1" applyAlignment="1">
      <alignment horizontal="center" vertical="center" wrapText="1"/>
    </xf>
    <xf numFmtId="0" fontId="24" fillId="5" borderId="48" xfId="0" applyFont="1" applyFill="1" applyBorder="1" applyAlignment="1">
      <alignment horizontal="center" vertical="center"/>
    </xf>
    <xf numFmtId="0" fontId="20" fillId="0" borderId="0" xfId="0" applyFont="1"/>
    <xf numFmtId="0" fontId="20" fillId="0" borderId="0" xfId="0" applyFont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center" vertical="center"/>
    </xf>
    <xf numFmtId="3" fontId="14" fillId="0" borderId="0" xfId="0" applyNumberFormat="1" applyFont="1" applyFill="1" applyBorder="1" applyAlignment="1">
      <alignment horizontal="center" vertical="center"/>
    </xf>
    <xf numFmtId="169" fontId="14" fillId="0" borderId="0" xfId="0" applyNumberFormat="1" applyFont="1" applyFill="1" applyBorder="1" applyAlignment="1">
      <alignment horizontal="right" vertical="center"/>
    </xf>
    <xf numFmtId="166" fontId="20" fillId="4" borderId="0" xfId="1" applyNumberFormat="1" applyFont="1" applyFill="1" applyBorder="1" applyAlignment="1" applyProtection="1">
      <alignment horizontal="right" vertical="center" wrapText="1"/>
    </xf>
    <xf numFmtId="0" fontId="15" fillId="5" borderId="0" xfId="0" applyFont="1" applyFill="1"/>
    <xf numFmtId="0" fontId="20" fillId="5" borderId="52" xfId="0" applyFont="1" applyFill="1" applyBorder="1" applyAlignment="1">
      <alignment horizontal="center" vertical="center"/>
    </xf>
    <xf numFmtId="0" fontId="34" fillId="4" borderId="1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15" fillId="6" borderId="20" xfId="0" applyFont="1" applyFill="1" applyBorder="1" applyAlignment="1">
      <alignment horizontal="center" vertical="center" wrapText="1"/>
    </xf>
    <xf numFmtId="0" fontId="15" fillId="6" borderId="58" xfId="0" applyFont="1" applyFill="1" applyBorder="1" applyAlignment="1">
      <alignment horizontal="center" vertical="center" wrapText="1"/>
    </xf>
    <xf numFmtId="0" fontId="15" fillId="6" borderId="21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167" fontId="7" fillId="0" borderId="14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 inden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29" fillId="0" borderId="32" xfId="0" applyFont="1" applyBorder="1" applyAlignment="1">
      <alignment horizontal="left" vertical="center" wrapText="1"/>
    </xf>
    <xf numFmtId="0" fontId="2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32" fillId="0" borderId="44" xfId="0" applyFont="1" applyBorder="1" applyAlignment="1">
      <alignment horizontal="left" vertical="center" wrapText="1"/>
    </xf>
    <xf numFmtId="0" fontId="0" fillId="0" borderId="22" xfId="0" applyBorder="1"/>
    <xf numFmtId="0" fontId="15" fillId="0" borderId="20" xfId="0" applyFont="1" applyFill="1" applyBorder="1" applyAlignment="1">
      <alignment horizontal="center" vertical="center"/>
    </xf>
    <xf numFmtId="0" fontId="15" fillId="0" borderId="58" xfId="0" applyFont="1" applyFill="1" applyBorder="1" applyAlignment="1">
      <alignment horizontal="center" vertical="center"/>
    </xf>
    <xf numFmtId="0" fontId="15" fillId="0" borderId="21" xfId="0" applyFont="1" applyFill="1" applyBorder="1" applyAlignment="1">
      <alignment horizontal="center" vertical="center"/>
    </xf>
    <xf numFmtId="0" fontId="15" fillId="0" borderId="0" xfId="0" applyFont="1" applyFill="1"/>
    <xf numFmtId="0" fontId="20" fillId="0" borderId="0" xfId="0" applyFont="1" applyFill="1"/>
    <xf numFmtId="0" fontId="22" fillId="0" borderId="2" xfId="0" applyFont="1" applyFill="1" applyBorder="1"/>
    <xf numFmtId="0" fontId="15" fillId="0" borderId="3" xfId="0" applyFont="1" applyFill="1" applyBorder="1"/>
    <xf numFmtId="0" fontId="15" fillId="0" borderId="4" xfId="0" applyFont="1" applyFill="1" applyBorder="1"/>
    <xf numFmtId="0" fontId="15" fillId="0" borderId="5" xfId="0" applyFont="1" applyFill="1" applyBorder="1"/>
    <xf numFmtId="0" fontId="15" fillId="0" borderId="0" xfId="0" applyFont="1" applyFill="1" applyBorder="1"/>
    <xf numFmtId="0" fontId="15" fillId="0" borderId="6" xfId="0" applyFont="1" applyFill="1" applyBorder="1"/>
    <xf numFmtId="0" fontId="22" fillId="0" borderId="5" xfId="0" applyFont="1" applyFill="1" applyBorder="1" applyAlignment="1">
      <alignment horizontal="left" indent="3"/>
    </xf>
    <xf numFmtId="0" fontId="15" fillId="0" borderId="6" xfId="0" applyFont="1" applyFill="1" applyBorder="1" applyAlignment="1">
      <alignment horizontal="center" wrapText="1"/>
    </xf>
    <xf numFmtId="0" fontId="15" fillId="0" borderId="5" xfId="0" applyFont="1" applyFill="1" applyBorder="1" applyAlignment="1">
      <alignment horizontal="left" indent="3"/>
    </xf>
    <xf numFmtId="0" fontId="15" fillId="0" borderId="0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left" vertical="center" wrapText="1"/>
    </xf>
    <xf numFmtId="0" fontId="15" fillId="0" borderId="6" xfId="0" applyFont="1" applyFill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center" wrapText="1"/>
    </xf>
    <xf numFmtId="0" fontId="15" fillId="0" borderId="6" xfId="0" applyFont="1" applyFill="1" applyBorder="1" applyAlignment="1">
      <alignment horizontal="left" wrapText="1"/>
    </xf>
    <xf numFmtId="0" fontId="15" fillId="0" borderId="7" xfId="0" applyFont="1" applyFill="1" applyBorder="1" applyAlignment="1">
      <alignment horizontal="left" indent="3"/>
    </xf>
    <xf numFmtId="0" fontId="15" fillId="0" borderId="8" xfId="0" applyFont="1" applyFill="1" applyBorder="1"/>
    <xf numFmtId="0" fontId="15" fillId="0" borderId="9" xfId="0" applyFont="1" applyFill="1" applyBorder="1"/>
    <xf numFmtId="0" fontId="20" fillId="6" borderId="52" xfId="0" applyFont="1" applyFill="1" applyBorder="1" applyAlignment="1">
      <alignment horizontal="center" vertical="center"/>
    </xf>
    <xf numFmtId="0" fontId="25" fillId="6" borderId="50" xfId="0" applyFont="1" applyFill="1" applyBorder="1" applyAlignment="1">
      <alignment horizontal="center" vertical="center"/>
    </xf>
    <xf numFmtId="0" fontId="26" fillId="6" borderId="48" xfId="0" applyFont="1" applyFill="1" applyBorder="1" applyAlignment="1">
      <alignment vertical="center"/>
    </xf>
    <xf numFmtId="0" fontId="0" fillId="6" borderId="48" xfId="0" applyFont="1" applyFill="1" applyBorder="1" applyAlignment="1">
      <alignment horizontal="center" vertical="center" wrapText="1"/>
    </xf>
    <xf numFmtId="0" fontId="25" fillId="6" borderId="48" xfId="0" applyFont="1" applyFill="1" applyBorder="1" applyAlignment="1">
      <alignment horizontal="left" vertical="center" wrapText="1"/>
    </xf>
    <xf numFmtId="0" fontId="24" fillId="6" borderId="48" xfId="0" applyFont="1" applyFill="1" applyBorder="1" applyAlignment="1">
      <alignment horizontal="center" vertical="center"/>
    </xf>
    <xf numFmtId="3" fontId="14" fillId="6" borderId="48" xfId="0" applyNumberFormat="1" applyFont="1" applyFill="1" applyBorder="1" applyAlignment="1">
      <alignment horizontal="center" vertical="center"/>
    </xf>
    <xf numFmtId="169" fontId="14" fillId="6" borderId="54" xfId="0" applyNumberFormat="1" applyFont="1" applyFill="1" applyBorder="1" applyAlignment="1">
      <alignment horizontal="center" vertical="center"/>
    </xf>
    <xf numFmtId="166" fontId="20" fillId="3" borderId="56" xfId="1" applyNumberFormat="1" applyFont="1" applyFill="1" applyBorder="1" applyAlignment="1" applyProtection="1">
      <alignment horizontal="right" vertical="center" wrapText="1"/>
    </xf>
    <xf numFmtId="0" fontId="15" fillId="6" borderId="0" xfId="0" applyFont="1" applyFill="1"/>
    <xf numFmtId="0" fontId="15" fillId="6" borderId="0" xfId="0" applyFont="1" applyFill="1" applyAlignment="1">
      <alignment horizontal="center"/>
    </xf>
    <xf numFmtId="0" fontId="15" fillId="6" borderId="5" xfId="0" applyFont="1" applyFill="1" applyBorder="1" applyAlignment="1">
      <alignment horizontal="center"/>
    </xf>
    <xf numFmtId="0" fontId="20" fillId="0" borderId="51" xfId="0" applyFont="1" applyFill="1" applyBorder="1" applyAlignment="1">
      <alignment horizontal="center" vertical="center"/>
    </xf>
    <xf numFmtId="0" fontId="25" fillId="0" borderId="50" xfId="0" applyFont="1" applyFill="1" applyBorder="1" applyAlignment="1">
      <alignment horizontal="center" vertical="center"/>
    </xf>
    <xf numFmtId="0" fontId="26" fillId="0" borderId="48" xfId="0" applyFont="1" applyFill="1" applyBorder="1" applyAlignment="1">
      <alignment vertical="center"/>
    </xf>
    <xf numFmtId="0" fontId="0" fillId="0" borderId="48" xfId="0" applyFont="1" applyFill="1" applyBorder="1" applyAlignment="1">
      <alignment horizontal="center" vertical="center" wrapText="1"/>
    </xf>
    <xf numFmtId="0" fontId="25" fillId="0" borderId="48" xfId="0" applyFont="1" applyFill="1" applyBorder="1" applyAlignment="1">
      <alignment vertical="center" wrapText="1"/>
    </xf>
    <xf numFmtId="0" fontId="24" fillId="0" borderId="48" xfId="0" applyFont="1" applyFill="1" applyBorder="1" applyAlignment="1">
      <alignment horizontal="center" vertical="center"/>
    </xf>
    <xf numFmtId="3" fontId="14" fillId="0" borderId="48" xfId="0" applyNumberFormat="1" applyFont="1" applyFill="1" applyBorder="1" applyAlignment="1">
      <alignment horizontal="center" vertical="center"/>
    </xf>
    <xf numFmtId="169" fontId="14" fillId="0" borderId="54" xfId="0" applyNumberFormat="1" applyFont="1" applyFill="1" applyBorder="1" applyAlignment="1">
      <alignment horizontal="center" vertical="center"/>
    </xf>
    <xf numFmtId="166" fontId="20" fillId="0" borderId="55" xfId="1" applyNumberFormat="1" applyFont="1" applyFill="1" applyBorder="1" applyAlignment="1" applyProtection="1">
      <alignment horizontal="right" vertical="center" wrapText="1"/>
    </xf>
    <xf numFmtId="0" fontId="20" fillId="0" borderId="52" xfId="0" applyFont="1" applyFill="1" applyBorder="1" applyAlignment="1">
      <alignment horizontal="center" vertical="center"/>
    </xf>
    <xf numFmtId="166" fontId="20" fillId="0" borderId="56" xfId="1" applyNumberFormat="1" applyFont="1" applyFill="1" applyBorder="1" applyAlignment="1" applyProtection="1">
      <alignment horizontal="right" vertical="center" wrapText="1"/>
    </xf>
    <xf numFmtId="0" fontId="14" fillId="0" borderId="50" xfId="0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center" vertical="center" wrapText="1"/>
    </xf>
    <xf numFmtId="0" fontId="14" fillId="0" borderId="48" xfId="0" applyFont="1" applyFill="1" applyBorder="1" applyAlignment="1">
      <alignment wrapText="1"/>
    </xf>
    <xf numFmtId="0" fontId="25" fillId="0" borderId="48" xfId="0" applyFont="1" applyFill="1" applyBorder="1" applyAlignment="1">
      <alignment horizontal="left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0" fillId="0" borderId="48" xfId="0" applyFont="1" applyFill="1" applyBorder="1" applyAlignment="1">
      <alignment horizontal="left" vertical="center" wrapText="1"/>
    </xf>
    <xf numFmtId="0" fontId="0" fillId="0" borderId="50" xfId="0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vertical="center"/>
    </xf>
    <xf numFmtId="0" fontId="0" fillId="6" borderId="48" xfId="0" applyFont="1" applyFill="1" applyBorder="1" applyAlignment="1">
      <alignment horizontal="center" vertical="center"/>
    </xf>
    <xf numFmtId="0" fontId="0" fillId="6" borderId="48" xfId="0" applyFont="1" applyFill="1" applyBorder="1" applyAlignment="1">
      <alignment horizontal="left" vertical="center" wrapText="1"/>
    </xf>
    <xf numFmtId="169" fontId="14" fillId="6" borderId="54" xfId="0" applyNumberFormat="1" applyFont="1" applyFill="1" applyBorder="1" applyAlignment="1">
      <alignment horizontal="right" vertical="center"/>
    </xf>
    <xf numFmtId="0" fontId="0" fillId="0" borderId="48" xfId="0" applyFont="1" applyFill="1" applyBorder="1" applyAlignment="1">
      <alignment horizontal="center" vertical="center"/>
    </xf>
    <xf numFmtId="0" fontId="25" fillId="0" borderId="48" xfId="0" applyFont="1" applyFill="1" applyBorder="1" applyAlignment="1">
      <alignment wrapText="1"/>
    </xf>
    <xf numFmtId="169" fontId="14" fillId="0" borderId="54" xfId="0" applyNumberFormat="1" applyFont="1" applyFill="1" applyBorder="1" applyAlignment="1">
      <alignment horizontal="right" vertical="center"/>
    </xf>
    <xf numFmtId="0" fontId="25" fillId="6" borderId="0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vertical="center"/>
    </xf>
    <xf numFmtId="0" fontId="0" fillId="6" borderId="49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vertical="center" wrapText="1"/>
    </xf>
    <xf numFmtId="0" fontId="31" fillId="6" borderId="49" xfId="0" applyFont="1" applyFill="1" applyBorder="1" applyAlignment="1">
      <alignment horizontal="center" vertical="center"/>
    </xf>
    <xf numFmtId="0" fontId="0" fillId="6" borderId="49" xfId="0" applyFill="1" applyBorder="1" applyAlignment="1">
      <alignment horizontal="center" vertical="center"/>
    </xf>
    <xf numFmtId="169" fontId="14" fillId="0" borderId="54" xfId="0" applyNumberFormat="1" applyFont="1" applyFill="1" applyBorder="1" applyAlignment="1">
      <alignment vertical="center"/>
    </xf>
    <xf numFmtId="0" fontId="15" fillId="0" borderId="52" xfId="0" applyFont="1" applyFill="1" applyBorder="1" applyAlignment="1">
      <alignment horizontal="center" vertical="center"/>
    </xf>
    <xf numFmtId="0" fontId="25" fillId="0" borderId="48" xfId="0" applyFont="1" applyFill="1" applyBorder="1" applyAlignment="1">
      <alignment vertical="center"/>
    </xf>
    <xf numFmtId="0" fontId="14" fillId="0" borderId="48" xfId="0" applyFont="1" applyFill="1" applyBorder="1" applyAlignment="1">
      <alignment horizontal="left" vertical="center" wrapText="1"/>
    </xf>
    <xf numFmtId="0" fontId="14" fillId="0" borderId="48" xfId="0" applyFont="1" applyFill="1" applyBorder="1" applyAlignment="1">
      <alignment horizontal="center" vertical="center"/>
    </xf>
    <xf numFmtId="166" fontId="15" fillId="0" borderId="56" xfId="1" applyNumberFormat="1" applyFont="1" applyFill="1" applyBorder="1" applyAlignment="1" applyProtection="1">
      <alignment horizontal="right" vertical="center" wrapText="1"/>
    </xf>
    <xf numFmtId="0" fontId="20" fillId="0" borderId="53" xfId="0" applyFont="1" applyFill="1" applyBorder="1" applyAlignment="1">
      <alignment horizontal="center" vertical="center"/>
    </xf>
    <xf numFmtId="0" fontId="25" fillId="0" borderId="59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vertical="center"/>
    </xf>
    <xf numFmtId="0" fontId="0" fillId="0" borderId="59" xfId="0" applyFont="1" applyFill="1" applyBorder="1" applyAlignment="1">
      <alignment horizontal="center" vertical="center" wrapText="1"/>
    </xf>
    <xf numFmtId="0" fontId="25" fillId="0" borderId="59" xfId="0" applyFont="1" applyFill="1" applyBorder="1" applyAlignment="1">
      <alignment horizontal="left" vertical="center" wrapText="1"/>
    </xf>
    <xf numFmtId="0" fontId="24" fillId="0" borderId="59" xfId="0" applyFont="1" applyFill="1" applyBorder="1" applyAlignment="1">
      <alignment horizontal="center" vertical="center"/>
    </xf>
    <xf numFmtId="3" fontId="14" fillId="0" borderId="59" xfId="0" applyNumberFormat="1" applyFont="1" applyFill="1" applyBorder="1" applyAlignment="1">
      <alignment horizontal="center" vertical="center"/>
    </xf>
    <xf numFmtId="169" fontId="14" fillId="0" borderId="59" xfId="0" applyNumberFormat="1" applyFont="1" applyFill="1" applyBorder="1" applyAlignment="1">
      <alignment horizontal="right" vertical="center"/>
    </xf>
    <xf numFmtId="166" fontId="20" fillId="0" borderId="57" xfId="1" applyNumberFormat="1" applyFont="1" applyFill="1" applyBorder="1" applyAlignment="1" applyProtection="1">
      <alignment horizontal="right" vertical="center" wrapText="1"/>
    </xf>
    <xf numFmtId="0" fontId="15" fillId="6" borderId="14" xfId="0" applyFont="1" applyFill="1" applyBorder="1" applyAlignment="1">
      <alignment horizontal="center" vertical="center" wrapText="1"/>
    </xf>
    <xf numFmtId="0" fontId="33" fillId="6" borderId="21" xfId="0" applyFont="1" applyFill="1" applyBorder="1" applyAlignment="1">
      <alignment horizontal="center" vertical="center" wrapText="1"/>
    </xf>
    <xf numFmtId="0" fontId="24" fillId="6" borderId="0" xfId="0" applyFont="1" applyFill="1" applyBorder="1" applyAlignment="1">
      <alignment horizontal="center" vertical="center"/>
    </xf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8"/>
  <sheetViews>
    <sheetView tabSelected="1" topLeftCell="A16" zoomScale="85" zoomScaleNormal="85" workbookViewId="0">
      <selection activeCell="C77" sqref="C77:E77"/>
    </sheetView>
  </sheetViews>
  <sheetFormatPr baseColWidth="10" defaultColWidth="11" defaultRowHeight="12.75" x14ac:dyDescent="0.2"/>
  <cols>
    <col min="1" max="1" width="4.5703125" style="39" customWidth="1"/>
    <col min="2" max="2" width="14.7109375" style="39" customWidth="1"/>
    <col min="3" max="3" width="35" style="39" customWidth="1"/>
    <col min="4" max="4" width="6.28515625" style="39" customWidth="1"/>
    <col min="5" max="5" width="78.42578125" style="39" customWidth="1"/>
    <col min="6" max="6" width="14.42578125" style="68" customWidth="1"/>
    <col min="7" max="7" width="15.5703125" style="39" customWidth="1"/>
    <col min="8" max="8" width="17.7109375" style="39" customWidth="1"/>
    <col min="9" max="9" width="18.42578125" style="39" customWidth="1"/>
    <col min="10" max="10" width="11" style="39"/>
    <col min="11" max="11" width="12.42578125" style="39" bestFit="1" customWidth="1"/>
    <col min="12" max="16384" width="11" style="39"/>
  </cols>
  <sheetData>
    <row r="2" spans="1:9" ht="27" x14ac:dyDescent="0.35">
      <c r="B2" s="81" t="s">
        <v>0</v>
      </c>
      <c r="C2" s="81"/>
      <c r="D2" s="81"/>
      <c r="E2" s="81"/>
      <c r="F2" s="81"/>
      <c r="G2" s="81"/>
      <c r="H2" s="81"/>
    </row>
    <row r="4" spans="1:9" ht="18" customHeight="1" x14ac:dyDescent="0.25">
      <c r="A4" s="82" t="s">
        <v>1</v>
      </c>
      <c r="B4" s="82"/>
      <c r="C4" s="83" t="s">
        <v>58</v>
      </c>
      <c r="D4" s="83"/>
      <c r="E4" s="83"/>
      <c r="F4" s="65"/>
      <c r="G4" s="41"/>
      <c r="H4" s="40"/>
    </row>
    <row r="5" spans="1:9" ht="18" customHeight="1" x14ac:dyDescent="0.25">
      <c r="A5" s="82" t="s">
        <v>2</v>
      </c>
      <c r="B5" s="82"/>
      <c r="C5" s="83" t="s">
        <v>59</v>
      </c>
      <c r="D5" s="83"/>
      <c r="E5" s="83"/>
      <c r="F5" s="65"/>
      <c r="G5" s="41"/>
      <c r="H5" s="40"/>
    </row>
    <row r="6" spans="1:9" ht="16.5" customHeight="1" x14ac:dyDescent="0.25">
      <c r="A6" s="82" t="s">
        <v>3</v>
      </c>
      <c r="B6" s="82"/>
      <c r="C6" s="43">
        <v>2022</v>
      </c>
      <c r="D6" s="44"/>
      <c r="E6" s="44"/>
      <c r="F6" s="65"/>
      <c r="G6" s="41"/>
      <c r="H6" s="40"/>
    </row>
    <row r="7" spans="1:9" ht="16.5" customHeight="1" x14ac:dyDescent="0.25">
      <c r="A7" s="82" t="s">
        <v>4</v>
      </c>
      <c r="B7" s="82"/>
      <c r="C7" s="43">
        <v>2</v>
      </c>
      <c r="D7" s="44"/>
      <c r="E7" s="44"/>
      <c r="F7" s="65"/>
      <c r="G7" s="41"/>
      <c r="H7" s="40"/>
    </row>
    <row r="8" spans="1:9" ht="13.5" thickBot="1" x14ac:dyDescent="0.25">
      <c r="B8" s="40"/>
      <c r="C8" s="41"/>
      <c r="D8" s="40"/>
      <c r="E8" s="40"/>
      <c r="F8" s="65"/>
      <c r="G8" s="41"/>
      <c r="H8" s="40"/>
    </row>
    <row r="9" spans="1:9" ht="41.25" customHeight="1" thickBot="1" x14ac:dyDescent="0.25">
      <c r="A9" s="42" t="s">
        <v>5</v>
      </c>
      <c r="B9" s="42" t="s">
        <v>6</v>
      </c>
      <c r="C9" s="42" t="s">
        <v>7</v>
      </c>
      <c r="D9" s="42" t="s">
        <v>8</v>
      </c>
      <c r="E9" s="42" t="s">
        <v>9</v>
      </c>
      <c r="F9" s="66" t="s">
        <v>10</v>
      </c>
      <c r="G9" s="42" t="s">
        <v>11</v>
      </c>
      <c r="H9" s="42" t="s">
        <v>12</v>
      </c>
      <c r="I9" s="42" t="s">
        <v>13</v>
      </c>
    </row>
    <row r="10" spans="1:9" s="78" customFormat="1" ht="31.9" customHeight="1" x14ac:dyDescent="0.2">
      <c r="A10" s="161">
        <v>1</v>
      </c>
      <c r="B10" s="162" t="s">
        <v>66</v>
      </c>
      <c r="C10" s="163" t="s">
        <v>67</v>
      </c>
      <c r="D10" s="164">
        <v>252</v>
      </c>
      <c r="E10" s="165" t="s">
        <v>68</v>
      </c>
      <c r="F10" s="166" t="s">
        <v>69</v>
      </c>
      <c r="G10" s="167">
        <v>300</v>
      </c>
      <c r="H10" s="168">
        <v>70.099999999999994</v>
      </c>
      <c r="I10" s="169">
        <f t="shared" ref="I10:I66" si="0">G10*H10</f>
        <v>21030</v>
      </c>
    </row>
    <row r="11" spans="1:9" s="78" customFormat="1" ht="31.9" customHeight="1" x14ac:dyDescent="0.2">
      <c r="A11" s="170">
        <v>2</v>
      </c>
      <c r="B11" s="162" t="s">
        <v>70</v>
      </c>
      <c r="C11" s="163" t="s">
        <v>67</v>
      </c>
      <c r="D11" s="164">
        <v>252</v>
      </c>
      <c r="E11" s="165" t="s">
        <v>71</v>
      </c>
      <c r="F11" s="166" t="s">
        <v>72</v>
      </c>
      <c r="G11" s="167">
        <v>150</v>
      </c>
      <c r="H11" s="168">
        <v>450</v>
      </c>
      <c r="I11" s="171">
        <f t="shared" si="0"/>
        <v>67500</v>
      </c>
    </row>
    <row r="12" spans="1:9" s="78" customFormat="1" ht="31.9" customHeight="1" x14ac:dyDescent="0.2">
      <c r="A12" s="170">
        <v>3</v>
      </c>
      <c r="B12" s="162" t="s">
        <v>73</v>
      </c>
      <c r="C12" s="163" t="s">
        <v>67</v>
      </c>
      <c r="D12" s="164">
        <v>252</v>
      </c>
      <c r="E12" s="165" t="s">
        <v>74</v>
      </c>
      <c r="F12" s="166" t="s">
        <v>69</v>
      </c>
      <c r="G12" s="167">
        <v>3000</v>
      </c>
      <c r="H12" s="168">
        <v>1.55</v>
      </c>
      <c r="I12" s="171">
        <f t="shared" si="0"/>
        <v>4650</v>
      </c>
    </row>
    <row r="13" spans="1:9" s="78" customFormat="1" ht="31.9" customHeight="1" x14ac:dyDescent="0.2">
      <c r="A13" s="170">
        <v>4</v>
      </c>
      <c r="B13" s="172" t="s">
        <v>75</v>
      </c>
      <c r="C13" s="163" t="s">
        <v>67</v>
      </c>
      <c r="D13" s="173">
        <v>252</v>
      </c>
      <c r="E13" s="174" t="s">
        <v>76</v>
      </c>
      <c r="F13" s="166" t="s">
        <v>69</v>
      </c>
      <c r="G13" s="167">
        <v>360</v>
      </c>
      <c r="H13" s="168">
        <v>12.15</v>
      </c>
      <c r="I13" s="171">
        <f t="shared" si="0"/>
        <v>4374</v>
      </c>
    </row>
    <row r="14" spans="1:9" s="78" customFormat="1" ht="31.9" customHeight="1" x14ac:dyDescent="0.2">
      <c r="A14" s="170">
        <v>5</v>
      </c>
      <c r="B14" s="162" t="s">
        <v>77</v>
      </c>
      <c r="C14" s="163" t="s">
        <v>67</v>
      </c>
      <c r="D14" s="164">
        <v>252</v>
      </c>
      <c r="E14" s="175" t="s">
        <v>78</v>
      </c>
      <c r="F14" s="166" t="s">
        <v>72</v>
      </c>
      <c r="G14" s="167">
        <v>300</v>
      </c>
      <c r="H14" s="168">
        <v>87.95</v>
      </c>
      <c r="I14" s="171">
        <f t="shared" si="0"/>
        <v>26385</v>
      </c>
    </row>
    <row r="15" spans="1:9" s="78" customFormat="1" ht="31.9" customHeight="1" x14ac:dyDescent="0.2">
      <c r="A15" s="170">
        <v>6</v>
      </c>
      <c r="B15" s="162" t="s">
        <v>79</v>
      </c>
      <c r="C15" s="163" t="s">
        <v>67</v>
      </c>
      <c r="D15" s="164">
        <v>252</v>
      </c>
      <c r="E15" s="175" t="s">
        <v>80</v>
      </c>
      <c r="F15" s="166" t="s">
        <v>69</v>
      </c>
      <c r="G15" s="167">
        <v>900</v>
      </c>
      <c r="H15" s="168">
        <v>29.5</v>
      </c>
      <c r="I15" s="171">
        <f t="shared" si="0"/>
        <v>26550</v>
      </c>
    </row>
    <row r="16" spans="1:9" s="78" customFormat="1" ht="45" customHeight="1" x14ac:dyDescent="0.2">
      <c r="A16" s="170">
        <v>7</v>
      </c>
      <c r="B16" s="162" t="s">
        <v>81</v>
      </c>
      <c r="C16" s="163" t="s">
        <v>67</v>
      </c>
      <c r="D16" s="164">
        <v>252</v>
      </c>
      <c r="E16" s="175" t="s">
        <v>82</v>
      </c>
      <c r="F16" s="166" t="s">
        <v>72</v>
      </c>
      <c r="G16" s="167">
        <v>10000</v>
      </c>
      <c r="H16" s="168">
        <v>138</v>
      </c>
      <c r="I16" s="171">
        <f t="shared" si="0"/>
        <v>1380000</v>
      </c>
    </row>
    <row r="17" spans="1:11" s="78" customFormat="1" ht="31.9" customHeight="1" x14ac:dyDescent="0.2">
      <c r="A17" s="170">
        <v>8</v>
      </c>
      <c r="B17" s="162" t="s">
        <v>83</v>
      </c>
      <c r="C17" s="163" t="s">
        <v>67</v>
      </c>
      <c r="D17" s="164">
        <v>252</v>
      </c>
      <c r="E17" s="175" t="s">
        <v>84</v>
      </c>
      <c r="F17" s="166" t="s">
        <v>72</v>
      </c>
      <c r="G17" s="167">
        <v>100</v>
      </c>
      <c r="H17" s="168">
        <v>99</v>
      </c>
      <c r="I17" s="171">
        <f t="shared" si="0"/>
        <v>9900</v>
      </c>
    </row>
    <row r="18" spans="1:11" s="78" customFormat="1" ht="31.9" customHeight="1" x14ac:dyDescent="0.2">
      <c r="A18" s="170">
        <v>9</v>
      </c>
      <c r="B18" s="162" t="s">
        <v>85</v>
      </c>
      <c r="C18" s="163" t="s">
        <v>67</v>
      </c>
      <c r="D18" s="164">
        <v>252</v>
      </c>
      <c r="E18" s="175" t="s">
        <v>86</v>
      </c>
      <c r="F18" s="166" t="s">
        <v>69</v>
      </c>
      <c r="G18" s="167">
        <v>100</v>
      </c>
      <c r="H18" s="168">
        <v>17.079999999999998</v>
      </c>
      <c r="I18" s="171">
        <f t="shared" si="0"/>
        <v>1707.9999999999998</v>
      </c>
    </row>
    <row r="19" spans="1:11" s="78" customFormat="1" ht="38.25" customHeight="1" x14ac:dyDescent="0.2">
      <c r="A19" s="170">
        <v>10</v>
      </c>
      <c r="B19" s="176" t="s">
        <v>87</v>
      </c>
      <c r="C19" s="163" t="s">
        <v>67</v>
      </c>
      <c r="D19" s="164">
        <v>252</v>
      </c>
      <c r="E19" s="177" t="s">
        <v>88</v>
      </c>
      <c r="F19" s="166" t="s">
        <v>72</v>
      </c>
      <c r="G19" s="167">
        <v>30</v>
      </c>
      <c r="H19" s="168">
        <v>25452</v>
      </c>
      <c r="I19" s="171">
        <f t="shared" si="0"/>
        <v>763560</v>
      </c>
    </row>
    <row r="20" spans="1:11" s="78" customFormat="1" ht="40.5" customHeight="1" x14ac:dyDescent="0.2">
      <c r="A20" s="170">
        <v>11</v>
      </c>
      <c r="B20" s="178" t="s">
        <v>89</v>
      </c>
      <c r="C20" s="163" t="s">
        <v>67</v>
      </c>
      <c r="D20" s="164">
        <v>252</v>
      </c>
      <c r="E20" s="177" t="s">
        <v>90</v>
      </c>
      <c r="F20" s="166" t="s">
        <v>91</v>
      </c>
      <c r="G20" s="167">
        <v>25</v>
      </c>
      <c r="H20" s="168">
        <v>3100</v>
      </c>
      <c r="I20" s="171">
        <f t="shared" si="0"/>
        <v>77500</v>
      </c>
    </row>
    <row r="21" spans="1:11" s="78" customFormat="1" ht="31.9" customHeight="1" x14ac:dyDescent="0.2">
      <c r="A21" s="149">
        <v>12</v>
      </c>
      <c r="B21" s="150" t="s">
        <v>92</v>
      </c>
      <c r="C21" s="151" t="s">
        <v>67</v>
      </c>
      <c r="D21" s="152">
        <v>252</v>
      </c>
      <c r="E21" s="153" t="s">
        <v>93</v>
      </c>
      <c r="F21" s="154" t="s">
        <v>91</v>
      </c>
      <c r="G21" s="155">
        <v>20</v>
      </c>
      <c r="H21" s="156">
        <v>490</v>
      </c>
      <c r="I21" s="157">
        <f t="shared" si="0"/>
        <v>9800</v>
      </c>
      <c r="J21" s="160" t="s">
        <v>196</v>
      </c>
      <c r="K21" s="159"/>
    </row>
    <row r="22" spans="1:11" s="78" customFormat="1" ht="42" customHeight="1" x14ac:dyDescent="0.2">
      <c r="A22" s="170">
        <v>13</v>
      </c>
      <c r="B22" s="172" t="s">
        <v>94</v>
      </c>
      <c r="C22" s="163" t="s">
        <v>67</v>
      </c>
      <c r="D22" s="183">
        <v>252</v>
      </c>
      <c r="E22" s="177" t="s">
        <v>95</v>
      </c>
      <c r="F22" s="166" t="s">
        <v>72</v>
      </c>
      <c r="G22" s="167">
        <v>180</v>
      </c>
      <c r="H22" s="168">
        <v>1420</v>
      </c>
      <c r="I22" s="171">
        <f t="shared" si="0"/>
        <v>255600</v>
      </c>
    </row>
    <row r="23" spans="1:11" s="78" customFormat="1" ht="31.9" customHeight="1" x14ac:dyDescent="0.2">
      <c r="A23" s="170">
        <v>14</v>
      </c>
      <c r="B23" s="162" t="s">
        <v>96</v>
      </c>
      <c r="C23" s="163" t="s">
        <v>67</v>
      </c>
      <c r="D23" s="164">
        <v>252</v>
      </c>
      <c r="E23" s="175" t="s">
        <v>97</v>
      </c>
      <c r="F23" s="166" t="s">
        <v>69</v>
      </c>
      <c r="G23" s="167">
        <v>1500</v>
      </c>
      <c r="H23" s="168">
        <v>13.9</v>
      </c>
      <c r="I23" s="171">
        <f t="shared" si="0"/>
        <v>20850</v>
      </c>
    </row>
    <row r="24" spans="1:11" s="78" customFormat="1" ht="31.9" customHeight="1" x14ac:dyDescent="0.2">
      <c r="A24" s="170">
        <v>15</v>
      </c>
      <c r="B24" s="162" t="s">
        <v>98</v>
      </c>
      <c r="C24" s="163" t="s">
        <v>67</v>
      </c>
      <c r="D24" s="164">
        <v>252</v>
      </c>
      <c r="E24" s="175" t="s">
        <v>99</v>
      </c>
      <c r="F24" s="166" t="s">
        <v>72</v>
      </c>
      <c r="G24" s="167">
        <v>4000</v>
      </c>
      <c r="H24" s="168">
        <v>145</v>
      </c>
      <c r="I24" s="171">
        <f t="shared" si="0"/>
        <v>580000</v>
      </c>
    </row>
    <row r="25" spans="1:11" s="78" customFormat="1" ht="31.9" customHeight="1" x14ac:dyDescent="0.2">
      <c r="A25" s="170">
        <v>16</v>
      </c>
      <c r="B25" s="162" t="s">
        <v>100</v>
      </c>
      <c r="C25" s="163" t="s">
        <v>67</v>
      </c>
      <c r="D25" s="164">
        <v>252</v>
      </c>
      <c r="E25" s="175" t="s">
        <v>101</v>
      </c>
      <c r="F25" s="166" t="s">
        <v>102</v>
      </c>
      <c r="G25" s="167">
        <v>4500</v>
      </c>
      <c r="H25" s="168">
        <v>122</v>
      </c>
      <c r="I25" s="171">
        <f t="shared" si="0"/>
        <v>549000</v>
      </c>
    </row>
    <row r="26" spans="1:11" s="78" customFormat="1" ht="31.9" customHeight="1" x14ac:dyDescent="0.2">
      <c r="A26" s="170">
        <v>17</v>
      </c>
      <c r="B26" s="162" t="s">
        <v>103</v>
      </c>
      <c r="C26" s="163" t="s">
        <v>67</v>
      </c>
      <c r="D26" s="164">
        <v>252</v>
      </c>
      <c r="E26" s="184" t="s">
        <v>104</v>
      </c>
      <c r="F26" s="166" t="s">
        <v>69</v>
      </c>
      <c r="G26" s="167">
        <v>900</v>
      </c>
      <c r="H26" s="168">
        <v>9.8000000000000007</v>
      </c>
      <c r="I26" s="171">
        <f t="shared" si="0"/>
        <v>8820</v>
      </c>
    </row>
    <row r="27" spans="1:11" s="78" customFormat="1" ht="31.9" customHeight="1" x14ac:dyDescent="0.2">
      <c r="A27" s="170">
        <v>18</v>
      </c>
      <c r="B27" s="162" t="s">
        <v>105</v>
      </c>
      <c r="C27" s="163" t="s">
        <v>67</v>
      </c>
      <c r="D27" s="164">
        <v>252</v>
      </c>
      <c r="E27" s="175" t="s">
        <v>106</v>
      </c>
      <c r="F27" s="166" t="s">
        <v>72</v>
      </c>
      <c r="G27" s="167">
        <v>3000</v>
      </c>
      <c r="H27" s="185">
        <v>85</v>
      </c>
      <c r="I27" s="171">
        <f t="shared" si="0"/>
        <v>255000</v>
      </c>
    </row>
    <row r="28" spans="1:11" s="78" customFormat="1" ht="31.9" customHeight="1" x14ac:dyDescent="0.2">
      <c r="A28" s="149">
        <v>19</v>
      </c>
      <c r="B28" s="179" t="s">
        <v>107</v>
      </c>
      <c r="C28" s="151" t="s">
        <v>67</v>
      </c>
      <c r="D28" s="180">
        <v>252</v>
      </c>
      <c r="E28" s="181" t="s">
        <v>108</v>
      </c>
      <c r="F28" s="154" t="s">
        <v>91</v>
      </c>
      <c r="G28" s="155">
        <v>900</v>
      </c>
      <c r="H28" s="182">
        <v>1850</v>
      </c>
      <c r="I28" s="157">
        <f t="shared" si="0"/>
        <v>1665000</v>
      </c>
      <c r="J28" s="160" t="s">
        <v>196</v>
      </c>
      <c r="K28" s="159"/>
    </row>
    <row r="29" spans="1:11" s="78" customFormat="1" ht="31.9" customHeight="1" x14ac:dyDescent="0.2">
      <c r="A29" s="79">
        <v>20</v>
      </c>
      <c r="B29" s="62" t="s">
        <v>109</v>
      </c>
      <c r="C29" s="58" t="s">
        <v>67</v>
      </c>
      <c r="D29" s="61">
        <v>252</v>
      </c>
      <c r="E29" s="59" t="s">
        <v>110</v>
      </c>
      <c r="F29" s="67" t="s">
        <v>72</v>
      </c>
      <c r="G29" s="60">
        <v>900</v>
      </c>
      <c r="H29" s="63">
        <v>421</v>
      </c>
      <c r="I29" s="64">
        <f t="shared" si="0"/>
        <v>378900</v>
      </c>
    </row>
    <row r="30" spans="1:11" s="78" customFormat="1" ht="31.9" customHeight="1" x14ac:dyDescent="0.2">
      <c r="A30" s="149">
        <v>21</v>
      </c>
      <c r="B30" s="179" t="s">
        <v>111</v>
      </c>
      <c r="C30" s="151" t="s">
        <v>67</v>
      </c>
      <c r="D30" s="152">
        <v>252</v>
      </c>
      <c r="E30" s="181" t="s">
        <v>112</v>
      </c>
      <c r="F30" s="154" t="s">
        <v>91</v>
      </c>
      <c r="G30" s="155">
        <v>150</v>
      </c>
      <c r="H30" s="182">
        <v>2358</v>
      </c>
      <c r="I30" s="157">
        <f t="shared" si="0"/>
        <v>353700</v>
      </c>
      <c r="J30" s="158" t="s">
        <v>196</v>
      </c>
      <c r="K30" s="158"/>
    </row>
    <row r="31" spans="1:11" s="78" customFormat="1" ht="31.9" customHeight="1" x14ac:dyDescent="0.2">
      <c r="A31" s="149">
        <v>22</v>
      </c>
      <c r="B31" s="150" t="s">
        <v>113</v>
      </c>
      <c r="C31" s="151" t="s">
        <v>67</v>
      </c>
      <c r="D31" s="152">
        <v>252</v>
      </c>
      <c r="E31" s="181" t="s">
        <v>114</v>
      </c>
      <c r="F31" s="154" t="s">
        <v>72</v>
      </c>
      <c r="G31" s="155">
        <v>90</v>
      </c>
      <c r="H31" s="182">
        <v>2890</v>
      </c>
      <c r="I31" s="157">
        <f t="shared" si="0"/>
        <v>260100</v>
      </c>
      <c r="J31" s="158" t="s">
        <v>196</v>
      </c>
      <c r="K31" s="158"/>
    </row>
    <row r="32" spans="1:11" s="78" customFormat="1" ht="31.9" customHeight="1" x14ac:dyDescent="0.2">
      <c r="A32" s="170">
        <v>23</v>
      </c>
      <c r="B32" s="162" t="s">
        <v>115</v>
      </c>
      <c r="C32" s="163" t="s">
        <v>67</v>
      </c>
      <c r="D32" s="164">
        <v>252</v>
      </c>
      <c r="E32" s="165" t="s">
        <v>116</v>
      </c>
      <c r="F32" s="166" t="s">
        <v>69</v>
      </c>
      <c r="G32" s="167">
        <v>2000</v>
      </c>
      <c r="H32" s="185">
        <v>3.05</v>
      </c>
      <c r="I32" s="171">
        <f t="shared" si="0"/>
        <v>6100</v>
      </c>
    </row>
    <row r="33" spans="1:11" s="78" customFormat="1" ht="31.9" customHeight="1" x14ac:dyDescent="0.2">
      <c r="A33" s="170">
        <v>24</v>
      </c>
      <c r="B33" s="162" t="s">
        <v>117</v>
      </c>
      <c r="C33" s="163" t="s">
        <v>67</v>
      </c>
      <c r="D33" s="164">
        <v>252</v>
      </c>
      <c r="E33" s="165" t="s">
        <v>118</v>
      </c>
      <c r="F33" s="166" t="s">
        <v>72</v>
      </c>
      <c r="G33" s="167">
        <v>12000</v>
      </c>
      <c r="H33" s="185">
        <v>35.9</v>
      </c>
      <c r="I33" s="171">
        <f t="shared" si="0"/>
        <v>430800</v>
      </c>
    </row>
    <row r="34" spans="1:11" s="78" customFormat="1" ht="31.9" customHeight="1" x14ac:dyDescent="0.2">
      <c r="A34" s="170">
        <v>25</v>
      </c>
      <c r="B34" s="162" t="s">
        <v>119</v>
      </c>
      <c r="C34" s="163" t="s">
        <v>67</v>
      </c>
      <c r="D34" s="164">
        <v>252</v>
      </c>
      <c r="E34" s="175" t="s">
        <v>120</v>
      </c>
      <c r="F34" s="166" t="s">
        <v>72</v>
      </c>
      <c r="G34" s="167">
        <v>6000</v>
      </c>
      <c r="H34" s="185">
        <v>38.5</v>
      </c>
      <c r="I34" s="171">
        <f t="shared" si="0"/>
        <v>231000</v>
      </c>
    </row>
    <row r="35" spans="1:11" s="78" customFormat="1" ht="31.9" customHeight="1" x14ac:dyDescent="0.2">
      <c r="A35" s="170">
        <v>26</v>
      </c>
      <c r="B35" s="162" t="s">
        <v>121</v>
      </c>
      <c r="C35" s="163" t="s">
        <v>67</v>
      </c>
      <c r="D35" s="164">
        <v>252</v>
      </c>
      <c r="E35" s="165" t="s">
        <v>122</v>
      </c>
      <c r="F35" s="166" t="s">
        <v>69</v>
      </c>
      <c r="G35" s="167">
        <v>150</v>
      </c>
      <c r="H35" s="168">
        <v>32.5</v>
      </c>
      <c r="I35" s="171">
        <f t="shared" si="0"/>
        <v>4875</v>
      </c>
    </row>
    <row r="36" spans="1:11" s="78" customFormat="1" ht="31.9" customHeight="1" x14ac:dyDescent="0.2">
      <c r="A36" s="170">
        <v>27</v>
      </c>
      <c r="B36" s="162" t="s">
        <v>123</v>
      </c>
      <c r="C36" s="163" t="s">
        <v>67</v>
      </c>
      <c r="D36" s="164">
        <v>252</v>
      </c>
      <c r="E36" s="175" t="s">
        <v>124</v>
      </c>
      <c r="F36" s="166" t="s">
        <v>125</v>
      </c>
      <c r="G36" s="167">
        <v>600</v>
      </c>
      <c r="H36" s="168">
        <v>986</v>
      </c>
      <c r="I36" s="171">
        <f t="shared" si="0"/>
        <v>591600</v>
      </c>
    </row>
    <row r="37" spans="1:11" s="78" customFormat="1" ht="31.9" customHeight="1" x14ac:dyDescent="0.2">
      <c r="A37" s="170">
        <v>28</v>
      </c>
      <c r="B37" s="162" t="s">
        <v>126</v>
      </c>
      <c r="C37" s="163" t="s">
        <v>67</v>
      </c>
      <c r="D37" s="164">
        <v>252</v>
      </c>
      <c r="E37" s="175" t="s">
        <v>127</v>
      </c>
      <c r="F37" s="166" t="s">
        <v>72</v>
      </c>
      <c r="G37" s="167">
        <v>50</v>
      </c>
      <c r="H37" s="168">
        <v>839.8</v>
      </c>
      <c r="I37" s="171">
        <f t="shared" si="0"/>
        <v>41990</v>
      </c>
    </row>
    <row r="38" spans="1:11" s="78" customFormat="1" ht="49.5" customHeight="1" x14ac:dyDescent="0.2">
      <c r="A38" s="149">
        <v>29</v>
      </c>
      <c r="B38" s="186" t="s">
        <v>128</v>
      </c>
      <c r="C38" s="187" t="s">
        <v>67</v>
      </c>
      <c r="D38" s="188">
        <v>252</v>
      </c>
      <c r="E38" s="189" t="s">
        <v>129</v>
      </c>
      <c r="F38" s="190" t="s">
        <v>91</v>
      </c>
      <c r="G38" s="191">
        <v>150</v>
      </c>
      <c r="H38" s="156">
        <v>1833.02</v>
      </c>
      <c r="I38" s="157">
        <f t="shared" si="0"/>
        <v>274953</v>
      </c>
      <c r="J38" s="160" t="s">
        <v>196</v>
      </c>
      <c r="K38" s="159"/>
    </row>
    <row r="39" spans="1:11" s="78" customFormat="1" ht="45.75" customHeight="1" x14ac:dyDescent="0.2">
      <c r="A39" s="170">
        <v>30</v>
      </c>
      <c r="B39" s="162" t="s">
        <v>130</v>
      </c>
      <c r="C39" s="163" t="s">
        <v>67</v>
      </c>
      <c r="D39" s="164">
        <v>252</v>
      </c>
      <c r="E39" s="175" t="s">
        <v>131</v>
      </c>
      <c r="F39" s="166" t="s">
        <v>72</v>
      </c>
      <c r="G39" s="167">
        <v>2500</v>
      </c>
      <c r="H39" s="168">
        <v>632</v>
      </c>
      <c r="I39" s="171">
        <f t="shared" si="0"/>
        <v>1580000</v>
      </c>
    </row>
    <row r="40" spans="1:11" s="78" customFormat="1" ht="51" customHeight="1" x14ac:dyDescent="0.2">
      <c r="A40" s="170">
        <v>31</v>
      </c>
      <c r="B40" s="162" t="s">
        <v>132</v>
      </c>
      <c r="C40" s="163" t="s">
        <v>67</v>
      </c>
      <c r="D40" s="164">
        <v>252</v>
      </c>
      <c r="E40" s="165" t="s">
        <v>133</v>
      </c>
      <c r="F40" s="166" t="s">
        <v>125</v>
      </c>
      <c r="G40" s="167">
        <v>30</v>
      </c>
      <c r="H40" s="168">
        <v>125640</v>
      </c>
      <c r="I40" s="171">
        <f t="shared" si="0"/>
        <v>3769200</v>
      </c>
    </row>
    <row r="41" spans="1:11" s="78" customFormat="1" ht="31.9" customHeight="1" x14ac:dyDescent="0.2">
      <c r="A41" s="170">
        <v>32</v>
      </c>
      <c r="B41" s="178" t="s">
        <v>134</v>
      </c>
      <c r="C41" s="163" t="s">
        <v>67</v>
      </c>
      <c r="D41" s="164">
        <v>252</v>
      </c>
      <c r="E41" s="177" t="s">
        <v>135</v>
      </c>
      <c r="F41" s="166" t="s">
        <v>72</v>
      </c>
      <c r="G41" s="167">
        <v>100</v>
      </c>
      <c r="H41" s="168">
        <v>1950</v>
      </c>
      <c r="I41" s="171">
        <f t="shared" si="0"/>
        <v>195000</v>
      </c>
    </row>
    <row r="42" spans="1:11" s="78" customFormat="1" ht="31.9" customHeight="1" x14ac:dyDescent="0.2">
      <c r="A42" s="170">
        <v>33</v>
      </c>
      <c r="B42" s="178" t="s">
        <v>136</v>
      </c>
      <c r="C42" s="163" t="s">
        <v>67</v>
      </c>
      <c r="D42" s="164">
        <v>252</v>
      </c>
      <c r="E42" s="177" t="s">
        <v>137</v>
      </c>
      <c r="F42" s="166" t="s">
        <v>72</v>
      </c>
      <c r="G42" s="167">
        <v>25000</v>
      </c>
      <c r="H42" s="168">
        <v>56</v>
      </c>
      <c r="I42" s="171">
        <f t="shared" si="0"/>
        <v>1400000</v>
      </c>
    </row>
    <row r="43" spans="1:11" s="78" customFormat="1" ht="42" customHeight="1" x14ac:dyDescent="0.2">
      <c r="A43" s="170">
        <v>34</v>
      </c>
      <c r="B43" s="178" t="s">
        <v>138</v>
      </c>
      <c r="C43" s="163" t="s">
        <v>67</v>
      </c>
      <c r="D43" s="164">
        <v>252</v>
      </c>
      <c r="E43" s="177" t="s">
        <v>139</v>
      </c>
      <c r="F43" s="166" t="s">
        <v>72</v>
      </c>
      <c r="G43" s="167">
        <v>4000</v>
      </c>
      <c r="H43" s="168">
        <v>35</v>
      </c>
      <c r="I43" s="171">
        <f t="shared" si="0"/>
        <v>140000</v>
      </c>
    </row>
    <row r="44" spans="1:11" s="78" customFormat="1" ht="40.5" customHeight="1" x14ac:dyDescent="0.2">
      <c r="A44" s="170">
        <v>35</v>
      </c>
      <c r="B44" s="178" t="s">
        <v>140</v>
      </c>
      <c r="C44" s="163" t="s">
        <v>67</v>
      </c>
      <c r="D44" s="164">
        <v>252</v>
      </c>
      <c r="E44" s="177" t="s">
        <v>141</v>
      </c>
      <c r="F44" s="166" t="s">
        <v>72</v>
      </c>
      <c r="G44" s="167">
        <v>50</v>
      </c>
      <c r="H44" s="168">
        <v>325</v>
      </c>
      <c r="I44" s="171">
        <f t="shared" si="0"/>
        <v>16250</v>
      </c>
    </row>
    <row r="45" spans="1:11" s="78" customFormat="1" ht="31.9" customHeight="1" x14ac:dyDescent="0.2">
      <c r="A45" s="170">
        <v>36</v>
      </c>
      <c r="B45" s="178" t="s">
        <v>142</v>
      </c>
      <c r="C45" s="163" t="s">
        <v>67</v>
      </c>
      <c r="D45" s="164">
        <v>252</v>
      </c>
      <c r="E45" s="177" t="s">
        <v>143</v>
      </c>
      <c r="F45" s="166" t="s">
        <v>72</v>
      </c>
      <c r="G45" s="167">
        <v>50</v>
      </c>
      <c r="H45" s="192">
        <v>493</v>
      </c>
      <c r="I45" s="171">
        <f t="shared" si="0"/>
        <v>24650</v>
      </c>
    </row>
    <row r="46" spans="1:11" s="78" customFormat="1" ht="31.9" customHeight="1" x14ac:dyDescent="0.2">
      <c r="A46" s="170">
        <v>37</v>
      </c>
      <c r="B46" s="178" t="s">
        <v>144</v>
      </c>
      <c r="C46" s="163" t="s">
        <v>67</v>
      </c>
      <c r="D46" s="164">
        <v>252</v>
      </c>
      <c r="E46" s="177" t="s">
        <v>145</v>
      </c>
      <c r="F46" s="166" t="s">
        <v>125</v>
      </c>
      <c r="G46" s="167">
        <v>600</v>
      </c>
      <c r="H46" s="168">
        <v>154.80000000000001</v>
      </c>
      <c r="I46" s="171">
        <f t="shared" si="0"/>
        <v>92880</v>
      </c>
    </row>
    <row r="47" spans="1:11" s="78" customFormat="1" ht="31.9" customHeight="1" x14ac:dyDescent="0.2">
      <c r="A47" s="193">
        <v>38</v>
      </c>
      <c r="B47" s="172" t="s">
        <v>146</v>
      </c>
      <c r="C47" s="194" t="s">
        <v>67</v>
      </c>
      <c r="D47" s="173">
        <v>252</v>
      </c>
      <c r="E47" s="195" t="s">
        <v>147</v>
      </c>
      <c r="F47" s="196" t="s">
        <v>125</v>
      </c>
      <c r="G47" s="167">
        <v>30</v>
      </c>
      <c r="H47" s="168">
        <v>390</v>
      </c>
      <c r="I47" s="197">
        <f t="shared" si="0"/>
        <v>11700</v>
      </c>
    </row>
    <row r="48" spans="1:11" s="78" customFormat="1" ht="31.9" customHeight="1" x14ac:dyDescent="0.2">
      <c r="A48" s="170">
        <v>39</v>
      </c>
      <c r="B48" s="172" t="s">
        <v>148</v>
      </c>
      <c r="C48" s="163" t="s">
        <v>67</v>
      </c>
      <c r="D48" s="164">
        <v>252</v>
      </c>
      <c r="E48" s="175" t="s">
        <v>149</v>
      </c>
      <c r="F48" s="166" t="s">
        <v>91</v>
      </c>
      <c r="G48" s="167">
        <v>30</v>
      </c>
      <c r="H48" s="168">
        <v>1815</v>
      </c>
      <c r="I48" s="171">
        <f t="shared" si="0"/>
        <v>54450</v>
      </c>
    </row>
    <row r="49" spans="1:9" s="78" customFormat="1" ht="31.9" customHeight="1" x14ac:dyDescent="0.2">
      <c r="A49" s="170">
        <v>40</v>
      </c>
      <c r="B49" s="162" t="s">
        <v>150</v>
      </c>
      <c r="C49" s="163" t="s">
        <v>67</v>
      </c>
      <c r="D49" s="164">
        <v>252</v>
      </c>
      <c r="E49" s="175" t="s">
        <v>151</v>
      </c>
      <c r="F49" s="166" t="s">
        <v>125</v>
      </c>
      <c r="G49" s="167">
        <v>6000</v>
      </c>
      <c r="H49" s="168">
        <v>118</v>
      </c>
      <c r="I49" s="171">
        <f t="shared" si="0"/>
        <v>708000</v>
      </c>
    </row>
    <row r="50" spans="1:9" s="78" customFormat="1" ht="31.9" customHeight="1" x14ac:dyDescent="0.2">
      <c r="A50" s="170">
        <v>41</v>
      </c>
      <c r="B50" s="162" t="s">
        <v>152</v>
      </c>
      <c r="C50" s="163" t="s">
        <v>67</v>
      </c>
      <c r="D50" s="164">
        <v>252</v>
      </c>
      <c r="E50" s="165" t="s">
        <v>153</v>
      </c>
      <c r="F50" s="166" t="s">
        <v>69</v>
      </c>
      <c r="G50" s="167">
        <v>300</v>
      </c>
      <c r="H50" s="168">
        <v>61.7</v>
      </c>
      <c r="I50" s="171">
        <f t="shared" si="0"/>
        <v>18510</v>
      </c>
    </row>
    <row r="51" spans="1:9" s="78" customFormat="1" ht="31.9" customHeight="1" x14ac:dyDescent="0.2">
      <c r="A51" s="170">
        <v>42</v>
      </c>
      <c r="B51" s="162" t="s">
        <v>154</v>
      </c>
      <c r="C51" s="163" t="s">
        <v>67</v>
      </c>
      <c r="D51" s="164">
        <v>252</v>
      </c>
      <c r="E51" s="175" t="s">
        <v>155</v>
      </c>
      <c r="F51" s="166" t="s">
        <v>72</v>
      </c>
      <c r="G51" s="167">
        <v>4200</v>
      </c>
      <c r="H51" s="168">
        <v>110</v>
      </c>
      <c r="I51" s="171">
        <f t="shared" si="0"/>
        <v>462000</v>
      </c>
    </row>
    <row r="52" spans="1:9" s="78" customFormat="1" ht="31.9" customHeight="1" x14ac:dyDescent="0.2">
      <c r="A52" s="170">
        <v>43</v>
      </c>
      <c r="B52" s="162" t="s">
        <v>156</v>
      </c>
      <c r="C52" s="163" t="s">
        <v>67</v>
      </c>
      <c r="D52" s="164">
        <v>252</v>
      </c>
      <c r="E52" s="175" t="s">
        <v>157</v>
      </c>
      <c r="F52" s="166" t="s">
        <v>72</v>
      </c>
      <c r="G52" s="167">
        <v>3000</v>
      </c>
      <c r="H52" s="168">
        <v>120</v>
      </c>
      <c r="I52" s="171">
        <f t="shared" si="0"/>
        <v>360000</v>
      </c>
    </row>
    <row r="53" spans="1:9" s="78" customFormat="1" ht="31.9" customHeight="1" x14ac:dyDescent="0.2">
      <c r="A53" s="170">
        <v>44</v>
      </c>
      <c r="B53" s="162" t="s">
        <v>158</v>
      </c>
      <c r="C53" s="163" t="s">
        <v>67</v>
      </c>
      <c r="D53" s="164">
        <v>252</v>
      </c>
      <c r="E53" s="175" t="s">
        <v>159</v>
      </c>
      <c r="F53" s="166" t="s">
        <v>72</v>
      </c>
      <c r="G53" s="167">
        <v>250</v>
      </c>
      <c r="H53" s="168">
        <v>189</v>
      </c>
      <c r="I53" s="171">
        <f t="shared" si="0"/>
        <v>47250</v>
      </c>
    </row>
    <row r="54" spans="1:9" s="78" customFormat="1" ht="31.9" customHeight="1" x14ac:dyDescent="0.2">
      <c r="A54" s="170">
        <v>45</v>
      </c>
      <c r="B54" s="172" t="s">
        <v>160</v>
      </c>
      <c r="C54" s="163" t="s">
        <v>67</v>
      </c>
      <c r="D54" s="164">
        <v>252</v>
      </c>
      <c r="E54" s="175" t="s">
        <v>161</v>
      </c>
      <c r="F54" s="166" t="s">
        <v>69</v>
      </c>
      <c r="G54" s="167">
        <v>12000</v>
      </c>
      <c r="H54" s="168">
        <v>9.8000000000000007</v>
      </c>
      <c r="I54" s="171">
        <f t="shared" si="0"/>
        <v>117600.00000000001</v>
      </c>
    </row>
    <row r="55" spans="1:9" s="78" customFormat="1" ht="31.9" customHeight="1" x14ac:dyDescent="0.2">
      <c r="A55" s="170">
        <v>46</v>
      </c>
      <c r="B55" s="172" t="s">
        <v>162</v>
      </c>
      <c r="C55" s="163" t="s">
        <v>67</v>
      </c>
      <c r="D55" s="164">
        <v>252</v>
      </c>
      <c r="E55" s="195" t="s">
        <v>163</v>
      </c>
      <c r="F55" s="166" t="s">
        <v>69</v>
      </c>
      <c r="G55" s="167">
        <v>5000</v>
      </c>
      <c r="H55" s="168">
        <v>5.3</v>
      </c>
      <c r="I55" s="171">
        <f t="shared" si="0"/>
        <v>26500</v>
      </c>
    </row>
    <row r="56" spans="1:9" s="78" customFormat="1" ht="31.9" customHeight="1" x14ac:dyDescent="0.2">
      <c r="A56" s="170">
        <v>47</v>
      </c>
      <c r="B56" s="162" t="s">
        <v>164</v>
      </c>
      <c r="C56" s="163" t="s">
        <v>67</v>
      </c>
      <c r="D56" s="164">
        <v>252</v>
      </c>
      <c r="E56" s="175" t="s">
        <v>165</v>
      </c>
      <c r="F56" s="166" t="s">
        <v>72</v>
      </c>
      <c r="G56" s="167">
        <v>50</v>
      </c>
      <c r="H56" s="185">
        <v>256</v>
      </c>
      <c r="I56" s="171">
        <f t="shared" si="0"/>
        <v>12800</v>
      </c>
    </row>
    <row r="57" spans="1:9" s="78" customFormat="1" ht="31.9" customHeight="1" x14ac:dyDescent="0.2">
      <c r="A57" s="170">
        <v>48</v>
      </c>
      <c r="B57" s="162" t="s">
        <v>166</v>
      </c>
      <c r="C57" s="163" t="s">
        <v>67</v>
      </c>
      <c r="D57" s="164">
        <v>252</v>
      </c>
      <c r="E57" s="175" t="s">
        <v>167</v>
      </c>
      <c r="F57" s="166" t="s">
        <v>72</v>
      </c>
      <c r="G57" s="167">
        <v>1000</v>
      </c>
      <c r="H57" s="185">
        <v>189</v>
      </c>
      <c r="I57" s="171">
        <f t="shared" si="0"/>
        <v>189000</v>
      </c>
    </row>
    <row r="58" spans="1:9" s="78" customFormat="1" ht="31.9" customHeight="1" x14ac:dyDescent="0.2">
      <c r="A58" s="170">
        <v>49</v>
      </c>
      <c r="B58" s="162" t="s">
        <v>168</v>
      </c>
      <c r="C58" s="163" t="s">
        <v>67</v>
      </c>
      <c r="D58" s="164">
        <v>252</v>
      </c>
      <c r="E58" s="175" t="s">
        <v>169</v>
      </c>
      <c r="F58" s="166" t="s">
        <v>125</v>
      </c>
      <c r="G58" s="167">
        <v>2</v>
      </c>
      <c r="H58" s="185">
        <v>6502</v>
      </c>
      <c r="I58" s="171">
        <f t="shared" si="0"/>
        <v>13004</v>
      </c>
    </row>
    <row r="59" spans="1:9" s="78" customFormat="1" ht="31.9" customHeight="1" x14ac:dyDescent="0.2">
      <c r="A59" s="170">
        <v>50</v>
      </c>
      <c r="B59" s="162" t="s">
        <v>170</v>
      </c>
      <c r="C59" s="163" t="s">
        <v>67</v>
      </c>
      <c r="D59" s="164">
        <v>252</v>
      </c>
      <c r="E59" s="165" t="s">
        <v>171</v>
      </c>
      <c r="F59" s="166" t="s">
        <v>72</v>
      </c>
      <c r="G59" s="167">
        <v>1200</v>
      </c>
      <c r="H59" s="185">
        <v>1050</v>
      </c>
      <c r="I59" s="171">
        <f t="shared" si="0"/>
        <v>1260000</v>
      </c>
    </row>
    <row r="60" spans="1:9" s="78" customFormat="1" ht="31.9" customHeight="1" x14ac:dyDescent="0.2">
      <c r="A60" s="170">
        <v>51</v>
      </c>
      <c r="B60" s="172" t="s">
        <v>172</v>
      </c>
      <c r="C60" s="163" t="s">
        <v>67</v>
      </c>
      <c r="D60" s="164">
        <v>252</v>
      </c>
      <c r="E60" s="195" t="s">
        <v>173</v>
      </c>
      <c r="F60" s="166" t="s">
        <v>72</v>
      </c>
      <c r="G60" s="167">
        <v>600</v>
      </c>
      <c r="H60" s="185">
        <v>1327</v>
      </c>
      <c r="I60" s="171">
        <f t="shared" si="0"/>
        <v>796200</v>
      </c>
    </row>
    <row r="61" spans="1:9" s="78" customFormat="1" ht="31.9" customHeight="1" x14ac:dyDescent="0.2">
      <c r="A61" s="170">
        <v>52</v>
      </c>
      <c r="B61" s="162" t="s">
        <v>174</v>
      </c>
      <c r="C61" s="163" t="s">
        <v>67</v>
      </c>
      <c r="D61" s="164">
        <v>252</v>
      </c>
      <c r="E61" s="165" t="s">
        <v>175</v>
      </c>
      <c r="F61" s="166" t="s">
        <v>72</v>
      </c>
      <c r="G61" s="167">
        <v>1500</v>
      </c>
      <c r="H61" s="185">
        <v>790</v>
      </c>
      <c r="I61" s="171">
        <f t="shared" si="0"/>
        <v>1185000</v>
      </c>
    </row>
    <row r="62" spans="1:9" s="78" customFormat="1" ht="31.9" customHeight="1" x14ac:dyDescent="0.2">
      <c r="A62" s="170">
        <v>53</v>
      </c>
      <c r="B62" s="162" t="s">
        <v>176</v>
      </c>
      <c r="C62" s="163" t="s">
        <v>67</v>
      </c>
      <c r="D62" s="164">
        <v>252</v>
      </c>
      <c r="E62" s="175" t="s">
        <v>177</v>
      </c>
      <c r="F62" s="166" t="s">
        <v>178</v>
      </c>
      <c r="G62" s="167">
        <v>30</v>
      </c>
      <c r="H62" s="185">
        <v>45</v>
      </c>
      <c r="I62" s="171">
        <f t="shared" si="0"/>
        <v>1350</v>
      </c>
    </row>
    <row r="63" spans="1:9" s="78" customFormat="1" ht="31.9" customHeight="1" x14ac:dyDescent="0.2">
      <c r="A63" s="170">
        <v>54</v>
      </c>
      <c r="B63" s="162" t="s">
        <v>179</v>
      </c>
      <c r="C63" s="163" t="s">
        <v>67</v>
      </c>
      <c r="D63" s="164">
        <v>252</v>
      </c>
      <c r="E63" s="175" t="s">
        <v>180</v>
      </c>
      <c r="F63" s="166" t="s">
        <v>72</v>
      </c>
      <c r="G63" s="167">
        <v>50</v>
      </c>
      <c r="H63" s="185">
        <v>1510</v>
      </c>
      <c r="I63" s="171">
        <f t="shared" si="0"/>
        <v>75500</v>
      </c>
    </row>
    <row r="64" spans="1:9" s="78" customFormat="1" ht="31.9" customHeight="1" x14ac:dyDescent="0.2">
      <c r="A64" s="170">
        <v>55</v>
      </c>
      <c r="B64" s="162" t="s">
        <v>181</v>
      </c>
      <c r="C64" s="163" t="s">
        <v>67</v>
      </c>
      <c r="D64" s="164">
        <v>252</v>
      </c>
      <c r="E64" s="175" t="s">
        <v>182</v>
      </c>
      <c r="F64" s="166" t="s">
        <v>91</v>
      </c>
      <c r="G64" s="167">
        <v>100</v>
      </c>
      <c r="H64" s="185">
        <v>13840</v>
      </c>
      <c r="I64" s="171">
        <f t="shared" si="0"/>
        <v>1384000</v>
      </c>
    </row>
    <row r="65" spans="1:9" s="78" customFormat="1" ht="31.9" customHeight="1" x14ac:dyDescent="0.2">
      <c r="A65" s="170">
        <v>56</v>
      </c>
      <c r="B65" s="162" t="s">
        <v>183</v>
      </c>
      <c r="C65" s="163" t="s">
        <v>67</v>
      </c>
      <c r="D65" s="164">
        <v>252</v>
      </c>
      <c r="E65" s="175" t="s">
        <v>184</v>
      </c>
      <c r="F65" s="166" t="s">
        <v>72</v>
      </c>
      <c r="G65" s="167">
        <v>300</v>
      </c>
      <c r="H65" s="185">
        <v>340</v>
      </c>
      <c r="I65" s="171">
        <f t="shared" si="0"/>
        <v>102000</v>
      </c>
    </row>
    <row r="66" spans="1:9" s="78" customFormat="1" ht="31.9" customHeight="1" thickBot="1" x14ac:dyDescent="0.25">
      <c r="A66" s="198">
        <v>57</v>
      </c>
      <c r="B66" s="199" t="s">
        <v>185</v>
      </c>
      <c r="C66" s="200" t="s">
        <v>67</v>
      </c>
      <c r="D66" s="201">
        <v>252</v>
      </c>
      <c r="E66" s="202" t="s">
        <v>186</v>
      </c>
      <c r="F66" s="203" t="s">
        <v>72</v>
      </c>
      <c r="G66" s="204">
        <v>50</v>
      </c>
      <c r="H66" s="205">
        <v>864</v>
      </c>
      <c r="I66" s="206">
        <f t="shared" si="0"/>
        <v>43200</v>
      </c>
    </row>
    <row r="67" spans="1:9" ht="31.9" customHeight="1" thickBot="1" x14ac:dyDescent="0.25">
      <c r="A67" s="69"/>
      <c r="B67" s="70"/>
      <c r="C67" s="71"/>
      <c r="D67" s="72"/>
      <c r="E67" s="73"/>
      <c r="F67" s="74"/>
      <c r="G67" s="75"/>
      <c r="H67" s="76"/>
      <c r="I67" s="77"/>
    </row>
    <row r="68" spans="1:9" ht="57" customHeight="1" thickBot="1" x14ac:dyDescent="0.25">
      <c r="A68" s="69"/>
      <c r="B68" s="70"/>
      <c r="C68" s="207" t="s">
        <v>189</v>
      </c>
      <c r="D68" s="208"/>
      <c r="E68" s="208"/>
      <c r="F68" s="209" t="s">
        <v>197</v>
      </c>
      <c r="G68" s="75"/>
      <c r="H68" s="76"/>
      <c r="I68" s="77"/>
    </row>
    <row r="69" spans="1:9" ht="31.9" customHeight="1" thickBot="1" x14ac:dyDescent="0.25">
      <c r="A69" s="69"/>
      <c r="B69" s="70"/>
      <c r="C69" s="126" t="s">
        <v>190</v>
      </c>
      <c r="D69" s="127"/>
      <c r="E69" s="128"/>
      <c r="F69" s="74"/>
      <c r="G69" s="75"/>
      <c r="H69" s="76"/>
      <c r="I69" s="77"/>
    </row>
    <row r="70" spans="1:9" ht="45" customHeight="1" thickBot="1" x14ac:dyDescent="0.25">
      <c r="A70" s="69"/>
      <c r="B70" s="70"/>
      <c r="C70" s="84" t="s">
        <v>191</v>
      </c>
      <c r="D70" s="85"/>
      <c r="E70" s="86"/>
      <c r="F70" s="209" t="s">
        <v>195</v>
      </c>
      <c r="G70" s="75"/>
      <c r="H70" s="76"/>
      <c r="I70" s="77"/>
    </row>
    <row r="71" spans="1:9" ht="13.5" thickBot="1" x14ac:dyDescent="0.25">
      <c r="B71" s="129"/>
      <c r="C71" s="129"/>
      <c r="D71" s="129"/>
      <c r="E71" s="129"/>
      <c r="F71" s="130"/>
      <c r="G71" s="129"/>
    </row>
    <row r="72" spans="1:9" x14ac:dyDescent="0.2">
      <c r="B72" s="131" t="s">
        <v>14</v>
      </c>
      <c r="C72" s="132"/>
      <c r="D72" s="132"/>
      <c r="E72" s="133"/>
      <c r="F72" s="130"/>
      <c r="G72" s="129"/>
    </row>
    <row r="73" spans="1:9" ht="5.25" customHeight="1" x14ac:dyDescent="0.2">
      <c r="B73" s="134"/>
      <c r="C73" s="135"/>
      <c r="D73" s="135"/>
      <c r="E73" s="136"/>
      <c r="F73" s="130"/>
      <c r="G73" s="129"/>
    </row>
    <row r="74" spans="1:9" x14ac:dyDescent="0.2">
      <c r="B74" s="137" t="s">
        <v>15</v>
      </c>
      <c r="C74" s="135"/>
      <c r="D74" s="135"/>
      <c r="E74" s="136"/>
      <c r="F74" s="130"/>
      <c r="G74" s="129"/>
    </row>
    <row r="75" spans="1:9" ht="41.25" customHeight="1" x14ac:dyDescent="0.2">
      <c r="B75" s="137"/>
      <c r="C75" s="138"/>
      <c r="D75" s="138"/>
      <c r="E75" s="138"/>
      <c r="F75" s="130"/>
      <c r="G75" s="129"/>
    </row>
    <row r="76" spans="1:9" x14ac:dyDescent="0.2">
      <c r="B76" s="137" t="s">
        <v>16</v>
      </c>
      <c r="C76" s="135"/>
      <c r="D76" s="135"/>
      <c r="E76" s="136"/>
      <c r="F76" s="130"/>
      <c r="G76" s="129"/>
    </row>
    <row r="77" spans="1:9" ht="36" customHeight="1" x14ac:dyDescent="0.2">
      <c r="B77" s="139"/>
      <c r="C77" s="140" t="s">
        <v>193</v>
      </c>
      <c r="D77" s="140"/>
      <c r="E77" s="141"/>
      <c r="F77" s="130"/>
      <c r="G77" s="129"/>
    </row>
    <row r="78" spans="1:9" x14ac:dyDescent="0.2">
      <c r="B78" s="139"/>
      <c r="C78" s="142"/>
      <c r="D78" s="142"/>
      <c r="E78" s="142"/>
      <c r="F78" s="130"/>
      <c r="G78" s="129"/>
    </row>
    <row r="79" spans="1:9" x14ac:dyDescent="0.2">
      <c r="B79" s="137" t="s">
        <v>17</v>
      </c>
      <c r="C79" s="135"/>
      <c r="D79" s="135"/>
      <c r="E79" s="136"/>
      <c r="F79" s="130"/>
      <c r="G79" s="129"/>
    </row>
    <row r="80" spans="1:9" ht="26.25" customHeight="1" x14ac:dyDescent="0.2">
      <c r="B80" s="139"/>
      <c r="C80" s="138"/>
      <c r="D80" s="138"/>
      <c r="E80" s="138"/>
      <c r="F80" s="130"/>
      <c r="G80" s="129"/>
    </row>
    <row r="81" spans="2:7" x14ac:dyDescent="0.2">
      <c r="B81" s="137" t="s">
        <v>18</v>
      </c>
      <c r="C81" s="143"/>
      <c r="D81" s="143"/>
      <c r="E81" s="144"/>
      <c r="F81" s="130"/>
      <c r="G81" s="129"/>
    </row>
    <row r="82" spans="2:7" ht="26.25" customHeight="1" x14ac:dyDescent="0.2">
      <c r="B82" s="139"/>
      <c r="C82" s="145" t="s">
        <v>63</v>
      </c>
      <c r="D82" s="145"/>
      <c r="E82" s="145"/>
      <c r="F82" s="130"/>
      <c r="G82" s="129"/>
    </row>
    <row r="83" spans="2:7" x14ac:dyDescent="0.2">
      <c r="B83" s="137" t="s">
        <v>19</v>
      </c>
      <c r="C83" s="135"/>
      <c r="D83" s="135"/>
      <c r="E83" s="136"/>
      <c r="F83" s="130"/>
      <c r="G83" s="129"/>
    </row>
    <row r="84" spans="2:7" ht="23.25" customHeight="1" x14ac:dyDescent="0.2">
      <c r="B84" s="137"/>
      <c r="C84" s="142"/>
      <c r="D84" s="142"/>
      <c r="E84" s="142"/>
      <c r="F84" s="130"/>
      <c r="G84" s="129"/>
    </row>
    <row r="85" spans="2:7" x14ac:dyDescent="0.2">
      <c r="B85" s="146"/>
      <c r="C85" s="147"/>
      <c r="D85" s="147"/>
      <c r="E85" s="148"/>
      <c r="F85" s="130"/>
      <c r="G85" s="129"/>
    </row>
    <row r="86" spans="2:7" x14ac:dyDescent="0.2">
      <c r="B86" s="129"/>
      <c r="C86" s="129"/>
      <c r="D86" s="129"/>
      <c r="E86" s="129"/>
      <c r="F86" s="130"/>
      <c r="G86" s="129"/>
    </row>
    <row r="87" spans="2:7" x14ac:dyDescent="0.2">
      <c r="B87" s="129"/>
      <c r="C87" s="129"/>
      <c r="D87" s="129"/>
      <c r="E87" s="129"/>
      <c r="F87" s="130"/>
      <c r="G87" s="129"/>
    </row>
    <row r="88" spans="2:7" x14ac:dyDescent="0.2">
      <c r="B88" s="129"/>
      <c r="C88" s="129"/>
      <c r="D88" s="129"/>
      <c r="E88" s="129"/>
      <c r="F88" s="130"/>
      <c r="G88" s="129"/>
    </row>
  </sheetData>
  <mergeCells count="19">
    <mergeCell ref="J21:K21"/>
    <mergeCell ref="J28:K28"/>
    <mergeCell ref="J38:K38"/>
    <mergeCell ref="C80:E80"/>
    <mergeCell ref="C82:E82"/>
    <mergeCell ref="C84:E84"/>
    <mergeCell ref="A6:B6"/>
    <mergeCell ref="A7:B7"/>
    <mergeCell ref="C75:E75"/>
    <mergeCell ref="C77:E77"/>
    <mergeCell ref="C78:E78"/>
    <mergeCell ref="C68:E68"/>
    <mergeCell ref="C69:E69"/>
    <mergeCell ref="C70:E70"/>
    <mergeCell ref="B2:H2"/>
    <mergeCell ref="A4:B4"/>
    <mergeCell ref="C4:E4"/>
    <mergeCell ref="A5:B5"/>
    <mergeCell ref="C5:E5"/>
  </mergeCells>
  <pageMargins left="0" right="0" top="0.15748031496062992" bottom="0" header="0.51181102362204722" footer="0.51181102362204722"/>
  <pageSetup paperSize="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9"/>
  <sheetViews>
    <sheetView zoomScale="70" zoomScaleNormal="70" workbookViewId="0">
      <selection activeCell="M12" sqref="M12:R68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4.7109375" style="2" customWidth="1"/>
    <col min="10" max="10" width="13.28515625" style="2" customWidth="1"/>
    <col min="11" max="11" width="32.1406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7" t="s">
        <v>20</v>
      </c>
      <c r="B1" s="87"/>
      <c r="C1" s="87"/>
      <c r="D1" s="87"/>
      <c r="E1" s="87"/>
      <c r="F1" s="87"/>
      <c r="G1" s="87"/>
      <c r="H1" s="87"/>
      <c r="I1" s="87"/>
      <c r="J1" s="3" t="s">
        <v>21</v>
      </c>
      <c r="K1" s="80" t="s">
        <v>194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88" t="s">
        <v>54</v>
      </c>
      <c r="B3" s="88"/>
      <c r="C3" s="88"/>
      <c r="D3" s="89" t="str">
        <f>'Necesidades Trimestrales'!C4</f>
        <v>40 - Ministerio de Salud</v>
      </c>
      <c r="E3" s="89"/>
      <c r="F3" s="89"/>
      <c r="G3" s="89"/>
      <c r="H3" s="89"/>
      <c r="I3" s="89"/>
      <c r="J3" s="89"/>
      <c r="K3" s="89"/>
    </row>
    <row r="4" spans="1:11" ht="18.75" customHeight="1" thickBot="1" x14ac:dyDescent="0.25">
      <c r="A4" s="90" t="s">
        <v>55</v>
      </c>
      <c r="B4" s="90"/>
      <c r="C4" s="90"/>
      <c r="D4" s="89" t="str">
        <f>'Necesidades Trimestrales'!C5</f>
        <v>23 - Hospital Interzonal San Juan Bautista</v>
      </c>
      <c r="E4" s="89"/>
      <c r="F4" s="89"/>
      <c r="G4" s="89"/>
      <c r="H4" s="89"/>
      <c r="I4" s="89"/>
      <c r="J4" s="89"/>
      <c r="K4" s="89"/>
    </row>
    <row r="5" spans="1:11" ht="18.75" customHeight="1" thickBot="1" x14ac:dyDescent="0.25">
      <c r="A5" s="90" t="s">
        <v>33</v>
      </c>
      <c r="B5" s="90"/>
      <c r="C5" s="90"/>
      <c r="D5" s="89" t="s">
        <v>60</v>
      </c>
      <c r="E5" s="89"/>
      <c r="F5" s="89"/>
      <c r="G5" s="89"/>
      <c r="H5" s="89"/>
      <c r="I5" s="89"/>
      <c r="J5" s="89"/>
      <c r="K5" s="89"/>
    </row>
    <row r="6" spans="1:11" ht="16.5" customHeight="1" thickBot="1" x14ac:dyDescent="0.25">
      <c r="A6" s="88" t="s">
        <v>56</v>
      </c>
      <c r="B6" s="88"/>
      <c r="C6" s="88"/>
      <c r="D6" s="89" t="s">
        <v>61</v>
      </c>
      <c r="E6" s="89"/>
      <c r="F6" s="89"/>
      <c r="G6" s="89"/>
      <c r="H6" s="89"/>
      <c r="I6" s="89"/>
      <c r="J6" s="89"/>
      <c r="K6" s="89"/>
    </row>
    <row r="7" spans="1:11" ht="16.5" customHeight="1" x14ac:dyDescent="0.2">
      <c r="A7" s="90" t="s">
        <v>22</v>
      </c>
      <c r="B7" s="90"/>
      <c r="C7" s="90"/>
      <c r="D7" s="89" t="str">
        <f>'Necesidades Trimestrales'!C7 &amp; "° Trimestre - Año " &amp; 'Necesidades Trimestrales'!C6</f>
        <v>2° Trimestre - Año 2022</v>
      </c>
      <c r="E7" s="89"/>
      <c r="F7" s="89"/>
      <c r="G7" s="89"/>
      <c r="H7" s="89"/>
      <c r="I7" s="89"/>
      <c r="J7" s="89"/>
      <c r="K7" s="89"/>
    </row>
    <row r="8" spans="1:11" ht="16.5" customHeight="1" x14ac:dyDescent="0.2">
      <c r="A8" s="92" t="s">
        <v>23</v>
      </c>
      <c r="B8" s="92"/>
      <c r="C8" s="92"/>
      <c r="D8" s="93" t="s">
        <v>192</v>
      </c>
      <c r="E8" s="93"/>
      <c r="F8" s="93"/>
      <c r="G8" s="93"/>
      <c r="H8" s="93"/>
      <c r="I8" s="93"/>
      <c r="J8" s="93"/>
      <c r="K8" s="93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4" t="s">
        <v>24</v>
      </c>
      <c r="B10" s="95" t="s">
        <v>25</v>
      </c>
      <c r="C10" s="95" t="s">
        <v>26</v>
      </c>
      <c r="D10" s="95"/>
      <c r="E10" s="95"/>
      <c r="F10" s="95"/>
      <c r="G10" s="95"/>
      <c r="H10" s="95" t="s">
        <v>27</v>
      </c>
      <c r="I10" s="95" t="s">
        <v>28</v>
      </c>
      <c r="J10" s="95" t="s">
        <v>29</v>
      </c>
      <c r="K10" s="96" t="s">
        <v>30</v>
      </c>
    </row>
    <row r="11" spans="1:11" ht="24" customHeight="1" thickBot="1" x14ac:dyDescent="0.25">
      <c r="A11" s="94"/>
      <c r="B11" s="95"/>
      <c r="C11" s="95"/>
      <c r="D11" s="95"/>
      <c r="E11" s="95"/>
      <c r="F11" s="95"/>
      <c r="G11" s="95"/>
      <c r="H11" s="95"/>
      <c r="I11" s="95"/>
      <c r="J11" s="95"/>
      <c r="K11" s="96"/>
    </row>
    <row r="12" spans="1:11" ht="36" customHeight="1" thickBot="1" x14ac:dyDescent="0.25">
      <c r="A12" s="8">
        <v>1</v>
      </c>
      <c r="B12" s="45" t="str">
        <f>'Necesidades Trimestrales'!B10</f>
        <v>2.5.2-1829.35</v>
      </c>
      <c r="C12" s="97" t="str">
        <f>'Necesidades Trimestrales'!E10</f>
        <v>ANTIVIRALES; TIPO: MONODROGA, DROGA GENERICA: ACICLOVIR, FORMA FARMACEUTICA: COMPRIMIDO, PRESENTACION: 400 mGr</v>
      </c>
      <c r="D12" s="97"/>
      <c r="E12" s="97"/>
      <c r="F12" s="97"/>
      <c r="G12" s="97"/>
      <c r="H12" s="46" t="s">
        <v>57</v>
      </c>
      <c r="I12" s="47" t="str">
        <f>'Necesidades Trimestrales'!F10</f>
        <v>COMPRIMIDO</v>
      </c>
      <c r="J12" s="48">
        <f>'Necesidades Trimestrales'!H10</f>
        <v>70.099999999999994</v>
      </c>
      <c r="K12" s="49">
        <f>'Necesidades Trimestrales'!G10</f>
        <v>300</v>
      </c>
    </row>
    <row r="13" spans="1:11" ht="35.25" customHeight="1" thickBot="1" x14ac:dyDescent="0.25">
      <c r="A13" s="8">
        <v>2</v>
      </c>
      <c r="B13" s="45" t="str">
        <f>'Necesidades Trimestrales'!B11</f>
        <v>2.5.2-1821.235</v>
      </c>
      <c r="C13" s="97" t="str">
        <f>'Necesidades Trimestrales'!E11</f>
        <v>ANTIBIOTICOS P/PERSONAS; TIPO: MONODROGA, DROGA GENERICA: ACICLOVIR 500 MG, FORMA FARMACEUTICA: FRASCO AMPOLLA, PRESENTACION: 500 mGr</v>
      </c>
      <c r="D13" s="97"/>
      <c r="E13" s="97"/>
      <c r="F13" s="97"/>
      <c r="G13" s="97"/>
      <c r="H13" s="46" t="s">
        <v>57</v>
      </c>
      <c r="I13" s="47" t="str">
        <f>'Necesidades Trimestrales'!F11</f>
        <v>AMPOLLA</v>
      </c>
      <c r="J13" s="48">
        <f>'Necesidades Trimestrales'!H11</f>
        <v>450</v>
      </c>
      <c r="K13" s="49">
        <f>'Necesidades Trimestrales'!G11</f>
        <v>150</v>
      </c>
    </row>
    <row r="14" spans="1:11" ht="42.75" customHeight="1" thickBot="1" x14ac:dyDescent="0.25">
      <c r="A14" s="8">
        <v>3</v>
      </c>
      <c r="B14" s="45" t="str">
        <f>'Necesidades Trimestrales'!B12</f>
        <v>2.5.2-1724.16</v>
      </c>
      <c r="C14" s="97" t="str">
        <f>'Necesidades Trimestrales'!E12</f>
        <v>ANALGESICOS ; TIPO: MONODROGA, DROGA GENERICA: ACIDO ACETILSALICILICO, PRESENTACION: 100 mGr, FORMA FARMACEUTICA: COMPRIMIDO</v>
      </c>
      <c r="D14" s="97"/>
      <c r="E14" s="97"/>
      <c r="F14" s="97"/>
      <c r="G14" s="97"/>
      <c r="H14" s="46" t="s">
        <v>57</v>
      </c>
      <c r="I14" s="47" t="str">
        <f>'Necesidades Trimestrales'!F12</f>
        <v>COMPRIMIDO</v>
      </c>
      <c r="J14" s="48">
        <f>'Necesidades Trimestrales'!H12</f>
        <v>1.55</v>
      </c>
      <c r="K14" s="49">
        <f>'Necesidades Trimestrales'!G12</f>
        <v>3000</v>
      </c>
    </row>
    <row r="15" spans="1:11" ht="40.5" customHeight="1" thickBot="1" x14ac:dyDescent="0.25">
      <c r="A15" s="8">
        <v>4</v>
      </c>
      <c r="B15" s="45" t="str">
        <f>'Necesidades Trimestrales'!B13</f>
        <v>2.5.2-1864.6</v>
      </c>
      <c r="C15" s="97" t="str">
        <f>'Necesidades Trimestrales'!E13</f>
        <v>HIPOURICEMIANTES; TIPO: MONODROGA, DROGA GENERICA: ALLOPURINOL 300 mGr, FORMA FARMACEUTICA: COMPRIMIDO, PRESENTACION: UNIDAD</v>
      </c>
      <c r="D15" s="97"/>
      <c r="E15" s="97"/>
      <c r="F15" s="97"/>
      <c r="G15" s="97"/>
      <c r="H15" s="46" t="s">
        <v>57</v>
      </c>
      <c r="I15" s="47" t="str">
        <f>'Necesidades Trimestrales'!F13</f>
        <v>COMPRIMIDO</v>
      </c>
      <c r="J15" s="48">
        <f>'Necesidades Trimestrales'!H13</f>
        <v>12.15</v>
      </c>
      <c r="K15" s="49">
        <f>'Necesidades Trimestrales'!G13</f>
        <v>360</v>
      </c>
    </row>
    <row r="16" spans="1:11" ht="34.5" customHeight="1" thickBot="1" x14ac:dyDescent="0.25">
      <c r="A16" s="8">
        <v>5</v>
      </c>
      <c r="B16" s="45" t="str">
        <f>'Necesidades Trimestrales'!B14</f>
        <v>2.5.2-1821.1</v>
      </c>
      <c r="C16" s="97" t="str">
        <f>'Necesidades Trimestrales'!E14</f>
        <v>ANTIBIOTICOS P/PERSONAS; TIPO: MONODROGA, DROGA GENERICA: AMIKACINA, PRESENTACION: 500 mGr, FORMA FARMACEUTICA: AMPOLLA</v>
      </c>
      <c r="D16" s="97"/>
      <c r="E16" s="97"/>
      <c r="F16" s="97"/>
      <c r="G16" s="97"/>
      <c r="H16" s="46" t="s">
        <v>57</v>
      </c>
      <c r="I16" s="47" t="str">
        <f>'Necesidades Trimestrales'!F14</f>
        <v>AMPOLLA</v>
      </c>
      <c r="J16" s="48">
        <f>'Necesidades Trimestrales'!H14</f>
        <v>87.95</v>
      </c>
      <c r="K16" s="49">
        <f>'Necesidades Trimestrales'!G14</f>
        <v>300</v>
      </c>
    </row>
    <row r="17" spans="1:11" ht="38.25" customHeight="1" thickBot="1" x14ac:dyDescent="0.25">
      <c r="A17" s="8">
        <v>6</v>
      </c>
      <c r="B17" s="45" t="str">
        <f>'Necesidades Trimestrales'!B15</f>
        <v>2.5.2-1821.440</v>
      </c>
      <c r="C17" s="97" t="str">
        <f>'Necesidades Trimestrales'!E15</f>
        <v>ANTIBIOTICOS P/PERSONAS; TIPO: ASOCIACION, DROGA GENERICA: AMOXICIL. 875 MG+CLAVUL.125 MG mGr, FORMA FARMACEUTICA: COMPRIMIDO, PRESENTACION: UNIDAD</v>
      </c>
      <c r="D17" s="97"/>
      <c r="E17" s="97"/>
      <c r="F17" s="97"/>
      <c r="G17" s="97"/>
      <c r="H17" s="46" t="s">
        <v>57</v>
      </c>
      <c r="I17" s="47" t="str">
        <f>'Necesidades Trimestrales'!F15</f>
        <v>COMPRIMIDO</v>
      </c>
      <c r="J17" s="48">
        <f>'Necesidades Trimestrales'!H15</f>
        <v>29.5</v>
      </c>
      <c r="K17" s="49">
        <f>'Necesidades Trimestrales'!G15</f>
        <v>900</v>
      </c>
    </row>
    <row r="18" spans="1:11" ht="39.75" customHeight="1" thickBot="1" x14ac:dyDescent="0.25">
      <c r="A18" s="8">
        <v>7</v>
      </c>
      <c r="B18" s="45" t="str">
        <f>'Necesidades Trimestrales'!B16</f>
        <v>2.5.2-1821.389</v>
      </c>
      <c r="C18" s="97" t="str">
        <f>'Necesidades Trimestrales'!E16</f>
        <v>ANTIBIOTICOS P/PERSONAS; TIPO: ASOCIACION, DROGA GENERICA: AMPICILINA + SULBACTAN, FORMA FARMACEUTICA: FRASCO AMPOLLA, PRESENTACION: ENVASE X 1,5 GR</v>
      </c>
      <c r="D18" s="97"/>
      <c r="E18" s="97"/>
      <c r="F18" s="97"/>
      <c r="G18" s="97"/>
      <c r="H18" s="46" t="s">
        <v>57</v>
      </c>
      <c r="I18" s="47" t="str">
        <f>'Necesidades Trimestrales'!F16</f>
        <v>AMPOLLA</v>
      </c>
      <c r="J18" s="48">
        <f>'Necesidades Trimestrales'!H16</f>
        <v>138</v>
      </c>
      <c r="K18" s="49">
        <f>'Necesidades Trimestrales'!G16</f>
        <v>10000</v>
      </c>
    </row>
    <row r="19" spans="1:11" ht="37.5" customHeight="1" thickBot="1" x14ac:dyDescent="0.25">
      <c r="A19" s="8">
        <v>8</v>
      </c>
      <c r="B19" s="45" t="str">
        <f>'Necesidades Trimestrales'!B17</f>
        <v>2.5.2-1821.8</v>
      </c>
      <c r="C19" s="97" t="str">
        <f>'Necesidades Trimestrales'!E17</f>
        <v>ANTIBIOTICOS P/PERSONAS; TIPO: MONODROGA, DROGA GENERICA: AMPICILINA, FORMA FARMACEUTICA: AMPOLLA, PRESENTACION: 1 GR</v>
      </c>
      <c r="D19" s="97"/>
      <c r="E19" s="97"/>
      <c r="F19" s="97"/>
      <c r="G19" s="97"/>
      <c r="H19" s="46" t="s">
        <v>57</v>
      </c>
      <c r="I19" s="47" t="str">
        <f>'Necesidades Trimestrales'!F17</f>
        <v>AMPOLLA</v>
      </c>
      <c r="J19" s="48">
        <f>'Necesidades Trimestrales'!H17</f>
        <v>99</v>
      </c>
      <c r="K19" s="49">
        <f>'Necesidades Trimestrales'!G17</f>
        <v>100</v>
      </c>
    </row>
    <row r="20" spans="1:11" ht="35.25" customHeight="1" thickBot="1" x14ac:dyDescent="0.25">
      <c r="A20" s="8">
        <v>9</v>
      </c>
      <c r="B20" s="45" t="str">
        <f>'Necesidades Trimestrales'!B18</f>
        <v>2.5.2-1821.5</v>
      </c>
      <c r="C20" s="97" t="str">
        <f>'Necesidades Trimestrales'!E18</f>
        <v>ANTIBIOTICOS P/PERSONAS; TIPO: MONODROGA, DROGA GENERICA: AMPICILINA, FORMA FARMACEUTICA: COMPRIMIDOS, PRESENTACION: 500 mGr</v>
      </c>
      <c r="D20" s="97"/>
      <c r="E20" s="97"/>
      <c r="F20" s="97"/>
      <c r="G20" s="97"/>
      <c r="H20" s="46" t="s">
        <v>57</v>
      </c>
      <c r="I20" s="47" t="str">
        <f>'Necesidades Trimestrales'!F18</f>
        <v>COMPRIMIDO</v>
      </c>
      <c r="J20" s="48">
        <f>'Necesidades Trimestrales'!H18</f>
        <v>17.079999999999998</v>
      </c>
      <c r="K20" s="49">
        <f>'Necesidades Trimestrales'!G18</f>
        <v>100</v>
      </c>
    </row>
    <row r="21" spans="1:11" ht="37.5" customHeight="1" thickBot="1" x14ac:dyDescent="0.25">
      <c r="A21" s="8">
        <v>10</v>
      </c>
      <c r="B21" s="45" t="str">
        <f>'Necesidades Trimestrales'!B19</f>
        <v>2.5.2-1823.113</v>
      </c>
      <c r="C21" s="97" t="str">
        <f>'Necesidades Trimestrales'!E19</f>
        <v>ANTIMICOTICOS; DROGA GENERICA: ANFOTERICINA B LIPOSOMAL, FORMA FARMACEUTICA: AMPOLLA, PRESENTACION: 50 MGR, TIPO: MONODROGA</v>
      </c>
      <c r="D21" s="97"/>
      <c r="E21" s="97"/>
      <c r="F21" s="97"/>
      <c r="G21" s="97"/>
      <c r="H21" s="46" t="s">
        <v>57</v>
      </c>
      <c r="I21" s="47" t="str">
        <f>'Necesidades Trimestrales'!F19</f>
        <v>AMPOLLA</v>
      </c>
      <c r="J21" s="48">
        <f>'Necesidades Trimestrales'!H19</f>
        <v>25452</v>
      </c>
      <c r="K21" s="49">
        <f>'Necesidades Trimestrales'!G19</f>
        <v>30</v>
      </c>
    </row>
    <row r="22" spans="1:11" ht="35.25" customHeight="1" thickBot="1" x14ac:dyDescent="0.25">
      <c r="A22" s="8">
        <v>11</v>
      </c>
      <c r="B22" s="45" t="str">
        <f>'Necesidades Trimestrales'!B20</f>
        <v>2.5.2-1883.139</v>
      </c>
      <c r="C22" s="97" t="str">
        <f>'Necesidades Trimestrales'!E20</f>
        <v>ANESTESICOS LOCALES; TIPO: ASOCIACION, DROGA GENERICA: BUPIVACAINA 0,5 % C/EPINEFRINA, FORMA FARMACEUTICA: FRASCO AMPOLLA, PRESENTACION: ENVASE X 20 mL</v>
      </c>
      <c r="D22" s="97"/>
      <c r="E22" s="97"/>
      <c r="F22" s="97"/>
      <c r="G22" s="97"/>
      <c r="H22" s="46" t="s">
        <v>57</v>
      </c>
      <c r="I22" s="47" t="str">
        <f>'Necesidades Trimestrales'!F20</f>
        <v>FRASCO</v>
      </c>
      <c r="J22" s="48">
        <f>'Necesidades Trimestrales'!H20</f>
        <v>3100</v>
      </c>
      <c r="K22" s="49">
        <f>'Necesidades Trimestrales'!G20</f>
        <v>25</v>
      </c>
    </row>
    <row r="23" spans="1:11" ht="37.5" customHeight="1" thickBot="1" x14ac:dyDescent="0.25">
      <c r="A23" s="8">
        <v>12</v>
      </c>
      <c r="B23" s="45" t="str">
        <f>'Necesidades Trimestrales'!B21</f>
        <v>2.5.2-1883.24</v>
      </c>
      <c r="C23" s="97" t="str">
        <f>'Necesidades Trimestrales'!E21</f>
        <v>ANESTESICOS LOCALES; TIPO: MONODROGA, DROGA GENERICA: BUPIVACAINA 0,5 %, FORMA FARMACEUTICA: FRASCO, PRESENTACION: 20 mL</v>
      </c>
      <c r="D23" s="97"/>
      <c r="E23" s="97"/>
      <c r="F23" s="97"/>
      <c r="G23" s="97"/>
      <c r="H23" s="46" t="s">
        <v>57</v>
      </c>
      <c r="I23" s="47" t="str">
        <f>'Necesidades Trimestrales'!F21</f>
        <v>FRASCO</v>
      </c>
      <c r="J23" s="48">
        <f>'Necesidades Trimestrales'!H21</f>
        <v>490</v>
      </c>
      <c r="K23" s="49">
        <f>'Necesidades Trimestrales'!G21</f>
        <v>20</v>
      </c>
    </row>
    <row r="24" spans="1:11" ht="37.5" customHeight="1" thickBot="1" x14ac:dyDescent="0.25">
      <c r="A24" s="8">
        <v>13</v>
      </c>
      <c r="B24" s="45" t="str">
        <f>'Necesidades Trimestrales'!B22</f>
        <v>2.5.2-1883.188</v>
      </c>
      <c r="C24" s="97" t="str">
        <f>'Necesidades Trimestrales'!E22</f>
        <v>ANESTESICOS LOCALES; TIPO: MONODROGA, DROGA GENERICA: BUPIVACAINA 0,5% HIPERBARICA, FORMA FARMACEUTICA: AMPOLLA, PRESENTACION: 4 ML CON AGUJA 27 G X 3 1/2 CON INTRODUCTOR</v>
      </c>
      <c r="D24" s="97"/>
      <c r="E24" s="97"/>
      <c r="F24" s="97"/>
      <c r="G24" s="97"/>
      <c r="H24" s="46" t="s">
        <v>57</v>
      </c>
      <c r="I24" s="47" t="str">
        <f>'Necesidades Trimestrales'!F22</f>
        <v>AMPOLLA</v>
      </c>
      <c r="J24" s="48">
        <f>'Necesidades Trimestrales'!H22</f>
        <v>1420</v>
      </c>
      <c r="K24" s="49">
        <f>'Necesidades Trimestrales'!G22</f>
        <v>180</v>
      </c>
    </row>
    <row r="25" spans="1:11" ht="37.5" customHeight="1" thickBot="1" x14ac:dyDescent="0.25">
      <c r="A25" s="8">
        <v>14</v>
      </c>
      <c r="B25" s="45" t="str">
        <f>'Necesidades Trimestrales'!B23</f>
        <v>2.5.2-1821.321</v>
      </c>
      <c r="C25" s="97" t="str">
        <f>'Necesidades Trimestrales'!E23</f>
        <v>ANTIBIOTICOS P/PERSONAS; TIPO: MONODROGA, DROGA GENERICA: CEFALEXINA 500 mGr, FORMA FARMACEUTICA: COMPRIMIDO, PRESENTACION: 1 UN</v>
      </c>
      <c r="D25" s="97"/>
      <c r="E25" s="97"/>
      <c r="F25" s="97"/>
      <c r="G25" s="97"/>
      <c r="H25" s="46" t="s">
        <v>57</v>
      </c>
      <c r="I25" s="47" t="str">
        <f>'Necesidades Trimestrales'!F23</f>
        <v>COMPRIMIDO</v>
      </c>
      <c r="J25" s="48">
        <f>'Necesidades Trimestrales'!H23</f>
        <v>13.9</v>
      </c>
      <c r="K25" s="49">
        <f>'Necesidades Trimestrales'!G23</f>
        <v>1500</v>
      </c>
    </row>
    <row r="26" spans="1:11" ht="38.25" customHeight="1" thickBot="1" x14ac:dyDescent="0.25">
      <c r="A26" s="8">
        <v>15</v>
      </c>
      <c r="B26" s="45" t="str">
        <f>'Necesidades Trimestrales'!B24</f>
        <v>2.5.2-1821.405</v>
      </c>
      <c r="C26" s="97" t="str">
        <f>'Necesidades Trimestrales'!E24</f>
        <v>ANTIBIOTICOS P/PERSONAS; TIPO: MONODROGA, DROGA GENERICA: CEFALOTINA SODICA, FORMA FARMACEUTICA: FRASCO AMPOLLA, PRESENTACION: 1 GR</v>
      </c>
      <c r="D26" s="97"/>
      <c r="E26" s="97"/>
      <c r="F26" s="97"/>
      <c r="G26" s="97"/>
      <c r="H26" s="46" t="s">
        <v>57</v>
      </c>
      <c r="I26" s="47" t="str">
        <f>'Necesidades Trimestrales'!F24</f>
        <v>AMPOLLA</v>
      </c>
      <c r="J26" s="48">
        <f>'Necesidades Trimestrales'!H24</f>
        <v>145</v>
      </c>
      <c r="K26" s="49">
        <f>'Necesidades Trimestrales'!G24</f>
        <v>4000</v>
      </c>
    </row>
    <row r="27" spans="1:11" ht="40.5" customHeight="1" thickBot="1" x14ac:dyDescent="0.25">
      <c r="A27" s="8">
        <v>16</v>
      </c>
      <c r="B27" s="45" t="str">
        <f>'Necesidades Trimestrales'!B25</f>
        <v>2.5.2-1821.387</v>
      </c>
      <c r="C27" s="97" t="str">
        <f>'Necesidades Trimestrales'!E25</f>
        <v>ANTIBIOTICOS P/PERSONAS; TIPO: MONODROGA, DROGA GENERICA: CIPROFLOXACINA, FORMA FARMACEUTICA: SACHET, PRESENTACION: ENVASE X 200 mGr</v>
      </c>
      <c r="D27" s="97"/>
      <c r="E27" s="97"/>
      <c r="F27" s="97"/>
      <c r="G27" s="97"/>
      <c r="H27" s="46" t="s">
        <v>57</v>
      </c>
      <c r="I27" s="47" t="str">
        <f>'Necesidades Trimestrales'!F25</f>
        <v>SACHET</v>
      </c>
      <c r="J27" s="48">
        <f>'Necesidades Trimestrales'!H25</f>
        <v>122</v>
      </c>
      <c r="K27" s="49">
        <f>'Necesidades Trimestrales'!G25</f>
        <v>4500</v>
      </c>
    </row>
    <row r="28" spans="1:11" ht="39.75" customHeight="1" thickBot="1" x14ac:dyDescent="0.25">
      <c r="A28" s="8">
        <v>17</v>
      </c>
      <c r="B28" s="45" t="str">
        <f>'Necesidades Trimestrales'!B26</f>
        <v>2.5.2-1821.46</v>
      </c>
      <c r="C28" s="97" t="str">
        <f>'Necesidades Trimestrales'!E26</f>
        <v>ANTIBIOTICOS P/PERSONAS; TIPO: MONODROGA, FORMA FARMACEUTICA: COMPRIMIDO, PRESENTACION: 500 mGr, DROGA GENERICA: CIPROFLOXACINA</v>
      </c>
      <c r="D28" s="97"/>
      <c r="E28" s="97"/>
      <c r="F28" s="97"/>
      <c r="G28" s="97"/>
      <c r="H28" s="46" t="s">
        <v>57</v>
      </c>
      <c r="I28" s="47" t="str">
        <f>'Necesidades Trimestrales'!F26</f>
        <v>COMPRIMIDO</v>
      </c>
      <c r="J28" s="48">
        <f>'Necesidades Trimestrales'!H26</f>
        <v>9.8000000000000007</v>
      </c>
      <c r="K28" s="49">
        <f>'Necesidades Trimestrales'!G26</f>
        <v>900</v>
      </c>
    </row>
    <row r="29" spans="1:11" ht="43.5" customHeight="1" thickBot="1" x14ac:dyDescent="0.25">
      <c r="A29" s="8">
        <v>18</v>
      </c>
      <c r="B29" s="45" t="str">
        <f>'Necesidades Trimestrales'!B27</f>
        <v>2.5.2-1821.43</v>
      </c>
      <c r="C29" s="97" t="str">
        <f>'Necesidades Trimestrales'!E27</f>
        <v>ANTIBIOTICOS P/PERSONAS; TIPO: MONODROGA, DROGA GENERICA: CLINDAMICINA, FORMA FARMACEUTICA: AMPOLLA, PRESENTACION: 600 mGr</v>
      </c>
      <c r="D29" s="97"/>
      <c r="E29" s="97"/>
      <c r="F29" s="97"/>
      <c r="G29" s="97"/>
      <c r="H29" s="46" t="s">
        <v>57</v>
      </c>
      <c r="I29" s="47" t="str">
        <f>'Necesidades Trimestrales'!F27</f>
        <v>AMPOLLA</v>
      </c>
      <c r="J29" s="48">
        <f>'Necesidades Trimestrales'!H27</f>
        <v>85</v>
      </c>
      <c r="K29" s="49">
        <f>'Necesidades Trimestrales'!G27</f>
        <v>3000</v>
      </c>
    </row>
    <row r="30" spans="1:11" ht="45" customHeight="1" thickBot="1" x14ac:dyDescent="0.25">
      <c r="A30" s="8">
        <v>19</v>
      </c>
      <c r="B30" s="45" t="str">
        <f>'Necesidades Trimestrales'!B28</f>
        <v>2.5.2-1726.526</v>
      </c>
      <c r="C30" s="97" t="str">
        <f>'Necesidades Trimestrales'!E28</f>
        <v>SOLUCIONES P/MEDICINA; TIPO: CONTRASTE RADIOLOGICO NO IONICO, PRESENTACION: ENVASE X 50 ML</v>
      </c>
      <c r="D30" s="97"/>
      <c r="E30" s="97"/>
      <c r="F30" s="97"/>
      <c r="G30" s="97"/>
      <c r="H30" s="46" t="s">
        <v>57</v>
      </c>
      <c r="I30" s="47" t="str">
        <f>'Necesidades Trimestrales'!F28</f>
        <v>FRASCO</v>
      </c>
      <c r="J30" s="48">
        <f>'Necesidades Trimestrales'!H28</f>
        <v>1850</v>
      </c>
      <c r="K30" s="49">
        <f>'Necesidades Trimestrales'!G28</f>
        <v>900</v>
      </c>
    </row>
    <row r="31" spans="1:11" ht="34.5" customHeight="1" thickBot="1" x14ac:dyDescent="0.25">
      <c r="A31" s="8">
        <v>20</v>
      </c>
      <c r="B31" s="45" t="str">
        <f>'Necesidades Trimestrales'!B29</f>
        <v>2.5.2-1821.525</v>
      </c>
      <c r="C31" s="97" t="str">
        <f>'Necesidades Trimestrales'!E29</f>
        <v>ANTIBIOTICOS P/PERSONAS; TIPO: MONODROGA, DROGA GENERICA: COTRIMOXAZOL, FORMA FARMACEUTICA: AMPOLLA, PRESENTACION: 80 MG/ 400 MG</v>
      </c>
      <c r="D31" s="97"/>
      <c r="E31" s="97"/>
      <c r="F31" s="97"/>
      <c r="G31" s="97"/>
      <c r="H31" s="46" t="s">
        <v>57</v>
      </c>
      <c r="I31" s="47" t="str">
        <f>'Necesidades Trimestrales'!F29</f>
        <v>AMPOLLA</v>
      </c>
      <c r="J31" s="48">
        <f>'Necesidades Trimestrales'!H29</f>
        <v>421</v>
      </c>
      <c r="K31" s="49">
        <f>'Necesidades Trimestrales'!G29</f>
        <v>900</v>
      </c>
    </row>
    <row r="32" spans="1:11" ht="32.25" customHeight="1" thickBot="1" x14ac:dyDescent="0.25">
      <c r="A32" s="8">
        <v>21</v>
      </c>
      <c r="B32" s="45" t="str">
        <f>'Necesidades Trimestrales'!B30</f>
        <v>2.5.2-1726.528</v>
      </c>
      <c r="C32" s="97" t="str">
        <f>'Necesidades Trimestrales'!E30</f>
        <v>SOLUCIONES P/MEDICINA; TIPO: DIATRIZOATO DE SODIO 25 GR; PRESENTACION: FRASCO X 50 ML</v>
      </c>
      <c r="D32" s="97"/>
      <c r="E32" s="97"/>
      <c r="F32" s="97"/>
      <c r="G32" s="97"/>
      <c r="H32" s="46" t="s">
        <v>57</v>
      </c>
      <c r="I32" s="47" t="str">
        <f>'Necesidades Trimestrales'!F30</f>
        <v>FRASCO</v>
      </c>
      <c r="J32" s="48">
        <f>'Necesidades Trimestrales'!H30</f>
        <v>2358</v>
      </c>
      <c r="K32" s="49">
        <f>'Necesidades Trimestrales'!G30</f>
        <v>150</v>
      </c>
    </row>
    <row r="33" spans="1:11" ht="30" customHeight="1" thickBot="1" x14ac:dyDescent="0.25">
      <c r="A33" s="8">
        <v>22</v>
      </c>
      <c r="B33" s="45" t="str">
        <f>'Necesidades Trimestrales'!B31</f>
        <v>2.5.2-1726.512</v>
      </c>
      <c r="C33" s="97" t="str">
        <f>'Necesidades Trimestrales'!E31</f>
        <v>SOLUCIONES P/MEDICINA; TIPO: DIATRIZOATO DE MEGLUMINA + DIATRIZOATO DE SODIO; PRESENTACION: FRASCO x 120 ml</v>
      </c>
      <c r="D33" s="97"/>
      <c r="E33" s="97"/>
      <c r="F33" s="97"/>
      <c r="G33" s="97"/>
      <c r="H33" s="46" t="s">
        <v>57</v>
      </c>
      <c r="I33" s="47" t="str">
        <f>'Necesidades Trimestrales'!F31</f>
        <v>AMPOLLA</v>
      </c>
      <c r="J33" s="48">
        <f>'Necesidades Trimestrales'!H31</f>
        <v>2890</v>
      </c>
      <c r="K33" s="49">
        <f>'Necesidades Trimestrales'!G31</f>
        <v>90</v>
      </c>
    </row>
    <row r="34" spans="1:11" ht="45.75" customHeight="1" thickBot="1" x14ac:dyDescent="0.25">
      <c r="A34" s="8">
        <v>23</v>
      </c>
      <c r="B34" s="45" t="str">
        <f>'Necesidades Trimestrales'!B32</f>
        <v>2.5.2-1724.140</v>
      </c>
      <c r="C34" s="97" t="str">
        <f>'Necesidades Trimestrales'!E32</f>
        <v>ANALGESICOS ; TIPO: MONODROGA, DROGA GENERICA: DICLOFENAC X 75 MG, FORMA FARMACEUTICA: COMPRIMIDO, PRESENTACION: UNIDAD</v>
      </c>
      <c r="D34" s="97"/>
      <c r="E34" s="97"/>
      <c r="F34" s="97"/>
      <c r="G34" s="97"/>
      <c r="H34" s="46" t="s">
        <v>57</v>
      </c>
      <c r="I34" s="47" t="str">
        <f>'Necesidades Trimestrales'!F32</f>
        <v>COMPRIMIDO</v>
      </c>
      <c r="J34" s="48">
        <f>'Necesidades Trimestrales'!H32</f>
        <v>3.05</v>
      </c>
      <c r="K34" s="49">
        <f>'Necesidades Trimestrales'!G32</f>
        <v>2000</v>
      </c>
    </row>
    <row r="35" spans="1:11" ht="36" customHeight="1" thickBot="1" x14ac:dyDescent="0.25">
      <c r="A35" s="8">
        <v>24</v>
      </c>
      <c r="B35" s="45" t="str">
        <f>'Necesidades Trimestrales'!B33</f>
        <v>2.5.2-1724.117</v>
      </c>
      <c r="C35" s="97" t="str">
        <f>'Necesidades Trimestrales'!E33</f>
        <v>ANALGESICOS ; TIPO: ASOCIACION, DROGA GENERICA: DICLOFENAC SODICO, FORMA FARMACEUTICA: AMPOLLA, PRESENTACION: 3 Ml</v>
      </c>
      <c r="D35" s="97"/>
      <c r="E35" s="97"/>
      <c r="F35" s="97"/>
      <c r="G35" s="97"/>
      <c r="H35" s="46" t="s">
        <v>57</v>
      </c>
      <c r="I35" s="47" t="str">
        <f>'Necesidades Trimestrales'!F33</f>
        <v>AMPOLLA</v>
      </c>
      <c r="J35" s="48">
        <f>'Necesidades Trimestrales'!H33</f>
        <v>35.9</v>
      </c>
      <c r="K35" s="49">
        <f>'Necesidades Trimestrales'!G33</f>
        <v>12000</v>
      </c>
    </row>
    <row r="36" spans="1:11" ht="45.75" customHeight="1" thickBot="1" x14ac:dyDescent="0.25">
      <c r="A36" s="8">
        <v>25</v>
      </c>
      <c r="B36" s="45" t="str">
        <f>'Necesidades Trimestrales'!B34</f>
        <v>2.5.2-1724.208</v>
      </c>
      <c r="C36" s="97" t="str">
        <f>'Necesidades Trimestrales'!E34</f>
        <v>ANALGESICOS ; TIPO: MONODROGA, DROGA GENERICA: DIPIRONA SODICA 1 GR, FORMA FARMACEUTICA: AMPOLLA, PRESENTACION: 2 mL</v>
      </c>
      <c r="D36" s="97"/>
      <c r="E36" s="97"/>
      <c r="F36" s="97"/>
      <c r="G36" s="97"/>
      <c r="H36" s="46" t="s">
        <v>57</v>
      </c>
      <c r="I36" s="47" t="str">
        <f>'Necesidades Trimestrales'!F34</f>
        <v>AMPOLLA</v>
      </c>
      <c r="J36" s="48">
        <f>'Necesidades Trimestrales'!H34</f>
        <v>38.5</v>
      </c>
      <c r="K36" s="49">
        <f>'Necesidades Trimestrales'!G34</f>
        <v>6000</v>
      </c>
    </row>
    <row r="37" spans="1:11" ht="32.25" customHeight="1" thickBot="1" x14ac:dyDescent="0.25">
      <c r="A37" s="8">
        <v>26</v>
      </c>
      <c r="B37" s="45" t="str">
        <f>'Necesidades Trimestrales'!B35</f>
        <v>2.5.2-1821.238</v>
      </c>
      <c r="C37" s="97" t="str">
        <f>'Necesidades Trimestrales'!E35</f>
        <v>ANTIBIOTICOS P/PERSONAS; TIPO: MONODROGA, DROGA GENERICA: FLUCONAZOL 100 MG, FORMA FARMACEUTICA: COMPRIMIDO, PRESENTACION: 100 mGr</v>
      </c>
      <c r="D37" s="97"/>
      <c r="E37" s="97"/>
      <c r="F37" s="97"/>
      <c r="G37" s="97"/>
      <c r="H37" s="46" t="s">
        <v>57</v>
      </c>
      <c r="I37" s="47" t="str">
        <f>'Necesidades Trimestrales'!F35</f>
        <v>COMPRIMIDO</v>
      </c>
      <c r="J37" s="48">
        <f>'Necesidades Trimestrales'!H35</f>
        <v>32.5</v>
      </c>
      <c r="K37" s="49">
        <f>'Necesidades Trimestrales'!G35</f>
        <v>150</v>
      </c>
    </row>
    <row r="38" spans="1:11" ht="33.75" customHeight="1" thickBot="1" x14ac:dyDescent="0.25">
      <c r="A38" s="8">
        <v>27</v>
      </c>
      <c r="B38" s="45" t="str">
        <f>'Necesidades Trimestrales'!B36</f>
        <v>2.5.2-1821.442</v>
      </c>
      <c r="C38" s="97" t="str">
        <f>'Necesidades Trimestrales'!E36</f>
        <v>ANTIBIOTICOS P/PERSONAS; TIPO: MONODROGA, DROGA GENERICA: FLUCONAZOL 200 MG, FORMA FARMACEUTICA: SOLUCION INYECTABLE, PRESENTACION: ENVASE X 100 mL</v>
      </c>
      <c r="D38" s="97"/>
      <c r="E38" s="97"/>
      <c r="F38" s="97"/>
      <c r="G38" s="97"/>
      <c r="H38" s="46" t="s">
        <v>57</v>
      </c>
      <c r="I38" s="47" t="str">
        <f>'Necesidades Trimestrales'!F36</f>
        <v>ENVASE</v>
      </c>
      <c r="J38" s="48">
        <f>'Necesidades Trimestrales'!H36</f>
        <v>986</v>
      </c>
      <c r="K38" s="49">
        <f>'Necesidades Trimestrales'!G36</f>
        <v>600</v>
      </c>
    </row>
    <row r="39" spans="1:11" ht="32.25" customHeight="1" thickBot="1" x14ac:dyDescent="0.25">
      <c r="A39" s="8">
        <v>28</v>
      </c>
      <c r="B39" s="45" t="str">
        <f>'Necesidades Trimestrales'!B37</f>
        <v>2.5.2-1821.491</v>
      </c>
      <c r="C39" s="97" t="str">
        <f>'Necesidades Trimestrales'!E37</f>
        <v>ANTIBIOTICOS P/PERSONAS; TIPO: MONODROGA, DROGA GENERICA: FOSFOMICINA, FORMA FARMACEUTICA: AMPOLLA, PRESENTACION: ENVASE X 1 GR</v>
      </c>
      <c r="D39" s="97"/>
      <c r="E39" s="97"/>
      <c r="F39" s="97"/>
      <c r="G39" s="97"/>
      <c r="H39" s="46" t="s">
        <v>57</v>
      </c>
      <c r="I39" s="47" t="str">
        <f>'Necesidades Trimestrales'!F37</f>
        <v>AMPOLLA</v>
      </c>
      <c r="J39" s="48">
        <f>'Necesidades Trimestrales'!H37</f>
        <v>839.8</v>
      </c>
      <c r="K39" s="49">
        <f>'Necesidades Trimestrales'!G37</f>
        <v>50</v>
      </c>
    </row>
    <row r="40" spans="1:11" ht="36" customHeight="1" thickBot="1" x14ac:dyDescent="0.25">
      <c r="A40" s="8">
        <v>29</v>
      </c>
      <c r="B40" s="45" t="str">
        <f>'Necesidades Trimestrales'!B38</f>
        <v>2.5.2-3603.13</v>
      </c>
      <c r="C40" s="97" t="str">
        <f>'Necesidades Trimestrales'!E38</f>
        <v>EVACUANTES INTESTINALES; TIPO: ASOCIACION, DROGA GENERICA: FOSFATO MONOSODICO-BISODICO, FORMA FARMACEUTICA: SOLUCION, PRESENTACION: ENVASE X 45 mL</v>
      </c>
      <c r="D40" s="97"/>
      <c r="E40" s="97"/>
      <c r="F40" s="97"/>
      <c r="G40" s="97"/>
      <c r="H40" s="46" t="s">
        <v>57</v>
      </c>
      <c r="I40" s="47" t="str">
        <f>'Necesidades Trimestrales'!F38</f>
        <v>FRASCO</v>
      </c>
      <c r="J40" s="48">
        <f>'Necesidades Trimestrales'!H38</f>
        <v>1833.02</v>
      </c>
      <c r="K40" s="49">
        <f>'Necesidades Trimestrales'!G38</f>
        <v>150</v>
      </c>
    </row>
    <row r="41" spans="1:11" ht="38.25" customHeight="1" thickBot="1" x14ac:dyDescent="0.25">
      <c r="A41" s="8">
        <v>30</v>
      </c>
      <c r="B41" s="45" t="str">
        <f>'Necesidades Trimestrales'!B39</f>
        <v>2.5.2-1821.459</v>
      </c>
      <c r="C41" s="97" t="str">
        <f>'Necesidades Trimestrales'!E39</f>
        <v>ANTIBIOTICOS P/PERSONAS; TIPO: MONODROGA, DROGA GENERICA: IMIPENEM + CILASTATINA, FORMA FARMACEUTICA: FRASCO AMPOLLA, PRESENTACION: ENVASE X 500 mGr</v>
      </c>
      <c r="D41" s="97"/>
      <c r="E41" s="97"/>
      <c r="F41" s="97"/>
      <c r="G41" s="97"/>
      <c r="H41" s="46" t="s">
        <v>57</v>
      </c>
      <c r="I41" s="47" t="str">
        <f>'Necesidades Trimestrales'!F39</f>
        <v>AMPOLLA</v>
      </c>
      <c r="J41" s="48">
        <f>'Necesidades Trimestrales'!H39</f>
        <v>632</v>
      </c>
      <c r="K41" s="49">
        <f>'Necesidades Trimestrales'!G39</f>
        <v>2500</v>
      </c>
    </row>
    <row r="42" spans="1:11" ht="43.5" customHeight="1" thickBot="1" x14ac:dyDescent="0.25">
      <c r="A42" s="8">
        <v>31</v>
      </c>
      <c r="B42" s="45" t="str">
        <f>'Necesidades Trimestrales'!B40</f>
        <v>2.5.2-1859.29</v>
      </c>
      <c r="C42" s="97" t="str">
        <f>'Necesidades Trimestrales'!E40</f>
        <v>INMUNOMODULADORES; TIPO: MONODROGA, DROGA GENERICA: INMUNOGLOBULINA G HUMANA, FORMA FARMACEUTICA: VIAL, PRESENTACION: 10 GR</v>
      </c>
      <c r="D42" s="97"/>
      <c r="E42" s="97"/>
      <c r="F42" s="97"/>
      <c r="G42" s="97"/>
      <c r="H42" s="46" t="s">
        <v>57</v>
      </c>
      <c r="I42" s="47" t="str">
        <f>'Necesidades Trimestrales'!F40</f>
        <v>ENVASE</v>
      </c>
      <c r="J42" s="48">
        <f>'Necesidades Trimestrales'!H40</f>
        <v>125640</v>
      </c>
      <c r="K42" s="49">
        <f>'Necesidades Trimestrales'!G40</f>
        <v>30</v>
      </c>
    </row>
    <row r="43" spans="1:11" ht="34.5" customHeight="1" thickBot="1" x14ac:dyDescent="0.25">
      <c r="A43" s="8">
        <v>32</v>
      </c>
      <c r="B43" s="45" t="str">
        <f>'Necesidades Trimestrales'!B41</f>
        <v>2.5.2-2455.20</v>
      </c>
      <c r="C43" s="97" t="str">
        <f>'Necesidades Trimestrales'!E41</f>
        <v>ANESTESICOS GENERALES; DROGA GENERICA: KETAMINA 50 MG/ML, FORMA FARMACEUTICA: FRASCO AMPOLLA, PRESENTACION: 10 mL, TIPO: MONODROGA</v>
      </c>
      <c r="D43" s="97"/>
      <c r="E43" s="97"/>
      <c r="F43" s="97"/>
      <c r="G43" s="97"/>
      <c r="H43" s="46" t="s">
        <v>57</v>
      </c>
      <c r="I43" s="47" t="str">
        <f>'Necesidades Trimestrales'!F41</f>
        <v>AMPOLLA</v>
      </c>
      <c r="J43" s="48">
        <f>'Necesidades Trimestrales'!H41</f>
        <v>1950</v>
      </c>
      <c r="K43" s="49">
        <f>'Necesidades Trimestrales'!G41</f>
        <v>100</v>
      </c>
    </row>
    <row r="44" spans="1:11" ht="38.25" customHeight="1" thickBot="1" x14ac:dyDescent="0.25">
      <c r="A44" s="8">
        <v>33</v>
      </c>
      <c r="B44" s="45" t="str">
        <f>'Necesidades Trimestrales'!B42</f>
        <v>2.5.2-1724.23</v>
      </c>
      <c r="C44" s="97" t="str">
        <f>'Necesidades Trimestrales'!E42</f>
        <v>ANALGESICOS ; TIPO: MONODROGA, DROGA GENERICA: KETOROLAC, FORMA FARMACEUTICA: AMPOLLA, PRESENTACION: 30 mGr</v>
      </c>
      <c r="D44" s="97"/>
      <c r="E44" s="97"/>
      <c r="F44" s="97"/>
      <c r="G44" s="97"/>
      <c r="H44" s="46" t="s">
        <v>57</v>
      </c>
      <c r="I44" s="47" t="str">
        <f>'Necesidades Trimestrales'!F42</f>
        <v>AMPOLLA</v>
      </c>
      <c r="J44" s="48">
        <f>'Necesidades Trimestrales'!H42</f>
        <v>56</v>
      </c>
      <c r="K44" s="49">
        <f>'Necesidades Trimestrales'!G42</f>
        <v>25000</v>
      </c>
    </row>
    <row r="45" spans="1:11" ht="38.25" customHeight="1" thickBot="1" x14ac:dyDescent="0.25">
      <c r="A45" s="8">
        <v>34</v>
      </c>
      <c r="B45" s="45" t="str">
        <f>'Necesidades Trimestrales'!B43</f>
        <v>2.5.2-1883.186</v>
      </c>
      <c r="C45" s="97" t="str">
        <f>'Necesidades Trimestrales'!E43</f>
        <v>ANESTESICOS LOCALES; TIPO: MONODROGA, DROGA GENERICA: LIDOCAINA 2%S/EPINEFRINA, FORMA FARMACEUTICA: AMPOLLA, PRESENTACION: 5 mL</v>
      </c>
      <c r="D45" s="97"/>
      <c r="E45" s="97"/>
      <c r="F45" s="97"/>
      <c r="G45" s="97"/>
      <c r="H45" s="46" t="s">
        <v>57</v>
      </c>
      <c r="I45" s="47" t="str">
        <f>'Necesidades Trimestrales'!F43</f>
        <v>AMPOLLA</v>
      </c>
      <c r="J45" s="48">
        <f>'Necesidades Trimestrales'!H43</f>
        <v>35</v>
      </c>
      <c r="K45" s="49">
        <f>'Necesidades Trimestrales'!G43</f>
        <v>4000</v>
      </c>
    </row>
    <row r="46" spans="1:11" ht="36" customHeight="1" thickBot="1" x14ac:dyDescent="0.25">
      <c r="A46" s="8">
        <v>35</v>
      </c>
      <c r="B46" s="45" t="str">
        <f>'Necesidades Trimestrales'!B44</f>
        <v>2.5.2-1883.136</v>
      </c>
      <c r="C46" s="97" t="str">
        <f>'Necesidades Trimestrales'!E44</f>
        <v>ANESTESICOS LOCALES; TIPO: MONODROGA, DROGA GENERICA: LIDOCAINA 2% S/EPINEFRINA, FORMA FARMACEUTICA: FRASCO AMPOLLA, PRESENTACION: ENVASE X 20 mL</v>
      </c>
      <c r="D46" s="97"/>
      <c r="E46" s="97"/>
      <c r="F46" s="97"/>
      <c r="G46" s="97"/>
      <c r="H46" s="46" t="s">
        <v>57</v>
      </c>
      <c r="I46" s="47" t="str">
        <f>'Necesidades Trimestrales'!F44</f>
        <v>AMPOLLA</v>
      </c>
      <c r="J46" s="48">
        <f>'Necesidades Trimestrales'!H44</f>
        <v>325</v>
      </c>
      <c r="K46" s="49">
        <f>'Necesidades Trimestrales'!G44</f>
        <v>50</v>
      </c>
    </row>
    <row r="47" spans="1:11" ht="35.25" customHeight="1" thickBot="1" x14ac:dyDescent="0.25">
      <c r="A47" s="8">
        <v>36</v>
      </c>
      <c r="B47" s="45" t="str">
        <f>'Necesidades Trimestrales'!B45</f>
        <v>2.5.2-1883.111</v>
      </c>
      <c r="C47" s="97" t="str">
        <f>'Necesidades Trimestrales'!E45</f>
        <v>ANESTESICOS LOCALES; TIPO: ASOCIACION, DROGA GENERICA: LIDOCAINA 2% C/EPINEFRINA, FORMA FARMACEUTICA: FRASCO AMPOLLA, PRESENTACION: 20 mL</v>
      </c>
      <c r="D47" s="97"/>
      <c r="E47" s="97"/>
      <c r="F47" s="97"/>
      <c r="G47" s="97"/>
      <c r="H47" s="46" t="s">
        <v>57</v>
      </c>
      <c r="I47" s="47" t="str">
        <f>'Necesidades Trimestrales'!F45</f>
        <v>AMPOLLA</v>
      </c>
      <c r="J47" s="48">
        <f>'Necesidades Trimestrales'!H45</f>
        <v>493</v>
      </c>
      <c r="K47" s="49">
        <f>'Necesidades Trimestrales'!G45</f>
        <v>50</v>
      </c>
    </row>
    <row r="48" spans="1:11" ht="36" customHeight="1" thickBot="1" x14ac:dyDescent="0.25">
      <c r="A48" s="8">
        <v>37</v>
      </c>
      <c r="B48" s="45" t="str">
        <f>'Necesidades Trimestrales'!B46</f>
        <v>2.5.2-1883.149</v>
      </c>
      <c r="C48" s="97" t="str">
        <f>'Necesidades Trimestrales'!E46</f>
        <v>ANESTESICOS LOCALES; TIPO: MONODROGA, DROGA GENERICA: LIDOCAINA, FORMA FARMACEUTICA: JALEA, PRESENTACION: ENVASE X 25 GR</v>
      </c>
      <c r="D48" s="97"/>
      <c r="E48" s="97"/>
      <c r="F48" s="97"/>
      <c r="G48" s="97"/>
      <c r="H48" s="46" t="s">
        <v>57</v>
      </c>
      <c r="I48" s="47" t="str">
        <f>'Necesidades Trimestrales'!F46</f>
        <v>ENVASE</v>
      </c>
      <c r="J48" s="48">
        <f>'Necesidades Trimestrales'!H46</f>
        <v>154.80000000000001</v>
      </c>
      <c r="K48" s="49">
        <f>'Necesidades Trimestrales'!G46</f>
        <v>600</v>
      </c>
    </row>
    <row r="49" spans="1:11" ht="37.5" customHeight="1" thickBot="1" x14ac:dyDescent="0.25">
      <c r="A49" s="8">
        <v>38</v>
      </c>
      <c r="B49" s="45" t="str">
        <f>'Necesidades Trimestrales'!B47</f>
        <v>2.5.2-1883.19</v>
      </c>
      <c r="C49" s="97" t="str">
        <f>'Necesidades Trimestrales'!E47</f>
        <v>ANESTESICOS LOCALES; TIPO: MONODROGA, DROGA GENERICA: LIDOCAINA VISCOSA, FORMA FARMACEUTICA: ENVASE, PRESENTACION: 50 mL</v>
      </c>
      <c r="D49" s="97"/>
      <c r="E49" s="97"/>
      <c r="F49" s="97"/>
      <c r="G49" s="97"/>
      <c r="H49" s="46" t="s">
        <v>57</v>
      </c>
      <c r="I49" s="47" t="str">
        <f>'Necesidades Trimestrales'!F47</f>
        <v>ENVASE</v>
      </c>
      <c r="J49" s="48">
        <f>'Necesidades Trimestrales'!H47</f>
        <v>390</v>
      </c>
      <c r="K49" s="49">
        <f>'Necesidades Trimestrales'!G47</f>
        <v>30</v>
      </c>
    </row>
    <row r="50" spans="1:11" ht="37.5" customHeight="1" thickBot="1" x14ac:dyDescent="0.25">
      <c r="A50" s="8">
        <v>39</v>
      </c>
      <c r="B50" s="45" t="str">
        <f>'Necesidades Trimestrales'!B48</f>
        <v>2.5.2-1821.329</v>
      </c>
      <c r="C50" s="97" t="str">
        <f>'Necesidades Trimestrales'!E48</f>
        <v>ANTIBIOTICOS P/PERSONAS; TIPO: MONODROGA, DROGA GENERICA: LINEZOLID, FORMA FARMACEUTICA: SOLUCION, PRESENTACION: ENVASE X 300 mL</v>
      </c>
      <c r="D50" s="97"/>
      <c r="E50" s="97"/>
      <c r="F50" s="97"/>
      <c r="G50" s="97"/>
      <c r="H50" s="46" t="s">
        <v>57</v>
      </c>
      <c r="I50" s="47" t="str">
        <f>'Necesidades Trimestrales'!F48</f>
        <v>FRASCO</v>
      </c>
      <c r="J50" s="48">
        <f>'Necesidades Trimestrales'!H48</f>
        <v>1815</v>
      </c>
      <c r="K50" s="49">
        <f>'Necesidades Trimestrales'!G48</f>
        <v>30</v>
      </c>
    </row>
    <row r="51" spans="1:11" ht="39.75" customHeight="1" thickBot="1" x14ac:dyDescent="0.25">
      <c r="A51" s="8">
        <v>40</v>
      </c>
      <c r="B51" s="45" t="str">
        <f>'Necesidades Trimestrales'!B49</f>
        <v>2.5.2-1821.400</v>
      </c>
      <c r="C51" s="97" t="str">
        <f>'Necesidades Trimestrales'!E49</f>
        <v>ANTIBIOTICOS P/PERSONAS; TIPO: MONODROGA, DROGA GENERICA: METRONIDAZOL 500 mGr, FORMA FARMACEUTICA: SACHET X 100 mL, PRESENTACION: UNIDAD</v>
      </c>
      <c r="D51" s="97"/>
      <c r="E51" s="97"/>
      <c r="F51" s="97"/>
      <c r="G51" s="97"/>
      <c r="H51" s="46" t="s">
        <v>57</v>
      </c>
      <c r="I51" s="47" t="str">
        <f>'Necesidades Trimestrales'!F49</f>
        <v>ENVASE</v>
      </c>
      <c r="J51" s="48">
        <f>'Necesidades Trimestrales'!H49</f>
        <v>118</v>
      </c>
      <c r="K51" s="49">
        <f>'Necesidades Trimestrales'!G49</f>
        <v>6000</v>
      </c>
    </row>
    <row r="52" spans="1:11" ht="47.25" customHeight="1" thickBot="1" x14ac:dyDescent="0.25">
      <c r="A52" s="8">
        <v>41</v>
      </c>
      <c r="B52" s="45" t="str">
        <f>'Necesidades Trimestrales'!B50</f>
        <v>2.5.2-1821.115</v>
      </c>
      <c r="C52" s="97" t="str">
        <f>'Necesidades Trimestrales'!E50</f>
        <v>ANTIBIOTICOS P/PERSONAS; TIPO: MONODROGA, DROGA GENERICA: MINOCICLINA, FORMA FARMACEUTICA: COMPRIMIDO, PRESENTACION: 100 mGr</v>
      </c>
      <c r="D52" s="97"/>
      <c r="E52" s="97"/>
      <c r="F52" s="97"/>
      <c r="G52" s="97"/>
      <c r="H52" s="46" t="s">
        <v>57</v>
      </c>
      <c r="I52" s="47" t="str">
        <f>'Necesidades Trimestrales'!F50</f>
        <v>COMPRIMIDO</v>
      </c>
      <c r="J52" s="48">
        <f>'Necesidades Trimestrales'!H50</f>
        <v>61.7</v>
      </c>
      <c r="K52" s="49">
        <f>'Necesidades Trimestrales'!G50</f>
        <v>300</v>
      </c>
    </row>
    <row r="53" spans="1:11" ht="38.25" customHeight="1" thickBot="1" x14ac:dyDescent="0.25">
      <c r="A53" s="8">
        <v>42</v>
      </c>
      <c r="B53" s="45" t="str">
        <f>'Necesidades Trimestrales'!B51</f>
        <v>2.5.2-1724.98</v>
      </c>
      <c r="C53" s="97" t="str">
        <f>'Necesidades Trimestrales'!E51</f>
        <v>ANALGESICOS ; TIPO: MONODROGA, DROGA GENERICA: MORFINA CLORIDRATO 1%, FORMA FARMACEUTICA: AMPOLLA, PRESENTACION: 1 mL</v>
      </c>
      <c r="D53" s="97"/>
      <c r="E53" s="97"/>
      <c r="F53" s="97"/>
      <c r="G53" s="97"/>
      <c r="H53" s="46" t="s">
        <v>57</v>
      </c>
      <c r="I53" s="47" t="str">
        <f>'Necesidades Trimestrales'!F51</f>
        <v>AMPOLLA</v>
      </c>
      <c r="J53" s="48">
        <f>'Necesidades Trimestrales'!H51</f>
        <v>110</v>
      </c>
      <c r="K53" s="49">
        <f>'Necesidades Trimestrales'!G51</f>
        <v>4200</v>
      </c>
    </row>
    <row r="54" spans="1:11" ht="43.5" customHeight="1" thickBot="1" x14ac:dyDescent="0.25">
      <c r="A54" s="8">
        <v>43</v>
      </c>
      <c r="B54" s="45" t="str">
        <f>'Necesidades Trimestrales'!B52</f>
        <v>2.5.2-1724.206</v>
      </c>
      <c r="C54" s="97" t="str">
        <f>'Necesidades Trimestrales'!E52</f>
        <v>ANALGESICOS ; TIPO: MONODROGA, DROGA GENERICA: NALBUFINA 10 mGr, FORMA FARMACEUTICA: AMPOLLA, PRESENTACION: ENVASE X 1 mL</v>
      </c>
      <c r="D54" s="97"/>
      <c r="E54" s="97"/>
      <c r="F54" s="97"/>
      <c r="G54" s="97"/>
      <c r="H54" s="46" t="s">
        <v>57</v>
      </c>
      <c r="I54" s="47" t="str">
        <f>'Necesidades Trimestrales'!F52</f>
        <v>AMPOLLA</v>
      </c>
      <c r="J54" s="48">
        <f>'Necesidades Trimestrales'!H52</f>
        <v>120</v>
      </c>
      <c r="K54" s="49">
        <f>'Necesidades Trimestrales'!G52</f>
        <v>3000</v>
      </c>
    </row>
    <row r="55" spans="1:11" ht="38.25" customHeight="1" thickBot="1" x14ac:dyDescent="0.25">
      <c r="A55" s="8">
        <v>44</v>
      </c>
      <c r="B55" s="45" t="str">
        <f>'Necesidades Trimestrales'!B53</f>
        <v>2.5.2-1883.165</v>
      </c>
      <c r="C55" s="97" t="str">
        <f>'Necesidades Trimestrales'!E53</f>
        <v>ANESTESICOS LOCALES; TIPO: MONODROGA, DROGA GENERICA: PANCURONIO BROMURO 4 mGr, FORMA FARMACEUTICA: AMPOLLA, PRESENTACION: ENVASE X 2 mL</v>
      </c>
      <c r="D55" s="97"/>
      <c r="E55" s="97"/>
      <c r="F55" s="97"/>
      <c r="G55" s="97"/>
      <c r="H55" s="46" t="s">
        <v>57</v>
      </c>
      <c r="I55" s="47" t="str">
        <f>'Necesidades Trimestrales'!F53</f>
        <v>AMPOLLA</v>
      </c>
      <c r="J55" s="48">
        <f>'Necesidades Trimestrales'!H53</f>
        <v>189</v>
      </c>
      <c r="K55" s="49">
        <f>'Necesidades Trimestrales'!G53</f>
        <v>250</v>
      </c>
    </row>
    <row r="56" spans="1:11" ht="42.75" customHeight="1" thickBot="1" x14ac:dyDescent="0.25">
      <c r="A56" s="8">
        <v>45</v>
      </c>
      <c r="B56" s="45" t="str">
        <f>'Necesidades Trimestrales'!B54</f>
        <v>2.5.2-1724.243</v>
      </c>
      <c r="C56" s="97" t="str">
        <f>'Necesidades Trimestrales'!E54</f>
        <v>ANALGESICOS ; TIPO: MONODROGA, DROGA GENERICA: PARACETAMOL 1 GR, FORMA FARMACEUTICA: COMPRIMIDO, PRESENTACION: UNIDAD</v>
      </c>
      <c r="D56" s="97"/>
      <c r="E56" s="97"/>
      <c r="F56" s="97"/>
      <c r="G56" s="97"/>
      <c r="H56" s="46" t="s">
        <v>57</v>
      </c>
      <c r="I56" s="47" t="str">
        <f>'Necesidades Trimestrales'!F54</f>
        <v>COMPRIMIDO</v>
      </c>
      <c r="J56" s="48">
        <f>'Necesidades Trimestrales'!H54</f>
        <v>9.8000000000000007</v>
      </c>
      <c r="K56" s="49">
        <f>'Necesidades Trimestrales'!G54</f>
        <v>12000</v>
      </c>
    </row>
    <row r="57" spans="1:11" ht="35.25" customHeight="1" thickBot="1" x14ac:dyDescent="0.25">
      <c r="A57" s="8">
        <v>46</v>
      </c>
      <c r="B57" s="45" t="str">
        <f>'Necesidades Trimestrales'!B55</f>
        <v>2.5.2-1724.245</v>
      </c>
      <c r="C57" s="97" t="str">
        <f>'Necesidades Trimestrales'!E55</f>
        <v>ANALGÉSICOS ; TIPO: MONODROGA, DROGA GENÉRICA: PARACETAMOL 500 MGR, FORMA FARMACEÚTICA: COMPRIMIDO, PRESENTACIÓN: X UNIDAD</v>
      </c>
      <c r="D57" s="97"/>
      <c r="E57" s="97"/>
      <c r="F57" s="97"/>
      <c r="G57" s="97"/>
      <c r="H57" s="46" t="s">
        <v>57</v>
      </c>
      <c r="I57" s="47" t="str">
        <f>'Necesidades Trimestrales'!F55</f>
        <v>COMPRIMIDO</v>
      </c>
      <c r="J57" s="48">
        <f>'Necesidades Trimestrales'!H55</f>
        <v>5.3</v>
      </c>
      <c r="K57" s="49">
        <f>'Necesidades Trimestrales'!G55</f>
        <v>5000</v>
      </c>
    </row>
    <row r="58" spans="1:11" ht="35.25" customHeight="1" thickBot="1" x14ac:dyDescent="0.25">
      <c r="A58" s="8">
        <v>47</v>
      </c>
      <c r="B58" s="45" t="str">
        <f>'Necesidades Trimestrales'!B56</f>
        <v>2.5.2-1821.220</v>
      </c>
      <c r="C58" s="97" t="str">
        <f>'Necesidades Trimestrales'!E56</f>
        <v>ANTIBIOTICOS P/PERSONAS; TIPO: MONODROGA, DROGA GENERICA: PENICILINA G. BENZATINICA, FORMA FARMACEUTICA: FRASCO AMPOLLA, PRESENTACION: 2.400.000 UI</v>
      </c>
      <c r="D58" s="97"/>
      <c r="E58" s="97"/>
      <c r="F58" s="97"/>
      <c r="G58" s="97"/>
      <c r="H58" s="46" t="s">
        <v>57</v>
      </c>
      <c r="I58" s="47" t="str">
        <f>'Necesidades Trimestrales'!F56</f>
        <v>AMPOLLA</v>
      </c>
      <c r="J58" s="48">
        <f>'Necesidades Trimestrales'!H56</f>
        <v>256</v>
      </c>
      <c r="K58" s="49">
        <f>'Necesidades Trimestrales'!G56</f>
        <v>50</v>
      </c>
    </row>
    <row r="59" spans="1:11" ht="36" customHeight="1" thickBot="1" x14ac:dyDescent="0.25">
      <c r="A59" s="8">
        <v>48</v>
      </c>
      <c r="B59" s="45" t="str">
        <f>'Necesidades Trimestrales'!B57</f>
        <v>2.5.2-1821.13</v>
      </c>
      <c r="C59" s="97" t="str">
        <f>'Necesidades Trimestrales'!E57</f>
        <v>ANTIBIOTICOS P/PERSONAS; TIPO: MONODROGA, DROGA GENERICA: PENICILINA G. SODICA, FORMA FARMACEUTICA: AMPOLLA, PRESENTACION: 3.000.000 UI</v>
      </c>
      <c r="D59" s="97"/>
      <c r="E59" s="97"/>
      <c r="F59" s="97"/>
      <c r="G59" s="97"/>
      <c r="H59" s="46" t="s">
        <v>57</v>
      </c>
      <c r="I59" s="47" t="str">
        <f>'Necesidades Trimestrales'!F57</f>
        <v>AMPOLLA</v>
      </c>
      <c r="J59" s="48">
        <f>'Necesidades Trimestrales'!H57</f>
        <v>189</v>
      </c>
      <c r="K59" s="49">
        <f>'Necesidades Trimestrales'!G57</f>
        <v>1000</v>
      </c>
    </row>
    <row r="60" spans="1:11" ht="36" customHeight="1" thickBot="1" x14ac:dyDescent="0.25">
      <c r="A60" s="8">
        <v>49</v>
      </c>
      <c r="B60" s="45" t="str">
        <f>'Necesidades Trimestrales'!B58</f>
        <v>2.5.2-3603.15</v>
      </c>
      <c r="C60" s="97" t="str">
        <f>'Necesidades Trimestrales'!E58</f>
        <v>EVACUANTES INTESTINALES; TIPO: MONODROGA, DROGA GENERICA: POLIETILENGLICOL, FORMA FARMACEUTICA: SOLUCION, PRESENTACION: ENVASE X 4 L</v>
      </c>
      <c r="D60" s="97"/>
      <c r="E60" s="97"/>
      <c r="F60" s="97"/>
      <c r="G60" s="97"/>
      <c r="H60" s="46" t="s">
        <v>57</v>
      </c>
      <c r="I60" s="47" t="str">
        <f>'Necesidades Trimestrales'!F58</f>
        <v>ENVASE</v>
      </c>
      <c r="J60" s="48">
        <f>'Necesidades Trimestrales'!H58</f>
        <v>6502</v>
      </c>
      <c r="K60" s="49">
        <f>'Necesidades Trimestrales'!G58</f>
        <v>2</v>
      </c>
    </row>
    <row r="61" spans="1:11" ht="42.75" customHeight="1" thickBot="1" x14ac:dyDescent="0.25">
      <c r="A61" s="8">
        <v>50</v>
      </c>
      <c r="B61" s="45" t="str">
        <f>'Necesidades Trimestrales'!B59</f>
        <v>2.5.2-2455.48</v>
      </c>
      <c r="C61" s="97" t="str">
        <f>'Necesidades Trimestrales'!E59</f>
        <v>ANESTESICOS GENERALES; DROGA GENERICA: PROPOFOL 200mGr, FORMA FARMACEUTICA: AMPOLLA, PRESENTACION ENVASE: X 50ml, TIPO: MONODROGA</v>
      </c>
      <c r="D61" s="97"/>
      <c r="E61" s="97"/>
      <c r="F61" s="97"/>
      <c r="G61" s="97"/>
      <c r="H61" s="46" t="s">
        <v>57</v>
      </c>
      <c r="I61" s="47" t="str">
        <f>'Necesidades Trimestrales'!F59</f>
        <v>AMPOLLA</v>
      </c>
      <c r="J61" s="48">
        <f>'Necesidades Trimestrales'!H59</f>
        <v>1050</v>
      </c>
      <c r="K61" s="49">
        <f>'Necesidades Trimestrales'!G59</f>
        <v>1200</v>
      </c>
    </row>
    <row r="62" spans="1:11" ht="35.25" customHeight="1" thickBot="1" x14ac:dyDescent="0.25">
      <c r="A62" s="8">
        <v>51</v>
      </c>
      <c r="B62" s="45" t="str">
        <f>'Necesidades Trimestrales'!B60</f>
        <v>2.5.2-2455.49</v>
      </c>
      <c r="C62" s="97" t="str">
        <f>'Necesidades Trimestrales'!E60</f>
        <v>ANESTÉSICOS GENERALES; DROGA GENÉRICA: PROPOFOL 2%, 400MGR, FORMA FARMACEÚTICA: AMPOLLA, PRESENTACIÓN ENVASE: X 50ML, TIPO: MONODROGA</v>
      </c>
      <c r="D62" s="97"/>
      <c r="E62" s="97"/>
      <c r="F62" s="97"/>
      <c r="G62" s="97"/>
      <c r="H62" s="46" t="s">
        <v>57</v>
      </c>
      <c r="I62" s="47" t="str">
        <f>'Necesidades Trimestrales'!F60</f>
        <v>AMPOLLA</v>
      </c>
      <c r="J62" s="48">
        <f>'Necesidades Trimestrales'!H60</f>
        <v>1327</v>
      </c>
      <c r="K62" s="49">
        <f>'Necesidades Trimestrales'!G60</f>
        <v>600</v>
      </c>
    </row>
    <row r="63" spans="1:11" ht="37.5" customHeight="1" thickBot="1" x14ac:dyDescent="0.25">
      <c r="A63" s="8">
        <v>52</v>
      </c>
      <c r="B63" s="45" t="str">
        <f>'Necesidades Trimestrales'!B61</f>
        <v>2.5.2-1883.173</v>
      </c>
      <c r="C63" s="97" t="str">
        <f>'Necesidades Trimestrales'!E61</f>
        <v>ANESTESICOS LOCALES; TIPO: MONODROGA, DROGA GENERICA: REMIFENTANILO 5 mGr, FORMA FARMACEUTICA: AMPOLLA, PRESENTACION: UNIDAD</v>
      </c>
      <c r="D63" s="97"/>
      <c r="E63" s="97"/>
      <c r="F63" s="97"/>
      <c r="G63" s="97"/>
      <c r="H63" s="46" t="s">
        <v>57</v>
      </c>
      <c r="I63" s="47" t="str">
        <f>'Necesidades Trimestrales'!F61</f>
        <v>AMPOLLA</v>
      </c>
      <c r="J63" s="48">
        <f>'Necesidades Trimestrales'!H61</f>
        <v>790</v>
      </c>
      <c r="K63" s="49">
        <f>'Necesidades Trimestrales'!G61</f>
        <v>1500</v>
      </c>
    </row>
    <row r="64" spans="1:11" ht="38.25" customHeight="1" thickBot="1" x14ac:dyDescent="0.25">
      <c r="A64" s="8">
        <v>53</v>
      </c>
      <c r="B64" s="45" t="str">
        <f>'Necesidades Trimestrales'!B62</f>
        <v>2.5.2-1822.6</v>
      </c>
      <c r="C64" s="97" t="str">
        <f>'Necesidades Trimestrales'!E62</f>
        <v>ANTIMICOBACTERIAS; TIPO: MONODROGA, DROGA GENERICA: RIFAMPICINA, PRESENTACION: 300 mGr, FORMA FARMACEUTICA: CAPSULA</v>
      </c>
      <c r="D64" s="97"/>
      <c r="E64" s="97"/>
      <c r="F64" s="97"/>
      <c r="G64" s="97"/>
      <c r="H64" s="46" t="s">
        <v>57</v>
      </c>
      <c r="I64" s="47" t="str">
        <f>'Necesidades Trimestrales'!F62</f>
        <v>CAPSULAS</v>
      </c>
      <c r="J64" s="48">
        <f>'Necesidades Trimestrales'!H62</f>
        <v>45</v>
      </c>
      <c r="K64" s="49">
        <f>'Necesidades Trimestrales'!G62</f>
        <v>30</v>
      </c>
    </row>
    <row r="65" spans="1:1024" ht="38.25" customHeight="1" thickBot="1" x14ac:dyDescent="0.25">
      <c r="A65" s="8">
        <v>54</v>
      </c>
      <c r="B65" s="45" t="str">
        <f>'Necesidades Trimestrales'!B63</f>
        <v>2.5.2-1821.219</v>
      </c>
      <c r="C65" s="97" t="str">
        <f>'Necesidades Trimestrales'!E63</f>
        <v>ANTIBIOTICOS P/PERSONAS; TIPO: MONODROGA, DROGA GENERICA: RIFAMPICINA, FORMA FARMACEUTICA: FRASCO AMPOLLA, PRESENTACION: 600 mGr</v>
      </c>
      <c r="D65" s="97"/>
      <c r="E65" s="97"/>
      <c r="F65" s="97"/>
      <c r="G65" s="97"/>
      <c r="H65" s="46" t="s">
        <v>57</v>
      </c>
      <c r="I65" s="47" t="str">
        <f>'Necesidades Trimestrales'!F63</f>
        <v>AMPOLLA</v>
      </c>
      <c r="J65" s="48">
        <f>'Necesidades Trimestrales'!H63</f>
        <v>1510</v>
      </c>
      <c r="K65" s="49">
        <f>'Necesidades Trimestrales'!G63</f>
        <v>50</v>
      </c>
    </row>
    <row r="66" spans="1:1024" ht="33" customHeight="1" thickBot="1" x14ac:dyDescent="0.25">
      <c r="A66" s="8">
        <v>55</v>
      </c>
      <c r="B66" s="45" t="str">
        <f>'Necesidades Trimestrales'!B64</f>
        <v>2.5.2-2455.31</v>
      </c>
      <c r="C66" s="97" t="str">
        <f>'Necesidades Trimestrales'!E64</f>
        <v>ANESTESICOS GENERALES; DROGA GENERICA: SEVOFLUORANO, FORMA FARMACEUTICA: SOLUCION, PRESENTACION: ENVASE X 250 mL, TIPO: MONODROGA</v>
      </c>
      <c r="D66" s="97"/>
      <c r="E66" s="97"/>
      <c r="F66" s="97"/>
      <c r="G66" s="97"/>
      <c r="H66" s="46" t="s">
        <v>57</v>
      </c>
      <c r="I66" s="47" t="str">
        <f>'Necesidades Trimestrales'!F64</f>
        <v>FRASCO</v>
      </c>
      <c r="J66" s="48">
        <f>'Necesidades Trimestrales'!H64</f>
        <v>13840</v>
      </c>
      <c r="K66" s="49">
        <f>'Necesidades Trimestrales'!G64</f>
        <v>100</v>
      </c>
    </row>
    <row r="67" spans="1:1024" ht="42.75" customHeight="1" thickBot="1" x14ac:dyDescent="0.25">
      <c r="A67" s="8">
        <v>56</v>
      </c>
      <c r="B67" s="45" t="str">
        <f>'Necesidades Trimestrales'!B65</f>
        <v>2.5.2-2199.2</v>
      </c>
      <c r="C67" s="97" t="str">
        <f>'Necesidades Trimestrales'!E65</f>
        <v>BLOQUEANTES NEUROMUSCULARES; DROGA GENERICA: SUCCINILCOLINA, FORMA FARMACEUTICA: AMPOLLA, PRESENTACION: 500 mGr, TIPO: MONODROGA</v>
      </c>
      <c r="D67" s="97"/>
      <c r="E67" s="97"/>
      <c r="F67" s="97"/>
      <c r="G67" s="97"/>
      <c r="H67" s="46" t="s">
        <v>57</v>
      </c>
      <c r="I67" s="47" t="str">
        <f>'Necesidades Trimestrales'!F65</f>
        <v>AMPOLLA</v>
      </c>
      <c r="J67" s="48">
        <f>'Necesidades Trimestrales'!H65</f>
        <v>340</v>
      </c>
      <c r="K67" s="49">
        <f>'Necesidades Trimestrales'!G65</f>
        <v>300</v>
      </c>
    </row>
    <row r="68" spans="1:1024" ht="49.5" customHeight="1" thickBot="1" x14ac:dyDescent="0.25">
      <c r="A68" s="8">
        <v>57</v>
      </c>
      <c r="B68" s="45" t="str">
        <f>'Necesidades Trimestrales'!B66</f>
        <v>2.5.2-2199.13</v>
      </c>
      <c r="C68" s="97" t="str">
        <f>'Necesidades Trimestrales'!E66</f>
        <v>BLOQUEANTES NEUROMUSCULARES; DROGA GENERICA: BROMURO DE VECURONIO, FORMA FARMACEUTICA: AMPOLLA X 10 mGr, PRESENTACION: UNIDAD, TIPO: MONODROGA</v>
      </c>
      <c r="D68" s="97"/>
      <c r="E68" s="97"/>
      <c r="F68" s="97"/>
      <c r="G68" s="97"/>
      <c r="H68" s="46" t="s">
        <v>57</v>
      </c>
      <c r="I68" s="47" t="str">
        <f>'Necesidades Trimestrales'!F66</f>
        <v>AMPOLLA</v>
      </c>
      <c r="J68" s="48">
        <f>'Necesidades Trimestrales'!H66</f>
        <v>864</v>
      </c>
      <c r="K68" s="49">
        <f>'Necesidades Trimestrales'!G66</f>
        <v>50</v>
      </c>
    </row>
    <row r="69" spans="1:1024" ht="20.25" customHeight="1" thickBot="1" x14ac:dyDescent="0.25">
      <c r="A69" s="98" t="s">
        <v>187</v>
      </c>
      <c r="B69" s="98"/>
      <c r="C69" s="98"/>
      <c r="D69" s="98"/>
      <c r="E69" s="98"/>
      <c r="F69" s="98"/>
      <c r="G69" s="98"/>
      <c r="H69" s="98"/>
      <c r="I69" s="98"/>
      <c r="J69" s="91">
        <f>SUMPRODUCT(J12:J68,K12:K68)</f>
        <v>22387289</v>
      </c>
      <c r="K69" s="91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/>
      <c r="JD69"/>
      <c r="JE69"/>
      <c r="JF69"/>
      <c r="JG69"/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/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  <c r="MK69"/>
      <c r="ML69"/>
      <c r="MM69"/>
      <c r="MN69"/>
      <c r="MO69"/>
      <c r="MP69"/>
      <c r="MQ69"/>
      <c r="MR69"/>
      <c r="MS69"/>
      <c r="MT69"/>
      <c r="MU69"/>
      <c r="MV69"/>
      <c r="MW69"/>
      <c r="MX69"/>
      <c r="MY69"/>
      <c r="MZ69"/>
      <c r="NA69"/>
      <c r="NB69"/>
      <c r="NC69"/>
      <c r="ND69"/>
      <c r="NE69"/>
      <c r="NF69"/>
      <c r="NG69"/>
      <c r="NH69"/>
      <c r="NI69"/>
      <c r="NJ69"/>
      <c r="NK69"/>
      <c r="NL69"/>
      <c r="NM69"/>
      <c r="NN69"/>
      <c r="NO69"/>
      <c r="NP69"/>
      <c r="NQ69"/>
      <c r="NR69"/>
      <c r="NS69"/>
      <c r="NT69"/>
      <c r="NU69"/>
      <c r="NV69"/>
      <c r="NW69"/>
      <c r="NX69"/>
      <c r="NY69"/>
      <c r="NZ69"/>
      <c r="OA69"/>
      <c r="OB69"/>
      <c r="OC69"/>
      <c r="OD69"/>
      <c r="OE69"/>
      <c r="OF69"/>
      <c r="OG69"/>
      <c r="OH69"/>
      <c r="OI69"/>
      <c r="OJ69"/>
      <c r="OK69"/>
      <c r="OL69"/>
      <c r="OM69"/>
      <c r="ON69"/>
      <c r="OO69"/>
      <c r="OP69"/>
      <c r="OQ69"/>
      <c r="OR69"/>
      <c r="OS69"/>
      <c r="OT69"/>
      <c r="OU69"/>
      <c r="OV69"/>
      <c r="OW69"/>
      <c r="OX69"/>
      <c r="OY69"/>
      <c r="OZ69"/>
      <c r="PA69"/>
      <c r="PB69"/>
      <c r="PC69"/>
      <c r="PD69"/>
      <c r="PE69"/>
      <c r="PF69"/>
      <c r="PG69"/>
      <c r="PH69"/>
      <c r="PI69"/>
      <c r="PJ69"/>
      <c r="PK69"/>
      <c r="PL69"/>
      <c r="PM69"/>
      <c r="PN69"/>
      <c r="PO69"/>
      <c r="PP69"/>
      <c r="PQ69"/>
      <c r="PR69"/>
      <c r="PS69"/>
      <c r="PT69"/>
      <c r="PU69"/>
      <c r="PV69"/>
      <c r="PW69"/>
      <c r="PX69"/>
      <c r="PY69"/>
      <c r="PZ69"/>
      <c r="QA69"/>
      <c r="QB69"/>
      <c r="QC69"/>
      <c r="QD69"/>
      <c r="QE69"/>
      <c r="QF69"/>
      <c r="QG69"/>
      <c r="QH69"/>
      <c r="QI69"/>
      <c r="QJ69"/>
      <c r="QK69"/>
      <c r="QL69"/>
      <c r="QM69"/>
      <c r="QN69"/>
      <c r="QO69"/>
      <c r="QP69"/>
      <c r="QQ69"/>
      <c r="QR69"/>
      <c r="QS69"/>
      <c r="QT69"/>
      <c r="QU69"/>
      <c r="QV69"/>
      <c r="QW69"/>
      <c r="QX69"/>
      <c r="QY69"/>
      <c r="QZ69"/>
      <c r="RA69"/>
      <c r="RB69"/>
      <c r="RC69"/>
      <c r="RD69"/>
      <c r="RE69"/>
      <c r="RF69"/>
      <c r="RG69"/>
      <c r="RH69"/>
      <c r="RI69"/>
      <c r="RJ69"/>
      <c r="RK69"/>
      <c r="RL69"/>
      <c r="RM69"/>
      <c r="RN69"/>
      <c r="RO69"/>
      <c r="RP69"/>
      <c r="RQ69"/>
      <c r="RR69"/>
      <c r="RS69"/>
      <c r="RT69"/>
      <c r="RU69"/>
      <c r="RV69"/>
      <c r="RW69"/>
      <c r="RX69"/>
      <c r="RY69"/>
      <c r="RZ69"/>
      <c r="SA69"/>
      <c r="SB69"/>
      <c r="SC69"/>
      <c r="SD69"/>
      <c r="SE69"/>
      <c r="SF69"/>
      <c r="SG69"/>
      <c r="SH69"/>
      <c r="SI69"/>
      <c r="SJ69"/>
      <c r="SK69"/>
      <c r="SL69"/>
      <c r="SM69"/>
      <c r="SN69"/>
      <c r="SO69"/>
      <c r="SP69"/>
      <c r="SQ69"/>
      <c r="SR69"/>
      <c r="SS69"/>
      <c r="ST69"/>
      <c r="SU69"/>
      <c r="SV69"/>
      <c r="SW69"/>
      <c r="SX69"/>
      <c r="SY69"/>
      <c r="SZ69"/>
      <c r="TA69"/>
      <c r="TB69"/>
      <c r="TC69"/>
      <c r="TD69"/>
      <c r="TE69"/>
      <c r="TF69"/>
      <c r="TG69"/>
      <c r="TH69"/>
      <c r="TI69"/>
      <c r="TJ69"/>
      <c r="TK69"/>
      <c r="TL69"/>
      <c r="TM69"/>
      <c r="TN69"/>
      <c r="TO69"/>
      <c r="TP69"/>
      <c r="TQ69"/>
      <c r="TR69"/>
      <c r="TS69"/>
      <c r="TT69"/>
      <c r="TU69"/>
      <c r="TV69"/>
      <c r="TW69"/>
      <c r="TX69"/>
      <c r="TY69"/>
      <c r="TZ69"/>
      <c r="UA69"/>
      <c r="UB69"/>
      <c r="UC69"/>
      <c r="UD69"/>
      <c r="UE69"/>
      <c r="UF69"/>
      <c r="UG69"/>
      <c r="UH69"/>
      <c r="UI69"/>
      <c r="UJ69"/>
      <c r="UK69"/>
      <c r="UL69"/>
      <c r="UM69"/>
      <c r="UN69"/>
      <c r="UO69"/>
      <c r="UP69"/>
      <c r="UQ69"/>
      <c r="UR69"/>
      <c r="US69"/>
      <c r="UT69"/>
      <c r="UU69"/>
      <c r="UV69"/>
      <c r="UW69"/>
      <c r="UX69"/>
      <c r="UY69"/>
      <c r="UZ69"/>
      <c r="VA69"/>
      <c r="VB69"/>
      <c r="VC69"/>
      <c r="VD69"/>
      <c r="VE69"/>
      <c r="VF69"/>
      <c r="VG69"/>
      <c r="VH69"/>
      <c r="VI69"/>
      <c r="VJ69"/>
      <c r="VK69"/>
      <c r="VL69"/>
      <c r="VM69"/>
      <c r="VN69"/>
      <c r="VO69"/>
      <c r="VP69"/>
      <c r="VQ69"/>
      <c r="VR69"/>
      <c r="VS69"/>
      <c r="VT69"/>
      <c r="VU69"/>
      <c r="VV69"/>
      <c r="VW69"/>
      <c r="VX69"/>
      <c r="VY69"/>
      <c r="VZ69"/>
      <c r="WA69"/>
      <c r="WB69"/>
      <c r="WC69"/>
      <c r="WD69"/>
      <c r="WE69"/>
      <c r="WF69"/>
      <c r="WG69"/>
      <c r="WH69"/>
      <c r="WI69"/>
      <c r="WJ69"/>
      <c r="WK69"/>
      <c r="WL69"/>
      <c r="WM69"/>
      <c r="WN69"/>
      <c r="WO69"/>
      <c r="WP69"/>
      <c r="WQ69"/>
      <c r="WR69"/>
      <c r="WS69"/>
      <c r="WT69"/>
      <c r="WU69"/>
      <c r="WV69"/>
      <c r="WW69"/>
      <c r="WX69"/>
      <c r="WY69"/>
      <c r="WZ69"/>
      <c r="XA69"/>
      <c r="XB69"/>
      <c r="XC69"/>
      <c r="XD69"/>
      <c r="XE69"/>
      <c r="XF69"/>
      <c r="XG69"/>
      <c r="XH69"/>
      <c r="XI69"/>
      <c r="XJ69"/>
      <c r="XK69"/>
      <c r="XL69"/>
      <c r="XM69"/>
      <c r="XN69"/>
      <c r="XO69"/>
      <c r="XP69"/>
      <c r="XQ69"/>
      <c r="XR69"/>
      <c r="XS69"/>
      <c r="XT69"/>
      <c r="XU69"/>
      <c r="XV69"/>
      <c r="XW69"/>
      <c r="XX69"/>
      <c r="XY69"/>
      <c r="XZ69"/>
      <c r="YA69"/>
      <c r="YB69"/>
      <c r="YC69"/>
      <c r="YD69"/>
      <c r="YE69"/>
      <c r="YF69"/>
      <c r="YG69"/>
      <c r="YH69"/>
      <c r="YI69"/>
      <c r="YJ69"/>
      <c r="YK69"/>
      <c r="YL69"/>
      <c r="YM69"/>
      <c r="YN69"/>
      <c r="YO69"/>
      <c r="YP69"/>
      <c r="YQ69"/>
      <c r="YR69"/>
      <c r="YS69"/>
      <c r="YT69"/>
      <c r="YU69"/>
      <c r="YV69"/>
      <c r="YW69"/>
      <c r="YX69"/>
      <c r="YY69"/>
      <c r="YZ69"/>
      <c r="ZA69"/>
      <c r="ZB69"/>
      <c r="ZC69"/>
      <c r="ZD69"/>
      <c r="ZE69"/>
      <c r="ZF69"/>
      <c r="ZG69"/>
      <c r="ZH69"/>
      <c r="ZI69"/>
      <c r="ZJ69"/>
      <c r="ZK69"/>
      <c r="ZL69"/>
      <c r="ZM69"/>
      <c r="ZN69"/>
      <c r="ZO69"/>
      <c r="ZP69"/>
      <c r="ZQ69"/>
      <c r="ZR69"/>
      <c r="ZS69"/>
      <c r="ZT69"/>
      <c r="ZU69"/>
      <c r="ZV69"/>
      <c r="ZW69"/>
      <c r="ZX69"/>
      <c r="ZY69"/>
      <c r="ZZ69"/>
      <c r="AAA69"/>
      <c r="AAB69"/>
      <c r="AAC69"/>
      <c r="AAD69"/>
      <c r="AAE69"/>
      <c r="AAF69"/>
      <c r="AAG69"/>
      <c r="AAH69"/>
      <c r="AAI69"/>
      <c r="AAJ69"/>
      <c r="AAK69"/>
      <c r="AAL69"/>
      <c r="AAM69"/>
      <c r="AAN69"/>
      <c r="AAO69"/>
      <c r="AAP69"/>
      <c r="AAQ69"/>
      <c r="AAR69"/>
      <c r="AAS69"/>
      <c r="AAT69"/>
      <c r="AAU69"/>
      <c r="AAV69"/>
      <c r="AAW69"/>
      <c r="AAX69"/>
      <c r="AAY69"/>
      <c r="AAZ69"/>
      <c r="ABA69"/>
      <c r="ABB69"/>
      <c r="ABC69"/>
      <c r="ABD69"/>
      <c r="ABE69"/>
      <c r="ABF69"/>
      <c r="ABG69"/>
      <c r="ABH69"/>
      <c r="ABI69"/>
      <c r="ABJ69"/>
      <c r="ABK69"/>
      <c r="ABL69"/>
      <c r="ABM69"/>
      <c r="ABN69"/>
      <c r="ABO69"/>
      <c r="ABP69"/>
      <c r="ABQ69"/>
      <c r="ABR69"/>
      <c r="ABS69"/>
      <c r="ABT69"/>
      <c r="ABU69"/>
      <c r="ABV69"/>
      <c r="ABW69"/>
      <c r="ABX69"/>
      <c r="ABY69"/>
      <c r="ABZ69"/>
      <c r="ACA69"/>
      <c r="ACB69"/>
      <c r="ACC69"/>
      <c r="ACD69"/>
      <c r="ACE69"/>
      <c r="ACF69"/>
      <c r="ACG69"/>
      <c r="ACH69"/>
      <c r="ACI69"/>
      <c r="ACJ69"/>
      <c r="ACK69"/>
      <c r="ACL69"/>
      <c r="ACM69"/>
      <c r="ACN69"/>
      <c r="ACO69"/>
      <c r="ACP69"/>
      <c r="ACQ69"/>
      <c r="ACR69"/>
      <c r="ACS69"/>
      <c r="ACT69"/>
      <c r="ACU69"/>
      <c r="ACV69"/>
      <c r="ACW69"/>
      <c r="ACX69"/>
      <c r="ACY69"/>
      <c r="ACZ69"/>
      <c r="ADA69"/>
      <c r="ADB69"/>
      <c r="ADC69"/>
      <c r="ADD69"/>
      <c r="ADE69"/>
      <c r="ADF69"/>
      <c r="ADG69"/>
      <c r="ADH69"/>
      <c r="ADI69"/>
      <c r="ADJ69"/>
      <c r="ADK69"/>
      <c r="ADL69"/>
      <c r="ADM69"/>
      <c r="ADN69"/>
      <c r="ADO69"/>
      <c r="ADP69"/>
      <c r="ADQ69"/>
      <c r="ADR69"/>
      <c r="ADS69"/>
      <c r="ADT69"/>
      <c r="ADU69"/>
      <c r="ADV69"/>
      <c r="ADW69"/>
      <c r="ADX69"/>
      <c r="ADY69"/>
      <c r="ADZ69"/>
      <c r="AEA69"/>
      <c r="AEB69"/>
      <c r="AEC69"/>
      <c r="AED69"/>
      <c r="AEE69"/>
      <c r="AEF69"/>
      <c r="AEG69"/>
      <c r="AEH69"/>
      <c r="AEI69"/>
      <c r="AEJ69"/>
      <c r="AEK69"/>
      <c r="AEL69"/>
      <c r="AEM69"/>
      <c r="AEN69"/>
      <c r="AEO69"/>
      <c r="AEP69"/>
      <c r="AEQ69"/>
      <c r="AER69"/>
      <c r="AES69"/>
      <c r="AET69"/>
      <c r="AEU69"/>
      <c r="AEV69"/>
      <c r="AEW69"/>
      <c r="AEX69"/>
      <c r="AEY69"/>
      <c r="AEZ69"/>
      <c r="AFA69"/>
      <c r="AFB69"/>
      <c r="AFC69"/>
      <c r="AFD69"/>
      <c r="AFE69"/>
      <c r="AFF69"/>
      <c r="AFG69"/>
      <c r="AFH69"/>
      <c r="AFI69"/>
      <c r="AFJ69"/>
      <c r="AFK69"/>
      <c r="AFL69"/>
      <c r="AFM69"/>
      <c r="AFN69"/>
      <c r="AFO69"/>
      <c r="AFP69"/>
      <c r="AFQ69"/>
      <c r="AFR69"/>
      <c r="AFS69"/>
      <c r="AFT69"/>
      <c r="AFU69"/>
      <c r="AFV69"/>
      <c r="AFW69"/>
      <c r="AFX69"/>
      <c r="AFY69"/>
      <c r="AFZ69"/>
      <c r="AGA69"/>
      <c r="AGB69"/>
      <c r="AGC69"/>
      <c r="AGD69"/>
      <c r="AGE69"/>
      <c r="AGF69"/>
      <c r="AGG69"/>
      <c r="AGH69"/>
      <c r="AGI69"/>
      <c r="AGJ69"/>
      <c r="AGK69"/>
      <c r="AGL69"/>
      <c r="AGM69"/>
      <c r="AGN69"/>
      <c r="AGO69"/>
      <c r="AGP69"/>
      <c r="AGQ69"/>
      <c r="AGR69"/>
      <c r="AGS69"/>
      <c r="AGT69"/>
      <c r="AGU69"/>
      <c r="AGV69"/>
      <c r="AGW69"/>
      <c r="AGX69"/>
      <c r="AGY69"/>
      <c r="AGZ69"/>
      <c r="AHA69"/>
      <c r="AHB69"/>
      <c r="AHC69"/>
      <c r="AHD69"/>
      <c r="AHE69"/>
      <c r="AHF69"/>
      <c r="AHG69"/>
      <c r="AHH69"/>
      <c r="AHI69"/>
      <c r="AHJ69"/>
      <c r="AHK69"/>
      <c r="AHL69"/>
      <c r="AHM69"/>
      <c r="AHN69"/>
      <c r="AHO69"/>
      <c r="AHP69"/>
      <c r="AHQ69"/>
      <c r="AHR69"/>
      <c r="AHS69"/>
      <c r="AHT69"/>
      <c r="AHU69"/>
      <c r="AHV69"/>
      <c r="AHW69"/>
      <c r="AHX69"/>
      <c r="AHY69"/>
      <c r="AHZ69"/>
      <c r="AIA69"/>
      <c r="AIB69"/>
      <c r="AIC69"/>
      <c r="AID69"/>
      <c r="AIE69"/>
      <c r="AIF69"/>
      <c r="AIG69"/>
      <c r="AIH69"/>
      <c r="AII69"/>
      <c r="AIJ69"/>
      <c r="AIK69"/>
      <c r="AIL69"/>
      <c r="AIM69"/>
      <c r="AIN69"/>
      <c r="AIO69"/>
      <c r="AIP69"/>
      <c r="AIQ69"/>
      <c r="AIR69"/>
      <c r="AIS69"/>
      <c r="AIT69"/>
      <c r="AIU69"/>
      <c r="AIV69"/>
      <c r="AIW69"/>
      <c r="AIX69"/>
      <c r="AIY69"/>
      <c r="AIZ69"/>
      <c r="AJA69"/>
      <c r="AJB69"/>
      <c r="AJC69"/>
      <c r="AJD69"/>
      <c r="AJE69"/>
      <c r="AJF69"/>
      <c r="AJG69"/>
      <c r="AJH69"/>
      <c r="AJI69"/>
      <c r="AJJ69"/>
      <c r="AJK69"/>
      <c r="AJL69"/>
      <c r="AJM69"/>
      <c r="AJN69"/>
      <c r="AJO69"/>
      <c r="AJP69"/>
      <c r="AJQ69"/>
      <c r="AJR69"/>
      <c r="AJS69"/>
      <c r="AJT69"/>
      <c r="AJU69"/>
      <c r="AJV69"/>
      <c r="AJW69"/>
      <c r="AJX69"/>
      <c r="AJY69"/>
      <c r="AJZ69"/>
      <c r="AKA69"/>
      <c r="AKB69"/>
      <c r="AKC69"/>
      <c r="AKD69"/>
      <c r="AKE69"/>
      <c r="AKF69"/>
      <c r="AKG69"/>
      <c r="AKH69"/>
      <c r="AKI69"/>
      <c r="AKJ69"/>
      <c r="AKK69"/>
      <c r="AKL69"/>
      <c r="AKM69"/>
      <c r="AKN69"/>
      <c r="AKO69"/>
      <c r="AKP69"/>
      <c r="AKQ69"/>
      <c r="AKR69"/>
      <c r="AKS69"/>
      <c r="AKT69"/>
      <c r="AKU69"/>
      <c r="AKV69"/>
      <c r="AKW69"/>
      <c r="AKX69"/>
      <c r="AKY69"/>
      <c r="AKZ69"/>
      <c r="ALA69"/>
      <c r="ALB69"/>
      <c r="ALC69"/>
      <c r="ALD69"/>
      <c r="ALE69"/>
      <c r="ALF69"/>
      <c r="ALG69"/>
      <c r="ALH69"/>
      <c r="ALI69"/>
      <c r="ALJ69"/>
      <c r="ALK69"/>
      <c r="ALL69"/>
      <c r="ALM69"/>
      <c r="ALN69"/>
      <c r="ALO69"/>
      <c r="ALP69"/>
      <c r="ALQ69"/>
      <c r="ALR69"/>
      <c r="ALS69"/>
      <c r="ALT69"/>
      <c r="ALU69"/>
      <c r="ALV69"/>
      <c r="ALW69"/>
      <c r="ALX69"/>
      <c r="ALY69"/>
      <c r="ALZ69"/>
      <c r="AMA69"/>
      <c r="AMB69"/>
      <c r="AMC69"/>
      <c r="AMD69"/>
      <c r="AME69"/>
      <c r="AMF69"/>
      <c r="AMG69"/>
      <c r="AMH69"/>
      <c r="AMI69"/>
      <c r="AMJ69"/>
    </row>
  </sheetData>
  <mergeCells count="79">
    <mergeCell ref="C53:G53"/>
    <mergeCell ref="C54:G54"/>
    <mergeCell ref="C66:G66"/>
    <mergeCell ref="C67:G67"/>
    <mergeCell ref="C68:G68"/>
    <mergeCell ref="C57:G57"/>
    <mergeCell ref="C58:G58"/>
    <mergeCell ref="C59:G59"/>
    <mergeCell ref="C60:G60"/>
    <mergeCell ref="C61:G61"/>
    <mergeCell ref="C62:G62"/>
    <mergeCell ref="C63:G63"/>
    <mergeCell ref="C64:G64"/>
    <mergeCell ref="C65:G65"/>
    <mergeCell ref="C55:G55"/>
    <mergeCell ref="C56:G56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36:G36"/>
    <mergeCell ref="C37:G37"/>
    <mergeCell ref="C38:G38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13:G13"/>
    <mergeCell ref="C14:G14"/>
    <mergeCell ref="C15:G15"/>
    <mergeCell ref="C16:G16"/>
    <mergeCell ref="C35:G35"/>
    <mergeCell ref="C34:G34"/>
    <mergeCell ref="J69:K6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20:G20"/>
    <mergeCell ref="A69:I69"/>
    <mergeCell ref="C12:G12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6"/>
  <sheetViews>
    <sheetView topLeftCell="A16" zoomScale="130" zoomScaleNormal="130" workbookViewId="0">
      <selection activeCell="G4" sqref="G4:Q4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99" t="s">
        <v>3</v>
      </c>
      <c r="B1" s="99"/>
      <c r="C1" s="99"/>
      <c r="D1" s="100">
        <f>'Necesidades Trimestrales'!C6</f>
        <v>2022</v>
      </c>
      <c r="E1" s="100"/>
      <c r="F1" s="10"/>
      <c r="G1" s="10"/>
      <c r="H1" s="11"/>
      <c r="I1" s="11"/>
      <c r="J1" s="11"/>
      <c r="K1" s="11"/>
      <c r="L1" s="11"/>
      <c r="M1" s="11"/>
      <c r="N1" s="11"/>
      <c r="P1" s="101" t="s">
        <v>31</v>
      </c>
      <c r="Q1" s="101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1"/>
      <c r="Q2" s="101"/>
    </row>
    <row r="4" spans="1:17" s="12" customFormat="1" ht="18" customHeight="1" thickBot="1" x14ac:dyDescent="0.25">
      <c r="A4" s="102" t="s">
        <v>32</v>
      </c>
      <c r="B4" s="102"/>
      <c r="C4" s="102"/>
      <c r="D4" s="102"/>
      <c r="E4" s="102"/>
      <c r="F4" s="102"/>
      <c r="G4" s="103" t="str">
        <f>NotaPedido!D3</f>
        <v>40 - Ministerio de Salud</v>
      </c>
      <c r="H4" s="103"/>
      <c r="I4" s="103"/>
      <c r="J4" s="103"/>
      <c r="K4" s="103"/>
      <c r="L4" s="103"/>
      <c r="M4" s="103"/>
      <c r="N4" s="103"/>
      <c r="O4" s="103"/>
      <c r="P4" s="103"/>
      <c r="Q4" s="103"/>
    </row>
    <row r="5" spans="1:17" s="12" customFormat="1" ht="18" customHeight="1" thickBot="1" x14ac:dyDescent="0.25">
      <c r="A5" s="104" t="s">
        <v>55</v>
      </c>
      <c r="B5" s="105"/>
      <c r="C5" s="105"/>
      <c r="D5" s="105"/>
      <c r="E5" s="105"/>
      <c r="F5" s="106"/>
      <c r="G5" s="103" t="str">
        <f>NotaPedido!D4</f>
        <v>23 - Hospital Interzonal San Juan Bautista</v>
      </c>
      <c r="H5" s="103"/>
      <c r="I5" s="103"/>
      <c r="J5" s="103"/>
      <c r="K5" s="103"/>
      <c r="L5" s="103"/>
      <c r="M5" s="103"/>
      <c r="N5" s="103"/>
      <c r="O5" s="103"/>
      <c r="P5" s="103"/>
      <c r="Q5" s="103"/>
    </row>
    <row r="6" spans="1:17" s="12" customFormat="1" ht="18" customHeight="1" thickBot="1" x14ac:dyDescent="0.25">
      <c r="A6" s="104" t="s">
        <v>33</v>
      </c>
      <c r="B6" s="105"/>
      <c r="C6" s="105"/>
      <c r="D6" s="105"/>
      <c r="E6" s="105"/>
      <c r="F6" s="106"/>
      <c r="G6" s="103" t="str">
        <f>NotaPedido!D5</f>
        <v>168 - Direccion Asistencial</v>
      </c>
      <c r="H6" s="103"/>
      <c r="I6" s="103"/>
      <c r="J6" s="103"/>
      <c r="K6" s="103"/>
      <c r="L6" s="103"/>
      <c r="M6" s="103"/>
      <c r="N6" s="103"/>
      <c r="O6" s="103"/>
      <c r="P6" s="103"/>
      <c r="Q6" s="103"/>
    </row>
    <row r="7" spans="1:17" s="12" customFormat="1" ht="18" customHeight="1" thickBot="1" x14ac:dyDescent="0.25">
      <c r="A7" s="104" t="s">
        <v>56</v>
      </c>
      <c r="B7" s="105"/>
      <c r="C7" s="105"/>
      <c r="D7" s="105"/>
      <c r="E7" s="105"/>
      <c r="F7" s="106"/>
      <c r="G7" s="103" t="str">
        <f>NotaPedido!D6</f>
        <v>Servicio de Farmacia</v>
      </c>
      <c r="H7" s="103"/>
      <c r="I7" s="103"/>
      <c r="J7" s="103"/>
      <c r="K7" s="103"/>
      <c r="L7" s="103"/>
      <c r="M7" s="103"/>
      <c r="N7" s="103"/>
      <c r="O7" s="103"/>
      <c r="P7" s="103"/>
      <c r="Q7" s="103"/>
    </row>
    <row r="8" spans="1:17" ht="18" customHeight="1" thickBot="1" x14ac:dyDescent="0.25">
      <c r="A8" s="107" t="s">
        <v>34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</row>
    <row r="9" spans="1:17" ht="18" customHeight="1" x14ac:dyDescent="0.2">
      <c r="A9" s="111" t="s">
        <v>35</v>
      </c>
      <c r="B9" s="111"/>
      <c r="C9" s="111"/>
      <c r="D9" s="111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"/>
      <c r="P9" s="1"/>
      <c r="Q9" s="13"/>
    </row>
    <row r="10" spans="1:17" ht="54.75" customHeight="1" x14ac:dyDescent="0.2">
      <c r="A10" s="112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DOCFI-2022-00856363-CAT-DASIS#HSJB,  afectando la erogación resultante a los créditos presupuestarios aprobados a favor de esta Unidad Ejecutora, conforme al siguiente detalle: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3" t="s">
        <v>36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</row>
    <row r="13" spans="1:17" ht="15.75" customHeight="1" x14ac:dyDescent="0.2">
      <c r="A13" s="114" t="s">
        <v>37</v>
      </c>
      <c r="B13" s="114"/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5" t="s">
        <v>38</v>
      </c>
      <c r="P13" s="115"/>
      <c r="Q13" s="116" t="s">
        <v>39</v>
      </c>
    </row>
    <row r="14" spans="1:17" ht="15.75" customHeight="1" x14ac:dyDescent="0.2">
      <c r="A14" s="18" t="s">
        <v>40</v>
      </c>
      <c r="B14" s="19" t="s">
        <v>41</v>
      </c>
      <c r="C14" s="19" t="s">
        <v>42</v>
      </c>
      <c r="D14" s="19" t="s">
        <v>43</v>
      </c>
      <c r="E14" s="19" t="s">
        <v>44</v>
      </c>
      <c r="F14" s="19" t="s">
        <v>45</v>
      </c>
      <c r="G14" s="20" t="s">
        <v>46</v>
      </c>
      <c r="H14" s="19" t="s">
        <v>47</v>
      </c>
      <c r="I14" s="19" t="s">
        <v>48</v>
      </c>
      <c r="J14" s="19" t="s">
        <v>49</v>
      </c>
      <c r="K14" s="19" t="s">
        <v>49</v>
      </c>
      <c r="L14" s="19" t="s">
        <v>50</v>
      </c>
      <c r="M14" s="21" t="s">
        <v>51</v>
      </c>
      <c r="N14" s="22" t="s">
        <v>52</v>
      </c>
      <c r="O14" s="115"/>
      <c r="P14" s="115"/>
      <c r="Q14" s="116"/>
    </row>
    <row r="15" spans="1:17" ht="17.25" customHeight="1" x14ac:dyDescent="0.2">
      <c r="A15" s="52">
        <v>33</v>
      </c>
      <c r="B15" s="53"/>
      <c r="C15" s="53"/>
      <c r="D15" s="53">
        <v>2</v>
      </c>
      <c r="E15" s="53"/>
      <c r="F15" s="53">
        <v>4901</v>
      </c>
      <c r="G15" s="53">
        <v>3</v>
      </c>
      <c r="H15" s="54" t="s">
        <v>64</v>
      </c>
      <c r="I15" s="55">
        <v>2</v>
      </c>
      <c r="J15" s="55">
        <v>5</v>
      </c>
      <c r="K15" s="55">
        <v>2</v>
      </c>
      <c r="L15" s="53"/>
      <c r="M15" s="56">
        <v>1</v>
      </c>
      <c r="N15" s="54" t="s">
        <v>65</v>
      </c>
      <c r="O15" s="108" t="s">
        <v>62</v>
      </c>
      <c r="P15" s="108"/>
      <c r="Q15" s="23">
        <v>22387289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50"/>
      <c r="I16" s="25"/>
      <c r="J16" s="25"/>
      <c r="K16" s="25"/>
      <c r="L16" s="25"/>
      <c r="M16" s="26"/>
      <c r="N16" s="51"/>
      <c r="O16" s="109"/>
      <c r="P16" s="109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50"/>
      <c r="I17" s="25"/>
      <c r="J17" s="25"/>
      <c r="K17" s="25"/>
      <c r="L17" s="25"/>
      <c r="M17" s="26"/>
      <c r="N17" s="51"/>
      <c r="O17" s="109"/>
      <c r="P17" s="109"/>
      <c r="Q17" s="28"/>
      <c r="S17" s="57"/>
    </row>
    <row r="18" spans="1:19" ht="17.25" customHeight="1" x14ac:dyDescent="0.2">
      <c r="A18" s="24"/>
      <c r="B18" s="25"/>
      <c r="C18" s="25"/>
      <c r="D18" s="25"/>
      <c r="E18" s="25"/>
      <c r="F18" s="27"/>
      <c r="G18" s="25"/>
      <c r="H18" s="25"/>
      <c r="I18" s="25"/>
      <c r="J18" s="25"/>
      <c r="K18" s="25"/>
      <c r="L18" s="25"/>
      <c r="M18" s="26"/>
      <c r="N18" s="27"/>
      <c r="O18" s="110"/>
      <c r="P18" s="110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0"/>
      <c r="P19" s="110"/>
      <c r="Q19" s="28"/>
    </row>
    <row r="20" spans="1:19" ht="17.25" customHeight="1" x14ac:dyDescent="0.2">
      <c r="A20" s="29"/>
      <c r="B20" s="30"/>
      <c r="C20" s="30"/>
      <c r="D20" s="30"/>
      <c r="E20" s="30"/>
      <c r="F20" s="31"/>
      <c r="G20" s="30"/>
      <c r="H20" s="30"/>
      <c r="I20" s="30"/>
      <c r="J20" s="30"/>
      <c r="K20" s="30"/>
      <c r="L20" s="30"/>
      <c r="M20" s="32"/>
      <c r="N20" s="33"/>
      <c r="O20" s="122"/>
      <c r="P20" s="122"/>
      <c r="Q20" s="28"/>
      <c r="R20" s="1"/>
    </row>
    <row r="21" spans="1:19" ht="17.25" customHeight="1" x14ac:dyDescent="0.2">
      <c r="A21" s="34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6"/>
      <c r="N21" s="35"/>
      <c r="O21" s="123"/>
      <c r="P21" s="123"/>
      <c r="Q21" s="37"/>
    </row>
    <row r="22" spans="1:19" ht="24.75" customHeight="1" x14ac:dyDescent="0.2">
      <c r="A22" s="124" t="s">
        <v>188</v>
      </c>
      <c r="B22" s="124"/>
      <c r="C22" s="124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38">
        <f>SUM(Q15:Q21)</f>
        <v>22387289</v>
      </c>
    </row>
    <row r="23" spans="1:19" ht="18" customHeight="1" thickBot="1" x14ac:dyDescent="0.25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</row>
    <row r="24" spans="1:19" ht="17.25" customHeight="1" thickBot="1" x14ac:dyDescent="0.25">
      <c r="A24" s="117" t="s">
        <v>53</v>
      </c>
      <c r="B24" s="118"/>
      <c r="C24" s="118"/>
      <c r="D24" s="118"/>
      <c r="E24" s="118"/>
      <c r="F24" s="119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</row>
    <row r="25" spans="1:19" ht="18" customHeight="1" thickBot="1" x14ac:dyDescent="0.25">
      <c r="A25" s="121" t="str">
        <f>"Para la "&amp; NotaPedido!D8 &amp;" para ser destinados al " &amp; NotaPedido!D6 &amp;"  del HISJB del Ministerio de Salud."</f>
        <v>Para la Adquisición de Medicamentos Antiinfecciosos, Analgesicos y otros para ser destinados al Servicio de Farmacia  del HISJB del Ministerio de Salud.</v>
      </c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</row>
    <row r="26" spans="1:19" ht="15" customHeight="1" x14ac:dyDescent="0.2">
      <c r="A26" s="121"/>
      <c r="B26" s="121"/>
      <c r="C26" s="121"/>
      <c r="D26" s="121"/>
      <c r="E26" s="121"/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</row>
  </sheetData>
  <mergeCells count="30">
    <mergeCell ref="A24:F24"/>
    <mergeCell ref="G24:Q24"/>
    <mergeCell ref="A25:Q26"/>
    <mergeCell ref="O19:P19"/>
    <mergeCell ref="O20:P20"/>
    <mergeCell ref="O21:P21"/>
    <mergeCell ref="A22:P22"/>
    <mergeCell ref="A23:Q23"/>
    <mergeCell ref="O15:P15"/>
    <mergeCell ref="O16:P16"/>
    <mergeCell ref="O17:P17"/>
    <mergeCell ref="O18:P18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2022-05-23T15:20:00Z</cp:lastPrinted>
  <dcterms:created xsi:type="dcterms:W3CDTF">2020-07-17T23:44:49Z</dcterms:created>
  <dcterms:modified xsi:type="dcterms:W3CDTF">2022-05-30T12:16:35Z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