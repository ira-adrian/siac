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05" yWindow="-105" windowWidth="19410" windowHeight="11010" tabRatio="500"/>
  </bookViews>
  <sheets>
    <sheet name="Necesidades Trimestrales" sheetId="1" r:id="rId1"/>
    <sheet name="NotaPedido" sheetId="2" r:id="rId2"/>
    <sheet name="Autor Gastar" sheetId="3" r:id="rId3"/>
  </sheets>
  <definedNames>
    <definedName name="_xlnm.Print_Area" localSheetId="2">'Autor Gastar'!$A$1:$Q$25</definedName>
    <definedName name="_xlnm.Print_Area" localSheetId="1">NotaPedido!$A$1:$K$14</definedName>
  </definedNames>
  <calcPr calcId="144525"/>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2" i="2" l="1"/>
  <c r="J12" i="2"/>
  <c r="I12" i="2"/>
  <c r="C12" i="2"/>
  <c r="B12" i="2"/>
  <c r="I10" i="1" l="1"/>
  <c r="A24" i="3" l="1"/>
  <c r="A10" i="3"/>
  <c r="K13" i="2"/>
  <c r="J13" i="2"/>
  <c r="I13" i="2"/>
  <c r="C13" i="2"/>
  <c r="B13" i="2"/>
  <c r="I11" i="1"/>
  <c r="G6" i="3" l="1"/>
  <c r="G7" i="3"/>
  <c r="D7" i="2"/>
  <c r="D3" i="2"/>
  <c r="G4" i="3" s="1"/>
  <c r="D4" i="2"/>
  <c r="G5" i="3" s="1"/>
  <c r="D1" i="3" l="1"/>
  <c r="Q21" i="3"/>
</calcChain>
</file>

<file path=xl/sharedStrings.xml><?xml version="1.0" encoding="utf-8"?>
<sst xmlns="http://schemas.openxmlformats.org/spreadsheetml/2006/main" count="100" uniqueCount="82">
  <si>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</si>
  <si>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</si>
  <si>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</si>
  <si>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</si>
  <si>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</si>
  <si>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</si>
  <si>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</si>
  <si>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</si>
  <si>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</si>
  <si>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</si>
  <si>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</si>
  <si>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</si>
  <si>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</si>
  <si>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</si>
  <si>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</si>
  <si>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</si>
  <si>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</si>
  <si>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</si>
  <si>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</si>
  <si>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</si>
  <si>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</si>
  <si>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</si>
  <si>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</si>
  <si>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</si>
  <si>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</si>
  <si>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</si>
  <si>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</si>
  <si>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</si>
  <si>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</si>
  <si>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</si>
  <si>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</si>
  <si>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</si>
  <si>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</si>
  <si>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</si>
  <si>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</si>
  <si>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</si>
  <si>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</si>
  <si>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</si>
  <si>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</si>
  <si>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</si>
  <si>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</si>
  <si>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</si>
  <si>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</si>
  <si>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</si>
  <si>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</si>
  <si>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</si>
  <si>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</si>
  <si>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</si>
  <si>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</si>
  <si>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</si>
  <si>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</si>
  <si>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</si>
  <si>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</si>
  <si>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</si>
  <si>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</si>
  <si>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</si>
  <si>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</si>
  <si>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40 - Ministerio de Salud</t>
  </si>
  <si>
    <t>23 - Hospital Interzonal San Juan Bautista</t>
  </si>
  <si>
    <t xml:space="preserve">45 dias habiles </t>
  </si>
  <si>
    <t>3.1</t>
  </si>
  <si>
    <t>4.3.3</t>
  </si>
  <si>
    <t>UNIDAD</t>
  </si>
  <si>
    <t>PROD. MEDICO/FARMACEUTICOS/LAB</t>
  </si>
  <si>
    <t xml:space="preserve">Departamento Quirurgico </t>
  </si>
  <si>
    <t>Costo total estimado: cuatro millones setecientos setenta y un mil setecientos treinta y uno con 22/100.-</t>
  </si>
  <si>
    <t>El instrumental debera contener garantia minima de 12 meses respecto de su utilizacion o algun defecto de fabrica, por su cambio directo por uno nuevo.</t>
  </si>
  <si>
    <t xml:space="preserve">Equipo Sanitario y de Laboratorio </t>
  </si>
  <si>
    <t>TOTAL DE PESOS: CUATRO MILLONES SETECIENTOS SETENTA Y UN MIL SETECIENTOS TREINTA Y UNO CON 22/100.--</t>
  </si>
  <si>
    <t>1.3</t>
  </si>
  <si>
    <t>INSTRUMENTAL P/MICROCIRUGIA; TIPO: SHAVER, USO: CIRUGIA ARTROSCOPICA</t>
  </si>
  <si>
    <t>2.9.5-6853.6</t>
  </si>
  <si>
    <t>SI</t>
  </si>
  <si>
    <t>2.9.5-5697.41</t>
  </si>
  <si>
    <t>KIT DE INSTRUMENTAL ; TIPO: PARA ARTROSCOPIA, COMPONENTES: HASTA 15</t>
  </si>
  <si>
    <t>Especificidades Item N° 2:</t>
  </si>
  <si>
    <t xml:space="preserve">Adquisición de Kit Instrumental para artroscopia de rodilla y Sistema Motor Shaver para procedimientos artrosocpicos </t>
  </si>
  <si>
    <t xml:space="preserve"> Sistema motor Shaver para procedimientos artoscopicos, pantalla de color, control de la pantalla tactil, dos salidas de motor, modulo SCB integrado, tension de trabajo 100 - 120/230 - 240 VAC, 50/60 Hz se compone de : 28723020-1   20090170 cable de conexion SCB , longitud 100 cm 400 A cable de red 96156018D instrucciones de uso requisitos del sistema: sistema SCB control NEO con software SCB control NEO instalado, version 20090001-44 o mas reciente - Pieza de mano shaver, hasta 8000 min - a partir de version de software 1.10 - Cuchilla externa - Cuchilla interna - Full Radius Resector reutilizable , esterilizable, 4,2 mm de diametro, longitud util 12 cm, color distintivo : amarillo- Full Radius resector, reutilizable, esterilizable  4,5 mm de diametro longitud util 12 cm, color distintivo: amarillo - Aggresive cuter reutilizable, esterilizable , 3,5 mm de diametro, longitud util 12 cm, color distintivo : verde - Cesto filtro para el almacenamiento seguro durante la limpieza y esterilizacion de accesorios para senos paranasales para el almacenamiento desde - hasta 7 elementos para senos paranasales - cable de conexion. </t>
  </si>
  <si>
    <t xml:space="preserve">30 dias habiles   - Departamento Quirurgico del HISJB - Avda. Illia y mariano Moreno </t>
  </si>
  <si>
    <t>264 - Dirección General</t>
  </si>
  <si>
    <t xml:space="preserve">Optica de vision foroblicua panoramica gran angular 30° Tipo HOPKINS , 4 mm de diametro, longitud 18 cm, esterizable en autoclave, con conductor de luz de fibra optica incorporado, color distintivo: rojo. Vaina de astroscopio High-Flow, con cierre rapido de optica, 6 mm de diametro, longitud util 13,5 cm, dos llaves giratorias, para utilizar con opticas Tipo HOPKINS de 0°, 30°, 70° y obturadores 28130 BC/BT, 28140 o, color distintivo: rojo  - Obturador, semicortante, para utilizar con vainas de artroscopio 28131 CR/R, 28130 CR/R color distintivo: verde - rojo - amarillo  - Pinzas sacabocados, tipo SILCUT PRO corte completo, dientes transversales, anchura de corte 3,4 mm, mandibulas rectas, vaina 3,5 mm de diametro, recta, mango con conexion para limpieza, longitud util 12 cm - Pinzas sacabocados, tipo SILCUT PRO, corte completo, con dientes transversales, anchura de corte 3,4 mm, mandibulas curvadas 15° hacia arriba, vaina 3,5 mm de diametro, recta, mango con conexion para limpieza, longitud util 12 cm - Upbiter Tipo SILCUT PRO, corte completo, dientes transversales, anchura de corte 3,4 mm, mandibulas curvadas 15° hacia arriba, vaina 3,5 mm de diametro, curvada 15° a la izquierda y 10° hacia arriba, mango con conexion para limpieza, longitud util 12cm - Upbiter Tipo SILCUT PRO, corte completo, dientes transversales, anchura de corte 3,4 mm, mandibulas curvadas 15° hacia arriba, vaina 3,5 mm de diametro, curvada 15°  a la derecha y 10° hacia arriba, mango con conexion para limpieza, longitud util 12 cm  - Pinzas de agarre para sutura Tipo SILGRASP, mandibulas rectas, vaina 3 mm de diametro, recta, mango con conexion para limpieza, longitud util 14 cm - Pinzas sacabocados Tipo SILCUT, corte completo, dientes transversales, anchura de corte 3,4 mm, mandibulas acodadas 90° a la izquierda, vaina 3 mm de diametro, recta, mango con conexion para limpieza, longitud util 12 cm - Pinzas sacabocados, Tipo SILCUT, corte completo, anchura de corte 0,5 mm, mandibulas rectas, vaina 3 mm de diametro, recta, mango con conexion para limpieza, longitd util 12 cm. - Tijeras Tipo SILCUT PRO, mandibulas rectas , vaina 3,5 mm de diametro, recta, mango con conexion para limpieza, longitud util 14 cm - Escoplo de microfactura, recto, longitud 12 cm - Escoplo de microfactura , curvado, 30° longitud util 12 cm - Escoplo de microfactura , curvado 70° , longitud util 12 cm - Recipiente de plastico, set con accesorios, para esterilizacion y almacenamiento de diferentes sets de instrumentos. </t>
  </si>
  <si>
    <t>de acuerdo a lo especificado en el pliego de bases y condiciones particulares - A LOS FINES DE LA EVALUACIÓN DE LAS OFERTAS SE SOLICITA A LOS OFERENTES LA PRESENTACIÓN DE FOLLETOS, MANUALES O SIMILARES QUE PERMITA CONOCER LAS CARACTERISTICAS Y CALIDAD DE LOS INSUMOS OFRECIDOS.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</si>
</sst>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12"/>
      <name val="Calibri"/>
      <family val="2"/>
    </font>
    <font>
      <sz val="9"/>
      <name val="Arial"/>
      <family val="2"/>
    </font>
    <font>
      <b/>
      <sz val="8"/>
      <name val="Arial"/>
      <family val="2"/>
      <charset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49">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top style="medium">
        <color auto="1"/>
      </top>
      <bottom style="medium">
        <color auto="1"/>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36">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4" fillId="0" borderId="19" xfId="0" applyFont="1" applyBorder="1" applyAlignment="1">
      <alignment horizontal="center" vertical="center"/>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3" fillId="0" borderId="4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2"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0" xfId="0" applyFont="1" applyBorder="1" applyAlignment="1">
      <alignment horizontal="center" wrapText="1"/>
    </xf>
    <xf numFmtId="0" fontId="15" fillId="0" borderId="6" xfId="0" applyFont="1" applyBorder="1" applyAlignment="1">
      <alignment horizontal="center" wrapText="1"/>
    </xf>
    <xf numFmtId="0" fontId="15" fillId="0" borderId="7" xfId="0" applyFont="1" applyBorder="1" applyAlignment="1">
      <alignment horizontal="left" indent="3"/>
    </xf>
    <xf numFmtId="0" fontId="15" fillId="0" borderId="8" xfId="0" applyFont="1" applyBorder="1"/>
    <xf numFmtId="0" fontId="15" fillId="0" borderId="9" xfId="0" applyFont="1" applyBorder="1"/>
    <xf numFmtId="0" fontId="19" fillId="0" borderId="14" xfId="0" applyFont="1" applyBorder="1" applyAlignment="1">
      <alignment horizontal="center" vertical="center" wrapText="1"/>
    </xf>
    <xf numFmtId="0" fontId="20" fillId="0" borderId="14" xfId="0" applyFont="1" applyBorder="1" applyAlignment="1">
      <alignment horizontal="center" vertical="center"/>
    </xf>
    <xf numFmtId="0" fontId="21" fillId="0" borderId="14" xfId="0" applyFont="1" applyBorder="1" applyAlignment="1">
      <alignment horizontal="left" vertical="center" wrapText="1"/>
    </xf>
    <xf numFmtId="0" fontId="21" fillId="0" borderId="14" xfId="0" applyFont="1" applyBorder="1" applyAlignment="1">
      <alignment horizontal="center" vertical="center" wrapText="1"/>
    </xf>
    <xf numFmtId="0" fontId="21" fillId="4" borderId="14" xfId="0" applyFont="1" applyFill="1" applyBorder="1" applyAlignment="1">
      <alignment horizontal="center" vertical="center" wrapText="1"/>
    </xf>
    <xf numFmtId="166" fontId="20" fillId="4" borderId="14" xfId="1" applyNumberFormat="1" applyFont="1" applyFill="1" applyBorder="1" applyAlignment="1" applyProtection="1">
      <alignment horizontal="center" vertical="center" wrapText="1"/>
    </xf>
    <xf numFmtId="166" fontId="20" fillId="4" borderId="14" xfId="1" applyNumberFormat="1" applyFont="1" applyFill="1" applyBorder="1" applyAlignment="1" applyProtection="1">
      <alignment horizontal="right" vertical="center" wrapText="1"/>
    </xf>
    <xf numFmtId="0" fontId="23" fillId="4" borderId="0" xfId="0" applyFont="1" applyFill="1" applyAlignment="1">
      <alignment horizontal="left" wrapText="1" indent="1"/>
    </xf>
    <xf numFmtId="0" fontId="19" fillId="5" borderId="0" xfId="0" applyFont="1" applyFill="1" applyAlignment="1">
      <alignment horizontal="left" wrapText="1"/>
    </xf>
    <xf numFmtId="0" fontId="6" fillId="4" borderId="11" xfId="0" applyFont="1" applyFill="1" applyBorder="1" applyAlignment="1">
      <alignment horizontal="center" vertical="center"/>
    </xf>
    <xf numFmtId="0" fontId="4" fillId="5" borderId="19" xfId="0" applyFont="1" applyFill="1" applyBorder="1" applyAlignment="1">
      <alignment horizontal="left" vertical="center"/>
    </xf>
    <xf numFmtId="0" fontId="4" fillId="4" borderId="19" xfId="0" applyFont="1" applyFill="1" applyBorder="1" applyAlignment="1">
      <alignment horizontal="center" vertical="center"/>
    </xf>
    <xf numFmtId="0" fontId="4" fillId="5" borderId="19" xfId="0" applyFont="1" applyFill="1" applyBorder="1" applyAlignment="1">
      <alignment horizontal="center" vertical="center" wrapText="1"/>
    </xf>
    <xf numFmtId="166" fontId="4" fillId="5" borderId="19" xfId="1" applyNumberFormat="1" applyFont="1" applyFill="1" applyBorder="1" applyAlignment="1" applyProtection="1">
      <alignment horizontal="right" vertical="center" wrapText="1"/>
    </xf>
    <xf numFmtId="3" fontId="4" fillId="5" borderId="19" xfId="0" applyNumberFormat="1" applyFont="1" applyFill="1" applyBorder="1" applyAlignment="1">
      <alignment horizontal="center" vertical="center"/>
    </xf>
    <xf numFmtId="0" fontId="14" fillId="0" borderId="36" xfId="0" applyFont="1" applyBorder="1" applyAlignment="1">
      <alignment horizontal="center" vertical="center"/>
    </xf>
    <xf numFmtId="0" fontId="14" fillId="0" borderId="38" xfId="0" applyFont="1" applyBorder="1" applyAlignment="1">
      <alignment horizontal="center" vertical="center"/>
    </xf>
    <xf numFmtId="0" fontId="0" fillId="4" borderId="31" xfId="0" applyFont="1" applyFill="1" applyBorder="1" applyAlignment="1">
      <alignment horizontal="center" vertical="center"/>
    </xf>
    <xf numFmtId="0" fontId="0" fillId="4" borderId="32" xfId="0" applyFont="1" applyFill="1" applyBorder="1" applyAlignment="1">
      <alignment horizontal="center" vertical="center"/>
    </xf>
    <xf numFmtId="0" fontId="14" fillId="4" borderId="32" xfId="0" applyFont="1" applyFill="1" applyBorder="1" applyAlignment="1">
      <alignment horizontal="center" vertical="center"/>
    </xf>
    <xf numFmtId="0" fontId="0" fillId="5" borderId="32" xfId="0" applyFont="1" applyFill="1" applyBorder="1" applyAlignment="1">
      <alignment horizontal="center" vertical="center"/>
    </xf>
    <xf numFmtId="0" fontId="0" fillId="4" borderId="33" xfId="0" applyFont="1" applyFill="1" applyBorder="1" applyAlignment="1">
      <alignment horizontal="center" vertical="center"/>
    </xf>
    <xf numFmtId="0" fontId="24" fillId="0" borderId="14" xfId="0" applyFont="1" applyFill="1" applyBorder="1" applyAlignment="1">
      <alignment vertical="center"/>
    </xf>
    <xf numFmtId="0" fontId="15" fillId="3" borderId="0"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0"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4" borderId="0" xfId="0" applyFont="1" applyFill="1" applyBorder="1" applyAlignment="1">
      <alignment horizontal="left" vertical="center"/>
    </xf>
    <xf numFmtId="0" fontId="15" fillId="4" borderId="6" xfId="0" applyFont="1" applyFill="1" applyBorder="1" applyAlignment="1">
      <alignment horizontal="left" vertical="center"/>
    </xf>
    <xf numFmtId="0" fontId="15" fillId="4" borderId="6" xfId="0" applyFont="1" applyFill="1" applyBorder="1" applyAlignment="1">
      <alignment horizontal="center"/>
    </xf>
    <xf numFmtId="0" fontId="17" fillId="0" borderId="0" xfId="0" applyFont="1" applyBorder="1" applyAlignment="1">
      <alignment horizontal="left" vertical="center" wrapText="1"/>
    </xf>
    <xf numFmtId="0" fontId="16" fillId="0" borderId="0" xfId="0" applyFont="1" applyBorder="1" applyAlignment="1">
      <alignment horizontal="center"/>
    </xf>
    <xf numFmtId="0" fontId="23" fillId="4" borderId="0" xfId="0" applyFont="1" applyFill="1" applyBorder="1" applyAlignment="1">
      <alignment horizontal="left" wrapText="1" indent="1"/>
    </xf>
    <xf numFmtId="0" fontId="6"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4" fillId="5" borderId="20" xfId="0" applyFont="1" applyFill="1" applyBorder="1" applyAlignment="1">
      <alignment horizontal="left" vertical="center"/>
    </xf>
    <xf numFmtId="0" fontId="4" fillId="5" borderId="48" xfId="0" applyFont="1" applyFill="1" applyBorder="1" applyAlignment="1">
      <alignment horizontal="left" vertical="center"/>
    </xf>
    <xf numFmtId="0" fontId="4" fillId="5" borderId="21" xfId="0" applyFont="1" applyFill="1" applyBorder="1" applyAlignment="1">
      <alignment horizontal="left" vertical="center"/>
    </xf>
    <xf numFmtId="0" fontId="7" fillId="0" borderId="16" xfId="0" applyFont="1" applyBorder="1" applyAlignment="1">
      <alignment horizontal="left" vertical="center"/>
    </xf>
    <xf numFmtId="0" fontId="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5"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9" fillId="0" borderId="20" xfId="0" applyFont="1" applyBorder="1" applyAlignment="1">
      <alignment vertical="center" wrapText="1"/>
    </xf>
    <xf numFmtId="0" fontId="9" fillId="0" borderId="4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4" borderId="44" xfId="0" applyFont="1" applyFill="1" applyBorder="1" applyAlignment="1">
      <alignment horizontal="left" vertical="center" wrapText="1" indent="1"/>
    </xf>
    <xf numFmtId="0" fontId="0" fillId="0" borderId="38" xfId="0" applyFont="1" applyBorder="1" applyAlignment="1">
      <alignment horizontal="left" vertical="center"/>
    </xf>
    <xf numFmtId="0" fontId="0" fillId="0" borderId="38" xfId="0" applyBorder="1" applyAlignment="1">
      <alignment horizontal="left" vertical="center"/>
    </xf>
    <xf numFmtId="0" fontId="0" fillId="0" borderId="41" xfId="0" applyBorder="1" applyAlignment="1">
      <alignment horizontal="left" vertical="center"/>
    </xf>
    <xf numFmtId="0" fontId="26" fillId="0" borderId="44" xfId="0" applyFont="1" applyBorder="1" applyAlignment="1">
      <alignment horizontal="left" vertical="center" wrapText="1"/>
    </xf>
    <xf numFmtId="0" fontId="0" fillId="0" borderId="22" xfId="0" applyBorder="1"/>
    <xf numFmtId="0" fontId="25" fillId="0" borderId="32" xfId="0" applyFont="1" applyBorder="1" applyAlignment="1">
      <alignment horizontal="left" vertical="center" wrapText="1"/>
    </xf>
    <xf numFmtId="0" fontId="25" fillId="0" borderId="38" xfId="0" applyFont="1" applyBorder="1" applyAlignment="1">
      <alignment horizontal="left" vertical="center"/>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4" fillId="0" borderId="13"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1" fillId="0" borderId="11" xfId="0" applyFont="1" applyBorder="1" applyAlignment="1">
      <alignment horizontal="left" indent="1"/>
    </xf>
    <xf numFmtId="0" fontId="12" fillId="0" borderId="11" xfId="0" applyFont="1" applyBorder="1" applyAlignment="1">
      <alignment horizontal="left"/>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xf numFmtId="0" fontId="21" fillId="5" borderId="14" xfId="0" applyFont="1" applyFill="1" applyBorder="1" applyAlignment="1">
      <alignment horizontal="left" vertical="center" wrapText="1"/>
    </xf>
    <xf numFmtId="0" fontId="21" fillId="5" borderId="14" xfId="0" applyFont="1" applyFill="1" applyBorder="1" applyAlignment="1">
      <alignment horizontal="center" vertical="center" wrapText="1"/>
    </xf>
    <xf numFmtId="0" fontId="24" fillId="5" borderId="14" xfId="0" applyFont="1" applyFill="1" applyBorder="1" applyAlignment="1">
      <alignment vertical="center" wrapText="1"/>
    </xf>
    <xf numFmtId="0" fontId="4" fillId="5" borderId="19" xfId="0" applyFont="1" applyFill="1" applyBorder="1" applyAlignment="1">
      <alignment horizontal="center" vertical="center"/>
    </xf>
    <xf numFmtId="0" fontId="15" fillId="3" borderId="0"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18" fillId="0" borderId="14" xfId="0" applyFont="1" applyBorder="1" applyAlignment="1">
      <alignment horizontal="center" vertical="center" wrapText="1"/>
    </xf>
  </cellXfs>
  <cellStyles count="5">
    <cellStyle name="Encabezado 1" xfId="2"/>
    <cellStyle name="Moneda" xfId="1" builtinId="4"/>
    <cellStyle name="Moneda_AUTORIZACION Y NOTA DE PEDIDO" xfId="3"/>
    <cellStyle name="Neutral 1" xf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xmlns=""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xmlns=""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xmlns=""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xmlns=""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43"/>
  <sheetViews>
    <sheetView tabSelected="1" zoomScale="85" zoomScaleNormal="85" workbookViewId="0">
      <selection activeCell="G33" sqref="G33"/>
    </sheetView>
  </sheetViews>
  <sheetFormatPr baseColWidth="10" defaultColWidth="11" defaultRowHeight="12.75" x14ac:dyDescent="0.2"/>
  <cols>
    <col min="1" max="1" width="4.5703125" style="39" customWidth="1"/>
    <col min="2" max="2" width="12.85546875" style="39" customWidth="1"/>
    <col min="3" max="3" width="32.42578125" style="39" customWidth="1"/>
    <col min="4" max="4" width="8.42578125" style="39" customWidth="1"/>
    <col min="5" max="5" width="79" style="39" customWidth="1"/>
    <col min="6" max="6" width="11" style="39"/>
    <col min="7" max="7" width="12.7109375" style="39" customWidth="1"/>
    <col min="8" max="8" width="13.85546875" style="39" customWidth="1"/>
    <col min="9" max="9" width="18.5703125" style="39" customWidth="1"/>
    <col min="10" max="16384" width="11" style="39"/>
  </cols>
  <sheetData>
    <row r="2" spans="1:9" ht="27" x14ac:dyDescent="0.35">
      <c r="B2" s="86" t="s">
        <v>0</v>
      </c>
      <c r="C2" s="86"/>
      <c r="D2" s="86"/>
      <c r="E2" s="86"/>
      <c r="F2" s="86"/>
      <c r="G2" s="86"/>
      <c r="H2" s="86"/>
    </row>
    <row r="4" spans="1:9" ht="18" customHeight="1" x14ac:dyDescent="0.25">
      <c r="A4" s="85" t="s">
        <v>1</v>
      </c>
      <c r="B4" s="85"/>
      <c r="C4" s="87" t="s">
        <v>57</v>
      </c>
      <c r="D4" s="87"/>
      <c r="E4" s="87"/>
      <c r="F4" s="40"/>
      <c r="G4" s="41"/>
      <c r="H4" s="40"/>
    </row>
    <row r="5" spans="1:9" ht="18" customHeight="1" x14ac:dyDescent="0.25">
      <c r="A5" s="85" t="s">
        <v>2</v>
      </c>
      <c r="B5" s="85"/>
      <c r="C5" s="87" t="s">
        <v>58</v>
      </c>
      <c r="D5" s="87"/>
      <c r="E5" s="87"/>
      <c r="F5" s="40"/>
      <c r="G5" s="41"/>
      <c r="H5" s="40"/>
    </row>
    <row r="6" spans="1:9" ht="16.5" customHeight="1" x14ac:dyDescent="0.25">
      <c r="A6" s="85" t="s">
        <v>3</v>
      </c>
      <c r="B6" s="85"/>
      <c r="C6" s="62">
        <v>2022</v>
      </c>
      <c r="D6" s="63"/>
      <c r="E6" s="63"/>
      <c r="F6" s="40"/>
      <c r="G6" s="41"/>
      <c r="H6" s="40"/>
    </row>
    <row r="7" spans="1:9" ht="16.5" customHeight="1" x14ac:dyDescent="0.25">
      <c r="A7" s="85" t="s">
        <v>4</v>
      </c>
      <c r="B7" s="85"/>
      <c r="C7" s="62">
        <v>2</v>
      </c>
      <c r="D7" s="63"/>
      <c r="E7" s="63"/>
      <c r="F7" s="40"/>
      <c r="G7" s="41"/>
      <c r="H7" s="40"/>
    </row>
    <row r="8" spans="1:9" ht="13.5" thickBot="1" x14ac:dyDescent="0.25">
      <c r="B8" s="40"/>
      <c r="C8" s="41"/>
      <c r="D8" s="40"/>
      <c r="E8" s="40"/>
      <c r="F8" s="40"/>
      <c r="G8" s="41"/>
      <c r="H8" s="40"/>
    </row>
    <row r="9" spans="1:9" ht="39" thickBot="1" x14ac:dyDescent="0.25">
      <c r="A9" s="55" t="s">
        <v>5</v>
      </c>
      <c r="B9" s="55" t="s">
        <v>6</v>
      </c>
      <c r="C9" s="55" t="s">
        <v>7</v>
      </c>
      <c r="D9" s="55" t="s">
        <v>8</v>
      </c>
      <c r="E9" s="55" t="s">
        <v>9</v>
      </c>
      <c r="F9" s="55" t="s">
        <v>10</v>
      </c>
      <c r="G9" s="55" t="s">
        <v>11</v>
      </c>
      <c r="H9" s="55" t="s">
        <v>12</v>
      </c>
      <c r="I9" s="55" t="s">
        <v>13</v>
      </c>
    </row>
    <row r="10" spans="1:9" ht="36.75" customHeight="1" thickBot="1" x14ac:dyDescent="0.25">
      <c r="A10" s="135">
        <v>1</v>
      </c>
      <c r="B10" s="59" t="s">
        <v>73</v>
      </c>
      <c r="C10" s="129" t="s">
        <v>63</v>
      </c>
      <c r="D10" s="130" t="s">
        <v>61</v>
      </c>
      <c r="E10" s="131" t="s">
        <v>74</v>
      </c>
      <c r="F10" s="59" t="s">
        <v>62</v>
      </c>
      <c r="G10" s="59">
        <v>1</v>
      </c>
      <c r="H10" s="60">
        <v>2331240.4900000002</v>
      </c>
      <c r="I10" s="61">
        <f t="shared" ref="I10" si="0">G10*H10</f>
        <v>2331240.4900000002</v>
      </c>
    </row>
    <row r="11" spans="1:9" ht="39.75" customHeight="1" thickBot="1" x14ac:dyDescent="0.25">
      <c r="A11" s="56">
        <v>2</v>
      </c>
      <c r="B11" s="59" t="s">
        <v>71</v>
      </c>
      <c r="C11" s="57" t="s">
        <v>63</v>
      </c>
      <c r="D11" s="58" t="s">
        <v>61</v>
      </c>
      <c r="E11" s="77" t="s">
        <v>70</v>
      </c>
      <c r="F11" s="59" t="s">
        <v>62</v>
      </c>
      <c r="G11" s="59">
        <v>1</v>
      </c>
      <c r="H11" s="60">
        <v>2440490.73</v>
      </c>
      <c r="I11" s="61">
        <f t="shared" ref="I11" si="1">G11*H11</f>
        <v>2440490.73</v>
      </c>
    </row>
    <row r="14" spans="1:9" x14ac:dyDescent="0.2">
      <c r="B14" s="42" t="s">
        <v>14</v>
      </c>
      <c r="C14" s="43"/>
      <c r="D14" s="43"/>
      <c r="E14" s="44"/>
    </row>
    <row r="15" spans="1:9" ht="5.25" customHeight="1" x14ac:dyDescent="0.2">
      <c r="B15" s="45"/>
      <c r="C15" s="46"/>
      <c r="D15" s="46"/>
      <c r="E15" s="47"/>
    </row>
    <row r="16" spans="1:9" x14ac:dyDescent="0.2">
      <c r="B16" s="48" t="s">
        <v>15</v>
      </c>
      <c r="C16" s="46"/>
      <c r="D16" s="46"/>
      <c r="E16" s="47"/>
    </row>
    <row r="17" spans="2:5" ht="266.25" customHeight="1" x14ac:dyDescent="0.2">
      <c r="B17" s="48"/>
      <c r="C17" s="80" t="s">
        <v>80</v>
      </c>
      <c r="D17" s="80"/>
      <c r="E17" s="81"/>
    </row>
    <row r="18" spans="2:5" x14ac:dyDescent="0.2">
      <c r="B18" s="48" t="s">
        <v>16</v>
      </c>
      <c r="C18" s="46"/>
      <c r="D18" s="46"/>
      <c r="E18" s="47"/>
    </row>
    <row r="19" spans="2:5" ht="26.25" customHeight="1" x14ac:dyDescent="0.2">
      <c r="B19" s="49"/>
      <c r="C19" s="82" t="s">
        <v>78</v>
      </c>
      <c r="D19" s="82"/>
      <c r="E19" s="83"/>
    </row>
    <row r="20" spans="2:5" x14ac:dyDescent="0.2">
      <c r="B20" s="49"/>
      <c r="C20" s="84"/>
      <c r="D20" s="84"/>
      <c r="E20" s="84"/>
    </row>
    <row r="21" spans="2:5" x14ac:dyDescent="0.2">
      <c r="B21" s="48" t="s">
        <v>17</v>
      </c>
      <c r="C21" s="46"/>
      <c r="D21" s="46"/>
      <c r="E21" s="47"/>
    </row>
    <row r="22" spans="2:5" ht="55.5" customHeight="1" x14ac:dyDescent="0.2">
      <c r="B22" s="49"/>
      <c r="C22" s="133" t="s">
        <v>81</v>
      </c>
      <c r="D22" s="133"/>
      <c r="E22" s="134"/>
    </row>
    <row r="23" spans="2:5" x14ac:dyDescent="0.2">
      <c r="B23" s="48" t="s">
        <v>18</v>
      </c>
      <c r="C23" s="50"/>
      <c r="D23" s="50"/>
      <c r="E23" s="51"/>
    </row>
    <row r="24" spans="2:5" ht="26.25" customHeight="1" x14ac:dyDescent="0.2">
      <c r="B24" s="49"/>
      <c r="C24" s="133" t="s">
        <v>59</v>
      </c>
      <c r="D24" s="133"/>
      <c r="E24" s="134"/>
    </row>
    <row r="25" spans="2:5" x14ac:dyDescent="0.2">
      <c r="B25" s="48" t="s">
        <v>19</v>
      </c>
      <c r="C25" s="46"/>
      <c r="D25" s="46"/>
      <c r="E25" s="47"/>
    </row>
    <row r="26" spans="2:5" ht="23.25" customHeight="1" x14ac:dyDescent="0.2">
      <c r="B26" s="48"/>
      <c r="C26" s="78" t="s">
        <v>66</v>
      </c>
      <c r="D26" s="78"/>
      <c r="E26" s="79"/>
    </row>
    <row r="27" spans="2:5" ht="13.5" thickBot="1" x14ac:dyDescent="0.25">
      <c r="B27" s="52"/>
      <c r="C27" s="53"/>
      <c r="D27" s="53"/>
      <c r="E27" s="54"/>
    </row>
    <row r="29" spans="2:5" ht="13.5" thickBot="1" x14ac:dyDescent="0.25"/>
    <row r="30" spans="2:5" x14ac:dyDescent="0.2">
      <c r="B30" s="42" t="s">
        <v>75</v>
      </c>
      <c r="C30" s="43"/>
      <c r="D30" s="43"/>
      <c r="E30" s="44"/>
    </row>
    <row r="31" spans="2:5" ht="5.25" customHeight="1" x14ac:dyDescent="0.2">
      <c r="B31" s="45"/>
      <c r="C31" s="46"/>
      <c r="D31" s="46"/>
      <c r="E31" s="47"/>
    </row>
    <row r="32" spans="2:5" x14ac:dyDescent="0.2">
      <c r="B32" s="48" t="s">
        <v>15</v>
      </c>
      <c r="C32" s="46"/>
      <c r="D32" s="46"/>
      <c r="E32" s="47"/>
    </row>
    <row r="33" spans="2:5" ht="130.5" customHeight="1" x14ac:dyDescent="0.2">
      <c r="B33" s="48"/>
      <c r="C33" s="80" t="s">
        <v>77</v>
      </c>
      <c r="D33" s="80"/>
      <c r="E33" s="81"/>
    </row>
    <row r="34" spans="2:5" x14ac:dyDescent="0.2">
      <c r="B34" s="48" t="s">
        <v>16</v>
      </c>
      <c r="C34" s="46"/>
      <c r="D34" s="46"/>
      <c r="E34" s="47"/>
    </row>
    <row r="35" spans="2:5" ht="26.25" customHeight="1" x14ac:dyDescent="0.2">
      <c r="B35" s="49"/>
      <c r="C35" s="82" t="s">
        <v>78</v>
      </c>
      <c r="D35" s="82"/>
      <c r="E35" s="83"/>
    </row>
    <row r="36" spans="2:5" x14ac:dyDescent="0.2">
      <c r="B36" s="49"/>
      <c r="C36" s="84"/>
      <c r="D36" s="84"/>
      <c r="E36" s="84"/>
    </row>
    <row r="37" spans="2:5" x14ac:dyDescent="0.2">
      <c r="B37" s="48" t="s">
        <v>17</v>
      </c>
      <c r="C37" s="46"/>
      <c r="D37" s="46"/>
      <c r="E37" s="47"/>
    </row>
    <row r="38" spans="2:5" ht="59.25" customHeight="1" x14ac:dyDescent="0.2">
      <c r="B38" s="49"/>
      <c r="C38" s="133" t="s">
        <v>81</v>
      </c>
      <c r="D38" s="133"/>
      <c r="E38" s="134"/>
    </row>
    <row r="39" spans="2:5" x14ac:dyDescent="0.2">
      <c r="B39" s="48" t="s">
        <v>18</v>
      </c>
      <c r="C39" s="50"/>
      <c r="D39" s="50"/>
      <c r="E39" s="51"/>
    </row>
    <row r="40" spans="2:5" ht="26.25" customHeight="1" x14ac:dyDescent="0.2">
      <c r="B40" s="49"/>
      <c r="C40" s="133" t="s">
        <v>59</v>
      </c>
      <c r="D40" s="133"/>
      <c r="E40" s="134"/>
    </row>
    <row r="41" spans="2:5" x14ac:dyDescent="0.2">
      <c r="B41" s="48" t="s">
        <v>19</v>
      </c>
      <c r="C41" s="46"/>
      <c r="D41" s="46"/>
      <c r="E41" s="47"/>
    </row>
    <row r="42" spans="2:5" ht="23.25" customHeight="1" x14ac:dyDescent="0.2">
      <c r="B42" s="48"/>
      <c r="C42" s="78" t="s">
        <v>66</v>
      </c>
      <c r="D42" s="78"/>
      <c r="E42" s="79"/>
    </row>
    <row r="43" spans="2:5" ht="13.5" thickBot="1" x14ac:dyDescent="0.25">
      <c r="B43" s="52"/>
      <c r="C43" s="53"/>
      <c r="D43" s="53"/>
      <c r="E43" s="54"/>
    </row>
  </sheetData>
  <mergeCells count="19">
    <mergeCell ref="B2:H2"/>
    <mergeCell ref="A4:B4"/>
    <mergeCell ref="C4:E4"/>
    <mergeCell ref="A5:B5"/>
    <mergeCell ref="C5:E5"/>
    <mergeCell ref="C22:E22"/>
    <mergeCell ref="C24:E24"/>
    <mergeCell ref="C26:E26"/>
    <mergeCell ref="A6:B6"/>
    <mergeCell ref="A7:B7"/>
    <mergeCell ref="C17:E17"/>
    <mergeCell ref="C19:E19"/>
    <mergeCell ref="C20:E20"/>
    <mergeCell ref="C42:E42"/>
    <mergeCell ref="C33:E33"/>
    <mergeCell ref="C35:E35"/>
    <mergeCell ref="C36:E36"/>
    <mergeCell ref="C38:E38"/>
    <mergeCell ref="C40:E40"/>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4"/>
  <sheetViews>
    <sheetView zoomScale="70" zoomScaleNormal="70" workbookViewId="0">
      <selection activeCell="D6" sqref="D6:K6"/>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2.5703125" style="2" customWidth="1"/>
    <col min="10" max="10" width="12.85546875" style="2" customWidth="1"/>
    <col min="11" max="11" width="42.7109375" style="2" customWidth="1"/>
    <col min="12" max="14" width="5.85546875" style="2" customWidth="1"/>
    <col min="15" max="15" width="12.5703125" style="2" customWidth="1"/>
    <col min="16" max="1024" width="9.140625" style="2"/>
  </cols>
  <sheetData>
    <row r="1" spans="1:1024" ht="18" customHeight="1" x14ac:dyDescent="0.2">
      <c r="A1" s="98" t="s">
        <v>20</v>
      </c>
      <c r="B1" s="98"/>
      <c r="C1" s="98"/>
      <c r="D1" s="98"/>
      <c r="E1" s="98"/>
      <c r="F1" s="98"/>
      <c r="G1" s="98"/>
      <c r="H1" s="98"/>
      <c r="I1" s="98"/>
      <c r="J1" s="3" t="s">
        <v>21</v>
      </c>
      <c r="K1" s="64"/>
    </row>
    <row r="2" spans="1:1024" ht="18.75" customHeight="1" thickBot="1" x14ac:dyDescent="0.25">
      <c r="A2" s="4"/>
      <c r="B2" s="4"/>
      <c r="C2" s="4"/>
      <c r="D2" s="5"/>
      <c r="E2" s="5"/>
      <c r="F2" s="5"/>
      <c r="G2" s="5"/>
      <c r="H2" s="5"/>
      <c r="I2" s="5"/>
      <c r="J2" s="5"/>
      <c r="K2" s="5"/>
    </row>
    <row r="3" spans="1:1024" ht="18.75" customHeight="1" thickBot="1" x14ac:dyDescent="0.25">
      <c r="A3" s="99" t="s">
        <v>54</v>
      </c>
      <c r="B3" s="99"/>
      <c r="C3" s="99"/>
      <c r="D3" s="100" t="str">
        <f>'Necesidades Trimestrales'!C4</f>
        <v>40 - Ministerio de Salud</v>
      </c>
      <c r="E3" s="100"/>
      <c r="F3" s="100"/>
      <c r="G3" s="100"/>
      <c r="H3" s="100"/>
      <c r="I3" s="100"/>
      <c r="J3" s="100"/>
      <c r="K3" s="100"/>
    </row>
    <row r="4" spans="1:1024" ht="18.75" customHeight="1" thickBot="1" x14ac:dyDescent="0.25">
      <c r="A4" s="101" t="s">
        <v>55</v>
      </c>
      <c r="B4" s="101"/>
      <c r="C4" s="101"/>
      <c r="D4" s="100" t="str">
        <f>'Necesidades Trimestrales'!C5</f>
        <v>23 - Hospital Interzonal San Juan Bautista</v>
      </c>
      <c r="E4" s="100"/>
      <c r="F4" s="100"/>
      <c r="G4" s="100"/>
      <c r="H4" s="100"/>
      <c r="I4" s="100"/>
      <c r="J4" s="100"/>
      <c r="K4" s="100"/>
    </row>
    <row r="5" spans="1:1024" ht="18.75" customHeight="1" thickBot="1" x14ac:dyDescent="0.25">
      <c r="A5" s="101" t="s">
        <v>33</v>
      </c>
      <c r="B5" s="101"/>
      <c r="C5" s="101"/>
      <c r="D5" s="100" t="s">
        <v>79</v>
      </c>
      <c r="E5" s="100"/>
      <c r="F5" s="100"/>
      <c r="G5" s="100"/>
      <c r="H5" s="100"/>
      <c r="I5" s="100"/>
      <c r="J5" s="100"/>
      <c r="K5" s="100"/>
    </row>
    <row r="6" spans="1:1024" ht="16.5" customHeight="1" thickBot="1" x14ac:dyDescent="0.25">
      <c r="A6" s="99" t="s">
        <v>56</v>
      </c>
      <c r="B6" s="99"/>
      <c r="C6" s="99"/>
      <c r="D6" s="100" t="s">
        <v>64</v>
      </c>
      <c r="E6" s="100"/>
      <c r="F6" s="100"/>
      <c r="G6" s="100"/>
      <c r="H6" s="100"/>
      <c r="I6" s="100"/>
      <c r="J6" s="100"/>
      <c r="K6" s="100"/>
    </row>
    <row r="7" spans="1:1024" ht="16.5" customHeight="1" x14ac:dyDescent="0.2">
      <c r="A7" s="101" t="s">
        <v>22</v>
      </c>
      <c r="B7" s="101"/>
      <c r="C7" s="101"/>
      <c r="D7" s="100" t="str">
        <f>'Necesidades Trimestrales'!C7 &amp; "° Trimestre - Año " &amp; 'Necesidades Trimestrales'!C6</f>
        <v>2° Trimestre - Año 2022</v>
      </c>
      <c r="E7" s="100"/>
      <c r="F7" s="100"/>
      <c r="G7" s="100"/>
      <c r="H7" s="100"/>
      <c r="I7" s="100"/>
      <c r="J7" s="100"/>
      <c r="K7" s="100"/>
    </row>
    <row r="8" spans="1:1024" ht="16.5" customHeight="1" x14ac:dyDescent="0.2">
      <c r="A8" s="93" t="s">
        <v>23</v>
      </c>
      <c r="B8" s="93"/>
      <c r="C8" s="93"/>
      <c r="D8" s="94" t="s">
        <v>76</v>
      </c>
      <c r="E8" s="94"/>
      <c r="F8" s="94"/>
      <c r="G8" s="94"/>
      <c r="H8" s="94"/>
      <c r="I8" s="94"/>
      <c r="J8" s="94"/>
      <c r="K8" s="94"/>
    </row>
    <row r="9" spans="1:1024" ht="15.75" x14ac:dyDescent="0.2">
      <c r="A9" s="6"/>
      <c r="B9" s="6"/>
      <c r="C9" s="6"/>
      <c r="D9" s="7"/>
      <c r="E9" s="7"/>
      <c r="F9" s="7"/>
      <c r="G9" s="7"/>
      <c r="H9" s="7"/>
      <c r="I9" s="7"/>
      <c r="J9" s="7"/>
      <c r="K9" s="7"/>
    </row>
    <row r="10" spans="1:1024" ht="18.75" customHeight="1" x14ac:dyDescent="0.2">
      <c r="A10" s="95" t="s">
        <v>24</v>
      </c>
      <c r="B10" s="96" t="s">
        <v>25</v>
      </c>
      <c r="C10" s="96" t="s">
        <v>26</v>
      </c>
      <c r="D10" s="96"/>
      <c r="E10" s="96"/>
      <c r="F10" s="96"/>
      <c r="G10" s="96"/>
      <c r="H10" s="96" t="s">
        <v>27</v>
      </c>
      <c r="I10" s="96" t="s">
        <v>28</v>
      </c>
      <c r="J10" s="96" t="s">
        <v>29</v>
      </c>
      <c r="K10" s="97" t="s">
        <v>30</v>
      </c>
    </row>
    <row r="11" spans="1:1024" ht="24" customHeight="1" thickBot="1" x14ac:dyDescent="0.25">
      <c r="A11" s="95"/>
      <c r="B11" s="96"/>
      <c r="C11" s="96"/>
      <c r="D11" s="96"/>
      <c r="E11" s="96"/>
      <c r="F11" s="96"/>
      <c r="G11" s="96"/>
      <c r="H11" s="96"/>
      <c r="I11" s="96"/>
      <c r="J11" s="96"/>
      <c r="K11" s="97"/>
    </row>
    <row r="12" spans="1:1024" ht="36.75" customHeight="1" thickBot="1" x14ac:dyDescent="0.25">
      <c r="A12" s="132">
        <v>1</v>
      </c>
      <c r="B12" s="65" t="str">
        <f>'Necesidades Trimestrales'!B10</f>
        <v>2.9.5-5697.41</v>
      </c>
      <c r="C12" s="90" t="str">
        <f>'Necesidades Trimestrales'!E10</f>
        <v>KIT DE INSTRUMENTAL ; TIPO: PARA ARTROSCOPIA, COMPONENTES: HASTA 15</v>
      </c>
      <c r="D12" s="91"/>
      <c r="E12" s="91"/>
      <c r="F12" s="91"/>
      <c r="G12" s="92"/>
      <c r="H12" s="66" t="s">
        <v>72</v>
      </c>
      <c r="I12" s="67" t="str">
        <f>'Necesidades Trimestrales'!F10</f>
        <v>UNIDAD</v>
      </c>
      <c r="J12" s="68">
        <f>'Necesidades Trimestrales'!H10</f>
        <v>2331240.4900000002</v>
      </c>
      <c r="K12" s="69">
        <f>'Necesidades Trimestrales'!G10</f>
        <v>1</v>
      </c>
    </row>
    <row r="13" spans="1:1024" ht="37.5" customHeight="1" thickBot="1" x14ac:dyDescent="0.25">
      <c r="A13" s="8">
        <v>1</v>
      </c>
      <c r="B13" s="65" t="str">
        <f>'Necesidades Trimestrales'!B11</f>
        <v>2.9.5-6853.6</v>
      </c>
      <c r="C13" s="90" t="str">
        <f>'Necesidades Trimestrales'!E11</f>
        <v>INSTRUMENTAL P/MICROCIRUGIA; TIPO: SHAVER, USO: CIRUGIA ARTROSCOPICA</v>
      </c>
      <c r="D13" s="91"/>
      <c r="E13" s="91"/>
      <c r="F13" s="91"/>
      <c r="G13" s="92"/>
      <c r="H13" s="66" t="s">
        <v>72</v>
      </c>
      <c r="I13" s="67" t="str">
        <f>'Necesidades Trimestrales'!F11</f>
        <v>UNIDAD</v>
      </c>
      <c r="J13" s="68">
        <f>'Necesidades Trimestrales'!H11</f>
        <v>2440490.73</v>
      </c>
      <c r="K13" s="69">
        <f>'Necesidades Trimestrales'!G11</f>
        <v>1</v>
      </c>
    </row>
    <row r="14" spans="1:1024" ht="20.25" customHeight="1" thickBot="1" x14ac:dyDescent="0.25">
      <c r="A14" s="88" t="s">
        <v>65</v>
      </c>
      <c r="B14" s="88"/>
      <c r="C14" s="88"/>
      <c r="D14" s="88"/>
      <c r="E14" s="88"/>
      <c r="F14" s="88"/>
      <c r="G14" s="88"/>
      <c r="H14" s="88"/>
      <c r="I14" s="88"/>
      <c r="J14" s="89">
        <v>4771731.22</v>
      </c>
      <c r="K14" s="89"/>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3:G13"/>
    <mergeCell ref="A8:C8"/>
    <mergeCell ref="D8:K8"/>
    <mergeCell ref="A10:A11"/>
    <mergeCell ref="B10:B11"/>
    <mergeCell ref="C10:G11"/>
    <mergeCell ref="H10:H11"/>
    <mergeCell ref="I10:I11"/>
    <mergeCell ref="J10:J11"/>
    <mergeCell ref="K10:K11"/>
    <mergeCell ref="C12:G12"/>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topLeftCell="A13" zoomScale="130" zoomScaleNormal="130" workbookViewId="0">
      <selection activeCell="A24" sqref="A24:Q25"/>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25" t="s">
        <v>3</v>
      </c>
      <c r="B1" s="125"/>
      <c r="C1" s="125"/>
      <c r="D1" s="126">
        <f>'Necesidades Trimestrales'!C6</f>
        <v>2022</v>
      </c>
      <c r="E1" s="126"/>
      <c r="F1" s="10"/>
      <c r="G1" s="10"/>
      <c r="H1" s="11"/>
      <c r="I1" s="11"/>
      <c r="J1" s="11"/>
      <c r="K1" s="11"/>
      <c r="L1" s="11"/>
      <c r="M1" s="11"/>
      <c r="N1" s="11"/>
      <c r="P1" s="127" t="s">
        <v>31</v>
      </c>
      <c r="Q1" s="127"/>
    </row>
    <row r="2" spans="1:17" ht="15.75" customHeight="1" x14ac:dyDescent="0.2">
      <c r="H2" s="11"/>
      <c r="I2" s="11"/>
      <c r="J2" s="11"/>
      <c r="K2" s="11"/>
      <c r="L2" s="11"/>
      <c r="M2" s="11"/>
      <c r="N2" s="11"/>
      <c r="P2" s="127"/>
      <c r="Q2" s="127"/>
    </row>
    <row r="4" spans="1:17" s="12" customFormat="1" ht="18" customHeight="1" thickBot="1" x14ac:dyDescent="0.25">
      <c r="A4" s="128" t="s">
        <v>32</v>
      </c>
      <c r="B4" s="128"/>
      <c r="C4" s="128"/>
      <c r="D4" s="128"/>
      <c r="E4" s="128"/>
      <c r="F4" s="128"/>
      <c r="G4" s="123" t="str">
        <f>NotaPedido!D3</f>
        <v>40 - Ministerio de Salud</v>
      </c>
      <c r="H4" s="123"/>
      <c r="I4" s="123"/>
      <c r="J4" s="123"/>
      <c r="K4" s="123"/>
      <c r="L4" s="123"/>
      <c r="M4" s="123"/>
      <c r="N4" s="123"/>
      <c r="O4" s="123"/>
      <c r="P4" s="123"/>
      <c r="Q4" s="123"/>
    </row>
    <row r="5" spans="1:17" s="12" customFormat="1" ht="18" customHeight="1" thickBot="1" x14ac:dyDescent="0.25">
      <c r="A5" s="120" t="s">
        <v>55</v>
      </c>
      <c r="B5" s="121"/>
      <c r="C5" s="121"/>
      <c r="D5" s="121"/>
      <c r="E5" s="121"/>
      <c r="F5" s="122"/>
      <c r="G5" s="123" t="str">
        <f>NotaPedido!D4</f>
        <v>23 - Hospital Interzonal San Juan Bautista</v>
      </c>
      <c r="H5" s="123"/>
      <c r="I5" s="123"/>
      <c r="J5" s="123"/>
      <c r="K5" s="123"/>
      <c r="L5" s="123"/>
      <c r="M5" s="123"/>
      <c r="N5" s="123"/>
      <c r="O5" s="123"/>
      <c r="P5" s="123"/>
      <c r="Q5" s="123"/>
    </row>
    <row r="6" spans="1:17" s="12" customFormat="1" ht="18" customHeight="1" thickBot="1" x14ac:dyDescent="0.25">
      <c r="A6" s="120" t="s">
        <v>33</v>
      </c>
      <c r="B6" s="121"/>
      <c r="C6" s="121"/>
      <c r="D6" s="121"/>
      <c r="E6" s="121"/>
      <c r="F6" s="122"/>
      <c r="G6" s="123" t="str">
        <f>NotaPedido!D5</f>
        <v>264 - Dirección General</v>
      </c>
      <c r="H6" s="123"/>
      <c r="I6" s="123"/>
      <c r="J6" s="123"/>
      <c r="K6" s="123"/>
      <c r="L6" s="123"/>
      <c r="M6" s="123"/>
      <c r="N6" s="123"/>
      <c r="O6" s="123"/>
      <c r="P6" s="123"/>
      <c r="Q6" s="123"/>
    </row>
    <row r="7" spans="1:17" s="12" customFormat="1" ht="18" customHeight="1" thickBot="1" x14ac:dyDescent="0.25">
      <c r="A7" s="120" t="s">
        <v>56</v>
      </c>
      <c r="B7" s="121"/>
      <c r="C7" s="121"/>
      <c r="D7" s="121"/>
      <c r="E7" s="121"/>
      <c r="F7" s="122"/>
      <c r="G7" s="123" t="str">
        <f>NotaPedido!D6</f>
        <v xml:space="preserve">Departamento Quirurgico </v>
      </c>
      <c r="H7" s="123"/>
      <c r="I7" s="123"/>
      <c r="J7" s="123"/>
      <c r="K7" s="123"/>
      <c r="L7" s="123"/>
      <c r="M7" s="123"/>
      <c r="N7" s="123"/>
      <c r="O7" s="123"/>
      <c r="P7" s="123"/>
      <c r="Q7" s="123"/>
    </row>
    <row r="8" spans="1:17" ht="18" customHeight="1" thickBot="1" x14ac:dyDescent="0.25">
      <c r="A8" s="124" t="s">
        <v>34</v>
      </c>
      <c r="B8" s="124"/>
      <c r="C8" s="124"/>
      <c r="D8" s="124"/>
      <c r="E8" s="124"/>
      <c r="F8" s="124"/>
      <c r="G8" s="124"/>
      <c r="H8" s="124"/>
      <c r="I8" s="124"/>
      <c r="J8" s="124"/>
      <c r="K8" s="124"/>
      <c r="L8" s="124"/>
      <c r="M8" s="124"/>
      <c r="N8" s="124"/>
      <c r="O8" s="124"/>
      <c r="P8" s="124"/>
      <c r="Q8" s="124"/>
    </row>
    <row r="9" spans="1:17" ht="18" customHeight="1" x14ac:dyDescent="0.2">
      <c r="A9" s="114" t="s">
        <v>35</v>
      </c>
      <c r="B9" s="114"/>
      <c r="C9" s="114"/>
      <c r="D9" s="114"/>
      <c r="E9" s="114"/>
      <c r="F9" s="114"/>
      <c r="G9" s="114"/>
      <c r="H9" s="114"/>
      <c r="I9" s="114"/>
      <c r="J9" s="114"/>
      <c r="K9" s="114"/>
      <c r="L9" s="114"/>
      <c r="M9" s="114"/>
      <c r="N9" s="114"/>
      <c r="O9" s="1"/>
      <c r="P9" s="1"/>
      <c r="Q9" s="13"/>
    </row>
    <row r="10" spans="1:17" ht="54.75" customHeight="1" x14ac:dyDescent="0.2">
      <c r="A10" s="115"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  afectando la erogación resultante a los créditos presupuestarios aprobados a favor de esta Unidad Ejecutora, conforme al siguiente detalle:</v>
      </c>
      <c r="B10" s="115"/>
      <c r="C10" s="115"/>
      <c r="D10" s="115"/>
      <c r="E10" s="115"/>
      <c r="F10" s="115"/>
      <c r="G10" s="115"/>
      <c r="H10" s="115"/>
      <c r="I10" s="115"/>
      <c r="J10" s="115"/>
      <c r="K10" s="115"/>
      <c r="L10" s="115"/>
      <c r="M10" s="115"/>
      <c r="N10" s="115"/>
      <c r="O10" s="115"/>
      <c r="P10" s="115"/>
      <c r="Q10" s="115"/>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16" t="s">
        <v>36</v>
      </c>
      <c r="B12" s="116"/>
      <c r="C12" s="116"/>
      <c r="D12" s="116"/>
      <c r="E12" s="116"/>
      <c r="F12" s="116"/>
      <c r="G12" s="116"/>
      <c r="H12" s="116"/>
      <c r="I12" s="116"/>
      <c r="J12" s="116"/>
      <c r="K12" s="116"/>
      <c r="L12" s="116"/>
      <c r="M12" s="116"/>
      <c r="N12" s="116"/>
      <c r="O12" s="116"/>
      <c r="P12" s="116"/>
      <c r="Q12" s="116"/>
    </row>
    <row r="13" spans="1:17" ht="15.75" customHeight="1" x14ac:dyDescent="0.2">
      <c r="A13" s="117" t="s">
        <v>37</v>
      </c>
      <c r="B13" s="117"/>
      <c r="C13" s="117"/>
      <c r="D13" s="117"/>
      <c r="E13" s="117"/>
      <c r="F13" s="117"/>
      <c r="G13" s="117"/>
      <c r="H13" s="117"/>
      <c r="I13" s="117"/>
      <c r="J13" s="117"/>
      <c r="K13" s="117"/>
      <c r="L13" s="117"/>
      <c r="M13" s="117"/>
      <c r="N13" s="117"/>
      <c r="O13" s="118" t="s">
        <v>38</v>
      </c>
      <c r="P13" s="118"/>
      <c r="Q13" s="119" t="s">
        <v>39</v>
      </c>
    </row>
    <row r="14" spans="1:17" ht="15.75" customHeight="1" x14ac:dyDescent="0.2">
      <c r="A14" s="18" t="s">
        <v>40</v>
      </c>
      <c r="B14" s="19" t="s">
        <v>41</v>
      </c>
      <c r="C14" s="19" t="s">
        <v>42</v>
      </c>
      <c r="D14" s="19" t="s">
        <v>43</v>
      </c>
      <c r="E14" s="19" t="s">
        <v>44</v>
      </c>
      <c r="F14" s="19" t="s">
        <v>45</v>
      </c>
      <c r="G14" s="20" t="s">
        <v>46</v>
      </c>
      <c r="H14" s="19" t="s">
        <v>47</v>
      </c>
      <c r="I14" s="19" t="s">
        <v>48</v>
      </c>
      <c r="J14" s="19" t="s">
        <v>49</v>
      </c>
      <c r="K14" s="19" t="s">
        <v>49</v>
      </c>
      <c r="L14" s="19" t="s">
        <v>50</v>
      </c>
      <c r="M14" s="21" t="s">
        <v>51</v>
      </c>
      <c r="N14" s="22" t="s">
        <v>52</v>
      </c>
      <c r="O14" s="118"/>
      <c r="P14" s="118"/>
      <c r="Q14" s="119"/>
    </row>
    <row r="15" spans="1:17" ht="17.25" customHeight="1" x14ac:dyDescent="0.2">
      <c r="A15" s="72">
        <v>33</v>
      </c>
      <c r="B15" s="73"/>
      <c r="C15" s="73"/>
      <c r="D15" s="73">
        <v>1</v>
      </c>
      <c r="E15" s="73"/>
      <c r="F15" s="73">
        <v>4901</v>
      </c>
      <c r="G15" s="73">
        <v>3</v>
      </c>
      <c r="H15" s="74" t="s">
        <v>60</v>
      </c>
      <c r="I15" s="75">
        <v>4</v>
      </c>
      <c r="J15" s="75">
        <v>3</v>
      </c>
      <c r="K15" s="75">
        <v>3</v>
      </c>
      <c r="L15" s="73"/>
      <c r="M15" s="76">
        <v>1</v>
      </c>
      <c r="N15" s="74" t="s">
        <v>69</v>
      </c>
      <c r="O15" s="112" t="s">
        <v>67</v>
      </c>
      <c r="P15" s="112"/>
      <c r="Q15" s="23">
        <v>4771731.22</v>
      </c>
    </row>
    <row r="16" spans="1:17" ht="17.25" customHeight="1" x14ac:dyDescent="0.2">
      <c r="A16" s="24"/>
      <c r="B16" s="25"/>
      <c r="C16" s="25"/>
      <c r="D16" s="25"/>
      <c r="E16" s="25"/>
      <c r="F16" s="25"/>
      <c r="G16" s="25"/>
      <c r="H16" s="70"/>
      <c r="I16" s="25"/>
      <c r="J16" s="25"/>
      <c r="K16" s="25"/>
      <c r="L16" s="25"/>
      <c r="M16" s="26"/>
      <c r="N16" s="71"/>
      <c r="O16" s="113"/>
      <c r="P16" s="113"/>
      <c r="Q16" s="28"/>
    </row>
    <row r="17" spans="1:18" ht="17.25" customHeight="1" x14ac:dyDescent="0.2">
      <c r="A17" s="24"/>
      <c r="B17" s="25"/>
      <c r="C17" s="25"/>
      <c r="D17" s="25"/>
      <c r="E17" s="25"/>
      <c r="F17" s="27"/>
      <c r="G17" s="25"/>
      <c r="H17" s="25"/>
      <c r="I17" s="25"/>
      <c r="J17" s="25"/>
      <c r="K17" s="25"/>
      <c r="L17" s="25"/>
      <c r="M17" s="26"/>
      <c r="N17" s="27"/>
      <c r="O17" s="107"/>
      <c r="P17" s="107"/>
      <c r="Q17" s="28"/>
    </row>
    <row r="18" spans="1:18" ht="17.25" customHeight="1" x14ac:dyDescent="0.2">
      <c r="A18" s="24"/>
      <c r="B18" s="25"/>
      <c r="C18" s="25"/>
      <c r="D18" s="25"/>
      <c r="E18" s="25"/>
      <c r="F18" s="27"/>
      <c r="G18" s="25"/>
      <c r="H18" s="25"/>
      <c r="I18" s="25"/>
      <c r="J18" s="25"/>
      <c r="K18" s="25"/>
      <c r="L18" s="25"/>
      <c r="M18" s="26"/>
      <c r="N18" s="27"/>
      <c r="O18" s="107"/>
      <c r="P18" s="107"/>
      <c r="Q18" s="28"/>
    </row>
    <row r="19" spans="1:18" ht="17.25" customHeight="1" x14ac:dyDescent="0.2">
      <c r="A19" s="29"/>
      <c r="B19" s="30"/>
      <c r="C19" s="30"/>
      <c r="D19" s="30"/>
      <c r="E19" s="30"/>
      <c r="F19" s="31"/>
      <c r="G19" s="30"/>
      <c r="H19" s="30"/>
      <c r="I19" s="30"/>
      <c r="J19" s="30"/>
      <c r="K19" s="30"/>
      <c r="L19" s="30"/>
      <c r="M19" s="32"/>
      <c r="N19" s="33"/>
      <c r="O19" s="108"/>
      <c r="P19" s="108"/>
      <c r="Q19" s="28"/>
      <c r="R19" s="1"/>
    </row>
    <row r="20" spans="1:18" ht="17.25" customHeight="1" x14ac:dyDescent="0.2">
      <c r="A20" s="34"/>
      <c r="B20" s="35"/>
      <c r="C20" s="35"/>
      <c r="D20" s="35"/>
      <c r="E20" s="35"/>
      <c r="F20" s="35"/>
      <c r="G20" s="35"/>
      <c r="H20" s="35"/>
      <c r="I20" s="35"/>
      <c r="J20" s="35"/>
      <c r="K20" s="35"/>
      <c r="L20" s="35"/>
      <c r="M20" s="36"/>
      <c r="N20" s="35"/>
      <c r="O20" s="109"/>
      <c r="P20" s="109"/>
      <c r="Q20" s="37"/>
    </row>
    <row r="21" spans="1:18" ht="20.25" customHeight="1" x14ac:dyDescent="0.2">
      <c r="A21" s="110" t="s">
        <v>68</v>
      </c>
      <c r="B21" s="110"/>
      <c r="C21" s="110"/>
      <c r="D21" s="110"/>
      <c r="E21" s="110"/>
      <c r="F21" s="110"/>
      <c r="G21" s="110"/>
      <c r="H21" s="110"/>
      <c r="I21" s="110"/>
      <c r="J21" s="110"/>
      <c r="K21" s="110"/>
      <c r="L21" s="110"/>
      <c r="M21" s="110"/>
      <c r="N21" s="110"/>
      <c r="O21" s="110"/>
      <c r="P21" s="110"/>
      <c r="Q21" s="38">
        <f>SUM(Q15:Q20)</f>
        <v>4771731.22</v>
      </c>
    </row>
    <row r="22" spans="1:18" ht="18" customHeight="1" thickBot="1" x14ac:dyDescent="0.25">
      <c r="A22" s="111"/>
      <c r="B22" s="111"/>
      <c r="C22" s="111"/>
      <c r="D22" s="111"/>
      <c r="E22" s="111"/>
      <c r="F22" s="111"/>
      <c r="G22" s="111"/>
      <c r="H22" s="111"/>
      <c r="I22" s="111"/>
      <c r="J22" s="111"/>
      <c r="K22" s="111"/>
      <c r="L22" s="111"/>
      <c r="M22" s="111"/>
      <c r="N22" s="111"/>
      <c r="O22" s="111"/>
      <c r="P22" s="111"/>
      <c r="Q22" s="111"/>
    </row>
    <row r="23" spans="1:18" ht="17.25" customHeight="1" thickBot="1" x14ac:dyDescent="0.25">
      <c r="A23" s="102" t="s">
        <v>53</v>
      </c>
      <c r="B23" s="103"/>
      <c r="C23" s="103"/>
      <c r="D23" s="103"/>
      <c r="E23" s="103"/>
      <c r="F23" s="104"/>
      <c r="G23" s="105"/>
      <c r="H23" s="105"/>
      <c r="I23" s="105"/>
      <c r="J23" s="105"/>
      <c r="K23" s="105"/>
      <c r="L23" s="105"/>
      <c r="M23" s="105"/>
      <c r="N23" s="105"/>
      <c r="O23" s="105"/>
      <c r="P23" s="105"/>
      <c r="Q23" s="105"/>
    </row>
    <row r="24" spans="1:18" ht="18" customHeight="1" thickBot="1" x14ac:dyDescent="0.25">
      <c r="A24" s="106" t="str">
        <f>"Para la "&amp; NotaPedido!D8 &amp;" para ser destinados al " &amp; NotaPedido!D6 &amp;"  del HISJB del Ministerio de Salud."</f>
        <v>Para la Adquisición de Kit Instrumental para artroscopia de rodilla y Sistema Motor Shaver para procedimientos artrosocpicos  para ser destinados al Departamento Quirurgico   del HISJB del Ministerio de Salud.</v>
      </c>
      <c r="B24" s="106"/>
      <c r="C24" s="106"/>
      <c r="D24" s="106"/>
      <c r="E24" s="106"/>
      <c r="F24" s="106"/>
      <c r="G24" s="106"/>
      <c r="H24" s="106"/>
      <c r="I24" s="106"/>
      <c r="J24" s="106"/>
      <c r="K24" s="106"/>
      <c r="L24" s="106"/>
      <c r="M24" s="106"/>
      <c r="N24" s="106"/>
      <c r="O24" s="106"/>
      <c r="P24" s="106"/>
      <c r="Q24" s="106"/>
    </row>
    <row r="25" spans="1:18" ht="15" customHeight="1" x14ac:dyDescent="0.2">
      <c r="A25" s="106"/>
      <c r="B25" s="106"/>
      <c r="C25" s="106"/>
      <c r="D25" s="106"/>
      <c r="E25" s="106"/>
      <c r="F25" s="106"/>
      <c r="G25" s="106"/>
      <c r="H25" s="106"/>
      <c r="I25" s="106"/>
      <c r="J25" s="106"/>
      <c r="K25" s="106"/>
      <c r="L25" s="106"/>
      <c r="M25" s="106"/>
      <c r="N25" s="106"/>
      <c r="O25" s="106"/>
      <c r="P25" s="106"/>
      <c r="Q25" s="106"/>
    </row>
  </sheetData>
  <mergeCells count="29">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A9:N9"/>
    <mergeCell ref="A10:Q10"/>
    <mergeCell ref="A12:Q12"/>
    <mergeCell ref="A13:N13"/>
    <mergeCell ref="O13:P14"/>
    <mergeCell ref="Q13:Q14"/>
    <mergeCell ref="A23:F23"/>
    <mergeCell ref="G23:Q23"/>
    <mergeCell ref="A24:Q25"/>
    <mergeCell ref="O18:P18"/>
    <mergeCell ref="O19:P19"/>
    <mergeCell ref="O20:P20"/>
    <mergeCell ref="A21:P21"/>
    <mergeCell ref="A22:Q22"/>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LICITACION23</cp:lastModifiedBy>
  <cp:revision>2</cp:revision>
  <cp:lastPrinted>2020-07-17T22:18:48Z</cp:lastPrinted>
  <dcterms:created xsi:type="dcterms:W3CDTF">2020-07-17T23:44:49Z</dcterms:created>
  <dcterms:modified xsi:type="dcterms:W3CDTF">2022-06-03T12:22:29Z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