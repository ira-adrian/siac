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7FFE0E6B-AEC8-4105-873D-AB8BF3C4B4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comparativo'!$AI$8:$AL$8,'Cuadro comparativo'!$AM$8:$AP$8,'Cuadro comparativo'!$AQ$8:$AT$8,'Cuadro comparativo'!$AU$8:$AX$8,'Cuadro comparativo'!$AY$8:$BB$8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73" i="2" l="1"/>
  <c r="M73" i="2"/>
  <c r="Q73" i="2"/>
  <c r="U73" i="2"/>
  <c r="Y73" i="2"/>
  <c r="AC73" i="2"/>
  <c r="AG73" i="2"/>
  <c r="AK73" i="2"/>
  <c r="AO73" i="2"/>
  <c r="AS73" i="2"/>
  <c r="AW73" i="2"/>
  <c r="BA73" i="2"/>
</calcChain>
</file>

<file path=xl/sharedStrings.xml><?xml version="1.0" encoding="utf-8"?>
<sst xmlns="http://schemas.openxmlformats.org/spreadsheetml/2006/main" count="618" uniqueCount="438">
  <si>
    <t>Número expediente:</t>
  </si>
  <si>
    <t>EX-2022-01506900-   -CAT-DPCBS#MEC</t>
  </si>
  <si>
    <t>Número proceso de compra:</t>
  </si>
  <si>
    <t>100-0057-CPR22</t>
  </si>
  <si>
    <t>Nombre descriptivo proceso de compra:</t>
  </si>
  <si>
    <t>ACUERDO MARCO ADQUISICIÓN DE PROD MÉD DEL GRUPO SANGRE Y  ORG HEMATOPOYETICOS/SIST CARDIOVASCULAR</t>
  </si>
  <si>
    <t>Unidad Operativa de Compras:</t>
  </si>
  <si>
    <t>Secretaria de Compras y Abastecimiento</t>
  </si>
  <si>
    <t>Fecha de Apertura:</t>
  </si>
  <si>
    <t>30/08/2022</t>
  </si>
  <si>
    <t>Renglón</t>
  </si>
  <si>
    <t>Leonardo STARICCO MULLER</t>
  </si>
  <si>
    <t>Pharma Express S.A.</t>
  </si>
  <si>
    <t>SANAR SRL</t>
  </si>
  <si>
    <t xml:space="preserve">DNM FARMA SA </t>
  </si>
  <si>
    <t>ANA GABRIELA CORDOBA</t>
  </si>
  <si>
    <t xml:space="preserve">DROGUERIA Y DISTRIBUIDRORA DEL VALLE SC </t>
  </si>
  <si>
    <t>DROGUERIA VARADERO S A</t>
  </si>
  <si>
    <t>MEDICINA INTEGRAL SRL</t>
  </si>
  <si>
    <t>LABORATORIOS RICHET SA</t>
  </si>
  <si>
    <t>DENVER FARMA S.A.</t>
  </si>
  <si>
    <t>NORGREEN S.A.</t>
  </si>
  <si>
    <t>PRODUMED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</si>
  <si>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</si>
  <si>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</si>
  <si>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</si>
  <si>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</si>
  <si>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</si>
  <si>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</si>
  <si>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</si>
  <si>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</si>
  <si>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</si>
  <si>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</si>
  <si>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2.5.2-1873.5 </t>
  </si>
  <si>
    <t xml:space="preserve">ANTICOAGULANTES P/PERSONAS; TIPO: MONODROGA, DROGA GENERICA: ACENOCUMAROL, FORMA FARMACEUTICA: COMPRIMIDOS, 
PRESENTACION: 4 mGr </t>
  </si>
  <si>
    <t xml:space="preserve">UNIDAD </t>
  </si>
  <si>
    <t xml:space="preserve">ROSPAW  VTO 30/11/2023 ANMAT 53401 </t>
  </si>
  <si>
    <t xml:space="preserve">Acenocumarol 4 mg. comprimido - Marca Rospaw </t>
  </si>
  <si>
    <t xml:space="preserve">ACENOCUMAROL MARCA MICROSULER CERT 51343 </t>
  </si>
  <si>
    <t xml:space="preserve">2 </t>
  </si>
  <si>
    <t xml:space="preserve">2.5.2-1873.18 </t>
  </si>
  <si>
    <t xml:space="preserve">ANTICOAGULANTES P/PERSONAS; TIPO: MONODROGA, DROGA GENERICA: AMINOCAPROICO, FORMA FARMACEUTICA: AMPOLLA, 
PRESENTACION: 2 GR </t>
  </si>
  <si>
    <t xml:space="preserve">DRAWER  VTO 30/11/2023 ANMAT 57020 </t>
  </si>
  <si>
    <t xml:space="preserve">ACIDO AMINOCAPROICO 2MG /10ML AMP DRAWER ANMAT 57020 </t>
  </si>
  <si>
    <t xml:space="preserve">ACIDO AMINOCAPROICO AMP 2GR NOVA NOVA  53473 PINT PHARMA 
</t>
  </si>
  <si>
    <t xml:space="preserve">marca DRAWER cert 57020 </t>
  </si>
  <si>
    <t xml:space="preserve">3 </t>
  </si>
  <si>
    <t xml:space="preserve">2.5.2-1872.36 </t>
  </si>
  <si>
    <t xml:space="preserve">ANTIANEMICOS; TIPO: MONODROGA, DROGA GENERICA: ACIDO FOLICO 1 mGr, FORMA 
FARMACEUTICA: GOTA, PRESENTACION: ENVASE X 20 mL </t>
  </si>
  <si>
    <t xml:space="preserve">DOMINGUEZ  x 10 ml - VTO 30/11/2023 ANMAT 39096 
</t>
  </si>
  <si>
    <t xml:space="preserve">marca dominguez cert 39096 </t>
  </si>
  <si>
    <t xml:space="preserve">4 </t>
  </si>
  <si>
    <t xml:space="preserve">2.5.2-1872.49 </t>
  </si>
  <si>
    <t xml:space="preserve">ANTIANEMICOS; TIPO: MONODROGA, DROGA GENERICA: ACIDO FOLICO 5 MG, FORMA 
FARMACEUTICA: COMPRIMIDO, PRESENTACION: UNIDAD </t>
  </si>
  <si>
    <t xml:space="preserve">VANNIER  VTO 30/11/2023 ANMAT 47603 </t>
  </si>
  <si>
    <t xml:space="preserve">ACIDO FOLICO 5MG COMP MARCA HLB CERT 51550 </t>
  </si>
  <si>
    <t xml:space="preserve">ACIDO FOLICO COMP 5 MG DOMINGUEZ  ANMAT 39096 </t>
  </si>
  <si>
    <t xml:space="preserve">ACIDO FOLICO 5MG COMP DOMINGUEZ 39096 </t>
  </si>
  <si>
    <t xml:space="preserve">5 </t>
  </si>
  <si>
    <t xml:space="preserve">2.5.2-2228.18 </t>
  </si>
  <si>
    <t xml:space="preserve">HEMOSTÁTICOS; TIPO: MONODROGA, DROGA GENÉRICA: ÁCIDO TRANEXÁMICO, FORMA FARMACEÚTICA: AMPOLLA 
1 MG, PRESENTACIÓN: ENVASE X 10 ML </t>
  </si>
  <si>
    <t xml:space="preserve">RIVERO  VTO 30/11/2023 ANMAT 55443 </t>
  </si>
  <si>
    <t xml:space="preserve">ACIDO TRANEXAMICO FCO AMP MARCA ARISTON CERT 54980 </t>
  </si>
  <si>
    <t xml:space="preserve">ACIDO TRANEXAMICO 1000MG IV AMP. X 1 X 10ML RIVERO 
 ANAMT 55443 </t>
  </si>
  <si>
    <t xml:space="preserve">6 </t>
  </si>
  <si>
    <t xml:space="preserve">2.5.2-7255.4 </t>
  </si>
  <si>
    <t xml:space="preserve">ANTITROMBÓTICOS; TIPO: MONODROGA, DROGA GENÉRICA: ACTIVADOR DE PLASMINOGENO TIPO ACTILYSE 
50 MGR, FORMA FARMACEÚTICA: AMPOLLA, PRESENTACIÓN: X 2 AMPOLLAS </t>
  </si>
  <si>
    <t xml:space="preserve">ACTIVADOR PLASMATICO MARCA ACTYLISE AMPX 2 CERT 38797 </t>
  </si>
  <si>
    <t xml:space="preserve">ALTEPLASA X 2 F/A ACTILYSE BOEHRINGER INGELHEIM ANMAT 38797 </t>
  </si>
  <si>
    <t xml:space="preserve">ACTIVADOR DE PLASMINOGENO 50 mg iny.f.a.x 2 Boehringer Ingelheim 38797 
</t>
  </si>
  <si>
    <t xml:space="preserve">marca bhoeringer cert 38797 </t>
  </si>
  <si>
    <t xml:space="preserve">7 </t>
  </si>
  <si>
    <t xml:space="preserve">2.5.2-1834.10 </t>
  </si>
  <si>
    <t xml:space="preserve">ANTIARRITMICOS; TIPO: MONODROGA, DROGA GENERICA: ADENOSINA 3 MG/ML, FORMA FARMACEUTICA: 
AMPOLLA, PRESENTACION: 6 mGr </t>
  </si>
  <si>
    <t xml:space="preserve">BIOL  VTO 30/11/2023 ANMAT 47435 </t>
  </si>
  <si>
    <t xml:space="preserve">ADENENOSINA 6 MG AMP MARCA BIOL CERT 42110 </t>
  </si>
  <si>
    <t xml:space="preserve">ADENOSINA AMP 2 ML BIOL ANAMT 47435  </t>
  </si>
  <si>
    <t xml:space="preserve">ADENOSINA 3MG AMP 6MG  BIOL 47435 </t>
  </si>
  <si>
    <t xml:space="preserve">ADENOSINA 3 MG/ML 2 ML AMP. - CERT. 47435 - 
MARCA: BIOL  </t>
  </si>
  <si>
    <t xml:space="preserve">8 </t>
  </si>
  <si>
    <t xml:space="preserve">2.5.2-1838.13 </t>
  </si>
  <si>
    <t xml:space="preserve">INOTROPICOS; TIPO: MONODROGA, DROGA GENERICA: ADRENALINA 1 %, FORMA FARMACEUTICA: 
AMPOLLA, PRESENTACION: ENVASE X 1 mL </t>
  </si>
  <si>
    <t xml:space="preserve">DUNCAN  VTO 30/11/2023 ANMAT 36504 </t>
  </si>
  <si>
    <t xml:space="preserve">ADRENALINA 1% FCO AMP MARCA HLB CERT 37158 VENCIMIENTO 06/23 
</t>
  </si>
  <si>
    <t xml:space="preserve">ADRENALINA AMP 1% X 1 ML BIOL ANMAT 18896 </t>
  </si>
  <si>
    <t xml:space="preserve">ADRENALINA 1GR AMP DUNCAN 40637 VEINFAR </t>
  </si>
  <si>
    <t xml:space="preserve">marca larjan cert 47766 producto con vto. 03/2023 </t>
  </si>
  <si>
    <t xml:space="preserve">ADRENALINA 1 MG CLORHIDRATO 1 ML AMP. - CERT. 36504 
- MARCA: DUNCAN </t>
  </si>
  <si>
    <t xml:space="preserve">marca duncan cert 47766 </t>
  </si>
  <si>
    <t xml:space="preserve">9 </t>
  </si>
  <si>
    <t xml:space="preserve">2.5.2-1839.25 </t>
  </si>
  <si>
    <t xml:space="preserve">VASODILATADORES CORONARIOS; TIPO: MONODROGA, DROGA GENERICA: ALPROSTADIL VR X 0,5 
mGr, FORMA FARMACEUTICA: AMPOLLA, PRESENTACION: ENVASE X 1 mL </t>
  </si>
  <si>
    <t xml:space="preserve">RICHET  VTO 30/11/2023 ANMAT 54793 </t>
  </si>
  <si>
    <t xml:space="preserve">ALPROSTADIL AMP X 1ML RICHET C/FRIO  - TRAZ ANMAT 
54973 </t>
  </si>
  <si>
    <t xml:space="preserve">ALPROSTADIL VR X 0,5 mGr AMP  RICHET 54793 </t>
  </si>
  <si>
    <t xml:space="preserve">marca richet cert 54793 producto con vto 03/2023 </t>
  </si>
  <si>
    <t xml:space="preserve">AMPOLLAS DE ALPROSTADIL RICHET 0,5 MG.  CADA AMPOLLA CONTIENE 
ALPROSTADIL 0,5 MG./1 ML. EN ENVASES HOSPITALARIOS.    
 CERTIFICADO NRO. 54793 EXPTE AUTORIZ. M.S.Y A.S. DE LA 
NACION NRO. 1-0047-0000-006708-08-1 - DISP.ANMAT NRO. 6483 VENCIMIENTO: 18 MESES 
CADA AMPOLLA </t>
  </si>
  <si>
    <t xml:space="preserve">10 </t>
  </si>
  <si>
    <t xml:space="preserve">2.5.2-1834.2 </t>
  </si>
  <si>
    <t xml:space="preserve">ANTIARRITMICOS; TIPO: MONODROGA, DROGA GENERICA: AMIODARONA, FORMA FARMACEUTICA: AMPOLLA, PRESENTACION: 
150 mGr </t>
  </si>
  <si>
    <t xml:space="preserve">LARJAN  VTO 30/11/2023 ANMAT 41193 </t>
  </si>
  <si>
    <t xml:space="preserve">AMIODARONA 150 MG FCO AMP MARCA LIA CERT 41851 </t>
  </si>
  <si>
    <t xml:space="preserve">AMIODORONA 150MG AMP FADA 46527 LAB INTERNCIONAL </t>
  </si>
  <si>
    <t xml:space="preserve">AMIODARONA 150 MG 3 ML AMP. - CERT. 41193 - 
MARCA: VEINFAR </t>
  </si>
  <si>
    <t xml:space="preserve">11 </t>
  </si>
  <si>
    <t xml:space="preserve">2.5.2-2482.2 </t>
  </si>
  <si>
    <t xml:space="preserve">ANTIANGINOSOS; TIPO: MONODROGA, DROGA GENERICA: AMIODARONA, FORMA FARMACEUTICA: COMPRIMIDO, PRESENTACION: 
200 mGr </t>
  </si>
  <si>
    <t xml:space="preserve">AMIODARONA 200 MG COMP MARCA MICROSULER CERT 4135 </t>
  </si>
  <si>
    <t xml:space="preserve">AMIODARONA COMP 200 MG KLONAL </t>
  </si>
  <si>
    <t xml:space="preserve">12 </t>
  </si>
  <si>
    <t xml:space="preserve">2.5.2-4817.15 </t>
  </si>
  <si>
    <t xml:space="preserve">ANTIHIPERTENSIVOS; TIPO: MONODROGA, DROGA GENERICA: AMLODIPINA, FORMA FARMACEUTICA: COMPRIMIDOS, PRESENTACION: 
10 mGr </t>
  </si>
  <si>
    <t xml:space="preserve">VANNIER  VTO 30/11/2023 ANMAT 47614 </t>
  </si>
  <si>
    <t xml:space="preserve">Amlodipina 10 mg. comprimido - Marca Rospaw </t>
  </si>
  <si>
    <t xml:space="preserve">AMLODIPINA 10 MG COMP MARCA HLB CERT 57977 </t>
  </si>
  <si>
    <t xml:space="preserve">AMLODIPINA COMP 10 MG VANNIER ANMAT 47614 </t>
  </si>
  <si>
    <t xml:space="preserve">AMLODIPINA 10MG COMP KLONAL  48033 </t>
  </si>
  <si>
    <t xml:space="preserve">marca ROSPAW cert 56174 </t>
  </si>
  <si>
    <t xml:space="preserve">13 </t>
  </si>
  <si>
    <t xml:space="preserve">2.5.2-4817.16 </t>
  </si>
  <si>
    <t xml:space="preserve">ANTIHIPERTENSIVOS; TIPO: MONODROGA, DROGA GENERICA: AMLODIPINA, FORMA FARMACEUTICA: COMPRIMIDOS, PRESENTACION: 
5 mGr </t>
  </si>
  <si>
    <t xml:space="preserve">AMLODIPINA 5 MG COMP MARCA HLB CERT 57977 </t>
  </si>
  <si>
    <t xml:space="preserve">AMLODIPINA 5MG COMP KLONAL   48033 </t>
  </si>
  <si>
    <t xml:space="preserve">14 </t>
  </si>
  <si>
    <t xml:space="preserve">2.5.2-4817.12 </t>
  </si>
  <si>
    <t xml:space="preserve">ANTIHIPERTENSIVOS; TIPO: MONODROGA, DROGA GENERICA: ATENOLOL, FORMA FARMACEUTICA: COMPRIMIDOS, PRESENTACION: 
50 mGr </t>
  </si>
  <si>
    <t xml:space="preserve">ATENOLOL 50 MG COMP MARCA HLB CERT 52243 </t>
  </si>
  <si>
    <t xml:space="preserve">15 </t>
  </si>
  <si>
    <t xml:space="preserve">2.5.2-1863.9 </t>
  </si>
  <si>
    <t xml:space="preserve">HIPOLIPEMIANTES; TIPO: MONODROGA, DROGA GENERICA: ATORVASTATIN, FORMA FARMACEUTICA: COMPRIMIDO, PRESENTACION: 
10 mGr </t>
  </si>
  <si>
    <t xml:space="preserve">VANNIER  VTO 30/11/2023 ANMAT 52368 </t>
  </si>
  <si>
    <t xml:space="preserve">ATORVASTATIN 10 MG COMP  MARCA KLONAL CERT 51841 </t>
  </si>
  <si>
    <t xml:space="preserve">ATORVASTATINA COMP 10 MG DENVER ANMAT 51879 </t>
  </si>
  <si>
    <t xml:space="preserve">ARTOVASTATIN 10MG COMP  KLONAL 48262 </t>
  </si>
  <si>
    <t xml:space="preserve">marca BIOTENK cert 49227 </t>
  </si>
  <si>
    <t xml:space="preserve">16 </t>
  </si>
  <si>
    <t xml:space="preserve">2.5.2-4817.24 </t>
  </si>
  <si>
    <t xml:space="preserve">ANTIHIPERTENSIVOS; TIPO: MONODROGA, DROGA GENERICA: BISOPROLOL, FORMA FARMACEUTICA: COMPRIMIDOS, PRESENTACION: 
5 mGr </t>
  </si>
  <si>
    <t xml:space="preserve">BISOPROLOL 5 MG COMP MARCA ECZANE CERT 58215 </t>
  </si>
  <si>
    <t xml:space="preserve">BISOPROLOL 5 MG X  COMP PROBLOCK ECZANE ANMAT 51879 
</t>
  </si>
  <si>
    <t xml:space="preserve">17 </t>
  </si>
  <si>
    <t xml:space="preserve">2.5.2-1837.56 </t>
  </si>
  <si>
    <t xml:space="preserve">HIPOTENSORES; TIPO: MONODROGA, DROGA GENERICA: CARVEDILOL, FORMA FARMACEUTICA: COMPRIMIDO, PRESENTACION: 
12,5 mGr </t>
  </si>
  <si>
    <t xml:space="preserve">ROSPAW  VTO 30/11/2023 ANMAT 57456 </t>
  </si>
  <si>
    <t xml:space="preserve">Carvedilol 12.5 mg comprimido - Marca Carvipaw (Rospaw) </t>
  </si>
  <si>
    <t xml:space="preserve">CARVEDILOL 12.5 MG COMP MARCA KLONAL CERT 52138 </t>
  </si>
  <si>
    <t xml:space="preserve">CARVEDILOL COMP 12.50 MG SAVANT ANMAT  </t>
  </si>
  <si>
    <t xml:space="preserve">CARVEDILOL  12,5 MG COMP BAGO 50538 </t>
  </si>
  <si>
    <t xml:space="preserve">marca BIOTENK cert 50960 </t>
  </si>
  <si>
    <t xml:space="preserve">18 </t>
  </si>
  <si>
    <t xml:space="preserve">2.5.2-1837.30 </t>
  </si>
  <si>
    <t xml:space="preserve">HIPOTENSORES; DROGA GENERICA: CARVEDILOL, FORMA FARMACEUTICA: COMPRIMIDO, TIPO: MONODROGA, PRESENTACION: 
25 mGr </t>
  </si>
  <si>
    <t xml:space="preserve">Carvedilol 25 mg. comp. - Marca Carvipaw (Rospaw) </t>
  </si>
  <si>
    <t xml:space="preserve">CARVEDILOL 25 MG COMP MARCA KLONAL CERT 52138 </t>
  </si>
  <si>
    <t xml:space="preserve">CARVEDILOL COMP 25 MG ROSPAW ANMAT 57456 </t>
  </si>
  <si>
    <t xml:space="preserve">ARVEDILOL  25 MG COMP BAGO 50538 </t>
  </si>
  <si>
    <t xml:space="preserve">marca BIOTENK CERT 50960 </t>
  </si>
  <si>
    <t xml:space="preserve">19 </t>
  </si>
  <si>
    <t xml:space="preserve">2.5.2-1837.42 </t>
  </si>
  <si>
    <t xml:space="preserve">HIPOTENSORES; TIPO: MONODROGA, DROGA GENERICA: CARVEDILOL, FORMA FARMACEUTICA: COMPRIMIDO, PRESENTACION: 
6,25 mGr </t>
  </si>
  <si>
    <t xml:space="preserve">Carvedilol 6.25 mg. marca Carvipaw (Rospaw) </t>
  </si>
  <si>
    <t xml:space="preserve">CARVEDILOL 6.25 MG COMP MARCA KLONAL CERT 52138 </t>
  </si>
  <si>
    <t xml:space="preserve">CARVEDILOL COMP 6.25 MG ROSPAW ANMAT 57456 </t>
  </si>
  <si>
    <t xml:space="preserve">CARVEDILOL  6,25 MG COMP KLONAL 52138 </t>
  </si>
  <si>
    <t xml:space="preserve">20 </t>
  </si>
  <si>
    <t xml:space="preserve">2.5.2-1873.14 </t>
  </si>
  <si>
    <t xml:space="preserve">ANTICOAGULANTES P/PERSONAS; TIPO: MONODROGA, DROGA GENÉRICA: CLOPIDOGREL, FORMA FARMACEÚTICA: COMPRIMIDO, 
PRESENTACIÓN: 75 MGR </t>
  </si>
  <si>
    <t xml:space="preserve">ROSPAW  VTO 30/11/2023 ANMAT 54057 </t>
  </si>
  <si>
    <t xml:space="preserve">Clopidogrel 75 mg. marca Rospaw </t>
  </si>
  <si>
    <t xml:space="preserve">CLOPIDDROGEL 75 MG MARCA MICROSULER CERT 56393 </t>
  </si>
  <si>
    <t xml:space="preserve">CLOPIDOGREL COMP 75 MG ROSPAW ANMAT 54057 </t>
  </si>
  <si>
    <t xml:space="preserve">CLOPIDOGREL  75MG COMP ROSPAW  54057 </t>
  </si>
  <si>
    <t xml:space="preserve">21 </t>
  </si>
  <si>
    <t xml:space="preserve">2.5.2-4817.30 </t>
  </si>
  <si>
    <t xml:space="preserve">ANTIHIPERTENSIVOS; TIPO: MONODROGA, DROGA GENERICA: CLONIDINA, FORMA FARMACEUTICA: AMPOLLA, PRESENTACION: 
0,15 mGr </t>
  </si>
  <si>
    <t xml:space="preserve">22 </t>
  </si>
  <si>
    <t xml:space="preserve">2.5.2-2693.14 </t>
  </si>
  <si>
    <t xml:space="preserve">CARDIOTONICOS; TIPO: MONODROGA, DROGA GENERICA: DIGOXINA, FORMA FARMACEUTICA: AMPOLLA, PRESENTACION: 
0,25 mGr </t>
  </si>
  <si>
    <t xml:space="preserve">BIOL  VTO 30/11/2023 ANMAT 48003 </t>
  </si>
  <si>
    <t xml:space="preserve">DIGOXINA AMPOLLA 0.25 MG X 1ML KLONAL ANMAT 43626 </t>
  </si>
  <si>
    <t xml:space="preserve">DIGOXINA 0,25MG amp    BIOL   48003 
</t>
  </si>
  <si>
    <t xml:space="preserve">DIGOXINA 0,25 MG 1 ML AMP. - CERT. 48003 - 
MARCA: BIOL VTO.01/24 </t>
  </si>
  <si>
    <t xml:space="preserve">23 </t>
  </si>
  <si>
    <t xml:space="preserve">2.5.2-2693.4 </t>
  </si>
  <si>
    <t xml:space="preserve">CARDIOTONICOS; TIPO: MONODROGA, DROGA GENERICA: DIGOXINA, FORMA FARMACEUTICA: COMPRIMIDO, PRESENTACION: 
0,25 mGr </t>
  </si>
  <si>
    <t xml:space="preserve">DIGOXINA 0.25 MG X COMP LANOXIN ROEMMERS T/A ANMAT 3917 
</t>
  </si>
  <si>
    <t xml:space="preserve">24 </t>
  </si>
  <si>
    <t xml:space="preserve">2.5.2-1839.31 </t>
  </si>
  <si>
    <t xml:space="preserve">VASODILATADORES CORONARIOS; TIPO: MONODROGA, DROGA GENERICA: DILTIAZEM, FORMA FARMACEUTICA: COMPRIMIDO, 
PRESENTACION: 60 mGr </t>
  </si>
  <si>
    <t xml:space="preserve">25 </t>
  </si>
  <si>
    <t xml:space="preserve">2.5.2-2693.5 </t>
  </si>
  <si>
    <t xml:space="preserve">CARDIOTONICOS; TIPO: MONODROGA, DROGA GENERICA: DOBUTAMINA, FORMA FARMACEUTICA: AMPOLLA, PRESENTACION: 
20 mL </t>
  </si>
  <si>
    <t xml:space="preserve">RICHET  VTO 30/11/2023 ANMAT 44410 </t>
  </si>
  <si>
    <t xml:space="preserve">DOBUTAMINA 20 ML AMPOLLAS NARCA LIA CERT 54423 </t>
  </si>
  <si>
    <t xml:space="preserve">DOBUTAMINA FA X 20 ML XUNID FADA TRAZ ANMAT 43764 
</t>
  </si>
  <si>
    <t xml:space="preserve">DOBUTAMINA 20 ML AMP FADA  43764   LAB 
INTERN </t>
  </si>
  <si>
    <t xml:space="preserve">marca DUNCAN cert 54423 producto con vto. 05/2023 </t>
  </si>
  <si>
    <t xml:space="preserve">DOBUTAMINA 12,5 MG/ML 20 ML FCO/AMP. - CERT 45220 - 
MARCA: GEMEPE VTO.01/24 </t>
  </si>
  <si>
    <t xml:space="preserve">marca RICHET  </t>
  </si>
  <si>
    <t xml:space="preserve">FRASCO AMPOLLA  DOBUTAMINA RICHET INYECTABLE CADA FRASCO AMPOLLA DE 
DOBUTAMINA CONTIENE: DOBUTAMINA CLORHIDRATO EQUIVALENTE A DOBUTAMINA 250mg/20ml  EN 
ENVASES HOSPITALARIOS CERTIFICADO NRO. 44410 EXPTE AUTOIZ. MS. Y AS 
DE LA NACION NRO. 1-47-7545/94-1 DISPOSICION ANMAT NRO. 2618/95 CADA 
FRASCO AMPOLLA </t>
  </si>
  <si>
    <t xml:space="preserve">26 </t>
  </si>
  <si>
    <t xml:space="preserve">2.5.2-2693.2 </t>
  </si>
  <si>
    <t xml:space="preserve">CARDIOTONICOS; TIPO: MONODROGA, DROGA GENERICA: DOPAMINA, PRESENTACION: 200 mGr, FORMA 
FARMACEUTICA: AMPOLLA </t>
  </si>
  <si>
    <t xml:space="preserve">DUNCAN  VTO 30/11/2023 ANMAT 49474 </t>
  </si>
  <si>
    <t xml:space="preserve">Dopamina 200 mg. ampolla - Northia </t>
  </si>
  <si>
    <t xml:space="preserve">DOPAMINA 200 MG AMPOLLAS NARCA LIA CERT 46078 </t>
  </si>
  <si>
    <t xml:space="preserve">DOPAMINA AMP 200 MG X DUNCAN - TRAZ anmat 49474 
</t>
  </si>
  <si>
    <t xml:space="preserve">27 </t>
  </si>
  <si>
    <t xml:space="preserve">2.5.2-1837.7 </t>
  </si>
  <si>
    <t xml:space="preserve">HIPOTENSORES; DROGA GENERICA: ENALAPRIL, FORMA FARMACEUTICA: COMPRIMIDO, TIPO: MONODROGA, PRESENTACION: 
10 mGr </t>
  </si>
  <si>
    <t xml:space="preserve">LE PETIT  VTO 30/11/2023 ANMAT 44715 </t>
  </si>
  <si>
    <t xml:space="preserve">ENALAPRIL 10 MG COMP MARCA FABBRA CERT 59290 </t>
  </si>
  <si>
    <t xml:space="preserve">ENALAPRIL COMP 10 MG KLONAL (H-30-1020)  anmat 42786  
</t>
  </si>
  <si>
    <t xml:space="preserve">ENALAPRIL  10MG COMP  KLONAL 42786 </t>
  </si>
  <si>
    <t xml:space="preserve">28 </t>
  </si>
  <si>
    <t xml:space="preserve">2.5.2-1873.50 </t>
  </si>
  <si>
    <t xml:space="preserve">ANTICOAGULANTES P/PERSONAS; TIPO: MONODROGA, DROGA GENERICA: ENOXAPARINA 40 MG, FORMA 
FARMACEUTICA: JERINGA PRELLENADA, PRESENTACION: ENVASE X 1 UN </t>
  </si>
  <si>
    <t xml:space="preserve">DENVER  VTO 30/11/2023 ANMAT 54962 </t>
  </si>
  <si>
    <t xml:space="preserve">Enoxaparina 40 mg. ampolla jeringa prellenada - Northia </t>
  </si>
  <si>
    <t xml:space="preserve">ENOXAPARINA 40 MG X JERINGA PRELL HEPARINOX DENVER TRAZ T/A 
anmat 54962 </t>
  </si>
  <si>
    <t xml:space="preserve">ENOXAPARINA 40 MG JERINGA PRELLENADA,ENVASE X 1 UN NORTHIA DENVER 
LAB INTERN 55517  </t>
  </si>
  <si>
    <t xml:space="preserve">marca DENVER FARMA cert 54130 </t>
  </si>
  <si>
    <t xml:space="preserve">ENOXAPARINA SODICA 40 MG JER. PRELL. - CERT. 49665 - 
MARCA: LAZAR VTO.08/23 </t>
  </si>
  <si>
    <t xml:space="preserve">CA 54962 HEPARINOX DENVER FARMA  Composición Enoxaparina sódica 40 
mg (equivalente a 4.000 UI), agua para inyectable c.s.p. 0.4 
ml Presentaciones HEPARINOX 40 mg/0.4 ml: 10 jeringas prellenadas con 
0.4 ml de solución </t>
  </si>
  <si>
    <t xml:space="preserve">29 </t>
  </si>
  <si>
    <t xml:space="preserve">2.5.2-1872.51 </t>
  </si>
  <si>
    <t xml:space="preserve">ANTIANEMICOS; TIPO: MONODROGA, DROGA GENERICA:  ERITROPOYETINA HUMANA, FORMA FARMACEUTICA: 
FRASCO AMPOLLA 3000UI, PRESENTACION: UNIDAD </t>
  </si>
  <si>
    <t xml:space="preserve">marca hemax biosidius cert 38777. observacion producto con vto. 03/23 
</t>
  </si>
  <si>
    <t xml:space="preserve">marca HEMAX BIOSIDIUS  cert 38777 </t>
  </si>
  <si>
    <t xml:space="preserve">30 </t>
  </si>
  <si>
    <t xml:space="preserve">2.5.2-1837.71 </t>
  </si>
  <si>
    <t xml:space="preserve">HIPOTENSORES; TIPO: MONODROGA, DROGA GENÉRICA: ESMOLOL 100 MG/10 ML, FORMA 
FARMACEÚTICA: FRASCO AMPOLLA, PRESENTACION: ENVASE X 10 ML </t>
  </si>
  <si>
    <t xml:space="preserve">RICHET  VTO 30/11/2023 ANMAT 50980 </t>
  </si>
  <si>
    <t xml:space="preserve">ESMOLOL F/A 100 MG RICHET anmat 50980 </t>
  </si>
  <si>
    <t xml:space="preserve">FRASCO AMPOLLA DE ESMOLOL RICHET FA 100 MG/10 ML CADA 
FRASCO AMPOLLA CONTIENE 100 MG/10 ML DE ESMOLOL CLORHIDRATO DE 
SOLUCION INYECTABLE. ADMINISTRACION INTRAVENOSA. ENVASES HOSPITALARIOS. CERTIFICADO Nro 50980 EXPTE 
NRO. 1-0074-0000-003843-02-5 DISP. ANMAT Nro 3883- VENCIMIENTO: 18 MESES CADA 
FCO AMP </t>
  </si>
  <si>
    <t xml:space="preserve">31 </t>
  </si>
  <si>
    <t xml:space="preserve">2.5.2-1835.4 </t>
  </si>
  <si>
    <t xml:space="preserve">DIURETICOS; TIPO: MONODROGA, FORMA FARMACEUTICA: COMPRIMIDO, PRESENTACION: 100 mGr, DROGA 
GENERICA: ESPIRONOLACTONA </t>
  </si>
  <si>
    <t xml:space="preserve">ESPIRONOLACTONA 100 MG COMP MARCA DENVER FARMA CERT 49049 </t>
  </si>
  <si>
    <t xml:space="preserve">ESPIRONOLACTONA COMP 100 MG DENVER anmat 40049 </t>
  </si>
  <si>
    <t xml:space="preserve">32 </t>
  </si>
  <si>
    <t xml:space="preserve">2.5.2-4817.59 </t>
  </si>
  <si>
    <t xml:space="preserve">ANTIHIPERTENSIVOS; TIPO: MONODROGA, DROGA GENERICA: ESPIRONOLACTONA, FORMA FARMACEUTICA: COMPRIMIDOS, PRESENTACION: 
ENVASE X 50 mGr </t>
  </si>
  <si>
    <t xml:space="preserve">BALIARDA  VTO 30/11/2023 ANMAT 50867 </t>
  </si>
  <si>
    <t xml:space="preserve">33 </t>
  </si>
  <si>
    <t xml:space="preserve">2.5.2-1821.402 </t>
  </si>
  <si>
    <t xml:space="preserve">ANTIBIOTICOS P/PERSONAS; TIPO: MONODROGA, DROGA GENERICA: ESTREPTOQUINASA 1,500,000 UI, FORMA 
FARMACEUTICA: AMPOLLA, PRESENTACION: UNIDAD </t>
  </si>
  <si>
    <t xml:space="preserve">BIOFACTOR  VTO 30/11/2023 ANMAT 48140 </t>
  </si>
  <si>
    <t xml:space="preserve">ESTREPTOQUINASA 1.5 UI AMP S/T C/FRIO STREPTOFACTOR BIOFACTOR TRAZ  
anmat 48140 </t>
  </si>
  <si>
    <t xml:space="preserve">ESTREPTOQUINASA 1,500,000 UI, BIOFACTOR  48140 </t>
  </si>
  <si>
    <t xml:space="preserve">marca BIOFACTOR cert 48140 </t>
  </si>
  <si>
    <t xml:space="preserve">ESTREPTOQUINASA 1.5 MUI 1 ML FCO/AMP. - CERT. 48140 - 
MARCA: BIOFACTOR </t>
  </si>
  <si>
    <t xml:space="preserve">34 </t>
  </si>
  <si>
    <t xml:space="preserve">2.5.2-1724.80 </t>
  </si>
  <si>
    <t xml:space="preserve">ANALGESICOS ; TIPO: MONODROGA, DROGA GENERICA: ETILEFRINA CLORHIDRATO, FORMA FARMACEUTICA: 
AMPOLLA, PRESENTACION: 1 mL </t>
  </si>
  <si>
    <t xml:space="preserve">LARJAN  VTO 30/11/2023 ANMAT 45051 </t>
  </si>
  <si>
    <t xml:space="preserve">ETILEFRINA AMP 10 MG X 1 ML FABRA anmat 43586 
</t>
  </si>
  <si>
    <t xml:space="preserve">ETILEFRINA AMP  LARJAN 45051 </t>
  </si>
  <si>
    <t xml:space="preserve">ETILEFRINA 10 MG 1 ML AMP. - CERT. 43586 - 
MARCA: FABRA </t>
  </si>
  <si>
    <t xml:space="preserve">35 </t>
  </si>
  <si>
    <t xml:space="preserve">2.5.2-1894.58 </t>
  </si>
  <si>
    <t xml:space="preserve">CITOSTATICOS; TIPO: MONODROGA, DROGA GENERICA: FILGRASTIM, FORMA FARMACEUTICA: AMPOLLA, PRESENTACION: 
300 mGr </t>
  </si>
  <si>
    <t xml:space="preserve">FILGASTRIM 300 MG AMPOLLA MARCA GEMABIOTECH CERT 56135 </t>
  </si>
  <si>
    <t xml:space="preserve">FILGRASTIM 30MUI F/A X 1 X 1 ML NEUTROFIL VARIFARMA 
- C/FRIO anmat 48151 </t>
  </si>
  <si>
    <t xml:space="preserve">marca BIOPROFARMA cert 49074 </t>
  </si>
  <si>
    <t xml:space="preserve">36 </t>
  </si>
  <si>
    <t xml:space="preserve">2.5.2-1835.10 </t>
  </si>
  <si>
    <t xml:space="preserve">DIURETICOS; TIPO: MONODROGA, DROGA GENERICA: FUROSEMIDA, FORMA FARMACEUTICA: COMPRIMIDO, PRESENTACION: 
40 mGr </t>
  </si>
  <si>
    <t xml:space="preserve">VANNIER VTO 30/09/2024 ANMAT 43171 </t>
  </si>
  <si>
    <t xml:space="preserve">FUROSEMIDA 40 MG COMP MARCA DENVER FARMA CERT 46023 </t>
  </si>
  <si>
    <t xml:space="preserve">FUROSEMIDA COMP 40 MG KLONAL anmat 37873  </t>
  </si>
  <si>
    <t xml:space="preserve">FUROSEMIDA   40 MG COMP   VENT3 54178 
</t>
  </si>
  <si>
    <t xml:space="preserve">marca vannier cert 53919 </t>
  </si>
  <si>
    <t xml:space="preserve">37 </t>
  </si>
  <si>
    <t xml:space="preserve">2.5.2-1835.11 </t>
  </si>
  <si>
    <t xml:space="preserve">DIURETICOS; TIPO: MONODROGA, DROGA GENERICA: FUROSEMIDA, FORMA FARMACEUTICA: AMPOLLA, PRESENTACION: 
20 mGr </t>
  </si>
  <si>
    <t xml:space="preserve">DENVER  VTO 30/11/2023 ANMAT 46023 </t>
  </si>
  <si>
    <t xml:space="preserve">Furosemida inyectable ampolla - marca Celtyc </t>
  </si>
  <si>
    <t xml:space="preserve">FUROSEMIDA 20 MG FCO AMP MARCA KLONAL CERT 37783 </t>
  </si>
  <si>
    <t xml:space="preserve">FUROSEMIDA AMP 20 MG X 2 ML CELTYC anmat 59403 
</t>
  </si>
  <si>
    <t xml:space="preserve">FUROSEMIDA AMP 20MG DUNCAN KLONAL 37783 </t>
  </si>
  <si>
    <t xml:space="preserve">marca DRAWER cert 31535 </t>
  </si>
  <si>
    <t xml:space="preserve">FUROSEMIDA 10 MG/ML 2 ML AMP. - CERT. 41263 - 
MARCA: DUNCAN </t>
  </si>
  <si>
    <t xml:space="preserve">FUROSEMIDA DENVER FARMA  CA 46023 Composición  Cada ampolla 
x 2 ml de solución inyectable contiene: Furosemida 20.0 mg 
Presentaciones  Envases conteniendo 100 ampollas x 2 ml.  
</t>
  </si>
  <si>
    <t xml:space="preserve">Furosemida 20mg Ampolla x 2ml PEDIR POR CAJA CERRADA - 
NO FRACCIONAMOS Estéril, Apirogeno, Marca Norgreen  - Env. Convencional 
Aprobado por el M.S. ANMAT - Certificado N° 50443 Presentación: 
Caja x 100 Ampollas  </t>
  </si>
  <si>
    <t xml:space="preserve">38 </t>
  </si>
  <si>
    <t xml:space="preserve">2.5.2-1873.46 </t>
  </si>
  <si>
    <t xml:space="preserve">ANTICOAGULANTES P/PERSONAS; TIPO: MONODROGA, DROGA GENERICA: HEPARINA SODICA 5000 UI 
/ ML, FORMA FARMACEUTICA: AMPOLLA, PRESENTACION: ENVASE X 5 mL 
</t>
  </si>
  <si>
    <t xml:space="preserve">LARJAN  VTO 30/11/2023 ANMAT 52974 </t>
  </si>
  <si>
    <t xml:space="preserve">HEPARINA SODICA 5000UI AMPOLLA MARCA LIA CERT 56029 </t>
  </si>
  <si>
    <t xml:space="preserve">HEPARINA SODICA F/A 5000 UI X 5 ML DUNCAN anmat 
55788 </t>
  </si>
  <si>
    <t xml:space="preserve">HEPARINA SODICA 5000 UI / ML  AMP  FADA 
DUNCAN 55788 </t>
  </si>
  <si>
    <t xml:space="preserve">marca LARJAN cert 55788 </t>
  </si>
  <si>
    <t xml:space="preserve">HEPARINA SODICA 5.000 U/ML 5 ML FCO/AMP. - CERT. 55788 
- MARCA: DUNCAN </t>
  </si>
  <si>
    <t xml:space="preserve">39 </t>
  </si>
  <si>
    <t xml:space="preserve">2.5.2-1835.13 </t>
  </si>
  <si>
    <t xml:space="preserve">DIURETICOS; TIPO: MONODROGA, DROGA GENERICA: HIDROCLOROTIAZIDA, FORMA FARMACEUTICA: COMPRIMIDO, PRESENTACION: 
25 mGr </t>
  </si>
  <si>
    <t xml:space="preserve">HIDROCLOROTIAZIDA 25 MG COMP MARCA KLONAL CERT59194 </t>
  </si>
  <si>
    <t xml:space="preserve">HIDROCLOROTIAZIDA  25MG COMP FABRA 32021 </t>
  </si>
  <si>
    <t xml:space="preserve">40 </t>
  </si>
  <si>
    <t xml:space="preserve">2.5.2-1872.56 </t>
  </si>
  <si>
    <t xml:space="preserve">ANTIANEMICOS; TIPO: MONODROGA, DROGA GENERICA: HIERRO DEXTRAN 50 mGr/ML, FORMA 
FARMACEUTICA: AMPOLLA, PRESENTACION: 2 mL </t>
  </si>
  <si>
    <t xml:space="preserve">RONTAG (YECTAFER)  VTO 31/10/2023 ANMAT 27251 </t>
  </si>
  <si>
    <t xml:space="preserve">HIERRO DEXTRANO 10 MG X  AMP YECTAFER RONTAG T/A 
anmat 27251 </t>
  </si>
  <si>
    <t xml:space="preserve">41 </t>
  </si>
  <si>
    <t xml:space="preserve">2.5.2-1872.62 </t>
  </si>
  <si>
    <t xml:space="preserve">ANTIANÉMICOS; TIPO: ASOCIACIÓN, DROGA GENÉRICA: HIERRO DEX+ÁCIDO FÓLICO+HIDROC, FORMA FARMACEÚTICA: 
AMPOLLA X 2 ML, PRESENTACIÓN: CAJA  X 5 </t>
  </si>
  <si>
    <t xml:space="preserve">RONTAG (YECTAFER COMPLEX)  VTO 31/10/2023 ANMAT 33640 </t>
  </si>
  <si>
    <t xml:space="preserve">42 </t>
  </si>
  <si>
    <t xml:space="preserve">2.5.2-2688.5 </t>
  </si>
  <si>
    <t xml:space="preserve">ESTIMULANTES CENTRALES; TIPO: MONODROGA, FORMA FARMACEUTICA: AMPOLLA, DROGA GENERICA: ISOPROTERENOL, 
PRESENTACION: 5 mL </t>
  </si>
  <si>
    <t xml:space="preserve">PHORONEUS  VTO 30/11/2023 ANMAT 57861 </t>
  </si>
  <si>
    <t xml:space="preserve">ISOPROTERENOL AMP 0.2 MG/ML X 5 ML GRAY anmat 33320 
</t>
  </si>
  <si>
    <t xml:space="preserve">43 </t>
  </si>
  <si>
    <t xml:space="preserve">2.5.2-1839.38 </t>
  </si>
  <si>
    <t xml:space="preserve">VASODILATADORES CORONARIOS; TIPO: MONODROGA, DROGA GENÉRICA: DINITRATO DE ISOSORBIDE 5 
MGR, FORMA FARMACEÚTICA: COMPRIMIDOS SUBLINGUALES, PRESENTACIÓN: ENVASE X 30 UN 
</t>
  </si>
  <si>
    <t xml:space="preserve">ISOSORBIDE 5 MG COMP SUBL MARCA ROEMMERS CERT 37332 </t>
  </si>
  <si>
    <t xml:space="preserve">44 </t>
  </si>
  <si>
    <t xml:space="preserve">2.5.2-1839.40 </t>
  </si>
  <si>
    <t xml:space="preserve">VASODILATADORES CORONARIOS; TIPO: ASOCIACIÓN, DROGA GENÉRICA: ISOSORBIDE MONONITRATO, FORMA FARMACEÚTICA: 
COMPRIMIDO, PRESENTACIÓN: 20 UN., OBSERVACIÓN: 20 MG </t>
  </si>
  <si>
    <t xml:space="preserve">ISOSORBIDE 20 MG COMP ROEMMERS CERT 37332 </t>
  </si>
  <si>
    <t xml:space="preserve">45 </t>
  </si>
  <si>
    <t xml:space="preserve">2.5.2-4817.55 </t>
  </si>
  <si>
    <t xml:space="preserve">ANTIHIPERTENSIVOS; TIPO: MONODROGA, DROGA GENERICA: LABETALOL 200 mGr, FORMA FARMACEUTICA: 
COMPRIMIDO, PRESENTACION: UNIDAD </t>
  </si>
  <si>
    <t xml:space="preserve">RICHET  VTO 30/11/2023 ANMAT 57161 </t>
  </si>
  <si>
    <t xml:space="preserve">LOBETALOL 200 MG COMP MARCA RICHET CERT 57161 </t>
  </si>
  <si>
    <t xml:space="preserve">marca richet CERT 57161 </t>
  </si>
  <si>
    <t xml:space="preserve">marca fabra cert 37057 </t>
  </si>
  <si>
    <t xml:space="preserve">46 </t>
  </si>
  <si>
    <t xml:space="preserve">2.5.2-4817.66 </t>
  </si>
  <si>
    <t xml:space="preserve">ANTIHIPERTENSIVOS; TIPO: MONODROGA, DROGA GENERICA: LABETALOL 20 mGr, FORMA FARMACEUTICA: 
AMPOLLA, PRESENTACION: UNIDAD </t>
  </si>
  <si>
    <t xml:space="preserve">BIOL  VTO 30/11/2023 ANMAT 48609 </t>
  </si>
  <si>
    <t xml:space="preserve">LOBETALOL 20 MG FCO AMP MARCA RICHET CERT 57161 </t>
  </si>
  <si>
    <t xml:space="preserve">LABETALOL 5 MG / ML X  AMPOLLAS BIASCOR BIOL 
anmat 48609 </t>
  </si>
  <si>
    <t xml:space="preserve">LABETALOL  20MG AMP BIOL  48609 </t>
  </si>
  <si>
    <t xml:space="preserve">marca richet cert 57161 </t>
  </si>
  <si>
    <t xml:space="preserve">LABETALOL 5 MG/ML 4 ML AMP. - CERT. 48609 - 
MARCA: BIOL </t>
  </si>
  <si>
    <t xml:space="preserve">MPOLLA  LABETALOL RICHET 5 MG/ML SOLUCION INYECTABLE  CADA 
FRASCO AMPOLLA DE LABETALOL CONTIENE: CLORHIDRATO DE LABETALOL 5 MG 
EN ENVASES HOSPITALARIOS CERTIFICADO NRO. 57161 EXPTE AUTOIZ. MS. Y 
AS DE LA NACION NRO. 1-0047-0000-011901-12-7 DISPOSICION ANMAT NRO. 3275 
CADA AMPOLLA </t>
  </si>
  <si>
    <t xml:space="preserve">47 </t>
  </si>
  <si>
    <t xml:space="preserve">2.5.2-4817.49 </t>
  </si>
  <si>
    <t xml:space="preserve">ANTIHIPERTENSIVOS; TIPO: MONODROGA, DROGA GENERICA: LOSARTAN POTASICO 100 mGr, FORMA 
FARMACEUTICA: COMPRIMIDO, PRESENTACION: UNIDAD </t>
  </si>
  <si>
    <t xml:space="preserve">KLONAL  VTO 30/11/2023 ANMAT 47955 </t>
  </si>
  <si>
    <t xml:space="preserve">Losartan 100 mg. comprimido - Rospaw </t>
  </si>
  <si>
    <t xml:space="preserve">LOSARTAN 100 MG MCOMP MARCA KLONAL CERT 47955 </t>
  </si>
  <si>
    <t xml:space="preserve">LOSARTAN COMP 100 MG TAURO anmat 54822 </t>
  </si>
  <si>
    <t xml:space="preserve">marca rospaw cert 58768 </t>
  </si>
  <si>
    <t xml:space="preserve">48 </t>
  </si>
  <si>
    <t xml:space="preserve">2.5.2-4817.65 </t>
  </si>
  <si>
    <t xml:space="preserve">ANTIHIPERTENSIVOS; TIPO: MONODROGA, DROGA GENERICA: LOSARTAN, FORMA FARMACEUTICA: COMPRIMIDO, PRESENTACION: 
50 mGr </t>
  </si>
  <si>
    <t xml:space="preserve">VANNIER  VTO 30/11/2023 ANMAT 47597 </t>
  </si>
  <si>
    <t xml:space="preserve">Losartan 50 mg. comprimido - Marca Rospaw </t>
  </si>
  <si>
    <t xml:space="preserve">LOSARTAN 50 MG COMP MARCA VANNIER CERT 47597 </t>
  </si>
  <si>
    <t xml:space="preserve">LOSARTAN COMP 50 MG KLONAL anmat 47955 </t>
  </si>
  <si>
    <t xml:space="preserve">LOSARTAN 50MG COMP  KLONAL VANNIER 47955 </t>
  </si>
  <si>
    <t xml:space="preserve">LOSARTAN 50 MG COMP. - CERT. 45365 - MARCA: LAFEDAR 
VTO.12/23 </t>
  </si>
  <si>
    <t xml:space="preserve">49 </t>
  </si>
  <si>
    <t xml:space="preserve">2.5.2-1837.21 </t>
  </si>
  <si>
    <t xml:space="preserve">HIPOTENSORES; TIPO: MONODROGA, DROGA GENERICA: METILDOPA, FORMA FARMACEUTICA: COMPRIMIDO, PRESENTACION: 
500 mGr </t>
  </si>
  <si>
    <t xml:space="preserve">MEGALABS  VTO 30/11/2023 ANMAT 56641 </t>
  </si>
  <si>
    <t xml:space="preserve">METILDOPA 500 MG COMP MARCA FABRA CERT 43362 </t>
  </si>
  <si>
    <t xml:space="preserve">50 </t>
  </si>
  <si>
    <t xml:space="preserve">2.5.2-1838.9 </t>
  </si>
  <si>
    <t xml:space="preserve">INOTROPICOS; TIPO: MONODROGA, DROGA GENERICA: MILRINONA 1MG/ML, FORMA FARMACEUTICA: AMPOLLA, 
PRESENTACION: ENVASE X 10 mL </t>
  </si>
  <si>
    <t xml:space="preserve">RICHET  VTO 30/11/2023 ANMAT 55704 </t>
  </si>
  <si>
    <t xml:space="preserve">marca richet cert 55704 </t>
  </si>
  <si>
    <t xml:space="preserve">FRASCO AMPOLLA DE MILRINONA RICHET 1 MG. CADA FCO AMP.CONTIENE 
1 MG. DE MILRINONA I.V.- EN ENVASES HOSPITALARIOS. CERTIFICADO NRO. 
55704 EXPTE AUTORIZ. M.S.Y A.S. DE LA NACION NRO.1-0047- 0000-014937-09-1 
- DISPOSICION ANMAT NRO. 4294 VENCIMIENTO: 18 MESES CADA FCO 
AMP </t>
  </si>
  <si>
    <t xml:space="preserve">51 </t>
  </si>
  <si>
    <t xml:space="preserve">2.5.2-4817.44 </t>
  </si>
  <si>
    <t xml:space="preserve">ANTIHIPERTENSIVOS; TIPO: MONODROGA, DROGA GENERICA: NIFEDIPINA 30 MG, FORMA FARMACEUTICA: 
COMPRIMIDO, PRESENTACION: UNIDAD </t>
  </si>
  <si>
    <t xml:space="preserve">52 </t>
  </si>
  <si>
    <t xml:space="preserve">2.5.2-1839.18 </t>
  </si>
  <si>
    <t xml:space="preserve">VASODILATADORES CORONARIOS; TIPO: MONODROGA, DROGA GENÉRICA: NITROGLICERINA, FORMA FARMACEÚTICA: AMPOLLA, 
PRESENTACIÓN: 5 MG/ML </t>
  </si>
  <si>
    <t xml:space="preserve">GRAY VTO 30/11/2023 ANMAT 38685 </t>
  </si>
  <si>
    <t xml:space="preserve">NITROGLICERINA AMP 25 MG X 5 ML TRINITROGLICERINA FABRA  
anmat 48869 </t>
  </si>
  <si>
    <t xml:space="preserve">NITROGLICERINA AMP FABRA  NORTHIA 25647 LAB INTERN </t>
  </si>
  <si>
    <t xml:space="preserve">NITROGLICERINA 25 MG 5 ML AMP. - CERT. 48869 - 
MARCA: FABRA </t>
  </si>
  <si>
    <t xml:space="preserve">53 </t>
  </si>
  <si>
    <t xml:space="preserve">2.5.2-1837.20 </t>
  </si>
  <si>
    <t xml:space="preserve">HIPOTENSORES; TIPO: MONODROGA, DROGA GENERICA: NITROPRUSIATO DE SODIO, FORMA FARMACEUTICA: 
AMPOLLA, PRESENTACION: 50 mGr </t>
  </si>
  <si>
    <t xml:space="preserve">RICHET  VTO 30/11/2023 ANMAT 43256 </t>
  </si>
  <si>
    <t xml:space="preserve">NITROPRUSIATO DE SODIO 50 MG F/AMP RICHET anmat 43256 </t>
  </si>
  <si>
    <t xml:space="preserve">NITROPRUSIIATO DE SODIO 50MG AMP FADA 36001 </t>
  </si>
  <si>
    <t xml:space="preserve">FRASCO AMPOLLA NITROPRUSIATO DE SODIO 50 MG CADA AMPOLLA CONTIENE 
NITROPRUSIATO DE SODIO 50 MG INYECTABLE LIOFILIZADO RECONSTITUIDO EN SOLUCION 
GLUCOSA. ENVASES HOSPITALARIOS. CERTIFICADO NRO. 43.256 EXPTE. M.S.P. Y A.S. 
DE LA NACION NRO. 31492/93-0  VENCIMIENTO: 18 MESES. CADA 
FRASCO AMPOLLA </t>
  </si>
  <si>
    <t xml:space="preserve">54 </t>
  </si>
  <si>
    <t xml:space="preserve">2.5.2-1838.7 </t>
  </si>
  <si>
    <t xml:space="preserve">INOTROPICOS; TIPO: MONODROGA, DROGA GENERICA: NORADRENALINA BITARTRATO, FORMA FARMACEUTICA: AMPOLLA, 
PRESENTACION: 4 mL </t>
  </si>
  <si>
    <t xml:space="preserve">PHORONEUS  VTO 30/11/2023 ANMAT 54030 </t>
  </si>
  <si>
    <t xml:space="preserve">Noradrenalina 4 ml amp. - Northia </t>
  </si>
  <si>
    <t xml:space="preserve">NORADRENALINA/NOREPI AMP 4 MG / 4 ML BIOL anmat 47628 
</t>
  </si>
  <si>
    <t xml:space="preserve">NORADRENALINA AMP  BIOL FADA 47628 </t>
  </si>
  <si>
    <t xml:space="preserve">marca richet cert 42396 </t>
  </si>
  <si>
    <t xml:space="preserve">NORADRENALINA 1 MG/ML 4 ML AMP. - CERT. 54030 - 
MARCA: BIOL </t>
  </si>
  <si>
    <t xml:space="preserve">55 </t>
  </si>
  <si>
    <t xml:space="preserve">2.5.2-1837.67 </t>
  </si>
  <si>
    <t xml:space="preserve">HIPOTENSORES; TIPO: MONODROGA, DROGA GENERICA: PROPANOLOL 40 mGr, FORMA FARMACEUTICA: 
COMPRIMIDO, PRESENTACION: UNIDAD </t>
  </si>
  <si>
    <t xml:space="preserve">PROPANOLOL COMP 40 MG GADOR anmat 33045 </t>
  </si>
  <si>
    <t xml:space="preserve">56 </t>
  </si>
  <si>
    <t xml:space="preserve">2.5.2-1837.44 </t>
  </si>
  <si>
    <t xml:space="preserve">HIPOTENSORES; TIPO: MONODROGA, DROGA GENERICA: PROPANOLOL 5 MG, FORMA FARMACEUTICA: 
AMPOLLA, PRESENTACION: 5 mL </t>
  </si>
  <si>
    <t xml:space="preserve">RICHET  VTO 30/11/2023 ANMAT 33407 </t>
  </si>
  <si>
    <t xml:space="preserve">PROPANOLOL AMP RICHET anmat 33407 </t>
  </si>
  <si>
    <t xml:space="preserve">CADA AMPOLLA CONTIENE CLORHIDRATO DE PROPANOLOL 5 MGS  EN 
SOLUCION DE 5 ML. ENVASE HOSPITALARIOS. CERTIFICADO NRO.33407 EXPTE.M.S.P Y 
A.S. DE LA NACION NRO. 516149/86-6 VENCIMIENTO 18 MESES. CADA 
AMPOLLA </t>
  </si>
  <si>
    <t xml:space="preserve">57 </t>
  </si>
  <si>
    <t xml:space="preserve">2.5.2-1851.34 </t>
  </si>
  <si>
    <t xml:space="preserve">GENITOURINARIO; TIPO: MONODROGA, DROGA GENERICA: SILDENAFIL X 50 mGr, FORMA 
FARMACEUTICA: COMPRIMIDO, PRESENTACION: ENVASE X 1 UN </t>
  </si>
  <si>
    <t xml:space="preserve">marca BIOTENK cert 53797 </t>
  </si>
  <si>
    <t xml:space="preserve">58 </t>
  </si>
  <si>
    <t xml:space="preserve">2.5.2-1872.7 </t>
  </si>
  <si>
    <t xml:space="preserve">ANTIANEMICOS; TIPO: MONODROGA, DROGA GENERICA: SULFATO FERROSO, FORMA FARMACEUTICA: SOLUCION, 
PRESENTACION: GOTERO X 20 mL </t>
  </si>
  <si>
    <t xml:space="preserve">KLONAL  VTO 30/11/2023 ANMAT 51421 </t>
  </si>
  <si>
    <t xml:space="preserve">MARCA LABORATORIO NOVARUM PHARMA - ANMAT RNPA 04062801 </t>
  </si>
  <si>
    <t xml:space="preserve">59 </t>
  </si>
  <si>
    <t xml:space="preserve">2.5.2-1872.14 </t>
  </si>
  <si>
    <t xml:space="preserve">ANTIANEMICOS; TIPO: MONODROGA, DROGA GENERICA: SULFATO FERROSO 200 mGr, FORMA 
FARMACEUTICA: COMPRIMIDO, PRESENTACION: SIN VALOR </t>
  </si>
  <si>
    <t xml:space="preserve">LAFEDAR  VTO 30/11/2023 ANMAT 47968 </t>
  </si>
  <si>
    <t xml:space="preserve">HIERRO SULFATO COMP. - CERT.44948 - MARCA: FABRA VTO.02/24 </t>
  </si>
  <si>
    <t xml:space="preserve">MARCA LABORATORIO NOVARUM PHARMA - ANMAT RNPA 04060874 </t>
  </si>
  <si>
    <t xml:space="preserve">60 </t>
  </si>
  <si>
    <t xml:space="preserve">2.5.2-1901.100 </t>
  </si>
  <si>
    <t xml:space="preserve">VITAMINAS; TIPO: MONODROGA, DROGA GENERICA: VITAMINA K, FORMA FARMACEUTICA: AMPOLLA, 
PRESENTACION: 1 mGr </t>
  </si>
  <si>
    <t xml:space="preserve">BIOL  VTO 30/11/2023 ANMAT 16504 </t>
  </si>
  <si>
    <t xml:space="preserve">Vitamina k 1 mg. amp - Biol </t>
  </si>
  <si>
    <t xml:space="preserve">VITAMINA K AMP 1 MG X 0.5 ML BIOL  
</t>
  </si>
  <si>
    <t xml:space="preserve">VITAMINA K 1 AMP  BIOL 16504 </t>
  </si>
  <si>
    <t xml:space="preserve">marca biol cert 46151 </t>
  </si>
  <si>
    <t xml:space="preserve">61 </t>
  </si>
  <si>
    <t xml:space="preserve">2.5.2-1901.39 </t>
  </si>
  <si>
    <t xml:space="preserve">VITAMINAS; TIPO: MONODROGA, DROGA GENERICA: VITAMINA K, FORMA FARMACEUTICA: AMPOLLA, 
PRESENTACION: 10 mGr </t>
  </si>
  <si>
    <t xml:space="preserve">Vitamina k 10 mg amp - Biol </t>
  </si>
  <si>
    <t xml:space="preserve">VITAMINA K AMP 10 MG X 1 ML BIOL  
anmat 16504 </t>
  </si>
  <si>
    <t xml:space="preserve">VITAMINA K 10 AMP BIOL 16504 </t>
  </si>
  <si>
    <t xml:space="preserve">VITAMINA K FITOMENADIONA 10 MG 1ML AMP. - CERT. 16504 
- MARCA: BIOL </t>
  </si>
  <si>
    <t xml:space="preserve">62 </t>
  </si>
  <si>
    <t xml:space="preserve">2.5.2-1872.69 </t>
  </si>
  <si>
    <t xml:space="preserve">ANTIANEMICOS; TIPO: MONODROGA, DROGA GENERICA: HIERRO SACARATO, FORMA FARMACEUTICA: AMPOLLA 
X 100 mGr, PRESENTACION: UNIDAD </t>
  </si>
  <si>
    <t xml:space="preserve">DOMINGUEZ  VTO 30/11/2023 ANMAT 53671 </t>
  </si>
  <si>
    <t xml:space="preserve">HIERRO SACARATO 100 MG/5 ML X AMP FERIVE DOMINGUEZ anmat 
53671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</si>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</sst>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7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7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73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73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73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73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A9:AD73" totalsRowCount="1">
  <tableColumns count="4">
    <tableColumn id="1" xr3:uid="{00000000-0010-0000-0600-000001000000}" name="Precio unitario"/>
    <tableColumn id="2" xr3:uid="{00000000-0010-0000-0600-000002000000}" name="Cantidad ofertada"/>
    <tableColumn id="3" xr3:uid="{00000000-0010-0000-0600-000003000000}" name="Total por renglón" totalsRowFunction="sum"/>
    <tableColumn id="4" xr3:uid="{00000000-0010-0000-0600-000004000000}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E9:AH73" totalsRowCount="1">
  <tableColumns count="4">
    <tableColumn id="1" xr3:uid="{00000000-0010-0000-0700-000001000000}" name="Precio unitario"/>
    <tableColumn id="2" xr3:uid="{00000000-0010-0000-0700-000002000000}" name="Cantidad ofertada"/>
    <tableColumn id="3" xr3:uid="{00000000-0010-0000-0700-000003000000}" name="Total por renglón" totalsRowFunction="sum"/>
    <tableColumn id="4" xr3:uid="{00000000-0010-0000-0700-000004000000}" name="Especificacion técnic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I9:AL73" totalsRowCount="1">
  <tableColumns count="4">
    <tableColumn id="1" xr3:uid="{00000000-0010-0000-0800-000001000000}" name="Precio unitario"/>
    <tableColumn id="2" xr3:uid="{00000000-0010-0000-0800-000002000000}" name="Cantidad ofertada"/>
    <tableColumn id="3" xr3:uid="{00000000-0010-0000-0800-000003000000}" name="Total por renglón" totalsRowFunction="sum"/>
    <tableColumn id="4" xr3:uid="{00000000-0010-0000-0800-000004000000}" name="Especificacion técnic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M9:AP73" totalsRowCount="1">
  <tableColumns count="4">
    <tableColumn id="1" xr3:uid="{00000000-0010-0000-0900-000001000000}" name="Precio unitario"/>
    <tableColumn id="2" xr3:uid="{00000000-0010-0000-0900-000002000000}" name="Cantidad ofertada"/>
    <tableColumn id="3" xr3:uid="{00000000-0010-0000-0900-000003000000}" name="Total por renglón" totalsRowFunction="sum"/>
    <tableColumn id="4" xr3:uid="{00000000-0010-0000-0900-000004000000}" name="Especificacion técnica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Q9:AT73" totalsRowCount="1">
  <tableColumns count="4">
    <tableColumn id="1" xr3:uid="{00000000-0010-0000-0A00-000001000000}" name="Precio unitario"/>
    <tableColumn id="2" xr3:uid="{00000000-0010-0000-0A00-000002000000}" name="Cantidad ofertada"/>
    <tableColumn id="3" xr3:uid="{00000000-0010-0000-0A00-000003000000}" name="Total por renglón" totalsRowFunction="sum"/>
    <tableColumn id="4" xr3:uid="{00000000-0010-0000-0A00-000004000000}" name="Especificacion técnica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U9:AX73" totalsRowCount="1">
  <tableColumns count="4">
    <tableColumn id="1" xr3:uid="{00000000-0010-0000-0B00-000001000000}" name="Precio unitario"/>
    <tableColumn id="2" xr3:uid="{00000000-0010-0000-0B00-000002000000}" name="Cantidad ofertada"/>
    <tableColumn id="3" xr3:uid="{00000000-0010-0000-0B00-000003000000}" name="Total por renglón" totalsRowFunction="sum"/>
    <tableColumn id="4" xr3:uid="{00000000-0010-0000-0B00-000004000000}" name="Especificacion técnica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Y9:BB73" totalsRowCount="1">
  <tableColumns count="4">
    <tableColumn id="1" xr3:uid="{00000000-0010-0000-0C00-000001000000}" name="Precio unitario"/>
    <tableColumn id="2" xr3:uid="{00000000-0010-0000-0C00-000002000000}" name="Cantidad ofertada"/>
    <tableColumn id="3" xr3:uid="{00000000-0010-0000-0C00-000003000000}" name="Total por renglón" totalsRowFunction="sum"/>
    <tableColumn id="4" xr3:uid="{00000000-0010-0000-0C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22.85546875" customWidth="1"/>
    <col min="5" max="5" width="107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6.42578125" customWidth="1"/>
    <col min="11" max="11" width="14.28515625" customWidth="1"/>
    <col min="12" max="12" width="17.28515625" customWidth="1"/>
    <col min="13" max="13" width="16.5703125" customWidth="1"/>
    <col min="14" max="14" width="52.28515625" customWidth="1"/>
    <col min="15" max="15" width="14.28515625" customWidth="1"/>
    <col min="16" max="16" width="17.28515625" customWidth="1"/>
    <col min="17" max="17" width="16.5703125" customWidth="1"/>
    <col min="18" max="18" width="64.140625" customWidth="1"/>
    <col min="19" max="19" width="14.28515625" customWidth="1"/>
    <col min="20" max="20" width="17.28515625" customWidth="1"/>
    <col min="21" max="21" width="16.5703125" customWidth="1"/>
    <col min="22" max="22" width="68.42578125" customWidth="1"/>
    <col min="23" max="23" width="14.28515625" customWidth="1"/>
    <col min="24" max="24" width="17.28515625" customWidth="1"/>
    <col min="25" max="25" width="16.5703125" customWidth="1"/>
    <col min="26" max="26" width="68.5703125" customWidth="1"/>
    <col min="27" max="27" width="14.28515625" customWidth="1"/>
    <col min="28" max="28" width="17.28515625" customWidth="1"/>
    <col min="29" max="29" width="16.5703125" customWidth="1"/>
    <col min="30" max="30" width="63.42578125" customWidth="1"/>
    <col min="31" max="31" width="14.28515625" customWidth="1"/>
    <col min="32" max="32" width="17.28515625" customWidth="1"/>
    <col min="33" max="33" width="16.5703125" customWidth="1"/>
    <col min="34" max="34" width="59.140625" customWidth="1"/>
    <col min="35" max="35" width="14.28515625" customWidth="1"/>
    <col min="36" max="36" width="17.28515625" customWidth="1"/>
    <col min="37" max="37" width="16.5703125" customWidth="1"/>
    <col min="38" max="38" width="23.5703125" customWidth="1"/>
    <col min="39" max="39" width="14.28515625" customWidth="1"/>
    <col min="40" max="40" width="17.28515625" customWidth="1"/>
    <col min="41" max="41" width="16.5703125" customWidth="1"/>
    <col min="42" max="42" width="101.140625" customWidth="1"/>
    <col min="43" max="43" width="14.28515625" customWidth="1"/>
    <col min="44" max="44" width="17.28515625" customWidth="1"/>
    <col min="45" max="45" width="16.5703125" customWidth="1"/>
    <col min="46" max="46" width="66.28515625" customWidth="1"/>
    <col min="47" max="47" width="14.28515625" customWidth="1"/>
    <col min="48" max="48" width="17.28515625" customWidth="1"/>
    <col min="49" max="49" width="16.5703125" customWidth="1"/>
    <col min="50" max="50" width="67.42578125" customWidth="1"/>
    <col min="51" max="51" width="14.28515625" customWidth="1"/>
    <col min="52" max="52" width="17.28515625" customWidth="1"/>
    <col min="53" max="53" width="16.5703125" customWidth="1"/>
    <col min="54" max="54" width="61.7109375" customWidth="1"/>
  </cols>
  <sheetData>
    <row r="1" spans="1:54" x14ac:dyDescent="0.25">
      <c r="D1" s="2" t="s">
        <v>0</v>
      </c>
      <c r="E1" s="2" t="s">
        <v>1</v>
      </c>
    </row>
    <row r="2" spans="1:54" x14ac:dyDescent="0.25">
      <c r="D2" s="2" t="s">
        <v>2</v>
      </c>
      <c r="E2" s="2" t="s">
        <v>3</v>
      </c>
    </row>
    <row r="3" spans="1:54" x14ac:dyDescent="0.25">
      <c r="D3" s="2" t="s">
        <v>4</v>
      </c>
      <c r="E3" s="2" t="s">
        <v>5</v>
      </c>
    </row>
    <row r="4" spans="1:54" x14ac:dyDescent="0.25">
      <c r="D4" s="2" t="s">
        <v>6</v>
      </c>
      <c r="E4" s="2" t="s">
        <v>7</v>
      </c>
    </row>
    <row r="5" spans="1:54" x14ac:dyDescent="0.25">
      <c r="D5" s="2" t="s">
        <v>8</v>
      </c>
      <c r="E5" s="2" t="s">
        <v>9</v>
      </c>
    </row>
    <row r="8" spans="1:5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  <c r="AI8" s="1" t="s">
        <v>18</v>
      </c>
      <c r="AJ8" s="1"/>
      <c r="AK8" s="1"/>
      <c r="AL8" s="1"/>
      <c r="AM8" s="1" t="s">
        <v>19</v>
      </c>
      <c r="AN8" s="1"/>
      <c r="AO8" s="1"/>
      <c r="AP8" s="1"/>
      <c r="AQ8" s="1" t="s">
        <v>20</v>
      </c>
      <c r="AR8" s="1"/>
      <c r="AS8" s="1"/>
      <c r="AT8" s="1"/>
      <c r="AU8" s="1" t="s">
        <v>21</v>
      </c>
      <c r="AV8" s="1"/>
      <c r="AW8" s="1"/>
      <c r="AX8" s="1"/>
      <c r="AY8" s="1" t="s">
        <v>22</v>
      </c>
      <c r="AZ8" s="1"/>
      <c r="BA8" s="1"/>
      <c r="BB8" s="1"/>
    </row>
    <row r="9" spans="1:54" x14ac:dyDescent="0.25">
      <c r="A9" t="s">
        <v>10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s="3" t="s">
        <v>28</v>
      </c>
      <c r="H9" s="3" t="s">
        <v>29</v>
      </c>
      <c r="I9" t="s">
        <v>30</v>
      </c>
      <c r="J9" t="s">
        <v>31</v>
      </c>
      <c r="K9" s="3" t="s">
        <v>28</v>
      </c>
      <c r="L9" s="3" t="s">
        <v>29</v>
      </c>
      <c r="M9" t="s">
        <v>30</v>
      </c>
      <c r="N9" t="s">
        <v>31</v>
      </c>
      <c r="O9" s="3" t="s">
        <v>28</v>
      </c>
      <c r="P9" s="3" t="s">
        <v>29</v>
      </c>
      <c r="Q9" t="s">
        <v>30</v>
      </c>
      <c r="R9" t="s">
        <v>31</v>
      </c>
      <c r="S9" s="3" t="s">
        <v>28</v>
      </c>
      <c r="T9" s="3" t="s">
        <v>29</v>
      </c>
      <c r="U9" t="s">
        <v>30</v>
      </c>
      <c r="V9" t="s">
        <v>31</v>
      </c>
      <c r="W9" s="3" t="s">
        <v>28</v>
      </c>
      <c r="X9" s="3" t="s">
        <v>29</v>
      </c>
      <c r="Y9" t="s">
        <v>30</v>
      </c>
      <c r="Z9" t="s">
        <v>31</v>
      </c>
      <c r="AA9" s="3" t="s">
        <v>28</v>
      </c>
      <c r="AB9" s="3" t="s">
        <v>29</v>
      </c>
      <c r="AC9" t="s">
        <v>30</v>
      </c>
      <c r="AD9" t="s">
        <v>31</v>
      </c>
      <c r="AE9" s="3" t="s">
        <v>28</v>
      </c>
      <c r="AF9" s="3" t="s">
        <v>29</v>
      </c>
      <c r="AG9" t="s">
        <v>30</v>
      </c>
      <c r="AH9" t="s">
        <v>31</v>
      </c>
      <c r="AI9" s="3" t="s">
        <v>28</v>
      </c>
      <c r="AJ9" s="3" t="s">
        <v>29</v>
      </c>
      <c r="AK9" t="s">
        <v>30</v>
      </c>
      <c r="AL9" t="s">
        <v>31</v>
      </c>
      <c r="AM9" s="3" t="s">
        <v>28</v>
      </c>
      <c r="AN9" s="3" t="s">
        <v>29</v>
      </c>
      <c r="AO9" t="s">
        <v>30</v>
      </c>
      <c r="AP9" t="s">
        <v>31</v>
      </c>
      <c r="AQ9" s="3" t="s">
        <v>28</v>
      </c>
      <c r="AR9" s="3" t="s">
        <v>29</v>
      </c>
      <c r="AS9" t="s">
        <v>30</v>
      </c>
      <c r="AT9" t="s">
        <v>31</v>
      </c>
      <c r="AU9" s="3" t="s">
        <v>28</v>
      </c>
      <c r="AV9" s="3" t="s">
        <v>29</v>
      </c>
      <c r="AW9" t="s">
        <v>30</v>
      </c>
      <c r="AX9" t="s">
        <v>31</v>
      </c>
      <c r="AY9" s="3" t="s">
        <v>28</v>
      </c>
      <c r="AZ9" s="3" t="s">
        <v>29</v>
      </c>
      <c r="BA9" t="s">
        <v>30</v>
      </c>
      <c r="BB9" t="s">
        <v>31</v>
      </c>
    </row>
    <row r="10" spans="1:54" ht="30" x14ac:dyDescent="0.25">
      <c r="A10" t="s">
        <v>32</v>
      </c>
      <c r="B10" t="s">
        <v>32</v>
      </c>
      <c r="C10" t="s">
        <v>33</v>
      </c>
      <c r="D10" s="4" t="s">
        <v>34</v>
      </c>
      <c r="E10">
        <v>700</v>
      </c>
      <c r="F10" t="s">
        <v>35</v>
      </c>
      <c r="G10" s="3">
        <v>13.25</v>
      </c>
      <c r="H10" s="3">
        <v>700</v>
      </c>
      <c r="I10" s="5">
        <v>9275</v>
      </c>
      <c r="J10" t="s">
        <v>36</v>
      </c>
      <c r="K10" s="3">
        <v>26.35</v>
      </c>
      <c r="L10" s="3">
        <v>700</v>
      </c>
      <c r="M10" s="5">
        <v>18445</v>
      </c>
      <c r="N10" t="s">
        <v>37</v>
      </c>
      <c r="O10" s="3">
        <v>55.53</v>
      </c>
      <c r="P10" s="3">
        <v>700</v>
      </c>
      <c r="Q10" s="5">
        <v>38871</v>
      </c>
      <c r="R10" t="s">
        <v>38</v>
      </c>
      <c r="S10" s="3"/>
      <c r="T10" s="3"/>
      <c r="U10" s="5"/>
      <c r="W10" s="3"/>
      <c r="X10" s="3"/>
      <c r="Y10" s="5"/>
      <c r="AA10" s="3"/>
      <c r="AB10" s="3"/>
      <c r="AC10" s="5"/>
      <c r="AE10" s="3"/>
      <c r="AF10" s="3"/>
      <c r="AG10" s="5"/>
      <c r="AI10" s="3"/>
      <c r="AJ10" s="3"/>
      <c r="AK10" s="5"/>
      <c r="AM10" s="3"/>
      <c r="AN10" s="3"/>
      <c r="AO10" s="5"/>
      <c r="AQ10" s="3"/>
      <c r="AR10" s="3"/>
      <c r="AS10" s="5"/>
      <c r="AU10" s="3"/>
      <c r="AV10" s="3"/>
      <c r="AW10" s="5"/>
      <c r="AY10" s="3"/>
      <c r="AZ10" s="3"/>
      <c r="BA10" s="5"/>
    </row>
    <row r="11" spans="1:54" ht="30" x14ac:dyDescent="0.25">
      <c r="A11" t="s">
        <v>39</v>
      </c>
      <c r="B11" t="s">
        <v>32</v>
      </c>
      <c r="C11" t="s">
        <v>40</v>
      </c>
      <c r="D11" s="4" t="s">
        <v>41</v>
      </c>
      <c r="E11">
        <v>150</v>
      </c>
      <c r="F11" t="s">
        <v>35</v>
      </c>
      <c r="G11" s="3">
        <v>398</v>
      </c>
      <c r="H11" s="3">
        <v>150</v>
      </c>
      <c r="I11" s="5">
        <v>59700</v>
      </c>
      <c r="J11" t="s">
        <v>42</v>
      </c>
      <c r="K11" s="3"/>
      <c r="L11" s="3"/>
      <c r="M11" s="5"/>
      <c r="O11" s="3"/>
      <c r="P11" s="3"/>
      <c r="Q11" s="5"/>
      <c r="S11" s="3">
        <v>184.89</v>
      </c>
      <c r="T11" s="3">
        <v>150</v>
      </c>
      <c r="U11" s="5">
        <v>27733.5</v>
      </c>
      <c r="V11" t="s">
        <v>43</v>
      </c>
      <c r="W11" s="3">
        <v>414</v>
      </c>
      <c r="X11" s="3">
        <v>150</v>
      </c>
      <c r="Y11" s="5">
        <v>62100</v>
      </c>
      <c r="Z11" s="4" t="s">
        <v>44</v>
      </c>
      <c r="AA11" s="3">
        <v>149</v>
      </c>
      <c r="AB11" s="3">
        <v>150</v>
      </c>
      <c r="AC11" s="5">
        <v>22350</v>
      </c>
      <c r="AD11" t="s">
        <v>45</v>
      </c>
      <c r="AE11" s="3"/>
      <c r="AF11" s="3"/>
      <c r="AG11" s="5"/>
      <c r="AI11" s="3"/>
      <c r="AJ11" s="3"/>
      <c r="AK11" s="5"/>
      <c r="AM11" s="3"/>
      <c r="AN11" s="3"/>
      <c r="AO11" s="5"/>
      <c r="AQ11" s="3"/>
      <c r="AR11" s="3"/>
      <c r="AS11" s="5"/>
      <c r="AU11" s="3"/>
      <c r="AV11" s="3"/>
      <c r="AW11" s="5"/>
      <c r="AY11" s="3"/>
      <c r="AZ11" s="3"/>
      <c r="BA11" s="5"/>
    </row>
    <row r="12" spans="1:54" ht="30" x14ac:dyDescent="0.25">
      <c r="A12" t="s">
        <v>46</v>
      </c>
      <c r="B12" t="s">
        <v>32</v>
      </c>
      <c r="C12" t="s">
        <v>47</v>
      </c>
      <c r="D12" s="4" t="s">
        <v>48</v>
      </c>
      <c r="E12">
        <v>90</v>
      </c>
      <c r="F12" t="s">
        <v>35</v>
      </c>
      <c r="G12" s="3">
        <v>298</v>
      </c>
      <c r="H12" s="3">
        <v>90</v>
      </c>
      <c r="I12" s="5">
        <v>26820</v>
      </c>
      <c r="J12" s="4" t="s">
        <v>49</v>
      </c>
      <c r="K12" s="3"/>
      <c r="L12" s="3"/>
      <c r="M12" s="5"/>
      <c r="O12" s="3"/>
      <c r="P12" s="3"/>
      <c r="Q12" s="5"/>
      <c r="S12" s="3"/>
      <c r="T12" s="3"/>
      <c r="U12" s="5"/>
      <c r="W12" s="3"/>
      <c r="X12" s="3"/>
      <c r="Y12" s="5"/>
      <c r="AA12" s="3">
        <v>205</v>
      </c>
      <c r="AB12" s="3">
        <v>90</v>
      </c>
      <c r="AC12" s="5">
        <v>18450</v>
      </c>
      <c r="AD12" t="s">
        <v>50</v>
      </c>
      <c r="AE12" s="3"/>
      <c r="AF12" s="3"/>
      <c r="AG12" s="5"/>
      <c r="AI12" s="3"/>
      <c r="AJ12" s="3"/>
      <c r="AK12" s="5"/>
      <c r="AM12" s="3"/>
      <c r="AN12" s="3"/>
      <c r="AO12" s="5"/>
      <c r="AQ12" s="3"/>
      <c r="AR12" s="3"/>
      <c r="AS12" s="5"/>
      <c r="AU12" s="3"/>
      <c r="AV12" s="3"/>
      <c r="AW12" s="5"/>
      <c r="AY12" s="3"/>
      <c r="AZ12" s="3"/>
      <c r="BA12" s="5"/>
    </row>
    <row r="13" spans="1:54" ht="30" x14ac:dyDescent="0.25">
      <c r="A13" t="s">
        <v>51</v>
      </c>
      <c r="B13" t="s">
        <v>32</v>
      </c>
      <c r="C13" t="s">
        <v>52</v>
      </c>
      <c r="D13" s="4" t="s">
        <v>53</v>
      </c>
      <c r="E13">
        <v>9400</v>
      </c>
      <c r="F13" t="s">
        <v>35</v>
      </c>
      <c r="G13" s="3">
        <v>5.6</v>
      </c>
      <c r="H13" s="3">
        <v>9400</v>
      </c>
      <c r="I13" s="5">
        <v>52640</v>
      </c>
      <c r="J13" t="s">
        <v>54</v>
      </c>
      <c r="K13" s="3"/>
      <c r="L13" s="3"/>
      <c r="M13" s="5"/>
      <c r="O13" s="3">
        <v>4.7</v>
      </c>
      <c r="P13" s="3">
        <v>9400</v>
      </c>
      <c r="Q13" s="5">
        <v>44180</v>
      </c>
      <c r="R13" t="s">
        <v>55</v>
      </c>
      <c r="S13" s="3">
        <v>5.59</v>
      </c>
      <c r="T13" s="3">
        <v>9400</v>
      </c>
      <c r="U13" s="5">
        <v>52546</v>
      </c>
      <c r="V13" t="s">
        <v>56</v>
      </c>
      <c r="W13" s="3">
        <v>5.52</v>
      </c>
      <c r="X13" s="3">
        <v>9400</v>
      </c>
      <c r="Y13" s="5">
        <v>51888</v>
      </c>
      <c r="Z13" t="s">
        <v>57</v>
      </c>
      <c r="AA13" s="3"/>
      <c r="AB13" s="3"/>
      <c r="AC13" s="5"/>
      <c r="AE13" s="3"/>
      <c r="AF13" s="3"/>
      <c r="AG13" s="5"/>
      <c r="AI13" s="3"/>
      <c r="AJ13" s="3"/>
      <c r="AK13" s="5"/>
      <c r="AM13" s="3"/>
      <c r="AN13" s="3"/>
      <c r="AO13" s="5"/>
      <c r="AQ13" s="3"/>
      <c r="AR13" s="3"/>
      <c r="AS13" s="5"/>
      <c r="AU13" s="3"/>
      <c r="AV13" s="3"/>
      <c r="AW13" s="5"/>
      <c r="AY13" s="3"/>
      <c r="AZ13" s="3"/>
      <c r="BA13" s="5"/>
    </row>
    <row r="14" spans="1:54" ht="30" x14ac:dyDescent="0.25">
      <c r="A14" t="s">
        <v>58</v>
      </c>
      <c r="B14" t="s">
        <v>32</v>
      </c>
      <c r="C14" t="s">
        <v>59</v>
      </c>
      <c r="D14" s="4" t="s">
        <v>60</v>
      </c>
      <c r="E14">
        <v>180</v>
      </c>
      <c r="F14" t="s">
        <v>35</v>
      </c>
      <c r="G14" s="3">
        <v>3875</v>
      </c>
      <c r="H14" s="3">
        <v>180</v>
      </c>
      <c r="I14" s="5">
        <v>697500</v>
      </c>
      <c r="J14" t="s">
        <v>61</v>
      </c>
      <c r="K14" s="3"/>
      <c r="L14" s="3"/>
      <c r="M14" s="5"/>
      <c r="O14" s="3">
        <v>1807.5</v>
      </c>
      <c r="P14" s="3">
        <v>180</v>
      </c>
      <c r="Q14" s="5">
        <v>325350</v>
      </c>
      <c r="R14" t="s">
        <v>62</v>
      </c>
      <c r="S14" s="3">
        <v>2054</v>
      </c>
      <c r="T14" s="3">
        <v>180</v>
      </c>
      <c r="U14" s="5">
        <v>369720</v>
      </c>
      <c r="V14" s="4" t="s">
        <v>63</v>
      </c>
      <c r="W14" s="3"/>
      <c r="X14" s="3"/>
      <c r="Y14" s="5"/>
      <c r="AA14" s="3"/>
      <c r="AB14" s="3"/>
      <c r="AC14" s="5"/>
      <c r="AE14" s="3"/>
      <c r="AF14" s="3"/>
      <c r="AG14" s="5"/>
      <c r="AI14" s="3"/>
      <c r="AJ14" s="3"/>
      <c r="AK14" s="5"/>
      <c r="AM14" s="3"/>
      <c r="AN14" s="3"/>
      <c r="AO14" s="5"/>
      <c r="AQ14" s="3"/>
      <c r="AR14" s="3"/>
      <c r="AS14" s="5"/>
      <c r="AU14" s="3"/>
      <c r="AV14" s="3"/>
      <c r="AW14" s="5"/>
      <c r="AY14" s="3"/>
      <c r="AZ14" s="3"/>
      <c r="BA14" s="5"/>
    </row>
    <row r="15" spans="1:54" ht="45" x14ac:dyDescent="0.25">
      <c r="A15" t="s">
        <v>64</v>
      </c>
      <c r="B15" t="s">
        <v>32</v>
      </c>
      <c r="C15" t="s">
        <v>65</v>
      </c>
      <c r="D15" s="4" t="s">
        <v>66</v>
      </c>
      <c r="E15">
        <v>1</v>
      </c>
      <c r="F15" t="s">
        <v>35</v>
      </c>
      <c r="G15" s="3"/>
      <c r="H15" s="3"/>
      <c r="I15" s="5"/>
      <c r="K15" s="3"/>
      <c r="L15" s="3"/>
      <c r="M15" s="5"/>
      <c r="O15" s="3">
        <v>520030</v>
      </c>
      <c r="P15" s="3">
        <v>1</v>
      </c>
      <c r="Q15" s="5">
        <v>520030</v>
      </c>
      <c r="R15" t="s">
        <v>67</v>
      </c>
      <c r="S15" s="3">
        <v>498134</v>
      </c>
      <c r="T15" s="3">
        <v>1</v>
      </c>
      <c r="U15" s="5">
        <v>498134</v>
      </c>
      <c r="V15" t="s">
        <v>68</v>
      </c>
      <c r="W15" s="3">
        <v>538272</v>
      </c>
      <c r="X15" s="3">
        <v>1</v>
      </c>
      <c r="Y15" s="5">
        <v>538272</v>
      </c>
      <c r="Z15" s="4" t="s">
        <v>69</v>
      </c>
      <c r="AA15" s="3">
        <v>409947</v>
      </c>
      <c r="AB15" s="3">
        <v>1</v>
      </c>
      <c r="AC15" s="5">
        <v>409947</v>
      </c>
      <c r="AD15" t="s">
        <v>70</v>
      </c>
      <c r="AE15" s="3"/>
      <c r="AF15" s="3"/>
      <c r="AG15" s="5"/>
      <c r="AI15" s="3"/>
      <c r="AJ15" s="3"/>
      <c r="AK15" s="5"/>
      <c r="AM15" s="3"/>
      <c r="AN15" s="3"/>
      <c r="AO15" s="5"/>
      <c r="AQ15" s="3"/>
      <c r="AR15" s="3"/>
      <c r="AS15" s="5"/>
      <c r="AU15" s="3"/>
      <c r="AV15" s="3"/>
      <c r="AW15" s="5"/>
      <c r="AY15" s="3"/>
      <c r="AZ15" s="3"/>
      <c r="BA15" s="5"/>
    </row>
    <row r="16" spans="1:54" ht="30" x14ac:dyDescent="0.25">
      <c r="A16" t="s">
        <v>71</v>
      </c>
      <c r="B16" t="s">
        <v>32</v>
      </c>
      <c r="C16" t="s">
        <v>72</v>
      </c>
      <c r="D16" s="4" t="s">
        <v>73</v>
      </c>
      <c r="E16">
        <v>330</v>
      </c>
      <c r="F16" t="s">
        <v>35</v>
      </c>
      <c r="G16" s="3">
        <v>198.5</v>
      </c>
      <c r="H16" s="3">
        <v>330</v>
      </c>
      <c r="I16" s="5">
        <v>65505</v>
      </c>
      <c r="J16" t="s">
        <v>74</v>
      </c>
      <c r="K16" s="3"/>
      <c r="L16" s="3"/>
      <c r="M16" s="5"/>
      <c r="O16" s="3">
        <v>241.5</v>
      </c>
      <c r="P16" s="3">
        <v>330</v>
      </c>
      <c r="Q16" s="5">
        <v>79695</v>
      </c>
      <c r="R16" t="s">
        <v>75</v>
      </c>
      <c r="S16" s="3">
        <v>115.58</v>
      </c>
      <c r="T16" s="3">
        <v>330</v>
      </c>
      <c r="U16" s="5">
        <v>38141.4</v>
      </c>
      <c r="V16" t="s">
        <v>76</v>
      </c>
      <c r="W16" s="3">
        <v>202.8</v>
      </c>
      <c r="X16" s="3">
        <v>330</v>
      </c>
      <c r="Y16" s="5">
        <v>66924</v>
      </c>
      <c r="Z16" t="s">
        <v>77</v>
      </c>
      <c r="AA16" s="3"/>
      <c r="AB16" s="3"/>
      <c r="AC16" s="5"/>
      <c r="AE16" s="3">
        <v>177.87</v>
      </c>
      <c r="AF16" s="3">
        <v>330</v>
      </c>
      <c r="AG16" s="5">
        <v>58697.1</v>
      </c>
      <c r="AH16" s="4" t="s">
        <v>78</v>
      </c>
      <c r="AI16" s="3"/>
      <c r="AJ16" s="3"/>
      <c r="AK16" s="5"/>
      <c r="AM16" s="3"/>
      <c r="AN16" s="3"/>
      <c r="AO16" s="5"/>
      <c r="AQ16" s="3"/>
      <c r="AR16" s="3"/>
      <c r="AS16" s="5"/>
      <c r="AU16" s="3"/>
      <c r="AV16" s="3"/>
      <c r="AW16" s="5"/>
      <c r="AY16" s="3"/>
      <c r="AZ16" s="3"/>
      <c r="BA16" s="5"/>
    </row>
    <row r="17" spans="1:53" ht="45" x14ac:dyDescent="0.25">
      <c r="A17" t="s">
        <v>79</v>
      </c>
      <c r="B17" t="s">
        <v>32</v>
      </c>
      <c r="C17" t="s">
        <v>80</v>
      </c>
      <c r="D17" s="4" t="s">
        <v>81</v>
      </c>
      <c r="E17">
        <v>5500</v>
      </c>
      <c r="F17" t="s">
        <v>35</v>
      </c>
      <c r="G17" s="3">
        <v>42.5</v>
      </c>
      <c r="H17" s="3">
        <v>5500</v>
      </c>
      <c r="I17" s="5">
        <v>233750</v>
      </c>
      <c r="J17" t="s">
        <v>82</v>
      </c>
      <c r="K17" s="3"/>
      <c r="L17" s="3"/>
      <c r="M17" s="5"/>
      <c r="O17" s="3">
        <v>54.5</v>
      </c>
      <c r="P17" s="3">
        <v>5500</v>
      </c>
      <c r="Q17" s="5">
        <v>299750</v>
      </c>
      <c r="R17" s="4" t="s">
        <v>83</v>
      </c>
      <c r="S17" s="3">
        <v>37.99</v>
      </c>
      <c r="T17" s="3">
        <v>5500</v>
      </c>
      <c r="U17" s="5">
        <v>208945</v>
      </c>
      <c r="V17" t="s">
        <v>84</v>
      </c>
      <c r="W17" s="3">
        <v>55.2</v>
      </c>
      <c r="X17" s="3">
        <v>5500</v>
      </c>
      <c r="Y17" s="5">
        <v>303600</v>
      </c>
      <c r="Z17" t="s">
        <v>85</v>
      </c>
      <c r="AA17" s="3">
        <v>32</v>
      </c>
      <c r="AB17" s="3">
        <v>5500</v>
      </c>
      <c r="AC17" s="5">
        <v>176000</v>
      </c>
      <c r="AD17" t="s">
        <v>86</v>
      </c>
      <c r="AE17" s="3">
        <v>43.12</v>
      </c>
      <c r="AF17" s="3">
        <v>5500</v>
      </c>
      <c r="AG17" s="5">
        <v>237160</v>
      </c>
      <c r="AH17" s="4" t="s">
        <v>87</v>
      </c>
      <c r="AI17" s="3">
        <v>61.9</v>
      </c>
      <c r="AJ17" s="3">
        <v>5500</v>
      </c>
      <c r="AK17" s="5">
        <v>340450</v>
      </c>
      <c r="AL17" t="s">
        <v>88</v>
      </c>
      <c r="AM17" s="3"/>
      <c r="AN17" s="3"/>
      <c r="AO17" s="5"/>
      <c r="AQ17" s="3"/>
      <c r="AR17" s="3"/>
      <c r="AS17" s="5"/>
      <c r="AU17" s="3"/>
      <c r="AV17" s="3"/>
      <c r="AW17" s="5"/>
      <c r="AY17" s="3"/>
      <c r="AZ17" s="3"/>
      <c r="BA17" s="5"/>
    </row>
    <row r="18" spans="1:53" ht="90" x14ac:dyDescent="0.25">
      <c r="A18" t="s">
        <v>89</v>
      </c>
      <c r="B18" t="s">
        <v>32</v>
      </c>
      <c r="C18" t="s">
        <v>90</v>
      </c>
      <c r="D18" s="4" t="s">
        <v>91</v>
      </c>
      <c r="E18">
        <v>39</v>
      </c>
      <c r="F18" t="s">
        <v>35</v>
      </c>
      <c r="G18" s="3">
        <v>2129.65</v>
      </c>
      <c r="H18" s="3">
        <v>39</v>
      </c>
      <c r="I18" s="5">
        <v>83056.350000000006</v>
      </c>
      <c r="J18" t="s">
        <v>92</v>
      </c>
      <c r="K18" s="3"/>
      <c r="L18" s="3"/>
      <c r="M18" s="5"/>
      <c r="O18" s="3"/>
      <c r="P18" s="3"/>
      <c r="Q18" s="5"/>
      <c r="S18" s="3">
        <v>1566.37</v>
      </c>
      <c r="T18" s="3">
        <v>39</v>
      </c>
      <c r="U18" s="5">
        <v>61088.43</v>
      </c>
      <c r="V18" s="4" t="s">
        <v>93</v>
      </c>
      <c r="W18" s="3">
        <v>2376</v>
      </c>
      <c r="X18" s="3">
        <v>39</v>
      </c>
      <c r="Y18" s="5">
        <v>92664</v>
      </c>
      <c r="Z18" t="s">
        <v>94</v>
      </c>
      <c r="AA18" s="3">
        <v>1490</v>
      </c>
      <c r="AB18" s="3">
        <v>39</v>
      </c>
      <c r="AC18" s="5">
        <v>58110</v>
      </c>
      <c r="AD18" t="s">
        <v>95</v>
      </c>
      <c r="AE18" s="3"/>
      <c r="AF18" s="3"/>
      <c r="AG18" s="5"/>
      <c r="AI18" s="3"/>
      <c r="AJ18" s="3"/>
      <c r="AK18" s="5"/>
      <c r="AM18" s="3">
        <v>1450</v>
      </c>
      <c r="AN18" s="3">
        <v>39</v>
      </c>
      <c r="AO18" s="5">
        <v>56550</v>
      </c>
      <c r="AP18" s="4" t="s">
        <v>96</v>
      </c>
      <c r="AQ18" s="3"/>
      <c r="AR18" s="3"/>
      <c r="AS18" s="5"/>
      <c r="AU18" s="3"/>
      <c r="AV18" s="3"/>
      <c r="AW18" s="5"/>
      <c r="AY18" s="3"/>
      <c r="AZ18" s="3"/>
      <c r="BA18" s="5"/>
    </row>
    <row r="19" spans="1:53" ht="30" x14ac:dyDescent="0.25">
      <c r="A19" t="s">
        <v>97</v>
      </c>
      <c r="B19" t="s">
        <v>32</v>
      </c>
      <c r="C19" t="s">
        <v>98</v>
      </c>
      <c r="D19" s="4" t="s">
        <v>99</v>
      </c>
      <c r="E19">
        <v>1900</v>
      </c>
      <c r="F19" t="s">
        <v>35</v>
      </c>
      <c r="G19" s="3">
        <v>325</v>
      </c>
      <c r="H19" s="3">
        <v>1900</v>
      </c>
      <c r="I19" s="5">
        <v>617500</v>
      </c>
      <c r="J19" t="s">
        <v>100</v>
      </c>
      <c r="K19" s="3"/>
      <c r="L19" s="3"/>
      <c r="M19" s="5"/>
      <c r="O19" s="3">
        <v>217</v>
      </c>
      <c r="P19" s="3">
        <v>1900</v>
      </c>
      <c r="Q19" s="5">
        <v>412300</v>
      </c>
      <c r="R19" t="s">
        <v>101</v>
      </c>
      <c r="S19" s="3"/>
      <c r="T19" s="3"/>
      <c r="U19" s="5"/>
      <c r="W19" s="3">
        <v>201.6</v>
      </c>
      <c r="X19" s="3">
        <v>1900</v>
      </c>
      <c r="Y19" s="5">
        <v>383040</v>
      </c>
      <c r="Z19" t="s">
        <v>102</v>
      </c>
      <c r="AA19" s="3"/>
      <c r="AB19" s="3"/>
      <c r="AC19" s="5"/>
      <c r="AE19" s="3">
        <v>169.4</v>
      </c>
      <c r="AF19" s="3">
        <v>1900</v>
      </c>
      <c r="AG19" s="5">
        <v>321860</v>
      </c>
      <c r="AH19" s="4" t="s">
        <v>103</v>
      </c>
      <c r="AI19" s="3"/>
      <c r="AJ19" s="3"/>
      <c r="AK19" s="5"/>
      <c r="AM19" s="3"/>
      <c r="AN19" s="3"/>
      <c r="AO19" s="5"/>
      <c r="AQ19" s="3"/>
      <c r="AR19" s="3"/>
      <c r="AS19" s="5"/>
      <c r="AU19" s="3"/>
      <c r="AV19" s="3"/>
      <c r="AW19" s="5"/>
      <c r="AY19" s="3"/>
      <c r="AZ19" s="3"/>
      <c r="BA19" s="5"/>
    </row>
    <row r="20" spans="1:53" ht="30" x14ac:dyDescent="0.25">
      <c r="A20" t="s">
        <v>104</v>
      </c>
      <c r="B20" t="s">
        <v>32</v>
      </c>
      <c r="C20" t="s">
        <v>105</v>
      </c>
      <c r="D20" s="4" t="s">
        <v>106</v>
      </c>
      <c r="E20">
        <v>2300</v>
      </c>
      <c r="F20" t="s">
        <v>35</v>
      </c>
      <c r="G20" s="3"/>
      <c r="H20" s="3"/>
      <c r="I20" s="5"/>
      <c r="K20" s="3"/>
      <c r="L20" s="3"/>
      <c r="M20" s="5"/>
      <c r="O20" s="3">
        <v>40.5</v>
      </c>
      <c r="P20" s="3">
        <v>2300</v>
      </c>
      <c r="Q20" s="5">
        <v>93150</v>
      </c>
      <c r="R20" t="s">
        <v>107</v>
      </c>
      <c r="S20" s="3">
        <v>19.739999999999998</v>
      </c>
      <c r="T20" s="3">
        <v>2300</v>
      </c>
      <c r="U20" s="5">
        <v>45402</v>
      </c>
      <c r="V20" t="s">
        <v>108</v>
      </c>
      <c r="W20" s="3"/>
      <c r="X20" s="3"/>
      <c r="Y20" s="5"/>
      <c r="AA20" s="3"/>
      <c r="AB20" s="3"/>
      <c r="AC20" s="5"/>
      <c r="AE20" s="3"/>
      <c r="AF20" s="3"/>
      <c r="AG20" s="5"/>
      <c r="AI20" s="3"/>
      <c r="AJ20" s="3"/>
      <c r="AK20" s="5"/>
      <c r="AM20" s="3"/>
      <c r="AN20" s="3"/>
      <c r="AO20" s="5"/>
      <c r="AQ20" s="3"/>
      <c r="AR20" s="3"/>
      <c r="AS20" s="5"/>
      <c r="AU20" s="3"/>
      <c r="AV20" s="3"/>
      <c r="AW20" s="5"/>
      <c r="AY20" s="3"/>
      <c r="AZ20" s="3"/>
      <c r="BA20" s="5"/>
    </row>
    <row r="21" spans="1:53" ht="30" x14ac:dyDescent="0.25">
      <c r="A21" t="s">
        <v>109</v>
      </c>
      <c r="B21" t="s">
        <v>32</v>
      </c>
      <c r="C21" t="s">
        <v>110</v>
      </c>
      <c r="D21" s="4" t="s">
        <v>111</v>
      </c>
      <c r="E21">
        <v>5000</v>
      </c>
      <c r="F21" t="s">
        <v>35</v>
      </c>
      <c r="G21" s="3">
        <v>4.95</v>
      </c>
      <c r="H21" s="3">
        <v>5000</v>
      </c>
      <c r="I21" s="5">
        <v>24750</v>
      </c>
      <c r="J21" t="s">
        <v>112</v>
      </c>
      <c r="K21" s="3">
        <v>15.55</v>
      </c>
      <c r="L21" s="3">
        <v>5000</v>
      </c>
      <c r="M21" s="5">
        <v>77750</v>
      </c>
      <c r="N21" t="s">
        <v>113</v>
      </c>
      <c r="O21" s="3">
        <v>5.3</v>
      </c>
      <c r="P21" s="3">
        <v>5000</v>
      </c>
      <c r="Q21" s="5">
        <v>26500</v>
      </c>
      <c r="R21" t="s">
        <v>114</v>
      </c>
      <c r="S21" s="3">
        <v>3.58</v>
      </c>
      <c r="T21" s="3">
        <v>5000</v>
      </c>
      <c r="U21" s="5">
        <v>17900</v>
      </c>
      <c r="V21" t="s">
        <v>115</v>
      </c>
      <c r="W21" s="3">
        <v>5.88</v>
      </c>
      <c r="X21" s="3">
        <v>5000</v>
      </c>
      <c r="Y21" s="5">
        <v>29400</v>
      </c>
      <c r="Z21" t="s">
        <v>116</v>
      </c>
      <c r="AA21" s="3">
        <v>4.51</v>
      </c>
      <c r="AB21" s="3">
        <v>5000</v>
      </c>
      <c r="AC21" s="5">
        <v>22550</v>
      </c>
      <c r="AD21" t="s">
        <v>117</v>
      </c>
      <c r="AE21" s="3"/>
      <c r="AF21" s="3"/>
      <c r="AG21" s="5"/>
      <c r="AI21" s="3"/>
      <c r="AJ21" s="3"/>
      <c r="AK21" s="5"/>
      <c r="AM21" s="3"/>
      <c r="AN21" s="3"/>
      <c r="AO21" s="5"/>
      <c r="AQ21" s="3"/>
      <c r="AR21" s="3"/>
      <c r="AS21" s="5"/>
      <c r="AU21" s="3"/>
      <c r="AV21" s="3"/>
      <c r="AW21" s="5"/>
      <c r="AY21" s="3"/>
      <c r="AZ21" s="3"/>
      <c r="BA21" s="5"/>
    </row>
    <row r="22" spans="1:53" ht="30" x14ac:dyDescent="0.25">
      <c r="A22" t="s">
        <v>118</v>
      </c>
      <c r="B22" t="s">
        <v>32</v>
      </c>
      <c r="C22" t="s">
        <v>119</v>
      </c>
      <c r="D22" s="4" t="s">
        <v>120</v>
      </c>
      <c r="E22">
        <v>900</v>
      </c>
      <c r="F22" t="s">
        <v>35</v>
      </c>
      <c r="G22" s="3">
        <v>4.25</v>
      </c>
      <c r="H22" s="3">
        <v>900</v>
      </c>
      <c r="I22" s="5">
        <v>3825</v>
      </c>
      <c r="J22" t="s">
        <v>112</v>
      </c>
      <c r="K22" s="3"/>
      <c r="L22" s="3"/>
      <c r="M22" s="5"/>
      <c r="O22" s="3">
        <v>4.45</v>
      </c>
      <c r="P22" s="3">
        <v>900</v>
      </c>
      <c r="Q22" s="5">
        <v>4005</v>
      </c>
      <c r="R22" t="s">
        <v>121</v>
      </c>
      <c r="S22" s="3"/>
      <c r="T22" s="3"/>
      <c r="U22" s="5"/>
      <c r="W22" s="3">
        <v>4.74</v>
      </c>
      <c r="X22" s="3">
        <v>900</v>
      </c>
      <c r="Y22" s="5">
        <v>4266</v>
      </c>
      <c r="Z22" t="s">
        <v>122</v>
      </c>
      <c r="AA22" s="3"/>
      <c r="AB22" s="3"/>
      <c r="AC22" s="5"/>
      <c r="AE22" s="3"/>
      <c r="AF22" s="3"/>
      <c r="AG22" s="5"/>
      <c r="AI22" s="3"/>
      <c r="AJ22" s="3"/>
      <c r="AK22" s="5"/>
      <c r="AM22" s="3"/>
      <c r="AN22" s="3"/>
      <c r="AO22" s="5"/>
      <c r="AQ22" s="3"/>
      <c r="AR22" s="3"/>
      <c r="AS22" s="5"/>
      <c r="AU22" s="3"/>
      <c r="AV22" s="3"/>
      <c r="AW22" s="5"/>
      <c r="AY22" s="3"/>
      <c r="AZ22" s="3"/>
      <c r="BA22" s="5"/>
    </row>
    <row r="23" spans="1:53" ht="30" x14ac:dyDescent="0.25">
      <c r="A23" t="s">
        <v>123</v>
      </c>
      <c r="B23" t="s">
        <v>32</v>
      </c>
      <c r="C23" t="s">
        <v>124</v>
      </c>
      <c r="D23" s="4" t="s">
        <v>125</v>
      </c>
      <c r="E23">
        <v>200</v>
      </c>
      <c r="F23" t="s">
        <v>35</v>
      </c>
      <c r="G23" s="3"/>
      <c r="H23" s="3"/>
      <c r="I23" s="5"/>
      <c r="K23" s="3"/>
      <c r="L23" s="3"/>
      <c r="M23" s="5"/>
      <c r="O23" s="3">
        <v>2.5499999999999998</v>
      </c>
      <c r="P23" s="3">
        <v>200</v>
      </c>
      <c r="Q23" s="5">
        <v>510</v>
      </c>
      <c r="R23" t="s">
        <v>126</v>
      </c>
      <c r="S23" s="3"/>
      <c r="T23" s="3"/>
      <c r="U23" s="5"/>
      <c r="W23" s="3"/>
      <c r="X23" s="3"/>
      <c r="Y23" s="5"/>
      <c r="AA23" s="3"/>
      <c r="AB23" s="3"/>
      <c r="AC23" s="5"/>
      <c r="AE23" s="3"/>
      <c r="AF23" s="3"/>
      <c r="AG23" s="5"/>
      <c r="AI23" s="3"/>
      <c r="AJ23" s="3"/>
      <c r="AK23" s="5"/>
      <c r="AM23" s="3"/>
      <c r="AN23" s="3"/>
      <c r="AO23" s="5"/>
      <c r="AQ23" s="3"/>
      <c r="AR23" s="3"/>
      <c r="AS23" s="5"/>
      <c r="AU23" s="3"/>
      <c r="AV23" s="3"/>
      <c r="AW23" s="5"/>
      <c r="AY23" s="3"/>
      <c r="AZ23" s="3"/>
      <c r="BA23" s="5"/>
    </row>
    <row r="24" spans="1:53" ht="30" x14ac:dyDescent="0.25">
      <c r="A24" t="s">
        <v>127</v>
      </c>
      <c r="B24" t="s">
        <v>32</v>
      </c>
      <c r="C24" t="s">
        <v>128</v>
      </c>
      <c r="D24" s="4" t="s">
        <v>129</v>
      </c>
      <c r="E24">
        <v>4500</v>
      </c>
      <c r="F24" t="s">
        <v>35</v>
      </c>
      <c r="G24" s="3">
        <v>5.6</v>
      </c>
      <c r="H24" s="3">
        <v>4500</v>
      </c>
      <c r="I24" s="5">
        <v>25200</v>
      </c>
      <c r="J24" t="s">
        <v>130</v>
      </c>
      <c r="K24" s="3"/>
      <c r="L24" s="3"/>
      <c r="M24" s="5"/>
      <c r="O24" s="3">
        <v>23.4</v>
      </c>
      <c r="P24" s="3">
        <v>4500</v>
      </c>
      <c r="Q24" s="5">
        <v>105300</v>
      </c>
      <c r="R24" t="s">
        <v>131</v>
      </c>
      <c r="S24" s="3">
        <v>3.72</v>
      </c>
      <c r="T24" s="3">
        <v>4500</v>
      </c>
      <c r="U24" s="5">
        <v>16740</v>
      </c>
      <c r="V24" t="s">
        <v>132</v>
      </c>
      <c r="W24" s="3">
        <v>5.94</v>
      </c>
      <c r="X24" s="3">
        <v>4500</v>
      </c>
      <c r="Y24" s="5">
        <v>26730</v>
      </c>
      <c r="Z24" t="s">
        <v>133</v>
      </c>
      <c r="AA24" s="3">
        <v>4.08</v>
      </c>
      <c r="AB24" s="3">
        <v>4500</v>
      </c>
      <c r="AC24" s="5">
        <v>18360</v>
      </c>
      <c r="AD24" t="s">
        <v>134</v>
      </c>
      <c r="AE24" s="3"/>
      <c r="AF24" s="3"/>
      <c r="AG24" s="5"/>
      <c r="AI24" s="3"/>
      <c r="AJ24" s="3"/>
      <c r="AK24" s="5"/>
      <c r="AM24" s="3"/>
      <c r="AN24" s="3"/>
      <c r="AO24" s="5"/>
      <c r="AQ24" s="3"/>
      <c r="AR24" s="3"/>
      <c r="AS24" s="5"/>
      <c r="AU24" s="3"/>
      <c r="AV24" s="3"/>
      <c r="AW24" s="5"/>
      <c r="AY24" s="3"/>
      <c r="AZ24" s="3"/>
      <c r="BA24" s="5"/>
    </row>
    <row r="25" spans="1:53" ht="30" x14ac:dyDescent="0.25">
      <c r="A25" t="s">
        <v>135</v>
      </c>
      <c r="B25" t="s">
        <v>32</v>
      </c>
      <c r="C25" t="s">
        <v>136</v>
      </c>
      <c r="D25" s="4" t="s">
        <v>137</v>
      </c>
      <c r="E25">
        <v>950</v>
      </c>
      <c r="F25" t="s">
        <v>35</v>
      </c>
      <c r="G25" s="3"/>
      <c r="H25" s="3"/>
      <c r="I25" s="5"/>
      <c r="K25" s="3"/>
      <c r="L25" s="3"/>
      <c r="M25" s="5"/>
      <c r="O25" s="3">
        <v>23.8</v>
      </c>
      <c r="P25" s="3">
        <v>950</v>
      </c>
      <c r="Q25" s="5">
        <v>22610</v>
      </c>
      <c r="R25" t="s">
        <v>138</v>
      </c>
      <c r="S25" s="3">
        <v>14.65</v>
      </c>
      <c r="T25" s="3">
        <v>950</v>
      </c>
      <c r="U25" s="5">
        <v>13917.5</v>
      </c>
      <c r="V25" s="4" t="s">
        <v>139</v>
      </c>
      <c r="W25" s="3"/>
      <c r="X25" s="3"/>
      <c r="Y25" s="5"/>
      <c r="AA25" s="3"/>
      <c r="AB25" s="3"/>
      <c r="AC25" s="5"/>
      <c r="AE25" s="3"/>
      <c r="AF25" s="3"/>
      <c r="AG25" s="5"/>
      <c r="AI25" s="3"/>
      <c r="AJ25" s="3"/>
      <c r="AK25" s="5"/>
      <c r="AM25" s="3"/>
      <c r="AN25" s="3"/>
      <c r="AO25" s="5"/>
      <c r="AQ25" s="3"/>
      <c r="AR25" s="3"/>
      <c r="AS25" s="5"/>
      <c r="AU25" s="3"/>
      <c r="AV25" s="3"/>
      <c r="AW25" s="5"/>
      <c r="AY25" s="3"/>
      <c r="AZ25" s="3"/>
      <c r="BA25" s="5"/>
    </row>
    <row r="26" spans="1:53" ht="30" x14ac:dyDescent="0.25">
      <c r="A26" t="s">
        <v>140</v>
      </c>
      <c r="B26" t="s">
        <v>32</v>
      </c>
      <c r="C26" t="s">
        <v>141</v>
      </c>
      <c r="D26" s="4" t="s">
        <v>142</v>
      </c>
      <c r="E26">
        <v>17000</v>
      </c>
      <c r="F26" t="s">
        <v>35</v>
      </c>
      <c r="G26" s="3">
        <v>6.95</v>
      </c>
      <c r="H26" s="3">
        <v>17000</v>
      </c>
      <c r="I26" s="5">
        <v>118150</v>
      </c>
      <c r="J26" t="s">
        <v>143</v>
      </c>
      <c r="K26" s="3">
        <v>11.86</v>
      </c>
      <c r="L26" s="3">
        <v>17000</v>
      </c>
      <c r="M26" s="5">
        <v>201620</v>
      </c>
      <c r="N26" t="s">
        <v>144</v>
      </c>
      <c r="O26" s="3">
        <v>8.5</v>
      </c>
      <c r="P26" s="3">
        <v>17000</v>
      </c>
      <c r="Q26" s="5">
        <v>144500</v>
      </c>
      <c r="R26" t="s">
        <v>145</v>
      </c>
      <c r="S26" s="3">
        <v>5.27</v>
      </c>
      <c r="T26" s="3">
        <v>17000</v>
      </c>
      <c r="U26" s="5">
        <v>89590</v>
      </c>
      <c r="V26" t="s">
        <v>146</v>
      </c>
      <c r="W26" s="3">
        <v>9.48</v>
      </c>
      <c r="X26" s="3">
        <v>17000</v>
      </c>
      <c r="Y26" s="5">
        <v>161160</v>
      </c>
      <c r="Z26" t="s">
        <v>147</v>
      </c>
      <c r="AA26" s="3">
        <v>4.9000000000000004</v>
      </c>
      <c r="AB26" s="3">
        <v>17000</v>
      </c>
      <c r="AC26" s="5">
        <v>83300</v>
      </c>
      <c r="AD26" t="s">
        <v>148</v>
      </c>
      <c r="AE26" s="3"/>
      <c r="AF26" s="3"/>
      <c r="AG26" s="5"/>
      <c r="AI26" s="3"/>
      <c r="AJ26" s="3"/>
      <c r="AK26" s="5"/>
      <c r="AM26" s="3"/>
      <c r="AN26" s="3"/>
      <c r="AO26" s="5"/>
      <c r="AQ26" s="3"/>
      <c r="AR26" s="3"/>
      <c r="AS26" s="5"/>
      <c r="AU26" s="3"/>
      <c r="AV26" s="3"/>
      <c r="AW26" s="5"/>
      <c r="AY26" s="3"/>
      <c r="AZ26" s="3"/>
      <c r="BA26" s="5"/>
    </row>
    <row r="27" spans="1:53" ht="30" x14ac:dyDescent="0.25">
      <c r="A27" t="s">
        <v>149</v>
      </c>
      <c r="B27" t="s">
        <v>32</v>
      </c>
      <c r="C27" t="s">
        <v>150</v>
      </c>
      <c r="D27" s="4" t="s">
        <v>151</v>
      </c>
      <c r="E27">
        <v>10100</v>
      </c>
      <c r="F27" t="s">
        <v>35</v>
      </c>
      <c r="G27" s="3">
        <v>8.4499999999999993</v>
      </c>
      <c r="H27" s="3">
        <v>10100</v>
      </c>
      <c r="I27" s="5">
        <v>85345</v>
      </c>
      <c r="J27" t="s">
        <v>143</v>
      </c>
      <c r="K27" s="3">
        <v>14.33</v>
      </c>
      <c r="L27" s="3">
        <v>10100</v>
      </c>
      <c r="M27" s="5">
        <v>144733</v>
      </c>
      <c r="N27" t="s">
        <v>152</v>
      </c>
      <c r="O27" s="3">
        <v>10.5</v>
      </c>
      <c r="P27" s="3">
        <v>10100</v>
      </c>
      <c r="Q27" s="5">
        <v>106050</v>
      </c>
      <c r="R27" t="s">
        <v>153</v>
      </c>
      <c r="S27" s="3">
        <v>6.64</v>
      </c>
      <c r="T27" s="3">
        <v>10100</v>
      </c>
      <c r="U27" s="5">
        <v>67064</v>
      </c>
      <c r="V27" t="s">
        <v>154</v>
      </c>
      <c r="W27" s="3">
        <v>11.52</v>
      </c>
      <c r="X27" s="3">
        <v>10100</v>
      </c>
      <c r="Y27" s="5">
        <v>116352</v>
      </c>
      <c r="Z27" t="s">
        <v>155</v>
      </c>
      <c r="AA27" s="3">
        <v>6.04</v>
      </c>
      <c r="AB27" s="3">
        <v>10100</v>
      </c>
      <c r="AC27" s="5">
        <v>61004</v>
      </c>
      <c r="AD27" t="s">
        <v>156</v>
      </c>
      <c r="AE27" s="3"/>
      <c r="AF27" s="3"/>
      <c r="AG27" s="5"/>
      <c r="AI27" s="3"/>
      <c r="AJ27" s="3"/>
      <c r="AK27" s="5"/>
      <c r="AM27" s="3"/>
      <c r="AN27" s="3"/>
      <c r="AO27" s="5"/>
      <c r="AQ27" s="3"/>
      <c r="AR27" s="3"/>
      <c r="AS27" s="5"/>
      <c r="AU27" s="3"/>
      <c r="AV27" s="3"/>
      <c r="AW27" s="5"/>
      <c r="AY27" s="3"/>
      <c r="AZ27" s="3"/>
      <c r="BA27" s="5"/>
    </row>
    <row r="28" spans="1:53" ht="30" x14ac:dyDescent="0.25">
      <c r="A28" t="s">
        <v>157</v>
      </c>
      <c r="B28" t="s">
        <v>32</v>
      </c>
      <c r="C28" t="s">
        <v>158</v>
      </c>
      <c r="D28" s="4" t="s">
        <v>159</v>
      </c>
      <c r="E28">
        <v>30000</v>
      </c>
      <c r="F28" t="s">
        <v>35</v>
      </c>
      <c r="G28" s="3">
        <v>5.6</v>
      </c>
      <c r="H28" s="3">
        <v>30000</v>
      </c>
      <c r="I28" s="5">
        <v>168000</v>
      </c>
      <c r="J28" t="s">
        <v>143</v>
      </c>
      <c r="K28" s="3">
        <v>9.15</v>
      </c>
      <c r="L28" s="3">
        <v>30000</v>
      </c>
      <c r="M28" s="5">
        <v>274500</v>
      </c>
      <c r="N28" t="s">
        <v>160</v>
      </c>
      <c r="O28" s="3">
        <v>6.95</v>
      </c>
      <c r="P28" s="3">
        <v>30000</v>
      </c>
      <c r="Q28" s="5">
        <v>208500</v>
      </c>
      <c r="R28" t="s">
        <v>161</v>
      </c>
      <c r="S28" s="3">
        <v>4.34</v>
      </c>
      <c r="T28" s="3">
        <v>30000</v>
      </c>
      <c r="U28" s="5">
        <v>130200</v>
      </c>
      <c r="V28" t="s">
        <v>162</v>
      </c>
      <c r="W28" s="3">
        <v>8.2799999999999994</v>
      </c>
      <c r="X28" s="3">
        <v>30000</v>
      </c>
      <c r="Y28" s="5">
        <v>248400</v>
      </c>
      <c r="Z28" t="s">
        <v>163</v>
      </c>
      <c r="AA28" s="3">
        <v>4.04</v>
      </c>
      <c r="AB28" s="3">
        <v>30000</v>
      </c>
      <c r="AC28" s="5">
        <v>121200</v>
      </c>
      <c r="AD28" t="s">
        <v>148</v>
      </c>
      <c r="AE28" s="3"/>
      <c r="AF28" s="3"/>
      <c r="AG28" s="5"/>
      <c r="AI28" s="3"/>
      <c r="AJ28" s="3"/>
      <c r="AK28" s="5"/>
      <c r="AM28" s="3"/>
      <c r="AN28" s="3"/>
      <c r="AO28" s="5"/>
      <c r="AQ28" s="3"/>
      <c r="AR28" s="3"/>
      <c r="AS28" s="5"/>
      <c r="AU28" s="3"/>
      <c r="AV28" s="3"/>
      <c r="AW28" s="5"/>
      <c r="AY28" s="3"/>
      <c r="AZ28" s="3"/>
      <c r="BA28" s="5"/>
    </row>
    <row r="29" spans="1:53" ht="30" x14ac:dyDescent="0.25">
      <c r="A29" t="s">
        <v>164</v>
      </c>
      <c r="B29" t="s">
        <v>32</v>
      </c>
      <c r="C29" t="s">
        <v>165</v>
      </c>
      <c r="D29" s="4" t="s">
        <v>166</v>
      </c>
      <c r="E29">
        <v>1900</v>
      </c>
      <c r="F29" t="s">
        <v>35</v>
      </c>
      <c r="G29" s="3">
        <v>15.6</v>
      </c>
      <c r="H29" s="3">
        <v>1900</v>
      </c>
      <c r="I29" s="5">
        <v>29640</v>
      </c>
      <c r="J29" t="s">
        <v>167</v>
      </c>
      <c r="K29" s="3">
        <v>32.659999999999997</v>
      </c>
      <c r="L29" s="3">
        <v>1900</v>
      </c>
      <c r="M29" s="5">
        <v>62054</v>
      </c>
      <c r="N29" t="s">
        <v>168</v>
      </c>
      <c r="O29" s="3">
        <v>80.8</v>
      </c>
      <c r="P29" s="3">
        <v>1900</v>
      </c>
      <c r="Q29" s="5">
        <v>153520</v>
      </c>
      <c r="R29" t="s">
        <v>169</v>
      </c>
      <c r="S29" s="3">
        <v>10.72</v>
      </c>
      <c r="T29" s="3">
        <v>1900</v>
      </c>
      <c r="U29" s="5">
        <v>20368</v>
      </c>
      <c r="V29" t="s">
        <v>170</v>
      </c>
      <c r="W29" s="3">
        <v>18.96</v>
      </c>
      <c r="X29" s="3">
        <v>1900</v>
      </c>
      <c r="Y29" s="5">
        <v>36024</v>
      </c>
      <c r="Z29" t="s">
        <v>171</v>
      </c>
      <c r="AA29" s="3"/>
      <c r="AB29" s="3"/>
      <c r="AC29" s="5"/>
      <c r="AE29" s="3"/>
      <c r="AF29" s="3"/>
      <c r="AG29" s="5"/>
      <c r="AI29" s="3"/>
      <c r="AJ29" s="3"/>
      <c r="AK29" s="5"/>
      <c r="AM29" s="3"/>
      <c r="AN29" s="3"/>
      <c r="AO29" s="5"/>
      <c r="AQ29" s="3"/>
      <c r="AR29" s="3"/>
      <c r="AS29" s="5"/>
      <c r="AU29" s="3"/>
      <c r="AV29" s="3"/>
      <c r="AW29" s="5"/>
      <c r="AY29" s="3"/>
      <c r="AZ29" s="3"/>
      <c r="BA29" s="5"/>
    </row>
    <row r="30" spans="1:53" ht="30" x14ac:dyDescent="0.25">
      <c r="A30" t="s">
        <v>172</v>
      </c>
      <c r="B30" t="s">
        <v>32</v>
      </c>
      <c r="C30" t="s">
        <v>173</v>
      </c>
      <c r="D30" s="4" t="s">
        <v>174</v>
      </c>
      <c r="E30">
        <v>800</v>
      </c>
      <c r="F30" t="s">
        <v>35</v>
      </c>
      <c r="G30" s="3"/>
      <c r="H30" s="3"/>
      <c r="I30" s="5"/>
      <c r="K30" s="3"/>
      <c r="L30" s="3"/>
      <c r="M30" s="5"/>
      <c r="O30" s="3"/>
      <c r="P30" s="3"/>
      <c r="Q30" s="5"/>
      <c r="S30" s="3"/>
      <c r="T30" s="3"/>
      <c r="U30" s="5"/>
      <c r="W30" s="3"/>
      <c r="X30" s="3"/>
      <c r="Y30" s="5"/>
      <c r="AA30" s="3"/>
      <c r="AB30" s="3"/>
      <c r="AC30" s="5"/>
      <c r="AE30" s="3"/>
      <c r="AF30" s="3"/>
      <c r="AG30" s="5"/>
      <c r="AI30" s="3"/>
      <c r="AJ30" s="3"/>
      <c r="AK30" s="5"/>
      <c r="AM30" s="3"/>
      <c r="AN30" s="3"/>
      <c r="AO30" s="5"/>
      <c r="AQ30" s="3"/>
      <c r="AR30" s="3"/>
      <c r="AS30" s="5"/>
      <c r="AU30" s="3"/>
      <c r="AV30" s="3"/>
      <c r="AW30" s="5"/>
      <c r="AY30" s="3"/>
      <c r="AZ30" s="3"/>
      <c r="BA30" s="5"/>
    </row>
    <row r="31" spans="1:53" ht="30" x14ac:dyDescent="0.25">
      <c r="A31" t="s">
        <v>175</v>
      </c>
      <c r="B31" t="s">
        <v>32</v>
      </c>
      <c r="C31" t="s">
        <v>176</v>
      </c>
      <c r="D31" s="4" t="s">
        <v>177</v>
      </c>
      <c r="E31">
        <v>1450</v>
      </c>
      <c r="F31" t="s">
        <v>35</v>
      </c>
      <c r="G31" s="3">
        <v>59.8</v>
      </c>
      <c r="H31" s="3">
        <v>1450</v>
      </c>
      <c r="I31" s="5">
        <v>86710</v>
      </c>
      <c r="J31" t="s">
        <v>178</v>
      </c>
      <c r="K31" s="3"/>
      <c r="L31" s="3"/>
      <c r="M31" s="5"/>
      <c r="O31" s="3"/>
      <c r="P31" s="3"/>
      <c r="Q31" s="5"/>
      <c r="S31" s="3">
        <v>42.85</v>
      </c>
      <c r="T31" s="3">
        <v>1450</v>
      </c>
      <c r="U31" s="5">
        <v>62132.5</v>
      </c>
      <c r="V31" t="s">
        <v>179</v>
      </c>
      <c r="W31" s="3">
        <v>59.76</v>
      </c>
      <c r="X31" s="3">
        <v>1450</v>
      </c>
      <c r="Y31" s="5">
        <v>86652</v>
      </c>
      <c r="Z31" s="4" t="s">
        <v>180</v>
      </c>
      <c r="AA31" s="3"/>
      <c r="AB31" s="3"/>
      <c r="AC31" s="5"/>
      <c r="AE31" s="3">
        <v>57.44</v>
      </c>
      <c r="AF31" s="3">
        <v>1450</v>
      </c>
      <c r="AG31" s="5">
        <v>83288</v>
      </c>
      <c r="AH31" s="4" t="s">
        <v>181</v>
      </c>
      <c r="AI31" s="3"/>
      <c r="AJ31" s="3"/>
      <c r="AK31" s="5"/>
      <c r="AM31" s="3"/>
      <c r="AN31" s="3"/>
      <c r="AO31" s="5"/>
      <c r="AQ31" s="3"/>
      <c r="AR31" s="3"/>
      <c r="AS31" s="5"/>
      <c r="AU31" s="3"/>
      <c r="AV31" s="3"/>
      <c r="AW31" s="5"/>
      <c r="AY31" s="3"/>
      <c r="AZ31" s="3"/>
      <c r="BA31" s="5"/>
    </row>
    <row r="32" spans="1:53" ht="30" x14ac:dyDescent="0.25">
      <c r="A32" t="s">
        <v>182</v>
      </c>
      <c r="B32" t="s">
        <v>32</v>
      </c>
      <c r="C32" t="s">
        <v>183</v>
      </c>
      <c r="D32" s="4" t="s">
        <v>184</v>
      </c>
      <c r="E32">
        <v>1150</v>
      </c>
      <c r="F32" t="s">
        <v>35</v>
      </c>
      <c r="G32" s="3"/>
      <c r="H32" s="3"/>
      <c r="I32" s="5"/>
      <c r="K32" s="3"/>
      <c r="L32" s="3"/>
      <c r="M32" s="5"/>
      <c r="O32" s="3"/>
      <c r="P32" s="3"/>
      <c r="Q32" s="5"/>
      <c r="S32" s="3">
        <v>29.8</v>
      </c>
      <c r="T32" s="3">
        <v>1150</v>
      </c>
      <c r="U32" s="5">
        <v>34270</v>
      </c>
      <c r="V32" s="4" t="s">
        <v>185</v>
      </c>
      <c r="W32" s="3"/>
      <c r="X32" s="3"/>
      <c r="Y32" s="5"/>
      <c r="AA32" s="3"/>
      <c r="AB32" s="3"/>
      <c r="AC32" s="5"/>
      <c r="AE32" s="3"/>
      <c r="AF32" s="3"/>
      <c r="AG32" s="5"/>
      <c r="AI32" s="3"/>
      <c r="AJ32" s="3"/>
      <c r="AK32" s="5"/>
      <c r="AM32" s="3"/>
      <c r="AN32" s="3"/>
      <c r="AO32" s="5"/>
      <c r="AQ32" s="3"/>
      <c r="AR32" s="3"/>
      <c r="AS32" s="5"/>
      <c r="AU32" s="3"/>
      <c r="AV32" s="3"/>
      <c r="AW32" s="5"/>
      <c r="AY32" s="3"/>
      <c r="AZ32" s="3"/>
      <c r="BA32" s="5"/>
    </row>
    <row r="33" spans="1:53" ht="30" x14ac:dyDescent="0.25">
      <c r="A33" t="s">
        <v>186</v>
      </c>
      <c r="B33" t="s">
        <v>32</v>
      </c>
      <c r="C33" t="s">
        <v>187</v>
      </c>
      <c r="D33" s="4" t="s">
        <v>188</v>
      </c>
      <c r="E33">
        <v>3180</v>
      </c>
      <c r="F33" t="s">
        <v>35</v>
      </c>
      <c r="G33" s="3"/>
      <c r="H33" s="3"/>
      <c r="I33" s="5"/>
      <c r="K33" s="3"/>
      <c r="L33" s="3"/>
      <c r="M33" s="5"/>
      <c r="O33" s="3"/>
      <c r="P33" s="3"/>
      <c r="Q33" s="5"/>
      <c r="S33" s="3"/>
      <c r="T33" s="3"/>
      <c r="U33" s="5"/>
      <c r="W33" s="3"/>
      <c r="X33" s="3"/>
      <c r="Y33" s="5"/>
      <c r="AA33" s="3"/>
      <c r="AB33" s="3"/>
      <c r="AC33" s="5"/>
      <c r="AE33" s="3"/>
      <c r="AF33" s="3"/>
      <c r="AG33" s="5"/>
      <c r="AI33" s="3"/>
      <c r="AJ33" s="3"/>
      <c r="AK33" s="5"/>
      <c r="AM33" s="3"/>
      <c r="AN33" s="3"/>
      <c r="AO33" s="5"/>
      <c r="AQ33" s="3"/>
      <c r="AR33" s="3"/>
      <c r="AS33" s="5"/>
      <c r="AU33" s="3"/>
      <c r="AV33" s="3"/>
      <c r="AW33" s="5"/>
      <c r="AY33" s="3"/>
      <c r="AZ33" s="3"/>
      <c r="BA33" s="5"/>
    </row>
    <row r="34" spans="1:53" ht="75" x14ac:dyDescent="0.25">
      <c r="A34" t="s">
        <v>189</v>
      </c>
      <c r="B34" t="s">
        <v>32</v>
      </c>
      <c r="C34" t="s">
        <v>190</v>
      </c>
      <c r="D34" s="4" t="s">
        <v>191</v>
      </c>
      <c r="E34">
        <v>200</v>
      </c>
      <c r="F34" t="s">
        <v>35</v>
      </c>
      <c r="G34" s="3">
        <v>690</v>
      </c>
      <c r="H34" s="3">
        <v>200</v>
      </c>
      <c r="I34" s="5">
        <v>138000</v>
      </c>
      <c r="J34" t="s">
        <v>192</v>
      </c>
      <c r="K34" s="3"/>
      <c r="L34" s="3"/>
      <c r="M34" s="5"/>
      <c r="O34" s="3">
        <v>783</v>
      </c>
      <c r="P34" s="3">
        <v>200</v>
      </c>
      <c r="Q34" s="5">
        <v>156600</v>
      </c>
      <c r="R34" t="s">
        <v>193</v>
      </c>
      <c r="S34" s="3">
        <v>389.85</v>
      </c>
      <c r="T34" s="3">
        <v>200</v>
      </c>
      <c r="U34" s="5">
        <v>77970</v>
      </c>
      <c r="V34" s="4" t="s">
        <v>194</v>
      </c>
      <c r="W34" s="3">
        <v>654</v>
      </c>
      <c r="X34" s="3">
        <v>200</v>
      </c>
      <c r="Y34" s="5">
        <v>130800</v>
      </c>
      <c r="Z34" s="4" t="s">
        <v>195</v>
      </c>
      <c r="AA34" s="3">
        <v>255</v>
      </c>
      <c r="AB34" s="3">
        <v>200</v>
      </c>
      <c r="AC34" s="5">
        <v>51000</v>
      </c>
      <c r="AD34" t="s">
        <v>196</v>
      </c>
      <c r="AE34" s="3">
        <v>398.51</v>
      </c>
      <c r="AF34" s="3">
        <v>200</v>
      </c>
      <c r="AG34" s="5">
        <v>79702</v>
      </c>
      <c r="AH34" s="4" t="s">
        <v>197</v>
      </c>
      <c r="AI34" s="3">
        <v>826</v>
      </c>
      <c r="AJ34" s="3">
        <v>200</v>
      </c>
      <c r="AK34" s="5">
        <v>165200</v>
      </c>
      <c r="AL34" t="s">
        <v>198</v>
      </c>
      <c r="AM34" s="3">
        <v>438</v>
      </c>
      <c r="AN34" s="3">
        <v>200</v>
      </c>
      <c r="AO34" s="5">
        <v>87600</v>
      </c>
      <c r="AP34" s="4" t="s">
        <v>199</v>
      </c>
      <c r="AQ34" s="3"/>
      <c r="AR34" s="3"/>
      <c r="AS34" s="5"/>
      <c r="AU34" s="3"/>
      <c r="AV34" s="3"/>
      <c r="AW34" s="5"/>
      <c r="AY34" s="3"/>
      <c r="AZ34" s="3"/>
      <c r="BA34" s="5"/>
    </row>
    <row r="35" spans="1:53" ht="30" x14ac:dyDescent="0.25">
      <c r="A35" t="s">
        <v>200</v>
      </c>
      <c r="B35" t="s">
        <v>32</v>
      </c>
      <c r="C35" t="s">
        <v>201</v>
      </c>
      <c r="D35" s="4" t="s">
        <v>202</v>
      </c>
      <c r="E35">
        <v>1000</v>
      </c>
      <c r="F35" t="s">
        <v>35</v>
      </c>
      <c r="G35" s="3">
        <v>82.5</v>
      </c>
      <c r="H35" s="3">
        <v>1000</v>
      </c>
      <c r="I35" s="5">
        <v>82500</v>
      </c>
      <c r="J35" t="s">
        <v>203</v>
      </c>
      <c r="K35" s="3">
        <v>67.2</v>
      </c>
      <c r="L35" s="3">
        <v>1000</v>
      </c>
      <c r="M35" s="5">
        <v>67200</v>
      </c>
      <c r="N35" t="s">
        <v>204</v>
      </c>
      <c r="O35" s="3">
        <v>125</v>
      </c>
      <c r="P35" s="3">
        <v>1000</v>
      </c>
      <c r="Q35" s="5">
        <v>125000</v>
      </c>
      <c r="R35" t="s">
        <v>205</v>
      </c>
      <c r="S35" s="3">
        <v>76.98</v>
      </c>
      <c r="T35" s="3">
        <v>1000</v>
      </c>
      <c r="U35" s="5">
        <v>76980</v>
      </c>
      <c r="V35" s="4" t="s">
        <v>206</v>
      </c>
      <c r="W35" s="3"/>
      <c r="X35" s="3"/>
      <c r="Y35" s="5"/>
      <c r="AA35" s="3"/>
      <c r="AB35" s="3"/>
      <c r="AC35" s="5"/>
      <c r="AE35" s="3"/>
      <c r="AF35" s="3"/>
      <c r="AG35" s="5"/>
      <c r="AI35" s="3"/>
      <c r="AJ35" s="3"/>
      <c r="AK35" s="5"/>
      <c r="AM35" s="3"/>
      <c r="AN35" s="3"/>
      <c r="AO35" s="5"/>
      <c r="AQ35" s="3"/>
      <c r="AR35" s="3"/>
      <c r="AS35" s="5"/>
      <c r="AU35" s="3"/>
      <c r="AV35" s="3"/>
      <c r="AW35" s="5"/>
      <c r="AY35" s="3"/>
      <c r="AZ35" s="3"/>
      <c r="BA35" s="5"/>
    </row>
    <row r="36" spans="1:53" ht="30" x14ac:dyDescent="0.25">
      <c r="A36" t="s">
        <v>207</v>
      </c>
      <c r="B36" t="s">
        <v>32</v>
      </c>
      <c r="C36" t="s">
        <v>208</v>
      </c>
      <c r="D36" s="4" t="s">
        <v>209</v>
      </c>
      <c r="E36">
        <v>6000</v>
      </c>
      <c r="F36" t="s">
        <v>35</v>
      </c>
      <c r="G36" s="3">
        <v>4.95</v>
      </c>
      <c r="H36" s="3">
        <v>6000</v>
      </c>
      <c r="I36" s="5">
        <v>29700</v>
      </c>
      <c r="J36" t="s">
        <v>210</v>
      </c>
      <c r="K36" s="3"/>
      <c r="L36" s="3"/>
      <c r="M36" s="5"/>
      <c r="O36" s="3">
        <v>19.5</v>
      </c>
      <c r="P36" s="3">
        <v>6000</v>
      </c>
      <c r="Q36" s="5">
        <v>117000</v>
      </c>
      <c r="R36" t="s">
        <v>211</v>
      </c>
      <c r="S36" s="3">
        <v>3.23</v>
      </c>
      <c r="T36" s="3">
        <v>6000</v>
      </c>
      <c r="U36" s="5">
        <v>19380</v>
      </c>
      <c r="V36" s="4" t="s">
        <v>212</v>
      </c>
      <c r="W36" s="3">
        <v>4.5599999999999996</v>
      </c>
      <c r="X36" s="3">
        <v>6000</v>
      </c>
      <c r="Y36" s="5">
        <v>27360</v>
      </c>
      <c r="Z36" t="s">
        <v>213</v>
      </c>
      <c r="AA36" s="3"/>
      <c r="AB36" s="3"/>
      <c r="AC36" s="5"/>
      <c r="AE36" s="3"/>
      <c r="AF36" s="3"/>
      <c r="AG36" s="5"/>
      <c r="AI36" s="3"/>
      <c r="AJ36" s="3"/>
      <c r="AK36" s="5"/>
      <c r="AM36" s="3"/>
      <c r="AN36" s="3"/>
      <c r="AO36" s="5"/>
      <c r="AQ36" s="3"/>
      <c r="AR36" s="3"/>
      <c r="AS36" s="5"/>
      <c r="AU36" s="3"/>
      <c r="AV36" s="3"/>
      <c r="AW36" s="5"/>
      <c r="AY36" s="3"/>
      <c r="AZ36" s="3"/>
      <c r="BA36" s="5"/>
    </row>
    <row r="37" spans="1:53" ht="75" x14ac:dyDescent="0.25">
      <c r="A37" t="s">
        <v>214</v>
      </c>
      <c r="B37" t="s">
        <v>32</v>
      </c>
      <c r="C37" t="s">
        <v>215</v>
      </c>
      <c r="D37" s="4" t="s">
        <v>216</v>
      </c>
      <c r="E37">
        <v>5200</v>
      </c>
      <c r="F37" t="s">
        <v>35</v>
      </c>
      <c r="G37" s="3">
        <v>762.5</v>
      </c>
      <c r="H37" s="3">
        <v>5200</v>
      </c>
      <c r="I37" s="5">
        <v>3965000</v>
      </c>
      <c r="J37" t="s">
        <v>217</v>
      </c>
      <c r="K37" s="3">
        <v>889</v>
      </c>
      <c r="L37" s="3">
        <v>5200</v>
      </c>
      <c r="M37" s="5">
        <v>4622800</v>
      </c>
      <c r="N37" t="s">
        <v>218</v>
      </c>
      <c r="O37" s="3"/>
      <c r="P37" s="3"/>
      <c r="Q37" s="5"/>
      <c r="S37" s="3">
        <v>759.98</v>
      </c>
      <c r="T37" s="3">
        <v>5200</v>
      </c>
      <c r="U37" s="5">
        <v>3951896</v>
      </c>
      <c r="V37" s="4" t="s">
        <v>219</v>
      </c>
      <c r="W37" s="3">
        <v>907.35</v>
      </c>
      <c r="X37" s="3">
        <v>5200</v>
      </c>
      <c r="Y37" s="5">
        <v>4718220</v>
      </c>
      <c r="Z37" s="4" t="s">
        <v>220</v>
      </c>
      <c r="AA37" s="3">
        <v>803</v>
      </c>
      <c r="AB37" s="3">
        <v>5200</v>
      </c>
      <c r="AC37" s="5">
        <v>4175600</v>
      </c>
      <c r="AD37" t="s">
        <v>221</v>
      </c>
      <c r="AE37" s="3">
        <v>854.7</v>
      </c>
      <c r="AF37" s="3">
        <v>5200</v>
      </c>
      <c r="AG37" s="5">
        <v>4444440</v>
      </c>
      <c r="AH37" s="4" t="s">
        <v>222</v>
      </c>
      <c r="AI37" s="3"/>
      <c r="AJ37" s="3"/>
      <c r="AK37" s="5"/>
      <c r="AM37" s="3"/>
      <c r="AN37" s="3"/>
      <c r="AO37" s="5"/>
      <c r="AQ37" s="3">
        <v>590</v>
      </c>
      <c r="AR37" s="3">
        <v>5200</v>
      </c>
      <c r="AS37" s="5">
        <v>3068000</v>
      </c>
      <c r="AT37" s="4" t="s">
        <v>223</v>
      </c>
      <c r="AU37" s="3"/>
      <c r="AV37" s="3"/>
      <c r="AW37" s="5"/>
      <c r="AY37" s="3"/>
      <c r="AZ37" s="3"/>
      <c r="BA37" s="5"/>
    </row>
    <row r="38" spans="1:53" ht="45" x14ac:dyDescent="0.25">
      <c r="A38" t="s">
        <v>224</v>
      </c>
      <c r="B38" t="s">
        <v>32</v>
      </c>
      <c r="C38" t="s">
        <v>225</v>
      </c>
      <c r="D38" s="4" t="s">
        <v>226</v>
      </c>
      <c r="E38">
        <v>2000</v>
      </c>
      <c r="F38" t="s">
        <v>35</v>
      </c>
      <c r="G38" s="3"/>
      <c r="H38" s="3"/>
      <c r="I38" s="5"/>
      <c r="K38" s="3"/>
      <c r="L38" s="3"/>
      <c r="M38" s="5"/>
      <c r="O38" s="3"/>
      <c r="P38" s="3"/>
      <c r="Q38" s="5"/>
      <c r="S38" s="3"/>
      <c r="T38" s="3"/>
      <c r="U38" s="5"/>
      <c r="W38" s="3"/>
      <c r="X38" s="3"/>
      <c r="Y38" s="5"/>
      <c r="AA38" s="3">
        <v>410</v>
      </c>
      <c r="AB38" s="3">
        <v>2000</v>
      </c>
      <c r="AC38" s="5">
        <v>820000</v>
      </c>
      <c r="AD38" s="4" t="s">
        <v>227</v>
      </c>
      <c r="AE38" s="3"/>
      <c r="AF38" s="3"/>
      <c r="AG38" s="5"/>
      <c r="AI38" s="3"/>
      <c r="AJ38" s="3"/>
      <c r="AK38" s="5"/>
      <c r="AM38" s="3"/>
      <c r="AN38" s="3"/>
      <c r="AO38" s="5"/>
      <c r="AQ38" s="3"/>
      <c r="AR38" s="3"/>
      <c r="AS38" s="5"/>
      <c r="AU38" s="3"/>
      <c r="AV38" s="3"/>
      <c r="AW38" s="5"/>
      <c r="AY38" s="3"/>
      <c r="AZ38" s="3"/>
      <c r="BA38" s="5"/>
    </row>
    <row r="39" spans="1:53" ht="30" x14ac:dyDescent="0.25">
      <c r="A39" t="s">
        <v>224</v>
      </c>
      <c r="B39" t="s">
        <v>39</v>
      </c>
      <c r="C39" t="s">
        <v>225</v>
      </c>
      <c r="D39" s="4" t="s">
        <v>226</v>
      </c>
      <c r="E39">
        <v>2000</v>
      </c>
      <c r="F39" t="s">
        <v>35</v>
      </c>
      <c r="G39" s="3"/>
      <c r="H39" s="3"/>
      <c r="I39" s="5"/>
      <c r="K39" s="3"/>
      <c r="L39" s="3"/>
      <c r="M39" s="5"/>
      <c r="O39" s="3"/>
      <c r="P39" s="3"/>
      <c r="Q39" s="5"/>
      <c r="S39" s="3"/>
      <c r="T39" s="3"/>
      <c r="U39" s="5"/>
      <c r="W39" s="3"/>
      <c r="X39" s="3"/>
      <c r="Y39" s="5"/>
      <c r="AA39" s="3">
        <v>1305</v>
      </c>
      <c r="AB39" s="3">
        <v>2000</v>
      </c>
      <c r="AC39" s="5">
        <v>2610000</v>
      </c>
      <c r="AD39" t="s">
        <v>228</v>
      </c>
      <c r="AE39" s="3"/>
      <c r="AF39" s="3"/>
      <c r="AG39" s="5"/>
      <c r="AI39" s="3"/>
      <c r="AJ39" s="3"/>
      <c r="AK39" s="5"/>
      <c r="AM39" s="3"/>
      <c r="AN39" s="3"/>
      <c r="AO39" s="5"/>
      <c r="AQ39" s="3"/>
      <c r="AR39" s="3"/>
      <c r="AS39" s="5"/>
      <c r="AU39" s="3"/>
      <c r="AV39" s="3"/>
      <c r="AW39" s="5"/>
      <c r="AY39" s="3"/>
      <c r="AZ39" s="3"/>
      <c r="BA39" s="5"/>
    </row>
    <row r="40" spans="1:53" ht="90" x14ac:dyDescent="0.25">
      <c r="A40" t="s">
        <v>229</v>
      </c>
      <c r="B40" t="s">
        <v>32</v>
      </c>
      <c r="C40" t="s">
        <v>230</v>
      </c>
      <c r="D40" s="4" t="s">
        <v>231</v>
      </c>
      <c r="E40">
        <v>10</v>
      </c>
      <c r="F40" t="s">
        <v>35</v>
      </c>
      <c r="G40" s="3">
        <v>13582</v>
      </c>
      <c r="H40" s="3">
        <v>10</v>
      </c>
      <c r="I40" s="5">
        <v>135820</v>
      </c>
      <c r="J40" t="s">
        <v>232</v>
      </c>
      <c r="K40" s="3"/>
      <c r="L40" s="3"/>
      <c r="M40" s="5"/>
      <c r="O40" s="3"/>
      <c r="P40" s="3"/>
      <c r="Q40" s="5"/>
      <c r="S40" s="3">
        <v>8162</v>
      </c>
      <c r="T40" s="3">
        <v>10</v>
      </c>
      <c r="U40" s="5">
        <v>81620</v>
      </c>
      <c r="V40" t="s">
        <v>233</v>
      </c>
      <c r="W40" s="3"/>
      <c r="X40" s="3"/>
      <c r="Y40" s="5"/>
      <c r="AA40" s="3"/>
      <c r="AB40" s="3"/>
      <c r="AC40" s="5"/>
      <c r="AE40" s="3"/>
      <c r="AF40" s="3"/>
      <c r="AG40" s="5"/>
      <c r="AI40" s="3"/>
      <c r="AJ40" s="3"/>
      <c r="AK40" s="5"/>
      <c r="AM40" s="3">
        <v>6300</v>
      </c>
      <c r="AN40" s="3">
        <v>10</v>
      </c>
      <c r="AO40" s="5">
        <v>63000</v>
      </c>
      <c r="AP40" s="4" t="s">
        <v>234</v>
      </c>
      <c r="AQ40" s="3"/>
      <c r="AR40" s="3"/>
      <c r="AS40" s="5"/>
      <c r="AU40" s="3"/>
      <c r="AV40" s="3"/>
      <c r="AW40" s="5"/>
      <c r="AY40" s="3"/>
      <c r="AZ40" s="3"/>
      <c r="BA40" s="5"/>
    </row>
    <row r="41" spans="1:53" ht="30" x14ac:dyDescent="0.25">
      <c r="A41" t="s">
        <v>235</v>
      </c>
      <c r="B41" t="s">
        <v>32</v>
      </c>
      <c r="C41" t="s">
        <v>236</v>
      </c>
      <c r="D41" s="4" t="s">
        <v>237</v>
      </c>
      <c r="E41">
        <v>1400</v>
      </c>
      <c r="F41" t="s">
        <v>35</v>
      </c>
      <c r="G41" s="3"/>
      <c r="H41" s="3"/>
      <c r="I41" s="5"/>
      <c r="K41" s="3"/>
      <c r="L41" s="3"/>
      <c r="M41" s="5"/>
      <c r="O41" s="3">
        <v>17.3</v>
      </c>
      <c r="P41" s="3">
        <v>1400</v>
      </c>
      <c r="Q41" s="5">
        <v>24220</v>
      </c>
      <c r="R41" t="s">
        <v>238</v>
      </c>
      <c r="S41" s="3">
        <v>12.15</v>
      </c>
      <c r="T41" s="3">
        <v>1400</v>
      </c>
      <c r="U41" s="5">
        <v>17010</v>
      </c>
      <c r="V41" t="s">
        <v>239</v>
      </c>
      <c r="W41" s="3"/>
      <c r="X41" s="3"/>
      <c r="Y41" s="5"/>
      <c r="AA41" s="3"/>
      <c r="AB41" s="3"/>
      <c r="AC41" s="5"/>
      <c r="AE41" s="3"/>
      <c r="AF41" s="3"/>
      <c r="AG41" s="5"/>
      <c r="AI41" s="3"/>
      <c r="AJ41" s="3"/>
      <c r="AK41" s="5"/>
      <c r="AM41" s="3"/>
      <c r="AN41" s="3"/>
      <c r="AO41" s="5"/>
      <c r="AQ41" s="3"/>
      <c r="AR41" s="3"/>
      <c r="AS41" s="5"/>
      <c r="AU41" s="3"/>
      <c r="AV41" s="3"/>
      <c r="AW41" s="5"/>
      <c r="AY41" s="3"/>
      <c r="AZ41" s="3"/>
      <c r="BA41" s="5"/>
    </row>
    <row r="42" spans="1:53" ht="45" x14ac:dyDescent="0.25">
      <c r="A42" t="s">
        <v>240</v>
      </c>
      <c r="B42" t="s">
        <v>32</v>
      </c>
      <c r="C42" t="s">
        <v>241</v>
      </c>
      <c r="D42" s="4" t="s">
        <v>242</v>
      </c>
      <c r="E42">
        <v>50</v>
      </c>
      <c r="F42" t="s">
        <v>35</v>
      </c>
      <c r="G42" s="3">
        <v>78</v>
      </c>
      <c r="H42" s="3">
        <v>50</v>
      </c>
      <c r="I42" s="5">
        <v>3900</v>
      </c>
      <c r="J42" t="s">
        <v>243</v>
      </c>
      <c r="K42" s="3"/>
      <c r="L42" s="3"/>
      <c r="M42" s="5"/>
      <c r="O42" s="3"/>
      <c r="P42" s="3"/>
      <c r="Q42" s="5"/>
      <c r="S42" s="3"/>
      <c r="T42" s="3"/>
      <c r="U42" s="5"/>
      <c r="W42" s="3"/>
      <c r="X42" s="3"/>
      <c r="Y42" s="5"/>
      <c r="AA42" s="3"/>
      <c r="AB42" s="3"/>
      <c r="AC42" s="5"/>
      <c r="AE42" s="3"/>
      <c r="AF42" s="3"/>
      <c r="AG42" s="5"/>
      <c r="AI42" s="3"/>
      <c r="AJ42" s="3"/>
      <c r="AK42" s="5"/>
      <c r="AM42" s="3"/>
      <c r="AN42" s="3"/>
      <c r="AO42" s="5"/>
      <c r="AQ42" s="3"/>
      <c r="AR42" s="3"/>
      <c r="AS42" s="5"/>
      <c r="AU42" s="3"/>
      <c r="AV42" s="3"/>
      <c r="AW42" s="5"/>
      <c r="AY42" s="3"/>
      <c r="AZ42" s="3"/>
      <c r="BA42" s="5"/>
    </row>
    <row r="43" spans="1:53" ht="45" x14ac:dyDescent="0.25">
      <c r="A43" t="s">
        <v>244</v>
      </c>
      <c r="B43" t="s">
        <v>32</v>
      </c>
      <c r="C43" t="s">
        <v>245</v>
      </c>
      <c r="D43" s="4" t="s">
        <v>246</v>
      </c>
      <c r="E43">
        <v>16</v>
      </c>
      <c r="F43" t="s">
        <v>35</v>
      </c>
      <c r="G43" s="3">
        <v>175025</v>
      </c>
      <c r="H43" s="3">
        <v>16</v>
      </c>
      <c r="I43" s="5">
        <v>2800400</v>
      </c>
      <c r="J43" t="s">
        <v>247</v>
      </c>
      <c r="K43" s="3"/>
      <c r="L43" s="3"/>
      <c r="M43" s="5"/>
      <c r="O43" s="3"/>
      <c r="P43" s="3"/>
      <c r="Q43" s="5"/>
      <c r="S43" s="3">
        <v>127094</v>
      </c>
      <c r="T43" s="3">
        <v>16</v>
      </c>
      <c r="U43" s="5">
        <v>2033504</v>
      </c>
      <c r="V43" s="4" t="s">
        <v>248</v>
      </c>
      <c r="W43" s="3">
        <v>172477</v>
      </c>
      <c r="X43" s="3">
        <v>16</v>
      </c>
      <c r="Y43" s="5">
        <v>2759632</v>
      </c>
      <c r="Z43" t="s">
        <v>249</v>
      </c>
      <c r="AA43" s="3">
        <v>126240</v>
      </c>
      <c r="AB43" s="3">
        <v>16</v>
      </c>
      <c r="AC43" s="5">
        <v>2019840</v>
      </c>
      <c r="AD43" t="s">
        <v>250</v>
      </c>
      <c r="AE43" s="3">
        <v>158135.25</v>
      </c>
      <c r="AF43" s="3">
        <v>16</v>
      </c>
      <c r="AG43" s="5">
        <v>2530164</v>
      </c>
      <c r="AH43" s="4" t="s">
        <v>251</v>
      </c>
      <c r="AI43" s="3"/>
      <c r="AJ43" s="3"/>
      <c r="AK43" s="5"/>
      <c r="AM43" s="3"/>
      <c r="AN43" s="3"/>
      <c r="AO43" s="5"/>
      <c r="AQ43" s="3"/>
      <c r="AR43" s="3"/>
      <c r="AS43" s="5"/>
      <c r="AU43" s="3"/>
      <c r="AV43" s="3"/>
      <c r="AW43" s="5"/>
      <c r="AY43" s="3"/>
      <c r="AZ43" s="3"/>
      <c r="BA43" s="5"/>
    </row>
    <row r="44" spans="1:53" ht="30" x14ac:dyDescent="0.25">
      <c r="A44" t="s">
        <v>252</v>
      </c>
      <c r="B44" t="s">
        <v>32</v>
      </c>
      <c r="C44" t="s">
        <v>253</v>
      </c>
      <c r="D44" s="4" t="s">
        <v>254</v>
      </c>
      <c r="E44">
        <v>1700</v>
      </c>
      <c r="F44" t="s">
        <v>35</v>
      </c>
      <c r="G44" s="3">
        <v>225</v>
      </c>
      <c r="H44" s="3">
        <v>1700</v>
      </c>
      <c r="I44" s="5">
        <v>382500</v>
      </c>
      <c r="J44" t="s">
        <v>255</v>
      </c>
      <c r="K44" s="3"/>
      <c r="L44" s="3"/>
      <c r="M44" s="5"/>
      <c r="O44" s="3"/>
      <c r="P44" s="3"/>
      <c r="Q44" s="5"/>
      <c r="S44" s="3">
        <v>98.45</v>
      </c>
      <c r="T44" s="3">
        <v>1700</v>
      </c>
      <c r="U44" s="5">
        <v>167365</v>
      </c>
      <c r="V44" s="4" t="s">
        <v>256</v>
      </c>
      <c r="W44" s="3">
        <v>170.4</v>
      </c>
      <c r="X44" s="3">
        <v>1700</v>
      </c>
      <c r="Y44" s="5">
        <v>289680</v>
      </c>
      <c r="Z44" t="s">
        <v>257</v>
      </c>
      <c r="AA44" s="3"/>
      <c r="AB44" s="3"/>
      <c r="AC44" s="5"/>
      <c r="AE44" s="3">
        <v>107.8</v>
      </c>
      <c r="AF44" s="3">
        <v>1700</v>
      </c>
      <c r="AG44" s="5">
        <v>183260</v>
      </c>
      <c r="AH44" s="4" t="s">
        <v>258</v>
      </c>
      <c r="AI44" s="3"/>
      <c r="AJ44" s="3"/>
      <c r="AK44" s="5"/>
      <c r="AM44" s="3"/>
      <c r="AN44" s="3"/>
      <c r="AO44" s="5"/>
      <c r="AQ44" s="3"/>
      <c r="AR44" s="3"/>
      <c r="AS44" s="5"/>
      <c r="AU44" s="3"/>
      <c r="AV44" s="3"/>
      <c r="AW44" s="5"/>
      <c r="AY44" s="3"/>
      <c r="AZ44" s="3"/>
      <c r="BA44" s="5"/>
    </row>
    <row r="45" spans="1:53" ht="30" x14ac:dyDescent="0.25">
      <c r="A45" t="s">
        <v>259</v>
      </c>
      <c r="B45" t="s">
        <v>32</v>
      </c>
      <c r="C45" t="s">
        <v>260</v>
      </c>
      <c r="D45" s="4" t="s">
        <v>261</v>
      </c>
      <c r="E45">
        <v>300</v>
      </c>
      <c r="F45" t="s">
        <v>35</v>
      </c>
      <c r="G45" s="3"/>
      <c r="H45" s="3"/>
      <c r="I45" s="5"/>
      <c r="K45" s="3"/>
      <c r="L45" s="3"/>
      <c r="M45" s="5"/>
      <c r="O45" s="3">
        <v>2895</v>
      </c>
      <c r="P45" s="3">
        <v>300</v>
      </c>
      <c r="Q45" s="5">
        <v>868500</v>
      </c>
      <c r="R45" t="s">
        <v>262</v>
      </c>
      <c r="S45" s="3">
        <v>1799</v>
      </c>
      <c r="T45" s="3">
        <v>300</v>
      </c>
      <c r="U45" s="5">
        <v>539700</v>
      </c>
      <c r="V45" s="4" t="s">
        <v>263</v>
      </c>
      <c r="W45" s="3"/>
      <c r="X45" s="3"/>
      <c r="Y45" s="5"/>
      <c r="AA45" s="3">
        <v>165</v>
      </c>
      <c r="AB45" s="3">
        <v>300</v>
      </c>
      <c r="AC45" s="5">
        <v>49500</v>
      </c>
      <c r="AD45" t="s">
        <v>264</v>
      </c>
      <c r="AE45" s="3"/>
      <c r="AF45" s="3"/>
      <c r="AG45" s="5"/>
      <c r="AI45" s="3"/>
      <c r="AJ45" s="3"/>
      <c r="AK45" s="5"/>
      <c r="AM45" s="3"/>
      <c r="AN45" s="3"/>
      <c r="AO45" s="5"/>
      <c r="AQ45" s="3"/>
      <c r="AR45" s="3"/>
      <c r="AS45" s="5"/>
      <c r="AU45" s="3"/>
      <c r="AV45" s="3"/>
      <c r="AW45" s="5"/>
      <c r="AY45" s="3"/>
      <c r="AZ45" s="3"/>
      <c r="BA45" s="5"/>
    </row>
    <row r="46" spans="1:53" ht="30" x14ac:dyDescent="0.25">
      <c r="A46" t="s">
        <v>265</v>
      </c>
      <c r="B46" t="s">
        <v>32</v>
      </c>
      <c r="C46" t="s">
        <v>266</v>
      </c>
      <c r="D46" s="4" t="s">
        <v>267</v>
      </c>
      <c r="E46">
        <v>3040</v>
      </c>
      <c r="F46" t="s">
        <v>35</v>
      </c>
      <c r="G46" s="3">
        <v>5.6</v>
      </c>
      <c r="H46" s="3">
        <v>3040</v>
      </c>
      <c r="I46" s="5">
        <v>17024</v>
      </c>
      <c r="J46" t="s">
        <v>268</v>
      </c>
      <c r="K46" s="3"/>
      <c r="L46" s="3"/>
      <c r="M46" s="5"/>
      <c r="O46" s="3">
        <v>5.75</v>
      </c>
      <c r="P46" s="3">
        <v>3040</v>
      </c>
      <c r="Q46" s="5">
        <v>17480</v>
      </c>
      <c r="R46" t="s">
        <v>269</v>
      </c>
      <c r="S46" s="3">
        <v>3.62</v>
      </c>
      <c r="T46" s="3">
        <v>3040</v>
      </c>
      <c r="U46" s="5">
        <v>11004.8</v>
      </c>
      <c r="V46" t="s">
        <v>270</v>
      </c>
      <c r="W46" s="3">
        <v>6.72</v>
      </c>
      <c r="X46" s="3">
        <v>3040</v>
      </c>
      <c r="Y46" s="5">
        <v>20428.8</v>
      </c>
      <c r="Z46" s="4" t="s">
        <v>271</v>
      </c>
      <c r="AA46" s="3">
        <v>4.12</v>
      </c>
      <c r="AB46" s="3">
        <v>3040</v>
      </c>
      <c r="AC46" s="5">
        <v>12524.8</v>
      </c>
      <c r="AD46" t="s">
        <v>272</v>
      </c>
      <c r="AE46" s="3"/>
      <c r="AF46" s="3"/>
      <c r="AG46" s="5"/>
      <c r="AI46" s="3"/>
      <c r="AJ46" s="3"/>
      <c r="AK46" s="5"/>
      <c r="AM46" s="3"/>
      <c r="AN46" s="3"/>
      <c r="AO46" s="5"/>
      <c r="AQ46" s="3"/>
      <c r="AR46" s="3"/>
      <c r="AS46" s="5"/>
      <c r="AU46" s="3"/>
      <c r="AV46" s="3"/>
      <c r="AW46" s="5"/>
      <c r="AY46" s="3"/>
      <c r="AZ46" s="3"/>
      <c r="BA46" s="5"/>
    </row>
    <row r="47" spans="1:53" ht="75" x14ac:dyDescent="0.25">
      <c r="A47" t="s">
        <v>273</v>
      </c>
      <c r="B47" t="s">
        <v>32</v>
      </c>
      <c r="C47" t="s">
        <v>274</v>
      </c>
      <c r="D47" s="4" t="s">
        <v>275</v>
      </c>
      <c r="E47">
        <v>16800</v>
      </c>
      <c r="F47" t="s">
        <v>35</v>
      </c>
      <c r="G47" s="3">
        <v>39</v>
      </c>
      <c r="H47" s="3">
        <v>16800</v>
      </c>
      <c r="I47" s="5">
        <v>655200</v>
      </c>
      <c r="J47" t="s">
        <v>276</v>
      </c>
      <c r="K47" s="3">
        <v>39.200000000000003</v>
      </c>
      <c r="L47" s="3">
        <v>16800</v>
      </c>
      <c r="M47" s="5">
        <v>658560</v>
      </c>
      <c r="N47" t="s">
        <v>277</v>
      </c>
      <c r="O47" s="3">
        <v>47.3</v>
      </c>
      <c r="P47" s="3">
        <v>16800</v>
      </c>
      <c r="Q47" s="5">
        <v>794640</v>
      </c>
      <c r="R47" t="s">
        <v>278</v>
      </c>
      <c r="S47" s="3">
        <v>30.98</v>
      </c>
      <c r="T47" s="3">
        <v>16800</v>
      </c>
      <c r="U47" s="5">
        <v>520464</v>
      </c>
      <c r="V47" s="4" t="s">
        <v>279</v>
      </c>
      <c r="W47" s="3">
        <v>46.2</v>
      </c>
      <c r="X47" s="3">
        <v>16800</v>
      </c>
      <c r="Y47" s="5">
        <v>776160</v>
      </c>
      <c r="Z47" t="s">
        <v>280</v>
      </c>
      <c r="AA47" s="3">
        <v>30.75</v>
      </c>
      <c r="AB47" s="3">
        <v>16800</v>
      </c>
      <c r="AC47" s="5">
        <v>516600</v>
      </c>
      <c r="AD47" t="s">
        <v>281</v>
      </c>
      <c r="AE47" s="3">
        <v>36.96</v>
      </c>
      <c r="AF47" s="3">
        <v>16800</v>
      </c>
      <c r="AG47" s="5">
        <v>620928</v>
      </c>
      <c r="AH47" s="4" t="s">
        <v>282</v>
      </c>
      <c r="AI47" s="3"/>
      <c r="AJ47" s="3"/>
      <c r="AK47" s="5"/>
      <c r="AM47" s="3"/>
      <c r="AN47" s="3"/>
      <c r="AO47" s="5"/>
      <c r="AQ47" s="3">
        <v>27.9</v>
      </c>
      <c r="AR47" s="3">
        <v>16800</v>
      </c>
      <c r="AS47" s="5">
        <v>468720</v>
      </c>
      <c r="AT47" s="4" t="s">
        <v>283</v>
      </c>
      <c r="AU47" s="3">
        <v>28.89</v>
      </c>
      <c r="AV47" s="3">
        <v>16800</v>
      </c>
      <c r="AW47" s="5">
        <v>485352</v>
      </c>
      <c r="AX47" s="4" t="s">
        <v>284</v>
      </c>
      <c r="AY47" s="3"/>
      <c r="AZ47" s="3"/>
      <c r="BA47" s="5"/>
    </row>
    <row r="48" spans="1:53" ht="45" x14ac:dyDescent="0.25">
      <c r="A48" t="s">
        <v>285</v>
      </c>
      <c r="B48" t="s">
        <v>32</v>
      </c>
      <c r="C48" t="s">
        <v>286</v>
      </c>
      <c r="D48" s="4" t="s">
        <v>287</v>
      </c>
      <c r="E48">
        <v>1100</v>
      </c>
      <c r="F48" t="s">
        <v>35</v>
      </c>
      <c r="G48" s="3">
        <v>765</v>
      </c>
      <c r="H48" s="3">
        <v>1100</v>
      </c>
      <c r="I48" s="5">
        <v>841500</v>
      </c>
      <c r="J48" t="s">
        <v>288</v>
      </c>
      <c r="K48" s="3"/>
      <c r="L48" s="3"/>
      <c r="M48" s="5"/>
      <c r="O48" s="3">
        <v>1185</v>
      </c>
      <c r="P48" s="3">
        <v>1100</v>
      </c>
      <c r="Q48" s="5">
        <v>1303500</v>
      </c>
      <c r="R48" t="s">
        <v>289</v>
      </c>
      <c r="S48" s="3">
        <v>635.78</v>
      </c>
      <c r="T48" s="3">
        <v>1100</v>
      </c>
      <c r="U48" s="5">
        <v>699358</v>
      </c>
      <c r="V48" s="4" t="s">
        <v>290</v>
      </c>
      <c r="W48" s="3">
        <v>870</v>
      </c>
      <c r="X48" s="3">
        <v>1100</v>
      </c>
      <c r="Y48" s="5">
        <v>957000</v>
      </c>
      <c r="Z48" s="4" t="s">
        <v>291</v>
      </c>
      <c r="AA48" s="3">
        <v>581</v>
      </c>
      <c r="AB48" s="3">
        <v>1100</v>
      </c>
      <c r="AC48" s="5">
        <v>639100</v>
      </c>
      <c r="AD48" t="s">
        <v>292</v>
      </c>
      <c r="AE48" s="3">
        <v>816.2</v>
      </c>
      <c r="AF48" s="3">
        <v>1100</v>
      </c>
      <c r="AG48" s="5">
        <v>897820</v>
      </c>
      <c r="AH48" s="4" t="s">
        <v>293</v>
      </c>
      <c r="AI48" s="3"/>
      <c r="AJ48" s="3"/>
      <c r="AK48" s="5"/>
      <c r="AM48" s="3"/>
      <c r="AN48" s="3"/>
      <c r="AO48" s="5"/>
      <c r="AQ48" s="3"/>
      <c r="AR48" s="3"/>
      <c r="AS48" s="5"/>
      <c r="AU48" s="3"/>
      <c r="AV48" s="3"/>
      <c r="AW48" s="5"/>
      <c r="AY48" s="3"/>
      <c r="AZ48" s="3"/>
      <c r="BA48" s="5"/>
    </row>
    <row r="49" spans="1:53" ht="30" x14ac:dyDescent="0.25">
      <c r="A49" t="s">
        <v>294</v>
      </c>
      <c r="B49" t="s">
        <v>32</v>
      </c>
      <c r="C49" t="s">
        <v>295</v>
      </c>
      <c r="D49" s="4" t="s">
        <v>296</v>
      </c>
      <c r="E49">
        <v>600</v>
      </c>
      <c r="F49" t="s">
        <v>35</v>
      </c>
      <c r="G49" s="3"/>
      <c r="H49" s="3"/>
      <c r="I49" s="5"/>
      <c r="K49" s="3"/>
      <c r="L49" s="3"/>
      <c r="M49" s="5"/>
      <c r="O49" s="3">
        <v>6.6</v>
      </c>
      <c r="P49" s="3">
        <v>600</v>
      </c>
      <c r="Q49" s="5">
        <v>3960</v>
      </c>
      <c r="R49" t="s">
        <v>297</v>
      </c>
      <c r="S49" s="3"/>
      <c r="T49" s="3"/>
      <c r="U49" s="5"/>
      <c r="W49" s="3">
        <v>10.68</v>
      </c>
      <c r="X49" s="3">
        <v>600</v>
      </c>
      <c r="Y49" s="5">
        <v>6408</v>
      </c>
      <c r="Z49" t="s">
        <v>298</v>
      </c>
      <c r="AA49" s="3"/>
      <c r="AB49" s="3"/>
      <c r="AC49" s="5"/>
      <c r="AE49" s="3"/>
      <c r="AF49" s="3"/>
      <c r="AG49" s="5"/>
      <c r="AI49" s="3"/>
      <c r="AJ49" s="3"/>
      <c r="AK49" s="5"/>
      <c r="AM49" s="3"/>
      <c r="AN49" s="3"/>
      <c r="AO49" s="5"/>
      <c r="AQ49" s="3"/>
      <c r="AR49" s="3"/>
      <c r="AS49" s="5"/>
      <c r="AU49" s="3"/>
      <c r="AV49" s="3"/>
      <c r="AW49" s="5"/>
      <c r="AY49" s="3"/>
      <c r="AZ49" s="3"/>
      <c r="BA49" s="5"/>
    </row>
    <row r="50" spans="1:53" ht="30" x14ac:dyDescent="0.25">
      <c r="A50" t="s">
        <v>299</v>
      </c>
      <c r="B50" t="s">
        <v>32</v>
      </c>
      <c r="C50" t="s">
        <v>300</v>
      </c>
      <c r="D50" s="4" t="s">
        <v>301</v>
      </c>
      <c r="E50">
        <v>100</v>
      </c>
      <c r="F50" t="s">
        <v>35</v>
      </c>
      <c r="G50" s="3">
        <v>732.5</v>
      </c>
      <c r="H50" s="3">
        <v>100</v>
      </c>
      <c r="I50" s="5">
        <v>73250</v>
      </c>
      <c r="J50" t="s">
        <v>302</v>
      </c>
      <c r="K50" s="3"/>
      <c r="L50" s="3"/>
      <c r="M50" s="5"/>
      <c r="O50" s="3"/>
      <c r="P50" s="3"/>
      <c r="Q50" s="5"/>
      <c r="S50" s="3">
        <v>498.75</v>
      </c>
      <c r="T50" s="3">
        <v>100</v>
      </c>
      <c r="U50" s="5">
        <v>49875</v>
      </c>
      <c r="V50" s="4" t="s">
        <v>303</v>
      </c>
      <c r="W50" s="3"/>
      <c r="X50" s="3"/>
      <c r="Y50" s="5"/>
      <c r="AA50" s="3"/>
      <c r="AB50" s="3"/>
      <c r="AC50" s="5"/>
      <c r="AE50" s="3"/>
      <c r="AF50" s="3"/>
      <c r="AG50" s="5"/>
      <c r="AI50" s="3"/>
      <c r="AJ50" s="3"/>
      <c r="AK50" s="5"/>
      <c r="AM50" s="3"/>
      <c r="AN50" s="3"/>
      <c r="AO50" s="5"/>
      <c r="AQ50" s="3"/>
      <c r="AR50" s="3"/>
      <c r="AS50" s="5"/>
      <c r="AU50" s="3"/>
      <c r="AV50" s="3"/>
      <c r="AW50" s="5"/>
      <c r="AY50" s="3"/>
      <c r="AZ50" s="3"/>
      <c r="BA50" s="5"/>
    </row>
    <row r="51" spans="1:53" ht="30" x14ac:dyDescent="0.25">
      <c r="A51" t="s">
        <v>304</v>
      </c>
      <c r="B51" t="s">
        <v>32</v>
      </c>
      <c r="C51" t="s">
        <v>305</v>
      </c>
      <c r="D51" s="4" t="s">
        <v>306</v>
      </c>
      <c r="E51">
        <v>12</v>
      </c>
      <c r="F51" t="s">
        <v>35</v>
      </c>
      <c r="G51" s="3">
        <v>5181.5</v>
      </c>
      <c r="H51" s="3">
        <v>12</v>
      </c>
      <c r="I51" s="5">
        <v>62178</v>
      </c>
      <c r="J51" t="s">
        <v>307</v>
      </c>
      <c r="K51" s="3"/>
      <c r="L51" s="3"/>
      <c r="M51" s="5"/>
      <c r="O51" s="3"/>
      <c r="P51" s="3"/>
      <c r="Q51" s="5"/>
      <c r="S51" s="3"/>
      <c r="T51" s="3"/>
      <c r="U51" s="5"/>
      <c r="W51" s="3"/>
      <c r="X51" s="3"/>
      <c r="Y51" s="5"/>
      <c r="AA51" s="3"/>
      <c r="AB51" s="3"/>
      <c r="AC51" s="5"/>
      <c r="AE51" s="3"/>
      <c r="AF51" s="3"/>
      <c r="AG51" s="5"/>
      <c r="AI51" s="3"/>
      <c r="AJ51" s="3"/>
      <c r="AK51" s="5"/>
      <c r="AM51" s="3"/>
      <c r="AN51" s="3"/>
      <c r="AO51" s="5"/>
      <c r="AQ51" s="3"/>
      <c r="AR51" s="3"/>
      <c r="AS51" s="5"/>
      <c r="AU51" s="3"/>
      <c r="AV51" s="3"/>
      <c r="AW51" s="5"/>
      <c r="AY51" s="3"/>
      <c r="AZ51" s="3"/>
      <c r="BA51" s="5"/>
    </row>
    <row r="52" spans="1:53" ht="30" x14ac:dyDescent="0.25">
      <c r="A52" t="s">
        <v>308</v>
      </c>
      <c r="B52" t="s">
        <v>32</v>
      </c>
      <c r="C52" t="s">
        <v>309</v>
      </c>
      <c r="D52" s="4" t="s">
        <v>310</v>
      </c>
      <c r="E52">
        <v>100</v>
      </c>
      <c r="F52" t="s">
        <v>35</v>
      </c>
      <c r="G52" s="3">
        <v>560</v>
      </c>
      <c r="H52" s="3">
        <v>100</v>
      </c>
      <c r="I52" s="5">
        <v>56000</v>
      </c>
      <c r="J52" t="s">
        <v>311</v>
      </c>
      <c r="K52" s="3"/>
      <c r="L52" s="3"/>
      <c r="M52" s="5"/>
      <c r="O52" s="3"/>
      <c r="P52" s="3"/>
      <c r="Q52" s="5"/>
      <c r="S52" s="3">
        <v>299</v>
      </c>
      <c r="T52" s="3">
        <v>100</v>
      </c>
      <c r="U52" s="5">
        <v>29900</v>
      </c>
      <c r="V52" s="4" t="s">
        <v>312</v>
      </c>
      <c r="W52" s="3"/>
      <c r="X52" s="3"/>
      <c r="Y52" s="5"/>
      <c r="AA52" s="3"/>
      <c r="AB52" s="3"/>
      <c r="AC52" s="5"/>
      <c r="AE52" s="3"/>
      <c r="AF52" s="3"/>
      <c r="AG52" s="5"/>
      <c r="AI52" s="3"/>
      <c r="AJ52" s="3"/>
      <c r="AK52" s="5"/>
      <c r="AM52" s="3"/>
      <c r="AN52" s="3"/>
      <c r="AO52" s="5"/>
      <c r="AQ52" s="3"/>
      <c r="AR52" s="3"/>
      <c r="AS52" s="5"/>
      <c r="AU52" s="3"/>
      <c r="AV52" s="3"/>
      <c r="AW52" s="5"/>
      <c r="AY52" s="3"/>
      <c r="AZ52" s="3"/>
      <c r="BA52" s="5"/>
    </row>
    <row r="53" spans="1:53" ht="45" x14ac:dyDescent="0.25">
      <c r="A53" t="s">
        <v>313</v>
      </c>
      <c r="B53" t="s">
        <v>32</v>
      </c>
      <c r="C53" t="s">
        <v>314</v>
      </c>
      <c r="D53" s="4" t="s">
        <v>315</v>
      </c>
      <c r="E53">
        <v>160</v>
      </c>
      <c r="F53" t="s">
        <v>35</v>
      </c>
      <c r="G53" s="3"/>
      <c r="H53" s="3"/>
      <c r="I53" s="5"/>
      <c r="K53" s="3"/>
      <c r="L53" s="3"/>
      <c r="M53" s="5"/>
      <c r="O53" s="3">
        <v>49.8</v>
      </c>
      <c r="P53" s="3">
        <v>160</v>
      </c>
      <c r="Q53" s="5">
        <v>7968</v>
      </c>
      <c r="R53" t="s">
        <v>316</v>
      </c>
      <c r="S53" s="3"/>
      <c r="T53" s="3"/>
      <c r="U53" s="5"/>
      <c r="W53" s="3"/>
      <c r="X53" s="3"/>
      <c r="Y53" s="5"/>
      <c r="AA53" s="3"/>
      <c r="AB53" s="3"/>
      <c r="AC53" s="5"/>
      <c r="AE53" s="3"/>
      <c r="AF53" s="3"/>
      <c r="AG53" s="5"/>
      <c r="AI53" s="3"/>
      <c r="AJ53" s="3"/>
      <c r="AK53" s="5"/>
      <c r="AM53" s="3"/>
      <c r="AN53" s="3"/>
      <c r="AO53" s="5"/>
      <c r="AQ53" s="3"/>
      <c r="AR53" s="3"/>
      <c r="AS53" s="5"/>
      <c r="AU53" s="3"/>
      <c r="AV53" s="3"/>
      <c r="AW53" s="5"/>
      <c r="AY53" s="3"/>
      <c r="AZ53" s="3"/>
      <c r="BA53" s="5"/>
    </row>
    <row r="54" spans="1:53" ht="30" x14ac:dyDescent="0.25">
      <c r="A54" t="s">
        <v>317</v>
      </c>
      <c r="B54" t="s">
        <v>32</v>
      </c>
      <c r="C54" t="s">
        <v>318</v>
      </c>
      <c r="D54" s="4" t="s">
        <v>319</v>
      </c>
      <c r="E54">
        <v>65</v>
      </c>
      <c r="F54" t="s">
        <v>35</v>
      </c>
      <c r="G54" s="3"/>
      <c r="H54" s="3"/>
      <c r="I54" s="5"/>
      <c r="K54" s="3"/>
      <c r="L54" s="3"/>
      <c r="M54" s="5"/>
      <c r="O54" s="3">
        <v>45.1</v>
      </c>
      <c r="P54" s="3">
        <v>65</v>
      </c>
      <c r="Q54" s="5">
        <v>2931.5</v>
      </c>
      <c r="R54" t="s">
        <v>320</v>
      </c>
      <c r="S54" s="3"/>
      <c r="T54" s="3"/>
      <c r="U54" s="5"/>
      <c r="W54" s="3"/>
      <c r="X54" s="3"/>
      <c r="Y54" s="5"/>
      <c r="AA54" s="3"/>
      <c r="AB54" s="3"/>
      <c r="AC54" s="5"/>
      <c r="AE54" s="3"/>
      <c r="AF54" s="3"/>
      <c r="AG54" s="5"/>
      <c r="AI54" s="3"/>
      <c r="AJ54" s="3"/>
      <c r="AK54" s="5"/>
      <c r="AM54" s="3"/>
      <c r="AN54" s="3"/>
      <c r="AO54" s="5"/>
      <c r="AQ54" s="3"/>
      <c r="AR54" s="3"/>
      <c r="AS54" s="5"/>
      <c r="AU54" s="3"/>
      <c r="AV54" s="3"/>
      <c r="AW54" s="5"/>
      <c r="AY54" s="3"/>
      <c r="AZ54" s="3"/>
      <c r="BA54" s="5"/>
    </row>
    <row r="55" spans="1:53" ht="30" x14ac:dyDescent="0.25">
      <c r="A55" t="s">
        <v>321</v>
      </c>
      <c r="B55" t="s">
        <v>32</v>
      </c>
      <c r="C55" t="s">
        <v>322</v>
      </c>
      <c r="D55" s="4" t="s">
        <v>323</v>
      </c>
      <c r="E55">
        <v>200</v>
      </c>
      <c r="F55" t="s">
        <v>35</v>
      </c>
      <c r="G55" s="3">
        <v>46.5</v>
      </c>
      <c r="H55" s="3">
        <v>200</v>
      </c>
      <c r="I55" s="5">
        <v>9300</v>
      </c>
      <c r="J55" t="s">
        <v>324</v>
      </c>
      <c r="K55" s="3"/>
      <c r="L55" s="3"/>
      <c r="M55" s="5"/>
      <c r="O55" s="3">
        <v>41</v>
      </c>
      <c r="P55" s="3">
        <v>200</v>
      </c>
      <c r="Q55" s="5">
        <v>8200</v>
      </c>
      <c r="R55" t="s">
        <v>325</v>
      </c>
      <c r="S55" s="3"/>
      <c r="T55" s="3"/>
      <c r="U55" s="5"/>
      <c r="W55" s="3"/>
      <c r="X55" s="3"/>
      <c r="Y55" s="5"/>
      <c r="AA55" s="3">
        <v>33.369999999999997</v>
      </c>
      <c r="AB55" s="3">
        <v>200</v>
      </c>
      <c r="AC55" s="5">
        <v>6674</v>
      </c>
      <c r="AD55" t="s">
        <v>326</v>
      </c>
      <c r="AE55" s="3"/>
      <c r="AF55" s="3"/>
      <c r="AG55" s="5"/>
      <c r="AI55" s="3">
        <v>665</v>
      </c>
      <c r="AJ55" s="3">
        <v>200</v>
      </c>
      <c r="AK55" s="5">
        <v>133000</v>
      </c>
      <c r="AL55" t="s">
        <v>327</v>
      </c>
      <c r="AM55" s="3"/>
      <c r="AN55" s="3"/>
      <c r="AO55" s="5"/>
      <c r="AQ55" s="3"/>
      <c r="AR55" s="3"/>
      <c r="AS55" s="5"/>
      <c r="AU55" s="3"/>
      <c r="AV55" s="3"/>
      <c r="AW55" s="5"/>
      <c r="AY55" s="3"/>
      <c r="AZ55" s="3"/>
      <c r="BA55" s="5"/>
    </row>
    <row r="56" spans="1:53" ht="75" x14ac:dyDescent="0.25">
      <c r="A56" t="s">
        <v>328</v>
      </c>
      <c r="B56" t="s">
        <v>32</v>
      </c>
      <c r="C56" t="s">
        <v>329</v>
      </c>
      <c r="D56" s="4" t="s">
        <v>330</v>
      </c>
      <c r="E56">
        <v>300</v>
      </c>
      <c r="F56" t="s">
        <v>35</v>
      </c>
      <c r="G56" s="3">
        <v>298</v>
      </c>
      <c r="H56" s="3">
        <v>300</v>
      </c>
      <c r="I56" s="5">
        <v>89400</v>
      </c>
      <c r="J56" t="s">
        <v>331</v>
      </c>
      <c r="K56" s="3"/>
      <c r="L56" s="3"/>
      <c r="M56" s="5"/>
      <c r="O56" s="3">
        <v>238</v>
      </c>
      <c r="P56" s="3">
        <v>300</v>
      </c>
      <c r="Q56" s="5">
        <v>71400</v>
      </c>
      <c r="R56" t="s">
        <v>332</v>
      </c>
      <c r="S56" s="3">
        <v>135.08000000000001</v>
      </c>
      <c r="T56" s="3">
        <v>300</v>
      </c>
      <c r="U56" s="5">
        <v>40524</v>
      </c>
      <c r="V56" s="4" t="s">
        <v>333</v>
      </c>
      <c r="W56" s="3">
        <v>282</v>
      </c>
      <c r="X56" s="3">
        <v>300</v>
      </c>
      <c r="Y56" s="5">
        <v>84600</v>
      </c>
      <c r="Z56" t="s">
        <v>334</v>
      </c>
      <c r="AA56" s="3">
        <v>190</v>
      </c>
      <c r="AB56" s="3">
        <v>300</v>
      </c>
      <c r="AC56" s="5">
        <v>57000</v>
      </c>
      <c r="AD56" t="s">
        <v>335</v>
      </c>
      <c r="AE56" s="3">
        <v>229.46</v>
      </c>
      <c r="AF56" s="3">
        <v>300</v>
      </c>
      <c r="AG56" s="5">
        <v>68838</v>
      </c>
      <c r="AH56" s="4" t="s">
        <v>336</v>
      </c>
      <c r="AI56" s="3"/>
      <c r="AJ56" s="3"/>
      <c r="AK56" s="5"/>
      <c r="AM56" s="3">
        <v>155</v>
      </c>
      <c r="AN56" s="3">
        <v>300</v>
      </c>
      <c r="AO56" s="5">
        <v>46500</v>
      </c>
      <c r="AP56" s="4" t="s">
        <v>337</v>
      </c>
      <c r="AQ56" s="3"/>
      <c r="AR56" s="3"/>
      <c r="AS56" s="5"/>
      <c r="AU56" s="3"/>
      <c r="AV56" s="3"/>
      <c r="AW56" s="5"/>
      <c r="AY56" s="3"/>
      <c r="AZ56" s="3"/>
      <c r="BA56" s="5"/>
    </row>
    <row r="57" spans="1:53" ht="30" x14ac:dyDescent="0.25">
      <c r="A57" t="s">
        <v>338</v>
      </c>
      <c r="B57" t="s">
        <v>32</v>
      </c>
      <c r="C57" t="s">
        <v>339</v>
      </c>
      <c r="D57" s="4" t="s">
        <v>340</v>
      </c>
      <c r="E57">
        <v>50000</v>
      </c>
      <c r="F57" t="s">
        <v>35</v>
      </c>
      <c r="G57" s="3">
        <v>12.25</v>
      </c>
      <c r="H57" s="3">
        <v>50000</v>
      </c>
      <c r="I57" s="5">
        <v>612500</v>
      </c>
      <c r="J57" t="s">
        <v>341</v>
      </c>
      <c r="K57" s="3">
        <v>22.75</v>
      </c>
      <c r="L57" s="3">
        <v>50000</v>
      </c>
      <c r="M57" s="5">
        <v>1137500</v>
      </c>
      <c r="N57" t="s">
        <v>342</v>
      </c>
      <c r="O57" s="3">
        <v>10.25</v>
      </c>
      <c r="P57" s="3">
        <v>50000</v>
      </c>
      <c r="Q57" s="5">
        <v>512500</v>
      </c>
      <c r="R57" t="s">
        <v>343</v>
      </c>
      <c r="S57" s="3">
        <v>7.04</v>
      </c>
      <c r="T57" s="3">
        <v>50000</v>
      </c>
      <c r="U57" s="5">
        <v>352000</v>
      </c>
      <c r="V57" t="s">
        <v>344</v>
      </c>
      <c r="W57" s="3"/>
      <c r="X57" s="3"/>
      <c r="Y57" s="5"/>
      <c r="AA57" s="3">
        <v>8.15</v>
      </c>
      <c r="AB57" s="3">
        <v>50000</v>
      </c>
      <c r="AC57" s="5">
        <v>407500</v>
      </c>
      <c r="AD57" t="s">
        <v>345</v>
      </c>
      <c r="AE57" s="3"/>
      <c r="AF57" s="3"/>
      <c r="AG57" s="5"/>
      <c r="AI57" s="3"/>
      <c r="AJ57" s="3"/>
      <c r="AK57" s="5"/>
      <c r="AM57" s="3"/>
      <c r="AN57" s="3"/>
      <c r="AO57" s="5"/>
      <c r="AQ57" s="3"/>
      <c r="AR57" s="3"/>
      <c r="AS57" s="5"/>
      <c r="AU57" s="3"/>
      <c r="AV57" s="3"/>
      <c r="AW57" s="5"/>
      <c r="AY57" s="3"/>
      <c r="AZ57" s="3"/>
      <c r="BA57" s="5"/>
    </row>
    <row r="58" spans="1:53" ht="30" x14ac:dyDescent="0.25">
      <c r="A58" t="s">
        <v>346</v>
      </c>
      <c r="B58" t="s">
        <v>32</v>
      </c>
      <c r="C58" t="s">
        <v>347</v>
      </c>
      <c r="D58" s="4" t="s">
        <v>348</v>
      </c>
      <c r="E58">
        <v>78100</v>
      </c>
      <c r="F58" t="s">
        <v>35</v>
      </c>
      <c r="G58" s="3">
        <v>7.59</v>
      </c>
      <c r="H58" s="3">
        <v>78100</v>
      </c>
      <c r="I58" s="5">
        <v>592779</v>
      </c>
      <c r="J58" t="s">
        <v>349</v>
      </c>
      <c r="K58" s="3">
        <v>17.25</v>
      </c>
      <c r="L58" s="3">
        <v>78100</v>
      </c>
      <c r="M58" s="5">
        <v>1347225</v>
      </c>
      <c r="N58" t="s">
        <v>350</v>
      </c>
      <c r="O58" s="3">
        <v>8.15</v>
      </c>
      <c r="P58" s="3">
        <v>78100</v>
      </c>
      <c r="Q58" s="5">
        <v>636515</v>
      </c>
      <c r="R58" t="s">
        <v>351</v>
      </c>
      <c r="S58" s="3">
        <v>4.22</v>
      </c>
      <c r="T58" s="3">
        <v>78100</v>
      </c>
      <c r="U58" s="5">
        <v>329582</v>
      </c>
      <c r="V58" t="s">
        <v>352</v>
      </c>
      <c r="W58" s="3">
        <v>5.88</v>
      </c>
      <c r="X58" s="3">
        <v>78100</v>
      </c>
      <c r="Y58" s="5">
        <v>459228</v>
      </c>
      <c r="Z58" t="s">
        <v>353</v>
      </c>
      <c r="AA58" s="3">
        <v>6.12</v>
      </c>
      <c r="AB58" s="3">
        <v>78100</v>
      </c>
      <c r="AC58" s="5">
        <v>477972</v>
      </c>
      <c r="AD58" t="s">
        <v>345</v>
      </c>
      <c r="AE58" s="3">
        <v>5.39</v>
      </c>
      <c r="AF58" s="3">
        <v>78100</v>
      </c>
      <c r="AG58" s="5">
        <v>420959</v>
      </c>
      <c r="AH58" s="4" t="s">
        <v>354</v>
      </c>
      <c r="AI58" s="3"/>
      <c r="AJ58" s="3"/>
      <c r="AK58" s="5"/>
      <c r="AM58" s="3"/>
      <c r="AN58" s="3"/>
      <c r="AO58" s="5"/>
      <c r="AQ58" s="3"/>
      <c r="AR58" s="3"/>
      <c r="AS58" s="5"/>
      <c r="AU58" s="3"/>
      <c r="AV58" s="3"/>
      <c r="AW58" s="5"/>
      <c r="AY58" s="3"/>
      <c r="AZ58" s="3"/>
      <c r="BA58" s="5"/>
    </row>
    <row r="59" spans="1:53" ht="30" x14ac:dyDescent="0.25">
      <c r="A59" t="s">
        <v>355</v>
      </c>
      <c r="B59" t="s">
        <v>32</v>
      </c>
      <c r="C59" t="s">
        <v>356</v>
      </c>
      <c r="D59" s="4" t="s">
        <v>357</v>
      </c>
      <c r="E59">
        <v>21800</v>
      </c>
      <c r="F59" t="s">
        <v>35</v>
      </c>
      <c r="G59" s="3">
        <v>59.8</v>
      </c>
      <c r="H59" s="3">
        <v>21800</v>
      </c>
      <c r="I59" s="5">
        <v>1303640</v>
      </c>
      <c r="J59" t="s">
        <v>358</v>
      </c>
      <c r="K59" s="3"/>
      <c r="L59" s="3"/>
      <c r="M59" s="5"/>
      <c r="O59" s="3">
        <v>73.599999999999994</v>
      </c>
      <c r="P59" s="3">
        <v>21800</v>
      </c>
      <c r="Q59" s="5">
        <v>1604480</v>
      </c>
      <c r="R59" t="s">
        <v>359</v>
      </c>
      <c r="S59" s="3"/>
      <c r="T59" s="3"/>
      <c r="U59" s="5"/>
      <c r="W59" s="3"/>
      <c r="X59" s="3"/>
      <c r="Y59" s="5"/>
      <c r="AA59" s="3"/>
      <c r="AB59" s="3"/>
      <c r="AC59" s="5"/>
      <c r="AE59" s="3"/>
      <c r="AF59" s="3"/>
      <c r="AG59" s="5"/>
      <c r="AI59" s="3"/>
      <c r="AJ59" s="3"/>
      <c r="AK59" s="5"/>
      <c r="AM59" s="3"/>
      <c r="AN59" s="3"/>
      <c r="AO59" s="5"/>
      <c r="AQ59" s="3"/>
      <c r="AR59" s="3"/>
      <c r="AS59" s="5"/>
      <c r="AU59" s="3"/>
      <c r="AV59" s="3"/>
      <c r="AW59" s="5"/>
      <c r="AY59" s="3"/>
      <c r="AZ59" s="3"/>
      <c r="BA59" s="5"/>
    </row>
    <row r="60" spans="1:53" ht="75" x14ac:dyDescent="0.25">
      <c r="A60" t="s">
        <v>360</v>
      </c>
      <c r="B60" t="s">
        <v>32</v>
      </c>
      <c r="C60" t="s">
        <v>361</v>
      </c>
      <c r="D60" s="4" t="s">
        <v>362</v>
      </c>
      <c r="E60">
        <v>10</v>
      </c>
      <c r="F60" t="s">
        <v>35</v>
      </c>
      <c r="G60" s="3">
        <v>598</v>
      </c>
      <c r="H60" s="3">
        <v>10</v>
      </c>
      <c r="I60" s="5">
        <v>5980</v>
      </c>
      <c r="J60" t="s">
        <v>363</v>
      </c>
      <c r="K60" s="3"/>
      <c r="L60" s="3"/>
      <c r="M60" s="5"/>
      <c r="O60" s="3"/>
      <c r="P60" s="3"/>
      <c r="Q60" s="5"/>
      <c r="S60" s="3"/>
      <c r="T60" s="3"/>
      <c r="U60" s="5"/>
      <c r="W60" s="3"/>
      <c r="X60" s="3"/>
      <c r="Y60" s="5"/>
      <c r="AA60" s="3">
        <v>452</v>
      </c>
      <c r="AB60" s="3">
        <v>10</v>
      </c>
      <c r="AC60" s="5">
        <v>4520</v>
      </c>
      <c r="AD60" t="s">
        <v>364</v>
      </c>
      <c r="AE60" s="3"/>
      <c r="AF60" s="3"/>
      <c r="AG60" s="5"/>
      <c r="AI60" s="3"/>
      <c r="AJ60" s="3"/>
      <c r="AK60" s="5"/>
      <c r="AM60" s="3">
        <v>410</v>
      </c>
      <c r="AN60" s="3">
        <v>10</v>
      </c>
      <c r="AO60" s="5">
        <v>4100</v>
      </c>
      <c r="AP60" s="4" t="s">
        <v>365</v>
      </c>
      <c r="AQ60" s="3"/>
      <c r="AR60" s="3"/>
      <c r="AS60" s="5"/>
      <c r="AU60" s="3"/>
      <c r="AV60" s="3"/>
      <c r="AW60" s="5"/>
      <c r="AY60" s="3"/>
      <c r="AZ60" s="3"/>
      <c r="BA60" s="5"/>
    </row>
    <row r="61" spans="1:53" ht="30" x14ac:dyDescent="0.25">
      <c r="A61" t="s">
        <v>366</v>
      </c>
      <c r="B61" t="s">
        <v>32</v>
      </c>
      <c r="C61" t="s">
        <v>367</v>
      </c>
      <c r="D61" s="4" t="s">
        <v>368</v>
      </c>
      <c r="E61">
        <v>600</v>
      </c>
      <c r="F61" t="s">
        <v>35</v>
      </c>
      <c r="G61" s="3"/>
      <c r="H61" s="3"/>
      <c r="I61" s="5"/>
      <c r="K61" s="3"/>
      <c r="L61" s="3"/>
      <c r="M61" s="5"/>
      <c r="O61" s="3"/>
      <c r="P61" s="3"/>
      <c r="Q61" s="5"/>
      <c r="S61" s="3"/>
      <c r="T61" s="3"/>
      <c r="U61" s="5"/>
      <c r="W61" s="3"/>
      <c r="X61" s="3"/>
      <c r="Y61" s="5"/>
      <c r="AA61" s="3"/>
      <c r="AB61" s="3"/>
      <c r="AC61" s="5"/>
      <c r="AE61" s="3"/>
      <c r="AF61" s="3"/>
      <c r="AG61" s="5"/>
      <c r="AI61" s="3"/>
      <c r="AJ61" s="3"/>
      <c r="AK61" s="5"/>
      <c r="AM61" s="3"/>
      <c r="AN61" s="3"/>
      <c r="AO61" s="5"/>
      <c r="AQ61" s="3"/>
      <c r="AR61" s="3"/>
      <c r="AS61" s="5"/>
      <c r="AU61" s="3"/>
      <c r="AV61" s="3"/>
      <c r="AW61" s="5"/>
      <c r="AY61" s="3"/>
      <c r="AZ61" s="3"/>
      <c r="BA61" s="5"/>
    </row>
    <row r="62" spans="1:53" ht="30" x14ac:dyDescent="0.25">
      <c r="A62" t="s">
        <v>369</v>
      </c>
      <c r="B62" t="s">
        <v>32</v>
      </c>
      <c r="C62" t="s">
        <v>370</v>
      </c>
      <c r="D62" s="4" t="s">
        <v>371</v>
      </c>
      <c r="E62">
        <v>1150</v>
      </c>
      <c r="F62" t="s">
        <v>35</v>
      </c>
      <c r="G62" s="3">
        <v>598</v>
      </c>
      <c r="H62" s="3">
        <v>1150</v>
      </c>
      <c r="I62" s="5">
        <v>687700</v>
      </c>
      <c r="J62" t="s">
        <v>372</v>
      </c>
      <c r="K62" s="3"/>
      <c r="L62" s="3"/>
      <c r="M62" s="5"/>
      <c r="O62" s="3"/>
      <c r="P62" s="3"/>
      <c r="Q62" s="5"/>
      <c r="S62" s="3">
        <v>504.99</v>
      </c>
      <c r="T62" s="3">
        <v>1150</v>
      </c>
      <c r="U62" s="5">
        <v>580738.5</v>
      </c>
      <c r="V62" s="4" t="s">
        <v>373</v>
      </c>
      <c r="W62" s="3">
        <v>592.25</v>
      </c>
      <c r="X62" s="3">
        <v>1150</v>
      </c>
      <c r="Y62" s="5">
        <v>681087.5</v>
      </c>
      <c r="Z62" t="s">
        <v>374</v>
      </c>
      <c r="AA62" s="3"/>
      <c r="AB62" s="3"/>
      <c r="AC62" s="5"/>
      <c r="AE62" s="3">
        <v>535.15</v>
      </c>
      <c r="AF62" s="3">
        <v>1150</v>
      </c>
      <c r="AG62" s="5">
        <v>615422.5</v>
      </c>
      <c r="AH62" s="4" t="s">
        <v>375</v>
      </c>
      <c r="AI62" s="3"/>
      <c r="AJ62" s="3"/>
      <c r="AK62" s="5"/>
      <c r="AM62" s="3"/>
      <c r="AN62" s="3"/>
      <c r="AO62" s="5"/>
      <c r="AQ62" s="3"/>
      <c r="AR62" s="3"/>
      <c r="AS62" s="5"/>
      <c r="AU62" s="3"/>
      <c r="AV62" s="3"/>
      <c r="AW62" s="5"/>
      <c r="AY62" s="3"/>
      <c r="AZ62" s="3"/>
      <c r="BA62" s="5"/>
    </row>
    <row r="63" spans="1:53" ht="75" x14ac:dyDescent="0.25">
      <c r="A63" t="s">
        <v>376</v>
      </c>
      <c r="B63" t="s">
        <v>32</v>
      </c>
      <c r="C63" t="s">
        <v>377</v>
      </c>
      <c r="D63" s="4" t="s">
        <v>378</v>
      </c>
      <c r="E63">
        <v>325</v>
      </c>
      <c r="F63" t="s">
        <v>35</v>
      </c>
      <c r="G63" s="3">
        <v>1482.5</v>
      </c>
      <c r="H63" s="3">
        <v>325</v>
      </c>
      <c r="I63" s="5">
        <v>481812.5</v>
      </c>
      <c r="J63" t="s">
        <v>379</v>
      </c>
      <c r="K63" s="3"/>
      <c r="L63" s="3"/>
      <c r="M63" s="5"/>
      <c r="O63" s="3"/>
      <c r="P63" s="3"/>
      <c r="Q63" s="5"/>
      <c r="S63" s="3">
        <v>972.31</v>
      </c>
      <c r="T63" s="3">
        <v>325</v>
      </c>
      <c r="U63" s="5">
        <v>316000.75</v>
      </c>
      <c r="V63" t="s">
        <v>380</v>
      </c>
      <c r="W63" s="3">
        <v>1452</v>
      </c>
      <c r="X63" s="3">
        <v>325</v>
      </c>
      <c r="Y63" s="5">
        <v>471900</v>
      </c>
      <c r="Z63" t="s">
        <v>381</v>
      </c>
      <c r="AA63" s="3"/>
      <c r="AB63" s="3"/>
      <c r="AC63" s="5"/>
      <c r="AE63" s="3"/>
      <c r="AF63" s="3"/>
      <c r="AG63" s="5"/>
      <c r="AI63" s="3"/>
      <c r="AJ63" s="3"/>
      <c r="AK63" s="5"/>
      <c r="AM63" s="3">
        <v>822</v>
      </c>
      <c r="AN63" s="3">
        <v>325</v>
      </c>
      <c r="AO63" s="5">
        <v>267150</v>
      </c>
      <c r="AP63" s="4" t="s">
        <v>382</v>
      </c>
      <c r="AQ63" s="3"/>
      <c r="AR63" s="3"/>
      <c r="AS63" s="5"/>
      <c r="AU63" s="3"/>
      <c r="AV63" s="3"/>
      <c r="AW63" s="5"/>
      <c r="AY63" s="3"/>
      <c r="AZ63" s="3"/>
      <c r="BA63" s="5"/>
    </row>
    <row r="64" spans="1:53" ht="30" x14ac:dyDescent="0.25">
      <c r="A64" t="s">
        <v>383</v>
      </c>
      <c r="B64" t="s">
        <v>32</v>
      </c>
      <c r="C64" t="s">
        <v>384</v>
      </c>
      <c r="D64" s="4" t="s">
        <v>385</v>
      </c>
      <c r="E64">
        <v>3000</v>
      </c>
      <c r="F64" t="s">
        <v>35</v>
      </c>
      <c r="G64" s="3">
        <v>132.5</v>
      </c>
      <c r="H64" s="3">
        <v>3000</v>
      </c>
      <c r="I64" s="5">
        <v>397500</v>
      </c>
      <c r="J64" t="s">
        <v>386</v>
      </c>
      <c r="K64" s="3">
        <v>98</v>
      </c>
      <c r="L64" s="3">
        <v>3000</v>
      </c>
      <c r="M64" s="5">
        <v>294000</v>
      </c>
      <c r="N64" t="s">
        <v>387</v>
      </c>
      <c r="O64" s="3"/>
      <c r="P64" s="3"/>
      <c r="Q64" s="5"/>
      <c r="S64" s="3">
        <v>65.34</v>
      </c>
      <c r="T64" s="3">
        <v>3000</v>
      </c>
      <c r="U64" s="5">
        <v>196020</v>
      </c>
      <c r="V64" s="4" t="s">
        <v>388</v>
      </c>
      <c r="W64" s="3">
        <v>98.4</v>
      </c>
      <c r="X64" s="3">
        <v>3000</v>
      </c>
      <c r="Y64" s="5">
        <v>295200</v>
      </c>
      <c r="Z64" t="s">
        <v>389</v>
      </c>
      <c r="AA64" s="3">
        <v>253</v>
      </c>
      <c r="AB64" s="3">
        <v>3000</v>
      </c>
      <c r="AC64" s="5">
        <v>759000</v>
      </c>
      <c r="AD64" t="s">
        <v>390</v>
      </c>
      <c r="AE64" s="3">
        <v>96.71</v>
      </c>
      <c r="AF64" s="3">
        <v>3000</v>
      </c>
      <c r="AG64" s="5">
        <v>290130</v>
      </c>
      <c r="AH64" s="4" t="s">
        <v>391</v>
      </c>
      <c r="AI64" s="3"/>
      <c r="AJ64" s="3"/>
      <c r="AK64" s="5"/>
      <c r="AM64" s="3"/>
      <c r="AN64" s="3"/>
      <c r="AO64" s="5"/>
      <c r="AQ64" s="3"/>
      <c r="AR64" s="3"/>
      <c r="AS64" s="5"/>
      <c r="AU64" s="3"/>
      <c r="AV64" s="3"/>
      <c r="AW64" s="5"/>
      <c r="AY64" s="3"/>
      <c r="AZ64" s="3"/>
      <c r="BA64" s="5"/>
    </row>
    <row r="65" spans="1:54" ht="30" x14ac:dyDescent="0.25">
      <c r="A65" t="s">
        <v>392</v>
      </c>
      <c r="B65" t="s">
        <v>32</v>
      </c>
      <c r="C65" t="s">
        <v>393</v>
      </c>
      <c r="D65" s="4" t="s">
        <v>394</v>
      </c>
      <c r="E65">
        <v>950</v>
      </c>
      <c r="F65" t="s">
        <v>35</v>
      </c>
      <c r="G65" s="3"/>
      <c r="H65" s="3"/>
      <c r="I65" s="5"/>
      <c r="K65" s="3"/>
      <c r="L65" s="3"/>
      <c r="M65" s="5"/>
      <c r="O65" s="3"/>
      <c r="P65" s="3"/>
      <c r="Q65" s="5"/>
      <c r="S65" s="3">
        <v>25.92</v>
      </c>
      <c r="T65" s="3">
        <v>950</v>
      </c>
      <c r="U65" s="5">
        <v>24624</v>
      </c>
      <c r="V65" t="s">
        <v>395</v>
      </c>
      <c r="W65" s="3"/>
      <c r="X65" s="3"/>
      <c r="Y65" s="5"/>
      <c r="AA65" s="3"/>
      <c r="AB65" s="3"/>
      <c r="AC65" s="5"/>
      <c r="AE65" s="3"/>
      <c r="AF65" s="3"/>
      <c r="AG65" s="5"/>
      <c r="AI65" s="3"/>
      <c r="AJ65" s="3"/>
      <c r="AK65" s="5"/>
      <c r="AM65" s="3"/>
      <c r="AN65" s="3"/>
      <c r="AO65" s="5"/>
      <c r="AQ65" s="3"/>
      <c r="AR65" s="3"/>
      <c r="AS65" s="5"/>
      <c r="AU65" s="3"/>
      <c r="AV65" s="3"/>
      <c r="AW65" s="5"/>
      <c r="AY65" s="3"/>
      <c r="AZ65" s="3"/>
      <c r="BA65" s="5"/>
    </row>
    <row r="66" spans="1:54" ht="60" x14ac:dyDescent="0.25">
      <c r="A66" t="s">
        <v>396</v>
      </c>
      <c r="B66" t="s">
        <v>32</v>
      </c>
      <c r="C66" t="s">
        <v>397</v>
      </c>
      <c r="D66" s="4" t="s">
        <v>398</v>
      </c>
      <c r="E66">
        <v>25</v>
      </c>
      <c r="F66" t="s">
        <v>35</v>
      </c>
      <c r="G66" s="3">
        <v>9672.5</v>
      </c>
      <c r="H66" s="3">
        <v>25</v>
      </c>
      <c r="I66" s="5">
        <v>241812.5</v>
      </c>
      <c r="J66" t="s">
        <v>399</v>
      </c>
      <c r="K66" s="3"/>
      <c r="L66" s="3"/>
      <c r="M66" s="5"/>
      <c r="O66" s="3"/>
      <c r="P66" s="3"/>
      <c r="Q66" s="5"/>
      <c r="S66" s="3">
        <v>2917.95</v>
      </c>
      <c r="T66" s="3">
        <v>25</v>
      </c>
      <c r="U66" s="5">
        <v>72948.75</v>
      </c>
      <c r="V66" t="s">
        <v>400</v>
      </c>
      <c r="W66" s="3"/>
      <c r="X66" s="3"/>
      <c r="Y66" s="5"/>
      <c r="AA66" s="3"/>
      <c r="AB66" s="3"/>
      <c r="AC66" s="5"/>
      <c r="AE66" s="3"/>
      <c r="AF66" s="3"/>
      <c r="AG66" s="5"/>
      <c r="AI66" s="3"/>
      <c r="AJ66" s="3"/>
      <c r="AK66" s="5"/>
      <c r="AM66" s="3">
        <v>1950</v>
      </c>
      <c r="AN66" s="3">
        <v>25</v>
      </c>
      <c r="AO66" s="5">
        <v>48750</v>
      </c>
      <c r="AP66" s="4" t="s">
        <v>401</v>
      </c>
      <c r="AQ66" s="3"/>
      <c r="AR66" s="3"/>
      <c r="AS66" s="5"/>
      <c r="AU66" s="3"/>
      <c r="AV66" s="3"/>
      <c r="AW66" s="5"/>
      <c r="AY66" s="3"/>
      <c r="AZ66" s="3"/>
      <c r="BA66" s="5"/>
    </row>
    <row r="67" spans="1:54" ht="30" x14ac:dyDescent="0.25">
      <c r="A67" t="s">
        <v>402</v>
      </c>
      <c r="B67" t="s">
        <v>32</v>
      </c>
      <c r="C67" t="s">
        <v>403</v>
      </c>
      <c r="D67" s="4" t="s">
        <v>404</v>
      </c>
      <c r="E67">
        <v>300</v>
      </c>
      <c r="F67" t="s">
        <v>35</v>
      </c>
      <c r="G67" s="3"/>
      <c r="H67" s="3"/>
      <c r="I67" s="5"/>
      <c r="K67" s="3"/>
      <c r="L67" s="3"/>
      <c r="M67" s="5"/>
      <c r="O67" s="3"/>
      <c r="P67" s="3"/>
      <c r="Q67" s="5"/>
      <c r="S67" s="3"/>
      <c r="T67" s="3"/>
      <c r="U67" s="5"/>
      <c r="W67" s="3"/>
      <c r="X67" s="3"/>
      <c r="Y67" s="5"/>
      <c r="AA67" s="3">
        <v>17.12</v>
      </c>
      <c r="AB67" s="3">
        <v>300</v>
      </c>
      <c r="AC67" s="5">
        <v>5136</v>
      </c>
      <c r="AD67" t="s">
        <v>405</v>
      </c>
      <c r="AE67" s="3"/>
      <c r="AF67" s="3"/>
      <c r="AG67" s="5"/>
      <c r="AI67" s="3"/>
      <c r="AJ67" s="3"/>
      <c r="AK67" s="5"/>
      <c r="AM67" s="3"/>
      <c r="AN67" s="3"/>
      <c r="AO67" s="5"/>
      <c r="AQ67" s="3"/>
      <c r="AR67" s="3"/>
      <c r="AS67" s="5"/>
      <c r="AU67" s="3"/>
      <c r="AV67" s="3"/>
      <c r="AW67" s="5"/>
      <c r="AY67" s="3"/>
      <c r="AZ67" s="3"/>
      <c r="BA67" s="5"/>
    </row>
    <row r="68" spans="1:54" ht="30" x14ac:dyDescent="0.25">
      <c r="A68" t="s">
        <v>406</v>
      </c>
      <c r="B68" t="s">
        <v>32</v>
      </c>
      <c r="C68" t="s">
        <v>407</v>
      </c>
      <c r="D68" s="4" t="s">
        <v>408</v>
      </c>
      <c r="E68">
        <v>400</v>
      </c>
      <c r="F68" t="s">
        <v>35</v>
      </c>
      <c r="G68" s="3">
        <v>225</v>
      </c>
      <c r="H68" s="3">
        <v>400</v>
      </c>
      <c r="I68" s="5">
        <v>90000</v>
      </c>
      <c r="J68" t="s">
        <v>409</v>
      </c>
      <c r="K68" s="3"/>
      <c r="L68" s="3"/>
      <c r="M68" s="5"/>
      <c r="O68" s="3"/>
      <c r="P68" s="3"/>
      <c r="Q68" s="5"/>
      <c r="S68" s="3"/>
      <c r="T68" s="3"/>
      <c r="U68" s="5"/>
      <c r="W68" s="3"/>
      <c r="X68" s="3"/>
      <c r="Y68" s="5"/>
      <c r="AA68" s="3"/>
      <c r="AB68" s="3"/>
      <c r="AC68" s="5"/>
      <c r="AE68" s="3"/>
      <c r="AF68" s="3"/>
      <c r="AG68" s="5"/>
      <c r="AI68" s="3"/>
      <c r="AJ68" s="3"/>
      <c r="AK68" s="5"/>
      <c r="AM68" s="3"/>
      <c r="AN68" s="3"/>
      <c r="AO68" s="5"/>
      <c r="AQ68" s="3"/>
      <c r="AR68" s="3"/>
      <c r="AS68" s="5"/>
      <c r="AU68" s="3"/>
      <c r="AV68" s="3"/>
      <c r="AW68" s="5"/>
      <c r="AY68" s="3">
        <v>90</v>
      </c>
      <c r="AZ68" s="3">
        <v>400</v>
      </c>
      <c r="BA68" s="5">
        <v>36000</v>
      </c>
      <c r="BB68" t="s">
        <v>410</v>
      </c>
    </row>
    <row r="69" spans="1:54" ht="30" x14ac:dyDescent="0.25">
      <c r="A69" t="s">
        <v>411</v>
      </c>
      <c r="B69" t="s">
        <v>32</v>
      </c>
      <c r="C69" t="s">
        <v>412</v>
      </c>
      <c r="D69" s="4" t="s">
        <v>413</v>
      </c>
      <c r="E69">
        <v>22100</v>
      </c>
      <c r="F69" t="s">
        <v>35</v>
      </c>
      <c r="G69" s="3">
        <v>32.5</v>
      </c>
      <c r="H69" s="3">
        <v>22100</v>
      </c>
      <c r="I69" s="5">
        <v>718250</v>
      </c>
      <c r="J69" t="s">
        <v>414</v>
      </c>
      <c r="K69" s="3"/>
      <c r="L69" s="3"/>
      <c r="M69" s="5"/>
      <c r="O69" s="3"/>
      <c r="P69" s="3"/>
      <c r="Q69" s="5"/>
      <c r="S69" s="3"/>
      <c r="T69" s="3"/>
      <c r="U69" s="5"/>
      <c r="W69" s="3"/>
      <c r="X69" s="3"/>
      <c r="Y69" s="5"/>
      <c r="AA69" s="3"/>
      <c r="AB69" s="3"/>
      <c r="AC69" s="5"/>
      <c r="AE69" s="3">
        <v>15.4</v>
      </c>
      <c r="AF69" s="3">
        <v>22100</v>
      </c>
      <c r="AG69" s="5">
        <v>340340</v>
      </c>
      <c r="AH69" t="s">
        <v>415</v>
      </c>
      <c r="AI69" s="3"/>
      <c r="AJ69" s="3"/>
      <c r="AK69" s="5"/>
      <c r="AM69" s="3"/>
      <c r="AN69" s="3"/>
      <c r="AO69" s="5"/>
      <c r="AQ69" s="3"/>
      <c r="AR69" s="3"/>
      <c r="AS69" s="5"/>
      <c r="AU69" s="3"/>
      <c r="AV69" s="3"/>
      <c r="AW69" s="5"/>
      <c r="AY69" s="3">
        <v>7.65</v>
      </c>
      <c r="AZ69" s="3">
        <v>22100</v>
      </c>
      <c r="BA69" s="5">
        <v>169065</v>
      </c>
      <c r="BB69" t="s">
        <v>416</v>
      </c>
    </row>
    <row r="70" spans="1:54" ht="30" x14ac:dyDescent="0.25">
      <c r="A70" t="s">
        <v>417</v>
      </c>
      <c r="B70" t="s">
        <v>32</v>
      </c>
      <c r="C70" t="s">
        <v>418</v>
      </c>
      <c r="D70" s="4" t="s">
        <v>419</v>
      </c>
      <c r="E70">
        <v>2100</v>
      </c>
      <c r="F70" t="s">
        <v>35</v>
      </c>
      <c r="G70" s="3">
        <v>62.5</v>
      </c>
      <c r="H70" s="3">
        <v>2100</v>
      </c>
      <c r="I70" s="5">
        <v>131250</v>
      </c>
      <c r="J70" t="s">
        <v>420</v>
      </c>
      <c r="K70" s="3">
        <v>58.8</v>
      </c>
      <c r="L70" s="3">
        <v>2100</v>
      </c>
      <c r="M70" s="5">
        <v>123480</v>
      </c>
      <c r="N70" t="s">
        <v>421</v>
      </c>
      <c r="O70" s="3"/>
      <c r="P70" s="3"/>
      <c r="Q70" s="5"/>
      <c r="S70" s="3">
        <v>39.979999999999997</v>
      </c>
      <c r="T70" s="3">
        <v>2100</v>
      </c>
      <c r="U70" s="5">
        <v>83958</v>
      </c>
      <c r="V70" s="4" t="s">
        <v>422</v>
      </c>
      <c r="W70" s="3">
        <v>86.4</v>
      </c>
      <c r="X70" s="3">
        <v>2100</v>
      </c>
      <c r="Y70" s="5">
        <v>181440</v>
      </c>
      <c r="Z70" t="s">
        <v>423</v>
      </c>
      <c r="AA70" s="3"/>
      <c r="AB70" s="3"/>
      <c r="AC70" s="5"/>
      <c r="AE70" s="3"/>
      <c r="AF70" s="3"/>
      <c r="AG70" s="5"/>
      <c r="AI70" s="3">
        <v>65</v>
      </c>
      <c r="AJ70" s="3">
        <v>2100</v>
      </c>
      <c r="AK70" s="5">
        <v>136500</v>
      </c>
      <c r="AL70" t="s">
        <v>424</v>
      </c>
      <c r="AM70" s="3"/>
      <c r="AN70" s="3"/>
      <c r="AO70" s="5"/>
      <c r="AQ70" s="3"/>
      <c r="AR70" s="3"/>
      <c r="AS70" s="5"/>
      <c r="AU70" s="3"/>
      <c r="AV70" s="3"/>
      <c r="AW70" s="5"/>
      <c r="AY70" s="3"/>
      <c r="AZ70" s="3"/>
      <c r="BA70" s="5"/>
    </row>
    <row r="71" spans="1:54" ht="30" x14ac:dyDescent="0.25">
      <c r="A71" t="s">
        <v>425</v>
      </c>
      <c r="B71" t="s">
        <v>32</v>
      </c>
      <c r="C71" t="s">
        <v>426</v>
      </c>
      <c r="D71" s="4" t="s">
        <v>427</v>
      </c>
      <c r="E71">
        <v>2800</v>
      </c>
      <c r="F71" t="s">
        <v>35</v>
      </c>
      <c r="G71" s="3">
        <v>83.95</v>
      </c>
      <c r="H71" s="3">
        <v>2800</v>
      </c>
      <c r="I71" s="5">
        <v>235060</v>
      </c>
      <c r="J71" t="s">
        <v>420</v>
      </c>
      <c r="K71" s="3">
        <v>79.8</v>
      </c>
      <c r="L71" s="3">
        <v>2800</v>
      </c>
      <c r="M71" s="5">
        <v>223440</v>
      </c>
      <c r="N71" t="s">
        <v>428</v>
      </c>
      <c r="O71" s="3"/>
      <c r="P71" s="3"/>
      <c r="Q71" s="5"/>
      <c r="S71" s="3">
        <v>64.59</v>
      </c>
      <c r="T71" s="3">
        <v>2800</v>
      </c>
      <c r="U71" s="5">
        <v>180852</v>
      </c>
      <c r="V71" s="4" t="s">
        <v>429</v>
      </c>
      <c r="W71" s="3">
        <v>94.8</v>
      </c>
      <c r="X71" s="3">
        <v>2800</v>
      </c>
      <c r="Y71" s="5">
        <v>265440</v>
      </c>
      <c r="Z71" t="s">
        <v>430</v>
      </c>
      <c r="AA71" s="3"/>
      <c r="AB71" s="3"/>
      <c r="AC71" s="5"/>
      <c r="AE71" s="3">
        <v>81.62</v>
      </c>
      <c r="AF71" s="3">
        <v>2800</v>
      </c>
      <c r="AG71" s="5">
        <v>228536</v>
      </c>
      <c r="AH71" s="4" t="s">
        <v>431</v>
      </c>
      <c r="AI71" s="3">
        <v>79</v>
      </c>
      <c r="AJ71" s="3">
        <v>2800</v>
      </c>
      <c r="AK71" s="5">
        <v>221200</v>
      </c>
      <c r="AL71" t="s">
        <v>424</v>
      </c>
      <c r="AM71" s="3"/>
      <c r="AN71" s="3"/>
      <c r="AO71" s="5"/>
      <c r="AQ71" s="3"/>
      <c r="AR71" s="3"/>
      <c r="AS71" s="5"/>
      <c r="AU71" s="3"/>
      <c r="AV71" s="3"/>
      <c r="AW71" s="5"/>
      <c r="AY71" s="3"/>
      <c r="AZ71" s="3"/>
      <c r="BA71" s="5"/>
    </row>
    <row r="72" spans="1:54" ht="30" x14ac:dyDescent="0.25">
      <c r="A72" t="s">
        <v>432</v>
      </c>
      <c r="B72" t="s">
        <v>32</v>
      </c>
      <c r="C72" t="s">
        <v>433</v>
      </c>
      <c r="D72" s="4" t="s">
        <v>434</v>
      </c>
      <c r="E72">
        <v>800</v>
      </c>
      <c r="F72" t="s">
        <v>35</v>
      </c>
      <c r="G72" s="3">
        <v>598</v>
      </c>
      <c r="H72" s="3">
        <v>800</v>
      </c>
      <c r="I72" s="5">
        <v>478400</v>
      </c>
      <c r="J72" t="s">
        <v>435</v>
      </c>
      <c r="K72" s="3"/>
      <c r="L72" s="3"/>
      <c r="M72" s="5"/>
      <c r="O72" s="3"/>
      <c r="P72" s="3"/>
      <c r="Q72" s="5"/>
      <c r="S72" s="3">
        <v>439.98</v>
      </c>
      <c r="T72" s="3">
        <v>800</v>
      </c>
      <c r="U72" s="5">
        <v>351984</v>
      </c>
      <c r="V72" s="4" t="s">
        <v>436</v>
      </c>
      <c r="W72" s="3"/>
      <c r="X72" s="3"/>
      <c r="Y72" s="5"/>
      <c r="AA72" s="3"/>
      <c r="AB72" s="3"/>
      <c r="AC72" s="5"/>
      <c r="AE72" s="3"/>
      <c r="AF72" s="3"/>
      <c r="AG72" s="5"/>
      <c r="AI72" s="3"/>
      <c r="AJ72" s="3"/>
      <c r="AK72" s="5"/>
      <c r="AM72" s="3"/>
      <c r="AN72" s="3"/>
      <c r="AO72" s="5"/>
      <c r="AQ72" s="3"/>
      <c r="AR72" s="3"/>
      <c r="AS72" s="5"/>
      <c r="AU72" s="3"/>
      <c r="AV72" s="3"/>
      <c r="AW72" s="5"/>
      <c r="AY72" s="3"/>
      <c r="AZ72" s="3"/>
      <c r="BA72" s="5"/>
    </row>
    <row r="73" spans="1:54" x14ac:dyDescent="0.25">
      <c r="C73" t="s">
        <v>437</v>
      </c>
      <c r="D73" s="4"/>
      <c r="G73" s="3"/>
      <c r="H73" s="3"/>
      <c r="I73" s="5">
        <f>SUBTOTAL(109,Table2[Total por renglón])</f>
        <v>17705722.350000001</v>
      </c>
      <c r="K73" s="3"/>
      <c r="L73" s="3"/>
      <c r="M73" s="5">
        <f>SUBTOTAL(109,Table3[Total por renglón])</f>
        <v>9253307</v>
      </c>
      <c r="O73" s="3"/>
      <c r="P73" s="3"/>
      <c r="Q73" s="5">
        <f>SUBTOTAL(109,Table4[Total por renglón])</f>
        <v>8839715.5</v>
      </c>
      <c r="S73" s="3"/>
      <c r="T73" s="3"/>
      <c r="U73" s="5">
        <f>SUBTOTAL(109,Table5[Total por renglón])</f>
        <v>12559151.130000001</v>
      </c>
      <c r="V73" s="4"/>
      <c r="W73" s="3"/>
      <c r="X73" s="3"/>
      <c r="Y73" s="5">
        <f>SUBTOTAL(109,Table6[Total por renglón])</f>
        <v>14332056.300000001</v>
      </c>
      <c r="AA73" s="3"/>
      <c r="AB73" s="3"/>
      <c r="AC73" s="5">
        <f>SUBTOTAL(109,Table7[Total por renglón])</f>
        <v>13603237.800000001</v>
      </c>
      <c r="AE73" s="3"/>
      <c r="AF73" s="3"/>
      <c r="AG73" s="5">
        <f>SUBTOTAL(109,Table8[Total por renglón])</f>
        <v>11421544.6</v>
      </c>
      <c r="AI73" s="3"/>
      <c r="AJ73" s="3"/>
      <c r="AK73" s="5">
        <f>SUBTOTAL(109,Table9[Total por renglón])</f>
        <v>996350</v>
      </c>
      <c r="AM73" s="3"/>
      <c r="AN73" s="3"/>
      <c r="AO73" s="5">
        <f>SUBTOTAL(109,Table10[Total por renglón])</f>
        <v>573650</v>
      </c>
      <c r="AQ73" s="3"/>
      <c r="AR73" s="3"/>
      <c r="AS73" s="5">
        <f>SUBTOTAL(109,Table11[Total por renglón])</f>
        <v>3536720</v>
      </c>
      <c r="AU73" s="3"/>
      <c r="AV73" s="3"/>
      <c r="AW73" s="5">
        <f>SUBTOTAL(109,Table12[Total por renglón])</f>
        <v>485352</v>
      </c>
      <c r="AY73" s="3"/>
      <c r="AZ73" s="3"/>
      <c r="BA73" s="5">
        <f>SUBTOTAL(109,Table13[Total por renglón])</f>
        <v>205065</v>
      </c>
    </row>
  </sheetData>
  <mergeCells count="13">
    <mergeCell ref="AU8:AX8"/>
    <mergeCell ref="AY8:BB8"/>
    <mergeCell ref="A8:F8"/>
    <mergeCell ref="AA8:AD8"/>
    <mergeCell ref="AE8:AH8"/>
    <mergeCell ref="AI8:AL8"/>
    <mergeCell ref="AM8:AP8"/>
    <mergeCell ref="AQ8:AT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2022-10-11T15:06:47Z</dcterms:created>
  <dcterms:modified xsi:type="dcterms:W3CDTF">2022-10-11T15:07:00Z</dcterms:modified>
</cp:coreProperties>
</file>