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E:\SPP\4° TRIMESTRE\ALIMENTOS PERECEDEROS\"/>
    </mc:Choice>
  </mc:AlternateContent>
  <xr:revisionPtr revIDLastSave="0" documentId="13_ncr:1_{077191F5-8E02-4E21-B2D0-F483CB7B37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  <sheet name="Nota de Pedido" sheetId="2" r:id="rId2"/>
    <sheet name="APG" sheetId="3" r:id="rId3"/>
  </sheets>
  <definedNames>
    <definedName name="_xlnm.Print_Area" localSheetId="0">'Necesidades Trimestrales'!$A$2:$I$9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2" l="1"/>
  <c r="B29" i="2"/>
  <c r="J36" i="2"/>
  <c r="I34" i="1"/>
  <c r="A35" i="2"/>
  <c r="B35" i="2"/>
  <c r="C35" i="2"/>
  <c r="I35" i="2"/>
  <c r="J35" i="2"/>
  <c r="K35" i="2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C34" i="2" l="1"/>
  <c r="C33" i="2"/>
  <c r="B33" i="2"/>
  <c r="I27" i="2"/>
  <c r="I26" i="2"/>
  <c r="I24" i="2"/>
  <c r="C21" i="2"/>
  <c r="C20" i="2"/>
  <c r="B14" i="2"/>
  <c r="I34" i="2"/>
  <c r="C32" i="2"/>
  <c r="C31" i="2"/>
  <c r="C30" i="2"/>
  <c r="B30" i="2"/>
  <c r="C28" i="2"/>
  <c r="C26" i="2"/>
  <c r="B25" i="2"/>
  <c r="C22" i="2"/>
  <c r="I19" i="2"/>
  <c r="C18" i="2"/>
  <c r="J17" i="2"/>
  <c r="B17" i="2"/>
  <c r="C16" i="2"/>
  <c r="B16" i="2"/>
  <c r="B15" i="2"/>
  <c r="B13" i="2"/>
  <c r="G7" i="3"/>
  <c r="G6" i="3"/>
  <c r="Q20" i="3"/>
  <c r="K34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J13" i="2"/>
  <c r="J14" i="2"/>
  <c r="J15" i="2"/>
  <c r="J16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I13" i="2"/>
  <c r="I14" i="2"/>
  <c r="I15" i="2"/>
  <c r="I16" i="2"/>
  <c r="I17" i="2"/>
  <c r="I18" i="2"/>
  <c r="I20" i="2"/>
  <c r="I21" i="2"/>
  <c r="I22" i="2"/>
  <c r="I23" i="2"/>
  <c r="I25" i="2"/>
  <c r="I28" i="2"/>
  <c r="I29" i="2"/>
  <c r="I30" i="2"/>
  <c r="I31" i="2"/>
  <c r="I32" i="2"/>
  <c r="I33" i="2"/>
  <c r="C13" i="2"/>
  <c r="C14" i="2"/>
  <c r="C15" i="2"/>
  <c r="C17" i="2"/>
  <c r="C19" i="2"/>
  <c r="C23" i="2"/>
  <c r="C24" i="2"/>
  <c r="C25" i="2"/>
  <c r="C27" i="2"/>
  <c r="C29" i="2"/>
  <c r="B18" i="2"/>
  <c r="B19" i="2"/>
  <c r="B20" i="2"/>
  <c r="B21" i="2"/>
  <c r="B22" i="2"/>
  <c r="B23" i="2"/>
  <c r="B24" i="2"/>
  <c r="B26" i="2"/>
  <c r="B27" i="2"/>
  <c r="B28" i="2"/>
  <c r="B31" i="2"/>
  <c r="B3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K12" i="2"/>
  <c r="J12" i="2"/>
  <c r="I12" i="2"/>
  <c r="C12" i="2"/>
  <c r="B12" i="2"/>
  <c r="A12" i="2"/>
  <c r="D4" i="2"/>
  <c r="G5" i="3" s="1"/>
  <c r="D3" i="2"/>
  <c r="G4" i="3" s="1"/>
</calcChain>
</file>

<file path=xl/sharedStrings.xml><?xml version="1.0" encoding="utf-8"?>
<sst xmlns="http://schemas.openxmlformats.org/spreadsheetml/2006/main" count="226" uniqueCount="134">
  <si>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</si>
  <si>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</si>
  <si>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</si>
  <si>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</si>
  <si>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</si>
  <si>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</si>
  <si>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</si>
  <si>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</si>
  <si>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</si>
  <si>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</si>
  <si>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</si>
  <si>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</si>
  <si>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</si>
  <si>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</si>
  <si>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</si>
  <si>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</si>
  <si>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ALIMENTOS</t>
  </si>
  <si>
    <t>2.1.1</t>
  </si>
  <si>
    <t>UNIDAD</t>
  </si>
  <si>
    <t>BOLSA</t>
  </si>
  <si>
    <t>2.1.1-542.236</t>
  </si>
  <si>
    <t>QUESOS; TIPO: CREMOSO, PRESENTACION: AL PESO, ELEM. TRANSPORTE: SIN, MATERIAL ELEM. TRANSPORTE: SIN, MATERIAL ENVASE: SIN, CERTIFICADO FORESTAL (GFS): SIN, LIBRE DE GLUTEN: A DEFINIR</t>
  </si>
  <si>
    <t>2.1.1-542.235</t>
  </si>
  <si>
    <t>QUESOS; TIPO: PORT SALUT, PRESENTACION: AL PESO, ELEM. TRANSPORTE: SIN, MATERIAL ELEM. TRANSPORTE: SIN, MATERIAL ENVASE: SIN, CERTIFICADO FORESTAL (GFS): SIN, LIBRE DE GLUTEN: A DEFINIR</t>
  </si>
  <si>
    <t>2.1.1-541.18</t>
  </si>
  <si>
    <t>2.1.1-2116.2</t>
  </si>
  <si>
    <t>2.1.1-6546.335</t>
  </si>
  <si>
    <t>VERDURAS Y HORTALIZAS; VARIEDAD: PAPA BLANCA, ESTADO: NATURAL, PRESENTACION: BOLSA, PESO: 25 Kg</t>
  </si>
  <si>
    <t>2.1.1-6546.158</t>
  </si>
  <si>
    <t>VERDURAS Y HORTALIZAS; ESTADO: NATURAL, VARIEDAD: ZAPALLO ANCO, PRESENTACION: GRANEL, PESO: SIN VALOR</t>
  </si>
  <si>
    <t>2.1.1-6546.188</t>
  </si>
  <si>
    <t>VERDURAS Y HORTALIZAS; ESTADO: NATURAL, PRESENTACION: GRANEL, PESO: SIN VALOR, VARIEDAD: ZAPALLO CRIOLLO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</si>
  <si>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</si>
  <si>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</si>
  <si>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CAJON</t>
  </si>
  <si>
    <t>CARTON</t>
  </si>
  <si>
    <t>2.1.1-6546.34</t>
  </si>
  <si>
    <t>VERDURAS Y HORTALIZAS; VARIEDAD: ACELGA, ESTADO: EN HOJA, PRESENTACION: ATADO, PESO: SIN VALOR</t>
  </si>
  <si>
    <t>ATADO</t>
  </si>
  <si>
    <t>2.1.1-6546.39</t>
  </si>
  <si>
    <t>VERDURAS Y HORTALIZAS; VARIEDAD: CEBOLLA, ESTADO: NATURAL, PRESENTACION: BOLSA, PESO: 25 Kg</t>
  </si>
  <si>
    <t>2.1.1-6546.167</t>
  </si>
  <si>
    <t>VERDURAS Y HORTALIZAS; VARIEDAD: ZANAHORIA, PRESENTACION: BOLSA, ESTADO: NATURAL, PESO: 20 Kg</t>
  </si>
  <si>
    <t>2.1.1-541.59</t>
  </si>
  <si>
    <t>COSTO TOTAL ESTIMADO ALIMENTOS PERECEDEROS</t>
  </si>
  <si>
    <t>HUEVO DE GALLINA; TAMAÑO: GRANDE, COLOR: COLOR, PRESENTACION: 30 UN</t>
  </si>
  <si>
    <t>FRUTAS; PRESENTACION: GRANEL, VARIEDAD: NARANJA OMBLIGO, ESTADO: NATURAL, PESO: SIN VALOR</t>
  </si>
  <si>
    <t>2.1.1-483.37</t>
  </si>
  <si>
    <t>2.1.1-6539.2</t>
  </si>
  <si>
    <t>2.1.1-6546.240</t>
  </si>
  <si>
    <t>VERDURAS Y HORTALIZAS; VARIEDAD: ZAPALLITO REDONDO, ESTADO: NATURAL, PRESENTACION: SIN VALOR, PESO: 20 Kg</t>
  </si>
  <si>
    <t>CARNES; CORTE: HIGADO, ESPECIE: VACUNA, TIPO: VACUNA</t>
  </si>
  <si>
    <t>2.1.1-541.45</t>
  </si>
  <si>
    <t>FRUTAS; ESTADO: NATURAL, VARIEDAD: MANZANA RED DELICIOSA, PRESENTACION: CAJON, PESO: SIN VALOR</t>
  </si>
  <si>
    <t>2.1.1-6539.20</t>
  </si>
  <si>
    <t>2.1.1-6546.113</t>
  </si>
  <si>
    <t>VERDURAS Y HORTALIZAS; ESTADO: NATURAL, PESO: SIN VALOR, VARIEDAD: REPOLLO BLANCO, PRESENTACION: GRANEL</t>
  </si>
  <si>
    <t>FRUTAS; VARIEDAD: PERA AMARILLA, ESTADO: NATURAL, PRESENTACION: CAJON, PESO: SIN VALOR</t>
  </si>
  <si>
    <t>2.1.1-6539.32</t>
  </si>
  <si>
    <t>2.1.1-6546.207</t>
  </si>
  <si>
    <t>VERDURAS Y HORTALIZAS; VARIEDAD: BATATA, ESTADO: NATURAL, PRESENTACION: BOLSA, PESO: 10 Kg</t>
  </si>
  <si>
    <t>VERDURAS Y HORTALIZAS; VARIEDAD: AJO, ESTADO: NATURAL, PRESENTACION: RISTRA, PESO: SIN VALOR</t>
  </si>
  <si>
    <t>2.1.1-6546.153</t>
  </si>
  <si>
    <t>RISTRA</t>
  </si>
  <si>
    <t>VERDURAS Y HORTALIZAS; VARIEDAD: MORRON VERDE, ESTADO: NATURAL, PRESENTACION: GRANEL, PESO: SIN VALOR</t>
  </si>
  <si>
    <t>2.1.1-6546.95</t>
  </si>
  <si>
    <t>YOGHURT; SABOR: VAINILLA, ENVASE: SACHET, AGREGADO: SIN VALOR, CONSISTENCIA: BEBIBLE, PRESENTACION: SACHET X 1 L, CAPACIDAD: 1 L, TIPO: ENTERO</t>
  </si>
  <si>
    <t>YOGHURT; CAPACIDAD: 1 L, SABOR: FRUTILLA, TIPO: ENTERO, ENVASE: SACHET, AGREGADO: SIN VALOR, CONSISTENCIA: BEBIBLE, PRESENTACION: SACHET X 1 L</t>
  </si>
  <si>
    <t>2.1.1-456.1</t>
  </si>
  <si>
    <t>2.1.1-456.22</t>
  </si>
  <si>
    <t>SACHET</t>
  </si>
  <si>
    <t>ESPECIFICIDADES DE LOS ITEMS</t>
  </si>
  <si>
    <t xml:space="preserve"> Descripcion Técnica:</t>
  </si>
  <si>
    <r>
      <rPr>
        <b/>
        <sz val="10"/>
        <rFont val="Times New Roman"/>
        <family val="1"/>
        <charset val="1"/>
      </rPr>
      <t>Entrega y Forma de Pago:</t>
    </r>
    <r>
      <rPr>
        <sz val="10"/>
        <rFont val="Times New Roman"/>
        <family val="1"/>
        <charset val="1"/>
      </rPr>
      <t xml:space="preserve"> 
(Para todos los ítems)</t>
    </r>
  </si>
  <si>
    <t>Lugar de Entrega:</t>
  </si>
  <si>
    <t>Servicio Penitenciario Provincial, Ruta Nacional 38, km 558 Colonia del Valle.</t>
  </si>
  <si>
    <t>Calidad Mínima esperada</t>
  </si>
  <si>
    <t>Los productos deben ser de 1° calidad, según condiciones establecidas en nota (Condición de Calidad)</t>
  </si>
  <si>
    <t>Mantenimiento:</t>
  </si>
  <si>
    <t>45 días</t>
  </si>
  <si>
    <t>Garantía</t>
  </si>
  <si>
    <t>LEVADURAS; TIPO: DE CERVEZA, PRESENTACION: PAQUETE, PESO: 1 Kg</t>
  </si>
  <si>
    <t>NOTA DE PEDIDO</t>
  </si>
  <si>
    <t>N°</t>
  </si>
  <si>
    <t xml:space="preserve">JURISDICCIÓN: </t>
  </si>
  <si>
    <t>SAF:</t>
  </si>
  <si>
    <t>UNIDAD EJECUTORA:</t>
  </si>
  <si>
    <t>SERVICIO PENITENCIARIO PROVINCIAL</t>
  </si>
  <si>
    <t xml:space="preserve">DEPENDENCIA SOLICITANTE: </t>
  </si>
  <si>
    <t>LOGISTICA</t>
  </si>
  <si>
    <t>PERIODO UTILIZACIÓN:</t>
  </si>
  <si>
    <t>3 MESES</t>
  </si>
  <si>
    <t>OBJETO:</t>
  </si>
  <si>
    <t>BIENES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</si>
  <si>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</si>
  <si>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</si>
  <si>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</si>
  <si>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</si>
  <si>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</si>
  <si>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</si>
  <si>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</si>
  <si>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</si>
  <si>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</t>
  </si>
  <si>
    <t>KILO</t>
  </si>
  <si>
    <t>AUTORIZACION PARA GASTAR</t>
  </si>
  <si>
    <t>JURISDICCIÓN:</t>
  </si>
  <si>
    <r>
      <t>AUTORIZACIÓN</t>
    </r>
    <r>
      <rPr>
        <b/>
        <sz val="10"/>
        <rFont val="Times New Roman"/>
        <family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</si>
  <si>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</si>
  <si>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</si>
  <si>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</si>
  <si>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</si>
  <si>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</si>
  <si>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</si>
  <si>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</si>
  <si>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</si>
  <si>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</si>
  <si>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</si>
  <si>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</si>
  <si>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</si>
  <si>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</si>
  <si>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</si>
  <si>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</si>
  <si>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</si>
  <si>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</si>
  <si>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</si>
  <si>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</si>
  <si>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Alimentos Para Personas</t>
  </si>
  <si>
    <t xml:space="preserve">TOTAL DE PESOS: </t>
  </si>
  <si>
    <t>JUSTIFICACIÓN:</t>
  </si>
  <si>
    <t>CARNES; ESPECIE: VACUNA, CORTE: ROAST BEEF, TIPO: VACUNA</t>
  </si>
  <si>
    <t>CARNES; ESPECIE: VACUNA, CORTE: MONDONGO, TIPO: VACUNA</t>
  </si>
  <si>
    <t>Las entregas se realizarán a requerimiento de acuerdo, a las Solicitudes de Provisión que se realicen. Se estima emitir una cantidad aproximada de 2 (Dos) Solicitudes de Provisión de 1/2 aprox. de la cantidad solicitada, en un plazo de 3 (Tres) meses: 1° Solic.de Provisión: aprox.a los 2 (Dos) dias hábiles de la firma del instrumento contractual. 2° Solic.de Provisión: a los 45 (Cuarenta y Cinco) dias de la firma del instrumento contractual. Plazo de cumplimiento de cada Solicitud de Provisión: a los 2 días hábiles de notificada la misma, según necesidades del Organismo solicitante. Forma de Pago: Se solicita Pagos parciales por cada Solicitud de Provisión emitida, una vez finalizada la entrega de las cantidades contenidas en la misma.</t>
  </si>
  <si>
    <t>Item N° 1: Libre de Gluten: Si
Item N° 2: Libre de Gluten: Si
Item N° 8: Cajon x 20 KG - TOMATE
Item N° 9: Unidad 2 KG aprox. - REPOLLO
Item N° 11: Ristra x 1 KG aprox. - AJO
Item N° 12: Atado x 1 KG aprox. - ACELGA
Item N° 14: Cajon x 20 KG - ZAPALLITO REDONDO
Item N| 17 Cajon x 10 KG - MORRON VERDE
Item N° 18: Bolsa x 20 KG - NARANJA OMBLIGO
Item N° 19: Cajón x 10 KG - PERA
Item N° 20: Cajón x 10 KG - MANZANA</t>
  </si>
  <si>
    <r>
      <t xml:space="preserve">Autorizo la realización de los trámites correspondientes los bienes y/o servicios que se detallan en la Nota de Pedido Nº </t>
    </r>
    <r>
      <rPr>
        <sz val="11"/>
        <color rgb="FFFF0000"/>
        <rFont val="Times New Roman"/>
        <family val="1"/>
      </rPr>
      <t>DOCFI-2022-02136398-CAT-SPC#SSD</t>
    </r>
    <r>
      <rPr>
        <sz val="11"/>
        <rFont val="Times New Roman"/>
        <family val="1"/>
      </rPr>
      <t>, afectando la erogación resultante a los créditos presupuestarios aprobados a favor de esta Unidad Ejecutora, conforme al siguiente detalle: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</si>
</sst>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* #,##0.00&quot; €&quot;_-;\-* #,##0.00&quot; €&quot;_-;_-* \-??&quot; €&quot;_-;_-@_-"/>
    <numFmt numFmtId="165" formatCode="_-[$$-2C0A]\ * #,##0.00_-;\-[$$-2C0A]\ * #,##0.00_-;_-[$$-2C0A]\ * &quot;-&quot;??_-;_-@_-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9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10"/>
      <name val="Times New Roman"/>
      <family val="1"/>
      <charset val="1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u/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Times New Roman"/>
      <family val="1"/>
    </font>
    <font>
      <sz val="10"/>
      <name val="Arial"/>
      <family val="2"/>
      <charset val="1"/>
    </font>
    <font>
      <b/>
      <u/>
      <sz val="10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auto="1"/>
      </right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rgb="FF3D3D3D"/>
      </bottom>
      <diagonal/>
    </border>
    <border>
      <left style="medium">
        <color theme="1"/>
      </left>
      <right/>
      <top/>
      <bottom/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rgb="FF3D3D3D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rgb="FF3D3D3D"/>
      </right>
      <top style="medium">
        <color theme="1"/>
      </top>
      <bottom/>
      <diagonal/>
    </border>
    <border>
      <left style="medium">
        <color rgb="FF3D3D3D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theme="1"/>
      </right>
      <top/>
      <bottom style="medium">
        <color rgb="FF3D3D3D"/>
      </bottom>
      <diagonal/>
    </border>
    <border>
      <left style="medium">
        <color theme="1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theme="1"/>
      </right>
      <top style="medium">
        <color rgb="FF3D3D3D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medium">
        <color rgb="FF3D3D3D"/>
      </right>
      <top style="medium">
        <color theme="1"/>
      </top>
      <bottom/>
      <diagonal/>
    </border>
    <border>
      <left style="medium">
        <color theme="1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 style="thin">
        <color rgb="FF3D3D3D"/>
      </right>
      <top/>
      <bottom style="medium">
        <color theme="1"/>
      </bottom>
      <diagonal/>
    </border>
    <border>
      <left style="thin">
        <color rgb="FF3D3D3D"/>
      </left>
      <right/>
      <top/>
      <bottom style="medium">
        <color theme="1"/>
      </bottom>
      <diagonal/>
    </border>
    <border>
      <left style="medium">
        <color rgb="FF3D3D3D"/>
      </left>
      <right style="medium">
        <color theme="1" tint="0.249977111117893"/>
      </right>
      <top/>
      <bottom style="medium">
        <color theme="1"/>
      </bottom>
      <diagonal/>
    </border>
    <border>
      <left style="medium">
        <color theme="1" tint="0.249977111117893"/>
      </left>
      <right style="medium">
        <color rgb="FF3D3D3D"/>
      </right>
      <top style="medium">
        <color rgb="FF3D3D3D"/>
      </top>
      <bottom style="medium">
        <color theme="1"/>
      </bottom>
      <diagonal/>
    </border>
    <border>
      <left style="medium">
        <color rgb="FF3D3D3D"/>
      </left>
      <right style="medium">
        <color theme="1"/>
      </right>
      <top style="medium">
        <color rgb="FF3D3D3D"/>
      </top>
      <bottom style="medium">
        <color theme="1"/>
      </bottom>
      <diagonal/>
    </border>
    <border>
      <left/>
      <right style="medium">
        <color theme="1"/>
      </right>
      <top style="medium">
        <color rgb="FF3D3D3D"/>
      </top>
      <bottom style="medium">
        <color theme="1" tint="0.249977111117893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rgb="FF3D3D3D"/>
      </right>
      <top/>
      <bottom style="medium">
        <color theme="1"/>
      </bottom>
      <diagonal/>
    </border>
    <border>
      <left style="medium">
        <color rgb="FF3D3D3D"/>
      </left>
      <right style="medium">
        <color theme="1"/>
      </right>
      <top/>
      <bottom style="medium">
        <color theme="1"/>
      </bottom>
      <diagonal/>
    </border>
  </borders>
  <cellStyleXfs count="6">
    <xf numFmtId="0" fontId="0" fillId="0" borderId="0"/>
    <xf numFmtId="164" fontId="10" fillId="0" borderId="0" applyBorder="0" applyProtection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169" fontId="26" fillId="0" borderId="0" applyBorder="0" applyProtection="0"/>
  </cellStyleXfs>
  <cellXfs count="159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Fill="1" applyAlignment="1">
      <alignment horizontal="left" wrapText="1" indent="1"/>
    </xf>
    <xf numFmtId="0" fontId="7" fillId="0" borderId="0" xfId="0" applyFont="1" applyFill="1" applyAlignment="1">
      <alignment horizontal="left" wrapText="1"/>
    </xf>
    <xf numFmtId="0" fontId="2" fillId="0" borderId="0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0" xfId="0" applyFont="1"/>
    <xf numFmtId="0" fontId="2" fillId="0" borderId="0" xfId="0" applyFont="1" applyFill="1" applyBorder="1" applyAlignment="1"/>
    <xf numFmtId="165" fontId="2" fillId="0" borderId="0" xfId="0" applyNumberFormat="1" applyFont="1"/>
    <xf numFmtId="165" fontId="7" fillId="0" borderId="3" xfId="0" applyNumberFormat="1" applyFont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/>
    </xf>
    <xf numFmtId="165" fontId="2" fillId="0" borderId="0" xfId="1" applyNumberFormat="1" applyFont="1" applyAlignment="1">
      <alignment vertical="center"/>
    </xf>
    <xf numFmtId="165" fontId="11" fillId="0" borderId="2" xfId="1" applyNumberFormat="1" applyFont="1" applyBorder="1" applyAlignment="1">
      <alignment horizontal="center" vertical="center" wrapText="1"/>
    </xf>
    <xf numFmtId="0" fontId="2" fillId="0" borderId="0" xfId="0" applyFont="1" applyFill="1" applyBorder="1"/>
    <xf numFmtId="165" fontId="8" fillId="0" borderId="1" xfId="4" applyNumberFormat="1" applyFont="1" applyFill="1" applyBorder="1" applyAlignment="1" applyProtection="1">
      <alignment horizontal="right" vertical="center" wrapText="1"/>
    </xf>
    <xf numFmtId="0" fontId="14" fillId="0" borderId="9" xfId="2" applyFont="1" applyBorder="1" applyAlignment="1">
      <alignment horizontal="left" vertical="center"/>
    </xf>
    <xf numFmtId="0" fontId="15" fillId="0" borderId="0" xfId="2" applyFont="1" applyBorder="1"/>
    <xf numFmtId="0" fontId="7" fillId="0" borderId="2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right" vertical="center"/>
    </xf>
    <xf numFmtId="49" fontId="19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0" fillId="0" borderId="0" xfId="0" applyFont="1"/>
    <xf numFmtId="0" fontId="18" fillId="0" borderId="1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166" fontId="2" fillId="0" borderId="18" xfId="1" applyNumberFormat="1" applyFont="1" applyBorder="1" applyAlignment="1" applyProtection="1">
      <alignment horizontal="right" vertical="center" wrapText="1"/>
    </xf>
    <xf numFmtId="3" fontId="23" fillId="0" borderId="24" xfId="0" applyNumberFormat="1" applyFont="1" applyBorder="1"/>
    <xf numFmtId="168" fontId="0" fillId="0" borderId="24" xfId="0" applyNumberFormat="1" applyBorder="1" applyAlignment="1">
      <alignment horizontal="left"/>
    </xf>
    <xf numFmtId="0" fontId="0" fillId="0" borderId="24" xfId="0" applyBorder="1"/>
    <xf numFmtId="0" fontId="0" fillId="0" borderId="27" xfId="0" applyBorder="1"/>
    <xf numFmtId="0" fontId="0" fillId="0" borderId="0" xfId="0" applyAlignment="1">
      <alignment horizontal="left"/>
    </xf>
    <xf numFmtId="168" fontId="0" fillId="0" borderId="0" xfId="0" applyNumberFormat="1" applyAlignment="1">
      <alignment horizontal="left"/>
    </xf>
    <xf numFmtId="0" fontId="0" fillId="0" borderId="29" xfId="0" applyBorder="1"/>
    <xf numFmtId="0" fontId="26" fillId="0" borderId="0" xfId="0" applyFont="1"/>
    <xf numFmtId="0" fontId="11" fillId="0" borderId="51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52" xfId="0" applyFont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66" fontId="20" fillId="0" borderId="59" xfId="5" applyNumberFormat="1" applyFont="1" applyBorder="1" applyAlignment="1" applyProtection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166" fontId="20" fillId="0" borderId="61" xfId="5" applyNumberFormat="1" applyFont="1" applyBorder="1" applyAlignment="1" applyProtection="1">
      <alignment horizontal="center" vertical="center"/>
    </xf>
    <xf numFmtId="166" fontId="11" fillId="0" borderId="64" xfId="0" applyNumberFormat="1" applyFont="1" applyBorder="1" applyAlignment="1">
      <alignment horizontal="center" vertical="center"/>
    </xf>
    <xf numFmtId="0" fontId="22" fillId="0" borderId="27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20" fillId="0" borderId="29" xfId="0" applyFont="1" applyBorder="1"/>
    <xf numFmtId="0" fontId="2" fillId="0" borderId="18" xfId="0" applyFont="1" applyBorder="1" applyAlignment="1">
      <alignment horizontal="center" vertical="center" wrapText="1"/>
    </xf>
    <xf numFmtId="3" fontId="2" fillId="0" borderId="18" xfId="0" applyNumberFormat="1" applyFont="1" applyBorder="1" applyAlignment="1">
      <alignment horizontal="center" vertical="center" wrapText="1"/>
    </xf>
    <xf numFmtId="0" fontId="8" fillId="0" borderId="0" xfId="1" applyNumberFormat="1" applyFont="1" applyFill="1" applyBorder="1" applyAlignment="1" applyProtection="1">
      <alignment vertical="center"/>
    </xf>
    <xf numFmtId="0" fontId="17" fillId="0" borderId="0" xfId="0" applyNumberFormat="1" applyFo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15" fillId="0" borderId="9" xfId="2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3" fillId="0" borderId="9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 wrapText="1"/>
    </xf>
    <xf numFmtId="0" fontId="15" fillId="0" borderId="9" xfId="2" applyFont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left" wrapText="1" indent="1"/>
    </xf>
    <xf numFmtId="0" fontId="19" fillId="0" borderId="1" xfId="0" applyFont="1" applyBorder="1" applyAlignment="1">
      <alignment horizontal="center" vertical="center" wrapText="1"/>
    </xf>
    <xf numFmtId="167" fontId="19" fillId="0" borderId="1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left" wrapText="1"/>
    </xf>
    <xf numFmtId="0" fontId="20" fillId="0" borderId="18" xfId="0" applyFont="1" applyFill="1" applyBorder="1" applyAlignment="1">
      <alignment horizontal="left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/>
    </xf>
    <xf numFmtId="0" fontId="21" fillId="0" borderId="13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 indent="1"/>
    </xf>
    <xf numFmtId="0" fontId="21" fillId="0" borderId="14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 wrapText="1" indent="1"/>
    </xf>
    <xf numFmtId="0" fontId="18" fillId="0" borderId="0" xfId="0" applyFont="1" applyAlignment="1">
      <alignment horizontal="center" vertical="center"/>
    </xf>
    <xf numFmtId="0" fontId="20" fillId="0" borderId="9" xfId="0" applyFont="1" applyBorder="1" applyAlignment="1">
      <alignment horizontal="left" vertical="center"/>
    </xf>
    <xf numFmtId="0" fontId="11" fillId="0" borderId="62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left" vertical="center" wrapText="1"/>
    </xf>
    <xf numFmtId="0" fontId="22" fillId="0" borderId="65" xfId="0" applyFont="1" applyBorder="1" applyAlignment="1">
      <alignment vertical="center" wrapText="1"/>
    </xf>
    <xf numFmtId="0" fontId="22" fillId="0" borderId="66" xfId="0" applyFont="1" applyBorder="1" applyAlignment="1">
      <alignment vertical="center" wrapText="1"/>
    </xf>
    <xf numFmtId="0" fontId="25" fillId="0" borderId="50" xfId="0" applyFont="1" applyBorder="1" applyAlignment="1">
      <alignment vertical="center" wrapText="1"/>
    </xf>
    <xf numFmtId="0" fontId="25" fillId="0" borderId="67" xfId="0" applyFont="1" applyBorder="1" applyAlignment="1">
      <alignment vertical="center" wrapText="1"/>
    </xf>
    <xf numFmtId="0" fontId="25" fillId="0" borderId="43" xfId="0" applyFont="1" applyBorder="1" applyAlignment="1">
      <alignment horizontal="left" vertical="center" wrapText="1"/>
    </xf>
    <xf numFmtId="0" fontId="25" fillId="0" borderId="44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25" fillId="0" borderId="69" xfId="0" applyFont="1" applyBorder="1" applyAlignment="1">
      <alignment horizontal="left" vertical="center" wrapText="1"/>
    </xf>
    <xf numFmtId="0" fontId="25" fillId="0" borderId="70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left" vertical="center" wrapText="1"/>
    </xf>
    <xf numFmtId="0" fontId="25" fillId="0" borderId="0" xfId="0" applyFont="1" applyBorder="1" applyAlignment="1">
      <alignment horizontal="left" vertical="center" wrapText="1"/>
    </xf>
    <xf numFmtId="0" fontId="25" fillId="0" borderId="29" xfId="0" applyFont="1" applyBorder="1" applyAlignment="1">
      <alignment horizontal="left" vertical="center" wrapText="1"/>
    </xf>
    <xf numFmtId="0" fontId="25" fillId="0" borderId="41" xfId="0" applyFont="1" applyBorder="1" applyAlignment="1">
      <alignment horizontal="left" vertical="center" wrapText="1"/>
    </xf>
    <xf numFmtId="0" fontId="25" fillId="0" borderId="42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0" fontId="25" fillId="0" borderId="46" xfId="0" applyFont="1" applyBorder="1" applyAlignment="1">
      <alignment horizontal="left"/>
    </xf>
    <xf numFmtId="0" fontId="25" fillId="0" borderId="47" xfId="0" applyFont="1" applyBorder="1" applyAlignment="1">
      <alignment horizontal="left"/>
    </xf>
    <xf numFmtId="0" fontId="25" fillId="0" borderId="48" xfId="0" applyFont="1" applyBorder="1" applyAlignment="1">
      <alignment horizontal="left"/>
    </xf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3" fontId="23" fillId="0" borderId="23" xfId="0" applyNumberFormat="1" applyFont="1" applyBorder="1" applyAlignment="1">
      <alignment horizontal="center"/>
    </xf>
    <xf numFmtId="0" fontId="24" fillId="0" borderId="25" xfId="0" applyFont="1" applyBorder="1" applyAlignment="1">
      <alignment horizontal="center" vertical="center" wrapText="1"/>
    </xf>
    <xf numFmtId="0" fontId="24" fillId="0" borderId="26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0" fontId="2" fillId="0" borderId="30" xfId="0" applyFont="1" applyBorder="1"/>
    <xf numFmtId="0" fontId="2" fillId="0" borderId="31" xfId="0" applyFont="1" applyBorder="1"/>
    <xf numFmtId="0" fontId="25" fillId="0" borderId="31" xfId="0" applyFont="1" applyBorder="1" applyAlignment="1">
      <alignment horizontal="left" indent="1"/>
    </xf>
    <xf numFmtId="0" fontId="25" fillId="0" borderId="32" xfId="0" applyFont="1" applyBorder="1" applyAlignment="1">
      <alignment horizontal="left" indent="1"/>
    </xf>
    <xf numFmtId="0" fontId="2" fillId="0" borderId="33" xfId="0" applyFont="1" applyBorder="1" applyAlignment="1">
      <alignment horizontal="left" vertical="center" wrapText="1"/>
    </xf>
    <xf numFmtId="0" fontId="2" fillId="0" borderId="34" xfId="0" applyFont="1" applyBorder="1" applyAlignment="1">
      <alignment horizontal="left" vertical="center" wrapText="1"/>
    </xf>
    <xf numFmtId="0" fontId="2" fillId="0" borderId="35" xfId="0" applyFont="1" applyBorder="1" applyAlignment="1">
      <alignment horizontal="left" vertical="center" wrapText="1"/>
    </xf>
    <xf numFmtId="0" fontId="25" fillId="0" borderId="36" xfId="0" applyFont="1" applyBorder="1" applyAlignment="1">
      <alignment horizontal="left" indent="1"/>
    </xf>
    <xf numFmtId="0" fontId="25" fillId="0" borderId="37" xfId="0" applyFont="1" applyBorder="1" applyAlignment="1">
      <alignment horizontal="left" indent="1"/>
    </xf>
    <xf numFmtId="0" fontId="25" fillId="0" borderId="38" xfId="0" applyFont="1" applyBorder="1" applyAlignment="1">
      <alignment horizontal="left" indent="1"/>
    </xf>
    <xf numFmtId="0" fontId="25" fillId="0" borderId="10" xfId="0" applyFont="1" applyBorder="1" applyAlignment="1">
      <alignment horizontal="left" indent="1"/>
    </xf>
    <xf numFmtId="0" fontId="25" fillId="0" borderId="39" xfId="0" applyFont="1" applyBorder="1" applyAlignment="1">
      <alignment horizontal="left" indent="1"/>
    </xf>
    <xf numFmtId="0" fontId="25" fillId="0" borderId="40" xfId="0" applyFont="1" applyBorder="1" applyAlignment="1">
      <alignment horizontal="left" indent="1"/>
    </xf>
    <xf numFmtId="0" fontId="2" fillId="0" borderId="41" xfId="0" applyFont="1" applyBorder="1" applyAlignment="1">
      <alignment horizontal="left" vertical="center" wrapText="1"/>
    </xf>
    <xf numFmtId="0" fontId="2" fillId="0" borderId="42" xfId="0" applyFont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indent="1"/>
    </xf>
    <xf numFmtId="0" fontId="25" fillId="0" borderId="37" xfId="0" applyFont="1" applyBorder="1" applyAlignment="1">
      <alignment horizontal="left" vertical="center" indent="1"/>
    </xf>
    <xf numFmtId="0" fontId="25" fillId="0" borderId="38" xfId="0" applyFont="1" applyBorder="1" applyAlignment="1">
      <alignment horizontal="left" vertical="center" indent="1"/>
    </xf>
    <xf numFmtId="0" fontId="27" fillId="0" borderId="43" xfId="0" applyFont="1" applyBorder="1" applyAlignment="1">
      <alignment horizontal="left"/>
    </xf>
    <xf numFmtId="0" fontId="27" fillId="0" borderId="44" xfId="0" applyFont="1" applyBorder="1" applyAlignment="1">
      <alignment horizontal="left"/>
    </xf>
    <xf numFmtId="0" fontId="27" fillId="0" borderId="45" xfId="0" applyFont="1" applyBorder="1" applyAlignment="1">
      <alignment horizontal="left"/>
    </xf>
  </cellXfs>
  <cellStyles count="6">
    <cellStyle name="Moneda" xfId="1" builtinId="4"/>
    <cellStyle name="Moneda 2" xfId="4" xr:uid="{D9AF2493-FC5D-4006-98B1-BA59691181D0}"/>
    <cellStyle name="Moneda_AUTORIZACION Y NOTA DE PEDIDO" xfId="5" xr:uid="{EAC522A4-8B2E-46FD-8535-CBCD1A886DF3}"/>
    <cellStyle name="Normal" xfId="0" builtinId="0"/>
    <cellStyle name="Normal 2" xfId="2" xr:uid="{00000000-0005-0000-0000-000002000000}"/>
    <cellStyle name="Normal 3" xfId="3" xr:uid="{3CC0C438-1FEF-4B5F-981E-FF126D89C8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81"/>
  <sheetViews>
    <sheetView tabSelected="1" topLeftCell="A28" zoomScale="80" zoomScaleNormal="80" workbookViewId="0">
      <selection activeCell="H38" sqref="H38"/>
    </sheetView>
  </sheetViews>
  <sheetFormatPr baseColWidth="10" defaultColWidth="11" defaultRowHeight="12.75" x14ac:dyDescent="0.2"/>
  <cols>
    <col min="1" max="1" width="4.5703125" style="1" customWidth="1"/>
    <col min="2" max="2" width="15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4" customWidth="1"/>
    <col min="9" max="9" width="18.5703125" style="11" customWidth="1"/>
    <col min="10" max="10" width="11.5703125" style="1" bestFit="1" customWidth="1"/>
    <col min="11" max="16384" width="11" style="1"/>
  </cols>
  <sheetData>
    <row r="2" spans="1:11" ht="27" x14ac:dyDescent="0.35">
      <c r="B2" s="82" t="s">
        <v>0</v>
      </c>
      <c r="C2" s="82"/>
      <c r="D2" s="82"/>
      <c r="E2" s="82"/>
      <c r="F2" s="82"/>
      <c r="G2" s="82"/>
      <c r="H2" s="82"/>
    </row>
    <row r="4" spans="1:11" ht="18" customHeight="1" x14ac:dyDescent="0.25">
      <c r="A4" s="74" t="s">
        <v>1</v>
      </c>
      <c r="B4" s="74"/>
      <c r="C4" s="83" t="s">
        <v>2</v>
      </c>
      <c r="D4" s="83"/>
      <c r="E4" s="83"/>
      <c r="F4" s="2"/>
      <c r="G4" s="3"/>
    </row>
    <row r="5" spans="1:11" ht="18" customHeight="1" x14ac:dyDescent="0.25">
      <c r="A5" s="74" t="s">
        <v>3</v>
      </c>
      <c r="B5" s="74"/>
      <c r="C5" s="83" t="s">
        <v>4</v>
      </c>
      <c r="D5" s="83"/>
      <c r="E5" s="83"/>
      <c r="F5" s="2"/>
      <c r="G5" s="3"/>
    </row>
    <row r="6" spans="1:11" ht="16.5" customHeight="1" x14ac:dyDescent="0.25">
      <c r="A6" s="74" t="s">
        <v>5</v>
      </c>
      <c r="B6" s="74"/>
      <c r="C6" s="4">
        <v>2022</v>
      </c>
      <c r="D6" s="5"/>
      <c r="E6" s="5"/>
      <c r="F6" s="2"/>
      <c r="G6" s="3"/>
    </row>
    <row r="7" spans="1:11" ht="16.5" customHeight="1" x14ac:dyDescent="0.25">
      <c r="A7" s="74" t="s">
        <v>6</v>
      </c>
      <c r="B7" s="74"/>
      <c r="C7" s="4">
        <v>4</v>
      </c>
      <c r="D7" s="5"/>
      <c r="E7" s="5"/>
      <c r="F7" s="2"/>
      <c r="G7" s="3"/>
    </row>
    <row r="8" spans="1:11" ht="13.5" thickBot="1" x14ac:dyDescent="0.25">
      <c r="B8" s="2"/>
      <c r="C8" s="3"/>
      <c r="D8" s="2"/>
      <c r="E8" s="2"/>
      <c r="F8" s="2"/>
      <c r="G8" s="3"/>
    </row>
    <row r="9" spans="1:11" ht="46.5" customHeight="1" thickBot="1" x14ac:dyDescent="0.25">
      <c r="A9" s="8" t="s">
        <v>7</v>
      </c>
      <c r="B9" s="7" t="s">
        <v>8</v>
      </c>
      <c r="C9" s="7" t="s">
        <v>9</v>
      </c>
      <c r="D9" s="7" t="s">
        <v>10</v>
      </c>
      <c r="E9" s="20" t="s">
        <v>11</v>
      </c>
      <c r="F9" s="7" t="s">
        <v>12</v>
      </c>
      <c r="G9" s="7" t="s">
        <v>13</v>
      </c>
      <c r="H9" s="15" t="s">
        <v>14</v>
      </c>
      <c r="I9" s="12" t="s">
        <v>15</v>
      </c>
    </row>
    <row r="10" spans="1:11" ht="36.75" thickBot="1" x14ac:dyDescent="0.25">
      <c r="A10" s="61">
        <v>1</v>
      </c>
      <c r="B10" s="62" t="s">
        <v>20</v>
      </c>
      <c r="C10" s="63" t="s">
        <v>16</v>
      </c>
      <c r="D10" s="62" t="s">
        <v>17</v>
      </c>
      <c r="E10" s="63" t="s">
        <v>21</v>
      </c>
      <c r="F10" s="62" t="s">
        <v>103</v>
      </c>
      <c r="G10" s="62">
        <v>400</v>
      </c>
      <c r="H10" s="62">
        <v>1300</v>
      </c>
      <c r="I10" s="17">
        <f>G10*H10</f>
        <v>520000</v>
      </c>
      <c r="J10" s="59"/>
      <c r="K10" s="16"/>
    </row>
    <row r="11" spans="1:11" ht="36.75" thickBot="1" x14ac:dyDescent="0.25">
      <c r="A11" s="61">
        <v>2</v>
      </c>
      <c r="B11" s="62" t="s">
        <v>22</v>
      </c>
      <c r="C11" s="63" t="s">
        <v>16</v>
      </c>
      <c r="D11" s="62" t="s">
        <v>17</v>
      </c>
      <c r="E11" s="63" t="s">
        <v>23</v>
      </c>
      <c r="F11" s="62" t="s">
        <v>103</v>
      </c>
      <c r="G11" s="62">
        <v>400</v>
      </c>
      <c r="H11" s="62">
        <v>1300</v>
      </c>
      <c r="I11" s="17">
        <f t="shared" ref="I11:I33" si="0">G11*H11</f>
        <v>520000</v>
      </c>
      <c r="J11" s="59"/>
      <c r="K11" s="16"/>
    </row>
    <row r="12" spans="1:11" ht="15" thickBot="1" x14ac:dyDescent="0.25">
      <c r="A12" s="61">
        <v>3</v>
      </c>
      <c r="B12" s="62" t="s">
        <v>24</v>
      </c>
      <c r="C12" s="63" t="s">
        <v>16</v>
      </c>
      <c r="D12" s="62" t="s">
        <v>17</v>
      </c>
      <c r="E12" s="63" t="s">
        <v>129</v>
      </c>
      <c r="F12" s="62" t="s">
        <v>103</v>
      </c>
      <c r="G12" s="62">
        <v>5000</v>
      </c>
      <c r="H12" s="62">
        <v>1300</v>
      </c>
      <c r="I12" s="17">
        <f t="shared" si="0"/>
        <v>6500000</v>
      </c>
      <c r="J12" s="60"/>
      <c r="K12" s="16"/>
    </row>
    <row r="13" spans="1:11" ht="13.5" thickBot="1" x14ac:dyDescent="0.25">
      <c r="A13" s="61">
        <v>4</v>
      </c>
      <c r="B13" s="62" t="s">
        <v>43</v>
      </c>
      <c r="C13" s="63" t="s">
        <v>16</v>
      </c>
      <c r="D13" s="62" t="s">
        <v>17</v>
      </c>
      <c r="E13" s="63" t="s">
        <v>130</v>
      </c>
      <c r="F13" s="62" t="s">
        <v>103</v>
      </c>
      <c r="G13" s="62">
        <v>500</v>
      </c>
      <c r="H13" s="62">
        <v>600</v>
      </c>
      <c r="I13" s="17">
        <f t="shared" si="0"/>
        <v>300000</v>
      </c>
      <c r="J13" s="59"/>
      <c r="K13" s="16"/>
    </row>
    <row r="14" spans="1:11" ht="13.5" thickBot="1" x14ac:dyDescent="0.25">
      <c r="A14" s="61">
        <v>5</v>
      </c>
      <c r="B14" s="62" t="s">
        <v>52</v>
      </c>
      <c r="C14" s="63" t="s">
        <v>16</v>
      </c>
      <c r="D14" s="62" t="s">
        <v>17</v>
      </c>
      <c r="E14" s="63" t="s">
        <v>51</v>
      </c>
      <c r="F14" s="62" t="s">
        <v>103</v>
      </c>
      <c r="G14" s="62">
        <v>500</v>
      </c>
      <c r="H14" s="62">
        <v>600</v>
      </c>
      <c r="I14" s="17">
        <f t="shared" si="0"/>
        <v>300000</v>
      </c>
      <c r="J14" s="59"/>
      <c r="K14" s="16"/>
    </row>
    <row r="15" spans="1:11" ht="24.75" thickBot="1" x14ac:dyDescent="0.25">
      <c r="A15" s="61">
        <v>6</v>
      </c>
      <c r="B15" s="62" t="s">
        <v>26</v>
      </c>
      <c r="C15" s="63" t="s">
        <v>16</v>
      </c>
      <c r="D15" s="62" t="s">
        <v>17</v>
      </c>
      <c r="E15" s="63" t="s">
        <v>27</v>
      </c>
      <c r="F15" s="62" t="s">
        <v>19</v>
      </c>
      <c r="G15" s="62">
        <v>700</v>
      </c>
      <c r="H15" s="62">
        <v>1950</v>
      </c>
      <c r="I15" s="17">
        <f t="shared" si="0"/>
        <v>1365000</v>
      </c>
    </row>
    <row r="16" spans="1:11" ht="24.75" thickBot="1" x14ac:dyDescent="0.25">
      <c r="A16" s="61">
        <v>7</v>
      </c>
      <c r="B16" s="62" t="s">
        <v>30</v>
      </c>
      <c r="C16" s="63" t="s">
        <v>16</v>
      </c>
      <c r="D16" s="62" t="s">
        <v>17</v>
      </c>
      <c r="E16" s="63" t="s">
        <v>31</v>
      </c>
      <c r="F16" s="62" t="s">
        <v>103</v>
      </c>
      <c r="G16" s="62">
        <v>1500</v>
      </c>
      <c r="H16" s="62">
        <v>380</v>
      </c>
      <c r="I16" s="17">
        <f t="shared" si="0"/>
        <v>570000</v>
      </c>
    </row>
    <row r="17" spans="1:9" ht="36.75" thickBot="1" x14ac:dyDescent="0.25">
      <c r="A17" s="61">
        <v>8</v>
      </c>
      <c r="B17" s="62" t="s">
        <v>32</v>
      </c>
      <c r="C17" s="63" t="s">
        <v>16</v>
      </c>
      <c r="D17" s="62" t="s">
        <v>17</v>
      </c>
      <c r="E17" s="63" t="s">
        <v>33</v>
      </c>
      <c r="F17" s="62" t="s">
        <v>34</v>
      </c>
      <c r="G17" s="62">
        <v>450</v>
      </c>
      <c r="H17" s="62">
        <v>2000</v>
      </c>
      <c r="I17" s="17">
        <f t="shared" si="0"/>
        <v>900000</v>
      </c>
    </row>
    <row r="18" spans="1:9" ht="24.75" thickBot="1" x14ac:dyDescent="0.25">
      <c r="A18" s="61">
        <v>9</v>
      </c>
      <c r="B18" s="62" t="s">
        <v>55</v>
      </c>
      <c r="C18" s="63" t="s">
        <v>16</v>
      </c>
      <c r="D18" s="62" t="s">
        <v>17</v>
      </c>
      <c r="E18" s="63" t="s">
        <v>56</v>
      </c>
      <c r="F18" s="62" t="s">
        <v>18</v>
      </c>
      <c r="G18" s="62">
        <v>20</v>
      </c>
      <c r="H18" s="67">
        <v>250</v>
      </c>
      <c r="I18" s="17">
        <f t="shared" si="0"/>
        <v>5000</v>
      </c>
    </row>
    <row r="19" spans="1:9" ht="13.5" thickBot="1" x14ac:dyDescent="0.25">
      <c r="A19" s="61">
        <v>10</v>
      </c>
      <c r="B19" s="62" t="s">
        <v>47</v>
      </c>
      <c r="C19" s="63" t="s">
        <v>16</v>
      </c>
      <c r="D19" s="62" t="s">
        <v>17</v>
      </c>
      <c r="E19" s="63" t="s">
        <v>45</v>
      </c>
      <c r="F19" s="62" t="s">
        <v>35</v>
      </c>
      <c r="G19" s="62">
        <v>300</v>
      </c>
      <c r="H19" s="67">
        <v>1200</v>
      </c>
      <c r="I19" s="17">
        <f t="shared" si="0"/>
        <v>360000</v>
      </c>
    </row>
    <row r="20" spans="1:9" ht="24.75" thickBot="1" x14ac:dyDescent="0.25">
      <c r="A20" s="61">
        <v>11</v>
      </c>
      <c r="B20" s="62" t="s">
        <v>62</v>
      </c>
      <c r="C20" s="63" t="s">
        <v>16</v>
      </c>
      <c r="D20" s="62" t="s">
        <v>17</v>
      </c>
      <c r="E20" s="63" t="s">
        <v>61</v>
      </c>
      <c r="F20" s="62" t="s">
        <v>63</v>
      </c>
      <c r="G20" s="62">
        <v>50</v>
      </c>
      <c r="H20" s="67">
        <v>4000</v>
      </c>
      <c r="I20" s="17">
        <f t="shared" si="0"/>
        <v>200000</v>
      </c>
    </row>
    <row r="21" spans="1:9" ht="24.75" thickBot="1" x14ac:dyDescent="0.25">
      <c r="A21" s="61">
        <v>12</v>
      </c>
      <c r="B21" s="62" t="s">
        <v>36</v>
      </c>
      <c r="C21" s="63" t="s">
        <v>16</v>
      </c>
      <c r="D21" s="62" t="s">
        <v>17</v>
      </c>
      <c r="E21" s="63" t="s">
        <v>37</v>
      </c>
      <c r="F21" s="62" t="s">
        <v>38</v>
      </c>
      <c r="G21" s="62">
        <v>1400</v>
      </c>
      <c r="H21" s="67">
        <v>50</v>
      </c>
      <c r="I21" s="17">
        <f t="shared" si="0"/>
        <v>70000</v>
      </c>
    </row>
    <row r="22" spans="1:9" ht="28.5" customHeight="1" thickBot="1" x14ac:dyDescent="0.25">
      <c r="A22" s="61">
        <v>13</v>
      </c>
      <c r="B22" s="62" t="s">
        <v>39</v>
      </c>
      <c r="C22" s="63" t="s">
        <v>16</v>
      </c>
      <c r="D22" s="62" t="s">
        <v>17</v>
      </c>
      <c r="E22" s="63" t="s">
        <v>40</v>
      </c>
      <c r="F22" s="62" t="s">
        <v>19</v>
      </c>
      <c r="G22" s="62">
        <v>700</v>
      </c>
      <c r="H22" s="67">
        <v>2500</v>
      </c>
      <c r="I22" s="17">
        <f t="shared" si="0"/>
        <v>1750000</v>
      </c>
    </row>
    <row r="23" spans="1:9" ht="24.75" thickBot="1" x14ac:dyDescent="0.25">
      <c r="A23" s="61">
        <v>14</v>
      </c>
      <c r="B23" s="62" t="s">
        <v>49</v>
      </c>
      <c r="C23" s="63" t="s">
        <v>16</v>
      </c>
      <c r="D23" s="62" t="s">
        <v>17</v>
      </c>
      <c r="E23" s="63" t="s">
        <v>50</v>
      </c>
      <c r="F23" s="62" t="s">
        <v>34</v>
      </c>
      <c r="G23" s="62">
        <v>250</v>
      </c>
      <c r="H23" s="67">
        <v>5400</v>
      </c>
      <c r="I23" s="17">
        <f t="shared" si="0"/>
        <v>1350000</v>
      </c>
    </row>
    <row r="24" spans="1:9" ht="24.75" thickBot="1" x14ac:dyDescent="0.25">
      <c r="A24" s="61">
        <v>15</v>
      </c>
      <c r="B24" s="62" t="s">
        <v>41</v>
      </c>
      <c r="C24" s="63" t="s">
        <v>16</v>
      </c>
      <c r="D24" s="62" t="s">
        <v>17</v>
      </c>
      <c r="E24" s="63" t="s">
        <v>42</v>
      </c>
      <c r="F24" s="62" t="s">
        <v>19</v>
      </c>
      <c r="G24" s="62">
        <v>350</v>
      </c>
      <c r="H24" s="67">
        <v>750</v>
      </c>
      <c r="I24" s="17">
        <f t="shared" si="0"/>
        <v>262500</v>
      </c>
    </row>
    <row r="25" spans="1:9" ht="24.75" thickBot="1" x14ac:dyDescent="0.25">
      <c r="A25" s="61">
        <v>16</v>
      </c>
      <c r="B25" s="62" t="s">
        <v>59</v>
      </c>
      <c r="C25" s="63" t="s">
        <v>16</v>
      </c>
      <c r="D25" s="62" t="s">
        <v>17</v>
      </c>
      <c r="E25" s="63" t="s">
        <v>60</v>
      </c>
      <c r="F25" s="62" t="s">
        <v>19</v>
      </c>
      <c r="G25" s="62">
        <v>75</v>
      </c>
      <c r="H25" s="67">
        <v>2200</v>
      </c>
      <c r="I25" s="17">
        <f t="shared" si="0"/>
        <v>165000</v>
      </c>
    </row>
    <row r="26" spans="1:9" ht="24.75" thickBot="1" x14ac:dyDescent="0.25">
      <c r="A26" s="61">
        <v>17</v>
      </c>
      <c r="B26" s="62" t="s">
        <v>65</v>
      </c>
      <c r="C26" s="63" t="s">
        <v>16</v>
      </c>
      <c r="D26" s="62" t="s">
        <v>17</v>
      </c>
      <c r="E26" s="63" t="s">
        <v>64</v>
      </c>
      <c r="F26" s="62" t="s">
        <v>34</v>
      </c>
      <c r="G26" s="62">
        <v>20</v>
      </c>
      <c r="H26" s="67">
        <v>2250</v>
      </c>
      <c r="I26" s="17">
        <f t="shared" si="0"/>
        <v>45000</v>
      </c>
    </row>
    <row r="27" spans="1:9" ht="24.75" thickBot="1" x14ac:dyDescent="0.25">
      <c r="A27" s="61">
        <v>18</v>
      </c>
      <c r="B27" s="62" t="s">
        <v>48</v>
      </c>
      <c r="C27" s="63" t="s">
        <v>16</v>
      </c>
      <c r="D27" s="62" t="s">
        <v>17</v>
      </c>
      <c r="E27" s="63" t="s">
        <v>46</v>
      </c>
      <c r="F27" s="64" t="s">
        <v>19</v>
      </c>
      <c r="G27" s="64">
        <v>230</v>
      </c>
      <c r="H27" s="68">
        <v>1900</v>
      </c>
      <c r="I27" s="17">
        <f t="shared" si="0"/>
        <v>437000</v>
      </c>
    </row>
    <row r="28" spans="1:9" ht="24.75" thickBot="1" x14ac:dyDescent="0.25">
      <c r="A28" s="61">
        <v>19</v>
      </c>
      <c r="B28" s="62" t="s">
        <v>58</v>
      </c>
      <c r="C28" s="63" t="s">
        <v>16</v>
      </c>
      <c r="D28" s="62" t="s">
        <v>17</v>
      </c>
      <c r="E28" s="63" t="s">
        <v>57</v>
      </c>
      <c r="F28" s="65" t="s">
        <v>34</v>
      </c>
      <c r="G28" s="65">
        <v>100</v>
      </c>
      <c r="H28" s="69">
        <v>1750</v>
      </c>
      <c r="I28" s="17">
        <f t="shared" si="0"/>
        <v>175000</v>
      </c>
    </row>
    <row r="29" spans="1:9" ht="24.75" thickBot="1" x14ac:dyDescent="0.25">
      <c r="A29" s="61">
        <v>20</v>
      </c>
      <c r="B29" s="62" t="s">
        <v>54</v>
      </c>
      <c r="C29" s="63" t="s">
        <v>16</v>
      </c>
      <c r="D29" s="62" t="s">
        <v>17</v>
      </c>
      <c r="E29" s="63" t="s">
        <v>53</v>
      </c>
      <c r="F29" s="65" t="s">
        <v>34</v>
      </c>
      <c r="G29" s="65">
        <v>100</v>
      </c>
      <c r="H29" s="69">
        <v>3100</v>
      </c>
      <c r="I29" s="17">
        <f t="shared" si="0"/>
        <v>310000</v>
      </c>
    </row>
    <row r="30" spans="1:9" ht="13.5" thickBot="1" x14ac:dyDescent="0.25">
      <c r="A30" s="61">
        <v>21</v>
      </c>
      <c r="B30" s="62" t="s">
        <v>25</v>
      </c>
      <c r="C30" s="63" t="s">
        <v>16</v>
      </c>
      <c r="D30" s="62" t="s">
        <v>17</v>
      </c>
      <c r="E30" s="63" t="s">
        <v>81</v>
      </c>
      <c r="F30" s="66" t="s">
        <v>103</v>
      </c>
      <c r="G30" s="66">
        <v>500</v>
      </c>
      <c r="H30" s="70">
        <v>800</v>
      </c>
      <c r="I30" s="17">
        <f t="shared" si="0"/>
        <v>400000</v>
      </c>
    </row>
    <row r="31" spans="1:9" ht="24.75" thickBot="1" x14ac:dyDescent="0.25">
      <c r="A31" s="61">
        <v>22</v>
      </c>
      <c r="B31" s="62" t="s">
        <v>68</v>
      </c>
      <c r="C31" s="63" t="s">
        <v>16</v>
      </c>
      <c r="D31" s="62" t="s">
        <v>17</v>
      </c>
      <c r="E31" s="63" t="s">
        <v>66</v>
      </c>
      <c r="F31" s="66" t="s">
        <v>70</v>
      </c>
      <c r="G31" s="66">
        <v>300</v>
      </c>
      <c r="H31" s="70">
        <v>250</v>
      </c>
      <c r="I31" s="17">
        <f t="shared" si="0"/>
        <v>75000</v>
      </c>
    </row>
    <row r="32" spans="1:9" ht="24.75" thickBot="1" x14ac:dyDescent="0.25">
      <c r="A32" s="61">
        <v>23</v>
      </c>
      <c r="B32" s="62" t="s">
        <v>69</v>
      </c>
      <c r="C32" s="63" t="s">
        <v>16</v>
      </c>
      <c r="D32" s="62" t="s">
        <v>17</v>
      </c>
      <c r="E32" s="63" t="s">
        <v>67</v>
      </c>
      <c r="F32" s="66" t="s">
        <v>70</v>
      </c>
      <c r="G32" s="66">
        <v>300</v>
      </c>
      <c r="H32" s="70">
        <v>250</v>
      </c>
      <c r="I32" s="17">
        <f t="shared" si="0"/>
        <v>75000</v>
      </c>
    </row>
    <row r="33" spans="1:9" ht="24.75" thickBot="1" x14ac:dyDescent="0.25">
      <c r="A33" s="61">
        <v>24</v>
      </c>
      <c r="B33" s="62" t="s">
        <v>28</v>
      </c>
      <c r="C33" s="63" t="s">
        <v>16</v>
      </c>
      <c r="D33" s="62" t="s">
        <v>17</v>
      </c>
      <c r="E33" s="63" t="s">
        <v>29</v>
      </c>
      <c r="F33" s="62" t="s">
        <v>103</v>
      </c>
      <c r="G33" s="62">
        <v>800</v>
      </c>
      <c r="H33" s="67">
        <v>250</v>
      </c>
      <c r="I33" s="17">
        <f t="shared" si="0"/>
        <v>200000</v>
      </c>
    </row>
    <row r="34" spans="1:9" ht="13.5" thickBot="1" x14ac:dyDescent="0.25">
      <c r="A34" s="75" t="s">
        <v>44</v>
      </c>
      <c r="B34" s="76"/>
      <c r="C34" s="76"/>
      <c r="D34" s="76"/>
      <c r="E34" s="76"/>
      <c r="F34" s="76"/>
      <c r="G34" s="76"/>
      <c r="H34" s="77"/>
      <c r="I34" s="13">
        <f>SUM(I10:I33)</f>
        <v>16854500</v>
      </c>
    </row>
    <row r="35" spans="1:9" s="9" customFormat="1" x14ac:dyDescent="0.2">
      <c r="A35" s="1"/>
      <c r="B35" s="1"/>
      <c r="C35" s="1"/>
      <c r="D35" s="1"/>
      <c r="E35" s="1"/>
      <c r="F35" s="1"/>
      <c r="G35" s="1"/>
      <c r="H35" s="14"/>
      <c r="I35" s="11"/>
    </row>
    <row r="36" spans="1:9" x14ac:dyDescent="0.2">
      <c r="C36" s="78" t="s">
        <v>71</v>
      </c>
      <c r="D36" s="78"/>
      <c r="E36" s="78"/>
      <c r="F36" s="19"/>
    </row>
    <row r="37" spans="1:9" x14ac:dyDescent="0.2">
      <c r="C37" s="79" t="s">
        <v>72</v>
      </c>
      <c r="D37" s="71" t="s">
        <v>132</v>
      </c>
      <c r="E37" s="72"/>
      <c r="F37" s="19"/>
    </row>
    <row r="38" spans="1:9" ht="21" customHeight="1" x14ac:dyDescent="0.2">
      <c r="C38" s="79"/>
      <c r="D38" s="72"/>
      <c r="E38" s="72"/>
      <c r="F38" s="19"/>
    </row>
    <row r="39" spans="1:9" ht="33" customHeight="1" x14ac:dyDescent="0.2">
      <c r="C39" s="79"/>
      <c r="D39" s="72"/>
      <c r="E39" s="72"/>
      <c r="F39" s="19"/>
    </row>
    <row r="40" spans="1:9" ht="80.25" customHeight="1" x14ac:dyDescent="0.2">
      <c r="C40" s="79"/>
      <c r="D40" s="72"/>
      <c r="E40" s="72"/>
      <c r="F40" s="6"/>
    </row>
    <row r="41" spans="1:9" ht="18" customHeight="1" x14ac:dyDescent="0.2">
      <c r="C41" s="80" t="s">
        <v>73</v>
      </c>
      <c r="D41" s="81" t="s">
        <v>131</v>
      </c>
      <c r="E41" s="81"/>
    </row>
    <row r="42" spans="1:9" x14ac:dyDescent="0.2">
      <c r="C42" s="80"/>
      <c r="D42" s="81"/>
      <c r="E42" s="81"/>
    </row>
    <row r="43" spans="1:9" x14ac:dyDescent="0.2">
      <c r="C43" s="80"/>
      <c r="D43" s="81"/>
      <c r="E43" s="81"/>
    </row>
    <row r="44" spans="1:9" x14ac:dyDescent="0.2">
      <c r="C44" s="80"/>
      <c r="D44" s="81"/>
      <c r="E44" s="81"/>
    </row>
    <row r="45" spans="1:9" x14ac:dyDescent="0.2">
      <c r="C45" s="80"/>
      <c r="D45" s="81"/>
      <c r="E45" s="81"/>
    </row>
    <row r="46" spans="1:9" x14ac:dyDescent="0.2">
      <c r="C46" s="80"/>
      <c r="D46" s="81"/>
      <c r="E46" s="81"/>
    </row>
    <row r="47" spans="1:9" x14ac:dyDescent="0.2">
      <c r="C47" s="80"/>
      <c r="D47" s="81"/>
      <c r="E47" s="81"/>
    </row>
    <row r="48" spans="1:9" x14ac:dyDescent="0.2">
      <c r="C48" s="80"/>
      <c r="D48" s="81"/>
      <c r="E48" s="81"/>
    </row>
    <row r="49" spans="3:5" x14ac:dyDescent="0.2">
      <c r="C49" s="18" t="s">
        <v>74</v>
      </c>
      <c r="D49" s="73" t="s">
        <v>75</v>
      </c>
      <c r="E49" s="73"/>
    </row>
    <row r="50" spans="3:5" ht="12.75" customHeight="1" x14ac:dyDescent="0.2">
      <c r="C50" s="18" t="s">
        <v>76</v>
      </c>
      <c r="D50" s="73" t="s">
        <v>77</v>
      </c>
      <c r="E50" s="73"/>
    </row>
    <row r="51" spans="3:5" ht="12.75" customHeight="1" x14ac:dyDescent="0.2">
      <c r="C51" s="18" t="s">
        <v>78</v>
      </c>
      <c r="D51" s="73" t="s">
        <v>79</v>
      </c>
      <c r="E51" s="73"/>
    </row>
    <row r="52" spans="3:5" x14ac:dyDescent="0.2">
      <c r="C52" s="18" t="s">
        <v>80</v>
      </c>
      <c r="D52" s="73"/>
      <c r="E52" s="73"/>
    </row>
    <row r="68" ht="12.75" customHeight="1" x14ac:dyDescent="0.2"/>
    <row r="71" ht="12.75" customHeight="1" x14ac:dyDescent="0.2"/>
    <row r="74" ht="13.5" customHeight="1" x14ac:dyDescent="0.2"/>
    <row r="75" ht="18" customHeight="1" x14ac:dyDescent="0.2"/>
    <row r="77" ht="17.25" customHeight="1" x14ac:dyDescent="0.2"/>
    <row r="82" ht="12.75" customHeight="1" x14ac:dyDescent="0.2"/>
    <row r="92" ht="12.75" customHeight="1" x14ac:dyDescent="0.2"/>
    <row r="102" ht="12.75" customHeight="1" x14ac:dyDescent="0.2"/>
    <row r="111" ht="12.75" customHeight="1" x14ac:dyDescent="0.2"/>
    <row r="113" ht="12.75" customHeight="1" x14ac:dyDescent="0.2"/>
    <row r="119" ht="12.75" customHeight="1" x14ac:dyDescent="0.2"/>
    <row r="129" ht="12.75" customHeight="1" x14ac:dyDescent="0.2"/>
    <row r="134" ht="12.75" customHeight="1" x14ac:dyDescent="0.2"/>
    <row r="146" ht="12.75" customHeight="1" x14ac:dyDescent="0.2"/>
    <row r="147" ht="13.5" customHeight="1" x14ac:dyDescent="0.2"/>
    <row r="155" ht="12.75" customHeight="1" x14ac:dyDescent="0.2"/>
    <row r="170" spans="2:2" ht="12.75" customHeight="1" x14ac:dyDescent="0.2"/>
    <row r="174" spans="2:2" ht="12.75" customHeight="1" x14ac:dyDescent="0.2">
      <c r="B174" s="6"/>
    </row>
    <row r="175" spans="2:2" x14ac:dyDescent="0.2">
      <c r="B175" s="6"/>
    </row>
    <row r="176" spans="2:2" ht="12.75" customHeight="1" x14ac:dyDescent="0.2">
      <c r="B176" s="6"/>
    </row>
    <row r="177" spans="2:2" x14ac:dyDescent="0.2">
      <c r="B177" s="6"/>
    </row>
    <row r="178" spans="2:2" ht="12.75" customHeight="1" x14ac:dyDescent="0.2">
      <c r="B178" s="6"/>
    </row>
    <row r="179" spans="2:2" x14ac:dyDescent="0.2">
      <c r="B179" s="10"/>
    </row>
    <row r="180" spans="2:2" x14ac:dyDescent="0.2">
      <c r="B180" s="10"/>
    </row>
    <row r="181" spans="2:2" x14ac:dyDescent="0.2">
      <c r="B181" s="6"/>
    </row>
    <row r="182" spans="2:2" x14ac:dyDescent="0.2">
      <c r="B182" s="6"/>
    </row>
    <row r="183" spans="2:2" x14ac:dyDescent="0.2">
      <c r="B183" s="6"/>
    </row>
    <row r="184" spans="2:2" x14ac:dyDescent="0.2">
      <c r="B184" s="6"/>
    </row>
    <row r="185" spans="2:2" x14ac:dyDescent="0.2">
      <c r="B185" s="6"/>
    </row>
    <row r="186" spans="2:2" x14ac:dyDescent="0.2">
      <c r="B186" s="6"/>
    </row>
    <row r="187" spans="2:2" x14ac:dyDescent="0.2">
      <c r="B187" s="6"/>
    </row>
    <row r="197" ht="12.75" customHeight="1" x14ac:dyDescent="0.2"/>
    <row r="204" ht="12.75" customHeight="1" x14ac:dyDescent="0.2"/>
    <row r="216" ht="12.75" customHeight="1" x14ac:dyDescent="0.2"/>
    <row r="218" ht="12.75" customHeight="1" x14ac:dyDescent="0.2"/>
    <row r="239" ht="12.75" customHeight="1" x14ac:dyDescent="0.2"/>
    <row r="260" ht="12.75" customHeight="1" x14ac:dyDescent="0.2"/>
    <row r="281" ht="12.75" customHeight="1" x14ac:dyDescent="0.2"/>
  </sheetData>
  <mergeCells count="17">
    <mergeCell ref="B2:H2"/>
    <mergeCell ref="A4:B4"/>
    <mergeCell ref="C4:E4"/>
    <mergeCell ref="A5:B5"/>
    <mergeCell ref="C5:E5"/>
    <mergeCell ref="D37:E40"/>
    <mergeCell ref="D51:E51"/>
    <mergeCell ref="D52:E52"/>
    <mergeCell ref="A7:B7"/>
    <mergeCell ref="A6:B6"/>
    <mergeCell ref="A34:H34"/>
    <mergeCell ref="C36:E36"/>
    <mergeCell ref="C37:C40"/>
    <mergeCell ref="C41:C48"/>
    <mergeCell ref="D41:E48"/>
    <mergeCell ref="D49:E49"/>
    <mergeCell ref="D50:E50"/>
  </mergeCells>
  <pageMargins left="0.7" right="0.7" top="0.75" bottom="0.75" header="0.51180555555555496" footer="0.51180555555555496"/>
  <pageSetup paperSize="9"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794-02B4-49CB-A76D-FC2559BFEC8D}">
  <dimension ref="A1:AMK36"/>
  <sheetViews>
    <sheetView topLeftCell="A22" zoomScale="65" zoomScaleNormal="65" workbookViewId="0">
      <selection activeCell="A34" sqref="A34:XFD34"/>
    </sheetView>
  </sheetViews>
  <sheetFormatPr baseColWidth="10" defaultColWidth="9.140625" defaultRowHeight="15" x14ac:dyDescent="0.25"/>
  <cols>
    <col min="1" max="1" width="5.5703125" style="23" customWidth="1"/>
    <col min="2" max="2" width="15.140625" style="23" customWidth="1"/>
    <col min="3" max="3" width="14.140625" style="23" customWidth="1"/>
    <col min="4" max="4" width="26" style="23" customWidth="1"/>
    <col min="5" max="5" width="8" style="23" customWidth="1"/>
    <col min="6" max="6" width="7.85546875" style="23" customWidth="1"/>
    <col min="7" max="7" width="48.5703125" style="23" customWidth="1"/>
    <col min="8" max="8" width="9.28515625" style="23" customWidth="1"/>
    <col min="9" max="9" width="10.140625" style="23" customWidth="1"/>
    <col min="10" max="10" width="11.28515625" style="23" customWidth="1"/>
    <col min="11" max="11" width="15.5703125" style="23" customWidth="1"/>
    <col min="12" max="14" width="5.85546875" style="23" customWidth="1"/>
    <col min="15" max="15" width="12.5703125" style="23" customWidth="1"/>
    <col min="16" max="1025" width="9.140625" style="23"/>
    <col min="1026" max="16384" width="9.140625" style="24"/>
  </cols>
  <sheetData>
    <row r="1" spans="1:11" ht="16.5" thickBot="1" x14ac:dyDescent="0.3">
      <c r="A1" s="96" t="s">
        <v>82</v>
      </c>
      <c r="B1" s="96"/>
      <c r="C1" s="96"/>
      <c r="D1" s="96"/>
      <c r="E1" s="96"/>
      <c r="F1" s="96"/>
      <c r="G1" s="96"/>
      <c r="H1" s="96"/>
      <c r="I1" s="96"/>
      <c r="J1" s="21" t="s">
        <v>83</v>
      </c>
      <c r="K1" s="22"/>
    </row>
    <row r="2" spans="1:11" ht="16.5" thickBot="1" x14ac:dyDescent="0.3">
      <c r="A2" s="25"/>
      <c r="B2" s="25"/>
      <c r="C2" s="25"/>
      <c r="D2" s="26"/>
      <c r="E2" s="26"/>
      <c r="F2" s="26"/>
      <c r="G2" s="26"/>
      <c r="H2" s="26"/>
      <c r="I2" s="26"/>
      <c r="J2" s="26"/>
      <c r="K2" s="26"/>
    </row>
    <row r="3" spans="1:11" ht="16.5" thickBot="1" x14ac:dyDescent="0.3">
      <c r="A3" s="91" t="s">
        <v>84</v>
      </c>
      <c r="B3" s="91"/>
      <c r="C3" s="91"/>
      <c r="D3" s="92" t="str">
        <f>'Necesidades Trimestrales'!C4</f>
        <v>90 - MINISTERIO DE SEGURIDAD</v>
      </c>
      <c r="E3" s="92"/>
      <c r="F3" s="92"/>
      <c r="G3" s="92"/>
      <c r="H3" s="92"/>
      <c r="I3" s="92"/>
      <c r="J3" s="92"/>
      <c r="K3" s="92"/>
    </row>
    <row r="4" spans="1:11" ht="16.5" thickBot="1" x14ac:dyDescent="0.3">
      <c r="A4" s="93" t="s">
        <v>85</v>
      </c>
      <c r="B4" s="93"/>
      <c r="C4" s="93"/>
      <c r="D4" s="92" t="str">
        <f>'Necesidades Trimestrales'!C5</f>
        <v>8 - DIRECCION GENERAL SERVICIO PENITENCIARIO PROVINCIAL</v>
      </c>
      <c r="E4" s="92"/>
      <c r="F4" s="92"/>
      <c r="G4" s="92"/>
      <c r="H4" s="92"/>
      <c r="I4" s="92"/>
      <c r="J4" s="92"/>
      <c r="K4" s="92"/>
    </row>
    <row r="5" spans="1:11" ht="16.5" thickBot="1" x14ac:dyDescent="0.3">
      <c r="A5" s="93" t="s">
        <v>86</v>
      </c>
      <c r="B5" s="93"/>
      <c r="C5" s="93"/>
      <c r="D5" s="92" t="s">
        <v>87</v>
      </c>
      <c r="E5" s="92"/>
      <c r="F5" s="92"/>
      <c r="G5" s="92"/>
      <c r="H5" s="92"/>
      <c r="I5" s="92"/>
      <c r="J5" s="92"/>
      <c r="K5" s="92"/>
    </row>
    <row r="6" spans="1:11" ht="16.5" thickBot="1" x14ac:dyDescent="0.3">
      <c r="A6" s="91" t="s">
        <v>88</v>
      </c>
      <c r="B6" s="91"/>
      <c r="C6" s="91"/>
      <c r="D6" s="92" t="s">
        <v>89</v>
      </c>
      <c r="E6" s="92"/>
      <c r="F6" s="92"/>
      <c r="G6" s="92"/>
      <c r="H6" s="92"/>
      <c r="I6" s="92"/>
      <c r="J6" s="92"/>
      <c r="K6" s="92"/>
    </row>
    <row r="7" spans="1:11" ht="16.5" thickBot="1" x14ac:dyDescent="0.3">
      <c r="A7" s="93" t="s">
        <v>90</v>
      </c>
      <c r="B7" s="93"/>
      <c r="C7" s="93"/>
      <c r="D7" s="92" t="s">
        <v>91</v>
      </c>
      <c r="E7" s="92"/>
      <c r="F7" s="92"/>
      <c r="G7" s="92"/>
      <c r="H7" s="92"/>
      <c r="I7" s="92"/>
      <c r="J7" s="92"/>
      <c r="K7" s="92"/>
    </row>
    <row r="8" spans="1:11" ht="16.5" thickBot="1" x14ac:dyDescent="0.3">
      <c r="A8" s="94" t="s">
        <v>92</v>
      </c>
      <c r="B8" s="94"/>
      <c r="C8" s="94"/>
      <c r="D8" s="95" t="s">
        <v>93</v>
      </c>
      <c r="E8" s="95"/>
      <c r="F8" s="95"/>
      <c r="G8" s="95"/>
      <c r="H8" s="95"/>
      <c r="I8" s="95"/>
      <c r="J8" s="95"/>
      <c r="K8" s="95"/>
    </row>
    <row r="9" spans="1:11" ht="16.5" thickBot="1" x14ac:dyDescent="0.3">
      <c r="A9" s="27"/>
      <c r="B9" s="27"/>
      <c r="C9" s="27"/>
      <c r="D9" s="28"/>
      <c r="E9" s="28"/>
      <c r="F9" s="28"/>
      <c r="G9" s="28"/>
      <c r="H9" s="28"/>
      <c r="I9" s="28"/>
      <c r="J9" s="28"/>
      <c r="K9" s="28"/>
    </row>
    <row r="10" spans="1:11" ht="18.75" customHeight="1" thickBot="1" x14ac:dyDescent="0.3">
      <c r="A10" s="90" t="s">
        <v>94</v>
      </c>
      <c r="B10" s="89" t="s">
        <v>95</v>
      </c>
      <c r="C10" s="89" t="s">
        <v>96</v>
      </c>
      <c r="D10" s="89"/>
      <c r="E10" s="89"/>
      <c r="F10" s="89"/>
      <c r="G10" s="89"/>
      <c r="H10" s="89" t="s">
        <v>97</v>
      </c>
      <c r="I10" s="89" t="s">
        <v>98</v>
      </c>
      <c r="J10" s="89" t="s">
        <v>99</v>
      </c>
      <c r="K10" s="88" t="s">
        <v>100</v>
      </c>
    </row>
    <row r="11" spans="1:11" ht="24" customHeight="1" thickBot="1" x14ac:dyDescent="0.3">
      <c r="A11" s="90"/>
      <c r="B11" s="89"/>
      <c r="C11" s="89"/>
      <c r="D11" s="89"/>
      <c r="E11" s="89"/>
      <c r="F11" s="89"/>
      <c r="G11" s="89"/>
      <c r="H11" s="89"/>
      <c r="I11" s="89"/>
      <c r="J11" s="89"/>
      <c r="K11" s="88"/>
    </row>
    <row r="12" spans="1:11" ht="47.25" customHeight="1" thickBot="1" x14ac:dyDescent="0.3">
      <c r="A12" s="57">
        <f>'Necesidades Trimestrales'!A10</f>
        <v>1</v>
      </c>
      <c r="B12" s="29" t="str">
        <f>'Necesidades Trimestrales'!B10</f>
        <v>2.1.1-542.236</v>
      </c>
      <c r="C12" s="86" t="str">
        <f>'Necesidades Trimestrales'!E10</f>
        <v>QUESOS; TIPO: CREMOSO, PRESENTACION: AL PESO, ELEM. TRANSPORTE: SIN, MATERIAL ELEM. TRANSPORTE: SIN, MATERIAL ENVASE: SIN, CERTIFICADO FORESTAL (GFS): SIN, LIBRE DE GLUTEN: A DEFINIR</v>
      </c>
      <c r="D12" s="86"/>
      <c r="E12" s="86"/>
      <c r="F12" s="86"/>
      <c r="G12" s="86"/>
      <c r="H12" s="57" t="s">
        <v>101</v>
      </c>
      <c r="I12" s="30" t="str">
        <f>'Necesidades Trimestrales'!F10</f>
        <v>KILO</v>
      </c>
      <c r="J12" s="31">
        <f>'Necesidades Trimestrales'!H10</f>
        <v>1300</v>
      </c>
      <c r="K12" s="58">
        <f>'Necesidades Trimestrales'!G10</f>
        <v>400</v>
      </c>
    </row>
    <row r="13" spans="1:11" ht="46.5" customHeight="1" thickBot="1" x14ac:dyDescent="0.3">
      <c r="A13" s="57">
        <f>'Necesidades Trimestrales'!A11</f>
        <v>2</v>
      </c>
      <c r="B13" s="29" t="str">
        <f>'Necesidades Trimestrales'!B11</f>
        <v>2.1.1-542.235</v>
      </c>
      <c r="C13" s="86" t="str">
        <f>'Necesidades Trimestrales'!E11</f>
        <v>QUESOS; TIPO: PORT SALUT, PRESENTACION: AL PESO, ELEM. TRANSPORTE: SIN, MATERIAL ELEM. TRANSPORTE: SIN, MATERIAL ENVASE: SIN, CERTIFICADO FORESTAL (GFS): SIN, LIBRE DE GLUTEN: A DEFINIR</v>
      </c>
      <c r="D13" s="86"/>
      <c r="E13" s="86"/>
      <c r="F13" s="86"/>
      <c r="G13" s="86"/>
      <c r="H13" s="57" t="s">
        <v>101</v>
      </c>
      <c r="I13" s="30" t="str">
        <f>'Necesidades Trimestrales'!F11</f>
        <v>KILO</v>
      </c>
      <c r="J13" s="31">
        <f>'Necesidades Trimestrales'!H11</f>
        <v>1300</v>
      </c>
      <c r="K13" s="58">
        <f>'Necesidades Trimestrales'!G11</f>
        <v>400</v>
      </c>
    </row>
    <row r="14" spans="1:11" ht="15.75" thickBot="1" x14ac:dyDescent="0.3">
      <c r="A14" s="57">
        <f>'Necesidades Trimestrales'!A12</f>
        <v>3</v>
      </c>
      <c r="B14" s="29" t="str">
        <f>'Necesidades Trimestrales'!B12</f>
        <v>2.1.1-541.18</v>
      </c>
      <c r="C14" s="86" t="str">
        <f>'Necesidades Trimestrales'!E12</f>
        <v>CARNES; ESPECIE: VACUNA, CORTE: ROAST BEEF, TIPO: VACUNA</v>
      </c>
      <c r="D14" s="86"/>
      <c r="E14" s="86"/>
      <c r="F14" s="86"/>
      <c r="G14" s="86"/>
      <c r="H14" s="57" t="s">
        <v>101</v>
      </c>
      <c r="I14" s="30" t="str">
        <f>'Necesidades Trimestrales'!F12</f>
        <v>KILO</v>
      </c>
      <c r="J14" s="31">
        <f>'Necesidades Trimestrales'!H12</f>
        <v>1300</v>
      </c>
      <c r="K14" s="58">
        <f>'Necesidades Trimestrales'!G12</f>
        <v>5000</v>
      </c>
    </row>
    <row r="15" spans="1:11" ht="15.75" customHeight="1" thickBot="1" x14ac:dyDescent="0.3">
      <c r="A15" s="57">
        <f>'Necesidades Trimestrales'!A13</f>
        <v>4</v>
      </c>
      <c r="B15" s="29" t="str">
        <f>'Necesidades Trimestrales'!B13</f>
        <v>2.1.1-541.59</v>
      </c>
      <c r="C15" s="86" t="str">
        <f>'Necesidades Trimestrales'!E13</f>
        <v>CARNES; ESPECIE: VACUNA, CORTE: MONDONGO, TIPO: VACUNA</v>
      </c>
      <c r="D15" s="86"/>
      <c r="E15" s="86"/>
      <c r="F15" s="86"/>
      <c r="G15" s="86"/>
      <c r="H15" s="57" t="s">
        <v>101</v>
      </c>
      <c r="I15" s="30" t="str">
        <f>'Necesidades Trimestrales'!F13</f>
        <v>KILO</v>
      </c>
      <c r="J15" s="31">
        <f>'Necesidades Trimestrales'!H13</f>
        <v>600</v>
      </c>
      <c r="K15" s="58">
        <f>'Necesidades Trimestrales'!G13</f>
        <v>500</v>
      </c>
    </row>
    <row r="16" spans="1:11" ht="15.75" customHeight="1" thickBot="1" x14ac:dyDescent="0.3">
      <c r="A16" s="57">
        <f>'Necesidades Trimestrales'!A14</f>
        <v>5</v>
      </c>
      <c r="B16" s="29" t="str">
        <f>'Necesidades Trimestrales'!B14</f>
        <v>2.1.1-541.45</v>
      </c>
      <c r="C16" s="86" t="str">
        <f>'Necesidades Trimestrales'!E14</f>
        <v>CARNES; CORTE: HIGADO, ESPECIE: VACUNA, TIPO: VACUNA</v>
      </c>
      <c r="D16" s="86"/>
      <c r="E16" s="86"/>
      <c r="F16" s="86"/>
      <c r="G16" s="86"/>
      <c r="H16" s="57" t="s">
        <v>101</v>
      </c>
      <c r="I16" s="30" t="str">
        <f>'Necesidades Trimestrales'!F14</f>
        <v>KILO</v>
      </c>
      <c r="J16" s="31">
        <f>'Necesidades Trimestrales'!H14</f>
        <v>600</v>
      </c>
      <c r="K16" s="58">
        <f>'Necesidades Trimestrales'!G14</f>
        <v>500</v>
      </c>
    </row>
    <row r="17" spans="1:11" ht="32.25" customHeight="1" thickBot="1" x14ac:dyDescent="0.3">
      <c r="A17" s="57">
        <f>'Necesidades Trimestrales'!A15</f>
        <v>6</v>
      </c>
      <c r="B17" s="29" t="str">
        <f>'Necesidades Trimestrales'!B15</f>
        <v>2.1.1-6546.335</v>
      </c>
      <c r="C17" s="86" t="str">
        <f>'Necesidades Trimestrales'!E15</f>
        <v>VERDURAS Y HORTALIZAS; VARIEDAD: PAPA BLANCA, ESTADO: NATURAL, PRESENTACION: BOLSA, PESO: 25 Kg</v>
      </c>
      <c r="D17" s="86"/>
      <c r="E17" s="86"/>
      <c r="F17" s="86"/>
      <c r="G17" s="86"/>
      <c r="H17" s="57" t="s">
        <v>101</v>
      </c>
      <c r="I17" s="30" t="str">
        <f>'Necesidades Trimestrales'!F15</f>
        <v>BOLSA</v>
      </c>
      <c r="J17" s="31">
        <f>'Necesidades Trimestrales'!H15</f>
        <v>1950</v>
      </c>
      <c r="K17" s="58">
        <f>'Necesidades Trimestrales'!G15</f>
        <v>700</v>
      </c>
    </row>
    <row r="18" spans="1:11" ht="45" customHeight="1" thickBot="1" x14ac:dyDescent="0.3">
      <c r="A18" s="57">
        <f>'Necesidades Trimestrales'!A16</f>
        <v>7</v>
      </c>
      <c r="B18" s="29" t="str">
        <f>'Necesidades Trimestrales'!B16</f>
        <v>2.1.1-6546.188</v>
      </c>
      <c r="C18" s="86" t="str">
        <f>'Necesidades Trimestrales'!E16</f>
        <v>VERDURAS Y HORTALIZAS; ESTADO: NATURAL, PRESENTACION: GRANEL, PESO: SIN VALOR, VARIEDAD: ZAPALLO CRIOLLO</v>
      </c>
      <c r="D18" s="86"/>
      <c r="E18" s="86"/>
      <c r="F18" s="86"/>
      <c r="G18" s="86"/>
      <c r="H18" s="57" t="s">
        <v>101</v>
      </c>
      <c r="I18" s="30" t="str">
        <f>'Necesidades Trimestrales'!F16</f>
        <v>KILO</v>
      </c>
      <c r="J18" s="31">
        <f>'Necesidades Trimestrales'!H16</f>
        <v>380</v>
      </c>
      <c r="K18" s="58">
        <f>'Necesidades Trimestrales'!G16</f>
        <v>1500</v>
      </c>
    </row>
    <row r="19" spans="1:11" ht="48" customHeight="1" thickBot="1" x14ac:dyDescent="0.3">
      <c r="A19" s="57">
        <f>'Necesidades Trimestrales'!A17</f>
        <v>8</v>
      </c>
      <c r="B19" s="29" t="str">
        <f>'Necesidades Trimestrales'!B17</f>
        <v>2.1.1-6546.390</v>
      </c>
      <c r="C19" s="86" t="str">
        <f>'Necesidades Trimestrales'!E17</f>
        <v>VERDURAS Y HORTALIZAS; VARIEDAD: TOMATE REDONDO, ESTADO: NATURAL, PRESENTACION: CAJON, PESO: 17 A 22 Kg, ELEM. TRANSPORTE: SIN, MATERIAL ELEM. TRANSPORTE: SIN, LIBRE DE GLUTEN: SI, ORGANICO: NO</v>
      </c>
      <c r="D19" s="86"/>
      <c r="E19" s="86"/>
      <c r="F19" s="86"/>
      <c r="G19" s="86"/>
      <c r="H19" s="57" t="s">
        <v>101</v>
      </c>
      <c r="I19" s="30" t="str">
        <f>'Necesidades Trimestrales'!F17</f>
        <v>CAJON</v>
      </c>
      <c r="J19" s="31">
        <f>'Necesidades Trimestrales'!H17</f>
        <v>2000</v>
      </c>
      <c r="K19" s="58">
        <f>'Necesidades Trimestrales'!G17</f>
        <v>450</v>
      </c>
    </row>
    <row r="20" spans="1:11" ht="15.75" customHeight="1" thickBot="1" x14ac:dyDescent="0.3">
      <c r="A20" s="57">
        <f>'Necesidades Trimestrales'!A18</f>
        <v>9</v>
      </c>
      <c r="B20" s="29" t="str">
        <f>'Necesidades Trimestrales'!B18</f>
        <v>2.1.1-6546.113</v>
      </c>
      <c r="C20" s="86" t="str">
        <f>'Necesidades Trimestrales'!E18</f>
        <v>VERDURAS Y HORTALIZAS; ESTADO: NATURAL, PESO: SIN VALOR, VARIEDAD: REPOLLO BLANCO, PRESENTACION: GRANEL</v>
      </c>
      <c r="D20" s="86"/>
      <c r="E20" s="86"/>
      <c r="F20" s="86"/>
      <c r="G20" s="86"/>
      <c r="H20" s="57" t="s">
        <v>101</v>
      </c>
      <c r="I20" s="30" t="str">
        <f>'Necesidades Trimestrales'!F18</f>
        <v>UNIDAD</v>
      </c>
      <c r="J20" s="31">
        <f>'Necesidades Trimestrales'!H18</f>
        <v>250</v>
      </c>
      <c r="K20" s="58">
        <f>'Necesidades Trimestrales'!G18</f>
        <v>20</v>
      </c>
    </row>
    <row r="21" spans="1:11" ht="30" customHeight="1" thickBot="1" x14ac:dyDescent="0.3">
      <c r="A21" s="57">
        <f>'Necesidades Trimestrales'!A19</f>
        <v>10</v>
      </c>
      <c r="B21" s="29" t="str">
        <f>'Necesidades Trimestrales'!B19</f>
        <v>2.1.1-483.37</v>
      </c>
      <c r="C21" s="86" t="str">
        <f>'Necesidades Trimestrales'!E19</f>
        <v>HUEVO DE GALLINA; TAMAÑO: GRANDE, COLOR: COLOR, PRESENTACION: 30 UN</v>
      </c>
      <c r="D21" s="86"/>
      <c r="E21" s="86"/>
      <c r="F21" s="86"/>
      <c r="G21" s="86"/>
      <c r="H21" s="57" t="s">
        <v>101</v>
      </c>
      <c r="I21" s="30" t="str">
        <f>'Necesidades Trimestrales'!F19</f>
        <v>CARTON</v>
      </c>
      <c r="J21" s="31">
        <f>'Necesidades Trimestrales'!H19</f>
        <v>1200</v>
      </c>
      <c r="K21" s="58">
        <f>'Necesidades Trimestrales'!G19</f>
        <v>300</v>
      </c>
    </row>
    <row r="22" spans="1:11" ht="32.25" customHeight="1" thickBot="1" x14ac:dyDescent="0.3">
      <c r="A22" s="57">
        <f>'Necesidades Trimestrales'!A20</f>
        <v>11</v>
      </c>
      <c r="B22" s="29" t="str">
        <f>'Necesidades Trimestrales'!B20</f>
        <v>2.1.1-6546.153</v>
      </c>
      <c r="C22" s="86" t="str">
        <f>'Necesidades Trimestrales'!E20</f>
        <v>VERDURAS Y HORTALIZAS; VARIEDAD: AJO, ESTADO: NATURAL, PRESENTACION: RISTRA, PESO: SIN VALOR</v>
      </c>
      <c r="D22" s="86"/>
      <c r="E22" s="86"/>
      <c r="F22" s="86"/>
      <c r="G22" s="86"/>
      <c r="H22" s="57" t="s">
        <v>101</v>
      </c>
      <c r="I22" s="30" t="str">
        <f>'Necesidades Trimestrales'!F20</f>
        <v>RISTRA</v>
      </c>
      <c r="J22" s="31">
        <f>'Necesidades Trimestrales'!H20</f>
        <v>4000</v>
      </c>
      <c r="K22" s="58">
        <f>'Necesidades Trimestrales'!G20</f>
        <v>50</v>
      </c>
    </row>
    <row r="23" spans="1:11" ht="31.5" customHeight="1" thickBot="1" x14ac:dyDescent="0.3">
      <c r="A23" s="57">
        <f>'Necesidades Trimestrales'!A21</f>
        <v>12</v>
      </c>
      <c r="B23" s="29" t="str">
        <f>'Necesidades Trimestrales'!B21</f>
        <v>2.1.1-6546.34</v>
      </c>
      <c r="C23" s="87" t="str">
        <f>'Necesidades Trimestrales'!E21</f>
        <v>VERDURAS Y HORTALIZAS; VARIEDAD: ACELGA, ESTADO: EN HOJA, PRESENTACION: ATADO, PESO: SIN VALOR</v>
      </c>
      <c r="D23" s="87"/>
      <c r="E23" s="87"/>
      <c r="F23" s="87"/>
      <c r="G23" s="87"/>
      <c r="H23" s="57" t="s">
        <v>101</v>
      </c>
      <c r="I23" s="30" t="str">
        <f>'Necesidades Trimestrales'!F21</f>
        <v>ATADO</v>
      </c>
      <c r="J23" s="31">
        <f>'Necesidades Trimestrales'!H21</f>
        <v>50</v>
      </c>
      <c r="K23" s="58">
        <f>'Necesidades Trimestrales'!G21</f>
        <v>1400</v>
      </c>
    </row>
    <row r="24" spans="1:11" ht="30" customHeight="1" thickBot="1" x14ac:dyDescent="0.3">
      <c r="A24" s="57">
        <f>'Necesidades Trimestrales'!A22</f>
        <v>13</v>
      </c>
      <c r="B24" s="29" t="str">
        <f>'Necesidades Trimestrales'!B22</f>
        <v>2.1.1-6546.39</v>
      </c>
      <c r="C24" s="86" t="str">
        <f>'Necesidades Trimestrales'!E22</f>
        <v>VERDURAS Y HORTALIZAS; VARIEDAD: CEBOLLA, ESTADO: NATURAL, PRESENTACION: BOLSA, PESO: 25 Kg</v>
      </c>
      <c r="D24" s="86"/>
      <c r="E24" s="86"/>
      <c r="F24" s="86"/>
      <c r="G24" s="86"/>
      <c r="H24" s="57" t="s">
        <v>101</v>
      </c>
      <c r="I24" s="30" t="str">
        <f>'Necesidades Trimestrales'!F22</f>
        <v>BOLSA</v>
      </c>
      <c r="J24" s="31">
        <f>'Necesidades Trimestrales'!H22</f>
        <v>2500</v>
      </c>
      <c r="K24" s="58">
        <f>'Necesidades Trimestrales'!G22</f>
        <v>700</v>
      </c>
    </row>
    <row r="25" spans="1:11" ht="32.25" customHeight="1" thickBot="1" x14ac:dyDescent="0.3">
      <c r="A25" s="57">
        <f>'Necesidades Trimestrales'!A23</f>
        <v>14</v>
      </c>
      <c r="B25" s="29" t="str">
        <f>'Necesidades Trimestrales'!B23</f>
        <v>2.1.1-6546.240</v>
      </c>
      <c r="C25" s="86" t="str">
        <f>'Necesidades Trimestrales'!E23</f>
        <v>VERDURAS Y HORTALIZAS; VARIEDAD: ZAPALLITO REDONDO, ESTADO: NATURAL, PRESENTACION: SIN VALOR, PESO: 20 Kg</v>
      </c>
      <c r="D25" s="86"/>
      <c r="E25" s="86"/>
      <c r="F25" s="86"/>
      <c r="G25" s="86"/>
      <c r="H25" s="57" t="s">
        <v>101</v>
      </c>
      <c r="I25" s="30" t="str">
        <f>'Necesidades Trimestrales'!F23</f>
        <v>CAJON</v>
      </c>
      <c r="J25" s="31">
        <f>'Necesidades Trimestrales'!H23</f>
        <v>5400</v>
      </c>
      <c r="K25" s="58">
        <f>'Necesidades Trimestrales'!G23</f>
        <v>250</v>
      </c>
    </row>
    <row r="26" spans="1:11" ht="32.25" customHeight="1" thickBot="1" x14ac:dyDescent="0.3">
      <c r="A26" s="57">
        <f>'Necesidades Trimestrales'!A24</f>
        <v>15</v>
      </c>
      <c r="B26" s="29" t="str">
        <f>'Necesidades Trimestrales'!B24</f>
        <v>2.1.1-6546.167</v>
      </c>
      <c r="C26" s="86" t="str">
        <f>'Necesidades Trimestrales'!E24</f>
        <v>VERDURAS Y HORTALIZAS; VARIEDAD: ZANAHORIA, PRESENTACION: BOLSA, ESTADO: NATURAL, PESO: 20 Kg</v>
      </c>
      <c r="D26" s="86"/>
      <c r="E26" s="86"/>
      <c r="F26" s="86"/>
      <c r="G26" s="86"/>
      <c r="H26" s="57" t="s">
        <v>101</v>
      </c>
      <c r="I26" s="30" t="str">
        <f>'Necesidades Trimestrales'!F24</f>
        <v>BOLSA</v>
      </c>
      <c r="J26" s="31">
        <f>'Necesidades Trimestrales'!H24</f>
        <v>750</v>
      </c>
      <c r="K26" s="58">
        <f>'Necesidades Trimestrales'!G24</f>
        <v>350</v>
      </c>
    </row>
    <row r="27" spans="1:11" ht="30.75" customHeight="1" thickBot="1" x14ac:dyDescent="0.3">
      <c r="A27" s="57">
        <f>'Necesidades Trimestrales'!A25</f>
        <v>16</v>
      </c>
      <c r="B27" s="29" t="str">
        <f>'Necesidades Trimestrales'!B25</f>
        <v>2.1.1-6546.207</v>
      </c>
      <c r="C27" s="86" t="str">
        <f>'Necesidades Trimestrales'!E25</f>
        <v>VERDURAS Y HORTALIZAS; VARIEDAD: BATATA, ESTADO: NATURAL, PRESENTACION: BOLSA, PESO: 10 Kg</v>
      </c>
      <c r="D27" s="86"/>
      <c r="E27" s="86"/>
      <c r="F27" s="86"/>
      <c r="G27" s="86"/>
      <c r="H27" s="57" t="s">
        <v>101</v>
      </c>
      <c r="I27" s="30" t="str">
        <f>'Necesidades Trimestrales'!F25</f>
        <v>BOLSA</v>
      </c>
      <c r="J27" s="31">
        <f>'Necesidades Trimestrales'!H25</f>
        <v>2200</v>
      </c>
      <c r="K27" s="58">
        <f>'Necesidades Trimestrales'!G25</f>
        <v>75</v>
      </c>
    </row>
    <row r="28" spans="1:11" ht="32.25" customHeight="1" thickBot="1" x14ac:dyDescent="0.3">
      <c r="A28" s="57">
        <f>'Necesidades Trimestrales'!A26</f>
        <v>17</v>
      </c>
      <c r="B28" s="29" t="str">
        <f>'Necesidades Trimestrales'!B26</f>
        <v>2.1.1-6546.95</v>
      </c>
      <c r="C28" s="86" t="str">
        <f>'Necesidades Trimestrales'!E26</f>
        <v>VERDURAS Y HORTALIZAS; VARIEDAD: MORRON VERDE, ESTADO: NATURAL, PRESENTACION: GRANEL, PESO: SIN VALOR</v>
      </c>
      <c r="D28" s="86"/>
      <c r="E28" s="86"/>
      <c r="F28" s="86"/>
      <c r="G28" s="86"/>
      <c r="H28" s="57" t="s">
        <v>101</v>
      </c>
      <c r="I28" s="30" t="str">
        <f>'Necesidades Trimestrales'!F26</f>
        <v>CAJON</v>
      </c>
      <c r="J28" s="31">
        <f>'Necesidades Trimestrales'!H26</f>
        <v>2250</v>
      </c>
      <c r="K28" s="58">
        <f>'Necesidades Trimestrales'!G26</f>
        <v>20</v>
      </c>
    </row>
    <row r="29" spans="1:11" ht="30.75" customHeight="1" thickBot="1" x14ac:dyDescent="0.3">
      <c r="A29" s="57">
        <f>'Necesidades Trimestrales'!A27</f>
        <v>18</v>
      </c>
      <c r="B29" s="29" t="str">
        <f>'Necesidades Trimestrales'!B27</f>
        <v>2.1.1-6539.2</v>
      </c>
      <c r="C29" s="86" t="str">
        <f>'Necesidades Trimestrales'!E27</f>
        <v>FRUTAS; PRESENTACION: GRANEL, VARIEDAD: NARANJA OMBLIGO, ESTADO: NATURAL, PESO: SIN VALOR</v>
      </c>
      <c r="D29" s="86"/>
      <c r="E29" s="86"/>
      <c r="F29" s="86"/>
      <c r="G29" s="86"/>
      <c r="H29" s="57" t="s">
        <v>101</v>
      </c>
      <c r="I29" s="30" t="str">
        <f>'Necesidades Trimestrales'!F27</f>
        <v>BOLSA</v>
      </c>
      <c r="J29" s="31">
        <f>'Necesidades Trimestrales'!H27</f>
        <v>1900</v>
      </c>
      <c r="K29" s="58">
        <f>'Necesidades Trimestrales'!G27</f>
        <v>230</v>
      </c>
    </row>
    <row r="30" spans="1:11" ht="31.5" customHeight="1" thickBot="1" x14ac:dyDescent="0.3">
      <c r="A30" s="57">
        <f>'Necesidades Trimestrales'!A28</f>
        <v>19</v>
      </c>
      <c r="B30" s="29" t="str">
        <f>'Necesidades Trimestrales'!B28</f>
        <v>2.1.1-6539.32</v>
      </c>
      <c r="C30" s="86" t="str">
        <f>'Necesidades Trimestrales'!E28</f>
        <v>FRUTAS; VARIEDAD: PERA AMARILLA, ESTADO: NATURAL, PRESENTACION: CAJON, PESO: SIN VALOR</v>
      </c>
      <c r="D30" s="86"/>
      <c r="E30" s="86"/>
      <c r="F30" s="86"/>
      <c r="G30" s="86"/>
      <c r="H30" s="57" t="s">
        <v>101</v>
      </c>
      <c r="I30" s="30" t="str">
        <f>'Necesidades Trimestrales'!F28</f>
        <v>CAJON</v>
      </c>
      <c r="J30" s="31">
        <f>'Necesidades Trimestrales'!H28</f>
        <v>1750</v>
      </c>
      <c r="K30" s="58">
        <f>'Necesidades Trimestrales'!G28</f>
        <v>100</v>
      </c>
    </row>
    <row r="31" spans="1:11" ht="31.5" customHeight="1" thickBot="1" x14ac:dyDescent="0.3">
      <c r="A31" s="57">
        <f>'Necesidades Trimestrales'!A29</f>
        <v>20</v>
      </c>
      <c r="B31" s="29" t="str">
        <f>'Necesidades Trimestrales'!B29</f>
        <v>2.1.1-6539.20</v>
      </c>
      <c r="C31" s="86" t="str">
        <f>'Necesidades Trimestrales'!E29</f>
        <v>FRUTAS; ESTADO: NATURAL, VARIEDAD: MANZANA RED DELICIOSA, PRESENTACION: CAJON, PESO: SIN VALOR</v>
      </c>
      <c r="D31" s="86"/>
      <c r="E31" s="86"/>
      <c r="F31" s="86"/>
      <c r="G31" s="86"/>
      <c r="H31" s="57" t="s">
        <v>101</v>
      </c>
      <c r="I31" s="30" t="str">
        <f>'Necesidades Trimestrales'!F29</f>
        <v>CAJON</v>
      </c>
      <c r="J31" s="31">
        <f>'Necesidades Trimestrales'!H29</f>
        <v>3100</v>
      </c>
      <c r="K31" s="58">
        <f>'Necesidades Trimestrales'!G29</f>
        <v>100</v>
      </c>
    </row>
    <row r="32" spans="1:11" ht="24" customHeight="1" thickBot="1" x14ac:dyDescent="0.3">
      <c r="A32" s="57">
        <f>'Necesidades Trimestrales'!A30</f>
        <v>21</v>
      </c>
      <c r="B32" s="29" t="str">
        <f>'Necesidades Trimestrales'!B30</f>
        <v>2.1.1-2116.2</v>
      </c>
      <c r="C32" s="86" t="str">
        <f>'Necesidades Trimestrales'!E30</f>
        <v>LEVADURAS; TIPO: DE CERVEZA, PRESENTACION: PAQUETE, PESO: 1 Kg</v>
      </c>
      <c r="D32" s="86"/>
      <c r="E32" s="86"/>
      <c r="F32" s="86"/>
      <c r="G32" s="86"/>
      <c r="H32" s="57" t="s">
        <v>101</v>
      </c>
      <c r="I32" s="30" t="str">
        <f>'Necesidades Trimestrales'!F30</f>
        <v>KILO</v>
      </c>
      <c r="J32" s="31">
        <f>'Necesidades Trimestrales'!H30</f>
        <v>800</v>
      </c>
      <c r="K32" s="58">
        <f>'Necesidades Trimestrales'!G30</f>
        <v>500</v>
      </c>
    </row>
    <row r="33" spans="1:11" ht="30.75" customHeight="1" thickBot="1" x14ac:dyDescent="0.3">
      <c r="A33" s="57">
        <f>'Necesidades Trimestrales'!A31</f>
        <v>22</v>
      </c>
      <c r="B33" s="29" t="str">
        <f>'Necesidades Trimestrales'!B31</f>
        <v>2.1.1-456.1</v>
      </c>
      <c r="C33" s="86" t="str">
        <f>'Necesidades Trimestrales'!E31</f>
        <v>YOGHURT; SABOR: VAINILLA, ENVASE: SACHET, AGREGADO: SIN VALOR, CONSISTENCIA: BEBIBLE, PRESENTACION: SACHET X 1 L, CAPACIDAD: 1 L, TIPO: ENTERO</v>
      </c>
      <c r="D33" s="86"/>
      <c r="E33" s="86"/>
      <c r="F33" s="86"/>
      <c r="G33" s="86"/>
      <c r="H33" s="57" t="s">
        <v>101</v>
      </c>
      <c r="I33" s="30" t="str">
        <f>'Necesidades Trimestrales'!F31</f>
        <v>SACHET</v>
      </c>
      <c r="J33" s="31">
        <f>'Necesidades Trimestrales'!H31</f>
        <v>250</v>
      </c>
      <c r="K33" s="58">
        <f>'Necesidades Trimestrales'!G31</f>
        <v>300</v>
      </c>
    </row>
    <row r="34" spans="1:11" ht="30.75" customHeight="1" thickBot="1" x14ac:dyDescent="0.3">
      <c r="A34" s="57">
        <f>'Necesidades Trimestrales'!A32</f>
        <v>23</v>
      </c>
      <c r="B34" s="29" t="str">
        <f>'Necesidades Trimestrales'!B32</f>
        <v>2.1.1-456.22</v>
      </c>
      <c r="C34" s="86" t="str">
        <f>'Necesidades Trimestrales'!E32</f>
        <v>YOGHURT; CAPACIDAD: 1 L, SABOR: FRUTILLA, TIPO: ENTERO, ENVASE: SACHET, AGREGADO: SIN VALOR, CONSISTENCIA: BEBIBLE, PRESENTACION: SACHET X 1 L</v>
      </c>
      <c r="D34" s="86"/>
      <c r="E34" s="86"/>
      <c r="F34" s="86"/>
      <c r="G34" s="86"/>
      <c r="H34" s="57" t="s">
        <v>101</v>
      </c>
      <c r="I34" s="30" t="str">
        <f>'Necesidades Trimestrales'!F32</f>
        <v>SACHET</v>
      </c>
      <c r="J34" s="31">
        <f>'Necesidades Trimestrales'!H32</f>
        <v>250</v>
      </c>
      <c r="K34" s="58">
        <f>'Necesidades Trimestrales'!G32</f>
        <v>300</v>
      </c>
    </row>
    <row r="35" spans="1:11" ht="30.75" customHeight="1" thickBot="1" x14ac:dyDescent="0.3">
      <c r="A35" s="57">
        <f>'Necesidades Trimestrales'!A33</f>
        <v>24</v>
      </c>
      <c r="B35" s="29" t="str">
        <f>'Necesidades Trimestrales'!B33</f>
        <v>2.1.1-6546.158</v>
      </c>
      <c r="C35" s="86" t="str">
        <f>'Necesidades Trimestrales'!E33</f>
        <v>VERDURAS Y HORTALIZAS; ESTADO: NATURAL, VARIEDAD: ZAPALLO ANCO, PRESENTACION: GRANEL, PESO: SIN VALOR</v>
      </c>
      <c r="D35" s="86"/>
      <c r="E35" s="86"/>
      <c r="F35" s="86"/>
      <c r="G35" s="86"/>
      <c r="H35" s="57" t="s">
        <v>101</v>
      </c>
      <c r="I35" s="30" t="str">
        <f>'Necesidades Trimestrales'!F33</f>
        <v>KILO</v>
      </c>
      <c r="J35" s="31">
        <f>'Necesidades Trimestrales'!H33</f>
        <v>250</v>
      </c>
      <c r="K35" s="58">
        <f>'Necesidades Trimestrales'!G33</f>
        <v>800</v>
      </c>
    </row>
    <row r="36" spans="1:11" ht="16.5" thickBot="1" x14ac:dyDescent="0.3">
      <c r="A36" s="84" t="s">
        <v>102</v>
      </c>
      <c r="B36" s="84"/>
      <c r="C36" s="84"/>
      <c r="D36" s="84"/>
      <c r="E36" s="84"/>
      <c r="F36" s="84"/>
      <c r="G36" s="84"/>
      <c r="H36" s="84"/>
      <c r="I36" s="84"/>
      <c r="J36" s="85">
        <f>SUMPRODUCT(J12:J35,K12:K35)</f>
        <v>16854500</v>
      </c>
      <c r="K36" s="85"/>
    </row>
  </sheetData>
  <mergeCells count="4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0:A11"/>
    <mergeCell ref="B10:B11"/>
    <mergeCell ref="C10:G11"/>
    <mergeCell ref="H10:H11"/>
    <mergeCell ref="I10:I11"/>
    <mergeCell ref="C20:G20"/>
    <mergeCell ref="K10:K11"/>
    <mergeCell ref="C12:G12"/>
    <mergeCell ref="C13:G13"/>
    <mergeCell ref="C14:G14"/>
    <mergeCell ref="C15:G15"/>
    <mergeCell ref="J10:J11"/>
    <mergeCell ref="C16:G16"/>
    <mergeCell ref="C17:G17"/>
    <mergeCell ref="C18:G18"/>
    <mergeCell ref="C19:G19"/>
    <mergeCell ref="C29:G29"/>
    <mergeCell ref="C21:G21"/>
    <mergeCell ref="C22:G22"/>
    <mergeCell ref="C23:G23"/>
    <mergeCell ref="C24:G24"/>
    <mergeCell ref="C25:G25"/>
    <mergeCell ref="C26:G26"/>
    <mergeCell ref="C27:G27"/>
    <mergeCell ref="C28:G28"/>
    <mergeCell ref="A36:I36"/>
    <mergeCell ref="J36:K36"/>
    <mergeCell ref="C30:G30"/>
    <mergeCell ref="C31:G31"/>
    <mergeCell ref="C32:G32"/>
    <mergeCell ref="C33:G33"/>
    <mergeCell ref="C34:G34"/>
    <mergeCell ref="C35:G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5CB1E-3DC5-4950-A618-5DE630E148AD}">
  <dimension ref="A1:Q24"/>
  <sheetViews>
    <sheetView topLeftCell="A6" workbookViewId="0">
      <selection activeCell="A10" sqref="A10:Q11"/>
    </sheetView>
  </sheetViews>
  <sheetFormatPr baseColWidth="10" defaultColWidth="9.140625" defaultRowHeight="12.75" x14ac:dyDescent="0.2"/>
  <cols>
    <col min="1" max="2" width="3.5703125" bestFit="1" customWidth="1"/>
    <col min="3" max="3" width="3.42578125" bestFit="1" customWidth="1"/>
    <col min="4" max="4" width="3.5703125" bestFit="1" customWidth="1"/>
    <col min="5" max="5" width="3.7109375" bestFit="1" customWidth="1"/>
    <col min="6" max="6" width="5" bestFit="1" customWidth="1"/>
    <col min="7" max="7" width="4" style="36" bestFit="1" customWidth="1"/>
    <col min="8" max="8" width="4.7109375" bestFit="1" customWidth="1"/>
    <col min="9" max="9" width="3.5703125" customWidth="1"/>
    <col min="10" max="10" width="3.7109375" customWidth="1"/>
    <col min="11" max="11" width="3.85546875" customWidth="1"/>
    <col min="12" max="12" width="8.28515625" customWidth="1"/>
    <col min="13" max="13" width="4.5703125" customWidth="1"/>
    <col min="14" max="14" width="5.7109375" customWidth="1"/>
    <col min="16" max="16" width="12.28515625" customWidth="1"/>
    <col min="17" max="17" width="16" customWidth="1"/>
    <col min="18" max="1025" width="11" customWidth="1"/>
  </cols>
  <sheetData>
    <row r="1" spans="1:17" ht="15.75" thickBot="1" x14ac:dyDescent="0.3">
      <c r="A1" s="131" t="s">
        <v>5</v>
      </c>
      <c r="B1" s="132"/>
      <c r="C1" s="132"/>
      <c r="D1" s="133">
        <v>2022</v>
      </c>
      <c r="E1" s="133"/>
      <c r="F1" s="32"/>
      <c r="G1" s="32"/>
      <c r="H1" s="33"/>
      <c r="I1" s="33"/>
      <c r="J1" s="33"/>
      <c r="K1" s="33"/>
      <c r="L1" s="33"/>
      <c r="M1" s="33"/>
      <c r="N1" s="33"/>
      <c r="O1" s="34"/>
      <c r="P1" s="134" t="s">
        <v>104</v>
      </c>
      <c r="Q1" s="135"/>
    </row>
    <row r="2" spans="1:17" ht="13.5" thickBot="1" x14ac:dyDescent="0.25">
      <c r="A2" s="35"/>
      <c r="H2" s="37"/>
      <c r="I2" s="37"/>
      <c r="J2" s="37"/>
      <c r="K2" s="37"/>
      <c r="L2" s="37"/>
      <c r="M2" s="37"/>
      <c r="N2" s="37"/>
      <c r="P2" s="136"/>
      <c r="Q2" s="137"/>
    </row>
    <row r="3" spans="1:17" ht="13.5" thickBot="1" x14ac:dyDescent="0.25">
      <c r="A3" s="35"/>
      <c r="Q3" s="38"/>
    </row>
    <row r="4" spans="1:17" s="39" customFormat="1" ht="15.75" thickBot="1" x14ac:dyDescent="0.3">
      <c r="A4" s="138" t="s">
        <v>105</v>
      </c>
      <c r="B4" s="139"/>
      <c r="C4" s="139"/>
      <c r="D4" s="139"/>
      <c r="E4" s="139"/>
      <c r="F4" s="139"/>
      <c r="G4" s="140" t="str">
        <f>'Nota de Pedido'!D3</f>
        <v>90 - MINISTERIO DE SEGURIDAD</v>
      </c>
      <c r="H4" s="140"/>
      <c r="I4" s="140"/>
      <c r="J4" s="140"/>
      <c r="K4" s="140"/>
      <c r="L4" s="140"/>
      <c r="M4" s="140"/>
      <c r="N4" s="140"/>
      <c r="O4" s="140"/>
      <c r="P4" s="140"/>
      <c r="Q4" s="141"/>
    </row>
    <row r="5" spans="1:17" s="39" customFormat="1" ht="15.75" thickBot="1" x14ac:dyDescent="0.3">
      <c r="A5" s="142" t="s">
        <v>85</v>
      </c>
      <c r="B5" s="143"/>
      <c r="C5" s="143"/>
      <c r="D5" s="143"/>
      <c r="E5" s="143"/>
      <c r="F5" s="144"/>
      <c r="G5" s="145" t="str">
        <f>'Nota de Pedido'!D4</f>
        <v>8 - DIRECCION GENERAL SERVICIO PENITENCIARIO PROVINCIAL</v>
      </c>
      <c r="H5" s="146"/>
      <c r="I5" s="146"/>
      <c r="J5" s="146"/>
      <c r="K5" s="146"/>
      <c r="L5" s="146"/>
      <c r="M5" s="146"/>
      <c r="N5" s="146"/>
      <c r="O5" s="146"/>
      <c r="P5" s="146"/>
      <c r="Q5" s="147"/>
    </row>
    <row r="6" spans="1:17" s="39" customFormat="1" ht="15.75" thickBot="1" x14ac:dyDescent="0.3">
      <c r="A6" s="142" t="s">
        <v>86</v>
      </c>
      <c r="B6" s="143"/>
      <c r="C6" s="143"/>
      <c r="D6" s="143"/>
      <c r="E6" s="143"/>
      <c r="F6" s="144"/>
      <c r="G6" s="148" t="str">
        <f>'Nota de Pedido'!D5</f>
        <v>SERVICIO PENITENCIARIO PROVINCIAL</v>
      </c>
      <c r="H6" s="149"/>
      <c r="I6" s="149"/>
      <c r="J6" s="149"/>
      <c r="K6" s="149"/>
      <c r="L6" s="149"/>
      <c r="M6" s="149"/>
      <c r="N6" s="149"/>
      <c r="O6" s="149"/>
      <c r="P6" s="149"/>
      <c r="Q6" s="150"/>
    </row>
    <row r="7" spans="1:17" s="39" customFormat="1" ht="26.25" customHeight="1" thickBot="1" x14ac:dyDescent="0.25">
      <c r="A7" s="151" t="s">
        <v>88</v>
      </c>
      <c r="B7" s="152"/>
      <c r="C7" s="152"/>
      <c r="D7" s="152"/>
      <c r="E7" s="152"/>
      <c r="F7" s="152"/>
      <c r="G7" s="153" t="str">
        <f>'Nota de Pedido'!D6</f>
        <v>LOGISTICA</v>
      </c>
      <c r="H7" s="154"/>
      <c r="I7" s="154"/>
      <c r="J7" s="154"/>
      <c r="K7" s="154"/>
      <c r="L7" s="154"/>
      <c r="M7" s="154"/>
      <c r="N7" s="154"/>
      <c r="O7" s="154"/>
      <c r="P7" s="154"/>
      <c r="Q7" s="155"/>
    </row>
    <row r="8" spans="1:17" ht="13.5" thickBot="1" x14ac:dyDescent="0.25">
      <c r="A8" s="156" t="s">
        <v>106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8"/>
    </row>
    <row r="9" spans="1:17" ht="15" customHeight="1" x14ac:dyDescent="0.25">
      <c r="A9" s="128" t="s">
        <v>107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30"/>
    </row>
    <row r="10" spans="1:17" ht="28.5" customHeight="1" x14ac:dyDescent="0.2">
      <c r="A10" s="111" t="s">
        <v>133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3"/>
    </row>
    <row r="11" spans="1:17" ht="26.25" customHeight="1" thickBot="1" x14ac:dyDescent="0.25">
      <c r="A11" s="114"/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  <c r="M11" s="115"/>
      <c r="N11" s="115"/>
      <c r="O11" s="115"/>
      <c r="P11" s="115"/>
      <c r="Q11" s="116"/>
    </row>
    <row r="12" spans="1:17" ht="13.5" thickBot="1" x14ac:dyDescent="0.25">
      <c r="A12" s="117" t="s">
        <v>108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9"/>
    </row>
    <row r="13" spans="1:17" ht="17.25" customHeight="1" thickBot="1" x14ac:dyDescent="0.25">
      <c r="A13" s="117" t="s">
        <v>109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9"/>
      <c r="O13" s="120" t="s">
        <v>110</v>
      </c>
      <c r="P13" s="121"/>
      <c r="Q13" s="124" t="s">
        <v>111</v>
      </c>
    </row>
    <row r="14" spans="1:17" ht="18.75" customHeight="1" thickBot="1" x14ac:dyDescent="0.25">
      <c r="A14" s="40" t="s">
        <v>112</v>
      </c>
      <c r="B14" s="41" t="s">
        <v>113</v>
      </c>
      <c r="C14" s="41" t="s">
        <v>114</v>
      </c>
      <c r="D14" s="41" t="s">
        <v>115</v>
      </c>
      <c r="E14" s="41" t="s">
        <v>116</v>
      </c>
      <c r="F14" s="41" t="s">
        <v>117</v>
      </c>
      <c r="G14" s="42" t="s">
        <v>118</v>
      </c>
      <c r="H14" s="41" t="s">
        <v>119</v>
      </c>
      <c r="I14" s="41" t="s">
        <v>120</v>
      </c>
      <c r="J14" s="41" t="s">
        <v>121</v>
      </c>
      <c r="K14" s="41" t="s">
        <v>121</v>
      </c>
      <c r="L14" s="41" t="s">
        <v>122</v>
      </c>
      <c r="M14" s="43" t="s">
        <v>123</v>
      </c>
      <c r="N14" s="44" t="s">
        <v>124</v>
      </c>
      <c r="O14" s="122"/>
      <c r="P14" s="123"/>
      <c r="Q14" s="125"/>
    </row>
    <row r="15" spans="1:17" ht="15" x14ac:dyDescent="0.2">
      <c r="A15" s="45">
        <v>21</v>
      </c>
      <c r="B15" s="46"/>
      <c r="C15" s="46"/>
      <c r="D15" s="46">
        <v>4</v>
      </c>
      <c r="E15" s="46"/>
      <c r="F15" s="46">
        <v>4201</v>
      </c>
      <c r="G15" s="46">
        <v>2</v>
      </c>
      <c r="H15" s="46">
        <v>220</v>
      </c>
      <c r="I15" s="46">
        <v>2</v>
      </c>
      <c r="J15" s="46">
        <v>1</v>
      </c>
      <c r="K15" s="46">
        <v>1</v>
      </c>
      <c r="L15" s="46"/>
      <c r="M15" s="46">
        <v>1</v>
      </c>
      <c r="N15" s="46" t="s">
        <v>125</v>
      </c>
      <c r="O15" s="126" t="s">
        <v>126</v>
      </c>
      <c r="P15" s="127"/>
      <c r="Q15" s="47">
        <v>1854500</v>
      </c>
    </row>
    <row r="16" spans="1:17" ht="15" x14ac:dyDescent="0.2">
      <c r="A16" s="48">
        <v>21</v>
      </c>
      <c r="B16" s="49"/>
      <c r="C16" s="49"/>
      <c r="D16" s="49">
        <v>5</v>
      </c>
      <c r="E16" s="49"/>
      <c r="F16" s="49">
        <v>4201</v>
      </c>
      <c r="G16" s="49">
        <v>2</v>
      </c>
      <c r="H16" s="49">
        <v>220</v>
      </c>
      <c r="I16" s="49">
        <v>2</v>
      </c>
      <c r="J16" s="49">
        <v>1</v>
      </c>
      <c r="K16" s="49">
        <v>1</v>
      </c>
      <c r="L16" s="49"/>
      <c r="M16" s="49">
        <v>1</v>
      </c>
      <c r="N16" s="49" t="s">
        <v>125</v>
      </c>
      <c r="O16" s="126" t="s">
        <v>126</v>
      </c>
      <c r="P16" s="127"/>
      <c r="Q16" s="47">
        <v>15000000</v>
      </c>
    </row>
    <row r="17" spans="1:17" ht="15" x14ac:dyDescent="0.2">
      <c r="A17" s="48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97"/>
      <c r="P17" s="97"/>
      <c r="Q17" s="47"/>
    </row>
    <row r="18" spans="1:17" ht="15" x14ac:dyDescent="0.2">
      <c r="A18" s="50"/>
      <c r="B18" s="51"/>
      <c r="C18" s="51"/>
      <c r="D18" s="51"/>
      <c r="E18" s="51"/>
      <c r="F18" s="49"/>
      <c r="G18" s="51"/>
      <c r="H18" s="51"/>
      <c r="I18" s="51"/>
      <c r="J18" s="51"/>
      <c r="K18" s="51"/>
      <c r="L18" s="51"/>
      <c r="M18" s="51"/>
      <c r="N18" s="51"/>
      <c r="O18" s="97"/>
      <c r="P18" s="97"/>
      <c r="Q18" s="47"/>
    </row>
    <row r="19" spans="1:17" ht="15.75" thickBot="1" x14ac:dyDescent="0.25">
      <c r="A19" s="48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97"/>
      <c r="P19" s="97"/>
      <c r="Q19" s="52"/>
    </row>
    <row r="20" spans="1:17" ht="13.5" thickBot="1" x14ac:dyDescent="0.25">
      <c r="A20" s="98" t="s">
        <v>127</v>
      </c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100"/>
      <c r="Q20" s="53">
        <f>SUM(Q15:Q19)</f>
        <v>16854500</v>
      </c>
    </row>
    <row r="21" spans="1:17" ht="15.75" thickBot="1" x14ac:dyDescent="0.3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6"/>
    </row>
    <row r="22" spans="1:17" ht="15.75" thickBot="1" x14ac:dyDescent="0.25">
      <c r="A22" s="101" t="s">
        <v>128</v>
      </c>
      <c r="B22" s="102"/>
      <c r="C22" s="102"/>
      <c r="D22" s="102"/>
      <c r="E22" s="102"/>
      <c r="F22" s="102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4"/>
    </row>
    <row r="23" spans="1:17" x14ac:dyDescent="0.2">
      <c r="A23" s="10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7"/>
    </row>
    <row r="24" spans="1:17" ht="13.5" thickBot="1" x14ac:dyDescent="0.25">
      <c r="A24" s="108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10"/>
    </row>
  </sheetData>
  <mergeCells count="27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8:P18"/>
    <mergeCell ref="A10:Q11"/>
    <mergeCell ref="A12:Q12"/>
    <mergeCell ref="A13:N13"/>
    <mergeCell ref="O13:P14"/>
    <mergeCell ref="Q13:Q14"/>
    <mergeCell ref="O16:P16"/>
    <mergeCell ref="O15:P15"/>
    <mergeCell ref="O17:P17"/>
    <mergeCell ref="O19:P19"/>
    <mergeCell ref="A20:P20"/>
    <mergeCell ref="A22:F22"/>
    <mergeCell ref="G22:Q22"/>
    <mergeCell ref="A23:Q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Necesidades Trimestrales</vt:lpstr>
      <vt:lpstr>Nota de Pedido</vt:lpstr>
      <vt:lpstr>APG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soy_gisuarez@hotmail.com</cp:lastModifiedBy>
  <dcterms:created xsi:type="dcterms:W3CDTF">2021-06-03T14:04:07Z</dcterms:created>
  <dcterms:modified xsi:type="dcterms:W3CDTF">2022-11-04T13:17:24Z</dcterms:modified>
</cp:coreProperties>
</file>