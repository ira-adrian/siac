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FARMACIA\MEDICAMENTOS\ANTIEPILEPTICOS, ANTIPARKISON Y OTROS\"/>
    </mc:Choice>
  </mc:AlternateContent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NotaPedido!$A$1:$K$53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9" i="1"/>
  <c r="I44" i="1"/>
  <c r="I41" i="1"/>
  <c r="I17" i="1"/>
  <c r="I31" i="1"/>
  <c r="I50" i="1"/>
  <c r="I19" i="1"/>
  <c r="I18" i="1"/>
  <c r="I25" i="1"/>
  <c r="I48" i="1"/>
  <c r="I47" i="1"/>
  <c r="I34" i="1"/>
  <c r="I14" i="1"/>
  <c r="I13" i="1"/>
  <c r="I49" i="1"/>
  <c r="I30" i="1"/>
  <c r="I40" i="1"/>
  <c r="I24" i="1"/>
  <c r="I10" i="1"/>
  <c r="I11" i="1"/>
  <c r="I46" i="1"/>
  <c r="I16" i="1"/>
  <c r="I45" i="1"/>
  <c r="I42" i="1"/>
  <c r="I32" i="1"/>
  <c r="I33" i="1"/>
  <c r="I23" i="1"/>
  <c r="I21" i="1"/>
  <c r="I22" i="1"/>
  <c r="I35" i="1"/>
  <c r="I36" i="1"/>
  <c r="I12" i="1"/>
  <c r="I43" i="1"/>
  <c r="I15" i="1"/>
  <c r="I39" i="1"/>
  <c r="I37" i="1"/>
  <c r="I38" i="1"/>
  <c r="I20" i="1"/>
  <c r="I27" i="1"/>
  <c r="I28" i="1"/>
  <c r="I26" i="1"/>
  <c r="J53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<sst xmlns="http://schemas.openxmlformats.org/spreadsheetml/2006/main" count="287" uniqueCount="117">
  <si>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</si>
  <si>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</si>
  <si>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</si>
  <si>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</si>
  <si>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</si>
  <si>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</si>
  <si>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</si>
  <si>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</si>
  <si>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</si>
  <si>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</si>
  <si>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</si>
  <si>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</si>
  <si>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</si>
  <si>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</si>
  <si>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</si>
  <si>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</si>
  <si>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</si>
  <si>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</si>
  <si>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</si>
  <si>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</si>
  <si>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</si>
  <si>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</si>
  <si>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</si>
  <si>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</si>
  <si>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</si>
  <si>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</si>
  <si>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</si>
  <si>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</si>
  <si>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</si>
  <si>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</si>
  <si>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</si>
  <si>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</si>
  <si>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</si>
  <si>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</si>
  <si>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</si>
  <si>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</si>
  <si>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</si>
  <si>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</si>
  <si>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</si>
  <si>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</si>
  <si>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</si>
  <si>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</si>
  <si>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</si>
  <si>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</si>
  <si>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</si>
  <si>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</si>
  <si>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</si>
  <si>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</si>
  <si>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</si>
  <si>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</si>
  <si>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</si>
  <si>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</si>
  <si>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</si>
  <si>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</si>
  <si>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</si>
  <si>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</si>
  <si>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</si>
  <si>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</si>
  <si>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</si>
  <si>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</si>
  <si>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</si>
  <si>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</si>
  <si>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</si>
  <si>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</si>
  <si>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</si>
  <si>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</si>
  <si>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</si>
  <si>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022 - 2021</t>
  </si>
  <si>
    <t>FENITOINA 100 MG COMPRIMIDO</t>
  </si>
  <si>
    <t xml:space="preserve">MEDICAMENTOS </t>
  </si>
  <si>
    <t>2.5.2</t>
  </si>
  <si>
    <t>FENOBARBITAL 200MG AMPOLLAS</t>
  </si>
  <si>
    <t>UNIDAD</t>
  </si>
  <si>
    <t>FENOBARBITAL 100MG COMPRIMIDO</t>
  </si>
  <si>
    <t>CLONAZEPAM 0,5 MG COMPRIMIDOS</t>
  </si>
  <si>
    <t>LORAZEPAM 2MG COMPRIMIDO</t>
  </si>
  <si>
    <t>LORAZEPAM 1 MG COMPRIMIDO</t>
  </si>
  <si>
    <t>LORAZEPAM 4 MG/2ML AMPOLLA</t>
  </si>
  <si>
    <t>CARBAMAZEPINA 200MG COMPRIMIDO</t>
  </si>
  <si>
    <t>PREGABALINA 75MG COMPRIMIDO</t>
  </si>
  <si>
    <t>BIPIRIDENO 2 MG COMPRIMIDO</t>
  </si>
  <si>
    <t>LEVOMEPROMAZINA 25 MG COMPRIMIDO</t>
  </si>
  <si>
    <t>LEVOMEPROMAZINA 25 MG AMPOLLA</t>
  </si>
  <si>
    <t>CLORPROMAZINA 25MG  AMPOLLA IM</t>
  </si>
  <si>
    <t>CLORPROMAZINA  25 MG COMPRIMIDOS</t>
  </si>
  <si>
    <t>CLORPROMAZINA 50MG  AMPOLLA EV</t>
  </si>
  <si>
    <t>HALOPERIDOL DECANOATO 150MG AMPOLLA</t>
  </si>
  <si>
    <t>HALOPERIDOL 2MG/ML GOTAS</t>
  </si>
  <si>
    <t>OLANZAPINA 10MG COMPRIMIDO</t>
  </si>
  <si>
    <t>QUETIAPINA 100MG COMPRIMIDO</t>
  </si>
  <si>
    <t>CARBONATO DE LITIO 300MG COMPRIMIDO</t>
  </si>
  <si>
    <t>RISPERIDONA 2 MG COMPRIMIDO</t>
  </si>
  <si>
    <t>ALPRAZOLAM 1MG COMPRIMIDO</t>
  </si>
  <si>
    <t>ALPRAZOLAM 0,5MG  COMPRIMIDO</t>
  </si>
  <si>
    <t>DIAZEPAM 10 MG COMPRIMIDO</t>
  </si>
  <si>
    <t>MIDAZOLAM 15 MG AMPOLLA</t>
  </si>
  <si>
    <t>FLUOXETINA 20MG CAPSULAS</t>
  </si>
  <si>
    <t>SERTRALINA 50MG COMPRIMIDOS</t>
  </si>
  <si>
    <t>BUDESONIDE AEROSOL 200 MCG/PUFF ( 100 DOSIS )</t>
  </si>
  <si>
    <t>BUDESONIDE SOLUCION 0,1%</t>
  </si>
  <si>
    <t>IPRATROPIO SOLUCION PARA NEBULIZAR 0,1%GOTAS</t>
  </si>
  <si>
    <t xml:space="preserve">SALBUTAMOL AEROSOL CON  AEROCAMARA </t>
  </si>
  <si>
    <t>SALBUTAMOL GOTAS</t>
  </si>
  <si>
    <t>DIFENILHIDRAMINA 10MG AMPOLLAS</t>
  </si>
  <si>
    <t>CIPROFLOXACINA 0,3% +DEXAMETASONA 01% COLIRIO</t>
  </si>
  <si>
    <t>CIPROFLOXACINA 0,3% +DEXAMETASONA 01% UNGÜENTO</t>
  </si>
  <si>
    <t>TOBRAMICINA 0,3%+DEXAMETASONA COLIRIO</t>
  </si>
  <si>
    <t>GATIFLOXACINA COLIRIO</t>
  </si>
  <si>
    <t>CARBOXIMETILCELULOSA GOTAS</t>
  </si>
  <si>
    <t>NALOXONA 0,4 MG / ML AMPOLLA</t>
  </si>
  <si>
    <t>PROTAMINA SULFATO 50MG AMPOLLA</t>
  </si>
  <si>
    <t>FLUMAZENIL AMPOLLAS</t>
  </si>
  <si>
    <t xml:space="preserve">10 dias - Servicio de Farmacia del HISJB - Avda. Illia y Mariano Moreno </t>
  </si>
  <si>
    <t>Costo total estimado: Seis Millones Cuatrocientos Dos Mil Novecientos Cincuenta y Seis con 48/100.----</t>
  </si>
  <si>
    <t>Adquisición de Medicamentos Antiepilepticos/Antiparkinsonianos/psicolepticos y Otros</t>
  </si>
  <si>
    <t>TOTAL DE PESOS: SEIS MILLONES CUATROCIENTOS DOS MIL NOVECIENTOS CINCUENTA Y SEIS CON 48/100.--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</si>
  <si>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24 MESES DE LA FECHA DE 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</si>
</sst>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color theme="1"/>
      <name val="Calibri"/>
      <family val="2"/>
    </font>
    <font>
      <sz val="8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14" fillId="5" borderId="14" xfId="0" applyFont="1" applyFill="1" applyBorder="1" applyAlignment="1">
      <alignment horizontal="left" vertical="center" wrapText="1"/>
    </xf>
    <xf numFmtId="0" fontId="26" fillId="5" borderId="14" xfId="0" applyFont="1" applyFill="1" applyBorder="1" applyAlignment="1">
      <alignment horizontal="left" vertical="center" wrapText="1"/>
    </xf>
    <xf numFmtId="0" fontId="27" fillId="5" borderId="14" xfId="0" applyFont="1" applyFill="1" applyBorder="1" applyAlignment="1">
      <alignment horizontal="left" vertical="center" wrapText="1"/>
    </xf>
    <xf numFmtId="1" fontId="28" fillId="5" borderId="14" xfId="0" applyNumberFormat="1" applyFont="1" applyFill="1" applyBorder="1" applyAlignment="1">
      <alignment horizontal="center" vertical="center" wrapText="1"/>
    </xf>
    <xf numFmtId="169" fontId="24" fillId="5" borderId="14" xfId="0" applyNumberFormat="1" applyFont="1" applyFill="1" applyBorder="1" applyAlignment="1">
      <alignment horizontal="center" vertical="center" wrapText="1"/>
    </xf>
    <xf numFmtId="1" fontId="24" fillId="5" borderId="14" xfId="0" applyNumberFormat="1" applyFont="1" applyFill="1" applyBorder="1" applyAlignment="1">
      <alignment horizontal="center" vertical="center" wrapText="1"/>
    </xf>
    <xf numFmtId="0" fontId="27" fillId="5" borderId="14" xfId="0" applyFont="1" applyFill="1" applyBorder="1" applyAlignment="1">
      <alignment horizontal="left" vertical="center"/>
    </xf>
    <xf numFmtId="1" fontId="24" fillId="5" borderId="14" xfId="0" applyNumberFormat="1" applyFont="1" applyFill="1" applyBorder="1" applyAlignment="1">
      <alignment horizontal="center" vertical="center"/>
    </xf>
    <xf numFmtId="0" fontId="29" fillId="0" borderId="32" xfId="0" applyFont="1" applyBorder="1" applyAlignment="1">
      <alignment horizontal="left" vertical="center" wrapText="1"/>
    </xf>
    <xf numFmtId="0" fontId="30" fillId="0" borderId="44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vertical="top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1"/>
  <sheetViews>
    <sheetView zoomScale="85" zoomScaleNormal="85" workbookViewId="0">
      <selection activeCell="J56" sqref="J56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59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60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/>
      <c r="C10" s="57" t="s">
        <v>69</v>
      </c>
      <c r="D10" s="58" t="s">
        <v>70</v>
      </c>
      <c r="E10" s="125" t="s">
        <v>93</v>
      </c>
      <c r="F10" s="60" t="s">
        <v>72</v>
      </c>
      <c r="G10" s="60">
        <v>1200</v>
      </c>
      <c r="H10" s="61">
        <v>39.85</v>
      </c>
      <c r="I10" s="62">
        <f>G10*H10</f>
        <v>47820</v>
      </c>
    </row>
    <row r="11" spans="1:9" ht="31.9" customHeight="1" thickBot="1" x14ac:dyDescent="0.25">
      <c r="A11" s="56">
        <v>2</v>
      </c>
      <c r="B11" s="60"/>
      <c r="C11" s="57" t="s">
        <v>69</v>
      </c>
      <c r="D11" s="58" t="s">
        <v>70</v>
      </c>
      <c r="E11" s="125" t="s">
        <v>92</v>
      </c>
      <c r="F11" s="60" t="s">
        <v>72</v>
      </c>
      <c r="G11" s="60">
        <v>800</v>
      </c>
      <c r="H11" s="61">
        <v>7.77</v>
      </c>
      <c r="I11" s="62">
        <f>G11*H11</f>
        <v>6216</v>
      </c>
    </row>
    <row r="12" spans="1:9" ht="31.9" customHeight="1" thickBot="1" x14ac:dyDescent="0.25">
      <c r="A12" s="56">
        <v>3</v>
      </c>
      <c r="B12" s="60"/>
      <c r="C12" s="57" t="s">
        <v>69</v>
      </c>
      <c r="D12" s="58" t="s">
        <v>70</v>
      </c>
      <c r="E12" s="59" t="s">
        <v>80</v>
      </c>
      <c r="F12" s="60" t="s">
        <v>72</v>
      </c>
      <c r="G12" s="60">
        <v>1200</v>
      </c>
      <c r="H12" s="61">
        <v>7.77</v>
      </c>
      <c r="I12" s="62">
        <f>G12*H12</f>
        <v>9324</v>
      </c>
    </row>
    <row r="13" spans="1:9" ht="31.9" customHeight="1" thickBot="1" x14ac:dyDescent="0.25">
      <c r="A13" s="56">
        <v>4</v>
      </c>
      <c r="B13" s="60"/>
      <c r="C13" s="57" t="s">
        <v>69</v>
      </c>
      <c r="D13" s="58" t="s">
        <v>70</v>
      </c>
      <c r="E13" s="131" t="s">
        <v>98</v>
      </c>
      <c r="F13" s="60" t="s">
        <v>72</v>
      </c>
      <c r="G13" s="132">
        <v>1200</v>
      </c>
      <c r="H13" s="129">
        <v>427.5</v>
      </c>
      <c r="I13" s="62">
        <f>G13*H13</f>
        <v>513000</v>
      </c>
    </row>
    <row r="14" spans="1:9" ht="31.9" customHeight="1" thickBot="1" x14ac:dyDescent="0.25">
      <c r="A14" s="56">
        <v>5</v>
      </c>
      <c r="B14" s="60"/>
      <c r="C14" s="57" t="s">
        <v>69</v>
      </c>
      <c r="D14" s="58" t="s">
        <v>70</v>
      </c>
      <c r="E14" s="131" t="s">
        <v>99</v>
      </c>
      <c r="F14" s="60" t="s">
        <v>72</v>
      </c>
      <c r="G14" s="132">
        <v>30</v>
      </c>
      <c r="H14" s="129">
        <v>223.36</v>
      </c>
      <c r="I14" s="62">
        <f>G14*H14</f>
        <v>6700.8</v>
      </c>
    </row>
    <row r="15" spans="1:9" ht="31.9" customHeight="1" thickBot="1" x14ac:dyDescent="0.25">
      <c r="A15" s="56">
        <v>6</v>
      </c>
      <c r="B15" s="60"/>
      <c r="C15" s="57" t="s">
        <v>69</v>
      </c>
      <c r="D15" s="58" t="s">
        <v>70</v>
      </c>
      <c r="E15" s="59" t="s">
        <v>78</v>
      </c>
      <c r="F15" s="60" t="s">
        <v>72</v>
      </c>
      <c r="G15" s="60">
        <v>300</v>
      </c>
      <c r="H15" s="61">
        <v>22.63</v>
      </c>
      <c r="I15" s="62">
        <f>G15*H15</f>
        <v>6789</v>
      </c>
    </row>
    <row r="16" spans="1:9" ht="31.9" customHeight="1" thickBot="1" x14ac:dyDescent="0.25">
      <c r="A16" s="56">
        <v>7</v>
      </c>
      <c r="B16" s="60"/>
      <c r="C16" s="57" t="s">
        <v>69</v>
      </c>
      <c r="D16" s="58" t="s">
        <v>70</v>
      </c>
      <c r="E16" s="59" t="s">
        <v>90</v>
      </c>
      <c r="F16" s="60" t="s">
        <v>72</v>
      </c>
      <c r="G16" s="60">
        <v>90</v>
      </c>
      <c r="H16" s="61">
        <v>47.5</v>
      </c>
      <c r="I16" s="62">
        <f>G16*H16</f>
        <v>4275</v>
      </c>
    </row>
    <row r="17" spans="1:9" ht="31.9" customHeight="1" thickBot="1" x14ac:dyDescent="0.25">
      <c r="A17" s="56">
        <v>8</v>
      </c>
      <c r="B17" s="60"/>
      <c r="C17" s="57" t="s">
        <v>69</v>
      </c>
      <c r="D17" s="58" t="s">
        <v>70</v>
      </c>
      <c r="E17" s="127" t="s">
        <v>108</v>
      </c>
      <c r="F17" s="60" t="s">
        <v>72</v>
      </c>
      <c r="G17" s="130">
        <v>40</v>
      </c>
      <c r="H17" s="129">
        <v>587.72</v>
      </c>
      <c r="I17" s="62">
        <f>G17*H17</f>
        <v>23508.800000000003</v>
      </c>
    </row>
    <row r="18" spans="1:9" ht="31.9" customHeight="1" thickBot="1" x14ac:dyDescent="0.25">
      <c r="A18" s="56">
        <v>9</v>
      </c>
      <c r="B18" s="60"/>
      <c r="C18" s="57" t="s">
        <v>69</v>
      </c>
      <c r="D18" s="58" t="s">
        <v>70</v>
      </c>
      <c r="E18" s="127" t="s">
        <v>104</v>
      </c>
      <c r="F18" s="60" t="s">
        <v>72</v>
      </c>
      <c r="G18" s="130">
        <v>60</v>
      </c>
      <c r="H18" s="129">
        <v>645.17999999999995</v>
      </c>
      <c r="I18" s="62">
        <f>G18*H18</f>
        <v>38710.799999999996</v>
      </c>
    </row>
    <row r="19" spans="1:9" ht="31.9" customHeight="1" thickBot="1" x14ac:dyDescent="0.25">
      <c r="A19" s="56">
        <v>10</v>
      </c>
      <c r="B19" s="60"/>
      <c r="C19" s="57" t="s">
        <v>69</v>
      </c>
      <c r="D19" s="58" t="s">
        <v>70</v>
      </c>
      <c r="E19" s="127" t="s">
        <v>105</v>
      </c>
      <c r="F19" s="60" t="s">
        <v>72</v>
      </c>
      <c r="G19" s="130">
        <v>20</v>
      </c>
      <c r="H19" s="129">
        <v>746.28</v>
      </c>
      <c r="I19" s="62">
        <f>G19*H19</f>
        <v>14925.599999999999</v>
      </c>
    </row>
    <row r="20" spans="1:9" ht="31.9" customHeight="1" thickBot="1" x14ac:dyDescent="0.25">
      <c r="A20" s="56">
        <v>11</v>
      </c>
      <c r="B20" s="60"/>
      <c r="C20" s="57" t="s">
        <v>69</v>
      </c>
      <c r="D20" s="58" t="s">
        <v>70</v>
      </c>
      <c r="E20" s="59" t="s">
        <v>74</v>
      </c>
      <c r="F20" s="60" t="s">
        <v>72</v>
      </c>
      <c r="G20" s="60">
        <v>180</v>
      </c>
      <c r="H20" s="61">
        <v>1.94</v>
      </c>
      <c r="I20" s="62">
        <f>G20*H20</f>
        <v>349.2</v>
      </c>
    </row>
    <row r="21" spans="1:9" ht="31.9" customHeight="1" thickBot="1" x14ac:dyDescent="0.25">
      <c r="A21" s="56">
        <v>12</v>
      </c>
      <c r="B21" s="60"/>
      <c r="C21" s="57" t="s">
        <v>69</v>
      </c>
      <c r="D21" s="58" t="s">
        <v>70</v>
      </c>
      <c r="E21" s="127" t="s">
        <v>84</v>
      </c>
      <c r="F21" s="60" t="s">
        <v>72</v>
      </c>
      <c r="G21" s="130">
        <v>100</v>
      </c>
      <c r="H21" s="129">
        <v>5.75</v>
      </c>
      <c r="I21" s="62">
        <f>G21*H21</f>
        <v>575</v>
      </c>
    </row>
    <row r="22" spans="1:9" ht="31.9" customHeight="1" thickBot="1" x14ac:dyDescent="0.25">
      <c r="A22" s="56">
        <v>13</v>
      </c>
      <c r="B22" s="60"/>
      <c r="C22" s="57" t="s">
        <v>69</v>
      </c>
      <c r="D22" s="58" t="s">
        <v>70</v>
      </c>
      <c r="E22" s="127" t="s">
        <v>83</v>
      </c>
      <c r="F22" s="60" t="s">
        <v>72</v>
      </c>
      <c r="G22" s="130">
        <v>600</v>
      </c>
      <c r="H22" s="129">
        <v>101.06</v>
      </c>
      <c r="I22" s="62">
        <f>G22*H22</f>
        <v>60636</v>
      </c>
    </row>
    <row r="23" spans="1:9" ht="31.9" customHeight="1" thickBot="1" x14ac:dyDescent="0.25">
      <c r="A23" s="56">
        <v>14</v>
      </c>
      <c r="B23" s="60"/>
      <c r="C23" s="57" t="s">
        <v>69</v>
      </c>
      <c r="D23" s="58" t="s">
        <v>70</v>
      </c>
      <c r="E23" s="127" t="s">
        <v>85</v>
      </c>
      <c r="F23" s="60" t="s">
        <v>72</v>
      </c>
      <c r="G23" s="130">
        <v>600</v>
      </c>
      <c r="H23" s="129">
        <v>105.71</v>
      </c>
      <c r="I23" s="62">
        <f>G23*H23</f>
        <v>63425.999999999993</v>
      </c>
    </row>
    <row r="24" spans="1:9" ht="31.9" customHeight="1" thickBot="1" x14ac:dyDescent="0.25">
      <c r="A24" s="56">
        <v>15</v>
      </c>
      <c r="B24" s="60"/>
      <c r="C24" s="57" t="s">
        <v>69</v>
      </c>
      <c r="D24" s="58" t="s">
        <v>70</v>
      </c>
      <c r="E24" s="59" t="s">
        <v>94</v>
      </c>
      <c r="F24" s="60" t="s">
        <v>72</v>
      </c>
      <c r="G24" s="60">
        <v>150</v>
      </c>
      <c r="H24" s="61">
        <v>17.010000000000002</v>
      </c>
      <c r="I24" s="62">
        <f>G24*H24</f>
        <v>2551.5000000000005</v>
      </c>
    </row>
    <row r="25" spans="1:9" ht="31.9" customHeight="1" thickBot="1" x14ac:dyDescent="0.25">
      <c r="A25" s="56">
        <v>16</v>
      </c>
      <c r="B25" s="60"/>
      <c r="C25" s="57" t="s">
        <v>69</v>
      </c>
      <c r="D25" s="58" t="s">
        <v>70</v>
      </c>
      <c r="E25" s="59" t="s">
        <v>103</v>
      </c>
      <c r="F25" s="60" t="s">
        <v>72</v>
      </c>
      <c r="G25" s="60">
        <v>4000</v>
      </c>
      <c r="H25" s="61">
        <v>139.33000000000001</v>
      </c>
      <c r="I25" s="62">
        <f>G25*H25</f>
        <v>557320</v>
      </c>
    </row>
    <row r="26" spans="1:9" ht="31.9" customHeight="1" thickBot="1" x14ac:dyDescent="0.25">
      <c r="A26" s="56">
        <v>17</v>
      </c>
      <c r="B26" s="60"/>
      <c r="C26" s="57" t="s">
        <v>69</v>
      </c>
      <c r="D26" s="58" t="s">
        <v>70</v>
      </c>
      <c r="E26" s="59" t="s">
        <v>68</v>
      </c>
      <c r="F26" s="60" t="s">
        <v>72</v>
      </c>
      <c r="G26" s="60">
        <v>2000</v>
      </c>
      <c r="H26" s="61">
        <v>27.49</v>
      </c>
      <c r="I26" s="62">
        <f>G26*H26</f>
        <v>54980</v>
      </c>
    </row>
    <row r="27" spans="1:9" ht="31.9" customHeight="1" thickBot="1" x14ac:dyDescent="0.25">
      <c r="A27" s="56">
        <v>18</v>
      </c>
      <c r="B27" s="60"/>
      <c r="C27" s="57" t="s">
        <v>69</v>
      </c>
      <c r="D27" s="58" t="s">
        <v>70</v>
      </c>
      <c r="E27" s="59" t="s">
        <v>73</v>
      </c>
      <c r="F27" s="60" t="s">
        <v>72</v>
      </c>
      <c r="G27" s="60">
        <v>200</v>
      </c>
      <c r="H27" s="61">
        <v>15.66</v>
      </c>
      <c r="I27" s="62">
        <f>G27*H27</f>
        <v>3132</v>
      </c>
    </row>
    <row r="28" spans="1:9" ht="31.9" customHeight="1" thickBot="1" x14ac:dyDescent="0.25">
      <c r="A28" s="56">
        <v>19</v>
      </c>
      <c r="B28" s="60"/>
      <c r="C28" s="57" t="s">
        <v>69</v>
      </c>
      <c r="D28" s="58" t="s">
        <v>70</v>
      </c>
      <c r="E28" s="59" t="s">
        <v>71</v>
      </c>
      <c r="F28" s="60" t="s">
        <v>72</v>
      </c>
      <c r="G28" s="60">
        <v>400</v>
      </c>
      <c r="H28" s="61">
        <v>299.08999999999997</v>
      </c>
      <c r="I28" s="62">
        <f>G28*H28</f>
        <v>119635.99999999999</v>
      </c>
    </row>
    <row r="29" spans="1:9" ht="31.9" customHeight="1" thickBot="1" x14ac:dyDescent="0.25">
      <c r="A29" s="56">
        <v>20</v>
      </c>
      <c r="B29" s="60"/>
      <c r="C29" s="57" t="s">
        <v>69</v>
      </c>
      <c r="D29" s="58" t="s">
        <v>70</v>
      </c>
      <c r="E29" s="126" t="s">
        <v>111</v>
      </c>
      <c r="F29" s="60" t="s">
        <v>72</v>
      </c>
      <c r="G29" s="60">
        <v>100</v>
      </c>
      <c r="H29" s="61">
        <v>155</v>
      </c>
      <c r="I29" s="62">
        <f>G29*H29</f>
        <v>15500</v>
      </c>
    </row>
    <row r="30" spans="1:9" ht="31.9" customHeight="1" thickBot="1" x14ac:dyDescent="0.25">
      <c r="A30" s="56">
        <v>21</v>
      </c>
      <c r="B30" s="60"/>
      <c r="C30" s="57" t="s">
        <v>69</v>
      </c>
      <c r="D30" s="58" t="s">
        <v>70</v>
      </c>
      <c r="E30" s="59" t="s">
        <v>96</v>
      </c>
      <c r="F30" s="60" t="s">
        <v>72</v>
      </c>
      <c r="G30" s="60">
        <v>30</v>
      </c>
      <c r="H30" s="61">
        <v>7.01</v>
      </c>
      <c r="I30" s="62">
        <f>G30*H30</f>
        <v>210.29999999999998</v>
      </c>
    </row>
    <row r="31" spans="1:9" ht="31.9" customHeight="1" thickBot="1" x14ac:dyDescent="0.25">
      <c r="A31" s="56">
        <v>22</v>
      </c>
      <c r="B31" s="60"/>
      <c r="C31" s="57" t="s">
        <v>69</v>
      </c>
      <c r="D31" s="58" t="s">
        <v>70</v>
      </c>
      <c r="E31" s="127" t="s">
        <v>107</v>
      </c>
      <c r="F31" s="60" t="s">
        <v>72</v>
      </c>
      <c r="G31" s="130">
        <v>10</v>
      </c>
      <c r="H31" s="129">
        <v>1542.61</v>
      </c>
      <c r="I31" s="62">
        <f>G31*H31</f>
        <v>15426.099999999999</v>
      </c>
    </row>
    <row r="32" spans="1:9" ht="31.9" customHeight="1" thickBot="1" x14ac:dyDescent="0.25">
      <c r="A32" s="56">
        <v>23</v>
      </c>
      <c r="B32" s="60"/>
      <c r="C32" s="57" t="s">
        <v>69</v>
      </c>
      <c r="D32" s="58" t="s">
        <v>70</v>
      </c>
      <c r="E32" s="127" t="s">
        <v>87</v>
      </c>
      <c r="F32" s="60" t="s">
        <v>72</v>
      </c>
      <c r="G32" s="130">
        <v>15</v>
      </c>
      <c r="H32" s="129">
        <v>738.28</v>
      </c>
      <c r="I32" s="62">
        <f>G32*H32</f>
        <v>11074.199999999999</v>
      </c>
    </row>
    <row r="33" spans="1:9" ht="31.9" customHeight="1" thickBot="1" x14ac:dyDescent="0.25">
      <c r="A33" s="56">
        <v>24</v>
      </c>
      <c r="B33" s="60"/>
      <c r="C33" s="57" t="s">
        <v>69</v>
      </c>
      <c r="D33" s="58" t="s">
        <v>70</v>
      </c>
      <c r="E33" s="127" t="s">
        <v>86</v>
      </c>
      <c r="F33" s="60" t="s">
        <v>72</v>
      </c>
      <c r="G33" s="130">
        <v>6</v>
      </c>
      <c r="H33" s="129">
        <v>1386.48</v>
      </c>
      <c r="I33" s="62">
        <f>G33*H33</f>
        <v>8318.880000000001</v>
      </c>
    </row>
    <row r="34" spans="1:9" ht="31.9" customHeight="1" thickBot="1" x14ac:dyDescent="0.25">
      <c r="A34" s="56">
        <v>25</v>
      </c>
      <c r="B34" s="60"/>
      <c r="C34" s="57" t="s">
        <v>69</v>
      </c>
      <c r="D34" s="58" t="s">
        <v>70</v>
      </c>
      <c r="E34" s="131" t="s">
        <v>100</v>
      </c>
      <c r="F34" s="60" t="s">
        <v>72</v>
      </c>
      <c r="G34" s="132">
        <v>300</v>
      </c>
      <c r="H34" s="129">
        <v>120</v>
      </c>
      <c r="I34" s="62">
        <f>G34*H34</f>
        <v>36000</v>
      </c>
    </row>
    <row r="35" spans="1:9" ht="31.9" customHeight="1" thickBot="1" x14ac:dyDescent="0.25">
      <c r="A35" s="56">
        <v>26</v>
      </c>
      <c r="B35" s="60"/>
      <c r="C35" s="57" t="s">
        <v>69</v>
      </c>
      <c r="D35" s="58" t="s">
        <v>70</v>
      </c>
      <c r="E35" s="126" t="s">
        <v>82</v>
      </c>
      <c r="F35" s="60" t="s">
        <v>72</v>
      </c>
      <c r="G35" s="128">
        <v>400</v>
      </c>
      <c r="H35" s="129">
        <v>269.5</v>
      </c>
      <c r="I35" s="62">
        <f>G35*H35</f>
        <v>107800</v>
      </c>
    </row>
    <row r="36" spans="1:9" ht="31.9" customHeight="1" thickBot="1" x14ac:dyDescent="0.25">
      <c r="A36" s="56">
        <v>27</v>
      </c>
      <c r="B36" s="60"/>
      <c r="C36" s="57" t="s">
        <v>69</v>
      </c>
      <c r="D36" s="58" t="s">
        <v>70</v>
      </c>
      <c r="E36" s="126" t="s">
        <v>81</v>
      </c>
      <c r="F36" s="60" t="s">
        <v>72</v>
      </c>
      <c r="G36" s="128">
        <v>100</v>
      </c>
      <c r="H36" s="129">
        <v>5.7450000000000001</v>
      </c>
      <c r="I36" s="62">
        <f>G36*H36</f>
        <v>574.5</v>
      </c>
    </row>
    <row r="37" spans="1:9" ht="31.9" customHeight="1" thickBot="1" x14ac:dyDescent="0.25">
      <c r="A37" s="56">
        <v>28</v>
      </c>
      <c r="B37" s="60"/>
      <c r="C37" s="57" t="s">
        <v>69</v>
      </c>
      <c r="D37" s="58" t="s">
        <v>70</v>
      </c>
      <c r="E37" s="59" t="s">
        <v>76</v>
      </c>
      <c r="F37" s="60" t="s">
        <v>72</v>
      </c>
      <c r="G37" s="60">
        <v>900</v>
      </c>
      <c r="H37" s="61">
        <v>3.59</v>
      </c>
      <c r="I37" s="62">
        <f>G37*H37</f>
        <v>3231</v>
      </c>
    </row>
    <row r="38" spans="1:9" ht="31.9" customHeight="1" thickBot="1" x14ac:dyDescent="0.25">
      <c r="A38" s="56">
        <v>29</v>
      </c>
      <c r="B38" s="60"/>
      <c r="C38" s="57" t="s">
        <v>69</v>
      </c>
      <c r="D38" s="58" t="s">
        <v>70</v>
      </c>
      <c r="E38" s="59" t="s">
        <v>75</v>
      </c>
      <c r="F38" s="60" t="s">
        <v>72</v>
      </c>
      <c r="G38" s="60">
        <v>1800</v>
      </c>
      <c r="H38" s="61">
        <v>7.22</v>
      </c>
      <c r="I38" s="62">
        <f>G38*H38</f>
        <v>12996</v>
      </c>
    </row>
    <row r="39" spans="1:9" ht="31.9" customHeight="1" thickBot="1" x14ac:dyDescent="0.25">
      <c r="A39" s="56">
        <v>30</v>
      </c>
      <c r="B39" s="60"/>
      <c r="C39" s="57" t="s">
        <v>69</v>
      </c>
      <c r="D39" s="58" t="s">
        <v>70</v>
      </c>
      <c r="E39" s="59" t="s">
        <v>77</v>
      </c>
      <c r="F39" s="60" t="s">
        <v>72</v>
      </c>
      <c r="G39" s="60">
        <v>500</v>
      </c>
      <c r="H39" s="61">
        <v>69.790000000000006</v>
      </c>
      <c r="I39" s="62">
        <f>G39*H39</f>
        <v>34895</v>
      </c>
    </row>
    <row r="40" spans="1:9" ht="31.9" customHeight="1" thickBot="1" x14ac:dyDescent="0.25">
      <c r="A40" s="56">
        <v>31</v>
      </c>
      <c r="B40" s="60"/>
      <c r="C40" s="57" t="s">
        <v>69</v>
      </c>
      <c r="D40" s="58" t="s">
        <v>70</v>
      </c>
      <c r="E40" s="59" t="s">
        <v>95</v>
      </c>
      <c r="F40" s="60" t="s">
        <v>72</v>
      </c>
      <c r="G40" s="60">
        <v>10000</v>
      </c>
      <c r="H40" s="61">
        <v>322</v>
      </c>
      <c r="I40" s="62">
        <f>G40*H40</f>
        <v>3220000</v>
      </c>
    </row>
    <row r="41" spans="1:9" ht="31.9" customHeight="1" thickBot="1" x14ac:dyDescent="0.25">
      <c r="A41" s="56">
        <v>32</v>
      </c>
      <c r="B41" s="60"/>
      <c r="C41" s="57" t="s">
        <v>69</v>
      </c>
      <c r="D41" s="58" t="s">
        <v>70</v>
      </c>
      <c r="E41" s="131" t="s">
        <v>109</v>
      </c>
      <c r="F41" s="60" t="s">
        <v>72</v>
      </c>
      <c r="G41" s="60">
        <v>150</v>
      </c>
      <c r="H41" s="61">
        <v>5326</v>
      </c>
      <c r="I41" s="62">
        <f>G41*H41</f>
        <v>798900</v>
      </c>
    </row>
    <row r="42" spans="1:9" ht="31.9" customHeight="1" thickBot="1" x14ac:dyDescent="0.25">
      <c r="A42" s="56">
        <v>33</v>
      </c>
      <c r="B42" s="60"/>
      <c r="C42" s="57" t="s">
        <v>69</v>
      </c>
      <c r="D42" s="58" t="s">
        <v>70</v>
      </c>
      <c r="E42" s="127" t="s">
        <v>88</v>
      </c>
      <c r="F42" s="60" t="s">
        <v>72</v>
      </c>
      <c r="G42" s="130">
        <v>250</v>
      </c>
      <c r="H42" s="129">
        <v>19</v>
      </c>
      <c r="I42" s="62">
        <f>G42*H42</f>
        <v>4750</v>
      </c>
    </row>
    <row r="43" spans="1:9" ht="31.9" customHeight="1" thickBot="1" x14ac:dyDescent="0.25">
      <c r="A43" s="56">
        <v>34</v>
      </c>
      <c r="B43" s="60"/>
      <c r="C43" s="57" t="s">
        <v>69</v>
      </c>
      <c r="D43" s="58" t="s">
        <v>70</v>
      </c>
      <c r="E43" s="59" t="s">
        <v>79</v>
      </c>
      <c r="F43" s="60" t="s">
        <v>72</v>
      </c>
      <c r="G43" s="60">
        <v>200</v>
      </c>
      <c r="H43" s="61">
        <v>115.22</v>
      </c>
      <c r="I43" s="62">
        <f>G43*H43</f>
        <v>23044</v>
      </c>
    </row>
    <row r="44" spans="1:9" ht="31.9" customHeight="1" thickBot="1" x14ac:dyDescent="0.25">
      <c r="A44" s="56">
        <v>35</v>
      </c>
      <c r="B44" s="60"/>
      <c r="C44" s="57" t="s">
        <v>69</v>
      </c>
      <c r="D44" s="58" t="s">
        <v>70</v>
      </c>
      <c r="E44" s="131" t="s">
        <v>110</v>
      </c>
      <c r="F44" s="60" t="s">
        <v>72</v>
      </c>
      <c r="G44" s="60">
        <v>30</v>
      </c>
      <c r="H44" s="61">
        <v>810.3</v>
      </c>
      <c r="I44" s="62">
        <f>G44*H44</f>
        <v>24309</v>
      </c>
    </row>
    <row r="45" spans="1:9" ht="31.9" customHeight="1" thickBot="1" x14ac:dyDescent="0.25">
      <c r="A45" s="56">
        <v>36</v>
      </c>
      <c r="B45" s="60"/>
      <c r="C45" s="57" t="s">
        <v>69</v>
      </c>
      <c r="D45" s="58" t="s">
        <v>70</v>
      </c>
      <c r="E45" s="59" t="s">
        <v>89</v>
      </c>
      <c r="F45" s="60" t="s">
        <v>72</v>
      </c>
      <c r="G45" s="60">
        <v>120</v>
      </c>
      <c r="H45" s="61">
        <v>115.22</v>
      </c>
      <c r="I45" s="62">
        <f>G45*H45</f>
        <v>13826.4</v>
      </c>
    </row>
    <row r="46" spans="1:9" ht="31.9" customHeight="1" thickBot="1" x14ac:dyDescent="0.25">
      <c r="A46" s="56">
        <v>37</v>
      </c>
      <c r="B46" s="60"/>
      <c r="C46" s="57" t="s">
        <v>69</v>
      </c>
      <c r="D46" s="58" t="s">
        <v>70</v>
      </c>
      <c r="E46" s="59" t="s">
        <v>91</v>
      </c>
      <c r="F46" s="60" t="s">
        <v>72</v>
      </c>
      <c r="G46" s="60">
        <v>800</v>
      </c>
      <c r="H46" s="61">
        <v>36.11</v>
      </c>
      <c r="I46" s="62">
        <f>G46*H46</f>
        <v>28888</v>
      </c>
    </row>
    <row r="47" spans="1:9" ht="31.9" customHeight="1" thickBot="1" x14ac:dyDescent="0.25">
      <c r="A47" s="56">
        <v>38</v>
      </c>
      <c r="B47" s="60"/>
      <c r="C47" s="57" t="s">
        <v>69</v>
      </c>
      <c r="D47" s="58" t="s">
        <v>70</v>
      </c>
      <c r="E47" s="131" t="s">
        <v>101</v>
      </c>
      <c r="F47" s="60" t="s">
        <v>72</v>
      </c>
      <c r="G47" s="132">
        <v>450</v>
      </c>
      <c r="H47" s="129">
        <v>999.98</v>
      </c>
      <c r="I47" s="62">
        <f>G47*H47</f>
        <v>449991</v>
      </c>
    </row>
    <row r="48" spans="1:9" ht="31.9" customHeight="1" thickBot="1" x14ac:dyDescent="0.25">
      <c r="A48" s="56">
        <v>39</v>
      </c>
      <c r="B48" s="60"/>
      <c r="C48" s="57" t="s">
        <v>69</v>
      </c>
      <c r="D48" s="58" t="s">
        <v>70</v>
      </c>
      <c r="E48" s="131" t="s">
        <v>102</v>
      </c>
      <c r="F48" s="60" t="s">
        <v>72</v>
      </c>
      <c r="G48" s="132">
        <v>45</v>
      </c>
      <c r="H48" s="129">
        <v>158</v>
      </c>
      <c r="I48" s="62">
        <f>G48*H48</f>
        <v>7110</v>
      </c>
    </row>
    <row r="49" spans="1:9" ht="31.9" customHeight="1" thickBot="1" x14ac:dyDescent="0.25">
      <c r="A49" s="56">
        <v>40</v>
      </c>
      <c r="B49" s="60"/>
      <c r="C49" s="57" t="s">
        <v>69</v>
      </c>
      <c r="D49" s="58" t="s">
        <v>70</v>
      </c>
      <c r="E49" s="59" t="s">
        <v>97</v>
      </c>
      <c r="F49" s="60" t="s">
        <v>72</v>
      </c>
      <c r="G49" s="60">
        <v>1500</v>
      </c>
      <c r="H49" s="61">
        <v>27.9</v>
      </c>
      <c r="I49" s="62">
        <f>G49*H49</f>
        <v>41850</v>
      </c>
    </row>
    <row r="50" spans="1:9" ht="31.9" customHeight="1" thickBot="1" x14ac:dyDescent="0.25">
      <c r="A50" s="56">
        <v>41</v>
      </c>
      <c r="B50" s="60"/>
      <c r="C50" s="57" t="s">
        <v>69</v>
      </c>
      <c r="D50" s="58" t="s">
        <v>70</v>
      </c>
      <c r="E50" s="127" t="s">
        <v>106</v>
      </c>
      <c r="F50" s="60" t="s">
        <v>72</v>
      </c>
      <c r="G50" s="130">
        <v>20</v>
      </c>
      <c r="H50" s="129">
        <v>519.32000000000005</v>
      </c>
      <c r="I50" s="62">
        <f>G50*H50</f>
        <v>10386.400000000001</v>
      </c>
    </row>
    <row r="53" spans="1:9" x14ac:dyDescent="0.2">
      <c r="B53" s="42" t="s">
        <v>14</v>
      </c>
      <c r="C53" s="43"/>
      <c r="D53" s="43"/>
      <c r="E53" s="44"/>
    </row>
    <row r="54" spans="1:9" ht="5.25" customHeight="1" x14ac:dyDescent="0.2">
      <c r="B54" s="45"/>
      <c r="C54" s="46"/>
      <c r="D54" s="46"/>
      <c r="E54" s="47"/>
    </row>
    <row r="55" spans="1:9" x14ac:dyDescent="0.2">
      <c r="B55" s="48" t="s">
        <v>15</v>
      </c>
      <c r="C55" s="46"/>
      <c r="D55" s="46"/>
      <c r="E55" s="47"/>
    </row>
    <row r="56" spans="1:9" ht="64.5" customHeight="1" x14ac:dyDescent="0.2">
      <c r="B56" s="48"/>
      <c r="C56" s="135" t="s">
        <v>116</v>
      </c>
      <c r="D56" s="135"/>
      <c r="E56" s="135"/>
    </row>
    <row r="57" spans="1:9" x14ac:dyDescent="0.2">
      <c r="B57" s="48" t="s">
        <v>16</v>
      </c>
      <c r="C57" s="46"/>
      <c r="D57" s="46"/>
      <c r="E57" s="47"/>
    </row>
    <row r="58" spans="1:9" x14ac:dyDescent="0.2">
      <c r="B58" s="49"/>
      <c r="C58" s="83" t="s">
        <v>112</v>
      </c>
      <c r="D58" s="83"/>
      <c r="E58" s="83"/>
    </row>
    <row r="59" spans="1:9" x14ac:dyDescent="0.2">
      <c r="B59" s="49"/>
      <c r="C59" s="84"/>
      <c r="D59" s="84"/>
      <c r="E59" s="84"/>
    </row>
    <row r="60" spans="1:9" x14ac:dyDescent="0.2">
      <c r="B60" s="48" t="s">
        <v>17</v>
      </c>
      <c r="C60" s="46"/>
      <c r="D60" s="46"/>
      <c r="E60" s="47"/>
    </row>
    <row r="61" spans="1:9" ht="26.25" customHeight="1" x14ac:dyDescent="0.2">
      <c r="B61" s="49"/>
      <c r="C61" s="82"/>
      <c r="D61" s="82"/>
      <c r="E61" s="82"/>
    </row>
    <row r="62" spans="1:9" x14ac:dyDescent="0.2">
      <c r="B62" s="48" t="s">
        <v>18</v>
      </c>
      <c r="C62" s="50"/>
      <c r="D62" s="50"/>
      <c r="E62" s="51"/>
    </row>
    <row r="63" spans="1:9" ht="26.25" customHeight="1" x14ac:dyDescent="0.2">
      <c r="B63" s="49"/>
      <c r="C63" s="86" t="s">
        <v>64</v>
      </c>
      <c r="D63" s="86"/>
      <c r="E63" s="86"/>
    </row>
    <row r="64" spans="1:9" x14ac:dyDescent="0.2">
      <c r="B64" s="48" t="s">
        <v>19</v>
      </c>
      <c r="C64" s="46"/>
      <c r="D64" s="46"/>
      <c r="E64" s="47"/>
    </row>
    <row r="65" spans="2:5" ht="23.25" customHeight="1" x14ac:dyDescent="0.2">
      <c r="B65" s="48"/>
      <c r="C65" s="85"/>
      <c r="D65" s="85"/>
      <c r="E65" s="85"/>
    </row>
    <row r="66" spans="2:5" x14ac:dyDescent="0.2">
      <c r="B66" s="52"/>
      <c r="C66" s="53"/>
      <c r="D66" s="53"/>
      <c r="E66" s="54"/>
    </row>
    <row r="68" spans="2:5" x14ac:dyDescent="0.2">
      <c r="B68" s="42" t="s">
        <v>20</v>
      </c>
      <c r="C68" s="43"/>
      <c r="D68" s="43"/>
      <c r="E68" s="44"/>
    </row>
    <row r="69" spans="2:5" ht="7.5" customHeight="1" x14ac:dyDescent="0.2">
      <c r="B69" s="45"/>
      <c r="C69" s="46"/>
      <c r="D69" s="46"/>
      <c r="E69" s="47"/>
    </row>
    <row r="70" spans="2:5" x14ac:dyDescent="0.2">
      <c r="B70" s="48" t="s">
        <v>15</v>
      </c>
      <c r="C70" s="46"/>
      <c r="D70" s="46"/>
      <c r="E70" s="47"/>
    </row>
    <row r="71" spans="2:5" ht="39" customHeight="1" x14ac:dyDescent="0.2">
      <c r="B71" s="48"/>
      <c r="C71" s="82"/>
      <c r="D71" s="82"/>
      <c r="E71" s="82"/>
    </row>
    <row r="72" spans="2:5" x14ac:dyDescent="0.2">
      <c r="B72" s="48" t="s">
        <v>16</v>
      </c>
      <c r="C72" s="46"/>
      <c r="D72" s="46"/>
      <c r="E72" s="47"/>
    </row>
    <row r="73" spans="2:5" x14ac:dyDescent="0.2">
      <c r="B73" s="49"/>
      <c r="C73" s="85"/>
      <c r="D73" s="85"/>
      <c r="E73" s="85"/>
    </row>
    <row r="74" spans="2:5" x14ac:dyDescent="0.2">
      <c r="B74" s="49"/>
      <c r="C74" s="85"/>
      <c r="D74" s="85"/>
      <c r="E74" s="85"/>
    </row>
    <row r="75" spans="2:5" x14ac:dyDescent="0.2">
      <c r="B75" s="48" t="s">
        <v>17</v>
      </c>
      <c r="C75" s="46"/>
      <c r="D75" s="46"/>
      <c r="E75" s="47"/>
    </row>
    <row r="76" spans="2:5" x14ac:dyDescent="0.2">
      <c r="B76" s="49"/>
      <c r="C76" s="82"/>
      <c r="D76" s="82"/>
      <c r="E76" s="82"/>
    </row>
    <row r="77" spans="2:5" x14ac:dyDescent="0.2">
      <c r="B77" s="48" t="s">
        <v>18</v>
      </c>
      <c r="C77" s="50"/>
      <c r="D77" s="50"/>
      <c r="E77" s="51"/>
    </row>
    <row r="78" spans="2:5" x14ac:dyDescent="0.2">
      <c r="B78" s="49"/>
      <c r="C78" s="82"/>
      <c r="D78" s="82"/>
      <c r="E78" s="82"/>
    </row>
    <row r="79" spans="2:5" x14ac:dyDescent="0.2">
      <c r="B79" s="48" t="s">
        <v>19</v>
      </c>
      <c r="C79" s="46"/>
      <c r="D79" s="46"/>
      <c r="E79" s="47"/>
    </row>
    <row r="80" spans="2:5" x14ac:dyDescent="0.2">
      <c r="B80" s="48"/>
      <c r="C80" s="85"/>
      <c r="D80" s="85"/>
      <c r="E80" s="85"/>
    </row>
    <row r="81" spans="2:5" x14ac:dyDescent="0.2">
      <c r="B81" s="52"/>
      <c r="C81" s="53"/>
      <c r="D81" s="53"/>
      <c r="E81" s="54"/>
    </row>
  </sheetData>
  <sortState ref="C10:I50">
    <sortCondition ref="E10:E50"/>
  </sortState>
  <mergeCells count="19">
    <mergeCell ref="C74:E74"/>
    <mergeCell ref="C76:E76"/>
    <mergeCell ref="C78:E78"/>
    <mergeCell ref="C80:E80"/>
    <mergeCell ref="C61:E61"/>
    <mergeCell ref="C63:E63"/>
    <mergeCell ref="C65:E65"/>
    <mergeCell ref="C71:E71"/>
    <mergeCell ref="C73:E73"/>
    <mergeCell ref="A6:B6"/>
    <mergeCell ref="A7:B7"/>
    <mergeCell ref="C56:E56"/>
    <mergeCell ref="C58:E58"/>
    <mergeCell ref="C59:E59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3"/>
  <sheetViews>
    <sheetView tabSelected="1" topLeftCell="A37" zoomScale="70" zoomScaleNormal="70" workbookViewId="0">
      <selection activeCell="R50" sqref="R5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7" t="s">
        <v>21</v>
      </c>
      <c r="B1" s="87"/>
      <c r="C1" s="87"/>
      <c r="D1" s="87"/>
      <c r="E1" s="87"/>
      <c r="F1" s="87"/>
      <c r="G1" s="87"/>
      <c r="H1" s="87"/>
      <c r="I1" s="87"/>
      <c r="J1" s="3" t="s">
        <v>22</v>
      </c>
      <c r="K1" s="65" t="s">
        <v>67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8" t="s">
        <v>55</v>
      </c>
      <c r="B3" s="88"/>
      <c r="C3" s="88"/>
      <c r="D3" s="89" t="str">
        <f>'Necesidades Trimestrales'!C4</f>
        <v>40 - Ministerio de Salud</v>
      </c>
      <c r="E3" s="89"/>
      <c r="F3" s="89"/>
      <c r="G3" s="89"/>
      <c r="H3" s="89"/>
      <c r="I3" s="89"/>
      <c r="J3" s="89"/>
      <c r="K3" s="89"/>
    </row>
    <row r="4" spans="1:11" ht="18.75" customHeight="1" thickBot="1" x14ac:dyDescent="0.25">
      <c r="A4" s="90" t="s">
        <v>56</v>
      </c>
      <c r="B4" s="90"/>
      <c r="C4" s="90"/>
      <c r="D4" s="89" t="str">
        <f>'Necesidades Trimestrales'!C5</f>
        <v>23 - Hospital Interzonal San Juan Bautista</v>
      </c>
      <c r="E4" s="89"/>
      <c r="F4" s="89"/>
      <c r="G4" s="89"/>
      <c r="H4" s="89"/>
      <c r="I4" s="89"/>
      <c r="J4" s="89"/>
      <c r="K4" s="89"/>
    </row>
    <row r="5" spans="1:11" ht="18.75" customHeight="1" thickBot="1" x14ac:dyDescent="0.25">
      <c r="A5" s="90" t="s">
        <v>34</v>
      </c>
      <c r="B5" s="90"/>
      <c r="C5" s="90"/>
      <c r="D5" s="89" t="s">
        <v>61</v>
      </c>
      <c r="E5" s="89"/>
      <c r="F5" s="89"/>
      <c r="G5" s="89"/>
      <c r="H5" s="89"/>
      <c r="I5" s="89"/>
      <c r="J5" s="89"/>
      <c r="K5" s="89"/>
    </row>
    <row r="6" spans="1:11" ht="16.5" customHeight="1" thickBot="1" x14ac:dyDescent="0.25">
      <c r="A6" s="88" t="s">
        <v>57</v>
      </c>
      <c r="B6" s="88"/>
      <c r="C6" s="88"/>
      <c r="D6" s="89" t="s">
        <v>62</v>
      </c>
      <c r="E6" s="89"/>
      <c r="F6" s="89"/>
      <c r="G6" s="89"/>
      <c r="H6" s="89"/>
      <c r="I6" s="89"/>
      <c r="J6" s="89"/>
      <c r="K6" s="89"/>
    </row>
    <row r="7" spans="1:11" ht="16.5" customHeight="1" x14ac:dyDescent="0.2">
      <c r="A7" s="90" t="s">
        <v>23</v>
      </c>
      <c r="B7" s="90"/>
      <c r="C7" s="90"/>
      <c r="D7" s="89" t="str">
        <f>'Necesidades Trimestrales'!C7 &amp; "° Trimestre - Año " &amp; 'Necesidades Trimestrales'!C6</f>
        <v>2° Trimestre - Año 2021</v>
      </c>
      <c r="E7" s="89"/>
      <c r="F7" s="89"/>
      <c r="G7" s="89"/>
      <c r="H7" s="89"/>
      <c r="I7" s="89"/>
      <c r="J7" s="89"/>
      <c r="K7" s="89"/>
    </row>
    <row r="8" spans="1:11" ht="16.5" customHeight="1" x14ac:dyDescent="0.2">
      <c r="A8" s="91" t="s">
        <v>24</v>
      </c>
      <c r="B8" s="91"/>
      <c r="C8" s="91"/>
      <c r="D8" s="92" t="s">
        <v>114</v>
      </c>
      <c r="E8" s="92"/>
      <c r="F8" s="92"/>
      <c r="G8" s="92"/>
      <c r="H8" s="92"/>
      <c r="I8" s="92"/>
      <c r="J8" s="92"/>
      <c r="K8" s="9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3" t="s">
        <v>25</v>
      </c>
      <c r="B10" s="94" t="s">
        <v>26</v>
      </c>
      <c r="C10" s="94" t="s">
        <v>27</v>
      </c>
      <c r="D10" s="94"/>
      <c r="E10" s="94"/>
      <c r="F10" s="94"/>
      <c r="G10" s="94"/>
      <c r="H10" s="94" t="s">
        <v>28</v>
      </c>
      <c r="I10" s="94" t="s">
        <v>29</v>
      </c>
      <c r="J10" s="94" t="s">
        <v>30</v>
      </c>
      <c r="K10" s="95" t="s">
        <v>31</v>
      </c>
    </row>
    <row r="11" spans="1:11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20.25" customHeight="1" thickBot="1" x14ac:dyDescent="0.25">
      <c r="A12" s="8">
        <v>1</v>
      </c>
      <c r="B12" s="66">
        <f>'Necesidades Trimestrales'!B10</f>
        <v>0</v>
      </c>
      <c r="C12" s="98" t="str">
        <f>'Necesidades Trimestrales'!E10</f>
        <v>ALPRAZOLAM 0,5MG  COMPRIMIDO</v>
      </c>
      <c r="D12" s="98"/>
      <c r="E12" s="98"/>
      <c r="F12" s="98"/>
      <c r="G12" s="98"/>
      <c r="H12" s="67" t="s">
        <v>58</v>
      </c>
      <c r="I12" s="68" t="str">
        <f>'Necesidades Trimestrales'!F10</f>
        <v>UNIDAD</v>
      </c>
      <c r="J12" s="69">
        <f>'Necesidades Trimestrales'!H10</f>
        <v>39.85</v>
      </c>
      <c r="K12" s="70">
        <f>'Necesidades Trimestrales'!G10</f>
        <v>1200</v>
      </c>
    </row>
    <row r="13" spans="1:11" ht="20.25" customHeight="1" thickBot="1" x14ac:dyDescent="0.25">
      <c r="A13" s="8">
        <v>2</v>
      </c>
      <c r="B13" s="66">
        <f>'Necesidades Trimestrales'!B11</f>
        <v>0</v>
      </c>
      <c r="C13" s="98" t="str">
        <f>'Necesidades Trimestrales'!E11</f>
        <v>ALPRAZOLAM 1MG COMPRIMIDO</v>
      </c>
      <c r="D13" s="98"/>
      <c r="E13" s="98"/>
      <c r="F13" s="98"/>
      <c r="G13" s="98"/>
      <c r="H13" s="67" t="s">
        <v>58</v>
      </c>
      <c r="I13" s="68" t="str">
        <f>'Necesidades Trimestrales'!F11</f>
        <v>UNIDAD</v>
      </c>
      <c r="J13" s="69">
        <f>'Necesidades Trimestrales'!H11</f>
        <v>7.77</v>
      </c>
      <c r="K13" s="70">
        <f>'Necesidades Trimestrales'!G11</f>
        <v>800</v>
      </c>
    </row>
    <row r="14" spans="1:11" ht="20.25" customHeight="1" thickBot="1" x14ac:dyDescent="0.25">
      <c r="A14" s="8">
        <v>3</v>
      </c>
      <c r="B14" s="66">
        <f>'Necesidades Trimestrales'!B12</f>
        <v>0</v>
      </c>
      <c r="C14" s="98" t="str">
        <f>'Necesidades Trimestrales'!E12</f>
        <v>BIPIRIDENO 2 MG COMPRIMIDO</v>
      </c>
      <c r="D14" s="98"/>
      <c r="E14" s="98"/>
      <c r="F14" s="98"/>
      <c r="G14" s="98"/>
      <c r="H14" s="67" t="s">
        <v>58</v>
      </c>
      <c r="I14" s="68" t="str">
        <f>'Necesidades Trimestrales'!F12</f>
        <v>UNIDAD</v>
      </c>
      <c r="J14" s="69">
        <f>'Necesidades Trimestrales'!H12</f>
        <v>7.77</v>
      </c>
      <c r="K14" s="70">
        <f>'Necesidades Trimestrales'!G12</f>
        <v>1200</v>
      </c>
    </row>
    <row r="15" spans="1:11" ht="20.25" customHeight="1" thickBot="1" x14ac:dyDescent="0.25">
      <c r="A15" s="8">
        <v>4</v>
      </c>
      <c r="B15" s="66">
        <f>'Necesidades Trimestrales'!B13</f>
        <v>0</v>
      </c>
      <c r="C15" s="98" t="str">
        <f>'Necesidades Trimestrales'!E13</f>
        <v>BUDESONIDE AEROSOL 200 MCG/PUFF ( 100 DOSIS )</v>
      </c>
      <c r="D15" s="98"/>
      <c r="E15" s="98"/>
      <c r="F15" s="98"/>
      <c r="G15" s="98"/>
      <c r="H15" s="67" t="s">
        <v>58</v>
      </c>
      <c r="I15" s="68" t="str">
        <f>'Necesidades Trimestrales'!F13</f>
        <v>UNIDAD</v>
      </c>
      <c r="J15" s="69">
        <f>'Necesidades Trimestrales'!H13</f>
        <v>427.5</v>
      </c>
      <c r="K15" s="70">
        <f>'Necesidades Trimestrales'!G13</f>
        <v>1200</v>
      </c>
    </row>
    <row r="16" spans="1:11" ht="20.25" customHeight="1" thickBot="1" x14ac:dyDescent="0.25">
      <c r="A16" s="8">
        <v>5</v>
      </c>
      <c r="B16" s="66">
        <f>'Necesidades Trimestrales'!B14</f>
        <v>0</v>
      </c>
      <c r="C16" s="98" t="str">
        <f>'Necesidades Trimestrales'!E14</f>
        <v>BUDESONIDE SOLUCION 0,1%</v>
      </c>
      <c r="D16" s="98"/>
      <c r="E16" s="98"/>
      <c r="F16" s="98"/>
      <c r="G16" s="98"/>
      <c r="H16" s="67" t="s">
        <v>58</v>
      </c>
      <c r="I16" s="68" t="str">
        <f>'Necesidades Trimestrales'!F14</f>
        <v>UNIDAD</v>
      </c>
      <c r="J16" s="69">
        <f>'Necesidades Trimestrales'!H14</f>
        <v>223.36</v>
      </c>
      <c r="K16" s="70">
        <f>'Necesidades Trimestrales'!G14</f>
        <v>30</v>
      </c>
    </row>
    <row r="17" spans="1:11" ht="20.25" customHeight="1" thickBot="1" x14ac:dyDescent="0.25">
      <c r="A17" s="8">
        <v>6</v>
      </c>
      <c r="B17" s="66">
        <f>'Necesidades Trimestrales'!B15</f>
        <v>0</v>
      </c>
      <c r="C17" s="98" t="str">
        <f>'Necesidades Trimestrales'!E15</f>
        <v>CARBAMAZEPINA 200MG COMPRIMIDO</v>
      </c>
      <c r="D17" s="98"/>
      <c r="E17" s="98"/>
      <c r="F17" s="98"/>
      <c r="G17" s="98"/>
      <c r="H17" s="67" t="s">
        <v>58</v>
      </c>
      <c r="I17" s="68" t="str">
        <f>'Necesidades Trimestrales'!F15</f>
        <v>UNIDAD</v>
      </c>
      <c r="J17" s="69">
        <f>'Necesidades Trimestrales'!H15</f>
        <v>22.63</v>
      </c>
      <c r="K17" s="70">
        <f>'Necesidades Trimestrales'!G15</f>
        <v>300</v>
      </c>
    </row>
    <row r="18" spans="1:11" ht="20.25" customHeight="1" thickBot="1" x14ac:dyDescent="0.25">
      <c r="A18" s="8">
        <v>7</v>
      </c>
      <c r="B18" s="66">
        <f>'Necesidades Trimestrales'!B16</f>
        <v>0</v>
      </c>
      <c r="C18" s="98" t="str">
        <f>'Necesidades Trimestrales'!E16</f>
        <v>CARBONATO DE LITIO 300MG COMPRIMIDO</v>
      </c>
      <c r="D18" s="98"/>
      <c r="E18" s="98"/>
      <c r="F18" s="98"/>
      <c r="G18" s="98"/>
      <c r="H18" s="67" t="s">
        <v>58</v>
      </c>
      <c r="I18" s="68" t="str">
        <f>'Necesidades Trimestrales'!F16</f>
        <v>UNIDAD</v>
      </c>
      <c r="J18" s="69">
        <f>'Necesidades Trimestrales'!H16</f>
        <v>47.5</v>
      </c>
      <c r="K18" s="70">
        <f>'Necesidades Trimestrales'!G16</f>
        <v>90</v>
      </c>
    </row>
    <row r="19" spans="1:11" ht="20.25" customHeight="1" thickBot="1" x14ac:dyDescent="0.25">
      <c r="A19" s="8">
        <v>8</v>
      </c>
      <c r="B19" s="66">
        <f>'Necesidades Trimestrales'!B17</f>
        <v>0</v>
      </c>
      <c r="C19" s="98" t="str">
        <f>'Necesidades Trimestrales'!E17</f>
        <v>CARBOXIMETILCELULOSA GOTAS</v>
      </c>
      <c r="D19" s="98"/>
      <c r="E19" s="98"/>
      <c r="F19" s="98"/>
      <c r="G19" s="98"/>
      <c r="H19" s="67" t="s">
        <v>58</v>
      </c>
      <c r="I19" s="68" t="str">
        <f>'Necesidades Trimestrales'!F17</f>
        <v>UNIDAD</v>
      </c>
      <c r="J19" s="69">
        <f>'Necesidades Trimestrales'!H17</f>
        <v>587.72</v>
      </c>
      <c r="K19" s="70">
        <f>'Necesidades Trimestrales'!G17</f>
        <v>40</v>
      </c>
    </row>
    <row r="20" spans="1:11" ht="20.25" customHeight="1" thickBot="1" x14ac:dyDescent="0.25">
      <c r="A20" s="8">
        <v>9</v>
      </c>
      <c r="B20" s="66">
        <f>'Necesidades Trimestrales'!B18</f>
        <v>0</v>
      </c>
      <c r="C20" s="98" t="str">
        <f>'Necesidades Trimestrales'!E18</f>
        <v>CIPROFLOXACINA 0,3% +DEXAMETASONA 01% COLIRIO</v>
      </c>
      <c r="D20" s="98"/>
      <c r="E20" s="98"/>
      <c r="F20" s="98"/>
      <c r="G20" s="98"/>
      <c r="H20" s="67" t="s">
        <v>58</v>
      </c>
      <c r="I20" s="68" t="str">
        <f>'Necesidades Trimestrales'!F18</f>
        <v>UNIDAD</v>
      </c>
      <c r="J20" s="69">
        <f>'Necesidades Trimestrales'!H18</f>
        <v>645.17999999999995</v>
      </c>
      <c r="K20" s="70">
        <f>'Necesidades Trimestrales'!G18</f>
        <v>60</v>
      </c>
    </row>
    <row r="21" spans="1:11" ht="20.25" customHeight="1" thickBot="1" x14ac:dyDescent="0.25">
      <c r="A21" s="8">
        <v>10</v>
      </c>
      <c r="B21" s="66">
        <f>'Necesidades Trimestrales'!B19</f>
        <v>0</v>
      </c>
      <c r="C21" s="98" t="str">
        <f>'Necesidades Trimestrales'!E19</f>
        <v>CIPROFLOXACINA 0,3% +DEXAMETASONA 01% UNGÜENTO</v>
      </c>
      <c r="D21" s="98"/>
      <c r="E21" s="98"/>
      <c r="F21" s="98"/>
      <c r="G21" s="98"/>
      <c r="H21" s="67" t="s">
        <v>58</v>
      </c>
      <c r="I21" s="68" t="str">
        <f>'Necesidades Trimestrales'!F19</f>
        <v>UNIDAD</v>
      </c>
      <c r="J21" s="69">
        <f>'Necesidades Trimestrales'!H19</f>
        <v>746.28</v>
      </c>
      <c r="K21" s="70">
        <f>'Necesidades Trimestrales'!G19</f>
        <v>20</v>
      </c>
    </row>
    <row r="22" spans="1:11" ht="20.25" customHeight="1" thickBot="1" x14ac:dyDescent="0.25">
      <c r="A22" s="8">
        <v>11</v>
      </c>
      <c r="B22" s="66">
        <f>'Necesidades Trimestrales'!B20</f>
        <v>0</v>
      </c>
      <c r="C22" s="98" t="str">
        <f>'Necesidades Trimestrales'!E20</f>
        <v>CLONAZEPAM 0,5 MG COMPRIMIDOS</v>
      </c>
      <c r="D22" s="98"/>
      <c r="E22" s="98"/>
      <c r="F22" s="98"/>
      <c r="G22" s="98"/>
      <c r="H22" s="67" t="s">
        <v>58</v>
      </c>
      <c r="I22" s="68" t="str">
        <f>'Necesidades Trimestrales'!F20</f>
        <v>UNIDAD</v>
      </c>
      <c r="J22" s="69">
        <f>'Necesidades Trimestrales'!H20</f>
        <v>1.94</v>
      </c>
      <c r="K22" s="70">
        <f>'Necesidades Trimestrales'!G20</f>
        <v>180</v>
      </c>
    </row>
    <row r="23" spans="1:11" ht="20.25" customHeight="1" thickBot="1" x14ac:dyDescent="0.25">
      <c r="A23" s="8">
        <v>12</v>
      </c>
      <c r="B23" s="66">
        <f>'Necesidades Trimestrales'!B21</f>
        <v>0</v>
      </c>
      <c r="C23" s="98" t="str">
        <f>'Necesidades Trimestrales'!E21</f>
        <v>CLORPROMAZINA  25 MG COMPRIMIDOS</v>
      </c>
      <c r="D23" s="98"/>
      <c r="E23" s="98"/>
      <c r="F23" s="98"/>
      <c r="G23" s="98"/>
      <c r="H23" s="67" t="s">
        <v>58</v>
      </c>
      <c r="I23" s="68" t="str">
        <f>'Necesidades Trimestrales'!F21</f>
        <v>UNIDAD</v>
      </c>
      <c r="J23" s="69">
        <f>'Necesidades Trimestrales'!H21</f>
        <v>5.75</v>
      </c>
      <c r="K23" s="70">
        <f>'Necesidades Trimestrales'!G21</f>
        <v>100</v>
      </c>
    </row>
    <row r="24" spans="1:11" ht="20.25" customHeight="1" thickBot="1" x14ac:dyDescent="0.25">
      <c r="A24" s="8">
        <v>13</v>
      </c>
      <c r="B24" s="66">
        <f>'Necesidades Trimestrales'!B22</f>
        <v>0</v>
      </c>
      <c r="C24" s="98" t="str">
        <f>'Necesidades Trimestrales'!E22</f>
        <v>CLORPROMAZINA 25MG  AMPOLLA IM</v>
      </c>
      <c r="D24" s="98"/>
      <c r="E24" s="98"/>
      <c r="F24" s="98"/>
      <c r="G24" s="98"/>
      <c r="H24" s="67" t="s">
        <v>58</v>
      </c>
      <c r="I24" s="68" t="str">
        <f>'Necesidades Trimestrales'!F22</f>
        <v>UNIDAD</v>
      </c>
      <c r="J24" s="69">
        <f>'Necesidades Trimestrales'!H22</f>
        <v>101.06</v>
      </c>
      <c r="K24" s="70">
        <f>'Necesidades Trimestrales'!G22</f>
        <v>600</v>
      </c>
    </row>
    <row r="25" spans="1:11" ht="20.25" customHeight="1" thickBot="1" x14ac:dyDescent="0.25">
      <c r="A25" s="8">
        <v>14</v>
      </c>
      <c r="B25" s="66">
        <f>'Necesidades Trimestrales'!B23</f>
        <v>0</v>
      </c>
      <c r="C25" s="98" t="str">
        <f>'Necesidades Trimestrales'!E23</f>
        <v>CLORPROMAZINA 50MG  AMPOLLA EV</v>
      </c>
      <c r="D25" s="98"/>
      <c r="E25" s="98"/>
      <c r="F25" s="98"/>
      <c r="G25" s="98"/>
      <c r="H25" s="67" t="s">
        <v>58</v>
      </c>
      <c r="I25" s="68" t="str">
        <f>'Necesidades Trimestrales'!F23</f>
        <v>UNIDAD</v>
      </c>
      <c r="J25" s="69">
        <f>'Necesidades Trimestrales'!H23</f>
        <v>105.71</v>
      </c>
      <c r="K25" s="70">
        <f>'Necesidades Trimestrales'!G23</f>
        <v>600</v>
      </c>
    </row>
    <row r="26" spans="1:11" ht="20.25" customHeight="1" thickBot="1" x14ac:dyDescent="0.25">
      <c r="A26" s="8">
        <v>15</v>
      </c>
      <c r="B26" s="66">
        <f>'Necesidades Trimestrales'!B24</f>
        <v>0</v>
      </c>
      <c r="C26" s="98" t="str">
        <f>'Necesidades Trimestrales'!E24</f>
        <v>DIAZEPAM 10 MG COMPRIMIDO</v>
      </c>
      <c r="D26" s="98"/>
      <c r="E26" s="98"/>
      <c r="F26" s="98"/>
      <c r="G26" s="98"/>
      <c r="H26" s="67" t="s">
        <v>58</v>
      </c>
      <c r="I26" s="68" t="str">
        <f>'Necesidades Trimestrales'!F24</f>
        <v>UNIDAD</v>
      </c>
      <c r="J26" s="69">
        <f>'Necesidades Trimestrales'!H24</f>
        <v>17.010000000000002</v>
      </c>
      <c r="K26" s="70">
        <f>'Necesidades Trimestrales'!G24</f>
        <v>150</v>
      </c>
    </row>
    <row r="27" spans="1:11" ht="20.25" customHeight="1" thickBot="1" x14ac:dyDescent="0.25">
      <c r="A27" s="8">
        <v>16</v>
      </c>
      <c r="B27" s="66">
        <f>'Necesidades Trimestrales'!B25</f>
        <v>0</v>
      </c>
      <c r="C27" s="98" t="str">
        <f>'Necesidades Trimestrales'!E25</f>
        <v>DIFENILHIDRAMINA 10MG AMPOLLAS</v>
      </c>
      <c r="D27" s="98"/>
      <c r="E27" s="98"/>
      <c r="F27" s="98"/>
      <c r="G27" s="98"/>
      <c r="H27" s="67" t="s">
        <v>58</v>
      </c>
      <c r="I27" s="68" t="str">
        <f>'Necesidades Trimestrales'!F25</f>
        <v>UNIDAD</v>
      </c>
      <c r="J27" s="69">
        <f>'Necesidades Trimestrales'!H25</f>
        <v>139.33000000000001</v>
      </c>
      <c r="K27" s="70">
        <f>'Necesidades Trimestrales'!G25</f>
        <v>4000</v>
      </c>
    </row>
    <row r="28" spans="1:11" ht="20.25" customHeight="1" thickBot="1" x14ac:dyDescent="0.25">
      <c r="A28" s="8">
        <v>17</v>
      </c>
      <c r="B28" s="66">
        <f>'Necesidades Trimestrales'!B26</f>
        <v>0</v>
      </c>
      <c r="C28" s="98" t="str">
        <f>'Necesidades Trimestrales'!E26</f>
        <v>FENITOINA 100 MG COMPRIMIDO</v>
      </c>
      <c r="D28" s="98"/>
      <c r="E28" s="98"/>
      <c r="F28" s="98"/>
      <c r="G28" s="98"/>
      <c r="H28" s="67" t="s">
        <v>58</v>
      </c>
      <c r="I28" s="68" t="str">
        <f>'Necesidades Trimestrales'!F26</f>
        <v>UNIDAD</v>
      </c>
      <c r="J28" s="69">
        <f>'Necesidades Trimestrales'!H26</f>
        <v>27.49</v>
      </c>
      <c r="K28" s="70">
        <f>'Necesidades Trimestrales'!G26</f>
        <v>2000</v>
      </c>
    </row>
    <row r="29" spans="1:11" ht="20.25" customHeight="1" thickBot="1" x14ac:dyDescent="0.25">
      <c r="A29" s="8">
        <v>18</v>
      </c>
      <c r="B29" s="66">
        <f>'Necesidades Trimestrales'!B27</f>
        <v>0</v>
      </c>
      <c r="C29" s="98" t="str">
        <f>'Necesidades Trimestrales'!E27</f>
        <v>FENOBARBITAL 100MG COMPRIMIDO</v>
      </c>
      <c r="D29" s="98"/>
      <c r="E29" s="98"/>
      <c r="F29" s="98"/>
      <c r="G29" s="98"/>
      <c r="H29" s="67" t="s">
        <v>58</v>
      </c>
      <c r="I29" s="68" t="str">
        <f>'Necesidades Trimestrales'!F27</f>
        <v>UNIDAD</v>
      </c>
      <c r="J29" s="69">
        <f>'Necesidades Trimestrales'!H27</f>
        <v>15.66</v>
      </c>
      <c r="K29" s="70">
        <f>'Necesidades Trimestrales'!G27</f>
        <v>200</v>
      </c>
    </row>
    <row r="30" spans="1:11" ht="20.25" customHeight="1" thickBot="1" x14ac:dyDescent="0.25">
      <c r="A30" s="8">
        <v>19</v>
      </c>
      <c r="B30" s="66">
        <f>'Necesidades Trimestrales'!B28</f>
        <v>0</v>
      </c>
      <c r="C30" s="98" t="str">
        <f>'Necesidades Trimestrales'!E28</f>
        <v>FENOBARBITAL 200MG AMPOLLAS</v>
      </c>
      <c r="D30" s="98"/>
      <c r="E30" s="98"/>
      <c r="F30" s="98"/>
      <c r="G30" s="98"/>
      <c r="H30" s="67" t="s">
        <v>58</v>
      </c>
      <c r="I30" s="68" t="str">
        <f>'Necesidades Trimestrales'!F28</f>
        <v>UNIDAD</v>
      </c>
      <c r="J30" s="69">
        <f>'Necesidades Trimestrales'!H28</f>
        <v>299.08999999999997</v>
      </c>
      <c r="K30" s="70">
        <f>'Necesidades Trimestrales'!G28</f>
        <v>400</v>
      </c>
    </row>
    <row r="31" spans="1:11" ht="20.25" customHeight="1" thickBot="1" x14ac:dyDescent="0.25">
      <c r="A31" s="8">
        <v>20</v>
      </c>
      <c r="B31" s="66">
        <f>'Necesidades Trimestrales'!B29</f>
        <v>0</v>
      </c>
      <c r="C31" s="98" t="str">
        <f>'Necesidades Trimestrales'!E29</f>
        <v>FLUMAZENIL AMPOLLAS</v>
      </c>
      <c r="D31" s="98"/>
      <c r="E31" s="98"/>
      <c r="F31" s="98"/>
      <c r="G31" s="98"/>
      <c r="H31" s="67" t="s">
        <v>58</v>
      </c>
      <c r="I31" s="68" t="str">
        <f>'Necesidades Trimestrales'!F29</f>
        <v>UNIDAD</v>
      </c>
      <c r="J31" s="69">
        <f>'Necesidades Trimestrales'!H29</f>
        <v>155</v>
      </c>
      <c r="K31" s="70">
        <f>'Necesidades Trimestrales'!G29</f>
        <v>100</v>
      </c>
    </row>
    <row r="32" spans="1:11" ht="20.25" customHeight="1" thickBot="1" x14ac:dyDescent="0.25">
      <c r="A32" s="8">
        <v>21</v>
      </c>
      <c r="B32" s="66">
        <f>'Necesidades Trimestrales'!B30</f>
        <v>0</v>
      </c>
      <c r="C32" s="98" t="str">
        <f>'Necesidades Trimestrales'!E30</f>
        <v>FLUOXETINA 20MG CAPSULAS</v>
      </c>
      <c r="D32" s="98"/>
      <c r="E32" s="98"/>
      <c r="F32" s="98"/>
      <c r="G32" s="98"/>
      <c r="H32" s="67" t="s">
        <v>58</v>
      </c>
      <c r="I32" s="68" t="str">
        <f>'Necesidades Trimestrales'!F30</f>
        <v>UNIDAD</v>
      </c>
      <c r="J32" s="69">
        <f>'Necesidades Trimestrales'!H30</f>
        <v>7.01</v>
      </c>
      <c r="K32" s="70">
        <f>'Necesidades Trimestrales'!G30</f>
        <v>30</v>
      </c>
    </row>
    <row r="33" spans="1:11" ht="20.25" customHeight="1" thickBot="1" x14ac:dyDescent="0.25">
      <c r="A33" s="8">
        <v>22</v>
      </c>
      <c r="B33" s="66">
        <f>'Necesidades Trimestrales'!B31</f>
        <v>0</v>
      </c>
      <c r="C33" s="98" t="str">
        <f>'Necesidades Trimestrales'!E31</f>
        <v>GATIFLOXACINA COLIRIO</v>
      </c>
      <c r="D33" s="98"/>
      <c r="E33" s="98"/>
      <c r="F33" s="98"/>
      <c r="G33" s="98"/>
      <c r="H33" s="67" t="s">
        <v>58</v>
      </c>
      <c r="I33" s="68" t="str">
        <f>'Necesidades Trimestrales'!F31</f>
        <v>UNIDAD</v>
      </c>
      <c r="J33" s="69">
        <f>'Necesidades Trimestrales'!H31</f>
        <v>1542.61</v>
      </c>
      <c r="K33" s="70">
        <f>'Necesidades Trimestrales'!G31</f>
        <v>10</v>
      </c>
    </row>
    <row r="34" spans="1:11" ht="20.25" customHeight="1" thickBot="1" x14ac:dyDescent="0.25">
      <c r="A34" s="8">
        <v>23</v>
      </c>
      <c r="B34" s="66">
        <f>'Necesidades Trimestrales'!B32</f>
        <v>0</v>
      </c>
      <c r="C34" s="98" t="str">
        <f>'Necesidades Trimestrales'!E32</f>
        <v>HALOPERIDOL 2MG/ML GOTAS</v>
      </c>
      <c r="D34" s="98"/>
      <c r="E34" s="98"/>
      <c r="F34" s="98"/>
      <c r="G34" s="98"/>
      <c r="H34" s="67" t="s">
        <v>58</v>
      </c>
      <c r="I34" s="68" t="str">
        <f>'Necesidades Trimestrales'!F32</f>
        <v>UNIDAD</v>
      </c>
      <c r="J34" s="69">
        <f>'Necesidades Trimestrales'!H32</f>
        <v>738.28</v>
      </c>
      <c r="K34" s="70">
        <f>'Necesidades Trimestrales'!G32</f>
        <v>15</v>
      </c>
    </row>
    <row r="35" spans="1:11" ht="20.25" customHeight="1" thickBot="1" x14ac:dyDescent="0.25">
      <c r="A35" s="8">
        <v>24</v>
      </c>
      <c r="B35" s="66">
        <f>'Necesidades Trimestrales'!B33</f>
        <v>0</v>
      </c>
      <c r="C35" s="98" t="str">
        <f>'Necesidades Trimestrales'!E33</f>
        <v>HALOPERIDOL DECANOATO 150MG AMPOLLA</v>
      </c>
      <c r="D35" s="98"/>
      <c r="E35" s="98"/>
      <c r="F35" s="98"/>
      <c r="G35" s="98"/>
      <c r="H35" s="67" t="s">
        <v>58</v>
      </c>
      <c r="I35" s="68" t="str">
        <f>'Necesidades Trimestrales'!F33</f>
        <v>UNIDAD</v>
      </c>
      <c r="J35" s="69">
        <f>'Necesidades Trimestrales'!H33</f>
        <v>1386.48</v>
      </c>
      <c r="K35" s="70">
        <f>'Necesidades Trimestrales'!G33</f>
        <v>6</v>
      </c>
    </row>
    <row r="36" spans="1:11" ht="20.25" customHeight="1" thickBot="1" x14ac:dyDescent="0.25">
      <c r="A36" s="8">
        <v>25</v>
      </c>
      <c r="B36" s="66">
        <f>'Necesidades Trimestrales'!B34</f>
        <v>0</v>
      </c>
      <c r="C36" s="98" t="str">
        <f>'Necesidades Trimestrales'!E34</f>
        <v>IPRATROPIO SOLUCION PARA NEBULIZAR 0,1%GOTAS</v>
      </c>
      <c r="D36" s="98"/>
      <c r="E36" s="98"/>
      <c r="F36" s="98"/>
      <c r="G36" s="98"/>
      <c r="H36" s="67" t="s">
        <v>58</v>
      </c>
      <c r="I36" s="68" t="str">
        <f>'Necesidades Trimestrales'!F34</f>
        <v>UNIDAD</v>
      </c>
      <c r="J36" s="69">
        <f>'Necesidades Trimestrales'!H34</f>
        <v>120</v>
      </c>
      <c r="K36" s="70">
        <f>'Necesidades Trimestrales'!G34</f>
        <v>300</v>
      </c>
    </row>
    <row r="37" spans="1:11" ht="20.25" customHeight="1" thickBot="1" x14ac:dyDescent="0.25">
      <c r="A37" s="8">
        <v>26</v>
      </c>
      <c r="B37" s="66">
        <f>'Necesidades Trimestrales'!B35</f>
        <v>0</v>
      </c>
      <c r="C37" s="98" t="str">
        <f>'Necesidades Trimestrales'!E35</f>
        <v>LEVOMEPROMAZINA 25 MG AMPOLLA</v>
      </c>
      <c r="D37" s="98"/>
      <c r="E37" s="98"/>
      <c r="F37" s="98"/>
      <c r="G37" s="98"/>
      <c r="H37" s="67" t="s">
        <v>58</v>
      </c>
      <c r="I37" s="68" t="str">
        <f>'Necesidades Trimestrales'!F35</f>
        <v>UNIDAD</v>
      </c>
      <c r="J37" s="69">
        <f>'Necesidades Trimestrales'!H35</f>
        <v>269.5</v>
      </c>
      <c r="K37" s="70">
        <f>'Necesidades Trimestrales'!G35</f>
        <v>400</v>
      </c>
    </row>
    <row r="38" spans="1:11" ht="20.25" customHeight="1" thickBot="1" x14ac:dyDescent="0.25">
      <c r="A38" s="8">
        <v>27</v>
      </c>
      <c r="B38" s="66">
        <f>'Necesidades Trimestrales'!B36</f>
        <v>0</v>
      </c>
      <c r="C38" s="98" t="str">
        <f>'Necesidades Trimestrales'!E36</f>
        <v>LEVOMEPROMAZINA 25 MG COMPRIMIDO</v>
      </c>
      <c r="D38" s="98"/>
      <c r="E38" s="98"/>
      <c r="F38" s="98"/>
      <c r="G38" s="98"/>
      <c r="H38" s="67" t="s">
        <v>58</v>
      </c>
      <c r="I38" s="68" t="str">
        <f>'Necesidades Trimestrales'!F36</f>
        <v>UNIDAD</v>
      </c>
      <c r="J38" s="69">
        <f>'Necesidades Trimestrales'!H36</f>
        <v>5.7450000000000001</v>
      </c>
      <c r="K38" s="70">
        <f>'Necesidades Trimestrales'!G36</f>
        <v>100</v>
      </c>
    </row>
    <row r="39" spans="1:11" ht="20.25" customHeight="1" thickBot="1" x14ac:dyDescent="0.25">
      <c r="A39" s="8">
        <v>28</v>
      </c>
      <c r="B39" s="66">
        <f>'Necesidades Trimestrales'!B37</f>
        <v>0</v>
      </c>
      <c r="C39" s="98" t="str">
        <f>'Necesidades Trimestrales'!E37</f>
        <v>LORAZEPAM 1 MG COMPRIMIDO</v>
      </c>
      <c r="D39" s="98"/>
      <c r="E39" s="98"/>
      <c r="F39" s="98"/>
      <c r="G39" s="98"/>
      <c r="H39" s="67" t="s">
        <v>58</v>
      </c>
      <c r="I39" s="68" t="str">
        <f>'Necesidades Trimestrales'!F37</f>
        <v>UNIDAD</v>
      </c>
      <c r="J39" s="69">
        <f>'Necesidades Trimestrales'!H37</f>
        <v>3.59</v>
      </c>
      <c r="K39" s="70">
        <f>'Necesidades Trimestrales'!G37</f>
        <v>900</v>
      </c>
    </row>
    <row r="40" spans="1:11" ht="20.25" customHeight="1" thickBot="1" x14ac:dyDescent="0.25">
      <c r="A40" s="8">
        <v>29</v>
      </c>
      <c r="B40" s="66">
        <f>'Necesidades Trimestrales'!B38</f>
        <v>0</v>
      </c>
      <c r="C40" s="98" t="str">
        <f>'Necesidades Trimestrales'!E38</f>
        <v>LORAZEPAM 2MG COMPRIMIDO</v>
      </c>
      <c r="D40" s="98"/>
      <c r="E40" s="98"/>
      <c r="F40" s="98"/>
      <c r="G40" s="98"/>
      <c r="H40" s="67" t="s">
        <v>58</v>
      </c>
      <c r="I40" s="68" t="str">
        <f>'Necesidades Trimestrales'!F38</f>
        <v>UNIDAD</v>
      </c>
      <c r="J40" s="69">
        <f>'Necesidades Trimestrales'!H38</f>
        <v>7.22</v>
      </c>
      <c r="K40" s="70">
        <f>'Necesidades Trimestrales'!G38</f>
        <v>1800</v>
      </c>
    </row>
    <row r="41" spans="1:11" ht="20.25" customHeight="1" thickBot="1" x14ac:dyDescent="0.25">
      <c r="A41" s="8">
        <v>30</v>
      </c>
      <c r="B41" s="66">
        <f>'Necesidades Trimestrales'!B39</f>
        <v>0</v>
      </c>
      <c r="C41" s="98" t="str">
        <f>'Necesidades Trimestrales'!E39</f>
        <v>LORAZEPAM 4 MG/2ML AMPOLLA</v>
      </c>
      <c r="D41" s="98"/>
      <c r="E41" s="98"/>
      <c r="F41" s="98"/>
      <c r="G41" s="98"/>
      <c r="H41" s="67" t="s">
        <v>58</v>
      </c>
      <c r="I41" s="68" t="str">
        <f>'Necesidades Trimestrales'!F39</f>
        <v>UNIDAD</v>
      </c>
      <c r="J41" s="69">
        <f>'Necesidades Trimestrales'!H39</f>
        <v>69.790000000000006</v>
      </c>
      <c r="K41" s="70">
        <f>'Necesidades Trimestrales'!G39</f>
        <v>500</v>
      </c>
    </row>
    <row r="42" spans="1:11" ht="20.25" customHeight="1" thickBot="1" x14ac:dyDescent="0.25">
      <c r="A42" s="8">
        <v>31</v>
      </c>
      <c r="B42" s="66">
        <f>'Necesidades Trimestrales'!B40</f>
        <v>0</v>
      </c>
      <c r="C42" s="98" t="str">
        <f>'Necesidades Trimestrales'!E40</f>
        <v>MIDAZOLAM 15 MG AMPOLLA</v>
      </c>
      <c r="D42" s="98"/>
      <c r="E42" s="98"/>
      <c r="F42" s="98"/>
      <c r="G42" s="98"/>
      <c r="H42" s="67" t="s">
        <v>58</v>
      </c>
      <c r="I42" s="68" t="str">
        <f>'Necesidades Trimestrales'!F40</f>
        <v>UNIDAD</v>
      </c>
      <c r="J42" s="69">
        <f>'Necesidades Trimestrales'!H40</f>
        <v>322</v>
      </c>
      <c r="K42" s="70">
        <f>'Necesidades Trimestrales'!G40</f>
        <v>10000</v>
      </c>
    </row>
    <row r="43" spans="1:11" ht="20.25" customHeight="1" thickBot="1" x14ac:dyDescent="0.25">
      <c r="A43" s="8">
        <v>32</v>
      </c>
      <c r="B43" s="66">
        <f>'Necesidades Trimestrales'!B41</f>
        <v>0</v>
      </c>
      <c r="C43" s="98" t="str">
        <f>'Necesidades Trimestrales'!E41</f>
        <v>NALOXONA 0,4 MG / ML AMPOLLA</v>
      </c>
      <c r="D43" s="98"/>
      <c r="E43" s="98"/>
      <c r="F43" s="98"/>
      <c r="G43" s="98"/>
      <c r="H43" s="67" t="s">
        <v>58</v>
      </c>
      <c r="I43" s="68" t="str">
        <f>'Necesidades Trimestrales'!F41</f>
        <v>UNIDAD</v>
      </c>
      <c r="J43" s="69">
        <f>'Necesidades Trimestrales'!H41</f>
        <v>5326</v>
      </c>
      <c r="K43" s="70">
        <f>'Necesidades Trimestrales'!G41</f>
        <v>150</v>
      </c>
    </row>
    <row r="44" spans="1:11" ht="20.25" customHeight="1" thickBot="1" x14ac:dyDescent="0.25">
      <c r="A44" s="8">
        <v>33</v>
      </c>
      <c r="B44" s="66">
        <f>'Necesidades Trimestrales'!B42</f>
        <v>0</v>
      </c>
      <c r="C44" s="98" t="str">
        <f>'Necesidades Trimestrales'!E42</f>
        <v>OLANZAPINA 10MG COMPRIMIDO</v>
      </c>
      <c r="D44" s="98"/>
      <c r="E44" s="98"/>
      <c r="F44" s="98"/>
      <c r="G44" s="98"/>
      <c r="H44" s="67" t="s">
        <v>58</v>
      </c>
      <c r="I44" s="68" t="str">
        <f>'Necesidades Trimestrales'!F42</f>
        <v>UNIDAD</v>
      </c>
      <c r="J44" s="69">
        <f>'Necesidades Trimestrales'!H42</f>
        <v>19</v>
      </c>
      <c r="K44" s="70">
        <f>'Necesidades Trimestrales'!G42</f>
        <v>250</v>
      </c>
    </row>
    <row r="45" spans="1:11" ht="20.25" customHeight="1" thickBot="1" x14ac:dyDescent="0.25">
      <c r="A45" s="8">
        <v>34</v>
      </c>
      <c r="B45" s="66">
        <f>'Necesidades Trimestrales'!B43</f>
        <v>0</v>
      </c>
      <c r="C45" s="98" t="str">
        <f>'Necesidades Trimestrales'!E43</f>
        <v>PREGABALINA 75MG COMPRIMIDO</v>
      </c>
      <c r="D45" s="98"/>
      <c r="E45" s="98"/>
      <c r="F45" s="98"/>
      <c r="G45" s="98"/>
      <c r="H45" s="67" t="s">
        <v>58</v>
      </c>
      <c r="I45" s="68" t="str">
        <f>'Necesidades Trimestrales'!F43</f>
        <v>UNIDAD</v>
      </c>
      <c r="J45" s="69">
        <f>'Necesidades Trimestrales'!H43</f>
        <v>115.22</v>
      </c>
      <c r="K45" s="70">
        <f>'Necesidades Trimestrales'!G43</f>
        <v>200</v>
      </c>
    </row>
    <row r="46" spans="1:11" ht="20.25" customHeight="1" thickBot="1" x14ac:dyDescent="0.25">
      <c r="A46" s="8">
        <v>35</v>
      </c>
      <c r="B46" s="66">
        <f>'Necesidades Trimestrales'!B44</f>
        <v>0</v>
      </c>
      <c r="C46" s="98" t="str">
        <f>'Necesidades Trimestrales'!E44</f>
        <v>PROTAMINA SULFATO 50MG AMPOLLA</v>
      </c>
      <c r="D46" s="98"/>
      <c r="E46" s="98"/>
      <c r="F46" s="98"/>
      <c r="G46" s="98"/>
      <c r="H46" s="67" t="s">
        <v>58</v>
      </c>
      <c r="I46" s="68" t="str">
        <f>'Necesidades Trimestrales'!F44</f>
        <v>UNIDAD</v>
      </c>
      <c r="J46" s="69">
        <f>'Necesidades Trimestrales'!H44</f>
        <v>810.3</v>
      </c>
      <c r="K46" s="70">
        <f>'Necesidades Trimestrales'!G44</f>
        <v>30</v>
      </c>
    </row>
    <row r="47" spans="1:11" ht="20.25" customHeight="1" thickBot="1" x14ac:dyDescent="0.25">
      <c r="A47" s="8">
        <v>36</v>
      </c>
      <c r="B47" s="66">
        <f>'Necesidades Trimestrales'!B45</f>
        <v>0</v>
      </c>
      <c r="C47" s="98" t="str">
        <f>'Necesidades Trimestrales'!E45</f>
        <v>QUETIAPINA 100MG COMPRIMIDO</v>
      </c>
      <c r="D47" s="98"/>
      <c r="E47" s="98"/>
      <c r="F47" s="98"/>
      <c r="G47" s="98"/>
      <c r="H47" s="67" t="s">
        <v>58</v>
      </c>
      <c r="I47" s="68" t="str">
        <f>'Necesidades Trimestrales'!F45</f>
        <v>UNIDAD</v>
      </c>
      <c r="J47" s="69">
        <f>'Necesidades Trimestrales'!H45</f>
        <v>115.22</v>
      </c>
      <c r="K47" s="70">
        <f>'Necesidades Trimestrales'!G45</f>
        <v>120</v>
      </c>
    </row>
    <row r="48" spans="1:11" ht="20.25" customHeight="1" thickBot="1" x14ac:dyDescent="0.25">
      <c r="A48" s="8">
        <v>37</v>
      </c>
      <c r="B48" s="66">
        <f>'Necesidades Trimestrales'!B46</f>
        <v>0</v>
      </c>
      <c r="C48" s="98" t="str">
        <f>'Necesidades Trimestrales'!E46</f>
        <v>RISPERIDONA 2 MG COMPRIMIDO</v>
      </c>
      <c r="D48" s="98"/>
      <c r="E48" s="98"/>
      <c r="F48" s="98"/>
      <c r="G48" s="98"/>
      <c r="H48" s="67" t="s">
        <v>58</v>
      </c>
      <c r="I48" s="68" t="str">
        <f>'Necesidades Trimestrales'!F46</f>
        <v>UNIDAD</v>
      </c>
      <c r="J48" s="69">
        <f>'Necesidades Trimestrales'!H46</f>
        <v>36.11</v>
      </c>
      <c r="K48" s="70">
        <f>'Necesidades Trimestrales'!G46</f>
        <v>800</v>
      </c>
    </row>
    <row r="49" spans="1:1024" ht="20.25" customHeight="1" thickBot="1" x14ac:dyDescent="0.25">
      <c r="A49" s="8">
        <v>38</v>
      </c>
      <c r="B49" s="66">
        <f>'Necesidades Trimestrales'!B47</f>
        <v>0</v>
      </c>
      <c r="C49" s="98" t="str">
        <f>'Necesidades Trimestrales'!E47</f>
        <v xml:space="preserve">SALBUTAMOL AEROSOL CON  AEROCAMARA </v>
      </c>
      <c r="D49" s="98"/>
      <c r="E49" s="98"/>
      <c r="F49" s="98"/>
      <c r="G49" s="98"/>
      <c r="H49" s="67" t="s">
        <v>58</v>
      </c>
      <c r="I49" s="68" t="str">
        <f>'Necesidades Trimestrales'!F47</f>
        <v>UNIDAD</v>
      </c>
      <c r="J49" s="69">
        <f>'Necesidades Trimestrales'!H47</f>
        <v>999.98</v>
      </c>
      <c r="K49" s="70">
        <f>'Necesidades Trimestrales'!G47</f>
        <v>450</v>
      </c>
    </row>
    <row r="50" spans="1:1024" ht="20.25" customHeight="1" thickBot="1" x14ac:dyDescent="0.25">
      <c r="A50" s="8">
        <v>39</v>
      </c>
      <c r="B50" s="66">
        <f>'Necesidades Trimestrales'!B48</f>
        <v>0</v>
      </c>
      <c r="C50" s="98" t="str">
        <f>'Necesidades Trimestrales'!E48</f>
        <v>SALBUTAMOL GOTAS</v>
      </c>
      <c r="D50" s="98"/>
      <c r="E50" s="98"/>
      <c r="F50" s="98"/>
      <c r="G50" s="98"/>
      <c r="H50" s="67" t="s">
        <v>58</v>
      </c>
      <c r="I50" s="68" t="str">
        <f>'Necesidades Trimestrales'!F48</f>
        <v>UNIDAD</v>
      </c>
      <c r="J50" s="69">
        <f>'Necesidades Trimestrales'!H48</f>
        <v>158</v>
      </c>
      <c r="K50" s="70">
        <f>'Necesidades Trimestrales'!G48</f>
        <v>45</v>
      </c>
    </row>
    <row r="51" spans="1:1024" ht="20.25" customHeight="1" thickBot="1" x14ac:dyDescent="0.25">
      <c r="A51" s="8">
        <v>40</v>
      </c>
      <c r="B51" s="66">
        <f>'Necesidades Trimestrales'!B49</f>
        <v>0</v>
      </c>
      <c r="C51" s="98" t="str">
        <f>'Necesidades Trimestrales'!E49</f>
        <v>SERTRALINA 50MG COMPRIMIDOS</v>
      </c>
      <c r="D51" s="98"/>
      <c r="E51" s="98"/>
      <c r="F51" s="98"/>
      <c r="G51" s="98"/>
      <c r="H51" s="67" t="s">
        <v>58</v>
      </c>
      <c r="I51" s="68" t="str">
        <f>'Necesidades Trimestrales'!F49</f>
        <v>UNIDAD</v>
      </c>
      <c r="J51" s="69">
        <f>'Necesidades Trimestrales'!H49</f>
        <v>27.9</v>
      </c>
      <c r="K51" s="70">
        <f>'Necesidades Trimestrales'!G49</f>
        <v>1500</v>
      </c>
    </row>
    <row r="52" spans="1:1024" ht="20.25" customHeight="1" thickBot="1" x14ac:dyDescent="0.25">
      <c r="A52" s="8">
        <v>41</v>
      </c>
      <c r="B52" s="66">
        <f>'Necesidades Trimestrales'!B50</f>
        <v>0</v>
      </c>
      <c r="C52" s="98" t="str">
        <f>'Necesidades Trimestrales'!E50</f>
        <v>TOBRAMICINA 0,3%+DEXAMETASONA COLIRIO</v>
      </c>
      <c r="D52" s="98"/>
      <c r="E52" s="98"/>
      <c r="F52" s="98"/>
      <c r="G52" s="98"/>
      <c r="H52" s="67" t="s">
        <v>58</v>
      </c>
      <c r="I52" s="68" t="str">
        <f>'Necesidades Trimestrales'!F50</f>
        <v>UNIDAD</v>
      </c>
      <c r="J52" s="69">
        <f>'Necesidades Trimestrales'!H50</f>
        <v>519.32000000000005</v>
      </c>
      <c r="K52" s="70">
        <f>'Necesidades Trimestrales'!G50</f>
        <v>20</v>
      </c>
    </row>
    <row r="53" spans="1:1024" ht="20.25" customHeight="1" thickBot="1" x14ac:dyDescent="0.25">
      <c r="A53" s="96" t="s">
        <v>113</v>
      </c>
      <c r="B53" s="96"/>
      <c r="C53" s="96"/>
      <c r="D53" s="96"/>
      <c r="E53" s="96"/>
      <c r="F53" s="96"/>
      <c r="G53" s="96"/>
      <c r="H53" s="96"/>
      <c r="I53" s="96"/>
      <c r="J53" s="97">
        <f>SUMPRODUCT(J12:J52,K12:K52)</f>
        <v>6402956.4800000004</v>
      </c>
      <c r="K53" s="97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</sheetData>
  <mergeCells count="63">
    <mergeCell ref="C48:G48"/>
    <mergeCell ref="C49:G49"/>
    <mergeCell ref="C50:G50"/>
    <mergeCell ref="C51:G51"/>
    <mergeCell ref="C52:G52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A53:I53"/>
    <mergeCell ref="J53:K5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130" zoomScaleNormal="130" workbookViewId="0">
      <selection activeCell="T23" sqref="T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9" t="s">
        <v>3</v>
      </c>
      <c r="B1" s="99"/>
      <c r="C1" s="99"/>
      <c r="D1" s="100">
        <f>'Necesidades Trimestrales'!C6</f>
        <v>2021</v>
      </c>
      <c r="E1" s="100"/>
      <c r="F1" s="10"/>
      <c r="G1" s="10"/>
      <c r="H1" s="11"/>
      <c r="I1" s="11"/>
      <c r="J1" s="11"/>
      <c r="K1" s="11"/>
      <c r="L1" s="11"/>
      <c r="M1" s="11"/>
      <c r="N1" s="11"/>
      <c r="P1" s="101" t="s">
        <v>32</v>
      </c>
      <c r="Q1" s="10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1"/>
      <c r="Q2" s="101"/>
    </row>
    <row r="4" spans="1:17" s="12" customFormat="1" ht="18" customHeight="1" thickBot="1" x14ac:dyDescent="0.25">
      <c r="A4" s="102" t="s">
        <v>33</v>
      </c>
      <c r="B4" s="102"/>
      <c r="C4" s="102"/>
      <c r="D4" s="102"/>
      <c r="E4" s="102"/>
      <c r="F4" s="102"/>
      <c r="G4" s="103" t="str">
        <f>NotaPedido!D3</f>
        <v>40 - Ministerio de Salud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s="12" customFormat="1" ht="18" customHeight="1" thickBot="1" x14ac:dyDescent="0.25">
      <c r="A5" s="104" t="s">
        <v>56</v>
      </c>
      <c r="B5" s="105"/>
      <c r="C5" s="105"/>
      <c r="D5" s="105"/>
      <c r="E5" s="105"/>
      <c r="F5" s="106"/>
      <c r="G5" s="103" t="str">
        <f>NotaPedido!D4</f>
        <v>23 - Hospital Interzonal San Juan Bautista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s="12" customFormat="1" ht="18" customHeight="1" thickBot="1" x14ac:dyDescent="0.25">
      <c r="A6" s="104" t="s">
        <v>34</v>
      </c>
      <c r="B6" s="105"/>
      <c r="C6" s="105"/>
      <c r="D6" s="105"/>
      <c r="E6" s="105"/>
      <c r="F6" s="106"/>
      <c r="G6" s="103" t="str">
        <f>NotaPedido!D5</f>
        <v>168 - Direccion Asistencial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s="12" customFormat="1" ht="18" customHeight="1" thickBot="1" x14ac:dyDescent="0.25">
      <c r="A7" s="104" t="s">
        <v>57</v>
      </c>
      <c r="B7" s="105"/>
      <c r="C7" s="105"/>
      <c r="D7" s="105"/>
      <c r="E7" s="105"/>
      <c r="F7" s="106"/>
      <c r="G7" s="103" t="str">
        <f>NotaPedido!D6</f>
        <v>Servicio de Farmacia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7" ht="18" customHeight="1" thickBot="1" x14ac:dyDescent="0.25">
      <c r="A8" s="107" t="s">
        <v>35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108" t="s">
        <v>36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"/>
      <c r="P9" s="1"/>
      <c r="Q9" s="13"/>
    </row>
    <row r="10" spans="1:17" ht="54.75" customHeight="1" x14ac:dyDescent="0.2">
      <c r="A10" s="10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022 - 2021,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0" t="s">
        <v>37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">
      <c r="A13" s="111" t="s">
        <v>38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39</v>
      </c>
      <c r="P13" s="112"/>
      <c r="Q13" s="113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2"/>
      <c r="P14" s="112"/>
      <c r="Q14" s="113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65</v>
      </c>
      <c r="I15" s="76">
        <v>2</v>
      </c>
      <c r="J15" s="76">
        <v>5</v>
      </c>
      <c r="K15" s="76">
        <v>2</v>
      </c>
      <c r="L15" s="74"/>
      <c r="M15" s="77">
        <v>1</v>
      </c>
      <c r="N15" s="75" t="s">
        <v>66</v>
      </c>
      <c r="O15" s="133" t="s">
        <v>63</v>
      </c>
      <c r="P15" s="133"/>
      <c r="Q15" s="23">
        <v>6402956.4800000004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4"/>
      <c r="P16" s="114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4"/>
      <c r="P17" s="114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5"/>
      <c r="P18" s="116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6"/>
      <c r="P19" s="116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6"/>
      <c r="P20" s="116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2"/>
      <c r="P21" s="122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3"/>
      <c r="P22" s="123"/>
      <c r="Q22" s="37"/>
    </row>
    <row r="23" spans="1:19" ht="20.25" customHeight="1" x14ac:dyDescent="0.2">
      <c r="A23" s="134" t="s">
        <v>115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38">
        <f>SUM(Q15:Q22)</f>
        <v>6402956.4800000004</v>
      </c>
    </row>
    <row r="24" spans="1:19" ht="18" customHeight="1" thickBot="1" x14ac:dyDescent="0.25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</row>
    <row r="25" spans="1:19" ht="17.25" customHeight="1" thickBot="1" x14ac:dyDescent="0.25">
      <c r="A25" s="117" t="s">
        <v>54</v>
      </c>
      <c r="B25" s="118"/>
      <c r="C25" s="118"/>
      <c r="D25" s="118"/>
      <c r="E25" s="118"/>
      <c r="F25" s="119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  <row r="26" spans="1:19" ht="18" customHeight="1" thickBot="1" x14ac:dyDescent="0.25">
      <c r="A26" s="121" t="str">
        <f>"Para la "&amp; NotaPedido!D8 &amp;" para ser destinados al " &amp; NotaPedido!D6 &amp;"  del HISJB del Ministerio de Salud."</f>
        <v>Para la Adquisición de Medicamentos Antiepilepticos/Antiparkinsonianos/psicolepticos y Otros para ser destinados al Servicio de Farmacia  del HISJB del Ministerio de Salud.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  <row r="27" spans="1:19" ht="15" customHeight="1" x14ac:dyDescent="0.2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2021-03-25T16:49:02Z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