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E:\MHPnuevo\COMPR.AR\CONTRATACIONES DIRECTA\ADQUISICION DE PINTURAS MDIS\"/>
    </mc:Choice>
  </mc:AlternateContent>
  <xr:revisionPtr revIDLastSave="0" documentId="8_{9E69A976-739E-430D-B414-54739F49E7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5" i="2" l="1"/>
  <c r="M15" i="2"/>
  <c r="Q15" i="2"/>
</calcChain>
</file>

<file path=xl/sharedStrings.xml><?xml version="1.0" encoding="utf-8"?>
<sst xmlns="http://schemas.openxmlformats.org/spreadsheetml/2006/main" count="71" uniqueCount="49">
  <si>
    <t>Número expediente:</t>
  </si>
  <si>
    <t>EX-2022-02345571-   -CAT-DPCBS#MEC</t>
  </si>
  <si>
    <t>Número proceso de compra:</t>
  </si>
  <si>
    <t>100-0231-CDI22</t>
  </si>
  <si>
    <t>Nombre descriptivo proceso de compra:</t>
  </si>
  <si>
    <t>ADQUISICION DE PINTURAS PARA AGRONOMIA DE ZONA DESTINADOS A REFACCION Y ACONDICIONAMIENTO</t>
  </si>
  <si>
    <t>Unidad Operativa de Compras:</t>
  </si>
  <si>
    <t>Secretaria de Compras y Abastecimiento</t>
  </si>
  <si>
    <t>Fecha de Apertura:</t>
  </si>
  <si>
    <t>06/12/2022</t>
  </si>
  <si>
    <t>Renglón</t>
  </si>
  <si>
    <t>SERGIO ANIBAL PEREZ BURGOS</t>
  </si>
  <si>
    <t>ARCO IRIS PINTURERIA Y MAQUINARIAS SRL</t>
  </si>
  <si>
    <t>MEG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</si>
  <si>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</si>
  <si>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</si>
  <si>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</si>
  <si>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</si>
  <si>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</si>
  <si>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</si>
  <si>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</si>
  <si>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</si>
  <si>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</si>
  <si>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</si>
  <si>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2.5.5-381.17 </t>
  </si>
  <si>
    <t xml:space="preserve">ENDUIDOS; CAPACIDAD: LATA X 20 Kg </t>
  </si>
  <si>
    <t xml:space="preserve">UNIDAD </t>
  </si>
  <si>
    <t xml:space="preserve">ENDUIDOS;  INT/EXT CAPACIDAD:  LATA  X 20 Kg 
- MARCA CREMAR </t>
  </si>
  <si>
    <t xml:space="preserve">ENDUIDO MARCA SINTEPLAST X20 KG  </t>
  </si>
  <si>
    <t xml:space="preserve">MARCA: TALENTO </t>
  </si>
  <si>
    <t xml:space="preserve">2 </t>
  </si>
  <si>
    <t xml:space="preserve">2.5.5-5444.19 </t>
  </si>
  <si>
    <t xml:space="preserve">DILUYENTES; PRESENTACION: ENVASE X 250 CM3 </t>
  </si>
  <si>
    <t xml:space="preserve">DILUYENTES  AGUARRAS PRESENTACION:  ENVASE X 250 CM3 (1/4) 
MARCA SINTEPLAST </t>
  </si>
  <si>
    <t xml:space="preserve">THINNER X200 LTS SE COTIZA   </t>
  </si>
  <si>
    <t xml:space="preserve">MARCA: CENTRO COLOR </t>
  </si>
  <si>
    <t xml:space="preserve">DILUYENTES AGUARRAS PRESENTACION:  ENVASE X 250 LTS. MARCA SINTEPLAST 
</t>
  </si>
  <si>
    <t xml:space="preserve">3 </t>
  </si>
  <si>
    <t xml:space="preserve">2.5.5-6979.350 </t>
  </si>
  <si>
    <t xml:space="preserve">PINTURAS; TIPO: LATEX PARA INTERIOR, PRESENTACION: ENVASE X 20 L, 
COMPUESTOS VOLATILES: SIN, PORCENTAJE DE PLOMO: 0 % </t>
  </si>
  <si>
    <t xml:space="preserve">PINTURAS;  LATEX  PARA INTERIOR ENVASE X 20 L, 
COMPUESTOS VOLATILES:  SIN,  PORCENTAJE  DE PLOMO:  
0 % - MARCA ACRIL10 /FASETEC </t>
  </si>
  <si>
    <t xml:space="preserve">LATEX PRIMERA CALIDAD TERSUAVE S/ PLOMO BAJA VOLATILIDAD </t>
  </si>
  <si>
    <t xml:space="preserve">4 </t>
  </si>
  <si>
    <t xml:space="preserve">2.5.5-6979.341 </t>
  </si>
  <si>
    <t xml:space="preserve">PINTURAS; TIPO: LATEX ANTIHONGO, PRESENTACION: ENVASE X 20 L, COMPUESTOS 
VOLATILES: 0 %, PORCENTAJE DE PLOMO: 0 % </t>
  </si>
  <si>
    <t xml:space="preserve">PINTURAS LATEX INT/EXT. LAVABLE - ANTIHONGO ENVASE X 20 L, 
COMPUESTOS VOLATILES:  0 %, PORCENTAJE  DE PLOMO:  
0 % - MARCA ACRIL10 / FASETEC </t>
  </si>
  <si>
    <t xml:space="preserve">LATEX ANTIHONGO PRIMERA MARCA SINTEPLAST RECUPLAST FTES </t>
  </si>
  <si>
    <t xml:space="preserve">MARCA: DURACRIL WORK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</si>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</sst>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5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5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5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15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73.7109375" customWidth="1"/>
    <col min="5" max="5" width="97.855468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0.85546875" customWidth="1"/>
    <col min="11" max="11" width="14.28515625" customWidth="1"/>
    <col min="12" max="12" width="17.28515625" customWidth="1"/>
    <col min="13" max="13" width="16.5703125" customWidth="1"/>
    <col min="14" max="14" width="58.7109375" customWidth="1"/>
    <col min="15" max="15" width="14.28515625" customWidth="1"/>
    <col min="16" max="16" width="17.28515625" customWidth="1"/>
    <col min="17" max="17" width="16.5703125" customWidth="1"/>
    <col min="18" max="18" width="24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ht="30" x14ac:dyDescent="0.25">
      <c r="A10" t="s">
        <v>23</v>
      </c>
      <c r="B10" t="s">
        <v>23</v>
      </c>
      <c r="C10" t="s">
        <v>24</v>
      </c>
      <c r="D10" t="s">
        <v>25</v>
      </c>
      <c r="E10">
        <v>77</v>
      </c>
      <c r="F10" t="s">
        <v>26</v>
      </c>
      <c r="G10" s="3">
        <v>5400</v>
      </c>
      <c r="H10" s="3">
        <v>77</v>
      </c>
      <c r="I10" s="4">
        <v>415800</v>
      </c>
      <c r="J10" s="5" t="s">
        <v>27</v>
      </c>
      <c r="K10" s="3">
        <v>5000</v>
      </c>
      <c r="L10" s="3">
        <v>77</v>
      </c>
      <c r="M10" s="4">
        <v>385000</v>
      </c>
      <c r="N10" t="s">
        <v>28</v>
      </c>
      <c r="O10" s="3">
        <v>8900</v>
      </c>
      <c r="P10" s="3">
        <v>77</v>
      </c>
      <c r="Q10" s="4">
        <v>685300</v>
      </c>
      <c r="R10" t="s">
        <v>29</v>
      </c>
    </row>
    <row r="11" spans="1:18" ht="30" x14ac:dyDescent="0.25">
      <c r="A11" t="s">
        <v>30</v>
      </c>
      <c r="B11" t="s">
        <v>23</v>
      </c>
      <c r="C11" t="s">
        <v>31</v>
      </c>
      <c r="D11" t="s">
        <v>32</v>
      </c>
      <c r="E11">
        <v>6</v>
      </c>
      <c r="F11" t="s">
        <v>26</v>
      </c>
      <c r="G11" s="3">
        <v>300</v>
      </c>
      <c r="H11" s="3">
        <v>6</v>
      </c>
      <c r="I11" s="4">
        <v>1800</v>
      </c>
      <c r="J11" s="5" t="s">
        <v>33</v>
      </c>
      <c r="K11" s="3">
        <v>90000</v>
      </c>
      <c r="L11" s="3">
        <v>6</v>
      </c>
      <c r="M11" s="4">
        <v>540000</v>
      </c>
      <c r="N11" t="s">
        <v>34</v>
      </c>
      <c r="O11" s="3">
        <v>630</v>
      </c>
      <c r="P11" s="3">
        <v>6</v>
      </c>
      <c r="Q11" s="4">
        <v>3780</v>
      </c>
      <c r="R11" t="s">
        <v>35</v>
      </c>
    </row>
    <row r="12" spans="1:18" ht="45" x14ac:dyDescent="0.25">
      <c r="A12" t="s">
        <v>30</v>
      </c>
      <c r="B12" t="s">
        <v>30</v>
      </c>
      <c r="C12" t="s">
        <v>31</v>
      </c>
      <c r="D12" t="s">
        <v>32</v>
      </c>
      <c r="E12">
        <v>6</v>
      </c>
      <c r="F12" t="s">
        <v>26</v>
      </c>
      <c r="G12" s="3">
        <v>189000</v>
      </c>
      <c r="H12" s="3">
        <v>6</v>
      </c>
      <c r="I12" s="4">
        <v>1134000</v>
      </c>
      <c r="J12" s="5" t="s">
        <v>36</v>
      </c>
      <c r="K12" s="3"/>
      <c r="L12" s="3"/>
      <c r="M12" s="4"/>
      <c r="O12" s="3"/>
      <c r="P12" s="3"/>
      <c r="Q12" s="4"/>
    </row>
    <row r="13" spans="1:18" ht="45" x14ac:dyDescent="0.25">
      <c r="A13" t="s">
        <v>37</v>
      </c>
      <c r="B13" t="s">
        <v>23</v>
      </c>
      <c r="C13" t="s">
        <v>38</v>
      </c>
      <c r="D13" s="5" t="s">
        <v>39</v>
      </c>
      <c r="E13">
        <v>60</v>
      </c>
      <c r="F13" t="s">
        <v>26</v>
      </c>
      <c r="G13" s="3">
        <v>6150</v>
      </c>
      <c r="H13" s="3">
        <v>60</v>
      </c>
      <c r="I13" s="4">
        <v>369000</v>
      </c>
      <c r="J13" s="5" t="s">
        <v>40</v>
      </c>
      <c r="K13" s="3">
        <v>10000</v>
      </c>
      <c r="L13" s="3">
        <v>60</v>
      </c>
      <c r="M13" s="4">
        <v>600000</v>
      </c>
      <c r="N13" t="s">
        <v>41</v>
      </c>
      <c r="O13" s="3">
        <v>13560</v>
      </c>
      <c r="P13" s="3">
        <v>60</v>
      </c>
      <c r="Q13" s="4">
        <v>813600</v>
      </c>
      <c r="R13" t="s">
        <v>29</v>
      </c>
    </row>
    <row r="14" spans="1:18" ht="45" x14ac:dyDescent="0.25">
      <c r="A14" t="s">
        <v>42</v>
      </c>
      <c r="B14" t="s">
        <v>23</v>
      </c>
      <c r="C14" t="s">
        <v>43</v>
      </c>
      <c r="D14" s="5" t="s">
        <v>44</v>
      </c>
      <c r="E14">
        <v>70</v>
      </c>
      <c r="F14" t="s">
        <v>26</v>
      </c>
      <c r="G14" s="3">
        <v>6150</v>
      </c>
      <c r="H14" s="3">
        <v>70</v>
      </c>
      <c r="I14" s="4">
        <v>430500</v>
      </c>
      <c r="J14" s="5" t="s">
        <v>45</v>
      </c>
      <c r="K14" s="3">
        <v>19000</v>
      </c>
      <c r="L14" s="3">
        <v>70</v>
      </c>
      <c r="M14" s="4">
        <v>1330000</v>
      </c>
      <c r="N14" t="s">
        <v>46</v>
      </c>
      <c r="O14" s="3">
        <v>12850</v>
      </c>
      <c r="P14" s="3">
        <v>70</v>
      </c>
      <c r="Q14" s="4">
        <v>899500</v>
      </c>
      <c r="R14" t="s">
        <v>47</v>
      </c>
    </row>
    <row r="15" spans="1:18" x14ac:dyDescent="0.25">
      <c r="C15" t="s">
        <v>48</v>
      </c>
      <c r="D15" s="5"/>
      <c r="G15" s="3"/>
      <c r="H15" s="3"/>
      <c r="I15" s="4">
        <f>SUBTOTAL(109,Table2[Total por renglón])</f>
        <v>2351100</v>
      </c>
      <c r="J15" s="5"/>
      <c r="K15" s="3"/>
      <c r="L15" s="3"/>
      <c r="M15" s="4">
        <f>SUBTOTAL(109,Table3[Total por renglón])</f>
        <v>2855000</v>
      </c>
      <c r="O15" s="3"/>
      <c r="P15" s="3"/>
      <c r="Q15" s="4">
        <f>SUBTOTAL(109,Table4[Total por renglón])</f>
        <v>2402180</v>
      </c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compras</dc:creator>
  <cp:lastModifiedBy>mhpdp</cp:lastModifiedBy>
  <dcterms:created xsi:type="dcterms:W3CDTF">2022-12-13T11:49:28Z</dcterms:created>
  <dcterms:modified xsi:type="dcterms:W3CDTF">2022-12-13T11:49:57Z</dcterms:modified>
</cp:coreProperties>
</file>