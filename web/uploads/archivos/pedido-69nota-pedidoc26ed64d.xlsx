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507183-CAT-DPPR#MHP\"/>
    </mc:Choice>
  </mc:AlternateContent>
  <xr:revisionPtr revIDLastSave="0" documentId="8_{4C329218-D4D0-4224-8CB2-F2E98DC04CF3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NotaPedido'!$A$1:$K$13</definedName>
    <definedName name="_xlnm.Print_Area" localSheetId="2">'Autor Gastar'!$A$1:$Q$21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3" l="1"/>
  <c r="C12" i="2" l="1"/>
  <c r="J13" i="2" l="1"/>
  <c r="D10" i="1"/>
  <c r="G6" i="3"/>
  <c r="G7" i="3"/>
  <c r="D7" i="2"/>
  <c r="D3" i="2"/>
  <c r="G4" i="3" s="1"/>
  <c r="D4" i="2"/>
  <c r="G5" i="3" s="1"/>
  <c r="Q15" i="3" l="1"/>
  <c r="Q16" i="3" s="1"/>
  <c r="A10" i="3"/>
  <c r="D1" i="3"/>
  <c r="K12" i="2"/>
  <c r="J12" i="2"/>
  <c r="I12" i="2"/>
  <c r="B12" i="2"/>
  <c r="I15" i="3"/>
  <c r="K15" i="3" l="1"/>
  <c r="J15" i="3"/>
</calcChain>
</file>

<file path=xl/sharedStrings.xml><?xml version="1.0" encoding="utf-8"?>
<sst xmlns="http://schemas.openxmlformats.org/spreadsheetml/2006/main" count="86" uniqueCount="81">
  <si>
    <t>Pedido de Necesidades Trimestrales</t>
  </si>
  <si>
    <t>JURISDICCION:</t>
  </si>
  <si>
    <t>90 - Ministerio de Seguridad</t>
  </si>
  <si>
    <t xml:space="preserve">SAF N°: </t>
  </si>
  <si>
    <t>7 - Direccion Provincial de Administracion de la Policia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</si>
  <si>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</si>
  <si>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</si>
  <si>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</si>
  <si>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</si>
  <si>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</si>
  <si>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</si>
  <si>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</si>
  <si>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</si>
  <si>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</si>
  <si>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</si>
  <si>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</si>
  <si>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3.5.4-2065.1</t>
  </si>
  <si>
    <t>BANCOS Y SEGUROS</t>
  </si>
  <si>
    <t>SEGURO DE RESPONSABILIDAD; DESCRIPCION: SEGURO DE RESPONSABILIDAD</t>
  </si>
  <si>
    <t>MES</t>
  </si>
  <si>
    <t>$ 126433.3</t>
  </si>
  <si>
    <t>$ 1517199.60</t>
  </si>
  <si>
    <t>Especificidades Item N° 1:</t>
  </si>
  <si>
    <t>Descripción técnica</t>
  </si>
  <si>
    <r>
      <rPr>
        <b/>
        <u/>
        <sz val="10"/>
        <rFont val="Century Gothic"/>
        <family val="2"/>
      </rPr>
      <t>CARACTERÍSTICAS</t>
    </r>
    <r>
      <rPr>
        <sz val="10"/>
        <rFont val="Century Gothic"/>
        <family val="2"/>
      </rPr>
      <t xml:space="preserve">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</t>
    </r>
    <r>
      <rPr>
        <b/>
        <sz val="10"/>
        <rFont val="Century Gothic"/>
        <family val="2"/>
      </rPr>
      <t>287</t>
    </r>
    <r>
      <rPr>
        <sz val="10"/>
        <rFont val="Century Gothic"/>
        <family val="2"/>
      </rPr>
      <t xml:space="preserve">  vehiculos que integran el Parque Automotor Policial, cuyos datos se detallan en Anexo. </t>
    </r>
    <r>
      <rPr>
        <b/>
        <sz val="10"/>
        <rFont val="Century Gothic"/>
        <family val="2"/>
      </rPr>
      <t>VIGENCIA: desde  el 29/06/2021 al 29/06/2022.</t>
    </r>
  </si>
  <si>
    <t>Plazos y lugares de entrega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</si>
  <si>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 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</si>
  <si>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Calidad Minima esperada</t>
  </si>
  <si>
    <t>Que cumpla íntegramente con lo solicitado y se extienda a todo y cada uno de los vehiculos desagregados en la planilla anexa a la presente.</t>
  </si>
  <si>
    <t>Mantenimiento</t>
  </si>
  <si>
    <t>30 (treinta) días</t>
  </si>
  <si>
    <t>Garantia</t>
  </si>
  <si>
    <t>*</t>
  </si>
  <si>
    <t>NOTA DE PEDIDO</t>
  </si>
  <si>
    <t>N°</t>
  </si>
  <si>
    <t>41/2020</t>
  </si>
  <si>
    <t xml:space="preserve">JURISDICCIÓN: </t>
  </si>
  <si>
    <t>SAF:</t>
  </si>
  <si>
    <t>UNIDAD EJECUTORA:</t>
  </si>
  <si>
    <t>Jefatura de Policía de la Provincia de Catamarca</t>
  </si>
  <si>
    <t xml:space="preserve">DEPENDENCIA SOLICITANTE: </t>
  </si>
  <si>
    <t>Sección Control Patrimonial - Dpto. Logistica (D-4)</t>
  </si>
  <si>
    <t>PERIODO UTILIZACIÓN:</t>
  </si>
  <si>
    <t>OBJETO:</t>
  </si>
  <si>
    <t xml:space="preserve">Renovacion de Seguro Obligatorio de Responsabilidad Civil del Automotor  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</si>
  <si>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</si>
  <si>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</si>
  <si>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</si>
  <si>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</si>
  <si>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</si>
  <si>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</si>
  <si>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</si>
  <si>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</si>
  <si>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 xml:space="preserve">Costo total estimado: </t>
  </si>
  <si>
    <t>Un Millon Quinientos Diecisiete Mil Cientoo Noventa y Nuene con 57/100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</si>
  <si>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</si>
  <si>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</si>
  <si>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</si>
  <si>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</si>
  <si>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</si>
  <si>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</si>
  <si>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</si>
  <si>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</si>
  <si>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</si>
  <si>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</si>
  <si>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</si>
  <si>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</si>
  <si>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</si>
  <si>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</si>
  <si>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</si>
  <si>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</si>
  <si>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</si>
  <si>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</si>
  <si>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</si>
  <si>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</si>
  <si>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</si>
  <si>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</si>
  <si>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PRIMAS Y GASTOS DE SEGUROS</t>
  </si>
  <si>
    <t xml:space="preserve">TOTAL DE PESOS: </t>
  </si>
  <si>
    <t>JUSTIFICACIÓN:</t>
  </si>
  <si>
    <t>Para la Renovaciòn de Seguro Obligatorio de Responsabilidad Civil del Automotor para los vehiculos pertenecientes a la Institucion Policial.-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</si>
</sst>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</cellStyleXfs>
  <cellXfs count="123">
    <xf numFmtId="0" fontId="0" fillId="0" borderId="0" xfId="0"/>
    <xf numFmtId="0" fontId="6" fillId="0" borderId="0" xfId="0" applyFont="1"/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center" wrapText="1"/>
    </xf>
    <xf numFmtId="0" fontId="9" fillId="0" borderId="0" xfId="0" applyFont="1" applyFill="1" applyAlignment="1">
      <alignment horizontal="left" wrapText="1" indent="1"/>
    </xf>
    <xf numFmtId="0" fontId="11" fillId="0" borderId="0" xfId="0" applyFont="1" applyFill="1" applyAlignment="1">
      <alignment horizontal="left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13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vertical="center"/>
    </xf>
    <xf numFmtId="0" fontId="12" fillId="0" borderId="45" xfId="0" applyFont="1" applyFill="1" applyBorder="1" applyAlignment="1">
      <alignment horizontal="center" vertical="center" wrapText="1"/>
    </xf>
    <xf numFmtId="166" fontId="12" fillId="0" borderId="47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Alignment="1">
      <alignment vertical="center"/>
    </xf>
    <xf numFmtId="0" fontId="14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0" xfId="0" applyFont="1" applyBorder="1"/>
    <xf numFmtId="0" fontId="6" fillId="0" borderId="7" xfId="0" applyFont="1" applyBorder="1"/>
    <xf numFmtId="0" fontId="14" fillId="0" borderId="6" xfId="0" applyFont="1" applyBorder="1" applyAlignment="1">
      <alignment horizontal="left" indent="3"/>
    </xf>
    <xf numFmtId="0" fontId="6" fillId="0" borderId="6" xfId="0" applyFont="1" applyBorder="1" applyAlignment="1">
      <alignment horizontal="left" indent="3"/>
    </xf>
    <xf numFmtId="0" fontId="6" fillId="0" borderId="0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left" indent="3"/>
    </xf>
    <xf numFmtId="0" fontId="6" fillId="0" borderId="9" xfId="0" applyFont="1" applyBorder="1"/>
    <xf numFmtId="0" fontId="6" fillId="0" borderId="10" xfId="0" applyFont="1" applyBorder="1"/>
    <xf numFmtId="0" fontId="17" fillId="0" borderId="11" xfId="0" applyFont="1" applyFill="1" applyBorder="1" applyAlignment="1">
      <alignment horizontal="right" vertical="center"/>
    </xf>
    <xf numFmtId="0" fontId="18" fillId="0" borderId="1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/>
    <xf numFmtId="0" fontId="17" fillId="0" borderId="13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 wrapText="1" indent="1"/>
    </xf>
    <xf numFmtId="0" fontId="6" fillId="0" borderId="20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left" vertical="center"/>
    </xf>
    <xf numFmtId="0" fontId="6" fillId="0" borderId="20" xfId="0" applyFont="1" applyFill="1" applyBorder="1" applyAlignment="1">
      <alignment horizontal="center" vertical="center" wrapText="1"/>
    </xf>
    <xf numFmtId="166" fontId="6" fillId="0" borderId="20" xfId="1" applyNumberFormat="1" applyFont="1" applyFill="1" applyBorder="1" applyAlignment="1" applyProtection="1">
      <alignment horizontal="right" vertical="center" wrapText="1"/>
    </xf>
    <xf numFmtId="3" fontId="6" fillId="0" borderId="20" xfId="0" applyNumberFormat="1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vertical="center" wrapText="1"/>
    </xf>
    <xf numFmtId="0" fontId="18" fillId="0" borderId="22" xfId="0" applyFont="1" applyFill="1" applyBorder="1" applyAlignment="1">
      <alignment vertical="center" wrapText="1"/>
    </xf>
    <xf numFmtId="3" fontId="20" fillId="3" borderId="0" xfId="0" applyNumberFormat="1" applyFont="1" applyFill="1" applyBorder="1" applyAlignment="1"/>
    <xf numFmtId="168" fontId="6" fillId="3" borderId="0" xfId="0" applyNumberFormat="1" applyFont="1" applyFill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 applyBorder="1"/>
    <xf numFmtId="0" fontId="6" fillId="3" borderId="11" xfId="0" applyFont="1" applyFill="1" applyBorder="1"/>
    <xf numFmtId="0" fontId="6" fillId="3" borderId="26" xfId="0" applyFont="1" applyFill="1" applyBorder="1"/>
    <xf numFmtId="0" fontId="6" fillId="3" borderId="13" xfId="0" applyFont="1" applyFill="1" applyBorder="1"/>
    <xf numFmtId="0" fontId="6" fillId="3" borderId="13" xfId="0" applyFont="1" applyFill="1" applyBorder="1" applyAlignment="1">
      <alignment horizontal="left"/>
    </xf>
    <xf numFmtId="0" fontId="6" fillId="3" borderId="27" xfId="0" applyFont="1" applyFill="1" applyBorder="1"/>
    <xf numFmtId="0" fontId="16" fillId="3" borderId="29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center" vertical="center"/>
    </xf>
    <xf numFmtId="0" fontId="16" fillId="3" borderId="30" xfId="0" applyFont="1" applyFill="1" applyBorder="1" applyAlignment="1">
      <alignment horizontal="left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horizontal="center" vertical="center"/>
    </xf>
    <xf numFmtId="166" fontId="6" fillId="3" borderId="15" xfId="3" applyNumberFormat="1" applyFont="1" applyFill="1" applyBorder="1" applyAlignment="1" applyProtection="1">
      <alignment horizontal="center" vertical="center"/>
    </xf>
    <xf numFmtId="167" fontId="12" fillId="0" borderId="45" xfId="1" applyNumberFormat="1" applyFont="1" applyFill="1" applyBorder="1" applyAlignment="1" applyProtection="1">
      <alignment horizontal="right" vertical="center" wrapText="1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wrapText="1" indent="1"/>
    </xf>
    <xf numFmtId="0" fontId="6" fillId="0" borderId="0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wrapText="1"/>
    </xf>
    <xf numFmtId="0" fontId="6" fillId="0" borderId="7" xfId="0" applyFont="1" applyFill="1" applyBorder="1" applyAlignment="1">
      <alignment horizontal="left" wrapText="1"/>
    </xf>
    <xf numFmtId="0" fontId="6" fillId="0" borderId="0" xfId="0" applyNumberFormat="1" applyFont="1" applyFill="1" applyBorder="1" applyAlignment="1">
      <alignment horizontal="justify" vertical="center" wrapText="1"/>
    </xf>
    <xf numFmtId="0" fontId="6" fillId="0" borderId="7" xfId="0" applyNumberFormat="1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center"/>
    </xf>
    <xf numFmtId="0" fontId="17" fillId="0" borderId="0" xfId="0" applyFont="1" applyFill="1" applyBorder="1" applyAlignment="1">
      <alignment horizontal="center" vertical="center"/>
    </xf>
    <xf numFmtId="0" fontId="19" fillId="0" borderId="14" xfId="0" applyFont="1" applyFill="1" applyBorder="1" applyAlignment="1">
      <alignment horizontal="left" vertical="center" wrapText="1"/>
    </xf>
    <xf numFmtId="0" fontId="18" fillId="0" borderId="15" xfId="0" applyFont="1" applyFill="1" applyBorder="1" applyAlignment="1">
      <alignment horizontal="left" vertical="center" wrapText="1" indent="1"/>
    </xf>
    <xf numFmtId="0" fontId="19" fillId="0" borderId="16" xfId="0" applyFont="1" applyFill="1" applyBorder="1" applyAlignment="1">
      <alignment horizontal="left" vertical="center" wrapText="1"/>
    </xf>
    <xf numFmtId="167" fontId="19" fillId="0" borderId="15" xfId="0" applyNumberFormat="1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left" vertical="center" wrapText="1"/>
    </xf>
    <xf numFmtId="0" fontId="19" fillId="0" borderId="17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left" vertical="center" wrapText="1" indent="1"/>
    </xf>
    <xf numFmtId="0" fontId="20" fillId="0" borderId="17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18" fillId="0" borderId="46" xfId="0" applyFont="1" applyFill="1" applyBorder="1" applyAlignment="1">
      <alignment horizontal="left" vertical="center" wrapText="1"/>
    </xf>
    <xf numFmtId="0" fontId="18" fillId="0" borderId="21" xfId="0" applyFont="1" applyFill="1" applyBorder="1" applyAlignment="1">
      <alignment horizontal="right" vertical="center" wrapText="1"/>
    </xf>
    <xf numFmtId="0" fontId="18" fillId="0" borderId="46" xfId="0" applyFont="1" applyFill="1" applyBorder="1" applyAlignment="1">
      <alignment horizontal="right" vertical="center" wrapText="1"/>
    </xf>
    <xf numFmtId="0" fontId="20" fillId="3" borderId="48" xfId="0" applyFont="1" applyFill="1" applyBorder="1" applyAlignment="1">
      <alignment horizontal="left" vertical="center" wrapText="1"/>
    </xf>
    <xf numFmtId="0" fontId="20" fillId="3" borderId="49" xfId="0" applyFont="1" applyFill="1" applyBorder="1" applyAlignment="1">
      <alignment horizontal="left" vertical="center" wrapText="1"/>
    </xf>
    <xf numFmtId="166" fontId="16" fillId="3" borderId="50" xfId="0" applyNumberFormat="1" applyFont="1" applyFill="1" applyBorder="1" applyAlignment="1">
      <alignment horizontal="center" vertical="center"/>
    </xf>
    <xf numFmtId="166" fontId="16" fillId="3" borderId="51" xfId="0" applyNumberFormat="1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/>
    <xf numFmtId="0" fontId="21" fillId="3" borderId="12" xfId="0" applyFont="1" applyFill="1" applyBorder="1" applyAlignment="1">
      <alignment horizontal="left" indent="1"/>
    </xf>
    <xf numFmtId="0" fontId="6" fillId="3" borderId="14" xfId="0" applyFont="1" applyFill="1" applyBorder="1" applyAlignment="1">
      <alignment horizontal="left" vertical="center" wrapText="1"/>
    </xf>
    <xf numFmtId="0" fontId="6" fillId="3" borderId="37" xfId="0" applyFont="1" applyFill="1" applyBorder="1" applyAlignment="1">
      <alignment horizontal="left" vertical="center" wrapText="1"/>
    </xf>
    <xf numFmtId="0" fontId="6" fillId="3" borderId="38" xfId="0" applyFont="1" applyFill="1" applyBorder="1" applyAlignment="1">
      <alignment horizontal="left" vertical="center" wrapText="1"/>
    </xf>
    <xf numFmtId="0" fontId="15" fillId="3" borderId="12" xfId="0" applyFont="1" applyFill="1" applyBorder="1" applyAlignment="1">
      <alignment horizontal="left"/>
    </xf>
    <xf numFmtId="0" fontId="6" fillId="3" borderId="33" xfId="0" applyFont="1" applyFill="1" applyBorder="1" applyAlignment="1">
      <alignment horizontal="left" vertical="center" wrapText="1"/>
    </xf>
    <xf numFmtId="0" fontId="6" fillId="3" borderId="34" xfId="0" applyFont="1" applyFill="1" applyBorder="1" applyAlignment="1">
      <alignment horizontal="left" vertical="center" wrapText="1"/>
    </xf>
    <xf numFmtId="0" fontId="21" fillId="3" borderId="24" xfId="0" applyFont="1" applyFill="1" applyBorder="1" applyAlignment="1"/>
    <xf numFmtId="0" fontId="21" fillId="3" borderId="25" xfId="0" applyFont="1" applyFill="1" applyBorder="1" applyAlignment="1">
      <alignment horizontal="left" vertical="center" wrapText="1" indent="1"/>
    </xf>
    <xf numFmtId="0" fontId="16" fillId="3" borderId="23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/>
    </xf>
    <xf numFmtId="0" fontId="20" fillId="3" borderId="21" xfId="0" applyFont="1" applyFill="1" applyBorder="1" applyAlignment="1">
      <alignment vertical="center" wrapText="1"/>
    </xf>
    <xf numFmtId="0" fontId="20" fillId="3" borderId="36" xfId="0" applyFont="1" applyFill="1" applyBorder="1" applyAlignment="1">
      <alignment vertical="center" wrapText="1"/>
    </xf>
    <xf numFmtId="0" fontId="20" fillId="3" borderId="18" xfId="0" applyFont="1" applyFill="1" applyBorder="1" applyAlignment="1">
      <alignment vertical="center" wrapText="1"/>
    </xf>
    <xf numFmtId="0" fontId="21" fillId="3" borderId="28" xfId="0" applyFont="1" applyFill="1" applyBorder="1" applyAlignment="1">
      <alignment vertical="center" wrapText="1"/>
    </xf>
    <xf numFmtId="0" fontId="21" fillId="3" borderId="35" xfId="0" applyFont="1" applyFill="1" applyBorder="1" applyAlignment="1">
      <alignment horizontal="left" vertical="center" wrapText="1" indent="1"/>
    </xf>
    <xf numFmtId="0" fontId="20" fillId="3" borderId="26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/>
    <xf numFmtId="0" fontId="6" fillId="3" borderId="25" xfId="0" applyFont="1" applyFill="1" applyBorder="1" applyAlignment="1"/>
  </cellXfs>
  <cellStyles count="11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 44" xfId="8" xr:uid="{00000000-0005-0000-0000-000005000000}"/>
    <cellStyle name="Normal 2 44 2" xfId="9" xr:uid="{00000000-0005-0000-0000-000006000000}"/>
    <cellStyle name="Normal 27 2" xfId="5" xr:uid="{00000000-0005-0000-0000-000007000000}"/>
    <cellStyle name="Normal 4 10" xfId="10" xr:uid="{00000000-0005-0000-0000-000008000000}"/>
    <cellStyle name="Normal 49" xfId="7" xr:uid="{00000000-0005-0000-0000-000009000000}"/>
    <cellStyle name="Normal 5" xfId="6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5"/>
  <sheetViews>
    <sheetView tabSelected="1" topLeftCell="C1" zoomScale="85" zoomScaleNormal="85" workbookViewId="0">
      <selection activeCell="I11" sqref="I11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8.5" x14ac:dyDescent="0.4">
      <c r="B2" s="67" t="s">
        <v>0</v>
      </c>
      <c r="C2" s="67"/>
      <c r="D2" s="67"/>
      <c r="E2" s="67"/>
      <c r="F2" s="67"/>
      <c r="G2" s="67"/>
      <c r="H2" s="67"/>
    </row>
    <row r="4" spans="1:9" ht="18" customHeight="1" x14ac:dyDescent="0.25">
      <c r="A4" s="68" t="s">
        <v>1</v>
      </c>
      <c r="B4" s="68"/>
      <c r="C4" s="69" t="s">
        <v>2</v>
      </c>
      <c r="D4" s="69"/>
      <c r="E4" s="69"/>
      <c r="F4" s="2"/>
      <c r="G4" s="3"/>
      <c r="H4" s="2"/>
    </row>
    <row r="5" spans="1:9" ht="18" customHeight="1" x14ac:dyDescent="0.25">
      <c r="A5" s="68" t="s">
        <v>3</v>
      </c>
      <c r="B5" s="68"/>
      <c r="C5" s="69" t="s">
        <v>4</v>
      </c>
      <c r="D5" s="69"/>
      <c r="E5" s="69"/>
      <c r="F5" s="2"/>
      <c r="G5" s="3"/>
      <c r="H5" s="2"/>
    </row>
    <row r="6" spans="1:9" ht="16.5" customHeight="1" x14ac:dyDescent="0.25">
      <c r="A6" s="68" t="s">
        <v>5</v>
      </c>
      <c r="B6" s="68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68" t="s">
        <v>6</v>
      </c>
      <c r="B7" s="68"/>
      <c r="C7" s="4">
        <v>2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39.75" thickTop="1" thickBot="1" x14ac:dyDescent="0.3">
      <c r="A9" s="6" t="s">
        <v>7</v>
      </c>
      <c r="B9" s="7" t="s">
        <v>8</v>
      </c>
      <c r="C9" s="8" t="s">
        <v>9</v>
      </c>
      <c r="D9" s="9" t="s">
        <v>10</v>
      </c>
      <c r="E9" s="8" t="s">
        <v>11</v>
      </c>
      <c r="F9" s="10" t="s">
        <v>12</v>
      </c>
      <c r="G9" s="11" t="s">
        <v>13</v>
      </c>
      <c r="H9" s="11" t="s">
        <v>14</v>
      </c>
      <c r="I9" s="11" t="s">
        <v>15</v>
      </c>
    </row>
    <row r="10" spans="1:9" s="18" customFormat="1" ht="21.75" customHeight="1" x14ac:dyDescent="0.2">
      <c r="A10" s="12">
        <v>1</v>
      </c>
      <c r="B10" s="13" t="s">
        <v>16</v>
      </c>
      <c r="C10" s="13" t="s">
        <v>17</v>
      </c>
      <c r="D10" s="14" t="str">
        <f>LEFT(B10,5)</f>
        <v>3.5.4</v>
      </c>
      <c r="E10" s="15" t="s">
        <v>18</v>
      </c>
      <c r="F10" s="16" t="s">
        <v>19</v>
      </c>
      <c r="G10" s="16">
        <v>12</v>
      </c>
      <c r="H10" s="66" t="s">
        <v>20</v>
      </c>
      <c r="I10" s="17" t="s">
        <v>21</v>
      </c>
    </row>
    <row r="12" spans="1:9" ht="14.25" thickBot="1" x14ac:dyDescent="0.3"/>
    <row r="13" spans="1:9" x14ac:dyDescent="0.25">
      <c r="B13" s="19" t="s">
        <v>22</v>
      </c>
      <c r="C13" s="20"/>
      <c r="D13" s="20"/>
      <c r="E13" s="21"/>
    </row>
    <row r="14" spans="1:9" ht="5.25" customHeight="1" x14ac:dyDescent="0.25">
      <c r="B14" s="22"/>
      <c r="C14" s="23"/>
      <c r="D14" s="23"/>
      <c r="E14" s="24"/>
    </row>
    <row r="15" spans="1:9" x14ac:dyDescent="0.25">
      <c r="B15" s="25" t="s">
        <v>23</v>
      </c>
      <c r="C15" s="23"/>
      <c r="D15" s="23"/>
      <c r="E15" s="24"/>
    </row>
    <row r="16" spans="1:9" ht="79.5" customHeight="1" x14ac:dyDescent="0.25">
      <c r="B16" s="25"/>
      <c r="C16" s="74" t="s">
        <v>24</v>
      </c>
      <c r="D16" s="74"/>
      <c r="E16" s="75"/>
    </row>
    <row r="17" spans="2:5" ht="24.75" customHeight="1" x14ac:dyDescent="0.25">
      <c r="B17" s="25" t="s">
        <v>25</v>
      </c>
      <c r="C17" s="23"/>
      <c r="D17" s="23"/>
      <c r="E17" s="24"/>
    </row>
    <row r="18" spans="2:5" ht="66.75" customHeight="1" x14ac:dyDescent="0.25">
      <c r="B18" s="26"/>
      <c r="C18" s="76" t="s">
        <v>26</v>
      </c>
      <c r="D18" s="76"/>
      <c r="E18" s="77"/>
    </row>
    <row r="19" spans="2:5" x14ac:dyDescent="0.25">
      <c r="B19" s="26"/>
      <c r="C19" s="78"/>
      <c r="D19" s="78"/>
      <c r="E19" s="78"/>
    </row>
    <row r="20" spans="2:5" ht="26.25" customHeight="1" x14ac:dyDescent="0.25">
      <c r="B20" s="25" t="s">
        <v>27</v>
      </c>
      <c r="C20" s="23"/>
      <c r="D20" s="23"/>
      <c r="E20" s="24"/>
    </row>
    <row r="21" spans="2:5" x14ac:dyDescent="0.25">
      <c r="B21" s="26"/>
      <c r="C21" s="72" t="s">
        <v>28</v>
      </c>
      <c r="D21" s="72"/>
      <c r="E21" s="73"/>
    </row>
    <row r="22" spans="2:5" x14ac:dyDescent="0.25">
      <c r="B22" s="25" t="s">
        <v>29</v>
      </c>
      <c r="C22" s="27"/>
      <c r="D22" s="27"/>
      <c r="E22" s="28"/>
    </row>
    <row r="23" spans="2:5" x14ac:dyDescent="0.25">
      <c r="B23" s="26"/>
      <c r="C23" s="72" t="s">
        <v>30</v>
      </c>
      <c r="D23" s="72"/>
      <c r="E23" s="73"/>
    </row>
    <row r="24" spans="2:5" x14ac:dyDescent="0.25">
      <c r="B24" s="25" t="s">
        <v>31</v>
      </c>
      <c r="C24" s="23"/>
      <c r="D24" s="23"/>
      <c r="E24" s="24"/>
    </row>
    <row r="25" spans="2:5" ht="26.25" customHeight="1" x14ac:dyDescent="0.25">
      <c r="B25" s="25"/>
      <c r="C25" s="70" t="s">
        <v>32</v>
      </c>
      <c r="D25" s="70"/>
      <c r="E25" s="71"/>
    </row>
    <row r="26" spans="2:5" ht="14.25" thickBot="1" x14ac:dyDescent="0.3">
      <c r="B26" s="29"/>
      <c r="C26" s="30"/>
      <c r="D26" s="30"/>
      <c r="E26" s="31"/>
    </row>
    <row r="27" spans="2:5" ht="26.25" customHeight="1" x14ac:dyDescent="0.25"/>
    <row r="29" spans="2:5" ht="23.25" customHeight="1" x14ac:dyDescent="0.25"/>
    <row r="33" ht="7.5" customHeight="1" x14ac:dyDescent="0.25"/>
    <row r="35" ht="39" customHeight="1" x14ac:dyDescent="0.25"/>
  </sheetData>
  <mergeCells count="13">
    <mergeCell ref="C25:E25"/>
    <mergeCell ref="A6:B6"/>
    <mergeCell ref="A7:B7"/>
    <mergeCell ref="C23:E23"/>
    <mergeCell ref="C16:E16"/>
    <mergeCell ref="C18:E18"/>
    <mergeCell ref="C19:E19"/>
    <mergeCell ref="C21:E21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workbookViewId="0">
      <selection activeCell="D19" sqref="D19"/>
    </sheetView>
  </sheetViews>
  <sheetFormatPr baseColWidth="10" defaultColWidth="9.140625" defaultRowHeight="13.5" x14ac:dyDescent="0.25"/>
  <cols>
    <col min="1" max="1" width="5.5703125" style="34" customWidth="1"/>
    <col min="2" max="2" width="15.140625" style="34" customWidth="1"/>
    <col min="3" max="3" width="14.140625" style="34" customWidth="1"/>
    <col min="4" max="4" width="26" style="34" customWidth="1"/>
    <col min="5" max="5" width="8" style="34" customWidth="1"/>
    <col min="6" max="6" width="7.85546875" style="34" customWidth="1"/>
    <col min="7" max="7" width="42" style="34" customWidth="1"/>
    <col min="8" max="8" width="9.28515625" style="34" customWidth="1"/>
    <col min="9" max="9" width="15.5703125" style="34" customWidth="1"/>
    <col min="10" max="10" width="14.7109375" style="34" customWidth="1"/>
    <col min="11" max="11" width="15.5703125" style="34" customWidth="1"/>
    <col min="12" max="14" width="5.85546875" style="34" customWidth="1"/>
    <col min="15" max="15" width="12.5703125" style="34" customWidth="1"/>
    <col min="16" max="1024" width="9.140625" style="34"/>
    <col min="1025" max="16384" width="9.140625" style="35"/>
  </cols>
  <sheetData>
    <row r="1" spans="1:11" ht="18" customHeight="1" x14ac:dyDescent="0.25">
      <c r="A1" s="79" t="s">
        <v>33</v>
      </c>
      <c r="B1" s="79"/>
      <c r="C1" s="79"/>
      <c r="D1" s="79"/>
      <c r="E1" s="79"/>
      <c r="F1" s="79"/>
      <c r="G1" s="79"/>
      <c r="H1" s="79"/>
      <c r="I1" s="79"/>
      <c r="J1" s="32" t="s">
        <v>34</v>
      </c>
      <c r="K1" s="33" t="s">
        <v>35</v>
      </c>
    </row>
    <row r="2" spans="1:11" ht="18.75" customHeight="1" thickBot="1" x14ac:dyDescent="0.3">
      <c r="A2" s="36"/>
      <c r="B2" s="36"/>
      <c r="C2" s="36"/>
      <c r="D2" s="37"/>
      <c r="E2" s="37"/>
      <c r="F2" s="37"/>
      <c r="G2" s="37"/>
      <c r="H2" s="37"/>
      <c r="I2" s="37"/>
      <c r="J2" s="37"/>
      <c r="K2" s="37"/>
    </row>
    <row r="3" spans="1:11" ht="18.75" customHeight="1" thickBot="1" x14ac:dyDescent="0.3">
      <c r="A3" s="80" t="s">
        <v>36</v>
      </c>
      <c r="B3" s="80"/>
      <c r="C3" s="80"/>
      <c r="D3" s="81" t="str">
        <f>'Necesidades Trimestrales'!C4</f>
        <v>90 - Ministerio de Seguridad</v>
      </c>
      <c r="E3" s="81"/>
      <c r="F3" s="81"/>
      <c r="G3" s="81"/>
      <c r="H3" s="81"/>
      <c r="I3" s="81"/>
      <c r="J3" s="81"/>
      <c r="K3" s="81"/>
    </row>
    <row r="4" spans="1:11" ht="18.75" customHeight="1" thickBot="1" x14ac:dyDescent="0.3">
      <c r="A4" s="82" t="s">
        <v>37</v>
      </c>
      <c r="B4" s="82"/>
      <c r="C4" s="82"/>
      <c r="D4" s="81" t="str">
        <f>'Necesidades Trimestrales'!C5</f>
        <v>7 - Direccion Provincial de Administracion de la Policia de Catamarca</v>
      </c>
      <c r="E4" s="81"/>
      <c r="F4" s="81"/>
      <c r="G4" s="81"/>
      <c r="H4" s="81"/>
      <c r="I4" s="81"/>
      <c r="J4" s="81"/>
      <c r="K4" s="81"/>
    </row>
    <row r="5" spans="1:11" ht="18.75" customHeight="1" thickBot="1" x14ac:dyDescent="0.3">
      <c r="A5" s="82" t="s">
        <v>38</v>
      </c>
      <c r="B5" s="82"/>
      <c r="C5" s="82"/>
      <c r="D5" s="81" t="s">
        <v>39</v>
      </c>
      <c r="E5" s="81"/>
      <c r="F5" s="81"/>
      <c r="G5" s="81"/>
      <c r="H5" s="81"/>
      <c r="I5" s="81"/>
      <c r="J5" s="81"/>
      <c r="K5" s="81"/>
    </row>
    <row r="6" spans="1:11" ht="16.5" customHeight="1" thickBot="1" x14ac:dyDescent="0.3">
      <c r="A6" s="80" t="s">
        <v>40</v>
      </c>
      <c r="B6" s="80"/>
      <c r="C6" s="80"/>
      <c r="D6" s="81" t="s">
        <v>41</v>
      </c>
      <c r="E6" s="81"/>
      <c r="F6" s="81"/>
      <c r="G6" s="81"/>
      <c r="H6" s="81"/>
      <c r="I6" s="81"/>
      <c r="J6" s="81"/>
      <c r="K6" s="81"/>
    </row>
    <row r="7" spans="1:11" ht="16.5" customHeight="1" x14ac:dyDescent="0.25">
      <c r="A7" s="82" t="s">
        <v>42</v>
      </c>
      <c r="B7" s="82"/>
      <c r="C7" s="82"/>
      <c r="D7" s="81" t="str">
        <f>'Necesidades Trimestrales'!C7 &amp; "° Trimestre - Año " &amp; 'Necesidades Trimestrales'!C6</f>
        <v>2° Trimestre - Año 2021</v>
      </c>
      <c r="E7" s="81"/>
      <c r="F7" s="81"/>
      <c r="G7" s="81"/>
      <c r="H7" s="81"/>
      <c r="I7" s="81"/>
      <c r="J7" s="81"/>
      <c r="K7" s="81"/>
    </row>
    <row r="8" spans="1:11" ht="16.5" customHeight="1" x14ac:dyDescent="0.25">
      <c r="A8" s="85" t="s">
        <v>43</v>
      </c>
      <c r="B8" s="85"/>
      <c r="C8" s="85"/>
      <c r="D8" s="86" t="s">
        <v>44</v>
      </c>
      <c r="E8" s="86"/>
      <c r="F8" s="86"/>
      <c r="G8" s="86"/>
      <c r="H8" s="86"/>
      <c r="I8" s="86"/>
      <c r="J8" s="86"/>
      <c r="K8" s="86"/>
    </row>
    <row r="9" spans="1:11" ht="17.25" x14ac:dyDescent="0.25">
      <c r="A9" s="38"/>
      <c r="B9" s="38"/>
      <c r="C9" s="38"/>
      <c r="D9" s="39"/>
      <c r="E9" s="39"/>
      <c r="F9" s="39"/>
      <c r="G9" s="39"/>
      <c r="H9" s="39"/>
      <c r="I9" s="39"/>
      <c r="J9" s="39"/>
      <c r="K9" s="39"/>
    </row>
    <row r="10" spans="1:11" ht="18.75" customHeight="1" x14ac:dyDescent="0.25">
      <c r="A10" s="87" t="s">
        <v>45</v>
      </c>
      <c r="B10" s="88" t="s">
        <v>46</v>
      </c>
      <c r="C10" s="88" t="s">
        <v>47</v>
      </c>
      <c r="D10" s="88"/>
      <c r="E10" s="88"/>
      <c r="F10" s="88"/>
      <c r="G10" s="88"/>
      <c r="H10" s="88" t="s">
        <v>48</v>
      </c>
      <c r="I10" s="88" t="s">
        <v>49</v>
      </c>
      <c r="J10" s="88" t="s">
        <v>50</v>
      </c>
      <c r="K10" s="89" t="s">
        <v>51</v>
      </c>
    </row>
    <row r="11" spans="1:11" ht="24" customHeight="1" x14ac:dyDescent="0.25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20.25" customHeight="1" thickBot="1" x14ac:dyDescent="0.3">
      <c r="A12" s="40">
        <v>1</v>
      </c>
      <c r="B12" s="41" t="str">
        <f>'Necesidades Trimestrales'!B10</f>
        <v>3.5.4-2065.1</v>
      </c>
      <c r="C12" s="84" t="str">
        <f>'Necesidades Trimestrales'!E10</f>
        <v>SEGURO DE RESPONSABILIDAD; DESCRIPCION: SEGURO DE RESPONSABILIDAD</v>
      </c>
      <c r="D12" s="84"/>
      <c r="E12" s="84"/>
      <c r="F12" s="84"/>
      <c r="G12" s="84"/>
      <c r="H12" s="40" t="s">
        <v>52</v>
      </c>
      <c r="I12" s="42" t="str">
        <f>'Necesidades Trimestrales'!F10</f>
        <v>MES</v>
      </c>
      <c r="J12" s="43" t="str">
        <f>'Necesidades Trimestrales'!H10</f>
        <v>$ 126433.3</v>
      </c>
      <c r="K12" s="44">
        <f>'Necesidades Trimestrales'!G10</f>
        <v>12</v>
      </c>
    </row>
    <row r="13" spans="1:11" ht="20.25" customHeight="1" thickBot="1" x14ac:dyDescent="0.3">
      <c r="A13" s="91" t="s">
        <v>53</v>
      </c>
      <c r="B13" s="92"/>
      <c r="C13" s="92"/>
      <c r="D13" s="90" t="s">
        <v>54</v>
      </c>
      <c r="E13" s="90"/>
      <c r="F13" s="90"/>
      <c r="G13" s="90"/>
      <c r="H13" s="45"/>
      <c r="I13" s="46"/>
      <c r="J13" s="83" t="str">
        <f>'Necesidades Trimestrales'!I10</f>
        <v>$ 1517199.60</v>
      </c>
      <c r="K13" s="83"/>
    </row>
  </sheetData>
  <mergeCells count="24"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D13:G13"/>
    <mergeCell ref="A13:C13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"/>
  <sheetViews>
    <sheetView zoomScale="130" zoomScaleNormal="130" workbookViewId="0">
      <selection activeCell="N26" sqref="N26"/>
    </sheetView>
  </sheetViews>
  <sheetFormatPr baseColWidth="10" defaultColWidth="11" defaultRowHeight="13.5" x14ac:dyDescent="0.25"/>
  <cols>
    <col min="1" max="6" width="4.42578125" style="49" customWidth="1"/>
    <col min="7" max="7" width="4.42578125" style="50" customWidth="1"/>
    <col min="8" max="14" width="4.42578125" style="49" customWidth="1"/>
    <col min="15" max="16" width="14.85546875" style="49" customWidth="1"/>
    <col min="17" max="17" width="14.7109375" style="49" customWidth="1"/>
    <col min="18" max="16384" width="11" style="49"/>
  </cols>
  <sheetData>
    <row r="1" spans="1:17" ht="15.75" customHeight="1" x14ac:dyDescent="0.25">
      <c r="A1" s="97" t="s">
        <v>5</v>
      </c>
      <c r="B1" s="97"/>
      <c r="C1" s="97"/>
      <c r="D1" s="98">
        <f>'Necesidades Trimestrales'!C6</f>
        <v>2021</v>
      </c>
      <c r="E1" s="98"/>
      <c r="F1" s="47"/>
      <c r="G1" s="47"/>
      <c r="H1" s="48"/>
      <c r="I1" s="48"/>
      <c r="J1" s="48"/>
      <c r="K1" s="48"/>
      <c r="L1" s="48"/>
      <c r="M1" s="48"/>
      <c r="N1" s="48"/>
      <c r="P1" s="99" t="s">
        <v>55</v>
      </c>
      <c r="Q1" s="99"/>
    </row>
    <row r="2" spans="1:17" ht="15.75" customHeight="1" x14ac:dyDescent="0.25">
      <c r="H2" s="48"/>
      <c r="I2" s="48"/>
      <c r="J2" s="48"/>
      <c r="K2" s="48"/>
      <c r="L2" s="48"/>
      <c r="M2" s="48"/>
      <c r="N2" s="48"/>
      <c r="P2" s="99"/>
      <c r="Q2" s="99"/>
    </row>
    <row r="4" spans="1:17" ht="18" customHeight="1" thickBot="1" x14ac:dyDescent="0.35">
      <c r="A4" s="100" t="s">
        <v>56</v>
      </c>
      <c r="B4" s="100"/>
      <c r="C4" s="100"/>
      <c r="D4" s="100"/>
      <c r="E4" s="100"/>
      <c r="F4" s="100"/>
      <c r="G4" s="101" t="str">
        <f>' NotaPedido'!D3</f>
        <v>90 - Ministerio de Seguridad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8" customHeight="1" thickBot="1" x14ac:dyDescent="0.35">
      <c r="A5" s="102" t="s">
        <v>37</v>
      </c>
      <c r="B5" s="103"/>
      <c r="C5" s="103"/>
      <c r="D5" s="103"/>
      <c r="E5" s="103"/>
      <c r="F5" s="104"/>
      <c r="G5" s="101" t="str">
        <f>' NotaPedido'!D4</f>
        <v>7 - Direccion Provincial de Administracion de la Policia de Catamarca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18" customHeight="1" thickBot="1" x14ac:dyDescent="0.35">
      <c r="A6" s="102" t="s">
        <v>38</v>
      </c>
      <c r="B6" s="103"/>
      <c r="C6" s="103"/>
      <c r="D6" s="103"/>
      <c r="E6" s="103"/>
      <c r="F6" s="104"/>
      <c r="G6" s="101" t="str">
        <f>' NotaPedido'!D5</f>
        <v>Jefatura de Policía de la Provincia de Catamarca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18" customHeight="1" thickBot="1" x14ac:dyDescent="0.35">
      <c r="A7" s="102" t="s">
        <v>40</v>
      </c>
      <c r="B7" s="103"/>
      <c r="C7" s="103"/>
      <c r="D7" s="103"/>
      <c r="E7" s="103"/>
      <c r="F7" s="104"/>
      <c r="G7" s="101" t="str">
        <f>' NotaPedido'!D6</f>
        <v>Sección Control Patrimonial - Dpto. Logistica (D-4)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</row>
    <row r="8" spans="1:17" ht="18" customHeight="1" thickBot="1" x14ac:dyDescent="0.3">
      <c r="A8" s="105" t="s">
        <v>57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 x14ac:dyDescent="0.3">
      <c r="A9" s="108" t="s">
        <v>58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51"/>
      <c r="P9" s="51"/>
      <c r="Q9" s="52"/>
    </row>
    <row r="10" spans="1:17" ht="54.75" customHeight="1" x14ac:dyDescent="0.25">
      <c r="A10" s="10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41/2020,  afectando la erogación resultante a los créditos presupuestarios aprobados a favor de esta Unidad Ejecutora, conforme al siguiente detalle: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</row>
    <row r="11" spans="1:17" ht="9" customHeight="1" x14ac:dyDescent="0.25">
      <c r="A11" s="53"/>
      <c r="B11" s="54"/>
      <c r="C11" s="54"/>
      <c r="D11" s="54"/>
      <c r="E11" s="54"/>
      <c r="F11" s="54"/>
      <c r="G11" s="55"/>
      <c r="H11" s="54"/>
      <c r="I11" s="54"/>
      <c r="J11" s="54"/>
      <c r="K11" s="54"/>
      <c r="L11" s="54"/>
      <c r="M11" s="54"/>
      <c r="N11" s="54"/>
      <c r="O11" s="54"/>
      <c r="P11" s="54"/>
      <c r="Q11" s="56"/>
    </row>
    <row r="12" spans="1:17" ht="15.75" customHeight="1" x14ac:dyDescent="0.25">
      <c r="A12" s="110" t="s">
        <v>59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</row>
    <row r="13" spans="1:17" ht="15.75" customHeight="1" x14ac:dyDescent="0.25">
      <c r="A13" s="111" t="s">
        <v>60</v>
      </c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2" t="s">
        <v>61</v>
      </c>
      <c r="P13" s="112"/>
      <c r="Q13" s="113" t="s">
        <v>62</v>
      </c>
    </row>
    <row r="14" spans="1:17" ht="15.75" customHeight="1" thickBot="1" x14ac:dyDescent="0.3">
      <c r="A14" s="57" t="s">
        <v>63</v>
      </c>
      <c r="B14" s="58" t="s">
        <v>64</v>
      </c>
      <c r="C14" s="58" t="s">
        <v>65</v>
      </c>
      <c r="D14" s="58" t="s">
        <v>66</v>
      </c>
      <c r="E14" s="58" t="s">
        <v>67</v>
      </c>
      <c r="F14" s="58" t="s">
        <v>68</v>
      </c>
      <c r="G14" s="59" t="s">
        <v>69</v>
      </c>
      <c r="H14" s="58" t="s">
        <v>70</v>
      </c>
      <c r="I14" s="58" t="s">
        <v>71</v>
      </c>
      <c r="J14" s="58" t="s">
        <v>72</v>
      </c>
      <c r="K14" s="58" t="s">
        <v>72</v>
      </c>
      <c r="L14" s="58" t="s">
        <v>73</v>
      </c>
      <c r="M14" s="60" t="s">
        <v>74</v>
      </c>
      <c r="N14" s="61" t="s">
        <v>75</v>
      </c>
      <c r="O14" s="112"/>
      <c r="P14" s="112"/>
      <c r="Q14" s="113"/>
    </row>
    <row r="15" spans="1:17" ht="17.25" customHeight="1" thickBot="1" x14ac:dyDescent="0.3">
      <c r="A15" s="62">
        <v>16</v>
      </c>
      <c r="B15" s="63">
        <v>0</v>
      </c>
      <c r="C15" s="63">
        <v>0</v>
      </c>
      <c r="D15" s="63">
        <v>1</v>
      </c>
      <c r="E15" s="63">
        <v>0</v>
      </c>
      <c r="F15" s="63">
        <v>10</v>
      </c>
      <c r="G15" s="63">
        <v>2</v>
      </c>
      <c r="H15" s="63">
        <v>1</v>
      </c>
      <c r="I15" s="63" t="str">
        <f>LEFT('Necesidades Trimestrales'!D10,1)</f>
        <v>3</v>
      </c>
      <c r="J15" s="63" t="str">
        <f>MID('Necesidades Trimestrales'!D10,3,1)</f>
        <v>5</v>
      </c>
      <c r="K15" s="63" t="str">
        <f>RIGHT('Necesidades Trimestrales'!D10,1)</f>
        <v>4</v>
      </c>
      <c r="L15" s="63">
        <v>0</v>
      </c>
      <c r="M15" s="64">
        <v>1</v>
      </c>
      <c r="N15" s="63" t="s">
        <v>76</v>
      </c>
      <c r="O15" s="106" t="s">
        <v>77</v>
      </c>
      <c r="P15" s="107"/>
      <c r="Q15" s="65" t="str">
        <f>'Necesidades Trimestrales'!I10</f>
        <v>$ 1517199.60</v>
      </c>
    </row>
    <row r="16" spans="1:17" ht="17.25" customHeight="1" x14ac:dyDescent="0.25">
      <c r="A16" s="93" t="s">
        <v>78</v>
      </c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5">
        <f>SUM(Q15)</f>
        <v>0</v>
      </c>
    </row>
    <row r="17" spans="1:17" ht="14.25" customHeight="1" thickBot="1" x14ac:dyDescent="0.3">
      <c r="A17" s="119" t="str">
        <f>' NotaPedido'!D13</f>
        <v>Un Millon Quinientos Diecisiete Mil Cientoo Noventa y Nuene con 57/100</v>
      </c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96"/>
    </row>
    <row r="18" spans="1:17" ht="18" customHeight="1" thickBot="1" x14ac:dyDescent="0.3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</row>
    <row r="19" spans="1:17" ht="17.25" customHeight="1" thickBot="1" x14ac:dyDescent="0.3">
      <c r="A19" s="114" t="s">
        <v>79</v>
      </c>
      <c r="B19" s="115"/>
      <c r="C19" s="115"/>
      <c r="D19" s="115"/>
      <c r="E19" s="115"/>
      <c r="F19" s="116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</row>
    <row r="20" spans="1:17" ht="18" customHeight="1" thickBot="1" x14ac:dyDescent="0.3">
      <c r="A20" s="118" t="s">
        <v>80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</row>
    <row r="21" spans="1:17" ht="15" customHeight="1" x14ac:dyDescent="0.25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</row>
  </sheetData>
  <mergeCells count="26">
    <mergeCell ref="A19:F19"/>
    <mergeCell ref="G19:Q19"/>
    <mergeCell ref="A20:Q21"/>
    <mergeCell ref="A17:P17"/>
    <mergeCell ref="A18:Q18"/>
    <mergeCell ref="A10:Q10"/>
    <mergeCell ref="A12:Q12"/>
    <mergeCell ref="A13:N13"/>
    <mergeCell ref="O13:P14"/>
    <mergeCell ref="Q13:Q14"/>
    <mergeCell ref="A16:P16"/>
    <mergeCell ref="Q16:Q17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A9:N9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COMPRAS</dc:creator>
  <cp:keywords/>
  <dc:description/>
  <cp:lastModifiedBy>COMPRAS</cp:lastModifiedBy>
  <cp:revision>2</cp:revision>
  <dcterms:created xsi:type="dcterms:W3CDTF">2020-07-17T23:44:49Z</dcterms:created>
  <dcterms:modified xsi:type="dcterms:W3CDTF">2021-08-10T15:03:49Z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