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C97BACE5-C9D4-4818-B1E5-A86F50AA3C13}"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NotaPedido" sheetId="2" r:id="rId2"/>
    <sheet name="Autor Gastar" sheetId="3" r:id="rId3"/>
  </sheets>
  <definedNames>
    <definedName name="_xlnm._FilterDatabase" localSheetId="0" hidden="1">'Necesidades Trimestrales'!$A$9:$I$63</definedName>
    <definedName name="_xlnm.Print_Area" localSheetId="2">'Autor Gastar'!$A$1:$Q$26</definedName>
    <definedName name="_xlnm.Print_Area" localSheetId="1">NotaPedido!$A$1:$K$66</definedName>
  </definedNames>
  <calcPr calcId="181029"/>
</workbook>
</file>

<file path=xl/calcChain.xml><?xml version="1.0" encoding="utf-8"?>
<calcChain xmlns="http://schemas.openxmlformats.org/spreadsheetml/2006/main">
  <c r="K13" i="2" l="1"/>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B41" i="2"/>
  <c r="B42" i="2"/>
  <c r="B43" i="2"/>
  <c r="B44" i="2"/>
  <c r="B45" i="2"/>
  <c r="B46" i="2"/>
  <c r="B47" i="2"/>
  <c r="B48" i="2"/>
  <c r="B49" i="2"/>
  <c r="B50" i="2"/>
  <c r="B51" i="2"/>
  <c r="B52" i="2"/>
  <c r="B53" i="2"/>
  <c r="B54" i="2"/>
  <c r="B55" i="2"/>
  <c r="C56" i="2"/>
  <c r="C57" i="2"/>
  <c r="C58" i="2"/>
  <c r="C59" i="2"/>
  <c r="C60" i="2"/>
  <c r="C61" i="2"/>
  <c r="C62" i="2"/>
  <c r="C63" i="2"/>
  <c r="C64" i="2"/>
  <c r="C65" i="2"/>
  <c r="C55" i="2"/>
  <c r="C54" i="2"/>
  <c r="C53" i="2"/>
  <c r="C52" i="2"/>
  <c r="C51" i="2"/>
  <c r="C49" i="2"/>
  <c r="C50" i="2"/>
  <c r="C48" i="2"/>
  <c r="C43" i="2"/>
  <c r="C44" i="2"/>
  <c r="C45" i="2"/>
  <c r="C46" i="2"/>
  <c r="C47" i="2"/>
  <c r="C35" i="2"/>
  <c r="C36" i="2"/>
  <c r="C37" i="2"/>
  <c r="C38" i="2"/>
  <c r="C39" i="2"/>
  <c r="C40" i="2"/>
  <c r="C41" i="2"/>
  <c r="C42" i="2"/>
  <c r="C24" i="2"/>
  <c r="C25" i="2"/>
  <c r="C26" i="2"/>
  <c r="C27" i="2"/>
  <c r="C28" i="2"/>
  <c r="C29" i="2"/>
  <c r="C30" i="2"/>
  <c r="C31" i="2"/>
  <c r="C32" i="2"/>
  <c r="C33" i="2"/>
  <c r="C34" i="2"/>
  <c r="C13" i="2"/>
  <c r="C14" i="2"/>
  <c r="C15" i="2"/>
  <c r="C16" i="2"/>
  <c r="C17" i="2"/>
  <c r="C18" i="2"/>
  <c r="C19" i="2"/>
  <c r="C20" i="2"/>
  <c r="C21" i="2"/>
  <c r="C22" i="2"/>
  <c r="C23" i="2"/>
  <c r="I42" i="1"/>
  <c r="I24" i="1"/>
  <c r="I32" i="1"/>
  <c r="I29" i="1"/>
  <c r="I30" i="1"/>
  <c r="I26" i="1"/>
  <c r="I20" i="1"/>
  <c r="B15" i="2" l="1"/>
  <c r="B16" i="2"/>
  <c r="B17" i="2"/>
  <c r="B18" i="2"/>
  <c r="B19" i="2"/>
  <c r="B20" i="2"/>
  <c r="B21" i="2"/>
  <c r="B22" i="2"/>
  <c r="B23" i="2"/>
  <c r="B24" i="2"/>
  <c r="B25" i="2"/>
  <c r="B26" i="2"/>
  <c r="B27" i="2"/>
  <c r="B28" i="2"/>
  <c r="B29" i="2"/>
  <c r="B30" i="2"/>
  <c r="B31" i="2"/>
  <c r="B32" i="2"/>
  <c r="B33" i="2"/>
  <c r="B34" i="2"/>
  <c r="B35" i="2"/>
  <c r="B36" i="2"/>
  <c r="B37" i="2"/>
  <c r="B38" i="2"/>
  <c r="B39" i="2"/>
  <c r="B40" i="2"/>
  <c r="B56" i="2"/>
  <c r="B57" i="2"/>
  <c r="B58" i="2"/>
  <c r="B59" i="2"/>
  <c r="B60" i="2"/>
  <c r="B61" i="2"/>
  <c r="B62" i="2"/>
  <c r="B63" i="2"/>
  <c r="B64" i="2"/>
  <c r="B65" i="2"/>
  <c r="A25" i="3"/>
  <c r="A10" i="3"/>
  <c r="B14" i="2"/>
  <c r="B13" i="2"/>
  <c r="K12" i="2"/>
  <c r="J12" i="2"/>
  <c r="I12" i="2"/>
  <c r="C12" i="2"/>
  <c r="B12" i="2"/>
  <c r="I63" i="1"/>
  <c r="I62" i="1"/>
  <c r="I61" i="1"/>
  <c r="I60" i="1"/>
  <c r="I59" i="1"/>
  <c r="I58" i="1"/>
  <c r="I57" i="1"/>
  <c r="I56" i="1"/>
  <c r="I55" i="1"/>
  <c r="I54" i="1"/>
  <c r="I53" i="1"/>
  <c r="I52" i="1"/>
  <c r="I51" i="1"/>
  <c r="I50" i="1"/>
  <c r="I49" i="1"/>
  <c r="I48" i="1"/>
  <c r="I47" i="1"/>
  <c r="I46" i="1"/>
  <c r="I45" i="1"/>
  <c r="I44" i="1"/>
  <c r="I43" i="1"/>
  <c r="I41" i="1"/>
  <c r="I40" i="1"/>
  <c r="I39" i="1"/>
  <c r="I38" i="1"/>
  <c r="I37" i="1"/>
  <c r="I36" i="1"/>
  <c r="I35" i="1"/>
  <c r="I34" i="1"/>
  <c r="I33" i="1"/>
  <c r="I31" i="1"/>
  <c r="I28" i="1"/>
  <c r="I27" i="1"/>
  <c r="I25" i="1"/>
  <c r="I23" i="1"/>
  <c r="I22" i="1"/>
  <c r="I21" i="1"/>
  <c r="I19" i="1"/>
  <c r="I18" i="1"/>
  <c r="I17" i="1"/>
  <c r="I16" i="1"/>
  <c r="I15" i="1"/>
  <c r="I14" i="1"/>
  <c r="I13" i="1"/>
  <c r="I12" i="1"/>
  <c r="I11" i="1"/>
  <c r="I10" i="1"/>
  <c r="J66" i="2" l="1"/>
  <c r="G6" i="3" l="1"/>
  <c r="G7" i="3"/>
  <c r="D7" i="2"/>
  <c r="D3" i="2"/>
  <c r="G4" i="3" s="1"/>
  <c r="D4" i="2"/>
  <c r="G5" i="3" s="1"/>
  <c r="D1" i="3" l="1"/>
  <c r="Q22" i="3"/>
</calcChain>
</file>

<file path=xl/sharedStrings.xml><?xml version="1.0" encoding="utf-8"?>
<sst xmlns="http://schemas.openxmlformats.org/spreadsheetml/2006/main" count="352" uniqueCount="134">
  <si>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</si>
  <si>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</si>
  <si>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</si>
  <si>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</si>
  <si>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</si>
  <si>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</si>
  <si>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</si>
  <si>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</si>
  <si>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</si>
  <si>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</si>
  <si>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</si>
  <si>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</si>
  <si>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</si>
  <si>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</si>
  <si>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</si>
  <si>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</si>
  <si>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</si>
  <si>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</si>
  <si>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</si>
  <si>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</si>
  <si>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</si>
  <si>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</si>
  <si>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</si>
  <si>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</si>
  <si>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</si>
  <si>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</si>
  <si>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</si>
  <si>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</si>
  <si>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</si>
  <si>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</si>
  <si>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</si>
  <si>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</si>
  <si>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</si>
  <si>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</si>
  <si>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</si>
  <si>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</si>
  <si>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</si>
  <si>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</si>
  <si>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</si>
  <si>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</si>
  <si>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</si>
  <si>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</si>
  <si>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</si>
  <si>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</si>
  <si>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</si>
  <si>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</si>
  <si>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</si>
  <si>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</si>
  <si>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</si>
  <si>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</si>
  <si>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</si>
  <si>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</si>
  <si>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</si>
  <si>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</si>
  <si>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</si>
  <si>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</si>
  <si>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</si>
  <si>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</si>
  <si>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</si>
  <si>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</si>
  <si>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</si>
  <si>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</si>
  <si>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Compuestos Quimicos</t>
  </si>
  <si>
    <t xml:space="preserve">45 dias habiles </t>
  </si>
  <si>
    <t xml:space="preserve">Otros NEP </t>
  </si>
  <si>
    <t>3.1</t>
  </si>
  <si>
    <t>1.1</t>
  </si>
  <si>
    <t>Utiles Menores Med. Quir. y de Lab.</t>
  </si>
  <si>
    <t>AGUJA HIPODERMICA DESCARTABLE 16/5</t>
  </si>
  <si>
    <t>AGUJA HIPODERMICA DESCARTABLE 25/8</t>
  </si>
  <si>
    <t>AGUJA HIPODERMICA DESCARTABLE 40/12</t>
  </si>
  <si>
    <t>AGUJA HIPODERMICA DESCARTABLE 40/8</t>
  </si>
  <si>
    <t>ALGODON X 500 GR</t>
  </si>
  <si>
    <t>BARBIJO HEMORREPELENTE QUIRURGICO TRIPLE CAPA</t>
  </si>
  <si>
    <t>BARBIJOS DE ALTA EFICIENCIA TIPO N95</t>
  </si>
  <si>
    <t>CAL SODADA X KG</t>
  </si>
  <si>
    <t>CAMISOLIN DESCARTABLE DE TELA SMS 30 GRAMOS CON MANGA Y PUÑOS DE 1,4 M DE LARGO</t>
  </si>
  <si>
    <t>CHATA PLASTICA X 1</t>
  </si>
  <si>
    <t>DESCARTADOR DE AGUJAS X 2 LITRO</t>
  </si>
  <si>
    <t>DESCARTADOR DE AGUJAS X 8 LITRO</t>
  </si>
  <si>
    <t xml:space="preserve">ELECTRODO DESCARTABLE ADULTO </t>
  </si>
  <si>
    <t>ESPECULO VAGINAL GRANDE</t>
  </si>
  <si>
    <t>GEL BASE PARA ECOGRAFIA X 1 KG</t>
  </si>
  <si>
    <t>GUANTES DE CIRUGIA ESTERIL Nº 81/2 PAR. ANATOMICOS . CAÑA LARGA SIN TALCO</t>
  </si>
  <si>
    <t>HOJA DE BISTURI Nº 11</t>
  </si>
  <si>
    <t>JERINGA DESCARTABLE 60 CC PICO THOMEY</t>
  </si>
  <si>
    <t>JERINGA DESCARTABLE DE 10 CC S/AGUJA</t>
  </si>
  <si>
    <t>JERINGA DESCARTABLE DE 5 CC S/AGUJA</t>
  </si>
  <si>
    <t>JERINGA DESCARTABLE DE 60 CC S/ AGUJA</t>
  </si>
  <si>
    <t>KIT DESCARTABLE CAMISOLIN 40 GRS + COFIA + BOTAS PAR</t>
  </si>
  <si>
    <t>MAMELUCO LAMINADO TALLE L</t>
  </si>
  <si>
    <t>MAMELUCO LAMINADO TALLE M</t>
  </si>
  <si>
    <t>MAMELUCO LAMINADO TALLE XL</t>
  </si>
  <si>
    <t>MAMELUCO LAMINADO TALLE XXL</t>
  </si>
  <si>
    <t>MASCARA DE OXIGENO CON REGULADORES</t>
  </si>
  <si>
    <t>OVATA DE ALGODÓN X 10 CM</t>
  </si>
  <si>
    <t>OVATA DE ALGODÓN X 15 CM</t>
  </si>
  <si>
    <t>OVATA DE ALGODÓN X 20 CM</t>
  </si>
  <si>
    <t>PAÑAL DESCARTABLE ADULTO XG</t>
  </si>
  <si>
    <t>PAPEL PARA ELECTROCARDIOGRAMA 50 X 30</t>
  </si>
  <si>
    <t>PAPEL PARA ELECTROCARDIOGRAMA 62 X 30</t>
  </si>
  <si>
    <t xml:space="preserve">TELA ADHESIVA 2.5 MM X 9.00 MTS </t>
  </si>
  <si>
    <t xml:space="preserve">TELA ADHESIVA 5 MM X 9.00 MTS </t>
  </si>
  <si>
    <t xml:space="preserve">TELA ADHESIVA HIPOALERGENICA TRANSPORE 2.5 CM </t>
  </si>
  <si>
    <t>TERMOMETRO DIGITAL</t>
  </si>
  <si>
    <t>TIRAS REACTIVAS PARA DETERMINACION GLUCOSA X 50 UNIDADES</t>
  </si>
  <si>
    <t>TUBO CONECTOR EN "Y" KT-95 EST. X 1</t>
  </si>
  <si>
    <t>TUBO DE LATEX  3 X 5 X METRO</t>
  </si>
  <si>
    <t>TUBO DE LATEX 5 X 8 MM X METRO</t>
  </si>
  <si>
    <t xml:space="preserve">TUBO MAYO GUEDEL N°3 </t>
  </si>
  <si>
    <t xml:space="preserve">TUBO MAYO GUEDEL N°4 </t>
  </si>
  <si>
    <t xml:space="preserve">VENDA CAMBRIC 10 CM </t>
  </si>
  <si>
    <t>VENDA ENYESADA X 10 CM X 20 METROS DE FRAGUADO RAPIDO</t>
  </si>
  <si>
    <t>VENDA ENYESADA X 15 CM X 20 METROS DE FRAGUADO RAPIDO</t>
  </si>
  <si>
    <t>VENDA ENYESADA X 20 CM X 20 METROS DE FRAGUADO RAPIDO</t>
  </si>
  <si>
    <t>UNIDAD</t>
  </si>
  <si>
    <t>2.9.9</t>
  </si>
  <si>
    <t>Otros NEP</t>
  </si>
  <si>
    <t>2.5.1</t>
  </si>
  <si>
    <t>2.9.5</t>
  </si>
  <si>
    <t>Ut. Men. Med. Quirurg. Y de Laborator.</t>
  </si>
  <si>
    <t>10 dias - Servicio de Farmacia del HISJB - Avda. Illia y Mariano Moreno</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</si>
  <si>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</si>
  <si>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028 - 2021</t>
  </si>
  <si>
    <t>Adquisición de Insumos Comunes para Farmacia</t>
  </si>
  <si>
    <t>COFIAS PLIZADAS CON AJUSTE ELASTIZADO</t>
  </si>
  <si>
    <t>FORMOL 40% ENVASE X 1 LITRO</t>
  </si>
  <si>
    <t>GUANTES DE EXAMINACON TAMAÑO S X 100</t>
  </si>
  <si>
    <t>GUANTES DE EXAMINACION TAMAÑO M X 100</t>
  </si>
  <si>
    <t>HOJA DE BISTURI Nº 24</t>
  </si>
  <si>
    <t>ESPECULO VAGINAL CHICOS</t>
  </si>
  <si>
    <t>MANOPLAS DE POLIETILENO X 100</t>
  </si>
  <si>
    <t>Costo total estimado: DOCE MILLONES OCHO MIL OCHOCIENTOS TREINTA Y CINCO CON 32/100.---</t>
  </si>
  <si>
    <t>TOTAL DE PESOS: DOCE MILLONES OCHO MIL OCHOCIENTOS TREINTA Y CINCO CON 32/100.---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</si>
</sst>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
  </numFmts>
  <fonts count="29"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0"/>
      <color rgb="FF000000"/>
      <name val="Arial"/>
      <family val="2"/>
    </font>
    <font>
      <sz val="10"/>
      <color theme="1"/>
      <name val="Arial"/>
      <family val="2"/>
    </font>
    <font>
      <b/>
      <sz val="8"/>
      <name val="Arial"/>
      <family val="2"/>
      <charset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4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top style="medium">
        <color auto="1"/>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38">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0" fillId="0" borderId="14" xfId="0" applyFont="1" applyBorder="1" applyAlignment="1">
      <alignment horizontal="center" vertical="center"/>
    </xf>
    <xf numFmtId="0" fontId="21" fillId="0" borderId="14" xfId="0" applyFont="1" applyBorder="1" applyAlignment="1">
      <alignment horizontal="left" vertical="center" wrapText="1"/>
    </xf>
    <xf numFmtId="0" fontId="21" fillId="0" borderId="14" xfId="0" applyFont="1" applyBorder="1" applyAlignment="1">
      <alignment horizontal="center" vertical="center" wrapText="1"/>
    </xf>
    <xf numFmtId="0" fontId="21" fillId="4" borderId="14" xfId="0" applyFont="1" applyFill="1" applyBorder="1" applyAlignment="1">
      <alignment horizontal="center" vertical="center" wrapText="1"/>
    </xf>
    <xf numFmtId="166" fontId="20" fillId="4" borderId="14" xfId="1" applyNumberFormat="1" applyFont="1" applyFill="1" applyBorder="1" applyAlignment="1" applyProtection="1">
      <alignment horizontal="right"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0" fontId="6" fillId="4" borderId="11" xfId="0" applyFont="1" applyFill="1" applyBorder="1" applyAlignment="1">
      <alignment horizontal="center" vertical="center"/>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166" fontId="4" fillId="5" borderId="19" xfId="1" applyNumberFormat="1" applyFont="1" applyFill="1" applyBorder="1" applyAlignment="1" applyProtection="1">
      <alignment horizontal="right"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4"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27" fillId="0" borderId="14" xfId="0" applyFont="1" applyFill="1" applyBorder="1" applyAlignment="1">
      <alignment horizontal="center" vertical="center"/>
    </xf>
    <xf numFmtId="169" fontId="27" fillId="0" borderId="14" xfId="0" applyNumberFormat="1" applyFont="1" applyFill="1" applyBorder="1" applyAlignment="1">
      <alignment horizontal="center" vertical="center"/>
    </xf>
    <xf numFmtId="0" fontId="25" fillId="5" borderId="14" xfId="0" applyFont="1" applyFill="1" applyBorder="1" applyAlignment="1">
      <alignment horizontal="left" vertical="center"/>
    </xf>
    <xf numFmtId="0" fontId="25" fillId="5" borderId="14" xfId="0" applyFont="1" applyFill="1" applyBorder="1" applyAlignment="1">
      <alignment horizontal="left" vertical="center" wrapText="1"/>
    </xf>
    <xf numFmtId="0" fontId="25" fillId="5" borderId="14" xfId="0" applyFont="1" applyFill="1" applyBorder="1" applyAlignment="1">
      <alignment vertical="center"/>
    </xf>
    <xf numFmtId="0" fontId="25" fillId="0" borderId="14" xfId="0" applyFont="1" applyFill="1" applyBorder="1" applyAlignment="1">
      <alignment horizontal="left" vertical="center"/>
    </xf>
    <xf numFmtId="0" fontId="25" fillId="0" borderId="14" xfId="0" applyFont="1" applyFill="1" applyBorder="1" applyAlignment="1">
      <alignment vertical="center"/>
    </xf>
    <xf numFmtId="0" fontId="26" fillId="0" borderId="14" xfId="0" applyFont="1" applyFill="1" applyBorder="1" applyAlignment="1">
      <alignment vertical="center" wrapText="1"/>
    </xf>
    <xf numFmtId="166" fontId="0" fillId="5" borderId="34" xfId="3" applyNumberFormat="1" applyFont="1" applyFill="1" applyBorder="1" applyAlignment="1" applyProtection="1">
      <alignment horizontal="center" vertical="center"/>
    </xf>
    <xf numFmtId="166" fontId="0" fillId="5" borderId="39" xfId="3" applyNumberFormat="1" applyFont="1" applyFill="1" applyBorder="1" applyAlignment="1" applyProtection="1">
      <alignment horizontal="center" vertical="center"/>
    </xf>
    <xf numFmtId="0" fontId="16" fillId="0" borderId="0" xfId="0" applyFont="1" applyBorder="1" applyAlignment="1">
      <alignment horizontal="center"/>
    </xf>
    <xf numFmtId="0" fontId="17" fillId="0" borderId="0" xfId="0" applyFont="1" applyBorder="1" applyAlignment="1">
      <alignment horizontal="left" vertical="center" wrapText="1"/>
    </xf>
    <xf numFmtId="0" fontId="23" fillId="4" borderId="0" xfId="0" applyFont="1" applyFill="1" applyBorder="1" applyAlignment="1">
      <alignment horizontal="left" wrapText="1" indent="1"/>
    </xf>
    <xf numFmtId="0" fontId="15" fillId="3" borderId="6" xfId="0" applyFont="1" applyFill="1" applyBorder="1" applyAlignment="1">
      <alignment horizontal="center" wrapText="1"/>
    </xf>
    <xf numFmtId="0" fontId="15" fillId="4" borderId="6" xfId="0" applyFont="1" applyFill="1" applyBorder="1" applyAlignment="1">
      <alignment horizontal="left" wrapText="1"/>
    </xf>
    <xf numFmtId="0" fontId="15" fillId="3" borderId="6" xfId="0" applyFont="1" applyFill="1" applyBorder="1" applyAlignment="1">
      <alignment horizontal="center"/>
    </xf>
    <xf numFmtId="0" fontId="15" fillId="4" borderId="6" xfId="0" applyFont="1" applyFill="1" applyBorder="1" applyAlignment="1">
      <alignment horizontal="left"/>
    </xf>
    <xf numFmtId="0" fontId="15" fillId="4" borderId="6" xfId="0" applyFont="1" applyFill="1" applyBorder="1" applyAlignment="1">
      <alignment horizontal="center"/>
    </xf>
    <xf numFmtId="0" fontId="4" fillId="5" borderId="19" xfId="0" applyFont="1" applyFill="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4" fillId="5" borderId="20" xfId="0" applyFont="1" applyFill="1" applyBorder="1" applyAlignment="1">
      <alignment horizontal="left" vertical="center" wrapText="1"/>
    </xf>
    <xf numFmtId="0" fontId="4" fillId="5" borderId="48" xfId="0" applyFont="1" applyFill="1" applyBorder="1" applyAlignment="1">
      <alignment horizontal="left" vertical="center" wrapText="1"/>
    </xf>
    <xf numFmtId="0" fontId="4" fillId="5" borderId="21" xfId="0" applyFont="1" applyFill="1" applyBorder="1" applyAlignment="1">
      <alignment horizontal="left" vertical="center" wrapText="1"/>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11" fillId="0" borderId="11" xfId="0" applyFont="1" applyBorder="1" applyAlignment="1">
      <alignment horizontal="left" indent="1"/>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2" fillId="0" borderId="11" xfId="0" applyFont="1" applyBorder="1" applyAlignment="1">
      <alignment horizontal="left"/>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24" fillId="5" borderId="32" xfId="0" applyFont="1" applyFill="1" applyBorder="1" applyAlignment="1">
      <alignment horizontal="left" vertical="center" wrapText="1"/>
    </xf>
    <xf numFmtId="0" fontId="24" fillId="5" borderId="38" xfId="0" applyFont="1" applyFill="1" applyBorder="1" applyAlignment="1">
      <alignment horizontal="left" vertical="center"/>
    </xf>
    <xf numFmtId="0" fontId="14" fillId="5" borderId="38" xfId="0" applyFont="1" applyFill="1" applyBorder="1" applyAlignment="1">
      <alignment horizontal="left" vertical="center"/>
    </xf>
    <xf numFmtId="0" fontId="0" fillId="5" borderId="38" xfId="0" applyFont="1" applyFill="1" applyBorder="1" applyAlignment="1">
      <alignment horizontal="left" vertical="center"/>
    </xf>
    <xf numFmtId="0" fontId="0" fillId="0" borderId="38" xfId="0" applyFont="1" applyBorder="1" applyAlignment="1">
      <alignment horizontal="left" vertical="center"/>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Border="1" applyAlignment="1">
      <alignment horizontal="left" vertical="center"/>
    </xf>
    <xf numFmtId="0" fontId="0" fillId="0" borderId="41" xfId="0" applyBorder="1" applyAlignment="1">
      <alignment horizontal="left" vertical="center"/>
    </xf>
    <xf numFmtId="0" fontId="28" fillId="0" borderId="44" xfId="0" applyFont="1" applyBorder="1" applyAlignment="1">
      <alignment horizontal="left" vertical="center" wrapText="1"/>
    </xf>
    <xf numFmtId="0" fontId="0" fillId="0" borderId="22"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79"/>
  <sheetViews>
    <sheetView tabSelected="1" zoomScale="85" zoomScaleNormal="85" workbookViewId="0">
      <selection activeCell="E61" sqref="E61"/>
    </sheetView>
  </sheetViews>
  <sheetFormatPr baseColWidth="10" defaultColWidth="11" defaultRowHeight="12.75" x14ac:dyDescent="0.2"/>
  <cols>
    <col min="1" max="1" width="4.5703125" style="38" customWidth="1"/>
    <col min="2" max="2" width="12.85546875" style="38" customWidth="1"/>
    <col min="3" max="3" width="32.42578125" style="38" customWidth="1"/>
    <col min="4" max="4" width="8.42578125" style="38" customWidth="1"/>
    <col min="5" max="5" width="79" style="38" customWidth="1"/>
    <col min="6" max="6" width="11" style="38"/>
    <col min="7" max="7" width="12.7109375" style="38" customWidth="1"/>
    <col min="8" max="8" width="13.85546875" style="38" customWidth="1"/>
    <col min="9" max="9" width="18.5703125" style="38" customWidth="1"/>
    <col min="10" max="16384" width="11" style="38"/>
  </cols>
  <sheetData>
    <row r="2" spans="1:9" ht="27" x14ac:dyDescent="0.35">
      <c r="B2" s="86" t="s">
        <v>0</v>
      </c>
      <c r="C2" s="86"/>
      <c r="D2" s="86"/>
      <c r="E2" s="86"/>
      <c r="F2" s="86"/>
      <c r="G2" s="86"/>
      <c r="H2" s="86"/>
    </row>
    <row r="4" spans="1:9" ht="18" customHeight="1" x14ac:dyDescent="0.25">
      <c r="A4" s="87" t="s">
        <v>1</v>
      </c>
      <c r="B4" s="87"/>
      <c r="C4" s="88" t="s">
        <v>58</v>
      </c>
      <c r="D4" s="88"/>
      <c r="E4" s="88"/>
      <c r="F4" s="39"/>
      <c r="G4" s="40"/>
      <c r="H4" s="39"/>
    </row>
    <row r="5" spans="1:9" ht="18" customHeight="1" x14ac:dyDescent="0.25">
      <c r="A5" s="87" t="s">
        <v>2</v>
      </c>
      <c r="B5" s="87"/>
      <c r="C5" s="88" t="s">
        <v>59</v>
      </c>
      <c r="D5" s="88"/>
      <c r="E5" s="88"/>
      <c r="F5" s="39"/>
      <c r="G5" s="40"/>
      <c r="H5" s="39"/>
    </row>
    <row r="6" spans="1:9" ht="16.5" customHeight="1" x14ac:dyDescent="0.25">
      <c r="A6" s="87" t="s">
        <v>3</v>
      </c>
      <c r="B6" s="87"/>
      <c r="C6" s="60">
        <v>2021</v>
      </c>
      <c r="D6" s="61"/>
      <c r="E6" s="61"/>
      <c r="F6" s="39"/>
      <c r="G6" s="40"/>
      <c r="H6" s="39"/>
    </row>
    <row r="7" spans="1:9" ht="16.5" customHeight="1" x14ac:dyDescent="0.25">
      <c r="A7" s="87" t="s">
        <v>4</v>
      </c>
      <c r="B7" s="87"/>
      <c r="C7" s="60">
        <v>2</v>
      </c>
      <c r="D7" s="61"/>
      <c r="E7" s="61"/>
      <c r="F7" s="39"/>
      <c r="G7" s="40"/>
      <c r="H7" s="39"/>
    </row>
    <row r="8" spans="1:9" ht="13.5" thickBot="1" x14ac:dyDescent="0.25">
      <c r="B8" s="39"/>
      <c r="C8" s="40"/>
      <c r="D8" s="39"/>
      <c r="E8" s="39"/>
      <c r="F8" s="39"/>
      <c r="G8" s="40"/>
      <c r="H8" s="39"/>
    </row>
    <row r="9" spans="1:9" ht="39" thickBot="1" x14ac:dyDescent="0.25">
      <c r="A9" s="54" t="s">
        <v>5</v>
      </c>
      <c r="B9" s="54" t="s">
        <v>6</v>
      </c>
      <c r="C9" s="54" t="s">
        <v>7</v>
      </c>
      <c r="D9" s="54" t="s">
        <v>8</v>
      </c>
      <c r="E9" s="54" t="s">
        <v>9</v>
      </c>
      <c r="F9" s="54" t="s">
        <v>10</v>
      </c>
      <c r="G9" s="54" t="s">
        <v>11</v>
      </c>
      <c r="H9" s="54" t="s">
        <v>12</v>
      </c>
      <c r="I9" s="54" t="s">
        <v>13</v>
      </c>
    </row>
    <row r="10" spans="1:9" ht="31.9" customHeight="1" thickBot="1" x14ac:dyDescent="0.25">
      <c r="A10" s="55">
        <v>1</v>
      </c>
      <c r="B10" s="58"/>
      <c r="C10" s="56" t="s">
        <v>120</v>
      </c>
      <c r="D10" s="57" t="s">
        <v>119</v>
      </c>
      <c r="E10" s="78" t="s">
        <v>68</v>
      </c>
      <c r="F10" s="58" t="s">
        <v>115</v>
      </c>
      <c r="G10" s="76">
        <v>5000</v>
      </c>
      <c r="H10" s="77">
        <v>1.62</v>
      </c>
      <c r="I10" s="59">
        <f t="shared" ref="I10:I40" si="0">G10*H10</f>
        <v>8100.0000000000009</v>
      </c>
    </row>
    <row r="11" spans="1:9" ht="31.9" customHeight="1" thickBot="1" x14ac:dyDescent="0.25">
      <c r="A11" s="55">
        <v>2</v>
      </c>
      <c r="B11" s="58"/>
      <c r="C11" s="56" t="s">
        <v>120</v>
      </c>
      <c r="D11" s="57" t="s">
        <v>119</v>
      </c>
      <c r="E11" s="78" t="s">
        <v>69</v>
      </c>
      <c r="F11" s="58" t="s">
        <v>115</v>
      </c>
      <c r="G11" s="76">
        <v>150000</v>
      </c>
      <c r="H11" s="77">
        <v>1.62</v>
      </c>
      <c r="I11" s="59">
        <f t="shared" si="0"/>
        <v>243000.00000000003</v>
      </c>
    </row>
    <row r="12" spans="1:9" ht="31.9" customHeight="1" thickBot="1" x14ac:dyDescent="0.25">
      <c r="A12" s="55">
        <v>3</v>
      </c>
      <c r="B12" s="58"/>
      <c r="C12" s="56" t="s">
        <v>120</v>
      </c>
      <c r="D12" s="57" t="s">
        <v>119</v>
      </c>
      <c r="E12" s="78" t="s">
        <v>70</v>
      </c>
      <c r="F12" s="58" t="s">
        <v>115</v>
      </c>
      <c r="G12" s="76">
        <v>1000</v>
      </c>
      <c r="H12" s="77">
        <v>1.32</v>
      </c>
      <c r="I12" s="59">
        <f t="shared" si="0"/>
        <v>1320</v>
      </c>
    </row>
    <row r="13" spans="1:9" ht="31.9" customHeight="1" thickBot="1" x14ac:dyDescent="0.25">
      <c r="A13" s="55">
        <v>4</v>
      </c>
      <c r="B13" s="58"/>
      <c r="C13" s="56" t="s">
        <v>120</v>
      </c>
      <c r="D13" s="57" t="s">
        <v>119</v>
      </c>
      <c r="E13" s="78" t="s">
        <v>71</v>
      </c>
      <c r="F13" s="58" t="s">
        <v>115</v>
      </c>
      <c r="G13" s="76">
        <v>40000</v>
      </c>
      <c r="H13" s="77">
        <v>1.48</v>
      </c>
      <c r="I13" s="59">
        <f t="shared" si="0"/>
        <v>59200</v>
      </c>
    </row>
    <row r="14" spans="1:9" ht="31.9" customHeight="1" thickBot="1" x14ac:dyDescent="0.25">
      <c r="A14" s="55">
        <v>5</v>
      </c>
      <c r="B14" s="58"/>
      <c r="C14" s="56" t="s">
        <v>117</v>
      </c>
      <c r="D14" s="57" t="s">
        <v>116</v>
      </c>
      <c r="E14" s="78" t="s">
        <v>72</v>
      </c>
      <c r="F14" s="58" t="s">
        <v>115</v>
      </c>
      <c r="G14" s="76">
        <v>250</v>
      </c>
      <c r="H14" s="77">
        <v>295</v>
      </c>
      <c r="I14" s="59">
        <f t="shared" si="0"/>
        <v>73750</v>
      </c>
    </row>
    <row r="15" spans="1:9" ht="31.9" customHeight="1" thickBot="1" x14ac:dyDescent="0.25">
      <c r="A15" s="55">
        <v>6</v>
      </c>
      <c r="B15" s="58"/>
      <c r="C15" s="56" t="s">
        <v>120</v>
      </c>
      <c r="D15" s="57" t="s">
        <v>119</v>
      </c>
      <c r="E15" s="78" t="s">
        <v>73</v>
      </c>
      <c r="F15" s="58" t="s">
        <v>115</v>
      </c>
      <c r="G15" s="76">
        <v>80850</v>
      </c>
      <c r="H15" s="77">
        <v>9.9</v>
      </c>
      <c r="I15" s="59">
        <f t="shared" si="0"/>
        <v>800415</v>
      </c>
    </row>
    <row r="16" spans="1:9" ht="31.9" customHeight="1" thickBot="1" x14ac:dyDescent="0.25">
      <c r="A16" s="55">
        <v>7</v>
      </c>
      <c r="B16" s="58"/>
      <c r="C16" s="56" t="s">
        <v>120</v>
      </c>
      <c r="D16" s="57" t="s">
        <v>119</v>
      </c>
      <c r="E16" s="78" t="s">
        <v>74</v>
      </c>
      <c r="F16" s="58" t="s">
        <v>115</v>
      </c>
      <c r="G16" s="76">
        <v>1278</v>
      </c>
      <c r="H16" s="77">
        <v>69.900000000000006</v>
      </c>
      <c r="I16" s="59">
        <f t="shared" si="0"/>
        <v>89332.200000000012</v>
      </c>
    </row>
    <row r="17" spans="1:9" ht="31.9" customHeight="1" thickBot="1" x14ac:dyDescent="0.25">
      <c r="A17" s="55">
        <v>8</v>
      </c>
      <c r="B17" s="58"/>
      <c r="C17" s="56" t="s">
        <v>62</v>
      </c>
      <c r="D17" s="57" t="s">
        <v>118</v>
      </c>
      <c r="E17" s="78" t="s">
        <v>75</v>
      </c>
      <c r="F17" s="58" t="s">
        <v>115</v>
      </c>
      <c r="G17" s="76">
        <v>20</v>
      </c>
      <c r="H17" s="77">
        <v>850</v>
      </c>
      <c r="I17" s="59">
        <f t="shared" si="0"/>
        <v>17000</v>
      </c>
    </row>
    <row r="18" spans="1:9" ht="31.9" customHeight="1" thickBot="1" x14ac:dyDescent="0.25">
      <c r="A18" s="55">
        <v>9</v>
      </c>
      <c r="B18" s="58"/>
      <c r="C18" s="56" t="s">
        <v>120</v>
      </c>
      <c r="D18" s="57" t="s">
        <v>119</v>
      </c>
      <c r="E18" s="79" t="s">
        <v>76</v>
      </c>
      <c r="F18" s="58" t="s">
        <v>115</v>
      </c>
      <c r="G18" s="76">
        <v>15200</v>
      </c>
      <c r="H18" s="77">
        <v>85</v>
      </c>
      <c r="I18" s="59">
        <f t="shared" si="0"/>
        <v>1292000</v>
      </c>
    </row>
    <row r="19" spans="1:9" ht="31.9" customHeight="1" thickBot="1" x14ac:dyDescent="0.25">
      <c r="A19" s="55">
        <v>10</v>
      </c>
      <c r="B19" s="58"/>
      <c r="C19" s="56" t="s">
        <v>120</v>
      </c>
      <c r="D19" s="57" t="s">
        <v>119</v>
      </c>
      <c r="E19" s="80" t="s">
        <v>77</v>
      </c>
      <c r="F19" s="58" t="s">
        <v>115</v>
      </c>
      <c r="G19" s="76">
        <v>30</v>
      </c>
      <c r="H19" s="77">
        <v>3330</v>
      </c>
      <c r="I19" s="59">
        <f t="shared" si="0"/>
        <v>99900</v>
      </c>
    </row>
    <row r="20" spans="1:9" ht="31.9" customHeight="1" thickBot="1" x14ac:dyDescent="0.25">
      <c r="A20" s="55">
        <v>11</v>
      </c>
      <c r="B20" s="58"/>
      <c r="C20" s="56" t="s">
        <v>120</v>
      </c>
      <c r="D20" s="57" t="s">
        <v>119</v>
      </c>
      <c r="E20" s="80" t="s">
        <v>125</v>
      </c>
      <c r="F20" s="58" t="s">
        <v>115</v>
      </c>
      <c r="G20" s="76">
        <v>200</v>
      </c>
      <c r="H20" s="77">
        <v>19.899999999999999</v>
      </c>
      <c r="I20" s="59">
        <f t="shared" si="0"/>
        <v>3979.9999999999995</v>
      </c>
    </row>
    <row r="21" spans="1:9" ht="31.9" customHeight="1" thickBot="1" x14ac:dyDescent="0.25">
      <c r="A21" s="55">
        <v>12</v>
      </c>
      <c r="B21" s="58"/>
      <c r="C21" s="56" t="s">
        <v>120</v>
      </c>
      <c r="D21" s="57" t="s">
        <v>119</v>
      </c>
      <c r="E21" s="78" t="s">
        <v>78</v>
      </c>
      <c r="F21" s="58" t="s">
        <v>115</v>
      </c>
      <c r="G21" s="76">
        <v>504</v>
      </c>
      <c r="H21" s="77">
        <v>317.83</v>
      </c>
      <c r="I21" s="59">
        <f t="shared" si="0"/>
        <v>160186.31999999998</v>
      </c>
    </row>
    <row r="22" spans="1:9" ht="31.9" customHeight="1" thickBot="1" x14ac:dyDescent="0.25">
      <c r="A22" s="55">
        <v>13</v>
      </c>
      <c r="B22" s="58"/>
      <c r="C22" s="56" t="s">
        <v>120</v>
      </c>
      <c r="D22" s="57" t="s">
        <v>119</v>
      </c>
      <c r="E22" s="78" t="s">
        <v>79</v>
      </c>
      <c r="F22" s="58" t="s">
        <v>115</v>
      </c>
      <c r="G22" s="76">
        <v>500</v>
      </c>
      <c r="H22" s="77">
        <v>651</v>
      </c>
      <c r="I22" s="59">
        <f t="shared" si="0"/>
        <v>325500</v>
      </c>
    </row>
    <row r="23" spans="1:9" ht="31.9" customHeight="1" thickBot="1" x14ac:dyDescent="0.25">
      <c r="A23" s="55">
        <v>14</v>
      </c>
      <c r="B23" s="58"/>
      <c r="C23" s="56" t="s">
        <v>120</v>
      </c>
      <c r="D23" s="57" t="s">
        <v>119</v>
      </c>
      <c r="E23" s="80" t="s">
        <v>80</v>
      </c>
      <c r="F23" s="58" t="s">
        <v>115</v>
      </c>
      <c r="G23" s="76">
        <v>10000</v>
      </c>
      <c r="H23" s="77">
        <v>9.4</v>
      </c>
      <c r="I23" s="59">
        <f t="shared" si="0"/>
        <v>94000</v>
      </c>
    </row>
    <row r="24" spans="1:9" ht="31.9" customHeight="1" thickBot="1" x14ac:dyDescent="0.25">
      <c r="A24" s="55">
        <v>15</v>
      </c>
      <c r="B24" s="58"/>
      <c r="C24" s="56" t="s">
        <v>120</v>
      </c>
      <c r="D24" s="57" t="s">
        <v>119</v>
      </c>
      <c r="E24" s="80" t="s">
        <v>130</v>
      </c>
      <c r="F24" s="58" t="s">
        <v>115</v>
      </c>
      <c r="G24" s="76">
        <v>500</v>
      </c>
      <c r="H24" s="77">
        <v>38</v>
      </c>
      <c r="I24" s="59">
        <f t="shared" si="0"/>
        <v>19000</v>
      </c>
    </row>
    <row r="25" spans="1:9" ht="31.9" customHeight="1" thickBot="1" x14ac:dyDescent="0.25">
      <c r="A25" s="55">
        <v>16</v>
      </c>
      <c r="B25" s="58"/>
      <c r="C25" s="56" t="s">
        <v>120</v>
      </c>
      <c r="D25" s="57" t="s">
        <v>119</v>
      </c>
      <c r="E25" s="80" t="s">
        <v>81</v>
      </c>
      <c r="F25" s="58" t="s">
        <v>115</v>
      </c>
      <c r="G25" s="76">
        <v>300</v>
      </c>
      <c r="H25" s="77">
        <v>40.18</v>
      </c>
      <c r="I25" s="59">
        <f t="shared" si="0"/>
        <v>12054</v>
      </c>
    </row>
    <row r="26" spans="1:9" ht="31.9" customHeight="1" thickBot="1" x14ac:dyDescent="0.25">
      <c r="A26" s="55">
        <v>17</v>
      </c>
      <c r="B26" s="58"/>
      <c r="C26" s="56" t="s">
        <v>62</v>
      </c>
      <c r="D26" s="57" t="s">
        <v>118</v>
      </c>
      <c r="E26" s="80" t="s">
        <v>126</v>
      </c>
      <c r="F26" s="58" t="s">
        <v>115</v>
      </c>
      <c r="G26" s="76">
        <v>8</v>
      </c>
      <c r="H26" s="77">
        <v>490</v>
      </c>
      <c r="I26" s="59">
        <f t="shared" si="0"/>
        <v>3920</v>
      </c>
    </row>
    <row r="27" spans="1:9" ht="31.9" customHeight="1" thickBot="1" x14ac:dyDescent="0.25">
      <c r="A27" s="55">
        <v>18</v>
      </c>
      <c r="B27" s="58"/>
      <c r="C27" s="56" t="s">
        <v>62</v>
      </c>
      <c r="D27" s="57" t="s">
        <v>118</v>
      </c>
      <c r="E27" s="78" t="s">
        <v>82</v>
      </c>
      <c r="F27" s="58" t="s">
        <v>115</v>
      </c>
      <c r="G27" s="76">
        <v>30</v>
      </c>
      <c r="H27" s="77">
        <v>440.78</v>
      </c>
      <c r="I27" s="59">
        <f t="shared" si="0"/>
        <v>13223.4</v>
      </c>
    </row>
    <row r="28" spans="1:9" ht="31.9" customHeight="1" thickBot="1" x14ac:dyDescent="0.25">
      <c r="A28" s="55">
        <v>19</v>
      </c>
      <c r="B28" s="58"/>
      <c r="C28" s="56" t="s">
        <v>120</v>
      </c>
      <c r="D28" s="57" t="s">
        <v>119</v>
      </c>
      <c r="E28" s="81" t="s">
        <v>83</v>
      </c>
      <c r="F28" s="58" t="s">
        <v>115</v>
      </c>
      <c r="G28" s="76">
        <v>6000</v>
      </c>
      <c r="H28" s="77">
        <v>738</v>
      </c>
      <c r="I28" s="59">
        <f t="shared" si="0"/>
        <v>4428000</v>
      </c>
    </row>
    <row r="29" spans="1:9" ht="31.9" customHeight="1" thickBot="1" x14ac:dyDescent="0.25">
      <c r="A29" s="55">
        <v>20</v>
      </c>
      <c r="B29" s="58"/>
      <c r="C29" s="56" t="s">
        <v>120</v>
      </c>
      <c r="D29" s="57" t="s">
        <v>119</v>
      </c>
      <c r="E29" s="81" t="s">
        <v>128</v>
      </c>
      <c r="F29" s="58" t="s">
        <v>115</v>
      </c>
      <c r="G29" s="76">
        <v>4</v>
      </c>
      <c r="H29" s="77">
        <v>1350</v>
      </c>
      <c r="I29" s="59">
        <f t="shared" si="0"/>
        <v>5400</v>
      </c>
    </row>
    <row r="30" spans="1:9" ht="31.9" customHeight="1" thickBot="1" x14ac:dyDescent="0.25">
      <c r="A30" s="55">
        <v>21</v>
      </c>
      <c r="B30" s="58"/>
      <c r="C30" s="56" t="s">
        <v>120</v>
      </c>
      <c r="D30" s="57" t="s">
        <v>119</v>
      </c>
      <c r="E30" s="81" t="s">
        <v>127</v>
      </c>
      <c r="F30" s="58" t="s">
        <v>115</v>
      </c>
      <c r="G30" s="76">
        <v>4</v>
      </c>
      <c r="H30" s="77">
        <v>1350</v>
      </c>
      <c r="I30" s="59">
        <f t="shared" si="0"/>
        <v>5400</v>
      </c>
    </row>
    <row r="31" spans="1:9" ht="31.9" customHeight="1" thickBot="1" x14ac:dyDescent="0.25">
      <c r="A31" s="55">
        <v>22</v>
      </c>
      <c r="B31" s="58"/>
      <c r="C31" s="56" t="s">
        <v>120</v>
      </c>
      <c r="D31" s="57" t="s">
        <v>119</v>
      </c>
      <c r="E31" s="81" t="s">
        <v>84</v>
      </c>
      <c r="F31" s="58" t="s">
        <v>115</v>
      </c>
      <c r="G31" s="76">
        <v>2000</v>
      </c>
      <c r="H31" s="77">
        <v>57.2</v>
      </c>
      <c r="I31" s="59">
        <f t="shared" si="0"/>
        <v>114400</v>
      </c>
    </row>
    <row r="32" spans="1:9" ht="31.9" customHeight="1" thickBot="1" x14ac:dyDescent="0.25">
      <c r="A32" s="55">
        <v>23</v>
      </c>
      <c r="B32" s="58"/>
      <c r="C32" s="56" t="s">
        <v>120</v>
      </c>
      <c r="D32" s="57" t="s">
        <v>119</v>
      </c>
      <c r="E32" s="81" t="s">
        <v>129</v>
      </c>
      <c r="F32" s="58" t="s">
        <v>115</v>
      </c>
      <c r="G32" s="76">
        <v>200</v>
      </c>
      <c r="H32" s="77">
        <v>16.5</v>
      </c>
      <c r="I32" s="59">
        <f t="shared" si="0"/>
        <v>3300</v>
      </c>
    </row>
    <row r="33" spans="1:9" ht="31.9" customHeight="1" thickBot="1" x14ac:dyDescent="0.25">
      <c r="A33" s="55">
        <v>24</v>
      </c>
      <c r="B33" s="58"/>
      <c r="C33" s="56" t="s">
        <v>120</v>
      </c>
      <c r="D33" s="57" t="s">
        <v>119</v>
      </c>
      <c r="E33" s="81" t="s">
        <v>85</v>
      </c>
      <c r="F33" s="58" t="s">
        <v>115</v>
      </c>
      <c r="G33" s="76">
        <v>100</v>
      </c>
      <c r="H33" s="77">
        <v>820</v>
      </c>
      <c r="I33" s="59">
        <f t="shared" si="0"/>
        <v>82000</v>
      </c>
    </row>
    <row r="34" spans="1:9" ht="31.9" customHeight="1" thickBot="1" x14ac:dyDescent="0.25">
      <c r="A34" s="55">
        <v>25</v>
      </c>
      <c r="B34" s="58"/>
      <c r="C34" s="56" t="s">
        <v>120</v>
      </c>
      <c r="D34" s="57" t="s">
        <v>119</v>
      </c>
      <c r="E34" s="81" t="s">
        <v>86</v>
      </c>
      <c r="F34" s="58" t="s">
        <v>115</v>
      </c>
      <c r="G34" s="76">
        <v>60000</v>
      </c>
      <c r="H34" s="77">
        <v>6.44</v>
      </c>
      <c r="I34" s="59">
        <f t="shared" si="0"/>
        <v>386400</v>
      </c>
    </row>
    <row r="35" spans="1:9" ht="31.9" customHeight="1" thickBot="1" x14ac:dyDescent="0.25">
      <c r="A35" s="55">
        <v>26</v>
      </c>
      <c r="B35" s="58"/>
      <c r="C35" s="56" t="s">
        <v>120</v>
      </c>
      <c r="D35" s="57" t="s">
        <v>119</v>
      </c>
      <c r="E35" s="81" t="s">
        <v>87</v>
      </c>
      <c r="F35" s="58" t="s">
        <v>115</v>
      </c>
      <c r="G35" s="76">
        <v>35000</v>
      </c>
      <c r="H35" s="77">
        <v>4.22</v>
      </c>
      <c r="I35" s="59">
        <f t="shared" si="0"/>
        <v>147700</v>
      </c>
    </row>
    <row r="36" spans="1:9" ht="31.9" customHeight="1" thickBot="1" x14ac:dyDescent="0.25">
      <c r="A36" s="55">
        <v>27</v>
      </c>
      <c r="B36" s="58"/>
      <c r="C36" s="56" t="s">
        <v>120</v>
      </c>
      <c r="D36" s="57" t="s">
        <v>119</v>
      </c>
      <c r="E36" s="81" t="s">
        <v>88</v>
      </c>
      <c r="F36" s="58" t="s">
        <v>115</v>
      </c>
      <c r="G36" s="76">
        <v>1000</v>
      </c>
      <c r="H36" s="77">
        <v>27.08</v>
      </c>
      <c r="I36" s="59">
        <f t="shared" si="0"/>
        <v>27080</v>
      </c>
    </row>
    <row r="37" spans="1:9" ht="31.9" customHeight="1" thickBot="1" x14ac:dyDescent="0.25">
      <c r="A37" s="55">
        <v>28</v>
      </c>
      <c r="B37" s="58"/>
      <c r="C37" s="56" t="s">
        <v>120</v>
      </c>
      <c r="D37" s="57" t="s">
        <v>119</v>
      </c>
      <c r="E37" s="81" t="s">
        <v>89</v>
      </c>
      <c r="F37" s="58" t="s">
        <v>115</v>
      </c>
      <c r="G37" s="76">
        <v>400</v>
      </c>
      <c r="H37" s="77">
        <v>200</v>
      </c>
      <c r="I37" s="59">
        <f t="shared" si="0"/>
        <v>80000</v>
      </c>
    </row>
    <row r="38" spans="1:9" ht="31.9" customHeight="1" thickBot="1" x14ac:dyDescent="0.25">
      <c r="A38" s="55">
        <v>29</v>
      </c>
      <c r="B38" s="58"/>
      <c r="C38" s="56" t="s">
        <v>120</v>
      </c>
      <c r="D38" s="57" t="s">
        <v>119</v>
      </c>
      <c r="E38" s="82" t="s">
        <v>90</v>
      </c>
      <c r="F38" s="58" t="s">
        <v>115</v>
      </c>
      <c r="G38" s="76">
        <v>600</v>
      </c>
      <c r="H38" s="77">
        <v>609</v>
      </c>
      <c r="I38" s="59">
        <f t="shared" si="0"/>
        <v>365400</v>
      </c>
    </row>
    <row r="39" spans="1:9" ht="31.9" customHeight="1" thickBot="1" x14ac:dyDescent="0.25">
      <c r="A39" s="55">
        <v>30</v>
      </c>
      <c r="B39" s="58"/>
      <c r="C39" s="56" t="s">
        <v>120</v>
      </c>
      <c r="D39" s="57" t="s">
        <v>119</v>
      </c>
      <c r="E39" s="82" t="s">
        <v>91</v>
      </c>
      <c r="F39" s="58" t="s">
        <v>115</v>
      </c>
      <c r="G39" s="76">
        <v>600</v>
      </c>
      <c r="H39" s="77">
        <v>609</v>
      </c>
      <c r="I39" s="59">
        <f t="shared" si="0"/>
        <v>365400</v>
      </c>
    </row>
    <row r="40" spans="1:9" ht="31.9" customHeight="1" thickBot="1" x14ac:dyDescent="0.25">
      <c r="A40" s="55">
        <v>31</v>
      </c>
      <c r="B40" s="58"/>
      <c r="C40" s="56" t="s">
        <v>120</v>
      </c>
      <c r="D40" s="57" t="s">
        <v>119</v>
      </c>
      <c r="E40" s="82" t="s">
        <v>92</v>
      </c>
      <c r="F40" s="58" t="s">
        <v>115</v>
      </c>
      <c r="G40" s="76">
        <v>150</v>
      </c>
      <c r="H40" s="77">
        <v>609</v>
      </c>
      <c r="I40" s="59">
        <f t="shared" si="0"/>
        <v>91350</v>
      </c>
    </row>
    <row r="41" spans="1:9" ht="31.9" customHeight="1" thickBot="1" x14ac:dyDescent="0.25">
      <c r="A41" s="55">
        <v>32</v>
      </c>
      <c r="B41" s="58"/>
      <c r="C41" s="56" t="s">
        <v>120</v>
      </c>
      <c r="D41" s="57" t="s">
        <v>119</v>
      </c>
      <c r="E41" s="82" t="s">
        <v>93</v>
      </c>
      <c r="F41" s="58" t="s">
        <v>115</v>
      </c>
      <c r="G41" s="76">
        <v>50</v>
      </c>
      <c r="H41" s="77">
        <v>609</v>
      </c>
      <c r="I41" s="59">
        <f t="shared" ref="I41:I63" si="1">G41*H41</f>
        <v>30450</v>
      </c>
    </row>
    <row r="42" spans="1:9" ht="31.9" customHeight="1" thickBot="1" x14ac:dyDescent="0.25">
      <c r="A42" s="55">
        <v>33</v>
      </c>
      <c r="B42" s="58"/>
      <c r="C42" s="56" t="s">
        <v>120</v>
      </c>
      <c r="D42" s="57" t="s">
        <v>119</v>
      </c>
      <c r="E42" s="82" t="s">
        <v>131</v>
      </c>
      <c r="F42" s="58" t="s">
        <v>115</v>
      </c>
      <c r="G42" s="76">
        <v>14</v>
      </c>
      <c r="H42" s="77">
        <v>177</v>
      </c>
      <c r="I42" s="59">
        <f t="shared" si="1"/>
        <v>2478</v>
      </c>
    </row>
    <row r="43" spans="1:9" ht="31.9" customHeight="1" thickBot="1" x14ac:dyDescent="0.25">
      <c r="A43" s="55">
        <v>34</v>
      </c>
      <c r="B43" s="58"/>
      <c r="C43" s="56" t="s">
        <v>120</v>
      </c>
      <c r="D43" s="57" t="s">
        <v>119</v>
      </c>
      <c r="E43" s="82" t="s">
        <v>94</v>
      </c>
      <c r="F43" s="58" t="s">
        <v>115</v>
      </c>
      <c r="G43" s="76">
        <v>500</v>
      </c>
      <c r="H43" s="77">
        <v>208</v>
      </c>
      <c r="I43" s="59">
        <f t="shared" si="1"/>
        <v>104000</v>
      </c>
    </row>
    <row r="44" spans="1:9" ht="31.9" customHeight="1" thickBot="1" x14ac:dyDescent="0.25">
      <c r="A44" s="55">
        <v>35</v>
      </c>
      <c r="B44" s="58"/>
      <c r="C44" s="56" t="s">
        <v>120</v>
      </c>
      <c r="D44" s="57" t="s">
        <v>119</v>
      </c>
      <c r="E44" s="81" t="s">
        <v>95</v>
      </c>
      <c r="F44" s="58" t="s">
        <v>115</v>
      </c>
      <c r="G44" s="76">
        <v>600</v>
      </c>
      <c r="H44" s="77">
        <v>30.3</v>
      </c>
      <c r="I44" s="59">
        <f t="shared" si="1"/>
        <v>18180</v>
      </c>
    </row>
    <row r="45" spans="1:9" ht="31.9" customHeight="1" thickBot="1" x14ac:dyDescent="0.25">
      <c r="A45" s="55">
        <v>36</v>
      </c>
      <c r="B45" s="58"/>
      <c r="C45" s="56" t="s">
        <v>120</v>
      </c>
      <c r="D45" s="57" t="s">
        <v>119</v>
      </c>
      <c r="E45" s="81" t="s">
        <v>96</v>
      </c>
      <c r="F45" s="58" t="s">
        <v>115</v>
      </c>
      <c r="G45" s="76">
        <v>900</v>
      </c>
      <c r="H45" s="77">
        <v>39.520000000000003</v>
      </c>
      <c r="I45" s="59">
        <f t="shared" si="1"/>
        <v>35568</v>
      </c>
    </row>
    <row r="46" spans="1:9" ht="31.9" customHeight="1" thickBot="1" x14ac:dyDescent="0.25">
      <c r="A46" s="55">
        <v>37</v>
      </c>
      <c r="B46" s="58"/>
      <c r="C46" s="56" t="s">
        <v>120</v>
      </c>
      <c r="D46" s="57" t="s">
        <v>119</v>
      </c>
      <c r="E46" s="81" t="s">
        <v>97</v>
      </c>
      <c r="F46" s="58" t="s">
        <v>115</v>
      </c>
      <c r="G46" s="76">
        <v>900</v>
      </c>
      <c r="H46" s="77">
        <v>39.520000000000003</v>
      </c>
      <c r="I46" s="59">
        <f t="shared" si="1"/>
        <v>35568</v>
      </c>
    </row>
    <row r="47" spans="1:9" ht="31.9" customHeight="1" thickBot="1" x14ac:dyDescent="0.25">
      <c r="A47" s="55">
        <v>38</v>
      </c>
      <c r="B47" s="58"/>
      <c r="C47" s="56" t="s">
        <v>117</v>
      </c>
      <c r="D47" s="57" t="s">
        <v>116</v>
      </c>
      <c r="E47" s="81" t="s">
        <v>98</v>
      </c>
      <c r="F47" s="58" t="s">
        <v>115</v>
      </c>
      <c r="G47" s="76">
        <v>20000</v>
      </c>
      <c r="H47" s="77">
        <v>22.7</v>
      </c>
      <c r="I47" s="59">
        <f t="shared" si="1"/>
        <v>454000</v>
      </c>
    </row>
    <row r="48" spans="1:9" ht="31.9" customHeight="1" thickBot="1" x14ac:dyDescent="0.25">
      <c r="A48" s="55">
        <v>39</v>
      </c>
      <c r="B48" s="58"/>
      <c r="C48" s="56" t="s">
        <v>120</v>
      </c>
      <c r="D48" s="57" t="s">
        <v>119</v>
      </c>
      <c r="E48" s="81" t="s">
        <v>99</v>
      </c>
      <c r="F48" s="58" t="s">
        <v>115</v>
      </c>
      <c r="G48" s="76">
        <v>200</v>
      </c>
      <c r="H48" s="77">
        <v>208</v>
      </c>
      <c r="I48" s="59">
        <f t="shared" si="1"/>
        <v>41600</v>
      </c>
    </row>
    <row r="49" spans="1:9" ht="31.9" customHeight="1" thickBot="1" x14ac:dyDescent="0.25">
      <c r="A49" s="55">
        <v>40</v>
      </c>
      <c r="B49" s="58"/>
      <c r="C49" s="56" t="s">
        <v>120</v>
      </c>
      <c r="D49" s="57" t="s">
        <v>119</v>
      </c>
      <c r="E49" s="81" t="s">
        <v>100</v>
      </c>
      <c r="F49" s="58" t="s">
        <v>115</v>
      </c>
      <c r="G49" s="76">
        <v>20</v>
      </c>
      <c r="H49" s="77">
        <v>336</v>
      </c>
      <c r="I49" s="59">
        <f t="shared" si="1"/>
        <v>6720</v>
      </c>
    </row>
    <row r="50" spans="1:9" ht="31.9" customHeight="1" thickBot="1" x14ac:dyDescent="0.25">
      <c r="A50" s="55">
        <v>41</v>
      </c>
      <c r="B50" s="58"/>
      <c r="C50" s="56" t="s">
        <v>120</v>
      </c>
      <c r="D50" s="57" t="s">
        <v>119</v>
      </c>
      <c r="E50" s="81" t="s">
        <v>101</v>
      </c>
      <c r="F50" s="58" t="s">
        <v>115</v>
      </c>
      <c r="G50" s="76">
        <v>4512</v>
      </c>
      <c r="H50" s="77">
        <v>46.7</v>
      </c>
      <c r="I50" s="59">
        <f t="shared" si="1"/>
        <v>210710.40000000002</v>
      </c>
    </row>
    <row r="51" spans="1:9" ht="31.9" customHeight="1" thickBot="1" x14ac:dyDescent="0.25">
      <c r="A51" s="55">
        <v>42</v>
      </c>
      <c r="B51" s="58"/>
      <c r="C51" s="56" t="s">
        <v>120</v>
      </c>
      <c r="D51" s="57" t="s">
        <v>119</v>
      </c>
      <c r="E51" s="81" t="s">
        <v>102</v>
      </c>
      <c r="F51" s="58" t="s">
        <v>115</v>
      </c>
      <c r="G51" s="76">
        <v>2500</v>
      </c>
      <c r="H51" s="77">
        <v>110.4</v>
      </c>
      <c r="I51" s="59">
        <f t="shared" si="1"/>
        <v>276000</v>
      </c>
    </row>
    <row r="52" spans="1:9" ht="31.9" customHeight="1" thickBot="1" x14ac:dyDescent="0.25">
      <c r="A52" s="55">
        <v>43</v>
      </c>
      <c r="B52" s="58"/>
      <c r="C52" s="56" t="s">
        <v>120</v>
      </c>
      <c r="D52" s="57" t="s">
        <v>119</v>
      </c>
      <c r="E52" s="81" t="s">
        <v>103</v>
      </c>
      <c r="F52" s="58" t="s">
        <v>115</v>
      </c>
      <c r="G52" s="76">
        <v>500</v>
      </c>
      <c r="H52" s="77">
        <v>46.7</v>
      </c>
      <c r="I52" s="59">
        <f t="shared" si="1"/>
        <v>23350</v>
      </c>
    </row>
    <row r="53" spans="1:9" ht="31.9" customHeight="1" thickBot="1" x14ac:dyDescent="0.25">
      <c r="A53" s="55">
        <v>44</v>
      </c>
      <c r="B53" s="58"/>
      <c r="C53" s="56" t="s">
        <v>120</v>
      </c>
      <c r="D53" s="57" t="s">
        <v>119</v>
      </c>
      <c r="E53" s="80" t="s">
        <v>104</v>
      </c>
      <c r="F53" s="58" t="s">
        <v>115</v>
      </c>
      <c r="G53" s="76">
        <v>50</v>
      </c>
      <c r="H53" s="77">
        <v>231</v>
      </c>
      <c r="I53" s="59">
        <f t="shared" si="1"/>
        <v>11550</v>
      </c>
    </row>
    <row r="54" spans="1:9" ht="31.9" customHeight="1" thickBot="1" x14ac:dyDescent="0.25">
      <c r="A54" s="55">
        <v>45</v>
      </c>
      <c r="B54" s="58"/>
      <c r="C54" s="56" t="s">
        <v>62</v>
      </c>
      <c r="D54" s="57" t="s">
        <v>118</v>
      </c>
      <c r="E54" s="80" t="s">
        <v>105</v>
      </c>
      <c r="F54" s="58" t="s">
        <v>115</v>
      </c>
      <c r="G54" s="76">
        <v>400</v>
      </c>
      <c r="H54" s="77">
        <v>2259.5</v>
      </c>
      <c r="I54" s="59">
        <f t="shared" si="1"/>
        <v>903800</v>
      </c>
    </row>
    <row r="55" spans="1:9" ht="31.9" customHeight="1" thickBot="1" x14ac:dyDescent="0.25">
      <c r="A55" s="55">
        <v>46</v>
      </c>
      <c r="B55" s="58"/>
      <c r="C55" s="56" t="s">
        <v>120</v>
      </c>
      <c r="D55" s="57" t="s">
        <v>119</v>
      </c>
      <c r="E55" s="82" t="s">
        <v>106</v>
      </c>
      <c r="F55" s="58" t="s">
        <v>115</v>
      </c>
      <c r="G55" s="76">
        <v>50</v>
      </c>
      <c r="H55" s="77">
        <v>91</v>
      </c>
      <c r="I55" s="59">
        <f t="shared" si="1"/>
        <v>4550</v>
      </c>
    </row>
    <row r="56" spans="1:9" ht="31.9" customHeight="1" thickBot="1" x14ac:dyDescent="0.25">
      <c r="A56" s="55">
        <v>47</v>
      </c>
      <c r="B56" s="58"/>
      <c r="C56" s="56" t="s">
        <v>120</v>
      </c>
      <c r="D56" s="57" t="s">
        <v>119</v>
      </c>
      <c r="E56" s="82" t="s">
        <v>107</v>
      </c>
      <c r="F56" s="58" t="s">
        <v>115</v>
      </c>
      <c r="G56" s="76">
        <v>15</v>
      </c>
      <c r="H56" s="77">
        <v>975</v>
      </c>
      <c r="I56" s="59">
        <f t="shared" si="1"/>
        <v>14625</v>
      </c>
    </row>
    <row r="57" spans="1:9" ht="31.9" customHeight="1" thickBot="1" x14ac:dyDescent="0.25">
      <c r="A57" s="55">
        <v>48</v>
      </c>
      <c r="B57" s="58"/>
      <c r="C57" s="56" t="s">
        <v>120</v>
      </c>
      <c r="D57" s="57" t="s">
        <v>119</v>
      </c>
      <c r="E57" s="81" t="s">
        <v>108</v>
      </c>
      <c r="F57" s="58" t="s">
        <v>115</v>
      </c>
      <c r="G57" s="76">
        <v>50</v>
      </c>
      <c r="H57" s="77">
        <v>580</v>
      </c>
      <c r="I57" s="59">
        <f t="shared" si="1"/>
        <v>29000</v>
      </c>
    </row>
    <row r="58" spans="1:9" ht="31.9" customHeight="1" thickBot="1" x14ac:dyDescent="0.25">
      <c r="A58" s="55">
        <v>49</v>
      </c>
      <c r="B58" s="58"/>
      <c r="C58" s="56" t="s">
        <v>120</v>
      </c>
      <c r="D58" s="57" t="s">
        <v>119</v>
      </c>
      <c r="E58" s="83" t="s">
        <v>109</v>
      </c>
      <c r="F58" s="58" t="s">
        <v>115</v>
      </c>
      <c r="G58" s="76">
        <v>15</v>
      </c>
      <c r="H58" s="77">
        <v>836</v>
      </c>
      <c r="I58" s="59">
        <f t="shared" si="1"/>
        <v>12540</v>
      </c>
    </row>
    <row r="59" spans="1:9" ht="31.9" customHeight="1" thickBot="1" x14ac:dyDescent="0.25">
      <c r="A59" s="55">
        <v>50</v>
      </c>
      <c r="B59" s="58"/>
      <c r="C59" s="56" t="s">
        <v>120</v>
      </c>
      <c r="D59" s="57" t="s">
        <v>119</v>
      </c>
      <c r="E59" s="83" t="s">
        <v>110</v>
      </c>
      <c r="F59" s="58" t="s">
        <v>115</v>
      </c>
      <c r="G59" s="76">
        <v>15</v>
      </c>
      <c r="H59" s="77">
        <v>836</v>
      </c>
      <c r="I59" s="59">
        <f t="shared" si="1"/>
        <v>12540</v>
      </c>
    </row>
    <row r="60" spans="1:9" ht="31.9" customHeight="1" thickBot="1" x14ac:dyDescent="0.25">
      <c r="A60" s="55">
        <v>51</v>
      </c>
      <c r="B60" s="58"/>
      <c r="C60" s="56" t="s">
        <v>120</v>
      </c>
      <c r="D60" s="57" t="s">
        <v>119</v>
      </c>
      <c r="E60" s="81" t="s">
        <v>111</v>
      </c>
      <c r="F60" s="58" t="s">
        <v>115</v>
      </c>
      <c r="G60" s="76">
        <v>5000</v>
      </c>
      <c r="H60" s="77">
        <v>25.86</v>
      </c>
      <c r="I60" s="59">
        <f t="shared" si="1"/>
        <v>129300</v>
      </c>
    </row>
    <row r="61" spans="1:9" ht="31.9" customHeight="1" thickBot="1" x14ac:dyDescent="0.25">
      <c r="A61" s="55">
        <v>52</v>
      </c>
      <c r="B61" s="58"/>
      <c r="C61" s="56" t="s">
        <v>120</v>
      </c>
      <c r="D61" s="57" t="s">
        <v>119</v>
      </c>
      <c r="E61" s="81" t="s">
        <v>112</v>
      </c>
      <c r="F61" s="58" t="s">
        <v>115</v>
      </c>
      <c r="G61" s="76">
        <v>450</v>
      </c>
      <c r="H61" s="77">
        <v>100.9</v>
      </c>
      <c r="I61" s="59">
        <f t="shared" si="1"/>
        <v>45405</v>
      </c>
    </row>
    <row r="62" spans="1:9" ht="31.9" customHeight="1" thickBot="1" x14ac:dyDescent="0.25">
      <c r="A62" s="55">
        <v>53</v>
      </c>
      <c r="B62" s="58"/>
      <c r="C62" s="56" t="s">
        <v>120</v>
      </c>
      <c r="D62" s="57" t="s">
        <v>119</v>
      </c>
      <c r="E62" s="81" t="s">
        <v>113</v>
      </c>
      <c r="F62" s="58" t="s">
        <v>115</v>
      </c>
      <c r="G62" s="76">
        <v>700</v>
      </c>
      <c r="H62" s="77">
        <v>140.19999999999999</v>
      </c>
      <c r="I62" s="59">
        <f t="shared" si="1"/>
        <v>98139.999999999985</v>
      </c>
    </row>
    <row r="63" spans="1:9" ht="31.9" customHeight="1" thickBot="1" x14ac:dyDescent="0.25">
      <c r="A63" s="55">
        <v>54</v>
      </c>
      <c r="B63" s="58"/>
      <c r="C63" s="56" t="s">
        <v>120</v>
      </c>
      <c r="D63" s="57" t="s">
        <v>119</v>
      </c>
      <c r="E63" s="81" t="s">
        <v>114</v>
      </c>
      <c r="F63" s="58" t="s">
        <v>115</v>
      </c>
      <c r="G63" s="76">
        <v>500</v>
      </c>
      <c r="H63" s="77">
        <v>182.1</v>
      </c>
      <c r="I63" s="59">
        <f t="shared" si="1"/>
        <v>91050</v>
      </c>
    </row>
    <row r="66" spans="2:5" x14ac:dyDescent="0.2">
      <c r="B66" s="41" t="s">
        <v>14</v>
      </c>
      <c r="C66" s="42"/>
      <c r="D66" s="42"/>
      <c r="E66" s="43"/>
    </row>
    <row r="67" spans="2:5" ht="5.25" customHeight="1" x14ac:dyDescent="0.2">
      <c r="B67" s="44"/>
      <c r="C67" s="45"/>
      <c r="D67" s="45"/>
      <c r="E67" s="46"/>
    </row>
    <row r="68" spans="2:5" x14ac:dyDescent="0.2">
      <c r="B68" s="47" t="s">
        <v>15</v>
      </c>
      <c r="C68" s="45"/>
      <c r="D68" s="45"/>
      <c r="E68" s="46"/>
    </row>
    <row r="69" spans="2:5" ht="41.25" customHeight="1" x14ac:dyDescent="0.2">
      <c r="B69" s="47"/>
      <c r="C69" s="89"/>
      <c r="D69" s="89"/>
      <c r="E69" s="89"/>
    </row>
    <row r="70" spans="2:5" x14ac:dyDescent="0.2">
      <c r="B70" s="47" t="s">
        <v>16</v>
      </c>
      <c r="C70" s="45"/>
      <c r="D70" s="45"/>
      <c r="E70" s="46"/>
    </row>
    <row r="71" spans="2:5" x14ac:dyDescent="0.2">
      <c r="B71" s="48"/>
      <c r="C71" s="92" t="s">
        <v>121</v>
      </c>
      <c r="D71" s="92"/>
      <c r="E71" s="92"/>
    </row>
    <row r="72" spans="2:5" x14ac:dyDescent="0.2">
      <c r="B72" s="48"/>
      <c r="C72" s="93"/>
      <c r="D72" s="93"/>
      <c r="E72" s="93"/>
    </row>
    <row r="73" spans="2:5" x14ac:dyDescent="0.2">
      <c r="B73" s="47" t="s">
        <v>17</v>
      </c>
      <c r="C73" s="45"/>
      <c r="D73" s="45"/>
      <c r="E73" s="46"/>
    </row>
    <row r="74" spans="2:5" ht="89.25" customHeight="1" x14ac:dyDescent="0.2">
      <c r="B74" s="48"/>
      <c r="C74" s="89" t="s">
        <v>122</v>
      </c>
      <c r="D74" s="89"/>
      <c r="E74" s="89"/>
    </row>
    <row r="75" spans="2:5" x14ac:dyDescent="0.2">
      <c r="B75" s="47" t="s">
        <v>18</v>
      </c>
      <c r="C75" s="49"/>
      <c r="D75" s="49"/>
      <c r="E75" s="50"/>
    </row>
    <row r="76" spans="2:5" ht="26.25" customHeight="1" x14ac:dyDescent="0.2">
      <c r="B76" s="48"/>
      <c r="C76" s="90" t="s">
        <v>63</v>
      </c>
      <c r="D76" s="90"/>
      <c r="E76" s="90"/>
    </row>
    <row r="77" spans="2:5" x14ac:dyDescent="0.2">
      <c r="B77" s="47" t="s">
        <v>19</v>
      </c>
      <c r="C77" s="45"/>
      <c r="D77" s="45"/>
      <c r="E77" s="46"/>
    </row>
    <row r="78" spans="2:5" ht="23.25" customHeight="1" x14ac:dyDescent="0.2">
      <c r="B78" s="47"/>
      <c r="C78" s="91"/>
      <c r="D78" s="91"/>
      <c r="E78" s="91"/>
    </row>
    <row r="79" spans="2:5" x14ac:dyDescent="0.2">
      <c r="B79" s="51"/>
      <c r="C79" s="52"/>
      <c r="D79" s="52"/>
      <c r="E79" s="53"/>
    </row>
  </sheetData>
  <sortState xmlns:xlrd2="http://schemas.microsoft.com/office/spreadsheetml/2017/richdata2" ref="A10:I64">
    <sortCondition ref="E10:E64"/>
  </sortState>
  <mergeCells count="13">
    <mergeCell ref="C74:E74"/>
    <mergeCell ref="C76:E76"/>
    <mergeCell ref="C78:E78"/>
    <mergeCell ref="A6:B6"/>
    <mergeCell ref="A7:B7"/>
    <mergeCell ref="C69:E69"/>
    <mergeCell ref="C71:E71"/>
    <mergeCell ref="C72:E72"/>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66"/>
  <sheetViews>
    <sheetView topLeftCell="A43" zoomScale="70" zoomScaleNormal="70" workbookViewId="0">
      <selection activeCell="P60" sqref="P6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5" t="s">
        <v>20</v>
      </c>
      <c r="B1" s="95"/>
      <c r="C1" s="95"/>
      <c r="D1" s="95"/>
      <c r="E1" s="95"/>
      <c r="F1" s="95"/>
      <c r="G1" s="95"/>
      <c r="H1" s="95"/>
      <c r="I1" s="95"/>
      <c r="J1" s="3" t="s">
        <v>21</v>
      </c>
      <c r="K1" s="62" t="s">
        <v>123</v>
      </c>
    </row>
    <row r="2" spans="1:11" ht="18.75" customHeight="1" thickBot="1" x14ac:dyDescent="0.25">
      <c r="A2" s="4"/>
      <c r="B2" s="4"/>
      <c r="C2" s="4"/>
      <c r="D2" s="5"/>
      <c r="E2" s="5"/>
      <c r="F2" s="5"/>
      <c r="G2" s="5"/>
      <c r="H2" s="5"/>
      <c r="I2" s="5"/>
      <c r="J2" s="5"/>
      <c r="K2" s="5"/>
    </row>
    <row r="3" spans="1:11" ht="18.75" customHeight="1" thickBot="1" x14ac:dyDescent="0.25">
      <c r="A3" s="96" t="s">
        <v>54</v>
      </c>
      <c r="B3" s="96"/>
      <c r="C3" s="96"/>
      <c r="D3" s="97" t="str">
        <f>'Necesidades Trimestrales'!C4</f>
        <v>40 - Ministerio de Salud</v>
      </c>
      <c r="E3" s="97"/>
      <c r="F3" s="97"/>
      <c r="G3" s="97"/>
      <c r="H3" s="97"/>
      <c r="I3" s="97"/>
      <c r="J3" s="97"/>
      <c r="K3" s="97"/>
    </row>
    <row r="4" spans="1:11" ht="18.75" customHeight="1" thickBot="1" x14ac:dyDescent="0.25">
      <c r="A4" s="98" t="s">
        <v>55</v>
      </c>
      <c r="B4" s="98"/>
      <c r="C4" s="98"/>
      <c r="D4" s="97" t="str">
        <f>'Necesidades Trimestrales'!C5</f>
        <v>23 - Hospital Interzonal San Juan Bautista</v>
      </c>
      <c r="E4" s="97"/>
      <c r="F4" s="97"/>
      <c r="G4" s="97"/>
      <c r="H4" s="97"/>
      <c r="I4" s="97"/>
      <c r="J4" s="97"/>
      <c r="K4" s="97"/>
    </row>
    <row r="5" spans="1:11" ht="18.75" customHeight="1" thickBot="1" x14ac:dyDescent="0.25">
      <c r="A5" s="98" t="s">
        <v>33</v>
      </c>
      <c r="B5" s="98"/>
      <c r="C5" s="98"/>
      <c r="D5" s="97" t="s">
        <v>60</v>
      </c>
      <c r="E5" s="97"/>
      <c r="F5" s="97"/>
      <c r="G5" s="97"/>
      <c r="H5" s="97"/>
      <c r="I5" s="97"/>
      <c r="J5" s="97"/>
      <c r="K5" s="97"/>
    </row>
    <row r="6" spans="1:11" ht="16.5" customHeight="1" thickBot="1" x14ac:dyDescent="0.25">
      <c r="A6" s="96" t="s">
        <v>56</v>
      </c>
      <c r="B6" s="96"/>
      <c r="C6" s="96"/>
      <c r="D6" s="97" t="s">
        <v>61</v>
      </c>
      <c r="E6" s="97"/>
      <c r="F6" s="97"/>
      <c r="G6" s="97"/>
      <c r="H6" s="97"/>
      <c r="I6" s="97"/>
      <c r="J6" s="97"/>
      <c r="K6" s="97"/>
    </row>
    <row r="7" spans="1:11" ht="16.5" customHeight="1" x14ac:dyDescent="0.2">
      <c r="A7" s="98" t="s">
        <v>22</v>
      </c>
      <c r="B7" s="98"/>
      <c r="C7" s="98"/>
      <c r="D7" s="97" t="str">
        <f>'Necesidades Trimestrales'!C7 &amp; "° Trimestre - Año " &amp; 'Necesidades Trimestrales'!C6</f>
        <v>2° Trimestre - Año 2021</v>
      </c>
      <c r="E7" s="97"/>
      <c r="F7" s="97"/>
      <c r="G7" s="97"/>
      <c r="H7" s="97"/>
      <c r="I7" s="97"/>
      <c r="J7" s="97"/>
      <c r="K7" s="97"/>
    </row>
    <row r="8" spans="1:11" ht="16.5" customHeight="1" x14ac:dyDescent="0.2">
      <c r="A8" s="101" t="s">
        <v>23</v>
      </c>
      <c r="B8" s="101"/>
      <c r="C8" s="101"/>
      <c r="D8" s="102" t="s">
        <v>124</v>
      </c>
      <c r="E8" s="102"/>
      <c r="F8" s="102"/>
      <c r="G8" s="102"/>
      <c r="H8" s="102"/>
      <c r="I8" s="102"/>
      <c r="J8" s="102"/>
      <c r="K8" s="102"/>
    </row>
    <row r="9" spans="1:11" ht="15.75" x14ac:dyDescent="0.2">
      <c r="A9" s="6"/>
      <c r="B9" s="6"/>
      <c r="C9" s="6"/>
      <c r="D9" s="7"/>
      <c r="E9" s="7"/>
      <c r="F9" s="7"/>
      <c r="G9" s="7"/>
      <c r="H9" s="7"/>
      <c r="I9" s="7"/>
      <c r="J9" s="7"/>
      <c r="K9" s="7"/>
    </row>
    <row r="10" spans="1:11" ht="18.75" customHeight="1" x14ac:dyDescent="0.2">
      <c r="A10" s="103" t="s">
        <v>24</v>
      </c>
      <c r="B10" s="104" t="s">
        <v>25</v>
      </c>
      <c r="C10" s="104" t="s">
        <v>26</v>
      </c>
      <c r="D10" s="104"/>
      <c r="E10" s="104"/>
      <c r="F10" s="104"/>
      <c r="G10" s="104"/>
      <c r="H10" s="104" t="s">
        <v>27</v>
      </c>
      <c r="I10" s="104" t="s">
        <v>28</v>
      </c>
      <c r="J10" s="104" t="s">
        <v>29</v>
      </c>
      <c r="K10" s="105" t="s">
        <v>30</v>
      </c>
    </row>
    <row r="11" spans="1:11" ht="24" customHeight="1" thickBot="1" x14ac:dyDescent="0.25">
      <c r="A11" s="103"/>
      <c r="B11" s="104"/>
      <c r="C11" s="104"/>
      <c r="D11" s="104"/>
      <c r="E11" s="104"/>
      <c r="F11" s="104"/>
      <c r="G11" s="104"/>
      <c r="H11" s="104"/>
      <c r="I11" s="104"/>
      <c r="J11" s="104"/>
      <c r="K11" s="105"/>
    </row>
    <row r="12" spans="1:11" ht="20.25" customHeight="1" thickBot="1" x14ac:dyDescent="0.25">
      <c r="A12" s="8">
        <v>1</v>
      </c>
      <c r="B12" s="63">
        <f>'Necesidades Trimestrales'!B10</f>
        <v>0</v>
      </c>
      <c r="C12" s="94" t="str">
        <f>'Necesidades Trimestrales'!E10</f>
        <v>AGUJA HIPODERMICA DESCARTABLE 16/5</v>
      </c>
      <c r="D12" s="94"/>
      <c r="E12" s="94"/>
      <c r="F12" s="94"/>
      <c r="G12" s="94"/>
      <c r="H12" s="64" t="s">
        <v>57</v>
      </c>
      <c r="I12" s="65" t="str">
        <f>'Necesidades Trimestrales'!F10</f>
        <v>UNIDAD</v>
      </c>
      <c r="J12" s="66">
        <f>'Necesidades Trimestrales'!H10</f>
        <v>1.62</v>
      </c>
      <c r="K12" s="67">
        <f>'Necesidades Trimestrales'!G10</f>
        <v>5000</v>
      </c>
    </row>
    <row r="13" spans="1:11" ht="20.25" customHeight="1" thickBot="1" x14ac:dyDescent="0.25">
      <c r="A13" s="8">
        <v>2</v>
      </c>
      <c r="B13" s="63">
        <f>'Necesidades Trimestrales'!B11</f>
        <v>0</v>
      </c>
      <c r="C13" s="94" t="str">
        <f>'Necesidades Trimestrales'!E11</f>
        <v>AGUJA HIPODERMICA DESCARTABLE 25/8</v>
      </c>
      <c r="D13" s="94"/>
      <c r="E13" s="94"/>
      <c r="F13" s="94"/>
      <c r="G13" s="94"/>
      <c r="H13" s="64" t="s">
        <v>57</v>
      </c>
      <c r="I13" s="65" t="str">
        <f>'Necesidades Trimestrales'!F11</f>
        <v>UNIDAD</v>
      </c>
      <c r="J13" s="66">
        <f>'Necesidades Trimestrales'!H11</f>
        <v>1.62</v>
      </c>
      <c r="K13" s="67">
        <f>'Necesidades Trimestrales'!G11</f>
        <v>150000</v>
      </c>
    </row>
    <row r="14" spans="1:11" ht="20.25" customHeight="1" thickBot="1" x14ac:dyDescent="0.25">
      <c r="A14" s="8">
        <v>3</v>
      </c>
      <c r="B14" s="63">
        <f>'Necesidades Trimestrales'!B12</f>
        <v>0</v>
      </c>
      <c r="C14" s="94" t="str">
        <f>'Necesidades Trimestrales'!E12</f>
        <v>AGUJA HIPODERMICA DESCARTABLE 40/12</v>
      </c>
      <c r="D14" s="94"/>
      <c r="E14" s="94"/>
      <c r="F14" s="94"/>
      <c r="G14" s="94"/>
      <c r="H14" s="64" t="s">
        <v>57</v>
      </c>
      <c r="I14" s="65" t="str">
        <f>'Necesidades Trimestrales'!F12</f>
        <v>UNIDAD</v>
      </c>
      <c r="J14" s="66">
        <f>'Necesidades Trimestrales'!H12</f>
        <v>1.32</v>
      </c>
      <c r="K14" s="67">
        <f>'Necesidades Trimestrales'!G12</f>
        <v>1000</v>
      </c>
    </row>
    <row r="15" spans="1:11" ht="20.25" customHeight="1" thickBot="1" x14ac:dyDescent="0.25">
      <c r="A15" s="8">
        <v>4</v>
      </c>
      <c r="B15" s="63">
        <f>'Necesidades Trimestrales'!B13</f>
        <v>0</v>
      </c>
      <c r="C15" s="106" t="str">
        <f>'Necesidades Trimestrales'!E13</f>
        <v>AGUJA HIPODERMICA DESCARTABLE 40/8</v>
      </c>
      <c r="D15" s="107"/>
      <c r="E15" s="107"/>
      <c r="F15" s="107"/>
      <c r="G15" s="108"/>
      <c r="H15" s="64" t="s">
        <v>57</v>
      </c>
      <c r="I15" s="65" t="str">
        <f>'Necesidades Trimestrales'!F13</f>
        <v>UNIDAD</v>
      </c>
      <c r="J15" s="66">
        <f>'Necesidades Trimestrales'!H13</f>
        <v>1.48</v>
      </c>
      <c r="K15" s="67">
        <f>'Necesidades Trimestrales'!G13</f>
        <v>40000</v>
      </c>
    </row>
    <row r="16" spans="1:11" ht="20.25" customHeight="1" thickBot="1" x14ac:dyDescent="0.25">
      <c r="A16" s="8">
        <v>5</v>
      </c>
      <c r="B16" s="63">
        <f>'Necesidades Trimestrales'!B14</f>
        <v>0</v>
      </c>
      <c r="C16" s="106" t="str">
        <f>'Necesidades Trimestrales'!E14</f>
        <v>ALGODON X 500 GR</v>
      </c>
      <c r="D16" s="107"/>
      <c r="E16" s="107"/>
      <c r="F16" s="107"/>
      <c r="G16" s="108"/>
      <c r="H16" s="64" t="s">
        <v>57</v>
      </c>
      <c r="I16" s="65" t="str">
        <f>'Necesidades Trimestrales'!F14</f>
        <v>UNIDAD</v>
      </c>
      <c r="J16" s="66">
        <f>'Necesidades Trimestrales'!H14</f>
        <v>295</v>
      </c>
      <c r="K16" s="67">
        <f>'Necesidades Trimestrales'!G14</f>
        <v>250</v>
      </c>
    </row>
    <row r="17" spans="1:11" ht="20.25" customHeight="1" thickBot="1" x14ac:dyDescent="0.25">
      <c r="A17" s="8">
        <v>6</v>
      </c>
      <c r="B17" s="63">
        <f>'Necesidades Trimestrales'!B15</f>
        <v>0</v>
      </c>
      <c r="C17" s="106" t="str">
        <f>'Necesidades Trimestrales'!E15</f>
        <v>BARBIJO HEMORREPELENTE QUIRURGICO TRIPLE CAPA</v>
      </c>
      <c r="D17" s="107"/>
      <c r="E17" s="107"/>
      <c r="F17" s="107"/>
      <c r="G17" s="108"/>
      <c r="H17" s="64" t="s">
        <v>57</v>
      </c>
      <c r="I17" s="65" t="str">
        <f>'Necesidades Trimestrales'!F15</f>
        <v>UNIDAD</v>
      </c>
      <c r="J17" s="66">
        <f>'Necesidades Trimestrales'!H15</f>
        <v>9.9</v>
      </c>
      <c r="K17" s="67">
        <f>'Necesidades Trimestrales'!G15</f>
        <v>80850</v>
      </c>
    </row>
    <row r="18" spans="1:11" ht="20.25" customHeight="1" thickBot="1" x14ac:dyDescent="0.25">
      <c r="A18" s="8">
        <v>7</v>
      </c>
      <c r="B18" s="63">
        <f>'Necesidades Trimestrales'!B16</f>
        <v>0</v>
      </c>
      <c r="C18" s="106" t="str">
        <f>'Necesidades Trimestrales'!E16</f>
        <v>BARBIJOS DE ALTA EFICIENCIA TIPO N95</v>
      </c>
      <c r="D18" s="107"/>
      <c r="E18" s="107"/>
      <c r="F18" s="107"/>
      <c r="G18" s="108"/>
      <c r="H18" s="64" t="s">
        <v>57</v>
      </c>
      <c r="I18" s="65" t="str">
        <f>'Necesidades Trimestrales'!F16</f>
        <v>UNIDAD</v>
      </c>
      <c r="J18" s="66">
        <f>'Necesidades Trimestrales'!H16</f>
        <v>69.900000000000006</v>
      </c>
      <c r="K18" s="67">
        <f>'Necesidades Trimestrales'!G16</f>
        <v>1278</v>
      </c>
    </row>
    <row r="19" spans="1:11" ht="20.25" customHeight="1" thickBot="1" x14ac:dyDescent="0.25">
      <c r="A19" s="8">
        <v>8</v>
      </c>
      <c r="B19" s="63">
        <f>'Necesidades Trimestrales'!B17</f>
        <v>0</v>
      </c>
      <c r="C19" s="106" t="str">
        <f>'Necesidades Trimestrales'!E17</f>
        <v>CAL SODADA X KG</v>
      </c>
      <c r="D19" s="107"/>
      <c r="E19" s="107"/>
      <c r="F19" s="107"/>
      <c r="G19" s="108"/>
      <c r="H19" s="64" t="s">
        <v>57</v>
      </c>
      <c r="I19" s="65" t="str">
        <f>'Necesidades Trimestrales'!F17</f>
        <v>UNIDAD</v>
      </c>
      <c r="J19" s="66">
        <f>'Necesidades Trimestrales'!H17</f>
        <v>850</v>
      </c>
      <c r="K19" s="67">
        <f>'Necesidades Trimestrales'!G17</f>
        <v>20</v>
      </c>
    </row>
    <row r="20" spans="1:11" ht="20.25" customHeight="1" thickBot="1" x14ac:dyDescent="0.25">
      <c r="A20" s="8">
        <v>9</v>
      </c>
      <c r="B20" s="63">
        <f>'Necesidades Trimestrales'!B18</f>
        <v>0</v>
      </c>
      <c r="C20" s="106" t="str">
        <f>'Necesidades Trimestrales'!E18</f>
        <v>CAMISOLIN DESCARTABLE DE TELA SMS 30 GRAMOS CON MANGA Y PUÑOS DE 1,4 M DE LARGO</v>
      </c>
      <c r="D20" s="107"/>
      <c r="E20" s="107"/>
      <c r="F20" s="107"/>
      <c r="G20" s="108"/>
      <c r="H20" s="64" t="s">
        <v>57</v>
      </c>
      <c r="I20" s="65" t="str">
        <f>'Necesidades Trimestrales'!F18</f>
        <v>UNIDAD</v>
      </c>
      <c r="J20" s="66">
        <f>'Necesidades Trimestrales'!H18</f>
        <v>85</v>
      </c>
      <c r="K20" s="67">
        <f>'Necesidades Trimestrales'!G18</f>
        <v>15200</v>
      </c>
    </row>
    <row r="21" spans="1:11" ht="20.25" customHeight="1" thickBot="1" x14ac:dyDescent="0.25">
      <c r="A21" s="8">
        <v>10</v>
      </c>
      <c r="B21" s="63">
        <f>'Necesidades Trimestrales'!B19</f>
        <v>0</v>
      </c>
      <c r="C21" s="106" t="str">
        <f>'Necesidades Trimestrales'!E19</f>
        <v>CHATA PLASTICA X 1</v>
      </c>
      <c r="D21" s="107"/>
      <c r="E21" s="107"/>
      <c r="F21" s="107"/>
      <c r="G21" s="108"/>
      <c r="H21" s="64" t="s">
        <v>57</v>
      </c>
      <c r="I21" s="65" t="str">
        <f>'Necesidades Trimestrales'!F19</f>
        <v>UNIDAD</v>
      </c>
      <c r="J21" s="66">
        <f>'Necesidades Trimestrales'!H19</f>
        <v>3330</v>
      </c>
      <c r="K21" s="67">
        <f>'Necesidades Trimestrales'!G19</f>
        <v>30</v>
      </c>
    </row>
    <row r="22" spans="1:11" ht="20.25" customHeight="1" thickBot="1" x14ac:dyDescent="0.25">
      <c r="A22" s="8">
        <v>11</v>
      </c>
      <c r="B22" s="63">
        <f>'Necesidades Trimestrales'!B21</f>
        <v>0</v>
      </c>
      <c r="C22" s="106" t="str">
        <f>'Necesidades Trimestrales'!E20</f>
        <v>COFIAS PLIZADAS CON AJUSTE ELASTIZADO</v>
      </c>
      <c r="D22" s="107"/>
      <c r="E22" s="107"/>
      <c r="F22" s="107"/>
      <c r="G22" s="108"/>
      <c r="H22" s="64" t="s">
        <v>57</v>
      </c>
      <c r="I22" s="65" t="str">
        <f>'Necesidades Trimestrales'!F20</f>
        <v>UNIDAD</v>
      </c>
      <c r="J22" s="66">
        <f>'Necesidades Trimestrales'!H20</f>
        <v>19.899999999999999</v>
      </c>
      <c r="K22" s="67">
        <f>'Necesidades Trimestrales'!G20</f>
        <v>200</v>
      </c>
    </row>
    <row r="23" spans="1:11" ht="20.25" customHeight="1" thickBot="1" x14ac:dyDescent="0.25">
      <c r="A23" s="8">
        <v>12</v>
      </c>
      <c r="B23" s="63">
        <f>'Necesidades Trimestrales'!B22</f>
        <v>0</v>
      </c>
      <c r="C23" s="106" t="str">
        <f>'Necesidades Trimestrales'!E21</f>
        <v>DESCARTADOR DE AGUJAS X 2 LITRO</v>
      </c>
      <c r="D23" s="107"/>
      <c r="E23" s="107"/>
      <c r="F23" s="107"/>
      <c r="G23" s="108"/>
      <c r="H23" s="64" t="s">
        <v>57</v>
      </c>
      <c r="I23" s="65" t="str">
        <f>'Necesidades Trimestrales'!F21</f>
        <v>UNIDAD</v>
      </c>
      <c r="J23" s="66">
        <f>'Necesidades Trimestrales'!H21</f>
        <v>317.83</v>
      </c>
      <c r="K23" s="67">
        <f>'Necesidades Trimestrales'!G21</f>
        <v>504</v>
      </c>
    </row>
    <row r="24" spans="1:11" ht="20.25" customHeight="1" thickBot="1" x14ac:dyDescent="0.25">
      <c r="A24" s="8">
        <v>13</v>
      </c>
      <c r="B24" s="63">
        <f>'Necesidades Trimestrales'!B23</f>
        <v>0</v>
      </c>
      <c r="C24" s="106" t="str">
        <f>'Necesidades Trimestrales'!E22</f>
        <v>DESCARTADOR DE AGUJAS X 8 LITRO</v>
      </c>
      <c r="D24" s="107"/>
      <c r="E24" s="107"/>
      <c r="F24" s="107"/>
      <c r="G24" s="108"/>
      <c r="H24" s="64" t="s">
        <v>57</v>
      </c>
      <c r="I24" s="65" t="str">
        <f>'Necesidades Trimestrales'!F22</f>
        <v>UNIDAD</v>
      </c>
      <c r="J24" s="66">
        <f>'Necesidades Trimestrales'!H22</f>
        <v>651</v>
      </c>
      <c r="K24" s="67">
        <f>'Necesidades Trimestrales'!G22</f>
        <v>500</v>
      </c>
    </row>
    <row r="25" spans="1:11" ht="20.25" customHeight="1" thickBot="1" x14ac:dyDescent="0.25">
      <c r="A25" s="8">
        <v>14</v>
      </c>
      <c r="B25" s="63">
        <f>'Necesidades Trimestrales'!B25</f>
        <v>0</v>
      </c>
      <c r="C25" s="106" t="str">
        <f>'Necesidades Trimestrales'!E23</f>
        <v xml:space="preserve">ELECTRODO DESCARTABLE ADULTO </v>
      </c>
      <c r="D25" s="107"/>
      <c r="E25" s="107"/>
      <c r="F25" s="107"/>
      <c r="G25" s="108"/>
      <c r="H25" s="64" t="s">
        <v>57</v>
      </c>
      <c r="I25" s="65" t="str">
        <f>'Necesidades Trimestrales'!F23</f>
        <v>UNIDAD</v>
      </c>
      <c r="J25" s="66">
        <f>'Necesidades Trimestrales'!H23</f>
        <v>9.4</v>
      </c>
      <c r="K25" s="67">
        <f>'Necesidades Trimestrales'!G23</f>
        <v>10000</v>
      </c>
    </row>
    <row r="26" spans="1:11" ht="20.25" customHeight="1" thickBot="1" x14ac:dyDescent="0.25">
      <c r="A26" s="8">
        <v>15</v>
      </c>
      <c r="B26" s="63">
        <f>'Necesidades Trimestrales'!B27</f>
        <v>0</v>
      </c>
      <c r="C26" s="106" t="str">
        <f>'Necesidades Trimestrales'!E24</f>
        <v>ESPECULO VAGINAL CHICOS</v>
      </c>
      <c r="D26" s="107"/>
      <c r="E26" s="107"/>
      <c r="F26" s="107"/>
      <c r="G26" s="108"/>
      <c r="H26" s="64" t="s">
        <v>57</v>
      </c>
      <c r="I26" s="65" t="str">
        <f>'Necesidades Trimestrales'!F24</f>
        <v>UNIDAD</v>
      </c>
      <c r="J26" s="66">
        <f>'Necesidades Trimestrales'!H24</f>
        <v>38</v>
      </c>
      <c r="K26" s="67">
        <f>'Necesidades Trimestrales'!G24</f>
        <v>500</v>
      </c>
    </row>
    <row r="27" spans="1:11" ht="20.25" customHeight="1" thickBot="1" x14ac:dyDescent="0.25">
      <c r="A27" s="8">
        <v>16</v>
      </c>
      <c r="B27" s="63">
        <f>'Necesidades Trimestrales'!B28</f>
        <v>0</v>
      </c>
      <c r="C27" s="106" t="str">
        <f>'Necesidades Trimestrales'!E25</f>
        <v>ESPECULO VAGINAL GRANDE</v>
      </c>
      <c r="D27" s="107"/>
      <c r="E27" s="107"/>
      <c r="F27" s="107"/>
      <c r="G27" s="108"/>
      <c r="H27" s="64" t="s">
        <v>57</v>
      </c>
      <c r="I27" s="65" t="str">
        <f>'Necesidades Trimestrales'!F25</f>
        <v>UNIDAD</v>
      </c>
      <c r="J27" s="66">
        <f>'Necesidades Trimestrales'!H25</f>
        <v>40.18</v>
      </c>
      <c r="K27" s="67">
        <f>'Necesidades Trimestrales'!G25</f>
        <v>300</v>
      </c>
    </row>
    <row r="28" spans="1:11" ht="20.25" customHeight="1" thickBot="1" x14ac:dyDescent="0.25">
      <c r="A28" s="8">
        <v>17</v>
      </c>
      <c r="B28" s="63">
        <f>'Necesidades Trimestrales'!B31</f>
        <v>0</v>
      </c>
      <c r="C28" s="106" t="str">
        <f>'Necesidades Trimestrales'!E26</f>
        <v>FORMOL 40% ENVASE X 1 LITRO</v>
      </c>
      <c r="D28" s="107"/>
      <c r="E28" s="107"/>
      <c r="F28" s="107"/>
      <c r="G28" s="108"/>
      <c r="H28" s="64" t="s">
        <v>57</v>
      </c>
      <c r="I28" s="65" t="str">
        <f>'Necesidades Trimestrales'!F26</f>
        <v>UNIDAD</v>
      </c>
      <c r="J28" s="66">
        <f>'Necesidades Trimestrales'!H26</f>
        <v>490</v>
      </c>
      <c r="K28" s="67">
        <f>'Necesidades Trimestrales'!G26</f>
        <v>8</v>
      </c>
    </row>
    <row r="29" spans="1:11" ht="20.25" customHeight="1" thickBot="1" x14ac:dyDescent="0.25">
      <c r="A29" s="8">
        <v>18</v>
      </c>
      <c r="B29" s="63">
        <f>'Necesidades Trimestrales'!B33</f>
        <v>0</v>
      </c>
      <c r="C29" s="106" t="str">
        <f>'Necesidades Trimestrales'!E27</f>
        <v>GEL BASE PARA ECOGRAFIA X 1 KG</v>
      </c>
      <c r="D29" s="107"/>
      <c r="E29" s="107"/>
      <c r="F29" s="107"/>
      <c r="G29" s="108"/>
      <c r="H29" s="64" t="s">
        <v>57</v>
      </c>
      <c r="I29" s="65" t="str">
        <f>'Necesidades Trimestrales'!F27</f>
        <v>UNIDAD</v>
      </c>
      <c r="J29" s="66">
        <f>'Necesidades Trimestrales'!H27</f>
        <v>440.78</v>
      </c>
      <c r="K29" s="67">
        <f>'Necesidades Trimestrales'!G27</f>
        <v>30</v>
      </c>
    </row>
    <row r="30" spans="1:11" ht="20.25" customHeight="1" thickBot="1" x14ac:dyDescent="0.25">
      <c r="A30" s="8">
        <v>19</v>
      </c>
      <c r="B30" s="63">
        <f>'Necesidades Trimestrales'!B34</f>
        <v>0</v>
      </c>
      <c r="C30" s="106" t="str">
        <f>'Necesidades Trimestrales'!E28</f>
        <v>GUANTES DE CIRUGIA ESTERIL Nº 81/2 PAR. ANATOMICOS . CAÑA LARGA SIN TALCO</v>
      </c>
      <c r="D30" s="107"/>
      <c r="E30" s="107"/>
      <c r="F30" s="107"/>
      <c r="G30" s="108"/>
      <c r="H30" s="64" t="s">
        <v>57</v>
      </c>
      <c r="I30" s="65" t="str">
        <f>'Necesidades Trimestrales'!F28</f>
        <v>UNIDAD</v>
      </c>
      <c r="J30" s="66">
        <f>'Necesidades Trimestrales'!H28</f>
        <v>738</v>
      </c>
      <c r="K30" s="67">
        <f>'Necesidades Trimestrales'!G28</f>
        <v>6000</v>
      </c>
    </row>
    <row r="31" spans="1:11" ht="20.25" customHeight="1" thickBot="1" x14ac:dyDescent="0.25">
      <c r="A31" s="8">
        <v>20</v>
      </c>
      <c r="B31" s="63">
        <f>'Necesidades Trimestrales'!B35</f>
        <v>0</v>
      </c>
      <c r="C31" s="106" t="str">
        <f>'Necesidades Trimestrales'!E29</f>
        <v>GUANTES DE EXAMINACION TAMAÑO M X 100</v>
      </c>
      <c r="D31" s="107"/>
      <c r="E31" s="107"/>
      <c r="F31" s="107"/>
      <c r="G31" s="108"/>
      <c r="H31" s="64" t="s">
        <v>57</v>
      </c>
      <c r="I31" s="65" t="str">
        <f>'Necesidades Trimestrales'!F29</f>
        <v>UNIDAD</v>
      </c>
      <c r="J31" s="66">
        <f>'Necesidades Trimestrales'!H29</f>
        <v>1350</v>
      </c>
      <c r="K31" s="67">
        <f>'Necesidades Trimestrales'!G29</f>
        <v>4</v>
      </c>
    </row>
    <row r="32" spans="1:11" ht="20.25" customHeight="1" thickBot="1" x14ac:dyDescent="0.25">
      <c r="A32" s="8">
        <v>21</v>
      </c>
      <c r="B32" s="63">
        <f>'Necesidades Trimestrales'!B36</f>
        <v>0</v>
      </c>
      <c r="C32" s="106" t="str">
        <f>'Necesidades Trimestrales'!E30</f>
        <v>GUANTES DE EXAMINACON TAMAÑO S X 100</v>
      </c>
      <c r="D32" s="107"/>
      <c r="E32" s="107"/>
      <c r="F32" s="107"/>
      <c r="G32" s="108"/>
      <c r="H32" s="64" t="s">
        <v>57</v>
      </c>
      <c r="I32" s="65" t="str">
        <f>'Necesidades Trimestrales'!F30</f>
        <v>UNIDAD</v>
      </c>
      <c r="J32" s="66">
        <f>'Necesidades Trimestrales'!H30</f>
        <v>1350</v>
      </c>
      <c r="K32" s="67">
        <f>'Necesidades Trimestrales'!G30</f>
        <v>4</v>
      </c>
    </row>
    <row r="33" spans="1:11" ht="20.25" customHeight="1" thickBot="1" x14ac:dyDescent="0.25">
      <c r="A33" s="8">
        <v>22</v>
      </c>
      <c r="B33" s="63">
        <f>'Necesidades Trimestrales'!B38</f>
        <v>0</v>
      </c>
      <c r="C33" s="106" t="str">
        <f>'Necesidades Trimestrales'!E31</f>
        <v>HOJA DE BISTURI Nº 11</v>
      </c>
      <c r="D33" s="107"/>
      <c r="E33" s="107"/>
      <c r="F33" s="107"/>
      <c r="G33" s="108"/>
      <c r="H33" s="64" t="s">
        <v>57</v>
      </c>
      <c r="I33" s="65" t="str">
        <f>'Necesidades Trimestrales'!F31</f>
        <v>UNIDAD</v>
      </c>
      <c r="J33" s="66">
        <f>'Necesidades Trimestrales'!H31</f>
        <v>57.2</v>
      </c>
      <c r="K33" s="67">
        <f>'Necesidades Trimestrales'!G31</f>
        <v>2000</v>
      </c>
    </row>
    <row r="34" spans="1:11" ht="20.25" customHeight="1" thickBot="1" x14ac:dyDescent="0.25">
      <c r="A34" s="8">
        <v>23</v>
      </c>
      <c r="B34" s="63">
        <f>'Necesidades Trimestrales'!B39</f>
        <v>0</v>
      </c>
      <c r="C34" s="106" t="str">
        <f>'Necesidades Trimestrales'!E32</f>
        <v>HOJA DE BISTURI Nº 24</v>
      </c>
      <c r="D34" s="107"/>
      <c r="E34" s="107"/>
      <c r="F34" s="107"/>
      <c r="G34" s="108"/>
      <c r="H34" s="64" t="s">
        <v>57</v>
      </c>
      <c r="I34" s="65" t="str">
        <f>'Necesidades Trimestrales'!F32</f>
        <v>UNIDAD</v>
      </c>
      <c r="J34" s="66">
        <f>'Necesidades Trimestrales'!H32</f>
        <v>16.5</v>
      </c>
      <c r="K34" s="67">
        <f>'Necesidades Trimestrales'!G32</f>
        <v>200</v>
      </c>
    </row>
    <row r="35" spans="1:11" ht="20.25" customHeight="1" thickBot="1" x14ac:dyDescent="0.25">
      <c r="A35" s="8">
        <v>24</v>
      </c>
      <c r="B35" s="63">
        <f>'Necesidades Trimestrales'!B40</f>
        <v>0</v>
      </c>
      <c r="C35" s="106" t="str">
        <f>'Necesidades Trimestrales'!E33</f>
        <v>JERINGA DESCARTABLE 60 CC PICO THOMEY</v>
      </c>
      <c r="D35" s="107"/>
      <c r="E35" s="107"/>
      <c r="F35" s="107"/>
      <c r="G35" s="108"/>
      <c r="H35" s="64" t="s">
        <v>57</v>
      </c>
      <c r="I35" s="65" t="str">
        <f>'Necesidades Trimestrales'!F33</f>
        <v>UNIDAD</v>
      </c>
      <c r="J35" s="66">
        <f>'Necesidades Trimestrales'!H33</f>
        <v>820</v>
      </c>
      <c r="K35" s="67">
        <f>'Necesidades Trimestrales'!G33</f>
        <v>100</v>
      </c>
    </row>
    <row r="36" spans="1:11" ht="20.25" customHeight="1" thickBot="1" x14ac:dyDescent="0.25">
      <c r="A36" s="8">
        <v>25</v>
      </c>
      <c r="B36" s="63">
        <f>'Necesidades Trimestrales'!B41</f>
        <v>0</v>
      </c>
      <c r="C36" s="106" t="str">
        <f>'Necesidades Trimestrales'!E34</f>
        <v>JERINGA DESCARTABLE DE 10 CC S/AGUJA</v>
      </c>
      <c r="D36" s="107"/>
      <c r="E36" s="107"/>
      <c r="F36" s="107"/>
      <c r="G36" s="108"/>
      <c r="H36" s="64" t="s">
        <v>57</v>
      </c>
      <c r="I36" s="65" t="str">
        <f>'Necesidades Trimestrales'!F34</f>
        <v>UNIDAD</v>
      </c>
      <c r="J36" s="66">
        <f>'Necesidades Trimestrales'!H34</f>
        <v>6.44</v>
      </c>
      <c r="K36" s="67">
        <f>'Necesidades Trimestrales'!G34</f>
        <v>60000</v>
      </c>
    </row>
    <row r="37" spans="1:11" ht="20.25" customHeight="1" thickBot="1" x14ac:dyDescent="0.25">
      <c r="A37" s="8">
        <v>26</v>
      </c>
      <c r="B37" s="63">
        <f>'Necesidades Trimestrales'!B43</f>
        <v>0</v>
      </c>
      <c r="C37" s="106" t="str">
        <f>'Necesidades Trimestrales'!E35</f>
        <v>JERINGA DESCARTABLE DE 5 CC S/AGUJA</v>
      </c>
      <c r="D37" s="107"/>
      <c r="E37" s="107"/>
      <c r="F37" s="107"/>
      <c r="G37" s="108"/>
      <c r="H37" s="64" t="s">
        <v>57</v>
      </c>
      <c r="I37" s="65" t="str">
        <f>'Necesidades Trimestrales'!F35</f>
        <v>UNIDAD</v>
      </c>
      <c r="J37" s="66">
        <f>'Necesidades Trimestrales'!H35</f>
        <v>4.22</v>
      </c>
      <c r="K37" s="67">
        <f>'Necesidades Trimestrales'!G35</f>
        <v>35000</v>
      </c>
    </row>
    <row r="38" spans="1:11" ht="20.25" customHeight="1" thickBot="1" x14ac:dyDescent="0.25">
      <c r="A38" s="8">
        <v>27</v>
      </c>
      <c r="B38" s="63">
        <f>'Necesidades Trimestrales'!B44</f>
        <v>0</v>
      </c>
      <c r="C38" s="106" t="str">
        <f>'Necesidades Trimestrales'!E36</f>
        <v>JERINGA DESCARTABLE DE 60 CC S/ AGUJA</v>
      </c>
      <c r="D38" s="107"/>
      <c r="E38" s="107"/>
      <c r="F38" s="107"/>
      <c r="G38" s="108"/>
      <c r="H38" s="64" t="s">
        <v>57</v>
      </c>
      <c r="I38" s="65" t="str">
        <f>'Necesidades Trimestrales'!F36</f>
        <v>UNIDAD</v>
      </c>
      <c r="J38" s="66">
        <f>'Necesidades Trimestrales'!H36</f>
        <v>27.08</v>
      </c>
      <c r="K38" s="67">
        <f>'Necesidades Trimestrales'!G36</f>
        <v>1000</v>
      </c>
    </row>
    <row r="39" spans="1:11" ht="20.25" customHeight="1" thickBot="1" x14ac:dyDescent="0.25">
      <c r="A39" s="8">
        <v>28</v>
      </c>
      <c r="B39" s="63">
        <f>'Necesidades Trimestrales'!B45</f>
        <v>0</v>
      </c>
      <c r="C39" s="106" t="str">
        <f>'Necesidades Trimestrales'!E37</f>
        <v>KIT DESCARTABLE CAMISOLIN 40 GRS + COFIA + BOTAS PAR</v>
      </c>
      <c r="D39" s="107"/>
      <c r="E39" s="107"/>
      <c r="F39" s="107"/>
      <c r="G39" s="108"/>
      <c r="H39" s="64" t="s">
        <v>57</v>
      </c>
      <c r="I39" s="65" t="str">
        <f>'Necesidades Trimestrales'!F37</f>
        <v>UNIDAD</v>
      </c>
      <c r="J39" s="66">
        <f>'Necesidades Trimestrales'!H37</f>
        <v>200</v>
      </c>
      <c r="K39" s="67">
        <f>'Necesidades Trimestrales'!G37</f>
        <v>400</v>
      </c>
    </row>
    <row r="40" spans="1:11" ht="20.25" customHeight="1" thickBot="1" x14ac:dyDescent="0.25">
      <c r="A40" s="8">
        <v>29</v>
      </c>
      <c r="B40" s="63">
        <f>'Necesidades Trimestrales'!B46</f>
        <v>0</v>
      </c>
      <c r="C40" s="106" t="str">
        <f>'Necesidades Trimestrales'!E38</f>
        <v>MAMELUCO LAMINADO TALLE L</v>
      </c>
      <c r="D40" s="107"/>
      <c r="E40" s="107"/>
      <c r="F40" s="107"/>
      <c r="G40" s="108"/>
      <c r="H40" s="64" t="s">
        <v>57</v>
      </c>
      <c r="I40" s="65" t="str">
        <f>'Necesidades Trimestrales'!F38</f>
        <v>UNIDAD</v>
      </c>
      <c r="J40" s="66">
        <f>'Necesidades Trimestrales'!H38</f>
        <v>609</v>
      </c>
      <c r="K40" s="67">
        <f>'Necesidades Trimestrales'!G38</f>
        <v>600</v>
      </c>
    </row>
    <row r="41" spans="1:11" ht="20.25" customHeight="1" thickBot="1" x14ac:dyDescent="0.25">
      <c r="A41" s="8">
        <v>30</v>
      </c>
      <c r="B41" s="63">
        <f>'Necesidades Trimestrales'!B47</f>
        <v>0</v>
      </c>
      <c r="C41" s="106" t="str">
        <f>'Necesidades Trimestrales'!E39</f>
        <v>MAMELUCO LAMINADO TALLE M</v>
      </c>
      <c r="D41" s="107"/>
      <c r="E41" s="107"/>
      <c r="F41" s="107"/>
      <c r="G41" s="108"/>
      <c r="H41" s="64" t="s">
        <v>57</v>
      </c>
      <c r="I41" s="65" t="str">
        <f>'Necesidades Trimestrales'!F39</f>
        <v>UNIDAD</v>
      </c>
      <c r="J41" s="66">
        <f>'Necesidades Trimestrales'!H39</f>
        <v>609</v>
      </c>
      <c r="K41" s="67">
        <f>'Necesidades Trimestrales'!G39</f>
        <v>600</v>
      </c>
    </row>
    <row r="42" spans="1:11" ht="20.25" customHeight="1" thickBot="1" x14ac:dyDescent="0.25">
      <c r="A42" s="8">
        <v>31</v>
      </c>
      <c r="B42" s="63">
        <f>'Necesidades Trimestrales'!B48</f>
        <v>0</v>
      </c>
      <c r="C42" s="106" t="str">
        <f>'Necesidades Trimestrales'!E40</f>
        <v>MAMELUCO LAMINADO TALLE XL</v>
      </c>
      <c r="D42" s="107"/>
      <c r="E42" s="107"/>
      <c r="F42" s="107"/>
      <c r="G42" s="108"/>
      <c r="H42" s="64" t="s">
        <v>57</v>
      </c>
      <c r="I42" s="65" t="str">
        <f>'Necesidades Trimestrales'!F40</f>
        <v>UNIDAD</v>
      </c>
      <c r="J42" s="66">
        <f>'Necesidades Trimestrales'!H40</f>
        <v>609</v>
      </c>
      <c r="K42" s="67">
        <f>'Necesidades Trimestrales'!G40</f>
        <v>150</v>
      </c>
    </row>
    <row r="43" spans="1:11" ht="20.25" customHeight="1" thickBot="1" x14ac:dyDescent="0.25">
      <c r="A43" s="8">
        <v>32</v>
      </c>
      <c r="B43" s="63">
        <f>'Necesidades Trimestrales'!B49</f>
        <v>0</v>
      </c>
      <c r="C43" s="106" t="str">
        <f>'Necesidades Trimestrales'!E41</f>
        <v>MAMELUCO LAMINADO TALLE XXL</v>
      </c>
      <c r="D43" s="107"/>
      <c r="E43" s="107"/>
      <c r="F43" s="107"/>
      <c r="G43" s="108"/>
      <c r="H43" s="64" t="s">
        <v>57</v>
      </c>
      <c r="I43" s="65" t="str">
        <f>'Necesidades Trimestrales'!F41</f>
        <v>UNIDAD</v>
      </c>
      <c r="J43" s="66">
        <f>'Necesidades Trimestrales'!H41</f>
        <v>609</v>
      </c>
      <c r="K43" s="67">
        <f>'Necesidades Trimestrales'!G41</f>
        <v>50</v>
      </c>
    </row>
    <row r="44" spans="1:11" ht="20.25" customHeight="1" thickBot="1" x14ac:dyDescent="0.25">
      <c r="A44" s="8">
        <v>33</v>
      </c>
      <c r="B44" s="63">
        <f>'Necesidades Trimestrales'!B50</f>
        <v>0</v>
      </c>
      <c r="C44" s="106" t="str">
        <f>'Necesidades Trimestrales'!E42</f>
        <v>MANOPLAS DE POLIETILENO X 100</v>
      </c>
      <c r="D44" s="107"/>
      <c r="E44" s="107"/>
      <c r="F44" s="107"/>
      <c r="G44" s="108"/>
      <c r="H44" s="64" t="s">
        <v>57</v>
      </c>
      <c r="I44" s="65" t="str">
        <f>'Necesidades Trimestrales'!F42</f>
        <v>UNIDAD</v>
      </c>
      <c r="J44" s="66">
        <f>'Necesidades Trimestrales'!H42</f>
        <v>177</v>
      </c>
      <c r="K44" s="67">
        <f>'Necesidades Trimestrales'!G42</f>
        <v>14</v>
      </c>
    </row>
    <row r="45" spans="1:11" ht="20.25" customHeight="1" thickBot="1" x14ac:dyDescent="0.25">
      <c r="A45" s="8">
        <v>34</v>
      </c>
      <c r="B45" s="63">
        <f>'Necesidades Trimestrales'!B51</f>
        <v>0</v>
      </c>
      <c r="C45" s="106" t="str">
        <f>'Necesidades Trimestrales'!E43</f>
        <v>MASCARA DE OXIGENO CON REGULADORES</v>
      </c>
      <c r="D45" s="107"/>
      <c r="E45" s="107"/>
      <c r="F45" s="107"/>
      <c r="G45" s="108"/>
      <c r="H45" s="64" t="s">
        <v>57</v>
      </c>
      <c r="I45" s="65" t="str">
        <f>'Necesidades Trimestrales'!F43</f>
        <v>UNIDAD</v>
      </c>
      <c r="J45" s="66">
        <f>'Necesidades Trimestrales'!H43</f>
        <v>208</v>
      </c>
      <c r="K45" s="67">
        <f>'Necesidades Trimestrales'!G43</f>
        <v>500</v>
      </c>
    </row>
    <row r="46" spans="1:11" ht="20.25" customHeight="1" thickBot="1" x14ac:dyDescent="0.25">
      <c r="A46" s="8">
        <v>35</v>
      </c>
      <c r="B46" s="63">
        <f>'Necesidades Trimestrales'!B52</f>
        <v>0</v>
      </c>
      <c r="C46" s="106" t="str">
        <f>'Necesidades Trimestrales'!E44</f>
        <v>OVATA DE ALGODÓN X 10 CM</v>
      </c>
      <c r="D46" s="107"/>
      <c r="E46" s="107"/>
      <c r="F46" s="107"/>
      <c r="G46" s="108"/>
      <c r="H46" s="64" t="s">
        <v>57</v>
      </c>
      <c r="I46" s="65" t="str">
        <f>'Necesidades Trimestrales'!F44</f>
        <v>UNIDAD</v>
      </c>
      <c r="J46" s="66">
        <f>'Necesidades Trimestrales'!H44</f>
        <v>30.3</v>
      </c>
      <c r="K46" s="67">
        <f>'Necesidades Trimestrales'!G44</f>
        <v>600</v>
      </c>
    </row>
    <row r="47" spans="1:11" ht="20.25" customHeight="1" thickBot="1" x14ac:dyDescent="0.25">
      <c r="A47" s="8">
        <v>36</v>
      </c>
      <c r="B47" s="63">
        <f>'Necesidades Trimestrales'!B53</f>
        <v>0</v>
      </c>
      <c r="C47" s="106" t="str">
        <f>'Necesidades Trimestrales'!E45</f>
        <v>OVATA DE ALGODÓN X 15 CM</v>
      </c>
      <c r="D47" s="107"/>
      <c r="E47" s="107"/>
      <c r="F47" s="107"/>
      <c r="G47" s="108"/>
      <c r="H47" s="64" t="s">
        <v>57</v>
      </c>
      <c r="I47" s="65" t="str">
        <f>'Necesidades Trimestrales'!F45</f>
        <v>UNIDAD</v>
      </c>
      <c r="J47" s="66">
        <f>'Necesidades Trimestrales'!H45</f>
        <v>39.520000000000003</v>
      </c>
      <c r="K47" s="67">
        <f>'Necesidades Trimestrales'!G45</f>
        <v>900</v>
      </c>
    </row>
    <row r="48" spans="1:11" ht="20.25" customHeight="1" thickBot="1" x14ac:dyDescent="0.25">
      <c r="A48" s="8">
        <v>37</v>
      </c>
      <c r="B48" s="63">
        <f>'Necesidades Trimestrales'!B54</f>
        <v>0</v>
      </c>
      <c r="C48" s="106" t="str">
        <f>'Necesidades Trimestrales'!E46</f>
        <v>OVATA DE ALGODÓN X 20 CM</v>
      </c>
      <c r="D48" s="107"/>
      <c r="E48" s="107"/>
      <c r="F48" s="107"/>
      <c r="G48" s="108"/>
      <c r="H48" s="64" t="s">
        <v>57</v>
      </c>
      <c r="I48" s="65" t="str">
        <f>'Necesidades Trimestrales'!F46</f>
        <v>UNIDAD</v>
      </c>
      <c r="J48" s="66">
        <f>'Necesidades Trimestrales'!H46</f>
        <v>39.520000000000003</v>
      </c>
      <c r="K48" s="67">
        <f>'Necesidades Trimestrales'!G46</f>
        <v>900</v>
      </c>
    </row>
    <row r="49" spans="1:11" ht="20.25" customHeight="1" thickBot="1" x14ac:dyDescent="0.25">
      <c r="A49" s="8">
        <v>38</v>
      </c>
      <c r="B49" s="63">
        <f>'Necesidades Trimestrales'!B55</f>
        <v>0</v>
      </c>
      <c r="C49" s="106" t="str">
        <f>'Necesidades Trimestrales'!E47</f>
        <v>PAÑAL DESCARTABLE ADULTO XG</v>
      </c>
      <c r="D49" s="107"/>
      <c r="E49" s="107"/>
      <c r="F49" s="107"/>
      <c r="G49" s="108"/>
      <c r="H49" s="64" t="s">
        <v>57</v>
      </c>
      <c r="I49" s="65" t="str">
        <f>'Necesidades Trimestrales'!F47</f>
        <v>UNIDAD</v>
      </c>
      <c r="J49" s="66">
        <f>'Necesidades Trimestrales'!H47</f>
        <v>22.7</v>
      </c>
      <c r="K49" s="67">
        <f>'Necesidades Trimestrales'!G47</f>
        <v>20000</v>
      </c>
    </row>
    <row r="50" spans="1:11" ht="20.25" customHeight="1" thickBot="1" x14ac:dyDescent="0.25">
      <c r="A50" s="8">
        <v>39</v>
      </c>
      <c r="B50" s="63">
        <f>'Necesidades Trimestrales'!B56</f>
        <v>0</v>
      </c>
      <c r="C50" s="106" t="str">
        <f>'Necesidades Trimestrales'!E48</f>
        <v>PAPEL PARA ELECTROCARDIOGRAMA 50 X 30</v>
      </c>
      <c r="D50" s="107"/>
      <c r="E50" s="107"/>
      <c r="F50" s="107"/>
      <c r="G50" s="108"/>
      <c r="H50" s="64" t="s">
        <v>57</v>
      </c>
      <c r="I50" s="65" t="str">
        <f>'Necesidades Trimestrales'!F48</f>
        <v>UNIDAD</v>
      </c>
      <c r="J50" s="66">
        <f>'Necesidades Trimestrales'!H48</f>
        <v>208</v>
      </c>
      <c r="K50" s="67">
        <f>'Necesidades Trimestrales'!G48</f>
        <v>200</v>
      </c>
    </row>
    <row r="51" spans="1:11" ht="20.25" customHeight="1" thickBot="1" x14ac:dyDescent="0.25">
      <c r="A51" s="8">
        <v>40</v>
      </c>
      <c r="B51" s="63">
        <f>'Necesidades Trimestrales'!B57</f>
        <v>0</v>
      </c>
      <c r="C51" s="106" t="str">
        <f>'Necesidades Trimestrales'!E49</f>
        <v>PAPEL PARA ELECTROCARDIOGRAMA 62 X 30</v>
      </c>
      <c r="D51" s="107"/>
      <c r="E51" s="107"/>
      <c r="F51" s="107"/>
      <c r="G51" s="108"/>
      <c r="H51" s="64" t="s">
        <v>57</v>
      </c>
      <c r="I51" s="65" t="str">
        <f>'Necesidades Trimestrales'!F49</f>
        <v>UNIDAD</v>
      </c>
      <c r="J51" s="66">
        <f>'Necesidades Trimestrales'!H49</f>
        <v>336</v>
      </c>
      <c r="K51" s="67">
        <f>'Necesidades Trimestrales'!G49</f>
        <v>20</v>
      </c>
    </row>
    <row r="52" spans="1:11" ht="20.25" customHeight="1" thickBot="1" x14ac:dyDescent="0.25">
      <c r="A52" s="8">
        <v>41</v>
      </c>
      <c r="B52" s="63">
        <f>'Necesidades Trimestrales'!B58</f>
        <v>0</v>
      </c>
      <c r="C52" s="106" t="str">
        <f>'Necesidades Trimestrales'!E50</f>
        <v xml:space="preserve">TELA ADHESIVA 2.5 MM X 9.00 MTS </v>
      </c>
      <c r="D52" s="107"/>
      <c r="E52" s="107"/>
      <c r="F52" s="107"/>
      <c r="G52" s="108"/>
      <c r="H52" s="64" t="s">
        <v>57</v>
      </c>
      <c r="I52" s="65" t="str">
        <f>'Necesidades Trimestrales'!F50</f>
        <v>UNIDAD</v>
      </c>
      <c r="J52" s="66">
        <f>'Necesidades Trimestrales'!H50</f>
        <v>46.7</v>
      </c>
      <c r="K52" s="67">
        <f>'Necesidades Trimestrales'!G50</f>
        <v>4512</v>
      </c>
    </row>
    <row r="53" spans="1:11" ht="20.25" customHeight="1" thickBot="1" x14ac:dyDescent="0.25">
      <c r="A53" s="8">
        <v>42</v>
      </c>
      <c r="B53" s="63">
        <f>'Necesidades Trimestrales'!B59</f>
        <v>0</v>
      </c>
      <c r="C53" s="106" t="str">
        <f>'Necesidades Trimestrales'!E51</f>
        <v xml:space="preserve">TELA ADHESIVA 5 MM X 9.00 MTS </v>
      </c>
      <c r="D53" s="107"/>
      <c r="E53" s="107"/>
      <c r="F53" s="107"/>
      <c r="G53" s="108"/>
      <c r="H53" s="64" t="s">
        <v>57</v>
      </c>
      <c r="I53" s="65" t="str">
        <f>'Necesidades Trimestrales'!F51</f>
        <v>UNIDAD</v>
      </c>
      <c r="J53" s="66">
        <f>'Necesidades Trimestrales'!H51</f>
        <v>110.4</v>
      </c>
      <c r="K53" s="67">
        <f>'Necesidades Trimestrales'!G51</f>
        <v>2500</v>
      </c>
    </row>
    <row r="54" spans="1:11" ht="20.25" customHeight="1" thickBot="1" x14ac:dyDescent="0.25">
      <c r="A54" s="8">
        <v>43</v>
      </c>
      <c r="B54" s="63">
        <f>'Necesidades Trimestrales'!B60</f>
        <v>0</v>
      </c>
      <c r="C54" s="106" t="str">
        <f>'Necesidades Trimestrales'!E52</f>
        <v xml:space="preserve">TELA ADHESIVA HIPOALERGENICA TRANSPORE 2.5 CM </v>
      </c>
      <c r="D54" s="107"/>
      <c r="E54" s="107"/>
      <c r="F54" s="107"/>
      <c r="G54" s="108"/>
      <c r="H54" s="64" t="s">
        <v>57</v>
      </c>
      <c r="I54" s="65" t="str">
        <f>'Necesidades Trimestrales'!F52</f>
        <v>UNIDAD</v>
      </c>
      <c r="J54" s="66">
        <f>'Necesidades Trimestrales'!H52</f>
        <v>46.7</v>
      </c>
      <c r="K54" s="67">
        <f>'Necesidades Trimestrales'!G52</f>
        <v>500</v>
      </c>
    </row>
    <row r="55" spans="1:11" ht="20.25" customHeight="1" thickBot="1" x14ac:dyDescent="0.25">
      <c r="A55" s="8">
        <v>44</v>
      </c>
      <c r="B55" s="63">
        <f>'Necesidades Trimestrales'!B61</f>
        <v>0</v>
      </c>
      <c r="C55" s="106" t="str">
        <f>'Necesidades Trimestrales'!E53</f>
        <v>TERMOMETRO DIGITAL</v>
      </c>
      <c r="D55" s="107"/>
      <c r="E55" s="107"/>
      <c r="F55" s="107"/>
      <c r="G55" s="108"/>
      <c r="H55" s="64" t="s">
        <v>57</v>
      </c>
      <c r="I55" s="65" t="str">
        <f>'Necesidades Trimestrales'!F53</f>
        <v>UNIDAD</v>
      </c>
      <c r="J55" s="66">
        <f>'Necesidades Trimestrales'!H53</f>
        <v>231</v>
      </c>
      <c r="K55" s="67">
        <f>'Necesidades Trimestrales'!G53</f>
        <v>50</v>
      </c>
    </row>
    <row r="56" spans="1:11" ht="20.25" customHeight="1" thickBot="1" x14ac:dyDescent="0.25">
      <c r="A56" s="8">
        <v>45</v>
      </c>
      <c r="B56" s="63">
        <f>'Necesidades Trimestrales'!B54</f>
        <v>0</v>
      </c>
      <c r="C56" s="106" t="str">
        <f>'Necesidades Trimestrales'!E54</f>
        <v>TIRAS REACTIVAS PARA DETERMINACION GLUCOSA X 50 UNIDADES</v>
      </c>
      <c r="D56" s="107"/>
      <c r="E56" s="107"/>
      <c r="F56" s="107"/>
      <c r="G56" s="108"/>
      <c r="H56" s="64" t="s">
        <v>57</v>
      </c>
      <c r="I56" s="65" t="str">
        <f>'Necesidades Trimestrales'!F54</f>
        <v>UNIDAD</v>
      </c>
      <c r="J56" s="66">
        <f>'Necesidades Trimestrales'!H54</f>
        <v>2259.5</v>
      </c>
      <c r="K56" s="67">
        <f>'Necesidades Trimestrales'!G54</f>
        <v>400</v>
      </c>
    </row>
    <row r="57" spans="1:11" ht="20.25" customHeight="1" thickBot="1" x14ac:dyDescent="0.25">
      <c r="A57" s="8">
        <v>46</v>
      </c>
      <c r="B57" s="63">
        <f>'Necesidades Trimestrales'!B55</f>
        <v>0</v>
      </c>
      <c r="C57" s="106" t="str">
        <f>'Necesidades Trimestrales'!E55</f>
        <v>TUBO CONECTOR EN "Y" KT-95 EST. X 1</v>
      </c>
      <c r="D57" s="107"/>
      <c r="E57" s="107"/>
      <c r="F57" s="107"/>
      <c r="G57" s="108"/>
      <c r="H57" s="64" t="s">
        <v>57</v>
      </c>
      <c r="I57" s="65" t="str">
        <f>'Necesidades Trimestrales'!F55</f>
        <v>UNIDAD</v>
      </c>
      <c r="J57" s="66">
        <f>'Necesidades Trimestrales'!H55</f>
        <v>91</v>
      </c>
      <c r="K57" s="67">
        <f>'Necesidades Trimestrales'!G55</f>
        <v>50</v>
      </c>
    </row>
    <row r="58" spans="1:11" ht="20.25" customHeight="1" thickBot="1" x14ac:dyDescent="0.25">
      <c r="A58" s="8">
        <v>47</v>
      </c>
      <c r="B58" s="63">
        <f>'Necesidades Trimestrales'!B56</f>
        <v>0</v>
      </c>
      <c r="C58" s="106" t="str">
        <f>'Necesidades Trimestrales'!E56</f>
        <v>TUBO DE LATEX  3 X 5 X METRO</v>
      </c>
      <c r="D58" s="107"/>
      <c r="E58" s="107"/>
      <c r="F58" s="107"/>
      <c r="G58" s="108"/>
      <c r="H58" s="64" t="s">
        <v>57</v>
      </c>
      <c r="I58" s="65" t="str">
        <f>'Necesidades Trimestrales'!F56</f>
        <v>UNIDAD</v>
      </c>
      <c r="J58" s="66">
        <f>'Necesidades Trimestrales'!H56</f>
        <v>975</v>
      </c>
      <c r="K58" s="67">
        <f>'Necesidades Trimestrales'!G56</f>
        <v>15</v>
      </c>
    </row>
    <row r="59" spans="1:11" ht="20.25" customHeight="1" thickBot="1" x14ac:dyDescent="0.25">
      <c r="A59" s="8">
        <v>48</v>
      </c>
      <c r="B59" s="63">
        <f>'Necesidades Trimestrales'!B57</f>
        <v>0</v>
      </c>
      <c r="C59" s="106" t="str">
        <f>'Necesidades Trimestrales'!E57</f>
        <v>TUBO DE LATEX 5 X 8 MM X METRO</v>
      </c>
      <c r="D59" s="107"/>
      <c r="E59" s="107"/>
      <c r="F59" s="107"/>
      <c r="G59" s="108"/>
      <c r="H59" s="64" t="s">
        <v>57</v>
      </c>
      <c r="I59" s="65" t="str">
        <f>'Necesidades Trimestrales'!F57</f>
        <v>UNIDAD</v>
      </c>
      <c r="J59" s="66">
        <f>'Necesidades Trimestrales'!H57</f>
        <v>580</v>
      </c>
      <c r="K59" s="67">
        <f>'Necesidades Trimestrales'!G57</f>
        <v>50</v>
      </c>
    </row>
    <row r="60" spans="1:11" ht="20.25" customHeight="1" thickBot="1" x14ac:dyDescent="0.25">
      <c r="A60" s="8">
        <v>49</v>
      </c>
      <c r="B60" s="63">
        <f>'Necesidades Trimestrales'!B58</f>
        <v>0</v>
      </c>
      <c r="C60" s="106" t="str">
        <f>'Necesidades Trimestrales'!E58</f>
        <v xml:space="preserve">TUBO MAYO GUEDEL N°3 </v>
      </c>
      <c r="D60" s="107"/>
      <c r="E60" s="107"/>
      <c r="F60" s="107"/>
      <c r="G60" s="108"/>
      <c r="H60" s="64" t="s">
        <v>57</v>
      </c>
      <c r="I60" s="65" t="str">
        <f>'Necesidades Trimestrales'!F58</f>
        <v>UNIDAD</v>
      </c>
      <c r="J60" s="66">
        <f>'Necesidades Trimestrales'!H58</f>
        <v>836</v>
      </c>
      <c r="K60" s="67">
        <f>'Necesidades Trimestrales'!G58</f>
        <v>15</v>
      </c>
    </row>
    <row r="61" spans="1:11" ht="20.25" customHeight="1" thickBot="1" x14ac:dyDescent="0.25">
      <c r="A61" s="8">
        <v>50</v>
      </c>
      <c r="B61" s="63">
        <f>'Necesidades Trimestrales'!B59</f>
        <v>0</v>
      </c>
      <c r="C61" s="106" t="str">
        <f>'Necesidades Trimestrales'!E59</f>
        <v xml:space="preserve">TUBO MAYO GUEDEL N°4 </v>
      </c>
      <c r="D61" s="107"/>
      <c r="E61" s="107"/>
      <c r="F61" s="107"/>
      <c r="G61" s="108"/>
      <c r="H61" s="64" t="s">
        <v>57</v>
      </c>
      <c r="I61" s="65" t="str">
        <f>'Necesidades Trimestrales'!F59</f>
        <v>UNIDAD</v>
      </c>
      <c r="J61" s="66">
        <f>'Necesidades Trimestrales'!H59</f>
        <v>836</v>
      </c>
      <c r="K61" s="67">
        <f>'Necesidades Trimestrales'!G59</f>
        <v>15</v>
      </c>
    </row>
    <row r="62" spans="1:11" ht="20.25" customHeight="1" thickBot="1" x14ac:dyDescent="0.25">
      <c r="A62" s="8">
        <v>51</v>
      </c>
      <c r="B62" s="63">
        <f>'Necesidades Trimestrales'!B60</f>
        <v>0</v>
      </c>
      <c r="C62" s="106" t="str">
        <f>'Necesidades Trimestrales'!E60</f>
        <v xml:space="preserve">VENDA CAMBRIC 10 CM </v>
      </c>
      <c r="D62" s="107"/>
      <c r="E62" s="107"/>
      <c r="F62" s="107"/>
      <c r="G62" s="108"/>
      <c r="H62" s="64" t="s">
        <v>57</v>
      </c>
      <c r="I62" s="65" t="str">
        <f>'Necesidades Trimestrales'!F60</f>
        <v>UNIDAD</v>
      </c>
      <c r="J62" s="66">
        <f>'Necesidades Trimestrales'!H60</f>
        <v>25.86</v>
      </c>
      <c r="K62" s="67">
        <f>'Necesidades Trimestrales'!G60</f>
        <v>5000</v>
      </c>
    </row>
    <row r="63" spans="1:11" ht="20.25" customHeight="1" thickBot="1" x14ac:dyDescent="0.25">
      <c r="A63" s="8">
        <v>52</v>
      </c>
      <c r="B63" s="63">
        <f>'Necesidades Trimestrales'!B61</f>
        <v>0</v>
      </c>
      <c r="C63" s="106" t="str">
        <f>'Necesidades Trimestrales'!E61</f>
        <v>VENDA ENYESADA X 10 CM X 20 METROS DE FRAGUADO RAPIDO</v>
      </c>
      <c r="D63" s="107"/>
      <c r="E63" s="107"/>
      <c r="F63" s="107"/>
      <c r="G63" s="108"/>
      <c r="H63" s="64" t="s">
        <v>57</v>
      </c>
      <c r="I63" s="65" t="str">
        <f>'Necesidades Trimestrales'!F61</f>
        <v>UNIDAD</v>
      </c>
      <c r="J63" s="66">
        <f>'Necesidades Trimestrales'!H61</f>
        <v>100.9</v>
      </c>
      <c r="K63" s="67">
        <f>'Necesidades Trimestrales'!G61</f>
        <v>450</v>
      </c>
    </row>
    <row r="64" spans="1:11" ht="20.25" customHeight="1" thickBot="1" x14ac:dyDescent="0.25">
      <c r="A64" s="8">
        <v>53</v>
      </c>
      <c r="B64" s="63">
        <f>'Necesidades Trimestrales'!B62</f>
        <v>0</v>
      </c>
      <c r="C64" s="106" t="str">
        <f>'Necesidades Trimestrales'!E62</f>
        <v>VENDA ENYESADA X 15 CM X 20 METROS DE FRAGUADO RAPIDO</v>
      </c>
      <c r="D64" s="107"/>
      <c r="E64" s="107"/>
      <c r="F64" s="107"/>
      <c r="G64" s="108"/>
      <c r="H64" s="64" t="s">
        <v>57</v>
      </c>
      <c r="I64" s="65" t="str">
        <f>'Necesidades Trimestrales'!F62</f>
        <v>UNIDAD</v>
      </c>
      <c r="J64" s="66">
        <f>'Necesidades Trimestrales'!H62</f>
        <v>140.19999999999999</v>
      </c>
      <c r="K64" s="67">
        <f>'Necesidades Trimestrales'!G62</f>
        <v>700</v>
      </c>
    </row>
    <row r="65" spans="1:1024" ht="20.25" customHeight="1" thickBot="1" x14ac:dyDescent="0.25">
      <c r="A65" s="8">
        <v>54</v>
      </c>
      <c r="B65" s="63">
        <f>'Necesidades Trimestrales'!B63</f>
        <v>0</v>
      </c>
      <c r="C65" s="106" t="str">
        <f>'Necesidades Trimestrales'!E63</f>
        <v>VENDA ENYESADA X 20 CM X 20 METROS DE FRAGUADO RAPIDO</v>
      </c>
      <c r="D65" s="107"/>
      <c r="E65" s="107"/>
      <c r="F65" s="107"/>
      <c r="G65" s="108"/>
      <c r="H65" s="64" t="s">
        <v>57</v>
      </c>
      <c r="I65" s="65" t="str">
        <f>'Necesidades Trimestrales'!F63</f>
        <v>UNIDAD</v>
      </c>
      <c r="J65" s="66">
        <f>'Necesidades Trimestrales'!H63</f>
        <v>182.1</v>
      </c>
      <c r="K65" s="67">
        <f>'Necesidades Trimestrales'!G63</f>
        <v>500</v>
      </c>
    </row>
    <row r="66" spans="1:1024" ht="20.25" customHeight="1" thickBot="1" x14ac:dyDescent="0.25">
      <c r="A66" s="99" t="s">
        <v>132</v>
      </c>
      <c r="B66" s="99"/>
      <c r="C66" s="99"/>
      <c r="D66" s="99"/>
      <c r="E66" s="99"/>
      <c r="F66" s="99"/>
      <c r="G66" s="99"/>
      <c r="H66" s="99"/>
      <c r="I66" s="99"/>
      <c r="J66" s="100">
        <f>SUMPRODUCT(J12:J65,K12:K65)</f>
        <v>12008835.32</v>
      </c>
      <c r="K66" s="100"/>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row>
  </sheetData>
  <mergeCells count="76">
    <mergeCell ref="C17:G17"/>
    <mergeCell ref="C16:G16"/>
    <mergeCell ref="C15:G15"/>
    <mergeCell ref="C51:G51"/>
    <mergeCell ref="C54:G54"/>
    <mergeCell ref="C53:G53"/>
    <mergeCell ref="C52:G52"/>
    <mergeCell ref="C47:G47"/>
    <mergeCell ref="C48:G48"/>
    <mergeCell ref="C49:G49"/>
    <mergeCell ref="C50:G50"/>
    <mergeCell ref="C45:G45"/>
    <mergeCell ref="C46:G46"/>
    <mergeCell ref="C30:G30"/>
    <mergeCell ref="C31:G31"/>
    <mergeCell ref="C32:G32"/>
    <mergeCell ref="C64:G64"/>
    <mergeCell ref="C65:G65"/>
    <mergeCell ref="C55:G55"/>
    <mergeCell ref="C56:G56"/>
    <mergeCell ref="C57:G57"/>
    <mergeCell ref="C58:G58"/>
    <mergeCell ref="C59:G59"/>
    <mergeCell ref="C60:G60"/>
    <mergeCell ref="C61:G61"/>
    <mergeCell ref="C62:G62"/>
    <mergeCell ref="C63:G63"/>
    <mergeCell ref="C41:G41"/>
    <mergeCell ref="C33:G33"/>
    <mergeCell ref="C34:G34"/>
    <mergeCell ref="C35:G35"/>
    <mergeCell ref="C36:G36"/>
    <mergeCell ref="C44:G44"/>
    <mergeCell ref="C18:G18"/>
    <mergeCell ref="C19:G19"/>
    <mergeCell ref="C20:G20"/>
    <mergeCell ref="C21:G21"/>
    <mergeCell ref="C22:G22"/>
    <mergeCell ref="C29:G29"/>
    <mergeCell ref="C42:G42"/>
    <mergeCell ref="C23:G23"/>
    <mergeCell ref="C24:G24"/>
    <mergeCell ref="C25:G25"/>
    <mergeCell ref="C43:G43"/>
    <mergeCell ref="C37:G37"/>
    <mergeCell ref="C38:G38"/>
    <mergeCell ref="C39:G39"/>
    <mergeCell ref="C40:G40"/>
    <mergeCell ref="C13:G13"/>
    <mergeCell ref="C14:G14"/>
    <mergeCell ref="A66:I66"/>
    <mergeCell ref="J66:K66"/>
    <mergeCell ref="A8:C8"/>
    <mergeCell ref="D8:K8"/>
    <mergeCell ref="A10:A11"/>
    <mergeCell ref="B10:B11"/>
    <mergeCell ref="C10:G11"/>
    <mergeCell ref="H10:H11"/>
    <mergeCell ref="I10:I11"/>
    <mergeCell ref="J10:J11"/>
    <mergeCell ref="K10:K11"/>
    <mergeCell ref="C26:G26"/>
    <mergeCell ref="C27:G27"/>
    <mergeCell ref="C28:G28"/>
    <mergeCell ref="C12:G12"/>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
  <sheetViews>
    <sheetView topLeftCell="A12" zoomScale="130" zoomScaleNormal="130" workbookViewId="0">
      <selection activeCell="T17" sqref="T17"/>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9" ht="15.75" customHeight="1" x14ac:dyDescent="0.25">
      <c r="A1" s="109" t="s">
        <v>3</v>
      </c>
      <c r="B1" s="109"/>
      <c r="C1" s="109"/>
      <c r="D1" s="110">
        <f>'Necesidades Trimestrales'!C6</f>
        <v>2021</v>
      </c>
      <c r="E1" s="110"/>
      <c r="F1" s="10"/>
      <c r="G1" s="10"/>
      <c r="H1" s="11"/>
      <c r="I1" s="11"/>
      <c r="J1" s="11"/>
      <c r="K1" s="11"/>
      <c r="L1" s="11"/>
      <c r="M1" s="11"/>
      <c r="N1" s="11"/>
      <c r="P1" s="111" t="s">
        <v>31</v>
      </c>
      <c r="Q1" s="111"/>
    </row>
    <row r="2" spans="1:19" ht="15.75" customHeight="1" x14ac:dyDescent="0.2">
      <c r="H2" s="11"/>
      <c r="I2" s="11"/>
      <c r="J2" s="11"/>
      <c r="K2" s="11"/>
      <c r="L2" s="11"/>
      <c r="M2" s="11"/>
      <c r="N2" s="11"/>
      <c r="P2" s="111"/>
      <c r="Q2" s="111"/>
    </row>
    <row r="4" spans="1:19" s="12" customFormat="1" ht="18" customHeight="1" thickBot="1" x14ac:dyDescent="0.25">
      <c r="A4" s="112" t="s">
        <v>32</v>
      </c>
      <c r="B4" s="112"/>
      <c r="C4" s="112"/>
      <c r="D4" s="112"/>
      <c r="E4" s="112"/>
      <c r="F4" s="112"/>
      <c r="G4" s="113" t="str">
        <f>NotaPedido!D3</f>
        <v>40 - Ministerio de Salud</v>
      </c>
      <c r="H4" s="113"/>
      <c r="I4" s="113"/>
      <c r="J4" s="113"/>
      <c r="K4" s="113"/>
      <c r="L4" s="113"/>
      <c r="M4" s="113"/>
      <c r="N4" s="113"/>
      <c r="O4" s="113"/>
      <c r="P4" s="113"/>
      <c r="Q4" s="113"/>
    </row>
    <row r="5" spans="1:19" s="12" customFormat="1" ht="18" customHeight="1" thickBot="1" x14ac:dyDescent="0.25">
      <c r="A5" s="114" t="s">
        <v>55</v>
      </c>
      <c r="B5" s="115"/>
      <c r="C5" s="115"/>
      <c r="D5" s="115"/>
      <c r="E5" s="115"/>
      <c r="F5" s="116"/>
      <c r="G5" s="113" t="str">
        <f>NotaPedido!D4</f>
        <v>23 - Hospital Interzonal San Juan Bautista</v>
      </c>
      <c r="H5" s="113"/>
      <c r="I5" s="113"/>
      <c r="J5" s="113"/>
      <c r="K5" s="113"/>
      <c r="L5" s="113"/>
      <c r="M5" s="113"/>
      <c r="N5" s="113"/>
      <c r="O5" s="113"/>
      <c r="P5" s="113"/>
      <c r="Q5" s="113"/>
    </row>
    <row r="6" spans="1:19" s="12" customFormat="1" ht="18" customHeight="1" thickBot="1" x14ac:dyDescent="0.25">
      <c r="A6" s="114" t="s">
        <v>33</v>
      </c>
      <c r="B6" s="115"/>
      <c r="C6" s="115"/>
      <c r="D6" s="115"/>
      <c r="E6" s="115"/>
      <c r="F6" s="116"/>
      <c r="G6" s="113" t="str">
        <f>NotaPedido!D5</f>
        <v>168 - Direccion Asistencial</v>
      </c>
      <c r="H6" s="113"/>
      <c r="I6" s="113"/>
      <c r="J6" s="113"/>
      <c r="K6" s="113"/>
      <c r="L6" s="113"/>
      <c r="M6" s="113"/>
      <c r="N6" s="113"/>
      <c r="O6" s="113"/>
      <c r="P6" s="113"/>
      <c r="Q6" s="113"/>
    </row>
    <row r="7" spans="1:19" s="12" customFormat="1" ht="18" customHeight="1" thickBot="1" x14ac:dyDescent="0.25">
      <c r="A7" s="114" t="s">
        <v>56</v>
      </c>
      <c r="B7" s="115"/>
      <c r="C7" s="115"/>
      <c r="D7" s="115"/>
      <c r="E7" s="115"/>
      <c r="F7" s="116"/>
      <c r="G7" s="113" t="str">
        <f>NotaPedido!D6</f>
        <v>Servicio de Farmacia</v>
      </c>
      <c r="H7" s="113"/>
      <c r="I7" s="113"/>
      <c r="J7" s="113"/>
      <c r="K7" s="113"/>
      <c r="L7" s="113"/>
      <c r="M7" s="113"/>
      <c r="N7" s="113"/>
      <c r="O7" s="113"/>
      <c r="P7" s="113"/>
      <c r="Q7" s="113"/>
    </row>
    <row r="8" spans="1:19" ht="18" customHeight="1" thickBot="1" x14ac:dyDescent="0.25">
      <c r="A8" s="117" t="s">
        <v>34</v>
      </c>
      <c r="B8" s="117"/>
      <c r="C8" s="117"/>
      <c r="D8" s="117"/>
      <c r="E8" s="117"/>
      <c r="F8" s="117"/>
      <c r="G8" s="117"/>
      <c r="H8" s="117"/>
      <c r="I8" s="117"/>
      <c r="J8" s="117"/>
      <c r="K8" s="117"/>
      <c r="L8" s="117"/>
      <c r="M8" s="117"/>
      <c r="N8" s="117"/>
      <c r="O8" s="117"/>
      <c r="P8" s="117"/>
      <c r="Q8" s="117"/>
    </row>
    <row r="9" spans="1:19" ht="18" customHeight="1" x14ac:dyDescent="0.2">
      <c r="A9" s="118" t="s">
        <v>35</v>
      </c>
      <c r="B9" s="118"/>
      <c r="C9" s="118"/>
      <c r="D9" s="118"/>
      <c r="E9" s="118"/>
      <c r="F9" s="118"/>
      <c r="G9" s="118"/>
      <c r="H9" s="118"/>
      <c r="I9" s="118"/>
      <c r="J9" s="118"/>
      <c r="K9" s="118"/>
      <c r="L9" s="118"/>
      <c r="M9" s="118"/>
      <c r="N9" s="118"/>
      <c r="O9" s="1"/>
      <c r="P9" s="1"/>
      <c r="Q9" s="13"/>
    </row>
    <row r="10" spans="1:19" ht="54.75" customHeight="1" x14ac:dyDescent="0.2">
      <c r="A10" s="119"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028 - 2021,  afectando la erogación resultante a los créditos presupuestarios aprobados a favor de esta Unidad Ejecutora, conforme al siguiente detalle:</v>
      </c>
      <c r="B10" s="119"/>
      <c r="C10" s="119"/>
      <c r="D10" s="119"/>
      <c r="E10" s="119"/>
      <c r="F10" s="119"/>
      <c r="G10" s="119"/>
      <c r="H10" s="119"/>
      <c r="I10" s="119"/>
      <c r="J10" s="119"/>
      <c r="K10" s="119"/>
      <c r="L10" s="119"/>
      <c r="M10" s="119"/>
      <c r="N10" s="119"/>
      <c r="O10" s="119"/>
      <c r="P10" s="119"/>
      <c r="Q10" s="119"/>
    </row>
    <row r="11" spans="1:19" ht="9" customHeight="1" x14ac:dyDescent="0.2">
      <c r="A11" s="14"/>
      <c r="B11" s="15"/>
      <c r="C11" s="15"/>
      <c r="D11" s="15"/>
      <c r="E11" s="15"/>
      <c r="F11" s="15"/>
      <c r="G11" s="16"/>
      <c r="H11" s="15"/>
      <c r="I11" s="15"/>
      <c r="J11" s="15"/>
      <c r="K11" s="15"/>
      <c r="L11" s="15"/>
      <c r="M11" s="15"/>
      <c r="N11" s="15"/>
      <c r="O11" s="15"/>
      <c r="P11" s="15"/>
      <c r="Q11" s="17"/>
    </row>
    <row r="12" spans="1:19" ht="15.75" customHeight="1" x14ac:dyDescent="0.2">
      <c r="A12" s="120" t="s">
        <v>36</v>
      </c>
      <c r="B12" s="120"/>
      <c r="C12" s="120"/>
      <c r="D12" s="120"/>
      <c r="E12" s="120"/>
      <c r="F12" s="120"/>
      <c r="G12" s="120"/>
      <c r="H12" s="120"/>
      <c r="I12" s="120"/>
      <c r="J12" s="120"/>
      <c r="K12" s="120"/>
      <c r="L12" s="120"/>
      <c r="M12" s="120"/>
      <c r="N12" s="120"/>
      <c r="O12" s="120"/>
      <c r="P12" s="120"/>
      <c r="Q12" s="120"/>
    </row>
    <row r="13" spans="1:19" ht="15.75" customHeight="1" x14ac:dyDescent="0.2">
      <c r="A13" s="121" t="s">
        <v>37</v>
      </c>
      <c r="B13" s="121"/>
      <c r="C13" s="121"/>
      <c r="D13" s="121"/>
      <c r="E13" s="121"/>
      <c r="F13" s="121"/>
      <c r="G13" s="121"/>
      <c r="H13" s="121"/>
      <c r="I13" s="121"/>
      <c r="J13" s="121"/>
      <c r="K13" s="121"/>
      <c r="L13" s="121"/>
      <c r="M13" s="121"/>
      <c r="N13" s="121"/>
      <c r="O13" s="122" t="s">
        <v>38</v>
      </c>
      <c r="P13" s="122"/>
      <c r="Q13" s="123" t="s">
        <v>39</v>
      </c>
    </row>
    <row r="14" spans="1:19" ht="15.75" customHeight="1" x14ac:dyDescent="0.2">
      <c r="A14" s="18" t="s">
        <v>40</v>
      </c>
      <c r="B14" s="19" t="s">
        <v>41</v>
      </c>
      <c r="C14" s="19" t="s">
        <v>42</v>
      </c>
      <c r="D14" s="19" t="s">
        <v>43</v>
      </c>
      <c r="E14" s="19" t="s">
        <v>44</v>
      </c>
      <c r="F14" s="19" t="s">
        <v>45</v>
      </c>
      <c r="G14" s="20" t="s">
        <v>46</v>
      </c>
      <c r="H14" s="19" t="s">
        <v>47</v>
      </c>
      <c r="I14" s="19" t="s">
        <v>48</v>
      </c>
      <c r="J14" s="19" t="s">
        <v>49</v>
      </c>
      <c r="K14" s="19" t="s">
        <v>49</v>
      </c>
      <c r="L14" s="19" t="s">
        <v>50</v>
      </c>
      <c r="M14" s="21" t="s">
        <v>51</v>
      </c>
      <c r="N14" s="22" t="s">
        <v>52</v>
      </c>
      <c r="O14" s="122"/>
      <c r="P14" s="122"/>
      <c r="Q14" s="123"/>
    </row>
    <row r="15" spans="1:19" ht="17.25" customHeight="1" x14ac:dyDescent="0.2">
      <c r="A15" s="70">
        <v>33</v>
      </c>
      <c r="B15" s="71"/>
      <c r="C15" s="71"/>
      <c r="D15" s="71">
        <v>2</v>
      </c>
      <c r="E15" s="71"/>
      <c r="F15" s="71">
        <v>4901</v>
      </c>
      <c r="G15" s="71">
        <v>3</v>
      </c>
      <c r="H15" s="72" t="s">
        <v>65</v>
      </c>
      <c r="I15" s="73">
        <v>2</v>
      </c>
      <c r="J15" s="73">
        <v>5</v>
      </c>
      <c r="K15" s="73">
        <v>1</v>
      </c>
      <c r="L15" s="71"/>
      <c r="M15" s="74">
        <v>1</v>
      </c>
      <c r="N15" s="72" t="s">
        <v>66</v>
      </c>
      <c r="O15" s="124" t="s">
        <v>62</v>
      </c>
      <c r="P15" s="124"/>
      <c r="Q15" s="84">
        <v>937943.4</v>
      </c>
    </row>
    <row r="16" spans="1:19" ht="17.25" customHeight="1" x14ac:dyDescent="0.2">
      <c r="A16" s="23">
        <v>33</v>
      </c>
      <c r="B16" s="24"/>
      <c r="C16" s="24"/>
      <c r="D16" s="24">
        <v>2</v>
      </c>
      <c r="E16" s="24"/>
      <c r="F16" s="26">
        <v>4901</v>
      </c>
      <c r="G16" s="24">
        <v>3</v>
      </c>
      <c r="H16" s="68" t="s">
        <v>65</v>
      </c>
      <c r="I16" s="24">
        <v>2</v>
      </c>
      <c r="J16" s="24">
        <v>9</v>
      </c>
      <c r="K16" s="24">
        <v>5</v>
      </c>
      <c r="L16" s="24"/>
      <c r="M16" s="25">
        <v>1</v>
      </c>
      <c r="N16" s="69" t="s">
        <v>66</v>
      </c>
      <c r="O16" s="125" t="s">
        <v>67</v>
      </c>
      <c r="P16" s="125"/>
      <c r="Q16" s="85">
        <v>10543141.92</v>
      </c>
      <c r="S16" s="75"/>
    </row>
    <row r="17" spans="1:18" ht="17.25" customHeight="1" x14ac:dyDescent="0.2">
      <c r="A17" s="23">
        <v>33</v>
      </c>
      <c r="B17" s="24"/>
      <c r="C17" s="24"/>
      <c r="D17" s="24">
        <v>2</v>
      </c>
      <c r="E17" s="24"/>
      <c r="F17" s="24">
        <v>4901</v>
      </c>
      <c r="G17" s="24">
        <v>3</v>
      </c>
      <c r="H17" s="68" t="s">
        <v>65</v>
      </c>
      <c r="I17" s="24">
        <v>2</v>
      </c>
      <c r="J17" s="24">
        <v>9</v>
      </c>
      <c r="K17" s="24">
        <v>9</v>
      </c>
      <c r="L17" s="24"/>
      <c r="M17" s="25">
        <v>1</v>
      </c>
      <c r="N17" s="69" t="s">
        <v>66</v>
      </c>
      <c r="O17" s="126" t="s">
        <v>64</v>
      </c>
      <c r="P17" s="127"/>
      <c r="Q17" s="85">
        <v>527750</v>
      </c>
    </row>
    <row r="18" spans="1:18" ht="17.25" customHeight="1" x14ac:dyDescent="0.2">
      <c r="A18" s="23"/>
      <c r="B18" s="24"/>
      <c r="C18" s="24"/>
      <c r="D18" s="24"/>
      <c r="E18" s="24"/>
      <c r="F18" s="26"/>
      <c r="G18" s="24"/>
      <c r="H18" s="24"/>
      <c r="I18" s="24"/>
      <c r="J18" s="24"/>
      <c r="K18" s="24"/>
      <c r="L18" s="24"/>
      <c r="M18" s="25"/>
      <c r="N18" s="26"/>
      <c r="O18" s="128"/>
      <c r="P18" s="128"/>
      <c r="Q18" s="27"/>
    </row>
    <row r="19" spans="1:18" ht="17.25" customHeight="1" x14ac:dyDescent="0.2">
      <c r="A19" s="23"/>
      <c r="B19" s="24"/>
      <c r="C19" s="24"/>
      <c r="D19" s="24"/>
      <c r="E19" s="24"/>
      <c r="F19" s="26"/>
      <c r="G19" s="24"/>
      <c r="H19" s="24"/>
      <c r="I19" s="24"/>
      <c r="J19" s="24"/>
      <c r="K19" s="24"/>
      <c r="L19" s="24"/>
      <c r="M19" s="25"/>
      <c r="N19" s="26"/>
      <c r="O19" s="128"/>
      <c r="P19" s="128"/>
      <c r="Q19" s="27"/>
    </row>
    <row r="20" spans="1:18" ht="17.25" customHeight="1" x14ac:dyDescent="0.2">
      <c r="A20" s="28"/>
      <c r="B20" s="29"/>
      <c r="C20" s="29"/>
      <c r="D20" s="29"/>
      <c r="E20" s="29"/>
      <c r="F20" s="30"/>
      <c r="G20" s="29"/>
      <c r="H20" s="29"/>
      <c r="I20" s="29"/>
      <c r="J20" s="29"/>
      <c r="K20" s="29"/>
      <c r="L20" s="29"/>
      <c r="M20" s="31"/>
      <c r="N20" s="32"/>
      <c r="O20" s="134"/>
      <c r="P20" s="134"/>
      <c r="Q20" s="27"/>
      <c r="R20" s="1"/>
    </row>
    <row r="21" spans="1:18" ht="17.25" customHeight="1" x14ac:dyDescent="0.2">
      <c r="A21" s="33"/>
      <c r="B21" s="34"/>
      <c r="C21" s="34"/>
      <c r="D21" s="34"/>
      <c r="E21" s="34"/>
      <c r="F21" s="34"/>
      <c r="G21" s="34"/>
      <c r="H21" s="34"/>
      <c r="I21" s="34"/>
      <c r="J21" s="34"/>
      <c r="K21" s="34"/>
      <c r="L21" s="34"/>
      <c r="M21" s="35"/>
      <c r="N21" s="34"/>
      <c r="O21" s="135"/>
      <c r="P21" s="135"/>
      <c r="Q21" s="36"/>
    </row>
    <row r="22" spans="1:18" ht="20.25" customHeight="1" x14ac:dyDescent="0.2">
      <c r="A22" s="136" t="s">
        <v>133</v>
      </c>
      <c r="B22" s="136"/>
      <c r="C22" s="136"/>
      <c r="D22" s="136"/>
      <c r="E22" s="136"/>
      <c r="F22" s="136"/>
      <c r="G22" s="136"/>
      <c r="H22" s="136"/>
      <c r="I22" s="136"/>
      <c r="J22" s="136"/>
      <c r="K22" s="136"/>
      <c r="L22" s="136"/>
      <c r="M22" s="136"/>
      <c r="N22" s="136"/>
      <c r="O22" s="136"/>
      <c r="P22" s="136"/>
      <c r="Q22" s="37">
        <f>SUM(Q15:Q21)</f>
        <v>12008835.32</v>
      </c>
    </row>
    <row r="23" spans="1:18" ht="18" customHeight="1" thickBot="1" x14ac:dyDescent="0.25">
      <c r="A23" s="137"/>
      <c r="B23" s="137"/>
      <c r="C23" s="137"/>
      <c r="D23" s="137"/>
      <c r="E23" s="137"/>
      <c r="F23" s="137"/>
      <c r="G23" s="137"/>
      <c r="H23" s="137"/>
      <c r="I23" s="137"/>
      <c r="J23" s="137"/>
      <c r="K23" s="137"/>
      <c r="L23" s="137"/>
      <c r="M23" s="137"/>
      <c r="N23" s="137"/>
      <c r="O23" s="137"/>
      <c r="P23" s="137"/>
      <c r="Q23" s="137"/>
    </row>
    <row r="24" spans="1:18" ht="17.25" customHeight="1" thickBot="1" x14ac:dyDescent="0.25">
      <c r="A24" s="129" t="s">
        <v>53</v>
      </c>
      <c r="B24" s="130"/>
      <c r="C24" s="130"/>
      <c r="D24" s="130"/>
      <c r="E24" s="130"/>
      <c r="F24" s="131"/>
      <c r="G24" s="132"/>
      <c r="H24" s="132"/>
      <c r="I24" s="132"/>
      <c r="J24" s="132"/>
      <c r="K24" s="132"/>
      <c r="L24" s="132"/>
      <c r="M24" s="132"/>
      <c r="N24" s="132"/>
      <c r="O24" s="132"/>
      <c r="P24" s="132"/>
      <c r="Q24" s="132"/>
    </row>
    <row r="25" spans="1:18" ht="18" customHeight="1" thickBot="1" x14ac:dyDescent="0.25">
      <c r="A25" s="133" t="str">
        <f>"Para la "&amp; NotaPedido!D8 &amp;" para ser destinados al " &amp; NotaPedido!D6 &amp;"  del HISJB del Ministerio de Salud."</f>
        <v>Para la Adquisición de Insumos Comunes para Farmacia para ser destinados al Servicio de Farmacia  del HISJB del Ministerio de Salud.</v>
      </c>
      <c r="B25" s="133"/>
      <c r="C25" s="133"/>
      <c r="D25" s="133"/>
      <c r="E25" s="133"/>
      <c r="F25" s="133"/>
      <c r="G25" s="133"/>
      <c r="H25" s="133"/>
      <c r="I25" s="133"/>
      <c r="J25" s="133"/>
      <c r="K25" s="133"/>
      <c r="L25" s="133"/>
      <c r="M25" s="133"/>
      <c r="N25" s="133"/>
      <c r="O25" s="133"/>
      <c r="P25" s="133"/>
      <c r="Q25" s="133"/>
    </row>
    <row r="26" spans="1:18" ht="15" customHeight="1" x14ac:dyDescent="0.2">
      <c r="A26" s="133"/>
      <c r="B26" s="133"/>
      <c r="C26" s="133"/>
      <c r="D26" s="133"/>
      <c r="E26" s="133"/>
      <c r="F26" s="133"/>
      <c r="G26" s="133"/>
      <c r="H26" s="133"/>
      <c r="I26" s="133"/>
      <c r="J26" s="133"/>
      <c r="K26" s="133"/>
      <c r="L26" s="133"/>
      <c r="M26" s="133"/>
      <c r="N26" s="133"/>
      <c r="O26" s="133"/>
      <c r="P26" s="133"/>
      <c r="Q26" s="133"/>
    </row>
  </sheetData>
  <mergeCells count="30">
    <mergeCell ref="A25:Q26"/>
    <mergeCell ref="O19:P19"/>
    <mergeCell ref="O20:P20"/>
    <mergeCell ref="O21:P21"/>
    <mergeCell ref="A22:P22"/>
    <mergeCell ref="A23:Q23"/>
    <mergeCell ref="O15:P15"/>
    <mergeCell ref="O16:P16"/>
    <mergeCell ref="O17:P17"/>
    <mergeCell ref="O18:P18"/>
    <mergeCell ref="A24:F24"/>
    <mergeCell ref="G24:Q24"/>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COMPRAS</cp:lastModifiedBy>
  <cp:revision>2</cp:revision>
  <cp:lastPrinted>2020-07-17T22:18:48Z</cp:lastPrinted>
  <dcterms:created xsi:type="dcterms:W3CDTF">2020-07-17T23:44:49Z</dcterms:created>
  <dcterms:modified xsi:type="dcterms:W3CDTF">2021-08-13T12:29:06Z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