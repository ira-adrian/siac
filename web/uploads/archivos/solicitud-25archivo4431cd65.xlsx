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1° trimestre 2022\ACUERDOS MARCO\ACUERDO MARCO INSUMOS COMUN\"/>
    </mc:Choice>
  </mc:AlternateContent>
  <xr:revisionPtr revIDLastSave="0" documentId="13_ncr:1_{099EE19C-18F1-45BF-BDA7-5E5831C6D47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 NotaPedido" sheetId="2" r:id="rId1"/>
    <sheet name="APG" sheetId="4" r:id="rId2"/>
  </sheets>
  <definedNames>
    <definedName name="_xlnm._FilterDatabase" localSheetId="0" hidden="1">' NotaPedido'!$A$10:$K$106</definedName>
    <definedName name="_xlnm.Print_Area" localSheetId="0">' NotaPedido'!$A$1:$K$106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6" i="4" l="1"/>
  <c r="P23" i="4"/>
</calcChain>
</file>

<file path=xl/sharedStrings.xml><?xml version="1.0" encoding="utf-8"?>
<sst xmlns="http://schemas.openxmlformats.org/spreadsheetml/2006/main" count="444" uniqueCount="254">
  <si>
    <t>EJERCICIO: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</si>
  <si>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</si>
  <si>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</si>
  <si>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</si>
  <si>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</si>
  <si>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</si>
  <si>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</si>
  <si>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</si>
  <si>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</si>
  <si>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</si>
  <si>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</si>
  <si>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</si>
  <si>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</si>
  <si>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</si>
  <si>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</si>
  <si>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</si>
  <si>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</si>
  <si>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</si>
  <si>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</si>
  <si>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</si>
  <si>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</si>
  <si>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</si>
  <si>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</si>
  <si>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</si>
  <si>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</si>
  <si>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</si>
  <si>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</si>
  <si>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</si>
  <si>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</si>
  <si>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</si>
  <si>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</si>
  <si>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</si>
  <si>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</si>
  <si>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</si>
  <si>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</si>
  <si>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</si>
  <si>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</si>
  <si>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</si>
  <si>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1.1</t>
  </si>
  <si>
    <t>NO</t>
  </si>
  <si>
    <t>28-Maternidad provincial 25 de mayo</t>
  </si>
  <si>
    <t xml:space="preserve">42-Ministerio de salud </t>
  </si>
  <si>
    <t xml:space="preserve">28-Maternidad provincial 25 de mayo </t>
  </si>
  <si>
    <t>Adquisicion de Insumos Medicos Comunes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</si>
  <si>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</si>
  <si>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</si>
  <si>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</si>
  <si>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</si>
  <si>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</si>
  <si>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</si>
  <si>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</si>
  <si>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</si>
  <si>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</si>
  <si>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</si>
  <si>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</si>
  <si>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</si>
  <si>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</si>
  <si>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</si>
  <si>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</si>
  <si>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</si>
  <si>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</si>
  <si>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</si>
  <si>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</si>
  <si>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</si>
  <si>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</si>
  <si>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</si>
  <si>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</si>
  <si>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</si>
  <si>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</si>
  <si>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</si>
  <si>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</si>
  <si>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</si>
  <si>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</si>
  <si>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</si>
  <si>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</si>
  <si>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</si>
  <si>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</si>
  <si>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</si>
  <si>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</si>
  <si>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</si>
  <si>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</si>
  <si>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2.9.5-1909.168</t>
    </r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</si>
  <si>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</si>
  <si>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</si>
  <si>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</si>
  <si>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</si>
  <si>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</si>
  <si>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</si>
  <si>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</si>
  <si>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</si>
  <si>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</si>
  <si>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2.9.5-4198.171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</si>
  <si>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</si>
  <si>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</si>
  <si>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</si>
  <si>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</si>
  <si>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</si>
  <si>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</si>
  <si>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</si>
  <si>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</si>
  <si>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2.9.5-2562.11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</si>
  <si>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</si>
  <si>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</si>
  <si>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</si>
  <si>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</si>
  <si>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</si>
  <si>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</si>
  <si>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</si>
  <si>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</si>
  <si>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</si>
  <si>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</si>
  <si>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2.9.5-931.49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</si>
  <si>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</si>
  <si>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</si>
  <si>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</si>
  <si>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</si>
  <si>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</si>
  <si>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</si>
  <si>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</si>
  <si>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</si>
  <si>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</si>
  <si>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</si>
  <si>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</si>
  <si>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</si>
  <si>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</si>
  <si>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</si>
  <si>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</si>
  <si>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</si>
  <si>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</si>
  <si>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</si>
  <si>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</si>
  <si>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</si>
  <si>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</si>
  <si>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</si>
  <si>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</si>
  <si>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</si>
  <si>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</si>
  <si>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</si>
  <si>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</si>
  <si>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</si>
  <si>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</si>
  <si>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</si>
  <si>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</si>
  <si>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</si>
  <si>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</si>
  <si>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</si>
  <si>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</si>
  <si>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</si>
  <si>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</si>
  <si>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</si>
  <si>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</si>
  <si>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</si>
  <si>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</si>
  <si>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</si>
  <si>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</si>
  <si>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</si>
  <si>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</si>
  <si>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</si>
  <si>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</si>
  <si>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</si>
  <si>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</si>
  <si>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</si>
  <si>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</si>
  <si>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</si>
  <si>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</si>
  <si>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</si>
  <si>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</si>
  <si>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</si>
  <si>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</si>
  <si>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</si>
  <si>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</si>
  <si>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</si>
  <si>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</si>
  <si>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</si>
  <si>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</si>
  <si>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</si>
  <si>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</si>
  <si>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</si>
  <si>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</si>
  <si>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</si>
  <si>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</si>
  <si>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</si>
  <si>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</si>
  <si>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</si>
  <si>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</si>
  <si>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</si>
  <si>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>ELEMENTOS DESC. P/CIRUGIAS; TIPO: KIT DE CAMISOLIN 50 GRS CON PUÑO DE ALGODON + COFIA +BOTAS PAR, PRESENTACION: INDIVIDUAL, ESTERIL: NO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</si>
  <si>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</si>
  <si>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</si>
  <si>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</si>
  <si>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</si>
  <si>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</si>
  <si>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</si>
  <si>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</si>
  <si>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</si>
  <si>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PORTAOBJETOS P/MICROSCOPIO; MATERIAL: VIDRIO,PRESENTACION: CAJA X 100 UN, TAMAÑO: 25 X 76 X 1,2mm 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</si>
  <si>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</si>
  <si>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</si>
  <si>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</si>
  <si>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</si>
  <si>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</si>
  <si>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</si>
  <si>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</si>
  <si>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</si>
  <si>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</si>
  <si>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2,5 Cm, LONG.DE CUERPO:
9 M, TIPO: IMPERMEABLE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</si>
  <si>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</si>
  <si>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</si>
  <si>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</si>
  <si>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</si>
  <si>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</si>
  <si>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</si>
  <si>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</si>
  <si>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</si>
  <si>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</si>
  <si>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</si>
  <si>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</si>
  <si>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</si>
  <si>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</si>
  <si>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</si>
  <si>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</si>
  <si>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</si>
  <si>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</si>
  <si>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</si>
  <si>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</si>
  <si>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</si>
  <si>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</si>
  <si>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</si>
  <si>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</si>
  <si>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</si>
  <si>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 xml:space="preserve">CATETERES/SONDAS; NUMERO: K-26P, TIPO:NASOGASTRICA C/REGULADOR </t>
  </si>
  <si>
    <r>
      <rPr>
        <sz val="10"/>
        <rFont val="Calibri"/>
        <family val="1"/>
      </rPr>
      <t>CAJA</t>
    </r>
  </si>
  <si>
    <r>
      <rPr>
        <sz val="10"/>
        <rFont val="Calibri"/>
        <family val="1"/>
      </rPr>
      <t>PAQUETE</t>
    </r>
  </si>
  <si>
    <r>
      <rPr>
        <sz val="10"/>
        <rFont val="Calibri"/>
        <family val="1"/>
      </rPr>
      <t>BOLSA</t>
    </r>
  </si>
  <si>
    <r>
      <rPr>
        <sz val="10"/>
        <rFont val="Calibri"/>
        <family val="1"/>
      </rPr>
      <t>UNIDAD</t>
    </r>
  </si>
  <si>
    <r>
      <rPr>
        <sz val="10"/>
        <rFont val="Calibri"/>
        <family val="1"/>
      </rPr>
      <t>POTE</t>
    </r>
  </si>
  <si>
    <r>
      <rPr>
        <sz val="10"/>
        <rFont val="Calibri"/>
        <family val="1"/>
      </rPr>
      <t>PAR</t>
    </r>
  </si>
  <si>
    <r>
      <rPr>
        <sz val="10"/>
        <rFont val="Calibri"/>
        <family val="1"/>
      </rPr>
      <t>ROLLO</t>
    </r>
  </si>
  <si>
    <r>
      <rPr>
        <sz val="10"/>
        <rFont val="Calibri"/>
        <family val="1"/>
      </rPr>
      <t>METRO</t>
    </r>
  </si>
  <si>
    <t>2.9.5-1909.224</t>
  </si>
  <si>
    <t>169--Direccion Asistencial</t>
  </si>
  <si>
    <t>Direccion  Asistencial</t>
  </si>
  <si>
    <t>169- Direccion Asistencial</t>
  </si>
  <si>
    <t>Direccion Asistencial</t>
  </si>
  <si>
    <t>Costo total estimado: SEIS MILLONES TRESCIENTOS TREINTA Y DOS MIL OCHOCIENTOS SETENTA Y SEIS CON 18/100</t>
  </si>
  <si>
    <t>TOTAL DE PESOS: SEIS MILLONES TRESCIENTOS TREINTA Y DOS MIL OCHOCIENTOS SETENTA Y SEIS CON 18/100</t>
  </si>
  <si>
    <t>PRENDAS DE VESTIR</t>
  </si>
  <si>
    <t>CONFECCIONES TEXTILES</t>
  </si>
  <si>
    <t>UTILES MENORES Y MEDICO, QUIRURGICO Y DE LABORATORIO</t>
  </si>
  <si>
    <t>DENOMINACION DED LA PARTIDA PRESUPUESTARIA</t>
  </si>
  <si>
    <t>OTROS N.E.P</t>
  </si>
  <si>
    <t>50/2022</t>
  </si>
  <si>
    <t>Autorizo la realización de los  trámites correspondientes, a fin de proveer a  este Organismo los bienes y/o servicios que se detallan en Nota  de Pedido N° 50/2022,  afectando la erogación resultante a los créditos presupuestarios aprobados a favor de esta Unidad Ejecutora, conforme al siguiente detalle:</t>
  </si>
  <si>
    <t>Para la Adquisicion de Insumos Medicos Comunes-Modalidad Acuardo Marco para la Maternidad Provincial 25 de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</si>
</sst>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&quot;$&quot;\ #,##0.00"/>
  </numFmts>
  <fonts count="32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b/>
      <sz val="8"/>
      <name val="Arial"/>
      <family val="2"/>
      <charset val="1"/>
    </font>
    <font>
      <sz val="11"/>
      <color rgb="FF9C0006"/>
      <name val="Calibri"/>
      <family val="2"/>
      <scheme val="minor"/>
    </font>
    <font>
      <sz val="8.5"/>
      <name val="Tahoma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</font>
    <font>
      <sz val="8.5"/>
      <name val="Microsoft Sans Serif"/>
      <family val="2"/>
    </font>
    <font>
      <sz val="8"/>
      <name val="Lucida Sans Unicode"/>
    </font>
    <font>
      <sz val="8"/>
      <name val="Lucida Sans Unicode"/>
      <family val="2"/>
    </font>
    <font>
      <sz val="8.5"/>
      <name val="Trebuchet MS"/>
    </font>
    <font>
      <sz val="8.5"/>
      <name val="Trebuchet MS"/>
      <family val="2"/>
    </font>
    <font>
      <sz val="11"/>
      <color rgb="FF000000"/>
      <name val="Times New Roman"/>
      <family val="1"/>
    </font>
    <font>
      <sz val="10"/>
      <name val="Calibri"/>
      <family val="2"/>
    </font>
    <font>
      <sz val="10"/>
      <name val="Calibri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7" fillId="3" borderId="0" applyNumberFormat="0" applyBorder="0" applyAlignment="0" applyProtection="0"/>
  </cellStyleXfs>
  <cellXfs count="117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65" fontId="0" fillId="0" borderId="26" xfId="2" applyNumberFormat="1" applyFont="1" applyBorder="1" applyAlignment="1" applyProtection="1">
      <alignment horizontal="center" vertical="center"/>
    </xf>
    <xf numFmtId="165" fontId="0" fillId="0" borderId="31" xfId="2" applyNumberFormat="1" applyFont="1" applyBorder="1" applyAlignment="1" applyProtection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0" fillId="0" borderId="35" xfId="2" applyNumberFormat="1" applyFont="1" applyBorder="1" applyAlignment="1" applyProtection="1">
      <alignment horizontal="center" vertical="center"/>
    </xf>
    <xf numFmtId="165" fontId="14" fillId="0" borderId="36" xfId="0" applyNumberFormat="1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8" fillId="0" borderId="43" xfId="0" applyFont="1" applyBorder="1" applyAlignment="1">
      <alignment horizontal="left" vertical="top" wrapText="1"/>
    </xf>
    <xf numFmtId="0" fontId="20" fillId="0" borderId="43" xfId="0" applyFont="1" applyBorder="1" applyAlignment="1">
      <alignment horizontal="left" vertical="top" wrapText="1"/>
    </xf>
    <xf numFmtId="0" fontId="20" fillId="0" borderId="43" xfId="0" applyFont="1" applyBorder="1" applyAlignment="1">
      <alignment vertical="top" wrapTex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167" fontId="28" fillId="0" borderId="4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top" wrapText="1"/>
    </xf>
    <xf numFmtId="0" fontId="28" fillId="0" borderId="45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7" fontId="3" fillId="0" borderId="0" xfId="0" applyNumberFormat="1" applyFont="1" applyBorder="1" applyAlignment="1">
      <alignment vertical="center"/>
    </xf>
    <xf numFmtId="0" fontId="5" fillId="0" borderId="43" xfId="0" applyFont="1" applyFill="1" applyBorder="1" applyAlignment="1">
      <alignment horizontal="left" vertical="center"/>
    </xf>
    <xf numFmtId="0" fontId="22" fillId="0" borderId="43" xfId="0" applyFont="1" applyBorder="1" applyAlignment="1">
      <alignment horizontal="left" vertical="top" wrapText="1"/>
    </xf>
    <xf numFmtId="0" fontId="22" fillId="0" borderId="43" xfId="0" applyFont="1" applyBorder="1" applyAlignment="1">
      <alignment vertical="top" wrapText="1"/>
    </xf>
    <xf numFmtId="0" fontId="24" fillId="0" borderId="43" xfId="0" applyFont="1" applyBorder="1" applyAlignment="1">
      <alignment horizontal="left" vertical="top" wrapText="1"/>
    </xf>
    <xf numFmtId="0" fontId="24" fillId="0" borderId="43" xfId="0" applyFont="1" applyBorder="1" applyAlignment="1">
      <alignment horizontal="center" vertical="top" wrapText="1"/>
    </xf>
    <xf numFmtId="0" fontId="26" fillId="0" borderId="43" xfId="0" applyFont="1" applyBorder="1" applyAlignment="1">
      <alignment horizontal="left" vertical="top" wrapText="1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top" wrapText="1"/>
    </xf>
    <xf numFmtId="3" fontId="10" fillId="0" borderId="0" xfId="0" applyNumberFormat="1" applyFont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31" fillId="0" borderId="24" xfId="0" applyFont="1" applyBorder="1" applyAlignment="1">
      <alignment horizontal="left" vertical="center" wrapText="1"/>
    </xf>
    <xf numFmtId="0" fontId="31" fillId="0" borderId="30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 wrapText="1"/>
    </xf>
    <xf numFmtId="0" fontId="1" fillId="4" borderId="0" xfId="4" applyFont="1" applyFill="1"/>
    <xf numFmtId="0" fontId="1" fillId="4" borderId="2" xfId="4" applyFont="1" applyFill="1" applyBorder="1"/>
    <xf numFmtId="0" fontId="5" fillId="0" borderId="40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40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/>
    </xf>
    <xf numFmtId="0" fontId="17" fillId="3" borderId="6" xfId="4" applyBorder="1" applyAlignment="1">
      <alignment horizontal="left" vertical="center" wrapText="1" indent="1"/>
    </xf>
    <xf numFmtId="0" fontId="7" fillId="0" borderId="12" xfId="0" applyFont="1" applyFill="1" applyBorder="1" applyAlignment="1">
      <alignment horizontal="left" vertical="center" wrapText="1" indent="1"/>
    </xf>
    <xf numFmtId="0" fontId="7" fillId="0" borderId="40" xfId="0" applyFont="1" applyFill="1" applyBorder="1" applyAlignment="1">
      <alignment horizontal="left" vertical="center" wrapText="1" indent="1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3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 indent="1"/>
    </xf>
    <xf numFmtId="0" fontId="7" fillId="0" borderId="46" xfId="0" applyFont="1" applyBorder="1" applyAlignment="1">
      <alignment horizontal="left" vertical="center" wrapText="1" indent="1"/>
    </xf>
    <xf numFmtId="167" fontId="8" fillId="0" borderId="12" xfId="0" applyNumberFormat="1" applyFont="1" applyBorder="1" applyAlignment="1">
      <alignment horizontal="center" vertical="center" wrapText="1"/>
    </xf>
    <xf numFmtId="167" fontId="8" fillId="0" borderId="13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indent="1"/>
    </xf>
    <xf numFmtId="0" fontId="0" fillId="0" borderId="12" xfId="0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1" fillId="4" borderId="15" xfId="4" applyFont="1" applyFill="1" applyBorder="1" applyAlignment="1">
      <alignment horizontal="left" vertical="center" wrapText="1"/>
    </xf>
    <xf numFmtId="0" fontId="1" fillId="4" borderId="0" xfId="4" applyFont="1" applyFill="1" applyBorder="1" applyAlignment="1">
      <alignment horizontal="left" vertical="center" wrapText="1"/>
    </xf>
    <xf numFmtId="0" fontId="1" fillId="4" borderId="2" xfId="4" applyFont="1" applyFill="1" applyBorder="1" applyAlignment="1">
      <alignment horizontal="left" vertical="center" wrapText="1"/>
    </xf>
    <xf numFmtId="0" fontId="1" fillId="4" borderId="17" xfId="4" applyFont="1" applyFill="1" applyBorder="1" applyAlignment="1">
      <alignment horizontal="left" vertical="center" wrapText="1"/>
    </xf>
    <xf numFmtId="0" fontId="1" fillId="4" borderId="4" xfId="4" applyFont="1" applyFill="1" applyBorder="1" applyAlignment="1">
      <alignment horizontal="left" vertical="center" wrapText="1"/>
    </xf>
    <xf numFmtId="0" fontId="1" fillId="4" borderId="18" xfId="4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1" fillId="4" borderId="15" xfId="4" applyFont="1" applyFill="1" applyBorder="1"/>
    <xf numFmtId="0" fontId="14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2" fillId="0" borderId="36" xfId="0" applyFont="1" applyBorder="1" applyAlignment="1">
      <alignment horizontal="left" vertical="center" wrapText="1" indent="1"/>
    </xf>
    <xf numFmtId="0" fontId="16" fillId="0" borderId="36" xfId="0" applyFont="1" applyBorder="1" applyAlignment="1">
      <alignment horizontal="left" vertical="center" wrapText="1"/>
    </xf>
    <xf numFmtId="0" fontId="0" fillId="0" borderId="14" xfId="0" applyBorder="1"/>
    <xf numFmtId="0" fontId="10" fillId="0" borderId="12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</cellXfs>
  <cellStyles count="5">
    <cellStyle name="Encabezado 1" xfId="1" xr:uid="{00000000-0005-0000-0000-000000000000}"/>
    <cellStyle name="Incorrecto" xfId="4" builtinId="27"/>
    <cellStyle name="Moneda_AUTORIZACION Y NOTA DE PEDIDO" xfId="2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106"/>
  <sheetViews>
    <sheetView tabSelected="1" topLeftCell="A3" zoomScale="84" zoomScaleNormal="84" workbookViewId="0">
      <selection activeCell="J11" sqref="J11:J105"/>
    </sheetView>
  </sheetViews>
  <sheetFormatPr baseColWidth="10" defaultColWidth="9.140625" defaultRowHeight="12.75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9.140625" style="1" customWidth="1"/>
    <col min="11" max="11" width="24.140625" style="38" customWidth="1"/>
    <col min="12" max="12" width="22.42578125" style="1" customWidth="1"/>
    <col min="13" max="1016" width="9.140625" style="1"/>
  </cols>
  <sheetData>
    <row r="1" spans="1:12" ht="18" customHeight="1" thickBot="1">
      <c r="A1" s="73" t="s">
        <v>1</v>
      </c>
      <c r="B1" s="73"/>
      <c r="C1" s="73"/>
      <c r="D1" s="73"/>
      <c r="E1" s="73"/>
      <c r="F1" s="73"/>
      <c r="G1" s="73"/>
      <c r="H1" s="73"/>
      <c r="I1" s="73"/>
      <c r="J1" s="2" t="s">
        <v>2</v>
      </c>
      <c r="K1" s="27" t="s">
        <v>251</v>
      </c>
    </row>
    <row r="2" spans="1:12" ht="18.75" customHeight="1" thickBot="1">
      <c r="A2" s="3"/>
      <c r="B2" s="3"/>
      <c r="C2" s="3"/>
      <c r="D2" s="4"/>
      <c r="E2" s="4"/>
      <c r="F2" s="4"/>
      <c r="G2" s="4"/>
      <c r="H2" s="4"/>
      <c r="I2" s="4"/>
      <c r="J2" s="4"/>
      <c r="K2" s="28"/>
    </row>
    <row r="3" spans="1:12" ht="18.75" customHeight="1" thickBot="1">
      <c r="A3" s="74" t="s">
        <v>34</v>
      </c>
      <c r="B3" s="74"/>
      <c r="C3" s="74"/>
      <c r="D3" s="78" t="s">
        <v>37</v>
      </c>
      <c r="E3" s="79"/>
      <c r="F3" s="79"/>
      <c r="G3" s="79"/>
      <c r="H3" s="79"/>
      <c r="I3" s="79"/>
      <c r="J3" s="79"/>
      <c r="K3" s="80"/>
    </row>
    <row r="4" spans="1:12" ht="18.75" customHeight="1" thickBot="1">
      <c r="A4" s="76" t="s">
        <v>35</v>
      </c>
      <c r="B4" s="76"/>
      <c r="C4" s="76"/>
      <c r="D4" s="75" t="s">
        <v>40</v>
      </c>
      <c r="E4" s="75"/>
      <c r="F4" s="75"/>
      <c r="G4" s="75"/>
      <c r="H4" s="75"/>
      <c r="I4" s="75"/>
      <c r="J4" s="75"/>
      <c r="K4" s="75"/>
    </row>
    <row r="5" spans="1:12" ht="18.75" customHeight="1" thickBot="1">
      <c r="A5" s="76" t="s">
        <v>14</v>
      </c>
      <c r="B5" s="76"/>
      <c r="C5" s="76"/>
      <c r="D5" s="75" t="s">
        <v>240</v>
      </c>
      <c r="E5" s="75"/>
      <c r="F5" s="75"/>
      <c r="G5" s="75"/>
      <c r="H5" s="75"/>
      <c r="I5" s="75"/>
      <c r="J5" s="75"/>
      <c r="K5" s="75"/>
    </row>
    <row r="6" spans="1:12" ht="16.5" customHeight="1" thickBot="1">
      <c r="A6" s="74" t="s">
        <v>36</v>
      </c>
      <c r="B6" s="74"/>
      <c r="C6" s="74"/>
      <c r="D6" s="75" t="s">
        <v>241</v>
      </c>
      <c r="E6" s="75"/>
      <c r="F6" s="75"/>
      <c r="G6" s="75"/>
      <c r="H6" s="75"/>
      <c r="I6" s="75"/>
      <c r="J6" s="75"/>
      <c r="K6" s="75"/>
    </row>
    <row r="7" spans="1:12" ht="16.5" customHeight="1" thickBot="1">
      <c r="A7" s="76" t="s">
        <v>3</v>
      </c>
      <c r="B7" s="76"/>
      <c r="C7" s="76"/>
      <c r="D7" s="77"/>
      <c r="E7" s="77"/>
      <c r="F7" s="77"/>
      <c r="G7" s="77"/>
      <c r="H7" s="77"/>
      <c r="I7" s="77"/>
      <c r="J7" s="77"/>
      <c r="K7" s="77"/>
    </row>
    <row r="8" spans="1:12" ht="16.5" customHeight="1" thickBot="1">
      <c r="A8" s="88" t="s">
        <v>4</v>
      </c>
      <c r="B8" s="88"/>
      <c r="C8" s="88"/>
      <c r="D8" s="89" t="s">
        <v>43</v>
      </c>
      <c r="E8" s="89"/>
      <c r="F8" s="89"/>
      <c r="G8" s="89"/>
      <c r="H8" s="89"/>
      <c r="I8" s="89"/>
      <c r="J8" s="89"/>
      <c r="K8" s="89"/>
    </row>
    <row r="9" spans="1:12" ht="16.5" thickBot="1">
      <c r="A9" s="5"/>
      <c r="B9" s="5"/>
      <c r="C9" s="5"/>
      <c r="D9" s="6"/>
      <c r="E9" s="6"/>
      <c r="F9" s="6"/>
      <c r="G9" s="6"/>
      <c r="H9" s="6"/>
      <c r="I9" s="6"/>
      <c r="J9" s="6"/>
      <c r="K9" s="41"/>
    </row>
    <row r="10" spans="1:12" ht="45" customHeight="1" thickBot="1">
      <c r="A10" s="50" t="s">
        <v>5</v>
      </c>
      <c r="B10" s="51" t="s">
        <v>6</v>
      </c>
      <c r="C10" s="81" t="s">
        <v>7</v>
      </c>
      <c r="D10" s="82"/>
      <c r="E10" s="82"/>
      <c r="F10" s="82"/>
      <c r="G10" s="83"/>
      <c r="H10" s="51" t="s">
        <v>8</v>
      </c>
      <c r="I10" s="51" t="s">
        <v>9</v>
      </c>
      <c r="J10" s="51" t="s">
        <v>10</v>
      </c>
      <c r="K10" s="52" t="s">
        <v>11</v>
      </c>
    </row>
    <row r="11" spans="1:12" ht="44.25" customHeight="1" thickBot="1">
      <c r="A11" s="30">
        <v>1</v>
      </c>
      <c r="B11" s="32" t="s">
        <v>44</v>
      </c>
      <c r="C11" s="71" t="s">
        <v>137</v>
      </c>
      <c r="D11" s="71"/>
      <c r="E11" s="71"/>
      <c r="F11" s="71"/>
      <c r="G11" s="72"/>
      <c r="H11" s="26" t="s">
        <v>39</v>
      </c>
      <c r="I11" s="53" t="s">
        <v>231</v>
      </c>
      <c r="J11" s="37">
        <v>1888</v>
      </c>
      <c r="K11" s="40">
        <v>40</v>
      </c>
      <c r="L11" s="43"/>
    </row>
    <row r="12" spans="1:12" ht="36" customHeight="1" thickBot="1">
      <c r="A12" s="31">
        <v>2</v>
      </c>
      <c r="B12" s="32" t="s">
        <v>45</v>
      </c>
      <c r="C12" s="71" t="s">
        <v>138</v>
      </c>
      <c r="D12" s="71"/>
      <c r="E12" s="71"/>
      <c r="F12" s="71"/>
      <c r="G12" s="72"/>
      <c r="H12" s="29" t="s">
        <v>39</v>
      </c>
      <c r="I12" s="53" t="s">
        <v>231</v>
      </c>
      <c r="J12" s="37">
        <v>1441</v>
      </c>
      <c r="K12" s="39">
        <v>10</v>
      </c>
      <c r="L12" s="43"/>
    </row>
    <row r="13" spans="1:12" ht="36" customHeight="1" thickBot="1">
      <c r="A13" s="31">
        <v>3</v>
      </c>
      <c r="B13" s="32" t="s">
        <v>46</v>
      </c>
      <c r="C13" s="71" t="s">
        <v>139</v>
      </c>
      <c r="D13" s="71"/>
      <c r="E13" s="71"/>
      <c r="F13" s="71"/>
      <c r="G13" s="72"/>
      <c r="H13" s="29" t="s">
        <v>39</v>
      </c>
      <c r="I13" s="53" t="s">
        <v>231</v>
      </c>
      <c r="J13" s="37">
        <v>159.46</v>
      </c>
      <c r="K13" s="39">
        <v>50</v>
      </c>
      <c r="L13" s="43"/>
    </row>
    <row r="14" spans="1:12" ht="36" customHeight="1" thickBot="1">
      <c r="A14" s="30">
        <v>4</v>
      </c>
      <c r="B14" s="32" t="s">
        <v>47</v>
      </c>
      <c r="C14" s="71" t="s">
        <v>140</v>
      </c>
      <c r="D14" s="71"/>
      <c r="E14" s="71"/>
      <c r="F14" s="71"/>
      <c r="G14" s="72"/>
      <c r="H14" s="29" t="s">
        <v>39</v>
      </c>
      <c r="I14" s="53" t="s">
        <v>231</v>
      </c>
      <c r="J14" s="37">
        <v>209</v>
      </c>
      <c r="K14" s="39">
        <v>400</v>
      </c>
      <c r="L14" s="43"/>
    </row>
    <row r="15" spans="1:12" ht="36" customHeight="1" thickBot="1">
      <c r="A15" s="31">
        <v>5</v>
      </c>
      <c r="B15" s="32" t="s">
        <v>48</v>
      </c>
      <c r="C15" s="71" t="s">
        <v>141</v>
      </c>
      <c r="D15" s="71"/>
      <c r="E15" s="71"/>
      <c r="F15" s="71"/>
      <c r="G15" s="72"/>
      <c r="H15" s="29" t="s">
        <v>39</v>
      </c>
      <c r="I15" s="53" t="s">
        <v>231</v>
      </c>
      <c r="J15" s="37">
        <v>197.67</v>
      </c>
      <c r="K15" s="39">
        <v>10</v>
      </c>
      <c r="L15" s="43"/>
    </row>
    <row r="16" spans="1:12" ht="36" customHeight="1" thickBot="1">
      <c r="A16" s="31">
        <v>6</v>
      </c>
      <c r="B16" s="32" t="s">
        <v>49</v>
      </c>
      <c r="C16" s="71" t="s">
        <v>142</v>
      </c>
      <c r="D16" s="71"/>
      <c r="E16" s="71"/>
      <c r="F16" s="71"/>
      <c r="G16" s="72"/>
      <c r="H16" s="29" t="s">
        <v>39</v>
      </c>
      <c r="I16" s="53" t="s">
        <v>231</v>
      </c>
      <c r="J16" s="37">
        <v>164.45</v>
      </c>
      <c r="K16" s="39">
        <v>100</v>
      </c>
      <c r="L16" s="43"/>
    </row>
    <row r="17" spans="1:12" ht="36" customHeight="1" thickBot="1">
      <c r="A17" s="30">
        <v>7</v>
      </c>
      <c r="B17" s="32" t="s">
        <v>50</v>
      </c>
      <c r="C17" s="71" t="s">
        <v>143</v>
      </c>
      <c r="D17" s="71"/>
      <c r="E17" s="71"/>
      <c r="F17" s="71"/>
      <c r="G17" s="72"/>
      <c r="H17" s="29" t="s">
        <v>39</v>
      </c>
      <c r="I17" s="53" t="s">
        <v>231</v>
      </c>
      <c r="J17" s="37">
        <v>221.76</v>
      </c>
      <c r="K17" s="39">
        <v>20</v>
      </c>
      <c r="L17" s="43"/>
    </row>
    <row r="18" spans="1:12" ht="36" customHeight="1" thickBot="1">
      <c r="A18" s="31">
        <v>8</v>
      </c>
      <c r="B18" s="32" t="s">
        <v>51</v>
      </c>
      <c r="C18" s="71" t="s">
        <v>144</v>
      </c>
      <c r="D18" s="71"/>
      <c r="E18" s="71"/>
      <c r="F18" s="71"/>
      <c r="G18" s="72"/>
      <c r="H18" s="29" t="s">
        <v>39</v>
      </c>
      <c r="I18" s="54" t="s">
        <v>232</v>
      </c>
      <c r="J18" s="37">
        <v>311.33999999999997</v>
      </c>
      <c r="K18" s="39">
        <v>0</v>
      </c>
      <c r="L18" s="43"/>
    </row>
    <row r="19" spans="1:12" ht="36" customHeight="1" thickBot="1">
      <c r="A19" s="31">
        <v>9</v>
      </c>
      <c r="B19" s="32" t="s">
        <v>52</v>
      </c>
      <c r="C19" s="71" t="s">
        <v>145</v>
      </c>
      <c r="D19" s="71"/>
      <c r="E19" s="71"/>
      <c r="F19" s="71"/>
      <c r="G19" s="72"/>
      <c r="H19" s="29" t="s">
        <v>39</v>
      </c>
      <c r="I19" s="54" t="s">
        <v>233</v>
      </c>
      <c r="J19" s="37">
        <v>158</v>
      </c>
      <c r="K19" s="39">
        <v>0</v>
      </c>
      <c r="L19" s="43"/>
    </row>
    <row r="20" spans="1:12" ht="36" customHeight="1" thickBot="1">
      <c r="A20" s="30">
        <v>10</v>
      </c>
      <c r="B20" s="32" t="s">
        <v>53</v>
      </c>
      <c r="C20" s="71" t="s">
        <v>146</v>
      </c>
      <c r="D20" s="71"/>
      <c r="E20" s="71"/>
      <c r="F20" s="71"/>
      <c r="G20" s="72"/>
      <c r="H20" s="29" t="s">
        <v>39</v>
      </c>
      <c r="I20" s="54" t="s">
        <v>234</v>
      </c>
      <c r="J20" s="37">
        <v>4.2300000000000004</v>
      </c>
      <c r="K20" s="39">
        <v>24000</v>
      </c>
      <c r="L20" s="43"/>
    </row>
    <row r="21" spans="1:12" ht="36" customHeight="1" thickBot="1">
      <c r="A21" s="31">
        <v>11</v>
      </c>
      <c r="B21" s="32" t="s">
        <v>54</v>
      </c>
      <c r="C21" s="71" t="s">
        <v>147</v>
      </c>
      <c r="D21" s="71"/>
      <c r="E21" s="71"/>
      <c r="F21" s="71"/>
      <c r="G21" s="72"/>
      <c r="H21" s="29" t="s">
        <v>39</v>
      </c>
      <c r="I21" s="53" t="s">
        <v>234</v>
      </c>
      <c r="J21" s="37">
        <v>37.479999999999997</v>
      </c>
      <c r="K21" s="39">
        <v>1000</v>
      </c>
      <c r="L21" s="43"/>
    </row>
    <row r="22" spans="1:12" ht="36" customHeight="1" thickBot="1">
      <c r="A22" s="31">
        <v>12</v>
      </c>
      <c r="B22" s="32" t="s">
        <v>55</v>
      </c>
      <c r="C22" s="71" t="s">
        <v>148</v>
      </c>
      <c r="D22" s="71"/>
      <c r="E22" s="71"/>
      <c r="F22" s="71"/>
      <c r="G22" s="72"/>
      <c r="H22" s="29" t="s">
        <v>39</v>
      </c>
      <c r="I22" s="54" t="s">
        <v>234</v>
      </c>
      <c r="J22" s="37">
        <v>12.89</v>
      </c>
      <c r="K22" s="39">
        <v>4000</v>
      </c>
      <c r="L22" s="43"/>
    </row>
    <row r="23" spans="1:12" ht="36" customHeight="1" thickBot="1">
      <c r="A23" s="30">
        <v>13</v>
      </c>
      <c r="B23" s="32" t="s">
        <v>56</v>
      </c>
      <c r="C23" s="71" t="s">
        <v>149</v>
      </c>
      <c r="D23" s="71"/>
      <c r="E23" s="71"/>
      <c r="F23" s="71"/>
      <c r="G23" s="72"/>
      <c r="H23" s="29" t="s">
        <v>39</v>
      </c>
      <c r="I23" s="54" t="s">
        <v>234</v>
      </c>
      <c r="J23" s="37">
        <v>697.69</v>
      </c>
      <c r="K23" s="39">
        <v>0</v>
      </c>
      <c r="L23" s="43"/>
    </row>
    <row r="24" spans="1:12" ht="36" customHeight="1" thickBot="1">
      <c r="A24" s="31">
        <v>14</v>
      </c>
      <c r="B24" s="32" t="s">
        <v>57</v>
      </c>
      <c r="C24" s="71" t="s">
        <v>150</v>
      </c>
      <c r="D24" s="71"/>
      <c r="E24" s="71"/>
      <c r="F24" s="71"/>
      <c r="G24" s="72"/>
      <c r="H24" s="29" t="s">
        <v>39</v>
      </c>
      <c r="I24" s="53" t="s">
        <v>234</v>
      </c>
      <c r="J24" s="37">
        <v>68.400000000000006</v>
      </c>
      <c r="K24" s="39">
        <v>0</v>
      </c>
      <c r="L24" s="43"/>
    </row>
    <row r="25" spans="1:12" ht="36" customHeight="1" thickBot="1">
      <c r="A25" s="31">
        <v>15</v>
      </c>
      <c r="B25" s="32" t="s">
        <v>58</v>
      </c>
      <c r="C25" s="71" t="s">
        <v>151</v>
      </c>
      <c r="D25" s="71"/>
      <c r="E25" s="71"/>
      <c r="F25" s="71"/>
      <c r="G25" s="72"/>
      <c r="H25" s="29" t="s">
        <v>39</v>
      </c>
      <c r="I25" s="54" t="s">
        <v>234</v>
      </c>
      <c r="J25" s="37">
        <v>123</v>
      </c>
      <c r="K25" s="39">
        <v>20000</v>
      </c>
      <c r="L25" s="43"/>
    </row>
    <row r="26" spans="1:12" ht="36" customHeight="1" thickBot="1">
      <c r="A26" s="30">
        <v>16</v>
      </c>
      <c r="B26" s="32" t="s">
        <v>59</v>
      </c>
      <c r="C26" s="71" t="s">
        <v>152</v>
      </c>
      <c r="D26" s="71"/>
      <c r="E26" s="71"/>
      <c r="F26" s="71"/>
      <c r="G26" s="72"/>
      <c r="H26" s="29" t="s">
        <v>39</v>
      </c>
      <c r="I26" s="54" t="s">
        <v>234</v>
      </c>
      <c r="J26" s="37">
        <v>38.119999999999997</v>
      </c>
      <c r="K26" s="39">
        <v>200</v>
      </c>
      <c r="L26" s="43"/>
    </row>
    <row r="27" spans="1:12" ht="36" customHeight="1" thickBot="1">
      <c r="A27" s="31">
        <v>17</v>
      </c>
      <c r="B27" s="32" t="s">
        <v>60</v>
      </c>
      <c r="C27" s="71" t="s">
        <v>153</v>
      </c>
      <c r="D27" s="71"/>
      <c r="E27" s="71"/>
      <c r="F27" s="71"/>
      <c r="G27" s="72"/>
      <c r="H27" s="29" t="s">
        <v>39</v>
      </c>
      <c r="I27" s="54" t="s">
        <v>234</v>
      </c>
      <c r="J27" s="37">
        <v>394</v>
      </c>
      <c r="K27" s="39">
        <v>7</v>
      </c>
      <c r="L27" s="43"/>
    </row>
    <row r="28" spans="1:12" ht="36" customHeight="1" thickBot="1">
      <c r="A28" s="31">
        <v>18</v>
      </c>
      <c r="B28" s="32" t="s">
        <v>61</v>
      </c>
      <c r="C28" s="71" t="s">
        <v>154</v>
      </c>
      <c r="D28" s="71"/>
      <c r="E28" s="71"/>
      <c r="F28" s="71"/>
      <c r="G28" s="72"/>
      <c r="H28" s="29" t="s">
        <v>39</v>
      </c>
      <c r="I28" s="54" t="s">
        <v>234</v>
      </c>
      <c r="J28" s="37">
        <v>24.69</v>
      </c>
      <c r="K28" s="39">
        <v>1000</v>
      </c>
      <c r="L28" s="43"/>
    </row>
    <row r="29" spans="1:12" ht="36" customHeight="1" thickBot="1">
      <c r="A29" s="30">
        <v>19</v>
      </c>
      <c r="B29" s="32" t="s">
        <v>62</v>
      </c>
      <c r="C29" s="71" t="s">
        <v>155</v>
      </c>
      <c r="D29" s="71"/>
      <c r="E29" s="71"/>
      <c r="F29" s="71"/>
      <c r="G29" s="72"/>
      <c r="H29" s="29" t="s">
        <v>39</v>
      </c>
      <c r="I29" s="54" t="s">
        <v>234</v>
      </c>
      <c r="J29" s="37">
        <v>4.0599999999999996</v>
      </c>
      <c r="K29" s="39">
        <v>5000</v>
      </c>
      <c r="L29" s="43"/>
    </row>
    <row r="30" spans="1:12" ht="36" customHeight="1" thickBot="1">
      <c r="A30" s="30">
        <v>22</v>
      </c>
      <c r="B30" s="33" t="s">
        <v>63</v>
      </c>
      <c r="C30" s="68" t="s">
        <v>156</v>
      </c>
      <c r="D30" s="68"/>
      <c r="E30" s="68"/>
      <c r="F30" s="68"/>
      <c r="G30" s="69"/>
      <c r="H30" s="29" t="s">
        <v>39</v>
      </c>
      <c r="I30" s="54" t="s">
        <v>234</v>
      </c>
      <c r="J30" s="37">
        <v>66</v>
      </c>
      <c r="K30" s="39">
        <v>20</v>
      </c>
      <c r="L30" s="43"/>
    </row>
    <row r="31" spans="1:12" ht="36" customHeight="1" thickBot="1">
      <c r="A31" s="31">
        <v>23</v>
      </c>
      <c r="B31" s="33" t="s">
        <v>64</v>
      </c>
      <c r="C31" s="68" t="s">
        <v>157</v>
      </c>
      <c r="D31" s="68"/>
      <c r="E31" s="68"/>
      <c r="F31" s="68"/>
      <c r="G31" s="69"/>
      <c r="H31" s="29" t="s">
        <v>39</v>
      </c>
      <c r="I31" s="54" t="s">
        <v>234</v>
      </c>
      <c r="J31" s="37">
        <v>113</v>
      </c>
      <c r="K31" s="39">
        <v>100</v>
      </c>
      <c r="L31" s="43"/>
    </row>
    <row r="32" spans="1:12" ht="36" customHeight="1" thickBot="1">
      <c r="A32" s="30">
        <v>25</v>
      </c>
      <c r="B32" s="33" t="s">
        <v>65</v>
      </c>
      <c r="C32" s="68" t="s">
        <v>158</v>
      </c>
      <c r="D32" s="68"/>
      <c r="E32" s="68"/>
      <c r="F32" s="68"/>
      <c r="G32" s="69"/>
      <c r="H32" s="29" t="s">
        <v>39</v>
      </c>
      <c r="I32" s="53" t="s">
        <v>234</v>
      </c>
      <c r="J32" s="37">
        <v>21.77</v>
      </c>
      <c r="K32" s="39">
        <v>5000</v>
      </c>
      <c r="L32" s="43"/>
    </row>
    <row r="33" spans="1:12" ht="36" customHeight="1" thickBot="1">
      <c r="A33" s="31">
        <v>26</v>
      </c>
      <c r="B33" s="33" t="s">
        <v>66</v>
      </c>
      <c r="C33" s="68" t="s">
        <v>159</v>
      </c>
      <c r="D33" s="68"/>
      <c r="E33" s="68"/>
      <c r="F33" s="68"/>
      <c r="G33" s="69"/>
      <c r="H33" s="29" t="s">
        <v>39</v>
      </c>
      <c r="I33" s="53" t="s">
        <v>234</v>
      </c>
      <c r="J33" s="37">
        <v>17</v>
      </c>
      <c r="K33" s="39">
        <v>500</v>
      </c>
      <c r="L33" s="43"/>
    </row>
    <row r="34" spans="1:12" ht="36" customHeight="1" thickBot="1">
      <c r="A34" s="31">
        <v>27</v>
      </c>
      <c r="B34" s="33" t="s">
        <v>67</v>
      </c>
      <c r="C34" s="68" t="s">
        <v>160</v>
      </c>
      <c r="D34" s="68"/>
      <c r="E34" s="68"/>
      <c r="F34" s="68"/>
      <c r="G34" s="69"/>
      <c r="H34" s="29" t="s">
        <v>39</v>
      </c>
      <c r="I34" s="54" t="s">
        <v>233</v>
      </c>
      <c r="J34" s="37">
        <v>570.26</v>
      </c>
      <c r="K34" s="39">
        <v>10</v>
      </c>
      <c r="L34" s="43"/>
    </row>
    <row r="35" spans="1:12" ht="36" customHeight="1" thickBot="1">
      <c r="A35" s="30">
        <v>28</v>
      </c>
      <c r="B35" s="33" t="s">
        <v>68</v>
      </c>
      <c r="C35" s="68" t="s">
        <v>161</v>
      </c>
      <c r="D35" s="68"/>
      <c r="E35" s="68"/>
      <c r="F35" s="68"/>
      <c r="G35" s="69"/>
      <c r="H35" s="29" t="s">
        <v>39</v>
      </c>
      <c r="I35" s="54" t="s">
        <v>234</v>
      </c>
      <c r="J35" s="37">
        <v>67</v>
      </c>
      <c r="K35" s="39">
        <v>200</v>
      </c>
      <c r="L35" s="43"/>
    </row>
    <row r="36" spans="1:12" ht="36" customHeight="1" thickBot="1">
      <c r="A36" s="31">
        <v>29</v>
      </c>
      <c r="B36" s="33" t="s">
        <v>69</v>
      </c>
      <c r="C36" s="68" t="s">
        <v>162</v>
      </c>
      <c r="D36" s="68"/>
      <c r="E36" s="68"/>
      <c r="F36" s="68"/>
      <c r="G36" s="69"/>
      <c r="H36" s="29" t="s">
        <v>39</v>
      </c>
      <c r="I36" s="54" t="s">
        <v>234</v>
      </c>
      <c r="J36" s="37">
        <v>64.84</v>
      </c>
      <c r="K36" s="39">
        <v>200</v>
      </c>
      <c r="L36" s="43"/>
    </row>
    <row r="37" spans="1:12" ht="36" customHeight="1" thickBot="1">
      <c r="A37" s="31">
        <v>30</v>
      </c>
      <c r="B37" s="33" t="s">
        <v>70</v>
      </c>
      <c r="C37" s="68" t="s">
        <v>163</v>
      </c>
      <c r="D37" s="68"/>
      <c r="E37" s="68"/>
      <c r="F37" s="68"/>
      <c r="G37" s="69"/>
      <c r="H37" s="29" t="s">
        <v>39</v>
      </c>
      <c r="I37" s="54" t="s">
        <v>234</v>
      </c>
      <c r="J37" s="37">
        <v>60.17</v>
      </c>
      <c r="K37" s="39">
        <v>600</v>
      </c>
      <c r="L37" s="43"/>
    </row>
    <row r="38" spans="1:12" ht="36" customHeight="1" thickBot="1">
      <c r="A38" s="30">
        <v>31</v>
      </c>
      <c r="B38" s="33" t="s">
        <v>71</v>
      </c>
      <c r="C38" s="68" t="s">
        <v>164</v>
      </c>
      <c r="D38" s="68"/>
      <c r="E38" s="68"/>
      <c r="F38" s="68"/>
      <c r="G38" s="69"/>
      <c r="H38" s="29" t="s">
        <v>39</v>
      </c>
      <c r="I38" s="54" t="s">
        <v>235</v>
      </c>
      <c r="J38" s="37">
        <v>226.35</v>
      </c>
      <c r="K38" s="39">
        <v>0</v>
      </c>
      <c r="L38" s="43"/>
    </row>
    <row r="39" spans="1:12" ht="36" customHeight="1" thickBot="1">
      <c r="A39" s="31">
        <v>32</v>
      </c>
      <c r="B39" s="33" t="s">
        <v>72</v>
      </c>
      <c r="C39" s="68" t="s">
        <v>165</v>
      </c>
      <c r="D39" s="68"/>
      <c r="E39" s="68"/>
      <c r="F39" s="68"/>
      <c r="G39" s="69"/>
      <c r="H39" s="29" t="s">
        <v>39</v>
      </c>
      <c r="I39" s="54" t="s">
        <v>235</v>
      </c>
      <c r="J39" s="37">
        <v>879.56</v>
      </c>
      <c r="K39" s="39">
        <v>0</v>
      </c>
      <c r="L39" s="43"/>
    </row>
    <row r="40" spans="1:12" ht="36" customHeight="1" thickBot="1">
      <c r="A40" s="31">
        <v>33</v>
      </c>
      <c r="B40" s="44" t="s">
        <v>239</v>
      </c>
      <c r="C40" s="68" t="s">
        <v>166</v>
      </c>
      <c r="D40" s="68"/>
      <c r="E40" s="68"/>
      <c r="F40" s="68"/>
      <c r="G40" s="69"/>
      <c r="H40" s="29" t="s">
        <v>39</v>
      </c>
      <c r="I40" s="53" t="s">
        <v>231</v>
      </c>
      <c r="J40" s="37">
        <v>14200</v>
      </c>
      <c r="K40" s="39">
        <v>0</v>
      </c>
      <c r="L40" s="43"/>
    </row>
    <row r="41" spans="1:12" ht="36" customHeight="1" thickBot="1">
      <c r="A41" s="30">
        <v>34</v>
      </c>
      <c r="B41" s="33" t="s">
        <v>73</v>
      </c>
      <c r="C41" s="68" t="s">
        <v>167</v>
      </c>
      <c r="D41" s="68"/>
      <c r="E41" s="68"/>
      <c r="F41" s="68"/>
      <c r="G41" s="69"/>
      <c r="H41" s="29" t="s">
        <v>39</v>
      </c>
      <c r="I41" s="53" t="s">
        <v>236</v>
      </c>
      <c r="J41" s="37">
        <v>38</v>
      </c>
      <c r="K41" s="39">
        <v>1000</v>
      </c>
      <c r="L41" s="43"/>
    </row>
    <row r="42" spans="1:12" ht="36" customHeight="1" thickBot="1">
      <c r="A42" s="31">
        <v>35</v>
      </c>
      <c r="B42" s="33" t="s">
        <v>74</v>
      </c>
      <c r="C42" s="68" t="s">
        <v>168</v>
      </c>
      <c r="D42" s="68"/>
      <c r="E42" s="68"/>
      <c r="F42" s="68"/>
      <c r="G42" s="69"/>
      <c r="H42" s="29" t="s">
        <v>39</v>
      </c>
      <c r="I42" s="53" t="s">
        <v>236</v>
      </c>
      <c r="J42" s="37">
        <v>38</v>
      </c>
      <c r="K42" s="39">
        <v>6000</v>
      </c>
      <c r="L42" s="43"/>
    </row>
    <row r="43" spans="1:12" ht="36" customHeight="1" thickBot="1">
      <c r="A43" s="31">
        <v>36</v>
      </c>
      <c r="B43" s="33" t="s">
        <v>75</v>
      </c>
      <c r="C43" s="68" t="s">
        <v>169</v>
      </c>
      <c r="D43" s="68"/>
      <c r="E43" s="68"/>
      <c r="F43" s="68"/>
      <c r="G43" s="69"/>
      <c r="H43" s="29" t="s">
        <v>39</v>
      </c>
      <c r="I43" s="53" t="s">
        <v>236</v>
      </c>
      <c r="J43" s="37">
        <v>45.17</v>
      </c>
      <c r="K43" s="39">
        <v>5000</v>
      </c>
      <c r="L43" s="43"/>
    </row>
    <row r="44" spans="1:12" ht="36" customHeight="1" thickBot="1">
      <c r="A44" s="30">
        <v>37</v>
      </c>
      <c r="B44" s="33" t="s">
        <v>76</v>
      </c>
      <c r="C44" s="68" t="s">
        <v>170</v>
      </c>
      <c r="D44" s="68"/>
      <c r="E44" s="68"/>
      <c r="F44" s="68"/>
      <c r="G44" s="69"/>
      <c r="H44" s="29" t="s">
        <v>39</v>
      </c>
      <c r="I44" s="53" t="s">
        <v>236</v>
      </c>
      <c r="J44" s="37">
        <v>45.17</v>
      </c>
      <c r="K44" s="39">
        <v>2000</v>
      </c>
      <c r="L44" s="43"/>
    </row>
    <row r="45" spans="1:12" ht="36" customHeight="1" thickBot="1">
      <c r="A45" s="31">
        <v>39</v>
      </c>
      <c r="B45" s="34" t="s">
        <v>77</v>
      </c>
      <c r="C45" s="68" t="s">
        <v>171</v>
      </c>
      <c r="D45" s="68"/>
      <c r="E45" s="68"/>
      <c r="F45" s="68"/>
      <c r="G45" s="69"/>
      <c r="H45" s="29" t="s">
        <v>39</v>
      </c>
      <c r="I45" s="53" t="s">
        <v>231</v>
      </c>
      <c r="J45" s="37">
        <v>387</v>
      </c>
      <c r="K45" s="39">
        <v>60</v>
      </c>
      <c r="L45" s="43"/>
    </row>
    <row r="46" spans="1:12" ht="36" customHeight="1" thickBot="1">
      <c r="A46" s="30">
        <v>40</v>
      </c>
      <c r="B46" s="34" t="s">
        <v>78</v>
      </c>
      <c r="C46" s="68" t="s">
        <v>172</v>
      </c>
      <c r="D46" s="68"/>
      <c r="E46" s="68"/>
      <c r="F46" s="68"/>
      <c r="G46" s="69"/>
      <c r="H46" s="29" t="s">
        <v>39</v>
      </c>
      <c r="I46" s="53" t="s">
        <v>231</v>
      </c>
      <c r="J46" s="37">
        <v>387</v>
      </c>
      <c r="K46" s="39">
        <v>1000</v>
      </c>
      <c r="L46" s="43"/>
    </row>
    <row r="47" spans="1:12" ht="36" customHeight="1" thickBot="1">
      <c r="A47" s="31">
        <v>41</v>
      </c>
      <c r="B47" s="44" t="s">
        <v>79</v>
      </c>
      <c r="C47" s="68" t="s">
        <v>173</v>
      </c>
      <c r="D47" s="68"/>
      <c r="E47" s="68"/>
      <c r="F47" s="68"/>
      <c r="G47" s="69"/>
      <c r="H47" s="29" t="s">
        <v>39</v>
      </c>
      <c r="I47" s="54" t="s">
        <v>231</v>
      </c>
      <c r="J47" s="37">
        <v>396</v>
      </c>
      <c r="K47" s="39">
        <v>500</v>
      </c>
      <c r="L47" s="43"/>
    </row>
    <row r="48" spans="1:12" ht="36" customHeight="1" thickBot="1">
      <c r="A48" s="31">
        <v>44</v>
      </c>
      <c r="B48" s="44" t="s">
        <v>80</v>
      </c>
      <c r="C48" s="68" t="s">
        <v>174</v>
      </c>
      <c r="D48" s="68"/>
      <c r="E48" s="68"/>
      <c r="F48" s="68"/>
      <c r="G48" s="69"/>
      <c r="H48" s="29" t="s">
        <v>39</v>
      </c>
      <c r="I48" s="54" t="s">
        <v>231</v>
      </c>
      <c r="J48" s="37">
        <v>670.66</v>
      </c>
      <c r="K48" s="39">
        <v>20</v>
      </c>
      <c r="L48" s="43"/>
    </row>
    <row r="49" spans="1:12" ht="36" customHeight="1" thickBot="1">
      <c r="A49" s="31">
        <v>45</v>
      </c>
      <c r="B49" s="45" t="s">
        <v>80</v>
      </c>
      <c r="C49" s="68" t="s">
        <v>175</v>
      </c>
      <c r="D49" s="68"/>
      <c r="E49" s="68"/>
      <c r="F49" s="68"/>
      <c r="G49" s="69"/>
      <c r="H49" s="29" t="s">
        <v>39</v>
      </c>
      <c r="I49" s="53" t="s">
        <v>231</v>
      </c>
      <c r="J49" s="37">
        <v>745.08</v>
      </c>
      <c r="K49" s="39">
        <v>0</v>
      </c>
      <c r="L49" s="43"/>
    </row>
    <row r="50" spans="1:12" ht="36" customHeight="1" thickBot="1">
      <c r="A50" s="30">
        <v>46</v>
      </c>
      <c r="B50" s="45" t="s">
        <v>81</v>
      </c>
      <c r="C50" s="68" t="s">
        <v>176</v>
      </c>
      <c r="D50" s="68"/>
      <c r="E50" s="68"/>
      <c r="F50" s="68"/>
      <c r="G50" s="69"/>
      <c r="H50" s="29" t="s">
        <v>39</v>
      </c>
      <c r="I50" s="53" t="s">
        <v>231</v>
      </c>
      <c r="J50" s="37">
        <v>745.08</v>
      </c>
      <c r="K50" s="39">
        <v>0</v>
      </c>
      <c r="L50" s="43"/>
    </row>
    <row r="51" spans="1:12" ht="36" customHeight="1" thickBot="1">
      <c r="A51" s="30">
        <v>49</v>
      </c>
      <c r="B51" s="45" t="s">
        <v>82</v>
      </c>
      <c r="C51" s="68" t="s">
        <v>177</v>
      </c>
      <c r="D51" s="68"/>
      <c r="E51" s="68"/>
      <c r="F51" s="68"/>
      <c r="G51" s="69"/>
      <c r="H51" s="29" t="s">
        <v>39</v>
      </c>
      <c r="I51" s="54" t="s">
        <v>231</v>
      </c>
      <c r="J51" s="37">
        <v>545.41</v>
      </c>
      <c r="K51" s="39">
        <v>15</v>
      </c>
      <c r="L51" s="43"/>
    </row>
    <row r="52" spans="1:12" ht="36" customHeight="1" thickBot="1">
      <c r="A52" s="31">
        <v>50</v>
      </c>
      <c r="B52" s="45" t="s">
        <v>83</v>
      </c>
      <c r="C52" s="68" t="s">
        <v>178</v>
      </c>
      <c r="D52" s="68"/>
      <c r="E52" s="68"/>
      <c r="F52" s="68"/>
      <c r="G52" s="69"/>
      <c r="H52" s="29" t="s">
        <v>39</v>
      </c>
      <c r="I52" s="54" t="s">
        <v>231</v>
      </c>
      <c r="J52" s="37">
        <v>545.41</v>
      </c>
      <c r="K52" s="39">
        <v>25</v>
      </c>
      <c r="L52" s="43"/>
    </row>
    <row r="53" spans="1:12" ht="36" customHeight="1" thickBot="1">
      <c r="A53" s="31">
        <v>53</v>
      </c>
      <c r="B53" s="45" t="s">
        <v>84</v>
      </c>
      <c r="C53" s="68" t="s">
        <v>179</v>
      </c>
      <c r="D53" s="68"/>
      <c r="E53" s="68"/>
      <c r="F53" s="68"/>
      <c r="G53" s="69"/>
      <c r="H53" s="29" t="s">
        <v>39</v>
      </c>
      <c r="I53" s="54" t="s">
        <v>231</v>
      </c>
      <c r="J53" s="37">
        <v>545.41</v>
      </c>
      <c r="K53" s="39">
        <v>20</v>
      </c>
      <c r="L53" s="43"/>
    </row>
    <row r="54" spans="1:12" ht="36" customHeight="1" thickBot="1">
      <c r="A54" s="30">
        <v>55</v>
      </c>
      <c r="B54" s="45" t="s">
        <v>85</v>
      </c>
      <c r="C54" s="68" t="s">
        <v>180</v>
      </c>
      <c r="D54" s="68"/>
      <c r="E54" s="68"/>
      <c r="F54" s="68"/>
      <c r="G54" s="69"/>
      <c r="H54" s="29" t="s">
        <v>39</v>
      </c>
      <c r="I54" s="54" t="s">
        <v>234</v>
      </c>
      <c r="J54" s="37">
        <v>6.3</v>
      </c>
      <c r="K54" s="39">
        <v>20000</v>
      </c>
      <c r="L54" s="43"/>
    </row>
    <row r="55" spans="1:12" ht="36" customHeight="1" thickBot="1">
      <c r="A55" s="31">
        <v>56</v>
      </c>
      <c r="B55" s="45" t="s">
        <v>86</v>
      </c>
      <c r="C55" s="68" t="s">
        <v>181</v>
      </c>
      <c r="D55" s="68"/>
      <c r="E55" s="68"/>
      <c r="F55" s="68"/>
      <c r="G55" s="69"/>
      <c r="H55" s="29" t="s">
        <v>39</v>
      </c>
      <c r="I55" s="54" t="s">
        <v>234</v>
      </c>
      <c r="J55" s="37">
        <v>10.6</v>
      </c>
      <c r="K55" s="39">
        <v>2600</v>
      </c>
      <c r="L55" s="43"/>
    </row>
    <row r="56" spans="1:12" ht="36" customHeight="1" thickBot="1">
      <c r="A56" s="31">
        <v>57</v>
      </c>
      <c r="B56" s="45" t="s">
        <v>87</v>
      </c>
      <c r="C56" s="68" t="s">
        <v>182</v>
      </c>
      <c r="D56" s="68"/>
      <c r="E56" s="68"/>
      <c r="F56" s="68"/>
      <c r="G56" s="69"/>
      <c r="H56" s="29" t="s">
        <v>39</v>
      </c>
      <c r="I56" s="54" t="s">
        <v>234</v>
      </c>
      <c r="J56" s="37">
        <v>4.37</v>
      </c>
      <c r="K56" s="39">
        <v>30000</v>
      </c>
      <c r="L56" s="43"/>
    </row>
    <row r="57" spans="1:12" ht="36" customHeight="1" thickBot="1">
      <c r="A57" s="30">
        <v>58</v>
      </c>
      <c r="B57" s="46" t="s">
        <v>88</v>
      </c>
      <c r="C57" s="68" t="s">
        <v>183</v>
      </c>
      <c r="D57" s="68"/>
      <c r="E57" s="68"/>
      <c r="F57" s="68"/>
      <c r="G57" s="69"/>
      <c r="H57" s="29" t="s">
        <v>39</v>
      </c>
      <c r="I57" s="54" t="s">
        <v>234</v>
      </c>
      <c r="J57" s="37">
        <v>24.5</v>
      </c>
      <c r="K57" s="39">
        <v>0</v>
      </c>
      <c r="L57" s="43"/>
    </row>
    <row r="58" spans="1:12" ht="36" customHeight="1" thickBot="1">
      <c r="A58" s="31">
        <v>59</v>
      </c>
      <c r="B58" s="46" t="s">
        <v>89</v>
      </c>
      <c r="C58" s="68" t="s">
        <v>184</v>
      </c>
      <c r="D58" s="68"/>
      <c r="E58" s="68"/>
      <c r="F58" s="68"/>
      <c r="G58" s="69"/>
      <c r="H58" s="29" t="s">
        <v>39</v>
      </c>
      <c r="I58" s="54" t="s">
        <v>234</v>
      </c>
      <c r="J58" s="37">
        <v>5.21</v>
      </c>
      <c r="K58" s="39">
        <v>1100</v>
      </c>
      <c r="L58" s="43"/>
    </row>
    <row r="59" spans="1:12" ht="36" customHeight="1" thickBot="1">
      <c r="A59" s="31">
        <v>60</v>
      </c>
      <c r="B59" s="46" t="s">
        <v>90</v>
      </c>
      <c r="C59" s="68" t="s">
        <v>185</v>
      </c>
      <c r="D59" s="68"/>
      <c r="E59" s="68"/>
      <c r="F59" s="68"/>
      <c r="G59" s="69"/>
      <c r="H59" s="29" t="s">
        <v>39</v>
      </c>
      <c r="I59" s="54" t="s">
        <v>234</v>
      </c>
      <c r="J59" s="37">
        <v>4.4000000000000004</v>
      </c>
      <c r="K59" s="39">
        <v>3900</v>
      </c>
      <c r="L59" s="43"/>
    </row>
    <row r="60" spans="1:12" ht="36" customHeight="1" thickBot="1">
      <c r="A60" s="31">
        <v>62</v>
      </c>
      <c r="B60" s="47" t="s">
        <v>91</v>
      </c>
      <c r="C60" s="68" t="s">
        <v>186</v>
      </c>
      <c r="D60" s="68"/>
      <c r="E60" s="68"/>
      <c r="F60" s="68"/>
      <c r="G60" s="69"/>
      <c r="H60" s="29" t="s">
        <v>39</v>
      </c>
      <c r="I60" s="53" t="s">
        <v>234</v>
      </c>
      <c r="J60" s="37">
        <v>166</v>
      </c>
      <c r="K60" s="39">
        <v>3000</v>
      </c>
      <c r="L60" s="43"/>
    </row>
    <row r="61" spans="1:12" ht="36" customHeight="1" thickBot="1">
      <c r="A61" s="31">
        <v>63</v>
      </c>
      <c r="B61" s="47" t="s">
        <v>92</v>
      </c>
      <c r="C61" s="68" t="s">
        <v>187</v>
      </c>
      <c r="D61" s="68"/>
      <c r="E61" s="68"/>
      <c r="F61" s="68"/>
      <c r="G61" s="69"/>
      <c r="H61" s="29" t="s">
        <v>39</v>
      </c>
      <c r="I61" s="54" t="s">
        <v>234</v>
      </c>
      <c r="J61" s="37">
        <v>286</v>
      </c>
      <c r="K61" s="39">
        <v>96</v>
      </c>
      <c r="L61" s="43"/>
    </row>
    <row r="62" spans="1:12" ht="36" customHeight="1" thickBot="1">
      <c r="A62" s="30">
        <v>64</v>
      </c>
      <c r="B62" s="47" t="s">
        <v>93</v>
      </c>
      <c r="C62" s="68" t="s">
        <v>188</v>
      </c>
      <c r="D62" s="68"/>
      <c r="E62" s="68"/>
      <c r="F62" s="68"/>
      <c r="G62" s="69"/>
      <c r="H62" s="29" t="s">
        <v>39</v>
      </c>
      <c r="I62" s="54" t="s">
        <v>234</v>
      </c>
      <c r="J62" s="37">
        <v>159.88</v>
      </c>
      <c r="K62" s="39">
        <v>96</v>
      </c>
      <c r="L62" s="43"/>
    </row>
    <row r="63" spans="1:12" ht="36" customHeight="1" thickBot="1">
      <c r="A63" s="31">
        <v>65</v>
      </c>
      <c r="B63" s="47" t="s">
        <v>94</v>
      </c>
      <c r="C63" s="68" t="s">
        <v>189</v>
      </c>
      <c r="D63" s="68"/>
      <c r="E63" s="68"/>
      <c r="F63" s="68"/>
      <c r="G63" s="69"/>
      <c r="H63" s="29" t="s">
        <v>39</v>
      </c>
      <c r="I63" s="53" t="s">
        <v>233</v>
      </c>
      <c r="J63" s="37">
        <v>55.65</v>
      </c>
      <c r="K63" s="39">
        <v>0</v>
      </c>
      <c r="L63" s="43"/>
    </row>
    <row r="64" spans="1:12" ht="36" customHeight="1" thickBot="1">
      <c r="A64" s="31">
        <v>66</v>
      </c>
      <c r="B64" s="47" t="s">
        <v>95</v>
      </c>
      <c r="C64" s="68" t="s">
        <v>190</v>
      </c>
      <c r="D64" s="68"/>
      <c r="E64" s="68"/>
      <c r="F64" s="68"/>
      <c r="G64" s="69"/>
      <c r="H64" s="29" t="s">
        <v>39</v>
      </c>
      <c r="I64" s="54" t="s">
        <v>234</v>
      </c>
      <c r="J64" s="37">
        <v>49.24</v>
      </c>
      <c r="K64" s="39">
        <v>0</v>
      </c>
      <c r="L64" s="43"/>
    </row>
    <row r="65" spans="1:12" ht="36" customHeight="1" thickBot="1">
      <c r="A65" s="30">
        <v>67</v>
      </c>
      <c r="B65" s="47" t="s">
        <v>96</v>
      </c>
      <c r="C65" s="68" t="s">
        <v>191</v>
      </c>
      <c r="D65" s="68"/>
      <c r="E65" s="68"/>
      <c r="F65" s="68"/>
      <c r="G65" s="69"/>
      <c r="H65" s="29" t="s">
        <v>39</v>
      </c>
      <c r="I65" s="54" t="s">
        <v>234</v>
      </c>
      <c r="J65" s="37">
        <v>65.3</v>
      </c>
      <c r="K65" s="39">
        <v>0</v>
      </c>
      <c r="L65" s="43"/>
    </row>
    <row r="66" spans="1:12" ht="36" customHeight="1" thickBot="1">
      <c r="A66" s="31">
        <v>69</v>
      </c>
      <c r="B66" s="47" t="s">
        <v>97</v>
      </c>
      <c r="C66" s="68" t="s">
        <v>192</v>
      </c>
      <c r="D66" s="68"/>
      <c r="E66" s="68"/>
      <c r="F66" s="68"/>
      <c r="G66" s="69"/>
      <c r="H66" s="29" t="s">
        <v>39</v>
      </c>
      <c r="I66" s="54" t="s">
        <v>234</v>
      </c>
      <c r="J66" s="37">
        <v>27.65</v>
      </c>
      <c r="K66" s="39">
        <v>3000</v>
      </c>
      <c r="L66" s="43"/>
    </row>
    <row r="67" spans="1:12" ht="36" customHeight="1" thickBot="1">
      <c r="A67" s="30">
        <v>70</v>
      </c>
      <c r="B67" s="47" t="s">
        <v>98</v>
      </c>
      <c r="C67" s="68" t="s">
        <v>193</v>
      </c>
      <c r="D67" s="68"/>
      <c r="E67" s="68"/>
      <c r="F67" s="68"/>
      <c r="G67" s="69"/>
      <c r="H67" s="29" t="s">
        <v>39</v>
      </c>
      <c r="I67" s="54" t="s">
        <v>234</v>
      </c>
      <c r="J67" s="37">
        <v>32</v>
      </c>
      <c r="K67" s="39">
        <v>2000</v>
      </c>
      <c r="L67" s="43"/>
    </row>
    <row r="68" spans="1:12" ht="36" customHeight="1" thickBot="1">
      <c r="A68" s="31">
        <v>74</v>
      </c>
      <c r="B68" s="47" t="s">
        <v>99</v>
      </c>
      <c r="C68" s="70" t="s">
        <v>194</v>
      </c>
      <c r="D68" s="70"/>
      <c r="E68" s="70"/>
      <c r="F68" s="70"/>
      <c r="G68" s="70"/>
      <c r="H68" s="29" t="s">
        <v>39</v>
      </c>
      <c r="I68" s="54" t="s">
        <v>234</v>
      </c>
      <c r="J68" s="37">
        <v>20.09</v>
      </c>
      <c r="K68" s="39">
        <v>10000</v>
      </c>
      <c r="L68" s="43"/>
    </row>
    <row r="69" spans="1:12" ht="36" customHeight="1" thickBot="1">
      <c r="A69" s="31">
        <v>75</v>
      </c>
      <c r="B69" s="47" t="s">
        <v>100</v>
      </c>
      <c r="C69" s="68" t="s">
        <v>195</v>
      </c>
      <c r="D69" s="68"/>
      <c r="E69" s="68"/>
      <c r="F69" s="68"/>
      <c r="G69" s="69"/>
      <c r="H69" s="29" t="s">
        <v>39</v>
      </c>
      <c r="I69" s="54" t="s">
        <v>234</v>
      </c>
      <c r="J69" s="37">
        <v>269</v>
      </c>
      <c r="K69" s="39">
        <v>10</v>
      </c>
      <c r="L69" s="43"/>
    </row>
    <row r="70" spans="1:12" ht="36" customHeight="1" thickBot="1">
      <c r="A70" s="30">
        <v>76</v>
      </c>
      <c r="B70" s="47" t="s">
        <v>101</v>
      </c>
      <c r="C70" s="68" t="s">
        <v>196</v>
      </c>
      <c r="D70" s="68"/>
      <c r="E70" s="68"/>
      <c r="F70" s="68"/>
      <c r="G70" s="69"/>
      <c r="H70" s="29" t="s">
        <v>39</v>
      </c>
      <c r="I70" s="53" t="s">
        <v>234</v>
      </c>
      <c r="J70" s="37">
        <v>48</v>
      </c>
      <c r="K70" s="39">
        <v>0</v>
      </c>
      <c r="L70" s="43"/>
    </row>
    <row r="71" spans="1:12" ht="36" customHeight="1" thickBot="1">
      <c r="A71" s="30">
        <v>79</v>
      </c>
      <c r="B71" s="47" t="s">
        <v>102</v>
      </c>
      <c r="C71" s="68" t="s">
        <v>197</v>
      </c>
      <c r="D71" s="68"/>
      <c r="E71" s="68"/>
      <c r="F71" s="68"/>
      <c r="G71" s="69"/>
      <c r="H71" s="29" t="s">
        <v>39</v>
      </c>
      <c r="I71" s="54" t="s">
        <v>236</v>
      </c>
      <c r="J71" s="37">
        <v>24.8</v>
      </c>
      <c r="K71" s="39">
        <v>1000</v>
      </c>
      <c r="L71" s="43"/>
    </row>
    <row r="72" spans="1:12" ht="36" customHeight="1" thickBot="1">
      <c r="A72" s="31">
        <v>80</v>
      </c>
      <c r="B72" s="47" t="s">
        <v>103</v>
      </c>
      <c r="C72" s="68" t="s">
        <v>230</v>
      </c>
      <c r="D72" s="68"/>
      <c r="E72" s="68"/>
      <c r="F72" s="68"/>
      <c r="G72" s="69"/>
      <c r="H72" s="29" t="s">
        <v>39</v>
      </c>
      <c r="I72" s="54" t="s">
        <v>234</v>
      </c>
      <c r="J72" s="37">
        <v>83</v>
      </c>
      <c r="K72" s="39">
        <v>0</v>
      </c>
      <c r="L72" s="43"/>
    </row>
    <row r="73" spans="1:12" ht="36" customHeight="1" thickBot="1">
      <c r="A73" s="31">
        <v>81</v>
      </c>
      <c r="B73" s="48" t="s">
        <v>110</v>
      </c>
      <c r="C73" s="68" t="s">
        <v>198</v>
      </c>
      <c r="D73" s="68"/>
      <c r="E73" s="68"/>
      <c r="F73" s="68"/>
      <c r="G73" s="69"/>
      <c r="H73" s="29" t="s">
        <v>39</v>
      </c>
      <c r="I73" s="54" t="s">
        <v>234</v>
      </c>
      <c r="J73" s="37">
        <v>48.52</v>
      </c>
      <c r="K73" s="39">
        <v>0</v>
      </c>
      <c r="L73" s="43"/>
    </row>
    <row r="74" spans="1:12" ht="36" customHeight="1" thickBot="1">
      <c r="A74" s="30">
        <v>82</v>
      </c>
      <c r="B74" s="48" t="s">
        <v>104</v>
      </c>
      <c r="C74" s="68" t="s">
        <v>199</v>
      </c>
      <c r="D74" s="68"/>
      <c r="E74" s="68"/>
      <c r="F74" s="68"/>
      <c r="G74" s="69"/>
      <c r="H74" s="29" t="s">
        <v>39</v>
      </c>
      <c r="I74" s="54" t="s">
        <v>234</v>
      </c>
      <c r="J74" s="37">
        <v>33.369999999999997</v>
      </c>
      <c r="K74" s="39">
        <v>500</v>
      </c>
      <c r="L74" s="43"/>
    </row>
    <row r="75" spans="1:12" ht="36" customHeight="1" thickBot="1">
      <c r="A75" s="31">
        <v>83</v>
      </c>
      <c r="B75" s="48" t="s">
        <v>105</v>
      </c>
      <c r="C75" s="68" t="s">
        <v>200</v>
      </c>
      <c r="D75" s="68"/>
      <c r="E75" s="68"/>
      <c r="F75" s="68"/>
      <c r="G75" s="69"/>
      <c r="H75" s="29" t="s">
        <v>39</v>
      </c>
      <c r="I75" s="54" t="s">
        <v>234</v>
      </c>
      <c r="J75" s="37">
        <v>32.119999999999997</v>
      </c>
      <c r="K75" s="39">
        <v>0</v>
      </c>
      <c r="L75" s="43"/>
    </row>
    <row r="76" spans="1:12" ht="36" customHeight="1" thickBot="1">
      <c r="A76" s="31">
        <v>84</v>
      </c>
      <c r="B76" s="48" t="s">
        <v>106</v>
      </c>
      <c r="C76" s="68" t="s">
        <v>201</v>
      </c>
      <c r="D76" s="68"/>
      <c r="E76" s="68"/>
      <c r="F76" s="68"/>
      <c r="G76" s="69"/>
      <c r="H76" s="29" t="s">
        <v>39</v>
      </c>
      <c r="I76" s="54" t="s">
        <v>234</v>
      </c>
      <c r="J76" s="37">
        <v>32.119999999999997</v>
      </c>
      <c r="K76" s="39">
        <v>250</v>
      </c>
      <c r="L76" s="43"/>
    </row>
    <row r="77" spans="1:12" ht="36" customHeight="1" thickBot="1">
      <c r="A77" s="30">
        <v>85</v>
      </c>
      <c r="B77" s="48" t="s">
        <v>107</v>
      </c>
      <c r="C77" s="68" t="s">
        <v>202</v>
      </c>
      <c r="D77" s="68"/>
      <c r="E77" s="68"/>
      <c r="F77" s="68"/>
      <c r="G77" s="69"/>
      <c r="H77" s="29" t="s">
        <v>39</v>
      </c>
      <c r="I77" s="54" t="s">
        <v>234</v>
      </c>
      <c r="J77" s="37">
        <v>32.119999999999997</v>
      </c>
      <c r="K77" s="39">
        <v>1000</v>
      </c>
      <c r="L77" s="43"/>
    </row>
    <row r="78" spans="1:12" ht="36" customHeight="1" thickBot="1">
      <c r="A78" s="31">
        <v>86</v>
      </c>
      <c r="B78" s="48" t="s">
        <v>108</v>
      </c>
      <c r="C78" s="68" t="s">
        <v>203</v>
      </c>
      <c r="D78" s="68"/>
      <c r="E78" s="68"/>
      <c r="F78" s="68"/>
      <c r="G78" s="69"/>
      <c r="H78" s="29" t="s">
        <v>39</v>
      </c>
      <c r="I78" s="54" t="s">
        <v>234</v>
      </c>
      <c r="J78" s="37">
        <v>48.52</v>
      </c>
      <c r="K78" s="39">
        <v>3000</v>
      </c>
      <c r="L78" s="43"/>
    </row>
    <row r="79" spans="1:12" ht="36" customHeight="1" thickBot="1">
      <c r="A79" s="31">
        <v>87</v>
      </c>
      <c r="B79" s="48" t="s">
        <v>109</v>
      </c>
      <c r="C79" s="68" t="s">
        <v>204</v>
      </c>
      <c r="D79" s="68"/>
      <c r="E79" s="68"/>
      <c r="F79" s="68"/>
      <c r="G79" s="69"/>
      <c r="H79" s="29" t="s">
        <v>39</v>
      </c>
      <c r="I79" s="54" t="s">
        <v>234</v>
      </c>
      <c r="J79" s="37">
        <v>48.52</v>
      </c>
      <c r="K79" s="39">
        <v>3000</v>
      </c>
      <c r="L79" s="43"/>
    </row>
    <row r="80" spans="1:12" ht="36" customHeight="1" thickBot="1">
      <c r="A80" s="31">
        <v>89</v>
      </c>
      <c r="B80" s="47" t="s">
        <v>111</v>
      </c>
      <c r="C80" s="68" t="s">
        <v>205</v>
      </c>
      <c r="D80" s="68"/>
      <c r="E80" s="68"/>
      <c r="F80" s="68"/>
      <c r="G80" s="69"/>
      <c r="H80" s="29" t="s">
        <v>39</v>
      </c>
      <c r="I80" s="54" t="s">
        <v>237</v>
      </c>
      <c r="J80" s="37">
        <v>97.77</v>
      </c>
      <c r="K80" s="39">
        <v>1000</v>
      </c>
      <c r="L80" s="43"/>
    </row>
    <row r="81" spans="1:12" ht="36" customHeight="1" thickBot="1">
      <c r="A81" s="31">
        <v>90</v>
      </c>
      <c r="B81" s="47" t="s">
        <v>112</v>
      </c>
      <c r="C81" s="68" t="s">
        <v>206</v>
      </c>
      <c r="D81" s="68"/>
      <c r="E81" s="68"/>
      <c r="F81" s="68"/>
      <c r="G81" s="69"/>
      <c r="H81" s="29" t="s">
        <v>39</v>
      </c>
      <c r="I81" s="54" t="s">
        <v>237</v>
      </c>
      <c r="J81" s="37">
        <v>184.31</v>
      </c>
      <c r="K81" s="39">
        <v>300</v>
      </c>
      <c r="L81" s="43"/>
    </row>
    <row r="82" spans="1:12" ht="36" customHeight="1" thickBot="1">
      <c r="A82" s="30">
        <v>91</v>
      </c>
      <c r="B82" s="47" t="s">
        <v>113</v>
      </c>
      <c r="C82" s="68" t="s">
        <v>207</v>
      </c>
      <c r="D82" s="68"/>
      <c r="E82" s="68"/>
      <c r="F82" s="68"/>
      <c r="G82" s="69"/>
      <c r="H82" s="29" t="s">
        <v>39</v>
      </c>
      <c r="I82" s="54" t="s">
        <v>237</v>
      </c>
      <c r="J82" s="37">
        <v>41.9</v>
      </c>
      <c r="K82" s="39">
        <v>200</v>
      </c>
      <c r="L82" s="43"/>
    </row>
    <row r="83" spans="1:12" ht="36" customHeight="1" thickBot="1">
      <c r="A83" s="31">
        <v>93</v>
      </c>
      <c r="B83" s="47" t="s">
        <v>114</v>
      </c>
      <c r="C83" s="68" t="s">
        <v>208</v>
      </c>
      <c r="D83" s="68"/>
      <c r="E83" s="68"/>
      <c r="F83" s="68"/>
      <c r="G83" s="69"/>
      <c r="H83" s="29" t="s">
        <v>39</v>
      </c>
      <c r="I83" s="53" t="s">
        <v>237</v>
      </c>
      <c r="J83" s="37">
        <v>87.25</v>
      </c>
      <c r="K83" s="39">
        <v>400</v>
      </c>
      <c r="L83" s="43"/>
    </row>
    <row r="84" spans="1:12" ht="36" customHeight="1" thickBot="1">
      <c r="A84" s="31">
        <v>95</v>
      </c>
      <c r="B84" s="47" t="s">
        <v>115</v>
      </c>
      <c r="C84" s="68" t="s">
        <v>209</v>
      </c>
      <c r="D84" s="68"/>
      <c r="E84" s="68"/>
      <c r="F84" s="68"/>
      <c r="G84" s="69"/>
      <c r="H84" s="29" t="s">
        <v>39</v>
      </c>
      <c r="I84" s="53" t="s">
        <v>234</v>
      </c>
      <c r="J84" s="37">
        <v>339</v>
      </c>
      <c r="K84" s="39">
        <v>20</v>
      </c>
      <c r="L84" s="43"/>
    </row>
    <row r="85" spans="1:12" ht="36" customHeight="1" thickBot="1">
      <c r="A85" s="31">
        <v>96</v>
      </c>
      <c r="B85" s="47" t="s">
        <v>116</v>
      </c>
      <c r="C85" s="68" t="s">
        <v>210</v>
      </c>
      <c r="D85" s="68"/>
      <c r="E85" s="68"/>
      <c r="F85" s="68"/>
      <c r="G85" s="69"/>
      <c r="H85" s="29" t="s">
        <v>39</v>
      </c>
      <c r="I85" s="54" t="s">
        <v>234</v>
      </c>
      <c r="J85" s="37">
        <v>580</v>
      </c>
      <c r="K85" s="39">
        <v>100</v>
      </c>
      <c r="L85" s="43"/>
    </row>
    <row r="86" spans="1:12" ht="36" customHeight="1" thickBot="1">
      <c r="A86" s="30">
        <v>100</v>
      </c>
      <c r="B86" s="47" t="s">
        <v>117</v>
      </c>
      <c r="C86" s="68" t="s">
        <v>211</v>
      </c>
      <c r="D86" s="68"/>
      <c r="E86" s="68"/>
      <c r="F86" s="68"/>
      <c r="G86" s="69"/>
      <c r="H86" s="29" t="s">
        <v>39</v>
      </c>
      <c r="I86" s="54" t="s">
        <v>238</v>
      </c>
      <c r="J86" s="37">
        <v>134</v>
      </c>
      <c r="K86" s="39">
        <v>40</v>
      </c>
      <c r="L86" s="43"/>
    </row>
    <row r="87" spans="1:12" ht="36" customHeight="1" thickBot="1">
      <c r="A87" s="31">
        <v>101</v>
      </c>
      <c r="B87" s="49" t="s">
        <v>118</v>
      </c>
      <c r="C87" s="68" t="s">
        <v>212</v>
      </c>
      <c r="D87" s="68"/>
      <c r="E87" s="68"/>
      <c r="F87" s="68"/>
      <c r="G87" s="69"/>
      <c r="H87" s="29" t="s">
        <v>39</v>
      </c>
      <c r="I87" s="54" t="s">
        <v>234</v>
      </c>
      <c r="J87" s="37">
        <v>89.91</v>
      </c>
      <c r="K87" s="39">
        <v>40</v>
      </c>
      <c r="L87" s="43"/>
    </row>
    <row r="88" spans="1:12" ht="36" customHeight="1" thickBot="1">
      <c r="A88" s="31">
        <v>104</v>
      </c>
      <c r="B88" s="49" t="s">
        <v>119</v>
      </c>
      <c r="C88" s="68" t="s">
        <v>213</v>
      </c>
      <c r="D88" s="68"/>
      <c r="E88" s="68"/>
      <c r="F88" s="68"/>
      <c r="G88" s="69"/>
      <c r="H88" s="29" t="s">
        <v>39</v>
      </c>
      <c r="I88" s="54" t="s">
        <v>234</v>
      </c>
      <c r="J88" s="37">
        <v>68.83</v>
      </c>
      <c r="K88" s="39">
        <v>40</v>
      </c>
      <c r="L88" s="43"/>
    </row>
    <row r="89" spans="1:12" ht="36" customHeight="1" thickBot="1">
      <c r="A89" s="30">
        <v>109</v>
      </c>
      <c r="B89" s="49" t="s">
        <v>120</v>
      </c>
      <c r="C89" s="68" t="s">
        <v>214</v>
      </c>
      <c r="D89" s="68"/>
      <c r="E89" s="68"/>
      <c r="F89" s="68"/>
      <c r="G89" s="69"/>
      <c r="H89" s="29" t="s">
        <v>39</v>
      </c>
      <c r="I89" s="54" t="s">
        <v>234</v>
      </c>
      <c r="J89" s="37">
        <v>118</v>
      </c>
      <c r="K89" s="39">
        <v>40</v>
      </c>
      <c r="L89" s="43"/>
    </row>
    <row r="90" spans="1:12" ht="36" customHeight="1" thickBot="1">
      <c r="A90" s="31">
        <v>110</v>
      </c>
      <c r="B90" s="49" t="s">
        <v>121</v>
      </c>
      <c r="C90" s="68" t="s">
        <v>215</v>
      </c>
      <c r="D90" s="68"/>
      <c r="E90" s="68"/>
      <c r="F90" s="68"/>
      <c r="G90" s="69"/>
      <c r="H90" s="29" t="s">
        <v>39</v>
      </c>
      <c r="I90" s="54" t="s">
        <v>234</v>
      </c>
      <c r="J90" s="37">
        <v>89.91</v>
      </c>
      <c r="K90" s="39">
        <v>40</v>
      </c>
      <c r="L90" s="43"/>
    </row>
    <row r="91" spans="1:12" ht="36" customHeight="1" thickBot="1">
      <c r="A91" s="31">
        <v>111</v>
      </c>
      <c r="B91" s="49" t="s">
        <v>122</v>
      </c>
      <c r="C91" s="68" t="s">
        <v>216</v>
      </c>
      <c r="D91" s="68"/>
      <c r="E91" s="68"/>
      <c r="F91" s="68"/>
      <c r="G91" s="69"/>
      <c r="H91" s="29" t="s">
        <v>39</v>
      </c>
      <c r="I91" s="54" t="s">
        <v>234</v>
      </c>
      <c r="J91" s="37">
        <v>89.91</v>
      </c>
      <c r="K91" s="39">
        <v>0</v>
      </c>
      <c r="L91" s="43"/>
    </row>
    <row r="92" spans="1:12" ht="36" customHeight="1" thickBot="1">
      <c r="A92" s="30">
        <v>112</v>
      </c>
      <c r="B92" s="49" t="s">
        <v>123</v>
      </c>
      <c r="C92" s="68" t="s">
        <v>217</v>
      </c>
      <c r="D92" s="68"/>
      <c r="E92" s="68"/>
      <c r="F92" s="68"/>
      <c r="G92" s="69"/>
      <c r="H92" s="29" t="s">
        <v>39</v>
      </c>
      <c r="I92" s="54" t="s">
        <v>234</v>
      </c>
      <c r="J92" s="37">
        <v>117</v>
      </c>
      <c r="K92" s="39">
        <v>20</v>
      </c>
      <c r="L92" s="43"/>
    </row>
    <row r="93" spans="1:12" ht="36" customHeight="1" thickBot="1">
      <c r="A93" s="31">
        <v>113</v>
      </c>
      <c r="B93" s="49" t="s">
        <v>124</v>
      </c>
      <c r="C93" s="68" t="s">
        <v>218</v>
      </c>
      <c r="D93" s="68"/>
      <c r="E93" s="68"/>
      <c r="F93" s="68"/>
      <c r="G93" s="69"/>
      <c r="H93" s="29" t="s">
        <v>39</v>
      </c>
      <c r="I93" s="54" t="s">
        <v>234</v>
      </c>
      <c r="J93" s="37">
        <v>89.36</v>
      </c>
      <c r="K93" s="39">
        <v>20</v>
      </c>
      <c r="L93" s="43"/>
    </row>
    <row r="94" spans="1:12" ht="36" customHeight="1" thickBot="1">
      <c r="A94" s="31">
        <v>114</v>
      </c>
      <c r="B94" s="49" t="s">
        <v>125</v>
      </c>
      <c r="C94" s="68" t="s">
        <v>219</v>
      </c>
      <c r="D94" s="68"/>
      <c r="E94" s="68"/>
      <c r="F94" s="68"/>
      <c r="G94" s="69"/>
      <c r="H94" s="29" t="s">
        <v>39</v>
      </c>
      <c r="I94" s="54" t="s">
        <v>234</v>
      </c>
      <c r="J94" s="37">
        <v>89.36</v>
      </c>
      <c r="K94" s="39">
        <v>20</v>
      </c>
      <c r="L94" s="43"/>
    </row>
    <row r="95" spans="1:12" ht="36" customHeight="1" thickBot="1">
      <c r="A95" s="30">
        <v>115</v>
      </c>
      <c r="B95" s="49" t="s">
        <v>126</v>
      </c>
      <c r="C95" s="68" t="s">
        <v>220</v>
      </c>
      <c r="D95" s="68"/>
      <c r="E95" s="68"/>
      <c r="F95" s="68"/>
      <c r="G95" s="69"/>
      <c r="H95" s="29" t="s">
        <v>39</v>
      </c>
      <c r="I95" s="54" t="s">
        <v>234</v>
      </c>
      <c r="J95" s="37">
        <v>89.36</v>
      </c>
      <c r="K95" s="39">
        <v>0</v>
      </c>
      <c r="L95" s="43"/>
    </row>
    <row r="96" spans="1:12" ht="36" customHeight="1" thickBot="1">
      <c r="A96" s="31">
        <v>116</v>
      </c>
      <c r="B96" s="49" t="s">
        <v>127</v>
      </c>
      <c r="C96" s="68" t="s">
        <v>221</v>
      </c>
      <c r="D96" s="68"/>
      <c r="E96" s="68"/>
      <c r="F96" s="68"/>
      <c r="G96" s="69"/>
      <c r="H96" s="29" t="s">
        <v>39</v>
      </c>
      <c r="I96" s="54" t="s">
        <v>234</v>
      </c>
      <c r="J96" s="37">
        <v>89.36</v>
      </c>
      <c r="K96" s="39">
        <v>0</v>
      </c>
      <c r="L96" s="43"/>
    </row>
    <row r="97" spans="1:12" ht="36" customHeight="1" thickBot="1">
      <c r="A97" s="31">
        <v>117</v>
      </c>
      <c r="B97" s="49" t="s">
        <v>128</v>
      </c>
      <c r="C97" s="68" t="s">
        <v>222</v>
      </c>
      <c r="D97" s="68"/>
      <c r="E97" s="68"/>
      <c r="F97" s="68"/>
      <c r="G97" s="69"/>
      <c r="H97" s="29" t="s">
        <v>39</v>
      </c>
      <c r="I97" s="54" t="s">
        <v>234</v>
      </c>
      <c r="J97" s="37">
        <v>89.91</v>
      </c>
      <c r="K97" s="39">
        <v>0</v>
      </c>
      <c r="L97" s="43"/>
    </row>
    <row r="98" spans="1:12" ht="36" customHeight="1" thickBot="1">
      <c r="A98" s="30">
        <v>121</v>
      </c>
      <c r="B98" s="33" t="s">
        <v>129</v>
      </c>
      <c r="C98" s="68" t="s">
        <v>223</v>
      </c>
      <c r="D98" s="68"/>
      <c r="E98" s="68"/>
      <c r="F98" s="68"/>
      <c r="G98" s="69"/>
      <c r="H98" s="29" t="s">
        <v>39</v>
      </c>
      <c r="I98" s="54" t="s">
        <v>234</v>
      </c>
      <c r="J98" s="37">
        <v>68.83</v>
      </c>
      <c r="K98" s="39">
        <v>0</v>
      </c>
      <c r="L98" s="43"/>
    </row>
    <row r="99" spans="1:12" ht="36" customHeight="1" thickBot="1">
      <c r="A99" s="31">
        <v>122</v>
      </c>
      <c r="B99" s="33" t="s">
        <v>130</v>
      </c>
      <c r="C99" s="68" t="s">
        <v>223</v>
      </c>
      <c r="D99" s="68"/>
      <c r="E99" s="68"/>
      <c r="F99" s="68"/>
      <c r="G99" s="69"/>
      <c r="H99" s="29" t="s">
        <v>39</v>
      </c>
      <c r="I99" s="53" t="s">
        <v>234</v>
      </c>
      <c r="J99" s="37">
        <v>68.83</v>
      </c>
      <c r="K99" s="39">
        <v>0</v>
      </c>
      <c r="L99" s="43"/>
    </row>
    <row r="100" spans="1:12" ht="36" customHeight="1" thickBot="1">
      <c r="A100" s="31">
        <v>123</v>
      </c>
      <c r="B100" s="33" t="s">
        <v>131</v>
      </c>
      <c r="C100" s="68" t="s">
        <v>224</v>
      </c>
      <c r="D100" s="68"/>
      <c r="E100" s="68"/>
      <c r="F100" s="68"/>
      <c r="G100" s="69"/>
      <c r="H100" s="29" t="s">
        <v>39</v>
      </c>
      <c r="I100" s="53" t="s">
        <v>237</v>
      </c>
      <c r="J100" s="37">
        <v>6850</v>
      </c>
      <c r="K100" s="39">
        <v>10</v>
      </c>
      <c r="L100" s="43"/>
    </row>
    <row r="101" spans="1:12" ht="36" customHeight="1" thickBot="1">
      <c r="A101" s="31">
        <v>125</v>
      </c>
      <c r="B101" s="33" t="s">
        <v>132</v>
      </c>
      <c r="C101" s="68" t="s">
        <v>225</v>
      </c>
      <c r="D101" s="68"/>
      <c r="E101" s="68"/>
      <c r="F101" s="68"/>
      <c r="G101" s="69"/>
      <c r="H101" s="29" t="s">
        <v>39</v>
      </c>
      <c r="I101" s="53" t="s">
        <v>237</v>
      </c>
      <c r="J101" s="37">
        <v>7880</v>
      </c>
      <c r="K101" s="39">
        <v>6</v>
      </c>
      <c r="L101" s="43"/>
    </row>
    <row r="102" spans="1:12" ht="36" customHeight="1" thickBot="1">
      <c r="A102" s="31">
        <v>126</v>
      </c>
      <c r="B102" s="33" t="s">
        <v>133</v>
      </c>
      <c r="C102" s="68" t="s">
        <v>226</v>
      </c>
      <c r="D102" s="68"/>
      <c r="E102" s="68"/>
      <c r="F102" s="68"/>
      <c r="G102" s="69"/>
      <c r="H102" s="29" t="s">
        <v>39</v>
      </c>
      <c r="I102" s="54" t="s">
        <v>237</v>
      </c>
      <c r="J102" s="37">
        <v>24.7</v>
      </c>
      <c r="K102" s="39">
        <v>0</v>
      </c>
      <c r="L102" s="43"/>
    </row>
    <row r="103" spans="1:12" ht="36" customHeight="1" thickBot="1">
      <c r="A103" s="31">
        <v>128</v>
      </c>
      <c r="B103" s="44" t="s">
        <v>134</v>
      </c>
      <c r="C103" s="68" t="s">
        <v>227</v>
      </c>
      <c r="D103" s="68"/>
      <c r="E103" s="68"/>
      <c r="F103" s="68"/>
      <c r="G103" s="69"/>
      <c r="H103" s="29" t="s">
        <v>39</v>
      </c>
      <c r="I103" s="54" t="s">
        <v>237</v>
      </c>
      <c r="J103" s="37">
        <v>40.28</v>
      </c>
      <c r="K103" s="39">
        <v>0</v>
      </c>
      <c r="L103" s="43"/>
    </row>
    <row r="104" spans="1:12" ht="36" customHeight="1" thickBot="1">
      <c r="A104" s="30">
        <v>130</v>
      </c>
      <c r="B104" s="44" t="s">
        <v>135</v>
      </c>
      <c r="C104" s="68" t="s">
        <v>228</v>
      </c>
      <c r="D104" s="68"/>
      <c r="E104" s="68"/>
      <c r="F104" s="68"/>
      <c r="G104" s="69"/>
      <c r="H104" s="29" t="s">
        <v>39</v>
      </c>
      <c r="I104" s="54" t="s">
        <v>234</v>
      </c>
      <c r="J104" s="37">
        <v>127.01</v>
      </c>
      <c r="K104" s="39">
        <v>0</v>
      </c>
      <c r="L104" s="43"/>
    </row>
    <row r="105" spans="1:12" ht="36" customHeight="1" thickBot="1">
      <c r="A105" s="30">
        <v>133</v>
      </c>
      <c r="B105" s="44" t="s">
        <v>136</v>
      </c>
      <c r="C105" s="68" t="s">
        <v>229</v>
      </c>
      <c r="D105" s="68"/>
      <c r="E105" s="68"/>
      <c r="F105" s="68"/>
      <c r="G105" s="69"/>
      <c r="H105" s="29" t="s">
        <v>39</v>
      </c>
      <c r="I105" s="54" t="s">
        <v>234</v>
      </c>
      <c r="J105" s="37">
        <v>67</v>
      </c>
      <c r="K105" s="39">
        <v>200</v>
      </c>
      <c r="L105" s="43"/>
    </row>
    <row r="106" spans="1:12" ht="20.25" customHeight="1" thickBot="1">
      <c r="A106" s="84" t="s">
        <v>244</v>
      </c>
      <c r="B106" s="85"/>
      <c r="C106" s="84"/>
      <c r="D106" s="84"/>
      <c r="E106" s="84"/>
      <c r="F106" s="84"/>
      <c r="G106" s="84"/>
      <c r="H106" s="84"/>
      <c r="I106" s="84"/>
      <c r="J106" s="86">
        <v>6332876.1799999997</v>
      </c>
      <c r="K106" s="87"/>
      <c r="L106" s="43"/>
    </row>
  </sheetData>
  <mergeCells count="111">
    <mergeCell ref="C10:G10"/>
    <mergeCell ref="A106:I106"/>
    <mergeCell ref="J106:K106"/>
    <mergeCell ref="C11:G11"/>
    <mergeCell ref="A8:C8"/>
    <mergeCell ref="D8:K8"/>
    <mergeCell ref="C21:G21"/>
    <mergeCell ref="C22:G22"/>
    <mergeCell ref="C23:G23"/>
    <mergeCell ref="C24:G2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30:G30"/>
    <mergeCell ref="C31:G31"/>
    <mergeCell ref="C25:G25"/>
    <mergeCell ref="C26:G26"/>
    <mergeCell ref="C27:G2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8:G28"/>
    <mergeCell ref="C29:G29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46:G46"/>
    <mergeCell ref="C47:G47"/>
    <mergeCell ref="C48:G48"/>
    <mergeCell ref="C42:G42"/>
    <mergeCell ref="C43:G43"/>
    <mergeCell ref="C44:G44"/>
    <mergeCell ref="C45:G45"/>
    <mergeCell ref="C52:G52"/>
    <mergeCell ref="C53:G53"/>
    <mergeCell ref="C49:G49"/>
    <mergeCell ref="C50:G50"/>
    <mergeCell ref="C51:G51"/>
    <mergeCell ref="C59:G59"/>
    <mergeCell ref="C60:G60"/>
    <mergeCell ref="C61:G61"/>
    <mergeCell ref="C62:G62"/>
    <mergeCell ref="C54:G54"/>
    <mergeCell ref="C55:G55"/>
    <mergeCell ref="C56:G56"/>
    <mergeCell ref="C57:G57"/>
    <mergeCell ref="C58:G58"/>
    <mergeCell ref="C67:G67"/>
    <mergeCell ref="C68:G68"/>
    <mergeCell ref="C63:G63"/>
    <mergeCell ref="C64:G64"/>
    <mergeCell ref="C65:G65"/>
    <mergeCell ref="C66:G66"/>
    <mergeCell ref="C72:G72"/>
    <mergeCell ref="C73:G73"/>
    <mergeCell ref="C74:G74"/>
    <mergeCell ref="C75:G75"/>
    <mergeCell ref="C76:G76"/>
    <mergeCell ref="C69:G69"/>
    <mergeCell ref="C70:G70"/>
    <mergeCell ref="C71:G71"/>
    <mergeCell ref="C81:G81"/>
    <mergeCell ref="C82:G82"/>
    <mergeCell ref="C83:G83"/>
    <mergeCell ref="C77:G77"/>
    <mergeCell ref="C78:G78"/>
    <mergeCell ref="C79:G79"/>
    <mergeCell ref="C80:G80"/>
    <mergeCell ref="C86:G86"/>
    <mergeCell ref="C87:G87"/>
    <mergeCell ref="C88:G88"/>
    <mergeCell ref="C84:G84"/>
    <mergeCell ref="C85:G85"/>
    <mergeCell ref="C90:G90"/>
    <mergeCell ref="C91:G91"/>
    <mergeCell ref="C92:G92"/>
    <mergeCell ref="C93:G93"/>
    <mergeCell ref="C105:G105"/>
    <mergeCell ref="C101:G101"/>
    <mergeCell ref="C102:G102"/>
    <mergeCell ref="C103:G103"/>
    <mergeCell ref="C94:G94"/>
    <mergeCell ref="C89:G89"/>
    <mergeCell ref="C98:G98"/>
    <mergeCell ref="C99:G99"/>
    <mergeCell ref="C100:G100"/>
    <mergeCell ref="C95:G95"/>
    <mergeCell ref="C96:G96"/>
    <mergeCell ref="C97:G97"/>
    <mergeCell ref="C104:G104"/>
  </mergeCells>
  <printOptions horizontalCentered="1"/>
  <pageMargins left="0.196527777777778" right="0.196527777777778" top="0.98402777777777795" bottom="0.98402777777777795" header="0.51180555555555496" footer="0.51180555555555496"/>
  <pageSetup paperSize="9" scale="81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DD52-4B30-490A-BE19-D4A11C94A488}">
  <dimension ref="A1:P106"/>
  <sheetViews>
    <sheetView workbookViewId="0">
      <selection activeCell="S22" sqref="S22"/>
    </sheetView>
  </sheetViews>
  <sheetFormatPr baseColWidth="10" defaultRowHeight="12.75"/>
  <cols>
    <col min="1" max="1" width="5.5703125" customWidth="1"/>
    <col min="2" max="2" width="4.7109375" customWidth="1"/>
    <col min="3" max="3" width="3.85546875" customWidth="1"/>
    <col min="4" max="4" width="4.5703125" customWidth="1"/>
    <col min="5" max="5" width="5.140625" customWidth="1"/>
    <col min="6" max="6" width="5.42578125" customWidth="1"/>
    <col min="7" max="7" width="6.28515625" customWidth="1"/>
    <col min="8" max="8" width="6.85546875" customWidth="1"/>
    <col min="9" max="9" width="3.5703125" customWidth="1"/>
    <col min="10" max="10" width="4.140625" customWidth="1"/>
    <col min="11" max="11" width="3.28515625" customWidth="1"/>
    <col min="12" max="12" width="4.7109375" customWidth="1"/>
    <col min="13" max="13" width="5.85546875" customWidth="1"/>
    <col min="14" max="14" width="4.42578125" customWidth="1"/>
    <col min="15" max="15" width="29.85546875" customWidth="1"/>
    <col min="16" max="16" width="15" customWidth="1"/>
  </cols>
  <sheetData>
    <row r="1" spans="1:16" ht="15.75" thickBot="1">
      <c r="A1" s="94" t="s">
        <v>0</v>
      </c>
      <c r="B1" s="94"/>
      <c r="C1" s="94"/>
      <c r="D1" s="95">
        <v>2022</v>
      </c>
      <c r="E1" s="95"/>
      <c r="F1" s="55"/>
      <c r="G1" s="55"/>
      <c r="H1" s="8"/>
      <c r="I1" s="8"/>
      <c r="J1" s="8"/>
      <c r="K1" s="8"/>
      <c r="L1" s="8"/>
      <c r="M1" s="8"/>
      <c r="N1" s="8"/>
      <c r="O1" s="96" t="s">
        <v>12</v>
      </c>
      <c r="P1" s="96"/>
    </row>
    <row r="2" spans="1:16" ht="13.5" thickBot="1">
      <c r="G2" s="7"/>
      <c r="H2" s="8"/>
      <c r="I2" s="8"/>
      <c r="J2" s="8"/>
      <c r="K2" s="8"/>
      <c r="L2" s="8"/>
      <c r="M2" s="8"/>
      <c r="N2" s="8"/>
      <c r="O2" s="96"/>
      <c r="P2" s="96"/>
    </row>
    <row r="3" spans="1:16" ht="13.5" thickBot="1">
      <c r="G3" s="7"/>
    </row>
    <row r="4" spans="1:16" ht="15" thickBot="1">
      <c r="A4" s="97" t="s">
        <v>13</v>
      </c>
      <c r="B4" s="97"/>
      <c r="C4" s="97"/>
      <c r="D4" s="97"/>
      <c r="E4" s="97"/>
      <c r="F4" s="97"/>
      <c r="G4" s="93" t="s">
        <v>41</v>
      </c>
      <c r="H4" s="93"/>
      <c r="I4" s="93"/>
      <c r="J4" s="93"/>
      <c r="K4" s="93"/>
      <c r="L4" s="93"/>
      <c r="M4" s="93"/>
      <c r="N4" s="93"/>
      <c r="O4" s="93"/>
      <c r="P4" s="93"/>
    </row>
    <row r="5" spans="1:16" ht="15" thickBot="1">
      <c r="A5" s="90" t="s">
        <v>35</v>
      </c>
      <c r="B5" s="91"/>
      <c r="C5" s="91"/>
      <c r="D5" s="91"/>
      <c r="E5" s="91"/>
      <c r="F5" s="92"/>
      <c r="G5" s="93" t="s">
        <v>42</v>
      </c>
      <c r="H5" s="93"/>
      <c r="I5" s="93"/>
      <c r="J5" s="93"/>
      <c r="K5" s="93"/>
      <c r="L5" s="93"/>
      <c r="M5" s="93"/>
      <c r="N5" s="93"/>
      <c r="O5" s="93"/>
      <c r="P5" s="93"/>
    </row>
    <row r="6" spans="1:16" ht="15" thickBot="1">
      <c r="A6" s="90" t="s">
        <v>14</v>
      </c>
      <c r="B6" s="91"/>
      <c r="C6" s="91"/>
      <c r="D6" s="91"/>
      <c r="E6" s="91"/>
      <c r="F6" s="92"/>
      <c r="G6" s="93" t="s">
        <v>242</v>
      </c>
      <c r="H6" s="93"/>
      <c r="I6" s="93"/>
      <c r="J6" s="93"/>
      <c r="K6" s="93"/>
      <c r="L6" s="93"/>
      <c r="M6" s="93"/>
      <c r="N6" s="93"/>
      <c r="O6" s="93"/>
      <c r="P6" s="93"/>
    </row>
    <row r="7" spans="1:16" ht="15" thickBot="1">
      <c r="A7" s="90" t="s">
        <v>36</v>
      </c>
      <c r="B7" s="91"/>
      <c r="C7" s="91"/>
      <c r="D7" s="91"/>
      <c r="E7" s="91"/>
      <c r="F7" s="92"/>
      <c r="G7" s="93" t="s">
        <v>243</v>
      </c>
      <c r="H7" s="93"/>
      <c r="I7" s="93"/>
      <c r="J7" s="93"/>
      <c r="K7" s="93"/>
      <c r="L7" s="93"/>
      <c r="M7" s="93"/>
      <c r="N7" s="93"/>
      <c r="O7" s="93"/>
      <c r="P7" s="93"/>
    </row>
    <row r="8" spans="1:16" ht="13.5" thickBot="1">
      <c r="A8" s="104" t="s">
        <v>15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</row>
    <row r="9" spans="1:16" ht="15">
      <c r="A9" s="105" t="s">
        <v>16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66"/>
      <c r="P9" s="67"/>
    </row>
    <row r="10" spans="1:16" ht="14.25" customHeight="1">
      <c r="A10" s="98" t="s">
        <v>252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00"/>
    </row>
    <row r="11" spans="1:16" ht="51.75" customHeight="1" thickBot="1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3"/>
    </row>
    <row r="12" spans="1:16" ht="13.5" thickBot="1">
      <c r="A12" s="106" t="s">
        <v>17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</row>
    <row r="13" spans="1:16" ht="13.5" thickBot="1">
      <c r="A13" s="107" t="s">
        <v>18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8" t="s">
        <v>249</v>
      </c>
      <c r="P13" s="109" t="s">
        <v>19</v>
      </c>
    </row>
    <row r="14" spans="1:16" ht="31.5" customHeight="1" thickBot="1">
      <c r="A14" s="9" t="s">
        <v>20</v>
      </c>
      <c r="B14" s="10" t="s">
        <v>21</v>
      </c>
      <c r="C14" s="10" t="s">
        <v>22</v>
      </c>
      <c r="D14" s="10" t="s">
        <v>23</v>
      </c>
      <c r="E14" s="10" t="s">
        <v>24</v>
      </c>
      <c r="F14" s="10" t="s">
        <v>25</v>
      </c>
      <c r="G14" s="11" t="s">
        <v>26</v>
      </c>
      <c r="H14" s="10" t="s">
        <v>27</v>
      </c>
      <c r="I14" s="10" t="s">
        <v>28</v>
      </c>
      <c r="J14" s="10" t="s">
        <v>29</v>
      </c>
      <c r="K14" s="10" t="s">
        <v>29</v>
      </c>
      <c r="L14" s="10" t="s">
        <v>30</v>
      </c>
      <c r="M14" s="12" t="s">
        <v>31</v>
      </c>
      <c r="N14" s="13" t="s">
        <v>32</v>
      </c>
      <c r="O14" s="108"/>
      <c r="P14" s="109"/>
    </row>
    <row r="15" spans="1:16" ht="20.25" customHeight="1" thickBot="1">
      <c r="A15" s="56">
        <v>42</v>
      </c>
      <c r="B15" s="57"/>
      <c r="C15" s="57"/>
      <c r="D15" s="42">
        <v>2</v>
      </c>
      <c r="E15" s="57"/>
      <c r="F15" s="57">
        <v>4901</v>
      </c>
      <c r="G15" s="57">
        <v>3</v>
      </c>
      <c r="H15" s="57">
        <v>1</v>
      </c>
      <c r="I15" s="57">
        <v>2</v>
      </c>
      <c r="J15" s="57">
        <v>2</v>
      </c>
      <c r="K15" s="57">
        <v>2</v>
      </c>
      <c r="L15" s="57"/>
      <c r="M15" s="58">
        <v>1</v>
      </c>
      <c r="N15" s="57" t="s">
        <v>38</v>
      </c>
      <c r="O15" s="63" t="s">
        <v>246</v>
      </c>
      <c r="P15" s="14">
        <v>20300</v>
      </c>
    </row>
    <row r="16" spans="1:16" ht="18.75" customHeight="1">
      <c r="A16" s="59">
        <v>42</v>
      </c>
      <c r="B16" s="60"/>
      <c r="C16" s="60"/>
      <c r="D16" s="57">
        <v>2</v>
      </c>
      <c r="E16" s="60"/>
      <c r="F16" s="60">
        <v>4901</v>
      </c>
      <c r="G16" s="60">
        <v>3</v>
      </c>
      <c r="H16" s="60">
        <v>1</v>
      </c>
      <c r="I16" s="60">
        <v>2</v>
      </c>
      <c r="J16" s="60">
        <v>2</v>
      </c>
      <c r="K16" s="60">
        <v>3</v>
      </c>
      <c r="L16" s="60"/>
      <c r="M16" s="61">
        <v>1</v>
      </c>
      <c r="N16" s="62" t="s">
        <v>38</v>
      </c>
      <c r="O16" s="64" t="s">
        <v>247</v>
      </c>
      <c r="P16" s="15">
        <v>13400</v>
      </c>
    </row>
    <row r="17" spans="1:16" ht="27" customHeight="1">
      <c r="A17" s="59">
        <v>42</v>
      </c>
      <c r="B17" s="60"/>
      <c r="C17" s="60"/>
      <c r="D17" s="60">
        <v>2</v>
      </c>
      <c r="E17" s="60"/>
      <c r="F17" s="18">
        <v>4901</v>
      </c>
      <c r="G17" s="60">
        <v>3</v>
      </c>
      <c r="H17" s="60">
        <v>1</v>
      </c>
      <c r="I17" s="60">
        <v>2</v>
      </c>
      <c r="J17" s="60">
        <v>9</v>
      </c>
      <c r="K17" s="60">
        <v>5</v>
      </c>
      <c r="L17" s="60"/>
      <c r="M17" s="61">
        <v>1</v>
      </c>
      <c r="N17" s="62" t="s">
        <v>38</v>
      </c>
      <c r="O17" s="65" t="s">
        <v>248</v>
      </c>
      <c r="P17" s="15">
        <v>5893326.1799999997</v>
      </c>
    </row>
    <row r="18" spans="1:16">
      <c r="A18" s="59">
        <v>42</v>
      </c>
      <c r="B18" s="60"/>
      <c r="C18" s="60"/>
      <c r="D18" s="60">
        <v>2</v>
      </c>
      <c r="E18" s="60"/>
      <c r="F18" s="60">
        <v>4901</v>
      </c>
      <c r="G18" s="60">
        <v>3</v>
      </c>
      <c r="H18" s="60">
        <v>1</v>
      </c>
      <c r="I18" s="60">
        <v>2</v>
      </c>
      <c r="J18" s="60">
        <v>9</v>
      </c>
      <c r="K18" s="60">
        <v>9</v>
      </c>
      <c r="L18" s="60"/>
      <c r="M18" s="61">
        <v>1</v>
      </c>
      <c r="N18" s="62" t="s">
        <v>38</v>
      </c>
      <c r="O18" s="35" t="s">
        <v>250</v>
      </c>
      <c r="P18" s="15">
        <v>405850</v>
      </c>
    </row>
    <row r="19" spans="1:16">
      <c r="A19" s="59"/>
      <c r="B19" s="60"/>
      <c r="C19" s="60"/>
      <c r="D19" s="60"/>
      <c r="E19" s="60"/>
      <c r="F19" s="18"/>
      <c r="G19" s="60"/>
      <c r="H19" s="60"/>
      <c r="I19" s="60"/>
      <c r="J19" s="60"/>
      <c r="K19" s="60"/>
      <c r="L19" s="60"/>
      <c r="M19" s="61"/>
      <c r="N19" s="18"/>
      <c r="O19" s="35"/>
      <c r="P19" s="15"/>
    </row>
    <row r="20" spans="1:16">
      <c r="A20" s="59"/>
      <c r="B20" s="60"/>
      <c r="C20" s="60"/>
      <c r="D20" s="60"/>
      <c r="E20" s="60"/>
      <c r="F20" s="18"/>
      <c r="G20" s="60"/>
      <c r="H20" s="60"/>
      <c r="I20" s="60"/>
      <c r="J20" s="60"/>
      <c r="K20" s="60"/>
      <c r="L20" s="60"/>
      <c r="M20" s="61"/>
      <c r="N20" s="18"/>
      <c r="O20" s="35"/>
      <c r="P20" s="15"/>
    </row>
    <row r="21" spans="1:16" ht="14.25">
      <c r="A21" s="16"/>
      <c r="B21" s="17"/>
      <c r="C21" s="17"/>
      <c r="D21" s="17"/>
      <c r="E21" s="17"/>
      <c r="F21" s="18"/>
      <c r="G21" s="17"/>
      <c r="H21" s="17"/>
      <c r="I21" s="17"/>
      <c r="J21" s="17"/>
      <c r="K21" s="17"/>
      <c r="L21" s="17"/>
      <c r="M21" s="19"/>
      <c r="N21" s="20"/>
      <c r="O21" s="35"/>
      <c r="P21" s="15"/>
    </row>
    <row r="22" spans="1:16" ht="13.5" thickBot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2"/>
      <c r="O22" s="36"/>
      <c r="P22" s="24"/>
    </row>
    <row r="23" spans="1:16" ht="21" customHeight="1" thickBot="1">
      <c r="A23" s="111" t="s">
        <v>245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25">
        <f>SUM(P15:P22)</f>
        <v>6332876.1799999997</v>
      </c>
    </row>
    <row r="24" spans="1:16" ht="13.5" thickBo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</row>
    <row r="25" spans="1:16" ht="15.75" thickBot="1">
      <c r="A25" s="113" t="s">
        <v>33</v>
      </c>
      <c r="B25" s="114"/>
      <c r="C25" s="114"/>
      <c r="D25" s="114"/>
      <c r="E25" s="114"/>
      <c r="F25" s="115"/>
      <c r="G25" s="116"/>
      <c r="H25" s="116"/>
      <c r="I25" s="116"/>
      <c r="J25" s="116"/>
      <c r="K25" s="116"/>
      <c r="L25" s="116"/>
      <c r="M25" s="116"/>
      <c r="N25" s="116"/>
      <c r="O25" s="116"/>
      <c r="P25" s="116"/>
    </row>
    <row r="26" spans="1:16" ht="13.5" thickBot="1">
      <c r="A26" s="110" t="s">
        <v>253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</row>
    <row r="27" spans="1:16" ht="13.5" thickBot="1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</row>
    <row r="106" spans="10:12">
      <c r="J106">
        <v>6332876.1799999997</v>
      </c>
      <c r="L106">
        <f>SUM(L11:L105)</f>
        <v>0</v>
      </c>
    </row>
  </sheetData>
  <mergeCells count="23">
    <mergeCell ref="A12:P12"/>
    <mergeCell ref="A13:N13"/>
    <mergeCell ref="O13:O14"/>
    <mergeCell ref="P13:P14"/>
    <mergeCell ref="A26:P27"/>
    <mergeCell ref="A23:O23"/>
    <mergeCell ref="A24:P24"/>
    <mergeCell ref="A25:F25"/>
    <mergeCell ref="G25:P25"/>
    <mergeCell ref="A10:P11"/>
    <mergeCell ref="A6:F6"/>
    <mergeCell ref="G6:P6"/>
    <mergeCell ref="A7:F7"/>
    <mergeCell ref="G7:P7"/>
    <mergeCell ref="A8:P8"/>
    <mergeCell ref="A9:N9"/>
    <mergeCell ref="A5:F5"/>
    <mergeCell ref="G5:P5"/>
    <mergeCell ref="A1:C1"/>
    <mergeCell ref="D1:E1"/>
    <mergeCell ref="O1:P2"/>
    <mergeCell ref="A4:F4"/>
    <mergeCell ref="G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NotaPedido</vt:lpstr>
      <vt:lpstr>APG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2022-04-21T12:50:48Z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