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bookViews>
    <workbookView xWindow="0" yWindow="0" windowWidth="28800" windowHeight="13095" tabRatio="500" activeTab="2"/>
  </bookViews>
  <sheets>
    <sheet name="Necesidades Trimestrales" sheetId="1" r:id="rId1"/>
    <sheet name=" NotaPedido" sheetId="2" r:id="rId2"/>
    <sheet name="APG" sheetId="3" r:id="rId3"/>
  </sheets>
  <definedNames>
    <definedName name="_xlnm.Print_Area" localSheetId="1">' NotaPedido'!$A$1:$K$46</definedName>
    <definedName name="_xlnm.Print_Area" localSheetId="2">APG!$A$1:$Q$24</definedName>
  </definedNames>
  <calcPr calcId="162913"/>
</workbook>
</file>

<file path=xl/calcChain.xml><?xml version="1.0" encoding="utf-8"?>
<calcChain xmlns="http://schemas.openxmlformats.org/spreadsheetml/2006/main">
  <c r="A23" i="3" l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G45" i="2"/>
  <c r="F45" i="2"/>
  <c r="E45" i="2"/>
  <c r="C45" i="2"/>
  <c r="B45" i="2"/>
  <c r="G44" i="2"/>
  <c r="F44" i="2"/>
  <c r="E44" i="2"/>
  <c r="C44" i="2"/>
  <c r="B44" i="2"/>
  <c r="G43" i="2"/>
  <c r="F43" i="2"/>
  <c r="E43" i="2"/>
  <c r="C43" i="2"/>
  <c r="B43" i="2"/>
  <c r="G42" i="2"/>
  <c r="F42" i="2"/>
  <c r="E42" i="2"/>
  <c r="C42" i="2"/>
  <c r="B42" i="2"/>
  <c r="G41" i="2"/>
  <c r="F41" i="2"/>
  <c r="E41" i="2"/>
  <c r="C41" i="2"/>
  <c r="B41" i="2"/>
  <c r="G40" i="2"/>
  <c r="F40" i="2"/>
  <c r="E40" i="2"/>
  <c r="C40" i="2"/>
  <c r="B40" i="2"/>
  <c r="G39" i="2"/>
  <c r="F39" i="2"/>
  <c r="E39" i="2"/>
  <c r="C39" i="2"/>
  <c r="B39" i="2"/>
  <c r="G38" i="2"/>
  <c r="F38" i="2"/>
  <c r="E38" i="2"/>
  <c r="C38" i="2"/>
  <c r="B38" i="2"/>
  <c r="G37" i="2"/>
  <c r="F37" i="2"/>
  <c r="E37" i="2"/>
  <c r="C37" i="2"/>
  <c r="B37" i="2"/>
  <c r="G36" i="2"/>
  <c r="F36" i="2"/>
  <c r="E36" i="2"/>
  <c r="C36" i="2"/>
  <c r="B36" i="2"/>
  <c r="G35" i="2"/>
  <c r="F35" i="2"/>
  <c r="E35" i="2"/>
  <c r="C35" i="2"/>
  <c r="B35" i="2"/>
  <c r="G34" i="2"/>
  <c r="F34" i="2"/>
  <c r="E34" i="2"/>
  <c r="C34" i="2"/>
  <c r="B34" i="2"/>
  <c r="G33" i="2"/>
  <c r="F33" i="2"/>
  <c r="E33" i="2"/>
  <c r="C33" i="2"/>
  <c r="B33" i="2"/>
  <c r="G32" i="2"/>
  <c r="F32" i="2"/>
  <c r="E32" i="2"/>
  <c r="C32" i="2"/>
  <c r="B32" i="2"/>
  <c r="G31" i="2"/>
  <c r="F31" i="2"/>
  <c r="E31" i="2"/>
  <c r="C31" i="2"/>
  <c r="B31" i="2"/>
  <c r="G30" i="2"/>
  <c r="F30" i="2"/>
  <c r="E30" i="2"/>
  <c r="C30" i="2"/>
  <c r="B30" i="2"/>
  <c r="G29" i="2"/>
  <c r="F29" i="2"/>
  <c r="E29" i="2"/>
  <c r="C29" i="2"/>
  <c r="B29" i="2"/>
  <c r="G28" i="2"/>
  <c r="F28" i="2"/>
  <c r="E28" i="2"/>
  <c r="C28" i="2"/>
  <c r="B28" i="2"/>
  <c r="G27" i="2"/>
  <c r="F27" i="2"/>
  <c r="E27" i="2"/>
  <c r="C27" i="2"/>
  <c r="B27" i="2"/>
  <c r="G26" i="2"/>
  <c r="F26" i="2"/>
  <c r="E26" i="2"/>
  <c r="C26" i="2"/>
  <c r="B26" i="2"/>
  <c r="G25" i="2"/>
  <c r="F25" i="2"/>
  <c r="E25" i="2"/>
  <c r="C25" i="2"/>
  <c r="B25" i="2"/>
  <c r="G24" i="2"/>
  <c r="F24" i="2"/>
  <c r="E24" i="2"/>
  <c r="C24" i="2"/>
  <c r="B24" i="2"/>
  <c r="G23" i="2"/>
  <c r="F23" i="2"/>
  <c r="E23" i="2"/>
  <c r="C23" i="2"/>
  <c r="B23" i="2"/>
  <c r="G22" i="2"/>
  <c r="F22" i="2"/>
  <c r="E22" i="2"/>
  <c r="C22" i="2"/>
  <c r="B22" i="2"/>
  <c r="G21" i="2"/>
  <c r="F21" i="2"/>
  <c r="E21" i="2"/>
  <c r="C21" i="2"/>
  <c r="B21" i="2"/>
  <c r="G20" i="2"/>
  <c r="F20" i="2"/>
  <c r="E20" i="2"/>
  <c r="C20" i="2"/>
  <c r="B20" i="2"/>
  <c r="G19" i="2"/>
  <c r="F19" i="2"/>
  <c r="E19" i="2"/>
  <c r="C19" i="2"/>
  <c r="B19" i="2"/>
  <c r="G18" i="2"/>
  <c r="F18" i="2"/>
  <c r="E18" i="2"/>
  <c r="C18" i="2"/>
  <c r="B18" i="2"/>
  <c r="G17" i="2"/>
  <c r="F17" i="2"/>
  <c r="E17" i="2"/>
  <c r="C17" i="2"/>
  <c r="B17" i="2"/>
  <c r="G16" i="2"/>
  <c r="F16" i="2"/>
  <c r="E16" i="2"/>
  <c r="C16" i="2"/>
  <c r="B16" i="2"/>
  <c r="G15" i="2"/>
  <c r="F15" i="2"/>
  <c r="E15" i="2"/>
  <c r="C15" i="2"/>
  <c r="B15" i="2"/>
  <c r="G14" i="2"/>
  <c r="F14" i="2"/>
  <c r="E14" i="2"/>
  <c r="C14" i="2"/>
  <c r="B14" i="2"/>
  <c r="G13" i="2"/>
  <c r="F13" i="2"/>
  <c r="E13" i="2"/>
  <c r="C13" i="2"/>
  <c r="B13" i="2"/>
  <c r="A10" i="3"/>
  <c r="F46" i="2" l="1"/>
  <c r="Q15" i="3" s="1"/>
  <c r="G6" i="3"/>
  <c r="G7" i="3"/>
  <c r="C4" i="2"/>
  <c r="G4" i="3" s="1"/>
  <c r="C5" i="2"/>
  <c r="G5" i="3" s="1"/>
  <c r="D1" i="3" l="1"/>
  <c r="Q20" i="3" l="1"/>
</calcChain>
</file>

<file path=xl/sharedStrings.xml><?xml version="1.0" encoding="utf-8"?>
<sst xmlns="http://schemas.openxmlformats.org/spreadsheetml/2006/main" count="280" uniqueCount="150">
  <si>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</si>
  <si>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</si>
  <si>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</si>
  <si>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</si>
  <si>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</si>
  <si>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</si>
  <si>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</si>
  <si>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</si>
  <si>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</si>
  <si>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</si>
  <si>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</si>
  <si>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</si>
  <si>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</si>
  <si>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</si>
  <si>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</si>
  <si>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</si>
  <si>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</si>
  <si>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</si>
  <si>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</si>
  <si>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</si>
  <si>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</si>
  <si>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</si>
  <si>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</si>
  <si>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</si>
  <si>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</si>
  <si>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</si>
  <si>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</si>
  <si>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</si>
  <si>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</si>
  <si>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</si>
  <si>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</si>
  <si>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</si>
  <si>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</si>
  <si>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</si>
  <si>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</si>
  <si>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</si>
  <si>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</si>
  <si>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</si>
  <si>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</si>
  <si>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</si>
  <si>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</si>
  <si>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</si>
  <si>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</si>
  <si>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</si>
  <si>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</si>
  <si>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</si>
  <si>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</si>
  <si>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</si>
  <si>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</si>
  <si>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</si>
  <si>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</si>
  <si>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</si>
  <si>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OBSERVACIONES:</t>
  </si>
  <si>
    <t>Plazos y lugares de entrega:</t>
  </si>
  <si>
    <t>Calidad Minima esperada:</t>
  </si>
  <si>
    <t>Mantenimiento:</t>
  </si>
  <si>
    <t>2.1.1-541.122</t>
  </si>
  <si>
    <t>2.1.1-541.45</t>
  </si>
  <si>
    <t>2.1.1-541.49</t>
  </si>
  <si>
    <t>2.1.1-541.34</t>
  </si>
  <si>
    <t>2.1.1-541.70</t>
  </si>
  <si>
    <t>2.1.1-621.13</t>
  </si>
  <si>
    <t>2.1.1-2116.2</t>
  </si>
  <si>
    <t>2.1.1-969.82</t>
  </si>
  <si>
    <t>2.1.1-542.236</t>
  </si>
  <si>
    <t>2.1.1-542.197</t>
  </si>
  <si>
    <t>2.1.1-6539.30</t>
  </si>
  <si>
    <t>2.1.1-6539.20</t>
  </si>
  <si>
    <t>2.1.1-6539.6</t>
  </si>
  <si>
    <t>2.1.1-6546.390</t>
  </si>
  <si>
    <t>2.1.1-669.27</t>
  </si>
  <si>
    <t>2.1.1-483.37</t>
  </si>
  <si>
    <t>2.1.1-6546.34</t>
  </si>
  <si>
    <t>2.1.1-6546.154</t>
  </si>
  <si>
    <t>2.1.1-6546.39</t>
  </si>
  <si>
    <t>2.1.1-6546.374</t>
  </si>
  <si>
    <t>2.1.1-6546.95</t>
  </si>
  <si>
    <t>2.1.1-6546.234</t>
  </si>
  <si>
    <t>2.1.1-6546.167</t>
  </si>
  <si>
    <t>2.1.1-6546.231</t>
  </si>
  <si>
    <t>2.1.1-6546.377</t>
  </si>
  <si>
    <t>2.1.1-6546.151</t>
  </si>
  <si>
    <t>2.1.1-6546.162</t>
  </si>
  <si>
    <t>2.1.1-6539.84</t>
  </si>
  <si>
    <t>2.1.1-969.56</t>
  </si>
  <si>
    <t>2.1.1-515.5</t>
  </si>
  <si>
    <t>2.1.1-438.52</t>
  </si>
  <si>
    <t>2.1.1-456.22</t>
  </si>
  <si>
    <t>2.1.1-707.38</t>
  </si>
  <si>
    <t>NO</t>
  </si>
  <si>
    <t>ALIMENTOS</t>
  </si>
  <si>
    <t>2.1.1.</t>
  </si>
  <si>
    <t>CARNES; CORTE: CHORIZO CONGELADO, TIPO: VACUNA, ESPECIE: VACUNA</t>
  </si>
  <si>
    <t>CARNES; CORTE: HIGADO, ESPECIE: VACUNA, TIPO: VACUNA</t>
  </si>
  <si>
    <t>CARNES; ESPECIE: VACUNA, CORTE: NALGA, TIPO: VACUNA</t>
  </si>
  <si>
    <t>CARNES; CORTE: OSOBUCO, TIPO: VACUNA, ESPECIE: VACUNA</t>
  </si>
  <si>
    <t>CARNES; CORTE: CARRE CON LOMO, TIPO: PORCINA, ESPECIE: PORCINA</t>
  </si>
  <si>
    <t>AVES; ESPECIE: POLLO, PRESENTACION: CAJON X 8 UN, EVISCERADO: SIN VALOR, TIPO: POLLO</t>
  </si>
  <si>
    <t>LEVADURAS; TIPO: DE CERVEZA, PRESENTACION: PAQUETE, PESO: 1 Kg</t>
  </si>
  <si>
    <t>FIAMBRES; TIPO: JAMON COCIDO, PRESENTACION: AL PESO</t>
  </si>
  <si>
    <t>QUESOS; TIPO: CREMOSO, PRESENTACION: AL PESO, ELEM. TRANSPORTE: SIN, MATERIAL ELEM. TRANSPORTE: SIN, MATERIAL ENVASE: SIN, CERTIFICADO FORESTAL (GFS): SIN, LIBRE DE GLUTEN: A DEFINIR</t>
  </si>
  <si>
    <t>QUESOS; TIPO: TYBO, PRESENTACION: HORMA, ELEM. TRANSPORTE: SIN, MATERIAL ELEM. TRANSPORTE: SIN, MATERIAL ENVASE: PLASTICO, CERTIFICADO FORESTAL (GFS): SIN, LIBRE DE GLUTEN: NO</t>
  </si>
  <si>
    <t>FRUTAS; VARIEDAD: BANANA, PRESENTACION: CAJON, ESTADO: NATURAL, PESO: SIN VALOR</t>
  </si>
  <si>
    <t>FRUTAS; ESTADO: NATURAL, VARIEDAD: MANZANA RED DELICIOSA, PRESENTACION: CAJON, PESO: SIN VALOR</t>
  </si>
  <si>
    <t>FRUTAS; ESTADO: NATURAL, VARIEDAD: NARANJA ESPECIAL, PRESENTACION: A GRANEL, PESO: SIN VALOR</t>
  </si>
  <si>
    <t>VERDURAS Y HORTALIZAS; VARIEDAD: TOMATE REDONDO, ESTADO: NATURAL, PRESENTACION: CAJON, PESO: 17 A 22 Kg, ELEM. TRANSPORTE: SIN, MATERIAL ELEM. TRANSPORTE: SIN, LIBRE DE GLUTEN: SI, ORGANICO: NO</t>
  </si>
  <si>
    <t>PANES; TIPO: MIÑON, PRESENTACION: GRANEL</t>
  </si>
  <si>
    <t>HUEVO DE GALLINA; TAMAÑO: GRANDE, COLOR: COLOR, PRESENTACION: 30 UN</t>
  </si>
  <si>
    <t>VERDURAS Y HORTALIZAS; VARIEDAD: ACELGA, ESTADO: EN HOJA, PRESENTACION: ATADO, PESO: SIN VALOR</t>
  </si>
  <si>
    <t>VERDURAS Y HORTALIZAS; ESTADO: NATURAL, PESO: SIN VALOR, VARIEDAD: AJO, PRESENTACION: UNIDAD</t>
  </si>
  <si>
    <t>VERDURAS Y HORTALIZAS; VARIEDAD: CEBOLLA, ESTADO: NATURAL, PRESENTACION: BOLSA, PESO: 25 Kg</t>
  </si>
  <si>
    <t>VERDURAS Y HORTALIZAS; VARIEDAD: LECHUGA ARREPOLLADA, ESTADO: NATURAL, PRESENTACION: A GRANEL, PESO: 300 GR CADA PLANTA, ELEM. TRANSPORTE: SIN, MATERIAL ELEM. TRANSPORTE: SIN, LIBRE DE GLUTEN: SI</t>
  </si>
  <si>
    <t>VERDURAS Y HORTALIZAS; VARIEDAD: MORRON VERDE, ESTADO: NATURAL, PRESENTACION: GRANEL, PESO: SIN VALOR</t>
  </si>
  <si>
    <t>VERDURAS Y HORTALIZAS; VARIEDAD: PAPA, ESTADO: NATURAL, PRESENTACION: BOLSA, PESO: 50 Kg</t>
  </si>
  <si>
    <t>VERDURAS Y HORTALIZAS; VARIEDAD: ZANAHORIA, PRESENTACION: BOLSA, ESTADO: NATURAL, PESO: 20 Kg</t>
  </si>
  <si>
    <t>VERDURAS Y HORTALIZAS; VARIEDAD: ZAPALLO ANCO, ESTADO: NATURAL, PRESENTACION: BOLSA, PESO: 20 Kg</t>
  </si>
  <si>
    <t>VERDURAS Y HORTALIZAS; VARIEDAD: CEBOLLA DE VERDEO, ESTADO: NATURAL, PRESENTACION: CAJON, PESO: 10 Kg, ELEM. TRANSPORTE: CAJON, MATERIAL ELEM. TRANSPORTE: CARTON, LIBRE DE GLUTEN: NO</t>
  </si>
  <si>
    <t>VERDURAS Y HORTALIZAS; VARIEDAD: ZAPALLITO REDONDO, ESTADO: NATURAL, PRESENTACION: CAJON, PESO: SIN VALOR</t>
  </si>
  <si>
    <t>VERDURAS Y HORTALIZAS; VARIEDAD: ZAPALLO CRIOLLO, ESTADO: NATURAL, PRESENTACION: UNIDAD, PESO: SIN VALOR</t>
  </si>
  <si>
    <t>FRUTAS; VARIEDAD: LIMON, ESTADO: NATURAL, PRESENTACION: CAJON X 1 Kg, PESO: 1 Kg</t>
  </si>
  <si>
    <t>FIAMBRES; PRESENTACION: AL PESO, TIPO: PALETA</t>
  </si>
  <si>
    <t>MANTECAS; SAL: SIN, TIPO: SIN VALOR, CONSISTENCIA: UNTABLE, PESO: 200 GR</t>
  </si>
  <si>
    <t>ADEREZOS; TIPO: MAYONESA, ENVASE: FRASCO, PRESENTACION: ENVASE X 500 GR</t>
  </si>
  <si>
    <t>YOGHURT; CAPACIDAD: 1 L, SABOR: FRUTILLA, TIPO: ENTERO, ENVASE: SACHET, AGREGADO: SIN VALOR, CONSISTENCIA: BEBIBLE, PRESENTACION: SACHET X 1 L</t>
  </si>
  <si>
    <t>PASTAS FRESCAS; VARIEDAD: RAVIOL, RELLENO: VERDURA Y POLLO, PRESENTACION: ENVASE X 500 GR</t>
  </si>
  <si>
    <t>KG</t>
  </si>
  <si>
    <t>CAJON</t>
  </si>
  <si>
    <t>UNIDAD</t>
  </si>
  <si>
    <t>12 -Ministerio de Gobierno, Justicia y Derechos Humanos.</t>
  </si>
  <si>
    <t>06 - Secretaria de Gestion Administrativa del Ministerio de Gobierno, Justicia y Derechos Humanos</t>
  </si>
  <si>
    <t>Atención Integral de Víctimas de violencia de Género (HOGAR WARMI).</t>
  </si>
  <si>
    <t>Ministerio de Gobierno, Justicia y Derechos Humanos.</t>
  </si>
  <si>
    <t>ADQ. DE ALIMENTOS PERECEDEROS PARA EL HOGAR DE PROTECCION INTEGRAL DE VICTIMAS DE VIOLENCIA DE GENERO  (HOGAR WARMI).</t>
  </si>
  <si>
    <t>23/2022</t>
  </si>
  <si>
    <t>30 (treinta)  días habiles</t>
  </si>
  <si>
    <t>Forma de Pago:</t>
  </si>
  <si>
    <t>Que cumpla con lo solicitado y condiciones de calidad adjuntas, productos de muy buena calidad.-</t>
  </si>
  <si>
    <t>Costo total estimado: Pesos Seiscientos noventa y un mil, Trescientos diez con 00/100.-</t>
  </si>
  <si>
    <t>Alimentos para personas</t>
  </si>
  <si>
    <t>TOTAL DE PESOS: Seiscientos noventa y un mil, Trescientos diez con 00/100.-</t>
  </si>
  <si>
    <t>Especificidades de los Items:</t>
  </si>
  <si>
    <r>
      <rPr>
        <u/>
        <sz val="11"/>
        <rFont val="Calibri"/>
        <family val="2"/>
        <scheme val="minor"/>
      </rPr>
      <t>ÍTEM N° 6:</t>
    </r>
    <r>
      <rPr>
        <sz val="11"/>
        <rFont val="Calibri"/>
        <family val="2"/>
        <scheme val="minor"/>
      </rPr>
      <t xml:space="preserve"> CAJON DE 22 Kg.</t>
    </r>
  </si>
  <si>
    <r>
      <rPr>
        <u/>
        <sz val="11"/>
        <rFont val="Calibri"/>
        <family val="2"/>
        <scheme val="minor"/>
      </rPr>
      <t xml:space="preserve">ITEM N° 17: </t>
    </r>
    <r>
      <rPr>
        <sz val="11"/>
        <rFont val="Calibri"/>
        <family val="2"/>
        <scheme val="minor"/>
      </rPr>
      <t>ATADO DE 400 Gr.</t>
    </r>
  </si>
  <si>
    <r>
      <rPr>
        <u/>
        <sz val="11"/>
        <rFont val="Calibri"/>
        <family val="2"/>
        <scheme val="minor"/>
      </rPr>
      <t>ÍTEM N° 18:</t>
    </r>
    <r>
      <rPr>
        <sz val="11"/>
        <rFont val="Calibri"/>
        <family val="2"/>
        <scheme val="minor"/>
      </rPr>
      <t xml:space="preserve"> TAMAÑO GRANDE.</t>
    </r>
  </si>
  <si>
    <t>2do. TRIMESTRE</t>
  </si>
  <si>
    <t>2022 - 2do Trimestre</t>
  </si>
  <si>
    <t>CARTON</t>
  </si>
  <si>
    <r>
      <rPr>
        <u/>
        <sz val="11"/>
        <rFont val="Calibri"/>
        <family val="2"/>
        <scheme val="minor"/>
      </rPr>
      <t>ITEM N° 16:</t>
    </r>
    <r>
      <rPr>
        <sz val="11"/>
        <rFont val="Calibri"/>
        <family val="2"/>
        <scheme val="minor"/>
      </rPr>
      <t xml:space="preserve"> 30 UNIDADES = 1 CARTON.</t>
    </r>
  </si>
  <si>
    <r>
      <rPr>
        <b/>
        <sz val="11"/>
        <rFont val="Calibri"/>
        <family val="2"/>
        <scheme val="minor"/>
      </rPr>
      <t>a)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LUGAR DE ENTREGA:</t>
    </r>
    <r>
      <rPr>
        <sz val="11"/>
        <rFont val="Calibri"/>
        <family val="2"/>
        <scheme val="minor"/>
      </rPr>
      <t xml:space="preserve">  Hogar de Protección Integral de Victimas de Violencia de Género "WARMI"- Pasaje Dr Gallo S/N frente a la Guardia de Maternidad Provincial - Capital - De 08 a 12 horas.</t>
    </r>
    <r>
      <rPr>
        <b/>
        <sz val="11"/>
        <rFont val="Calibri"/>
        <family val="2"/>
        <scheme val="minor"/>
      </rPr>
      <t xml:space="preserve">
b</t>
    </r>
    <r>
      <rPr>
        <sz val="11"/>
        <rFont val="Calibri"/>
        <family val="2"/>
        <scheme val="minor"/>
      </rPr>
      <t xml:space="preserve">)FORMA DE ENTREGA: Las entregas se realizarán a requerimiento de acuerdo, a las Solicitudes de Provisión que se realicen, libre de flete, acarreo y embalaje, como así también, de todo riesgo de pérdida o destrucción total o parcial, por causas ajenas a la Institución. Se estima emitir una cantidad aproximada de 3 (Tres) Solicitudes de Provisión de 1/3 aprox. de la cantidad solicitada, en un plazo de 3 (Tres) meses: 1° Solic.de Provisión: aprox.a los 3 (Tres) dias hábiles de la firma del instrumento contractual. 2° Solic.de Provisión: al mes de la firma del instrumento contractual. Y 3° Solic.de Provisión: a los 2 (Dos) meses de la firma del instrumento contractual. Plazo de cumplimiento de cada Solicitud de Provisión: a los 2 días hábiles de notificada la misma, según necesidades del Organismo solicitante.
</t>
    </r>
  </si>
  <si>
    <t>Se solicita Pagos parciales por cada Solicitud de Provision emitida, una vez finalizada la entrega de las cantidades 
contenidas en la misma.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</si>
</sst>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3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Times New Roman"/>
      <family val="1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rgb="FF000000"/>
      <name val="Calibri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u/>
      <sz val="11"/>
      <name val="Calibri"/>
      <family val="2"/>
      <scheme val="minor"/>
    </font>
    <font>
      <b/>
      <u/>
      <sz val="14"/>
      <name val="Times New Roman"/>
      <family val="1"/>
      <charset val="1"/>
    </font>
    <font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9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/>
      <diagonal/>
    </border>
    <border>
      <left style="medium">
        <color indexed="64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medium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rgb="FF3D3D3D"/>
      </right>
      <top style="medium">
        <color indexed="64"/>
      </top>
      <bottom/>
      <diagonal/>
    </border>
  </borders>
  <cellStyleXfs count="5">
    <xf numFmtId="0" fontId="0" fillId="0" borderId="0"/>
    <xf numFmtId="165" fontId="12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21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7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11" fillId="0" borderId="26" xfId="0" applyFont="1" applyBorder="1" applyAlignment="1">
      <alignment horizontal="center" vertical="center"/>
    </xf>
    <xf numFmtId="0" fontId="13" fillId="0" borderId="0" xfId="0" applyFont="1"/>
    <xf numFmtId="0" fontId="13" fillId="0" borderId="0" xfId="0" applyFont="1" applyFill="1" applyBorder="1"/>
    <xf numFmtId="0" fontId="13" fillId="0" borderId="0" xfId="0" applyFont="1" applyFill="1"/>
    <xf numFmtId="166" fontId="0" fillId="0" borderId="0" xfId="0" applyNumberFormat="1"/>
    <xf numFmtId="0" fontId="11" fillId="0" borderId="19" xfId="0" applyFont="1" applyBorder="1" applyAlignment="1">
      <alignment horizontal="center" vertical="center"/>
    </xf>
    <xf numFmtId="0" fontId="0" fillId="3" borderId="21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left"/>
    </xf>
    <xf numFmtId="0" fontId="0" fillId="3" borderId="22" xfId="0" applyFill="1" applyBorder="1"/>
    <xf numFmtId="0" fontId="0" fillId="3" borderId="0" xfId="0" applyFill="1" applyBorder="1"/>
    <xf numFmtId="0" fontId="0" fillId="3" borderId="10" xfId="0" applyFill="1" applyBorder="1"/>
    <xf numFmtId="0" fontId="17" fillId="0" borderId="27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0" fontId="17" fillId="0" borderId="29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32" xfId="0" applyFont="1" applyFill="1" applyBorder="1" applyAlignment="1">
      <alignment horizontal="center" vertical="center"/>
    </xf>
    <xf numFmtId="0" fontId="17" fillId="0" borderId="45" xfId="0" applyFont="1" applyFill="1" applyBorder="1" applyAlignment="1">
      <alignment horizontal="center" vertical="center"/>
    </xf>
    <xf numFmtId="166" fontId="17" fillId="0" borderId="47" xfId="3" applyNumberFormat="1" applyFont="1" applyBorder="1" applyAlignment="1" applyProtection="1">
      <alignment horizontal="center" vertical="center"/>
    </xf>
    <xf numFmtId="0" fontId="17" fillId="0" borderId="33" xfId="0" applyFont="1" applyFill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166" fontId="17" fillId="0" borderId="48" xfId="3" applyNumberFormat="1" applyFont="1" applyBorder="1" applyAlignment="1" applyProtection="1">
      <alignment horizontal="center" vertical="center"/>
    </xf>
    <xf numFmtId="166" fontId="15" fillId="3" borderId="46" xfId="3" applyNumberFormat="1" applyFont="1" applyFill="1" applyBorder="1" applyAlignment="1" applyProtection="1">
      <alignment horizontal="center" vertical="center"/>
    </xf>
    <xf numFmtId="166" fontId="19" fillId="3" borderId="37" xfId="0" applyNumberFormat="1" applyFont="1" applyFill="1" applyBorder="1" applyAlignment="1">
      <alignment horizontal="center" vertical="center"/>
    </xf>
    <xf numFmtId="49" fontId="6" fillId="4" borderId="11" xfId="0" applyNumberFormat="1" applyFont="1" applyFill="1" applyBorder="1" applyAlignment="1">
      <alignment horizontal="center" vertical="center"/>
    </xf>
    <xf numFmtId="0" fontId="13" fillId="0" borderId="0" xfId="0" applyFont="1" applyBorder="1" applyAlignment="1">
      <alignment horizontal="left" indent="3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center" wrapText="1"/>
    </xf>
    <xf numFmtId="0" fontId="24" fillId="0" borderId="0" xfId="0" applyFont="1"/>
    <xf numFmtId="0" fontId="6" fillId="0" borderId="10" xfId="0" applyFont="1" applyBorder="1" applyAlignment="1">
      <alignment horizontal="right" vertical="center"/>
    </xf>
    <xf numFmtId="0" fontId="28" fillId="0" borderId="8" xfId="0" applyFont="1" applyFill="1" applyBorder="1" applyAlignment="1">
      <alignment horizontal="left" vertical="center" wrapText="1"/>
    </xf>
    <xf numFmtId="0" fontId="28" fillId="0" borderId="0" xfId="0" applyFont="1" applyFill="1" applyBorder="1" applyAlignment="1">
      <alignment horizontal="left" vertical="center" wrapText="1" indent="1"/>
    </xf>
    <xf numFmtId="0" fontId="28" fillId="3" borderId="0" xfId="0" applyFont="1" applyFill="1" applyBorder="1" applyAlignment="1">
      <alignment horizontal="left" vertical="center" wrapText="1" indent="1"/>
    </xf>
    <xf numFmtId="0" fontId="28" fillId="0" borderId="0" xfId="0" applyFont="1" applyFill="1" applyBorder="1" applyAlignment="1">
      <alignment horizontal="left" vertical="center" wrapText="1"/>
    </xf>
    <xf numFmtId="0" fontId="27" fillId="0" borderId="62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center" vertical="center" wrapText="1"/>
    </xf>
    <xf numFmtId="0" fontId="27" fillId="0" borderId="68" xfId="0" applyFont="1" applyBorder="1" applyAlignment="1">
      <alignment horizontal="center" vertical="center" wrapText="1"/>
    </xf>
    <xf numFmtId="0" fontId="27" fillId="0" borderId="59" xfId="0" applyFont="1" applyBorder="1" applyAlignment="1">
      <alignment horizontal="center" vertical="center" wrapText="1"/>
    </xf>
    <xf numFmtId="0" fontId="27" fillId="0" borderId="60" xfId="0" applyFont="1" applyBorder="1" applyAlignment="1">
      <alignment horizontal="center" vertical="center" wrapText="1"/>
    </xf>
    <xf numFmtId="0" fontId="27" fillId="0" borderId="63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25" fillId="0" borderId="67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 wrapText="1"/>
    </xf>
    <xf numFmtId="0" fontId="27" fillId="0" borderId="72" xfId="0" applyFont="1" applyBorder="1" applyAlignment="1">
      <alignment horizontal="center" vertical="center" wrapText="1"/>
    </xf>
    <xf numFmtId="0" fontId="27" fillId="0" borderId="73" xfId="0" applyFont="1" applyBorder="1" applyAlignment="1">
      <alignment horizontal="center" vertical="center" wrapText="1"/>
    </xf>
    <xf numFmtId="0" fontId="27" fillId="0" borderId="7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7" fillId="0" borderId="75" xfId="0" applyFont="1" applyBorder="1" applyAlignment="1">
      <alignment horizontal="center" vertical="center" wrapText="1"/>
    </xf>
    <xf numFmtId="0" fontId="27" fillId="0" borderId="76" xfId="0" applyFont="1" applyBorder="1" applyAlignment="1">
      <alignment horizontal="center" vertical="center" wrapText="1"/>
    </xf>
    <xf numFmtId="0" fontId="27" fillId="0" borderId="77" xfId="0" applyFont="1" applyBorder="1" applyAlignment="1">
      <alignment horizontal="center" vertical="center" wrapText="1"/>
    </xf>
    <xf numFmtId="0" fontId="21" fillId="0" borderId="43" xfId="0" applyFont="1" applyBorder="1" applyAlignment="1">
      <alignment horizontal="center" vertical="center" wrapText="1"/>
    </xf>
    <xf numFmtId="0" fontId="27" fillId="0" borderId="78" xfId="0" applyFont="1" applyBorder="1" applyAlignment="1">
      <alignment horizontal="center" vertical="center" wrapText="1"/>
    </xf>
    <xf numFmtId="0" fontId="27" fillId="0" borderId="7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 wrapText="1"/>
    </xf>
    <xf numFmtId="0" fontId="27" fillId="0" borderId="75" xfId="0" applyFont="1" applyBorder="1" applyAlignment="1">
      <alignment horizontal="left" vertical="center" wrapText="1"/>
    </xf>
    <xf numFmtId="0" fontId="27" fillId="0" borderId="76" xfId="0" applyFont="1" applyBorder="1" applyAlignment="1">
      <alignment horizontal="left" vertical="center" wrapText="1"/>
    </xf>
    <xf numFmtId="0" fontId="27" fillId="0" borderId="77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center" vertical="center" wrapText="1"/>
    </xf>
    <xf numFmtId="169" fontId="27" fillId="0" borderId="75" xfId="0" applyNumberFormat="1" applyFont="1" applyBorder="1" applyAlignment="1">
      <alignment horizontal="center" vertical="center" wrapText="1"/>
    </xf>
    <xf numFmtId="169" fontId="27" fillId="0" borderId="76" xfId="0" applyNumberFormat="1" applyFont="1" applyBorder="1" applyAlignment="1">
      <alignment horizontal="center" vertical="center" wrapText="1"/>
    </xf>
    <xf numFmtId="169" fontId="27" fillId="0" borderId="77" xfId="0" applyNumberFormat="1" applyFont="1" applyBorder="1" applyAlignment="1">
      <alignment horizontal="center" vertical="center" wrapText="1"/>
    </xf>
    <xf numFmtId="0" fontId="25" fillId="0" borderId="64" xfId="0" applyFont="1" applyBorder="1" applyAlignment="1">
      <alignment horizontal="center" vertical="center" wrapText="1"/>
    </xf>
    <xf numFmtId="0" fontId="27" fillId="0" borderId="81" xfId="0" applyFont="1" applyBorder="1" applyAlignment="1">
      <alignment horizontal="center" vertical="center" wrapText="1"/>
    </xf>
    <xf numFmtId="0" fontId="27" fillId="0" borderId="82" xfId="0" applyFont="1" applyBorder="1" applyAlignment="1">
      <alignment horizontal="center" vertical="center" wrapText="1"/>
    </xf>
    <xf numFmtId="0" fontId="27" fillId="0" borderId="83" xfId="0" applyFont="1" applyBorder="1" applyAlignment="1">
      <alignment horizontal="center" vertical="center" wrapText="1"/>
    </xf>
    <xf numFmtId="0" fontId="25" fillId="0" borderId="66" xfId="0" applyFont="1" applyBorder="1" applyAlignment="1">
      <alignment horizontal="center" vertical="center" wrapText="1"/>
    </xf>
    <xf numFmtId="169" fontId="26" fillId="0" borderId="69" xfId="1" applyNumberFormat="1" applyFont="1" applyBorder="1" applyAlignment="1">
      <alignment horizontal="center" vertical="center"/>
    </xf>
    <xf numFmtId="169" fontId="26" fillId="0" borderId="70" xfId="1" applyNumberFormat="1" applyFont="1" applyBorder="1" applyAlignment="1">
      <alignment horizontal="center" vertical="center"/>
    </xf>
    <xf numFmtId="169" fontId="26" fillId="0" borderId="71" xfId="1" applyNumberFormat="1" applyFont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right" vertical="center"/>
    </xf>
    <xf numFmtId="49" fontId="6" fillId="4" borderId="0" xfId="0" applyNumberFormat="1" applyFont="1" applyFill="1" applyBorder="1" applyAlignment="1">
      <alignment horizontal="center" vertical="center"/>
    </xf>
    <xf numFmtId="0" fontId="31" fillId="0" borderId="16" xfId="0" applyFont="1" applyBorder="1" applyAlignment="1">
      <alignment vertical="center" wrapText="1"/>
    </xf>
    <xf numFmtId="0" fontId="31" fillId="0" borderId="64" xfId="0" applyFont="1" applyBorder="1" applyAlignment="1">
      <alignment vertical="center" wrapText="1"/>
    </xf>
    <xf numFmtId="0" fontId="29" fillId="0" borderId="8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left" vertical="center" wrapText="1"/>
    </xf>
    <xf numFmtId="0" fontId="29" fillId="0" borderId="93" xfId="0" applyFont="1" applyBorder="1" applyAlignment="1">
      <alignment horizontal="center" vertical="center"/>
    </xf>
    <xf numFmtId="0" fontId="29" fillId="0" borderId="88" xfId="0" applyFont="1" applyBorder="1" applyAlignment="1">
      <alignment horizontal="center" vertical="center"/>
    </xf>
    <xf numFmtId="0" fontId="29" fillId="0" borderId="84" xfId="0" applyFont="1" applyBorder="1" applyAlignment="1">
      <alignment horizontal="center" vertical="center"/>
    </xf>
    <xf numFmtId="0" fontId="29" fillId="0" borderId="75" xfId="0" applyFont="1" applyFill="1" applyBorder="1" applyAlignment="1">
      <alignment horizontal="center" vertical="center"/>
    </xf>
    <xf numFmtId="0" fontId="29" fillId="0" borderId="76" xfId="0" applyFont="1" applyFill="1" applyBorder="1" applyAlignment="1">
      <alignment horizontal="center" vertical="center"/>
    </xf>
    <xf numFmtId="0" fontId="29" fillId="0" borderId="77" xfId="0" applyFont="1" applyFill="1" applyBorder="1" applyAlignment="1">
      <alignment horizontal="center" vertical="center"/>
    </xf>
    <xf numFmtId="0" fontId="29" fillId="0" borderId="97" xfId="0" applyFont="1" applyFill="1" applyBorder="1" applyAlignment="1">
      <alignment vertical="center" wrapText="1"/>
    </xf>
    <xf numFmtId="0" fontId="29" fillId="0" borderId="89" xfId="0" applyFont="1" applyFill="1" applyBorder="1" applyAlignment="1">
      <alignment vertical="center" wrapText="1"/>
    </xf>
    <xf numFmtId="0" fontId="29" fillId="0" borderId="85" xfId="0" applyFont="1" applyFill="1" applyBorder="1" applyAlignment="1">
      <alignment vertical="center" wrapText="1"/>
    </xf>
    <xf numFmtId="0" fontId="29" fillId="0" borderId="97" xfId="0" applyFont="1" applyFill="1" applyBorder="1" applyAlignment="1">
      <alignment horizontal="center" vertical="center"/>
    </xf>
    <xf numFmtId="0" fontId="29" fillId="0" borderId="89" xfId="0" applyFont="1" applyFill="1" applyBorder="1" applyAlignment="1">
      <alignment horizontal="center" vertical="center"/>
    </xf>
    <xf numFmtId="0" fontId="29" fillId="0" borderId="85" xfId="0" applyFont="1" applyFill="1" applyBorder="1" applyAlignment="1">
      <alignment horizontal="center" vertical="center"/>
    </xf>
    <xf numFmtId="166" fontId="29" fillId="0" borderId="97" xfId="1" applyNumberFormat="1" applyFont="1" applyFill="1" applyBorder="1" applyAlignment="1" applyProtection="1">
      <alignment horizontal="center" vertical="center" wrapText="1"/>
    </xf>
    <xf numFmtId="166" fontId="29" fillId="0" borderId="89" xfId="1" applyNumberFormat="1" applyFont="1" applyFill="1" applyBorder="1" applyAlignment="1" applyProtection="1">
      <alignment horizontal="center" vertical="center" wrapText="1"/>
    </xf>
    <xf numFmtId="166" fontId="29" fillId="0" borderId="85" xfId="1" applyNumberFormat="1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>
      <alignment vertical="center" wrapText="1"/>
    </xf>
    <xf numFmtId="0" fontId="9" fillId="3" borderId="8" xfId="0" applyFont="1" applyFill="1" applyBorder="1" applyAlignment="1">
      <alignment vertical="center" wrapText="1"/>
    </xf>
    <xf numFmtId="0" fontId="9" fillId="3" borderId="9" xfId="0" applyFont="1" applyFill="1" applyBorder="1" applyAlignment="1">
      <alignment vertical="center" wrapText="1"/>
    </xf>
    <xf numFmtId="0" fontId="29" fillId="0" borderId="5" xfId="0" applyFont="1" applyBorder="1" applyAlignment="1">
      <alignment horizontal="left"/>
    </xf>
    <xf numFmtId="0" fontId="29" fillId="0" borderId="0" xfId="0" applyFont="1" applyBorder="1"/>
    <xf numFmtId="0" fontId="29" fillId="0" borderId="6" xfId="0" applyFont="1" applyBorder="1"/>
    <xf numFmtId="0" fontId="29" fillId="0" borderId="5" xfId="0" applyFont="1" applyBorder="1"/>
    <xf numFmtId="0" fontId="34" fillId="0" borderId="89" xfId="0" applyFont="1" applyFill="1" applyBorder="1" applyAlignment="1">
      <alignment horizontal="center" vertical="center"/>
    </xf>
    <xf numFmtId="0" fontId="33" fillId="0" borderId="89" xfId="0" applyFont="1" applyFill="1" applyBorder="1" applyAlignment="1">
      <alignment horizontal="center" vertical="center"/>
    </xf>
    <xf numFmtId="0" fontId="33" fillId="0" borderId="85" xfId="0" applyFont="1" applyFill="1" applyBorder="1" applyAlignment="1">
      <alignment horizontal="center" vertical="center"/>
    </xf>
    <xf numFmtId="0" fontId="36" fillId="0" borderId="0" xfId="0" applyFont="1" applyBorder="1" applyAlignment="1">
      <alignment vertical="center"/>
    </xf>
    <xf numFmtId="0" fontId="14" fillId="0" borderId="16" xfId="0" applyFont="1" applyBorder="1" applyAlignment="1">
      <alignment horizontal="center"/>
    </xf>
    <xf numFmtId="0" fontId="14" fillId="0" borderId="64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32" fillId="0" borderId="58" xfId="0" applyFont="1" applyBorder="1" applyAlignment="1">
      <alignment horizontal="left" vertical="center" wrapText="1"/>
    </xf>
    <xf numFmtId="0" fontId="32" fillId="0" borderId="86" xfId="0" applyFont="1" applyBorder="1" applyAlignment="1">
      <alignment horizontal="left" vertical="center" wrapText="1"/>
    </xf>
    <xf numFmtId="0" fontId="32" fillId="0" borderId="59" xfId="0" applyFont="1" applyBorder="1" applyAlignment="1">
      <alignment horizontal="left" vertical="center" wrapText="1"/>
    </xf>
    <xf numFmtId="0" fontId="32" fillId="0" borderId="70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/>
    </xf>
    <xf numFmtId="0" fontId="29" fillId="0" borderId="0" xfId="0" applyFont="1" applyBorder="1" applyAlignment="1">
      <alignment horizontal="left"/>
    </xf>
    <xf numFmtId="0" fontId="29" fillId="0" borderId="6" xfId="0" applyFont="1" applyBorder="1" applyAlignment="1">
      <alignment horizontal="left"/>
    </xf>
    <xf numFmtId="0" fontId="29" fillId="0" borderId="5" xfId="0" applyFont="1" applyFill="1" applyBorder="1" applyAlignment="1">
      <alignment horizontal="left" vertical="center" wrapText="1"/>
    </xf>
    <xf numFmtId="0" fontId="29" fillId="0" borderId="0" xfId="0" applyFont="1" applyFill="1" applyBorder="1" applyAlignment="1">
      <alignment horizontal="left" vertical="center" wrapText="1"/>
    </xf>
    <xf numFmtId="0" fontId="29" fillId="0" borderId="6" xfId="0" applyFont="1" applyFill="1" applyBorder="1" applyAlignment="1">
      <alignment horizontal="left" vertical="center" wrapText="1"/>
    </xf>
    <xf numFmtId="0" fontId="22" fillId="0" borderId="94" xfId="0" applyFont="1" applyFill="1" applyBorder="1" applyAlignment="1">
      <alignment horizontal="left" vertical="center"/>
    </xf>
    <xf numFmtId="0" fontId="22" fillId="0" borderId="61" xfId="0" applyFont="1" applyFill="1" applyBorder="1" applyAlignment="1">
      <alignment horizontal="left" vertical="center"/>
    </xf>
    <xf numFmtId="0" fontId="22" fillId="0" borderId="86" xfId="0" applyFont="1" applyFill="1" applyBorder="1" applyAlignment="1">
      <alignment horizontal="left" vertical="center"/>
    </xf>
    <xf numFmtId="0" fontId="22" fillId="0" borderId="73" xfId="0" applyFont="1" applyFill="1" applyBorder="1" applyAlignment="1">
      <alignment horizontal="left" vertical="center"/>
    </xf>
    <xf numFmtId="0" fontId="22" fillId="0" borderId="62" xfId="0" applyFont="1" applyFill="1" applyBorder="1" applyAlignment="1">
      <alignment horizontal="left" vertical="center"/>
    </xf>
    <xf numFmtId="0" fontId="22" fillId="0" borderId="70" xfId="0" applyFont="1" applyFill="1" applyBorder="1" applyAlignment="1">
      <alignment horizontal="left" vertical="center"/>
    </xf>
    <xf numFmtId="0" fontId="22" fillId="0" borderId="74" xfId="0" applyFont="1" applyFill="1" applyBorder="1" applyAlignment="1">
      <alignment horizontal="left" vertical="center"/>
    </xf>
    <xf numFmtId="0" fontId="22" fillId="0" borderId="63" xfId="0" applyFont="1" applyFill="1" applyBorder="1" applyAlignment="1">
      <alignment horizontal="left" vertical="center"/>
    </xf>
    <xf numFmtId="0" fontId="22" fillId="0" borderId="71" xfId="0" applyFont="1" applyFill="1" applyBorder="1" applyAlignment="1">
      <alignment horizontal="left" vertical="center"/>
    </xf>
    <xf numFmtId="0" fontId="32" fillId="0" borderId="60" xfId="0" applyFont="1" applyBorder="1" applyAlignment="1">
      <alignment horizontal="left" vertical="center" wrapText="1"/>
    </xf>
    <xf numFmtId="0" fontId="32" fillId="0" borderId="71" xfId="0" applyFont="1" applyBorder="1" applyAlignment="1">
      <alignment horizontal="left" vertical="center" wrapText="1"/>
    </xf>
    <xf numFmtId="0" fontId="31" fillId="0" borderId="2" xfId="0" applyFont="1" applyBorder="1" applyAlignment="1">
      <alignment horizontal="left"/>
    </xf>
    <xf numFmtId="0" fontId="31" fillId="0" borderId="3" xfId="0" applyFont="1" applyBorder="1" applyAlignment="1">
      <alignment horizontal="left"/>
    </xf>
    <xf numFmtId="0" fontId="31" fillId="0" borderId="4" xfId="0" applyFont="1" applyBorder="1" applyAlignment="1">
      <alignment horizontal="left"/>
    </xf>
    <xf numFmtId="0" fontId="31" fillId="0" borderId="5" xfId="0" applyFont="1" applyBorder="1" applyAlignment="1">
      <alignment horizontal="left"/>
    </xf>
    <xf numFmtId="0" fontId="31" fillId="0" borderId="0" xfId="0" applyFont="1" applyBorder="1" applyAlignment="1">
      <alignment horizontal="left"/>
    </xf>
    <xf numFmtId="0" fontId="31" fillId="0" borderId="6" xfId="0" applyFont="1" applyBorder="1" applyAlignment="1">
      <alignment horizontal="left"/>
    </xf>
    <xf numFmtId="0" fontId="29" fillId="0" borderId="59" xfId="0" applyFont="1" applyFill="1" applyBorder="1" applyAlignment="1">
      <alignment horizontal="left" vertical="center" wrapText="1"/>
    </xf>
    <xf numFmtId="0" fontId="29" fillId="0" borderId="62" xfId="0" applyFont="1" applyFill="1" applyBorder="1" applyAlignment="1">
      <alignment horizontal="left" vertical="center" wrapText="1"/>
    </xf>
    <xf numFmtId="0" fontId="29" fillId="0" borderId="70" xfId="0" applyFont="1" applyFill="1" applyBorder="1" applyAlignment="1">
      <alignment horizontal="left" vertical="center" wrapText="1"/>
    </xf>
    <xf numFmtId="0" fontId="31" fillId="0" borderId="90" xfId="0" applyFont="1" applyBorder="1" applyAlignment="1">
      <alignment horizontal="left" vertical="center"/>
    </xf>
    <xf numFmtId="0" fontId="31" fillId="0" borderId="91" xfId="0" applyFont="1" applyBorder="1" applyAlignment="1">
      <alignment horizontal="left" vertical="center"/>
    </xf>
    <xf numFmtId="0" fontId="28" fillId="0" borderId="96" xfId="0" applyFont="1" applyBorder="1" applyAlignment="1">
      <alignment horizontal="center" vertical="center" wrapText="1"/>
    </xf>
    <xf numFmtId="0" fontId="28" fillId="0" borderId="8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/>
    </xf>
    <xf numFmtId="0" fontId="6" fillId="0" borderId="64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29" fillId="0" borderId="60" xfId="0" applyFont="1" applyFill="1" applyBorder="1" applyAlignment="1">
      <alignment horizontal="left" vertical="center" wrapText="1"/>
    </xf>
    <xf numFmtId="0" fontId="29" fillId="0" borderId="63" xfId="0" applyFont="1" applyFill="1" applyBorder="1" applyAlignment="1">
      <alignment horizontal="left" vertical="center" wrapText="1"/>
    </xf>
    <xf numFmtId="0" fontId="29" fillId="0" borderId="71" xfId="0" applyFont="1" applyFill="1" applyBorder="1" applyAlignment="1">
      <alignment horizontal="left" vertical="center" wrapText="1"/>
    </xf>
    <xf numFmtId="167" fontId="20" fillId="0" borderId="14" xfId="0" applyNumberFormat="1" applyFont="1" applyBorder="1" applyAlignment="1">
      <alignment horizontal="center" vertical="center"/>
    </xf>
    <xf numFmtId="0" fontId="28" fillId="0" borderId="92" xfId="0" applyFont="1" applyBorder="1" applyAlignment="1">
      <alignment horizontal="center" vertical="center"/>
    </xf>
    <xf numFmtId="0" fontId="28" fillId="0" borderId="84" xfId="0" applyFont="1" applyBorder="1" applyAlignment="1">
      <alignment horizontal="center" vertical="center"/>
    </xf>
    <xf numFmtId="0" fontId="28" fillId="0" borderId="95" xfId="0" applyFont="1" applyBorder="1" applyAlignment="1">
      <alignment horizontal="center" vertical="center" wrapText="1"/>
    </xf>
    <xf numFmtId="0" fontId="28" fillId="0" borderId="77" xfId="0" applyFont="1" applyBorder="1" applyAlignment="1">
      <alignment horizontal="center" vertical="center" wrapText="1"/>
    </xf>
    <xf numFmtId="0" fontId="30" fillId="0" borderId="96" xfId="0" applyFont="1" applyBorder="1" applyAlignment="1">
      <alignment horizontal="center" vertical="center" wrapText="1"/>
    </xf>
    <xf numFmtId="0" fontId="30" fillId="0" borderId="85" xfId="0" applyFont="1" applyBorder="1" applyAlignment="1">
      <alignment horizontal="center" vertical="center" wrapText="1"/>
    </xf>
    <xf numFmtId="0" fontId="31" fillId="0" borderId="59" xfId="0" applyFont="1" applyBorder="1" applyAlignment="1">
      <alignment horizontal="left" vertical="center" wrapText="1"/>
    </xf>
    <xf numFmtId="0" fontId="31" fillId="0" borderId="79" xfId="0" applyFont="1" applyBorder="1" applyAlignment="1">
      <alignment horizontal="left" vertical="center" wrapText="1"/>
    </xf>
    <xf numFmtId="0" fontId="36" fillId="0" borderId="0" xfId="0" applyFont="1" applyBorder="1" applyAlignment="1">
      <alignment horizontal="center" vertical="center"/>
    </xf>
    <xf numFmtId="0" fontId="29" fillId="0" borderId="58" xfId="0" applyFont="1" applyFill="1" applyBorder="1" applyAlignment="1">
      <alignment horizontal="left" vertical="center" wrapText="1"/>
    </xf>
    <xf numFmtId="0" fontId="29" fillId="0" borderId="61" xfId="0" applyFont="1" applyFill="1" applyBorder="1" applyAlignment="1">
      <alignment horizontal="left" vertical="center" wrapText="1"/>
    </xf>
    <xf numFmtId="0" fontId="29" fillId="0" borderId="86" xfId="0" applyFont="1" applyFill="1" applyBorder="1" applyAlignment="1">
      <alignment horizontal="left" vertical="center" wrapText="1"/>
    </xf>
    <xf numFmtId="0" fontId="31" fillId="0" borderId="58" xfId="0" applyFont="1" applyBorder="1" applyAlignment="1">
      <alignment horizontal="left" vertical="center" wrapText="1"/>
    </xf>
    <xf numFmtId="0" fontId="31" fillId="0" borderId="87" xfId="0" applyFont="1" applyBorder="1" applyAlignment="1">
      <alignment horizontal="left" vertical="center" wrapText="1"/>
    </xf>
    <xf numFmtId="0" fontId="7" fillId="0" borderId="16" xfId="0" applyFont="1" applyBorder="1" applyAlignment="1">
      <alignment vertical="center" wrapText="1"/>
    </xf>
    <xf numFmtId="0" fontId="7" fillId="0" borderId="38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9" fillId="0" borderId="98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0" fillId="0" borderId="16" xfId="0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9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 indent="1"/>
    </xf>
    <xf numFmtId="0" fontId="10" fillId="0" borderId="11" xfId="0" applyFont="1" applyBorder="1" applyAlignment="1">
      <alignment horizontal="left"/>
    </xf>
    <xf numFmtId="0" fontId="9" fillId="3" borderId="19" xfId="0" applyFont="1" applyFill="1" applyBorder="1"/>
    <xf numFmtId="0" fontId="9" fillId="3" borderId="20" xfId="0" applyFont="1" applyFill="1" applyBorder="1" applyAlignment="1">
      <alignment horizontal="left" vertical="center" wrapText="1" indent="1"/>
    </xf>
    <xf numFmtId="0" fontId="11" fillId="0" borderId="1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9" fillId="0" borderId="23" xfId="0" applyFont="1" applyBorder="1" applyAlignment="1">
      <alignment vertical="center" wrapText="1"/>
    </xf>
    <xf numFmtId="0" fontId="9" fillId="0" borderId="37" xfId="0" applyFont="1" applyFill="1" applyBorder="1" applyAlignment="1">
      <alignment horizontal="left" vertical="center" wrapText="1" indent="1"/>
    </xf>
    <xf numFmtId="0" fontId="9" fillId="0" borderId="20" xfId="0" applyFont="1" applyFill="1" applyBorder="1" applyAlignment="1">
      <alignment horizontal="left" vertical="center" wrapText="1" indent="1"/>
    </xf>
    <xf numFmtId="0" fontId="17" fillId="0" borderId="56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8" fillId="3" borderId="37" xfId="0" applyFont="1" applyFill="1" applyBorder="1" applyAlignment="1">
      <alignment horizontal="left" vertical="center" wrapText="1"/>
    </xf>
    <xf numFmtId="0" fontId="0" fillId="0" borderId="18" xfId="0" applyBorder="1"/>
    <xf numFmtId="0" fontId="29" fillId="0" borderId="7" xfId="0" applyFont="1" applyBorder="1" applyAlignment="1">
      <alignment horizontal="left" wrapText="1"/>
    </xf>
    <xf numFmtId="0" fontId="31" fillId="0" borderId="8" xfId="0" applyFont="1" applyBorder="1" applyAlignment="1">
      <alignment horizontal="left"/>
    </xf>
    <xf numFmtId="0" fontId="31" fillId="0" borderId="9" xfId="0" applyFont="1" applyBorder="1" applyAlignment="1">
      <alignment horizontal="left"/>
    </xf>
    <xf numFmtId="0" fontId="37" fillId="3" borderId="0" xfId="0" applyFont="1" applyFill="1" applyBorder="1" applyAlignment="1">
      <alignment horizontal="left" vertical="center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>
      <selection activeCell="E68" sqref="E68"/>
    </sheetView>
  </sheetViews>
  <sheetFormatPr baseColWidth="10" defaultColWidth="11" defaultRowHeight="12.75" x14ac:dyDescent="0.2"/>
  <cols>
    <col min="1" max="1" width="4.5703125" style="12" customWidth="1"/>
    <col min="2" max="2" width="14" style="12" customWidth="1"/>
    <col min="3" max="3" width="14.7109375" style="12" customWidth="1"/>
    <col min="4" max="4" width="8.42578125" style="12" customWidth="1"/>
    <col min="5" max="5" width="69" style="12" customWidth="1"/>
    <col min="6" max="6" width="11.85546875" style="12" customWidth="1"/>
    <col min="7" max="7" width="9.140625" style="12" bestFit="1" customWidth="1"/>
    <col min="8" max="8" width="13.85546875" style="12" customWidth="1"/>
    <col min="9" max="9" width="14.5703125" style="12" customWidth="1"/>
    <col min="10" max="16384" width="11" style="12"/>
  </cols>
  <sheetData>
    <row r="1" spans="1:9" ht="13.5" thickBot="1" x14ac:dyDescent="0.25"/>
    <row r="2" spans="1:9" ht="27.75" thickBot="1" x14ac:dyDescent="0.4">
      <c r="B2" s="121" t="s">
        <v>0</v>
      </c>
      <c r="C2" s="122"/>
      <c r="D2" s="122"/>
      <c r="E2" s="122"/>
      <c r="F2" s="122"/>
      <c r="G2" s="122"/>
      <c r="H2" s="123"/>
    </row>
    <row r="3" spans="1:9" ht="13.5" thickBot="1" x14ac:dyDescent="0.25"/>
    <row r="4" spans="1:9" ht="18" customHeight="1" x14ac:dyDescent="0.2">
      <c r="A4" s="124" t="s">
        <v>1</v>
      </c>
      <c r="B4" s="125"/>
      <c r="C4" s="134" t="s">
        <v>128</v>
      </c>
      <c r="D4" s="135"/>
      <c r="E4" s="135"/>
      <c r="F4" s="135"/>
      <c r="G4" s="135"/>
      <c r="H4" s="135"/>
      <c r="I4" s="136"/>
    </row>
    <row r="5" spans="1:9" ht="18" customHeight="1" x14ac:dyDescent="0.2">
      <c r="A5" s="126" t="s">
        <v>2</v>
      </c>
      <c r="B5" s="127"/>
      <c r="C5" s="137" t="s">
        <v>129</v>
      </c>
      <c r="D5" s="138"/>
      <c r="E5" s="138"/>
      <c r="F5" s="138"/>
      <c r="G5" s="138"/>
      <c r="H5" s="138"/>
      <c r="I5" s="139"/>
    </row>
    <row r="6" spans="1:9" ht="16.5" customHeight="1" x14ac:dyDescent="0.2">
      <c r="A6" s="126" t="s">
        <v>3</v>
      </c>
      <c r="B6" s="127"/>
      <c r="C6" s="137">
        <v>2022</v>
      </c>
      <c r="D6" s="138"/>
      <c r="E6" s="138"/>
      <c r="F6" s="138"/>
      <c r="G6" s="138"/>
      <c r="H6" s="138"/>
      <c r="I6" s="139"/>
    </row>
    <row r="7" spans="1:9" ht="16.5" customHeight="1" thickBot="1" x14ac:dyDescent="0.25">
      <c r="A7" s="143" t="s">
        <v>4</v>
      </c>
      <c r="B7" s="144"/>
      <c r="C7" s="140" t="s">
        <v>144</v>
      </c>
      <c r="D7" s="141"/>
      <c r="E7" s="141"/>
      <c r="F7" s="141"/>
      <c r="G7" s="141"/>
      <c r="H7" s="141"/>
      <c r="I7" s="142"/>
    </row>
    <row r="8" spans="1:9" ht="13.5" thickBot="1" x14ac:dyDescent="0.25">
      <c r="A8" s="47"/>
      <c r="B8" s="45"/>
      <c r="C8" s="46"/>
      <c r="D8" s="45"/>
      <c r="E8" s="45"/>
      <c r="F8" s="45"/>
      <c r="G8" s="46"/>
      <c r="H8" s="45"/>
      <c r="I8" s="47"/>
    </row>
    <row r="9" spans="1:9" ht="39" thickBot="1" x14ac:dyDescent="0.25">
      <c r="A9" s="65" t="s">
        <v>5</v>
      </c>
      <c r="B9" s="61" t="s">
        <v>6</v>
      </c>
      <c r="C9" s="59" t="s">
        <v>7</v>
      </c>
      <c r="D9" s="69" t="s">
        <v>8</v>
      </c>
      <c r="E9" s="65" t="s">
        <v>9</v>
      </c>
      <c r="F9" s="80" t="s">
        <v>10</v>
      </c>
      <c r="G9" s="84" t="s">
        <v>11</v>
      </c>
      <c r="H9" s="60" t="s">
        <v>12</v>
      </c>
      <c r="I9" s="76" t="s">
        <v>13</v>
      </c>
    </row>
    <row r="10" spans="1:9" ht="15" x14ac:dyDescent="0.2">
      <c r="A10" s="66">
        <v>1</v>
      </c>
      <c r="B10" s="62" t="s">
        <v>56</v>
      </c>
      <c r="C10" s="54" t="s">
        <v>90</v>
      </c>
      <c r="D10" s="70" t="s">
        <v>91</v>
      </c>
      <c r="E10" s="73" t="s">
        <v>92</v>
      </c>
      <c r="F10" s="81" t="s">
        <v>125</v>
      </c>
      <c r="G10" s="55">
        <v>30</v>
      </c>
      <c r="H10" s="85">
        <v>600</v>
      </c>
      <c r="I10" s="77">
        <f>G10*H10</f>
        <v>18000</v>
      </c>
    </row>
    <row r="11" spans="1:9" ht="15" x14ac:dyDescent="0.2">
      <c r="A11" s="67">
        <v>2</v>
      </c>
      <c r="B11" s="63" t="s">
        <v>57</v>
      </c>
      <c r="C11" s="53" t="s">
        <v>90</v>
      </c>
      <c r="D11" s="71" t="s">
        <v>91</v>
      </c>
      <c r="E11" s="74" t="s">
        <v>93</v>
      </c>
      <c r="F11" s="82" t="s">
        <v>125</v>
      </c>
      <c r="G11" s="56">
        <v>60</v>
      </c>
      <c r="H11" s="86">
        <v>300</v>
      </c>
      <c r="I11" s="78">
        <f t="shared" ref="I11:I42" si="0">G11*H11</f>
        <v>18000</v>
      </c>
    </row>
    <row r="12" spans="1:9" ht="15" x14ac:dyDescent="0.2">
      <c r="A12" s="67">
        <v>3</v>
      </c>
      <c r="B12" s="63" t="s">
        <v>58</v>
      </c>
      <c r="C12" s="53" t="s">
        <v>90</v>
      </c>
      <c r="D12" s="71" t="s">
        <v>91</v>
      </c>
      <c r="E12" s="74" t="s">
        <v>94</v>
      </c>
      <c r="F12" s="82" t="s">
        <v>125</v>
      </c>
      <c r="G12" s="56">
        <v>90</v>
      </c>
      <c r="H12" s="86">
        <v>1200</v>
      </c>
      <c r="I12" s="78">
        <f t="shared" si="0"/>
        <v>108000</v>
      </c>
    </row>
    <row r="13" spans="1:9" ht="15" x14ac:dyDescent="0.2">
      <c r="A13" s="67">
        <v>4</v>
      </c>
      <c r="B13" s="63" t="s">
        <v>59</v>
      </c>
      <c r="C13" s="53" t="s">
        <v>90</v>
      </c>
      <c r="D13" s="71" t="s">
        <v>91</v>
      </c>
      <c r="E13" s="74" t="s">
        <v>95</v>
      </c>
      <c r="F13" s="82" t="s">
        <v>125</v>
      </c>
      <c r="G13" s="56">
        <v>90</v>
      </c>
      <c r="H13" s="86">
        <v>500</v>
      </c>
      <c r="I13" s="78">
        <f t="shared" si="0"/>
        <v>45000</v>
      </c>
    </row>
    <row r="14" spans="1:9" ht="15" x14ac:dyDescent="0.2">
      <c r="A14" s="67">
        <v>5</v>
      </c>
      <c r="B14" s="63" t="s">
        <v>60</v>
      </c>
      <c r="C14" s="53" t="s">
        <v>90</v>
      </c>
      <c r="D14" s="71" t="s">
        <v>91</v>
      </c>
      <c r="E14" s="74" t="s">
        <v>96</v>
      </c>
      <c r="F14" s="82" t="s">
        <v>125</v>
      </c>
      <c r="G14" s="56">
        <v>90</v>
      </c>
      <c r="H14" s="86">
        <v>900</v>
      </c>
      <c r="I14" s="78">
        <f t="shared" si="0"/>
        <v>81000</v>
      </c>
    </row>
    <row r="15" spans="1:9" ht="30" x14ac:dyDescent="0.2">
      <c r="A15" s="67">
        <v>6</v>
      </c>
      <c r="B15" s="63" t="s">
        <v>61</v>
      </c>
      <c r="C15" s="53" t="s">
        <v>90</v>
      </c>
      <c r="D15" s="71" t="s">
        <v>91</v>
      </c>
      <c r="E15" s="74" t="s">
        <v>97</v>
      </c>
      <c r="F15" s="82" t="s">
        <v>126</v>
      </c>
      <c r="G15" s="56">
        <v>6</v>
      </c>
      <c r="H15" s="86">
        <v>4500</v>
      </c>
      <c r="I15" s="78">
        <f t="shared" si="0"/>
        <v>27000</v>
      </c>
    </row>
    <row r="16" spans="1:9" ht="15" x14ac:dyDescent="0.2">
      <c r="A16" s="67">
        <v>7</v>
      </c>
      <c r="B16" s="63" t="s">
        <v>62</v>
      </c>
      <c r="C16" s="53" t="s">
        <v>90</v>
      </c>
      <c r="D16" s="71" t="s">
        <v>91</v>
      </c>
      <c r="E16" s="74" t="s">
        <v>98</v>
      </c>
      <c r="F16" s="82" t="s">
        <v>127</v>
      </c>
      <c r="G16" s="56">
        <v>8</v>
      </c>
      <c r="H16" s="86">
        <v>300</v>
      </c>
      <c r="I16" s="78">
        <f t="shared" si="0"/>
        <v>2400</v>
      </c>
    </row>
    <row r="17" spans="1:9" ht="15" x14ac:dyDescent="0.2">
      <c r="A17" s="67">
        <v>8</v>
      </c>
      <c r="B17" s="63" t="s">
        <v>63</v>
      </c>
      <c r="C17" s="53" t="s">
        <v>90</v>
      </c>
      <c r="D17" s="71" t="s">
        <v>91</v>
      </c>
      <c r="E17" s="74" t="s">
        <v>99</v>
      </c>
      <c r="F17" s="82" t="s">
        <v>125</v>
      </c>
      <c r="G17" s="56">
        <v>15</v>
      </c>
      <c r="H17" s="86">
        <v>760</v>
      </c>
      <c r="I17" s="78">
        <f t="shared" si="0"/>
        <v>11400</v>
      </c>
    </row>
    <row r="18" spans="1:9" ht="45" x14ac:dyDescent="0.2">
      <c r="A18" s="67">
        <v>9</v>
      </c>
      <c r="B18" s="63" t="s">
        <v>64</v>
      </c>
      <c r="C18" s="53" t="s">
        <v>90</v>
      </c>
      <c r="D18" s="71" t="s">
        <v>91</v>
      </c>
      <c r="E18" s="74" t="s">
        <v>100</v>
      </c>
      <c r="F18" s="82" t="s">
        <v>125</v>
      </c>
      <c r="G18" s="56">
        <v>12</v>
      </c>
      <c r="H18" s="86">
        <v>700</v>
      </c>
      <c r="I18" s="78">
        <f t="shared" si="0"/>
        <v>8400</v>
      </c>
    </row>
    <row r="19" spans="1:9" ht="45" x14ac:dyDescent="0.2">
      <c r="A19" s="67">
        <v>10</v>
      </c>
      <c r="B19" s="63" t="s">
        <v>65</v>
      </c>
      <c r="C19" s="53" t="s">
        <v>90</v>
      </c>
      <c r="D19" s="71" t="s">
        <v>91</v>
      </c>
      <c r="E19" s="74" t="s">
        <v>101</v>
      </c>
      <c r="F19" s="82" t="s">
        <v>125</v>
      </c>
      <c r="G19" s="56">
        <v>18</v>
      </c>
      <c r="H19" s="86">
        <v>3800</v>
      </c>
      <c r="I19" s="78">
        <f t="shared" si="0"/>
        <v>68400</v>
      </c>
    </row>
    <row r="20" spans="1:9" ht="30" x14ac:dyDescent="0.2">
      <c r="A20" s="67">
        <v>11</v>
      </c>
      <c r="B20" s="63" t="s">
        <v>66</v>
      </c>
      <c r="C20" s="53" t="s">
        <v>90</v>
      </c>
      <c r="D20" s="71" t="s">
        <v>91</v>
      </c>
      <c r="E20" s="74" t="s">
        <v>102</v>
      </c>
      <c r="F20" s="82" t="s">
        <v>125</v>
      </c>
      <c r="G20" s="56">
        <v>70</v>
      </c>
      <c r="H20" s="86">
        <v>270</v>
      </c>
      <c r="I20" s="78">
        <f t="shared" si="0"/>
        <v>18900</v>
      </c>
    </row>
    <row r="21" spans="1:9" ht="30" x14ac:dyDescent="0.2">
      <c r="A21" s="67">
        <v>12</v>
      </c>
      <c r="B21" s="63" t="s">
        <v>67</v>
      </c>
      <c r="C21" s="53" t="s">
        <v>90</v>
      </c>
      <c r="D21" s="71" t="s">
        <v>91</v>
      </c>
      <c r="E21" s="74" t="s">
        <v>103</v>
      </c>
      <c r="F21" s="82" t="s">
        <v>125</v>
      </c>
      <c r="G21" s="56">
        <v>50</v>
      </c>
      <c r="H21" s="86">
        <v>290</v>
      </c>
      <c r="I21" s="78">
        <f t="shared" si="0"/>
        <v>14500</v>
      </c>
    </row>
    <row r="22" spans="1:9" ht="30" x14ac:dyDescent="0.2">
      <c r="A22" s="67">
        <v>13</v>
      </c>
      <c r="B22" s="63" t="s">
        <v>68</v>
      </c>
      <c r="C22" s="53" t="s">
        <v>90</v>
      </c>
      <c r="D22" s="71" t="s">
        <v>91</v>
      </c>
      <c r="E22" s="74" t="s">
        <v>104</v>
      </c>
      <c r="F22" s="82" t="s">
        <v>125</v>
      </c>
      <c r="G22" s="56">
        <v>54</v>
      </c>
      <c r="H22" s="86">
        <v>240</v>
      </c>
      <c r="I22" s="78">
        <f t="shared" si="0"/>
        <v>12960</v>
      </c>
    </row>
    <row r="23" spans="1:9" ht="60" x14ac:dyDescent="0.2">
      <c r="A23" s="67">
        <v>14</v>
      </c>
      <c r="B23" s="63" t="s">
        <v>69</v>
      </c>
      <c r="C23" s="53" t="s">
        <v>90</v>
      </c>
      <c r="D23" s="71" t="s">
        <v>91</v>
      </c>
      <c r="E23" s="74" t="s">
        <v>105</v>
      </c>
      <c r="F23" s="82" t="s">
        <v>125</v>
      </c>
      <c r="G23" s="56">
        <v>90</v>
      </c>
      <c r="H23" s="86">
        <v>230</v>
      </c>
      <c r="I23" s="78">
        <f t="shared" si="0"/>
        <v>20700</v>
      </c>
    </row>
    <row r="24" spans="1:9" ht="15" x14ac:dyDescent="0.2">
      <c r="A24" s="67">
        <v>15</v>
      </c>
      <c r="B24" s="63" t="s">
        <v>70</v>
      </c>
      <c r="C24" s="53" t="s">
        <v>90</v>
      </c>
      <c r="D24" s="71" t="s">
        <v>91</v>
      </c>
      <c r="E24" s="74" t="s">
        <v>106</v>
      </c>
      <c r="F24" s="82" t="s">
        <v>125</v>
      </c>
      <c r="G24" s="56">
        <v>252</v>
      </c>
      <c r="H24" s="86">
        <v>300</v>
      </c>
      <c r="I24" s="78">
        <f t="shared" si="0"/>
        <v>75600</v>
      </c>
    </row>
    <row r="25" spans="1:9" ht="30" x14ac:dyDescent="0.2">
      <c r="A25" s="67">
        <v>16</v>
      </c>
      <c r="B25" s="63" t="s">
        <v>71</v>
      </c>
      <c r="C25" s="53" t="s">
        <v>90</v>
      </c>
      <c r="D25" s="71" t="s">
        <v>91</v>
      </c>
      <c r="E25" s="74" t="s">
        <v>107</v>
      </c>
      <c r="F25" s="82" t="s">
        <v>146</v>
      </c>
      <c r="G25" s="56">
        <v>24</v>
      </c>
      <c r="H25" s="86">
        <v>600</v>
      </c>
      <c r="I25" s="78">
        <f t="shared" si="0"/>
        <v>14400</v>
      </c>
    </row>
    <row r="26" spans="1:9" ht="30" x14ac:dyDescent="0.2">
      <c r="A26" s="67">
        <v>17</v>
      </c>
      <c r="B26" s="63" t="s">
        <v>72</v>
      </c>
      <c r="C26" s="53" t="s">
        <v>90</v>
      </c>
      <c r="D26" s="71" t="s">
        <v>91</v>
      </c>
      <c r="E26" s="74" t="s">
        <v>108</v>
      </c>
      <c r="F26" s="82" t="s">
        <v>125</v>
      </c>
      <c r="G26" s="56">
        <v>32</v>
      </c>
      <c r="H26" s="86">
        <v>50</v>
      </c>
      <c r="I26" s="78">
        <f t="shared" si="0"/>
        <v>1600</v>
      </c>
    </row>
    <row r="27" spans="1:9" ht="30" x14ac:dyDescent="0.2">
      <c r="A27" s="67">
        <v>18</v>
      </c>
      <c r="B27" s="63" t="s">
        <v>73</v>
      </c>
      <c r="C27" s="53" t="s">
        <v>90</v>
      </c>
      <c r="D27" s="71" t="s">
        <v>91</v>
      </c>
      <c r="E27" s="74" t="s">
        <v>109</v>
      </c>
      <c r="F27" s="82" t="s">
        <v>127</v>
      </c>
      <c r="G27" s="56">
        <v>72</v>
      </c>
      <c r="H27" s="86">
        <v>100</v>
      </c>
      <c r="I27" s="78">
        <f t="shared" si="0"/>
        <v>7200</v>
      </c>
    </row>
    <row r="28" spans="1:9" ht="30" x14ac:dyDescent="0.2">
      <c r="A28" s="67">
        <v>19</v>
      </c>
      <c r="B28" s="63" t="s">
        <v>74</v>
      </c>
      <c r="C28" s="53" t="s">
        <v>90</v>
      </c>
      <c r="D28" s="71" t="s">
        <v>91</v>
      </c>
      <c r="E28" s="74" t="s">
        <v>110</v>
      </c>
      <c r="F28" s="82" t="s">
        <v>127</v>
      </c>
      <c r="G28" s="56">
        <v>5</v>
      </c>
      <c r="H28" s="86">
        <v>2800</v>
      </c>
      <c r="I28" s="78">
        <f t="shared" si="0"/>
        <v>14000</v>
      </c>
    </row>
    <row r="29" spans="1:9" ht="45" x14ac:dyDescent="0.2">
      <c r="A29" s="67">
        <v>20</v>
      </c>
      <c r="B29" s="63" t="s">
        <v>75</v>
      </c>
      <c r="C29" s="53" t="s">
        <v>90</v>
      </c>
      <c r="D29" s="71" t="s">
        <v>91</v>
      </c>
      <c r="E29" s="74" t="s">
        <v>111</v>
      </c>
      <c r="F29" s="82" t="s">
        <v>125</v>
      </c>
      <c r="G29" s="56">
        <v>42</v>
      </c>
      <c r="H29" s="86">
        <v>150</v>
      </c>
      <c r="I29" s="78">
        <f t="shared" si="0"/>
        <v>6300</v>
      </c>
    </row>
    <row r="30" spans="1:9" ht="30" x14ac:dyDescent="0.2">
      <c r="A30" s="67">
        <v>21</v>
      </c>
      <c r="B30" s="63" t="s">
        <v>76</v>
      </c>
      <c r="C30" s="53" t="s">
        <v>90</v>
      </c>
      <c r="D30" s="71" t="s">
        <v>91</v>
      </c>
      <c r="E30" s="74" t="s">
        <v>112</v>
      </c>
      <c r="F30" s="82" t="s">
        <v>125</v>
      </c>
      <c r="G30" s="56">
        <v>90</v>
      </c>
      <c r="H30" s="86">
        <v>100</v>
      </c>
      <c r="I30" s="78">
        <f t="shared" si="0"/>
        <v>9000</v>
      </c>
    </row>
    <row r="31" spans="1:9" ht="30" x14ac:dyDescent="0.2">
      <c r="A31" s="67">
        <v>22</v>
      </c>
      <c r="B31" s="63" t="s">
        <v>77</v>
      </c>
      <c r="C31" s="53" t="s">
        <v>90</v>
      </c>
      <c r="D31" s="71" t="s">
        <v>91</v>
      </c>
      <c r="E31" s="74" t="s">
        <v>113</v>
      </c>
      <c r="F31" s="82" t="s">
        <v>127</v>
      </c>
      <c r="G31" s="56">
        <v>5</v>
      </c>
      <c r="H31" s="86">
        <v>4000</v>
      </c>
      <c r="I31" s="78">
        <f t="shared" si="0"/>
        <v>20000</v>
      </c>
    </row>
    <row r="32" spans="1:9" ht="30" x14ac:dyDescent="0.2">
      <c r="A32" s="67">
        <v>23</v>
      </c>
      <c r="B32" s="63" t="s">
        <v>78</v>
      </c>
      <c r="C32" s="53" t="s">
        <v>90</v>
      </c>
      <c r="D32" s="71" t="s">
        <v>91</v>
      </c>
      <c r="E32" s="74" t="s">
        <v>114</v>
      </c>
      <c r="F32" s="82" t="s">
        <v>127</v>
      </c>
      <c r="G32" s="56">
        <v>3</v>
      </c>
      <c r="H32" s="86">
        <v>2000</v>
      </c>
      <c r="I32" s="78">
        <f t="shared" si="0"/>
        <v>6000</v>
      </c>
    </row>
    <row r="33" spans="1:9" ht="30" x14ac:dyDescent="0.2">
      <c r="A33" s="67">
        <v>24</v>
      </c>
      <c r="B33" s="63" t="s">
        <v>79</v>
      </c>
      <c r="C33" s="53" t="s">
        <v>90</v>
      </c>
      <c r="D33" s="71" t="s">
        <v>91</v>
      </c>
      <c r="E33" s="74" t="s">
        <v>115</v>
      </c>
      <c r="F33" s="82" t="s">
        <v>127</v>
      </c>
      <c r="G33" s="56">
        <v>2</v>
      </c>
      <c r="H33" s="86">
        <v>1000</v>
      </c>
      <c r="I33" s="78">
        <f t="shared" si="0"/>
        <v>2000</v>
      </c>
    </row>
    <row r="34" spans="1:9" ht="45" x14ac:dyDescent="0.2">
      <c r="A34" s="67">
        <v>25</v>
      </c>
      <c r="B34" s="63" t="s">
        <v>80</v>
      </c>
      <c r="C34" s="53" t="s">
        <v>90</v>
      </c>
      <c r="D34" s="71" t="s">
        <v>91</v>
      </c>
      <c r="E34" s="74" t="s">
        <v>116</v>
      </c>
      <c r="F34" s="82" t="s">
        <v>125</v>
      </c>
      <c r="G34" s="56">
        <v>24</v>
      </c>
      <c r="H34" s="86">
        <v>100</v>
      </c>
      <c r="I34" s="78">
        <f t="shared" si="0"/>
        <v>2400</v>
      </c>
    </row>
    <row r="35" spans="1:9" ht="30" x14ac:dyDescent="0.2">
      <c r="A35" s="67">
        <v>26</v>
      </c>
      <c r="B35" s="63" t="s">
        <v>81</v>
      </c>
      <c r="C35" s="53" t="s">
        <v>90</v>
      </c>
      <c r="D35" s="71" t="s">
        <v>91</v>
      </c>
      <c r="E35" s="74" t="s">
        <v>117</v>
      </c>
      <c r="F35" s="82" t="s">
        <v>125</v>
      </c>
      <c r="G35" s="56">
        <v>30</v>
      </c>
      <c r="H35" s="86">
        <v>180</v>
      </c>
      <c r="I35" s="78">
        <f t="shared" si="0"/>
        <v>5400</v>
      </c>
    </row>
    <row r="36" spans="1:9" ht="30" x14ac:dyDescent="0.2">
      <c r="A36" s="67">
        <v>27</v>
      </c>
      <c r="B36" s="63" t="s">
        <v>82</v>
      </c>
      <c r="C36" s="53" t="s">
        <v>90</v>
      </c>
      <c r="D36" s="71" t="s">
        <v>91</v>
      </c>
      <c r="E36" s="74" t="s">
        <v>118</v>
      </c>
      <c r="F36" s="82" t="s">
        <v>125</v>
      </c>
      <c r="G36" s="56">
        <v>30</v>
      </c>
      <c r="H36" s="86">
        <v>150</v>
      </c>
      <c r="I36" s="78">
        <f t="shared" si="0"/>
        <v>4500</v>
      </c>
    </row>
    <row r="37" spans="1:9" ht="30" x14ac:dyDescent="0.2">
      <c r="A37" s="67">
        <v>28</v>
      </c>
      <c r="B37" s="63" t="s">
        <v>83</v>
      </c>
      <c r="C37" s="53" t="s">
        <v>90</v>
      </c>
      <c r="D37" s="71" t="s">
        <v>91</v>
      </c>
      <c r="E37" s="74" t="s">
        <v>119</v>
      </c>
      <c r="F37" s="82" t="s">
        <v>125</v>
      </c>
      <c r="G37" s="56">
        <v>30</v>
      </c>
      <c r="H37" s="86">
        <v>200</v>
      </c>
      <c r="I37" s="78">
        <f t="shared" si="0"/>
        <v>6000</v>
      </c>
    </row>
    <row r="38" spans="1:9" ht="15" x14ac:dyDescent="0.2">
      <c r="A38" s="67">
        <v>29</v>
      </c>
      <c r="B38" s="63" t="s">
        <v>84</v>
      </c>
      <c r="C38" s="53" t="s">
        <v>90</v>
      </c>
      <c r="D38" s="71" t="s">
        <v>91</v>
      </c>
      <c r="E38" s="74" t="s">
        <v>120</v>
      </c>
      <c r="F38" s="82" t="s">
        <v>125</v>
      </c>
      <c r="G38" s="56">
        <v>18</v>
      </c>
      <c r="H38" s="86">
        <v>1500</v>
      </c>
      <c r="I38" s="78">
        <f t="shared" si="0"/>
        <v>27000</v>
      </c>
    </row>
    <row r="39" spans="1:9" ht="30" x14ac:dyDescent="0.2">
      <c r="A39" s="67">
        <v>30</v>
      </c>
      <c r="B39" s="63" t="s">
        <v>85</v>
      </c>
      <c r="C39" s="53" t="s">
        <v>90</v>
      </c>
      <c r="D39" s="71" t="s">
        <v>91</v>
      </c>
      <c r="E39" s="74" t="s">
        <v>121</v>
      </c>
      <c r="F39" s="82" t="s">
        <v>127</v>
      </c>
      <c r="G39" s="56">
        <v>21</v>
      </c>
      <c r="H39" s="86">
        <v>450</v>
      </c>
      <c r="I39" s="78">
        <f t="shared" si="0"/>
        <v>9450</v>
      </c>
    </row>
    <row r="40" spans="1:9" ht="30" x14ac:dyDescent="0.2">
      <c r="A40" s="67">
        <v>31</v>
      </c>
      <c r="B40" s="63" t="s">
        <v>86</v>
      </c>
      <c r="C40" s="53" t="s">
        <v>90</v>
      </c>
      <c r="D40" s="71" t="s">
        <v>91</v>
      </c>
      <c r="E40" s="74" t="s">
        <v>122</v>
      </c>
      <c r="F40" s="82" t="s">
        <v>127</v>
      </c>
      <c r="G40" s="56">
        <v>6</v>
      </c>
      <c r="H40" s="86">
        <v>250</v>
      </c>
      <c r="I40" s="78">
        <f t="shared" si="0"/>
        <v>1500</v>
      </c>
    </row>
    <row r="41" spans="1:9" ht="45" x14ac:dyDescent="0.2">
      <c r="A41" s="67">
        <v>32</v>
      </c>
      <c r="B41" s="63" t="s">
        <v>87</v>
      </c>
      <c r="C41" s="53" t="s">
        <v>90</v>
      </c>
      <c r="D41" s="71" t="s">
        <v>91</v>
      </c>
      <c r="E41" s="74" t="s">
        <v>123</v>
      </c>
      <c r="F41" s="82" t="s">
        <v>127</v>
      </c>
      <c r="G41" s="56">
        <v>90</v>
      </c>
      <c r="H41" s="86">
        <v>200</v>
      </c>
      <c r="I41" s="78">
        <f t="shared" si="0"/>
        <v>18000</v>
      </c>
    </row>
    <row r="42" spans="1:9" ht="30.75" thickBot="1" x14ac:dyDescent="0.25">
      <c r="A42" s="68">
        <v>33</v>
      </c>
      <c r="B42" s="64" t="s">
        <v>88</v>
      </c>
      <c r="C42" s="58" t="s">
        <v>90</v>
      </c>
      <c r="D42" s="72" t="s">
        <v>91</v>
      </c>
      <c r="E42" s="75" t="s">
        <v>124</v>
      </c>
      <c r="F42" s="83" t="s">
        <v>127</v>
      </c>
      <c r="G42" s="57">
        <v>21</v>
      </c>
      <c r="H42" s="87">
        <v>300</v>
      </c>
      <c r="I42" s="79">
        <f t="shared" si="0"/>
        <v>6300</v>
      </c>
    </row>
    <row r="44" spans="1:9" ht="13.5" thickBot="1" x14ac:dyDescent="0.25"/>
    <row r="45" spans="1:9" ht="15" x14ac:dyDescent="0.25">
      <c r="B45" s="145" t="s">
        <v>140</v>
      </c>
      <c r="C45" s="146"/>
      <c r="D45" s="146"/>
      <c r="E45" s="147"/>
    </row>
    <row r="46" spans="1:9" ht="15" x14ac:dyDescent="0.25">
      <c r="B46" s="113" t="s">
        <v>141</v>
      </c>
      <c r="C46" s="114"/>
      <c r="D46" s="114"/>
      <c r="E46" s="115"/>
    </row>
    <row r="47" spans="1:9" ht="15" x14ac:dyDescent="0.25">
      <c r="B47" s="113" t="s">
        <v>147</v>
      </c>
      <c r="C47" s="114"/>
      <c r="D47" s="114"/>
      <c r="E47" s="115"/>
    </row>
    <row r="48" spans="1:9" ht="15" x14ac:dyDescent="0.25">
      <c r="B48" s="113" t="s">
        <v>142</v>
      </c>
      <c r="C48" s="114"/>
      <c r="D48" s="114"/>
      <c r="E48" s="115"/>
    </row>
    <row r="49" spans="2:9" ht="15" x14ac:dyDescent="0.25">
      <c r="B49" s="113" t="s">
        <v>143</v>
      </c>
      <c r="C49" s="114"/>
      <c r="D49" s="114"/>
      <c r="E49" s="115"/>
    </row>
    <row r="50" spans="2:9" ht="12" customHeight="1" x14ac:dyDescent="0.25">
      <c r="B50" s="116"/>
      <c r="C50" s="114"/>
      <c r="D50" s="114"/>
      <c r="E50" s="115"/>
    </row>
    <row r="51" spans="2:9" ht="15" x14ac:dyDescent="0.25">
      <c r="B51" s="148" t="s">
        <v>53</v>
      </c>
      <c r="C51" s="149"/>
      <c r="D51" s="149"/>
      <c r="E51" s="150"/>
    </row>
    <row r="52" spans="2:9" ht="145.5" customHeight="1" x14ac:dyDescent="0.2">
      <c r="B52" s="131" t="s">
        <v>148</v>
      </c>
      <c r="C52" s="132"/>
      <c r="D52" s="132"/>
      <c r="E52" s="133"/>
    </row>
    <row r="53" spans="2:9" ht="16.5" customHeight="1" x14ac:dyDescent="0.25">
      <c r="B53" s="148" t="s">
        <v>54</v>
      </c>
      <c r="C53" s="149"/>
      <c r="D53" s="149"/>
      <c r="E53" s="150"/>
    </row>
    <row r="54" spans="2:9" ht="15" x14ac:dyDescent="0.25">
      <c r="B54" s="128" t="s">
        <v>136</v>
      </c>
      <c r="C54" s="129"/>
      <c r="D54" s="129"/>
      <c r="E54" s="130"/>
    </row>
    <row r="55" spans="2:9" ht="15" x14ac:dyDescent="0.25">
      <c r="B55" s="148" t="s">
        <v>55</v>
      </c>
      <c r="C55" s="149"/>
      <c r="D55" s="149"/>
      <c r="E55" s="150"/>
    </row>
    <row r="56" spans="2:9" ht="15" x14ac:dyDescent="0.25">
      <c r="B56" s="128" t="s">
        <v>134</v>
      </c>
      <c r="C56" s="129"/>
      <c r="D56" s="129"/>
      <c r="E56" s="130"/>
    </row>
    <row r="57" spans="2:9" ht="15" x14ac:dyDescent="0.25">
      <c r="B57" s="148" t="s">
        <v>135</v>
      </c>
      <c r="C57" s="149"/>
      <c r="D57" s="149"/>
      <c r="E57" s="150"/>
    </row>
    <row r="58" spans="2:9" ht="31.5" customHeight="1" thickBot="1" x14ac:dyDescent="0.3">
      <c r="B58" s="215" t="s">
        <v>149</v>
      </c>
      <c r="C58" s="216"/>
      <c r="D58" s="216"/>
      <c r="E58" s="217"/>
      <c r="F58" s="218"/>
      <c r="G58" s="218"/>
      <c r="H58" s="218"/>
      <c r="I58" s="218"/>
    </row>
    <row r="59" spans="2:9" x14ac:dyDescent="0.2">
      <c r="B59" s="44"/>
      <c r="C59" s="13"/>
      <c r="D59" s="13"/>
      <c r="E59" s="13"/>
      <c r="F59" s="218"/>
      <c r="G59" s="218"/>
      <c r="H59" s="218"/>
      <c r="I59" s="218"/>
    </row>
    <row r="60" spans="2:9" x14ac:dyDescent="0.2">
      <c r="C60" s="14"/>
      <c r="D60" s="14"/>
      <c r="E60" s="14"/>
    </row>
  </sheetData>
  <mergeCells count="19">
    <mergeCell ref="B56:E56"/>
    <mergeCell ref="B58:E58"/>
    <mergeCell ref="B45:E45"/>
    <mergeCell ref="B51:E51"/>
    <mergeCell ref="B53:E53"/>
    <mergeCell ref="B55:E55"/>
    <mergeCell ref="B57:E57"/>
    <mergeCell ref="B2:H2"/>
    <mergeCell ref="A4:B4"/>
    <mergeCell ref="A5:B5"/>
    <mergeCell ref="B54:E54"/>
    <mergeCell ref="B52:E52"/>
    <mergeCell ref="C4:I4"/>
    <mergeCell ref="C5:I5"/>
    <mergeCell ref="C6:I6"/>
    <mergeCell ref="C7:I7"/>
    <mergeCell ref="A6:B6"/>
    <mergeCell ref="A7:B7"/>
    <mergeCell ref="F58:I59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6"/>
  <sheetViews>
    <sheetView workbookViewId="0">
      <selection activeCell="A2" sqref="A2"/>
    </sheetView>
  </sheetViews>
  <sheetFormatPr baseColWidth="10" defaultColWidth="9.140625" defaultRowHeight="12.75" x14ac:dyDescent="0.2"/>
  <cols>
    <col min="1" max="1" width="7.28515625" style="2" customWidth="1"/>
    <col min="2" max="2" width="18.28515625" style="2" customWidth="1"/>
    <col min="3" max="3" width="85.85546875" style="2" customWidth="1"/>
    <col min="4" max="4" width="9.140625" style="2" customWidth="1"/>
    <col min="5" max="5" width="11" style="2" customWidth="1"/>
    <col min="6" max="6" width="10.7109375" style="2" customWidth="1"/>
    <col min="7" max="7" width="9.140625" style="2" customWidth="1"/>
    <col min="8" max="8" width="9.28515625" style="2" customWidth="1"/>
    <col min="9" max="9" width="12" style="2" customWidth="1"/>
    <col min="10" max="10" width="14.7109375" style="2" customWidth="1"/>
    <col min="11" max="11" width="13.8554687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thickBot="1" x14ac:dyDescent="0.25">
      <c r="A1" s="173" t="s">
        <v>14</v>
      </c>
      <c r="B1" s="173"/>
      <c r="C1" s="173"/>
      <c r="D1" s="173"/>
      <c r="E1" s="173"/>
      <c r="F1" s="173"/>
      <c r="G1" s="173"/>
      <c r="H1" s="120"/>
      <c r="I1" s="120"/>
    </row>
    <row r="2" spans="1:11" ht="18.75" customHeight="1" thickBot="1" x14ac:dyDescent="0.25">
      <c r="A2" s="3"/>
      <c r="B2" s="3"/>
      <c r="C2" s="3"/>
      <c r="D2" s="3"/>
      <c r="E2" s="3"/>
      <c r="F2" s="48" t="s">
        <v>15</v>
      </c>
      <c r="G2" s="43" t="s">
        <v>133</v>
      </c>
      <c r="H2" s="3"/>
      <c r="I2" s="3"/>
      <c r="J2" s="3"/>
      <c r="K2" s="3"/>
    </row>
    <row r="3" spans="1:11" ht="7.5" customHeight="1" thickBot="1" x14ac:dyDescent="0.25">
      <c r="A3" s="3"/>
      <c r="B3" s="3"/>
      <c r="C3" s="3"/>
      <c r="D3" s="3"/>
      <c r="E3" s="3"/>
      <c r="F3" s="89"/>
      <c r="G3" s="90"/>
      <c r="H3" s="3"/>
      <c r="I3" s="3"/>
      <c r="J3" s="3"/>
      <c r="K3" s="3"/>
    </row>
    <row r="4" spans="1:11" ht="18.75" customHeight="1" x14ac:dyDescent="0.2">
      <c r="A4" s="177" t="s">
        <v>48</v>
      </c>
      <c r="B4" s="178"/>
      <c r="C4" s="174" t="str">
        <f>'Necesidades Trimestrales'!C4</f>
        <v>12 -Ministerio de Gobierno, Justicia y Derechos Humanos.</v>
      </c>
      <c r="D4" s="175"/>
      <c r="E4" s="175"/>
      <c r="F4" s="175"/>
      <c r="G4" s="176"/>
      <c r="H4" s="50"/>
      <c r="I4" s="50"/>
      <c r="J4" s="50"/>
    </row>
    <row r="5" spans="1:11" ht="18.75" customHeight="1" x14ac:dyDescent="0.2">
      <c r="A5" s="171" t="s">
        <v>49</v>
      </c>
      <c r="B5" s="172"/>
      <c r="C5" s="151" t="str">
        <f>'Necesidades Trimestrales'!C5</f>
        <v>06 - Secretaria de Gestion Administrativa del Ministerio de Gobierno, Justicia y Derechos Humanos</v>
      </c>
      <c r="D5" s="152"/>
      <c r="E5" s="152"/>
      <c r="F5" s="152"/>
      <c r="G5" s="153"/>
      <c r="H5" s="50"/>
      <c r="I5" s="50"/>
      <c r="J5" s="50"/>
    </row>
    <row r="6" spans="1:11" ht="18.75" customHeight="1" x14ac:dyDescent="0.2">
      <c r="A6" s="171" t="s">
        <v>27</v>
      </c>
      <c r="B6" s="172"/>
      <c r="C6" s="151" t="s">
        <v>131</v>
      </c>
      <c r="D6" s="152"/>
      <c r="E6" s="152"/>
      <c r="F6" s="152"/>
      <c r="G6" s="153"/>
      <c r="H6" s="50"/>
      <c r="I6" s="50"/>
      <c r="J6" s="50"/>
    </row>
    <row r="7" spans="1:11" ht="16.5" customHeight="1" x14ac:dyDescent="0.2">
      <c r="A7" s="171" t="s">
        <v>50</v>
      </c>
      <c r="B7" s="172"/>
      <c r="C7" s="151" t="s">
        <v>130</v>
      </c>
      <c r="D7" s="152"/>
      <c r="E7" s="152"/>
      <c r="F7" s="152"/>
      <c r="G7" s="153"/>
      <c r="H7" s="50"/>
      <c r="I7" s="50"/>
      <c r="J7" s="50"/>
    </row>
    <row r="8" spans="1:11" ht="16.5" customHeight="1" x14ac:dyDescent="0.2">
      <c r="A8" s="171" t="s">
        <v>16</v>
      </c>
      <c r="B8" s="172"/>
      <c r="C8" s="151" t="s">
        <v>145</v>
      </c>
      <c r="D8" s="152"/>
      <c r="E8" s="152"/>
      <c r="F8" s="152"/>
      <c r="G8" s="153"/>
      <c r="H8" s="51"/>
      <c r="I8" s="51"/>
      <c r="J8" s="51"/>
    </row>
    <row r="9" spans="1:11" ht="16.5" customHeight="1" thickBot="1" x14ac:dyDescent="0.25">
      <c r="A9" s="154" t="s">
        <v>17</v>
      </c>
      <c r="B9" s="155"/>
      <c r="C9" s="161" t="s">
        <v>132</v>
      </c>
      <c r="D9" s="162"/>
      <c r="E9" s="162"/>
      <c r="F9" s="162"/>
      <c r="G9" s="163"/>
      <c r="H9" s="52"/>
      <c r="I9" s="52"/>
      <c r="J9" s="52"/>
    </row>
    <row r="10" spans="1:11" ht="16.5" customHeight="1" thickBot="1" x14ac:dyDescent="0.25">
      <c r="A10" s="91"/>
      <c r="B10" s="92"/>
      <c r="C10" s="93"/>
      <c r="D10" s="93"/>
      <c r="E10" s="49"/>
      <c r="F10" s="49"/>
      <c r="G10" s="94"/>
      <c r="H10" s="52"/>
      <c r="I10" s="52"/>
      <c r="J10" s="52"/>
    </row>
    <row r="11" spans="1:11" ht="18.75" customHeight="1" x14ac:dyDescent="0.2">
      <c r="A11" s="165" t="s">
        <v>18</v>
      </c>
      <c r="B11" s="167" t="s">
        <v>19</v>
      </c>
      <c r="C11" s="156" t="s">
        <v>20</v>
      </c>
      <c r="D11" s="169" t="s">
        <v>21</v>
      </c>
      <c r="E11" s="169" t="s">
        <v>22</v>
      </c>
      <c r="F11" s="169" t="s">
        <v>23</v>
      </c>
      <c r="G11" s="169" t="s">
        <v>24</v>
      </c>
    </row>
    <row r="12" spans="1:11" ht="24" customHeight="1" thickBot="1" x14ac:dyDescent="0.25">
      <c r="A12" s="166"/>
      <c r="B12" s="168"/>
      <c r="C12" s="157"/>
      <c r="D12" s="170"/>
      <c r="E12" s="170"/>
      <c r="F12" s="170"/>
      <c r="G12" s="170"/>
    </row>
    <row r="13" spans="1:11" ht="15" x14ac:dyDescent="0.2">
      <c r="A13" s="95">
        <f>'Necesidades Trimestrales'!A10</f>
        <v>1</v>
      </c>
      <c r="B13" s="98" t="str">
        <f>'Necesidades Trimestrales'!B10</f>
        <v>2.1.1-541.122</v>
      </c>
      <c r="C13" s="101" t="str">
        <f>'Necesidades Trimestrales'!E10</f>
        <v>CARNES; CORTE: CHORIZO CONGELADO, TIPO: VACUNA, ESPECIE: VACUNA</v>
      </c>
      <c r="D13" s="104" t="s">
        <v>89</v>
      </c>
      <c r="E13" s="104" t="str">
        <f>'Necesidades Trimestrales'!F10</f>
        <v>KG</v>
      </c>
      <c r="F13" s="107">
        <f>'Necesidades Trimestrales'!H10</f>
        <v>600</v>
      </c>
      <c r="G13" s="104">
        <f>'Necesidades Trimestrales'!G10</f>
        <v>30</v>
      </c>
    </row>
    <row r="14" spans="1:11" ht="15" x14ac:dyDescent="0.2">
      <c r="A14" s="96">
        <f>'Necesidades Trimestrales'!A11</f>
        <v>2</v>
      </c>
      <c r="B14" s="99" t="str">
        <f>'Necesidades Trimestrales'!B11</f>
        <v>2.1.1-541.45</v>
      </c>
      <c r="C14" s="102" t="str">
        <f>'Necesidades Trimestrales'!E11</f>
        <v>CARNES; CORTE: HIGADO, ESPECIE: VACUNA, TIPO: VACUNA</v>
      </c>
      <c r="D14" s="105" t="s">
        <v>89</v>
      </c>
      <c r="E14" s="105" t="str">
        <f>'Necesidades Trimestrales'!F11</f>
        <v>KG</v>
      </c>
      <c r="F14" s="108">
        <f>'Necesidades Trimestrales'!H11</f>
        <v>300</v>
      </c>
      <c r="G14" s="105">
        <f>'Necesidades Trimestrales'!G11</f>
        <v>60</v>
      </c>
    </row>
    <row r="15" spans="1:11" ht="15" x14ac:dyDescent="0.2">
      <c r="A15" s="96">
        <f>'Necesidades Trimestrales'!A12</f>
        <v>3</v>
      </c>
      <c r="B15" s="99" t="str">
        <f>'Necesidades Trimestrales'!B12</f>
        <v>2.1.1-541.49</v>
      </c>
      <c r="C15" s="102" t="str">
        <f>'Necesidades Trimestrales'!E12</f>
        <v>CARNES; ESPECIE: VACUNA, CORTE: NALGA, TIPO: VACUNA</v>
      </c>
      <c r="D15" s="105" t="s">
        <v>89</v>
      </c>
      <c r="E15" s="105" t="str">
        <f>'Necesidades Trimestrales'!F12</f>
        <v>KG</v>
      </c>
      <c r="F15" s="108">
        <f>'Necesidades Trimestrales'!H12</f>
        <v>1200</v>
      </c>
      <c r="G15" s="105">
        <f>'Necesidades Trimestrales'!G12</f>
        <v>90</v>
      </c>
    </row>
    <row r="16" spans="1:11" ht="15" x14ac:dyDescent="0.2">
      <c r="A16" s="96">
        <f>'Necesidades Trimestrales'!A13</f>
        <v>4</v>
      </c>
      <c r="B16" s="99" t="str">
        <f>'Necesidades Trimestrales'!B13</f>
        <v>2.1.1-541.34</v>
      </c>
      <c r="C16" s="102" t="str">
        <f>'Necesidades Trimestrales'!E13</f>
        <v>CARNES; CORTE: OSOBUCO, TIPO: VACUNA, ESPECIE: VACUNA</v>
      </c>
      <c r="D16" s="105" t="s">
        <v>89</v>
      </c>
      <c r="E16" s="105" t="str">
        <f>'Necesidades Trimestrales'!F13</f>
        <v>KG</v>
      </c>
      <c r="F16" s="108">
        <f>'Necesidades Trimestrales'!H13</f>
        <v>500</v>
      </c>
      <c r="G16" s="105">
        <f>'Necesidades Trimestrales'!G13</f>
        <v>90</v>
      </c>
    </row>
    <row r="17" spans="1:7" ht="15" x14ac:dyDescent="0.2">
      <c r="A17" s="96">
        <f>'Necesidades Trimestrales'!A14</f>
        <v>5</v>
      </c>
      <c r="B17" s="99" t="str">
        <f>'Necesidades Trimestrales'!B14</f>
        <v>2.1.1-541.70</v>
      </c>
      <c r="C17" s="102" t="str">
        <f>'Necesidades Trimestrales'!E14</f>
        <v>CARNES; CORTE: CARRE CON LOMO, TIPO: PORCINA, ESPECIE: PORCINA</v>
      </c>
      <c r="D17" s="105" t="s">
        <v>89</v>
      </c>
      <c r="E17" s="105" t="str">
        <f>'Necesidades Trimestrales'!F14</f>
        <v>KG</v>
      </c>
      <c r="F17" s="108">
        <f>'Necesidades Trimestrales'!H14</f>
        <v>900</v>
      </c>
      <c r="G17" s="105">
        <f>'Necesidades Trimestrales'!G14</f>
        <v>90</v>
      </c>
    </row>
    <row r="18" spans="1:7" ht="15" x14ac:dyDescent="0.2">
      <c r="A18" s="96">
        <f>'Necesidades Trimestrales'!A15</f>
        <v>6</v>
      </c>
      <c r="B18" s="99" t="str">
        <f>'Necesidades Trimestrales'!B15</f>
        <v>2.1.1-621.13</v>
      </c>
      <c r="C18" s="102" t="str">
        <f>'Necesidades Trimestrales'!E15</f>
        <v>AVES; ESPECIE: POLLO, PRESENTACION: CAJON X 8 UN, EVISCERADO: SIN VALOR, TIPO: POLLO</v>
      </c>
      <c r="D18" s="105" t="s">
        <v>89</v>
      </c>
      <c r="E18" s="118" t="str">
        <f>'Necesidades Trimestrales'!F15</f>
        <v>CAJON</v>
      </c>
      <c r="F18" s="108">
        <f>'Necesidades Trimestrales'!H15</f>
        <v>4500</v>
      </c>
      <c r="G18" s="105">
        <f>'Necesidades Trimestrales'!G15</f>
        <v>6</v>
      </c>
    </row>
    <row r="19" spans="1:7" ht="15" x14ac:dyDescent="0.2">
      <c r="A19" s="96">
        <f>'Necesidades Trimestrales'!A16</f>
        <v>7</v>
      </c>
      <c r="B19" s="99" t="str">
        <f>'Necesidades Trimestrales'!B16</f>
        <v>2.1.1-2116.2</v>
      </c>
      <c r="C19" s="102" t="str">
        <f>'Necesidades Trimestrales'!E16</f>
        <v>LEVADURAS; TIPO: DE CERVEZA, PRESENTACION: PAQUETE, PESO: 1 Kg</v>
      </c>
      <c r="D19" s="105" t="s">
        <v>89</v>
      </c>
      <c r="E19" s="118" t="str">
        <f>'Necesidades Trimestrales'!F16</f>
        <v>UNIDAD</v>
      </c>
      <c r="F19" s="108">
        <f>'Necesidades Trimestrales'!H16</f>
        <v>300</v>
      </c>
      <c r="G19" s="105">
        <f>'Necesidades Trimestrales'!G16</f>
        <v>8</v>
      </c>
    </row>
    <row r="20" spans="1:7" ht="15" x14ac:dyDescent="0.2">
      <c r="A20" s="96">
        <f>'Necesidades Trimestrales'!A17</f>
        <v>8</v>
      </c>
      <c r="B20" s="99" t="str">
        <f>'Necesidades Trimestrales'!B17</f>
        <v>2.1.1-969.82</v>
      </c>
      <c r="C20" s="102" t="str">
        <f>'Necesidades Trimestrales'!E17</f>
        <v>FIAMBRES; TIPO: JAMON COCIDO, PRESENTACION: AL PESO</v>
      </c>
      <c r="D20" s="105" t="s">
        <v>89</v>
      </c>
      <c r="E20" s="105" t="str">
        <f>'Necesidades Trimestrales'!F17</f>
        <v>KG</v>
      </c>
      <c r="F20" s="108">
        <f>'Necesidades Trimestrales'!H17</f>
        <v>760</v>
      </c>
      <c r="G20" s="105">
        <f>'Necesidades Trimestrales'!G17</f>
        <v>15</v>
      </c>
    </row>
    <row r="21" spans="1:7" ht="45" x14ac:dyDescent="0.2">
      <c r="A21" s="96">
        <f>'Necesidades Trimestrales'!A18</f>
        <v>9</v>
      </c>
      <c r="B21" s="99" t="str">
        <f>'Necesidades Trimestrales'!B18</f>
        <v>2.1.1-542.236</v>
      </c>
      <c r="C21" s="102" t="str">
        <f>'Necesidades Trimestrales'!E18</f>
        <v>QUESOS; TIPO: CREMOSO, PRESENTACION: AL PESO, ELEM. TRANSPORTE: SIN, MATERIAL ELEM. TRANSPORTE: SIN, MATERIAL ENVASE: SIN, CERTIFICADO FORESTAL (GFS): SIN, LIBRE DE GLUTEN: A DEFINIR</v>
      </c>
      <c r="D21" s="105" t="s">
        <v>89</v>
      </c>
      <c r="E21" s="105" t="str">
        <f>'Necesidades Trimestrales'!F18</f>
        <v>KG</v>
      </c>
      <c r="F21" s="108">
        <f>'Necesidades Trimestrales'!H18</f>
        <v>700</v>
      </c>
      <c r="G21" s="105">
        <f>'Necesidades Trimestrales'!G18</f>
        <v>12</v>
      </c>
    </row>
    <row r="22" spans="1:7" ht="45" x14ac:dyDescent="0.2">
      <c r="A22" s="96">
        <f>'Necesidades Trimestrales'!A19</f>
        <v>10</v>
      </c>
      <c r="B22" s="99" t="str">
        <f>'Necesidades Trimestrales'!B19</f>
        <v>2.1.1-542.197</v>
      </c>
      <c r="C22" s="102" t="str">
        <f>'Necesidades Trimestrales'!E19</f>
        <v>QUESOS; TIPO: TYBO, PRESENTACION: HORMA, ELEM. TRANSPORTE: SIN, MATERIAL ELEM. TRANSPORTE: SIN, MATERIAL ENVASE: PLASTICO, CERTIFICADO FORESTAL (GFS): SIN, LIBRE DE GLUTEN: NO</v>
      </c>
      <c r="D22" s="105" t="s">
        <v>89</v>
      </c>
      <c r="E22" s="105" t="str">
        <f>'Necesidades Trimestrales'!F19</f>
        <v>KG</v>
      </c>
      <c r="F22" s="108">
        <f>'Necesidades Trimestrales'!H19</f>
        <v>3800</v>
      </c>
      <c r="G22" s="105">
        <f>'Necesidades Trimestrales'!G19</f>
        <v>18</v>
      </c>
    </row>
    <row r="23" spans="1:7" ht="15" x14ac:dyDescent="0.2">
      <c r="A23" s="96">
        <f>'Necesidades Trimestrales'!A20</f>
        <v>11</v>
      </c>
      <c r="B23" s="99" t="str">
        <f>'Necesidades Trimestrales'!B20</f>
        <v>2.1.1-6539.30</v>
      </c>
      <c r="C23" s="102" t="str">
        <f>'Necesidades Trimestrales'!E20</f>
        <v>FRUTAS; VARIEDAD: BANANA, PRESENTACION: CAJON, ESTADO: NATURAL, PESO: SIN VALOR</v>
      </c>
      <c r="D23" s="105" t="s">
        <v>89</v>
      </c>
      <c r="E23" s="105" t="str">
        <f>'Necesidades Trimestrales'!F20</f>
        <v>KG</v>
      </c>
      <c r="F23" s="108">
        <f>'Necesidades Trimestrales'!H20</f>
        <v>270</v>
      </c>
      <c r="G23" s="105">
        <f>'Necesidades Trimestrales'!G20</f>
        <v>70</v>
      </c>
    </row>
    <row r="24" spans="1:7" ht="30" x14ac:dyDescent="0.2">
      <c r="A24" s="96">
        <f>'Necesidades Trimestrales'!A21</f>
        <v>12</v>
      </c>
      <c r="B24" s="99" t="str">
        <f>'Necesidades Trimestrales'!B21</f>
        <v>2.1.1-6539.20</v>
      </c>
      <c r="C24" s="102" t="str">
        <f>'Necesidades Trimestrales'!E21</f>
        <v>FRUTAS; ESTADO: NATURAL, VARIEDAD: MANZANA RED DELICIOSA, PRESENTACION: CAJON, PESO: SIN VALOR</v>
      </c>
      <c r="D24" s="105" t="s">
        <v>89</v>
      </c>
      <c r="E24" s="105" t="str">
        <f>'Necesidades Trimestrales'!F21</f>
        <v>KG</v>
      </c>
      <c r="F24" s="108">
        <f>'Necesidades Trimestrales'!H21</f>
        <v>290</v>
      </c>
      <c r="G24" s="105">
        <f>'Necesidades Trimestrales'!G21</f>
        <v>50</v>
      </c>
    </row>
    <row r="25" spans="1:7" ht="30" x14ac:dyDescent="0.2">
      <c r="A25" s="96">
        <f>'Necesidades Trimestrales'!A22</f>
        <v>13</v>
      </c>
      <c r="B25" s="99" t="str">
        <f>'Necesidades Trimestrales'!B22</f>
        <v>2.1.1-6539.6</v>
      </c>
      <c r="C25" s="102" t="str">
        <f>'Necesidades Trimestrales'!E22</f>
        <v>FRUTAS; ESTADO: NATURAL, VARIEDAD: NARANJA ESPECIAL, PRESENTACION: A GRANEL, PESO: SIN VALOR</v>
      </c>
      <c r="D25" s="105" t="s">
        <v>89</v>
      </c>
      <c r="E25" s="105" t="str">
        <f>'Necesidades Trimestrales'!F22</f>
        <v>KG</v>
      </c>
      <c r="F25" s="108">
        <f>'Necesidades Trimestrales'!H22</f>
        <v>240</v>
      </c>
      <c r="G25" s="105">
        <f>'Necesidades Trimestrales'!G22</f>
        <v>54</v>
      </c>
    </row>
    <row r="26" spans="1:7" ht="45" x14ac:dyDescent="0.2">
      <c r="A26" s="96">
        <f>'Necesidades Trimestrales'!A23</f>
        <v>14</v>
      </c>
      <c r="B26" s="99" t="str">
        <f>'Necesidades Trimestrales'!B23</f>
        <v>2.1.1-6546.390</v>
      </c>
      <c r="C26" s="102" t="str">
        <f>'Necesidades Trimestrales'!E23</f>
        <v>VERDURAS Y HORTALIZAS; VARIEDAD: TOMATE REDONDO, ESTADO: NATURAL, PRESENTACION: CAJON, PESO: 17 A 22 Kg, ELEM. TRANSPORTE: SIN, MATERIAL ELEM. TRANSPORTE: SIN, LIBRE DE GLUTEN: SI, ORGANICO: NO</v>
      </c>
      <c r="D26" s="105" t="s">
        <v>89</v>
      </c>
      <c r="E26" s="105" t="str">
        <f>'Necesidades Trimestrales'!F23</f>
        <v>KG</v>
      </c>
      <c r="F26" s="108">
        <f>'Necesidades Trimestrales'!H23</f>
        <v>230</v>
      </c>
      <c r="G26" s="105">
        <f>'Necesidades Trimestrales'!G23</f>
        <v>90</v>
      </c>
    </row>
    <row r="27" spans="1:7" ht="15" x14ac:dyDescent="0.2">
      <c r="A27" s="96">
        <f>'Necesidades Trimestrales'!A24</f>
        <v>15</v>
      </c>
      <c r="B27" s="99" t="str">
        <f>'Necesidades Trimestrales'!B24</f>
        <v>2.1.1-669.27</v>
      </c>
      <c r="C27" s="102" t="str">
        <f>'Necesidades Trimestrales'!E24</f>
        <v>PANES; TIPO: MIÑON, PRESENTACION: GRANEL</v>
      </c>
      <c r="D27" s="105" t="s">
        <v>89</v>
      </c>
      <c r="E27" s="105" t="str">
        <f>'Necesidades Trimestrales'!F24</f>
        <v>KG</v>
      </c>
      <c r="F27" s="108">
        <f>'Necesidades Trimestrales'!H24</f>
        <v>300</v>
      </c>
      <c r="G27" s="105">
        <f>'Necesidades Trimestrales'!G24</f>
        <v>252</v>
      </c>
    </row>
    <row r="28" spans="1:7" ht="15" x14ac:dyDescent="0.2">
      <c r="A28" s="96">
        <f>'Necesidades Trimestrales'!A25</f>
        <v>16</v>
      </c>
      <c r="B28" s="99" t="str">
        <f>'Necesidades Trimestrales'!B25</f>
        <v>2.1.1-483.37</v>
      </c>
      <c r="C28" s="102" t="str">
        <f>'Necesidades Trimestrales'!E25</f>
        <v>HUEVO DE GALLINA; TAMAÑO: GRANDE, COLOR: COLOR, PRESENTACION: 30 UN</v>
      </c>
      <c r="D28" s="105" t="s">
        <v>89</v>
      </c>
      <c r="E28" s="117" t="str">
        <f>'Necesidades Trimestrales'!F25</f>
        <v>CARTON</v>
      </c>
      <c r="F28" s="108">
        <f>'Necesidades Trimestrales'!H25</f>
        <v>600</v>
      </c>
      <c r="G28" s="105">
        <f>'Necesidades Trimestrales'!G25</f>
        <v>24</v>
      </c>
    </row>
    <row r="29" spans="1:7" ht="30" x14ac:dyDescent="0.2">
      <c r="A29" s="96">
        <f>'Necesidades Trimestrales'!A26</f>
        <v>17</v>
      </c>
      <c r="B29" s="99" t="str">
        <f>'Necesidades Trimestrales'!B26</f>
        <v>2.1.1-6546.34</v>
      </c>
      <c r="C29" s="102" t="str">
        <f>'Necesidades Trimestrales'!E26</f>
        <v>VERDURAS Y HORTALIZAS; VARIEDAD: ACELGA, ESTADO: EN HOJA, PRESENTACION: ATADO, PESO: SIN VALOR</v>
      </c>
      <c r="D29" s="105" t="s">
        <v>89</v>
      </c>
      <c r="E29" s="105" t="str">
        <f>'Necesidades Trimestrales'!F26</f>
        <v>KG</v>
      </c>
      <c r="F29" s="108">
        <f>'Necesidades Trimestrales'!H26</f>
        <v>50</v>
      </c>
      <c r="G29" s="105">
        <f>'Necesidades Trimestrales'!G26</f>
        <v>32</v>
      </c>
    </row>
    <row r="30" spans="1:7" ht="30" x14ac:dyDescent="0.2">
      <c r="A30" s="96">
        <f>'Necesidades Trimestrales'!A27</f>
        <v>18</v>
      </c>
      <c r="B30" s="99" t="str">
        <f>'Necesidades Trimestrales'!B27</f>
        <v>2.1.1-6546.154</v>
      </c>
      <c r="C30" s="102" t="str">
        <f>'Necesidades Trimestrales'!E27</f>
        <v>VERDURAS Y HORTALIZAS; ESTADO: NATURAL, PESO: SIN VALOR, VARIEDAD: AJO, PRESENTACION: UNIDAD</v>
      </c>
      <c r="D30" s="105" t="s">
        <v>89</v>
      </c>
      <c r="E30" s="105" t="str">
        <f>'Necesidades Trimestrales'!F27</f>
        <v>UNIDAD</v>
      </c>
      <c r="F30" s="108">
        <f>'Necesidades Trimestrales'!H27</f>
        <v>100</v>
      </c>
      <c r="G30" s="105">
        <f>'Necesidades Trimestrales'!G27</f>
        <v>72</v>
      </c>
    </row>
    <row r="31" spans="1:7" ht="30" x14ac:dyDescent="0.2">
      <c r="A31" s="96">
        <f>'Necesidades Trimestrales'!A28</f>
        <v>19</v>
      </c>
      <c r="B31" s="99" t="str">
        <f>'Necesidades Trimestrales'!B28</f>
        <v>2.1.1-6546.39</v>
      </c>
      <c r="C31" s="102" t="str">
        <f>'Necesidades Trimestrales'!E28</f>
        <v>VERDURAS Y HORTALIZAS; VARIEDAD: CEBOLLA, ESTADO: NATURAL, PRESENTACION: BOLSA, PESO: 25 Kg</v>
      </c>
      <c r="D31" s="105" t="s">
        <v>89</v>
      </c>
      <c r="E31" s="105" t="str">
        <f>'Necesidades Trimestrales'!F28</f>
        <v>UNIDAD</v>
      </c>
      <c r="F31" s="108">
        <f>'Necesidades Trimestrales'!H28</f>
        <v>2800</v>
      </c>
      <c r="G31" s="105">
        <f>'Necesidades Trimestrales'!G28</f>
        <v>5</v>
      </c>
    </row>
    <row r="32" spans="1:7" ht="45" x14ac:dyDescent="0.2">
      <c r="A32" s="96">
        <f>'Necesidades Trimestrales'!A29</f>
        <v>20</v>
      </c>
      <c r="B32" s="99" t="str">
        <f>'Necesidades Trimestrales'!B29</f>
        <v>2.1.1-6546.374</v>
      </c>
      <c r="C32" s="102" t="str">
        <f>'Necesidades Trimestrales'!E29</f>
        <v>VERDURAS Y HORTALIZAS; VARIEDAD: LECHUGA ARREPOLLADA, ESTADO: NATURAL, PRESENTACION: A GRANEL, PESO: 300 GR CADA PLANTA, ELEM. TRANSPORTE: SIN, MATERIAL ELEM. TRANSPORTE: SIN, LIBRE DE GLUTEN: SI</v>
      </c>
      <c r="D32" s="105" t="s">
        <v>89</v>
      </c>
      <c r="E32" s="105" t="str">
        <f>'Necesidades Trimestrales'!F29</f>
        <v>KG</v>
      </c>
      <c r="F32" s="108">
        <f>'Necesidades Trimestrales'!H29</f>
        <v>150</v>
      </c>
      <c r="G32" s="105">
        <f>'Necesidades Trimestrales'!G29</f>
        <v>42</v>
      </c>
    </row>
    <row r="33" spans="1:9" ht="30" x14ac:dyDescent="0.2">
      <c r="A33" s="96">
        <f>'Necesidades Trimestrales'!A30</f>
        <v>21</v>
      </c>
      <c r="B33" s="99" t="str">
        <f>'Necesidades Trimestrales'!B30</f>
        <v>2.1.1-6546.95</v>
      </c>
      <c r="C33" s="102" t="str">
        <f>'Necesidades Trimestrales'!E30</f>
        <v>VERDURAS Y HORTALIZAS; VARIEDAD: MORRON VERDE, ESTADO: NATURAL, PRESENTACION: GRANEL, PESO: SIN VALOR</v>
      </c>
      <c r="D33" s="105" t="s">
        <v>89</v>
      </c>
      <c r="E33" s="105" t="str">
        <f>'Necesidades Trimestrales'!F30</f>
        <v>KG</v>
      </c>
      <c r="F33" s="108">
        <f>'Necesidades Trimestrales'!H30</f>
        <v>100</v>
      </c>
      <c r="G33" s="105">
        <f>'Necesidades Trimestrales'!G30</f>
        <v>90</v>
      </c>
    </row>
    <row r="34" spans="1:9" ht="30" x14ac:dyDescent="0.2">
      <c r="A34" s="96">
        <f>'Necesidades Trimestrales'!A31</f>
        <v>22</v>
      </c>
      <c r="B34" s="99" t="str">
        <f>'Necesidades Trimestrales'!B31</f>
        <v>2.1.1-6546.234</v>
      </c>
      <c r="C34" s="102" t="str">
        <f>'Necesidades Trimestrales'!E31</f>
        <v>VERDURAS Y HORTALIZAS; VARIEDAD: PAPA, ESTADO: NATURAL, PRESENTACION: BOLSA, PESO: 50 Kg</v>
      </c>
      <c r="D34" s="105" t="s">
        <v>89</v>
      </c>
      <c r="E34" s="118" t="str">
        <f>'Necesidades Trimestrales'!F31</f>
        <v>UNIDAD</v>
      </c>
      <c r="F34" s="108">
        <f>'Necesidades Trimestrales'!H31</f>
        <v>4000</v>
      </c>
      <c r="G34" s="105">
        <f>'Necesidades Trimestrales'!G31</f>
        <v>5</v>
      </c>
    </row>
    <row r="35" spans="1:9" ht="30" x14ac:dyDescent="0.2">
      <c r="A35" s="96">
        <f>'Necesidades Trimestrales'!A32</f>
        <v>23</v>
      </c>
      <c r="B35" s="99" t="str">
        <f>'Necesidades Trimestrales'!B32</f>
        <v>2.1.1-6546.167</v>
      </c>
      <c r="C35" s="102" t="str">
        <f>'Necesidades Trimestrales'!E32</f>
        <v>VERDURAS Y HORTALIZAS; VARIEDAD: ZANAHORIA, PRESENTACION: BOLSA, ESTADO: NATURAL, PESO: 20 Kg</v>
      </c>
      <c r="D35" s="105" t="s">
        <v>89</v>
      </c>
      <c r="E35" s="118" t="str">
        <f>'Necesidades Trimestrales'!F32</f>
        <v>UNIDAD</v>
      </c>
      <c r="F35" s="108">
        <f>'Necesidades Trimestrales'!H32</f>
        <v>2000</v>
      </c>
      <c r="G35" s="105">
        <f>'Necesidades Trimestrales'!G32</f>
        <v>3</v>
      </c>
    </row>
    <row r="36" spans="1:9" ht="30" x14ac:dyDescent="0.2">
      <c r="A36" s="96">
        <f>'Necesidades Trimestrales'!A33</f>
        <v>24</v>
      </c>
      <c r="B36" s="99" t="str">
        <f>'Necesidades Trimestrales'!B33</f>
        <v>2.1.1-6546.231</v>
      </c>
      <c r="C36" s="102" t="str">
        <f>'Necesidades Trimestrales'!E33</f>
        <v>VERDURAS Y HORTALIZAS; VARIEDAD: ZAPALLO ANCO, ESTADO: NATURAL, PRESENTACION: BOLSA, PESO: 20 Kg</v>
      </c>
      <c r="D36" s="105" t="s">
        <v>89</v>
      </c>
      <c r="E36" s="118" t="str">
        <f>'Necesidades Trimestrales'!F33</f>
        <v>UNIDAD</v>
      </c>
      <c r="F36" s="108">
        <f>'Necesidades Trimestrales'!H33</f>
        <v>1000</v>
      </c>
      <c r="G36" s="105">
        <f>'Necesidades Trimestrales'!G33</f>
        <v>2</v>
      </c>
    </row>
    <row r="37" spans="1:9" ht="45" x14ac:dyDescent="0.2">
      <c r="A37" s="96">
        <f>'Necesidades Trimestrales'!A34</f>
        <v>25</v>
      </c>
      <c r="B37" s="99" t="str">
        <f>'Necesidades Trimestrales'!B34</f>
        <v>2.1.1-6546.377</v>
      </c>
      <c r="C37" s="102" t="str">
        <f>'Necesidades Trimestrales'!E34</f>
        <v>VERDURAS Y HORTALIZAS; VARIEDAD: CEBOLLA DE VERDEO, ESTADO: NATURAL, PRESENTACION: CAJON, PESO: 10 Kg, ELEM. TRANSPORTE: CAJON, MATERIAL ELEM. TRANSPORTE: CARTON, LIBRE DE GLUTEN: NO</v>
      </c>
      <c r="D37" s="105" t="s">
        <v>89</v>
      </c>
      <c r="E37" s="105" t="str">
        <f>'Necesidades Trimestrales'!F34</f>
        <v>KG</v>
      </c>
      <c r="F37" s="108">
        <f>'Necesidades Trimestrales'!H34</f>
        <v>100</v>
      </c>
      <c r="G37" s="105">
        <f>'Necesidades Trimestrales'!G34</f>
        <v>24</v>
      </c>
    </row>
    <row r="38" spans="1:9" ht="30" x14ac:dyDescent="0.2">
      <c r="A38" s="96">
        <f>'Necesidades Trimestrales'!A35</f>
        <v>26</v>
      </c>
      <c r="B38" s="99" t="str">
        <f>'Necesidades Trimestrales'!B35</f>
        <v>2.1.1-6546.151</v>
      </c>
      <c r="C38" s="102" t="str">
        <f>'Necesidades Trimestrales'!E35</f>
        <v>VERDURAS Y HORTALIZAS; VARIEDAD: ZAPALLITO REDONDO, ESTADO: NATURAL, PRESENTACION: CAJON, PESO: SIN VALOR</v>
      </c>
      <c r="D38" s="105" t="s">
        <v>89</v>
      </c>
      <c r="E38" s="105" t="str">
        <f>'Necesidades Trimestrales'!F35</f>
        <v>KG</v>
      </c>
      <c r="F38" s="108">
        <f>'Necesidades Trimestrales'!H35</f>
        <v>180</v>
      </c>
      <c r="G38" s="105">
        <f>'Necesidades Trimestrales'!G35</f>
        <v>30</v>
      </c>
    </row>
    <row r="39" spans="1:9" ht="30" x14ac:dyDescent="0.2">
      <c r="A39" s="96">
        <f>'Necesidades Trimestrales'!A36</f>
        <v>27</v>
      </c>
      <c r="B39" s="99" t="str">
        <f>'Necesidades Trimestrales'!B36</f>
        <v>2.1.1-6546.162</v>
      </c>
      <c r="C39" s="102" t="str">
        <f>'Necesidades Trimestrales'!E36</f>
        <v>VERDURAS Y HORTALIZAS; VARIEDAD: ZAPALLO CRIOLLO, ESTADO: NATURAL, PRESENTACION: UNIDAD, PESO: SIN VALOR</v>
      </c>
      <c r="D39" s="105" t="s">
        <v>89</v>
      </c>
      <c r="E39" s="105" t="str">
        <f>'Necesidades Trimestrales'!F36</f>
        <v>KG</v>
      </c>
      <c r="F39" s="108">
        <f>'Necesidades Trimestrales'!H36</f>
        <v>150</v>
      </c>
      <c r="G39" s="105">
        <f>'Necesidades Trimestrales'!G36</f>
        <v>30</v>
      </c>
    </row>
    <row r="40" spans="1:9" ht="15" x14ac:dyDescent="0.2">
      <c r="A40" s="96">
        <f>'Necesidades Trimestrales'!A37</f>
        <v>28</v>
      </c>
      <c r="B40" s="99" t="str">
        <f>'Necesidades Trimestrales'!B37</f>
        <v>2.1.1-6539.84</v>
      </c>
      <c r="C40" s="102" t="str">
        <f>'Necesidades Trimestrales'!E37</f>
        <v>FRUTAS; VARIEDAD: LIMON, ESTADO: NATURAL, PRESENTACION: CAJON X 1 Kg, PESO: 1 Kg</v>
      </c>
      <c r="D40" s="105" t="s">
        <v>89</v>
      </c>
      <c r="E40" s="105" t="str">
        <f>'Necesidades Trimestrales'!F37</f>
        <v>KG</v>
      </c>
      <c r="F40" s="108">
        <f>'Necesidades Trimestrales'!H37</f>
        <v>200</v>
      </c>
      <c r="G40" s="105">
        <f>'Necesidades Trimestrales'!G37</f>
        <v>30</v>
      </c>
    </row>
    <row r="41" spans="1:9" ht="15" x14ac:dyDescent="0.2">
      <c r="A41" s="96">
        <f>'Necesidades Trimestrales'!A38</f>
        <v>29</v>
      </c>
      <c r="B41" s="99" t="str">
        <f>'Necesidades Trimestrales'!B38</f>
        <v>2.1.1-969.56</v>
      </c>
      <c r="C41" s="102" t="str">
        <f>'Necesidades Trimestrales'!E38</f>
        <v>FIAMBRES; PRESENTACION: AL PESO, TIPO: PALETA</v>
      </c>
      <c r="D41" s="105" t="s">
        <v>89</v>
      </c>
      <c r="E41" s="105" t="str">
        <f>'Necesidades Trimestrales'!F38</f>
        <v>KG</v>
      </c>
      <c r="F41" s="108">
        <f>'Necesidades Trimestrales'!H38</f>
        <v>1500</v>
      </c>
      <c r="G41" s="105">
        <f>'Necesidades Trimestrales'!G38</f>
        <v>18</v>
      </c>
    </row>
    <row r="42" spans="1:9" ht="15" x14ac:dyDescent="0.2">
      <c r="A42" s="96">
        <f>'Necesidades Trimestrales'!A39</f>
        <v>30</v>
      </c>
      <c r="B42" s="99" t="str">
        <f>'Necesidades Trimestrales'!B39</f>
        <v>2.1.1-515.5</v>
      </c>
      <c r="C42" s="102" t="str">
        <f>'Necesidades Trimestrales'!E39</f>
        <v>MANTECAS; SAL: SIN, TIPO: SIN VALOR, CONSISTENCIA: UNTABLE, PESO: 200 GR</v>
      </c>
      <c r="D42" s="105" t="s">
        <v>89</v>
      </c>
      <c r="E42" s="118" t="str">
        <f>'Necesidades Trimestrales'!F39</f>
        <v>UNIDAD</v>
      </c>
      <c r="F42" s="108">
        <f>'Necesidades Trimestrales'!H39</f>
        <v>450</v>
      </c>
      <c r="G42" s="105">
        <f>'Necesidades Trimestrales'!G39</f>
        <v>21</v>
      </c>
    </row>
    <row r="43" spans="1:9" ht="15" x14ac:dyDescent="0.2">
      <c r="A43" s="96">
        <f>'Necesidades Trimestrales'!A40</f>
        <v>31</v>
      </c>
      <c r="B43" s="99" t="str">
        <f>'Necesidades Trimestrales'!B40</f>
        <v>2.1.1-438.52</v>
      </c>
      <c r="C43" s="102" t="str">
        <f>'Necesidades Trimestrales'!E40</f>
        <v>ADEREZOS; TIPO: MAYONESA, ENVASE: FRASCO, PRESENTACION: ENVASE X 500 GR</v>
      </c>
      <c r="D43" s="105" t="s">
        <v>89</v>
      </c>
      <c r="E43" s="118" t="str">
        <f>'Necesidades Trimestrales'!F40</f>
        <v>UNIDAD</v>
      </c>
      <c r="F43" s="108">
        <f>'Necesidades Trimestrales'!H40</f>
        <v>250</v>
      </c>
      <c r="G43" s="105">
        <f>'Necesidades Trimestrales'!G40</f>
        <v>6</v>
      </c>
    </row>
    <row r="44" spans="1:9" ht="30" x14ac:dyDescent="0.2">
      <c r="A44" s="96">
        <f>'Necesidades Trimestrales'!A41</f>
        <v>32</v>
      </c>
      <c r="B44" s="99" t="str">
        <f>'Necesidades Trimestrales'!B41</f>
        <v>2.1.1-456.22</v>
      </c>
      <c r="C44" s="102" t="str">
        <f>'Necesidades Trimestrales'!E41</f>
        <v>YOGHURT; CAPACIDAD: 1 L, SABOR: FRUTILLA, TIPO: ENTERO, ENVASE: SACHET, AGREGADO: SIN VALOR, CONSISTENCIA: BEBIBLE, PRESENTACION: SACHET X 1 L</v>
      </c>
      <c r="D44" s="105" t="s">
        <v>89</v>
      </c>
      <c r="E44" s="118" t="str">
        <f>'Necesidades Trimestrales'!F41</f>
        <v>UNIDAD</v>
      </c>
      <c r="F44" s="108">
        <f>'Necesidades Trimestrales'!H41</f>
        <v>200</v>
      </c>
      <c r="G44" s="105">
        <f>'Necesidades Trimestrales'!G41</f>
        <v>90</v>
      </c>
    </row>
    <row r="45" spans="1:9" ht="30.75" thickBot="1" x14ac:dyDescent="0.25">
      <c r="A45" s="97">
        <f>'Necesidades Trimestrales'!A42</f>
        <v>33</v>
      </c>
      <c r="B45" s="100" t="str">
        <f>'Necesidades Trimestrales'!B42</f>
        <v>2.1.1-707.38</v>
      </c>
      <c r="C45" s="103" t="str">
        <f>'Necesidades Trimestrales'!E42</f>
        <v>PASTAS FRESCAS; VARIEDAD: RAVIOL, RELLENO: VERDURA Y POLLO, PRESENTACION: ENVASE X 500 GR</v>
      </c>
      <c r="D45" s="106" t="s">
        <v>89</v>
      </c>
      <c r="E45" s="119" t="str">
        <f>'Necesidades Trimestrales'!F42</f>
        <v>UNIDAD</v>
      </c>
      <c r="F45" s="109">
        <f>'Necesidades Trimestrales'!H42</f>
        <v>300</v>
      </c>
      <c r="G45" s="106">
        <f>'Necesidades Trimestrales'!G42</f>
        <v>21</v>
      </c>
    </row>
    <row r="46" spans="1:9" ht="20.25" customHeight="1" thickBot="1" x14ac:dyDescent="0.25">
      <c r="A46" s="158" t="s">
        <v>137</v>
      </c>
      <c r="B46" s="159"/>
      <c r="C46" s="159"/>
      <c r="D46" s="159"/>
      <c r="E46" s="160"/>
      <c r="F46" s="164">
        <f>SUMPRODUCT(F13:F45*G13:G45)</f>
        <v>691310</v>
      </c>
      <c r="G46" s="164"/>
      <c r="H46" s="88"/>
      <c r="I46" s="88"/>
    </row>
  </sheetData>
  <mergeCells count="22">
    <mergeCell ref="A1:G1"/>
    <mergeCell ref="C4:G4"/>
    <mergeCell ref="C5:G5"/>
    <mergeCell ref="C6:G6"/>
    <mergeCell ref="C7:G7"/>
    <mergeCell ref="A4:B4"/>
    <mergeCell ref="A5:B5"/>
    <mergeCell ref="A6:B6"/>
    <mergeCell ref="A7:B7"/>
    <mergeCell ref="C8:G8"/>
    <mergeCell ref="A9:B9"/>
    <mergeCell ref="C11:C12"/>
    <mergeCell ref="A46:E46"/>
    <mergeCell ref="C9:G9"/>
    <mergeCell ref="F46:G46"/>
    <mergeCell ref="A11:A12"/>
    <mergeCell ref="B11:B12"/>
    <mergeCell ref="D11:D12"/>
    <mergeCell ref="E11:E12"/>
    <mergeCell ref="F11:F12"/>
    <mergeCell ref="G11:G12"/>
    <mergeCell ref="A8:B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abSelected="1" zoomScale="130" zoomScaleNormal="130" workbookViewId="0">
      <selection activeCell="A2" sqref="A2"/>
    </sheetView>
  </sheetViews>
  <sheetFormatPr baseColWidth="10" defaultColWidth="11" defaultRowHeight="12.75" x14ac:dyDescent="0.2"/>
  <cols>
    <col min="1" max="4" width="4.42578125" customWidth="1"/>
    <col min="5" max="5" width="7.5703125" customWidth="1"/>
    <col min="6" max="6" width="5.85546875" bestFit="1" customWidth="1"/>
    <col min="7" max="7" width="4.42578125" style="4" customWidth="1"/>
    <col min="8" max="11" width="4.42578125" customWidth="1"/>
    <col min="12" max="12" width="5" customWidth="1"/>
    <col min="13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84" t="s">
        <v>3</v>
      </c>
      <c r="B1" s="184"/>
      <c r="C1" s="184"/>
      <c r="D1" s="185">
        <f>'Necesidades Trimestrales'!C6</f>
        <v>2022</v>
      </c>
      <c r="E1" s="185"/>
      <c r="F1" s="5"/>
      <c r="G1" s="5"/>
      <c r="H1" s="6"/>
      <c r="I1" s="6"/>
      <c r="J1" s="6"/>
      <c r="K1" s="6"/>
      <c r="L1" s="6"/>
      <c r="M1" s="6"/>
      <c r="N1" s="6"/>
      <c r="P1" s="186" t="s">
        <v>25</v>
      </c>
      <c r="Q1" s="186"/>
    </row>
    <row r="2" spans="1:17" ht="15.75" customHeight="1" x14ac:dyDescent="0.2">
      <c r="H2" s="6"/>
      <c r="I2" s="6"/>
      <c r="J2" s="6"/>
      <c r="K2" s="6"/>
      <c r="L2" s="6"/>
      <c r="M2" s="6"/>
      <c r="N2" s="6"/>
      <c r="P2" s="186"/>
      <c r="Q2" s="186"/>
    </row>
    <row r="4" spans="1:17" s="7" customFormat="1" ht="18" customHeight="1" thickBot="1" x14ac:dyDescent="0.25">
      <c r="A4" s="187" t="s">
        <v>26</v>
      </c>
      <c r="B4" s="187"/>
      <c r="C4" s="187"/>
      <c r="D4" s="187"/>
      <c r="E4" s="187"/>
      <c r="F4" s="187"/>
      <c r="G4" s="188" t="str">
        <f>' NotaPedido'!C4</f>
        <v>12 -Ministerio de Gobierno, Justicia y Derechos Humanos.</v>
      </c>
      <c r="H4" s="188"/>
      <c r="I4" s="188"/>
      <c r="J4" s="188"/>
      <c r="K4" s="188"/>
      <c r="L4" s="188"/>
      <c r="M4" s="188"/>
      <c r="N4" s="188"/>
      <c r="O4" s="188"/>
      <c r="P4" s="188"/>
      <c r="Q4" s="188"/>
    </row>
    <row r="5" spans="1:17" s="7" customFormat="1" ht="32.25" customHeight="1" thickBot="1" x14ac:dyDescent="0.25">
      <c r="A5" s="189" t="s">
        <v>49</v>
      </c>
      <c r="B5" s="190"/>
      <c r="C5" s="190"/>
      <c r="D5" s="190"/>
      <c r="E5" s="190"/>
      <c r="F5" s="191"/>
      <c r="G5" s="192" t="str">
        <f>' NotaPedido'!C5</f>
        <v>06 - Secretaria de Gestion Administrativa del Ministerio de Gobierno, Justicia y Derechos Humanos</v>
      </c>
      <c r="H5" s="192"/>
      <c r="I5" s="192"/>
      <c r="J5" s="192"/>
      <c r="K5" s="192"/>
      <c r="L5" s="192"/>
      <c r="M5" s="192"/>
      <c r="N5" s="192"/>
      <c r="O5" s="192"/>
      <c r="P5" s="192"/>
      <c r="Q5" s="192"/>
    </row>
    <row r="6" spans="1:17" s="7" customFormat="1" ht="18" customHeight="1" thickBot="1" x14ac:dyDescent="0.25">
      <c r="A6" s="189" t="s">
        <v>27</v>
      </c>
      <c r="B6" s="190"/>
      <c r="C6" s="190"/>
      <c r="D6" s="190"/>
      <c r="E6" s="190"/>
      <c r="F6" s="191"/>
      <c r="G6" s="188" t="str">
        <f>' NotaPedido'!C6</f>
        <v>Ministerio de Gobierno, Justicia y Derechos Humanos.</v>
      </c>
      <c r="H6" s="188"/>
      <c r="I6" s="188"/>
      <c r="J6" s="188"/>
      <c r="K6" s="188"/>
      <c r="L6" s="188"/>
      <c r="M6" s="188"/>
      <c r="N6" s="188"/>
      <c r="O6" s="188"/>
      <c r="P6" s="188"/>
      <c r="Q6" s="188"/>
    </row>
    <row r="7" spans="1:17" s="7" customFormat="1" ht="18" customHeight="1" thickBot="1" x14ac:dyDescent="0.25">
      <c r="A7" s="189" t="s">
        <v>50</v>
      </c>
      <c r="B7" s="190"/>
      <c r="C7" s="190"/>
      <c r="D7" s="190"/>
      <c r="E7" s="190"/>
      <c r="F7" s="191"/>
      <c r="G7" s="188" t="str">
        <f>' NotaPedido'!C7</f>
        <v>Atención Integral de Víctimas de violencia de Género (HOGAR WARMI).</v>
      </c>
      <c r="H7" s="188"/>
      <c r="I7" s="188"/>
      <c r="J7" s="188"/>
      <c r="K7" s="188"/>
      <c r="L7" s="188"/>
      <c r="M7" s="188"/>
      <c r="N7" s="188"/>
      <c r="O7" s="188"/>
      <c r="P7" s="188"/>
      <c r="Q7" s="188"/>
    </row>
    <row r="8" spans="1:17" ht="18" customHeight="1" thickBot="1" x14ac:dyDescent="0.25">
      <c r="A8" s="193" t="s">
        <v>28</v>
      </c>
      <c r="B8" s="193"/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</row>
    <row r="9" spans="1:17" ht="18" customHeight="1" x14ac:dyDescent="0.2">
      <c r="A9" s="194" t="s">
        <v>29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21"/>
      <c r="P9" s="21"/>
      <c r="Q9" s="22"/>
    </row>
    <row r="10" spans="1:17" ht="54.75" customHeight="1" x14ac:dyDescent="0.2">
      <c r="A10" s="195" t="str">
        <f>"Autorizo la realización de los  trámites correspondientes, a fin de proveer a  este Organismo los bienes y/o servicios que se detallan en Nota  de Pedido N° " &amp; ' NotaPedido'!G2&amp;",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23/2022,  afectando la erogación resultante a los créditos presupuestarios aprobados a favor de esta Unidad Ejecutora, conforme al siguiente detalle:</v>
      </c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</row>
    <row r="11" spans="1:17" ht="9" customHeight="1" x14ac:dyDescent="0.2">
      <c r="A11" s="17"/>
      <c r="B11" s="18"/>
      <c r="C11" s="18"/>
      <c r="D11" s="18"/>
      <c r="E11" s="18"/>
      <c r="F11" s="18"/>
      <c r="G11" s="19"/>
      <c r="H11" s="18"/>
      <c r="I11" s="18"/>
      <c r="J11" s="18"/>
      <c r="K11" s="18"/>
      <c r="L11" s="18"/>
      <c r="M11" s="18"/>
      <c r="N11" s="18"/>
      <c r="O11" s="18"/>
      <c r="P11" s="18"/>
      <c r="Q11" s="20"/>
    </row>
    <row r="12" spans="1:17" ht="15.75" customHeight="1" x14ac:dyDescent="0.2">
      <c r="A12" s="196" t="s">
        <v>30</v>
      </c>
      <c r="B12" s="196"/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</row>
    <row r="13" spans="1:17" ht="15.75" customHeight="1" x14ac:dyDescent="0.2">
      <c r="A13" s="197" t="s">
        <v>31</v>
      </c>
      <c r="B13" s="197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8"/>
      <c r="O13" s="199" t="s">
        <v>32</v>
      </c>
      <c r="P13" s="200"/>
      <c r="Q13" s="203" t="s">
        <v>33</v>
      </c>
    </row>
    <row r="14" spans="1:17" ht="15.75" customHeight="1" thickBot="1" x14ac:dyDescent="0.25">
      <c r="A14" s="8" t="s">
        <v>34</v>
      </c>
      <c r="B14" s="9" t="s">
        <v>35</v>
      </c>
      <c r="C14" s="9" t="s">
        <v>36</v>
      </c>
      <c r="D14" s="9" t="s">
        <v>37</v>
      </c>
      <c r="E14" s="9" t="s">
        <v>38</v>
      </c>
      <c r="F14" s="9" t="s">
        <v>39</v>
      </c>
      <c r="G14" s="10" t="s">
        <v>40</v>
      </c>
      <c r="H14" s="9" t="s">
        <v>41</v>
      </c>
      <c r="I14" s="9" t="s">
        <v>42</v>
      </c>
      <c r="J14" s="9" t="s">
        <v>43</v>
      </c>
      <c r="K14" s="9" t="s">
        <v>43</v>
      </c>
      <c r="L14" s="9" t="s">
        <v>44</v>
      </c>
      <c r="M14" s="11" t="s">
        <v>45</v>
      </c>
      <c r="N14" s="16" t="s">
        <v>46</v>
      </c>
      <c r="O14" s="201"/>
      <c r="P14" s="202"/>
      <c r="Q14" s="203"/>
    </row>
    <row r="15" spans="1:17" ht="24.75" customHeight="1" x14ac:dyDescent="0.2">
      <c r="A15" s="23">
        <v>9</v>
      </c>
      <c r="B15" s="24">
        <v>0</v>
      </c>
      <c r="C15" s="24">
        <v>0</v>
      </c>
      <c r="D15" s="24">
        <v>1</v>
      </c>
      <c r="E15" s="24">
        <v>0</v>
      </c>
      <c r="F15" s="24">
        <v>4901</v>
      </c>
      <c r="G15" s="24">
        <v>3</v>
      </c>
      <c r="H15" s="24">
        <v>2</v>
      </c>
      <c r="I15" s="24">
        <v>2</v>
      </c>
      <c r="J15" s="24">
        <v>1</v>
      </c>
      <c r="K15" s="24">
        <v>1</v>
      </c>
      <c r="L15" s="24">
        <v>0</v>
      </c>
      <c r="M15" s="25">
        <v>1</v>
      </c>
      <c r="N15" s="25" t="s">
        <v>51</v>
      </c>
      <c r="O15" s="204" t="s">
        <v>138</v>
      </c>
      <c r="P15" s="205"/>
      <c r="Q15" s="41">
        <f>' NotaPedido'!F46</f>
        <v>691310</v>
      </c>
    </row>
    <row r="16" spans="1:17" ht="17.25" customHeight="1" x14ac:dyDescent="0.2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9"/>
      <c r="O16" s="206"/>
      <c r="P16" s="207"/>
      <c r="Q16" s="30"/>
    </row>
    <row r="17" spans="1:19" ht="17.25" customHeight="1" x14ac:dyDescent="0.2">
      <c r="A17" s="26"/>
      <c r="B17" s="27"/>
      <c r="C17" s="27"/>
      <c r="D17" s="27"/>
      <c r="E17" s="27"/>
      <c r="F17" s="31"/>
      <c r="G17" s="27"/>
      <c r="H17" s="27"/>
      <c r="I17" s="27"/>
      <c r="J17" s="27"/>
      <c r="K17" s="27"/>
      <c r="L17" s="27"/>
      <c r="M17" s="28"/>
      <c r="N17" s="29"/>
      <c r="O17" s="206"/>
      <c r="P17" s="207"/>
      <c r="Q17" s="30"/>
    </row>
    <row r="18" spans="1:19" ht="17.25" customHeight="1" x14ac:dyDescent="0.2">
      <c r="A18" s="32"/>
      <c r="B18" s="33"/>
      <c r="C18" s="33"/>
      <c r="D18" s="33"/>
      <c r="E18" s="33"/>
      <c r="F18" s="34"/>
      <c r="G18" s="33"/>
      <c r="H18" s="33"/>
      <c r="I18" s="33"/>
      <c r="J18" s="33"/>
      <c r="K18" s="33"/>
      <c r="L18" s="33"/>
      <c r="M18" s="35"/>
      <c r="N18" s="36"/>
      <c r="O18" s="206"/>
      <c r="P18" s="207"/>
      <c r="Q18" s="30"/>
      <c r="R18" s="1"/>
    </row>
    <row r="19" spans="1:19" ht="17.25" customHeight="1" x14ac:dyDescent="0.2">
      <c r="A19" s="37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9"/>
      <c r="N19" s="39"/>
      <c r="O19" s="211"/>
      <c r="P19" s="212"/>
      <c r="Q19" s="40"/>
    </row>
    <row r="20" spans="1:19" ht="33.75" customHeight="1" x14ac:dyDescent="0.2">
      <c r="A20" s="213" t="s">
        <v>139</v>
      </c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42">
        <f>SUM(Q15:Q19)</f>
        <v>691310</v>
      </c>
    </row>
    <row r="21" spans="1:19" ht="18" customHeight="1" thickBot="1" x14ac:dyDescent="0.25">
      <c r="A21" s="214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</row>
    <row r="22" spans="1:19" ht="17.25" customHeight="1" thickBot="1" x14ac:dyDescent="0.25">
      <c r="A22" s="179" t="s">
        <v>47</v>
      </c>
      <c r="B22" s="180"/>
      <c r="C22" s="180"/>
      <c r="D22" s="180"/>
      <c r="E22" s="180"/>
      <c r="F22" s="181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8"/>
    </row>
    <row r="23" spans="1:19" ht="18" customHeight="1" thickBot="1" x14ac:dyDescent="0.25">
      <c r="A23" s="209" t="str">
        <f>' NotaPedido'!C9</f>
        <v>ADQ. DE ALIMENTOS PERECEDEROS PARA EL HOGAR DE PROTECCION INTEGRAL DE VICTIMAS DE VIOLENCIA DE GENERO  (HOGAR WARMI).</v>
      </c>
      <c r="B23" s="209"/>
      <c r="C23" s="209"/>
      <c r="D23" s="20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</row>
    <row r="24" spans="1:19" ht="15" customHeight="1" thickBot="1" x14ac:dyDescent="0.25">
      <c r="A24" s="210"/>
      <c r="B24" s="210"/>
      <c r="C24" s="210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</row>
    <row r="25" spans="1:19" ht="15.75" thickBot="1" x14ac:dyDescent="0.25">
      <c r="A25" s="179" t="s">
        <v>52</v>
      </c>
      <c r="B25" s="180"/>
      <c r="C25" s="180"/>
      <c r="D25" s="180"/>
      <c r="E25" s="180"/>
      <c r="F25" s="181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3"/>
      <c r="S25" s="15"/>
    </row>
    <row r="26" spans="1:19" ht="13.5" customHeight="1" thickBot="1" x14ac:dyDescent="0.25">
      <c r="A26" s="110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2"/>
    </row>
    <row r="27" spans="1:19" ht="13.5" customHeight="1" x14ac:dyDescent="0.2"/>
    <row r="28" spans="1:19" ht="13.5" customHeight="1" x14ac:dyDescent="0.2"/>
  </sheetData>
  <mergeCells count="30">
    <mergeCell ref="O16:P16"/>
    <mergeCell ref="O17:P17"/>
    <mergeCell ref="A22:F22"/>
    <mergeCell ref="G22:Q22"/>
    <mergeCell ref="A23:Q24"/>
    <mergeCell ref="O18:P18"/>
    <mergeCell ref="O19:P19"/>
    <mergeCell ref="A20:P20"/>
    <mergeCell ref="A21:Q21"/>
    <mergeCell ref="A12:Q12"/>
    <mergeCell ref="A13:N13"/>
    <mergeCell ref="O13:P14"/>
    <mergeCell ref="Q13:Q14"/>
    <mergeCell ref="O15:P15"/>
    <mergeCell ref="A25:F25"/>
    <mergeCell ref="G25:Q25"/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</mergeCells>
  <phoneticPr fontId="16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APG</vt:lpstr>
      <vt:lpstr>' NotaPedido'!Área_de_impresión</vt:lpstr>
      <vt:lpstr>APG!Área_de_impresión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</dc:creator>
  <dc:description/>
  <cp:lastModifiedBy>Usuario</cp:lastModifiedBy>
  <cp:revision>2</cp:revision>
  <cp:lastPrinted>2020-07-17T22:18:48Z</cp:lastPrinted>
  <dcterms:created xsi:type="dcterms:W3CDTF">2020-07-17T23:44:49Z</dcterms:created>
  <dcterms:modified xsi:type="dcterms:W3CDTF">2022-03-09T13:45:42Z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