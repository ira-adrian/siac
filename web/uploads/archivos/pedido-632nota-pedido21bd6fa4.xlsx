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Gastar'!$A$1:$Q$24</definedName>
    <definedName name="_xlnm.Print_Area" localSheetId="1">NotaPedido!$A$1:$K$13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3" i="3"/>
  <c r="A10"/>
  <c r="K12" i="2"/>
  <c r="J12"/>
  <c r="I12"/>
  <c r="C12"/>
  <c r="B12"/>
  <c r="I10" i="1"/>
  <c r="J13" i="2" l="1"/>
  <c r="G6" i="3" l="1"/>
  <c r="G7"/>
  <c r="D7" i="2"/>
  <c r="D3"/>
  <c r="G4" i="3" s="1"/>
  <c r="D4" i="2"/>
  <c r="G5" i="3" s="1"/>
  <c r="D1" l="1"/>
  <c r="Q20"/>
</calcChain>
</file>

<file path=xl/sharedStrings.xml><?xml version="1.0" encoding="utf-8"?>
<sst xmlns="http://schemas.openxmlformats.org/spreadsheetml/2006/main" count="75" uniqueCount="70">
  <si>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</si>
  <si>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</si>
  <si>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</si>
  <si>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</si>
  <si>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</si>
  <si>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</si>
  <si>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</si>
  <si>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</si>
  <si>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</si>
  <si>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</si>
  <si>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</si>
  <si>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</si>
  <si>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</si>
  <si>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</si>
  <si>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</si>
  <si>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</si>
  <si>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</si>
  <si>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</si>
  <si>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</si>
  <si>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</si>
  <si>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</si>
  <si>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</si>
  <si>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</si>
  <si>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</si>
  <si>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</si>
  <si>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</si>
  <si>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</si>
  <si>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</si>
  <si>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</si>
  <si>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</si>
  <si>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</si>
  <si>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</si>
  <si>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</si>
  <si>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</si>
  <si>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</si>
  <si>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</si>
  <si>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</si>
  <si>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</si>
  <si>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</si>
  <si>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</si>
  <si>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</si>
  <si>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</si>
  <si>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</si>
  <si>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</si>
  <si>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</si>
  <si>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</si>
  <si>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</si>
  <si>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</si>
  <si>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</si>
  <si>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</si>
  <si>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</si>
  <si>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</si>
  <si>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</si>
  <si>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</si>
  <si>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</si>
  <si>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</si>
  <si>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3.1</t>
  </si>
  <si>
    <t>1.1</t>
  </si>
  <si>
    <t>2.9.6-8875.312</t>
  </si>
  <si>
    <t>REPUESTOS</t>
  </si>
  <si>
    <t>REP. Y ACC. P/EQUIPO MEDICO; ELEMENTO: FIBRA SENSOR DE MEDICION DE PRESION INTRACRANEAL COMPLETO (PIC), USO: MONITOR DE PRESION INTERCRANEAL, MARCA EQUIPO: SPIEGELBERG (GMBH &amp; CO.) KG</t>
  </si>
  <si>
    <t>UNIDAD</t>
  </si>
  <si>
    <t xml:space="preserve">PLAZO DE MANTENIMIENTO DE LA OFERTA: 45 DIAS HABILES </t>
  </si>
  <si>
    <t>Costo total estimado: PESOS OCHOCIENTOS CUARENTA MIL CON 00/100</t>
  </si>
  <si>
    <t>Utiles Menores Médico, Quirúrgico y de Laboratorio</t>
  </si>
  <si>
    <t>2.9.5</t>
  </si>
  <si>
    <t xml:space="preserve">PLAZO DE ENTREGA: 15 DIAS HABILES - DIRECCION DE EMERGENTOLOGIA - ADVA. ILLIA Y MARIANO MORENO - DE LUNES A VIERNES DE 07:00 A 13:00 HORAS </t>
  </si>
  <si>
    <t>TOTAL DE PESOS: OCHOCIENTOS CUARENTA MIL CON 00/100</t>
  </si>
  <si>
    <t>Adquisición de Sensor de Presion Intracraneal</t>
  </si>
  <si>
    <t>142/2022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</si>
</sst>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3"/>
  <sheetViews>
    <sheetView tabSelected="1" zoomScale="85" zoomScaleNormal="85" workbookViewId="0">
      <selection activeCell="E16" sqref="E16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70" t="s">
        <v>0</v>
      </c>
      <c r="C2" s="70"/>
      <c r="D2" s="70"/>
      <c r="E2" s="70"/>
      <c r="F2" s="70"/>
      <c r="G2" s="70"/>
      <c r="H2" s="70"/>
    </row>
    <row r="4" spans="1:9" ht="18" customHeight="1">
      <c r="A4" s="69" t="s">
        <v>1</v>
      </c>
      <c r="B4" s="69"/>
      <c r="C4" s="71" t="s">
        <v>52</v>
      </c>
      <c r="D4" s="71"/>
      <c r="E4" s="71"/>
      <c r="F4" s="40"/>
      <c r="G4" s="41"/>
      <c r="H4" s="40"/>
    </row>
    <row r="5" spans="1:9" ht="18" customHeight="1">
      <c r="A5" s="69" t="s">
        <v>2</v>
      </c>
      <c r="B5" s="69"/>
      <c r="C5" s="71" t="s">
        <v>53</v>
      </c>
      <c r="D5" s="71"/>
      <c r="E5" s="71"/>
      <c r="F5" s="40"/>
      <c r="G5" s="41"/>
      <c r="H5" s="40"/>
    </row>
    <row r="6" spans="1:9" ht="16.5" customHeight="1">
      <c r="A6" s="69" t="s">
        <v>3</v>
      </c>
      <c r="B6" s="69"/>
      <c r="C6" s="50">
        <v>2022</v>
      </c>
      <c r="D6" s="51"/>
      <c r="E6" s="51"/>
      <c r="F6" s="40"/>
      <c r="G6" s="41"/>
      <c r="H6" s="40"/>
    </row>
    <row r="7" spans="1:9" ht="16.5" customHeight="1">
      <c r="A7" s="69" t="s">
        <v>4</v>
      </c>
      <c r="B7" s="69"/>
      <c r="C7" s="50">
        <v>4</v>
      </c>
      <c r="D7" s="51"/>
      <c r="E7" s="51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74.400000000000006" customHeight="1" thickBot="1">
      <c r="A10" s="43">
        <v>1</v>
      </c>
      <c r="B10" s="47" t="s">
        <v>58</v>
      </c>
      <c r="C10" s="44" t="s">
        <v>59</v>
      </c>
      <c r="D10" s="45" t="s">
        <v>65</v>
      </c>
      <c r="E10" s="46" t="s">
        <v>60</v>
      </c>
      <c r="F10" s="47" t="s">
        <v>61</v>
      </c>
      <c r="G10" s="47">
        <v>3</v>
      </c>
      <c r="H10" s="48">
        <v>280000</v>
      </c>
      <c r="I10" s="49">
        <f t="shared" ref="I10" si="0">G10*H10</f>
        <v>840000</v>
      </c>
    </row>
    <row r="11" spans="1:9" ht="13.8" thickBot="1"/>
    <row r="12" spans="1:9" ht="39.75" customHeight="1" thickBot="1">
      <c r="C12" s="63" t="s">
        <v>62</v>
      </c>
      <c r="D12" s="64"/>
      <c r="E12" s="65"/>
    </row>
    <row r="13" spans="1:9" ht="39" customHeight="1" thickBot="1">
      <c r="C13" s="66" t="s">
        <v>66</v>
      </c>
      <c r="D13" s="67"/>
      <c r="E13" s="68"/>
    </row>
  </sheetData>
  <mergeCells count="9">
    <mergeCell ref="C12:E12"/>
    <mergeCell ref="C13:E13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3"/>
  <sheetViews>
    <sheetView zoomScale="70" zoomScaleNormal="70" workbookViewId="0">
      <selection activeCell="E20" sqref="E20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024" ht="18" customHeight="1">
      <c r="A1" s="80" t="s">
        <v>14</v>
      </c>
      <c r="B1" s="80"/>
      <c r="C1" s="80"/>
      <c r="D1" s="80"/>
      <c r="E1" s="80"/>
      <c r="F1" s="80"/>
      <c r="G1" s="80"/>
      <c r="H1" s="80"/>
      <c r="I1" s="80"/>
      <c r="J1" s="3" t="s">
        <v>15</v>
      </c>
      <c r="K1" s="52" t="s">
        <v>69</v>
      </c>
    </row>
    <row r="2" spans="1:1024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>
      <c r="A3" s="81" t="s">
        <v>48</v>
      </c>
      <c r="B3" s="81"/>
      <c r="C3" s="81"/>
      <c r="D3" s="82" t="str">
        <f>'Necesidades Trimestrales'!C4</f>
        <v>40 - Ministerio de Salud</v>
      </c>
      <c r="E3" s="82"/>
      <c r="F3" s="82"/>
      <c r="G3" s="82"/>
      <c r="H3" s="82"/>
      <c r="I3" s="82"/>
      <c r="J3" s="82"/>
      <c r="K3" s="82"/>
    </row>
    <row r="4" spans="1:1024" ht="18.75" customHeight="1" thickBot="1">
      <c r="A4" s="83" t="s">
        <v>49</v>
      </c>
      <c r="B4" s="83"/>
      <c r="C4" s="83"/>
      <c r="D4" s="82" t="str">
        <f>'Necesidades Trimestrales'!C5</f>
        <v>23 - Hospital Interzonal San Juan Bautista</v>
      </c>
      <c r="E4" s="82"/>
      <c r="F4" s="82"/>
      <c r="G4" s="82"/>
      <c r="H4" s="82"/>
      <c r="I4" s="82"/>
      <c r="J4" s="82"/>
      <c r="K4" s="82"/>
    </row>
    <row r="5" spans="1:1024" ht="18.75" customHeight="1" thickBot="1">
      <c r="A5" s="83" t="s">
        <v>27</v>
      </c>
      <c r="B5" s="83"/>
      <c r="C5" s="83"/>
      <c r="D5" s="82" t="s">
        <v>54</v>
      </c>
      <c r="E5" s="82"/>
      <c r="F5" s="82"/>
      <c r="G5" s="82"/>
      <c r="H5" s="82"/>
      <c r="I5" s="82"/>
      <c r="J5" s="82"/>
      <c r="K5" s="82"/>
    </row>
    <row r="6" spans="1:1024" ht="16.5" customHeight="1" thickBot="1">
      <c r="A6" s="81" t="s">
        <v>50</v>
      </c>
      <c r="B6" s="81"/>
      <c r="C6" s="81"/>
      <c r="D6" s="82" t="s">
        <v>55</v>
      </c>
      <c r="E6" s="82"/>
      <c r="F6" s="82"/>
      <c r="G6" s="82"/>
      <c r="H6" s="82"/>
      <c r="I6" s="82"/>
      <c r="J6" s="82"/>
      <c r="K6" s="82"/>
    </row>
    <row r="7" spans="1:1024" ht="16.5" customHeight="1">
      <c r="A7" s="83" t="s">
        <v>16</v>
      </c>
      <c r="B7" s="83"/>
      <c r="C7" s="83"/>
      <c r="D7" s="82" t="str">
        <f>'Necesidades Trimestrales'!C7 &amp; "° Trimestre - Año " &amp; 'Necesidades Trimestrales'!C6</f>
        <v>4° Trimestre - Año 2022</v>
      </c>
      <c r="E7" s="82"/>
      <c r="F7" s="82"/>
      <c r="G7" s="82"/>
      <c r="H7" s="82"/>
      <c r="I7" s="82"/>
      <c r="J7" s="82"/>
      <c r="K7" s="82"/>
    </row>
    <row r="8" spans="1:1024" ht="16.5" customHeight="1">
      <c r="A8" s="75" t="s">
        <v>17</v>
      </c>
      <c r="B8" s="75"/>
      <c r="C8" s="75"/>
      <c r="D8" s="76" t="s">
        <v>68</v>
      </c>
      <c r="E8" s="76"/>
      <c r="F8" s="76"/>
      <c r="G8" s="76"/>
      <c r="H8" s="76"/>
      <c r="I8" s="76"/>
      <c r="J8" s="76"/>
      <c r="K8" s="76"/>
    </row>
    <row r="9" spans="1:1024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>
      <c r="A10" s="77" t="s">
        <v>18</v>
      </c>
      <c r="B10" s="78" t="s">
        <v>19</v>
      </c>
      <c r="C10" s="78" t="s">
        <v>20</v>
      </c>
      <c r="D10" s="78"/>
      <c r="E10" s="78"/>
      <c r="F10" s="78"/>
      <c r="G10" s="78"/>
      <c r="H10" s="78" t="s">
        <v>21</v>
      </c>
      <c r="I10" s="78" t="s">
        <v>22</v>
      </c>
      <c r="J10" s="78" t="s">
        <v>23</v>
      </c>
      <c r="K10" s="79" t="s">
        <v>24</v>
      </c>
    </row>
    <row r="11" spans="1:1024" ht="24" customHeight="1" thickBo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9"/>
    </row>
    <row r="12" spans="1:1024" ht="55.2" customHeight="1" thickBot="1">
      <c r="A12" s="8">
        <v>1</v>
      </c>
      <c r="B12" s="53" t="str">
        <f>'Necesidades Trimestrales'!B10</f>
        <v>2.9.6-8875.312</v>
      </c>
      <c r="C12" s="72" t="str">
        <f>'Necesidades Trimestrales'!E10</f>
        <v>REP. Y ACC. P/EQUIPO MEDICO; ELEMENTO: FIBRA SENSOR DE MEDICION DE PRESION INTRACRANEAL COMPLETO (PIC), USO: MONITOR DE PRESION INTERCRANEAL, MARCA EQUIPO: SPIEGELBERG (GMBH &amp; CO.) KG</v>
      </c>
      <c r="D12" s="72"/>
      <c r="E12" s="72"/>
      <c r="F12" s="72"/>
      <c r="G12" s="72"/>
      <c r="H12" s="54" t="s">
        <v>51</v>
      </c>
      <c r="I12" s="55" t="str">
        <f>'Necesidades Trimestrales'!F10</f>
        <v>UNIDAD</v>
      </c>
      <c r="J12" s="56">
        <f>'Necesidades Trimestrales'!H10</f>
        <v>280000</v>
      </c>
      <c r="K12" s="57">
        <f>'Necesidades Trimestrales'!G10</f>
        <v>3</v>
      </c>
    </row>
    <row r="13" spans="1:1024" ht="20.25" customHeight="1" thickBot="1">
      <c r="A13" s="73" t="s">
        <v>63</v>
      </c>
      <c r="B13" s="73"/>
      <c r="C13" s="73"/>
      <c r="D13" s="73"/>
      <c r="E13" s="73"/>
      <c r="F13" s="73"/>
      <c r="G13" s="73"/>
      <c r="H13" s="73"/>
      <c r="I13" s="73"/>
      <c r="J13" s="74">
        <f>SUMPRODUCT(J12:J12,K12:K12)</f>
        <v>840000</v>
      </c>
      <c r="K13" s="74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"/>
  <sheetViews>
    <sheetView zoomScale="130" zoomScaleNormal="130" workbookViewId="0">
      <selection activeCell="F26" sqref="F26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06" t="s">
        <v>3</v>
      </c>
      <c r="B1" s="106"/>
      <c r="C1" s="106"/>
      <c r="D1" s="107">
        <f>'Necesidades Trimestrales'!C6</f>
        <v>2022</v>
      </c>
      <c r="E1" s="107"/>
      <c r="F1" s="10"/>
      <c r="G1" s="10"/>
      <c r="H1" s="11"/>
      <c r="I1" s="11"/>
      <c r="J1" s="11"/>
      <c r="K1" s="11"/>
      <c r="L1" s="11"/>
      <c r="M1" s="11"/>
      <c r="N1" s="11"/>
      <c r="P1" s="108" t="s">
        <v>25</v>
      </c>
      <c r="Q1" s="108"/>
    </row>
    <row r="2" spans="1:17" ht="15.75" customHeight="1">
      <c r="H2" s="11"/>
      <c r="I2" s="11"/>
      <c r="J2" s="11"/>
      <c r="K2" s="11"/>
      <c r="L2" s="11"/>
      <c r="M2" s="11"/>
      <c r="N2" s="11"/>
      <c r="P2" s="108"/>
      <c r="Q2" s="108"/>
    </row>
    <row r="4" spans="1:17" s="12" customFormat="1" ht="18" customHeight="1" thickBot="1">
      <c r="A4" s="109" t="s">
        <v>26</v>
      </c>
      <c r="B4" s="109"/>
      <c r="C4" s="109"/>
      <c r="D4" s="109"/>
      <c r="E4" s="109"/>
      <c r="F4" s="109"/>
      <c r="G4" s="104" t="str">
        <f>NotaPedido!D3</f>
        <v>40 - Ministerio de Salud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2" customFormat="1" ht="18" customHeight="1" thickBot="1">
      <c r="A5" s="101" t="s">
        <v>49</v>
      </c>
      <c r="B5" s="102"/>
      <c r="C5" s="102"/>
      <c r="D5" s="102"/>
      <c r="E5" s="102"/>
      <c r="F5" s="103"/>
      <c r="G5" s="104" t="str">
        <f>NotaPedido!D4</f>
        <v>23 - Hospital Interzonal San Juan Bautista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2" customFormat="1" ht="18" customHeight="1" thickBot="1">
      <c r="A6" s="101" t="s">
        <v>27</v>
      </c>
      <c r="B6" s="102"/>
      <c r="C6" s="102"/>
      <c r="D6" s="102"/>
      <c r="E6" s="102"/>
      <c r="F6" s="103"/>
      <c r="G6" s="104" t="str">
        <f>NotaPedido!D5</f>
        <v>168 - Direccion Asistencial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2" customFormat="1" ht="18" customHeight="1" thickBot="1">
      <c r="A7" s="101" t="s">
        <v>50</v>
      </c>
      <c r="B7" s="102"/>
      <c r="C7" s="102"/>
      <c r="D7" s="102"/>
      <c r="E7" s="102"/>
      <c r="F7" s="103"/>
      <c r="G7" s="104" t="str">
        <f>NotaPedido!D6</f>
        <v>Servicio de Farmacia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thickBot="1">
      <c r="A8" s="105" t="s">
        <v>28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>
      <c r="A9" s="95" t="s">
        <v>29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1"/>
      <c r="P9" s="1"/>
      <c r="Q9" s="13"/>
    </row>
    <row r="10" spans="1:17" ht="54.75" customHeight="1">
      <c r="A10" s="9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142/2022,  afectando la erogación resultante a los créditos presupuestarios aprobados a favor de esta Unidad Ejecutora, conforme al siguiente detalle: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97" t="s">
        <v>30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.75" customHeight="1">
      <c r="A13" s="98" t="s">
        <v>31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32</v>
      </c>
      <c r="P13" s="99"/>
      <c r="Q13" s="100" t="s">
        <v>33</v>
      </c>
    </row>
    <row r="14" spans="1:17" ht="15.75" customHeight="1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99"/>
      <c r="P14" s="99"/>
      <c r="Q14" s="100"/>
    </row>
    <row r="15" spans="1:17" ht="27.6" customHeight="1">
      <c r="A15" s="58">
        <v>33</v>
      </c>
      <c r="B15" s="59"/>
      <c r="C15" s="59"/>
      <c r="D15" s="59">
        <v>2</v>
      </c>
      <c r="E15" s="59"/>
      <c r="F15" s="59">
        <v>4901</v>
      </c>
      <c r="G15" s="59">
        <v>3</v>
      </c>
      <c r="H15" s="60" t="s">
        <v>56</v>
      </c>
      <c r="I15" s="61">
        <v>2</v>
      </c>
      <c r="J15" s="61">
        <v>9</v>
      </c>
      <c r="K15" s="61">
        <v>5</v>
      </c>
      <c r="L15" s="59"/>
      <c r="M15" s="62">
        <v>1</v>
      </c>
      <c r="N15" s="60" t="s">
        <v>57</v>
      </c>
      <c r="O15" s="94" t="s">
        <v>64</v>
      </c>
      <c r="P15" s="94"/>
      <c r="Q15" s="23">
        <v>840000</v>
      </c>
    </row>
    <row r="16" spans="1:17" ht="17.25" customHeight="1">
      <c r="A16" s="24"/>
      <c r="B16" s="25"/>
      <c r="C16" s="25"/>
      <c r="D16" s="25"/>
      <c r="E16" s="25"/>
      <c r="F16" s="27"/>
      <c r="G16" s="25"/>
      <c r="H16" s="25"/>
      <c r="I16" s="25"/>
      <c r="J16" s="25"/>
      <c r="K16" s="25"/>
      <c r="L16" s="25"/>
      <c r="M16" s="26"/>
      <c r="N16" s="27"/>
      <c r="O16" s="89"/>
      <c r="P16" s="89"/>
      <c r="Q16" s="28"/>
    </row>
    <row r="17" spans="1:18" ht="17.25" customHeight="1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89"/>
      <c r="P17" s="89"/>
      <c r="Q17" s="28"/>
    </row>
    <row r="18" spans="1:18" ht="17.25" customHeight="1">
      <c r="A18" s="29"/>
      <c r="B18" s="30"/>
      <c r="C18" s="30"/>
      <c r="D18" s="30"/>
      <c r="E18" s="30"/>
      <c r="F18" s="31"/>
      <c r="G18" s="30"/>
      <c r="H18" s="30"/>
      <c r="I18" s="30"/>
      <c r="J18" s="30"/>
      <c r="K18" s="30"/>
      <c r="L18" s="30"/>
      <c r="M18" s="32"/>
      <c r="N18" s="33"/>
      <c r="O18" s="90"/>
      <c r="P18" s="90"/>
      <c r="Q18" s="28"/>
      <c r="R18" s="1"/>
    </row>
    <row r="19" spans="1:18" ht="17.25" customHeigh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5"/>
      <c r="O19" s="91"/>
      <c r="P19" s="91"/>
      <c r="Q19" s="37"/>
    </row>
    <row r="20" spans="1:18" ht="20.25" customHeight="1">
      <c r="A20" s="92" t="s">
        <v>67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38">
        <f>SUM(Q15:Q19)</f>
        <v>840000</v>
      </c>
    </row>
    <row r="21" spans="1:18" ht="18" customHeight="1" thickBo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</row>
    <row r="22" spans="1:18" ht="17.25" customHeight="1" thickBot="1">
      <c r="A22" s="84" t="s">
        <v>47</v>
      </c>
      <c r="B22" s="85"/>
      <c r="C22" s="85"/>
      <c r="D22" s="85"/>
      <c r="E22" s="85"/>
      <c r="F22" s="86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</row>
    <row r="23" spans="1:18" ht="18" customHeight="1" thickBot="1">
      <c r="A23" s="88" t="str">
        <f>"Para la "&amp; NotaPedido!D8 &amp;" para ser destinados al " &amp; NotaPedido!D6 &amp;"  del HISJB del Ministerio de Salud."</f>
        <v>Para la Adquisición de Sensor de Presion Intracraneal para ser destinados al Servicio de Farmacia  del HISJB del Ministerio de Salud.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</row>
    <row r="24" spans="1:18" ht="1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7:P17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2022-11-23T15:18:37Z</cp:lastPrinted>
  <dcterms:created xsi:type="dcterms:W3CDTF">2020-07-17T23:44:49Z</dcterms:created>
  <dcterms:modified xsi:type="dcterms:W3CDTF">2022-11-29T11:44:24Z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