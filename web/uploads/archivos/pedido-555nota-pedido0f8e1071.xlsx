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120" yWindow="0" windowWidth="15600" windowHeight="11760"/>
  </bookViews>
  <sheets>
    <sheet name="Necesidades Trimestrales" sheetId="1" r:id="rId1"/>
    <sheet name="NDP" sheetId="2" r:id="rId2"/>
    <sheet name="APG" sheetId="3" r:id="rId3"/>
  </sheets>
  <definedNames>
    <definedName name="_xlnm._FilterDatabase" localSheetId="0" hidden="1">'Necesidades Trimestrales'!$A$9:$I$9</definedName>
  </definedNames>
  <calcPr calcId="125725"/>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C11" i="2"/>
  <c r="B11"/>
  <c r="Q20" i="3" l="1"/>
  <c r="H11" i="2" l="1"/>
  <c r="G12" s="1"/>
  <c r="I10" i="1"/>
  <c r="G5" i="3" l="1"/>
  <c r="G4"/>
</calcChain>
</file>

<file path=xl/sharedStrings.xml><?xml version="1.0" encoding="utf-8"?>
<sst xmlns="http://schemas.openxmlformats.org/spreadsheetml/2006/main" count="87" uniqueCount="70">
  <si>
    <t>JURISDICCION:</t>
  </si>
  <si>
    <t xml:space="preserve">SAF N°: </t>
  </si>
  <si>
    <t>EJERCICIO:</t>
  </si>
  <si>
    <t>TRIMESTRE:</t>
  </si>
  <si>
    <t>ID</t>
  </si>
  <si>
    <t>Pedido de Necesidades Trimestrales</t>
  </si>
  <si>
    <t>CODIGO ITEM</t>
  </si>
  <si>
    <t>Descripción técnica</t>
  </si>
  <si>
    <t>Plazos y lugares de entrega</t>
  </si>
  <si>
    <t>Calidad Minima esperada</t>
  </si>
  <si>
    <r>
      <t>Mantenimiento:</t>
    </r>
    <r>
      <rPr>
        <sz val="10"/>
        <rFont val="Times New Roman"/>
        <family val="1"/>
      </rPr>
      <t xml:space="preserve"> 30 días corridos</t>
    </r>
  </si>
  <si>
    <t>50 - MINISTERIO DE EDUCACIÓN</t>
  </si>
  <si>
    <t>26 - DIRECCIÓN PROVINCIAL DE ADMINISTRACIÓN</t>
  </si>
  <si>
    <t>RUBRO DE COMPRA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</si>
  <si>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</si>
  <si>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 xml:space="preserve">I.P.P. </t>
  </si>
  <si>
    <t>DESCRIPCION</t>
  </si>
  <si>
    <t>UNIDAD DE MEDIDA</t>
  </si>
  <si>
    <t>CANTIDAD</t>
  </si>
  <si>
    <t>PRECIO UNITARIO ESTIMADO</t>
  </si>
  <si>
    <t xml:space="preserve">IMPORTE TOTAL ESTIMADO </t>
  </si>
  <si>
    <t>NOTA DE PEDIDO</t>
  </si>
  <si>
    <t xml:space="preserve">JURISDICCIÓN: </t>
  </si>
  <si>
    <t>MINISTERIO DE EDUCACIÓN</t>
  </si>
  <si>
    <t>SAF:</t>
  </si>
  <si>
    <t>UNIDAD EJECUTORA:</t>
  </si>
  <si>
    <t xml:space="preserve">DEPENDENCIA SOLICITANTE: </t>
  </si>
  <si>
    <t>PERIODO UTILIZACIÓN:</t>
  </si>
  <si>
    <t>OBJETO:</t>
  </si>
  <si>
    <t>Adjunta Detalle Técnico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</si>
  <si>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</si>
  <si>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</si>
  <si>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</si>
  <si>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</si>
  <si>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</si>
  <si>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</si>
  <si>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</si>
  <si>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</si>
  <si>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</si>
  <si>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</si>
  <si>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</si>
  <si>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</si>
  <si>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</si>
  <si>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</si>
  <si>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</si>
  <si>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</si>
  <si>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</si>
  <si>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</si>
  <si>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</si>
  <si>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</si>
  <si>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</si>
  <si>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</si>
  <si>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</si>
  <si>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COMBUSTIBLES Y LUBRICANTES</t>
  </si>
  <si>
    <t xml:space="preserve">   ADQUISICIÓN DE COMBUSTIBLE PARA VEHICULOS OFICIALES DEL MINISTERIO DE EDUCACIÓN.-</t>
  </si>
  <si>
    <t>NO</t>
  </si>
  <si>
    <t>LITROS</t>
  </si>
  <si>
    <t>3 (TRES) MESES</t>
  </si>
  <si>
    <t xml:space="preserve">COMBUSTIBLE PARA VEHICULOS OFICIALES </t>
  </si>
  <si>
    <t>Especificidades Items N° 1:</t>
  </si>
  <si>
    <t>LITRO</t>
  </si>
  <si>
    <t>2.5.6</t>
  </si>
  <si>
    <t>se adjunta nomina de vehiculos</t>
  </si>
  <si>
    <t>Autorizo la realización de los  trámites correspondientes, a fin de proveer a  este Organismo los bienes que se detallan en Nota  de Pedido N°54/21, afectando la erogación resultante a los créditos presupuestarios aprobados a favor de esta Unidad Ejecutora, conforme al siguiente detalle:</t>
  </si>
  <si>
    <t>N° 54 -2021</t>
  </si>
  <si>
    <t>ACTUACION 425/21</t>
  </si>
  <si>
    <t>TOTAL DE PESOS: DOS MILLONES NOVECIENTOS SIETE MIL NOVECIENTOS  CON 00/100</t>
  </si>
  <si>
    <t>Costo total estimado:  PESOS DOS MILLONES NOVECIENTOS SIETE MIL NOVECIENTOS CON 00/100</t>
  </si>
  <si>
    <t>2.5.6-793.29</t>
  </si>
  <si>
    <t>GAS OIL; PRESENTACION: POR LITRO, USO: MOTORES DIESEL, COMERCIALIZACION: GRADO 3</t>
  </si>
</sst>
</file>

<file path=xl/styles.xml><?xml version="1.0" encoding="utf-8"?>
<styleSheet xmlns="http://schemas.openxmlformats.org/spreadsheetml/2006/main">
  <numFmts count="9">
    <numFmt numFmtId="8" formatCode="&quot;$&quot;\ #,##0.00;[Red]\-&quot;$&quot;\ #,##0.00"/>
    <numFmt numFmtId="44" formatCode="_-&quot;$&quot;\ * #,##0.00_-;\-&quot;$&quot;\ * #,##0.00_-;_-&quot;$&quot;\ * &quot;-&quot;??_-;_-@_-"/>
    <numFmt numFmtId="164" formatCode="[$$-2C0A]\ #,##0.00;[$$-2C0A]&quot; -&quot;#,##0.00"/>
    <numFmt numFmtId="165" formatCode="&quot;$&quot;\ #,##0.00"/>
    <numFmt numFmtId="166" formatCode="dd\-mm\-yy;@"/>
    <numFmt numFmtId="167" formatCode="_(\$* #,##0.00_);_(\$* \(#,##0.00\);_(\$* \-??_);_(@_)"/>
    <numFmt numFmtId="168" formatCode="[$$-2C0A]\ #,##0.00"/>
    <numFmt numFmtId="169" formatCode="[$$-2C0A]\ #,##0.00000"/>
    <numFmt numFmtId="170" formatCode="[$$-2C0A]\ #,##0.000000"/>
  </numFmts>
  <fonts count="28">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11"/>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9"/>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
      <sz val="11"/>
      <color theme="0"/>
      <name val="Calibri"/>
      <family val="2"/>
      <scheme val="minor"/>
    </font>
    <font>
      <sz val="11"/>
      <color rgb="FF333333"/>
      <name val="Arial"/>
      <family val="2"/>
    </font>
    <font>
      <u/>
      <sz val="10"/>
      <color rgb="FFFF0000"/>
      <name val="Times New Roman"/>
      <family val="1"/>
    </font>
    <font>
      <sz val="10"/>
      <color rgb="FFFF0000"/>
      <name val="Times New Roman"/>
      <family val="1"/>
    </font>
    <font>
      <b/>
      <sz val="10"/>
      <name val="Century Gothic"/>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4">
    <border>
      <left/>
      <right/>
      <top/>
      <bottom/>
      <diagonal/>
    </border>
    <border>
      <left style="thick">
        <color auto="1"/>
      </left>
      <right style="thick">
        <color auto="1"/>
      </right>
      <top style="thick">
        <color auto="1"/>
      </top>
      <bottom style="thick">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n">
        <color rgb="FF3D3D3D"/>
      </right>
      <top style="medium">
        <color rgb="FF3D3D3D"/>
      </top>
      <bottom style="thin">
        <color rgb="FF3D3D3D"/>
      </bottom>
      <diagonal/>
    </border>
    <border>
      <left style="medium">
        <color auto="1"/>
      </left>
      <right style="medium">
        <color auto="1"/>
      </right>
      <top style="medium">
        <color auto="1"/>
      </top>
      <bottom/>
      <diagonal/>
    </border>
    <border>
      <left/>
      <right/>
      <top style="medium">
        <color rgb="FFE5E5E5"/>
      </top>
      <bottom/>
      <diagonal/>
    </border>
    <border>
      <left style="medium">
        <color auto="1"/>
      </left>
      <right style="thin">
        <color rgb="FF3D3D3D"/>
      </right>
      <top style="medium">
        <color auto="1"/>
      </top>
      <bottom style="thin">
        <color rgb="FF3D3D3D"/>
      </bottom>
      <diagonal/>
    </border>
    <border>
      <left style="thin">
        <color rgb="FF3D3D3D"/>
      </left>
      <right style="thin">
        <color rgb="FF3D3D3D"/>
      </right>
      <top style="medium">
        <color auto="1"/>
      </top>
      <bottom style="thin">
        <color rgb="FF3D3D3D"/>
      </bottom>
      <diagonal/>
    </border>
  </borders>
  <cellStyleXfs count="3">
    <xf numFmtId="0" fontId="0" fillId="0" borderId="0"/>
    <xf numFmtId="44" fontId="1" fillId="0" borderId="0" applyFont="0" applyFill="0" applyBorder="0" applyAlignment="0" applyProtection="0"/>
    <xf numFmtId="167" fontId="22" fillId="0" borderId="0" applyBorder="0" applyProtection="0"/>
  </cellStyleXfs>
  <cellXfs count="149">
    <xf numFmtId="0" fontId="0" fillId="0" borderId="0" xfId="0"/>
    <xf numFmtId="0" fontId="3" fillId="0" borderId="0" xfId="0" applyFont="1"/>
    <xf numFmtId="0" fontId="4"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left" wrapText="1"/>
    </xf>
    <xf numFmtId="0" fontId="9" fillId="2" borderId="0" xfId="0" applyFont="1" applyFill="1" applyAlignment="1">
      <alignment horizontal="center" vertical="center" wrapText="1"/>
    </xf>
    <xf numFmtId="0" fontId="10" fillId="0" borderId="6" xfId="0" applyFont="1" applyBorder="1"/>
    <xf numFmtId="0" fontId="3" fillId="0" borderId="7" xfId="0" applyFont="1" applyBorder="1"/>
    <xf numFmtId="0" fontId="10" fillId="0" borderId="7" xfId="0" applyFont="1" applyBorder="1" applyAlignment="1">
      <alignment horizontal="left" indent="3"/>
    </xf>
    <xf numFmtId="0" fontId="3" fillId="0" borderId="7" xfId="0" applyFont="1" applyBorder="1" applyAlignment="1">
      <alignment horizontal="left" indent="3"/>
    </xf>
    <xf numFmtId="0" fontId="11" fillId="2" borderId="0" xfId="0" applyFont="1" applyFill="1" applyAlignment="1">
      <alignment horizontal="left" wrapText="1" indent="1"/>
    </xf>
    <xf numFmtId="0" fontId="7" fillId="0" borderId="0" xfId="0" applyFont="1" applyAlignment="1">
      <alignment horizontal="center" wrapText="1"/>
    </xf>
    <xf numFmtId="0" fontId="0" fillId="0" borderId="0" xfId="0" applyAlignment="1">
      <alignment horizontal="center" vertical="center" wrapText="1"/>
    </xf>
    <xf numFmtId="0" fontId="3" fillId="0" borderId="5" xfId="0" applyFont="1" applyBorder="1"/>
    <xf numFmtId="0" fontId="3" fillId="0" borderId="0" xfId="0" applyFont="1" applyAlignment="1">
      <alignment horizontal="center" wrapText="1"/>
    </xf>
    <xf numFmtId="0" fontId="13" fillId="3" borderId="0" xfId="0" applyFont="1" applyFill="1" applyAlignment="1">
      <alignment horizontal="left" wrapText="1"/>
    </xf>
    <xf numFmtId="0" fontId="0" fillId="0" borderId="0" xfId="0" applyAlignment="1">
      <alignment horizontal="left" vertical="center" wrapText="1"/>
    </xf>
    <xf numFmtId="0" fontId="3" fillId="0" borderId="10" xfId="0" applyFont="1" applyBorder="1"/>
    <xf numFmtId="0" fontId="3" fillId="0" borderId="11" xfId="0" applyFont="1" applyBorder="1"/>
    <xf numFmtId="0" fontId="3" fillId="0" borderId="11" xfId="0" applyFont="1" applyBorder="1" applyAlignment="1">
      <alignment horizontal="center" wrapText="1"/>
    </xf>
    <xf numFmtId="0" fontId="9" fillId="2" borderId="3" xfId="0" applyFont="1" applyFill="1" applyBorder="1" applyAlignment="1">
      <alignment horizontal="center" vertical="center" wrapText="1"/>
    </xf>
    <xf numFmtId="164" fontId="5" fillId="2" borderId="0" xfId="1" applyNumberFormat="1" applyFont="1" applyFill="1" applyBorder="1" applyAlignment="1" applyProtection="1">
      <alignment horizontal="right" vertical="center" wrapText="1"/>
    </xf>
    <xf numFmtId="0" fontId="15" fillId="0" borderId="11" xfId="0" applyFont="1" applyBorder="1" applyAlignment="1">
      <alignment vertical="center"/>
    </xf>
    <xf numFmtId="0" fontId="9" fillId="0" borderId="0" xfId="0" applyFont="1" applyBorder="1" applyAlignment="1">
      <alignment horizontal="center" vertical="center" wrapText="1"/>
    </xf>
    <xf numFmtId="0" fontId="9" fillId="0" borderId="0" xfId="0" applyFont="1" applyFill="1" applyBorder="1" applyAlignment="1">
      <alignment horizontal="center" vertical="center" wrapText="1"/>
    </xf>
    <xf numFmtId="0" fontId="9" fillId="2" borderId="0" xfId="0" applyFont="1" applyFill="1" applyBorder="1" applyAlignment="1">
      <alignment horizontal="center" vertical="center" wrapText="1"/>
    </xf>
    <xf numFmtId="3" fontId="19" fillId="0" borderId="5" xfId="0" applyNumberFormat="1" applyFont="1" applyBorder="1"/>
    <xf numFmtId="166" fontId="12" fillId="0" borderId="5" xfId="0" applyNumberFormat="1" applyFont="1" applyBorder="1" applyAlignment="1">
      <alignment horizontal="left"/>
    </xf>
    <xf numFmtId="0" fontId="12" fillId="0" borderId="5" xfId="0" applyFont="1" applyBorder="1"/>
    <xf numFmtId="0" fontId="12" fillId="0" borderId="7" xfId="0" applyFont="1" applyBorder="1"/>
    <xf numFmtId="0" fontId="12" fillId="0" borderId="0" xfId="0" applyFont="1"/>
    <xf numFmtId="0" fontId="12" fillId="0" borderId="0" xfId="0" applyFont="1" applyAlignment="1">
      <alignment horizontal="left"/>
    </xf>
    <xf numFmtId="166" fontId="12" fillId="0" borderId="0" xfId="0" applyNumberFormat="1" applyFont="1" applyAlignment="1">
      <alignment horizontal="left"/>
    </xf>
    <xf numFmtId="0" fontId="12" fillId="0" borderId="11" xfId="0" applyFont="1" applyBorder="1"/>
    <xf numFmtId="0" fontId="12" fillId="0" borderId="14" xfId="0" applyFont="1" applyBorder="1"/>
    <xf numFmtId="0" fontId="12" fillId="0" borderId="15" xfId="0" applyFont="1" applyBorder="1"/>
    <xf numFmtId="0" fontId="12" fillId="0" borderId="15" xfId="0" applyFont="1" applyBorder="1" applyAlignment="1">
      <alignment horizontal="left"/>
    </xf>
    <xf numFmtId="0" fontId="12" fillId="0" borderId="24" xfId="0" applyFont="1" applyBorder="1"/>
    <xf numFmtId="0" fontId="21" fillId="0" borderId="27" xfId="0" applyFont="1" applyBorder="1" applyAlignment="1">
      <alignment horizontal="center" vertical="center"/>
    </xf>
    <xf numFmtId="0" fontId="21" fillId="0" borderId="28" xfId="0" applyFont="1" applyBorder="1" applyAlignment="1">
      <alignment horizontal="center" vertical="center"/>
    </xf>
    <xf numFmtId="0" fontId="21" fillId="0" borderId="28" xfId="0" applyFont="1" applyBorder="1" applyAlignment="1">
      <alignment horizontal="left" vertical="center"/>
    </xf>
    <xf numFmtId="0" fontId="21" fillId="0" borderId="29" xfId="0" applyFont="1" applyBorder="1" applyAlignment="1">
      <alignment horizontal="center" vertical="center"/>
    </xf>
    <xf numFmtId="0" fontId="21"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6" xfId="0" applyFont="1" applyBorder="1" applyAlignment="1">
      <alignment horizontal="center" vertical="center"/>
    </xf>
    <xf numFmtId="0" fontId="12" fillId="0" borderId="33" xfId="0" applyFont="1" applyBorder="1" applyAlignment="1">
      <alignment horizontal="center" vertical="center"/>
    </xf>
    <xf numFmtId="0" fontId="12" fillId="0" borderId="34" xfId="0" applyFont="1" applyBorder="1" applyAlignment="1">
      <alignment horizontal="center" vertical="center"/>
    </xf>
    <xf numFmtId="0" fontId="12" fillId="0" borderId="35" xfId="0" applyFont="1" applyBorder="1" applyAlignment="1">
      <alignment horizontal="center" vertical="center"/>
    </xf>
    <xf numFmtId="0" fontId="12" fillId="0" borderId="36" xfId="0" applyFont="1" applyBorder="1" applyAlignment="1">
      <alignment horizontal="center" vertical="center"/>
    </xf>
    <xf numFmtId="164" fontId="12" fillId="0" borderId="37" xfId="2" applyNumberFormat="1" applyFont="1" applyBorder="1" applyAlignment="1" applyProtection="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12" fillId="0" borderId="40" xfId="0" applyFont="1" applyBorder="1" applyAlignment="1">
      <alignment horizontal="center" vertical="center"/>
    </xf>
    <xf numFmtId="164" fontId="12" fillId="0" borderId="41" xfId="2" applyNumberFormat="1" applyFont="1" applyBorder="1" applyAlignment="1" applyProtection="1">
      <alignment horizontal="center" vertical="center"/>
    </xf>
    <xf numFmtId="164" fontId="21" fillId="0" borderId="43" xfId="0" applyNumberFormat="1" applyFont="1" applyBorder="1" applyAlignment="1">
      <alignment horizontal="center" vertical="center"/>
    </xf>
    <xf numFmtId="0" fontId="15" fillId="0" borderId="0" xfId="0" applyFont="1" applyBorder="1" applyAlignment="1">
      <alignment vertical="center"/>
    </xf>
    <xf numFmtId="0" fontId="18" fillId="0" borderId="3" xfId="0" applyFont="1" applyFill="1" applyBorder="1" applyAlignment="1">
      <alignment horizontal="center" vertical="center"/>
    </xf>
    <xf numFmtId="0" fontId="4" fillId="0" borderId="16" xfId="0" applyFont="1" applyBorder="1" applyAlignment="1">
      <alignment horizontal="center" vertical="center" wrapText="1"/>
    </xf>
    <xf numFmtId="0" fontId="16" fillId="0" borderId="16" xfId="0" applyFont="1" applyBorder="1" applyAlignment="1">
      <alignment horizontal="center" vertical="center" wrapText="1"/>
    </xf>
    <xf numFmtId="0" fontId="15" fillId="0" borderId="7" xfId="0" applyFont="1" applyBorder="1" applyAlignment="1">
      <alignment vertical="center"/>
    </xf>
    <xf numFmtId="0" fontId="4" fillId="0" borderId="0" xfId="0" applyFont="1" applyAlignment="1">
      <alignment horizontal="left" vertical="center" wrapText="1"/>
    </xf>
    <xf numFmtId="0" fontId="11" fillId="2" borderId="0" xfId="0" applyFont="1" applyFill="1" applyAlignment="1">
      <alignment horizontal="left" wrapText="1" indent="1"/>
    </xf>
    <xf numFmtId="0" fontId="0" fillId="0" borderId="4" xfId="0" applyBorder="1" applyAlignment="1">
      <alignment horizontal="center" vertical="center"/>
    </xf>
    <xf numFmtId="0" fontId="5" fillId="0" borderId="3" xfId="0" applyFont="1" applyBorder="1" applyAlignment="1">
      <alignment horizontal="center" vertical="center"/>
    </xf>
    <xf numFmtId="0" fontId="0" fillId="0" borderId="3" xfId="0" applyBorder="1" applyAlignment="1">
      <alignment horizontal="center" vertical="center"/>
    </xf>
    <xf numFmtId="0" fontId="0" fillId="0" borderId="3" xfId="0" applyBorder="1"/>
    <xf numFmtId="0" fontId="8" fillId="0" borderId="3" xfId="0" applyFont="1" applyBorder="1" applyAlignment="1">
      <alignment horizontal="center" vertical="center" wrapText="1"/>
    </xf>
    <xf numFmtId="0" fontId="3" fillId="0" borderId="3" xfId="0" applyFont="1" applyBorder="1" applyAlignment="1">
      <alignment horizontal="left" vertical="center" wrapText="1"/>
    </xf>
    <xf numFmtId="164" fontId="5" fillId="2" borderId="3" xfId="1" applyNumberFormat="1" applyFont="1" applyFill="1" applyBorder="1" applyAlignment="1" applyProtection="1">
      <alignment horizontal="center" vertical="center" wrapText="1"/>
    </xf>
    <xf numFmtId="168" fontId="0" fillId="0" borderId="0" xfId="0" applyNumberFormat="1"/>
    <xf numFmtId="0" fontId="19" fillId="0" borderId="16" xfId="0" applyFont="1" applyFill="1" applyBorder="1" applyAlignment="1">
      <alignment horizontal="left" vertical="center"/>
    </xf>
    <xf numFmtId="165" fontId="0" fillId="0" borderId="0" xfId="0" applyNumberFormat="1"/>
    <xf numFmtId="0" fontId="4" fillId="0" borderId="50" xfId="0" applyFont="1" applyBorder="1" applyAlignment="1">
      <alignment horizontal="center" vertical="center" wrapText="1"/>
    </xf>
    <xf numFmtId="0" fontId="0" fillId="0" borderId="0" xfId="0" applyAlignment="1">
      <alignment vertical="center" wrapText="1"/>
    </xf>
    <xf numFmtId="168" fontId="0" fillId="0" borderId="4" xfId="0" applyNumberFormat="1" applyBorder="1"/>
    <xf numFmtId="168" fontId="23" fillId="0" borderId="0" xfId="0" applyNumberFormat="1" applyFont="1"/>
    <xf numFmtId="164" fontId="5" fillId="0" borderId="37" xfId="2" applyNumberFormat="1" applyFont="1" applyFill="1" applyBorder="1" applyAlignment="1" applyProtection="1">
      <alignment horizontal="center" vertical="center"/>
    </xf>
    <xf numFmtId="0" fontId="26" fillId="0" borderId="0" xfId="0" applyFont="1"/>
    <xf numFmtId="0" fontId="26" fillId="0" borderId="11" xfId="0" applyFont="1" applyBorder="1"/>
    <xf numFmtId="0" fontId="25" fillId="0" borderId="7" xfId="0" applyFont="1" applyBorder="1" applyAlignment="1">
      <alignment horizontal="left" indent="3"/>
    </xf>
    <xf numFmtId="0" fontId="26" fillId="0" borderId="7" xfId="0" applyFont="1" applyBorder="1" applyAlignment="1">
      <alignment horizontal="left" indent="3"/>
    </xf>
    <xf numFmtId="0" fontId="26" fillId="0" borderId="8" xfId="0" applyFont="1" applyBorder="1" applyAlignment="1">
      <alignment horizontal="left" indent="3"/>
    </xf>
    <xf numFmtId="0" fontId="26" fillId="0" borderId="9" xfId="0" applyFont="1" applyBorder="1"/>
    <xf numFmtId="0" fontId="26" fillId="0" borderId="12" xfId="0" applyFont="1" applyBorder="1"/>
    <xf numFmtId="0" fontId="24" fillId="0" borderId="51" xfId="0" applyFont="1" applyFill="1" applyBorder="1" applyAlignment="1">
      <alignment vertical="center" wrapText="1"/>
    </xf>
    <xf numFmtId="0" fontId="0" fillId="0" borderId="0" xfId="0" applyFill="1"/>
    <xf numFmtId="8" fontId="0" fillId="0" borderId="0" xfId="0" applyNumberFormat="1"/>
    <xf numFmtId="169" fontId="0" fillId="0" borderId="0" xfId="0" applyNumberFormat="1"/>
    <xf numFmtId="170" fontId="0" fillId="0" borderId="0" xfId="0" applyNumberFormat="1"/>
    <xf numFmtId="0" fontId="27" fillId="0" borderId="0" xfId="0" applyFont="1" applyFill="1" applyBorder="1" applyAlignment="1">
      <alignment horizontal="center" vertical="center" wrapText="1"/>
    </xf>
    <xf numFmtId="165" fontId="27" fillId="0" borderId="0" xfId="0" applyNumberFormat="1" applyFont="1" applyFill="1" applyBorder="1" applyAlignment="1">
      <alignment horizontal="center" vertical="center" wrapText="1"/>
    </xf>
    <xf numFmtId="0" fontId="5" fillId="0" borderId="36" xfId="0" applyFont="1" applyFill="1" applyBorder="1" applyAlignment="1">
      <alignment horizontal="center" vertical="center"/>
    </xf>
    <xf numFmtId="0" fontId="5" fillId="0" borderId="52" xfId="0" applyFont="1" applyBorder="1" applyAlignment="1">
      <alignment horizontal="center" vertical="center"/>
    </xf>
    <xf numFmtId="0" fontId="5" fillId="0" borderId="53" xfId="0" applyFont="1" applyBorder="1" applyAlignment="1">
      <alignment horizontal="center" vertical="center"/>
    </xf>
    <xf numFmtId="0" fontId="6" fillId="0" borderId="0" xfId="0" applyFont="1" applyAlignment="1">
      <alignment horizontal="center"/>
    </xf>
    <xf numFmtId="0" fontId="4" fillId="0" borderId="0" xfId="0" applyFont="1" applyAlignment="1">
      <alignment horizontal="left" vertical="center" wrapText="1"/>
    </xf>
    <xf numFmtId="0" fontId="11" fillId="2" borderId="0" xfId="0" applyFont="1" applyFill="1" applyAlignment="1">
      <alignment horizontal="left" wrapText="1" indent="1"/>
    </xf>
    <xf numFmtId="0" fontId="26" fillId="2" borderId="0" xfId="0" applyFont="1" applyFill="1" applyAlignment="1">
      <alignment horizontal="left" wrapText="1"/>
    </xf>
    <xf numFmtId="0" fontId="26" fillId="2" borderId="11" xfId="0" applyFont="1" applyFill="1" applyBorder="1" applyAlignment="1">
      <alignment horizontal="left" wrapText="1"/>
    </xf>
    <xf numFmtId="0" fontId="26" fillId="2" borderId="0" xfId="0" applyFont="1" applyFill="1" applyAlignment="1">
      <alignment horizontal="left"/>
    </xf>
    <xf numFmtId="0" fontId="26" fillId="2" borderId="11" xfId="0" applyFont="1" applyFill="1" applyBorder="1" applyAlignment="1">
      <alignment horizontal="left"/>
    </xf>
    <xf numFmtId="0" fontId="3" fillId="2" borderId="0" xfId="0" applyFont="1" applyFill="1" applyAlignment="1">
      <alignment horizontal="left" wrapText="1"/>
    </xf>
    <xf numFmtId="0" fontId="3" fillId="2" borderId="11" xfId="0" applyFont="1" applyFill="1" applyBorder="1" applyAlignment="1">
      <alignment horizontal="left" wrapText="1"/>
    </xf>
    <xf numFmtId="0" fontId="12" fillId="2" borderId="0" xfId="0" applyFont="1" applyFill="1" applyAlignment="1">
      <alignment horizontal="left" wrapText="1"/>
    </xf>
    <xf numFmtId="0" fontId="12" fillId="2" borderId="11" xfId="0" applyFont="1" applyFill="1" applyBorder="1" applyAlignment="1">
      <alignment horizontal="left" wrapText="1"/>
    </xf>
    <xf numFmtId="0" fontId="2" fillId="0" borderId="4" xfId="0" applyFont="1" applyBorder="1" applyAlignment="1">
      <alignment horizontal="left" vertical="top" wrapText="1"/>
    </xf>
    <xf numFmtId="0" fontId="17" fillId="0" borderId="17" xfId="0" applyFont="1" applyBorder="1" applyAlignment="1">
      <alignment horizontal="left" vertical="center"/>
    </xf>
    <xf numFmtId="0" fontId="17" fillId="0" borderId="45" xfId="0" applyFont="1" applyBorder="1" applyAlignment="1">
      <alignment horizontal="left" vertical="center"/>
    </xf>
    <xf numFmtId="0" fontId="17" fillId="0" borderId="18" xfId="0" applyFont="1" applyBorder="1" applyAlignment="1">
      <alignment horizontal="left" vertical="center"/>
    </xf>
    <xf numFmtId="0" fontId="17" fillId="0" borderId="16" xfId="0" applyFont="1" applyFill="1" applyBorder="1" applyAlignment="1">
      <alignment horizontal="left" vertical="center" wrapText="1"/>
    </xf>
    <xf numFmtId="0" fontId="14" fillId="0" borderId="6"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10" xfId="0" applyFont="1" applyBorder="1" applyAlignment="1">
      <alignment horizontal="center" vertical="center" wrapText="1"/>
    </xf>
    <xf numFmtId="0" fontId="16" fillId="0" borderId="16" xfId="0" applyFont="1" applyBorder="1" applyAlignment="1">
      <alignment vertical="center" wrapText="1"/>
    </xf>
    <xf numFmtId="0" fontId="16" fillId="0" borderId="16" xfId="0" applyFont="1" applyFill="1" applyBorder="1" applyAlignment="1">
      <alignment horizontal="left" vertical="center" wrapText="1"/>
    </xf>
    <xf numFmtId="0" fontId="16" fillId="3" borderId="16" xfId="0" applyFont="1" applyFill="1" applyBorder="1" applyAlignment="1">
      <alignment horizontal="left" vertical="center" wrapText="1"/>
    </xf>
    <xf numFmtId="0" fontId="16" fillId="0" borderId="16" xfId="0" applyFont="1" applyFill="1" applyBorder="1" applyAlignment="1">
      <alignment vertical="center" wrapText="1"/>
    </xf>
    <xf numFmtId="0" fontId="12" fillId="0" borderId="19" xfId="0" applyFont="1" applyFill="1" applyBorder="1" applyAlignment="1">
      <alignment horizontal="left" vertical="center" wrapText="1"/>
    </xf>
    <xf numFmtId="0" fontId="12" fillId="0" borderId="20" xfId="0" applyFont="1" applyFill="1" applyBorder="1" applyAlignment="1"/>
    <xf numFmtId="0" fontId="12" fillId="0" borderId="17" xfId="0" applyFont="1" applyBorder="1" applyAlignment="1">
      <alignment horizontal="center"/>
    </xf>
    <xf numFmtId="0" fontId="19" fillId="0" borderId="18" xfId="0" applyFont="1" applyBorder="1" applyAlignment="1">
      <alignment horizontal="center"/>
    </xf>
    <xf numFmtId="0" fontId="19" fillId="0" borderId="13" xfId="0" applyFont="1" applyBorder="1" applyAlignment="1">
      <alignment horizontal="center" vertical="center" wrapText="1"/>
    </xf>
    <xf numFmtId="0" fontId="12" fillId="0" borderId="19" xfId="0" applyFont="1" applyFill="1" applyBorder="1"/>
    <xf numFmtId="0" fontId="12" fillId="3" borderId="46" xfId="0" applyFont="1" applyFill="1" applyBorder="1" applyAlignment="1">
      <alignment horizontal="left" vertical="center"/>
    </xf>
    <xf numFmtId="0" fontId="12" fillId="3" borderId="47" xfId="0" applyFont="1" applyFill="1" applyBorder="1" applyAlignment="1">
      <alignment horizontal="left" vertical="center"/>
    </xf>
    <xf numFmtId="0" fontId="12" fillId="3" borderId="48" xfId="0" applyFont="1" applyFill="1" applyBorder="1" applyAlignment="1">
      <alignment horizontal="left" vertical="center"/>
    </xf>
    <xf numFmtId="0" fontId="12" fillId="3" borderId="20" xfId="0" applyFont="1" applyFill="1" applyBorder="1" applyAlignment="1"/>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left" vertical="center"/>
    </xf>
    <xf numFmtId="0" fontId="20" fillId="0" borderId="21" xfId="0" applyFont="1" applyBorder="1" applyAlignment="1">
      <alignment horizontal="left"/>
    </xf>
    <xf numFmtId="0" fontId="21" fillId="0" borderId="42" xfId="0" applyFont="1" applyFill="1" applyBorder="1" applyAlignment="1">
      <alignment horizontal="left" vertical="center" wrapText="1"/>
    </xf>
    <xf numFmtId="0" fontId="12" fillId="0" borderId="22" xfId="0" applyFont="1" applyBorder="1" applyAlignment="1">
      <alignment horizontal="left"/>
    </xf>
    <xf numFmtId="49" fontId="12" fillId="0" borderId="23" xfId="0" applyNumberFormat="1" applyFont="1" applyBorder="1" applyAlignment="1">
      <alignment horizontal="justify" vertical="center" wrapText="1"/>
    </xf>
    <xf numFmtId="0" fontId="21" fillId="0" borderId="22" xfId="0" applyFont="1" applyBorder="1" applyAlignment="1">
      <alignment horizontal="center" vertical="center"/>
    </xf>
    <xf numFmtId="0" fontId="21" fillId="0" borderId="19" xfId="0" applyFont="1" applyBorder="1" applyAlignment="1">
      <alignment horizontal="center" vertical="center"/>
    </xf>
    <xf numFmtId="0" fontId="21" fillId="0" borderId="25" xfId="0" applyFont="1" applyBorder="1" applyAlignment="1">
      <alignment horizontal="center" vertical="center" wrapText="1"/>
    </xf>
    <xf numFmtId="0" fontId="21" fillId="0" borderId="26" xfId="0" applyFont="1" applyBorder="1" applyAlignment="1">
      <alignment horizontal="center" vertical="center"/>
    </xf>
    <xf numFmtId="0" fontId="5" fillId="0" borderId="32" xfId="0" applyFont="1" applyBorder="1" applyAlignment="1">
      <alignment horizontal="left" vertical="center" wrapText="1"/>
    </xf>
    <xf numFmtId="0" fontId="5" fillId="0" borderId="49" xfId="0" applyFont="1" applyBorder="1" applyAlignment="1">
      <alignment horizontal="left" vertical="center" wrapText="1"/>
    </xf>
    <xf numFmtId="0" fontId="12" fillId="0" borderId="36" xfId="0" applyFont="1" applyBorder="1" applyAlignment="1">
      <alignment horizontal="center"/>
    </xf>
    <xf numFmtId="0" fontId="12" fillId="0" borderId="36" xfId="0" applyFont="1" applyBorder="1" applyAlignment="1">
      <alignment horizontal="center" vertical="center"/>
    </xf>
    <xf numFmtId="0" fontId="12" fillId="0" borderId="39" xfId="0" applyFont="1" applyBorder="1" applyAlignment="1">
      <alignment horizontal="left" vertical="center"/>
    </xf>
    <xf numFmtId="0" fontId="0" fillId="0" borderId="5" xfId="0" applyBorder="1" applyAlignment="1">
      <alignment horizontal="left"/>
    </xf>
    <xf numFmtId="0" fontId="5" fillId="0" borderId="22" xfId="0" applyFont="1" applyBorder="1"/>
    <xf numFmtId="0" fontId="21" fillId="0" borderId="16" xfId="0" applyFont="1" applyBorder="1" applyAlignment="1">
      <alignment vertical="center" wrapText="1"/>
    </xf>
    <xf numFmtId="0" fontId="5" fillId="0" borderId="26" xfId="0" applyFont="1" applyBorder="1" applyAlignment="1">
      <alignment vertical="center" wrapText="1"/>
    </xf>
    <xf numFmtId="0" fontId="5" fillId="0" borderId="44" xfId="0" applyFont="1" applyBorder="1" applyAlignment="1">
      <alignment horizontal="left" vertical="center" wrapText="1" indent="1"/>
    </xf>
  </cellXfs>
  <cellStyles count="3">
    <cellStyle name="Moneda" xfId="1" builtinId="4"/>
    <cellStyle name="Moneda_AUTORIZACION Y NOTA DE PEDIDO"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xmlns=""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xmlns=""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xmlns=""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xmlns=""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M31"/>
  <sheetViews>
    <sheetView tabSelected="1" topLeftCell="A4" workbookViewId="0">
      <selection activeCell="C15" sqref="C15:E15"/>
    </sheetView>
  </sheetViews>
  <sheetFormatPr baseColWidth="10" defaultRowHeight="15"/>
  <cols>
    <col min="1" max="1" width="4.5703125" customWidth="1"/>
    <col min="2" max="2" width="14.5703125" customWidth="1"/>
    <col min="3" max="3" width="28" customWidth="1"/>
    <col min="4" max="4" width="8.42578125" customWidth="1"/>
    <col min="5" max="5" width="64.7109375" customWidth="1"/>
    <col min="6" max="6" width="11"/>
    <col min="7" max="7" width="12.7109375" customWidth="1"/>
    <col min="8" max="8" width="13.85546875" customWidth="1"/>
    <col min="9" max="9" width="17.5703125" customWidth="1"/>
    <col min="10" max="10" width="16.5703125" customWidth="1"/>
  </cols>
  <sheetData>
    <row r="1" spans="1:11" ht="27">
      <c r="A1" s="1"/>
      <c r="B1" s="95" t="s">
        <v>5</v>
      </c>
      <c r="C1" s="95"/>
      <c r="D1" s="95"/>
      <c r="E1" s="95"/>
      <c r="F1" s="95"/>
      <c r="G1" s="95"/>
      <c r="H1" s="95"/>
      <c r="I1" s="1"/>
    </row>
    <row r="2" spans="1:11">
      <c r="A2" s="1"/>
      <c r="B2" s="1"/>
      <c r="C2" s="1"/>
      <c r="D2" s="1"/>
      <c r="E2" s="1"/>
      <c r="F2" s="1"/>
      <c r="G2" s="1"/>
      <c r="H2" s="1"/>
      <c r="I2" s="1"/>
    </row>
    <row r="3" spans="1:11" ht="15.75">
      <c r="A3" s="96" t="s">
        <v>0</v>
      </c>
      <c r="B3" s="96"/>
      <c r="C3" s="97" t="s">
        <v>11</v>
      </c>
      <c r="D3" s="97"/>
      <c r="E3" s="97"/>
      <c r="F3" s="5"/>
      <c r="G3" s="12"/>
      <c r="H3" s="5"/>
      <c r="I3" s="1"/>
    </row>
    <row r="4" spans="1:11" ht="15.75">
      <c r="A4" s="96" t="s">
        <v>1</v>
      </c>
      <c r="B4" s="96"/>
      <c r="C4" s="97" t="s">
        <v>12</v>
      </c>
      <c r="D4" s="97"/>
      <c r="E4" s="97"/>
      <c r="F4" s="5"/>
      <c r="G4" s="12"/>
      <c r="H4" s="5"/>
      <c r="I4" s="1"/>
    </row>
    <row r="5" spans="1:11" ht="15.75">
      <c r="A5" s="96" t="s">
        <v>2</v>
      </c>
      <c r="B5" s="96"/>
      <c r="C5" s="11">
        <v>2021</v>
      </c>
      <c r="D5" s="16"/>
      <c r="E5" s="16"/>
      <c r="F5" s="5"/>
      <c r="G5" s="12"/>
      <c r="H5" s="5"/>
      <c r="I5" s="1"/>
    </row>
    <row r="6" spans="1:11" ht="15.75">
      <c r="A6" s="96" t="s">
        <v>3</v>
      </c>
      <c r="B6" s="96"/>
      <c r="C6" s="11">
        <v>4</v>
      </c>
      <c r="D6" s="16"/>
      <c r="E6" s="16"/>
      <c r="F6" s="5"/>
      <c r="G6" s="12"/>
      <c r="H6" s="5"/>
      <c r="I6" s="1"/>
    </row>
    <row r="7" spans="1:11" ht="15.75">
      <c r="A7" s="61"/>
      <c r="B7" s="61"/>
      <c r="C7" s="62"/>
      <c r="D7" s="16"/>
      <c r="E7" s="16"/>
      <c r="F7" s="5"/>
      <c r="G7" s="12"/>
      <c r="H7" s="5"/>
      <c r="I7" s="1"/>
    </row>
    <row r="8" spans="1:11" ht="15.75" thickBot="1">
      <c r="A8" s="1"/>
      <c r="B8" s="5"/>
      <c r="C8" s="12"/>
      <c r="D8" s="5"/>
      <c r="E8" s="5"/>
      <c r="F8" s="5"/>
      <c r="G8" s="12"/>
      <c r="H8" s="5"/>
      <c r="I8" s="1"/>
    </row>
    <row r="9" spans="1:11" ht="44.25" thickTop="1" thickBot="1">
      <c r="A9" s="2" t="s">
        <v>4</v>
      </c>
      <c r="B9" s="2" t="s">
        <v>6</v>
      </c>
      <c r="C9" s="2" t="s">
        <v>13</v>
      </c>
      <c r="D9" s="2" t="s">
        <v>15</v>
      </c>
      <c r="E9" s="2" t="s">
        <v>16</v>
      </c>
      <c r="F9" s="2" t="s">
        <v>17</v>
      </c>
      <c r="G9" s="2" t="s">
        <v>18</v>
      </c>
      <c r="H9" s="2" t="s">
        <v>19</v>
      </c>
      <c r="I9" s="2" t="s">
        <v>20</v>
      </c>
    </row>
    <row r="10" spans="1:11" ht="26.25" thickTop="1">
      <c r="A10" s="64">
        <v>1</v>
      </c>
      <c r="B10" s="65" t="s">
        <v>68</v>
      </c>
      <c r="C10" s="66" t="s">
        <v>53</v>
      </c>
      <c r="D10" s="67" t="s">
        <v>61</v>
      </c>
      <c r="E10" s="68" t="s">
        <v>69</v>
      </c>
      <c r="F10" s="21" t="s">
        <v>60</v>
      </c>
      <c r="G10" s="21">
        <v>27000</v>
      </c>
      <c r="H10" s="69">
        <v>107.7</v>
      </c>
      <c r="I10" s="69">
        <f t="shared" ref="I10" si="0">G10*H10</f>
        <v>2907900</v>
      </c>
    </row>
    <row r="11" spans="1:11" ht="15.75" thickBot="1">
      <c r="A11" s="4"/>
      <c r="B11" s="26"/>
      <c r="C11" s="13"/>
      <c r="D11" s="25"/>
      <c r="E11" s="17"/>
      <c r="F11" s="6"/>
      <c r="G11" s="6"/>
      <c r="H11" s="22"/>
      <c r="I11" s="22"/>
      <c r="J11" s="70"/>
    </row>
    <row r="12" spans="1:11">
      <c r="A12" s="1"/>
      <c r="B12" s="7" t="s">
        <v>59</v>
      </c>
      <c r="C12" s="14"/>
      <c r="D12" s="14"/>
      <c r="E12" s="18"/>
      <c r="F12" s="1"/>
      <c r="G12" s="1"/>
      <c r="H12" s="1"/>
      <c r="I12" s="1"/>
      <c r="J12" s="70"/>
    </row>
    <row r="13" spans="1:11">
      <c r="A13" s="1"/>
      <c r="B13" s="8"/>
      <c r="C13" s="1"/>
      <c r="D13" s="1"/>
      <c r="E13" s="19"/>
      <c r="F13" s="1"/>
      <c r="G13" s="1"/>
      <c r="H13" s="1"/>
      <c r="I13" s="1"/>
    </row>
    <row r="14" spans="1:11">
      <c r="A14" s="1"/>
      <c r="B14" s="9" t="s">
        <v>7</v>
      </c>
      <c r="C14" s="1"/>
      <c r="D14" s="1"/>
      <c r="E14" s="19"/>
      <c r="F14" s="1"/>
      <c r="G14" s="1"/>
      <c r="H14" s="1"/>
      <c r="I14" s="1"/>
    </row>
    <row r="15" spans="1:11" ht="15.75" thickBot="1">
      <c r="A15" s="1"/>
      <c r="B15" s="9"/>
      <c r="C15" s="102" t="s">
        <v>62</v>
      </c>
      <c r="D15" s="102"/>
      <c r="E15" s="103"/>
      <c r="F15" s="1"/>
      <c r="G15" s="1"/>
      <c r="H15" s="1"/>
      <c r="I15" s="1"/>
    </row>
    <row r="16" spans="1:11">
      <c r="A16" s="1"/>
      <c r="B16" s="9" t="s">
        <v>8</v>
      </c>
      <c r="C16" s="1"/>
      <c r="D16" s="1"/>
      <c r="E16" s="19"/>
      <c r="F16" s="1"/>
      <c r="G16" s="85"/>
      <c r="H16" s="85"/>
      <c r="I16" s="85"/>
      <c r="J16" s="85"/>
      <c r="K16" s="86"/>
    </row>
    <row r="17" spans="1:13">
      <c r="A17" s="1"/>
      <c r="B17" s="10"/>
      <c r="C17" s="104" t="s">
        <v>14</v>
      </c>
      <c r="D17" s="104"/>
      <c r="E17" s="105"/>
      <c r="F17" s="1"/>
      <c r="G17" s="1"/>
      <c r="H17" s="90"/>
      <c r="I17" s="90"/>
      <c r="J17" s="91"/>
    </row>
    <row r="18" spans="1:13" ht="63" customHeight="1">
      <c r="A18" s="1"/>
      <c r="B18" s="10"/>
      <c r="C18" s="104"/>
      <c r="D18" s="104"/>
      <c r="E18" s="105"/>
      <c r="F18" s="1"/>
      <c r="G18" s="1"/>
      <c r="H18" s="1"/>
      <c r="I18" s="1"/>
      <c r="J18" s="1"/>
      <c r="K18" s="1"/>
      <c r="L18" s="1"/>
      <c r="M18" s="1"/>
    </row>
    <row r="19" spans="1:13" ht="15" customHeight="1">
      <c r="A19" s="1"/>
      <c r="B19" s="9" t="s">
        <v>9</v>
      </c>
      <c r="C19" s="1"/>
      <c r="D19" s="1"/>
      <c r="E19" s="19"/>
      <c r="F19" s="1"/>
      <c r="G19" s="1"/>
      <c r="H19" s="1"/>
      <c r="I19" s="1"/>
      <c r="J19" s="1"/>
      <c r="K19" s="1"/>
      <c r="L19" s="1"/>
      <c r="M19" s="1"/>
    </row>
    <row r="20" spans="1:13" ht="15" customHeight="1">
      <c r="A20" s="1"/>
      <c r="B20" s="10"/>
      <c r="C20" s="102"/>
      <c r="D20" s="102"/>
      <c r="E20" s="103"/>
      <c r="F20" s="1"/>
      <c r="G20" s="1"/>
      <c r="H20" s="1"/>
      <c r="I20" s="1"/>
      <c r="J20" s="1"/>
      <c r="K20" s="1"/>
      <c r="L20" s="1"/>
      <c r="M20" s="1"/>
    </row>
    <row r="21" spans="1:13" ht="15" customHeight="1">
      <c r="A21" s="1"/>
      <c r="B21" s="9" t="s">
        <v>10</v>
      </c>
      <c r="C21" s="15"/>
      <c r="D21" s="15"/>
      <c r="E21" s="20"/>
      <c r="F21" s="1"/>
      <c r="G21" s="1"/>
      <c r="H21" s="1"/>
      <c r="I21" s="1"/>
      <c r="J21" s="1"/>
      <c r="K21" s="1"/>
      <c r="L21" s="1"/>
      <c r="M21" s="1"/>
    </row>
    <row r="22" spans="1:13" ht="15" customHeight="1">
      <c r="A22" s="1"/>
      <c r="B22" s="81"/>
      <c r="C22" s="98"/>
      <c r="D22" s="98"/>
      <c r="E22" s="99"/>
      <c r="F22" s="1"/>
      <c r="G22" s="1"/>
      <c r="H22" s="1"/>
      <c r="I22" s="1"/>
      <c r="J22" s="1"/>
      <c r="K22" s="1"/>
      <c r="L22" s="1"/>
      <c r="M22" s="1"/>
    </row>
    <row r="23" spans="1:13" ht="15" customHeight="1">
      <c r="A23" s="1"/>
      <c r="B23" s="80"/>
      <c r="C23" s="78"/>
      <c r="D23" s="78"/>
      <c r="E23" s="79"/>
      <c r="F23" s="1"/>
      <c r="G23" s="1"/>
      <c r="H23" s="1"/>
      <c r="I23" s="1"/>
      <c r="J23" s="1"/>
      <c r="K23" s="1"/>
      <c r="L23" s="1"/>
      <c r="M23" s="1"/>
    </row>
    <row r="24" spans="1:13" ht="15" customHeight="1">
      <c r="A24" s="1"/>
      <c r="B24" s="80"/>
      <c r="C24" s="98"/>
      <c r="D24" s="100"/>
      <c r="E24" s="101"/>
      <c r="F24" s="1"/>
      <c r="G24" s="1"/>
      <c r="H24" s="1"/>
      <c r="I24" s="1"/>
      <c r="J24" s="1"/>
      <c r="K24" s="1"/>
      <c r="L24" s="1"/>
      <c r="M24" s="1"/>
    </row>
    <row r="25" spans="1:13" ht="15.75" customHeight="1" thickBot="1">
      <c r="A25" s="1"/>
      <c r="B25" s="82"/>
      <c r="C25" s="83"/>
      <c r="D25" s="83"/>
      <c r="E25" s="84"/>
      <c r="F25" s="1"/>
      <c r="G25" s="1"/>
      <c r="H25" s="1"/>
      <c r="I25" s="1"/>
      <c r="J25" s="1"/>
      <c r="K25" s="1"/>
      <c r="L25" s="1"/>
      <c r="M25" s="1"/>
    </row>
    <row r="26" spans="1:13">
      <c r="A26" s="4"/>
      <c r="B26" s="26"/>
      <c r="C26" s="13"/>
      <c r="D26" s="24"/>
      <c r="E26" s="17"/>
      <c r="F26" s="6"/>
      <c r="G26" s="6"/>
      <c r="H26" s="22"/>
      <c r="I26" s="22"/>
    </row>
    <row r="31" spans="1:13">
      <c r="C31" s="74"/>
      <c r="D31" s="74"/>
      <c r="E31" s="74"/>
      <c r="F31" s="74"/>
    </row>
  </sheetData>
  <autoFilter ref="A9:I9"/>
  <mergeCells count="12">
    <mergeCell ref="C22:E22"/>
    <mergeCell ref="C24:E24"/>
    <mergeCell ref="A5:B5"/>
    <mergeCell ref="A6:B6"/>
    <mergeCell ref="C15:E15"/>
    <mergeCell ref="C17:E18"/>
    <mergeCell ref="C20:E20"/>
    <mergeCell ref="B1:H1"/>
    <mergeCell ref="A3:B3"/>
    <mergeCell ref="C3:E3"/>
    <mergeCell ref="A4:B4"/>
    <mergeCell ref="C4:E4"/>
  </mergeCells>
  <pageMargins left="0.23622047244094491" right="0.23622047244094491" top="0.74803149606299213" bottom="0.74803149606299213" header="0.31496062992125984" footer="0.31496062992125984"/>
  <pageSetup paperSize="5" scale="80" orientation="landscape" r:id="rId1"/>
</worksheet>
</file>

<file path=xl/worksheets/sheet2.xml><?xml version="1.0" encoding="utf-8"?>
<worksheet xmlns="http://schemas.openxmlformats.org/spreadsheetml/2006/main" xmlns:r="http://schemas.openxmlformats.org/officeDocument/2006/relationships">
  <dimension ref="A1:I12"/>
  <sheetViews>
    <sheetView topLeftCell="A7" workbookViewId="0">
      <selection activeCell="B11" sqref="B11"/>
    </sheetView>
  </sheetViews>
  <sheetFormatPr baseColWidth="10" defaultRowHeight="15"/>
  <cols>
    <col min="1" max="1" width="4.5703125" customWidth="1"/>
    <col min="2" max="2" width="25.42578125" customWidth="1"/>
    <col min="3" max="3" width="39.140625" customWidth="1"/>
    <col min="4" max="4" width="15.5703125" customWidth="1"/>
    <col min="5" max="5" width="17.7109375" customWidth="1"/>
    <col min="6" max="6" width="13.85546875" customWidth="1"/>
    <col min="7" max="7" width="16.85546875" customWidth="1"/>
    <col min="8" max="9" width="13.140625" bestFit="1" customWidth="1"/>
  </cols>
  <sheetData>
    <row r="1" spans="1:9" ht="16.5" customHeight="1" thickBot="1">
      <c r="A1" s="111" t="s">
        <v>21</v>
      </c>
      <c r="B1" s="112"/>
      <c r="C1" s="112"/>
      <c r="D1" s="112"/>
      <c r="E1" s="112"/>
      <c r="F1" s="113"/>
      <c r="G1" s="71" t="s">
        <v>64</v>
      </c>
    </row>
    <row r="2" spans="1:9" ht="15.75" thickBot="1">
      <c r="A2" s="60"/>
      <c r="B2" s="56"/>
      <c r="C2" s="56"/>
      <c r="D2" s="56"/>
      <c r="E2" s="56"/>
      <c r="F2" s="56"/>
      <c r="G2" s="23"/>
    </row>
    <row r="3" spans="1:9" ht="15.75" customHeight="1" thickBot="1">
      <c r="A3" s="110" t="s">
        <v>22</v>
      </c>
      <c r="B3" s="110"/>
      <c r="C3" s="117" t="s">
        <v>11</v>
      </c>
      <c r="D3" s="117"/>
      <c r="E3" s="117"/>
      <c r="F3" s="117"/>
      <c r="G3" s="117"/>
    </row>
    <row r="4" spans="1:9" ht="15.75" customHeight="1" thickBot="1">
      <c r="A4" s="110" t="s">
        <v>24</v>
      </c>
      <c r="B4" s="110"/>
      <c r="C4" s="115" t="s">
        <v>12</v>
      </c>
      <c r="D4" s="115"/>
      <c r="E4" s="115"/>
      <c r="F4" s="115"/>
      <c r="G4" s="115"/>
    </row>
    <row r="5" spans="1:9" ht="18" customHeight="1" thickBot="1">
      <c r="A5" s="110" t="s">
        <v>25</v>
      </c>
      <c r="B5" s="110"/>
      <c r="C5" s="116" t="s">
        <v>23</v>
      </c>
      <c r="D5" s="116"/>
      <c r="E5" s="116"/>
      <c r="F5" s="116"/>
      <c r="G5" s="116"/>
    </row>
    <row r="6" spans="1:9" ht="15.75" customHeight="1" thickBot="1">
      <c r="A6" s="110" t="s">
        <v>26</v>
      </c>
      <c r="B6" s="110"/>
      <c r="C6" s="116" t="s">
        <v>23</v>
      </c>
      <c r="D6" s="116"/>
      <c r="E6" s="116"/>
      <c r="F6" s="116"/>
      <c r="G6" s="116"/>
    </row>
    <row r="7" spans="1:9" ht="15.75" customHeight="1" thickBot="1">
      <c r="A7" s="110" t="s">
        <v>27</v>
      </c>
      <c r="B7" s="110"/>
      <c r="C7" s="117" t="s">
        <v>57</v>
      </c>
      <c r="D7" s="117"/>
      <c r="E7" s="117"/>
      <c r="F7" s="117"/>
      <c r="G7" s="117"/>
    </row>
    <row r="8" spans="1:9" ht="15.75" customHeight="1" thickBot="1">
      <c r="A8" s="110" t="s">
        <v>28</v>
      </c>
      <c r="B8" s="110"/>
      <c r="C8" s="114" t="s">
        <v>58</v>
      </c>
      <c r="D8" s="114"/>
      <c r="E8" s="114"/>
      <c r="F8" s="114"/>
      <c r="G8" s="114"/>
    </row>
    <row r="9" spans="1:9" ht="15.75" thickBot="1">
      <c r="A9" s="107"/>
      <c r="B9" s="108"/>
      <c r="C9" s="108"/>
      <c r="D9" s="108"/>
      <c r="E9" s="108"/>
      <c r="F9" s="108"/>
      <c r="G9" s="109"/>
    </row>
    <row r="10" spans="1:9" ht="76.5" customHeight="1" thickBot="1">
      <c r="A10" s="58" t="s">
        <v>4</v>
      </c>
      <c r="B10" s="73" t="s">
        <v>6</v>
      </c>
      <c r="C10" s="58" t="s">
        <v>16</v>
      </c>
      <c r="D10" s="59" t="s">
        <v>29</v>
      </c>
      <c r="E10" s="58" t="s">
        <v>17</v>
      </c>
      <c r="F10" s="58" t="s">
        <v>19</v>
      </c>
      <c r="G10" s="58" t="s">
        <v>18</v>
      </c>
    </row>
    <row r="11" spans="1:9" ht="51" customHeight="1">
      <c r="A11" s="3">
        <v>1</v>
      </c>
      <c r="B11" s="63" t="str">
        <f>'Necesidades Trimestrales'!B10</f>
        <v>2.5.6-793.29</v>
      </c>
      <c r="C11" s="68" t="str">
        <f>'Necesidades Trimestrales'!E10</f>
        <v>GAS OIL; PRESENTACION: POR LITRO, USO: MOTORES DIESEL, COMERCIALIZACION: GRADO 3</v>
      </c>
      <c r="D11" s="57" t="s">
        <v>55</v>
      </c>
      <c r="E11" s="21" t="s">
        <v>56</v>
      </c>
      <c r="F11" s="69">
        <v>107.7</v>
      </c>
      <c r="G11" s="21">
        <v>27000</v>
      </c>
      <c r="H11" s="76">
        <f>F11*G11</f>
        <v>2907900</v>
      </c>
      <c r="I11" s="72"/>
    </row>
    <row r="12" spans="1:9" ht="15.75" customHeight="1">
      <c r="A12" s="106" t="s">
        <v>67</v>
      </c>
      <c r="B12" s="106"/>
      <c r="C12" s="106"/>
      <c r="D12" s="106"/>
      <c r="E12" s="106"/>
      <c r="F12" s="106"/>
      <c r="G12" s="75">
        <f>SUM(H11:H11)</f>
        <v>2907900</v>
      </c>
    </row>
  </sheetData>
  <mergeCells count="15">
    <mergeCell ref="A12:F12"/>
    <mergeCell ref="A9:G9"/>
    <mergeCell ref="A3:B3"/>
    <mergeCell ref="A1:F1"/>
    <mergeCell ref="C8:G8"/>
    <mergeCell ref="C4:G4"/>
    <mergeCell ref="C5:G5"/>
    <mergeCell ref="C6:G6"/>
    <mergeCell ref="C7:G7"/>
    <mergeCell ref="C3:G3"/>
    <mergeCell ref="A4:B4"/>
    <mergeCell ref="A5:B5"/>
    <mergeCell ref="A6:B6"/>
    <mergeCell ref="A7:B7"/>
    <mergeCell ref="A8:B8"/>
  </mergeCells>
  <pageMargins left="0.7" right="0.7" top="0.75" bottom="0.75" header="0.3" footer="0.3"/>
  <pageSetup paperSize="5" orientation="landscape" r:id="rId1"/>
</worksheet>
</file>

<file path=xl/worksheets/sheet3.xml><?xml version="1.0" encoding="utf-8"?>
<worksheet xmlns="http://schemas.openxmlformats.org/spreadsheetml/2006/main" xmlns:r="http://schemas.openxmlformats.org/officeDocument/2006/relationships">
  <dimension ref="A1:U31"/>
  <sheetViews>
    <sheetView workbookViewId="0">
      <selection activeCell="T24" sqref="T24"/>
    </sheetView>
  </sheetViews>
  <sheetFormatPr baseColWidth="10" defaultRowHeight="15"/>
  <cols>
    <col min="1" max="1" width="3.140625" customWidth="1"/>
    <col min="2" max="2" width="3.42578125" customWidth="1"/>
    <col min="3" max="4" width="3.5703125" customWidth="1"/>
    <col min="5" max="5" width="3.42578125" customWidth="1"/>
    <col min="6" max="6" width="5.42578125" customWidth="1"/>
    <col min="7" max="7" width="3.5703125" customWidth="1"/>
    <col min="8" max="8" width="3.7109375"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 min="19" max="19" width="15.5703125" customWidth="1"/>
    <col min="20" max="20" width="30" customWidth="1"/>
    <col min="21" max="21" width="16.85546875" customWidth="1"/>
  </cols>
  <sheetData>
    <row r="1" spans="1:17" ht="15.75" thickBot="1">
      <c r="A1" s="120" t="s">
        <v>2</v>
      </c>
      <c r="B1" s="120"/>
      <c r="C1" s="120"/>
      <c r="D1" s="121">
        <v>2021</v>
      </c>
      <c r="E1" s="121"/>
      <c r="F1" s="27"/>
      <c r="G1" s="27"/>
      <c r="H1" s="28"/>
      <c r="I1" s="28"/>
      <c r="J1" s="28"/>
      <c r="K1" s="28"/>
      <c r="L1" s="28"/>
      <c r="M1" s="28"/>
      <c r="N1" s="28"/>
      <c r="O1" s="29"/>
      <c r="P1" s="122" t="s">
        <v>30</v>
      </c>
      <c r="Q1" s="122"/>
    </row>
    <row r="2" spans="1:17" ht="15.75" thickBot="1">
      <c r="A2" s="30"/>
      <c r="B2" s="31"/>
      <c r="C2" s="31"/>
      <c r="D2" s="31"/>
      <c r="E2" s="31"/>
      <c r="F2" s="31"/>
      <c r="G2" s="32"/>
      <c r="H2" s="33"/>
      <c r="I2" s="33"/>
      <c r="J2" s="33"/>
      <c r="K2" s="33"/>
      <c r="L2" s="33"/>
      <c r="M2" s="33"/>
      <c r="N2" s="33"/>
      <c r="O2" s="31"/>
      <c r="P2" s="122"/>
      <c r="Q2" s="122"/>
    </row>
    <row r="3" spans="1:17" ht="15.75" thickBot="1">
      <c r="A3" s="30"/>
      <c r="B3" s="31"/>
      <c r="C3" s="31"/>
      <c r="D3" s="31"/>
      <c r="E3" s="31"/>
      <c r="F3" s="31"/>
      <c r="G3" s="32"/>
      <c r="H3" s="31"/>
      <c r="I3" s="31"/>
      <c r="J3" s="31"/>
      <c r="K3" s="31"/>
      <c r="L3" s="31"/>
      <c r="M3" s="31"/>
      <c r="N3" s="31"/>
      <c r="O3" s="31"/>
      <c r="P3" s="31"/>
      <c r="Q3" s="34"/>
    </row>
    <row r="4" spans="1:17" ht="15.75" thickBot="1">
      <c r="A4" s="123" t="s">
        <v>31</v>
      </c>
      <c r="B4" s="123"/>
      <c r="C4" s="123"/>
      <c r="D4" s="123"/>
      <c r="E4" s="123"/>
      <c r="F4" s="123"/>
      <c r="G4" s="119" t="str">
        <f>+NDP!C3</f>
        <v>50 - MINISTERIO DE EDUCACIÓN</v>
      </c>
      <c r="H4" s="119"/>
      <c r="I4" s="119"/>
      <c r="J4" s="119"/>
      <c r="K4" s="119"/>
      <c r="L4" s="119"/>
      <c r="M4" s="119"/>
      <c r="N4" s="119"/>
      <c r="O4" s="119"/>
      <c r="P4" s="119"/>
      <c r="Q4" s="119"/>
    </row>
    <row r="5" spans="1:17" ht="15.75" thickBot="1">
      <c r="A5" s="118" t="s">
        <v>24</v>
      </c>
      <c r="B5" s="118"/>
      <c r="C5" s="118"/>
      <c r="D5" s="118"/>
      <c r="E5" s="118"/>
      <c r="F5" s="118"/>
      <c r="G5" s="119" t="str">
        <f>+NDP!C4</f>
        <v>26 - DIRECCIÓN PROVINCIAL DE ADMINISTRACIÓN</v>
      </c>
      <c r="H5" s="119"/>
      <c r="I5" s="119"/>
      <c r="J5" s="119"/>
      <c r="K5" s="119"/>
      <c r="L5" s="119"/>
      <c r="M5" s="119"/>
      <c r="N5" s="119"/>
      <c r="O5" s="119"/>
      <c r="P5" s="119"/>
      <c r="Q5" s="119"/>
    </row>
    <row r="6" spans="1:17" ht="15.75" thickBot="1">
      <c r="A6" s="124" t="s">
        <v>25</v>
      </c>
      <c r="B6" s="125"/>
      <c r="C6" s="125"/>
      <c r="D6" s="125"/>
      <c r="E6" s="125"/>
      <c r="F6" s="126"/>
      <c r="G6" s="127" t="s">
        <v>23</v>
      </c>
      <c r="H6" s="127"/>
      <c r="I6" s="127"/>
      <c r="J6" s="127"/>
      <c r="K6" s="127"/>
      <c r="L6" s="127"/>
      <c r="M6" s="127"/>
      <c r="N6" s="127"/>
      <c r="O6" s="127"/>
      <c r="P6" s="127"/>
      <c r="Q6" s="127"/>
    </row>
    <row r="7" spans="1:17" ht="15.75" thickBot="1">
      <c r="A7" s="128" t="s">
        <v>26</v>
      </c>
      <c r="B7" s="129"/>
      <c r="C7" s="129"/>
      <c r="D7" s="129"/>
      <c r="E7" s="129"/>
      <c r="F7" s="130"/>
      <c r="G7" s="127" t="s">
        <v>23</v>
      </c>
      <c r="H7" s="127"/>
      <c r="I7" s="127"/>
      <c r="J7" s="127"/>
      <c r="K7" s="127"/>
      <c r="L7" s="127"/>
      <c r="M7" s="127"/>
      <c r="N7" s="127"/>
      <c r="O7" s="127"/>
      <c r="P7" s="127"/>
      <c r="Q7" s="127"/>
    </row>
    <row r="8" spans="1:17" ht="15.75" thickBot="1">
      <c r="A8" s="131" t="s">
        <v>32</v>
      </c>
      <c r="B8" s="131"/>
      <c r="C8" s="131"/>
      <c r="D8" s="131"/>
      <c r="E8" s="131"/>
      <c r="F8" s="131"/>
      <c r="G8" s="131"/>
      <c r="H8" s="131"/>
      <c r="I8" s="131"/>
      <c r="J8" s="131"/>
      <c r="K8" s="131"/>
      <c r="L8" s="131"/>
      <c r="M8" s="131"/>
      <c r="N8" s="131"/>
      <c r="O8" s="131"/>
      <c r="P8" s="131"/>
      <c r="Q8" s="131"/>
    </row>
    <row r="9" spans="1:17" ht="27.75" customHeight="1">
      <c r="A9" s="133" t="s">
        <v>33</v>
      </c>
      <c r="B9" s="133"/>
      <c r="C9" s="133"/>
      <c r="D9" s="133"/>
      <c r="E9" s="133"/>
      <c r="F9" s="133"/>
      <c r="G9" s="133"/>
      <c r="H9" s="133"/>
      <c r="I9" s="133"/>
      <c r="J9" s="133"/>
      <c r="K9" s="133"/>
      <c r="L9" s="133"/>
      <c r="M9" s="133"/>
      <c r="N9" s="133"/>
      <c r="O9" s="133"/>
      <c r="P9" s="133"/>
      <c r="Q9" s="133"/>
    </row>
    <row r="10" spans="1:17" ht="73.5" customHeight="1">
      <c r="A10" s="134" t="s">
        <v>63</v>
      </c>
      <c r="B10" s="134"/>
      <c r="C10" s="134"/>
      <c r="D10" s="134"/>
      <c r="E10" s="134"/>
      <c r="F10" s="134"/>
      <c r="G10" s="134"/>
      <c r="H10" s="134"/>
      <c r="I10" s="134"/>
      <c r="J10" s="134"/>
      <c r="K10" s="134"/>
      <c r="L10" s="134"/>
      <c r="M10" s="134"/>
      <c r="N10" s="134"/>
      <c r="O10" s="134"/>
      <c r="P10" s="134"/>
      <c r="Q10" s="134"/>
    </row>
    <row r="11" spans="1:17" ht="5.25" customHeight="1" thickBot="1">
      <c r="A11" s="35"/>
      <c r="B11" s="36"/>
      <c r="C11" s="36"/>
      <c r="D11" s="36"/>
      <c r="E11" s="36"/>
      <c r="F11" s="36"/>
      <c r="G11" s="37"/>
      <c r="H11" s="36"/>
      <c r="I11" s="36"/>
      <c r="J11" s="36"/>
      <c r="K11" s="36"/>
      <c r="L11" s="36"/>
      <c r="M11" s="36"/>
      <c r="N11" s="36"/>
      <c r="O11" s="36"/>
      <c r="P11" s="36"/>
      <c r="Q11" s="38"/>
    </row>
    <row r="12" spans="1:17" ht="15.75" thickBot="1">
      <c r="A12" s="135" t="s">
        <v>34</v>
      </c>
      <c r="B12" s="135"/>
      <c r="C12" s="135"/>
      <c r="D12" s="135"/>
      <c r="E12" s="135"/>
      <c r="F12" s="135"/>
      <c r="G12" s="135"/>
      <c r="H12" s="135"/>
      <c r="I12" s="135"/>
      <c r="J12" s="135"/>
      <c r="K12" s="135"/>
      <c r="L12" s="135"/>
      <c r="M12" s="135"/>
      <c r="N12" s="135"/>
      <c r="O12" s="135"/>
      <c r="P12" s="135"/>
      <c r="Q12" s="135"/>
    </row>
    <row r="13" spans="1:17" ht="15.75" thickBot="1">
      <c r="A13" s="136" t="s">
        <v>35</v>
      </c>
      <c r="B13" s="136"/>
      <c r="C13" s="136"/>
      <c r="D13" s="136"/>
      <c r="E13" s="136"/>
      <c r="F13" s="136"/>
      <c r="G13" s="136"/>
      <c r="H13" s="136"/>
      <c r="I13" s="136"/>
      <c r="J13" s="136"/>
      <c r="K13" s="136"/>
      <c r="L13" s="136"/>
      <c r="M13" s="136"/>
      <c r="N13" s="136"/>
      <c r="O13" s="137" t="s">
        <v>36</v>
      </c>
      <c r="P13" s="137"/>
      <c r="Q13" s="138" t="s">
        <v>37</v>
      </c>
    </row>
    <row r="14" spans="1:17" ht="18.75" customHeight="1" thickBot="1">
      <c r="A14" s="39" t="s">
        <v>38</v>
      </c>
      <c r="B14" s="40" t="s">
        <v>39</v>
      </c>
      <c r="C14" s="40" t="s">
        <v>40</v>
      </c>
      <c r="D14" s="40" t="s">
        <v>41</v>
      </c>
      <c r="E14" s="40" t="s">
        <v>42</v>
      </c>
      <c r="F14" s="40" t="s">
        <v>43</v>
      </c>
      <c r="G14" s="41" t="s">
        <v>44</v>
      </c>
      <c r="H14" s="40" t="s">
        <v>45</v>
      </c>
      <c r="I14" s="40" t="s">
        <v>46</v>
      </c>
      <c r="J14" s="40" t="s">
        <v>47</v>
      </c>
      <c r="K14" s="40" t="s">
        <v>47</v>
      </c>
      <c r="L14" s="40" t="s">
        <v>48</v>
      </c>
      <c r="M14" s="42" t="s">
        <v>49</v>
      </c>
      <c r="N14" s="43" t="s">
        <v>50</v>
      </c>
      <c r="O14" s="137"/>
      <c r="P14" s="137"/>
      <c r="Q14" s="138"/>
    </row>
    <row r="15" spans="1:17" ht="29.25" customHeight="1">
      <c r="A15" s="93">
        <v>1</v>
      </c>
      <c r="B15" s="94">
        <v>0</v>
      </c>
      <c r="C15" s="94">
        <v>0</v>
      </c>
      <c r="D15" s="94">
        <v>1</v>
      </c>
      <c r="E15" s="94">
        <v>0</v>
      </c>
      <c r="F15" s="44">
        <v>4901</v>
      </c>
      <c r="G15" s="92">
        <v>3</v>
      </c>
      <c r="H15" s="92">
        <v>4</v>
      </c>
      <c r="I15" s="45">
        <v>2</v>
      </c>
      <c r="J15" s="45">
        <v>5</v>
      </c>
      <c r="K15" s="45">
        <v>6</v>
      </c>
      <c r="L15" s="45">
        <v>0</v>
      </c>
      <c r="M15" s="45">
        <v>1</v>
      </c>
      <c r="N15" s="45" t="s">
        <v>51</v>
      </c>
      <c r="O15" s="139" t="s">
        <v>53</v>
      </c>
      <c r="P15" s="140"/>
      <c r="Q15" s="77">
        <v>2907900</v>
      </c>
    </row>
    <row r="16" spans="1:17">
      <c r="A16" s="46"/>
      <c r="B16" s="47"/>
      <c r="C16" s="47"/>
      <c r="D16" s="47"/>
      <c r="E16" s="47"/>
      <c r="F16" s="47"/>
      <c r="G16" s="47"/>
      <c r="H16" s="47"/>
      <c r="I16" s="47"/>
      <c r="J16" s="47"/>
      <c r="K16" s="47"/>
      <c r="L16" s="47"/>
      <c r="M16" s="48"/>
      <c r="N16" s="49"/>
      <c r="O16" s="141"/>
      <c r="P16" s="141"/>
      <c r="Q16" s="50"/>
    </row>
    <row r="17" spans="1:21">
      <c r="A17" s="46"/>
      <c r="B17" s="47"/>
      <c r="C17" s="47"/>
      <c r="D17" s="47"/>
      <c r="E17" s="47"/>
      <c r="F17" s="47"/>
      <c r="G17" s="47"/>
      <c r="H17" s="47"/>
      <c r="I17" s="47"/>
      <c r="J17" s="47"/>
      <c r="K17" s="47"/>
      <c r="L17" s="47"/>
      <c r="M17" s="48"/>
      <c r="N17" s="49"/>
      <c r="O17" s="142"/>
      <c r="P17" s="142"/>
      <c r="Q17" s="50"/>
    </row>
    <row r="18" spans="1:21">
      <c r="A18" s="46"/>
      <c r="B18" s="47"/>
      <c r="C18" s="47"/>
      <c r="D18" s="47"/>
      <c r="E18" s="47"/>
      <c r="F18" s="47"/>
      <c r="G18" s="47"/>
      <c r="H18" s="47"/>
      <c r="I18" s="47"/>
      <c r="J18" s="47"/>
      <c r="K18" s="47"/>
      <c r="L18" s="47"/>
      <c r="M18" s="48"/>
      <c r="N18" s="49"/>
      <c r="O18" s="142"/>
      <c r="P18" s="142"/>
      <c r="Q18" s="50"/>
    </row>
    <row r="19" spans="1:21" ht="15.75" thickBot="1">
      <c r="A19" s="51"/>
      <c r="B19" s="52"/>
      <c r="C19" s="52"/>
      <c r="D19" s="52"/>
      <c r="E19" s="52"/>
      <c r="F19" s="52"/>
      <c r="G19" s="52"/>
      <c r="H19" s="52"/>
      <c r="I19" s="52"/>
      <c r="J19" s="52"/>
      <c r="K19" s="52"/>
      <c r="L19" s="52"/>
      <c r="M19" s="53"/>
      <c r="N19" s="52"/>
      <c r="O19" s="143"/>
      <c r="P19" s="143"/>
      <c r="Q19" s="54"/>
    </row>
    <row r="20" spans="1:21" ht="27.75" customHeight="1" thickBot="1">
      <c r="A20" s="132" t="s">
        <v>66</v>
      </c>
      <c r="B20" s="132"/>
      <c r="C20" s="132"/>
      <c r="D20" s="132"/>
      <c r="E20" s="132"/>
      <c r="F20" s="132"/>
      <c r="G20" s="132"/>
      <c r="H20" s="132"/>
      <c r="I20" s="132"/>
      <c r="J20" s="132"/>
      <c r="K20" s="132"/>
      <c r="L20" s="132"/>
      <c r="M20" s="132"/>
      <c r="N20" s="132"/>
      <c r="O20" s="132"/>
      <c r="P20" s="132"/>
      <c r="Q20" s="55">
        <f>SUM(Q15:Q19)</f>
        <v>2907900</v>
      </c>
      <c r="T20" s="89"/>
      <c r="U20" s="89"/>
    </row>
    <row r="21" spans="1:21" ht="15.75" thickBot="1">
      <c r="A21" s="145"/>
      <c r="B21" s="145"/>
      <c r="C21" s="145"/>
      <c r="D21" s="145"/>
      <c r="E21" s="145"/>
      <c r="F21" s="145"/>
      <c r="G21" s="145"/>
      <c r="H21" s="145"/>
      <c r="I21" s="145"/>
      <c r="J21" s="145"/>
      <c r="K21" s="145"/>
      <c r="L21" s="145"/>
      <c r="M21" s="145"/>
      <c r="N21" s="145"/>
      <c r="O21" s="145"/>
      <c r="P21" s="145"/>
      <c r="Q21" s="145"/>
    </row>
    <row r="22" spans="1:21" ht="15.75" thickBot="1">
      <c r="A22" s="146" t="s">
        <v>52</v>
      </c>
      <c r="B22" s="146"/>
      <c r="C22" s="146"/>
      <c r="D22" s="146"/>
      <c r="E22" s="146"/>
      <c r="F22" s="146"/>
      <c r="G22" s="147"/>
      <c r="H22" s="147"/>
      <c r="I22" s="147"/>
      <c r="J22" s="147"/>
      <c r="K22" s="147"/>
      <c r="L22" s="147"/>
      <c r="M22" s="147"/>
      <c r="N22" s="147"/>
      <c r="O22" s="147"/>
      <c r="P22" s="147"/>
      <c r="Q22" s="147"/>
    </row>
    <row r="23" spans="1:21" ht="15.75" thickBot="1">
      <c r="A23" s="148" t="s">
        <v>54</v>
      </c>
      <c r="B23" s="148"/>
      <c r="C23" s="148"/>
      <c r="D23" s="148"/>
      <c r="E23" s="148"/>
      <c r="F23" s="148"/>
      <c r="G23" s="148"/>
      <c r="H23" s="148"/>
      <c r="I23" s="148"/>
      <c r="J23" s="148"/>
      <c r="K23" s="148"/>
      <c r="L23" s="148"/>
      <c r="M23" s="148"/>
      <c r="N23" s="148"/>
      <c r="O23" s="148"/>
      <c r="P23" s="148"/>
      <c r="Q23" s="148"/>
      <c r="S23" s="87"/>
    </row>
    <row r="24" spans="1:21" ht="15.75" thickBot="1">
      <c r="A24" s="148"/>
      <c r="B24" s="148"/>
      <c r="C24" s="148"/>
      <c r="D24" s="148"/>
      <c r="E24" s="148"/>
      <c r="F24" s="148"/>
      <c r="G24" s="148"/>
      <c r="H24" s="148"/>
      <c r="I24" s="148"/>
      <c r="J24" s="148"/>
      <c r="K24" s="148"/>
      <c r="L24" s="148"/>
      <c r="M24" s="148"/>
      <c r="N24" s="148"/>
      <c r="O24" s="148"/>
      <c r="P24" s="148"/>
      <c r="Q24" s="148"/>
    </row>
    <row r="25" spans="1:21">
      <c r="A25" s="144" t="s">
        <v>65</v>
      </c>
      <c r="B25" s="144"/>
      <c r="C25" s="144"/>
      <c r="D25" s="144"/>
      <c r="E25" s="144"/>
      <c r="F25" s="144"/>
      <c r="G25" s="144"/>
      <c r="H25" s="144"/>
      <c r="I25" s="144"/>
      <c r="J25" s="144"/>
      <c r="K25" s="144"/>
      <c r="L25" s="144"/>
      <c r="M25" s="144"/>
      <c r="N25" s="144"/>
      <c r="O25" s="144"/>
      <c r="P25" s="144"/>
      <c r="Q25" s="144"/>
    </row>
    <row r="29" spans="1:21">
      <c r="U29" s="88"/>
    </row>
    <row r="30" spans="1:21">
      <c r="S30" s="70"/>
    </row>
    <row r="31" spans="1:21">
      <c r="U31" s="88"/>
    </row>
  </sheetData>
  <mergeCells count="29">
    <mergeCell ref="A25:Q25"/>
    <mergeCell ref="A21:Q21"/>
    <mergeCell ref="A22:F22"/>
    <mergeCell ref="G22:Q22"/>
    <mergeCell ref="A23:Q24"/>
    <mergeCell ref="A20:P20"/>
    <mergeCell ref="A9:Q9"/>
    <mergeCell ref="A10:Q10"/>
    <mergeCell ref="A12:Q12"/>
    <mergeCell ref="A13:N13"/>
    <mergeCell ref="O13:P14"/>
    <mergeCell ref="Q13:Q14"/>
    <mergeCell ref="O15:P15"/>
    <mergeCell ref="O16:P16"/>
    <mergeCell ref="O17:P17"/>
    <mergeCell ref="O18:P18"/>
    <mergeCell ref="O19:P19"/>
    <mergeCell ref="A6:F6"/>
    <mergeCell ref="G6:Q6"/>
    <mergeCell ref="A7:F7"/>
    <mergeCell ref="G7:Q7"/>
    <mergeCell ref="A8:Q8"/>
    <mergeCell ref="A5:F5"/>
    <mergeCell ref="G5:Q5"/>
    <mergeCell ref="A1:C1"/>
    <mergeCell ref="D1:E1"/>
    <mergeCell ref="P1:Q2"/>
    <mergeCell ref="A4:F4"/>
    <mergeCell ref="G4:Q4"/>
  </mergeCells>
  <pageMargins left="0.7" right="0.7" top="0.75" bottom="0.75" header="0.3" footer="0.3"/>
  <pageSetup paperSize="5" orientation="portrait"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NDP</vt:lpstr>
      <vt:lpstr>APG</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Becas</cp:lastModifiedBy>
  <cp:lastPrinted>2021-09-22T12:44:45Z</cp:lastPrinted>
  <dcterms:created xsi:type="dcterms:W3CDTF">2021-02-08T12:06:32Z</dcterms:created>
  <dcterms:modified xsi:type="dcterms:W3CDTF">2021-09-23T11:51:33Z</dcterms:modified>
</cp:coreProperties>
</file>