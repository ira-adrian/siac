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SECRETARIA DE COMPRAS\COMPRAS\2022\Adquisicion de articulos de libreria y papeleria consolidado\apertura\"/>
    </mc:Choice>
  </mc:AlternateContent>
  <xr:revisionPtr revIDLastSave="0" documentId="13_ncr:1_{32DBCB0A-3369-425E-9D48-B074324A311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icio" sheetId="9" r:id="rId1"/>
    <sheet name="Ponderacion" sheetId="8" r:id="rId2"/>
    <sheet name="Cuadro" sheetId="7" r:id="rId3"/>
  </sheets>
  <definedNames>
    <definedName name="_xlnm._FilterDatabase" localSheetId="2" hidden="1">Cuadro!$A$7:$N$158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26" i="7" l="1"/>
  <c r="N126" i="7" s="1"/>
  <c r="M146" i="7"/>
  <c r="N146" i="7" s="1"/>
  <c r="M63" i="7"/>
  <c r="N63" i="7" s="1"/>
  <c r="M36" i="7"/>
  <c r="N36" i="7" s="1"/>
  <c r="M158" i="7"/>
  <c r="N158" i="7" s="1"/>
  <c r="M156" i="7"/>
  <c r="N156" i="7" s="1"/>
  <c r="M155" i="7"/>
  <c r="N155" i="7" s="1"/>
  <c r="M152" i="7"/>
  <c r="N152" i="7" s="1"/>
  <c r="M150" i="7"/>
  <c r="N150" i="7" s="1"/>
  <c r="M148" i="7"/>
  <c r="N148" i="7" s="1"/>
  <c r="M144" i="7"/>
  <c r="N144" i="7" s="1"/>
  <c r="M141" i="7"/>
  <c r="N141" i="7" s="1"/>
  <c r="M140" i="7"/>
  <c r="N140" i="7" s="1"/>
  <c r="M139" i="7"/>
  <c r="N139" i="7" s="1"/>
  <c r="M136" i="7"/>
  <c r="N136" i="7" s="1"/>
  <c r="M135" i="7"/>
  <c r="N135" i="7" s="1"/>
  <c r="M134" i="7"/>
  <c r="N134" i="7" s="1"/>
  <c r="M133" i="7"/>
  <c r="N133" i="7" s="1"/>
  <c r="M131" i="7"/>
  <c r="N131" i="7" s="1"/>
  <c r="M129" i="7"/>
  <c r="N129" i="7" s="1"/>
  <c r="M123" i="7"/>
  <c r="N123" i="7" s="1"/>
  <c r="M120" i="7"/>
  <c r="N120" i="7" s="1"/>
  <c r="M117" i="7"/>
  <c r="N117" i="7" s="1"/>
  <c r="M115" i="7"/>
  <c r="N115" i="7" s="1"/>
  <c r="M114" i="7"/>
  <c r="N114" i="7" s="1"/>
  <c r="M113" i="7"/>
  <c r="N113" i="7" s="1"/>
  <c r="M109" i="7"/>
  <c r="N109" i="7" s="1"/>
  <c r="M107" i="7"/>
  <c r="N107" i="7" s="1"/>
  <c r="M103" i="7"/>
  <c r="N103" i="7" s="1"/>
  <c r="M100" i="7"/>
  <c r="N100" i="7" s="1"/>
  <c r="M97" i="7"/>
  <c r="N97" i="7" s="1"/>
  <c r="M95" i="7"/>
  <c r="N95" i="7" s="1"/>
  <c r="M92" i="7"/>
  <c r="N92" i="7" s="1"/>
  <c r="M90" i="7"/>
  <c r="N90" i="7" s="1"/>
  <c r="M87" i="7"/>
  <c r="N87" i="7" s="1"/>
  <c r="M85" i="7"/>
  <c r="N85" i="7" s="1"/>
  <c r="M81" i="7"/>
  <c r="N81" i="7" s="1"/>
  <c r="M79" i="7"/>
  <c r="N79" i="7" s="1"/>
  <c r="M76" i="7"/>
  <c r="N76" i="7" s="1"/>
  <c r="M73" i="7"/>
  <c r="N73" i="7" s="1"/>
  <c r="M70" i="7"/>
  <c r="N70" i="7" s="1"/>
  <c r="M67" i="7"/>
  <c r="N67" i="7" s="1"/>
  <c r="M61" i="7"/>
  <c r="N61" i="7" s="1"/>
  <c r="M58" i="7"/>
  <c r="N58" i="7" s="1"/>
  <c r="M55" i="7"/>
  <c r="N55" i="7" s="1"/>
  <c r="M52" i="7"/>
  <c r="N52" i="7" s="1"/>
  <c r="M50" i="7"/>
  <c r="N50" i="7" s="1"/>
  <c r="M46" i="7"/>
  <c r="N46" i="7" s="1"/>
  <c r="M44" i="7"/>
  <c r="N44" i="7" s="1"/>
  <c r="M42" i="7"/>
  <c r="N42" i="7" s="1"/>
  <c r="M39" i="7"/>
  <c r="N39" i="7" s="1"/>
  <c r="M33" i="7"/>
  <c r="N33" i="7" s="1"/>
  <c r="M30" i="7"/>
  <c r="N30" i="7" s="1"/>
  <c r="M27" i="7"/>
  <c r="N27" i="7" s="1"/>
  <c r="M24" i="7"/>
  <c r="N24" i="7" s="1"/>
  <c r="M21" i="7"/>
  <c r="N21" i="7" s="1"/>
  <c r="M18" i="7"/>
  <c r="N18" i="7" s="1"/>
  <c r="M15" i="7"/>
  <c r="N15" i="7" s="1"/>
  <c r="M11" i="7"/>
  <c r="N11" i="7" s="1"/>
  <c r="M9" i="7"/>
  <c r="N9" i="7" s="1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K158" i="7"/>
  <c r="J158" i="7"/>
  <c r="K157" i="7"/>
  <c r="J157" i="7"/>
  <c r="K156" i="7"/>
  <c r="J156" i="7"/>
  <c r="K155" i="7"/>
  <c r="J155" i="7"/>
  <c r="K154" i="7"/>
  <c r="J154" i="7"/>
  <c r="K153" i="7"/>
  <c r="J153" i="7"/>
  <c r="K152" i="7"/>
  <c r="J152" i="7"/>
  <c r="K151" i="7"/>
  <c r="J151" i="7"/>
  <c r="K150" i="7"/>
  <c r="J150" i="7"/>
  <c r="K149" i="7"/>
  <c r="J149" i="7"/>
  <c r="K148" i="7"/>
  <c r="J148" i="7"/>
  <c r="K147" i="7"/>
  <c r="J147" i="7"/>
  <c r="K146" i="7"/>
  <c r="J146" i="7"/>
  <c r="K145" i="7"/>
  <c r="J145" i="7"/>
  <c r="K144" i="7"/>
  <c r="J144" i="7"/>
  <c r="K143" i="7"/>
  <c r="J143" i="7"/>
  <c r="K142" i="7"/>
  <c r="J142" i="7"/>
  <c r="K141" i="7"/>
  <c r="J141" i="7"/>
  <c r="K140" i="7"/>
  <c r="J140" i="7"/>
  <c r="K139" i="7"/>
  <c r="J139" i="7"/>
  <c r="K138" i="7"/>
  <c r="J138" i="7"/>
  <c r="K137" i="7"/>
  <c r="J137" i="7"/>
  <c r="K136" i="7"/>
  <c r="J136" i="7"/>
  <c r="K135" i="7"/>
  <c r="J135" i="7"/>
  <c r="K134" i="7"/>
  <c r="J134" i="7"/>
  <c r="K133" i="7"/>
  <c r="J133" i="7"/>
  <c r="K132" i="7"/>
  <c r="J132" i="7"/>
  <c r="K131" i="7"/>
  <c r="J131" i="7"/>
  <c r="K130" i="7"/>
  <c r="J130" i="7"/>
  <c r="K129" i="7"/>
  <c r="J129" i="7"/>
  <c r="K128" i="7"/>
  <c r="J128" i="7"/>
  <c r="K127" i="7"/>
  <c r="J127" i="7"/>
  <c r="K126" i="7"/>
  <c r="J126" i="7"/>
  <c r="K125" i="7"/>
  <c r="J125" i="7"/>
  <c r="K124" i="7"/>
  <c r="J124" i="7"/>
  <c r="K123" i="7"/>
  <c r="J123" i="7"/>
  <c r="K122" i="7"/>
  <c r="J122" i="7"/>
  <c r="K121" i="7"/>
  <c r="J121" i="7"/>
  <c r="K120" i="7"/>
  <c r="J120" i="7"/>
  <c r="K119" i="7"/>
  <c r="J119" i="7"/>
  <c r="K118" i="7"/>
  <c r="J118" i="7"/>
  <c r="K117" i="7"/>
  <c r="J117" i="7"/>
  <c r="K116" i="7"/>
  <c r="J116" i="7"/>
  <c r="K115" i="7"/>
  <c r="J115" i="7"/>
  <c r="K114" i="7"/>
  <c r="J114" i="7"/>
  <c r="K113" i="7"/>
  <c r="J113" i="7"/>
  <c r="K112" i="7"/>
  <c r="J112" i="7"/>
  <c r="K111" i="7"/>
  <c r="J111" i="7"/>
  <c r="K110" i="7"/>
  <c r="J110" i="7"/>
  <c r="K109" i="7"/>
  <c r="J109" i="7"/>
  <c r="K108" i="7"/>
  <c r="J108" i="7"/>
  <c r="K107" i="7"/>
  <c r="J107" i="7"/>
  <c r="K106" i="7"/>
  <c r="J106" i="7"/>
  <c r="K105" i="7"/>
  <c r="J105" i="7"/>
  <c r="K104" i="7"/>
  <c r="J104" i="7"/>
  <c r="K103" i="7"/>
  <c r="J103" i="7"/>
  <c r="K102" i="7"/>
  <c r="J102" i="7"/>
  <c r="K101" i="7"/>
  <c r="J101" i="7"/>
  <c r="K100" i="7"/>
  <c r="J100" i="7"/>
  <c r="K99" i="7"/>
  <c r="J99" i="7"/>
  <c r="K98" i="7"/>
  <c r="J98" i="7"/>
  <c r="K97" i="7"/>
  <c r="J97" i="7"/>
  <c r="K96" i="7"/>
  <c r="J96" i="7"/>
  <c r="K95" i="7"/>
  <c r="J95" i="7"/>
  <c r="K94" i="7"/>
  <c r="J94" i="7"/>
  <c r="K93" i="7"/>
  <c r="J93" i="7"/>
  <c r="K92" i="7"/>
  <c r="J92" i="7"/>
  <c r="K91" i="7"/>
  <c r="J91" i="7"/>
  <c r="K90" i="7"/>
  <c r="J90" i="7"/>
  <c r="K89" i="7"/>
  <c r="J89" i="7"/>
  <c r="K88" i="7"/>
  <c r="J88" i="7"/>
  <c r="K87" i="7"/>
  <c r="J87" i="7"/>
  <c r="K86" i="7"/>
  <c r="J86" i="7"/>
  <c r="K85" i="7"/>
  <c r="J85" i="7"/>
  <c r="K84" i="7"/>
  <c r="J84" i="7"/>
  <c r="K83" i="7"/>
  <c r="J83" i="7"/>
  <c r="K82" i="7"/>
  <c r="J82" i="7"/>
  <c r="K81" i="7"/>
  <c r="J81" i="7"/>
  <c r="K80" i="7"/>
  <c r="J80" i="7"/>
  <c r="K79" i="7"/>
  <c r="J79" i="7"/>
  <c r="K78" i="7"/>
  <c r="J78" i="7"/>
  <c r="K77" i="7"/>
  <c r="J77" i="7"/>
  <c r="K76" i="7"/>
  <c r="J76" i="7"/>
  <c r="K75" i="7"/>
  <c r="J75" i="7"/>
  <c r="K74" i="7"/>
  <c r="J74" i="7"/>
  <c r="K73" i="7"/>
  <c r="J73" i="7"/>
  <c r="K72" i="7"/>
  <c r="J72" i="7"/>
  <c r="K71" i="7"/>
  <c r="J71" i="7"/>
  <c r="K70" i="7"/>
  <c r="J70" i="7"/>
  <c r="K69" i="7"/>
  <c r="J69" i="7"/>
  <c r="K68" i="7"/>
  <c r="J68" i="7"/>
  <c r="K67" i="7"/>
  <c r="J67" i="7"/>
  <c r="K66" i="7"/>
  <c r="J66" i="7"/>
  <c r="K65" i="7"/>
  <c r="J65" i="7"/>
  <c r="K64" i="7"/>
  <c r="J64" i="7"/>
  <c r="K63" i="7"/>
  <c r="J63" i="7"/>
  <c r="K62" i="7"/>
  <c r="J62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L91" i="7" l="1"/>
  <c r="L139" i="7"/>
  <c r="L140" i="7"/>
  <c r="L144" i="7"/>
  <c r="L156" i="7"/>
  <c r="L11" i="7"/>
  <c r="L19" i="7"/>
  <c r="L23" i="7"/>
  <c r="L27" i="7"/>
  <c r="L35" i="7"/>
  <c r="L47" i="7"/>
  <c r="L51" i="7"/>
  <c r="L55" i="7"/>
  <c r="L59" i="7"/>
  <c r="L67" i="7"/>
  <c r="L71" i="7"/>
  <c r="L75" i="7"/>
  <c r="L120" i="7"/>
  <c r="L136" i="7"/>
  <c r="L28" i="7"/>
  <c r="L60" i="7"/>
  <c r="L64" i="7"/>
  <c r="L99" i="7"/>
  <c r="L103" i="7"/>
  <c r="L107" i="7"/>
  <c r="L115" i="7"/>
  <c r="L123" i="7"/>
  <c r="L131" i="7"/>
  <c r="L135" i="7"/>
  <c r="L48" i="7"/>
  <c r="L56" i="7"/>
  <c r="L76" i="7"/>
  <c r="L80" i="7"/>
  <c r="L92" i="7"/>
  <c r="L96" i="7"/>
  <c r="L124" i="7"/>
  <c r="L155" i="7"/>
  <c r="L36" i="7"/>
  <c r="L83" i="7"/>
  <c r="L87" i="7"/>
  <c r="L104" i="7"/>
  <c r="L108" i="7"/>
  <c r="L112" i="7"/>
  <c r="L147" i="7"/>
  <c r="L151" i="7"/>
  <c r="L128" i="7"/>
  <c r="L72" i="7"/>
  <c r="L43" i="7"/>
  <c r="L88" i="7"/>
  <c r="L152" i="7"/>
  <c r="L15" i="7"/>
  <c r="L31" i="7"/>
  <c r="L40" i="7"/>
  <c r="L44" i="7"/>
  <c r="L39" i="7"/>
  <c r="L52" i="7"/>
  <c r="L63" i="7"/>
  <c r="L68" i="7"/>
  <c r="L79" i="7"/>
  <c r="L84" i="7"/>
  <c r="L95" i="7"/>
  <c r="L100" i="7"/>
  <c r="L111" i="7"/>
  <c r="L127" i="7"/>
  <c r="L132" i="7"/>
  <c r="L143" i="7"/>
  <c r="L148" i="7"/>
  <c r="L32" i="7"/>
  <c r="L8" i="7"/>
  <c r="L12" i="7"/>
  <c r="L16" i="7"/>
  <c r="L20" i="7"/>
  <c r="L24" i="7"/>
  <c r="L9" i="7"/>
  <c r="L13" i="7"/>
  <c r="L17" i="7"/>
  <c r="L21" i="7"/>
  <c r="L25" i="7"/>
  <c r="L29" i="7"/>
  <c r="L33" i="7"/>
  <c r="L37" i="7"/>
  <c r="L41" i="7"/>
  <c r="L45" i="7"/>
  <c r="L49" i="7"/>
  <c r="L53" i="7"/>
  <c r="L57" i="7"/>
  <c r="L61" i="7"/>
  <c r="L65" i="7"/>
  <c r="L69" i="7"/>
  <c r="L73" i="7"/>
  <c r="L77" i="7"/>
  <c r="L81" i="7"/>
  <c r="L85" i="7"/>
  <c r="L89" i="7"/>
  <c r="L93" i="7"/>
  <c r="L97" i="7"/>
  <c r="L101" i="7"/>
  <c r="L105" i="7"/>
  <c r="L109" i="7"/>
  <c r="L113" i="7"/>
  <c r="L117" i="7"/>
  <c r="L129" i="7"/>
  <c r="L133" i="7"/>
  <c r="L137" i="7"/>
  <c r="L141" i="7"/>
  <c r="L145" i="7"/>
  <c r="L149" i="7"/>
  <c r="L153" i="7"/>
  <c r="L157" i="7"/>
  <c r="L10" i="7"/>
  <c r="L14" i="7"/>
  <c r="L18" i="7"/>
  <c r="L22" i="7"/>
  <c r="L26" i="7"/>
  <c r="L30" i="7"/>
  <c r="L34" i="7"/>
  <c r="L38" i="7"/>
  <c r="L42" i="7"/>
  <c r="L46" i="7"/>
  <c r="L50" i="7"/>
  <c r="L54" i="7"/>
  <c r="L58" i="7"/>
  <c r="L62" i="7"/>
  <c r="L66" i="7"/>
  <c r="L70" i="7"/>
  <c r="L74" i="7"/>
  <c r="L78" i="7"/>
  <c r="L82" i="7"/>
  <c r="L86" i="7"/>
  <c r="L90" i="7"/>
  <c r="L94" i="7"/>
  <c r="L98" i="7"/>
  <c r="L102" i="7"/>
  <c r="L106" i="7"/>
  <c r="L110" i="7"/>
  <c r="L114" i="7"/>
  <c r="L118" i="7"/>
  <c r="L122" i="7"/>
  <c r="L126" i="7"/>
  <c r="L130" i="7"/>
  <c r="L134" i="7"/>
  <c r="L138" i="7"/>
  <c r="L142" i="7"/>
  <c r="L146" i="7"/>
  <c r="L150" i="7"/>
  <c r="L154" i="7"/>
  <c r="L158" i="7"/>
</calcChain>
</file>

<file path=xl/sharedStrings.xml><?xml version="1.0" encoding="utf-8"?>
<sst xmlns="http://schemas.openxmlformats.org/spreadsheetml/2006/main" count="346" uniqueCount="163">
  <si>
    <t>Proveedor</t>
  </si>
  <si>
    <t>Plazo de entrega</t>
  </si>
  <si>
    <t>Antecedentes</t>
  </si>
  <si>
    <t xml:space="preserve">Ponderación precio: </t>
  </si>
  <si>
    <t xml:space="preserve">% </t>
  </si>
  <si>
    <t>CUADRO COMPARATIVO DE OFERTAS - PONDERACIÓN DE FACTORES SEGÚN PLIEGO</t>
  </si>
  <si>
    <t>ITEM</t>
  </si>
  <si>
    <t>Cant. Solicit.</t>
  </si>
  <si>
    <t>Alter.</t>
  </si>
  <si>
    <t>Razon Social Proveedor</t>
  </si>
  <si>
    <t>Marca</t>
  </si>
  <si>
    <t>Cant. Ofertada</t>
  </si>
  <si>
    <t>Precio Unitario</t>
  </si>
  <si>
    <t>Puntaje Factor Precio</t>
  </si>
  <si>
    <t>Puntaje Factor Calidad</t>
  </si>
  <si>
    <t>Puntaje Factor Plazo de Entrega</t>
  </si>
  <si>
    <t>Puntaje Factor Antecedentes</t>
  </si>
  <si>
    <t>PUNTAJE TOTAL</t>
  </si>
  <si>
    <t>Cant. Preadj</t>
  </si>
  <si>
    <t>Total Preadj</t>
  </si>
  <si>
    <t xml:space="preserve">Los encabezados de color amarillo </t>
  </si>
  <si>
    <r>
      <t xml:space="preserve">CARGAR LA PONDERACION: </t>
    </r>
    <r>
      <rPr>
        <b/>
        <sz val="12"/>
        <color theme="1"/>
        <rFont val="Calibri"/>
        <family val="2"/>
        <scheme val="minor"/>
      </rPr>
      <t>CALIDAD</t>
    </r>
    <r>
      <rPr>
        <sz val="12"/>
        <color theme="1"/>
        <rFont val="Calibri"/>
        <family val="2"/>
        <scheme val="minor"/>
      </rPr>
      <t xml:space="preserve"> EN CADA ITEM</t>
    </r>
  </si>
  <si>
    <t>AYUDA</t>
  </si>
  <si>
    <t>CARGAR EL CUADRO DEL COMPR.AR  HACIENDO CLICK EN "ARMAR CUADRO"</t>
  </si>
  <si>
    <r>
      <t xml:space="preserve">CARGA LAS PONDERACIONES: </t>
    </r>
    <r>
      <rPr>
        <b/>
        <sz val="12"/>
        <color theme="1"/>
        <rFont val="Calibri"/>
        <family val="2"/>
        <scheme val="minor"/>
      </rPr>
      <t xml:space="preserve">ENTREGA - ANTECEDENTES - PRECIO </t>
    </r>
    <r>
      <rPr>
        <sz val="12"/>
        <color theme="1"/>
        <rFont val="Calibri"/>
        <family val="2"/>
        <scheme val="minor"/>
      </rPr>
      <t>(valor por defecto 83)</t>
    </r>
  </si>
  <si>
    <t>Inicio</t>
  </si>
  <si>
    <t>Ponderacion</t>
  </si>
  <si>
    <t>Cuadro</t>
  </si>
  <si>
    <r>
      <t>indican las celdas que deben modificarse, la</t>
    </r>
    <r>
      <rPr>
        <b/>
        <sz val="11"/>
        <color theme="1"/>
        <rFont val="Calibri"/>
        <family val="2"/>
        <scheme val="minor"/>
      </rPr>
      <t xml:space="preserve"> ACTUALIZACION ES AUTOMATICA</t>
    </r>
    <r>
      <rPr>
        <sz val="11"/>
        <color theme="1"/>
        <rFont val="Calibri"/>
        <family val="2"/>
        <scheme val="minor"/>
      </rPr>
      <t xml:space="preserve"> en el </t>
    </r>
    <r>
      <rPr>
        <b/>
        <i/>
        <sz val="11"/>
        <color theme="3"/>
        <rFont val="Calibri"/>
        <family val="2"/>
        <scheme val="minor"/>
      </rPr>
      <t>Cuadro.</t>
    </r>
  </si>
  <si>
    <t>Primer Fila</t>
  </si>
  <si>
    <t>Ultima Fila</t>
  </si>
  <si>
    <t>BRUNO RODOLFO LUCERO ALESSANDRO</t>
  </si>
  <si>
    <t>SUCESION DE LUIS JAIME KOTLER</t>
  </si>
  <si>
    <t>MIGUEL ANGEL MURO</t>
  </si>
  <si>
    <t>CONTRATACIÓN DIRECTA 100-0008-CDI22 Adquisición de artículos de librería y papelería para el M.I.D.yS.P. y H.S.J.B.</t>
  </si>
  <si>
    <t xml:space="preserve">Resma A4 X500 HOJAS 80GR BOREAL  </t>
  </si>
  <si>
    <t>PAPELES P/FOTOCOPIADORA; FOTOCOPIADORA: CLC, ANCHO</t>
  </si>
  <si>
    <t xml:space="preserve">Resma A4 X500 HOJAS 75GR AUTOR  </t>
  </si>
  <si>
    <t xml:space="preserve">LAPICERAS BIC OPACO 1.0MM AZUL  </t>
  </si>
  <si>
    <t>LAPICERAS ESTILOGRAFICAS; TIPO: TRAZO GRUESO, MATE</t>
  </si>
  <si>
    <t xml:space="preserve">LAPIZ GRADUACION MAPED HB2 N°1  </t>
  </si>
  <si>
    <t xml:space="preserve"> LAPIZ; COLOR: NEGRO, TIPO: COMUN NRO 1 MARCA GRAF</t>
  </si>
  <si>
    <t xml:space="preserve">LAPIZ GRADUACION MAPED HB2   </t>
  </si>
  <si>
    <t xml:space="preserve">RESMA OFICIO X500HOJAS 80 GR BOREAL  </t>
  </si>
  <si>
    <t>PAPELES P/FOTOCOPIADORA; FOTOCOPIADORA: SIN VALOR,</t>
  </si>
  <si>
    <t xml:space="preserve">RESMA OFICIO X500HOJAS 80 GR AUTOR  </t>
  </si>
  <si>
    <t xml:space="preserve">CORRECTOR EZCO X7ML PUNTA METAL.  </t>
  </si>
  <si>
    <t>CORRECTORES DE ESCRITURA; ENVASE: LAPIZ (PUNTA MET</t>
  </si>
  <si>
    <t xml:space="preserve">CORRECTOR X7ML PIZZINI  </t>
  </si>
  <si>
    <t xml:space="preserve">ABROCHADORA DE PAPEL, METALICA 21/6 GRAP  </t>
  </si>
  <si>
    <t xml:space="preserve"> ABROCHADORAS DE PAPEL; MATERIAL: METALICA, TIPO: </t>
  </si>
  <si>
    <t>ABROCHADORAS DE PAPEL; MATERIAL: METALICA, TIPO: D</t>
  </si>
  <si>
    <t xml:space="preserve">RESALTADOR PTA. 5 (CHANFLEADA) TRABI AMARILLO   </t>
  </si>
  <si>
    <t xml:space="preserve"> RESALTADORES; ACCESORIO SIN - TIPO PUNTA 5 (CHANF</t>
  </si>
  <si>
    <t xml:space="preserve">RESALTADOR PTA CHANFLEADA FILGO AMARILLO   </t>
  </si>
  <si>
    <t xml:space="preserve">FOLIOS TRANSPARENTES OFICIO  LIGGO  </t>
  </si>
  <si>
    <t>FOLIOS TRANSPARENTES; MATERIAL: PLASTICO (POLIETIL</t>
  </si>
  <si>
    <t xml:space="preserve"> FOLIOS TRANSPARENTES; MATERIAL: PLASTICO (POLIETI</t>
  </si>
  <si>
    <t xml:space="preserve">FOLIOS TRANSPARENTES A4 LIGGO  </t>
  </si>
  <si>
    <t xml:space="preserve">FOLIOS TRANSPARENTES; TAMAÑO: A-4, PERFORACIONES: </t>
  </si>
  <si>
    <t xml:space="preserve">CAJA DE ARCHIVO LIBREJET OFICIO PLASTICO AZUL   </t>
  </si>
  <si>
    <t>CAJAS DE ARCHIVO; DIMENSION: 26.5 X 38 X 9 Cm, 
CO</t>
  </si>
  <si>
    <t xml:space="preserve">BANDA ELASTICAS EZCO 5CMX100GR BOLSA  </t>
  </si>
  <si>
    <t xml:space="preserve"> BANDAS ELASTICAS; PRESENTACION: CAJA DE 100 GR, E</t>
  </si>
  <si>
    <t>BANDAS ELASTICAS; PRESENTACION: CAJA DE 100 GR, ES</t>
  </si>
  <si>
    <t xml:space="preserve">CARPETA COMERCIAL LAMA A4 C/VAINA  </t>
  </si>
  <si>
    <t>CARPETAS COLGANTES; TIPO: INTERIOR, MATERIAL: PLAS</t>
  </si>
  <si>
    <t xml:space="preserve">CARPETA COLGANTE EXTERIOR NEPACO OFICIO AMARILLO  </t>
  </si>
  <si>
    <t>CARPETAS COLGANTES; TIPO: EXTERIOR, MATERIAL: PLAS</t>
  </si>
  <si>
    <t xml:space="preserve">GOMA DE BORRAR LAPIZ DOS BANDERAS X30UNIDADES  </t>
  </si>
  <si>
    <t>GOMAS DE BORRAR; MATERIAL: CAUCHO, CANT. X CAJA: 3</t>
  </si>
  <si>
    <t xml:space="preserve">CINTA ADHESIVA TRANSPARENTE 12X60MTRS CONDOR   </t>
  </si>
  <si>
    <t>CINTAS ADHESIVAS; TIPO: TRANSPARENTE, ANCHO: 12 mm</t>
  </si>
  <si>
    <t xml:space="preserve">CINTA ADHESIVA TRANSPARENTE 49MMX40MTRS CONDOR  </t>
  </si>
  <si>
    <t>CINTAS ADHESIVAS; ANCHO: 49 mm, ACCESORIO: SIN VAL</t>
  </si>
  <si>
    <t xml:space="preserve">ADHESIVO P/PAPEL COLA VINILICA 30GR PLAYCOLOR  </t>
  </si>
  <si>
    <t>ADHESIVOS P/PAPEL; TIPO: COLA VINILICA, PRESENTACI</t>
  </si>
  <si>
    <t xml:space="preserve">BIBLIORATOS LOMO CARTON GRIS OFICIO LIBREJET  </t>
  </si>
  <si>
    <t xml:space="preserve"> BIBLIORATOS; LOMO: CARTON, COLOR: GRIS, ANCHO: 85</t>
  </si>
  <si>
    <t xml:space="preserve">BIBLIORATOS; LOMO: CARTON, COLOR: GRIS, ANCHO: 85 </t>
  </si>
  <si>
    <t xml:space="preserve">BIBLIORATOS A4 LOMO CARTON LIBREJET  </t>
  </si>
  <si>
    <t xml:space="preserve"> BIBLIORATOS; ANILLO: 2 Y PALANCA, TAMAÑO: A4, TAP</t>
  </si>
  <si>
    <t>BIBLIORATOS; ANILLO: 2 Y PALANCA, TAMAÑO: A4, TAPA</t>
  </si>
  <si>
    <t xml:space="preserve">ABROCHADORA DE PAPEL METALICA 10/50 GRAP  </t>
  </si>
  <si>
    <t xml:space="preserve"> ABROCHADORAS DE PAPEL; TIPO: PINZA, P/BROCHES: 10</t>
  </si>
  <si>
    <t>ABROCHADORAS DE PAPEL; TIPO: PINZA, P/BROCHES: 10/</t>
  </si>
  <si>
    <t xml:space="preserve">ADHESIVO P/PAPEL 250GR, COLA VINILICA PLAYCOLOR  </t>
  </si>
  <si>
    <t>ADHESIVOS P/PAPEL; PRESENTACION: 250 GR, TIPO: COL</t>
  </si>
  <si>
    <t xml:space="preserve">BROCHES P/ABROCHADORAS 10/50, CAJA X1000U, GRAP  </t>
  </si>
  <si>
    <t xml:space="preserve"> BROCHES P/ABROCHADORA; NUMERO: 10/50, PRESENTACIO</t>
  </si>
  <si>
    <t>BROCHES P/ABROCHADORA; NUMERO: 10/50, PRESENTACION</t>
  </si>
  <si>
    <t xml:space="preserve">CARPETAS FIBRA NEGRA OFICIO   </t>
  </si>
  <si>
    <t>CARPETAS; MATERIAL: FIBRA, TAMAÑO: OFICIO MARCA FI</t>
  </si>
  <si>
    <t xml:space="preserve">CARPETAS; MATERIAL: FIBRA, TAMAÑO: OFICIO AVIOS </t>
  </si>
  <si>
    <t>CARPETA P/ENCUADERNACION A4 TAPA TRANSPARENTE LAMA</t>
  </si>
  <si>
    <t xml:space="preserve">CARPETAS P/ENCUADERNACION; TAMAÑO: A4, PEGAMENTO: </t>
  </si>
  <si>
    <t>CARPETA P/ENCUADERNACION OF TAPA TRANSPARENTE VERD</t>
  </si>
  <si>
    <t xml:space="preserve"> CARPETAS P/ENCUADERNACION; TAMAÑO: OFICIO, ESPESO</t>
  </si>
  <si>
    <t>CARPETAS P/ENCUADERNACION; TAMAÑO: OFICIO, ESPESOR</t>
  </si>
  <si>
    <t xml:space="preserve">BIBLIORATO LOMO CARTON OFICIO LIBREJET  </t>
  </si>
  <si>
    <t>BIBLIORATOS; ANCHO: 80 mm, ANILLO: ANILLO Y PALANC</t>
  </si>
  <si>
    <t xml:space="preserve">CARTULINA 48X63CM, 125GR AMARILLO   </t>
  </si>
  <si>
    <t xml:space="preserve"> PAPELES EN HOJA; TIPO DE PAPEL: CARTULINA, DIMENS</t>
  </si>
  <si>
    <t>PAPELES EN HOJA; TIPO DE PAPEL: CARTULINA, DIMENSI</t>
  </si>
  <si>
    <t>CINTA ADHESIVA P/EMBALAR TRANSPARENTE 50X50MTRS CO</t>
  </si>
  <si>
    <t xml:space="preserve"> CINTAS ADHESIVAS; TIPO: EMBALAR, ANCHO: 50 mm, LA</t>
  </si>
  <si>
    <t xml:space="preserve">CUADERNO TAPA DURA 98HS, 21X16CM LAPRIDA  </t>
  </si>
  <si>
    <t>PAPELES ENCUADERNADOS; CANT. DE HOJAS: 100, TAMAÑO</t>
  </si>
  <si>
    <t xml:space="preserve">FOLIOS TRANSPARENTES OFICIO LIGGO </t>
  </si>
  <si>
    <t>FOLIOS TRANSPARENTES; TAMAÑO: OFICIO, PERFORACIONE</t>
  </si>
  <si>
    <t xml:space="preserve">FOLIOS TRANSPARENTES A4 LIGGO </t>
  </si>
  <si>
    <t xml:space="preserve">LAPICERAS TRAZO GRUESO NEGRA BIC ROUND STIC  </t>
  </si>
  <si>
    <t xml:space="preserve">LAPICERAS TRAZO GRUESO AZUL BIC ROUND STIC  </t>
  </si>
  <si>
    <t xml:space="preserve">LAPICERAS TRAZO GRUESO ROJO BIC ROUNS STIC  </t>
  </si>
  <si>
    <t xml:space="preserve">CORRECTOR DE ESCRITURA 7ML EZCO  </t>
  </si>
  <si>
    <t>CORRECTORES DE ESCRITURA; CAPACIDAD: 7 mL, ENVASE:</t>
  </si>
  <si>
    <t xml:space="preserve">LAPIZ NEGRO EZCO MITO HB2 N°2  </t>
  </si>
  <si>
    <t>LAPIZ; TIPO: COMUN NRO 2, COLOR: NEGRO MARCA GRAFI</t>
  </si>
  <si>
    <t xml:space="preserve">LAPIZ; TIPO: COMUN NRO 2, COLOR: NEGRO FILGO </t>
  </si>
  <si>
    <t xml:space="preserve">LIBRO DE ACTAS,400HS, 21X33CM, TN CORONA  </t>
  </si>
  <si>
    <t>PAPELES ENCUADERNADOS; CANT. DE HOJAS: 400, TAMAÑO</t>
  </si>
  <si>
    <t>MARCADOR AL AGUA, TRAZO GRUESO , PUNTA REDONDA, NE</t>
  </si>
  <si>
    <t xml:space="preserve">MARCADOR INDELEBRE TRAZO GRUESO, NEGRO TRABI 411  </t>
  </si>
  <si>
    <t xml:space="preserve"> PAPELES EN HOJA; TIPO DE PAPEL: EXTRA BLANCO, DIM</t>
  </si>
  <si>
    <t>PAPELES EN HOJA; TIPO DE PAPEL: EXTRA BLANCO, DIME</t>
  </si>
  <si>
    <t>PAPELES EN HOJA; TIPO DE PAPEL: BLANCO, DIMENSION:</t>
  </si>
  <si>
    <t xml:space="preserve">BROCHE CLIPS N° 4 , X100U SIFAP  </t>
  </si>
  <si>
    <t xml:space="preserve"> CLIPS P/PAPEL; MATERIAL: METAL, NUMERO: 4, CANT. </t>
  </si>
  <si>
    <t>CLIPS P/PAPEL; MATERIAL: METAL, NUMERO: 4, CANT. X</t>
  </si>
  <si>
    <t xml:space="preserve">PERFORADORA MEDIANA N° 2 GRAP PINTADO   </t>
  </si>
  <si>
    <t>PERFORADORAS; TAMAÑO: MEDIANA, N° PERFORACIONES: 2</t>
  </si>
  <si>
    <t>SOBRE DE PAPEL MANILA 19X24CM,80GR, X100U KRAFT ME</t>
  </si>
  <si>
    <t>SOBRES DE PAPEL; TIPO: MANILA, TAMAÑO: 19 X 24 Cm,</t>
  </si>
  <si>
    <t>SOBRE DE PAPEL MANILA 24X30CM,80GR,X100U KRAFT MED</t>
  </si>
  <si>
    <t xml:space="preserve"> SOBRES DE PAPEL; TIPO: BOLSA DE PAPEL MANILA, TAM</t>
  </si>
  <si>
    <t>SOBRE DE PAPEL MANILA 30X40CM,90GR,KRAFT MEDORO 25</t>
  </si>
  <si>
    <t xml:space="preserve"> SOBRES DE PAPEL; TIPO: BOLSA MANILA, TAMAÑO: 30 X</t>
  </si>
  <si>
    <t>SOBRE DE PAPEL MANILA 37X45CM,80GR, X100U, KRAFT M</t>
  </si>
  <si>
    <t>SOBRE CON MEMBRETE, 1 COLOR, 12X23CM, 80GR KRAF ME</t>
  </si>
  <si>
    <t xml:space="preserve">TINTA PARA SELLOS X28CM3 GOMA NEGRA PAGODA  </t>
  </si>
  <si>
    <t>TINTAS P/SELLOS; TIPO DE SELLO: DE GOMA, PRESENTAC</t>
  </si>
  <si>
    <t xml:space="preserve">RESALTADOR PUNTA FINA BISELADA AMARILLO EZCO  </t>
  </si>
  <si>
    <t xml:space="preserve">RESALTADORES; PUNTA: FINA, ACCESORIO: SIN, COLOR: </t>
  </si>
  <si>
    <t>RESALTADOR PTA CHANFLEADA  5MM, CON CLIP, ROJO, TR</t>
  </si>
  <si>
    <t>GOMA DE BORRAR LAPIZ/TINTA N° 211 55X17MM DOS BAND</t>
  </si>
  <si>
    <t xml:space="preserve"> GOMAS DE BORRAR; USO: LAPIZ Y TINTA, DIMENSION: 5</t>
  </si>
  <si>
    <t>GOMAS DE BORRAR; USO: LAPIZ Y TINTA, DIMENSION: 55</t>
  </si>
  <si>
    <t>CAJAS DE ARCHIVOS CARTON , 45X35X25CM, MD ALTA KRA</t>
  </si>
  <si>
    <t xml:space="preserve">CINTA ADHESIVA TRANSPARENTE ,12X60M, CONDOR  </t>
  </si>
  <si>
    <t>CINTAS ADHESIVAS; TIPO: TRANSPARENTE, ANCHO: 1,2 C</t>
  </si>
  <si>
    <t xml:space="preserve">ALMOHADILLA PARA SELLOS N°2 PAGODA METALICA  </t>
  </si>
  <si>
    <t>ALMOHADILLAS P/SELLOS; MEDIDA: 11 X 8 Cm, MATERIAL</t>
  </si>
  <si>
    <t xml:space="preserve">CUADERNO TAPA DURA 196 HS, 21X16CM LAPRIDA  </t>
  </si>
  <si>
    <t xml:space="preserve">TIJERA 22CM PIZZINI   </t>
  </si>
  <si>
    <t xml:space="preserve">TIJERA; USO: P/PAPEL, MATERIAL: ACERO INOXIDABLE, </t>
  </si>
  <si>
    <t xml:space="preserve">DVD, 8X4,7GB, GRABABLE MEMOREX  </t>
  </si>
  <si>
    <t xml:space="preserve">DISCO VERSATIL DIGITAL (DVD) ; CAPACIDAD: 4,7 Gb, </t>
  </si>
  <si>
    <t xml:space="preserve">CD VIRGEN 80M 700MB MEMOREX  </t>
  </si>
  <si>
    <t>SOBRE DE PAPEL PARA DISCOS , S/VENTANA, 13X13CM, 1</t>
  </si>
  <si>
    <t xml:space="preserve"> SOBRES DE PAPEL; TIPO: P/DISCO COMPACTO, TAMAÑO: </t>
  </si>
  <si>
    <t>NO REUNE LAS CONDICIONES PARA LA DUPLICADORA</t>
  </si>
  <si>
    <t>NO REUNE LAS CARACTERISTICAS DE LO SOLICITADO</t>
  </si>
  <si>
    <t>OFERTAS DESESTIMADAS DEL PROVEEDOR BRUNO RODOLFO LUCERO ALESSANDRO EN LOS ITEMS 40, 41 "NO REUNE LAS CONDICIONES PARA LA DUPLICADORA" Y 43 "NO REUNE LAS CARACTERISTICAS DE LO SOLICITADO"
OFERTA DESESTIMADA DEL PROVEEDOR MIGUEL ANGEL MURO EN EL ITEM 41 "NO REUNE LAS CONDICIONES PARA LA DUPLICADORA"
MEJOR PUNTAJE LOS ITEMS 1, 3 AL 12, 15, 17 AL 19, 21 AL 25, 27, 29 AL 31,  35, 37, 40 AL 46, 50,  54, 55, 57, 58 Y 60 DEL PROVEEDOR SUCESION DE LUIS JAIME KOTLER POR LA SUMA DE PESOS UN MILLON SETECIENTOS SETENTA Y UN MIL OCHOCIENTOS SESENTA Y DOS 65/100 ($1.771.862,65) 
MEJOR PUNTAJE LOS ITEMS 2, 13, 14, 16, 20, 26, 28, 32 AL 34, 36, 38, 39, 47 AL 49, 51 AL 53, 56 Y 59 DEL PROVEEDOR BRUNO RODOLFO LUCERO ALESSANDRO POR LA SUMA DE PESOS SETECIENTOS SETENTA Y SEIS MIL SEISCIENTOS SETENTA Y DOS 50/100 ($776.672,50)
MINISTERIO DE INCLUSION DIGITAL Y SISTEMAS PRODUCTIVOS: $549.079,80
HOSPITAL INTERZONAL SAN JUAN BAUTISTA: $1.999.455,35
TOTAL GENERAL: $2.548.535,15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</si>
</sst>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[$$-2C0A]\ * #,##0.00_ ;_ [$$-2C0A]\ * \-#,##0.00_ ;_ [$$-2C0A]\ * &quot;-&quot;??_ ;_ @_ "/>
  </numFmts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3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3" fillId="2" borderId="2" xfId="0" applyFont="1" applyFill="1" applyBorder="1"/>
    <xf numFmtId="0" fontId="3" fillId="0" borderId="4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3" xfId="0" applyFont="1" applyBorder="1"/>
    <xf numFmtId="0" fontId="0" fillId="0" borderId="0" xfId="0" applyFill="1"/>
    <xf numFmtId="43" fontId="0" fillId="0" borderId="0" xfId="1" applyFont="1" applyFill="1"/>
    <xf numFmtId="14" fontId="0" fillId="0" borderId="0" xfId="0" applyNumberFormat="1" applyFill="1"/>
    <xf numFmtId="0" fontId="6" fillId="0" borderId="0" xfId="0" applyFont="1"/>
    <xf numFmtId="0" fontId="8" fillId="0" borderId="0" xfId="0" applyFont="1"/>
    <xf numFmtId="0" fontId="0" fillId="2" borderId="1" xfId="0" applyFill="1" applyBorder="1"/>
    <xf numFmtId="0" fontId="10" fillId="0" borderId="0" xfId="0" applyFont="1"/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43" fontId="11" fillId="0" borderId="9" xfId="1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164" fontId="11" fillId="0" borderId="7" xfId="2" applyNumberFormat="1" applyFont="1" applyFill="1" applyBorder="1" applyAlignment="1">
      <alignment horizontal="center" vertical="center" wrapText="1"/>
    </xf>
    <xf numFmtId="2" fontId="11" fillId="0" borderId="7" xfId="0" applyNumberFormat="1" applyFont="1" applyFill="1" applyBorder="1" applyAlignment="1">
      <alignment horizontal="center" vertical="center" wrapText="1"/>
    </xf>
    <xf numFmtId="2" fontId="13" fillId="0" borderId="7" xfId="1" applyNumberFormat="1" applyFont="1" applyFill="1" applyBorder="1" applyAlignment="1">
      <alignment horizontal="center" vertical="center" wrapText="1"/>
    </xf>
    <xf numFmtId="164" fontId="11" fillId="0" borderId="13" xfId="2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64" fontId="11" fillId="0" borderId="1" xfId="2" applyNumberFormat="1" applyFont="1" applyFill="1" applyBorder="1" applyAlignment="1">
      <alignment horizontal="center" vertical="center" wrapText="1"/>
    </xf>
    <xf numFmtId="2" fontId="11" fillId="0" borderId="1" xfId="0" applyNumberFormat="1" applyFont="1" applyFill="1" applyBorder="1" applyAlignment="1">
      <alignment horizontal="center" vertical="center" wrapText="1"/>
    </xf>
    <xf numFmtId="2" fontId="13" fillId="0" borderId="1" xfId="1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64" fontId="13" fillId="0" borderId="14" xfId="2" applyNumberFormat="1" applyFont="1" applyFill="1" applyBorder="1" applyAlignment="1">
      <alignment horizontal="center" vertical="center" wrapText="1"/>
    </xf>
    <xf numFmtId="164" fontId="11" fillId="0" borderId="14" xfId="2" applyNumberFormat="1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164" fontId="11" fillId="0" borderId="12" xfId="2" applyNumberFormat="1" applyFont="1" applyFill="1" applyBorder="1" applyAlignment="1">
      <alignment horizontal="center" vertical="center" wrapText="1"/>
    </xf>
    <xf numFmtId="2" fontId="11" fillId="0" borderId="12" xfId="0" applyNumberFormat="1" applyFont="1" applyFill="1" applyBorder="1" applyAlignment="1">
      <alignment horizontal="center" vertical="center" wrapText="1"/>
    </xf>
    <xf numFmtId="2" fontId="13" fillId="2" borderId="1" xfId="1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3" fillId="2" borderId="14" xfId="2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11" fillId="2" borderId="14" xfId="2" applyNumberFormat="1" applyFont="1" applyFill="1" applyBorder="1" applyAlignment="1">
      <alignment horizontal="center" vertical="center" wrapText="1"/>
    </xf>
    <xf numFmtId="2" fontId="13" fillId="2" borderId="12" xfId="1" applyNumberFormat="1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164" fontId="13" fillId="2" borderId="15" xfId="2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43" fontId="11" fillId="0" borderId="0" xfId="1" applyFont="1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1" fillId="0" borderId="16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left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4</xdr:row>
      <xdr:rowOff>95250</xdr:rowOff>
    </xdr:from>
    <xdr:to>
      <xdr:col>8</xdr:col>
      <xdr:colOff>238125</xdr:colOff>
      <xdr:row>11</xdr:row>
      <xdr:rowOff>76200</xdr:rowOff>
    </xdr:to>
    <xdr:sp macro="[0]!Armar_Cuadro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3E19713-30BA-4335-8D1B-B3D6B9B79C33}"/>
            </a:ext>
          </a:extLst>
        </xdr:cNvPr>
        <xdr:cNvSpPr/>
      </xdr:nvSpPr>
      <xdr:spPr>
        <a:xfrm>
          <a:off x="2505075" y="857250"/>
          <a:ext cx="4381500" cy="13906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3600" b="1"/>
            <a:t>ARMAR</a:t>
          </a:r>
          <a:r>
            <a:rPr lang="es-AR" sz="3600" b="1" baseline="0"/>
            <a:t> CUADRO</a:t>
          </a:r>
          <a:endParaRPr lang="es-AR" sz="36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B0B4-5622-4F24-925E-582AA87060F2}">
  <sheetPr codeName="Hoja1"/>
  <dimension ref="A6:F20"/>
  <sheetViews>
    <sheetView workbookViewId="0"/>
  </sheetViews>
  <sheetFormatPr baseColWidth="10" defaultRowHeight="15" x14ac:dyDescent="0.25"/>
  <cols>
    <col min="1" max="1" width="19.7109375" customWidth="1"/>
  </cols>
  <sheetData>
    <row r="6" spans="1:6" ht="21" x14ac:dyDescent="0.35">
      <c r="B6" s="1"/>
    </row>
    <row r="7" spans="1:6" x14ac:dyDescent="0.25">
      <c r="E7" t="s">
        <v>29</v>
      </c>
      <c r="F7">
        <v>8</v>
      </c>
    </row>
    <row r="8" spans="1:6" x14ac:dyDescent="0.25">
      <c r="E8" t="s">
        <v>30</v>
      </c>
      <c r="F8">
        <v>159</v>
      </c>
    </row>
    <row r="13" spans="1:6" ht="15.75" x14ac:dyDescent="0.25">
      <c r="A13" s="15" t="s">
        <v>22</v>
      </c>
    </row>
    <row r="14" spans="1:6" x14ac:dyDescent="0.25">
      <c r="A14" t="s">
        <v>20</v>
      </c>
      <c r="C14" s="14"/>
      <c r="D14" t="s">
        <v>28</v>
      </c>
    </row>
    <row r="15" spans="1:6" ht="15.75" x14ac:dyDescent="0.25">
      <c r="A15" s="13" t="s">
        <v>25</v>
      </c>
      <c r="B15" s="12"/>
      <c r="C15" s="12"/>
      <c r="D15" s="12"/>
      <c r="E15" s="12"/>
    </row>
    <row r="16" spans="1:6" ht="15.75" x14ac:dyDescent="0.25">
      <c r="A16" s="12" t="s">
        <v>23</v>
      </c>
      <c r="B16" s="12"/>
      <c r="C16" s="12"/>
      <c r="D16" s="12"/>
      <c r="E16" s="12"/>
    </row>
    <row r="17" spans="1:5" ht="16.5" customHeight="1" x14ac:dyDescent="0.25">
      <c r="A17" s="13" t="s">
        <v>26</v>
      </c>
      <c r="B17" s="12"/>
      <c r="C17" s="12"/>
      <c r="D17" s="12"/>
      <c r="E17" s="12"/>
    </row>
    <row r="18" spans="1:5" ht="15.75" x14ac:dyDescent="0.25">
      <c r="A18" s="12" t="s">
        <v>24</v>
      </c>
      <c r="B18" s="12"/>
      <c r="C18" s="12"/>
      <c r="D18" s="12"/>
      <c r="E18" s="12"/>
    </row>
    <row r="19" spans="1:5" ht="15.75" x14ac:dyDescent="0.25">
      <c r="A19" s="13" t="s">
        <v>27</v>
      </c>
      <c r="B19" s="12"/>
      <c r="C19" s="12"/>
      <c r="D19" s="12"/>
      <c r="E19" s="12"/>
    </row>
    <row r="20" spans="1:5" ht="15.75" x14ac:dyDescent="0.25">
      <c r="A20" s="12" t="s">
        <v>21</v>
      </c>
      <c r="B20" s="12"/>
      <c r="C20" s="12"/>
      <c r="D20" s="12"/>
      <c r="E20" s="12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G4"/>
  <sheetViews>
    <sheetView workbookViewId="0">
      <selection activeCell="C5" sqref="C5"/>
    </sheetView>
  </sheetViews>
  <sheetFormatPr baseColWidth="10" defaultColWidth="9.140625" defaultRowHeight="18.75" x14ac:dyDescent="0.3"/>
  <cols>
    <col min="1" max="1" width="46.85546875" style="6" bestFit="1" customWidth="1"/>
    <col min="2" max="2" width="19.5703125" style="7" bestFit="1" customWidth="1"/>
    <col min="3" max="3" width="16.42578125" style="7" bestFit="1" customWidth="1"/>
    <col min="4" max="4" width="9.140625" style="3"/>
    <col min="5" max="5" width="24.140625" style="3" bestFit="1" customWidth="1"/>
    <col min="6" max="16384" width="9.140625" style="3"/>
  </cols>
  <sheetData>
    <row r="1" spans="1:7" ht="21.75" thickBot="1" x14ac:dyDescent="0.4">
      <c r="A1" s="2" t="s">
        <v>0</v>
      </c>
      <c r="B1" s="2" t="s">
        <v>1</v>
      </c>
      <c r="C1" s="2" t="s">
        <v>2</v>
      </c>
      <c r="E1" s="4" t="s">
        <v>3</v>
      </c>
      <c r="F1" s="8">
        <v>80</v>
      </c>
      <c r="G1" s="5" t="s">
        <v>4</v>
      </c>
    </row>
    <row r="2" spans="1:7" x14ac:dyDescent="0.3">
      <c r="A2" s="6" t="s">
        <v>31</v>
      </c>
      <c r="B2" s="7">
        <v>3</v>
      </c>
      <c r="C2" s="7">
        <v>5</v>
      </c>
    </row>
    <row r="3" spans="1:7" x14ac:dyDescent="0.3">
      <c r="A3" s="6" t="s">
        <v>32</v>
      </c>
      <c r="B3" s="7">
        <v>3</v>
      </c>
      <c r="C3" s="7">
        <v>5</v>
      </c>
    </row>
    <row r="4" spans="1:7" x14ac:dyDescent="0.3">
      <c r="A4" s="6" t="s">
        <v>33</v>
      </c>
      <c r="B4" s="7">
        <v>1.5</v>
      </c>
      <c r="C4" s="7">
        <v>5</v>
      </c>
    </row>
  </sheetData>
  <pageMargins left="0.7" right="0.7" top="0.75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7"/>
  <dimension ref="A2:N160"/>
  <sheetViews>
    <sheetView tabSelected="1" topLeftCell="A143" workbookViewId="0">
      <selection activeCell="S149" sqref="S149"/>
    </sheetView>
  </sheetViews>
  <sheetFormatPr baseColWidth="10" defaultColWidth="10.28515625" defaultRowHeight="15" x14ac:dyDescent="0.25"/>
  <cols>
    <col min="1" max="1" width="4.85546875" style="9" customWidth="1"/>
    <col min="2" max="2" width="6.140625" style="9" customWidth="1"/>
    <col min="3" max="3" width="4.85546875" style="9" customWidth="1"/>
    <col min="4" max="4" width="27.28515625" style="9" customWidth="1"/>
    <col min="5" max="5" width="23.5703125" style="9" customWidth="1"/>
    <col min="6" max="6" width="10.28515625" style="9"/>
    <col min="7" max="7" width="11" style="9" bestFit="1" customWidth="1"/>
    <col min="8" max="10" width="10.28515625" style="9"/>
    <col min="11" max="11" width="15.7109375" style="9" customWidth="1"/>
    <col min="12" max="12" width="12.5703125" style="10" customWidth="1"/>
    <col min="13" max="13" width="6.85546875" style="9" customWidth="1"/>
    <col min="14" max="14" width="15.140625" style="9" bestFit="1" customWidth="1"/>
    <col min="15" max="16384" width="10.28515625" style="9"/>
  </cols>
  <sheetData>
    <row r="2" spans="1:14" x14ac:dyDescent="0.25">
      <c r="A2" s="50" t="s">
        <v>5</v>
      </c>
      <c r="B2" s="50"/>
      <c r="C2" s="50"/>
      <c r="D2" s="50"/>
      <c r="E2" s="50"/>
      <c r="F2" s="50"/>
      <c r="G2" s="50"/>
      <c r="H2" s="50"/>
      <c r="I2" s="50"/>
      <c r="N2" s="11"/>
    </row>
    <row r="5" spans="1:14" x14ac:dyDescent="0.25">
      <c r="A5" s="51" t="s">
        <v>34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4" ht="15.75" thickBot="1" x14ac:dyDescent="0.3"/>
    <row r="7" spans="1:14" ht="51.75" thickBot="1" x14ac:dyDescent="0.3">
      <c r="A7" s="16" t="s">
        <v>6</v>
      </c>
      <c r="B7" s="17" t="s">
        <v>7</v>
      </c>
      <c r="C7" s="17" t="s">
        <v>8</v>
      </c>
      <c r="D7" s="17" t="s">
        <v>9</v>
      </c>
      <c r="E7" s="17" t="s">
        <v>10</v>
      </c>
      <c r="F7" s="17" t="s">
        <v>11</v>
      </c>
      <c r="G7" s="17" t="s">
        <v>12</v>
      </c>
      <c r="H7" s="17" t="s">
        <v>13</v>
      </c>
      <c r="I7" s="18" t="s">
        <v>14</v>
      </c>
      <c r="J7" s="17" t="s">
        <v>15</v>
      </c>
      <c r="K7" s="17" t="s">
        <v>16</v>
      </c>
      <c r="L7" s="19" t="s">
        <v>17</v>
      </c>
      <c r="M7" s="17" t="s">
        <v>18</v>
      </c>
      <c r="N7" s="20" t="s">
        <v>19</v>
      </c>
    </row>
    <row r="8" spans="1:14" ht="25.5" x14ac:dyDescent="0.25">
      <c r="A8" s="21">
        <v>1</v>
      </c>
      <c r="B8" s="22">
        <v>100</v>
      </c>
      <c r="C8" s="22">
        <v>1</v>
      </c>
      <c r="D8" s="22" t="s">
        <v>31</v>
      </c>
      <c r="E8" s="22" t="s">
        <v>35</v>
      </c>
      <c r="F8" s="22">
        <v>100</v>
      </c>
      <c r="G8" s="23">
        <v>1018</v>
      </c>
      <c r="H8" s="24">
        <f>(G9*Ponderacion!F1)/G8</f>
        <v>67.583497053045193</v>
      </c>
      <c r="I8" s="22">
        <v>5</v>
      </c>
      <c r="J8" s="22">
        <f>VLOOKUP(D8,Ponderacion!A2:C4,2,0)</f>
        <v>3</v>
      </c>
      <c r="K8" s="22">
        <f>VLOOKUP(D8,Ponderacion!A2:C4,3,0)</f>
        <v>5</v>
      </c>
      <c r="L8" s="25">
        <f t="shared" ref="L8:L39" si="0">SUM(H8:K8)</f>
        <v>80.583497053045193</v>
      </c>
      <c r="M8" s="22"/>
      <c r="N8" s="26"/>
    </row>
    <row r="9" spans="1:14" ht="51" x14ac:dyDescent="0.25">
      <c r="A9" s="27">
        <v>1</v>
      </c>
      <c r="B9" s="28">
        <v>100</v>
      </c>
      <c r="C9" s="28">
        <v>1</v>
      </c>
      <c r="D9" s="28" t="s">
        <v>32</v>
      </c>
      <c r="E9" s="28" t="s">
        <v>36</v>
      </c>
      <c r="F9" s="28">
        <v>100</v>
      </c>
      <c r="G9" s="29">
        <v>860</v>
      </c>
      <c r="H9" s="30">
        <f>(G9*Ponderacion!F1)/G9</f>
        <v>80</v>
      </c>
      <c r="I9" s="28">
        <v>12</v>
      </c>
      <c r="J9" s="28">
        <f>VLOOKUP(D9,Ponderacion!A2:C4,2,0)</f>
        <v>3</v>
      </c>
      <c r="K9" s="28">
        <f>VLOOKUP(D9,Ponderacion!A2:C4,3,0)</f>
        <v>5</v>
      </c>
      <c r="L9" s="40">
        <f t="shared" si="0"/>
        <v>100</v>
      </c>
      <c r="M9" s="41">
        <f>F9</f>
        <v>100</v>
      </c>
      <c r="N9" s="42">
        <f>G9*M9</f>
        <v>86000</v>
      </c>
    </row>
    <row r="10" spans="1:14" ht="25.5" x14ac:dyDescent="0.25">
      <c r="A10" s="27">
        <v>1</v>
      </c>
      <c r="B10" s="28">
        <v>100</v>
      </c>
      <c r="C10" s="28">
        <v>1</v>
      </c>
      <c r="D10" s="28" t="s">
        <v>33</v>
      </c>
      <c r="E10" s="28" t="s">
        <v>37</v>
      </c>
      <c r="F10" s="28">
        <v>100</v>
      </c>
      <c r="G10" s="29">
        <v>1400</v>
      </c>
      <c r="H10" s="30">
        <f>(G9*Ponderacion!F1)/G10</f>
        <v>49.142857142857146</v>
      </c>
      <c r="I10" s="28">
        <v>5</v>
      </c>
      <c r="J10" s="28">
        <f>VLOOKUP(D10,Ponderacion!A2:C4,2,0)</f>
        <v>1.5</v>
      </c>
      <c r="K10" s="28">
        <f>VLOOKUP(D10,Ponderacion!A2:C4,3,0)</f>
        <v>5</v>
      </c>
      <c r="L10" s="31">
        <f t="shared" si="0"/>
        <v>60.642857142857146</v>
      </c>
      <c r="M10" s="28"/>
      <c r="N10" s="34"/>
    </row>
    <row r="11" spans="1:14" ht="25.5" x14ac:dyDescent="0.25">
      <c r="A11" s="35">
        <v>2</v>
      </c>
      <c r="B11" s="28">
        <v>500</v>
      </c>
      <c r="C11" s="28">
        <v>1</v>
      </c>
      <c r="D11" s="28" t="s">
        <v>31</v>
      </c>
      <c r="E11" s="28" t="s">
        <v>38</v>
      </c>
      <c r="F11" s="28">
        <v>500</v>
      </c>
      <c r="G11" s="29">
        <v>34</v>
      </c>
      <c r="H11" s="30">
        <f>(G11*Ponderacion!F1)/G11</f>
        <v>80</v>
      </c>
      <c r="I11" s="28">
        <v>12</v>
      </c>
      <c r="J11" s="28">
        <f>VLOOKUP(D11,Ponderacion!A2:C4,2,0)</f>
        <v>3</v>
      </c>
      <c r="K11" s="28">
        <f>VLOOKUP(D11,Ponderacion!A2:C4,3,0)</f>
        <v>5</v>
      </c>
      <c r="L11" s="40">
        <f t="shared" si="0"/>
        <v>100</v>
      </c>
      <c r="M11" s="41">
        <f>F11</f>
        <v>500</v>
      </c>
      <c r="N11" s="42">
        <f>G11*M11</f>
        <v>17000</v>
      </c>
    </row>
    <row r="12" spans="1:14" ht="25.5" x14ac:dyDescent="0.25">
      <c r="A12" s="27">
        <v>2</v>
      </c>
      <c r="B12" s="28">
        <v>500</v>
      </c>
      <c r="C12" s="28">
        <v>1</v>
      </c>
      <c r="D12" s="28" t="s">
        <v>32</v>
      </c>
      <c r="E12" s="28" t="s">
        <v>39</v>
      </c>
      <c r="F12" s="28">
        <v>500</v>
      </c>
      <c r="G12" s="29">
        <v>291.86</v>
      </c>
      <c r="H12" s="30">
        <f>(G11*Ponderacion!F1)/G12</f>
        <v>9.3195367642020148</v>
      </c>
      <c r="I12" s="28">
        <v>5</v>
      </c>
      <c r="J12" s="28">
        <f>VLOOKUP(D12,Ponderacion!A2:C4,2,0)</f>
        <v>3</v>
      </c>
      <c r="K12" s="28">
        <f>VLOOKUP(D12,Ponderacion!A2:C4,3,0)</f>
        <v>5</v>
      </c>
      <c r="L12" s="31">
        <f t="shared" si="0"/>
        <v>22.319536764202013</v>
      </c>
      <c r="M12" s="28"/>
      <c r="N12" s="34"/>
    </row>
    <row r="13" spans="1:14" ht="25.5" x14ac:dyDescent="0.25">
      <c r="A13" s="27">
        <v>2</v>
      </c>
      <c r="B13" s="28">
        <v>500</v>
      </c>
      <c r="C13" s="28">
        <v>1</v>
      </c>
      <c r="D13" s="28" t="s">
        <v>33</v>
      </c>
      <c r="E13" s="28" t="s">
        <v>38</v>
      </c>
      <c r="F13" s="28">
        <v>500</v>
      </c>
      <c r="G13" s="29">
        <v>50</v>
      </c>
      <c r="H13" s="30">
        <f>(G11*Ponderacion!F1)/G13</f>
        <v>54.4</v>
      </c>
      <c r="I13" s="28">
        <v>5</v>
      </c>
      <c r="J13" s="28">
        <f>VLOOKUP(D13,Ponderacion!A2:C4,2,0)</f>
        <v>1.5</v>
      </c>
      <c r="K13" s="28">
        <f>VLOOKUP(D13,Ponderacion!A2:C4,3,0)</f>
        <v>5</v>
      </c>
      <c r="L13" s="31">
        <f t="shared" si="0"/>
        <v>65.900000000000006</v>
      </c>
      <c r="M13" s="28"/>
      <c r="N13" s="34"/>
    </row>
    <row r="14" spans="1:14" ht="25.5" x14ac:dyDescent="0.25">
      <c r="A14" s="35">
        <v>3</v>
      </c>
      <c r="B14" s="28">
        <v>300</v>
      </c>
      <c r="C14" s="28">
        <v>1</v>
      </c>
      <c r="D14" s="28" t="s">
        <v>31</v>
      </c>
      <c r="E14" s="28" t="s">
        <v>40</v>
      </c>
      <c r="F14" s="28">
        <v>300</v>
      </c>
      <c r="G14" s="29">
        <v>18</v>
      </c>
      <c r="H14" s="30">
        <f>(G15*Ponderacion!F1)/G14</f>
        <v>66.666666666666671</v>
      </c>
      <c r="I14" s="28">
        <v>5</v>
      </c>
      <c r="J14" s="28">
        <f>VLOOKUP(D14,Ponderacion!A2:C4,2,0)</f>
        <v>3</v>
      </c>
      <c r="K14" s="28">
        <f>VLOOKUP(D14,Ponderacion!A2:C4,3,0)</f>
        <v>5</v>
      </c>
      <c r="L14" s="31">
        <f t="shared" si="0"/>
        <v>79.666666666666671</v>
      </c>
      <c r="M14" s="28"/>
      <c r="N14" s="34"/>
    </row>
    <row r="15" spans="1:14" ht="25.5" x14ac:dyDescent="0.25">
      <c r="A15" s="27">
        <v>3</v>
      </c>
      <c r="B15" s="28">
        <v>300</v>
      </c>
      <c r="C15" s="28">
        <v>1</v>
      </c>
      <c r="D15" s="28" t="s">
        <v>32</v>
      </c>
      <c r="E15" s="28" t="s">
        <v>41</v>
      </c>
      <c r="F15" s="28">
        <v>300</v>
      </c>
      <c r="G15" s="29">
        <v>15</v>
      </c>
      <c r="H15" s="30">
        <f>(G15*Ponderacion!F1)/G15</f>
        <v>80</v>
      </c>
      <c r="I15" s="28">
        <v>12</v>
      </c>
      <c r="J15" s="28">
        <f>VLOOKUP(D15,Ponderacion!A2:C4,2,0)</f>
        <v>3</v>
      </c>
      <c r="K15" s="28">
        <f>VLOOKUP(D15,Ponderacion!A2:C4,3,0)</f>
        <v>5</v>
      </c>
      <c r="L15" s="40">
        <f t="shared" si="0"/>
        <v>100</v>
      </c>
      <c r="M15" s="41">
        <f>F15</f>
        <v>300</v>
      </c>
      <c r="N15" s="42">
        <f>G15*M15</f>
        <v>4500</v>
      </c>
    </row>
    <row r="16" spans="1:14" ht="25.5" x14ac:dyDescent="0.25">
      <c r="A16" s="27">
        <v>3</v>
      </c>
      <c r="B16" s="28">
        <v>300</v>
      </c>
      <c r="C16" s="28">
        <v>1</v>
      </c>
      <c r="D16" s="28" t="s">
        <v>33</v>
      </c>
      <c r="E16" s="28" t="s">
        <v>42</v>
      </c>
      <c r="F16" s="28">
        <v>300</v>
      </c>
      <c r="G16" s="29">
        <v>30</v>
      </c>
      <c r="H16" s="30">
        <f>(G15*Ponderacion!F1)/G16</f>
        <v>40</v>
      </c>
      <c r="I16" s="28">
        <v>5</v>
      </c>
      <c r="J16" s="28">
        <f>VLOOKUP(D16,Ponderacion!A2:C4,2,0)</f>
        <v>1.5</v>
      </c>
      <c r="K16" s="28">
        <f>VLOOKUP(D16,Ponderacion!A2:C4,3,0)</f>
        <v>5</v>
      </c>
      <c r="L16" s="31">
        <f t="shared" si="0"/>
        <v>51.5</v>
      </c>
      <c r="M16" s="28"/>
      <c r="N16" s="34"/>
    </row>
    <row r="17" spans="1:14" ht="25.5" x14ac:dyDescent="0.25">
      <c r="A17" s="35">
        <v>4</v>
      </c>
      <c r="B17" s="28">
        <v>100</v>
      </c>
      <c r="C17" s="28">
        <v>1</v>
      </c>
      <c r="D17" s="28" t="s">
        <v>31</v>
      </c>
      <c r="E17" s="28" t="s">
        <v>43</v>
      </c>
      <c r="F17" s="28">
        <v>100</v>
      </c>
      <c r="G17" s="29">
        <v>1362.5</v>
      </c>
      <c r="H17" s="30">
        <f>(G18*Ponderacion!F1)/G17</f>
        <v>58.656880733944952</v>
      </c>
      <c r="I17" s="28">
        <v>5</v>
      </c>
      <c r="J17" s="28">
        <f>VLOOKUP(D17,Ponderacion!A2:C4,2,0)</f>
        <v>3</v>
      </c>
      <c r="K17" s="28">
        <f>VLOOKUP(D17,Ponderacion!A2:C4,3,0)</f>
        <v>5</v>
      </c>
      <c r="L17" s="31">
        <f t="shared" si="0"/>
        <v>71.656880733944945</v>
      </c>
      <c r="M17" s="28"/>
      <c r="N17" s="34"/>
    </row>
    <row r="18" spans="1:14" ht="51" x14ac:dyDescent="0.25">
      <c r="A18" s="27">
        <v>4</v>
      </c>
      <c r="B18" s="28">
        <v>100</v>
      </c>
      <c r="C18" s="28">
        <v>1</v>
      </c>
      <c r="D18" s="28" t="s">
        <v>32</v>
      </c>
      <c r="E18" s="28" t="s">
        <v>44</v>
      </c>
      <c r="F18" s="28">
        <v>100</v>
      </c>
      <c r="G18" s="29">
        <v>999</v>
      </c>
      <c r="H18" s="30">
        <f>(G18*Ponderacion!F1)/G18</f>
        <v>80</v>
      </c>
      <c r="I18" s="28">
        <v>12</v>
      </c>
      <c r="J18" s="28">
        <f>VLOOKUP(D18,Ponderacion!A2:C4,2,0)</f>
        <v>3</v>
      </c>
      <c r="K18" s="28">
        <f>VLOOKUP(D18,Ponderacion!A2:C4,3,0)</f>
        <v>5</v>
      </c>
      <c r="L18" s="40">
        <f t="shared" si="0"/>
        <v>100</v>
      </c>
      <c r="M18" s="41">
        <f>F18</f>
        <v>100</v>
      </c>
      <c r="N18" s="42">
        <f>G18*M18</f>
        <v>99900</v>
      </c>
    </row>
    <row r="19" spans="1:14" ht="25.5" x14ac:dyDescent="0.25">
      <c r="A19" s="27">
        <v>4</v>
      </c>
      <c r="B19" s="28">
        <v>100</v>
      </c>
      <c r="C19" s="28">
        <v>1</v>
      </c>
      <c r="D19" s="28" t="s">
        <v>33</v>
      </c>
      <c r="E19" s="28" t="s">
        <v>45</v>
      </c>
      <c r="F19" s="28">
        <v>100</v>
      </c>
      <c r="G19" s="29">
        <v>1600</v>
      </c>
      <c r="H19" s="30">
        <f>(G18*Ponderacion!F1)/G19</f>
        <v>49.95</v>
      </c>
      <c r="I19" s="28">
        <v>5</v>
      </c>
      <c r="J19" s="28">
        <f>VLOOKUP(D19,Ponderacion!A2:C4,2,0)</f>
        <v>1.5</v>
      </c>
      <c r="K19" s="28">
        <f>VLOOKUP(D19,Ponderacion!A2:C4,3,0)</f>
        <v>5</v>
      </c>
      <c r="L19" s="31">
        <f t="shared" si="0"/>
        <v>61.45</v>
      </c>
      <c r="M19" s="28"/>
      <c r="N19" s="34"/>
    </row>
    <row r="20" spans="1:14" ht="25.5" x14ac:dyDescent="0.25">
      <c r="A20" s="35">
        <v>5</v>
      </c>
      <c r="B20" s="28">
        <v>200</v>
      </c>
      <c r="C20" s="28">
        <v>1</v>
      </c>
      <c r="D20" s="28" t="s">
        <v>31</v>
      </c>
      <c r="E20" s="28" t="s">
        <v>46</v>
      </c>
      <c r="F20" s="28">
        <v>200</v>
      </c>
      <c r="G20" s="29">
        <v>113</v>
      </c>
      <c r="H20" s="30">
        <f>(G21*Ponderacion!F1)/G20</f>
        <v>50.223008849557523</v>
      </c>
      <c r="I20" s="28">
        <v>5</v>
      </c>
      <c r="J20" s="28">
        <f>VLOOKUP(D20,Ponderacion!A2:C4,2,0)</f>
        <v>3</v>
      </c>
      <c r="K20" s="28">
        <f>VLOOKUP(D20,Ponderacion!A2:C4,3,0)</f>
        <v>5</v>
      </c>
      <c r="L20" s="31">
        <f t="shared" si="0"/>
        <v>63.223008849557523</v>
      </c>
      <c r="M20" s="28"/>
      <c r="N20" s="34"/>
    </row>
    <row r="21" spans="1:14" ht="38.25" x14ac:dyDescent="0.25">
      <c r="A21" s="27">
        <v>5</v>
      </c>
      <c r="B21" s="28">
        <v>200</v>
      </c>
      <c r="C21" s="28">
        <v>1</v>
      </c>
      <c r="D21" s="28" t="s">
        <v>32</v>
      </c>
      <c r="E21" s="28" t="s">
        <v>47</v>
      </c>
      <c r="F21" s="28">
        <v>200</v>
      </c>
      <c r="G21" s="29">
        <v>70.94</v>
      </c>
      <c r="H21" s="30">
        <f>(G21*Ponderacion!F1)/G21</f>
        <v>80</v>
      </c>
      <c r="I21" s="28">
        <v>12</v>
      </c>
      <c r="J21" s="28">
        <f>VLOOKUP(D21,Ponderacion!A2:C4,2,0)</f>
        <v>3</v>
      </c>
      <c r="K21" s="28">
        <f>VLOOKUP(D21,Ponderacion!A2:C4,3,0)</f>
        <v>5</v>
      </c>
      <c r="L21" s="40">
        <f t="shared" si="0"/>
        <v>100</v>
      </c>
      <c r="M21" s="41">
        <f>F21</f>
        <v>200</v>
      </c>
      <c r="N21" s="42">
        <f>G21*M21</f>
        <v>14188</v>
      </c>
    </row>
    <row r="22" spans="1:14" x14ac:dyDescent="0.25">
      <c r="A22" s="27">
        <v>5</v>
      </c>
      <c r="B22" s="28">
        <v>200</v>
      </c>
      <c r="C22" s="28">
        <v>1</v>
      </c>
      <c r="D22" s="28" t="s">
        <v>33</v>
      </c>
      <c r="E22" s="28" t="s">
        <v>48</v>
      </c>
      <c r="F22" s="28">
        <v>200</v>
      </c>
      <c r="G22" s="29">
        <v>130</v>
      </c>
      <c r="H22" s="30">
        <f>(G21*Ponderacion!F1)/G22</f>
        <v>43.655384615384612</v>
      </c>
      <c r="I22" s="28">
        <v>5</v>
      </c>
      <c r="J22" s="28">
        <f>VLOOKUP(D22,Ponderacion!A2:C4,2,0)</f>
        <v>1.5</v>
      </c>
      <c r="K22" s="28">
        <f>VLOOKUP(D22,Ponderacion!A2:C4,3,0)</f>
        <v>5</v>
      </c>
      <c r="L22" s="31">
        <f t="shared" si="0"/>
        <v>55.155384615384612</v>
      </c>
      <c r="M22" s="28"/>
      <c r="N22" s="34"/>
    </row>
    <row r="23" spans="1:14" ht="25.5" x14ac:dyDescent="0.25">
      <c r="A23" s="35">
        <v>6</v>
      </c>
      <c r="B23" s="28">
        <v>20</v>
      </c>
      <c r="C23" s="28">
        <v>1</v>
      </c>
      <c r="D23" s="28" t="s">
        <v>31</v>
      </c>
      <c r="E23" s="28" t="s">
        <v>49</v>
      </c>
      <c r="F23" s="28">
        <v>20</v>
      </c>
      <c r="G23" s="29">
        <v>3504</v>
      </c>
      <c r="H23" s="30">
        <f>(G24*Ponderacion!F1)/G23</f>
        <v>69.911872146118711</v>
      </c>
      <c r="I23" s="28">
        <v>5</v>
      </c>
      <c r="J23" s="28">
        <f>VLOOKUP(D23,Ponderacion!A2:C4,2,0)</f>
        <v>3</v>
      </c>
      <c r="K23" s="28">
        <f>VLOOKUP(D23,Ponderacion!A2:C4,3,0)</f>
        <v>5</v>
      </c>
      <c r="L23" s="31">
        <f t="shared" si="0"/>
        <v>82.911872146118711</v>
      </c>
      <c r="M23" s="28"/>
      <c r="N23" s="34"/>
    </row>
    <row r="24" spans="1:14" ht="25.5" x14ac:dyDescent="0.25">
      <c r="A24" s="27">
        <v>6</v>
      </c>
      <c r="B24" s="28">
        <v>20</v>
      </c>
      <c r="C24" s="28">
        <v>1</v>
      </c>
      <c r="D24" s="28" t="s">
        <v>32</v>
      </c>
      <c r="E24" s="28" t="s">
        <v>50</v>
      </c>
      <c r="F24" s="28">
        <v>20</v>
      </c>
      <c r="G24" s="29">
        <v>3062.14</v>
      </c>
      <c r="H24" s="30">
        <f>(G24*Ponderacion!F1)/G24</f>
        <v>80</v>
      </c>
      <c r="I24" s="28">
        <v>12</v>
      </c>
      <c r="J24" s="28">
        <f>VLOOKUP(D24,Ponderacion!A2:C4,2,0)</f>
        <v>3</v>
      </c>
      <c r="K24" s="28">
        <f>VLOOKUP(D24,Ponderacion!A2:C4,3,0)</f>
        <v>5</v>
      </c>
      <c r="L24" s="40">
        <f t="shared" si="0"/>
        <v>100</v>
      </c>
      <c r="M24" s="41">
        <f>F24</f>
        <v>20</v>
      </c>
      <c r="N24" s="42">
        <f>G24*M24</f>
        <v>61242.799999999996</v>
      </c>
    </row>
    <row r="25" spans="1:14" ht="38.25" x14ac:dyDescent="0.25">
      <c r="A25" s="27">
        <v>6</v>
      </c>
      <c r="B25" s="28">
        <v>20</v>
      </c>
      <c r="C25" s="28">
        <v>1</v>
      </c>
      <c r="D25" s="28" t="s">
        <v>33</v>
      </c>
      <c r="E25" s="28" t="s">
        <v>51</v>
      </c>
      <c r="F25" s="28">
        <v>20</v>
      </c>
      <c r="G25" s="29">
        <v>4000</v>
      </c>
      <c r="H25" s="30">
        <f>(G24*Ponderacion!F1)/G25</f>
        <v>61.242799999999995</v>
      </c>
      <c r="I25" s="28">
        <v>5</v>
      </c>
      <c r="J25" s="28">
        <f>VLOOKUP(D25,Ponderacion!A2:C4,2,0)</f>
        <v>1.5</v>
      </c>
      <c r="K25" s="28">
        <f>VLOOKUP(D25,Ponderacion!A2:C4,3,0)</f>
        <v>5</v>
      </c>
      <c r="L25" s="31">
        <f t="shared" si="0"/>
        <v>72.742799999999988</v>
      </c>
      <c r="M25" s="28"/>
      <c r="N25" s="34"/>
    </row>
    <row r="26" spans="1:14" ht="38.25" x14ac:dyDescent="0.25">
      <c r="A26" s="35">
        <v>7</v>
      </c>
      <c r="B26" s="28">
        <v>250</v>
      </c>
      <c r="C26" s="28">
        <v>1</v>
      </c>
      <c r="D26" s="28" t="s">
        <v>31</v>
      </c>
      <c r="E26" s="28" t="s">
        <v>52</v>
      </c>
      <c r="F26" s="28">
        <v>250</v>
      </c>
      <c r="G26" s="29">
        <v>93</v>
      </c>
      <c r="H26" s="30">
        <f>(G27*Ponderacion!F1)/G26</f>
        <v>59.784946236559136</v>
      </c>
      <c r="I26" s="28">
        <v>5</v>
      </c>
      <c r="J26" s="28">
        <f>VLOOKUP(D26,Ponderacion!A2:C4,2,0)</f>
        <v>3</v>
      </c>
      <c r="K26" s="28">
        <f>VLOOKUP(D26,Ponderacion!A2:C4,3,0)</f>
        <v>5</v>
      </c>
      <c r="L26" s="31">
        <f t="shared" si="0"/>
        <v>72.784946236559136</v>
      </c>
      <c r="M26" s="28"/>
      <c r="N26" s="34"/>
    </row>
    <row r="27" spans="1:14" ht="25.5" x14ac:dyDescent="0.25">
      <c r="A27" s="27">
        <v>7</v>
      </c>
      <c r="B27" s="28">
        <v>250</v>
      </c>
      <c r="C27" s="28">
        <v>1</v>
      </c>
      <c r="D27" s="28" t="s">
        <v>32</v>
      </c>
      <c r="E27" s="28" t="s">
        <v>53</v>
      </c>
      <c r="F27" s="28">
        <v>250</v>
      </c>
      <c r="G27" s="29">
        <v>69.5</v>
      </c>
      <c r="H27" s="30">
        <f>(G27*Ponderacion!F1)/G27</f>
        <v>80</v>
      </c>
      <c r="I27" s="28">
        <v>12</v>
      </c>
      <c r="J27" s="28">
        <f>VLOOKUP(D27,Ponderacion!A2:C4,2,0)</f>
        <v>3</v>
      </c>
      <c r="K27" s="28">
        <f>VLOOKUP(D27,Ponderacion!A2:C4,3,0)</f>
        <v>5</v>
      </c>
      <c r="L27" s="40">
        <f t="shared" si="0"/>
        <v>100</v>
      </c>
      <c r="M27" s="41">
        <f>F27</f>
        <v>250</v>
      </c>
      <c r="N27" s="42">
        <f>G27*M27</f>
        <v>17375</v>
      </c>
    </row>
    <row r="28" spans="1:14" ht="38.25" x14ac:dyDescent="0.25">
      <c r="A28" s="27">
        <v>7</v>
      </c>
      <c r="B28" s="28">
        <v>250</v>
      </c>
      <c r="C28" s="28">
        <v>1</v>
      </c>
      <c r="D28" s="28" t="s">
        <v>33</v>
      </c>
      <c r="E28" s="28" t="s">
        <v>54</v>
      </c>
      <c r="F28" s="28">
        <v>250</v>
      </c>
      <c r="G28" s="29">
        <v>110</v>
      </c>
      <c r="H28" s="30">
        <f>(G27*Ponderacion!F1)/G28</f>
        <v>50.545454545454547</v>
      </c>
      <c r="I28" s="28">
        <v>5</v>
      </c>
      <c r="J28" s="28">
        <f>VLOOKUP(D28,Ponderacion!A2:C4,2,0)</f>
        <v>1.5</v>
      </c>
      <c r="K28" s="28">
        <f>VLOOKUP(D28,Ponderacion!A2:C4,3,0)</f>
        <v>5</v>
      </c>
      <c r="L28" s="31">
        <f t="shared" si="0"/>
        <v>62.045454545454547</v>
      </c>
      <c r="M28" s="28"/>
      <c r="N28" s="34"/>
    </row>
    <row r="29" spans="1:14" ht="25.5" x14ac:dyDescent="0.25">
      <c r="A29" s="35">
        <v>8</v>
      </c>
      <c r="B29" s="28">
        <v>600</v>
      </c>
      <c r="C29" s="28">
        <v>1</v>
      </c>
      <c r="D29" s="28" t="s">
        <v>31</v>
      </c>
      <c r="E29" s="28" t="s">
        <v>55</v>
      </c>
      <c r="F29" s="28">
        <v>600</v>
      </c>
      <c r="G29" s="29">
        <v>11.4</v>
      </c>
      <c r="H29" s="30">
        <f>(G30*Ponderacion!F1)/G29</f>
        <v>57.122807017543863</v>
      </c>
      <c r="I29" s="28">
        <v>5</v>
      </c>
      <c r="J29" s="28">
        <f>VLOOKUP(D29,Ponderacion!A2:C4,2,0)</f>
        <v>3</v>
      </c>
      <c r="K29" s="28">
        <f>VLOOKUP(D29,Ponderacion!A2:C4,3,0)</f>
        <v>5</v>
      </c>
      <c r="L29" s="31">
        <f t="shared" si="0"/>
        <v>70.122807017543863</v>
      </c>
      <c r="M29" s="28"/>
      <c r="N29" s="34"/>
    </row>
    <row r="30" spans="1:14" ht="38.25" x14ac:dyDescent="0.25">
      <c r="A30" s="27">
        <v>8</v>
      </c>
      <c r="B30" s="28">
        <v>600</v>
      </c>
      <c r="C30" s="28">
        <v>1</v>
      </c>
      <c r="D30" s="28" t="s">
        <v>32</v>
      </c>
      <c r="E30" s="28" t="s">
        <v>56</v>
      </c>
      <c r="F30" s="28">
        <v>600</v>
      </c>
      <c r="G30" s="29">
        <v>8.14</v>
      </c>
      <c r="H30" s="30">
        <f>(G30*Ponderacion!F1)/G30</f>
        <v>80</v>
      </c>
      <c r="I30" s="28">
        <v>12</v>
      </c>
      <c r="J30" s="28">
        <f>VLOOKUP(D30,Ponderacion!A2:C4,2,0)</f>
        <v>3</v>
      </c>
      <c r="K30" s="28">
        <f>VLOOKUP(D30,Ponderacion!A2:C4,3,0)</f>
        <v>5</v>
      </c>
      <c r="L30" s="40">
        <f t="shared" si="0"/>
        <v>100</v>
      </c>
      <c r="M30" s="41">
        <f>F30</f>
        <v>600</v>
      </c>
      <c r="N30" s="42">
        <f>G30*M30</f>
        <v>4884</v>
      </c>
    </row>
    <row r="31" spans="1:14" ht="38.25" x14ac:dyDescent="0.25">
      <c r="A31" s="27">
        <v>8</v>
      </c>
      <c r="B31" s="28">
        <v>600</v>
      </c>
      <c r="C31" s="28">
        <v>1</v>
      </c>
      <c r="D31" s="28" t="s">
        <v>33</v>
      </c>
      <c r="E31" s="28" t="s">
        <v>57</v>
      </c>
      <c r="F31" s="28">
        <v>600</v>
      </c>
      <c r="G31" s="29">
        <v>21</v>
      </c>
      <c r="H31" s="30">
        <f>(G30*Ponderacion!F1)/G31</f>
        <v>31.009523809523813</v>
      </c>
      <c r="I31" s="28">
        <v>5</v>
      </c>
      <c r="J31" s="28">
        <f>VLOOKUP(D31,Ponderacion!A2:C4,2,0)</f>
        <v>1.5</v>
      </c>
      <c r="K31" s="28">
        <f>VLOOKUP(D31,Ponderacion!A2:C4,3,0)</f>
        <v>5</v>
      </c>
      <c r="L31" s="31">
        <f t="shared" si="0"/>
        <v>42.509523809523813</v>
      </c>
      <c r="M31" s="28"/>
      <c r="N31" s="34"/>
    </row>
    <row r="32" spans="1:14" ht="25.5" x14ac:dyDescent="0.25">
      <c r="A32" s="35">
        <v>9</v>
      </c>
      <c r="B32" s="28">
        <v>1200</v>
      </c>
      <c r="C32" s="28">
        <v>1</v>
      </c>
      <c r="D32" s="28" t="s">
        <v>31</v>
      </c>
      <c r="E32" s="28" t="s">
        <v>58</v>
      </c>
      <c r="F32" s="28">
        <v>1200</v>
      </c>
      <c r="G32" s="29">
        <v>10.199999999999999</v>
      </c>
      <c r="H32" s="30">
        <f>(G33*Ponderacion!F1)/G32</f>
        <v>53.333333333333336</v>
      </c>
      <c r="I32" s="28">
        <v>5</v>
      </c>
      <c r="J32" s="28">
        <f>VLOOKUP(D32,Ponderacion!A2:C4,2,0)</f>
        <v>3</v>
      </c>
      <c r="K32" s="28">
        <f>VLOOKUP(D32,Ponderacion!A2:C4,3,0)</f>
        <v>5</v>
      </c>
      <c r="L32" s="31">
        <f t="shared" si="0"/>
        <v>66.333333333333343</v>
      </c>
      <c r="M32" s="28"/>
      <c r="N32" s="34"/>
    </row>
    <row r="33" spans="1:14" ht="38.25" x14ac:dyDescent="0.25">
      <c r="A33" s="27">
        <v>9</v>
      </c>
      <c r="B33" s="28">
        <v>1200</v>
      </c>
      <c r="C33" s="28">
        <v>1</v>
      </c>
      <c r="D33" s="28" t="s">
        <v>32</v>
      </c>
      <c r="E33" s="28" t="s">
        <v>59</v>
      </c>
      <c r="F33" s="28">
        <v>1200</v>
      </c>
      <c r="G33" s="29">
        <v>6.8</v>
      </c>
      <c r="H33" s="30">
        <f>(G33*Ponderacion!F1)/G33</f>
        <v>80</v>
      </c>
      <c r="I33" s="28">
        <v>12</v>
      </c>
      <c r="J33" s="28">
        <f>VLOOKUP(D33,Ponderacion!A2:C4,2,0)</f>
        <v>3</v>
      </c>
      <c r="K33" s="28">
        <f>VLOOKUP(D33,Ponderacion!A2:C4,3,0)</f>
        <v>5</v>
      </c>
      <c r="L33" s="40">
        <f t="shared" si="0"/>
        <v>100</v>
      </c>
      <c r="M33" s="41">
        <f>F33</f>
        <v>1200</v>
      </c>
      <c r="N33" s="42">
        <f>G33*M33</f>
        <v>8160</v>
      </c>
    </row>
    <row r="34" spans="1:14" ht="38.25" x14ac:dyDescent="0.25">
      <c r="A34" s="27">
        <v>9</v>
      </c>
      <c r="B34" s="28">
        <v>1200</v>
      </c>
      <c r="C34" s="28">
        <v>1</v>
      </c>
      <c r="D34" s="28" t="s">
        <v>33</v>
      </c>
      <c r="E34" s="28" t="s">
        <v>59</v>
      </c>
      <c r="F34" s="28">
        <v>1200</v>
      </c>
      <c r="G34" s="29">
        <v>18</v>
      </c>
      <c r="H34" s="30">
        <f>(G33*Ponderacion!F1)/G34</f>
        <v>30.222222222222221</v>
      </c>
      <c r="I34" s="28">
        <v>5</v>
      </c>
      <c r="J34" s="28">
        <f>VLOOKUP(D34,Ponderacion!A2:C4,2,0)</f>
        <v>1.5</v>
      </c>
      <c r="K34" s="28">
        <f>VLOOKUP(D34,Ponderacion!A2:C4,3,0)</f>
        <v>5</v>
      </c>
      <c r="L34" s="31">
        <f t="shared" si="0"/>
        <v>41.722222222222221</v>
      </c>
      <c r="M34" s="28"/>
      <c r="N34" s="34"/>
    </row>
    <row r="35" spans="1:14" ht="25.5" x14ac:dyDescent="0.25">
      <c r="A35" s="35">
        <v>10</v>
      </c>
      <c r="B35" s="28">
        <v>250</v>
      </c>
      <c r="C35" s="28">
        <v>1</v>
      </c>
      <c r="D35" s="28" t="s">
        <v>31</v>
      </c>
      <c r="E35" s="28" t="s">
        <v>60</v>
      </c>
      <c r="F35" s="28">
        <v>250</v>
      </c>
      <c r="G35" s="29">
        <v>300</v>
      </c>
      <c r="H35" s="30">
        <f>(G37*Ponderacion!F1)/G35</f>
        <v>69.333333333333329</v>
      </c>
      <c r="I35" s="28">
        <v>5</v>
      </c>
      <c r="J35" s="28">
        <f>VLOOKUP(D35,Ponderacion!A2:C4,2,0)</f>
        <v>3</v>
      </c>
      <c r="K35" s="28">
        <f>VLOOKUP(D35,Ponderacion!A2:C4,3,0)</f>
        <v>5</v>
      </c>
      <c r="L35" s="31">
        <f t="shared" si="0"/>
        <v>82.333333333333329</v>
      </c>
      <c r="M35" s="28"/>
      <c r="N35" s="34"/>
    </row>
    <row r="36" spans="1:14" ht="51" x14ac:dyDescent="0.25">
      <c r="A36" s="27">
        <v>10</v>
      </c>
      <c r="B36" s="28">
        <v>250</v>
      </c>
      <c r="C36" s="28">
        <v>1</v>
      </c>
      <c r="D36" s="28" t="s">
        <v>32</v>
      </c>
      <c r="E36" s="28" t="s">
        <v>61</v>
      </c>
      <c r="F36" s="28">
        <v>250</v>
      </c>
      <c r="G36" s="29">
        <v>288.98</v>
      </c>
      <c r="H36" s="30">
        <f>(G37*Ponderacion!F1)/G36</f>
        <v>71.977299467091143</v>
      </c>
      <c r="I36" s="28">
        <v>12</v>
      </c>
      <c r="J36" s="28">
        <f>VLOOKUP(D36,Ponderacion!A2:C4,2,0)</f>
        <v>3</v>
      </c>
      <c r="K36" s="28">
        <f>VLOOKUP(D36,Ponderacion!A2:C4,3,0)</f>
        <v>5</v>
      </c>
      <c r="L36" s="40">
        <f t="shared" si="0"/>
        <v>91.977299467091143</v>
      </c>
      <c r="M36" s="43">
        <f>+F36</f>
        <v>250</v>
      </c>
      <c r="N36" s="44">
        <f>+G36*M36</f>
        <v>72245</v>
      </c>
    </row>
    <row r="37" spans="1:14" ht="51" x14ac:dyDescent="0.25">
      <c r="A37" s="27">
        <v>10</v>
      </c>
      <c r="B37" s="28">
        <v>250</v>
      </c>
      <c r="C37" s="28">
        <v>1</v>
      </c>
      <c r="D37" s="28" t="s">
        <v>33</v>
      </c>
      <c r="E37" s="28" t="s">
        <v>61</v>
      </c>
      <c r="F37" s="28">
        <v>250</v>
      </c>
      <c r="G37" s="29">
        <v>260</v>
      </c>
      <c r="H37" s="30">
        <f>(G37*Ponderacion!F1)/G37</f>
        <v>80</v>
      </c>
      <c r="I37" s="28">
        <v>5</v>
      </c>
      <c r="J37" s="28">
        <f>VLOOKUP(D37,Ponderacion!A2:C4,2,0)</f>
        <v>1.5</v>
      </c>
      <c r="K37" s="28">
        <f>VLOOKUP(D37,Ponderacion!A2:C4,3,0)</f>
        <v>5</v>
      </c>
      <c r="L37" s="31">
        <f t="shared" si="0"/>
        <v>91.5</v>
      </c>
      <c r="M37" s="32"/>
      <c r="N37" s="33"/>
    </row>
    <row r="38" spans="1:14" ht="25.5" x14ac:dyDescent="0.25">
      <c r="A38" s="35">
        <v>11</v>
      </c>
      <c r="B38" s="28">
        <v>30</v>
      </c>
      <c r="C38" s="28">
        <v>1</v>
      </c>
      <c r="D38" s="28" t="s">
        <v>31</v>
      </c>
      <c r="E38" s="28" t="s">
        <v>62</v>
      </c>
      <c r="F38" s="28">
        <v>30</v>
      </c>
      <c r="G38" s="29">
        <v>253</v>
      </c>
      <c r="H38" s="30">
        <f>(G39*Ponderacion!F1)/G38</f>
        <v>41.928853754940711</v>
      </c>
      <c r="I38" s="28">
        <v>5</v>
      </c>
      <c r="J38" s="28">
        <f>VLOOKUP(D38,Ponderacion!A2:C4,2,0)</f>
        <v>3</v>
      </c>
      <c r="K38" s="28">
        <f>VLOOKUP(D38,Ponderacion!A2:C4,3,0)</f>
        <v>5</v>
      </c>
      <c r="L38" s="31">
        <f t="shared" si="0"/>
        <v>54.928853754940711</v>
      </c>
      <c r="M38" s="28"/>
      <c r="N38" s="34"/>
    </row>
    <row r="39" spans="1:14" ht="38.25" x14ac:dyDescent="0.25">
      <c r="A39" s="27">
        <v>11</v>
      </c>
      <c r="B39" s="28">
        <v>30</v>
      </c>
      <c r="C39" s="28">
        <v>1</v>
      </c>
      <c r="D39" s="28" t="s">
        <v>32</v>
      </c>
      <c r="E39" s="28" t="s">
        <v>63</v>
      </c>
      <c r="F39" s="28">
        <v>30</v>
      </c>
      <c r="G39" s="29">
        <v>132.6</v>
      </c>
      <c r="H39" s="30">
        <f>(G39*Ponderacion!F1)/G39</f>
        <v>80</v>
      </c>
      <c r="I39" s="28">
        <v>12</v>
      </c>
      <c r="J39" s="28">
        <f>VLOOKUP(D39,Ponderacion!A2:C4,2,0)</f>
        <v>3</v>
      </c>
      <c r="K39" s="28">
        <f>VLOOKUP(D39,Ponderacion!A2:C4,3,0)</f>
        <v>5</v>
      </c>
      <c r="L39" s="40">
        <f t="shared" si="0"/>
        <v>100</v>
      </c>
      <c r="M39" s="41">
        <f>F39</f>
        <v>30</v>
      </c>
      <c r="N39" s="42">
        <f>G39*M39</f>
        <v>3978</v>
      </c>
    </row>
    <row r="40" spans="1:14" ht="38.25" x14ac:dyDescent="0.25">
      <c r="A40" s="27">
        <v>11</v>
      </c>
      <c r="B40" s="28">
        <v>30</v>
      </c>
      <c r="C40" s="28">
        <v>1</v>
      </c>
      <c r="D40" s="28" t="s">
        <v>33</v>
      </c>
      <c r="E40" s="28" t="s">
        <v>64</v>
      </c>
      <c r="F40" s="28">
        <v>30</v>
      </c>
      <c r="G40" s="29">
        <v>335</v>
      </c>
      <c r="H40" s="30">
        <f>(G39*Ponderacion!F1)/G40</f>
        <v>31.665671641791043</v>
      </c>
      <c r="I40" s="28">
        <v>5</v>
      </c>
      <c r="J40" s="28">
        <f>VLOOKUP(D40,Ponderacion!A2:C4,2,0)</f>
        <v>1.5</v>
      </c>
      <c r="K40" s="28">
        <f>VLOOKUP(D40,Ponderacion!A2:C4,3,0)</f>
        <v>5</v>
      </c>
      <c r="L40" s="31">
        <f t="shared" ref="L40:L71" si="1">SUM(H40:K40)</f>
        <v>43.165671641791043</v>
      </c>
      <c r="M40" s="28"/>
      <c r="N40" s="34"/>
    </row>
    <row r="41" spans="1:14" ht="25.5" x14ac:dyDescent="0.25">
      <c r="A41" s="35">
        <v>12</v>
      </c>
      <c r="B41" s="28">
        <v>100</v>
      </c>
      <c r="C41" s="28">
        <v>1</v>
      </c>
      <c r="D41" s="28" t="s">
        <v>31</v>
      </c>
      <c r="E41" s="28" t="s">
        <v>65</v>
      </c>
      <c r="F41" s="28">
        <v>100</v>
      </c>
      <c r="G41" s="29">
        <v>105</v>
      </c>
      <c r="H41" s="30">
        <f>(G42*Ponderacion!F1)/G41</f>
        <v>68.739047619047625</v>
      </c>
      <c r="I41" s="28">
        <v>5</v>
      </c>
      <c r="J41" s="28">
        <f>VLOOKUP(D41,Ponderacion!A2:C4,2,0)</f>
        <v>3</v>
      </c>
      <c r="K41" s="28">
        <f>VLOOKUP(D41,Ponderacion!A2:C4,3,0)</f>
        <v>5</v>
      </c>
      <c r="L41" s="31">
        <f t="shared" si="1"/>
        <v>81.739047619047625</v>
      </c>
      <c r="M41" s="28"/>
      <c r="N41" s="34"/>
    </row>
    <row r="42" spans="1:14" ht="25.5" x14ac:dyDescent="0.25">
      <c r="A42" s="27">
        <v>12</v>
      </c>
      <c r="B42" s="28">
        <v>100</v>
      </c>
      <c r="C42" s="28">
        <v>1</v>
      </c>
      <c r="D42" s="28" t="s">
        <v>32</v>
      </c>
      <c r="E42" s="28" t="s">
        <v>66</v>
      </c>
      <c r="F42" s="28">
        <v>100</v>
      </c>
      <c r="G42" s="29">
        <v>90.22</v>
      </c>
      <c r="H42" s="30">
        <f>(G42*Ponderacion!F1)/G42</f>
        <v>80</v>
      </c>
      <c r="I42" s="28">
        <v>12</v>
      </c>
      <c r="J42" s="28">
        <f>VLOOKUP(D42,Ponderacion!A2:C4,2,0)</f>
        <v>3</v>
      </c>
      <c r="K42" s="28">
        <f>VLOOKUP(D42,Ponderacion!A2:C4,3,0)</f>
        <v>5</v>
      </c>
      <c r="L42" s="40">
        <f t="shared" si="1"/>
        <v>100</v>
      </c>
      <c r="M42" s="41">
        <f>F42</f>
        <v>100</v>
      </c>
      <c r="N42" s="42">
        <f>G42*M42</f>
        <v>9022</v>
      </c>
    </row>
    <row r="43" spans="1:14" ht="25.5" x14ac:dyDescent="0.25">
      <c r="A43" s="27">
        <v>12</v>
      </c>
      <c r="B43" s="28">
        <v>100</v>
      </c>
      <c r="C43" s="28">
        <v>1</v>
      </c>
      <c r="D43" s="28" t="s">
        <v>33</v>
      </c>
      <c r="E43" s="28" t="s">
        <v>66</v>
      </c>
      <c r="F43" s="28">
        <v>100</v>
      </c>
      <c r="G43" s="29">
        <v>200</v>
      </c>
      <c r="H43" s="30">
        <f>(G42*Ponderacion!F1)/G43</f>
        <v>36.088000000000001</v>
      </c>
      <c r="I43" s="28">
        <v>5</v>
      </c>
      <c r="J43" s="28">
        <f>VLOOKUP(D43,Ponderacion!A2:C4,2,0)</f>
        <v>1.5</v>
      </c>
      <c r="K43" s="28">
        <f>VLOOKUP(D43,Ponderacion!A2:C4,3,0)</f>
        <v>5</v>
      </c>
      <c r="L43" s="31">
        <f t="shared" si="1"/>
        <v>47.588000000000001</v>
      </c>
      <c r="M43" s="28"/>
      <c r="N43" s="34"/>
    </row>
    <row r="44" spans="1:14" ht="38.25" x14ac:dyDescent="0.25">
      <c r="A44" s="35">
        <v>13</v>
      </c>
      <c r="B44" s="28">
        <v>100</v>
      </c>
      <c r="C44" s="28">
        <v>1</v>
      </c>
      <c r="D44" s="28" t="s">
        <v>31</v>
      </c>
      <c r="E44" s="28" t="s">
        <v>67</v>
      </c>
      <c r="F44" s="28">
        <v>100</v>
      </c>
      <c r="G44" s="29">
        <v>188</v>
      </c>
      <c r="H44" s="30">
        <f>(G44*Ponderacion!F1)/G44</f>
        <v>80</v>
      </c>
      <c r="I44" s="28">
        <v>12</v>
      </c>
      <c r="J44" s="28">
        <f>VLOOKUP(D44,Ponderacion!A2:C4,2,0)</f>
        <v>3</v>
      </c>
      <c r="K44" s="28">
        <f>VLOOKUP(D44,Ponderacion!A2:C4,3,0)</f>
        <v>5</v>
      </c>
      <c r="L44" s="40">
        <f t="shared" si="1"/>
        <v>100</v>
      </c>
      <c r="M44" s="41">
        <f>F44</f>
        <v>100</v>
      </c>
      <c r="N44" s="42">
        <f>G44*M44</f>
        <v>18800</v>
      </c>
    </row>
    <row r="45" spans="1:14" ht="25.5" x14ac:dyDescent="0.25">
      <c r="A45" s="27">
        <v>13</v>
      </c>
      <c r="B45" s="28">
        <v>100</v>
      </c>
      <c r="C45" s="28">
        <v>1</v>
      </c>
      <c r="D45" s="28" t="s">
        <v>33</v>
      </c>
      <c r="E45" s="28" t="s">
        <v>68</v>
      </c>
      <c r="F45" s="28">
        <v>100</v>
      </c>
      <c r="G45" s="29">
        <v>350</v>
      </c>
      <c r="H45" s="30">
        <f>(G44*Ponderacion!F1)/G45</f>
        <v>42.971428571428568</v>
      </c>
      <c r="I45" s="28">
        <v>5</v>
      </c>
      <c r="J45" s="28">
        <f>VLOOKUP(D45,Ponderacion!A2:C4,2,0)</f>
        <v>1.5</v>
      </c>
      <c r="K45" s="28">
        <f>VLOOKUP(D45,Ponderacion!A2:C4,3,0)</f>
        <v>5</v>
      </c>
      <c r="L45" s="31">
        <f t="shared" si="1"/>
        <v>54.471428571428568</v>
      </c>
      <c r="M45" s="28"/>
      <c r="N45" s="34"/>
    </row>
    <row r="46" spans="1:14" ht="38.25" x14ac:dyDescent="0.25">
      <c r="A46" s="35">
        <v>14</v>
      </c>
      <c r="B46" s="28">
        <v>15</v>
      </c>
      <c r="C46" s="28">
        <v>1</v>
      </c>
      <c r="D46" s="28" t="s">
        <v>31</v>
      </c>
      <c r="E46" s="28" t="s">
        <v>69</v>
      </c>
      <c r="F46" s="28">
        <v>15</v>
      </c>
      <c r="G46" s="29">
        <v>1440</v>
      </c>
      <c r="H46" s="30">
        <f>(G46*Ponderacion!F1)/G46</f>
        <v>80</v>
      </c>
      <c r="I46" s="28">
        <v>12</v>
      </c>
      <c r="J46" s="28">
        <f>VLOOKUP(D46,Ponderacion!A2:C4,2,0)</f>
        <v>3</v>
      </c>
      <c r="K46" s="28">
        <f>VLOOKUP(D46,Ponderacion!A2:C4,3,0)</f>
        <v>5</v>
      </c>
      <c r="L46" s="40">
        <f t="shared" si="1"/>
        <v>100</v>
      </c>
      <c r="M46" s="41">
        <f>F46</f>
        <v>15</v>
      </c>
      <c r="N46" s="42">
        <f>G46*M46</f>
        <v>21600</v>
      </c>
    </row>
    <row r="47" spans="1:14" ht="38.25" x14ac:dyDescent="0.25">
      <c r="A47" s="27">
        <v>14</v>
      </c>
      <c r="B47" s="28">
        <v>15</v>
      </c>
      <c r="C47" s="28">
        <v>1</v>
      </c>
      <c r="D47" s="28" t="s">
        <v>32</v>
      </c>
      <c r="E47" s="28" t="s">
        <v>70</v>
      </c>
      <c r="F47" s="28">
        <v>15</v>
      </c>
      <c r="G47" s="29">
        <v>1938.51</v>
      </c>
      <c r="H47" s="30">
        <f>(G46*Ponderacion!F1)/G47</f>
        <v>59.42708575142764</v>
      </c>
      <c r="I47" s="28">
        <v>5</v>
      </c>
      <c r="J47" s="28">
        <f>VLOOKUP(D47,Ponderacion!A2:C4,2,0)</f>
        <v>3</v>
      </c>
      <c r="K47" s="28">
        <f>VLOOKUP(D47,Ponderacion!A2:C4,3,0)</f>
        <v>5</v>
      </c>
      <c r="L47" s="31">
        <f t="shared" si="1"/>
        <v>72.42708575142764</v>
      </c>
      <c r="M47" s="28"/>
      <c r="N47" s="34"/>
    </row>
    <row r="48" spans="1:14" ht="38.25" x14ac:dyDescent="0.25">
      <c r="A48" s="27">
        <v>14</v>
      </c>
      <c r="B48" s="28">
        <v>15</v>
      </c>
      <c r="C48" s="28">
        <v>1</v>
      </c>
      <c r="D48" s="28" t="s">
        <v>33</v>
      </c>
      <c r="E48" s="28" t="s">
        <v>70</v>
      </c>
      <c r="F48" s="28">
        <v>15</v>
      </c>
      <c r="G48" s="29">
        <v>1900</v>
      </c>
      <c r="H48" s="30">
        <f>(G46*Ponderacion!F1)/G48</f>
        <v>60.631578947368418</v>
      </c>
      <c r="I48" s="28">
        <v>5</v>
      </c>
      <c r="J48" s="28">
        <f>VLOOKUP(D48,Ponderacion!A2:C4,2,0)</f>
        <v>1.5</v>
      </c>
      <c r="K48" s="28">
        <f>VLOOKUP(D48,Ponderacion!A2:C4,3,0)</f>
        <v>5</v>
      </c>
      <c r="L48" s="31">
        <f t="shared" si="1"/>
        <v>72.131578947368411</v>
      </c>
      <c r="M48" s="28"/>
      <c r="N48" s="34"/>
    </row>
    <row r="49" spans="1:14" ht="38.25" x14ac:dyDescent="0.25">
      <c r="A49" s="35">
        <v>15</v>
      </c>
      <c r="B49" s="28">
        <v>100</v>
      </c>
      <c r="C49" s="28">
        <v>1</v>
      </c>
      <c r="D49" s="28" t="s">
        <v>31</v>
      </c>
      <c r="E49" s="28" t="s">
        <v>71</v>
      </c>
      <c r="F49" s="28">
        <v>100</v>
      </c>
      <c r="G49" s="29">
        <v>150</v>
      </c>
      <c r="H49" s="30">
        <f>(G50*Ponderacion!F1)/G49</f>
        <v>60.965333333333326</v>
      </c>
      <c r="I49" s="28">
        <v>5</v>
      </c>
      <c r="J49" s="28">
        <f>VLOOKUP(D49,Ponderacion!A2:C4,2,0)</f>
        <v>3</v>
      </c>
      <c r="K49" s="28">
        <f>VLOOKUP(D49,Ponderacion!A2:C4,3,0)</f>
        <v>5</v>
      </c>
      <c r="L49" s="31">
        <f t="shared" si="1"/>
        <v>73.965333333333319</v>
      </c>
      <c r="M49" s="28"/>
      <c r="N49" s="34"/>
    </row>
    <row r="50" spans="1:14" ht="38.25" x14ac:dyDescent="0.25">
      <c r="A50" s="27">
        <v>15</v>
      </c>
      <c r="B50" s="28">
        <v>100</v>
      </c>
      <c r="C50" s="28">
        <v>1</v>
      </c>
      <c r="D50" s="28" t="s">
        <v>32</v>
      </c>
      <c r="E50" s="28" t="s">
        <v>72</v>
      </c>
      <c r="F50" s="28">
        <v>100</v>
      </c>
      <c r="G50" s="29">
        <v>114.31</v>
      </c>
      <c r="H50" s="30">
        <f>(G50*Ponderacion!F1)/G50</f>
        <v>79.999999999999986</v>
      </c>
      <c r="I50" s="28">
        <v>12</v>
      </c>
      <c r="J50" s="28">
        <f>VLOOKUP(D50,Ponderacion!A2:C4,2,0)</f>
        <v>3</v>
      </c>
      <c r="K50" s="28">
        <f>VLOOKUP(D50,Ponderacion!A2:C4,3,0)</f>
        <v>5</v>
      </c>
      <c r="L50" s="40">
        <f t="shared" si="1"/>
        <v>99.999999999999986</v>
      </c>
      <c r="M50" s="41">
        <f>F50</f>
        <v>100</v>
      </c>
      <c r="N50" s="42">
        <f>G50*M50</f>
        <v>11431</v>
      </c>
    </row>
    <row r="51" spans="1:14" ht="38.25" x14ac:dyDescent="0.25">
      <c r="A51" s="27">
        <v>15</v>
      </c>
      <c r="B51" s="28">
        <v>100</v>
      </c>
      <c r="C51" s="28">
        <v>1</v>
      </c>
      <c r="D51" s="28" t="s">
        <v>33</v>
      </c>
      <c r="E51" s="28" t="s">
        <v>72</v>
      </c>
      <c r="F51" s="28">
        <v>100</v>
      </c>
      <c r="G51" s="29">
        <v>350</v>
      </c>
      <c r="H51" s="30">
        <f>(G50*Ponderacion!F1)/G51</f>
        <v>26.127999999999997</v>
      </c>
      <c r="I51" s="28">
        <v>5</v>
      </c>
      <c r="J51" s="28">
        <f>VLOOKUP(D51,Ponderacion!A2:C4,2,0)</f>
        <v>1.5</v>
      </c>
      <c r="K51" s="28">
        <f>VLOOKUP(D51,Ponderacion!A2:C4,3,0)</f>
        <v>5</v>
      </c>
      <c r="L51" s="31">
        <f t="shared" si="1"/>
        <v>37.628</v>
      </c>
      <c r="M51" s="28"/>
      <c r="N51" s="34"/>
    </row>
    <row r="52" spans="1:14" ht="38.25" x14ac:dyDescent="0.25">
      <c r="A52" s="35">
        <v>16</v>
      </c>
      <c r="B52" s="28">
        <v>100</v>
      </c>
      <c r="C52" s="28">
        <v>1</v>
      </c>
      <c r="D52" s="28" t="s">
        <v>31</v>
      </c>
      <c r="E52" s="28" t="s">
        <v>73</v>
      </c>
      <c r="F52" s="28">
        <v>100</v>
      </c>
      <c r="G52" s="29">
        <v>217.5</v>
      </c>
      <c r="H52" s="30">
        <f>(G52*Ponderacion!F1)/G52</f>
        <v>80</v>
      </c>
      <c r="I52" s="28">
        <v>12</v>
      </c>
      <c r="J52" s="28">
        <f>VLOOKUP(D52,Ponderacion!A2:C4,2,0)</f>
        <v>3</v>
      </c>
      <c r="K52" s="28">
        <f>VLOOKUP(D52,Ponderacion!A2:C4,3,0)</f>
        <v>5</v>
      </c>
      <c r="L52" s="40">
        <f t="shared" si="1"/>
        <v>100</v>
      </c>
      <c r="M52" s="41">
        <f>F52</f>
        <v>100</v>
      </c>
      <c r="N52" s="42">
        <f>G52*M52</f>
        <v>21750</v>
      </c>
    </row>
    <row r="53" spans="1:14" ht="25.5" x14ac:dyDescent="0.25">
      <c r="A53" s="27">
        <v>16</v>
      </c>
      <c r="B53" s="28">
        <v>100</v>
      </c>
      <c r="C53" s="28">
        <v>1</v>
      </c>
      <c r="D53" s="28" t="s">
        <v>33</v>
      </c>
      <c r="E53" s="28" t="s">
        <v>74</v>
      </c>
      <c r="F53" s="28">
        <v>100</v>
      </c>
      <c r="G53" s="29">
        <v>580</v>
      </c>
      <c r="H53" s="30">
        <f>(G52*Ponderacion!F1)/G53</f>
        <v>30</v>
      </c>
      <c r="I53" s="28">
        <v>5</v>
      </c>
      <c r="J53" s="28">
        <f>VLOOKUP(D53,Ponderacion!A2:C4,2,0)</f>
        <v>1.5</v>
      </c>
      <c r="K53" s="28">
        <f>VLOOKUP(D53,Ponderacion!A2:C4,3,0)</f>
        <v>5</v>
      </c>
      <c r="L53" s="31">
        <f t="shared" si="1"/>
        <v>41.5</v>
      </c>
      <c r="M53" s="28"/>
      <c r="N53" s="34"/>
    </row>
    <row r="54" spans="1:14" ht="25.5" x14ac:dyDescent="0.25">
      <c r="A54" s="35">
        <v>17</v>
      </c>
      <c r="B54" s="28">
        <v>150</v>
      </c>
      <c r="C54" s="28">
        <v>1</v>
      </c>
      <c r="D54" s="28" t="s">
        <v>31</v>
      </c>
      <c r="E54" s="28" t="s">
        <v>75</v>
      </c>
      <c r="F54" s="28">
        <v>150</v>
      </c>
      <c r="G54" s="29">
        <v>47</v>
      </c>
      <c r="H54" s="30">
        <f>(G55*Ponderacion!F1)/G54</f>
        <v>51.676595744680853</v>
      </c>
      <c r="I54" s="28">
        <v>5</v>
      </c>
      <c r="J54" s="28">
        <f>VLOOKUP(D54,Ponderacion!A2:C4,2,0)</f>
        <v>3</v>
      </c>
      <c r="K54" s="28">
        <f>VLOOKUP(D54,Ponderacion!A2:C4,3,0)</f>
        <v>5</v>
      </c>
      <c r="L54" s="31">
        <f t="shared" si="1"/>
        <v>64.676595744680853</v>
      </c>
      <c r="M54" s="28"/>
      <c r="N54" s="34"/>
    </row>
    <row r="55" spans="1:14" ht="25.5" x14ac:dyDescent="0.25">
      <c r="A55" s="27">
        <v>17</v>
      </c>
      <c r="B55" s="28">
        <v>150</v>
      </c>
      <c r="C55" s="28">
        <v>1</v>
      </c>
      <c r="D55" s="28" t="s">
        <v>32</v>
      </c>
      <c r="E55" s="28" t="s">
        <v>76</v>
      </c>
      <c r="F55" s="28">
        <v>150</v>
      </c>
      <c r="G55" s="29">
        <v>30.36</v>
      </c>
      <c r="H55" s="30">
        <f>(G55*Ponderacion!F1)/G55</f>
        <v>80.000000000000014</v>
      </c>
      <c r="I55" s="28">
        <v>12</v>
      </c>
      <c r="J55" s="28">
        <f>VLOOKUP(D55,Ponderacion!A2:C4,2,0)</f>
        <v>3</v>
      </c>
      <c r="K55" s="28">
        <f>VLOOKUP(D55,Ponderacion!A2:C4,3,0)</f>
        <v>5</v>
      </c>
      <c r="L55" s="40">
        <f t="shared" si="1"/>
        <v>100.00000000000001</v>
      </c>
      <c r="M55" s="41">
        <f>F55</f>
        <v>150</v>
      </c>
      <c r="N55" s="42">
        <f>G55*M55</f>
        <v>4554</v>
      </c>
    </row>
    <row r="56" spans="1:14" ht="25.5" x14ac:dyDescent="0.25">
      <c r="A56" s="27">
        <v>17</v>
      </c>
      <c r="B56" s="28">
        <v>150</v>
      </c>
      <c r="C56" s="28">
        <v>1</v>
      </c>
      <c r="D56" s="28" t="s">
        <v>33</v>
      </c>
      <c r="E56" s="28" t="s">
        <v>76</v>
      </c>
      <c r="F56" s="28">
        <v>150</v>
      </c>
      <c r="G56" s="29">
        <v>120</v>
      </c>
      <c r="H56" s="30">
        <f>(G55*Ponderacion!F1)/G56</f>
        <v>20.240000000000002</v>
      </c>
      <c r="I56" s="28">
        <v>5</v>
      </c>
      <c r="J56" s="28">
        <f>VLOOKUP(D56,Ponderacion!A2:C4,2,0)</f>
        <v>1.5</v>
      </c>
      <c r="K56" s="28">
        <f>VLOOKUP(D56,Ponderacion!A2:C4,3,0)</f>
        <v>5</v>
      </c>
      <c r="L56" s="31">
        <f t="shared" si="1"/>
        <v>31.740000000000002</v>
      </c>
      <c r="M56" s="28"/>
      <c r="N56" s="34"/>
    </row>
    <row r="57" spans="1:14" ht="25.5" x14ac:dyDescent="0.25">
      <c r="A57" s="35">
        <v>18</v>
      </c>
      <c r="B57" s="28">
        <v>100</v>
      </c>
      <c r="C57" s="28">
        <v>1</v>
      </c>
      <c r="D57" s="28" t="s">
        <v>31</v>
      </c>
      <c r="E57" s="28" t="s">
        <v>77</v>
      </c>
      <c r="F57" s="28">
        <v>100</v>
      </c>
      <c r="G57" s="29">
        <v>473</v>
      </c>
      <c r="H57" s="30">
        <f>(G58*Ponderacion!F1)/G57</f>
        <v>61.268498942917546</v>
      </c>
      <c r="I57" s="28">
        <v>5</v>
      </c>
      <c r="J57" s="28">
        <f>VLOOKUP(D57,Ponderacion!A2:C4,2,0)</f>
        <v>3</v>
      </c>
      <c r="K57" s="28">
        <f>VLOOKUP(D57,Ponderacion!A2:C4,3,0)</f>
        <v>5</v>
      </c>
      <c r="L57" s="31">
        <f t="shared" si="1"/>
        <v>74.268498942917546</v>
      </c>
      <c r="M57" s="28"/>
      <c r="N57" s="34"/>
    </row>
    <row r="58" spans="1:14" ht="38.25" x14ac:dyDescent="0.25">
      <c r="A58" s="27">
        <v>18</v>
      </c>
      <c r="B58" s="28">
        <v>100</v>
      </c>
      <c r="C58" s="28">
        <v>1</v>
      </c>
      <c r="D58" s="28" t="s">
        <v>32</v>
      </c>
      <c r="E58" s="28" t="s">
        <v>78</v>
      </c>
      <c r="F58" s="28">
        <v>100</v>
      </c>
      <c r="G58" s="29">
        <v>362.25</v>
      </c>
      <c r="H58" s="30">
        <f>(G58*Ponderacion!F1)/G58</f>
        <v>80</v>
      </c>
      <c r="I58" s="28">
        <v>12</v>
      </c>
      <c r="J58" s="28">
        <f>VLOOKUP(D58,Ponderacion!A2:C4,2,0)</f>
        <v>3</v>
      </c>
      <c r="K58" s="28">
        <f>VLOOKUP(D58,Ponderacion!A2:C4,3,0)</f>
        <v>5</v>
      </c>
      <c r="L58" s="40">
        <f t="shared" si="1"/>
        <v>100</v>
      </c>
      <c r="M58" s="41">
        <f>F58</f>
        <v>100</v>
      </c>
      <c r="N58" s="42">
        <f>G58*M58</f>
        <v>36225</v>
      </c>
    </row>
    <row r="59" spans="1:14" ht="38.25" x14ac:dyDescent="0.25">
      <c r="A59" s="27">
        <v>18</v>
      </c>
      <c r="B59" s="28">
        <v>100</v>
      </c>
      <c r="C59" s="28">
        <v>1</v>
      </c>
      <c r="D59" s="28" t="s">
        <v>33</v>
      </c>
      <c r="E59" s="28" t="s">
        <v>79</v>
      </c>
      <c r="F59" s="28">
        <v>100</v>
      </c>
      <c r="G59" s="29">
        <v>800</v>
      </c>
      <c r="H59" s="30">
        <f>(G58*Ponderacion!F1)/G59</f>
        <v>36.225000000000001</v>
      </c>
      <c r="I59" s="28">
        <v>5</v>
      </c>
      <c r="J59" s="28">
        <f>VLOOKUP(D59,Ponderacion!A2:C4,2,0)</f>
        <v>1.5</v>
      </c>
      <c r="K59" s="28">
        <f>VLOOKUP(D59,Ponderacion!A2:C4,3,0)</f>
        <v>5</v>
      </c>
      <c r="L59" s="31">
        <f t="shared" si="1"/>
        <v>47.725000000000001</v>
      </c>
      <c r="M59" s="28"/>
      <c r="N59" s="34"/>
    </row>
    <row r="60" spans="1:14" ht="25.5" x14ac:dyDescent="0.25">
      <c r="A60" s="35">
        <v>19</v>
      </c>
      <c r="B60" s="28">
        <v>100</v>
      </c>
      <c r="C60" s="28">
        <v>1</v>
      </c>
      <c r="D60" s="28" t="s">
        <v>31</v>
      </c>
      <c r="E60" s="28" t="s">
        <v>80</v>
      </c>
      <c r="F60" s="28">
        <v>100</v>
      </c>
      <c r="G60" s="29">
        <v>473</v>
      </c>
      <c r="H60" s="30">
        <f>(G61*Ponderacion!F1)/G60</f>
        <v>61.268498942917546</v>
      </c>
      <c r="I60" s="28">
        <v>5</v>
      </c>
      <c r="J60" s="28">
        <f>VLOOKUP(D60,Ponderacion!A2:C4,2,0)</f>
        <v>3</v>
      </c>
      <c r="K60" s="28">
        <f>VLOOKUP(D60,Ponderacion!A2:C4,3,0)</f>
        <v>5</v>
      </c>
      <c r="L60" s="31">
        <f t="shared" si="1"/>
        <v>74.268498942917546</v>
      </c>
      <c r="M60" s="28"/>
      <c r="N60" s="34"/>
    </row>
    <row r="61" spans="1:14" ht="25.5" x14ac:dyDescent="0.25">
      <c r="A61" s="27">
        <v>19</v>
      </c>
      <c r="B61" s="28">
        <v>100</v>
      </c>
      <c r="C61" s="28">
        <v>1</v>
      </c>
      <c r="D61" s="28" t="s">
        <v>32</v>
      </c>
      <c r="E61" s="28" t="s">
        <v>81</v>
      </c>
      <c r="F61" s="28">
        <v>100</v>
      </c>
      <c r="G61" s="29">
        <v>362.25</v>
      </c>
      <c r="H61" s="30">
        <f>(G61*Ponderacion!F1)/G61</f>
        <v>80</v>
      </c>
      <c r="I61" s="28">
        <v>12</v>
      </c>
      <c r="J61" s="28">
        <f>VLOOKUP(D61,Ponderacion!A2:C4,2,0)</f>
        <v>3</v>
      </c>
      <c r="K61" s="28">
        <f>VLOOKUP(D61,Ponderacion!A2:C4,3,0)</f>
        <v>5</v>
      </c>
      <c r="L61" s="40">
        <f t="shared" si="1"/>
        <v>100</v>
      </c>
      <c r="M61" s="41">
        <f>F61</f>
        <v>100</v>
      </c>
      <c r="N61" s="42">
        <f>G61*M61</f>
        <v>36225</v>
      </c>
    </row>
    <row r="62" spans="1:14" ht="25.5" x14ac:dyDescent="0.25">
      <c r="A62" s="27">
        <v>19</v>
      </c>
      <c r="B62" s="28">
        <v>100</v>
      </c>
      <c r="C62" s="28">
        <v>1</v>
      </c>
      <c r="D62" s="28" t="s">
        <v>33</v>
      </c>
      <c r="E62" s="28" t="s">
        <v>82</v>
      </c>
      <c r="F62" s="28">
        <v>100</v>
      </c>
      <c r="G62" s="29">
        <v>850</v>
      </c>
      <c r="H62" s="30">
        <f>(G61*Ponderacion!F1)/G62</f>
        <v>34.094117647058823</v>
      </c>
      <c r="I62" s="28">
        <v>5</v>
      </c>
      <c r="J62" s="28">
        <f>VLOOKUP(D62,Ponderacion!A2:C4,2,0)</f>
        <v>1.5</v>
      </c>
      <c r="K62" s="28">
        <f>VLOOKUP(D62,Ponderacion!A2:C4,3,0)</f>
        <v>5</v>
      </c>
      <c r="L62" s="31">
        <f t="shared" si="1"/>
        <v>45.594117647058823</v>
      </c>
      <c r="M62" s="28"/>
      <c r="N62" s="34"/>
    </row>
    <row r="63" spans="1:14" ht="25.5" x14ac:dyDescent="0.25">
      <c r="A63" s="35">
        <v>20</v>
      </c>
      <c r="B63" s="28">
        <v>15</v>
      </c>
      <c r="C63" s="28">
        <v>1</v>
      </c>
      <c r="D63" s="28" t="s">
        <v>31</v>
      </c>
      <c r="E63" s="28" t="s">
        <v>83</v>
      </c>
      <c r="F63" s="28">
        <v>15</v>
      </c>
      <c r="G63" s="29">
        <v>2639.5</v>
      </c>
      <c r="H63" s="30">
        <f>(G64*Ponderacion!F1)/G63</f>
        <v>75.480356128054567</v>
      </c>
      <c r="I63" s="28">
        <v>12</v>
      </c>
      <c r="J63" s="28">
        <f>VLOOKUP(D63,Ponderacion!A2:C4,2,0)</f>
        <v>3</v>
      </c>
      <c r="K63" s="28">
        <f>VLOOKUP(D63,Ponderacion!A2:C4,3,0)</f>
        <v>5</v>
      </c>
      <c r="L63" s="40">
        <f t="shared" si="1"/>
        <v>95.480356128054567</v>
      </c>
      <c r="M63" s="43">
        <f>+F63</f>
        <v>15</v>
      </c>
      <c r="N63" s="44">
        <f>+G63*M63</f>
        <v>39592.5</v>
      </c>
    </row>
    <row r="64" spans="1:14" ht="25.5" x14ac:dyDescent="0.25">
      <c r="A64" s="27">
        <v>20</v>
      </c>
      <c r="B64" s="28">
        <v>15</v>
      </c>
      <c r="C64" s="28">
        <v>1</v>
      </c>
      <c r="D64" s="28" t="s">
        <v>32</v>
      </c>
      <c r="E64" s="28" t="s">
        <v>84</v>
      </c>
      <c r="F64" s="28">
        <v>15</v>
      </c>
      <c r="G64" s="29">
        <v>2490.38</v>
      </c>
      <c r="H64" s="30">
        <f>(G64*Ponderacion!F1)/G64</f>
        <v>80</v>
      </c>
      <c r="I64" s="28">
        <v>5</v>
      </c>
      <c r="J64" s="28">
        <f>VLOOKUP(D64,Ponderacion!A2:C4,2,0)</f>
        <v>3</v>
      </c>
      <c r="K64" s="28">
        <f>VLOOKUP(D64,Ponderacion!A2:C4,3,0)</f>
        <v>5</v>
      </c>
      <c r="L64" s="31">
        <f t="shared" si="1"/>
        <v>93</v>
      </c>
      <c r="M64" s="32"/>
      <c r="N64" s="33"/>
    </row>
    <row r="65" spans="1:14" ht="38.25" x14ac:dyDescent="0.25">
      <c r="A65" s="27">
        <v>20</v>
      </c>
      <c r="B65" s="28">
        <v>15</v>
      </c>
      <c r="C65" s="28">
        <v>1</v>
      </c>
      <c r="D65" s="28" t="s">
        <v>33</v>
      </c>
      <c r="E65" s="28" t="s">
        <v>85</v>
      </c>
      <c r="F65" s="28">
        <v>15</v>
      </c>
      <c r="G65" s="29">
        <v>4000</v>
      </c>
      <c r="H65" s="30">
        <f>(G64*Ponderacion!F1)/G65</f>
        <v>49.807600000000008</v>
      </c>
      <c r="I65" s="28">
        <v>5</v>
      </c>
      <c r="J65" s="28">
        <f>VLOOKUP(D65,Ponderacion!A2:C4,2,0)</f>
        <v>1.5</v>
      </c>
      <c r="K65" s="28">
        <f>VLOOKUP(D65,Ponderacion!A2:C4,3,0)</f>
        <v>5</v>
      </c>
      <c r="L65" s="31">
        <f t="shared" si="1"/>
        <v>61.307600000000008</v>
      </c>
      <c r="M65" s="28"/>
      <c r="N65" s="34"/>
    </row>
    <row r="66" spans="1:14" ht="25.5" x14ac:dyDescent="0.25">
      <c r="A66" s="35">
        <v>21</v>
      </c>
      <c r="B66" s="28">
        <v>50</v>
      </c>
      <c r="C66" s="28">
        <v>1</v>
      </c>
      <c r="D66" s="28" t="s">
        <v>31</v>
      </c>
      <c r="E66" s="28" t="s">
        <v>86</v>
      </c>
      <c r="F66" s="28">
        <v>50</v>
      </c>
      <c r="G66" s="29">
        <v>292</v>
      </c>
      <c r="H66" s="30">
        <f>(G67*Ponderacion!F1)/G66</f>
        <v>54.07397260273973</v>
      </c>
      <c r="I66" s="28">
        <v>12</v>
      </c>
      <c r="J66" s="28">
        <f>VLOOKUP(D66,Ponderacion!A2:C4,2,0)</f>
        <v>3</v>
      </c>
      <c r="K66" s="28">
        <f>VLOOKUP(D66,Ponderacion!A2:C4,3,0)</f>
        <v>5</v>
      </c>
      <c r="L66" s="31">
        <f t="shared" si="1"/>
        <v>74.07397260273973</v>
      </c>
      <c r="M66" s="28"/>
      <c r="N66" s="34"/>
    </row>
    <row r="67" spans="1:14" ht="38.25" x14ac:dyDescent="0.25">
      <c r="A67" s="27">
        <v>21</v>
      </c>
      <c r="B67" s="28">
        <v>50</v>
      </c>
      <c r="C67" s="28">
        <v>1</v>
      </c>
      <c r="D67" s="28" t="s">
        <v>32</v>
      </c>
      <c r="E67" s="28" t="s">
        <v>87</v>
      </c>
      <c r="F67" s="28">
        <v>50</v>
      </c>
      <c r="G67" s="29">
        <v>197.37</v>
      </c>
      <c r="H67" s="30">
        <f>(G67*Ponderacion!F1)/G67</f>
        <v>80</v>
      </c>
      <c r="I67" s="28">
        <v>12</v>
      </c>
      <c r="J67" s="28">
        <f>VLOOKUP(D67,Ponderacion!A2:C4,2,0)</f>
        <v>3</v>
      </c>
      <c r="K67" s="28">
        <f>VLOOKUP(D67,Ponderacion!A2:C4,3,0)</f>
        <v>5</v>
      </c>
      <c r="L67" s="40">
        <f t="shared" si="1"/>
        <v>100</v>
      </c>
      <c r="M67" s="41">
        <f>F67</f>
        <v>50</v>
      </c>
      <c r="N67" s="42">
        <f>G67*M67</f>
        <v>9868.5</v>
      </c>
    </row>
    <row r="68" spans="1:14" ht="38.25" x14ac:dyDescent="0.25">
      <c r="A68" s="27">
        <v>21</v>
      </c>
      <c r="B68" s="28">
        <v>50</v>
      </c>
      <c r="C68" s="28">
        <v>1</v>
      </c>
      <c r="D68" s="28" t="s">
        <v>33</v>
      </c>
      <c r="E68" s="28" t="s">
        <v>87</v>
      </c>
      <c r="F68" s="28">
        <v>50</v>
      </c>
      <c r="G68" s="29">
        <v>400</v>
      </c>
      <c r="H68" s="30">
        <f>(G67*Ponderacion!F1)/G68</f>
        <v>39.474000000000004</v>
      </c>
      <c r="I68" s="28">
        <v>12</v>
      </c>
      <c r="J68" s="28">
        <f>VLOOKUP(D68,Ponderacion!A2:C4,2,0)</f>
        <v>1.5</v>
      </c>
      <c r="K68" s="28">
        <f>VLOOKUP(D68,Ponderacion!A2:C4,3,0)</f>
        <v>5</v>
      </c>
      <c r="L68" s="31">
        <f t="shared" si="1"/>
        <v>57.974000000000004</v>
      </c>
      <c r="M68" s="28"/>
      <c r="N68" s="34"/>
    </row>
    <row r="69" spans="1:14" ht="25.5" x14ac:dyDescent="0.25">
      <c r="A69" s="35">
        <v>22</v>
      </c>
      <c r="B69" s="28">
        <v>300</v>
      </c>
      <c r="C69" s="28">
        <v>1</v>
      </c>
      <c r="D69" s="28" t="s">
        <v>31</v>
      </c>
      <c r="E69" s="28" t="s">
        <v>88</v>
      </c>
      <c r="F69" s="28">
        <v>300</v>
      </c>
      <c r="G69" s="29">
        <v>136</v>
      </c>
      <c r="H69" s="30">
        <f>(G70*Ponderacion!F1)/G69</f>
        <v>71.111764705882365</v>
      </c>
      <c r="I69" s="28">
        <v>12</v>
      </c>
      <c r="J69" s="28">
        <f>VLOOKUP(D69,Ponderacion!A2:C4,2,0)</f>
        <v>3</v>
      </c>
      <c r="K69" s="28">
        <f>VLOOKUP(D69,Ponderacion!A2:C4,3,0)</f>
        <v>5</v>
      </c>
      <c r="L69" s="31">
        <f t="shared" si="1"/>
        <v>91.111764705882365</v>
      </c>
      <c r="M69" s="28"/>
      <c r="N69" s="34"/>
    </row>
    <row r="70" spans="1:14" ht="38.25" x14ac:dyDescent="0.25">
      <c r="A70" s="27">
        <v>22</v>
      </c>
      <c r="B70" s="28">
        <v>300</v>
      </c>
      <c r="C70" s="28">
        <v>1</v>
      </c>
      <c r="D70" s="28" t="s">
        <v>32</v>
      </c>
      <c r="E70" s="28" t="s">
        <v>89</v>
      </c>
      <c r="F70" s="28">
        <v>300</v>
      </c>
      <c r="G70" s="29">
        <v>120.89</v>
      </c>
      <c r="H70" s="30">
        <f>(G70*Ponderacion!F1)/G70</f>
        <v>80</v>
      </c>
      <c r="I70" s="28">
        <v>5</v>
      </c>
      <c r="J70" s="28">
        <f>VLOOKUP(D70,Ponderacion!A2:C4,2,0)</f>
        <v>3</v>
      </c>
      <c r="K70" s="28">
        <f>VLOOKUP(D70,Ponderacion!A2:C4,3,0)</f>
        <v>5</v>
      </c>
      <c r="L70" s="40">
        <f t="shared" si="1"/>
        <v>93</v>
      </c>
      <c r="M70" s="41">
        <f>F70</f>
        <v>300</v>
      </c>
      <c r="N70" s="42">
        <f>G70*M70</f>
        <v>36267</v>
      </c>
    </row>
    <row r="71" spans="1:14" ht="38.25" x14ac:dyDescent="0.25">
      <c r="A71" s="27">
        <v>22</v>
      </c>
      <c r="B71" s="28">
        <v>300</v>
      </c>
      <c r="C71" s="28">
        <v>1</v>
      </c>
      <c r="D71" s="28" t="s">
        <v>33</v>
      </c>
      <c r="E71" s="28" t="s">
        <v>90</v>
      </c>
      <c r="F71" s="28">
        <v>300</v>
      </c>
      <c r="G71" s="29">
        <v>300</v>
      </c>
      <c r="H71" s="30">
        <f>(G70*Ponderacion!F1)/G71</f>
        <v>32.237333333333339</v>
      </c>
      <c r="I71" s="28">
        <v>5</v>
      </c>
      <c r="J71" s="28">
        <f>VLOOKUP(D71,Ponderacion!A2:C4,2,0)</f>
        <v>1.5</v>
      </c>
      <c r="K71" s="28">
        <f>VLOOKUP(D71,Ponderacion!A2:C4,3,0)</f>
        <v>5</v>
      </c>
      <c r="L71" s="31">
        <f t="shared" si="1"/>
        <v>43.737333333333339</v>
      </c>
      <c r="M71" s="28"/>
      <c r="N71" s="34"/>
    </row>
    <row r="72" spans="1:14" ht="25.5" x14ac:dyDescent="0.25">
      <c r="A72" s="35">
        <v>23</v>
      </c>
      <c r="B72" s="28">
        <v>75</v>
      </c>
      <c r="C72" s="28">
        <v>1</v>
      </c>
      <c r="D72" s="28" t="s">
        <v>31</v>
      </c>
      <c r="E72" s="28" t="s">
        <v>91</v>
      </c>
      <c r="F72" s="28">
        <v>75</v>
      </c>
      <c r="G72" s="29">
        <v>417.5</v>
      </c>
      <c r="H72" s="30">
        <f>(G73*Ponderacion!F1)/G72</f>
        <v>47.74131736526946</v>
      </c>
      <c r="I72" s="28">
        <v>5</v>
      </c>
      <c r="J72" s="28">
        <f>VLOOKUP(D72,Ponderacion!A2:C4,2,0)</f>
        <v>3</v>
      </c>
      <c r="K72" s="28">
        <f>VLOOKUP(D72,Ponderacion!A2:C4,3,0)</f>
        <v>5</v>
      </c>
      <c r="L72" s="31">
        <f t="shared" ref="L72:L103" si="2">SUM(H72:K72)</f>
        <v>60.74131736526946</v>
      </c>
      <c r="M72" s="28"/>
      <c r="N72" s="34"/>
    </row>
    <row r="73" spans="1:14" ht="25.5" x14ac:dyDescent="0.25">
      <c r="A73" s="27">
        <v>23</v>
      </c>
      <c r="B73" s="28">
        <v>75</v>
      </c>
      <c r="C73" s="28">
        <v>1</v>
      </c>
      <c r="D73" s="28" t="s">
        <v>32</v>
      </c>
      <c r="E73" s="28" t="s">
        <v>92</v>
      </c>
      <c r="F73" s="28">
        <v>75</v>
      </c>
      <c r="G73" s="29">
        <v>249.15</v>
      </c>
      <c r="H73" s="30">
        <f>(G73*Ponderacion!F1)/G73</f>
        <v>80</v>
      </c>
      <c r="I73" s="28">
        <v>12</v>
      </c>
      <c r="J73" s="28">
        <f>VLOOKUP(D73,Ponderacion!A2:C4,2,0)</f>
        <v>3</v>
      </c>
      <c r="K73" s="28">
        <f>VLOOKUP(D73,Ponderacion!A2:C4,3,0)</f>
        <v>5</v>
      </c>
      <c r="L73" s="40">
        <f t="shared" si="2"/>
        <v>100</v>
      </c>
      <c r="M73" s="41">
        <f>F73</f>
        <v>75</v>
      </c>
      <c r="N73" s="42">
        <f>G73*M73</f>
        <v>18686.25</v>
      </c>
    </row>
    <row r="74" spans="1:14" ht="25.5" x14ac:dyDescent="0.25">
      <c r="A74" s="27">
        <v>23</v>
      </c>
      <c r="B74" s="28">
        <v>75</v>
      </c>
      <c r="C74" s="28">
        <v>1</v>
      </c>
      <c r="D74" s="28" t="s">
        <v>33</v>
      </c>
      <c r="E74" s="28" t="s">
        <v>93</v>
      </c>
      <c r="F74" s="28">
        <v>75</v>
      </c>
      <c r="G74" s="29">
        <v>800</v>
      </c>
      <c r="H74" s="30">
        <f>(G73*Ponderacion!F1)/G74</f>
        <v>24.914999999999999</v>
      </c>
      <c r="I74" s="28">
        <v>12</v>
      </c>
      <c r="J74" s="28">
        <f>VLOOKUP(D74,Ponderacion!A2:C4,2,0)</f>
        <v>1.5</v>
      </c>
      <c r="K74" s="28">
        <f>VLOOKUP(D74,Ponderacion!A2:C4,3,0)</f>
        <v>5</v>
      </c>
      <c r="L74" s="31">
        <f t="shared" si="2"/>
        <v>43.414999999999999</v>
      </c>
      <c r="M74" s="28"/>
      <c r="N74" s="34"/>
    </row>
    <row r="75" spans="1:14" ht="38.25" x14ac:dyDescent="0.25">
      <c r="A75" s="35">
        <v>24</v>
      </c>
      <c r="B75" s="28">
        <v>200</v>
      </c>
      <c r="C75" s="28">
        <v>1</v>
      </c>
      <c r="D75" s="28" t="s">
        <v>31</v>
      </c>
      <c r="E75" s="28" t="s">
        <v>94</v>
      </c>
      <c r="F75" s="28">
        <v>200</v>
      </c>
      <c r="G75" s="29">
        <v>90</v>
      </c>
      <c r="H75" s="30">
        <f>(G76*Ponderacion!F1)/G75</f>
        <v>21.653333333333332</v>
      </c>
      <c r="I75" s="28">
        <v>5</v>
      </c>
      <c r="J75" s="28">
        <f>VLOOKUP(D75,Ponderacion!A2:C4,2,0)</f>
        <v>3</v>
      </c>
      <c r="K75" s="28">
        <f>VLOOKUP(D75,Ponderacion!A2:C4,3,0)</f>
        <v>5</v>
      </c>
      <c r="L75" s="31">
        <f t="shared" si="2"/>
        <v>34.653333333333336</v>
      </c>
      <c r="M75" s="28"/>
      <c r="N75" s="34"/>
    </row>
    <row r="76" spans="1:14" ht="38.25" x14ac:dyDescent="0.25">
      <c r="A76" s="27">
        <v>24</v>
      </c>
      <c r="B76" s="28">
        <v>200</v>
      </c>
      <c r="C76" s="28">
        <v>1</v>
      </c>
      <c r="D76" s="28" t="s">
        <v>32</v>
      </c>
      <c r="E76" s="28" t="s">
        <v>95</v>
      </c>
      <c r="F76" s="28">
        <v>200</v>
      </c>
      <c r="G76" s="29">
        <v>24.36</v>
      </c>
      <c r="H76" s="30">
        <f>(G76*Ponderacion!F1)/G76</f>
        <v>80</v>
      </c>
      <c r="I76" s="28">
        <v>5</v>
      </c>
      <c r="J76" s="28">
        <f>VLOOKUP(D76,Ponderacion!A2:C4,2,0)</f>
        <v>3</v>
      </c>
      <c r="K76" s="28">
        <f>VLOOKUP(D76,Ponderacion!A2:C4,3,0)</f>
        <v>5</v>
      </c>
      <c r="L76" s="40">
        <f t="shared" si="2"/>
        <v>93</v>
      </c>
      <c r="M76" s="41">
        <f>F76</f>
        <v>200</v>
      </c>
      <c r="N76" s="42">
        <f>G76*M76</f>
        <v>4872</v>
      </c>
    </row>
    <row r="77" spans="1:14" ht="38.25" x14ac:dyDescent="0.25">
      <c r="A77" s="27">
        <v>24</v>
      </c>
      <c r="B77" s="28">
        <v>200</v>
      </c>
      <c r="C77" s="28">
        <v>1</v>
      </c>
      <c r="D77" s="28" t="s">
        <v>33</v>
      </c>
      <c r="E77" s="28" t="s">
        <v>95</v>
      </c>
      <c r="F77" s="28">
        <v>200</v>
      </c>
      <c r="G77" s="29">
        <v>210</v>
      </c>
      <c r="H77" s="30">
        <f>(G76*Ponderacion!F1)/G77</f>
        <v>9.2799999999999994</v>
      </c>
      <c r="I77" s="28">
        <v>5</v>
      </c>
      <c r="J77" s="28">
        <f>VLOOKUP(D77,Ponderacion!A2:C4,2,0)</f>
        <v>1.5</v>
      </c>
      <c r="K77" s="28">
        <f>VLOOKUP(D77,Ponderacion!A2:C4,3,0)</f>
        <v>5</v>
      </c>
      <c r="L77" s="31">
        <f t="shared" si="2"/>
        <v>20.78</v>
      </c>
      <c r="M77" s="28"/>
      <c r="N77" s="34"/>
    </row>
    <row r="78" spans="1:14" ht="38.25" x14ac:dyDescent="0.25">
      <c r="A78" s="35">
        <v>25</v>
      </c>
      <c r="B78" s="28">
        <v>200</v>
      </c>
      <c r="C78" s="28">
        <v>1</v>
      </c>
      <c r="D78" s="28" t="s">
        <v>31</v>
      </c>
      <c r="E78" s="28" t="s">
        <v>96</v>
      </c>
      <c r="F78" s="28">
        <v>200</v>
      </c>
      <c r="G78" s="29">
        <v>60</v>
      </c>
      <c r="H78" s="30">
        <f>(G79*Ponderacion!F1)/G78</f>
        <v>40.213333333333338</v>
      </c>
      <c r="I78" s="28">
        <v>12</v>
      </c>
      <c r="J78" s="28">
        <f>VLOOKUP(D78,Ponderacion!A2:C4,2,0)</f>
        <v>3</v>
      </c>
      <c r="K78" s="28">
        <f>VLOOKUP(D78,Ponderacion!A2:C4,3,0)</f>
        <v>5</v>
      </c>
      <c r="L78" s="31">
        <f t="shared" si="2"/>
        <v>60.213333333333338</v>
      </c>
      <c r="M78" s="28"/>
      <c r="N78" s="34"/>
    </row>
    <row r="79" spans="1:14" ht="38.25" x14ac:dyDescent="0.25">
      <c r="A79" s="27">
        <v>25</v>
      </c>
      <c r="B79" s="28">
        <v>200</v>
      </c>
      <c r="C79" s="28">
        <v>1</v>
      </c>
      <c r="D79" s="28" t="s">
        <v>32</v>
      </c>
      <c r="E79" s="28" t="s">
        <v>97</v>
      </c>
      <c r="F79" s="28">
        <v>200</v>
      </c>
      <c r="G79" s="29">
        <v>30.16</v>
      </c>
      <c r="H79" s="30">
        <f>(G79*Ponderacion!F1)/G79</f>
        <v>80</v>
      </c>
      <c r="I79" s="28">
        <v>5</v>
      </c>
      <c r="J79" s="28">
        <f>VLOOKUP(D79,Ponderacion!A2:C4,2,0)</f>
        <v>3</v>
      </c>
      <c r="K79" s="28">
        <f>VLOOKUP(D79,Ponderacion!A2:C4,3,0)</f>
        <v>5</v>
      </c>
      <c r="L79" s="40">
        <f t="shared" si="2"/>
        <v>93</v>
      </c>
      <c r="M79" s="41">
        <f>F79</f>
        <v>200</v>
      </c>
      <c r="N79" s="42">
        <f>G79*M79</f>
        <v>6032</v>
      </c>
    </row>
    <row r="80" spans="1:14" ht="38.25" x14ac:dyDescent="0.25">
      <c r="A80" s="27">
        <v>25</v>
      </c>
      <c r="B80" s="28">
        <v>200</v>
      </c>
      <c r="C80" s="28">
        <v>1</v>
      </c>
      <c r="D80" s="28" t="s">
        <v>33</v>
      </c>
      <c r="E80" s="28" t="s">
        <v>98</v>
      </c>
      <c r="F80" s="28">
        <v>200</v>
      </c>
      <c r="G80" s="29">
        <v>150</v>
      </c>
      <c r="H80" s="30">
        <f>(G79*Ponderacion!F1)/G80</f>
        <v>16.085333333333335</v>
      </c>
      <c r="I80" s="28">
        <v>5</v>
      </c>
      <c r="J80" s="28">
        <f>VLOOKUP(D80,Ponderacion!A2:C4,2,0)</f>
        <v>1.5</v>
      </c>
      <c r="K80" s="28">
        <f>VLOOKUP(D80,Ponderacion!A2:C4,3,0)</f>
        <v>5</v>
      </c>
      <c r="L80" s="31">
        <f t="shared" si="2"/>
        <v>27.585333333333335</v>
      </c>
      <c r="M80" s="28"/>
      <c r="N80" s="34"/>
    </row>
    <row r="81" spans="1:14" ht="25.5" x14ac:dyDescent="0.25">
      <c r="A81" s="35">
        <v>26</v>
      </c>
      <c r="B81" s="28">
        <v>100</v>
      </c>
      <c r="C81" s="28">
        <v>1</v>
      </c>
      <c r="D81" s="28" t="s">
        <v>31</v>
      </c>
      <c r="E81" s="28" t="s">
        <v>99</v>
      </c>
      <c r="F81" s="28">
        <v>100</v>
      </c>
      <c r="G81" s="29">
        <v>473</v>
      </c>
      <c r="H81" s="30">
        <f>(G81*Ponderacion!F1)/G81</f>
        <v>80</v>
      </c>
      <c r="I81" s="28">
        <v>12</v>
      </c>
      <c r="J81" s="28">
        <f>VLOOKUP(D81,Ponderacion!A2:C4,2,0)</f>
        <v>3</v>
      </c>
      <c r="K81" s="28">
        <f>VLOOKUP(D81,Ponderacion!A2:C4,3,0)</f>
        <v>5</v>
      </c>
      <c r="L81" s="40">
        <f t="shared" si="2"/>
        <v>100</v>
      </c>
      <c r="M81" s="41">
        <f>F81</f>
        <v>100</v>
      </c>
      <c r="N81" s="42">
        <f>G81*M81</f>
        <v>47300</v>
      </c>
    </row>
    <row r="82" spans="1:14" ht="38.25" x14ac:dyDescent="0.25">
      <c r="A82" s="27">
        <v>26</v>
      </c>
      <c r="B82" s="28">
        <v>100</v>
      </c>
      <c r="C82" s="28">
        <v>1</v>
      </c>
      <c r="D82" s="28" t="s">
        <v>32</v>
      </c>
      <c r="E82" s="28" t="s">
        <v>100</v>
      </c>
      <c r="F82" s="28">
        <v>100</v>
      </c>
      <c r="G82" s="29">
        <v>541.09</v>
      </c>
      <c r="H82" s="30">
        <f>(G81*Ponderacion!F1)/G82</f>
        <v>69.932913193738557</v>
      </c>
      <c r="I82" s="28">
        <v>12</v>
      </c>
      <c r="J82" s="28">
        <f>VLOOKUP(D82,Ponderacion!A2:C4,2,0)</f>
        <v>3</v>
      </c>
      <c r="K82" s="28">
        <f>VLOOKUP(D82,Ponderacion!A2:C4,3,0)</f>
        <v>5</v>
      </c>
      <c r="L82" s="31">
        <f t="shared" si="2"/>
        <v>89.932913193738557</v>
      </c>
      <c r="M82" s="28"/>
      <c r="N82" s="34"/>
    </row>
    <row r="83" spans="1:14" ht="38.25" x14ac:dyDescent="0.25">
      <c r="A83" s="27">
        <v>26</v>
      </c>
      <c r="B83" s="28">
        <v>100</v>
      </c>
      <c r="C83" s="28">
        <v>1</v>
      </c>
      <c r="D83" s="28" t="s">
        <v>33</v>
      </c>
      <c r="E83" s="28" t="s">
        <v>100</v>
      </c>
      <c r="F83" s="28">
        <v>100</v>
      </c>
      <c r="G83" s="29">
        <v>850</v>
      </c>
      <c r="H83" s="30">
        <f>(G81*Ponderacion!F1)/G83</f>
        <v>44.517647058823528</v>
      </c>
      <c r="I83" s="28">
        <v>12</v>
      </c>
      <c r="J83" s="28">
        <f>VLOOKUP(D83,Ponderacion!A2:C4,2,0)</f>
        <v>1.5</v>
      </c>
      <c r="K83" s="28">
        <f>VLOOKUP(D83,Ponderacion!A2:C4,3,0)</f>
        <v>5</v>
      </c>
      <c r="L83" s="31">
        <f t="shared" si="2"/>
        <v>63.017647058823528</v>
      </c>
      <c r="M83" s="28"/>
      <c r="N83" s="34"/>
    </row>
    <row r="84" spans="1:14" ht="25.5" x14ac:dyDescent="0.25">
      <c r="A84" s="35">
        <v>27</v>
      </c>
      <c r="B84" s="28">
        <v>3000</v>
      </c>
      <c r="C84" s="28">
        <v>1</v>
      </c>
      <c r="D84" s="28" t="s">
        <v>31</v>
      </c>
      <c r="E84" s="28" t="s">
        <v>101</v>
      </c>
      <c r="F84" s="28">
        <v>3000</v>
      </c>
      <c r="G84" s="29">
        <v>50</v>
      </c>
      <c r="H84" s="30">
        <f>(G85*Ponderacion!F1)/G84</f>
        <v>54.127999999999993</v>
      </c>
      <c r="I84" s="28">
        <v>5</v>
      </c>
      <c r="J84" s="28">
        <f>VLOOKUP(D84,Ponderacion!A2:C4,2,0)</f>
        <v>3</v>
      </c>
      <c r="K84" s="28">
        <f>VLOOKUP(D84,Ponderacion!A2:C4,3,0)</f>
        <v>5</v>
      </c>
      <c r="L84" s="31">
        <f t="shared" si="2"/>
        <v>67.127999999999986</v>
      </c>
      <c r="M84" s="28"/>
      <c r="N84" s="34"/>
    </row>
    <row r="85" spans="1:14" ht="25.5" x14ac:dyDescent="0.25">
      <c r="A85" s="27">
        <v>27</v>
      </c>
      <c r="B85" s="28">
        <v>3000</v>
      </c>
      <c r="C85" s="28">
        <v>1</v>
      </c>
      <c r="D85" s="28" t="s">
        <v>32</v>
      </c>
      <c r="E85" s="28" t="s">
        <v>102</v>
      </c>
      <c r="F85" s="28">
        <v>3000</v>
      </c>
      <c r="G85" s="29">
        <v>33.83</v>
      </c>
      <c r="H85" s="30">
        <f>(G85*Ponderacion!F1)/G85</f>
        <v>80</v>
      </c>
      <c r="I85" s="28">
        <v>12</v>
      </c>
      <c r="J85" s="28">
        <f>VLOOKUP(D85,Ponderacion!A2:C4,2,0)</f>
        <v>3</v>
      </c>
      <c r="K85" s="28">
        <f>VLOOKUP(D85,Ponderacion!A2:C4,3,0)</f>
        <v>5</v>
      </c>
      <c r="L85" s="40">
        <f t="shared" si="2"/>
        <v>100</v>
      </c>
      <c r="M85" s="41">
        <f>F85</f>
        <v>3000</v>
      </c>
      <c r="N85" s="42">
        <f>G85*M85</f>
        <v>101490</v>
      </c>
    </row>
    <row r="86" spans="1:14" ht="25.5" x14ac:dyDescent="0.25">
      <c r="A86" s="27">
        <v>27</v>
      </c>
      <c r="B86" s="28">
        <v>3000</v>
      </c>
      <c r="C86" s="28">
        <v>1</v>
      </c>
      <c r="D86" s="28" t="s">
        <v>33</v>
      </c>
      <c r="E86" s="28" t="s">
        <v>103</v>
      </c>
      <c r="F86" s="28">
        <v>3000</v>
      </c>
      <c r="G86" s="29">
        <v>70</v>
      </c>
      <c r="H86" s="30">
        <f>(G85*Ponderacion!F1)/G86</f>
        <v>38.662857142857135</v>
      </c>
      <c r="I86" s="28">
        <v>5</v>
      </c>
      <c r="J86" s="28">
        <f>VLOOKUP(D86,Ponderacion!A2:C4,2,0)</f>
        <v>1.5</v>
      </c>
      <c r="K86" s="28">
        <f>VLOOKUP(D86,Ponderacion!A2:C4,3,0)</f>
        <v>5</v>
      </c>
      <c r="L86" s="31">
        <f t="shared" si="2"/>
        <v>50.162857142857135</v>
      </c>
      <c r="M86" s="28"/>
      <c r="N86" s="34"/>
    </row>
    <row r="87" spans="1:14" ht="38.25" x14ac:dyDescent="0.25">
      <c r="A87" s="35">
        <v>28</v>
      </c>
      <c r="B87" s="28">
        <v>150</v>
      </c>
      <c r="C87" s="28">
        <v>1</v>
      </c>
      <c r="D87" s="28" t="s">
        <v>31</v>
      </c>
      <c r="E87" s="28" t="s">
        <v>104</v>
      </c>
      <c r="F87" s="28">
        <v>150</v>
      </c>
      <c r="G87" s="29">
        <v>210.5</v>
      </c>
      <c r="H87" s="30">
        <f>(G87*Ponderacion!F1)/G87</f>
        <v>80</v>
      </c>
      <c r="I87" s="28">
        <v>12</v>
      </c>
      <c r="J87" s="28">
        <f>VLOOKUP(D87,Ponderacion!A2:C4,2,0)</f>
        <v>3</v>
      </c>
      <c r="K87" s="28">
        <f>VLOOKUP(D87,Ponderacion!A2:C4,3,0)</f>
        <v>5</v>
      </c>
      <c r="L87" s="40">
        <f t="shared" si="2"/>
        <v>100</v>
      </c>
      <c r="M87" s="41">
        <f>F87</f>
        <v>150</v>
      </c>
      <c r="N87" s="42">
        <f>G87*M87</f>
        <v>31575</v>
      </c>
    </row>
    <row r="88" spans="1:14" ht="25.5" x14ac:dyDescent="0.25">
      <c r="A88" s="27">
        <v>28</v>
      </c>
      <c r="B88" s="28">
        <v>150</v>
      </c>
      <c r="C88" s="28">
        <v>1</v>
      </c>
      <c r="D88" s="28" t="s">
        <v>32</v>
      </c>
      <c r="E88" s="28" t="s">
        <v>105</v>
      </c>
      <c r="F88" s="28">
        <v>150</v>
      </c>
      <c r="G88" s="29">
        <v>216.38</v>
      </c>
      <c r="H88" s="30">
        <f>(G87*Ponderacion!F1)/G88</f>
        <v>77.826046769572045</v>
      </c>
      <c r="I88" s="28">
        <v>5</v>
      </c>
      <c r="J88" s="28">
        <f>VLOOKUP(D88,Ponderacion!A2:C4,2,0)</f>
        <v>3</v>
      </c>
      <c r="K88" s="28">
        <f>VLOOKUP(D88,Ponderacion!A2:C4,3,0)</f>
        <v>5</v>
      </c>
      <c r="L88" s="31">
        <f t="shared" si="2"/>
        <v>90.826046769572045</v>
      </c>
      <c r="M88" s="28"/>
      <c r="N88" s="34"/>
    </row>
    <row r="89" spans="1:14" ht="25.5" x14ac:dyDescent="0.25">
      <c r="A89" s="35">
        <v>29</v>
      </c>
      <c r="B89" s="28">
        <v>100</v>
      </c>
      <c r="C89" s="28">
        <v>1</v>
      </c>
      <c r="D89" s="28" t="s">
        <v>31</v>
      </c>
      <c r="E89" s="28" t="s">
        <v>106</v>
      </c>
      <c r="F89" s="28">
        <v>100</v>
      </c>
      <c r="G89" s="29">
        <v>800</v>
      </c>
      <c r="H89" s="30">
        <f>(G90*Ponderacion!F1)/G89</f>
        <v>23.495999999999999</v>
      </c>
      <c r="I89" s="28">
        <v>12</v>
      </c>
      <c r="J89" s="28">
        <f>VLOOKUP(D89,Ponderacion!A2:C4,2,0)</f>
        <v>3</v>
      </c>
      <c r="K89" s="28">
        <f>VLOOKUP(D89,Ponderacion!A2:C4,3,0)</f>
        <v>5</v>
      </c>
      <c r="L89" s="31">
        <f t="shared" si="2"/>
        <v>43.495999999999995</v>
      </c>
      <c r="M89" s="28"/>
      <c r="N89" s="34"/>
    </row>
    <row r="90" spans="1:14" ht="38.25" x14ac:dyDescent="0.25">
      <c r="A90" s="27">
        <v>29</v>
      </c>
      <c r="B90" s="28">
        <v>100</v>
      </c>
      <c r="C90" s="28">
        <v>1</v>
      </c>
      <c r="D90" s="28" t="s">
        <v>32</v>
      </c>
      <c r="E90" s="28" t="s">
        <v>107</v>
      </c>
      <c r="F90" s="28">
        <v>100</v>
      </c>
      <c r="G90" s="29">
        <v>234.96</v>
      </c>
      <c r="H90" s="30">
        <f>(G90*Ponderacion!F1)/G90</f>
        <v>80</v>
      </c>
      <c r="I90" s="28">
        <v>5</v>
      </c>
      <c r="J90" s="28">
        <f>VLOOKUP(D90,Ponderacion!A2:C4,2,0)</f>
        <v>3</v>
      </c>
      <c r="K90" s="28">
        <f>VLOOKUP(D90,Ponderacion!A2:C4,3,0)</f>
        <v>5</v>
      </c>
      <c r="L90" s="40">
        <f t="shared" si="2"/>
        <v>93</v>
      </c>
      <c r="M90" s="41">
        <f>F90</f>
        <v>100</v>
      </c>
      <c r="N90" s="42">
        <f>G90*M90</f>
        <v>23496</v>
      </c>
    </row>
    <row r="91" spans="1:14" ht="25.5" x14ac:dyDescent="0.25">
      <c r="A91" s="35">
        <v>30</v>
      </c>
      <c r="B91" s="28">
        <v>300</v>
      </c>
      <c r="C91" s="28">
        <v>1</v>
      </c>
      <c r="D91" s="28" t="s">
        <v>31</v>
      </c>
      <c r="E91" s="28" t="s">
        <v>108</v>
      </c>
      <c r="F91" s="28">
        <v>300</v>
      </c>
      <c r="G91" s="29">
        <v>11.4</v>
      </c>
      <c r="H91" s="30">
        <f>(G92*Ponderacion!F1)/G91</f>
        <v>58.456140350877192</v>
      </c>
      <c r="I91" s="28">
        <v>12</v>
      </c>
      <c r="J91" s="28">
        <f>VLOOKUP(D91,Ponderacion!A2:C4,2,0)</f>
        <v>3</v>
      </c>
      <c r="K91" s="28">
        <f>VLOOKUP(D91,Ponderacion!A2:C4,3,0)</f>
        <v>5</v>
      </c>
      <c r="L91" s="31">
        <f t="shared" si="2"/>
        <v>78.456140350877192</v>
      </c>
      <c r="M91" s="28"/>
      <c r="N91" s="34"/>
    </row>
    <row r="92" spans="1:14" ht="38.25" x14ac:dyDescent="0.25">
      <c r="A92" s="27">
        <v>30</v>
      </c>
      <c r="B92" s="28">
        <v>300</v>
      </c>
      <c r="C92" s="28">
        <v>1</v>
      </c>
      <c r="D92" s="28" t="s">
        <v>32</v>
      </c>
      <c r="E92" s="28" t="s">
        <v>109</v>
      </c>
      <c r="F92" s="28">
        <v>300</v>
      </c>
      <c r="G92" s="29">
        <v>8.33</v>
      </c>
      <c r="H92" s="30">
        <f>(G92*Ponderacion!F1)/G92</f>
        <v>80</v>
      </c>
      <c r="I92" s="28">
        <v>12</v>
      </c>
      <c r="J92" s="28">
        <f>VLOOKUP(D92,Ponderacion!A2:C4,2,0)</f>
        <v>3</v>
      </c>
      <c r="K92" s="28">
        <f>VLOOKUP(D92,Ponderacion!A2:C4,3,0)</f>
        <v>5</v>
      </c>
      <c r="L92" s="40">
        <f t="shared" si="2"/>
        <v>100</v>
      </c>
      <c r="M92" s="41">
        <f>F92</f>
        <v>300</v>
      </c>
      <c r="N92" s="42">
        <f>G92*M92</f>
        <v>2499</v>
      </c>
    </row>
    <row r="93" spans="1:14" ht="38.25" x14ac:dyDescent="0.25">
      <c r="A93" s="27">
        <v>30</v>
      </c>
      <c r="B93" s="28">
        <v>300</v>
      </c>
      <c r="C93" s="28">
        <v>1</v>
      </c>
      <c r="D93" s="28" t="s">
        <v>33</v>
      </c>
      <c r="E93" s="28" t="s">
        <v>109</v>
      </c>
      <c r="F93" s="28">
        <v>300</v>
      </c>
      <c r="G93" s="29">
        <v>21</v>
      </c>
      <c r="H93" s="30">
        <f>(G92*Ponderacion!F1)/G93</f>
        <v>31.733333333333331</v>
      </c>
      <c r="I93" s="28">
        <v>5</v>
      </c>
      <c r="J93" s="28">
        <f>VLOOKUP(D93,Ponderacion!A2:C4,2,0)</f>
        <v>1.5</v>
      </c>
      <c r="K93" s="28">
        <f>VLOOKUP(D93,Ponderacion!A2:C4,3,0)</f>
        <v>5</v>
      </c>
      <c r="L93" s="31">
        <f t="shared" si="2"/>
        <v>43.233333333333334</v>
      </c>
      <c r="M93" s="28"/>
      <c r="N93" s="34"/>
    </row>
    <row r="94" spans="1:14" ht="25.5" x14ac:dyDescent="0.25">
      <c r="A94" s="35">
        <v>31</v>
      </c>
      <c r="B94" s="28">
        <v>300</v>
      </c>
      <c r="C94" s="28">
        <v>1</v>
      </c>
      <c r="D94" s="28" t="s">
        <v>31</v>
      </c>
      <c r="E94" s="28" t="s">
        <v>110</v>
      </c>
      <c r="F94" s="28">
        <v>300</v>
      </c>
      <c r="G94" s="29">
        <v>10.199999999999999</v>
      </c>
      <c r="H94" s="30">
        <f>(G95*Ponderacion!F1)/G94</f>
        <v>53.333333333333336</v>
      </c>
      <c r="I94" s="28">
        <v>12</v>
      </c>
      <c r="J94" s="28">
        <f>VLOOKUP(D94,Ponderacion!A2:C4,2,0)</f>
        <v>3</v>
      </c>
      <c r="K94" s="28">
        <f>VLOOKUP(D94,Ponderacion!A2:C4,3,0)</f>
        <v>5</v>
      </c>
      <c r="L94" s="31">
        <f t="shared" si="2"/>
        <v>73.333333333333343</v>
      </c>
      <c r="M94" s="28"/>
      <c r="N94" s="34"/>
    </row>
    <row r="95" spans="1:14" ht="38.25" x14ac:dyDescent="0.25">
      <c r="A95" s="27">
        <v>31</v>
      </c>
      <c r="B95" s="28">
        <v>300</v>
      </c>
      <c r="C95" s="28">
        <v>1</v>
      </c>
      <c r="D95" s="28" t="s">
        <v>32</v>
      </c>
      <c r="E95" s="28" t="s">
        <v>59</v>
      </c>
      <c r="F95" s="28">
        <v>300</v>
      </c>
      <c r="G95" s="29">
        <v>6.8</v>
      </c>
      <c r="H95" s="30">
        <f>(G95*Ponderacion!F1)/G95</f>
        <v>80</v>
      </c>
      <c r="I95" s="28">
        <v>12</v>
      </c>
      <c r="J95" s="28">
        <f>VLOOKUP(D95,Ponderacion!A2:C4,2,0)</f>
        <v>3</v>
      </c>
      <c r="K95" s="28">
        <f>VLOOKUP(D95,Ponderacion!A2:C4,3,0)</f>
        <v>5</v>
      </c>
      <c r="L95" s="40">
        <f t="shared" si="2"/>
        <v>100</v>
      </c>
      <c r="M95" s="41">
        <f>F95</f>
        <v>300</v>
      </c>
      <c r="N95" s="42">
        <f>G95*M95</f>
        <v>2040</v>
      </c>
    </row>
    <row r="96" spans="1:14" ht="38.25" x14ac:dyDescent="0.25">
      <c r="A96" s="27">
        <v>31</v>
      </c>
      <c r="B96" s="28">
        <v>300</v>
      </c>
      <c r="C96" s="28">
        <v>1</v>
      </c>
      <c r="D96" s="28" t="s">
        <v>33</v>
      </c>
      <c r="E96" s="28" t="s">
        <v>59</v>
      </c>
      <c r="F96" s="28">
        <v>300</v>
      </c>
      <c r="G96" s="29">
        <v>18</v>
      </c>
      <c r="H96" s="30">
        <f>(G95*Ponderacion!F1)/G96</f>
        <v>30.222222222222221</v>
      </c>
      <c r="I96" s="28">
        <v>5</v>
      </c>
      <c r="J96" s="28">
        <f>VLOOKUP(D96,Ponderacion!A2:C4,2,0)</f>
        <v>1.5</v>
      </c>
      <c r="K96" s="28">
        <f>VLOOKUP(D96,Ponderacion!A2:C4,3,0)</f>
        <v>5</v>
      </c>
      <c r="L96" s="31">
        <f t="shared" si="2"/>
        <v>41.722222222222221</v>
      </c>
      <c r="M96" s="28"/>
      <c r="N96" s="34"/>
    </row>
    <row r="97" spans="1:14" ht="25.5" x14ac:dyDescent="0.25">
      <c r="A97" s="35">
        <v>32</v>
      </c>
      <c r="B97" s="28">
        <v>800</v>
      </c>
      <c r="C97" s="28">
        <v>1</v>
      </c>
      <c r="D97" s="28" t="s">
        <v>31</v>
      </c>
      <c r="E97" s="28" t="s">
        <v>111</v>
      </c>
      <c r="F97" s="28">
        <v>800</v>
      </c>
      <c r="G97" s="29">
        <v>34</v>
      </c>
      <c r="H97" s="30">
        <f>(G97*Ponderacion!F1)/G97</f>
        <v>80</v>
      </c>
      <c r="I97" s="28">
        <v>12</v>
      </c>
      <c r="J97" s="28">
        <f>VLOOKUP(D97,Ponderacion!A2:C4,2,0)</f>
        <v>3</v>
      </c>
      <c r="K97" s="28">
        <f>VLOOKUP(D97,Ponderacion!A2:C4,3,0)</f>
        <v>5</v>
      </c>
      <c r="L97" s="40">
        <f t="shared" si="2"/>
        <v>100</v>
      </c>
      <c r="M97" s="41">
        <f>F97</f>
        <v>800</v>
      </c>
      <c r="N97" s="42">
        <f>G97*M97</f>
        <v>27200</v>
      </c>
    </row>
    <row r="98" spans="1:14" ht="25.5" x14ac:dyDescent="0.25">
      <c r="A98" s="27">
        <v>32</v>
      </c>
      <c r="B98" s="28">
        <v>800</v>
      </c>
      <c r="C98" s="28">
        <v>1</v>
      </c>
      <c r="D98" s="28" t="s">
        <v>32</v>
      </c>
      <c r="E98" s="28" t="s">
        <v>39</v>
      </c>
      <c r="F98" s="28">
        <v>800</v>
      </c>
      <c r="G98" s="29">
        <v>42.33</v>
      </c>
      <c r="H98" s="30">
        <f>(G97*Ponderacion!F1)/G98</f>
        <v>64.257028112449802</v>
      </c>
      <c r="I98" s="28">
        <v>5</v>
      </c>
      <c r="J98" s="28">
        <f>VLOOKUP(D98,Ponderacion!A2:C4,2,0)</f>
        <v>3</v>
      </c>
      <c r="K98" s="28">
        <f>VLOOKUP(D98,Ponderacion!A2:C4,3,0)</f>
        <v>5</v>
      </c>
      <c r="L98" s="31">
        <f t="shared" si="2"/>
        <v>77.257028112449802</v>
      </c>
      <c r="M98" s="28"/>
      <c r="N98" s="34"/>
    </row>
    <row r="99" spans="1:14" ht="25.5" x14ac:dyDescent="0.25">
      <c r="A99" s="27">
        <v>32</v>
      </c>
      <c r="B99" s="28">
        <v>800</v>
      </c>
      <c r="C99" s="28">
        <v>1</v>
      </c>
      <c r="D99" s="28" t="s">
        <v>33</v>
      </c>
      <c r="E99" s="28" t="s">
        <v>39</v>
      </c>
      <c r="F99" s="28">
        <v>800</v>
      </c>
      <c r="G99" s="29">
        <v>50</v>
      </c>
      <c r="H99" s="30">
        <f>(G97*Ponderacion!F1)/G99</f>
        <v>54.4</v>
      </c>
      <c r="I99" s="28">
        <v>5</v>
      </c>
      <c r="J99" s="28">
        <f>VLOOKUP(D99,Ponderacion!A2:C4,2,0)</f>
        <v>1.5</v>
      </c>
      <c r="K99" s="28">
        <f>VLOOKUP(D99,Ponderacion!A2:C4,3,0)</f>
        <v>5</v>
      </c>
      <c r="L99" s="31">
        <f t="shared" si="2"/>
        <v>65.900000000000006</v>
      </c>
      <c r="M99" s="28"/>
      <c r="N99" s="34"/>
    </row>
    <row r="100" spans="1:14" ht="25.5" x14ac:dyDescent="0.25">
      <c r="A100" s="35">
        <v>33</v>
      </c>
      <c r="B100" s="28">
        <v>800</v>
      </c>
      <c r="C100" s="28">
        <v>1</v>
      </c>
      <c r="D100" s="28" t="s">
        <v>31</v>
      </c>
      <c r="E100" s="28" t="s">
        <v>112</v>
      </c>
      <c r="F100" s="28">
        <v>800</v>
      </c>
      <c r="G100" s="29">
        <v>34</v>
      </c>
      <c r="H100" s="30">
        <f>(G100*Ponderacion!F1)/G100</f>
        <v>80</v>
      </c>
      <c r="I100" s="28">
        <v>12</v>
      </c>
      <c r="J100" s="28">
        <f>VLOOKUP(D100,Ponderacion!A2:C4,2,0)</f>
        <v>3</v>
      </c>
      <c r="K100" s="28">
        <f>VLOOKUP(D100,Ponderacion!A2:C4,3,0)</f>
        <v>5</v>
      </c>
      <c r="L100" s="40">
        <f t="shared" si="2"/>
        <v>100</v>
      </c>
      <c r="M100" s="41">
        <f>F100</f>
        <v>800</v>
      </c>
      <c r="N100" s="42">
        <f>G100*M100</f>
        <v>27200</v>
      </c>
    </row>
    <row r="101" spans="1:14" ht="25.5" x14ac:dyDescent="0.25">
      <c r="A101" s="27">
        <v>33</v>
      </c>
      <c r="B101" s="28">
        <v>800</v>
      </c>
      <c r="C101" s="28">
        <v>1</v>
      </c>
      <c r="D101" s="28" t="s">
        <v>32</v>
      </c>
      <c r="E101" s="28" t="s">
        <v>39</v>
      </c>
      <c r="F101" s="28">
        <v>800</v>
      </c>
      <c r="G101" s="29">
        <v>42.33</v>
      </c>
      <c r="H101" s="30">
        <f>(G100*Ponderacion!F1)/G101</f>
        <v>64.257028112449802</v>
      </c>
      <c r="I101" s="28">
        <v>5</v>
      </c>
      <c r="J101" s="28">
        <f>VLOOKUP(D101,Ponderacion!A2:C4,2,0)</f>
        <v>3</v>
      </c>
      <c r="K101" s="28">
        <f>VLOOKUP(D101,Ponderacion!A2:C4,3,0)</f>
        <v>5</v>
      </c>
      <c r="L101" s="31">
        <f t="shared" si="2"/>
        <v>77.257028112449802</v>
      </c>
      <c r="M101" s="28"/>
      <c r="N101" s="34"/>
    </row>
    <row r="102" spans="1:14" ht="25.5" x14ac:dyDescent="0.25">
      <c r="A102" s="27">
        <v>33</v>
      </c>
      <c r="B102" s="28">
        <v>800</v>
      </c>
      <c r="C102" s="28">
        <v>1</v>
      </c>
      <c r="D102" s="28" t="s">
        <v>33</v>
      </c>
      <c r="E102" s="28" t="s">
        <v>39</v>
      </c>
      <c r="F102" s="28">
        <v>800</v>
      </c>
      <c r="G102" s="29">
        <v>50</v>
      </c>
      <c r="H102" s="30">
        <f>(G100*Ponderacion!F1)/G102</f>
        <v>54.4</v>
      </c>
      <c r="I102" s="28">
        <v>5</v>
      </c>
      <c r="J102" s="28">
        <f>VLOOKUP(D102,Ponderacion!A2:C4,2,0)</f>
        <v>1.5</v>
      </c>
      <c r="K102" s="28">
        <f>VLOOKUP(D102,Ponderacion!A2:C4,3,0)</f>
        <v>5</v>
      </c>
      <c r="L102" s="31">
        <f t="shared" si="2"/>
        <v>65.900000000000006</v>
      </c>
      <c r="M102" s="28"/>
      <c r="N102" s="34"/>
    </row>
    <row r="103" spans="1:14" ht="25.5" x14ac:dyDescent="0.25">
      <c r="A103" s="35">
        <v>34</v>
      </c>
      <c r="B103" s="28">
        <v>300</v>
      </c>
      <c r="C103" s="28">
        <v>1</v>
      </c>
      <c r="D103" s="28" t="s">
        <v>31</v>
      </c>
      <c r="E103" s="28" t="s">
        <v>113</v>
      </c>
      <c r="F103" s="28">
        <v>300</v>
      </c>
      <c r="G103" s="29">
        <v>34</v>
      </c>
      <c r="H103" s="30">
        <f>(G103*Ponderacion!F1)/G103</f>
        <v>80</v>
      </c>
      <c r="I103" s="28">
        <v>12</v>
      </c>
      <c r="J103" s="28">
        <f>VLOOKUP(D103,Ponderacion!A2:C4,2,0)</f>
        <v>3</v>
      </c>
      <c r="K103" s="28">
        <f>VLOOKUP(D103,Ponderacion!A2:C4,3,0)</f>
        <v>5</v>
      </c>
      <c r="L103" s="40">
        <f t="shared" si="2"/>
        <v>100</v>
      </c>
      <c r="M103" s="41">
        <f>F103</f>
        <v>300</v>
      </c>
      <c r="N103" s="42">
        <f>G103*M103</f>
        <v>10200</v>
      </c>
    </row>
    <row r="104" spans="1:14" ht="25.5" x14ac:dyDescent="0.25">
      <c r="A104" s="27">
        <v>34</v>
      </c>
      <c r="B104" s="28">
        <v>300</v>
      </c>
      <c r="C104" s="28">
        <v>1</v>
      </c>
      <c r="D104" s="28" t="s">
        <v>32</v>
      </c>
      <c r="E104" s="28" t="s">
        <v>39</v>
      </c>
      <c r="F104" s="28">
        <v>300</v>
      </c>
      <c r="G104" s="29">
        <v>42.33</v>
      </c>
      <c r="H104" s="30">
        <f>(G103*Ponderacion!F1)/G104</f>
        <v>64.257028112449802</v>
      </c>
      <c r="I104" s="28">
        <v>5</v>
      </c>
      <c r="J104" s="28">
        <f>VLOOKUP(D104,Ponderacion!A2:C4,2,0)</f>
        <v>3</v>
      </c>
      <c r="K104" s="28">
        <f>VLOOKUP(D104,Ponderacion!A2:C4,3,0)</f>
        <v>5</v>
      </c>
      <c r="L104" s="31">
        <f t="shared" ref="L104:L135" si="3">SUM(H104:K104)</f>
        <v>77.257028112449802</v>
      </c>
      <c r="M104" s="28"/>
      <c r="N104" s="34"/>
    </row>
    <row r="105" spans="1:14" ht="25.5" x14ac:dyDescent="0.25">
      <c r="A105" s="27">
        <v>34</v>
      </c>
      <c r="B105" s="28">
        <v>300</v>
      </c>
      <c r="C105" s="28">
        <v>1</v>
      </c>
      <c r="D105" s="28" t="s">
        <v>33</v>
      </c>
      <c r="E105" s="28" t="s">
        <v>39</v>
      </c>
      <c r="F105" s="28">
        <v>300</v>
      </c>
      <c r="G105" s="29">
        <v>50</v>
      </c>
      <c r="H105" s="30">
        <f>(G103*Ponderacion!F1)/G105</f>
        <v>54.4</v>
      </c>
      <c r="I105" s="28">
        <v>5</v>
      </c>
      <c r="J105" s="28">
        <f>VLOOKUP(D105,Ponderacion!A2:C4,2,0)</f>
        <v>1.5</v>
      </c>
      <c r="K105" s="28">
        <f>VLOOKUP(D105,Ponderacion!A2:C4,3,0)</f>
        <v>5</v>
      </c>
      <c r="L105" s="31">
        <f t="shared" si="3"/>
        <v>65.900000000000006</v>
      </c>
      <c r="M105" s="28"/>
      <c r="N105" s="34"/>
    </row>
    <row r="106" spans="1:14" ht="25.5" x14ac:dyDescent="0.25">
      <c r="A106" s="35">
        <v>35</v>
      </c>
      <c r="B106" s="28">
        <v>250</v>
      </c>
      <c r="C106" s="28">
        <v>1</v>
      </c>
      <c r="D106" s="28" t="s">
        <v>31</v>
      </c>
      <c r="E106" s="28" t="s">
        <v>114</v>
      </c>
      <c r="F106" s="28">
        <v>250</v>
      </c>
      <c r="G106" s="29">
        <v>113</v>
      </c>
      <c r="H106" s="30">
        <f>(G107*Ponderacion!F1)/G106</f>
        <v>50.223008849557523</v>
      </c>
      <c r="I106" s="28">
        <v>5</v>
      </c>
      <c r="J106" s="28">
        <f>VLOOKUP(D106,Ponderacion!A2:C4,2,0)</f>
        <v>3</v>
      </c>
      <c r="K106" s="28">
        <f>VLOOKUP(D106,Ponderacion!A2:C4,3,0)</f>
        <v>5</v>
      </c>
      <c r="L106" s="31">
        <f t="shared" si="3"/>
        <v>63.223008849557523</v>
      </c>
      <c r="M106" s="28"/>
      <c r="N106" s="34"/>
    </row>
    <row r="107" spans="1:14" ht="38.25" x14ac:dyDescent="0.25">
      <c r="A107" s="27">
        <v>35</v>
      </c>
      <c r="B107" s="28">
        <v>250</v>
      </c>
      <c r="C107" s="28">
        <v>1</v>
      </c>
      <c r="D107" s="28" t="s">
        <v>32</v>
      </c>
      <c r="E107" s="28" t="s">
        <v>115</v>
      </c>
      <c r="F107" s="28">
        <v>250</v>
      </c>
      <c r="G107" s="29">
        <v>70.94</v>
      </c>
      <c r="H107" s="30">
        <f>(G107*Ponderacion!F1)/G107</f>
        <v>80</v>
      </c>
      <c r="I107" s="28">
        <v>5</v>
      </c>
      <c r="J107" s="28">
        <f>VLOOKUP(D107,Ponderacion!A2:C4,2,0)</f>
        <v>3</v>
      </c>
      <c r="K107" s="28">
        <f>VLOOKUP(D107,Ponderacion!A2:C4,3,0)</f>
        <v>5</v>
      </c>
      <c r="L107" s="40">
        <f t="shared" si="3"/>
        <v>93</v>
      </c>
      <c r="M107" s="41">
        <f>F107</f>
        <v>250</v>
      </c>
      <c r="N107" s="42">
        <f>G107*M107</f>
        <v>17735</v>
      </c>
    </row>
    <row r="108" spans="1:14" ht="38.25" x14ac:dyDescent="0.25">
      <c r="A108" s="27">
        <v>35</v>
      </c>
      <c r="B108" s="28">
        <v>250</v>
      </c>
      <c r="C108" s="28">
        <v>1</v>
      </c>
      <c r="D108" s="28" t="s">
        <v>33</v>
      </c>
      <c r="E108" s="28" t="s">
        <v>115</v>
      </c>
      <c r="F108" s="28">
        <v>250</v>
      </c>
      <c r="G108" s="29">
        <v>130</v>
      </c>
      <c r="H108" s="30">
        <f>(G107*Ponderacion!F1)/G108</f>
        <v>43.655384615384612</v>
      </c>
      <c r="I108" s="28">
        <v>12</v>
      </c>
      <c r="J108" s="28">
        <f>VLOOKUP(D108,Ponderacion!A2:C4,2,0)</f>
        <v>1.5</v>
      </c>
      <c r="K108" s="28">
        <f>VLOOKUP(D108,Ponderacion!A2:C4,3,0)</f>
        <v>5</v>
      </c>
      <c r="L108" s="31">
        <f t="shared" si="3"/>
        <v>62.155384615384612</v>
      </c>
      <c r="M108" s="28"/>
      <c r="N108" s="34"/>
    </row>
    <row r="109" spans="1:14" ht="25.5" x14ac:dyDescent="0.25">
      <c r="A109" s="35">
        <v>36</v>
      </c>
      <c r="B109" s="28">
        <v>100</v>
      </c>
      <c r="C109" s="28">
        <v>1</v>
      </c>
      <c r="D109" s="28" t="s">
        <v>31</v>
      </c>
      <c r="E109" s="28" t="s">
        <v>116</v>
      </c>
      <c r="F109" s="28">
        <v>100</v>
      </c>
      <c r="G109" s="29">
        <v>18</v>
      </c>
      <c r="H109" s="30">
        <f>(G109*Ponderacion!F1)/G109</f>
        <v>80</v>
      </c>
      <c r="I109" s="28">
        <v>5</v>
      </c>
      <c r="J109" s="28">
        <f>VLOOKUP(D109,Ponderacion!A2:C4,2,0)</f>
        <v>3</v>
      </c>
      <c r="K109" s="28">
        <f>VLOOKUP(D109,Ponderacion!A2:C4,3,0)</f>
        <v>5</v>
      </c>
      <c r="L109" s="40">
        <f t="shared" si="3"/>
        <v>93</v>
      </c>
      <c r="M109" s="41">
        <f>F109</f>
        <v>100</v>
      </c>
      <c r="N109" s="42">
        <f>G109*M109</f>
        <v>1800</v>
      </c>
    </row>
    <row r="110" spans="1:14" ht="38.25" x14ac:dyDescent="0.25">
      <c r="A110" s="27">
        <v>36</v>
      </c>
      <c r="B110" s="28">
        <v>100</v>
      </c>
      <c r="C110" s="28">
        <v>1</v>
      </c>
      <c r="D110" s="28" t="s">
        <v>32</v>
      </c>
      <c r="E110" s="28" t="s">
        <v>117</v>
      </c>
      <c r="F110" s="28">
        <v>100</v>
      </c>
      <c r="G110" s="29">
        <v>177.11</v>
      </c>
      <c r="H110" s="30">
        <f>(G109*Ponderacion!F1)/G110</f>
        <v>8.1305403421602396</v>
      </c>
      <c r="I110" s="28">
        <v>5</v>
      </c>
      <c r="J110" s="28">
        <f>VLOOKUP(D110,Ponderacion!A2:C4,2,0)</f>
        <v>3</v>
      </c>
      <c r="K110" s="28">
        <f>VLOOKUP(D110,Ponderacion!A2:C4,3,0)</f>
        <v>5</v>
      </c>
      <c r="L110" s="31">
        <f t="shared" si="3"/>
        <v>21.130540342160238</v>
      </c>
      <c r="M110" s="28"/>
      <c r="N110" s="34"/>
    </row>
    <row r="111" spans="1:14" ht="25.5" x14ac:dyDescent="0.25">
      <c r="A111" s="27">
        <v>36</v>
      </c>
      <c r="B111" s="28">
        <v>100</v>
      </c>
      <c r="C111" s="28">
        <v>1</v>
      </c>
      <c r="D111" s="28" t="s">
        <v>33</v>
      </c>
      <c r="E111" s="28" t="s">
        <v>118</v>
      </c>
      <c r="F111" s="28">
        <v>100</v>
      </c>
      <c r="G111" s="29">
        <v>35</v>
      </c>
      <c r="H111" s="30">
        <f>(G109*Ponderacion!F1)/G111</f>
        <v>41.142857142857146</v>
      </c>
      <c r="I111" s="28">
        <v>5</v>
      </c>
      <c r="J111" s="28">
        <f>VLOOKUP(D111,Ponderacion!A2:C4,2,0)</f>
        <v>1.5</v>
      </c>
      <c r="K111" s="28">
        <f>VLOOKUP(D111,Ponderacion!A2:C4,3,0)</f>
        <v>5</v>
      </c>
      <c r="L111" s="31">
        <f t="shared" si="3"/>
        <v>52.642857142857146</v>
      </c>
      <c r="M111" s="28"/>
      <c r="N111" s="34"/>
    </row>
    <row r="112" spans="1:14" ht="25.5" x14ac:dyDescent="0.25">
      <c r="A112" s="35">
        <v>37</v>
      </c>
      <c r="B112" s="28">
        <v>30</v>
      </c>
      <c r="C112" s="28">
        <v>1</v>
      </c>
      <c r="D112" s="28" t="s">
        <v>31</v>
      </c>
      <c r="E112" s="28" t="s">
        <v>119</v>
      </c>
      <c r="F112" s="28">
        <v>30</v>
      </c>
      <c r="G112" s="29">
        <v>1889.5</v>
      </c>
      <c r="H112" s="30">
        <f>(G113*Ponderacion!F1)/G112</f>
        <v>21.402487430537178</v>
      </c>
      <c r="I112" s="28">
        <v>12</v>
      </c>
      <c r="J112" s="28">
        <f>VLOOKUP(D112,Ponderacion!A2:C4,2,0)</f>
        <v>3</v>
      </c>
      <c r="K112" s="28">
        <f>VLOOKUP(D112,Ponderacion!A2:C4,3,0)</f>
        <v>5</v>
      </c>
      <c r="L112" s="31">
        <f t="shared" si="3"/>
        <v>41.402487430537178</v>
      </c>
      <c r="M112" s="28"/>
      <c r="N112" s="34"/>
    </row>
    <row r="113" spans="1:14" ht="38.25" x14ac:dyDescent="0.25">
      <c r="A113" s="27">
        <v>37</v>
      </c>
      <c r="B113" s="28">
        <v>30</v>
      </c>
      <c r="C113" s="28">
        <v>1</v>
      </c>
      <c r="D113" s="28" t="s">
        <v>32</v>
      </c>
      <c r="E113" s="28" t="s">
        <v>120</v>
      </c>
      <c r="F113" s="28">
        <v>30</v>
      </c>
      <c r="G113" s="29">
        <v>505.5</v>
      </c>
      <c r="H113" s="30">
        <f>(G113*Ponderacion!F1)/G113</f>
        <v>80</v>
      </c>
      <c r="I113" s="28">
        <v>12</v>
      </c>
      <c r="J113" s="28">
        <f>VLOOKUP(D113,Ponderacion!A2:C4,2,0)</f>
        <v>3</v>
      </c>
      <c r="K113" s="28">
        <f>VLOOKUP(D113,Ponderacion!A2:C4,3,0)</f>
        <v>5</v>
      </c>
      <c r="L113" s="40">
        <f t="shared" si="3"/>
        <v>100</v>
      </c>
      <c r="M113" s="41">
        <f>F113</f>
        <v>30</v>
      </c>
      <c r="N113" s="42">
        <f>G113*M113</f>
        <v>15165</v>
      </c>
    </row>
    <row r="114" spans="1:14" ht="38.25" x14ac:dyDescent="0.25">
      <c r="A114" s="35">
        <v>38</v>
      </c>
      <c r="B114" s="28">
        <v>150</v>
      </c>
      <c r="C114" s="28">
        <v>1</v>
      </c>
      <c r="D114" s="28" t="s">
        <v>31</v>
      </c>
      <c r="E114" s="28" t="s">
        <v>121</v>
      </c>
      <c r="F114" s="28">
        <v>150</v>
      </c>
      <c r="G114" s="29">
        <v>124</v>
      </c>
      <c r="H114" s="30">
        <f>(G114*Ponderacion!F1)/G114</f>
        <v>80</v>
      </c>
      <c r="I114" s="28">
        <v>5</v>
      </c>
      <c r="J114" s="28">
        <f>VLOOKUP(D114,Ponderacion!A2:C4,2,0)</f>
        <v>3</v>
      </c>
      <c r="K114" s="28">
        <f>VLOOKUP(D114,Ponderacion!A2:C4,3,0)</f>
        <v>5</v>
      </c>
      <c r="L114" s="40">
        <f t="shared" si="3"/>
        <v>93</v>
      </c>
      <c r="M114" s="41">
        <f>F114</f>
        <v>150</v>
      </c>
      <c r="N114" s="42">
        <f>G114*M114</f>
        <v>18600</v>
      </c>
    </row>
    <row r="115" spans="1:14" ht="38.25" x14ac:dyDescent="0.25">
      <c r="A115" s="35">
        <v>39</v>
      </c>
      <c r="B115" s="28">
        <v>250</v>
      </c>
      <c r="C115" s="28">
        <v>1</v>
      </c>
      <c r="D115" s="28" t="s">
        <v>31</v>
      </c>
      <c r="E115" s="28" t="s">
        <v>122</v>
      </c>
      <c r="F115" s="28">
        <v>250</v>
      </c>
      <c r="G115" s="29">
        <v>149.5</v>
      </c>
      <c r="H115" s="30">
        <f>(G115*Ponderacion!F1)/G115</f>
        <v>80</v>
      </c>
      <c r="I115" s="28">
        <v>5</v>
      </c>
      <c r="J115" s="28">
        <f>VLOOKUP(D115,Ponderacion!A2:C4,2,0)</f>
        <v>3</v>
      </c>
      <c r="K115" s="28">
        <f>VLOOKUP(D115,Ponderacion!A2:C4,3,0)</f>
        <v>5</v>
      </c>
      <c r="L115" s="40">
        <f t="shared" si="3"/>
        <v>93</v>
      </c>
      <c r="M115" s="41">
        <f>F115</f>
        <v>250</v>
      </c>
      <c r="N115" s="42">
        <f>G115*M115</f>
        <v>37375</v>
      </c>
    </row>
    <row r="116" spans="1:14" ht="76.5" x14ac:dyDescent="0.25">
      <c r="A116" s="35">
        <v>40</v>
      </c>
      <c r="B116" s="28">
        <v>450</v>
      </c>
      <c r="C116" s="28">
        <v>1</v>
      </c>
      <c r="D116" s="28" t="s">
        <v>31</v>
      </c>
      <c r="E116" s="28" t="s">
        <v>35</v>
      </c>
      <c r="F116" s="28">
        <v>450</v>
      </c>
      <c r="G116" s="29">
        <v>1018</v>
      </c>
      <c r="H116" s="30">
        <f>(G117*Ponderacion!F1)/G116</f>
        <v>67.583497053045193</v>
      </c>
      <c r="I116" s="28" t="s">
        <v>160</v>
      </c>
      <c r="J116" s="28">
        <f>VLOOKUP(D116,Ponderacion!A2:C4,2,0)</f>
        <v>3</v>
      </c>
      <c r="K116" s="28">
        <f>VLOOKUP(D116,Ponderacion!A2:C4,3,0)</f>
        <v>5</v>
      </c>
      <c r="L116" s="28" t="s">
        <v>160</v>
      </c>
      <c r="M116" s="28"/>
      <c r="N116" s="34"/>
    </row>
    <row r="117" spans="1:14" ht="25.5" x14ac:dyDescent="0.25">
      <c r="A117" s="27">
        <v>40</v>
      </c>
      <c r="B117" s="28">
        <v>450</v>
      </c>
      <c r="C117" s="28">
        <v>1</v>
      </c>
      <c r="D117" s="28" t="s">
        <v>32</v>
      </c>
      <c r="E117" s="28" t="s">
        <v>123</v>
      </c>
      <c r="F117" s="28">
        <v>450</v>
      </c>
      <c r="G117" s="29">
        <v>860</v>
      </c>
      <c r="H117" s="30">
        <f>(G117*Ponderacion!F1)/G117</f>
        <v>80</v>
      </c>
      <c r="I117" s="28">
        <v>12</v>
      </c>
      <c r="J117" s="28">
        <f>VLOOKUP(D117,Ponderacion!A2:C4,2,0)</f>
        <v>3</v>
      </c>
      <c r="K117" s="28">
        <f>VLOOKUP(D117,Ponderacion!A2:C4,3,0)</f>
        <v>5</v>
      </c>
      <c r="L117" s="40">
        <f t="shared" si="3"/>
        <v>100</v>
      </c>
      <c r="M117" s="41">
        <f>F117</f>
        <v>450</v>
      </c>
      <c r="N117" s="42">
        <f>G117*M117</f>
        <v>387000</v>
      </c>
    </row>
    <row r="118" spans="1:14" ht="25.5" x14ac:dyDescent="0.25">
      <c r="A118" s="27">
        <v>40</v>
      </c>
      <c r="B118" s="28">
        <v>450</v>
      </c>
      <c r="C118" s="28">
        <v>1</v>
      </c>
      <c r="D118" s="28" t="s">
        <v>33</v>
      </c>
      <c r="E118" s="28" t="s">
        <v>124</v>
      </c>
      <c r="F118" s="28">
        <v>450</v>
      </c>
      <c r="G118" s="29">
        <v>1400</v>
      </c>
      <c r="H118" s="30">
        <f>(G117*Ponderacion!F1)/G118</f>
        <v>49.142857142857146</v>
      </c>
      <c r="I118" s="28">
        <v>12</v>
      </c>
      <c r="J118" s="28">
        <f>VLOOKUP(D118,Ponderacion!A2:C4,2,0)</f>
        <v>1.5</v>
      </c>
      <c r="K118" s="28">
        <f>VLOOKUP(D118,Ponderacion!A2:C4,3,0)</f>
        <v>5</v>
      </c>
      <c r="L118" s="31">
        <f t="shared" si="3"/>
        <v>67.642857142857139</v>
      </c>
      <c r="M118" s="28"/>
      <c r="N118" s="34"/>
    </row>
    <row r="119" spans="1:14" ht="76.5" x14ac:dyDescent="0.25">
      <c r="A119" s="35">
        <v>41</v>
      </c>
      <c r="B119" s="28">
        <v>500</v>
      </c>
      <c r="C119" s="28">
        <v>1</v>
      </c>
      <c r="D119" s="28" t="s">
        <v>31</v>
      </c>
      <c r="E119" s="28" t="s">
        <v>43</v>
      </c>
      <c r="F119" s="28">
        <v>500</v>
      </c>
      <c r="G119" s="29">
        <v>1362.5</v>
      </c>
      <c r="H119" s="30">
        <f>(G120*Ponderacion!F1)/G119</f>
        <v>58.656880733944952</v>
      </c>
      <c r="I119" s="28" t="s">
        <v>160</v>
      </c>
      <c r="J119" s="28">
        <f>VLOOKUP(D119,Ponderacion!A2:C4,2,0)</f>
        <v>3</v>
      </c>
      <c r="K119" s="28">
        <f>VLOOKUP(D119,Ponderacion!A2:C4,3,0)</f>
        <v>5</v>
      </c>
      <c r="L119" s="28" t="s">
        <v>160</v>
      </c>
      <c r="M119" s="28"/>
      <c r="N119" s="34"/>
    </row>
    <row r="120" spans="1:14" ht="25.5" x14ac:dyDescent="0.25">
      <c r="A120" s="27">
        <v>41</v>
      </c>
      <c r="B120" s="28">
        <v>500</v>
      </c>
      <c r="C120" s="28">
        <v>1</v>
      </c>
      <c r="D120" s="28" t="s">
        <v>32</v>
      </c>
      <c r="E120" s="28" t="s">
        <v>125</v>
      </c>
      <c r="F120" s="28">
        <v>500</v>
      </c>
      <c r="G120" s="29">
        <v>999</v>
      </c>
      <c r="H120" s="30">
        <f>(G120*Ponderacion!F1)/G120</f>
        <v>80</v>
      </c>
      <c r="I120" s="28">
        <v>12</v>
      </c>
      <c r="J120" s="28">
        <f>VLOOKUP(D120,Ponderacion!A2:C4,2,0)</f>
        <v>3</v>
      </c>
      <c r="K120" s="28">
        <f>VLOOKUP(D120,Ponderacion!A2:C4,3,0)</f>
        <v>5</v>
      </c>
      <c r="L120" s="40">
        <f t="shared" si="3"/>
        <v>100</v>
      </c>
      <c r="M120" s="41">
        <f>F120</f>
        <v>500</v>
      </c>
      <c r="N120" s="42">
        <f>G120*M120</f>
        <v>499500</v>
      </c>
    </row>
    <row r="121" spans="1:14" ht="76.5" x14ac:dyDescent="0.25">
      <c r="A121" s="27">
        <v>41</v>
      </c>
      <c r="B121" s="28">
        <v>500</v>
      </c>
      <c r="C121" s="28">
        <v>1</v>
      </c>
      <c r="D121" s="28" t="s">
        <v>33</v>
      </c>
      <c r="E121" s="28" t="s">
        <v>125</v>
      </c>
      <c r="F121" s="28">
        <v>500</v>
      </c>
      <c r="G121" s="29">
        <v>1600</v>
      </c>
      <c r="H121" s="30">
        <f>(G120*Ponderacion!F1)/G121</f>
        <v>49.95</v>
      </c>
      <c r="I121" s="28" t="s">
        <v>160</v>
      </c>
      <c r="J121" s="28">
        <f>VLOOKUP(D121,Ponderacion!A2:C4,2,0)</f>
        <v>1.5</v>
      </c>
      <c r="K121" s="28">
        <f>VLOOKUP(D121,Ponderacion!A2:C4,3,0)</f>
        <v>5</v>
      </c>
      <c r="L121" s="28" t="s">
        <v>160</v>
      </c>
      <c r="M121" s="28"/>
      <c r="N121" s="34"/>
    </row>
    <row r="122" spans="1:14" ht="25.5" x14ac:dyDescent="0.25">
      <c r="A122" s="35">
        <v>42</v>
      </c>
      <c r="B122" s="28">
        <v>30</v>
      </c>
      <c r="C122" s="28">
        <v>1</v>
      </c>
      <c r="D122" s="28" t="s">
        <v>31</v>
      </c>
      <c r="E122" s="28" t="s">
        <v>126</v>
      </c>
      <c r="F122" s="28">
        <v>30</v>
      </c>
      <c r="G122" s="29">
        <v>90.5</v>
      </c>
      <c r="H122" s="30">
        <f>(G123*Ponderacion!F1)/G122</f>
        <v>51.668508287292816</v>
      </c>
      <c r="I122" s="28">
        <v>12</v>
      </c>
      <c r="J122" s="28">
        <f>VLOOKUP(D122,Ponderacion!A2:C4,2,0)</f>
        <v>3</v>
      </c>
      <c r="K122" s="28">
        <f>VLOOKUP(D122,Ponderacion!A2:C4,3,0)</f>
        <v>5</v>
      </c>
      <c r="L122" s="31">
        <f t="shared" si="3"/>
        <v>71.668508287292809</v>
      </c>
      <c r="M122" s="28"/>
      <c r="N122" s="34"/>
    </row>
    <row r="123" spans="1:14" ht="25.5" x14ac:dyDescent="0.25">
      <c r="A123" s="27">
        <v>42</v>
      </c>
      <c r="B123" s="28">
        <v>30</v>
      </c>
      <c r="C123" s="28">
        <v>1</v>
      </c>
      <c r="D123" s="28" t="s">
        <v>32</v>
      </c>
      <c r="E123" s="28" t="s">
        <v>127</v>
      </c>
      <c r="F123" s="28">
        <v>30</v>
      </c>
      <c r="G123" s="29">
        <v>58.45</v>
      </c>
      <c r="H123" s="30">
        <f>(G123*Ponderacion!F1)/G123</f>
        <v>80</v>
      </c>
      <c r="I123" s="28">
        <v>12</v>
      </c>
      <c r="J123" s="28">
        <f>VLOOKUP(D123,Ponderacion!A2:C4,2,0)</f>
        <v>3</v>
      </c>
      <c r="K123" s="28">
        <f>VLOOKUP(D123,Ponderacion!A2:C4,3,0)</f>
        <v>5</v>
      </c>
      <c r="L123" s="40">
        <f t="shared" si="3"/>
        <v>100</v>
      </c>
      <c r="M123" s="41">
        <f>F123</f>
        <v>30</v>
      </c>
      <c r="N123" s="42">
        <f>G123*M123</f>
        <v>1753.5</v>
      </c>
    </row>
    <row r="124" spans="1:14" ht="25.5" x14ac:dyDescent="0.25">
      <c r="A124" s="27">
        <v>42</v>
      </c>
      <c r="B124" s="28">
        <v>30</v>
      </c>
      <c r="C124" s="28">
        <v>1</v>
      </c>
      <c r="D124" s="28" t="s">
        <v>33</v>
      </c>
      <c r="E124" s="28" t="s">
        <v>128</v>
      </c>
      <c r="F124" s="28">
        <v>30</v>
      </c>
      <c r="G124" s="29">
        <v>150</v>
      </c>
      <c r="H124" s="30">
        <f>(G123*Ponderacion!F1)/G124</f>
        <v>31.173333333333332</v>
      </c>
      <c r="I124" s="28">
        <v>5</v>
      </c>
      <c r="J124" s="28">
        <f>VLOOKUP(D124,Ponderacion!A2:C4,2,0)</f>
        <v>1.5</v>
      </c>
      <c r="K124" s="28">
        <f>VLOOKUP(D124,Ponderacion!A2:C4,3,0)</f>
        <v>5</v>
      </c>
      <c r="L124" s="31">
        <f t="shared" si="3"/>
        <v>42.673333333333332</v>
      </c>
      <c r="M124" s="28"/>
      <c r="N124" s="34"/>
    </row>
    <row r="125" spans="1:14" ht="63.75" x14ac:dyDescent="0.25">
      <c r="A125" s="35">
        <v>43</v>
      </c>
      <c r="B125" s="28">
        <v>10</v>
      </c>
      <c r="C125" s="28">
        <v>1</v>
      </c>
      <c r="D125" s="28" t="s">
        <v>31</v>
      </c>
      <c r="E125" s="28" t="s">
        <v>129</v>
      </c>
      <c r="F125" s="28">
        <v>10</v>
      </c>
      <c r="G125" s="29">
        <v>1388</v>
      </c>
      <c r="H125" s="30">
        <f>(G125*Ponderacion!F1)/G125</f>
        <v>80</v>
      </c>
      <c r="I125" s="28" t="s">
        <v>161</v>
      </c>
      <c r="J125" s="28">
        <f>VLOOKUP(D125,Ponderacion!A2:C4,2,0)</f>
        <v>3</v>
      </c>
      <c r="K125" s="28">
        <f>VLOOKUP(D125,Ponderacion!A2:C4,3,0)</f>
        <v>5</v>
      </c>
      <c r="L125" s="28" t="s">
        <v>161</v>
      </c>
      <c r="M125" s="28"/>
      <c r="N125" s="34"/>
    </row>
    <row r="126" spans="1:14" ht="38.25" x14ac:dyDescent="0.25">
      <c r="A126" s="27">
        <v>43</v>
      </c>
      <c r="B126" s="28">
        <v>10</v>
      </c>
      <c r="C126" s="28">
        <v>1</v>
      </c>
      <c r="D126" s="28" t="s">
        <v>32</v>
      </c>
      <c r="E126" s="28" t="s">
        <v>130</v>
      </c>
      <c r="F126" s="28">
        <v>10</v>
      </c>
      <c r="G126" s="29">
        <v>2138.4299999999998</v>
      </c>
      <c r="H126" s="30">
        <f>(G125*Ponderacion!F1)/G126</f>
        <v>51.925945670421761</v>
      </c>
      <c r="I126" s="28">
        <v>12</v>
      </c>
      <c r="J126" s="28">
        <f>VLOOKUP(D126,Ponderacion!A2:C4,2,0)</f>
        <v>3</v>
      </c>
      <c r="K126" s="28">
        <f>VLOOKUP(D126,Ponderacion!A2:C4,3,0)</f>
        <v>5</v>
      </c>
      <c r="L126" s="40">
        <f t="shared" si="3"/>
        <v>71.925945670421754</v>
      </c>
      <c r="M126" s="41">
        <f>+F126</f>
        <v>10</v>
      </c>
      <c r="N126" s="42">
        <f>+G126*M126</f>
        <v>21384.3</v>
      </c>
    </row>
    <row r="127" spans="1:14" ht="38.25" x14ac:dyDescent="0.25">
      <c r="A127" s="27">
        <v>43</v>
      </c>
      <c r="B127" s="28">
        <v>10</v>
      </c>
      <c r="C127" s="28">
        <v>1</v>
      </c>
      <c r="D127" s="28" t="s">
        <v>33</v>
      </c>
      <c r="E127" s="28" t="s">
        <v>130</v>
      </c>
      <c r="F127" s="28">
        <v>10</v>
      </c>
      <c r="G127" s="29">
        <v>2500</v>
      </c>
      <c r="H127" s="30">
        <f>(G125*Ponderacion!F1)/G127</f>
        <v>44.415999999999997</v>
      </c>
      <c r="I127" s="28">
        <v>5</v>
      </c>
      <c r="J127" s="28">
        <f>VLOOKUP(D127,Ponderacion!A2:C4,2,0)</f>
        <v>1.5</v>
      </c>
      <c r="K127" s="28">
        <f>VLOOKUP(D127,Ponderacion!A2:C4,3,0)</f>
        <v>5</v>
      </c>
      <c r="L127" s="31">
        <f t="shared" si="3"/>
        <v>55.915999999999997</v>
      </c>
      <c r="M127" s="28"/>
      <c r="N127" s="34"/>
    </row>
    <row r="128" spans="1:14" ht="38.25" x14ac:dyDescent="0.25">
      <c r="A128" s="35">
        <v>44</v>
      </c>
      <c r="B128" s="28">
        <v>1500</v>
      </c>
      <c r="C128" s="28">
        <v>1</v>
      </c>
      <c r="D128" s="28" t="s">
        <v>31</v>
      </c>
      <c r="E128" s="28" t="s">
        <v>131</v>
      </c>
      <c r="F128" s="28">
        <v>1500</v>
      </c>
      <c r="G128" s="29">
        <v>11.7</v>
      </c>
      <c r="H128" s="30">
        <f>(G129*Ponderacion!F1)/G128</f>
        <v>69.743589743589752</v>
      </c>
      <c r="I128" s="28">
        <v>12</v>
      </c>
      <c r="J128" s="28">
        <f>VLOOKUP(D128,Ponderacion!A2:C4,2,0)</f>
        <v>3</v>
      </c>
      <c r="K128" s="28">
        <f>VLOOKUP(D128,Ponderacion!A2:C4,3,0)</f>
        <v>5</v>
      </c>
      <c r="L128" s="31">
        <f t="shared" si="3"/>
        <v>89.743589743589752</v>
      </c>
      <c r="M128" s="28"/>
      <c r="N128" s="34"/>
    </row>
    <row r="129" spans="1:14" ht="38.25" x14ac:dyDescent="0.25">
      <c r="A129" s="27">
        <v>44</v>
      </c>
      <c r="B129" s="28">
        <v>1500</v>
      </c>
      <c r="C129" s="28">
        <v>1</v>
      </c>
      <c r="D129" s="28" t="s">
        <v>32</v>
      </c>
      <c r="E129" s="28" t="s">
        <v>132</v>
      </c>
      <c r="F129" s="28">
        <v>1500</v>
      </c>
      <c r="G129" s="29">
        <v>10.199999999999999</v>
      </c>
      <c r="H129" s="30">
        <f>(G129*Ponderacion!F1)/G129</f>
        <v>80</v>
      </c>
      <c r="I129" s="28">
        <v>12</v>
      </c>
      <c r="J129" s="28">
        <f>VLOOKUP(D129,Ponderacion!A2:C4,2,0)</f>
        <v>3</v>
      </c>
      <c r="K129" s="28">
        <f>VLOOKUP(D129,Ponderacion!A2:C4,3,0)</f>
        <v>5</v>
      </c>
      <c r="L129" s="40">
        <f t="shared" si="3"/>
        <v>100</v>
      </c>
      <c r="M129" s="41">
        <f>F129</f>
        <v>1500</v>
      </c>
      <c r="N129" s="42">
        <f>G129*M129</f>
        <v>15299.999999999998</v>
      </c>
    </row>
    <row r="130" spans="1:14" ht="38.25" x14ac:dyDescent="0.25">
      <c r="A130" s="35">
        <v>45</v>
      </c>
      <c r="B130" s="28">
        <v>18</v>
      </c>
      <c r="C130" s="28">
        <v>1</v>
      </c>
      <c r="D130" s="28" t="s">
        <v>31</v>
      </c>
      <c r="E130" s="28" t="s">
        <v>133</v>
      </c>
      <c r="F130" s="28">
        <v>18</v>
      </c>
      <c r="G130" s="29">
        <v>1505</v>
      </c>
      <c r="H130" s="30">
        <f>(G131*Ponderacion!F1)/G130</f>
        <v>72.430564784053161</v>
      </c>
      <c r="I130" s="28">
        <v>12</v>
      </c>
      <c r="J130" s="28">
        <f>VLOOKUP(D130,Ponderacion!A2:C4,2,0)</f>
        <v>3</v>
      </c>
      <c r="K130" s="28">
        <f>VLOOKUP(D130,Ponderacion!A2:C4,3,0)</f>
        <v>5</v>
      </c>
      <c r="L130" s="31">
        <f t="shared" si="3"/>
        <v>92.430564784053161</v>
      </c>
      <c r="M130" s="28"/>
      <c r="N130" s="34"/>
    </row>
    <row r="131" spans="1:14" ht="38.25" x14ac:dyDescent="0.25">
      <c r="A131" s="27">
        <v>45</v>
      </c>
      <c r="B131" s="28">
        <v>18</v>
      </c>
      <c r="C131" s="28">
        <v>1</v>
      </c>
      <c r="D131" s="28" t="s">
        <v>32</v>
      </c>
      <c r="E131" s="28" t="s">
        <v>134</v>
      </c>
      <c r="F131" s="28">
        <v>18</v>
      </c>
      <c r="G131" s="29">
        <v>1362.6</v>
      </c>
      <c r="H131" s="30">
        <f>(G131*Ponderacion!F1)/G131</f>
        <v>80</v>
      </c>
      <c r="I131" s="28">
        <v>12</v>
      </c>
      <c r="J131" s="28">
        <f>VLOOKUP(D131,Ponderacion!A2:C4,2,0)</f>
        <v>3</v>
      </c>
      <c r="K131" s="28">
        <f>VLOOKUP(D131,Ponderacion!A2:C4,3,0)</f>
        <v>5</v>
      </c>
      <c r="L131" s="40">
        <f t="shared" si="3"/>
        <v>100</v>
      </c>
      <c r="M131" s="41">
        <f>F131</f>
        <v>18</v>
      </c>
      <c r="N131" s="42">
        <f>G131*M131</f>
        <v>24526.799999999999</v>
      </c>
    </row>
    <row r="132" spans="1:14" ht="38.25" x14ac:dyDescent="0.25">
      <c r="A132" s="35">
        <v>46</v>
      </c>
      <c r="B132" s="28">
        <v>1700</v>
      </c>
      <c r="C132" s="28">
        <v>1</v>
      </c>
      <c r="D132" s="28" t="s">
        <v>31</v>
      </c>
      <c r="E132" s="28" t="s">
        <v>135</v>
      </c>
      <c r="F132" s="28">
        <v>1700</v>
      </c>
      <c r="G132" s="29">
        <v>24</v>
      </c>
      <c r="H132" s="30">
        <f>(G133*Ponderacion!F1)/G132</f>
        <v>70.266666666666666</v>
      </c>
      <c r="I132" s="28">
        <v>12</v>
      </c>
      <c r="J132" s="28">
        <f>VLOOKUP(D132,Ponderacion!A2:C4,2,0)</f>
        <v>3</v>
      </c>
      <c r="K132" s="28">
        <f>VLOOKUP(D132,Ponderacion!A2:C4,3,0)</f>
        <v>5</v>
      </c>
      <c r="L132" s="31">
        <f t="shared" si="3"/>
        <v>90.266666666666666</v>
      </c>
      <c r="M132" s="28"/>
      <c r="N132" s="34"/>
    </row>
    <row r="133" spans="1:14" ht="38.25" x14ac:dyDescent="0.25">
      <c r="A133" s="27">
        <v>46</v>
      </c>
      <c r="B133" s="28">
        <v>1700</v>
      </c>
      <c r="C133" s="28">
        <v>1</v>
      </c>
      <c r="D133" s="28" t="s">
        <v>32</v>
      </c>
      <c r="E133" s="28" t="s">
        <v>136</v>
      </c>
      <c r="F133" s="28">
        <v>1700</v>
      </c>
      <c r="G133" s="29">
        <v>21.08</v>
      </c>
      <c r="H133" s="30">
        <f>(G133*Ponderacion!F1)/G133</f>
        <v>80</v>
      </c>
      <c r="I133" s="28">
        <v>12</v>
      </c>
      <c r="J133" s="28">
        <f>VLOOKUP(D133,Ponderacion!A2:C4,2,0)</f>
        <v>3</v>
      </c>
      <c r="K133" s="28">
        <f>VLOOKUP(D133,Ponderacion!A2:C4,3,0)</f>
        <v>5</v>
      </c>
      <c r="L133" s="40">
        <f t="shared" si="3"/>
        <v>100</v>
      </c>
      <c r="M133" s="41">
        <f>F133</f>
        <v>1700</v>
      </c>
      <c r="N133" s="42">
        <f>G133*M133</f>
        <v>35836</v>
      </c>
    </row>
    <row r="134" spans="1:14" ht="38.25" x14ac:dyDescent="0.25">
      <c r="A134" s="35">
        <v>47</v>
      </c>
      <c r="B134" s="28">
        <v>10</v>
      </c>
      <c r="C134" s="28">
        <v>1</v>
      </c>
      <c r="D134" s="28" t="s">
        <v>31</v>
      </c>
      <c r="E134" s="28" t="s">
        <v>137</v>
      </c>
      <c r="F134" s="28">
        <v>10</v>
      </c>
      <c r="G134" s="29">
        <v>3567.5</v>
      </c>
      <c r="H134" s="30">
        <f>(G134*Ponderacion!F1)/G134</f>
        <v>80</v>
      </c>
      <c r="I134" s="28">
        <v>12</v>
      </c>
      <c r="J134" s="28">
        <f>VLOOKUP(D134,Ponderacion!A2:C4,2,0)</f>
        <v>3</v>
      </c>
      <c r="K134" s="28">
        <f>VLOOKUP(D134,Ponderacion!A2:C4,3,0)</f>
        <v>5</v>
      </c>
      <c r="L134" s="40">
        <f t="shared" si="3"/>
        <v>100</v>
      </c>
      <c r="M134" s="41">
        <f>F134</f>
        <v>10</v>
      </c>
      <c r="N134" s="42">
        <f>G134*M134</f>
        <v>35675</v>
      </c>
    </row>
    <row r="135" spans="1:14" ht="38.25" x14ac:dyDescent="0.25">
      <c r="A135" s="35">
        <v>48</v>
      </c>
      <c r="B135" s="28">
        <v>3000</v>
      </c>
      <c r="C135" s="28">
        <v>1</v>
      </c>
      <c r="D135" s="28" t="s">
        <v>31</v>
      </c>
      <c r="E135" s="28" t="s">
        <v>138</v>
      </c>
      <c r="F135" s="28">
        <v>3000</v>
      </c>
      <c r="G135" s="29">
        <v>10</v>
      </c>
      <c r="H135" s="30">
        <f>(G135*Ponderacion!F1)/G135</f>
        <v>80</v>
      </c>
      <c r="I135" s="28">
        <v>12</v>
      </c>
      <c r="J135" s="28">
        <f>VLOOKUP(D135,Ponderacion!A2:C4,2,0)</f>
        <v>3</v>
      </c>
      <c r="K135" s="28">
        <f>VLOOKUP(D135,Ponderacion!A2:C4,3,0)</f>
        <v>5</v>
      </c>
      <c r="L135" s="40">
        <f t="shared" si="3"/>
        <v>100</v>
      </c>
      <c r="M135" s="41">
        <f>F135</f>
        <v>3000</v>
      </c>
      <c r="N135" s="42">
        <f>G135*M135</f>
        <v>30000</v>
      </c>
    </row>
    <row r="136" spans="1:14" ht="25.5" x14ac:dyDescent="0.25">
      <c r="A136" s="35">
        <v>49</v>
      </c>
      <c r="B136" s="28">
        <v>25</v>
      </c>
      <c r="C136" s="28">
        <v>1</v>
      </c>
      <c r="D136" s="28" t="s">
        <v>31</v>
      </c>
      <c r="E136" s="28" t="s">
        <v>139</v>
      </c>
      <c r="F136" s="28">
        <v>25</v>
      </c>
      <c r="G136" s="29">
        <v>213</v>
      </c>
      <c r="H136" s="30">
        <f>(G136*Ponderacion!F1)/G136</f>
        <v>80</v>
      </c>
      <c r="I136" s="28">
        <v>12</v>
      </c>
      <c r="J136" s="28">
        <f>VLOOKUP(D136,Ponderacion!A2:C4,2,0)</f>
        <v>3</v>
      </c>
      <c r="K136" s="28">
        <f>VLOOKUP(D136,Ponderacion!A2:C4,3,0)</f>
        <v>5</v>
      </c>
      <c r="L136" s="40">
        <f t="shared" ref="L136:L158" si="4">SUM(H136:K136)</f>
        <v>100</v>
      </c>
      <c r="M136" s="41">
        <f>F136</f>
        <v>25</v>
      </c>
      <c r="N136" s="42">
        <f>G136*M136</f>
        <v>5325</v>
      </c>
    </row>
    <row r="137" spans="1:14" ht="25.5" x14ac:dyDescent="0.25">
      <c r="A137" s="27">
        <v>49</v>
      </c>
      <c r="B137" s="28">
        <v>25</v>
      </c>
      <c r="C137" s="28">
        <v>1</v>
      </c>
      <c r="D137" s="28" t="s">
        <v>33</v>
      </c>
      <c r="E137" s="28" t="s">
        <v>140</v>
      </c>
      <c r="F137" s="28">
        <v>25</v>
      </c>
      <c r="G137" s="29">
        <v>350</v>
      </c>
      <c r="H137" s="30">
        <f>(G136*Ponderacion!F1)/G137</f>
        <v>48.685714285714283</v>
      </c>
      <c r="I137" s="28">
        <v>12</v>
      </c>
      <c r="J137" s="28">
        <f>VLOOKUP(D137,Ponderacion!A2:C4,2,0)</f>
        <v>1.5</v>
      </c>
      <c r="K137" s="28">
        <f>VLOOKUP(D137,Ponderacion!A2:C4,3,0)</f>
        <v>5</v>
      </c>
      <c r="L137" s="31">
        <f t="shared" si="4"/>
        <v>67.185714285714283</v>
      </c>
      <c r="M137" s="28"/>
      <c r="N137" s="34"/>
    </row>
    <row r="138" spans="1:14" ht="25.5" x14ac:dyDescent="0.25">
      <c r="A138" s="35">
        <v>50</v>
      </c>
      <c r="B138" s="28">
        <v>200</v>
      </c>
      <c r="C138" s="28">
        <v>1</v>
      </c>
      <c r="D138" s="28" t="s">
        <v>31</v>
      </c>
      <c r="E138" s="28" t="s">
        <v>141</v>
      </c>
      <c r="F138" s="28">
        <v>200</v>
      </c>
      <c r="G138" s="29">
        <v>70</v>
      </c>
      <c r="H138" s="30">
        <f>(G139*Ponderacion!F1)/G138</f>
        <v>79.428571428571431</v>
      </c>
      <c r="I138" s="28">
        <v>5</v>
      </c>
      <c r="J138" s="28">
        <f>VLOOKUP(D138,Ponderacion!A2:C4,2,0)</f>
        <v>3</v>
      </c>
      <c r="K138" s="28">
        <f>VLOOKUP(D138,Ponderacion!A2:C4,3,0)</f>
        <v>5</v>
      </c>
      <c r="L138" s="31">
        <f t="shared" si="4"/>
        <v>92.428571428571431</v>
      </c>
      <c r="M138" s="32"/>
      <c r="N138" s="33"/>
    </row>
    <row r="139" spans="1:14" ht="25.5" x14ac:dyDescent="0.25">
      <c r="A139" s="27">
        <v>50</v>
      </c>
      <c r="B139" s="28">
        <v>200</v>
      </c>
      <c r="C139" s="28">
        <v>1</v>
      </c>
      <c r="D139" s="28" t="s">
        <v>32</v>
      </c>
      <c r="E139" s="28" t="s">
        <v>142</v>
      </c>
      <c r="F139" s="28">
        <v>200</v>
      </c>
      <c r="G139" s="29">
        <v>69.5</v>
      </c>
      <c r="H139" s="30">
        <f>(G139*Ponderacion!F1)/G139</f>
        <v>80</v>
      </c>
      <c r="I139" s="28">
        <v>5</v>
      </c>
      <c r="J139" s="28">
        <f>VLOOKUP(D139,Ponderacion!A2:C4,2,0)</f>
        <v>3</v>
      </c>
      <c r="K139" s="28">
        <f>VLOOKUP(D139,Ponderacion!A2:C4,3,0)</f>
        <v>5</v>
      </c>
      <c r="L139" s="40">
        <f t="shared" si="4"/>
        <v>93</v>
      </c>
      <c r="M139" s="41">
        <f>F139</f>
        <v>200</v>
      </c>
      <c r="N139" s="42">
        <f>G139*M139</f>
        <v>13900</v>
      </c>
    </row>
    <row r="140" spans="1:14" ht="38.25" x14ac:dyDescent="0.25">
      <c r="A140" s="35">
        <v>51</v>
      </c>
      <c r="B140" s="28">
        <v>200</v>
      </c>
      <c r="C140" s="28">
        <v>1</v>
      </c>
      <c r="D140" s="28" t="s">
        <v>31</v>
      </c>
      <c r="E140" s="28" t="s">
        <v>143</v>
      </c>
      <c r="F140" s="28">
        <v>200</v>
      </c>
      <c r="G140" s="29">
        <v>93</v>
      </c>
      <c r="H140" s="30">
        <f>(G140*Ponderacion!F1)/G140</f>
        <v>80</v>
      </c>
      <c r="I140" s="28">
        <v>5</v>
      </c>
      <c r="J140" s="28">
        <f>VLOOKUP(D140,Ponderacion!A2:C4,2,0)</f>
        <v>3</v>
      </c>
      <c r="K140" s="28">
        <f>VLOOKUP(D140,Ponderacion!A2:C4,3,0)</f>
        <v>5</v>
      </c>
      <c r="L140" s="40">
        <f t="shared" si="4"/>
        <v>93</v>
      </c>
      <c r="M140" s="41">
        <f>F140</f>
        <v>200</v>
      </c>
      <c r="N140" s="42">
        <f>G140*M140</f>
        <v>18600</v>
      </c>
    </row>
    <row r="141" spans="1:14" ht="38.25" x14ac:dyDescent="0.25">
      <c r="A141" s="35">
        <v>52</v>
      </c>
      <c r="B141" s="28">
        <v>200</v>
      </c>
      <c r="C141" s="28">
        <v>1</v>
      </c>
      <c r="D141" s="28" t="s">
        <v>31</v>
      </c>
      <c r="E141" s="28" t="s">
        <v>144</v>
      </c>
      <c r="F141" s="28">
        <v>200</v>
      </c>
      <c r="G141" s="29">
        <v>59</v>
      </c>
      <c r="H141" s="30">
        <f>(G141*Ponderacion!F1)/G141</f>
        <v>80</v>
      </c>
      <c r="I141" s="28">
        <v>12</v>
      </c>
      <c r="J141" s="28">
        <f>VLOOKUP(D141,Ponderacion!A2:C4,2,0)</f>
        <v>3</v>
      </c>
      <c r="K141" s="28">
        <f>VLOOKUP(D141,Ponderacion!A2:C4,3,0)</f>
        <v>5</v>
      </c>
      <c r="L141" s="40">
        <f t="shared" si="4"/>
        <v>100</v>
      </c>
      <c r="M141" s="41">
        <f>F141</f>
        <v>200</v>
      </c>
      <c r="N141" s="42">
        <f>G141*M141</f>
        <v>11800</v>
      </c>
    </row>
    <row r="142" spans="1:14" ht="25.5" x14ac:dyDescent="0.25">
      <c r="A142" s="27">
        <v>52</v>
      </c>
      <c r="B142" s="28">
        <v>200</v>
      </c>
      <c r="C142" s="28">
        <v>1</v>
      </c>
      <c r="D142" s="28" t="s">
        <v>32</v>
      </c>
      <c r="E142" s="28" t="s">
        <v>145</v>
      </c>
      <c r="F142" s="28">
        <v>200</v>
      </c>
      <c r="G142" s="29">
        <v>64.69</v>
      </c>
      <c r="H142" s="30">
        <f>(G141*Ponderacion!F1)/G142</f>
        <v>72.963363734734898</v>
      </c>
      <c r="I142" s="28">
        <v>12</v>
      </c>
      <c r="J142" s="28">
        <f>VLOOKUP(D142,Ponderacion!A2:C4,2,0)</f>
        <v>3</v>
      </c>
      <c r="K142" s="28">
        <f>VLOOKUP(D142,Ponderacion!A2:C4,3,0)</f>
        <v>5</v>
      </c>
      <c r="L142" s="31">
        <f t="shared" si="4"/>
        <v>92.963363734734898</v>
      </c>
      <c r="M142" s="28"/>
      <c r="N142" s="34"/>
    </row>
    <row r="143" spans="1:14" ht="38.25" x14ac:dyDescent="0.25">
      <c r="A143" s="27">
        <v>52</v>
      </c>
      <c r="B143" s="28">
        <v>200</v>
      </c>
      <c r="C143" s="28">
        <v>1</v>
      </c>
      <c r="D143" s="28" t="s">
        <v>33</v>
      </c>
      <c r="E143" s="28" t="s">
        <v>146</v>
      </c>
      <c r="F143" s="28">
        <v>200</v>
      </c>
      <c r="G143" s="29">
        <v>110</v>
      </c>
      <c r="H143" s="30">
        <f>(G141*Ponderacion!F1)/G143</f>
        <v>42.909090909090907</v>
      </c>
      <c r="I143" s="28">
        <v>12</v>
      </c>
      <c r="J143" s="28">
        <f>VLOOKUP(D143,Ponderacion!A2:C4,2,0)</f>
        <v>1.5</v>
      </c>
      <c r="K143" s="28">
        <f>VLOOKUP(D143,Ponderacion!A2:C4,3,0)</f>
        <v>5</v>
      </c>
      <c r="L143" s="31">
        <f t="shared" si="4"/>
        <v>61.409090909090907</v>
      </c>
      <c r="M143" s="28"/>
      <c r="N143" s="34"/>
    </row>
    <row r="144" spans="1:14" ht="38.25" x14ac:dyDescent="0.25">
      <c r="A144" s="35">
        <v>53</v>
      </c>
      <c r="B144" s="28">
        <v>50</v>
      </c>
      <c r="C144" s="28">
        <v>1</v>
      </c>
      <c r="D144" s="28" t="s">
        <v>31</v>
      </c>
      <c r="E144" s="28" t="s">
        <v>147</v>
      </c>
      <c r="F144" s="28">
        <v>50</v>
      </c>
      <c r="G144" s="29">
        <v>666</v>
      </c>
      <c r="H144" s="30">
        <f>(G144*Ponderacion!F1)/G144</f>
        <v>80</v>
      </c>
      <c r="I144" s="28">
        <v>5</v>
      </c>
      <c r="J144" s="28">
        <f>VLOOKUP(D144,Ponderacion!A2:C4,2,0)</f>
        <v>3</v>
      </c>
      <c r="K144" s="28">
        <f>VLOOKUP(D144,Ponderacion!A2:C4,3,0)</f>
        <v>5</v>
      </c>
      <c r="L144" s="40">
        <f t="shared" si="4"/>
        <v>93</v>
      </c>
      <c r="M144" s="41">
        <f>F144</f>
        <v>50</v>
      </c>
      <c r="N144" s="42">
        <f>G144*M144</f>
        <v>33300</v>
      </c>
    </row>
    <row r="145" spans="1:14" ht="38.25" x14ac:dyDescent="0.25">
      <c r="A145" s="35">
        <v>54</v>
      </c>
      <c r="B145" s="28">
        <v>100</v>
      </c>
      <c r="C145" s="28">
        <v>1</v>
      </c>
      <c r="D145" s="28" t="s">
        <v>31</v>
      </c>
      <c r="E145" s="28" t="s">
        <v>148</v>
      </c>
      <c r="F145" s="28">
        <v>100</v>
      </c>
      <c r="G145" s="29">
        <v>105</v>
      </c>
      <c r="H145" s="30">
        <f>(G145*Ponderacion!F1)/G145</f>
        <v>80</v>
      </c>
      <c r="I145" s="28">
        <v>5</v>
      </c>
      <c r="J145" s="28">
        <f>VLOOKUP(D145,Ponderacion!A2:C4,2,0)</f>
        <v>3</v>
      </c>
      <c r="K145" s="28">
        <f>VLOOKUP(D145,Ponderacion!A2:C4,3,0)</f>
        <v>5</v>
      </c>
      <c r="L145" s="31">
        <f t="shared" si="4"/>
        <v>93</v>
      </c>
      <c r="M145" s="32"/>
      <c r="N145" s="33"/>
    </row>
    <row r="146" spans="1:14" ht="38.25" x14ac:dyDescent="0.25">
      <c r="A146" s="27">
        <v>54</v>
      </c>
      <c r="B146" s="28">
        <v>100</v>
      </c>
      <c r="C146" s="28">
        <v>1</v>
      </c>
      <c r="D146" s="28" t="s">
        <v>32</v>
      </c>
      <c r="E146" s="28" t="s">
        <v>149</v>
      </c>
      <c r="F146" s="28">
        <v>100</v>
      </c>
      <c r="G146" s="29">
        <v>114.31</v>
      </c>
      <c r="H146" s="30">
        <f>(G145*Ponderacion!F1)/G146</f>
        <v>73.484384568279239</v>
      </c>
      <c r="I146" s="28">
        <v>12</v>
      </c>
      <c r="J146" s="28">
        <f>VLOOKUP(D146,Ponderacion!A2:C4,2,0)</f>
        <v>3</v>
      </c>
      <c r="K146" s="28">
        <f>VLOOKUP(D146,Ponderacion!A2:C4,3,0)</f>
        <v>5</v>
      </c>
      <c r="L146" s="40">
        <f t="shared" si="4"/>
        <v>93.484384568279239</v>
      </c>
      <c r="M146" s="43">
        <f>+F146</f>
        <v>100</v>
      </c>
      <c r="N146" s="44">
        <f>+G146*M146</f>
        <v>11431</v>
      </c>
    </row>
    <row r="147" spans="1:14" ht="25.5" x14ac:dyDescent="0.25">
      <c r="A147" s="35">
        <v>55</v>
      </c>
      <c r="B147" s="28">
        <v>10</v>
      </c>
      <c r="C147" s="28">
        <v>1</v>
      </c>
      <c r="D147" s="28" t="s">
        <v>31</v>
      </c>
      <c r="E147" s="28" t="s">
        <v>150</v>
      </c>
      <c r="F147" s="28">
        <v>10</v>
      </c>
      <c r="G147" s="29">
        <v>436</v>
      </c>
      <c r="H147" s="30">
        <f>(G148*Ponderacion!F1)/G147</f>
        <v>56.053211009174312</v>
      </c>
      <c r="I147" s="28">
        <v>12</v>
      </c>
      <c r="J147" s="28">
        <f>VLOOKUP(D147,Ponderacion!A2:C4,2,0)</f>
        <v>3</v>
      </c>
      <c r="K147" s="28">
        <f>VLOOKUP(D147,Ponderacion!A2:C4,3,0)</f>
        <v>5</v>
      </c>
      <c r="L147" s="31">
        <f t="shared" si="4"/>
        <v>76.053211009174305</v>
      </c>
      <c r="M147" s="28"/>
      <c r="N147" s="34"/>
    </row>
    <row r="148" spans="1:14" ht="38.25" x14ac:dyDescent="0.25">
      <c r="A148" s="27">
        <v>55</v>
      </c>
      <c r="B148" s="28">
        <v>10</v>
      </c>
      <c r="C148" s="28">
        <v>1</v>
      </c>
      <c r="D148" s="28" t="s">
        <v>32</v>
      </c>
      <c r="E148" s="28" t="s">
        <v>151</v>
      </c>
      <c r="F148" s="28">
        <v>10</v>
      </c>
      <c r="G148" s="29">
        <v>305.49</v>
      </c>
      <c r="H148" s="30">
        <f>(G148*Ponderacion!F1)/G148</f>
        <v>80</v>
      </c>
      <c r="I148" s="28">
        <v>12</v>
      </c>
      <c r="J148" s="28">
        <f>VLOOKUP(D148,Ponderacion!A2:C4,2,0)</f>
        <v>3</v>
      </c>
      <c r="K148" s="28">
        <f>VLOOKUP(D148,Ponderacion!A2:C4,3,0)</f>
        <v>5</v>
      </c>
      <c r="L148" s="40">
        <f t="shared" si="4"/>
        <v>100</v>
      </c>
      <c r="M148" s="41">
        <f>F148</f>
        <v>10</v>
      </c>
      <c r="N148" s="42">
        <f>G148*M148</f>
        <v>3054.9</v>
      </c>
    </row>
    <row r="149" spans="1:14" ht="38.25" x14ac:dyDescent="0.25">
      <c r="A149" s="27">
        <v>55</v>
      </c>
      <c r="B149" s="28">
        <v>10</v>
      </c>
      <c r="C149" s="28">
        <v>1</v>
      </c>
      <c r="D149" s="28" t="s">
        <v>33</v>
      </c>
      <c r="E149" s="28" t="s">
        <v>151</v>
      </c>
      <c r="F149" s="28">
        <v>10</v>
      </c>
      <c r="G149" s="29">
        <v>610</v>
      </c>
      <c r="H149" s="30">
        <f>(G148*Ponderacion!F1)/G149</f>
        <v>40.064262295081967</v>
      </c>
      <c r="I149" s="28">
        <v>12</v>
      </c>
      <c r="J149" s="28">
        <f>VLOOKUP(D149,Ponderacion!A2:C4,2,0)</f>
        <v>1.5</v>
      </c>
      <c r="K149" s="28">
        <f>VLOOKUP(D149,Ponderacion!A2:C4,3,0)</f>
        <v>5</v>
      </c>
      <c r="L149" s="31">
        <f t="shared" si="4"/>
        <v>58.564262295081967</v>
      </c>
      <c r="M149" s="28"/>
      <c r="N149" s="34"/>
    </row>
    <row r="150" spans="1:14" ht="25.5" x14ac:dyDescent="0.25">
      <c r="A150" s="35">
        <v>56</v>
      </c>
      <c r="B150" s="28">
        <v>120</v>
      </c>
      <c r="C150" s="28">
        <v>1</v>
      </c>
      <c r="D150" s="28" t="s">
        <v>31</v>
      </c>
      <c r="E150" s="28" t="s">
        <v>152</v>
      </c>
      <c r="F150" s="28">
        <v>120</v>
      </c>
      <c r="G150" s="29">
        <v>1314</v>
      </c>
      <c r="H150" s="30">
        <f>(G150*Ponderacion!F1)/G150</f>
        <v>80</v>
      </c>
      <c r="I150" s="28">
        <v>12</v>
      </c>
      <c r="J150" s="28">
        <f>VLOOKUP(D150,Ponderacion!A2:C4,2,0)</f>
        <v>3</v>
      </c>
      <c r="K150" s="28">
        <f>VLOOKUP(D150,Ponderacion!A2:C4,3,0)</f>
        <v>5</v>
      </c>
      <c r="L150" s="40">
        <f t="shared" si="4"/>
        <v>100</v>
      </c>
      <c r="M150" s="41">
        <f>F150</f>
        <v>120</v>
      </c>
      <c r="N150" s="42">
        <f>G150*M150</f>
        <v>157680</v>
      </c>
    </row>
    <row r="151" spans="1:14" ht="25.5" x14ac:dyDescent="0.25">
      <c r="A151" s="35">
        <v>57</v>
      </c>
      <c r="B151" s="28">
        <v>30</v>
      </c>
      <c r="C151" s="28">
        <v>1</v>
      </c>
      <c r="D151" s="28" t="s">
        <v>31</v>
      </c>
      <c r="E151" s="28" t="s">
        <v>153</v>
      </c>
      <c r="F151" s="28">
        <v>30</v>
      </c>
      <c r="G151" s="29">
        <v>597</v>
      </c>
      <c r="H151" s="30">
        <f>(G152*Ponderacion!F1)/G151</f>
        <v>61.175209380234506</v>
      </c>
      <c r="I151" s="28">
        <v>12</v>
      </c>
      <c r="J151" s="28">
        <f>VLOOKUP(D151,Ponderacion!A2:C4,2,0)</f>
        <v>3</v>
      </c>
      <c r="K151" s="28">
        <f>VLOOKUP(D151,Ponderacion!A2:C4,3,0)</f>
        <v>5</v>
      </c>
      <c r="L151" s="31">
        <f t="shared" si="4"/>
        <v>81.175209380234506</v>
      </c>
      <c r="M151" s="28"/>
      <c r="N151" s="34"/>
    </row>
    <row r="152" spans="1:14" ht="38.25" x14ac:dyDescent="0.25">
      <c r="A152" s="27">
        <v>57</v>
      </c>
      <c r="B152" s="28">
        <v>30</v>
      </c>
      <c r="C152" s="28">
        <v>1</v>
      </c>
      <c r="D152" s="28" t="s">
        <v>32</v>
      </c>
      <c r="E152" s="28" t="s">
        <v>154</v>
      </c>
      <c r="F152" s="28">
        <v>30</v>
      </c>
      <c r="G152" s="29">
        <v>456.52</v>
      </c>
      <c r="H152" s="30">
        <f>(G152*Ponderacion!F1)/G152</f>
        <v>80</v>
      </c>
      <c r="I152" s="28">
        <v>12</v>
      </c>
      <c r="J152" s="28">
        <f>VLOOKUP(D152,Ponderacion!A2:C4,2,0)</f>
        <v>3</v>
      </c>
      <c r="K152" s="28">
        <f>VLOOKUP(D152,Ponderacion!A2:C4,3,0)</f>
        <v>5</v>
      </c>
      <c r="L152" s="40">
        <f t="shared" si="4"/>
        <v>100</v>
      </c>
      <c r="M152" s="41">
        <f>F152</f>
        <v>30</v>
      </c>
      <c r="N152" s="42">
        <f>G152*M152</f>
        <v>13695.599999999999</v>
      </c>
    </row>
    <row r="153" spans="1:14" ht="38.25" x14ac:dyDescent="0.25">
      <c r="A153" s="27">
        <v>57</v>
      </c>
      <c r="B153" s="28">
        <v>30</v>
      </c>
      <c r="C153" s="28">
        <v>1</v>
      </c>
      <c r="D153" s="28" t="s">
        <v>33</v>
      </c>
      <c r="E153" s="28" t="s">
        <v>154</v>
      </c>
      <c r="F153" s="28">
        <v>30</v>
      </c>
      <c r="G153" s="29">
        <v>800</v>
      </c>
      <c r="H153" s="30">
        <f>(G152*Ponderacion!F1)/G153</f>
        <v>45.652000000000001</v>
      </c>
      <c r="I153" s="28">
        <v>5</v>
      </c>
      <c r="J153" s="28">
        <f>VLOOKUP(D153,Ponderacion!A2:C4,2,0)</f>
        <v>1.5</v>
      </c>
      <c r="K153" s="28">
        <f>VLOOKUP(D153,Ponderacion!A2:C4,3,0)</f>
        <v>5</v>
      </c>
      <c r="L153" s="31">
        <f t="shared" si="4"/>
        <v>57.152000000000001</v>
      </c>
      <c r="M153" s="28"/>
      <c r="N153" s="34"/>
    </row>
    <row r="154" spans="1:14" ht="25.5" x14ac:dyDescent="0.25">
      <c r="A154" s="35">
        <v>58</v>
      </c>
      <c r="B154" s="28">
        <v>300</v>
      </c>
      <c r="C154" s="28">
        <v>1</v>
      </c>
      <c r="D154" s="28" t="s">
        <v>31</v>
      </c>
      <c r="E154" s="28" t="s">
        <v>155</v>
      </c>
      <c r="F154" s="28">
        <v>300</v>
      </c>
      <c r="G154" s="29">
        <v>63</v>
      </c>
      <c r="H154" s="30">
        <f>(G155*Ponderacion!F1)/G154</f>
        <v>58.285714285714285</v>
      </c>
      <c r="I154" s="28">
        <v>5</v>
      </c>
      <c r="J154" s="28">
        <f>VLOOKUP(D154,Ponderacion!A2:C4,2,0)</f>
        <v>3</v>
      </c>
      <c r="K154" s="28">
        <f>VLOOKUP(D154,Ponderacion!A2:C4,3,0)</f>
        <v>5</v>
      </c>
      <c r="L154" s="31">
        <f t="shared" si="4"/>
        <v>71.285714285714278</v>
      </c>
      <c r="M154" s="28"/>
      <c r="N154" s="34"/>
    </row>
    <row r="155" spans="1:14" ht="25.5" x14ac:dyDescent="0.25">
      <c r="A155" s="27">
        <v>58</v>
      </c>
      <c r="B155" s="28">
        <v>300</v>
      </c>
      <c r="C155" s="28">
        <v>1</v>
      </c>
      <c r="D155" s="28" t="s">
        <v>32</v>
      </c>
      <c r="E155" s="28" t="s">
        <v>156</v>
      </c>
      <c r="F155" s="28">
        <v>300</v>
      </c>
      <c r="G155" s="29">
        <v>45.9</v>
      </c>
      <c r="H155" s="30">
        <f>(G155*Ponderacion!F1)/G155</f>
        <v>80</v>
      </c>
      <c r="I155" s="28">
        <v>12</v>
      </c>
      <c r="J155" s="28">
        <f>VLOOKUP(D155,Ponderacion!A2:C4,2,0)</f>
        <v>3</v>
      </c>
      <c r="K155" s="28">
        <f>VLOOKUP(D155,Ponderacion!A2:C4,3,0)</f>
        <v>5</v>
      </c>
      <c r="L155" s="40">
        <f t="shared" si="4"/>
        <v>100</v>
      </c>
      <c r="M155" s="41">
        <f>F155</f>
        <v>300</v>
      </c>
      <c r="N155" s="42">
        <f>G155*M155</f>
        <v>13770</v>
      </c>
    </row>
    <row r="156" spans="1:14" ht="25.5" x14ac:dyDescent="0.25">
      <c r="A156" s="35">
        <v>59</v>
      </c>
      <c r="B156" s="28">
        <v>3100</v>
      </c>
      <c r="C156" s="28">
        <v>1</v>
      </c>
      <c r="D156" s="28" t="s">
        <v>31</v>
      </c>
      <c r="E156" s="28" t="s">
        <v>157</v>
      </c>
      <c r="F156" s="28">
        <v>3100</v>
      </c>
      <c r="G156" s="29">
        <v>53</v>
      </c>
      <c r="H156" s="30">
        <f>(G156*Ponderacion!F1)/G156</f>
        <v>80</v>
      </c>
      <c r="I156" s="28">
        <v>5</v>
      </c>
      <c r="J156" s="28">
        <f>VLOOKUP(D156,Ponderacion!A2:C4,2,0)</f>
        <v>3</v>
      </c>
      <c r="K156" s="28">
        <f>VLOOKUP(D156,Ponderacion!A2:C4,3,0)</f>
        <v>5</v>
      </c>
      <c r="L156" s="40">
        <f t="shared" si="4"/>
        <v>93</v>
      </c>
      <c r="M156" s="41">
        <f>F156</f>
        <v>3100</v>
      </c>
      <c r="N156" s="42">
        <f>G156*M156</f>
        <v>164300</v>
      </c>
    </row>
    <row r="157" spans="1:14" ht="38.25" x14ac:dyDescent="0.25">
      <c r="A157" s="35">
        <v>60</v>
      </c>
      <c r="B157" s="28">
        <v>3100</v>
      </c>
      <c r="C157" s="28">
        <v>1</v>
      </c>
      <c r="D157" s="28" t="s">
        <v>31</v>
      </c>
      <c r="E157" s="28" t="s">
        <v>158</v>
      </c>
      <c r="F157" s="28">
        <v>3100</v>
      </c>
      <c r="G157" s="29">
        <v>12</v>
      </c>
      <c r="H157" s="30">
        <f>(G158*Ponderacion!F1)/G157</f>
        <v>48.666666666666664</v>
      </c>
      <c r="I157" s="28">
        <v>5</v>
      </c>
      <c r="J157" s="28">
        <f>VLOOKUP(D157,Ponderacion!A2:C4,2,0)</f>
        <v>3</v>
      </c>
      <c r="K157" s="28">
        <f>VLOOKUP(D157,Ponderacion!A2:C4,3,0)</f>
        <v>5</v>
      </c>
      <c r="L157" s="31">
        <f t="shared" si="4"/>
        <v>61.666666666666664</v>
      </c>
      <c r="M157" s="28"/>
      <c r="N157" s="34"/>
    </row>
    <row r="158" spans="1:14" ht="39" thickBot="1" x14ac:dyDescent="0.3">
      <c r="A158" s="36">
        <v>60</v>
      </c>
      <c r="B158" s="37">
        <v>3100</v>
      </c>
      <c r="C158" s="37">
        <v>1</v>
      </c>
      <c r="D158" s="37" t="s">
        <v>32</v>
      </c>
      <c r="E158" s="37" t="s">
        <v>159</v>
      </c>
      <c r="F158" s="37">
        <v>3100</v>
      </c>
      <c r="G158" s="38">
        <v>7.3</v>
      </c>
      <c r="H158" s="39">
        <f>(G158*Ponderacion!F1)/G158</f>
        <v>80</v>
      </c>
      <c r="I158" s="37">
        <v>5</v>
      </c>
      <c r="J158" s="37">
        <f>VLOOKUP(D158,Ponderacion!A2:C4,2,0)</f>
        <v>3</v>
      </c>
      <c r="K158" s="37">
        <f>VLOOKUP(D158,Ponderacion!A2:C4,3,0)</f>
        <v>5</v>
      </c>
      <c r="L158" s="45">
        <f t="shared" si="4"/>
        <v>93</v>
      </c>
      <c r="M158" s="46">
        <f>F158</f>
        <v>3100</v>
      </c>
      <c r="N158" s="47">
        <f>G158*M158</f>
        <v>22630</v>
      </c>
    </row>
    <row r="159" spans="1:14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9"/>
      <c r="M159" s="48"/>
      <c r="N159" s="48"/>
    </row>
    <row r="160" spans="1:14" ht="152.25" customHeight="1" x14ac:dyDescent="0.25">
      <c r="A160" s="52" t="s">
        <v>162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4"/>
    </row>
  </sheetData>
  <sheetProtection formatCells="0" formatColumns="0" formatRows="0" autoFilter="0"/>
  <autoFilter ref="A7:N158" xr:uid="{00000000-0001-0000-0100-000000000000}"/>
  <mergeCells count="3">
    <mergeCell ref="A2:I2"/>
    <mergeCell ref="A5:L5"/>
    <mergeCell ref="A160:N160"/>
  </mergeCells>
  <pageMargins left="0.25" right="0.25" top="0.75" bottom="0.75" header="0.3" footer="0.3"/>
  <pageSetup paperSize="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Ponderacion</vt:lpstr>
      <vt:lpstr>Cuadro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VISÑOVEZKY</dc:creator>
  <cp:lastModifiedBy>GABRIEL VISÑOVEZKY</cp:lastModifiedBy>
  <cp:lastPrinted>2022-02-24T13:02:02Z</cp:lastPrinted>
  <dcterms:created xsi:type="dcterms:W3CDTF">2020-08-31T13:23:26Z</dcterms:created>
  <dcterms:modified xsi:type="dcterms:W3CDTF">2022-02-25T12:42:25Z</dcterms:modified>
</cp:coreProperties>
</file>