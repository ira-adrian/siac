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OLFO SARTOR\Downloads\COMBUSTIBLE GABINETE\"/>
    </mc:Choice>
  </mc:AlternateContent>
  <xr:revisionPtr revIDLastSave="0" documentId="13_ncr:1_{2B1CEF6D-2218-4286-9F28-884FD89653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NT" sheetId="6" r:id="rId1"/>
    <sheet name="APG" sheetId="1" r:id="rId2"/>
    <sheet name="NP" sheetId="2" r:id="rId3"/>
  </sheets>
  <definedNames>
    <definedName name="_xlnm.Print_Area" localSheetId="1">APG!$A$1:$Q$30</definedName>
    <definedName name="_xlnm.Print_Area" localSheetId="2">NP!$A$1:$T$15</definedName>
    <definedName name="_xlnm.Print_Area" localSheetId="0">PNT!$A$1:$I$29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5" i="2" l="1"/>
  <c r="S14" i="2"/>
  <c r="S13" i="2"/>
  <c r="V18" i="1"/>
  <c r="V19" i="1" s="1"/>
  <c r="V17" i="1"/>
  <c r="C3" i="6"/>
  <c r="E5" i="2" s="1"/>
  <c r="C2" i="6"/>
  <c r="E4" i="2" s="1"/>
  <c r="Q14" i="2"/>
  <c r="Q13" i="2"/>
  <c r="O14" i="2"/>
  <c r="O13" i="2"/>
  <c r="C14" i="2"/>
  <c r="C13" i="2"/>
  <c r="B14" i="2"/>
  <c r="B13" i="2"/>
  <c r="I7" i="6"/>
  <c r="I8" i="6" l="1"/>
  <c r="I9" i="6" s="1"/>
  <c r="Q15" i="2" s="1"/>
  <c r="E6" i="2" l="1"/>
  <c r="Q26" i="1"/>
</calcChain>
</file>

<file path=xl/sharedStrings.xml><?xml version="1.0" encoding="utf-8"?>
<sst xmlns="http://schemas.openxmlformats.org/spreadsheetml/2006/main" count="112" uniqueCount="91">
  <si>
    <t xml:space="preserve"> </t>
  </si>
  <si>
    <t>UNIDAD EJECUTORA:</t>
  </si>
  <si>
    <t xml:space="preserve">I M P O R T E </t>
  </si>
  <si>
    <t>PR</t>
  </si>
  <si>
    <t>SB</t>
  </si>
  <si>
    <t>PY</t>
  </si>
  <si>
    <t>AC</t>
  </si>
  <si>
    <t>OB</t>
  </si>
  <si>
    <t>FIN.</t>
  </si>
  <si>
    <t>I</t>
  </si>
  <si>
    <t>P</t>
  </si>
  <si>
    <t>SUBP</t>
  </si>
  <si>
    <t>M</t>
  </si>
  <si>
    <t>FF</t>
  </si>
  <si>
    <t>OBJETO:</t>
  </si>
  <si>
    <t>ITEM</t>
  </si>
  <si>
    <t>Adjunta Detalle Técnico</t>
  </si>
  <si>
    <t>Unidad de Medida</t>
  </si>
  <si>
    <t>Cantidad Solicitada</t>
  </si>
  <si>
    <t>JURISDICCIÓN:</t>
  </si>
  <si>
    <t>IMPUTACIÓN PRESUPUESTARIA</t>
  </si>
  <si>
    <t>CÓDIGO</t>
  </si>
  <si>
    <t>AUTORIZACIÓN PARA</t>
  </si>
  <si>
    <t>GASTAR</t>
  </si>
  <si>
    <t>SAF:</t>
  </si>
  <si>
    <t>DEPENDENCIA SOLICITANTE:</t>
  </si>
  <si>
    <r>
      <t>AUTORIZACIÓN</t>
    </r>
    <r>
      <rPr>
        <b/>
        <sz val="9"/>
        <rFont val="Arial"/>
        <family val="2"/>
      </rPr>
      <t>:</t>
    </r>
  </si>
  <si>
    <t>UG</t>
  </si>
  <si>
    <t>DENOMINACIÓN DE LA PARTIDA PRESUPUESTARIA</t>
  </si>
  <si>
    <t>JUSTIFICACION:</t>
  </si>
  <si>
    <t>FUN.</t>
  </si>
  <si>
    <t>SECRETARIA DE ESTADO DE GABINETE</t>
  </si>
  <si>
    <t>15 - SECRETARIA DE ESTADO DE GABINETE</t>
  </si>
  <si>
    <t xml:space="preserve">TOTAL DE PESOS: </t>
  </si>
  <si>
    <t>NOTA DE PEDIDO</t>
  </si>
  <si>
    <t>Precio Unitario Estimado</t>
  </si>
  <si>
    <t>DESCRIPCION</t>
  </si>
  <si>
    <t>Costo Total Estimado:</t>
  </si>
  <si>
    <t>JURISDICCION:</t>
  </si>
  <si>
    <t>PERIODO UTILIZACION:</t>
  </si>
  <si>
    <t>Señor Director de Administración o Titular del Servicio Administrativo Financiero:</t>
  </si>
  <si>
    <t>Autorizo la realización de los  trámites  correspondientes, a  fin de (proveer a este Organismo los bienes, servicios o ejecución de obras</t>
  </si>
  <si>
    <t>aprobados a favor de esta Unidad Ejecutora, conforme el siguiente detalle:</t>
  </si>
  <si>
    <t>Pedido de Necesidades Trimestrales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</si>
  <si>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</si>
  <si>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</si>
  <si>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</si>
  <si>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</si>
  <si>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</si>
  <si>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</si>
  <si>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</si>
  <si>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UNIDAD DE MEDIDA</t>
  </si>
  <si>
    <t>CANTIDAD</t>
  </si>
  <si>
    <t>PRECIO UNITARIO ESTIMADO</t>
  </si>
  <si>
    <t xml:space="preserve">IMPORTE TOTAL ESTIMADO </t>
  </si>
  <si>
    <t>Plazo y Lugar de entrega:</t>
  </si>
  <si>
    <t>Calidad Minima esperada:</t>
  </si>
  <si>
    <t>que cumpla con todo lo solicitado en forma íntegra.</t>
  </si>
  <si>
    <t>Mantenimiento:</t>
  </si>
  <si>
    <t>NO</t>
  </si>
  <si>
    <t>TOTAL RUBRO DE COMPRA:</t>
  </si>
  <si>
    <t>1.1</t>
  </si>
  <si>
    <t>2.5.6</t>
  </si>
  <si>
    <t>NAFTA SUPER; TIPO: PREMIUN, OCTANO: 97, PRESENTACION: POR LITRO, DESTINO: DPTO. S.F.V. DE CATAMARCA, COMERCIALIZACION: SIN VALOR</t>
  </si>
  <si>
    <t>LITROS</t>
  </si>
  <si>
    <t>COMBUSTIBLES Y LUBRICANTES</t>
  </si>
  <si>
    <t xml:space="preserve">Combustibles y Lubricantes </t>
  </si>
  <si>
    <t>PARA LOS VEHICULOS DEPENDIENTES DE LA SECRETARIA DE ESTADO DE GABINETE</t>
  </si>
  <si>
    <t>ADQUISICION DE COMBUSTIBLE PARA LOS VEHICULOS DEPENDIENTES DE LA SECRETARIA DE ESTADO DE GABINETE</t>
  </si>
  <si>
    <t>DIRECCION PROVINCIAL DE ADMINISTRACION FINANCIERA</t>
  </si>
  <si>
    <t>21 - DIRECCION PROVINCIAL DE ADMINISTRACION FINANCIERA</t>
  </si>
  <si>
    <t>Código Ítem</t>
  </si>
  <si>
    <t>LTS</t>
  </si>
  <si>
    <t>2.5.6-793.31</t>
  </si>
  <si>
    <t>GAS OIL; PRESENTACION: POR LITRO, USO: MOTORES DIESEL, COMERCIALIZACION: GRADO 3, DESTINO: DPTO. S.F.V. DE CATAMARCA</t>
  </si>
  <si>
    <t>2.5.6-797.24</t>
  </si>
  <si>
    <t>Descripcion Tecnica:</t>
  </si>
  <si>
    <t>GAS OIL; PRESENTACION: POR LITRO, USO: MOTORES DIESEL, COMERCIALIZACION: GRADO 3</t>
  </si>
  <si>
    <t>NAFTA SUPER; TIPO: PREMIUN, OCTANO: 97, PRESENTACION: POR LITRO, COMERCIALIZACION: SIN VALOR</t>
  </si>
  <si>
    <t>Especificidades Item n° 1</t>
  </si>
  <si>
    <t>Especificidades Item n° 2</t>
  </si>
  <si>
    <t>NAFTA</t>
  </si>
  <si>
    <t>DIESEL</t>
  </si>
  <si>
    <t>TRES MILLONES CIENTO CUATRO MIL CIENTO OCHENTA Y SIETE con 50/100</t>
  </si>
  <si>
    <t>EJERCICIO: 2022</t>
  </si>
  <si>
    <r>
      <t xml:space="preserve">publicas que se detallan en Nota de Pedido N°      </t>
    </r>
    <r>
      <rPr>
        <b/>
        <sz val="16"/>
        <rFont val="Cambria"/>
        <family val="1"/>
        <scheme val="major"/>
      </rPr>
      <t>005/2022</t>
    </r>
    <r>
      <rPr>
        <sz val="16"/>
        <rFont val="Cambria"/>
        <family val="1"/>
        <scheme val="major"/>
      </rPr>
      <t xml:space="preserve">    </t>
    </r>
    <r>
      <rPr>
        <sz val="10"/>
        <rFont val="Arial"/>
        <family val="2"/>
      </rPr>
      <t xml:space="preserve">    ) afectando la erogacion resultante a los creditos presupuestarios            </t>
    </r>
  </si>
  <si>
    <t>treinta 30 dias</t>
  </si>
  <si>
    <r>
      <t xml:space="preserve">Plazo de Entrega: cinco (5) días habiles - Periodo de Utilizacion: 3 meses. </t>
    </r>
    <r>
      <rPr>
        <b/>
        <sz val="10"/>
        <rFont val="Arial"/>
        <family val="2"/>
      </rPr>
      <t>Entrega de vales de 10 litros cada uno</t>
    </r>
    <r>
      <rPr>
        <sz val="10"/>
        <rFont val="Arial"/>
        <family val="2"/>
      </rPr>
      <t>, según pliego. Lugar de Entrega: Casa de Gobierno, sito en Avda. Pte. Castillo esq. Maria Hayde de Varela, de esta ciudad capital.</t>
    </r>
  </si>
  <si>
    <t>2do. Trimestre</t>
  </si>
  <si>
    <r>
      <t xml:space="preserve">N° </t>
    </r>
    <r>
      <rPr>
        <b/>
        <sz val="16"/>
        <rFont val="Cambria"/>
        <family val="1"/>
        <scheme val="major"/>
      </rPr>
      <t>005/2021</t>
    </r>
  </si>
  <si>
    <t>2do TRIMESTRE - AÑO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</si>
</sst>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[$$-2C0A]\ #,##0.00"/>
    <numFmt numFmtId="165" formatCode="[$$-2C0A]\ #,##0.00;[Red][$$-2C0A]\ #,##0.00"/>
    <numFmt numFmtId="166" formatCode="_ [$€-2]\ * #,##0.00_ ;_ [$€-2]\ * \-#,##0.00_ ;_ [$€-2]\ * &quot;-&quot;??_ "/>
    <numFmt numFmtId="167" formatCode="&quot;$&quot;\ #,##0.00"/>
  </numFmts>
  <fonts count="3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 Narrow"/>
      <family val="2"/>
    </font>
    <font>
      <u/>
      <sz val="8"/>
      <name val="Arial"/>
      <family val="2"/>
    </font>
    <font>
      <b/>
      <sz val="11"/>
      <name val="Arial"/>
      <family val="2"/>
    </font>
    <font>
      <b/>
      <u/>
      <sz val="9"/>
      <name val="Arial"/>
      <family val="2"/>
    </font>
    <font>
      <b/>
      <u/>
      <sz val="22"/>
      <name val="Arial Narrow"/>
      <family val="2"/>
    </font>
    <font>
      <b/>
      <sz val="22"/>
      <name val="Arial Narrow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6"/>
      <name val="Cambria"/>
      <family val="1"/>
      <scheme val="major"/>
    </font>
    <font>
      <b/>
      <sz val="16"/>
      <name val="Cambria"/>
      <family val="1"/>
      <scheme val="major"/>
    </font>
    <font>
      <b/>
      <sz val="18"/>
      <name val="Times New Roman"/>
      <family val="1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3">
    <xf numFmtId="0" fontId="0" fillId="0" borderId="0"/>
    <xf numFmtId="166" fontId="18" fillId="0" borderId="0" applyFont="0" applyFill="0" applyBorder="0" applyAlignment="0" applyProtection="0"/>
    <xf numFmtId="44" fontId="21" fillId="0" borderId="0" applyFont="0" applyFill="0" applyBorder="0" applyAlignment="0" applyProtection="0"/>
  </cellStyleXfs>
  <cellXfs count="214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1" fillId="0" borderId="1" xfId="0" applyFont="1" applyBorder="1"/>
    <xf numFmtId="0" fontId="1" fillId="0" borderId="0" xfId="0" applyFont="1" applyBorder="1" applyAlignment="1">
      <alignment horizontal="left"/>
    </xf>
    <xf numFmtId="0" fontId="1" fillId="0" borderId="2" xfId="0" applyFont="1" applyBorder="1"/>
    <xf numFmtId="0" fontId="1" fillId="0" borderId="3" xfId="0" applyFont="1" applyBorder="1"/>
    <xf numFmtId="0" fontId="6" fillId="0" borderId="0" xfId="0" applyFont="1" applyBorder="1" applyAlignment="1">
      <alignment vertical="center"/>
    </xf>
    <xf numFmtId="0" fontId="6" fillId="0" borderId="0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right" vertical="center" wrapText="1"/>
    </xf>
    <xf numFmtId="165" fontId="4" fillId="0" borderId="13" xfId="0" applyNumberFormat="1" applyFont="1" applyBorder="1" applyAlignment="1">
      <alignment vertical="center"/>
    </xf>
    <xf numFmtId="165" fontId="1" fillId="0" borderId="13" xfId="0" applyNumberFormat="1" applyFont="1" applyBorder="1" applyAlignment="1">
      <alignment vertical="center"/>
    </xf>
    <xf numFmtId="165" fontId="1" fillId="0" borderId="14" xfId="0" applyNumberFormat="1" applyFont="1" applyBorder="1" applyAlignment="1">
      <alignment vertical="center"/>
    </xf>
    <xf numFmtId="0" fontId="1" fillId="0" borderId="15" xfId="0" applyFont="1" applyBorder="1"/>
    <xf numFmtId="0" fontId="2" fillId="0" borderId="15" xfId="0" applyFont="1" applyBorder="1" applyAlignment="1"/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7" fillId="0" borderId="2" xfId="0" applyFont="1" applyBorder="1" applyAlignment="1">
      <alignment vertical="top" wrapText="1"/>
    </xf>
    <xf numFmtId="0" fontId="8" fillId="0" borderId="19" xfId="0" applyFont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 wrapText="1"/>
    </xf>
    <xf numFmtId="0" fontId="20" fillId="0" borderId="0" xfId="0" applyFont="1"/>
    <xf numFmtId="0" fontId="24" fillId="0" borderId="0" xfId="0" applyFont="1" applyAlignment="1">
      <alignment horizontal="left" wrapText="1"/>
    </xf>
    <xf numFmtId="0" fontId="24" fillId="0" borderId="0" xfId="0" applyFont="1" applyAlignment="1">
      <alignment horizontal="center" wrapText="1"/>
    </xf>
    <xf numFmtId="0" fontId="26" fillId="0" borderId="49" xfId="0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30" xfId="0" applyBorder="1" applyAlignment="1">
      <alignment vertical="center"/>
    </xf>
    <xf numFmtId="0" fontId="22" fillId="0" borderId="21" xfId="0" applyFont="1" applyBorder="1" applyAlignment="1">
      <alignment vertical="center"/>
    </xf>
    <xf numFmtId="0" fontId="28" fillId="0" borderId="54" xfId="0" applyFont="1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51" xfId="0" applyBorder="1" applyAlignment="1">
      <alignment vertical="center"/>
    </xf>
    <xf numFmtId="0" fontId="25" fillId="0" borderId="0" xfId="0" applyFont="1" applyAlignment="1">
      <alignment vertical="center" wrapText="1"/>
    </xf>
    <xf numFmtId="0" fontId="29" fillId="0" borderId="46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/>
    </xf>
    <xf numFmtId="0" fontId="29" fillId="0" borderId="43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30" fillId="0" borderId="51" xfId="0" applyFont="1" applyBorder="1" applyAlignment="1">
      <alignment horizontal="left" vertical="center" wrapText="1"/>
    </xf>
    <xf numFmtId="0" fontId="31" fillId="0" borderId="52" xfId="0" applyFont="1" applyBorder="1" applyAlignment="1">
      <alignment horizontal="left" vertical="center" wrapText="1"/>
    </xf>
    <xf numFmtId="0" fontId="32" fillId="0" borderId="49" xfId="0" applyFont="1" applyBorder="1" applyAlignment="1">
      <alignment horizontal="center" vertical="center" wrapText="1"/>
    </xf>
    <xf numFmtId="167" fontId="31" fillId="0" borderId="53" xfId="2" applyNumberFormat="1" applyFont="1" applyFill="1" applyBorder="1" applyAlignment="1" applyProtection="1">
      <alignment horizontal="center" vertical="center" wrapText="1"/>
    </xf>
    <xf numFmtId="167" fontId="31" fillId="0" borderId="46" xfId="2" applyNumberFormat="1" applyFont="1" applyBorder="1" applyAlignment="1" applyProtection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1" fontId="32" fillId="0" borderId="49" xfId="0" applyNumberFormat="1" applyFont="1" applyBorder="1" applyAlignment="1">
      <alignment horizontal="center" vertical="center" wrapText="1"/>
    </xf>
    <xf numFmtId="0" fontId="32" fillId="0" borderId="50" xfId="0" applyFont="1" applyBorder="1" applyAlignment="1">
      <alignment horizontal="center" vertical="center"/>
    </xf>
    <xf numFmtId="167" fontId="27" fillId="0" borderId="43" xfId="0" applyNumberFormat="1" applyFont="1" applyBorder="1" applyAlignment="1">
      <alignment horizontal="center" vertical="center"/>
    </xf>
    <xf numFmtId="167" fontId="0" fillId="0" borderId="0" xfId="0" applyNumberFormat="1" applyBorder="1"/>
    <xf numFmtId="0" fontId="0" fillId="0" borderId="0" xfId="0" applyNumberFormat="1" applyBorder="1"/>
    <xf numFmtId="0" fontId="6" fillId="0" borderId="0" xfId="0" applyFont="1" applyBorder="1" applyAlignment="1">
      <alignment horizontal="center" vertical="center"/>
    </xf>
    <xf numFmtId="0" fontId="0" fillId="0" borderId="21" xfId="0" applyBorder="1"/>
    <xf numFmtId="0" fontId="19" fillId="0" borderId="1" xfId="0" applyFont="1" applyBorder="1" applyAlignment="1">
      <alignment vertical="center"/>
    </xf>
    <xf numFmtId="0" fontId="0" fillId="0" borderId="30" xfId="0" applyBorder="1"/>
    <xf numFmtId="0" fontId="6" fillId="0" borderId="2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10" fillId="0" borderId="5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8" fillId="0" borderId="22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wrapText="1"/>
    </xf>
    <xf numFmtId="0" fontId="11" fillId="0" borderId="27" xfId="0" applyFont="1" applyBorder="1" applyAlignment="1">
      <alignment horizontal="center" wrapText="1"/>
    </xf>
    <xf numFmtId="0" fontId="8" fillId="0" borderId="27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wrapText="1"/>
    </xf>
    <xf numFmtId="0" fontId="11" fillId="0" borderId="34" xfId="0" applyFont="1" applyBorder="1" applyAlignment="1">
      <alignment horizontal="center" wrapText="1"/>
    </xf>
    <xf numFmtId="0" fontId="10" fillId="0" borderId="19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10" fillId="0" borderId="25" xfId="0" applyFont="1" applyBorder="1" applyAlignment="1">
      <alignment horizontal="left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right" vertical="center" wrapText="1"/>
    </xf>
    <xf numFmtId="0" fontId="4" fillId="0" borderId="23" xfId="0" applyFont="1" applyBorder="1" applyAlignment="1">
      <alignment horizontal="right" vertical="center" wrapText="1"/>
    </xf>
    <xf numFmtId="0" fontId="1" fillId="0" borderId="23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14" fillId="0" borderId="19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21" xfId="0" applyFont="1" applyBorder="1" applyAlignment="1">
      <alignment horizontal="center" vertical="top"/>
    </xf>
    <xf numFmtId="0" fontId="14" fillId="0" borderId="3" xfId="0" applyFont="1" applyBorder="1" applyAlignment="1">
      <alignment horizontal="center" vertical="top"/>
    </xf>
    <xf numFmtId="0" fontId="3" fillId="0" borderId="41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6" fillId="0" borderId="10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10" fillId="0" borderId="35" xfId="0" applyFont="1" applyBorder="1" applyAlignment="1">
      <alignment horizontal="right" vertical="center"/>
    </xf>
    <xf numFmtId="0" fontId="10" fillId="0" borderId="36" xfId="0" applyFont="1" applyBorder="1" applyAlignment="1">
      <alignment horizontal="right" vertical="center"/>
    </xf>
    <xf numFmtId="0" fontId="6" fillId="0" borderId="36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15" fillId="0" borderId="19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" fillId="0" borderId="54" xfId="0" applyFont="1" applyBorder="1" applyAlignment="1">
      <alignment horizontal="left" vertical="center"/>
    </xf>
    <xf numFmtId="0" fontId="1" fillId="0" borderId="47" xfId="0" applyFont="1" applyBorder="1" applyAlignment="1">
      <alignment horizontal="left" vertical="center"/>
    </xf>
    <xf numFmtId="0" fontId="1" fillId="0" borderId="5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36" fillId="0" borderId="0" xfId="0" applyFont="1" applyFill="1" applyAlignment="1">
      <alignment horizontal="left" wrapText="1" indent="1"/>
    </xf>
    <xf numFmtId="0" fontId="20" fillId="0" borderId="44" xfId="0" applyFont="1" applyBorder="1" applyAlignment="1">
      <alignment horizontal="right" vertical="center"/>
    </xf>
    <xf numFmtId="0" fontId="20" fillId="0" borderId="48" xfId="0" applyFont="1" applyBorder="1" applyAlignment="1">
      <alignment horizontal="right" vertical="center"/>
    </xf>
    <xf numFmtId="0" fontId="20" fillId="0" borderId="45" xfId="0" applyFont="1" applyBorder="1" applyAlignment="1">
      <alignment horizontal="right" vertical="center"/>
    </xf>
    <xf numFmtId="0" fontId="36" fillId="0" borderId="0" xfId="0" applyFont="1" applyAlignment="1">
      <alignment horizontal="left" wrapText="1"/>
    </xf>
    <xf numFmtId="0" fontId="23" fillId="0" borderId="0" xfId="0" applyFont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164" fontId="9" fillId="0" borderId="22" xfId="0" applyNumberFormat="1" applyFont="1" applyBorder="1" applyAlignment="1">
      <alignment horizontal="center" vertical="center"/>
    </xf>
    <xf numFmtId="164" fontId="9" fillId="0" borderId="23" xfId="0" applyNumberFormat="1" applyFont="1" applyBorder="1" applyAlignment="1">
      <alignment horizontal="center" vertical="center"/>
    </xf>
    <xf numFmtId="164" fontId="9" fillId="0" borderId="24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right" vertical="center"/>
    </xf>
    <xf numFmtId="0" fontId="9" fillId="0" borderId="23" xfId="0" applyFont="1" applyBorder="1" applyAlignment="1">
      <alignment horizontal="right" vertical="center"/>
    </xf>
    <xf numFmtId="0" fontId="9" fillId="0" borderId="23" xfId="0" applyFont="1" applyBorder="1" applyAlignment="1">
      <alignment horizontal="left" vertical="center"/>
    </xf>
    <xf numFmtId="0" fontId="6" fillId="0" borderId="22" xfId="0" applyFont="1" applyFill="1" applyBorder="1" applyAlignment="1">
      <alignment horizontal="left" vertical="center" wrapText="1"/>
    </xf>
    <xf numFmtId="0" fontId="6" fillId="0" borderId="23" xfId="0" applyFont="1" applyFill="1" applyBorder="1" applyAlignment="1">
      <alignment horizontal="left" vertical="center" wrapText="1"/>
    </xf>
    <xf numFmtId="0" fontId="6" fillId="0" borderId="24" xfId="0" applyFont="1" applyFill="1" applyBorder="1" applyAlignment="1">
      <alignment horizontal="left" vertical="center" wrapText="1"/>
    </xf>
    <xf numFmtId="49" fontId="6" fillId="0" borderId="20" xfId="0" applyNumberFormat="1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1" fillId="0" borderId="19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164" fontId="11" fillId="0" borderId="22" xfId="0" applyNumberFormat="1" applyFont="1" applyBorder="1" applyAlignment="1">
      <alignment horizontal="right" vertical="center" wrapText="1"/>
    </xf>
    <xf numFmtId="164" fontId="11" fillId="0" borderId="24" xfId="0" applyNumberFormat="1" applyFont="1" applyBorder="1" applyAlignment="1">
      <alignment horizontal="right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164" fontId="11" fillId="0" borderId="19" xfId="0" applyNumberFormat="1" applyFont="1" applyBorder="1" applyAlignment="1">
      <alignment horizontal="right" vertical="center" wrapText="1"/>
    </xf>
    <xf numFmtId="164" fontId="11" fillId="0" borderId="25" xfId="0" applyNumberFormat="1" applyFont="1" applyBorder="1" applyAlignment="1">
      <alignment horizontal="right" vertical="center" wrapText="1"/>
    </xf>
    <xf numFmtId="1" fontId="11" fillId="0" borderId="19" xfId="0" applyNumberFormat="1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25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center" vertical="top" wrapText="1"/>
    </xf>
    <xf numFmtId="0" fontId="16" fillId="0" borderId="15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16" fillId="0" borderId="0" xfId="0" applyFont="1" applyBorder="1" applyAlignment="1">
      <alignment horizontal="center" vertical="top" wrapText="1"/>
    </xf>
    <xf numFmtId="0" fontId="16" fillId="0" borderId="21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center" vertical="top" wrapText="1"/>
    </xf>
    <xf numFmtId="0" fontId="6" fillId="0" borderId="2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right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/>
    <xf numFmtId="0" fontId="4" fillId="0" borderId="40" xfId="0" applyFont="1" applyBorder="1" applyAlignment="1"/>
    <xf numFmtId="0" fontId="4" fillId="0" borderId="12" xfId="0" applyFont="1" applyBorder="1" applyAlignment="1">
      <alignment wrapText="1"/>
    </xf>
    <xf numFmtId="0" fontId="4" fillId="0" borderId="40" xfId="0" applyFont="1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right" vertical="center"/>
    </xf>
    <xf numFmtId="0" fontId="4" fillId="0" borderId="23" xfId="0" applyFont="1" applyBorder="1" applyAlignment="1">
      <alignment horizontal="right" vertical="center"/>
    </xf>
    <xf numFmtId="0" fontId="4" fillId="0" borderId="24" xfId="0" applyFont="1" applyBorder="1" applyAlignment="1">
      <alignment horizontal="right" vertical="center"/>
    </xf>
    <xf numFmtId="0" fontId="4" fillId="0" borderId="20" xfId="0" applyFont="1" applyBorder="1" applyAlignment="1">
      <alignment horizontal="right" vertical="center" wrapText="1"/>
    </xf>
    <xf numFmtId="0" fontId="11" fillId="0" borderId="15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4" fillId="0" borderId="3" xfId="0" applyFont="1" applyBorder="1" applyAlignment="1">
      <alignment wrapText="1"/>
    </xf>
  </cellXfs>
  <cellStyles count="3">
    <cellStyle name="Euro" xfId="1" xr:uid="{00000000-0005-0000-0000-000000000000}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15</xdr:row>
      <xdr:rowOff>7620</xdr:rowOff>
    </xdr:from>
    <xdr:to>
      <xdr:col>14</xdr:col>
      <xdr:colOff>0</xdr:colOff>
      <xdr:row>25</xdr:row>
      <xdr:rowOff>7620</xdr:rowOff>
    </xdr:to>
    <xdr:sp macro="" textlink="">
      <xdr:nvSpPr>
        <xdr:cNvPr id="1587" name="Line 2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SpPr>
          <a:spLocks noChangeShapeType="1"/>
        </xdr:cNvSpPr>
      </xdr:nvSpPr>
      <xdr:spPr bwMode="auto">
        <a:xfrm>
          <a:off x="4267200" y="4655820"/>
          <a:ext cx="0" cy="26670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0</xdr:colOff>
      <xdr:row>14</xdr:row>
      <xdr:rowOff>0</xdr:rowOff>
    </xdr:to>
    <xdr:sp macro="" textlink="">
      <xdr:nvSpPr>
        <xdr:cNvPr id="1588" name="Line 11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SpPr>
          <a:spLocks noChangeShapeType="1"/>
        </xdr:cNvSpPr>
      </xdr:nvSpPr>
      <xdr:spPr bwMode="auto">
        <a:xfrm>
          <a:off x="4267200" y="4114800"/>
          <a:ext cx="0" cy="2667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15</xdr:row>
      <xdr:rowOff>0</xdr:rowOff>
    </xdr:from>
    <xdr:to>
      <xdr:col>18</xdr:col>
      <xdr:colOff>91440</xdr:colOff>
      <xdr:row>16</xdr:row>
      <xdr:rowOff>60960</xdr:rowOff>
    </xdr:to>
    <xdr:sp macro="" textlink="">
      <xdr:nvSpPr>
        <xdr:cNvPr id="2131" name="Text Box 1">
          <a:extLst>
            <a:ext uri="{FF2B5EF4-FFF2-40B4-BE49-F238E27FC236}">
              <a16:creationId xmlns:a16="http://schemas.microsoft.com/office/drawing/2014/main" id="{00000000-0008-0000-0100-000053080000}"/>
            </a:ext>
          </a:extLst>
        </xdr:cNvPr>
        <xdr:cNvSpPr txBox="1">
          <a:spLocks noChangeArrowheads="1"/>
        </xdr:cNvSpPr>
      </xdr:nvSpPr>
      <xdr:spPr bwMode="auto">
        <a:xfrm>
          <a:off x="9669780" y="7170420"/>
          <a:ext cx="9144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1A03-AF3F-42D6-8934-A613809EC8E7}">
  <dimension ref="A1:K29"/>
  <sheetViews>
    <sheetView tabSelected="1" workbookViewId="0">
      <selection activeCell="H20" sqref="H20"/>
    </sheetView>
  </sheetViews>
  <sheetFormatPr baseColWidth="10" defaultRowHeight="12.75" x14ac:dyDescent="0.2"/>
  <cols>
    <col min="1" max="1" width="3.28515625" customWidth="1"/>
    <col min="2" max="2" width="13.85546875" customWidth="1"/>
    <col min="3" max="3" width="18.28515625" customWidth="1"/>
    <col min="4" max="4" width="5.7109375" customWidth="1"/>
    <col min="5" max="5" width="53.28515625" customWidth="1"/>
    <col min="6" max="6" width="11" customWidth="1"/>
    <col min="7" max="7" width="10.140625" customWidth="1"/>
    <col min="8" max="8" width="11.85546875" customWidth="1"/>
    <col min="9" max="9" width="18.7109375" customWidth="1"/>
    <col min="10" max="10" width="11.7109375" customWidth="1"/>
  </cols>
  <sheetData>
    <row r="1" spans="1:11" ht="22.15" customHeight="1" x14ac:dyDescent="0.2">
      <c r="A1" s="145" t="s">
        <v>43</v>
      </c>
      <c r="B1" s="145"/>
      <c r="C1" s="145"/>
      <c r="D1" s="145"/>
      <c r="E1" s="145"/>
      <c r="F1" s="145"/>
      <c r="G1" s="145"/>
      <c r="H1" s="145"/>
      <c r="I1" s="145"/>
      <c r="J1" s="37"/>
    </row>
    <row r="2" spans="1:11" ht="14.25" x14ac:dyDescent="0.2">
      <c r="A2" s="146" t="s">
        <v>38</v>
      </c>
      <c r="B2" s="146"/>
      <c r="C2" s="147" t="str">
        <f>APG!F4</f>
        <v>15 - SECRETARIA DE ESTADO DE GABINETE</v>
      </c>
      <c r="D2" s="147"/>
      <c r="E2" s="147"/>
      <c r="F2" s="38"/>
      <c r="G2" s="39"/>
      <c r="H2" s="38"/>
      <c r="I2" s="37"/>
      <c r="J2" s="37"/>
    </row>
    <row r="3" spans="1:11" ht="14.25" x14ac:dyDescent="0.2">
      <c r="A3" s="146" t="s">
        <v>44</v>
      </c>
      <c r="B3" s="146"/>
      <c r="C3" s="147" t="str">
        <f>APG!F5</f>
        <v>21 - DIRECCION PROVINCIAL DE ADMINISTRACION FINANCIERA</v>
      </c>
      <c r="D3" s="147"/>
      <c r="E3" s="147"/>
      <c r="F3" s="144"/>
      <c r="G3" s="144"/>
      <c r="H3" s="144"/>
      <c r="I3" s="144"/>
      <c r="J3" s="37"/>
    </row>
    <row r="4" spans="1:11" ht="14.25" x14ac:dyDescent="0.2">
      <c r="A4" s="146" t="s">
        <v>45</v>
      </c>
      <c r="B4" s="146"/>
      <c r="C4" s="151">
        <v>2021</v>
      </c>
      <c r="D4" s="151"/>
      <c r="E4" s="151"/>
      <c r="F4" s="38"/>
      <c r="G4" s="39"/>
      <c r="H4" s="38"/>
      <c r="I4" s="37"/>
      <c r="J4" s="37"/>
    </row>
    <row r="5" spans="1:11" ht="16.899999999999999" customHeight="1" thickBot="1" x14ac:dyDescent="0.25">
      <c r="A5" s="152" t="s">
        <v>46</v>
      </c>
      <c r="B5" s="152"/>
      <c r="C5" s="153" t="s">
        <v>88</v>
      </c>
      <c r="D5" s="153"/>
      <c r="E5" s="153"/>
      <c r="F5" s="38"/>
      <c r="G5" s="39"/>
      <c r="H5" s="48"/>
      <c r="I5" s="48"/>
      <c r="J5" s="48"/>
      <c r="K5" s="48"/>
    </row>
    <row r="6" spans="1:11" ht="36.75" thickBot="1" x14ac:dyDescent="0.25">
      <c r="A6" s="49" t="s">
        <v>47</v>
      </c>
      <c r="B6" s="50" t="s">
        <v>48</v>
      </c>
      <c r="C6" s="49" t="s">
        <v>49</v>
      </c>
      <c r="D6" s="50" t="s">
        <v>50</v>
      </c>
      <c r="E6" s="49" t="s">
        <v>36</v>
      </c>
      <c r="F6" s="50" t="s">
        <v>51</v>
      </c>
      <c r="G6" s="51" t="s">
        <v>52</v>
      </c>
      <c r="H6" s="52" t="s">
        <v>53</v>
      </c>
      <c r="I6" s="51" t="s">
        <v>54</v>
      </c>
      <c r="J6" s="37"/>
    </row>
    <row r="7" spans="1:11" ht="39" customHeight="1" thickBot="1" x14ac:dyDescent="0.25">
      <c r="A7" s="49">
        <v>1</v>
      </c>
      <c r="B7" s="50" t="s">
        <v>73</v>
      </c>
      <c r="C7" s="49" t="s">
        <v>65</v>
      </c>
      <c r="D7" s="51" t="s">
        <v>62</v>
      </c>
      <c r="E7" s="54" t="s">
        <v>74</v>
      </c>
      <c r="F7" s="50" t="s">
        <v>64</v>
      </c>
      <c r="G7" s="49">
        <v>12445</v>
      </c>
      <c r="H7" s="57">
        <v>137.5</v>
      </c>
      <c r="I7" s="58">
        <f>G7*H7</f>
        <v>1711187.5</v>
      </c>
      <c r="J7" s="37"/>
    </row>
    <row r="8" spans="1:11" ht="36.75" thickBot="1" x14ac:dyDescent="0.25">
      <c r="A8" s="40">
        <v>2</v>
      </c>
      <c r="B8" s="61" t="s">
        <v>75</v>
      </c>
      <c r="C8" s="56" t="s">
        <v>65</v>
      </c>
      <c r="D8" s="53" t="s">
        <v>62</v>
      </c>
      <c r="E8" s="55" t="s">
        <v>63</v>
      </c>
      <c r="F8" s="59" t="s">
        <v>64</v>
      </c>
      <c r="G8" s="60">
        <v>10000</v>
      </c>
      <c r="H8" s="57">
        <v>139.30000000000001</v>
      </c>
      <c r="I8" s="58">
        <f>G8*H8</f>
        <v>1393000</v>
      </c>
      <c r="J8" s="37"/>
    </row>
    <row r="9" spans="1:11" ht="15" thickBot="1" x14ac:dyDescent="0.25">
      <c r="A9" s="148" t="s">
        <v>60</v>
      </c>
      <c r="B9" s="149"/>
      <c r="C9" s="149"/>
      <c r="D9" s="149"/>
      <c r="E9" s="149"/>
      <c r="F9" s="149"/>
      <c r="G9" s="149"/>
      <c r="H9" s="150"/>
      <c r="I9" s="62">
        <f>SUM(I7:I8)</f>
        <v>3104187.5</v>
      </c>
      <c r="J9" s="37"/>
    </row>
    <row r="10" spans="1:11" ht="13.5" thickBot="1" x14ac:dyDescent="0.25"/>
    <row r="11" spans="1:11" x14ac:dyDescent="0.2">
      <c r="B11" s="133" t="s">
        <v>79</v>
      </c>
      <c r="C11" s="134"/>
      <c r="D11" s="134"/>
      <c r="E11" s="135"/>
    </row>
    <row r="12" spans="1:11" ht="16.899999999999999" customHeight="1" x14ac:dyDescent="0.2">
      <c r="B12" s="67" t="s">
        <v>76</v>
      </c>
      <c r="C12" s="2"/>
      <c r="D12" s="2"/>
      <c r="E12" s="68"/>
    </row>
    <row r="13" spans="1:11" ht="29.45" customHeight="1" thickBot="1" x14ac:dyDescent="0.25">
      <c r="B13" s="66"/>
      <c r="C13" s="136" t="s">
        <v>77</v>
      </c>
      <c r="D13" s="137"/>
      <c r="E13" s="138"/>
    </row>
    <row r="14" spans="1:11" ht="12" customHeight="1" x14ac:dyDescent="0.2">
      <c r="B14" s="45" t="s">
        <v>55</v>
      </c>
      <c r="C14" s="46"/>
      <c r="D14" s="46"/>
      <c r="E14" s="47"/>
    </row>
    <row r="15" spans="1:11" ht="45.6" customHeight="1" thickBot="1" x14ac:dyDescent="0.25">
      <c r="B15" s="44" t="s">
        <v>0</v>
      </c>
      <c r="C15" s="139" t="s">
        <v>87</v>
      </c>
      <c r="D15" s="140"/>
      <c r="E15" s="141"/>
    </row>
    <row r="16" spans="1:11" ht="12" customHeight="1" x14ac:dyDescent="0.2">
      <c r="B16" s="41" t="s">
        <v>56</v>
      </c>
      <c r="C16" s="42"/>
      <c r="D16" s="42"/>
      <c r="E16" s="43"/>
    </row>
    <row r="17" spans="2:5" ht="16.149999999999999" customHeight="1" thickBot="1" x14ac:dyDescent="0.25">
      <c r="B17" s="44"/>
      <c r="C17" s="142" t="s">
        <v>57</v>
      </c>
      <c r="D17" s="142"/>
      <c r="E17" s="143"/>
    </row>
    <row r="18" spans="2:5" ht="12" customHeight="1" x14ac:dyDescent="0.2">
      <c r="B18" s="41" t="s">
        <v>58</v>
      </c>
      <c r="C18" s="42"/>
      <c r="D18" s="42"/>
      <c r="E18" s="43"/>
    </row>
    <row r="19" spans="2:5" ht="14.45" customHeight="1" thickBot="1" x14ac:dyDescent="0.25">
      <c r="B19" s="44"/>
      <c r="C19" s="142" t="s">
        <v>86</v>
      </c>
      <c r="D19" s="142"/>
      <c r="E19" s="143"/>
    </row>
    <row r="20" spans="2:5" ht="7.9" customHeight="1" thickBot="1" x14ac:dyDescent="0.25"/>
    <row r="21" spans="2:5" x14ac:dyDescent="0.2">
      <c r="B21" s="133" t="s">
        <v>80</v>
      </c>
      <c r="C21" s="134"/>
      <c r="D21" s="134"/>
      <c r="E21" s="135"/>
    </row>
    <row r="22" spans="2:5" x14ac:dyDescent="0.2">
      <c r="B22" s="67" t="s">
        <v>76</v>
      </c>
      <c r="C22" s="2"/>
      <c r="D22" s="2"/>
      <c r="E22" s="68"/>
    </row>
    <row r="23" spans="2:5" ht="30.6" customHeight="1" thickBot="1" x14ac:dyDescent="0.25">
      <c r="B23" s="66"/>
      <c r="C23" s="136" t="s">
        <v>78</v>
      </c>
      <c r="D23" s="137"/>
      <c r="E23" s="138"/>
    </row>
    <row r="24" spans="2:5" ht="15" x14ac:dyDescent="0.2">
      <c r="B24" s="45" t="s">
        <v>55</v>
      </c>
      <c r="C24" s="46"/>
      <c r="D24" s="46"/>
      <c r="E24" s="47"/>
    </row>
    <row r="25" spans="2:5" ht="46.9" customHeight="1" thickBot="1" x14ac:dyDescent="0.25">
      <c r="B25" s="44" t="s">
        <v>0</v>
      </c>
      <c r="C25" s="139" t="s">
        <v>87</v>
      </c>
      <c r="D25" s="140"/>
      <c r="E25" s="141"/>
    </row>
    <row r="26" spans="2:5" ht="15" x14ac:dyDescent="0.2">
      <c r="B26" s="41" t="s">
        <v>56</v>
      </c>
      <c r="C26" s="42"/>
      <c r="D26" s="42"/>
      <c r="E26" s="43"/>
    </row>
    <row r="27" spans="2:5" ht="16.149999999999999" customHeight="1" thickBot="1" x14ac:dyDescent="0.25">
      <c r="B27" s="44"/>
      <c r="C27" s="142" t="s">
        <v>57</v>
      </c>
      <c r="D27" s="142"/>
      <c r="E27" s="143"/>
    </row>
    <row r="28" spans="2:5" ht="15" x14ac:dyDescent="0.2">
      <c r="B28" s="41" t="s">
        <v>58</v>
      </c>
      <c r="C28" s="42"/>
      <c r="D28" s="42"/>
      <c r="E28" s="43"/>
    </row>
    <row r="29" spans="2:5" ht="15.75" thickBot="1" x14ac:dyDescent="0.25">
      <c r="B29" s="44"/>
      <c r="C29" s="142" t="s">
        <v>86</v>
      </c>
      <c r="D29" s="142"/>
      <c r="E29" s="143"/>
    </row>
  </sheetData>
  <mergeCells count="21">
    <mergeCell ref="C15:E15"/>
    <mergeCell ref="C17:E17"/>
    <mergeCell ref="C19:E19"/>
    <mergeCell ref="F3:I3"/>
    <mergeCell ref="A1:I1"/>
    <mergeCell ref="A2:B2"/>
    <mergeCell ref="C2:E2"/>
    <mergeCell ref="A3:B3"/>
    <mergeCell ref="C3:E3"/>
    <mergeCell ref="A9:H9"/>
    <mergeCell ref="A4:B4"/>
    <mergeCell ref="C4:E4"/>
    <mergeCell ref="A5:B5"/>
    <mergeCell ref="C5:E5"/>
    <mergeCell ref="C13:E13"/>
    <mergeCell ref="B11:E11"/>
    <mergeCell ref="B21:E21"/>
    <mergeCell ref="C23:E23"/>
    <mergeCell ref="C25:E25"/>
    <mergeCell ref="C27:E27"/>
    <mergeCell ref="C29:E29"/>
  </mergeCells>
  <printOptions horizontalCentered="1"/>
  <pageMargins left="0" right="0" top="0.35433070866141736" bottom="0" header="0.31496062992125984" footer="0.31496062992125984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"/>
  <sheetViews>
    <sheetView topLeftCell="A11" workbookViewId="0">
      <selection activeCell="K34" sqref="K34"/>
    </sheetView>
  </sheetViews>
  <sheetFormatPr baseColWidth="10" defaultRowHeight="12.75" x14ac:dyDescent="0.2"/>
  <cols>
    <col min="1" max="6" width="4.42578125" customWidth="1"/>
    <col min="7" max="7" width="4.42578125" style="1" customWidth="1"/>
    <col min="8" max="14" width="4.42578125" customWidth="1"/>
    <col min="15" max="15" width="16.85546875" customWidth="1"/>
    <col min="16" max="16" width="17.140625" customWidth="1"/>
    <col min="17" max="17" width="17.5703125" customWidth="1"/>
    <col min="21" max="21" width="11.7109375" bestFit="1" customWidth="1"/>
    <col min="22" max="22" width="15.7109375" customWidth="1"/>
  </cols>
  <sheetData>
    <row r="1" spans="1:24" ht="24" customHeight="1" x14ac:dyDescent="0.25">
      <c r="A1" s="112" t="s">
        <v>84</v>
      </c>
      <c r="B1" s="113"/>
      <c r="C1" s="113"/>
      <c r="D1" s="113"/>
      <c r="E1" s="113"/>
      <c r="F1" s="113"/>
      <c r="G1" s="113"/>
      <c r="H1" s="26"/>
      <c r="I1" s="26"/>
      <c r="J1" s="26"/>
      <c r="K1" s="26"/>
      <c r="L1" s="26"/>
      <c r="M1" s="26"/>
      <c r="N1" s="27" t="s">
        <v>0</v>
      </c>
      <c r="O1" s="26"/>
      <c r="P1" s="119" t="s">
        <v>22</v>
      </c>
      <c r="Q1" s="120"/>
      <c r="R1" s="2"/>
      <c r="S1" s="2"/>
      <c r="T1" s="2"/>
      <c r="U1" s="2"/>
      <c r="V1" s="2"/>
      <c r="W1" s="2"/>
      <c r="X1" s="2"/>
    </row>
    <row r="2" spans="1:24" ht="24" customHeight="1" thickBot="1" x14ac:dyDescent="0.3">
      <c r="A2" s="114"/>
      <c r="B2" s="115"/>
      <c r="C2" s="115"/>
      <c r="D2" s="115"/>
      <c r="E2" s="115"/>
      <c r="F2" s="115"/>
      <c r="G2" s="115"/>
      <c r="H2" s="3"/>
      <c r="I2" s="3"/>
      <c r="J2" s="3"/>
      <c r="K2" s="3"/>
      <c r="L2" s="3"/>
      <c r="M2" s="3"/>
      <c r="N2" s="4" t="s">
        <v>0</v>
      </c>
      <c r="O2" s="3"/>
      <c r="P2" s="121" t="s">
        <v>23</v>
      </c>
      <c r="Q2" s="122"/>
      <c r="R2" s="2"/>
      <c r="S2" s="2"/>
      <c r="T2" s="2"/>
      <c r="U2" s="2"/>
      <c r="V2" s="2"/>
      <c r="W2" s="2"/>
      <c r="X2" s="2"/>
    </row>
    <row r="3" spans="1:24" ht="18" customHeight="1" thickBot="1" x14ac:dyDescent="0.25">
      <c r="A3" s="5"/>
      <c r="B3" s="3"/>
      <c r="C3" s="3"/>
      <c r="D3" s="3"/>
      <c r="E3" s="3"/>
      <c r="F3" s="3"/>
      <c r="G3" s="6"/>
      <c r="H3" s="3"/>
      <c r="I3" s="3"/>
      <c r="J3" s="3"/>
      <c r="K3" s="3"/>
      <c r="L3" s="3"/>
      <c r="M3" s="3"/>
      <c r="N3" s="3"/>
      <c r="O3" s="7"/>
      <c r="P3" s="7"/>
      <c r="Q3" s="8"/>
      <c r="R3" s="2"/>
      <c r="S3" s="2"/>
      <c r="T3" s="2"/>
      <c r="U3" s="2"/>
      <c r="V3" s="2"/>
      <c r="W3" s="2"/>
      <c r="X3" s="2"/>
    </row>
    <row r="4" spans="1:24" ht="24" customHeight="1" x14ac:dyDescent="0.2">
      <c r="A4" s="127" t="s">
        <v>19</v>
      </c>
      <c r="B4" s="128"/>
      <c r="C4" s="128"/>
      <c r="D4" s="128"/>
      <c r="E4" s="128"/>
      <c r="F4" s="129" t="s">
        <v>32</v>
      </c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30"/>
      <c r="R4" s="2"/>
      <c r="S4" s="2"/>
      <c r="T4" s="2"/>
      <c r="U4" s="2"/>
      <c r="V4" s="2"/>
      <c r="W4" s="2"/>
      <c r="X4" s="2"/>
    </row>
    <row r="5" spans="1:24" ht="24" customHeight="1" x14ac:dyDescent="0.2">
      <c r="A5" s="74" t="s">
        <v>24</v>
      </c>
      <c r="B5" s="75"/>
      <c r="C5" s="75"/>
      <c r="D5" s="75"/>
      <c r="E5" s="75"/>
      <c r="F5" s="72" t="s">
        <v>70</v>
      </c>
      <c r="G5" s="72"/>
      <c r="H5" s="72"/>
      <c r="I5" s="72"/>
      <c r="J5" s="72"/>
      <c r="K5" s="72"/>
      <c r="L5" s="72"/>
      <c r="M5" s="72"/>
      <c r="N5" s="72"/>
      <c r="O5" s="72"/>
      <c r="P5" s="72"/>
      <c r="Q5" s="73"/>
      <c r="R5" s="2"/>
      <c r="S5" s="2"/>
      <c r="T5" s="2"/>
      <c r="U5" s="2"/>
      <c r="V5" s="2"/>
      <c r="W5" s="2"/>
      <c r="X5" s="2"/>
    </row>
    <row r="6" spans="1:24" ht="24" customHeight="1" x14ac:dyDescent="0.2">
      <c r="A6" s="74" t="s">
        <v>1</v>
      </c>
      <c r="B6" s="75"/>
      <c r="C6" s="75"/>
      <c r="D6" s="75"/>
      <c r="E6" s="75"/>
      <c r="F6" s="72" t="s">
        <v>31</v>
      </c>
      <c r="G6" s="72"/>
      <c r="H6" s="72"/>
      <c r="I6" s="72"/>
      <c r="J6" s="72"/>
      <c r="K6" s="72"/>
      <c r="L6" s="72"/>
      <c r="M6" s="72"/>
      <c r="N6" s="72"/>
      <c r="O6" s="72"/>
      <c r="P6" s="72"/>
      <c r="Q6" s="73"/>
      <c r="R6" s="2"/>
      <c r="S6" s="2"/>
      <c r="T6" s="2"/>
      <c r="U6" s="2"/>
      <c r="V6" s="2"/>
      <c r="W6" s="2"/>
      <c r="X6" s="2"/>
    </row>
    <row r="7" spans="1:24" ht="24" customHeight="1" thickBot="1" x14ac:dyDescent="0.25">
      <c r="A7" s="123" t="s">
        <v>25</v>
      </c>
      <c r="B7" s="124"/>
      <c r="C7" s="124"/>
      <c r="D7" s="124"/>
      <c r="E7" s="124"/>
      <c r="F7" s="125" t="s">
        <v>69</v>
      </c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6"/>
      <c r="R7" s="2"/>
      <c r="S7" s="2"/>
      <c r="T7" s="2"/>
      <c r="U7" s="2"/>
      <c r="V7" s="2"/>
      <c r="W7" s="2"/>
      <c r="X7" s="2"/>
    </row>
    <row r="8" spans="1:24" ht="18" customHeight="1" x14ac:dyDescent="0.2">
      <c r="A8" s="131" t="s">
        <v>26</v>
      </c>
      <c r="B8" s="132"/>
      <c r="C8" s="132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6"/>
      <c r="R8" s="2"/>
      <c r="S8" s="2"/>
      <c r="T8" s="2"/>
      <c r="U8" s="2"/>
      <c r="V8" s="2"/>
      <c r="W8" s="2"/>
      <c r="X8" s="2"/>
    </row>
    <row r="9" spans="1:24" ht="21" customHeight="1" x14ac:dyDescent="0.2">
      <c r="A9" s="116" t="s">
        <v>40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8"/>
      <c r="R9" s="2"/>
      <c r="S9" s="2"/>
      <c r="T9" s="2"/>
      <c r="U9" s="2"/>
      <c r="V9" s="2"/>
      <c r="W9" s="2"/>
      <c r="X9" s="2"/>
    </row>
    <row r="10" spans="1:24" ht="21" customHeight="1" x14ac:dyDescent="0.2">
      <c r="A10" s="116" t="s">
        <v>41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8"/>
      <c r="R10" s="2"/>
      <c r="S10" s="2"/>
      <c r="T10" s="2"/>
      <c r="U10" s="2"/>
      <c r="V10" s="2"/>
      <c r="W10" s="2"/>
      <c r="X10" s="2"/>
    </row>
    <row r="11" spans="1:24" ht="21" customHeight="1" x14ac:dyDescent="0.2">
      <c r="A11" s="116" t="s">
        <v>85</v>
      </c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8"/>
      <c r="R11" s="2"/>
      <c r="S11" s="2"/>
      <c r="T11" s="2"/>
      <c r="U11" s="2"/>
      <c r="V11" s="2"/>
      <c r="W11" s="2"/>
      <c r="X11" s="2"/>
    </row>
    <row r="12" spans="1:24" ht="21" customHeight="1" thickBot="1" x14ac:dyDescent="0.25">
      <c r="A12" s="116" t="s">
        <v>42</v>
      </c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8"/>
      <c r="R12" s="2"/>
      <c r="S12" s="2"/>
      <c r="T12" s="2"/>
      <c r="U12" s="2"/>
      <c r="V12" s="2"/>
      <c r="W12" s="2"/>
      <c r="X12" s="2"/>
    </row>
    <row r="13" spans="1:24" ht="21" customHeight="1" thickBot="1" x14ac:dyDescent="0.25">
      <c r="A13" s="87" t="s">
        <v>20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9"/>
      <c r="R13" s="2"/>
      <c r="S13" s="2"/>
      <c r="T13" s="2"/>
      <c r="U13" s="2"/>
      <c r="V13" s="2"/>
      <c r="W13" s="2"/>
      <c r="X13" s="2"/>
    </row>
    <row r="14" spans="1:24" ht="21" customHeight="1" thickBot="1" x14ac:dyDescent="0.25">
      <c r="A14" s="76" t="s">
        <v>21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8"/>
      <c r="O14" s="79" t="s">
        <v>28</v>
      </c>
      <c r="P14" s="80"/>
      <c r="Q14" s="83" t="s">
        <v>2</v>
      </c>
      <c r="R14" s="2"/>
      <c r="S14" s="2"/>
      <c r="T14" s="2"/>
      <c r="U14" s="2"/>
      <c r="V14" s="2"/>
      <c r="W14" s="2"/>
      <c r="X14" s="2"/>
    </row>
    <row r="15" spans="1:24" ht="21" customHeight="1" x14ac:dyDescent="0.2">
      <c r="A15" s="28" t="s">
        <v>3</v>
      </c>
      <c r="B15" s="29" t="s">
        <v>4</v>
      </c>
      <c r="C15" s="29" t="s">
        <v>5</v>
      </c>
      <c r="D15" s="29" t="s">
        <v>6</v>
      </c>
      <c r="E15" s="29" t="s">
        <v>7</v>
      </c>
      <c r="F15" s="29" t="s">
        <v>27</v>
      </c>
      <c r="G15" s="29" t="s">
        <v>8</v>
      </c>
      <c r="H15" s="29" t="s">
        <v>30</v>
      </c>
      <c r="I15" s="29" t="s">
        <v>9</v>
      </c>
      <c r="J15" s="29" t="s">
        <v>10</v>
      </c>
      <c r="K15" s="29" t="s">
        <v>10</v>
      </c>
      <c r="L15" s="29" t="s">
        <v>11</v>
      </c>
      <c r="M15" s="30" t="s">
        <v>12</v>
      </c>
      <c r="N15" s="31" t="s">
        <v>13</v>
      </c>
      <c r="O15" s="81"/>
      <c r="P15" s="82"/>
      <c r="Q15" s="84"/>
      <c r="R15" s="2"/>
      <c r="S15" s="2"/>
      <c r="T15" s="2"/>
      <c r="U15" s="2"/>
      <c r="V15" s="2"/>
      <c r="W15" s="2"/>
      <c r="X15" s="2"/>
    </row>
    <row r="16" spans="1:24" ht="21" customHeight="1" x14ac:dyDescent="0.2">
      <c r="A16" s="15">
        <v>20</v>
      </c>
      <c r="B16" s="16"/>
      <c r="C16" s="16"/>
      <c r="D16" s="16">
        <v>1</v>
      </c>
      <c r="E16" s="16"/>
      <c r="F16" s="16">
        <v>4901</v>
      </c>
      <c r="G16" s="16">
        <v>1</v>
      </c>
      <c r="H16" s="16">
        <v>130</v>
      </c>
      <c r="I16" s="16">
        <v>2</v>
      </c>
      <c r="J16" s="16">
        <v>5</v>
      </c>
      <c r="K16" s="16">
        <v>6</v>
      </c>
      <c r="L16" s="16"/>
      <c r="M16" s="17">
        <v>1</v>
      </c>
      <c r="N16" s="14" t="s">
        <v>61</v>
      </c>
      <c r="O16" s="91" t="s">
        <v>66</v>
      </c>
      <c r="P16" s="92"/>
      <c r="Q16" s="23">
        <v>3104187.5</v>
      </c>
      <c r="R16" s="2"/>
      <c r="S16" s="2"/>
      <c r="T16" s="2"/>
      <c r="U16" s="65" t="s">
        <v>72</v>
      </c>
      <c r="V16" s="2"/>
      <c r="W16" s="2"/>
      <c r="X16" s="2"/>
    </row>
    <row r="17" spans="1:24" ht="21" customHeight="1" x14ac:dyDescent="0.2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7"/>
      <c r="N17" s="17"/>
      <c r="O17" s="91"/>
      <c r="P17" s="92"/>
      <c r="Q17" s="23"/>
      <c r="R17" s="2"/>
      <c r="S17" s="2" t="s">
        <v>81</v>
      </c>
      <c r="T17" s="2">
        <v>139.30000000000001</v>
      </c>
      <c r="U17" s="64">
        <v>10000</v>
      </c>
      <c r="V17" s="63">
        <f>U17*T17</f>
        <v>1393000</v>
      </c>
      <c r="W17" s="2"/>
      <c r="X17" s="2"/>
    </row>
    <row r="18" spans="1:24" ht="21" customHeight="1" x14ac:dyDescent="0.2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7"/>
      <c r="N18" s="17"/>
      <c r="O18" s="91"/>
      <c r="P18" s="95"/>
      <c r="Q18" s="24"/>
      <c r="R18" s="2"/>
      <c r="S18" s="2" t="s">
        <v>82</v>
      </c>
      <c r="T18" s="2">
        <v>137.5</v>
      </c>
      <c r="U18" s="64">
        <v>12445</v>
      </c>
      <c r="V18" s="63">
        <f>U18*T18</f>
        <v>1711187.5</v>
      </c>
      <c r="W18" s="2"/>
      <c r="X18" s="2"/>
    </row>
    <row r="19" spans="1:24" ht="21" customHeight="1" x14ac:dyDescent="0.2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7"/>
      <c r="N19" s="17"/>
      <c r="O19" s="91"/>
      <c r="P19" s="95"/>
      <c r="Q19" s="24"/>
      <c r="R19" s="2"/>
      <c r="S19" s="2"/>
      <c r="T19" s="2"/>
      <c r="U19" s="63"/>
      <c r="V19" s="63">
        <f>V18+V17</f>
        <v>3104187.5</v>
      </c>
      <c r="W19" s="2"/>
      <c r="X19" s="2"/>
    </row>
    <row r="20" spans="1:24" ht="21" customHeight="1" x14ac:dyDescent="0.2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7"/>
      <c r="N20" s="17"/>
      <c r="O20" s="91"/>
      <c r="P20" s="95"/>
      <c r="Q20" s="24"/>
      <c r="R20" s="2"/>
      <c r="S20" s="2"/>
      <c r="T20" s="2"/>
      <c r="U20" s="2"/>
      <c r="V20" s="2"/>
      <c r="W20" s="2"/>
      <c r="X20" s="2"/>
    </row>
    <row r="21" spans="1:24" ht="21" customHeight="1" x14ac:dyDescent="0.2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7"/>
      <c r="N21" s="17"/>
      <c r="O21" s="91"/>
      <c r="P21" s="95"/>
      <c r="Q21" s="24"/>
      <c r="R21" s="2"/>
      <c r="S21" s="2"/>
      <c r="T21" s="2"/>
      <c r="U21" s="2"/>
      <c r="V21" s="2"/>
      <c r="W21" s="2"/>
      <c r="X21" s="2"/>
    </row>
    <row r="22" spans="1:24" ht="21" customHeight="1" x14ac:dyDescent="0.2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7"/>
      <c r="N22" s="17"/>
      <c r="O22" s="93"/>
      <c r="P22" s="94"/>
      <c r="Q22" s="24"/>
      <c r="R22" s="2"/>
      <c r="S22" s="2"/>
      <c r="T22" s="2"/>
      <c r="U22" s="2"/>
      <c r="V22" s="2"/>
      <c r="W22" s="2"/>
      <c r="X22" s="2"/>
    </row>
    <row r="23" spans="1:24" ht="21" customHeight="1" x14ac:dyDescent="0.2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93"/>
      <c r="P23" s="94"/>
      <c r="Q23" s="24"/>
      <c r="R23" s="2"/>
      <c r="S23" s="2"/>
      <c r="T23" s="2"/>
      <c r="U23" s="2"/>
      <c r="V23" s="2"/>
      <c r="W23" s="2"/>
      <c r="X23" s="2"/>
    </row>
    <row r="24" spans="1:24" ht="21" customHeight="1" x14ac:dyDescent="0.2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93"/>
      <c r="P24" s="94"/>
      <c r="Q24" s="24"/>
      <c r="R24" s="2"/>
      <c r="S24" s="2"/>
      <c r="T24" s="2"/>
      <c r="U24" s="2"/>
      <c r="V24" s="2"/>
      <c r="W24" s="2"/>
      <c r="X24" s="2"/>
    </row>
    <row r="25" spans="1:24" ht="21" customHeight="1" thickBot="1" x14ac:dyDescent="0.25">
      <c r="A25" s="18"/>
      <c r="B25" s="19"/>
      <c r="C25" s="20"/>
      <c r="D25" s="20"/>
      <c r="E25" s="19"/>
      <c r="F25" s="19"/>
      <c r="G25" s="19"/>
      <c r="H25" s="19"/>
      <c r="I25" s="19"/>
      <c r="J25" s="19"/>
      <c r="K25" s="19"/>
      <c r="L25" s="19"/>
      <c r="M25" s="21"/>
      <c r="N25" s="21"/>
      <c r="O25" s="96"/>
      <c r="P25" s="97"/>
      <c r="Q25" s="25"/>
      <c r="R25" s="2"/>
      <c r="S25" s="2"/>
      <c r="T25" s="2"/>
      <c r="U25" s="2"/>
      <c r="V25" s="2"/>
      <c r="W25" s="2"/>
      <c r="X25" s="2"/>
    </row>
    <row r="26" spans="1:24" ht="24" customHeight="1" thickBot="1" x14ac:dyDescent="0.25">
      <c r="A26" s="107" t="s">
        <v>33</v>
      </c>
      <c r="B26" s="108"/>
      <c r="C26" s="108"/>
      <c r="D26" s="108"/>
      <c r="E26" s="109" t="s">
        <v>83</v>
      </c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1"/>
      <c r="Q26" s="22">
        <f>SUM(Q16:Q25)</f>
        <v>3104187.5</v>
      </c>
      <c r="R26" s="2"/>
      <c r="S26" s="2"/>
      <c r="T26" s="2"/>
      <c r="U26" s="2"/>
      <c r="V26" s="2"/>
      <c r="W26" s="2"/>
      <c r="X26" s="2"/>
    </row>
    <row r="27" spans="1:24" ht="11.25" customHeight="1" thickBot="1" x14ac:dyDescent="0.25">
      <c r="A27" s="98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100"/>
      <c r="R27" s="2"/>
      <c r="S27" s="2"/>
      <c r="T27" s="2"/>
      <c r="U27" s="2"/>
      <c r="V27" s="2"/>
      <c r="W27" s="2"/>
      <c r="X27" s="2"/>
    </row>
    <row r="28" spans="1:24" ht="21" customHeight="1" thickBot="1" x14ac:dyDescent="0.25">
      <c r="A28" s="101" t="s">
        <v>29</v>
      </c>
      <c r="B28" s="102"/>
      <c r="C28" s="102"/>
      <c r="D28" s="102"/>
      <c r="E28" s="102"/>
      <c r="F28" s="103"/>
      <c r="G28" s="104"/>
      <c r="H28" s="105"/>
      <c r="I28" s="105"/>
      <c r="J28" s="105"/>
      <c r="K28" s="105"/>
      <c r="L28" s="105"/>
      <c r="M28" s="105"/>
      <c r="N28" s="105"/>
      <c r="O28" s="105"/>
      <c r="P28" s="105"/>
      <c r="Q28" s="106"/>
      <c r="R28" s="2"/>
      <c r="S28" s="2"/>
      <c r="T28" s="2"/>
      <c r="U28" s="2"/>
      <c r="V28" s="2"/>
      <c r="W28" s="2"/>
      <c r="X28" s="2"/>
    </row>
    <row r="29" spans="1:24" ht="105" customHeight="1" thickBot="1" x14ac:dyDescent="0.25">
      <c r="A29" s="69" t="s">
        <v>67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1"/>
      <c r="R29" s="2"/>
      <c r="S29" s="2"/>
      <c r="T29" s="2"/>
      <c r="U29" s="2"/>
      <c r="V29" s="2"/>
      <c r="W29" s="2"/>
      <c r="X29" s="2"/>
    </row>
    <row r="30" spans="1:24" ht="18" customHeight="1" x14ac:dyDescent="0.2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2"/>
      <c r="S30" s="2"/>
      <c r="T30" s="2"/>
      <c r="U30" s="2"/>
      <c r="V30" s="2"/>
      <c r="W30" s="2"/>
      <c r="X30" s="2"/>
    </row>
  </sheetData>
  <mergeCells count="39">
    <mergeCell ref="A1:G1"/>
    <mergeCell ref="A2:G2"/>
    <mergeCell ref="A11:Q11"/>
    <mergeCell ref="A12:Q12"/>
    <mergeCell ref="P1:Q1"/>
    <mergeCell ref="P2:Q2"/>
    <mergeCell ref="A7:E7"/>
    <mergeCell ref="F7:Q7"/>
    <mergeCell ref="A4:E4"/>
    <mergeCell ref="A6:E6"/>
    <mergeCell ref="F4:Q4"/>
    <mergeCell ref="A9:Q9"/>
    <mergeCell ref="A8:C8"/>
    <mergeCell ref="A10:Q10"/>
    <mergeCell ref="A30:Q30"/>
    <mergeCell ref="O17:P17"/>
    <mergeCell ref="O16:P16"/>
    <mergeCell ref="O22:P22"/>
    <mergeCell ref="O20:P20"/>
    <mergeCell ref="O18:P18"/>
    <mergeCell ref="O25:P25"/>
    <mergeCell ref="O24:P24"/>
    <mergeCell ref="A27:Q27"/>
    <mergeCell ref="O23:P23"/>
    <mergeCell ref="O19:P19"/>
    <mergeCell ref="A28:F28"/>
    <mergeCell ref="G28:Q28"/>
    <mergeCell ref="A26:D26"/>
    <mergeCell ref="E26:P26"/>
    <mergeCell ref="O21:P21"/>
    <mergeCell ref="A29:Q29"/>
    <mergeCell ref="F6:Q6"/>
    <mergeCell ref="F5:Q5"/>
    <mergeCell ref="A5:E5"/>
    <mergeCell ref="A14:N14"/>
    <mergeCell ref="O14:P15"/>
    <mergeCell ref="Q14:Q15"/>
    <mergeCell ref="D8:Q8"/>
    <mergeCell ref="A13:Q13"/>
  </mergeCells>
  <phoneticPr fontId="5" type="noConversion"/>
  <printOptions horizontalCentered="1"/>
  <pageMargins left="0.19685039370078741" right="0" top="0.78740157480314965" bottom="0" header="0.11811023622047245" footer="0.23622047244094491"/>
  <pageSetup paperSize="5" scale="9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5"/>
  <sheetViews>
    <sheetView topLeftCell="A4" workbookViewId="0">
      <selection activeCell="E26" sqref="E26"/>
    </sheetView>
  </sheetViews>
  <sheetFormatPr baseColWidth="10" defaultColWidth="11.42578125" defaultRowHeight="12.75" x14ac:dyDescent="0.2"/>
  <cols>
    <col min="1" max="1" width="5.85546875" style="9" customWidth="1"/>
    <col min="2" max="2" width="14.85546875" style="10" customWidth="1"/>
    <col min="3" max="4" width="5.85546875" style="10" customWidth="1"/>
    <col min="5" max="5" width="12.7109375" style="10" customWidth="1"/>
    <col min="6" max="11" width="5.85546875" style="10" customWidth="1"/>
    <col min="12" max="12" width="19.85546875" style="10" customWidth="1"/>
    <col min="13" max="13" width="4.85546875" style="10" customWidth="1"/>
    <col min="14" max="14" width="5.85546875" style="10" customWidth="1"/>
    <col min="15" max="15" width="9.42578125" style="10" customWidth="1"/>
    <col min="16" max="17" width="5.85546875" style="10" customWidth="1"/>
    <col min="18" max="18" width="8.5703125" style="10" customWidth="1"/>
    <col min="19" max="19" width="5.85546875" style="10" customWidth="1"/>
    <col min="20" max="20" width="6" style="10" customWidth="1"/>
    <col min="21" max="23" width="5.85546875" style="10" customWidth="1"/>
    <col min="24" max="16384" width="11.42578125" style="10"/>
  </cols>
  <sheetData>
    <row r="1" spans="1:23" ht="15.75" customHeight="1" x14ac:dyDescent="0.2">
      <c r="A1" s="181" t="s">
        <v>34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75" t="s">
        <v>89</v>
      </c>
      <c r="R1" s="176"/>
      <c r="S1" s="176"/>
      <c r="T1" s="177"/>
    </row>
    <row r="2" spans="1:23" ht="16.5" customHeight="1" thickBot="1" x14ac:dyDescent="0.25">
      <c r="A2" s="183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78"/>
      <c r="R2" s="179"/>
      <c r="S2" s="179"/>
      <c r="T2" s="180"/>
    </row>
    <row r="3" spans="1:23" ht="16.5" customHeight="1" thickBot="1" x14ac:dyDescent="0.3">
      <c r="A3" s="185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34"/>
      <c r="R3" s="34"/>
      <c r="S3" s="32"/>
      <c r="T3" s="33"/>
    </row>
    <row r="4" spans="1:23" ht="21" customHeight="1" thickBot="1" x14ac:dyDescent="0.25">
      <c r="A4" s="107" t="s">
        <v>38</v>
      </c>
      <c r="B4" s="108"/>
      <c r="C4" s="108"/>
      <c r="D4" s="190"/>
      <c r="E4" s="102" t="str">
        <f>PNT!C2</f>
        <v>15 - SECRETARIA DE ESTADO DE GABINETE</v>
      </c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3"/>
    </row>
    <row r="5" spans="1:23" ht="21" customHeight="1" thickBot="1" x14ac:dyDescent="0.25">
      <c r="A5" s="107" t="s">
        <v>24</v>
      </c>
      <c r="B5" s="108"/>
      <c r="C5" s="108"/>
      <c r="D5" s="190"/>
      <c r="E5" s="102" t="str">
        <f>PNT!C3</f>
        <v>21 - DIRECCION PROVINCIAL DE ADMINISTRACION FINANCIERA</v>
      </c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3"/>
    </row>
    <row r="6" spans="1:23" ht="21" customHeight="1" thickBot="1" x14ac:dyDescent="0.25">
      <c r="A6" s="107" t="s">
        <v>1</v>
      </c>
      <c r="B6" s="108"/>
      <c r="C6" s="108"/>
      <c r="D6" s="190"/>
      <c r="E6" s="102" t="str">
        <f>APG!F6</f>
        <v>SECRETARIA DE ESTADO DE GABINETE</v>
      </c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3"/>
    </row>
    <row r="7" spans="1:23" ht="21" customHeight="1" thickBot="1" x14ac:dyDescent="0.25">
      <c r="A7" s="207" t="s">
        <v>25</v>
      </c>
      <c r="B7" s="208"/>
      <c r="C7" s="208"/>
      <c r="D7" s="209"/>
      <c r="E7" s="164" t="s">
        <v>69</v>
      </c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5"/>
    </row>
    <row r="8" spans="1:23" ht="21" customHeight="1" thickBot="1" x14ac:dyDescent="0.25">
      <c r="A8" s="210" t="s">
        <v>39</v>
      </c>
      <c r="B8" s="210"/>
      <c r="C8" s="210"/>
      <c r="D8" s="210"/>
      <c r="E8" s="163" t="s">
        <v>90</v>
      </c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</row>
    <row r="9" spans="1:23" ht="21" customHeight="1" thickBot="1" x14ac:dyDescent="0.25">
      <c r="A9" s="210" t="s">
        <v>14</v>
      </c>
      <c r="B9" s="210"/>
      <c r="C9" s="210"/>
      <c r="D9" s="210"/>
      <c r="E9" s="163" t="s">
        <v>68</v>
      </c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</row>
    <row r="10" spans="1:23" ht="17.25" customHeight="1" thickBot="1" x14ac:dyDescent="0.25">
      <c r="A10" s="187"/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9"/>
    </row>
    <row r="11" spans="1:23" ht="18" customHeight="1" x14ac:dyDescent="0.2">
      <c r="A11" s="197" t="s">
        <v>15</v>
      </c>
      <c r="B11" s="195" t="s">
        <v>71</v>
      </c>
      <c r="C11" s="191" t="s">
        <v>36</v>
      </c>
      <c r="D11" s="191"/>
      <c r="E11" s="191"/>
      <c r="F11" s="191"/>
      <c r="G11" s="191"/>
      <c r="H11" s="191"/>
      <c r="I11" s="191"/>
      <c r="J11" s="191"/>
      <c r="K11" s="191"/>
      <c r="L11" s="192"/>
      <c r="M11" s="212" t="s">
        <v>16</v>
      </c>
      <c r="N11" s="204"/>
      <c r="O11" s="201" t="s">
        <v>17</v>
      </c>
      <c r="P11" s="202"/>
      <c r="Q11" s="201" t="s">
        <v>35</v>
      </c>
      <c r="R11" s="204"/>
      <c r="S11" s="197" t="s">
        <v>18</v>
      </c>
      <c r="T11" s="198"/>
      <c r="U11" s="11"/>
    </row>
    <row r="12" spans="1:23" ht="18" customHeight="1" thickBot="1" x14ac:dyDescent="0.25">
      <c r="A12" s="206"/>
      <c r="B12" s="196"/>
      <c r="C12" s="193"/>
      <c r="D12" s="193"/>
      <c r="E12" s="193"/>
      <c r="F12" s="193"/>
      <c r="G12" s="193"/>
      <c r="H12" s="193"/>
      <c r="I12" s="193"/>
      <c r="J12" s="193"/>
      <c r="K12" s="193"/>
      <c r="L12" s="194"/>
      <c r="M12" s="213"/>
      <c r="N12" s="205"/>
      <c r="O12" s="203"/>
      <c r="P12" s="203"/>
      <c r="Q12" s="205"/>
      <c r="R12" s="205"/>
      <c r="S12" s="199"/>
      <c r="T12" s="200"/>
      <c r="U12" s="12"/>
      <c r="V12" s="12"/>
      <c r="W12" s="13"/>
    </row>
    <row r="13" spans="1:23" ht="75" customHeight="1" thickBot="1" x14ac:dyDescent="0.25">
      <c r="A13" s="35">
        <v>1</v>
      </c>
      <c r="B13" s="36" t="str">
        <f>PNT!B7</f>
        <v>2.5.6-793.31</v>
      </c>
      <c r="C13" s="160" t="str">
        <f>PNT!E7</f>
        <v>GAS OIL; PRESENTACION: POR LITRO, USO: MOTORES DIESEL, COMERCIALIZACION: GRADO 3, DESTINO: DPTO. S.F.V. DE CATAMARCA</v>
      </c>
      <c r="D13" s="161"/>
      <c r="E13" s="161"/>
      <c r="F13" s="161"/>
      <c r="G13" s="161"/>
      <c r="H13" s="161"/>
      <c r="I13" s="161"/>
      <c r="J13" s="161"/>
      <c r="K13" s="161"/>
      <c r="L13" s="162"/>
      <c r="M13" s="211" t="s">
        <v>59</v>
      </c>
      <c r="N13" s="171"/>
      <c r="O13" s="170" t="str">
        <f>PNT!F7</f>
        <v>LITROS</v>
      </c>
      <c r="P13" s="171"/>
      <c r="Q13" s="172">
        <f>PNT!H7</f>
        <v>137.5</v>
      </c>
      <c r="R13" s="173"/>
      <c r="S13" s="166">
        <f>PNT!G7</f>
        <v>12445</v>
      </c>
      <c r="T13" s="167"/>
    </row>
    <row r="14" spans="1:23" ht="75" customHeight="1" thickBot="1" x14ac:dyDescent="0.25">
      <c r="A14" s="35">
        <v>2</v>
      </c>
      <c r="B14" s="36" t="str">
        <f>PNT!B8</f>
        <v>2.5.6-797.24</v>
      </c>
      <c r="C14" s="160" t="str">
        <f>PNT!E8</f>
        <v>NAFTA SUPER; TIPO: PREMIUN, OCTANO: 97, PRESENTACION: POR LITRO, DESTINO: DPTO. S.F.V. DE CATAMARCA, COMERCIALIZACION: SIN VALOR</v>
      </c>
      <c r="D14" s="161"/>
      <c r="E14" s="161"/>
      <c r="F14" s="161"/>
      <c r="G14" s="161"/>
      <c r="H14" s="161"/>
      <c r="I14" s="161"/>
      <c r="J14" s="161"/>
      <c r="K14" s="161"/>
      <c r="L14" s="162"/>
      <c r="M14" s="211" t="s">
        <v>59</v>
      </c>
      <c r="N14" s="171"/>
      <c r="O14" s="170" t="str">
        <f>PNT!F8</f>
        <v>LITROS</v>
      </c>
      <c r="P14" s="171"/>
      <c r="Q14" s="168">
        <f>PNT!H8</f>
        <v>139.30000000000001</v>
      </c>
      <c r="R14" s="169"/>
      <c r="S14" s="174">
        <f>PNT!G8</f>
        <v>10000</v>
      </c>
      <c r="T14" s="167"/>
    </row>
    <row r="15" spans="1:23" ht="21" customHeight="1" thickBot="1" x14ac:dyDescent="0.25">
      <c r="A15" s="157" t="s">
        <v>37</v>
      </c>
      <c r="B15" s="158"/>
      <c r="C15" s="158"/>
      <c r="D15" s="159" t="str">
        <f>APG!E26</f>
        <v>TRES MILLONES CIENTO CUATRO MIL CIENTO OCHENTA Y SIETE con 50/100</v>
      </c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4">
        <f>PNT!I9</f>
        <v>3104187.5</v>
      </c>
      <c r="R15" s="155"/>
      <c r="S15" s="155"/>
      <c r="T15" s="156"/>
    </row>
  </sheetData>
  <mergeCells count="35">
    <mergeCell ref="O14:P14"/>
    <mergeCell ref="S11:T12"/>
    <mergeCell ref="O11:P12"/>
    <mergeCell ref="Q11:R12"/>
    <mergeCell ref="A5:D5"/>
    <mergeCell ref="A11:A12"/>
    <mergeCell ref="A7:D7"/>
    <mergeCell ref="A8:D8"/>
    <mergeCell ref="A9:D9"/>
    <mergeCell ref="A6:D6"/>
    <mergeCell ref="M13:N13"/>
    <mergeCell ref="M14:N14"/>
    <mergeCell ref="M11:N12"/>
    <mergeCell ref="Q1:T2"/>
    <mergeCell ref="A1:P3"/>
    <mergeCell ref="A10:T10"/>
    <mergeCell ref="A4:D4"/>
    <mergeCell ref="C11:L12"/>
    <mergeCell ref="B11:B12"/>
    <mergeCell ref="Q15:T15"/>
    <mergeCell ref="A15:C15"/>
    <mergeCell ref="D15:P15"/>
    <mergeCell ref="C14:L14"/>
    <mergeCell ref="E4:T4"/>
    <mergeCell ref="E5:T5"/>
    <mergeCell ref="E6:T6"/>
    <mergeCell ref="E8:T8"/>
    <mergeCell ref="E9:T9"/>
    <mergeCell ref="E7:T7"/>
    <mergeCell ref="S13:T13"/>
    <mergeCell ref="Q14:R14"/>
    <mergeCell ref="O13:P13"/>
    <mergeCell ref="Q13:R13"/>
    <mergeCell ref="S14:T14"/>
    <mergeCell ref="C13:L13"/>
  </mergeCells>
  <phoneticPr fontId="5" type="noConversion"/>
  <printOptions horizontalCentered="1"/>
  <pageMargins left="0.19685039370078741" right="0.19685039370078741" top="0.78740157480314965" bottom="0" header="0" footer="0"/>
  <pageSetup paperSize="5"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PNT</vt:lpstr>
      <vt:lpstr>APG</vt:lpstr>
      <vt:lpstr>NP</vt:lpstr>
      <vt:lpstr>APG!Área_de_impresión</vt:lpstr>
      <vt:lpstr>NP!Área_de_impresión</vt:lpstr>
      <vt:lpstr>PNT!Área_de_impresión</vt:lpstr>
    </vt:vector>
  </TitlesOfParts>
  <Company>Casa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Bub</dc:creator>
  <cp:lastModifiedBy>RODOLFO SARTOR</cp:lastModifiedBy>
  <cp:lastPrinted>2022-03-17T13:59:59Z</cp:lastPrinted>
  <dcterms:created xsi:type="dcterms:W3CDTF">2008-11-28T13:31:57Z</dcterms:created>
  <dcterms:modified xsi:type="dcterms:W3CDTF">2022-03-30T11:54:02Z</dcterms:modified>
</cp:coreProperties>
</file>