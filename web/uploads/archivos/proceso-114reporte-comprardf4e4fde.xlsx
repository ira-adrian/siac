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3BC4352-7A0A-4DD6-9FF6-264313DB4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47" i="2" l="1"/>
  <c r="M47" i="2"/>
  <c r="Q47" i="2"/>
  <c r="U47" i="2"/>
  <c r="Y47" i="2"/>
  <c r="AC47" i="2"/>
  <c r="AG47" i="2"/>
  <c r="AK47" i="2"/>
</calcChain>
</file>

<file path=xl/sharedStrings.xml><?xml version="1.0" encoding="utf-8"?>
<sst xmlns="http://schemas.openxmlformats.org/spreadsheetml/2006/main" count="304" uniqueCount="202">
  <si>
    <t>Número expediente:</t>
  </si>
  <si>
    <t>EX-2022-01125861-   -CAT-DPCBS#MEC</t>
  </si>
  <si>
    <t>Número proceso de compra:</t>
  </si>
  <si>
    <t>100-0041-CPR22</t>
  </si>
  <si>
    <t>Nombre descriptivo proceso de compra:</t>
  </si>
  <si>
    <t>ADQUISICION DE MUEBLES Y ARTICULOS DEL HOGAR PARA EL MINISTERIO DE SALUD</t>
  </si>
  <si>
    <t>Unidad Operativa de Compras:</t>
  </si>
  <si>
    <t>Secretaria de Compras y Abastecimiento</t>
  </si>
  <si>
    <t>Fecha de Apertura:</t>
  </si>
  <si>
    <t>11/07/2022</t>
  </si>
  <si>
    <t>Renglón</t>
  </si>
  <si>
    <t>MARTIN ABEL LAGORIA</t>
  </si>
  <si>
    <t>LOURDES AGUSTINA PEREZ RODRIGUEZ</t>
  </si>
  <si>
    <t>TEJADA HNOS SRL</t>
  </si>
  <si>
    <t>ELIO OMAR CANDUSSI</t>
  </si>
  <si>
    <t>SUCESION DE LUIS JAIME KOTLER</t>
  </si>
  <si>
    <t>EDUCANDO SRL</t>
  </si>
  <si>
    <t>MAURICIO MOSSE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</si>
  <si>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</si>
  <si>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</si>
  <si>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</si>
  <si>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</si>
  <si>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</si>
  <si>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</si>
  <si>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</si>
  <si>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</si>
  <si>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</si>
  <si>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</si>
  <si>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</si>
  <si>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4.3.7-1367.427 </t>
  </si>
  <si>
    <t xml:space="preserve">ACONDICIONADORES DE AIRE; TIPO: SPLIT, FRIO: 3500 FRIG, CALOR: 3500 
CAL, TENSION NOMINAL: 220 V, CRITERIO DE SEGURIDAD: SELLO DE 
SEGURIDAD, CONSUMO: 4000 W, CORRIENTE NOMINAL: 6 A, EFICIENCIA ENERGETICA: 
GRADO A </t>
  </si>
  <si>
    <t xml:space="preserve">UNIDAD </t>
  </si>
  <si>
    <t xml:space="preserve">ACONDICIONADORES DE AIRE; TIPO: SPLIT, FRIO: 3500 FRIG, CALOR: 3500 
CAL, TENSION NOMINAL: 220 V, CRITERIO DE SEGURIDAD: SELLO DE 
SEGURIDAD, CONSUMO: 4000 W, CORRIENTE NOMINAL: 6 A, EFICIENCIA ENERGETICA: 
GRADO A. MARCA: NOBLEX; MODELO: ON OFF SPLIT NXS32HA3AN 3200 
FRIO CALOR GARANTIA 12 MESES A PARTIR DE ENTREGA DEFINITIVA 
</t>
  </si>
  <si>
    <t xml:space="preserve">ACONDICIONADORES DE AIRE; TIPO: SPLIT, FRIO: 3500 FRIG, CALOR: 3500 
CAL, TENSION NOMINAL: 220 V, CRITERIO DE SEGURIDAD: SELLO DE 
SEGURIDAD, CONSUMO: 4000 W, CORRIENTE NOMINAL: 6 A, EFICIENCIA ENERGETICA: 
GRADO A…... MARCA: SANYO / SIAM / PHILCO   
   </t>
  </si>
  <si>
    <t xml:space="preserve">2 </t>
  </si>
  <si>
    <t xml:space="preserve">4.3.7-1367.320 </t>
  </si>
  <si>
    <t xml:space="preserve">ACONDICIONADORES DE AIRE; TIPO: SPLIT, FRIO: 4500 FRIG, CALOR: 4500 
CAL, TENSION NOMINAL: 220 V, CRITERIO DE SEGURIDAD: SELLO DE 
SEGURIDAD, CONSUMO: MENOR A 5 KVA, CORRIENTE NOMINAL: 12 A, 
EFICIENCIA ENERGETICA: GRADO A </t>
  </si>
  <si>
    <t xml:space="preserve">ACONDICIONADORES DE AIRE; TIPO: SPLIT, FRIO: 4500 FRIG, CALOR: 4500 
CAL, TENSION NOMINAL: 220 V, CRITERIO DE SEGURIDAD: SELLO DE 
SEGURIDAD, CONSUMO: MENOR A 5 KVA, CORRIENTE NOMINAL: 12 A, 
EFICIENCIA ENERGETICA: GRADO A; MARCA: BGH: MODELO: INVERTER BSI53WCCR GARANTIA: 
 12 meses a partir de la entrega definitiva </t>
  </si>
  <si>
    <t xml:space="preserve">ACONDICIONADORES DE AIRE; TIPO: SPLIT, FRIO: 4500 FRIG, CALOR: 4500 
CAL, TENSION NOMINAL: 220 V, CRITERIO DE SEGURIDAD: SELLO DE 
SEGURIDAD, CONSUMO: MENOR A 5 KVA, CORRIENTE NOMINAL: 12 A, 
EFICIENCIA ENERGETICA: GRADO A… MARCA: SANYO / SIAN / PHILCO 
     </t>
  </si>
  <si>
    <t xml:space="preserve">3 </t>
  </si>
  <si>
    <t xml:space="preserve">2.2.9-702.3 </t>
  </si>
  <si>
    <t xml:space="preserve">ALMOHADAS; DIMENSION: 80 X 35 Cm, CONSTRUCCION: ESPUMA </t>
  </si>
  <si>
    <t xml:space="preserve">ALMOHADAS; DIMENSION: 80 X 35 Cm, CONSTRUCCION: ESPUMA.  MARCA:ANOCHECER 
     </t>
  </si>
  <si>
    <t xml:space="preserve">ALMOHADAS; DIMENSION: 70 X 35 Cm, CONSTRUCCION: ESPUMA MARCA: GANI 
GARANTIA : 12 MESES A PARTIR DE LA ENTREGA DEFINITIVA 
</t>
  </si>
  <si>
    <t xml:space="preserve">almohada placa liviana y tela no tejida 80x35x9cm   
</t>
  </si>
  <si>
    <t xml:space="preserve">4 </t>
  </si>
  <si>
    <t xml:space="preserve">4.3.7-2001.4 </t>
  </si>
  <si>
    <t xml:space="preserve">BANQUETAS/TABURETES; MATERIAL ESTRUCTURA: 147 dBV/mPa , TERMINACION: TAPIZADO, DIMENSION: 45 
X 35 Cm, RESPALDO: CON, GIRATORIA: SI, APOYABRAZO: SIN, PATAS: 
5 RUEDAS, ALTURA: 42 A 54 Cm, MATERIAL: METAL </t>
  </si>
  <si>
    <t xml:space="preserve">BANQUETAS/TABURETES; MATERIAL ESTRUCTURA: 147 dBV/mPa, TERMINACION: TAPIZADO, DIMENSION: 45 X 
35 Cm, RESPALDO: CON, GIRATORIA: SI, APOYABRAZO: SIN, PATAS: 5 
RUEDAS, ALTURA: 42 A 54 Cm, MATERIAL: METAL. MARCA: MENTHA 
MODECO          
      </t>
  </si>
  <si>
    <t xml:space="preserve">SILLA PRISMA 60-CON APOYAPIES NEGRO, ESTRUCTURA DE CAÑO FIJA. RESPALDO 
DE HOMOPOLIMERO DE ALTO IMPACTO NEGRO, ASIENTO TAPIZADO DE TELA 
O ECOCUER. INTERNO DE MADERA, ESPUMA DE ALTA DENSIDAD. GARANTIA 
1 AÑO MARCA PORTANTINO </t>
  </si>
  <si>
    <t xml:space="preserve">5 </t>
  </si>
  <si>
    <t xml:space="preserve">4.3.7-2001.22 </t>
  </si>
  <si>
    <t xml:space="preserve">BANQUETAS/TABURETES; TERMINACION: METAL, DIMENSION: 0,6 X 0,3, RESPALDO: SIN, GIRATORIA: 
NO, APOYABRAZO: SIN, PATAS: 4, ALTURA: REGULABLE, MATERIAL: METAL </t>
  </si>
  <si>
    <t xml:space="preserve">6 </t>
  </si>
  <si>
    <t xml:space="preserve">4.3.7-32.680 </t>
  </si>
  <si>
    <t xml:space="preserve">BIBLIOTECAS; MATERIAL: MELAMINA, CANT. PUERTAS: 2, TERMINACION: LAMINADO, DIMENSION (ANCHO/PROF/ALTO): 
120 X 40 X 180 Cm </t>
  </si>
  <si>
    <t xml:space="preserve">BIBLIOTECAS; MARCA: PLATINIUM; MATERIAL: MELAMINA, CANT. PUERTAS ALTAS: 2, TERMINACION: 
LAMINADO, DIMENSION (ANCHO/PROF/ALTO): 0,75 X 35 X 188 Cm GARANTIA: 
12 meses a partir de la entrega definitiva  </t>
  </si>
  <si>
    <t xml:space="preserve">BIBLIOTECA DE 1200X400X1800 CON 4 PUERTAS CORREDIZAS . TODO 18MM 
CON FONDO 3MM FIJO PVC 0.45MM, REGATONES PLASTICOS. EN 2 
MODULOS , INFERIOR Y SUPERIOR CON PARANTE Y 2 ESTANTES 
EN CADA MODULO MARCA BEROWOOD </t>
  </si>
  <si>
    <t xml:space="preserve">BIBLIOTECA CONSTRUIDA EN MDF DE 18 MM CON DOS PUERTAS 
BATIETES TERMINACION LAMINADO COLOR BLANCO MEDIDAS 120*40*180 CON 5 ESTANTES 
</t>
  </si>
  <si>
    <t xml:space="preserve">7 </t>
  </si>
  <si>
    <t xml:space="preserve">4.3.7-5605.1 </t>
  </si>
  <si>
    <t xml:space="preserve">BIOMBOS; TIPO: PLEGABLE, DIMENSION: 2 X 2 M, USO: SANITARIO 
</t>
  </si>
  <si>
    <t xml:space="preserve">Biombo tres planos y la medida despegado 175 cm de 
ancho x 170 cm de alto aproximado Marca: ind Hospitalaria 
</t>
  </si>
  <si>
    <t xml:space="preserve">Biombo divisor 3 cuerpos-  Medida: 1.70x1.80x0.60 mts </t>
  </si>
  <si>
    <t xml:space="preserve">8 </t>
  </si>
  <si>
    <t xml:space="preserve">4.3.9-8811.3 </t>
  </si>
  <si>
    <t xml:space="preserve">CALOVENTILADORES; TIPO: AIRE, CAPACIDAD CALORICA: 1800 W, CAUDAL: CONTINUO, MOTOR: 
ELECTRICO </t>
  </si>
  <si>
    <t xml:space="preserve">CALOVENTILADORES; TIPO: AIRE, CAPACIDAD CALORICA: 1800 W, CAUDAL: CONTINUO, MOTOR: 
ELECTRICO; MARCA: INDELPLAS GARANTIA:  12 meses a partir de 
la entrega definitiva  </t>
  </si>
  <si>
    <t xml:space="preserve">CALOVENTILADORES; TIPO: AIRE, CAPACIDAD CALORICA: 1800 W, CAUDAL: CONTINUO, MOTOR: 
ELECTRICO. MARCA: NEBA / ALPACA /INDELPLAST.-     
</t>
  </si>
  <si>
    <t xml:space="preserve">9 </t>
  </si>
  <si>
    <t xml:space="preserve">4.3.7-2207.2 </t>
  </si>
  <si>
    <t xml:space="preserve">CAMAS; LARGO X ANCHO: 190 X 80 Cm, MATERIAL: MADERA, 
TERMINACION: LUSTRE NATURAL, TIPO: 1PLAZA </t>
  </si>
  <si>
    <t xml:space="preserve">CAMAS; LARGO X ANCHO: 190 X 80 Cm, MATERIAL: MADERA, 
TERMINACION: LUSTRE NATURAL, TIPO: 1PLAZA MARCA:  MADERERA; MODELO: 0.80 
COLONIAL CEDRO COD 350 GARANTIA: : 12 meses a partir 
de la entrega definitiva </t>
  </si>
  <si>
    <t xml:space="preserve">"CAMAS; LARGO X ANCHO: 190 X 80 Cm, MATERIAL: MADERA, 
TERMINACION: LUSTRE NATURAL, TIPO: 1PLAZA. MARCA: AYALA.-    
  </t>
  </si>
  <si>
    <t xml:space="preserve">Cama una plaza, madera. Medidas 190*80 Marca Indnac </t>
  </si>
  <si>
    <t xml:space="preserve">10 </t>
  </si>
  <si>
    <t xml:space="preserve">2.2.9-701.57 </t>
  </si>
  <si>
    <t xml:space="preserve">COLCHONES; DIMENSION: 190 X 80 Cm, DENSIDAD: 25 kg/cm3, ESPESOR: 
21 Cm, CONSTRUCCION: ESPUMA, TERMINACION: MATELASSEADO </t>
  </si>
  <si>
    <t xml:space="preserve">COLCHONES; DIMENSION: 190 X 80 Cm, DENSIDAD: 25 kg/cm3, ESPESOR: 
21 Cm, CONSTRUCCION: ESPUMA, TERMINACION: MATELASSEADO. MARCA:CAMUDI.-    
  </t>
  </si>
  <si>
    <t xml:space="preserve">COLCHONES; DIMENSION: 190 X 80 Cm, DENSIDAD: 25 kg/cm3, ESPESOR: 
21 Cm, CONSTRUCCION: ESPUMA, TERMINACION: MATELASSEADO; MARCA: GANI; MODELO: AIR 
FLEX GARANTIA : 12 MESES A PARTIR DE LA ENTREGA 
DEFINITIVA  </t>
  </si>
  <si>
    <t xml:space="preserve">Densidad 24 Kg - Espesor 20 cm MARCA: ARCOIRIS </t>
  </si>
  <si>
    <t xml:space="preserve">11 </t>
  </si>
  <si>
    <t xml:space="preserve">2.2.3-917.25 </t>
  </si>
  <si>
    <t xml:space="preserve">CUBRECAMA; TIPO: ACOLCHADO, TAMAÑO: 1 1/2 PLAZA, MATERIAL: ALGODON Y 
POLIESTER </t>
  </si>
  <si>
    <t xml:space="preserve">CUBRECAMA; TIPO: ACOLCHADO, TAMAÑO: 1 1/2 PLAZA, MATERIAL: ALGODON Y 
POLIESTER.  MARCA: ECO SYSTEM.-      
</t>
  </si>
  <si>
    <t xml:space="preserve">Cubre cama nido de abeja. Marca: Onlinetextil  </t>
  </si>
  <si>
    <t xml:space="preserve">CUBRECAMA; TIPO: ACOLCHADO, TAMAÑO: 1 1/2 PLAZA, MATERIAL: ALGODÓN Y 
POLIESTER - MARCA BLANCO PARIS  GARANTÍA MINIMA DE UN 
(1) AÑO </t>
  </si>
  <si>
    <t xml:space="preserve">12 </t>
  </si>
  <si>
    <t xml:space="preserve">4.3.7-37.82 </t>
  </si>
  <si>
    <t xml:space="preserve">ESCALERAS; MATERIAL: METAL, ESCALONES: 2, TRAMOS: UNICO, DESARROLLO: PLANO UNICO, 
SOPORTE: APOYO </t>
  </si>
  <si>
    <t xml:space="preserve">"ESCALERAS; MATERIAL:METAL, ESCALONES: 2, TRAMOS: UNICO, DESARROLLO: PLANO UNICO, SOPORTE: 
APOYO. MARCA: BOTAFOGO.-        
        </t>
  </si>
  <si>
    <t xml:space="preserve">Escalera con dos peldaños. Marca: Industria Hospitalaria  </t>
  </si>
  <si>
    <t xml:space="preserve">Escalera 2 peldaños Medida: 0,38 mts. - 0,35 mts. - 
0,38 mts.  </t>
  </si>
  <si>
    <t xml:space="preserve">13 </t>
  </si>
  <si>
    <t xml:space="preserve">4.3.7-4502.8 </t>
  </si>
  <si>
    <t xml:space="preserve">ESCRITORIOS ERGONOMICOS; MATERIAL ESTRUCTURA: AGLOMERADO, ALTURA: 75 Cm, CAJONERA: SI, 
CAJONES: 3, TIRANTE SOBRE CAJON: SIN, BANDEJA PORTATECLADO: CON, PASACABLES: 
CON, TERMINACION: MELAMINA, ANCHO MAYOR: 120 Cm, ANCHO MENOR: SIN 
VALOR, PROF. MAYOR: 70 Cm, PROF. MENOR: SIN VALOR, CANTIDAD 
DE CAJONES: 3, MATERIAL: AGLOMERADO, ANCHO MAXIMO: 120 Cm, PROFUNDIDAD 
MAXIMA: 70 Cm, DIMENSION (A/P/H): 120 X 70 X 75 
Cm </t>
  </si>
  <si>
    <t xml:space="preserve">ESCRITORIOS ERGONOMICOS; MATERIAL ESTRUCTURA: AGLOMERADO, ALTURA: 75 Cm, CAJONERA: SI, 
CAJONES: 2, TIRANTE SOBRE CAJON: SIN,  TERMINACION: MELAMINA, ANCHO 
MAYOR: 120 Cm, ANCHO MENOR: SIN VALOR, PROF. MAYOR: 70 
Cm, PROF. MENOR: SIN VALOR, CANTIDAD DE CAJONES: 2, MATERIAL: 
AGLOMERADO, ANCHO MAXIMO: 120 Cm, PROFUNDIDAD MAXIMA: 70 Cm, DIMENSION 
(A/P/H): 120 X 70 X 75 Cm MARCA: PLATINIUM; MODELO: 
502 GARANTIA: 12 meses a partir de la entrega definitiva 
 </t>
  </si>
  <si>
    <t xml:space="preserve">ESCRITORIO 1200X700X750 CON CAJONERA DE 3 CAJONES Y BANDEJA PORTA 
TECLADO HECHO EN MELAMINA SOBRE AGLOMERADO CON TAPA 25MM / 
LATERALES Y FAJA 18MM GARANTIA 1 AÑO MARCA BEROWOOD LINEA 
25MM  </t>
  </si>
  <si>
    <t xml:space="preserve">14 </t>
  </si>
  <si>
    <t xml:space="preserve">4.3.7-40.38 </t>
  </si>
  <si>
    <t xml:space="preserve">ESCRITORIOS; CAJONERA: 2 IZQUIERDA, 2 DERECHA, TIRANTE SOBRE CAJON.: SIN, 
TERMINACION: REVESTIMIENTO MELAMINICO, DIM. DEL PLANO DE UNION: SIN VALOR, 
DIM. DEL PLANO DE APOYO: SIN VALOR, DIM. DE LAS 
PANTALLA DIVISORIA: SIN VALOR, DIM. DEL PLANO DE EXTENSION: SIN 
VALOR, BANDEJA PORTATECLADO: SIN VALOR, PASACABLES: SIN VALOR, MATERIAL ESTRUCTURA: 
AGLOMERADO, CAJONES: 4, CANTIDAD DE CAJONES: 4 </t>
  </si>
  <si>
    <t xml:space="preserve">ESCRITORIOS; CAJONERA: 2 IZQUIERDA, 2 DERECHA, TIRANTE SOBRE CAJON.: SIN, 
TERMINACION: REVESTIMIENTO MELAMINICO, DIM. DEL PLANO DE UNION: SIN VALOR, 
DIM. DEL PLANO DE APOYO: SIN VALOR, DIM. DE LAS 
PANTALLA DIVISORIA: SIN VALOR, DIM. DEL PLANO DE EXTENSION: SIN 
VALOR, BANDEJA PORTATECLADO: SIN VALOR, PASACABLES: SIN VALOR, MATERIAL ESTRUCTURA: 
AGLOMERADO, CAJONES: 4, CANTIDAD DE CAJONES: 4; MARCA: EMC; DIMENSION 
(A/P/H): 150 X 73 X 75 Cm GARANTIA:: 12 meses 
a partir de la entrega definitiva  </t>
  </si>
  <si>
    <t xml:space="preserve">ESCRITORIO 1500X700X750 CON CAJONES 2 DERECHAS 2 IZQUIERDA. HECHO EN 
MELAMINA SOBRE AGLOMERADO CON TAPA 25MM / LATERALES Y FAJA 
18 MM GARANTIA 1 AÑO MARCA BEROWOOD LINEA 25 MM 
</t>
  </si>
  <si>
    <t xml:space="preserve">15 </t>
  </si>
  <si>
    <t xml:space="preserve">4.3.7-1404.22 </t>
  </si>
  <si>
    <t xml:space="preserve">ESTANTERIAS; MATERIAL: METAL, DIMENSION: 205 X 60 Cm, ALTURA: 260 
Cm, ESTANTES: 6 UN, CAPACIDAD POR ESTANTE: SIN VALOR </t>
  </si>
  <si>
    <t xml:space="preserve">16 </t>
  </si>
  <si>
    <t xml:space="preserve">2.2.3-920.42 </t>
  </si>
  <si>
    <t xml:space="preserve">FRAZADAS; MATERIAL: POLAR, TAMAÑO: 1 1/2 PLAZA </t>
  </si>
  <si>
    <t xml:space="preserve">FRAZADAS; MATERIAL: POLAR, TAMAÑO: 1 1/2 PLAZA. MARCA: AM Collection.- 
     </t>
  </si>
  <si>
    <t xml:space="preserve">Frasada polar  Marca: Onlinetextil  </t>
  </si>
  <si>
    <t xml:space="preserve">FRAZADAS; MATERIAL: POLIESTER , TAMAÑO: 1  PLAZA - MARCA 
JEAN CARTIER  GARANTÍA MINIMA DE UN (1) AÑO </t>
  </si>
  <si>
    <t xml:space="preserve">17 </t>
  </si>
  <si>
    <t xml:space="preserve">4.3.7-4500.4 </t>
  </si>
  <si>
    <t xml:space="preserve">GAVETEROS; MATERIAL: METAL, ALTURA: 240 Cm, ANCHO: 110 Cm, PROFUNDIDAD: 
36 Cm, TERMINACION: ESMALTE, CANTIDAD DE CAJONES: 32 </t>
  </si>
  <si>
    <t xml:space="preserve">18 </t>
  </si>
  <si>
    <t xml:space="preserve">4.3.7-15.123 </t>
  </si>
  <si>
    <t xml:space="preserve">HELADERAS; CAPACIDAD: 400 L, FRIO: CON FREEZER, CONSUMO: MENOR A 
5 KVA, TENSION NOMINAL: 220 V, CRITERIO DE SEGURIDAD: SELLO 
DE SEGURIDAD, CORRIENTE NOMINAL: MENOR A 63 A, EFICIENCIA ENERGETICA: 
GRADO A </t>
  </si>
  <si>
    <t xml:space="preserve">19 </t>
  </si>
  <si>
    <t xml:space="preserve">4.3.7-96.28 </t>
  </si>
  <si>
    <t xml:space="preserve">HORNOS MICROONDAS; CAPACIDAD: 30 L, DIMENSION (A/P/H): 520 X 510 
X 500 mm, ACCESORIO: BANDEJA, MATERIAL INTERNO: CHAPA ESMALTADA, POTENCIA: 
1000 W, TENSION NOMINAL: 220 V, CORRIENTE NOMINAL: 4,5 A, 
CONSUMO: 800 W, CRITERIO DE SEGURIDAD: SELLO DE SEGURIDAD, EFICIENCIA 
ENERGETICA: SIN VALOR </t>
  </si>
  <si>
    <t xml:space="preserve">HORNOS MICROONDAS; CAPACIDAD: 30 L, DIMENSION (A/P/H): 520 X 510 
X 500 mm, ACCESORIO: BANDEJA, MATERIAL INTERNO: CHAPA ESMALTADA, POTENCIA: 
1000 W, TENSION NOMINAL: 220 V, CORRIENTE NOMINAL: 4,5 A, 
CONSUMO: 800 W, CRITERIO DE SEGURIDAD: SELLO DE SEGURIDAD, EFICIENCIA 
ENERGETICA: SIN VALOR. MARCA: KELVINATOR.-      
</t>
  </si>
  <si>
    <t xml:space="preserve">HORNOS MICROONDAS; CAPACIDAD: 28 L, MARCA: BGH; MODELO: B228DB9 28L 
GRILL GARANTIA : 12 MESES A PARTIR DE LA ENTREGA 
DEFINITIVA  </t>
  </si>
  <si>
    <t xml:space="preserve">20 </t>
  </si>
  <si>
    <t xml:space="preserve">4.3.9-2757.58 </t>
  </si>
  <si>
    <t xml:space="preserve">LAVADORAS; USO: ROPA, CAPACIDAD: 10 Kg, VAPOR SOBRECALENTADO: SIN, BOMBA 
ADICIONAL: SIN, ALIMENTACION: 220 V, TENSION NOMINAL: 220/224 V, CORRIENTE 
NOMINAL: 10 A, CRITERIO DE SEGURIDAD: SELLO DE SEGURIDAD, CONSUMO: 
6 KW, EFICIENCIA ENERGETICA: SIN VALOR </t>
  </si>
  <si>
    <t xml:space="preserve">LAVADORAS; USO: ROPA, CAPACIDAD: 10 Kg, MARCA: DREAN; MODELO: NEXT 
10.12 P ECO GARANTIA:  12 meses a partir de 
la entrega definitiva  </t>
  </si>
  <si>
    <t xml:space="preserve">21 </t>
  </si>
  <si>
    <t xml:space="preserve">4.3.7-2012.7 </t>
  </si>
  <si>
    <t xml:space="preserve">LOCKERS; MATERIAL ESTRUCTURA: 147 dBV/mPa , DIMENSION: 182 X 78 
X 52 Cm, CANTIDAD CASILLEROS: 6, ESTANTES: CON, PUERTAS: 6, 
CAJONES: SIN, CANTIDAD DE CAJONES: SIN, MATERIAL: METAL, CANT. PUERTAS: 
6, CANTIDAD DE CASILLEROS: 6 </t>
  </si>
  <si>
    <t xml:space="preserve">LOCKER METALICO 6 PUERTAS CORTAS 182*78*52 </t>
  </si>
  <si>
    <t xml:space="preserve">22 </t>
  </si>
  <si>
    <t xml:space="preserve">4.3.7-2208.50 </t>
  </si>
  <si>
    <t xml:space="preserve">MESAS DE LUZ; ANCHO: 45 Cm, PROFUNDIDAD: 40 Cm, MATERIAL: 
METAL, TERMINACION: MELAMINA </t>
  </si>
  <si>
    <t xml:space="preserve">Mesa de luz 45x45 de chapa con tapa superior de 
melamina. Marca: Industria Hospitalaria  </t>
  </si>
  <si>
    <t xml:space="preserve">MESA DE LUZ DE 405X450X650H CON 1 CAJON Y PUERTA 
DE ABRIR CON ESTANTE TODO 18MM, FILO PVC 0.45MM CORREDERA 
METALICAS MANIJAS SATINADA GARANTIIA 1 AÑO MARCA BEROWWOD </t>
  </si>
  <si>
    <t xml:space="preserve">23 </t>
  </si>
  <si>
    <t xml:space="preserve">4.3.7-1406.271 </t>
  </si>
  <si>
    <t xml:space="preserve">MESAS DE REUNIONES; SUPERFICIE APOYO: AGLOMERADO, TERMINACION: LAMINADO MELAMINICO, DIM. 
DEL PLANO DE APOYO: 240 X 110 Cm, BASE: AGLOMERADO, 
CAPACIDAD: 8 PERSONAS, MATERIAL: AGLOMERADO </t>
  </si>
  <si>
    <t xml:space="preserve">MESAS DE REUNIONES; MARCA: EMC; SUPERFICIE APOYO: AGLOMERADO, TERMINACION: LAMINADO 
MELAMINICO, DIM. DEL PLANO DE APOYO: 200 X 90 X 
75 Cm, BASE: AGLOMERADO, CAPACIDAD: 8 PERSONAS, MATERIAL: AGLOMERADO GARANTIA: 
: 12 meses a partir de la entrega definitiva </t>
  </si>
  <si>
    <t xml:space="preserve">Mesa de reuniones DE 2.79: ALTO 0,80  ANCHO 2,79 
 PROFUNDIDAD 0,90  Marca; Machena  </t>
  </si>
  <si>
    <t xml:space="preserve">MESA DE REUNION RECTA 2600X1200X750 EN MELAMINA SOBRE AGLOMERADO. TAPA 
25MM BASE 18MM GARANTIA 1 AÑO MARCA BEROWOOD LINEA 25MM 
</t>
  </si>
  <si>
    <t xml:space="preserve">24 </t>
  </si>
  <si>
    <t xml:space="preserve">4.3.7-5446.1 </t>
  </si>
  <si>
    <t xml:space="preserve">MESAS P/CAMAS; BASE: ACERO INOXIDABLE, ALTURA: REGULABLE, DIMENSION DE TAPA: 
50 X 80 Cm, MATERIAL DE TAPA: LAMINADA EN MELAMINA, 
SUPERFICIE APOYO: 50 X 80 Cm </t>
  </si>
  <si>
    <t xml:space="preserve">Mesa multiuso para alimentación, estructura de caño, pintada epoxi color 
gris aluminio, con base rodante 4 ruedas de 52mm, regulacion 
de altura mediante perilla de fijación y aglomerado de 60x40 
con canto melaminico.  Marca: Medsa  </t>
  </si>
  <si>
    <t xml:space="preserve">25 </t>
  </si>
  <si>
    <t xml:space="preserve">4.3.7-1910.21 </t>
  </si>
  <si>
    <t xml:space="preserve">MESAS P/IMPRESORAS; MATERIAL: MADERA, DIM. APROX. (ANCHO/PROF/ALTO): 250 X 45 
X 85 Cm </t>
  </si>
  <si>
    <t xml:space="preserve">MESA DE APOYO RECTA PARA IMPRESORAS DE 2500X450X850H TODO 18MM, 
FILO PVC 0.45 REGATONES PLASTICOS GARANTIA 1 AÑO MARCA BEROWOOD 
</t>
  </si>
  <si>
    <t xml:space="preserve">26 </t>
  </si>
  <si>
    <t xml:space="preserve">4.3.9-7935.2 </t>
  </si>
  <si>
    <t xml:space="preserve">MESAS P/PLANCHADO; ESTRUCTURA: HIERRO REFORZADO, DIMENSION: 1 X 0,5 M, 
TERMINACION: TELA DE AMIANTO, MATERIAL ESTRUCTURA: HIERRO REFORZADO </t>
  </si>
  <si>
    <t xml:space="preserve">MESAS P/PLANCHADO; MARCA: NAKAN; MODELO: REFORZADA TPD-RBAESTRUCTURA: HIERRO REFORZADO, DIMENSION: 
1 X 0,5 M, TERMINACION: TELA DE AMIANTO, MATERIAL ESTRUCTURA: 
HIERRO REFORZADO GARANTIA: 12 MESES  </t>
  </si>
  <si>
    <t xml:space="preserve">27 </t>
  </si>
  <si>
    <t xml:space="preserve">4.3.7-9066.3 </t>
  </si>
  <si>
    <t xml:space="preserve">PAVAS ELECTRICAS; MATERIAL: ALUMINIO, CAPACIDAD: 1,7 L, POTENCIA: 2100 W, 
TENSION NOMINAL: 220 V, CORRIENTE NOMINAL: MENOR A 63 A, 
CONSUMO: MENOR A 5 KVA, CRITERIO DE SEGURIDAD: SELLO DE 
SEGURIDAD </t>
  </si>
  <si>
    <t xml:space="preserve">PAVAS ELECTRICAS; MATERIAL: ALUMINIO, CAPACIDAD: 1,7 L, POTENCIA: 2100 W, 
TENSION NOMINAL: 220 V, CORRIENTE NOMINAL: MENOR A 63 A, 
CONSUMO: MENOR A 5 KVA, CRITERIO DE SEGURIDAD:  SELLO 
DE SEGURIDAD. MARCA: OSR.-       
         </t>
  </si>
  <si>
    <t xml:space="preserve">PAVAS ELECTRICAS; MARCA: ATMA; MODELO: PE-0821NAP NEGRA GARANTIA : 12 
MESES A PARTIR DE LA ENTREGA DEFINITIVA  </t>
  </si>
  <si>
    <t xml:space="preserve">28 </t>
  </si>
  <si>
    <t xml:space="preserve">4.3.9-2489.10 </t>
  </si>
  <si>
    <t xml:space="preserve">PLANCHAS; CONSUMO: 800 W, CRITERIO DE SEGURIDAD: SELLO DE SEGURIDAD, 
CORRIENTE NOMINAL: MENOR A 63 A, TENSION NOMINAL: 220 - 
240 V, ACCESORIO: CON, TIPO: ELECTRICA </t>
  </si>
  <si>
    <t xml:space="preserve">PLANCHAS; CONSUMO: 800 W, CRITERIO DE SEGURIDAD: SELLO DE SEGURIDAD, 
CORRIENTE NOMINAL: MENOR A 63 A, TENSION NOMINAL: 220 - 
240 V, ACCESORIO: CON, TIPO: ELECTRICA. MARCA: KEN BROWN /CRIVEL.- 
    </t>
  </si>
  <si>
    <t xml:space="preserve">PLANCHAS; CONSUMO: 800 W, CRITERIO DE SEGURIDAD: SELLO DE SEGURIDAD, 
CORRIENTE NOMINAL: MENOR A 63 A, TENSION NOMINAL: 220 - 
240 V, ACCESORIO: CON, TIPO: ELECTRICA MARCA : BLACK AND 
DECKER GARANTIA : 12 MESES A PARTIR DE LA ENTREGA 
DEFINITIVA </t>
  </si>
  <si>
    <t xml:space="preserve">29 </t>
  </si>
  <si>
    <t xml:space="preserve">4.3.7-1880.1 </t>
  </si>
  <si>
    <t xml:space="preserve">RELOJES; TAMAÑO: 30 X 25 Cm, ALIMENTACION: ELECTRICA, MECANISMO: ANALOGICO, 
TIPO: DE PARED, MATERIAL: PLASTICO </t>
  </si>
  <si>
    <t xml:space="preserve">30 </t>
  </si>
  <si>
    <t xml:space="preserve">2.2.3-923.1 </t>
  </si>
  <si>
    <t xml:space="preserve">SABANAS; TELA: PURO ALGODON, TAMAÑO: 1 PLAZA, CONJUNTO: SUPERIOR,INFERIOR Y 
FUNDA </t>
  </si>
  <si>
    <t xml:space="preserve">SABANAS; TELA: PURO ALGODON, TAMAÑO: 1 PLAZA, CONJUNTO: SUPERIOR, INFERIOR 
Y FUNDA. MARCA: CENTURI.-       
         </t>
  </si>
  <si>
    <t xml:space="preserve">Sabanas 132 hilos - Blanco  Marca Arco iris </t>
  </si>
  <si>
    <t xml:space="preserve"> SABANAS; TELA: , TAMAÑO: 1 1/2 PLAZA, CONJUNTO: SUPERIOR,INFERIOR 
Y FUNDA - MARCA JEAN CARTIER   GARANTÍA MINIMA 
DE UN (1) AÑO </t>
  </si>
  <si>
    <t xml:space="preserve">31 </t>
  </si>
  <si>
    <t xml:space="preserve">4.3.9-2655.27 </t>
  </si>
  <si>
    <t xml:space="preserve">SECARROPAS/CENTRIFUGA; TIPO: ROTATIVO, SECADO: POR CALOR, CAPACIDAD: 10 Kg, TENSION 
NOMINAL: 220 V, CORRIENTE NOMINAL: 10 A, CRITERIO DE SEGURIDAD: 
SELLO DE SEGURIDAD, CONSUMO: 6 KW, EFICIENCIA ENERGETICA: GRADO B 
</t>
  </si>
  <si>
    <t xml:space="preserve">32 </t>
  </si>
  <si>
    <t xml:space="preserve">4.3.7-45.30 </t>
  </si>
  <si>
    <t xml:space="preserve">SILLAS; MATERIAL ESTRUCTURA: METAL, PATAS: BASE CENTRAL,PATAS FIJAS, ALTURA: FIJA, 
GIRATORIA: NO, RESPALDO: FIJO, ASIENTO: SIN VALOR, TAPIZADO: CUERINA, APOYA 
BRAZO: SIN, CANTIDAD PATAS: 4, Nº PATAS: 4, APOYABRAZO: SIN 
</t>
  </si>
  <si>
    <t xml:space="preserve">SILLAS; MARCA: LM; MODELO: JMB01MATERIAL ESTRUCTURA: METAL, PATAS: BASE CENTRAL,PATAS 
FIJAS, ALTURA: FIJA, GIRATORIA: NO, RESPALDO: FIJO, ASIENTO: SIN VALOR, 
TAPIZADO: CUERINA, APOYA BRAZO: SIN, CANTIDAD PATAS: 4, Nº PATAS: 
4, APOYABRAZO: SIN GARANTIA:: 12 meses a partir de la 
entrega </t>
  </si>
  <si>
    <t xml:space="preserve">SILLA PRISMA 40 - CON APOYAPIES NEGRO ESTRUCTURA DE CAÑO 
FIJA. RESPALDO DE HOMOPOLIMERO DE ALTO IMPACTO NEGRO, ASIENTOS TAPIZADO 
DE TELA O ECOCUER. INTERNO DE MADERA, ESPUMA DE ALTA 
DENSIDAD GARANTIA 1 AÑO MARCA PORTANTINO </t>
  </si>
  <si>
    <t xml:space="preserve">33 </t>
  </si>
  <si>
    <t xml:space="preserve">4.3.7-2004.2 </t>
  </si>
  <si>
    <t xml:space="preserve">SISTEMAS DE SILLAS; ALTURA FIJA - APOYABRAZO SIN - Nº 
DE ASIENTOS 4 - MATERIAL METAL </t>
  </si>
  <si>
    <t xml:space="preserve">TANDEM OP FISSO 4 PUESTOS ESTRUCTURA FIJAS ASIENTO Y RESPALDO 
DE HOMOPOLIMERO DE ALTO IMPACTO. ESTRUCTURA METALICA COLOR NEGRO GARANTIA 
1 AÑO MARCA PORTANTINO </t>
  </si>
  <si>
    <t xml:space="preserve">34 </t>
  </si>
  <si>
    <t xml:space="preserve">2.9.1-2661.8 </t>
  </si>
  <si>
    <t xml:space="preserve">TACHOS DE RESIDUOS; MATERIAL: PLASTICO, SECCION: CIRCULAR, DIMENSION: 119 L, 
TAPA: CON </t>
  </si>
  <si>
    <t xml:space="preserve">35 </t>
  </si>
  <si>
    <t xml:space="preserve">2.9.1-2661.1 </t>
  </si>
  <si>
    <t xml:space="preserve">TACHOS DE RESIDUOS; MATERIAL: PLASTICO, SECCION: CIRCULAR, DIMENSION: DIAM. 30 
X 80 Cm, TAPA: CON </t>
  </si>
  <si>
    <t xml:space="preserve">TACHOS DE RESIDUOS; MATERIAL: PLASTICO, SECCION: CIRCULAR, DIMENSION: DIAM. 30 
X 80 Cm, TAPA: CON. MARCA: LIMPLAST.-    
  </t>
  </si>
  <si>
    <t xml:space="preserve">36 </t>
  </si>
  <si>
    <t xml:space="preserve">4.3.7-28.58 </t>
  </si>
  <si>
    <t xml:space="preserve">VENTILADORES; TIPO: DE PIE, POTENCIA: 140 W, TENSION NOMINAL: 220 
V, CORRIENTE NOMINAL: MENOR A 0,6 A, CONSUMO: MENOR A 
5 KVA, CRITERIO DE SEGURIDAD: SELLO DE SEGURIDAD </t>
  </si>
  <si>
    <t xml:space="preserve">VENTILADORES; TIPO: DE PIE, POTENCIA: 140 W, TENSION NOMINAL: 220 
V, CORRIENTE NOMINAL: MENOR A 0,6 A, CONSUMO: MENOR A 
5 KVA, CRITERIO DE SEGURIDAD: SELLO DE SEGURIDAD. MARCA: EVEREST.- 
     </t>
  </si>
  <si>
    <t xml:space="preserve">VENTILADORES; MARCA: TIVOLI: MODELO:  20" OSCILANTE 3 EN 1 
VPO-313 110W 3 GARANTIA : 12 MESES A PARTIR DE 
LA ENTREGA DEFINITIVA </t>
  </si>
  <si>
    <t xml:space="preserve">37 </t>
  </si>
  <si>
    <t xml:space="preserve">4.3.7-1832.16 </t>
  </si>
  <si>
    <t xml:space="preserve">VITRINAS; ESTRUCTURA: MADERA, ALTURA: 170 Cm, ANCHO: 132 Cm, PROFUNDIDAD: 
43 Cm, ESTANTE: CON, MATERIAL ESTRUCTURA: MADERA, PUERTA: 2 DE 
VIDRIO Y MADERA, PUERTAS: 2 DE VIDRIO Y MADERA </t>
  </si>
  <si>
    <t xml:space="preserve">ARMARIO TIPO VITRINA DE 1320X430X1700H CON 4 PUERTAS DE VIDRIO 
. NO INCLUYE EL VIDRIO - SI LAS BISAGRAS Y 
LA MANIJA. TODO 18MM CON FONDO 3MM, FILO PVC 0.45MM, 
REGATONES PLASTICOS CON PARANTE Y 3 ESTANTES EN CADA MODULO 
GARANTIA 1 AÑO MARCA BEROWOOD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</si>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</sst>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7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7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7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47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47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47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47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E9:AH47" totalsRowCount="1">
  <tableColumns count="4">
    <tableColumn id="1" xr3:uid="{00000000-0010-0000-0700-000001000000}" name="Precio unitario"/>
    <tableColumn id="2" xr3:uid="{00000000-0010-0000-0700-000002000000}" name="Cantidad ofertada"/>
    <tableColumn id="3" xr3:uid="{00000000-0010-0000-0700-000003000000}" name="Total por renglón" totalsRowFunction="sum"/>
    <tableColumn id="4" xr3:uid="{00000000-0010-0000-0700-000004000000}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I9:AL47" totalsRowCount="1">
  <tableColumns count="4">
    <tableColumn id="1" xr3:uid="{00000000-0010-0000-0800-000001000000}" name="Precio unitario"/>
    <tableColumn id="2" xr3:uid="{00000000-0010-0000-0800-000002000000}" name="Cantidad ofertada"/>
    <tableColumn id="3" xr3:uid="{00000000-0010-0000-0800-000003000000}" name="Total por renglón" totalsRowFunction="sum"/>
    <tableColumn id="4" xr3:uid="{00000000-0010-0000-08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4.7109375" customWidth="1"/>
    <col min="5" max="5" width="75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9.5703125" customWidth="1"/>
    <col min="11" max="11" width="14.28515625" customWidth="1"/>
    <col min="12" max="12" width="17.28515625" customWidth="1"/>
    <col min="13" max="13" width="16.5703125" customWidth="1"/>
    <col min="14" max="14" width="96.7109375" customWidth="1"/>
    <col min="15" max="15" width="14.28515625" customWidth="1"/>
    <col min="16" max="16" width="17.28515625" customWidth="1"/>
    <col min="17" max="17" width="16.5703125" customWidth="1"/>
    <col min="18" max="18" width="105.5703125" customWidth="1"/>
    <col min="19" max="19" width="14.28515625" customWidth="1"/>
    <col min="20" max="20" width="17.28515625" customWidth="1"/>
    <col min="21" max="21" width="16.5703125" customWidth="1"/>
    <col min="22" max="22" width="64.7109375" customWidth="1"/>
    <col min="23" max="23" width="14.28515625" customWidth="1"/>
    <col min="24" max="24" width="17.28515625" customWidth="1"/>
    <col min="25" max="25" width="16.5703125" customWidth="1"/>
    <col min="26" max="26" width="80.28515625" customWidth="1"/>
    <col min="27" max="27" width="14.28515625" customWidth="1"/>
    <col min="28" max="28" width="17.28515625" customWidth="1"/>
    <col min="29" max="29" width="16.5703125" customWidth="1"/>
    <col min="30" max="30" width="81.28515625" customWidth="1"/>
    <col min="31" max="31" width="14.28515625" customWidth="1"/>
    <col min="32" max="32" width="17.28515625" customWidth="1"/>
    <col min="33" max="33" width="16.5703125" customWidth="1"/>
    <col min="34" max="34" width="49.140625" customWidth="1"/>
    <col min="35" max="35" width="14.28515625" customWidth="1"/>
    <col min="36" max="36" width="17.28515625" customWidth="1"/>
    <col min="37" max="37" width="16.5703125" customWidth="1"/>
    <col min="38" max="38" width="71.42578125" customWidth="1"/>
  </cols>
  <sheetData>
    <row r="1" spans="1:38" x14ac:dyDescent="0.25">
      <c r="D1" s="2" t="s">
        <v>0</v>
      </c>
      <c r="E1" s="2" t="s">
        <v>1</v>
      </c>
    </row>
    <row r="2" spans="1:38" x14ac:dyDescent="0.25">
      <c r="D2" s="2" t="s">
        <v>2</v>
      </c>
      <c r="E2" s="2" t="s">
        <v>3</v>
      </c>
    </row>
    <row r="3" spans="1:38" x14ac:dyDescent="0.25">
      <c r="D3" s="2" t="s">
        <v>4</v>
      </c>
      <c r="E3" s="2" t="s">
        <v>5</v>
      </c>
    </row>
    <row r="4" spans="1:38" x14ac:dyDescent="0.25">
      <c r="D4" s="2" t="s">
        <v>6</v>
      </c>
      <c r="E4" s="2" t="s">
        <v>7</v>
      </c>
    </row>
    <row r="5" spans="1:38" x14ac:dyDescent="0.25">
      <c r="D5" s="2" t="s">
        <v>8</v>
      </c>
      <c r="E5" s="2" t="s">
        <v>9</v>
      </c>
    </row>
    <row r="8" spans="1:3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</row>
    <row r="9" spans="1:38" x14ac:dyDescent="0.25">
      <c r="A9" t="s">
        <v>10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s="3" t="s">
        <v>24</v>
      </c>
      <c r="H9" s="3" t="s">
        <v>25</v>
      </c>
      <c r="I9" t="s">
        <v>26</v>
      </c>
      <c r="J9" t="s">
        <v>27</v>
      </c>
      <c r="K9" s="3" t="s">
        <v>24</v>
      </c>
      <c r="L9" s="3" t="s">
        <v>25</v>
      </c>
      <c r="M9" t="s">
        <v>26</v>
      </c>
      <c r="N9" t="s">
        <v>27</v>
      </c>
      <c r="O9" s="3" t="s">
        <v>24</v>
      </c>
      <c r="P9" s="3" t="s">
        <v>25</v>
      </c>
      <c r="Q9" t="s">
        <v>26</v>
      </c>
      <c r="R9" t="s">
        <v>27</v>
      </c>
      <c r="S9" s="3" t="s">
        <v>24</v>
      </c>
      <c r="T9" s="3" t="s">
        <v>25</v>
      </c>
      <c r="U9" t="s">
        <v>26</v>
      </c>
      <c r="V9" t="s">
        <v>27</v>
      </c>
      <c r="W9" s="3" t="s">
        <v>24</v>
      </c>
      <c r="X9" s="3" t="s">
        <v>25</v>
      </c>
      <c r="Y9" t="s">
        <v>26</v>
      </c>
      <c r="Z9" t="s">
        <v>27</v>
      </c>
      <c r="AA9" s="3" t="s">
        <v>24</v>
      </c>
      <c r="AB9" s="3" t="s">
        <v>25</v>
      </c>
      <c r="AC9" t="s">
        <v>26</v>
      </c>
      <c r="AD9" t="s">
        <v>27</v>
      </c>
      <c r="AE9" s="3" t="s">
        <v>24</v>
      </c>
      <c r="AF9" s="3" t="s">
        <v>25</v>
      </c>
      <c r="AG9" t="s">
        <v>26</v>
      </c>
      <c r="AH9" t="s">
        <v>27</v>
      </c>
      <c r="AI9" s="3" t="s">
        <v>24</v>
      </c>
      <c r="AJ9" s="3" t="s">
        <v>25</v>
      </c>
      <c r="AK9" t="s">
        <v>26</v>
      </c>
      <c r="AL9" t="s">
        <v>27</v>
      </c>
    </row>
    <row r="10" spans="1:38" ht="90" x14ac:dyDescent="0.25">
      <c r="A10" t="s">
        <v>28</v>
      </c>
      <c r="B10" t="s">
        <v>28</v>
      </c>
      <c r="C10" t="s">
        <v>29</v>
      </c>
      <c r="D10" s="4" t="s">
        <v>30</v>
      </c>
      <c r="E10">
        <v>70</v>
      </c>
      <c r="F10" t="s">
        <v>31</v>
      </c>
      <c r="G10" s="3">
        <v>169990</v>
      </c>
      <c r="H10" s="3">
        <v>70</v>
      </c>
      <c r="I10" s="5">
        <v>11899300</v>
      </c>
      <c r="J10" s="4" t="s">
        <v>32</v>
      </c>
      <c r="K10" s="3">
        <v>132290</v>
      </c>
      <c r="L10" s="3">
        <v>70</v>
      </c>
      <c r="M10" s="5">
        <v>9260300</v>
      </c>
      <c r="N10" s="4" t="s">
        <v>33</v>
      </c>
      <c r="O10" s="3"/>
      <c r="P10" s="3"/>
      <c r="Q10" s="5"/>
      <c r="S10" s="3"/>
      <c r="T10" s="3"/>
      <c r="U10" s="5"/>
      <c r="W10" s="3"/>
      <c r="X10" s="3"/>
      <c r="Y10" s="5"/>
      <c r="AA10" s="3"/>
      <c r="AB10" s="3"/>
      <c r="AC10" s="5"/>
      <c r="AE10" s="3"/>
      <c r="AF10" s="3"/>
      <c r="AG10" s="5"/>
      <c r="AI10" s="3"/>
      <c r="AJ10" s="3"/>
      <c r="AK10" s="5"/>
    </row>
    <row r="11" spans="1:38" ht="90" x14ac:dyDescent="0.25">
      <c r="A11" t="s">
        <v>34</v>
      </c>
      <c r="B11" t="s">
        <v>28</v>
      </c>
      <c r="C11" t="s">
        <v>35</v>
      </c>
      <c r="D11" s="4" t="s">
        <v>36</v>
      </c>
      <c r="E11">
        <v>42</v>
      </c>
      <c r="F11" t="s">
        <v>31</v>
      </c>
      <c r="G11" s="3">
        <v>295000</v>
      </c>
      <c r="H11" s="3">
        <v>6</v>
      </c>
      <c r="I11" s="5">
        <v>1770000</v>
      </c>
      <c r="J11" s="4" t="s">
        <v>37</v>
      </c>
      <c r="K11" s="3">
        <v>186900</v>
      </c>
      <c r="L11" s="3">
        <v>42</v>
      </c>
      <c r="M11" s="5">
        <v>7849800</v>
      </c>
      <c r="N11" s="4" t="s">
        <v>38</v>
      </c>
      <c r="O11" s="3"/>
      <c r="P11" s="3"/>
      <c r="Q11" s="5"/>
      <c r="S11" s="3"/>
      <c r="T11" s="3"/>
      <c r="U11" s="5"/>
      <c r="W11" s="3"/>
      <c r="X11" s="3"/>
      <c r="Y11" s="5"/>
      <c r="AA11" s="3"/>
      <c r="AB11" s="3"/>
      <c r="AC11" s="5"/>
      <c r="AE11" s="3"/>
      <c r="AF11" s="3"/>
      <c r="AG11" s="5"/>
      <c r="AI11" s="3"/>
      <c r="AJ11" s="3"/>
      <c r="AK11" s="5"/>
    </row>
    <row r="12" spans="1:38" ht="45" x14ac:dyDescent="0.25">
      <c r="A12" t="s">
        <v>39</v>
      </c>
      <c r="B12" t="s">
        <v>28</v>
      </c>
      <c r="C12" t="s">
        <v>40</v>
      </c>
      <c r="D12" t="s">
        <v>41</v>
      </c>
      <c r="E12">
        <v>100</v>
      </c>
      <c r="F12" t="s">
        <v>31</v>
      </c>
      <c r="G12" s="3"/>
      <c r="H12" s="3"/>
      <c r="I12" s="5"/>
      <c r="K12" s="3">
        <v>2699</v>
      </c>
      <c r="L12" s="3">
        <v>100</v>
      </c>
      <c r="M12" s="5">
        <v>269900</v>
      </c>
      <c r="N12" s="4" t="s">
        <v>42</v>
      </c>
      <c r="O12" s="3">
        <v>1695</v>
      </c>
      <c r="P12" s="3">
        <v>100</v>
      </c>
      <c r="Q12" s="5">
        <v>169500</v>
      </c>
      <c r="R12" s="4" t="s">
        <v>43</v>
      </c>
      <c r="S12" s="3">
        <v>3158.1</v>
      </c>
      <c r="T12" s="3">
        <v>100</v>
      </c>
      <c r="U12" s="5">
        <v>315810</v>
      </c>
      <c r="V12" s="4" t="s">
        <v>44</v>
      </c>
      <c r="W12" s="3"/>
      <c r="X12" s="3"/>
      <c r="Y12" s="5"/>
      <c r="AA12" s="3"/>
      <c r="AB12" s="3"/>
      <c r="AC12" s="5"/>
      <c r="AE12" s="3"/>
      <c r="AF12" s="3"/>
      <c r="AG12" s="5"/>
      <c r="AI12" s="3"/>
      <c r="AJ12" s="3"/>
      <c r="AK12" s="5"/>
    </row>
    <row r="13" spans="1:38" ht="90" x14ac:dyDescent="0.25">
      <c r="A13" t="s">
        <v>45</v>
      </c>
      <c r="B13" t="s">
        <v>28</v>
      </c>
      <c r="C13" t="s">
        <v>46</v>
      </c>
      <c r="D13" s="4" t="s">
        <v>47</v>
      </c>
      <c r="E13">
        <v>60</v>
      </c>
      <c r="F13" t="s">
        <v>31</v>
      </c>
      <c r="G13" s="3"/>
      <c r="H13" s="3"/>
      <c r="I13" s="5"/>
      <c r="K13" s="3">
        <v>29700</v>
      </c>
      <c r="L13" s="3">
        <v>60</v>
      </c>
      <c r="M13" s="5">
        <v>1782000</v>
      </c>
      <c r="N13" s="4" t="s">
        <v>48</v>
      </c>
      <c r="O13" s="3"/>
      <c r="P13" s="3"/>
      <c r="Q13" s="5"/>
      <c r="S13" s="3"/>
      <c r="T13" s="3"/>
      <c r="U13" s="5"/>
      <c r="W13" s="3">
        <v>28289.8</v>
      </c>
      <c r="X13" s="3">
        <v>60</v>
      </c>
      <c r="Y13" s="5">
        <v>1697388</v>
      </c>
      <c r="Z13" s="4" t="s">
        <v>49</v>
      </c>
      <c r="AA13" s="3"/>
      <c r="AB13" s="3"/>
      <c r="AC13" s="5"/>
      <c r="AE13" s="3"/>
      <c r="AF13" s="3"/>
      <c r="AG13" s="5"/>
      <c r="AI13" s="3"/>
      <c r="AJ13" s="3"/>
      <c r="AK13" s="5"/>
    </row>
    <row r="14" spans="1:38" ht="30" x14ac:dyDescent="0.25">
      <c r="A14" t="s">
        <v>50</v>
      </c>
      <c r="B14" t="s">
        <v>28</v>
      </c>
      <c r="C14" t="s">
        <v>51</v>
      </c>
      <c r="D14" s="4" t="s">
        <v>52</v>
      </c>
      <c r="E14">
        <v>10</v>
      </c>
      <c r="F14" t="s">
        <v>31</v>
      </c>
      <c r="G14" s="3"/>
      <c r="H14" s="3"/>
      <c r="I14" s="5"/>
      <c r="K14" s="3"/>
      <c r="L14" s="3"/>
      <c r="M14" s="5"/>
      <c r="O14" s="3"/>
      <c r="P14" s="3"/>
      <c r="Q14" s="5"/>
      <c r="S14" s="3"/>
      <c r="T14" s="3"/>
      <c r="U14" s="5"/>
      <c r="W14" s="3"/>
      <c r="X14" s="3"/>
      <c r="Y14" s="5"/>
      <c r="AA14" s="3"/>
      <c r="AB14" s="3"/>
      <c r="AC14" s="5"/>
      <c r="AE14" s="3"/>
      <c r="AF14" s="3"/>
      <c r="AG14" s="5"/>
      <c r="AI14" s="3"/>
      <c r="AJ14" s="3"/>
      <c r="AK14" s="5"/>
    </row>
    <row r="15" spans="1:38" ht="60" x14ac:dyDescent="0.25">
      <c r="A15" t="s">
        <v>53</v>
      </c>
      <c r="B15" t="s">
        <v>28</v>
      </c>
      <c r="C15" t="s">
        <v>54</v>
      </c>
      <c r="D15" s="4" t="s">
        <v>55</v>
      </c>
      <c r="E15">
        <v>70</v>
      </c>
      <c r="F15" t="s">
        <v>31</v>
      </c>
      <c r="G15" s="3">
        <v>27890</v>
      </c>
      <c r="H15" s="3">
        <v>70</v>
      </c>
      <c r="I15" s="5">
        <v>1952300</v>
      </c>
      <c r="J15" s="4" t="s">
        <v>56</v>
      </c>
      <c r="K15" s="3"/>
      <c r="L15" s="3"/>
      <c r="M15" s="5"/>
      <c r="O15" s="3"/>
      <c r="P15" s="3"/>
      <c r="Q15" s="5"/>
      <c r="S15" s="3"/>
      <c r="T15" s="3"/>
      <c r="U15" s="5"/>
      <c r="W15" s="3">
        <v>7635.2</v>
      </c>
      <c r="X15" s="3">
        <v>70</v>
      </c>
      <c r="Y15" s="5">
        <v>534464</v>
      </c>
      <c r="Z15" s="4" t="s">
        <v>57</v>
      </c>
      <c r="AA15" s="3">
        <v>69900</v>
      </c>
      <c r="AB15" s="3">
        <v>70</v>
      </c>
      <c r="AC15" s="5">
        <v>4893000</v>
      </c>
      <c r="AD15" s="4" t="s">
        <v>58</v>
      </c>
      <c r="AE15" s="3"/>
      <c r="AF15" s="3"/>
      <c r="AG15" s="5"/>
      <c r="AI15" s="3"/>
      <c r="AJ15" s="3"/>
      <c r="AK15" s="5"/>
    </row>
    <row r="16" spans="1:38" ht="45" x14ac:dyDescent="0.25">
      <c r="A16" t="s">
        <v>59</v>
      </c>
      <c r="B16" t="s">
        <v>28</v>
      </c>
      <c r="C16" t="s">
        <v>60</v>
      </c>
      <c r="D16" s="4" t="s">
        <v>61</v>
      </c>
      <c r="E16">
        <v>70</v>
      </c>
      <c r="F16" t="s">
        <v>31</v>
      </c>
      <c r="G16" s="3"/>
      <c r="H16" s="3"/>
      <c r="I16" s="5"/>
      <c r="K16" s="3"/>
      <c r="L16" s="3"/>
      <c r="M16" s="5"/>
      <c r="O16" s="3"/>
      <c r="P16" s="3"/>
      <c r="Q16" s="5"/>
      <c r="S16" s="3">
        <v>19574.900000000001</v>
      </c>
      <c r="T16" s="3">
        <v>70</v>
      </c>
      <c r="U16" s="5">
        <v>1370243</v>
      </c>
      <c r="V16" s="4" t="s">
        <v>62</v>
      </c>
      <c r="W16" s="3"/>
      <c r="X16" s="3"/>
      <c r="Y16" s="5"/>
      <c r="AA16" s="3"/>
      <c r="AB16" s="3"/>
      <c r="AC16" s="5"/>
      <c r="AE16" s="3">
        <v>25506</v>
      </c>
      <c r="AF16" s="3">
        <v>70</v>
      </c>
      <c r="AG16" s="5">
        <v>1785420</v>
      </c>
      <c r="AH16" t="s">
        <v>63</v>
      </c>
      <c r="AI16" s="3"/>
      <c r="AJ16" s="3"/>
      <c r="AK16" s="5"/>
    </row>
    <row r="17" spans="1:38" ht="45" x14ac:dyDescent="0.25">
      <c r="A17" t="s">
        <v>64</v>
      </c>
      <c r="B17" t="s">
        <v>28</v>
      </c>
      <c r="C17" t="s">
        <v>65</v>
      </c>
      <c r="D17" s="4" t="s">
        <v>66</v>
      </c>
      <c r="E17">
        <v>210</v>
      </c>
      <c r="F17" t="s">
        <v>31</v>
      </c>
      <c r="G17" s="3">
        <v>5990</v>
      </c>
      <c r="H17" s="3">
        <v>210</v>
      </c>
      <c r="I17" s="5">
        <v>1257900</v>
      </c>
      <c r="J17" s="4" t="s">
        <v>67</v>
      </c>
      <c r="K17" s="3">
        <v>4900</v>
      </c>
      <c r="L17" s="3">
        <v>210</v>
      </c>
      <c r="M17" s="5">
        <v>1029000</v>
      </c>
      <c r="N17" s="4" t="s">
        <v>68</v>
      </c>
      <c r="O17" s="3"/>
      <c r="P17" s="3"/>
      <c r="Q17" s="5"/>
      <c r="S17" s="3"/>
      <c r="T17" s="3"/>
      <c r="U17" s="5"/>
      <c r="W17" s="3"/>
      <c r="X17" s="3"/>
      <c r="Y17" s="5"/>
      <c r="AA17" s="3"/>
      <c r="AB17" s="3"/>
      <c r="AC17" s="5"/>
      <c r="AE17" s="3"/>
      <c r="AF17" s="3"/>
      <c r="AG17" s="5"/>
      <c r="AI17" s="3"/>
      <c r="AJ17" s="3"/>
      <c r="AK17" s="5"/>
    </row>
    <row r="18" spans="1:38" ht="60" x14ac:dyDescent="0.25">
      <c r="A18" t="s">
        <v>69</v>
      </c>
      <c r="B18" t="s">
        <v>28</v>
      </c>
      <c r="C18" t="s">
        <v>70</v>
      </c>
      <c r="D18" s="4" t="s">
        <v>71</v>
      </c>
      <c r="E18">
        <v>10</v>
      </c>
      <c r="F18" t="s">
        <v>31</v>
      </c>
      <c r="G18" s="3">
        <v>28990</v>
      </c>
      <c r="H18" s="3">
        <v>10</v>
      </c>
      <c r="I18" s="5">
        <v>289900</v>
      </c>
      <c r="J18" s="4" t="s">
        <v>72</v>
      </c>
      <c r="K18" s="3">
        <v>6590</v>
      </c>
      <c r="L18" s="3">
        <v>10</v>
      </c>
      <c r="M18" s="5">
        <v>65900</v>
      </c>
      <c r="N18" s="4" t="s">
        <v>73</v>
      </c>
      <c r="O18" s="3"/>
      <c r="P18" s="3"/>
      <c r="Q18" s="5"/>
      <c r="S18" s="3">
        <v>11049</v>
      </c>
      <c r="T18" s="3">
        <v>10</v>
      </c>
      <c r="U18" s="5">
        <v>110490</v>
      </c>
      <c r="V18" t="s">
        <v>74</v>
      </c>
      <c r="W18" s="3"/>
      <c r="X18" s="3"/>
      <c r="Y18" s="5"/>
      <c r="AA18" s="3"/>
      <c r="AB18" s="3"/>
      <c r="AC18" s="5"/>
      <c r="AE18" s="3"/>
      <c r="AF18" s="3"/>
      <c r="AG18" s="5"/>
      <c r="AI18" s="3"/>
      <c r="AJ18" s="3"/>
      <c r="AK18" s="5"/>
    </row>
    <row r="19" spans="1:38" ht="60" x14ac:dyDescent="0.25">
      <c r="A19" t="s">
        <v>75</v>
      </c>
      <c r="B19" t="s">
        <v>28</v>
      </c>
      <c r="C19" t="s">
        <v>76</v>
      </c>
      <c r="D19" s="4" t="s">
        <v>77</v>
      </c>
      <c r="E19">
        <v>10</v>
      </c>
      <c r="F19" t="s">
        <v>31</v>
      </c>
      <c r="G19" s="3"/>
      <c r="H19" s="3"/>
      <c r="I19" s="5"/>
      <c r="K19" s="3">
        <v>10050</v>
      </c>
      <c r="L19" s="3">
        <v>10</v>
      </c>
      <c r="M19" s="5">
        <v>100500</v>
      </c>
      <c r="N19" s="4" t="s">
        <v>78</v>
      </c>
      <c r="O19" s="3">
        <v>29990</v>
      </c>
      <c r="P19" s="3">
        <v>10</v>
      </c>
      <c r="Q19" s="5">
        <v>299900</v>
      </c>
      <c r="R19" s="4" t="s">
        <v>79</v>
      </c>
      <c r="S19" s="3">
        <v>31164</v>
      </c>
      <c r="T19" s="3">
        <v>10</v>
      </c>
      <c r="U19" s="5">
        <v>311640</v>
      </c>
      <c r="V19" t="s">
        <v>80</v>
      </c>
      <c r="W19" s="3"/>
      <c r="X19" s="3"/>
      <c r="Y19" s="5"/>
      <c r="AA19" s="3"/>
      <c r="AB19" s="3"/>
      <c r="AC19" s="5"/>
      <c r="AE19" s="3"/>
      <c r="AF19" s="3"/>
      <c r="AG19" s="5"/>
      <c r="AI19" s="3"/>
      <c r="AJ19" s="3"/>
      <c r="AK19" s="5"/>
    </row>
    <row r="20" spans="1:38" ht="60" x14ac:dyDescent="0.25">
      <c r="A20" t="s">
        <v>81</v>
      </c>
      <c r="B20" t="s">
        <v>28</v>
      </c>
      <c r="C20" t="s">
        <v>82</v>
      </c>
      <c r="D20" s="4" t="s">
        <v>83</v>
      </c>
      <c r="E20">
        <v>300</v>
      </c>
      <c r="F20" t="s">
        <v>31</v>
      </c>
      <c r="G20" s="3"/>
      <c r="H20" s="3"/>
      <c r="I20" s="5"/>
      <c r="K20" s="3">
        <v>8290</v>
      </c>
      <c r="L20" s="3">
        <v>300</v>
      </c>
      <c r="M20" s="5">
        <v>2487000</v>
      </c>
      <c r="N20" s="4" t="s">
        <v>84</v>
      </c>
      <c r="O20" s="3"/>
      <c r="P20" s="3"/>
      <c r="Q20" s="5"/>
      <c r="S20" s="3">
        <v>4242</v>
      </c>
      <c r="T20" s="3">
        <v>300</v>
      </c>
      <c r="U20" s="5">
        <v>1272600</v>
      </c>
      <c r="V20" t="s">
        <v>85</v>
      </c>
      <c r="W20" s="3"/>
      <c r="X20" s="3"/>
      <c r="Y20" s="5"/>
      <c r="AA20" s="3"/>
      <c r="AB20" s="3"/>
      <c r="AC20" s="5"/>
      <c r="AE20" s="3"/>
      <c r="AF20" s="3"/>
      <c r="AG20" s="5"/>
      <c r="AI20" s="3">
        <v>5500</v>
      </c>
      <c r="AJ20" s="3">
        <v>300</v>
      </c>
      <c r="AK20" s="5">
        <v>1650000</v>
      </c>
      <c r="AL20" s="4" t="s">
        <v>86</v>
      </c>
    </row>
    <row r="21" spans="1:38" ht="45" x14ac:dyDescent="0.25">
      <c r="A21" t="s">
        <v>87</v>
      </c>
      <c r="B21" t="s">
        <v>28</v>
      </c>
      <c r="C21" t="s">
        <v>88</v>
      </c>
      <c r="D21" s="4" t="s">
        <v>89</v>
      </c>
      <c r="E21">
        <v>50</v>
      </c>
      <c r="F21" t="s">
        <v>31</v>
      </c>
      <c r="G21" s="3"/>
      <c r="H21" s="3"/>
      <c r="I21" s="5"/>
      <c r="K21" s="3">
        <v>9470</v>
      </c>
      <c r="L21" s="3">
        <v>50</v>
      </c>
      <c r="M21" s="5">
        <v>473500</v>
      </c>
      <c r="N21" s="4" t="s">
        <v>90</v>
      </c>
      <c r="O21" s="3"/>
      <c r="P21" s="3"/>
      <c r="Q21" s="5"/>
      <c r="S21" s="3">
        <v>5438.75</v>
      </c>
      <c r="T21" s="3">
        <v>50</v>
      </c>
      <c r="U21" s="5">
        <v>271937.5</v>
      </c>
      <c r="V21" t="s">
        <v>91</v>
      </c>
      <c r="W21" s="3"/>
      <c r="X21" s="3"/>
      <c r="Y21" s="5"/>
      <c r="AA21" s="3"/>
      <c r="AB21" s="3"/>
      <c r="AC21" s="5"/>
      <c r="AE21" s="3">
        <v>7232</v>
      </c>
      <c r="AF21" s="3">
        <v>50</v>
      </c>
      <c r="AG21" s="5">
        <v>361600</v>
      </c>
      <c r="AH21" s="4" t="s">
        <v>92</v>
      </c>
      <c r="AI21" s="3"/>
      <c r="AJ21" s="3"/>
      <c r="AK21" s="5"/>
    </row>
    <row r="22" spans="1:38" ht="135" x14ac:dyDescent="0.25">
      <c r="A22" t="s">
        <v>93</v>
      </c>
      <c r="B22" t="s">
        <v>28</v>
      </c>
      <c r="C22" t="s">
        <v>94</v>
      </c>
      <c r="D22" s="4" t="s">
        <v>95</v>
      </c>
      <c r="E22">
        <v>150</v>
      </c>
      <c r="F22" t="s">
        <v>31</v>
      </c>
      <c r="G22" s="3">
        <v>20990</v>
      </c>
      <c r="H22" s="3">
        <v>150</v>
      </c>
      <c r="I22" s="5">
        <v>3148500</v>
      </c>
      <c r="J22" s="4" t="s">
        <v>96</v>
      </c>
      <c r="K22" s="3"/>
      <c r="L22" s="3"/>
      <c r="M22" s="5"/>
      <c r="O22" s="3"/>
      <c r="P22" s="3"/>
      <c r="Q22" s="5"/>
      <c r="S22" s="3"/>
      <c r="T22" s="3"/>
      <c r="U22" s="5"/>
      <c r="W22" s="3">
        <v>64810.02</v>
      </c>
      <c r="X22" s="3">
        <v>150</v>
      </c>
      <c r="Y22" s="5">
        <v>9721503</v>
      </c>
      <c r="Z22" s="4" t="s">
        <v>97</v>
      </c>
      <c r="AA22" s="3"/>
      <c r="AB22" s="3"/>
      <c r="AC22" s="5"/>
      <c r="AE22" s="3"/>
      <c r="AF22" s="3"/>
      <c r="AG22" s="5"/>
      <c r="AI22" s="3"/>
      <c r="AJ22" s="3"/>
      <c r="AK22" s="5"/>
    </row>
    <row r="23" spans="1:38" ht="120" x14ac:dyDescent="0.25">
      <c r="A23" t="s">
        <v>98</v>
      </c>
      <c r="B23" t="s">
        <v>28</v>
      </c>
      <c r="C23" t="s">
        <v>99</v>
      </c>
      <c r="D23" s="4" t="s">
        <v>100</v>
      </c>
      <c r="E23">
        <v>150</v>
      </c>
      <c r="F23" t="s">
        <v>31</v>
      </c>
      <c r="G23" s="3">
        <v>39990</v>
      </c>
      <c r="H23" s="3">
        <v>150</v>
      </c>
      <c r="I23" s="5">
        <v>5998500</v>
      </c>
      <c r="J23" s="4" t="s">
        <v>101</v>
      </c>
      <c r="K23" s="3"/>
      <c r="L23" s="3"/>
      <c r="M23" s="5"/>
      <c r="O23" s="3"/>
      <c r="P23" s="3"/>
      <c r="Q23" s="5"/>
      <c r="S23" s="3"/>
      <c r="T23" s="3"/>
      <c r="U23" s="5"/>
      <c r="W23" s="3">
        <v>65606.2</v>
      </c>
      <c r="X23" s="3">
        <v>150</v>
      </c>
      <c r="Y23" s="5">
        <v>9840930</v>
      </c>
      <c r="Z23" s="4" t="s">
        <v>102</v>
      </c>
      <c r="AA23" s="3"/>
      <c r="AB23" s="3"/>
      <c r="AC23" s="5"/>
      <c r="AE23" s="3"/>
      <c r="AF23" s="3"/>
      <c r="AG23" s="5"/>
      <c r="AI23" s="3"/>
      <c r="AJ23" s="3"/>
      <c r="AK23" s="5"/>
    </row>
    <row r="24" spans="1:38" ht="30" x14ac:dyDescent="0.25">
      <c r="A24" t="s">
        <v>103</v>
      </c>
      <c r="B24" t="s">
        <v>28</v>
      </c>
      <c r="C24" t="s">
        <v>104</v>
      </c>
      <c r="D24" s="4" t="s">
        <v>105</v>
      </c>
      <c r="E24">
        <v>30</v>
      </c>
      <c r="F24" t="s">
        <v>31</v>
      </c>
      <c r="G24" s="3"/>
      <c r="H24" s="3"/>
      <c r="I24" s="5"/>
      <c r="K24" s="3"/>
      <c r="L24" s="3"/>
      <c r="M24" s="5"/>
      <c r="O24" s="3"/>
      <c r="P24" s="3"/>
      <c r="Q24" s="5"/>
      <c r="S24" s="3"/>
      <c r="T24" s="3"/>
      <c r="U24" s="5"/>
      <c r="W24" s="3"/>
      <c r="X24" s="3"/>
      <c r="Y24" s="5"/>
      <c r="AA24" s="3"/>
      <c r="AB24" s="3"/>
      <c r="AC24" s="5"/>
      <c r="AE24" s="3"/>
      <c r="AF24" s="3"/>
      <c r="AG24" s="5"/>
      <c r="AI24" s="3"/>
      <c r="AJ24" s="3"/>
      <c r="AK24" s="5"/>
    </row>
    <row r="25" spans="1:38" ht="45" x14ac:dyDescent="0.25">
      <c r="A25" t="s">
        <v>106</v>
      </c>
      <c r="B25" t="s">
        <v>28</v>
      </c>
      <c r="C25" t="s">
        <v>107</v>
      </c>
      <c r="D25" t="s">
        <v>108</v>
      </c>
      <c r="E25">
        <v>300</v>
      </c>
      <c r="F25" t="s">
        <v>31</v>
      </c>
      <c r="G25" s="3"/>
      <c r="H25" s="3"/>
      <c r="I25" s="5"/>
      <c r="K25" s="3">
        <v>3990</v>
      </c>
      <c r="L25" s="3">
        <v>300</v>
      </c>
      <c r="M25" s="5">
        <v>1197000</v>
      </c>
      <c r="N25" s="4" t="s">
        <v>109</v>
      </c>
      <c r="O25" s="3"/>
      <c r="P25" s="3"/>
      <c r="Q25" s="5"/>
      <c r="S25" s="3">
        <v>3995</v>
      </c>
      <c r="T25" s="3">
        <v>300</v>
      </c>
      <c r="U25" s="5">
        <v>1198500</v>
      </c>
      <c r="V25" t="s">
        <v>110</v>
      </c>
      <c r="W25" s="3"/>
      <c r="X25" s="3"/>
      <c r="Y25" s="5"/>
      <c r="AA25" s="3"/>
      <c r="AB25" s="3"/>
      <c r="AC25" s="5"/>
      <c r="AE25" s="3"/>
      <c r="AF25" s="3"/>
      <c r="AG25" s="5"/>
      <c r="AI25" s="3">
        <v>4000</v>
      </c>
      <c r="AJ25" s="3">
        <v>300</v>
      </c>
      <c r="AK25" s="5">
        <v>1200000</v>
      </c>
      <c r="AL25" s="4" t="s">
        <v>111</v>
      </c>
    </row>
    <row r="26" spans="1:38" ht="30" x14ac:dyDescent="0.25">
      <c r="A26" t="s">
        <v>112</v>
      </c>
      <c r="B26" t="s">
        <v>28</v>
      </c>
      <c r="C26" t="s">
        <v>113</v>
      </c>
      <c r="D26" s="4" t="s">
        <v>114</v>
      </c>
      <c r="E26">
        <v>100</v>
      </c>
      <c r="F26" t="s">
        <v>31</v>
      </c>
      <c r="G26" s="3"/>
      <c r="H26" s="3"/>
      <c r="I26" s="5"/>
      <c r="K26" s="3"/>
      <c r="L26" s="3"/>
      <c r="M26" s="5"/>
      <c r="O26" s="3"/>
      <c r="P26" s="3"/>
      <c r="Q26" s="5"/>
      <c r="S26" s="3"/>
      <c r="T26" s="3"/>
      <c r="U26" s="5"/>
      <c r="W26" s="3"/>
      <c r="X26" s="3"/>
      <c r="Y26" s="5"/>
      <c r="AA26" s="3"/>
      <c r="AB26" s="3"/>
      <c r="AC26" s="5"/>
      <c r="AE26" s="3"/>
      <c r="AF26" s="3"/>
      <c r="AG26" s="5"/>
      <c r="AI26" s="3"/>
      <c r="AJ26" s="3"/>
      <c r="AK26" s="5"/>
    </row>
    <row r="27" spans="1:38" ht="60" x14ac:dyDescent="0.25">
      <c r="A27" t="s">
        <v>115</v>
      </c>
      <c r="B27" t="s">
        <v>28</v>
      </c>
      <c r="C27" t="s">
        <v>116</v>
      </c>
      <c r="D27" s="4" t="s">
        <v>117</v>
      </c>
      <c r="E27">
        <v>10</v>
      </c>
      <c r="F27" t="s">
        <v>31</v>
      </c>
      <c r="G27" s="3"/>
      <c r="H27" s="3"/>
      <c r="I27" s="5"/>
      <c r="K27" s="3"/>
      <c r="L27" s="3"/>
      <c r="M27" s="5"/>
      <c r="O27" s="3"/>
      <c r="P27" s="3"/>
      <c r="Q27" s="5"/>
      <c r="S27" s="3"/>
      <c r="T27" s="3"/>
      <c r="U27" s="5"/>
      <c r="W27" s="3"/>
      <c r="X27" s="3"/>
      <c r="Y27" s="5"/>
      <c r="AA27" s="3"/>
      <c r="AB27" s="3"/>
      <c r="AC27" s="5"/>
      <c r="AE27" s="3"/>
      <c r="AF27" s="3"/>
      <c r="AG27" s="5"/>
      <c r="AI27" s="3"/>
      <c r="AJ27" s="3"/>
      <c r="AK27" s="5"/>
    </row>
    <row r="28" spans="1:38" ht="105" x14ac:dyDescent="0.25">
      <c r="A28" t="s">
        <v>118</v>
      </c>
      <c r="B28" t="s">
        <v>28</v>
      </c>
      <c r="C28" t="s">
        <v>119</v>
      </c>
      <c r="D28" s="4" t="s">
        <v>120</v>
      </c>
      <c r="E28">
        <v>10</v>
      </c>
      <c r="F28" t="s">
        <v>31</v>
      </c>
      <c r="G28" s="3"/>
      <c r="H28" s="3"/>
      <c r="I28" s="5"/>
      <c r="K28" s="3">
        <v>64350</v>
      </c>
      <c r="L28" s="3">
        <v>10</v>
      </c>
      <c r="M28" s="5">
        <v>643500</v>
      </c>
      <c r="N28" s="4" t="s">
        <v>121</v>
      </c>
      <c r="O28" s="3">
        <v>54900</v>
      </c>
      <c r="P28" s="3">
        <v>10</v>
      </c>
      <c r="Q28" s="5">
        <v>549000</v>
      </c>
      <c r="R28" s="4" t="s">
        <v>122</v>
      </c>
      <c r="S28" s="3"/>
      <c r="T28" s="3"/>
      <c r="U28" s="5"/>
      <c r="W28" s="3"/>
      <c r="X28" s="3"/>
      <c r="Y28" s="5"/>
      <c r="AA28" s="3"/>
      <c r="AB28" s="3"/>
      <c r="AC28" s="5"/>
      <c r="AE28" s="3"/>
      <c r="AF28" s="3"/>
      <c r="AG28" s="5"/>
      <c r="AI28" s="3"/>
      <c r="AJ28" s="3"/>
      <c r="AK28" s="5"/>
    </row>
    <row r="29" spans="1:38" ht="60" x14ac:dyDescent="0.25">
      <c r="A29" t="s">
        <v>123</v>
      </c>
      <c r="B29" t="s">
        <v>28</v>
      </c>
      <c r="C29" t="s">
        <v>124</v>
      </c>
      <c r="D29" s="4" t="s">
        <v>125</v>
      </c>
      <c r="E29">
        <v>10</v>
      </c>
      <c r="F29" t="s">
        <v>31</v>
      </c>
      <c r="G29" s="3">
        <v>169990</v>
      </c>
      <c r="H29" s="3">
        <v>10</v>
      </c>
      <c r="I29" s="5">
        <v>1699900</v>
      </c>
      <c r="J29" s="4" t="s">
        <v>126</v>
      </c>
      <c r="K29" s="3"/>
      <c r="L29" s="3"/>
      <c r="M29" s="5"/>
      <c r="O29" s="3"/>
      <c r="P29" s="3"/>
      <c r="Q29" s="5"/>
      <c r="S29" s="3"/>
      <c r="T29" s="3"/>
      <c r="U29" s="5"/>
      <c r="W29" s="3"/>
      <c r="X29" s="3"/>
      <c r="Y29" s="5"/>
      <c r="AA29" s="3"/>
      <c r="AB29" s="3"/>
      <c r="AC29" s="5"/>
      <c r="AE29" s="3"/>
      <c r="AF29" s="3"/>
      <c r="AG29" s="5"/>
      <c r="AI29" s="3"/>
      <c r="AJ29" s="3"/>
      <c r="AK29" s="5"/>
    </row>
    <row r="30" spans="1:38" ht="60" x14ac:dyDescent="0.25">
      <c r="A30" t="s">
        <v>127</v>
      </c>
      <c r="B30" t="s">
        <v>28</v>
      </c>
      <c r="C30" t="s">
        <v>128</v>
      </c>
      <c r="D30" s="4" t="s">
        <v>129</v>
      </c>
      <c r="E30">
        <v>48</v>
      </c>
      <c r="F30" t="s">
        <v>31</v>
      </c>
      <c r="G30" s="3"/>
      <c r="H30" s="3"/>
      <c r="I30" s="5"/>
      <c r="K30" s="3"/>
      <c r="L30" s="3"/>
      <c r="M30" s="5"/>
      <c r="O30" s="3"/>
      <c r="P30" s="3"/>
      <c r="Q30" s="5"/>
      <c r="S30" s="3"/>
      <c r="T30" s="3"/>
      <c r="U30" s="5"/>
      <c r="W30" s="3"/>
      <c r="X30" s="3"/>
      <c r="Y30" s="5"/>
      <c r="AA30" s="3">
        <v>93620</v>
      </c>
      <c r="AB30" s="3">
        <v>48</v>
      </c>
      <c r="AC30" s="5">
        <v>4493760</v>
      </c>
      <c r="AD30" t="s">
        <v>130</v>
      </c>
      <c r="AE30" s="3"/>
      <c r="AF30" s="3"/>
      <c r="AG30" s="5"/>
      <c r="AI30" s="3"/>
      <c r="AJ30" s="3"/>
      <c r="AK30" s="5"/>
    </row>
    <row r="31" spans="1:38" ht="45" x14ac:dyDescent="0.25">
      <c r="A31" t="s">
        <v>131</v>
      </c>
      <c r="B31" t="s">
        <v>28</v>
      </c>
      <c r="C31" t="s">
        <v>132</v>
      </c>
      <c r="D31" s="4" t="s">
        <v>133</v>
      </c>
      <c r="E31">
        <v>80</v>
      </c>
      <c r="F31" t="s">
        <v>31</v>
      </c>
      <c r="G31" s="3"/>
      <c r="H31" s="3"/>
      <c r="I31" s="5"/>
      <c r="K31" s="3"/>
      <c r="L31" s="3"/>
      <c r="M31" s="5"/>
      <c r="O31" s="3"/>
      <c r="P31" s="3"/>
      <c r="Q31" s="5"/>
      <c r="S31" s="3">
        <v>23828</v>
      </c>
      <c r="T31" s="3">
        <v>80</v>
      </c>
      <c r="U31" s="5">
        <v>1906240</v>
      </c>
      <c r="V31" s="4" t="s">
        <v>134</v>
      </c>
      <c r="W31" s="3">
        <v>22894</v>
      </c>
      <c r="X31" s="3">
        <v>80</v>
      </c>
      <c r="Y31" s="5">
        <v>1831520</v>
      </c>
      <c r="Z31" s="4" t="s">
        <v>135</v>
      </c>
      <c r="AA31" s="3"/>
      <c r="AB31" s="3"/>
      <c r="AC31" s="5"/>
      <c r="AE31" s="3"/>
      <c r="AF31" s="3"/>
      <c r="AG31" s="5"/>
      <c r="AI31" s="3"/>
      <c r="AJ31" s="3"/>
      <c r="AK31" s="5"/>
    </row>
    <row r="32" spans="1:38" ht="75" x14ac:dyDescent="0.25">
      <c r="A32" t="s">
        <v>136</v>
      </c>
      <c r="B32" t="s">
        <v>28</v>
      </c>
      <c r="C32" t="s">
        <v>137</v>
      </c>
      <c r="D32" s="4" t="s">
        <v>138</v>
      </c>
      <c r="E32">
        <v>7</v>
      </c>
      <c r="F32" t="s">
        <v>31</v>
      </c>
      <c r="G32" s="3">
        <v>39900</v>
      </c>
      <c r="H32" s="3">
        <v>7</v>
      </c>
      <c r="I32" s="5">
        <v>279300</v>
      </c>
      <c r="J32" s="4" t="s">
        <v>139</v>
      </c>
      <c r="K32" s="3"/>
      <c r="L32" s="3"/>
      <c r="M32" s="5"/>
      <c r="O32" s="3"/>
      <c r="P32" s="3"/>
      <c r="Q32" s="5"/>
      <c r="S32" s="3">
        <v>66861</v>
      </c>
      <c r="T32" s="3">
        <v>7</v>
      </c>
      <c r="U32" s="5">
        <v>468027</v>
      </c>
      <c r="V32" s="4" t="s">
        <v>140</v>
      </c>
      <c r="W32" s="3">
        <v>75525.78</v>
      </c>
      <c r="X32" s="3">
        <v>7</v>
      </c>
      <c r="Y32" s="5">
        <v>528680.46</v>
      </c>
      <c r="Z32" s="4" t="s">
        <v>141</v>
      </c>
      <c r="AA32" s="3"/>
      <c r="AB32" s="3"/>
      <c r="AC32" s="5"/>
      <c r="AE32" s="3"/>
      <c r="AF32" s="3"/>
      <c r="AG32" s="5"/>
      <c r="AI32" s="3"/>
      <c r="AJ32" s="3"/>
      <c r="AK32" s="5"/>
    </row>
    <row r="33" spans="1:38" ht="75" x14ac:dyDescent="0.25">
      <c r="A33" t="s">
        <v>142</v>
      </c>
      <c r="B33" t="s">
        <v>28</v>
      </c>
      <c r="C33" t="s">
        <v>143</v>
      </c>
      <c r="D33" s="4" t="s">
        <v>144</v>
      </c>
      <c r="E33">
        <v>100</v>
      </c>
      <c r="F33" t="s">
        <v>31</v>
      </c>
      <c r="G33" s="3"/>
      <c r="H33" s="3"/>
      <c r="I33" s="5"/>
      <c r="K33" s="3"/>
      <c r="L33" s="3"/>
      <c r="M33" s="5"/>
      <c r="O33" s="3"/>
      <c r="P33" s="3"/>
      <c r="Q33" s="5"/>
      <c r="S33" s="3">
        <v>11147</v>
      </c>
      <c r="T33" s="3">
        <v>100</v>
      </c>
      <c r="U33" s="5">
        <v>1114700</v>
      </c>
      <c r="V33" s="4" t="s">
        <v>145</v>
      </c>
      <c r="W33" s="3"/>
      <c r="X33" s="3"/>
      <c r="Y33" s="5"/>
      <c r="AA33" s="3"/>
      <c r="AB33" s="3"/>
      <c r="AC33" s="5"/>
      <c r="AE33" s="3"/>
      <c r="AF33" s="3"/>
      <c r="AG33" s="5"/>
      <c r="AI33" s="3"/>
      <c r="AJ33" s="3"/>
      <c r="AK33" s="5"/>
    </row>
    <row r="34" spans="1:38" ht="45" x14ac:dyDescent="0.25">
      <c r="A34" t="s">
        <v>146</v>
      </c>
      <c r="B34" t="s">
        <v>28</v>
      </c>
      <c r="C34" t="s">
        <v>147</v>
      </c>
      <c r="D34" s="4" t="s">
        <v>148</v>
      </c>
      <c r="E34">
        <v>7</v>
      </c>
      <c r="F34" t="s">
        <v>31</v>
      </c>
      <c r="G34" s="3"/>
      <c r="H34" s="3"/>
      <c r="I34" s="5"/>
      <c r="K34" s="3"/>
      <c r="L34" s="3"/>
      <c r="M34" s="5"/>
      <c r="O34" s="3"/>
      <c r="P34" s="3"/>
      <c r="Q34" s="5"/>
      <c r="S34" s="3"/>
      <c r="T34" s="3"/>
      <c r="U34" s="5"/>
      <c r="W34" s="3">
        <v>31443.06</v>
      </c>
      <c r="X34" s="3">
        <v>7</v>
      </c>
      <c r="Y34" s="5">
        <v>220101.42</v>
      </c>
      <c r="Z34" s="4" t="s">
        <v>149</v>
      </c>
      <c r="AA34" s="3"/>
      <c r="AB34" s="3"/>
      <c r="AC34" s="5"/>
      <c r="AE34" s="3"/>
      <c r="AF34" s="3"/>
      <c r="AG34" s="5"/>
      <c r="AI34" s="3"/>
      <c r="AJ34" s="3"/>
      <c r="AK34" s="5"/>
    </row>
    <row r="35" spans="1:38" ht="60" x14ac:dyDescent="0.25">
      <c r="A35" t="s">
        <v>150</v>
      </c>
      <c r="B35" t="s">
        <v>28</v>
      </c>
      <c r="C35" t="s">
        <v>151</v>
      </c>
      <c r="D35" s="4" t="s">
        <v>152</v>
      </c>
      <c r="E35">
        <v>10</v>
      </c>
      <c r="F35" t="s">
        <v>31</v>
      </c>
      <c r="G35" s="3"/>
      <c r="H35" s="3"/>
      <c r="I35" s="5"/>
      <c r="K35" s="3"/>
      <c r="L35" s="3"/>
      <c r="M35" s="5"/>
      <c r="O35" s="3">
        <v>9990</v>
      </c>
      <c r="P35" s="3">
        <v>10</v>
      </c>
      <c r="Q35" s="5">
        <v>99900</v>
      </c>
      <c r="R35" s="4" t="s">
        <v>153</v>
      </c>
      <c r="S35" s="3"/>
      <c r="T35" s="3"/>
      <c r="U35" s="5"/>
      <c r="W35" s="3"/>
      <c r="X35" s="3"/>
      <c r="Y35" s="5"/>
      <c r="AA35" s="3"/>
      <c r="AB35" s="3"/>
      <c r="AC35" s="5"/>
      <c r="AE35" s="3"/>
      <c r="AF35" s="3"/>
      <c r="AG35" s="5"/>
      <c r="AI35" s="3"/>
      <c r="AJ35" s="3"/>
      <c r="AK35" s="5"/>
    </row>
    <row r="36" spans="1:38" ht="75" x14ac:dyDescent="0.25">
      <c r="A36" t="s">
        <v>154</v>
      </c>
      <c r="B36" t="s">
        <v>28</v>
      </c>
      <c r="C36" t="s">
        <v>155</v>
      </c>
      <c r="D36" s="4" t="s">
        <v>156</v>
      </c>
      <c r="E36">
        <v>20</v>
      </c>
      <c r="F36" t="s">
        <v>31</v>
      </c>
      <c r="G36" s="3"/>
      <c r="H36" s="3"/>
      <c r="I36" s="5"/>
      <c r="K36" s="3">
        <v>4620</v>
      </c>
      <c r="L36" s="3">
        <v>20</v>
      </c>
      <c r="M36" s="5">
        <v>92400</v>
      </c>
      <c r="N36" s="4" t="s">
        <v>157</v>
      </c>
      <c r="O36" s="3">
        <v>7990</v>
      </c>
      <c r="P36" s="3">
        <v>20</v>
      </c>
      <c r="Q36" s="5">
        <v>159800</v>
      </c>
      <c r="R36" s="4" t="s">
        <v>158</v>
      </c>
      <c r="S36" s="3"/>
      <c r="T36" s="3"/>
      <c r="U36" s="5"/>
      <c r="W36" s="3"/>
      <c r="X36" s="3"/>
      <c r="Y36" s="5"/>
      <c r="AA36" s="3"/>
      <c r="AB36" s="3"/>
      <c r="AC36" s="5"/>
      <c r="AE36" s="3"/>
      <c r="AF36" s="3"/>
      <c r="AG36" s="5"/>
      <c r="AI36" s="3"/>
      <c r="AJ36" s="3"/>
      <c r="AK36" s="5"/>
    </row>
    <row r="37" spans="1:38" ht="90" x14ac:dyDescent="0.25">
      <c r="A37" t="s">
        <v>159</v>
      </c>
      <c r="B37" t="s">
        <v>28</v>
      </c>
      <c r="C37" t="s">
        <v>160</v>
      </c>
      <c r="D37" s="4" t="s">
        <v>161</v>
      </c>
      <c r="E37">
        <v>10</v>
      </c>
      <c r="F37" t="s">
        <v>31</v>
      </c>
      <c r="G37" s="3"/>
      <c r="H37" s="3"/>
      <c r="I37" s="5"/>
      <c r="K37" s="3">
        <v>5650</v>
      </c>
      <c r="L37" s="3">
        <v>10</v>
      </c>
      <c r="M37" s="5">
        <v>56500</v>
      </c>
      <c r="N37" s="4" t="s">
        <v>162</v>
      </c>
      <c r="O37" s="3">
        <v>12490</v>
      </c>
      <c r="P37" s="3">
        <v>10</v>
      </c>
      <c r="Q37" s="5">
        <v>124900</v>
      </c>
      <c r="R37" s="4" t="s">
        <v>163</v>
      </c>
      <c r="S37" s="3"/>
      <c r="T37" s="3"/>
      <c r="U37" s="5"/>
      <c r="W37" s="3"/>
      <c r="X37" s="3"/>
      <c r="Y37" s="5"/>
      <c r="AA37" s="3"/>
      <c r="AB37" s="3"/>
      <c r="AC37" s="5"/>
      <c r="AE37" s="3"/>
      <c r="AF37" s="3"/>
      <c r="AG37" s="5"/>
      <c r="AI37" s="3"/>
      <c r="AJ37" s="3"/>
      <c r="AK37" s="5"/>
    </row>
    <row r="38" spans="1:38" ht="30" x14ac:dyDescent="0.25">
      <c r="A38" t="s">
        <v>164</v>
      </c>
      <c r="B38" t="s">
        <v>28</v>
      </c>
      <c r="C38" t="s">
        <v>165</v>
      </c>
      <c r="D38" s="4" t="s">
        <v>166</v>
      </c>
      <c r="E38">
        <v>30</v>
      </c>
      <c r="F38" t="s">
        <v>31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/>
      <c r="AB38" s="3"/>
      <c r="AC38" s="5"/>
      <c r="AE38" s="3"/>
      <c r="AF38" s="3"/>
      <c r="AG38" s="5"/>
      <c r="AI38" s="3"/>
      <c r="AJ38" s="3"/>
      <c r="AK38" s="5"/>
    </row>
    <row r="39" spans="1:38" ht="45" x14ac:dyDescent="0.25">
      <c r="A39" t="s">
        <v>167</v>
      </c>
      <c r="B39" t="s">
        <v>28</v>
      </c>
      <c r="C39" t="s">
        <v>168</v>
      </c>
      <c r="D39" s="4" t="s">
        <v>169</v>
      </c>
      <c r="E39">
        <v>300</v>
      </c>
      <c r="F39" t="s">
        <v>31</v>
      </c>
      <c r="G39" s="3"/>
      <c r="H39" s="3"/>
      <c r="I39" s="5"/>
      <c r="K39" s="3">
        <v>2990</v>
      </c>
      <c r="L39" s="3">
        <v>300</v>
      </c>
      <c r="M39" s="5">
        <v>897000</v>
      </c>
      <c r="N39" s="4" t="s">
        <v>170</v>
      </c>
      <c r="O39" s="3"/>
      <c r="P39" s="3"/>
      <c r="Q39" s="5"/>
      <c r="S39" s="3">
        <v>3600</v>
      </c>
      <c r="T39" s="3">
        <v>300</v>
      </c>
      <c r="U39" s="5">
        <v>1080000</v>
      </c>
      <c r="V39" t="s">
        <v>171</v>
      </c>
      <c r="W39" s="3"/>
      <c r="X39" s="3"/>
      <c r="Y39" s="5"/>
      <c r="AA39" s="3"/>
      <c r="AB39" s="3"/>
      <c r="AC39" s="5"/>
      <c r="AE39" s="3"/>
      <c r="AF39" s="3"/>
      <c r="AG39" s="5"/>
      <c r="AI39" s="3">
        <v>5000</v>
      </c>
      <c r="AJ39" s="3">
        <v>300</v>
      </c>
      <c r="AK39" s="5">
        <v>1500000</v>
      </c>
      <c r="AL39" s="4" t="s">
        <v>172</v>
      </c>
    </row>
    <row r="40" spans="1:38" ht="60" x14ac:dyDescent="0.25">
      <c r="A40" t="s">
        <v>173</v>
      </c>
      <c r="B40" t="s">
        <v>28</v>
      </c>
      <c r="C40" t="s">
        <v>174</v>
      </c>
      <c r="D40" s="4" t="s">
        <v>175</v>
      </c>
      <c r="E40">
        <v>10</v>
      </c>
      <c r="F40" t="s">
        <v>31</v>
      </c>
      <c r="G40" s="3"/>
      <c r="H40" s="3"/>
      <c r="I40" s="5"/>
      <c r="K40" s="3"/>
      <c r="L40" s="3"/>
      <c r="M40" s="5"/>
      <c r="O40" s="3"/>
      <c r="P40" s="3"/>
      <c r="Q40" s="5"/>
      <c r="S40" s="3"/>
      <c r="T40" s="3"/>
      <c r="U40" s="5"/>
      <c r="W40" s="3"/>
      <c r="X40" s="3"/>
      <c r="Y40" s="5"/>
      <c r="AA40" s="3"/>
      <c r="AB40" s="3"/>
      <c r="AC40" s="5"/>
      <c r="AE40" s="3"/>
      <c r="AF40" s="3"/>
      <c r="AG40" s="5"/>
      <c r="AI40" s="3"/>
      <c r="AJ40" s="3"/>
      <c r="AK40" s="5"/>
    </row>
    <row r="41" spans="1:38" ht="75" x14ac:dyDescent="0.25">
      <c r="A41" t="s">
        <v>176</v>
      </c>
      <c r="B41" t="s">
        <v>28</v>
      </c>
      <c r="C41" t="s">
        <v>177</v>
      </c>
      <c r="D41" s="4" t="s">
        <v>178</v>
      </c>
      <c r="E41">
        <v>600</v>
      </c>
      <c r="F41" t="s">
        <v>31</v>
      </c>
      <c r="G41" s="3">
        <v>13990</v>
      </c>
      <c r="H41" s="3">
        <v>150</v>
      </c>
      <c r="I41" s="5">
        <v>2098500</v>
      </c>
      <c r="J41" s="4" t="s">
        <v>179</v>
      </c>
      <c r="K41" s="3"/>
      <c r="L41" s="3"/>
      <c r="M41" s="5"/>
      <c r="O41" s="3"/>
      <c r="P41" s="3"/>
      <c r="Q41" s="5"/>
      <c r="S41" s="3"/>
      <c r="T41" s="3"/>
      <c r="U41" s="5"/>
      <c r="W41" s="3">
        <v>13895.64</v>
      </c>
      <c r="X41" s="3">
        <v>600</v>
      </c>
      <c r="Y41" s="5">
        <v>8337384</v>
      </c>
      <c r="Z41" s="4" t="s">
        <v>180</v>
      </c>
      <c r="AA41" s="3"/>
      <c r="AB41" s="3"/>
      <c r="AC41" s="5"/>
      <c r="AE41" s="3"/>
      <c r="AF41" s="3"/>
      <c r="AG41" s="5"/>
      <c r="AI41" s="3"/>
      <c r="AJ41" s="3"/>
      <c r="AK41" s="5"/>
    </row>
    <row r="42" spans="1:38" ht="60" x14ac:dyDescent="0.25">
      <c r="A42" t="s">
        <v>181</v>
      </c>
      <c r="B42" t="s">
        <v>28</v>
      </c>
      <c r="C42" t="s">
        <v>182</v>
      </c>
      <c r="D42" s="4" t="s">
        <v>183</v>
      </c>
      <c r="E42">
        <v>80</v>
      </c>
      <c r="F42" t="s">
        <v>31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>
        <v>55993.96</v>
      </c>
      <c r="X42" s="3">
        <v>80</v>
      </c>
      <c r="Y42" s="5">
        <v>4479516.8</v>
      </c>
      <c r="Z42" s="4" t="s">
        <v>184</v>
      </c>
      <c r="AA42" s="3"/>
      <c r="AB42" s="3"/>
      <c r="AC42" s="5"/>
      <c r="AE42" s="3"/>
      <c r="AF42" s="3"/>
      <c r="AG42" s="5"/>
      <c r="AI42" s="3"/>
      <c r="AJ42" s="3"/>
      <c r="AK42" s="5"/>
    </row>
    <row r="43" spans="1:38" ht="30" x14ac:dyDescent="0.25">
      <c r="A43" t="s">
        <v>185</v>
      </c>
      <c r="B43" t="s">
        <v>28</v>
      </c>
      <c r="C43" t="s">
        <v>186</v>
      </c>
      <c r="D43" s="4" t="s">
        <v>187</v>
      </c>
      <c r="E43">
        <v>200</v>
      </c>
      <c r="F43" t="s">
        <v>31</v>
      </c>
      <c r="G43" s="3"/>
      <c r="H43" s="3"/>
      <c r="I43" s="5"/>
      <c r="K43" s="3"/>
      <c r="L43" s="3"/>
      <c r="M43" s="5"/>
      <c r="O43" s="3"/>
      <c r="P43" s="3"/>
      <c r="Q43" s="5"/>
      <c r="S43" s="3"/>
      <c r="T43" s="3"/>
      <c r="U43" s="5"/>
      <c r="W43" s="3"/>
      <c r="X43" s="3"/>
      <c r="Y43" s="5"/>
      <c r="AA43" s="3"/>
      <c r="AB43" s="3"/>
      <c r="AC43" s="5"/>
      <c r="AE43" s="3"/>
      <c r="AF43" s="3"/>
      <c r="AG43" s="5"/>
      <c r="AI43" s="3"/>
      <c r="AJ43" s="3"/>
      <c r="AK43" s="5"/>
    </row>
    <row r="44" spans="1:38" ht="60" x14ac:dyDescent="0.25">
      <c r="A44" t="s">
        <v>188</v>
      </c>
      <c r="B44" t="s">
        <v>28</v>
      </c>
      <c r="C44" t="s">
        <v>189</v>
      </c>
      <c r="D44" s="4" t="s">
        <v>190</v>
      </c>
      <c r="E44">
        <v>210</v>
      </c>
      <c r="F44" t="s">
        <v>31</v>
      </c>
      <c r="G44" s="3"/>
      <c r="H44" s="3"/>
      <c r="I44" s="5"/>
      <c r="K44" s="3">
        <v>5060</v>
      </c>
      <c r="L44" s="3">
        <v>210</v>
      </c>
      <c r="M44" s="5">
        <v>1062600</v>
      </c>
      <c r="N44" s="4" t="s">
        <v>191</v>
      </c>
      <c r="O44" s="3"/>
      <c r="P44" s="3"/>
      <c r="Q44" s="5"/>
      <c r="S44" s="3"/>
      <c r="T44" s="3"/>
      <c r="U44" s="5"/>
      <c r="W44" s="3"/>
      <c r="X44" s="3"/>
      <c r="Y44" s="5"/>
      <c r="AA44" s="3"/>
      <c r="AB44" s="3"/>
      <c r="AC44" s="5"/>
      <c r="AE44" s="3"/>
      <c r="AF44" s="3"/>
      <c r="AG44" s="5"/>
      <c r="AI44" s="3"/>
      <c r="AJ44" s="3"/>
      <c r="AK44" s="5"/>
    </row>
    <row r="45" spans="1:38" ht="75" x14ac:dyDescent="0.25">
      <c r="A45" t="s">
        <v>192</v>
      </c>
      <c r="B45" t="s">
        <v>28</v>
      </c>
      <c r="C45" t="s">
        <v>193</v>
      </c>
      <c r="D45" s="4" t="s">
        <v>194</v>
      </c>
      <c r="E45">
        <v>210</v>
      </c>
      <c r="F45" t="s">
        <v>31</v>
      </c>
      <c r="G45" s="3"/>
      <c r="H45" s="3"/>
      <c r="I45" s="5"/>
      <c r="K45" s="3">
        <v>29900</v>
      </c>
      <c r="L45" s="3">
        <v>210</v>
      </c>
      <c r="M45" s="5">
        <v>6279000</v>
      </c>
      <c r="N45" s="4" t="s">
        <v>195</v>
      </c>
      <c r="O45" s="3">
        <v>18990</v>
      </c>
      <c r="P45" s="3">
        <v>110</v>
      </c>
      <c r="Q45" s="5">
        <v>2088900</v>
      </c>
      <c r="R45" s="4" t="s">
        <v>196</v>
      </c>
      <c r="S45" s="3"/>
      <c r="T45" s="3"/>
      <c r="U45" s="5"/>
      <c r="W45" s="3"/>
      <c r="X45" s="3"/>
      <c r="Y45" s="5"/>
      <c r="AA45" s="3"/>
      <c r="AB45" s="3"/>
      <c r="AC45" s="5"/>
      <c r="AE45" s="3"/>
      <c r="AF45" s="3"/>
      <c r="AG45" s="5"/>
      <c r="AI45" s="3"/>
      <c r="AJ45" s="3"/>
      <c r="AK45" s="5"/>
    </row>
    <row r="46" spans="1:38" ht="75" x14ac:dyDescent="0.25">
      <c r="A46" t="s">
        <v>197</v>
      </c>
      <c r="B46" t="s">
        <v>28</v>
      </c>
      <c r="C46" t="s">
        <v>198</v>
      </c>
      <c r="D46" s="4" t="s">
        <v>199</v>
      </c>
      <c r="E46">
        <v>80</v>
      </c>
      <c r="F46" t="s">
        <v>31</v>
      </c>
      <c r="G46" s="3"/>
      <c r="H46" s="3"/>
      <c r="I46" s="5"/>
      <c r="K46" s="3"/>
      <c r="L46" s="3"/>
      <c r="M46" s="5"/>
      <c r="O46" s="3"/>
      <c r="P46" s="3"/>
      <c r="Q46" s="5"/>
      <c r="S46" s="3"/>
      <c r="T46" s="3"/>
      <c r="U46" s="5"/>
      <c r="W46" s="3">
        <v>65707.839999999997</v>
      </c>
      <c r="X46" s="3">
        <v>80</v>
      </c>
      <c r="Y46" s="5">
        <v>5256627.2</v>
      </c>
      <c r="Z46" s="4" t="s">
        <v>200</v>
      </c>
      <c r="AA46" s="3"/>
      <c r="AB46" s="3"/>
      <c r="AC46" s="5"/>
      <c r="AE46" s="3"/>
      <c r="AF46" s="3"/>
      <c r="AG46" s="5"/>
      <c r="AI46" s="3"/>
      <c r="AJ46" s="3"/>
      <c r="AK46" s="5"/>
    </row>
    <row r="47" spans="1:38" x14ac:dyDescent="0.25">
      <c r="C47" t="s">
        <v>201</v>
      </c>
      <c r="D47" s="4"/>
      <c r="G47" s="3"/>
      <c r="H47" s="3"/>
      <c r="I47" s="5">
        <f>SUBTOTAL(109,Table2[Total por renglón])</f>
        <v>30394100</v>
      </c>
      <c r="K47" s="3"/>
      <c r="L47" s="3"/>
      <c r="M47" s="5">
        <f>SUBTOTAL(109,Table3[Total por renglón])</f>
        <v>33545900</v>
      </c>
      <c r="O47" s="3"/>
      <c r="P47" s="3"/>
      <c r="Q47" s="5">
        <f>SUBTOTAL(109,Table4[Total por renglón])</f>
        <v>3491900</v>
      </c>
      <c r="S47" s="3"/>
      <c r="T47" s="3"/>
      <c r="U47" s="5">
        <f>SUBTOTAL(109,Table5[Total por renglón])</f>
        <v>9420187.5</v>
      </c>
      <c r="W47" s="3"/>
      <c r="X47" s="3"/>
      <c r="Y47" s="5">
        <f>SUBTOTAL(109,Table6[Total por renglón])</f>
        <v>42448114.880000003</v>
      </c>
      <c r="Z47" s="4"/>
      <c r="AA47" s="3"/>
      <c r="AB47" s="3"/>
      <c r="AC47" s="5">
        <f>SUBTOTAL(109,Table7[Total por renglón])</f>
        <v>9386760</v>
      </c>
      <c r="AE47" s="3"/>
      <c r="AF47" s="3"/>
      <c r="AG47" s="5">
        <f>SUBTOTAL(109,Table8[Total por renglón])</f>
        <v>2147020</v>
      </c>
      <c r="AI47" s="3"/>
      <c r="AJ47" s="3"/>
      <c r="AK47" s="5">
        <f>SUBTOTAL(109,Table9[Total por renglón])</f>
        <v>4350000</v>
      </c>
    </row>
  </sheetData>
  <mergeCells count="9">
    <mergeCell ref="AA8:AD8"/>
    <mergeCell ref="AE8:AH8"/>
    <mergeCell ref="AI8:AL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2022-09-28T13:15:44Z</dcterms:created>
  <dcterms:modified xsi:type="dcterms:W3CDTF">2022-09-28T13:16:06Z</dcterms:modified>
</cp:coreProperties>
</file>