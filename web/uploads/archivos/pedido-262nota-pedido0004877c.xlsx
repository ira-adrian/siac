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Trimestrales'!$A$9:$I$29</definedName>
    <definedName name="_xlnm.Print_Area" localSheetId="1">' NotaPedido'!$A$1:$K$32</definedName>
    <definedName name="_xlnm.Print_Area" localSheetId="2">'Autor Gastar'!$A$1:$Q$23</definedName>
    <definedName name="_xlnm.Print_Area" localSheetId="0">'Necesidades Trimestrales'!$E$9:$E$29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5" i="3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J32" i="2"/>
  <c r="I10" i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K12" i="2"/>
  <c r="J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12" i="2"/>
  <c r="I12" i="2" l="1"/>
  <c r="I14" i="2" l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A10" i="3" l="1"/>
  <c r="G6" i="3" l="1"/>
  <c r="D7" i="2"/>
  <c r="D3" i="2"/>
  <c r="G4" i="3" s="1"/>
  <c r="D4" i="2"/>
  <c r="G5" i="3" s="1"/>
  <c r="D1" i="3" l="1"/>
  <c r="I13" i="2"/>
  <c r="Q19" i="3" l="1"/>
</calcChain>
</file>

<file path=xl/sharedStrings.xml><?xml version="1.0" encoding="utf-8"?>
<sst xmlns="http://schemas.openxmlformats.org/spreadsheetml/2006/main" count="156" uniqueCount="91">
  <si>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</si>
  <si>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</si>
  <si>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</si>
  <si>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</si>
  <si>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</si>
  <si>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</si>
  <si>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</si>
  <si>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</si>
  <si>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</si>
  <si>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</si>
  <si>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</si>
  <si>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</si>
  <si>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</si>
  <si>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</si>
  <si>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</si>
  <si>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</si>
  <si>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</si>
  <si>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</si>
  <si>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</si>
  <si>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</si>
  <si>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</si>
  <si>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</si>
  <si>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</si>
  <si>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</si>
  <si>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</si>
  <si>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</si>
  <si>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</si>
  <si>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</si>
  <si>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</si>
  <si>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</si>
  <si>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</si>
  <si>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</si>
  <si>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</si>
  <si>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</si>
  <si>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</si>
  <si>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</si>
  <si>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</si>
  <si>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</si>
  <si>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</si>
  <si>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</si>
  <si>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</si>
  <si>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</si>
  <si>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</si>
  <si>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</si>
  <si>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</si>
  <si>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</si>
  <si>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</si>
  <si>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</si>
  <si>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</si>
  <si>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</si>
  <si>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</si>
  <si>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</si>
  <si>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</si>
  <si>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</si>
  <si>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</si>
  <si>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</si>
  <si>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PRODUCTOS FARMACEUTICOS Y MEDICINALES</t>
  </si>
  <si>
    <t>Servicio de Farmacia</t>
  </si>
  <si>
    <t>PROD. MEDICO/ FARMACEUTICOS/LAB</t>
  </si>
  <si>
    <t>unidad</t>
  </si>
  <si>
    <t>PASTA AL AGUA X 30 GRS</t>
  </si>
  <si>
    <t>PASTA LASSAR X 30 GRS</t>
  </si>
  <si>
    <t>ACIDO FUSIDICO 2% CREMA</t>
  </si>
  <si>
    <t>SULFADIACINA DE PLATA + VITAMINA A  + LIDOCAINA CREMA  X 100 GRS</t>
  </si>
  <si>
    <t>HIDROCORTISONA 1% CREMA</t>
  </si>
  <si>
    <t xml:space="preserve">NITROFURAZONA 0,2 % APOSITOS </t>
  </si>
  <si>
    <t>APOSITO HIDROCOLOIDE CUADRADO 10 X 10 CM</t>
  </si>
  <si>
    <t>APOSITO HIDROCOLIDE OVALADO 14 X 17 CM</t>
  </si>
  <si>
    <t>APOSITO HIDROCOLOIDE FINO 7 X 9 CM</t>
  </si>
  <si>
    <t>DEXAMETASONA 8 MG AMPOLLA</t>
  </si>
  <si>
    <t>DEXAMETASONA 8 MG COMPRIMIDO</t>
  </si>
  <si>
    <t>HIDROCORTISONA 100 MG FCO AMPOLLA</t>
  </si>
  <si>
    <t>HIDROCORTISONA 500 MG FCO AMPOLLA</t>
  </si>
  <si>
    <t>METILPREDNISOLONA 500 MG FCO AMPOLLA</t>
  </si>
  <si>
    <t>METILPREDNISONA 40 MG COMPRIMIDO</t>
  </si>
  <si>
    <t>METILPREDNISONA 8MG COMPRIMIDO</t>
  </si>
  <si>
    <t>METILPREDNISONA 4MG/ML</t>
  </si>
  <si>
    <t>OCTREOTIDA VIAL 1 MG</t>
  </si>
  <si>
    <t>DESMOPRESIN 4 MG/ML AMPOLLA</t>
  </si>
  <si>
    <t xml:space="preserve">VASELINA SOLIDA X 1KG </t>
  </si>
  <si>
    <t>052/2021</t>
  </si>
  <si>
    <t>Costo total estimado: Cinco Millones Un Mil Trescientos Veinticinco Con 90/100.</t>
  </si>
  <si>
    <t>TERAPIA DERMATOLOGICA/SISTEMA GENITOURINARIO Y HORMONAS SEXUALES /HORMONAS SISTEMICAS</t>
  </si>
  <si>
    <t>Para la adquisición de Insumos relacionados a TERAPIA DERMATOLOGICA/SISTEMA GENITOURINARIO Y HORMONAS SEXUALES /HORMONAS SISTEMICAS destinados al Servicio de Farmacia del Hospital Interzonal de Niños Eva Peron, para el normal funcionamiento del organismo.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</si>
  <si>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</si>
  <si>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</si>
  <si>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</si>
  <si>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t>Mantenimiento de Oferta:</t>
  </si>
  <si>
    <t xml:space="preserve">45 dias habiles 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</si>
  <si>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</t>
    </r>
  </si>
  <si>
    <t>TOTAL DE PESOS: CINCO MILLONES ONCE MIL SEISCIENTOS QUINCE CON 90/100.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</si>
</sst>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&quot;$&quot;#,##0.00;\-&quot;$&quot;#,##0.00"/>
    <numFmt numFmtId="165" formatCode="_-* #,##0.00_-;\-* #,##0.00_-;_-* &quot;-&quot;??_-;_-@_-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  <numFmt numFmtId="171" formatCode="&quot;$&quot;\ #,##0.00"/>
  </numFmts>
  <fonts count="2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7">
    <xf numFmtId="0" fontId="0" fillId="0" borderId="0"/>
    <xf numFmtId="167" fontId="15" fillId="0" borderId="0" applyBorder="0" applyProtection="0"/>
    <xf numFmtId="0" fontId="2" fillId="0" borderId="1" applyProtection="0"/>
    <xf numFmtId="166" fontId="3" fillId="0" borderId="0" applyBorder="0" applyProtection="0"/>
    <xf numFmtId="0" fontId="4" fillId="2" borderId="0" applyBorder="0" applyProtection="0"/>
    <xf numFmtId="0" fontId="15" fillId="0" borderId="0"/>
    <xf numFmtId="165" fontId="1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70" fontId="0" fillId="0" borderId="0" xfId="0" applyNumberFormat="1" applyAlignment="1">
      <alignment horizontal="left"/>
    </xf>
    <xf numFmtId="0" fontId="3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8" fontId="0" fillId="0" borderId="33" xfId="3" applyNumberFormat="1" applyFont="1" applyBorder="1" applyAlignment="1" applyProtection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8" fontId="0" fillId="0" borderId="37" xfId="3" applyNumberFormat="1" applyFont="1" applyBorder="1" applyAlignment="1" applyProtection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0" borderId="5" xfId="0" applyFont="1" applyBorder="1"/>
    <xf numFmtId="0" fontId="16" fillId="0" borderId="6" xfId="0" applyFont="1" applyBorder="1"/>
    <xf numFmtId="0" fontId="16" fillId="0" borderId="9" xfId="0" applyFont="1" applyBorder="1" applyAlignment="1">
      <alignment horizontal="left" indent="3"/>
    </xf>
    <xf numFmtId="0" fontId="16" fillId="0" borderId="10" xfId="0" applyFont="1" applyBorder="1"/>
    <xf numFmtId="0" fontId="16" fillId="0" borderId="11" xfId="0" applyFont="1" applyBorder="1"/>
    <xf numFmtId="168" fontId="16" fillId="0" borderId="0" xfId="0" applyNumberFormat="1" applyFont="1"/>
    <xf numFmtId="0" fontId="6" fillId="3" borderId="12" xfId="0" applyFont="1" applyFill="1" applyBorder="1" applyAlignment="1">
      <alignment horizontal="right" vertical="center"/>
    </xf>
    <xf numFmtId="0" fontId="7" fillId="4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4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5" fillId="3" borderId="4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8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169" fontId="16" fillId="0" borderId="0" xfId="0" applyNumberFormat="1" applyFont="1"/>
    <xf numFmtId="171" fontId="21" fillId="0" borderId="0" xfId="0" applyNumberFormat="1" applyFont="1"/>
    <xf numFmtId="171" fontId="22" fillId="0" borderId="0" xfId="0" applyNumberFormat="1" applyFont="1" applyAlignment="1">
      <alignment horizontal="left" wrapText="1"/>
    </xf>
    <xf numFmtId="169" fontId="3" fillId="3" borderId="0" xfId="0" applyNumberFormat="1" applyFont="1" applyFill="1" applyBorder="1" applyAlignment="1">
      <alignment vertical="center"/>
    </xf>
    <xf numFmtId="0" fontId="16" fillId="0" borderId="0" xfId="0" applyFont="1" applyFill="1"/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168" fontId="0" fillId="0" borderId="53" xfId="3" applyNumberFormat="1" applyFont="1" applyBorder="1" applyAlignment="1" applyProtection="1">
      <alignment horizontal="center" vertical="center"/>
    </xf>
    <xf numFmtId="0" fontId="16" fillId="0" borderId="7" xfId="0" applyFont="1" applyBorder="1" applyAlignment="1">
      <alignment horizontal="left" indent="3"/>
    </xf>
    <xf numFmtId="0" fontId="0" fillId="0" borderId="56" xfId="0" applyBorder="1"/>
    <xf numFmtId="0" fontId="15" fillId="0" borderId="56" xfId="0" applyFont="1" applyBorder="1" applyAlignment="1">
      <alignment wrapText="1"/>
    </xf>
    <xf numFmtId="0" fontId="22" fillId="0" borderId="56" xfId="0" applyFont="1" applyBorder="1" applyAlignment="1">
      <alignment horizontal="center" vertical="center" wrapText="1"/>
    </xf>
    <xf numFmtId="0" fontId="5" fillId="3" borderId="56" xfId="0" applyFont="1" applyFill="1" applyBorder="1" applyAlignment="1">
      <alignment horizontal="left" vertical="center"/>
    </xf>
    <xf numFmtId="0" fontId="5" fillId="4" borderId="56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 wrapText="1"/>
    </xf>
    <xf numFmtId="0" fontId="0" fillId="3" borderId="57" xfId="0" applyFill="1" applyBorder="1" applyAlignment="1">
      <alignment horizontal="center" vertical="center" wrapText="1"/>
    </xf>
    <xf numFmtId="0" fontId="0" fillId="3" borderId="56" xfId="0" applyFill="1" applyBorder="1" applyAlignment="1">
      <alignment horizontal="center" vertical="center" wrapText="1"/>
    </xf>
    <xf numFmtId="0" fontId="21" fillId="0" borderId="59" xfId="0" applyFont="1" applyBorder="1" applyAlignment="1">
      <alignment horizontal="center" vertical="center"/>
    </xf>
    <xf numFmtId="0" fontId="0" fillId="0" borderId="58" xfId="0" applyBorder="1"/>
    <xf numFmtId="0" fontId="15" fillId="0" borderId="58" xfId="0" applyFont="1" applyBorder="1" applyAlignment="1">
      <alignment wrapText="1"/>
    </xf>
    <xf numFmtId="0" fontId="22" fillId="0" borderId="58" xfId="0" applyFont="1" applyBorder="1" applyAlignment="1">
      <alignment horizontal="center" vertical="center" wrapText="1"/>
    </xf>
    <xf numFmtId="168" fontId="21" fillId="4" borderId="60" xfId="1" applyNumberFormat="1" applyFont="1" applyFill="1" applyBorder="1" applyAlignment="1" applyProtection="1">
      <alignment horizontal="right" vertical="center" wrapText="1"/>
    </xf>
    <xf numFmtId="0" fontId="20" fillId="0" borderId="16" xfId="0" applyFont="1" applyBorder="1" applyAlignment="1">
      <alignment horizontal="center" vertical="center" wrapText="1"/>
    </xf>
    <xf numFmtId="171" fontId="25" fillId="0" borderId="16" xfId="0" applyNumberFormat="1" applyFont="1" applyBorder="1" applyAlignment="1">
      <alignment horizontal="center" vertical="center" wrapText="1"/>
    </xf>
    <xf numFmtId="0" fontId="0" fillId="3" borderId="57" xfId="0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164" fontId="0" fillId="3" borderId="56" xfId="1" applyNumberFormat="1" applyFont="1" applyFill="1" applyBorder="1" applyAlignment="1">
      <alignment vertical="center" wrapText="1"/>
    </xf>
    <xf numFmtId="164" fontId="0" fillId="3" borderId="56" xfId="1" applyNumberFormat="1" applyFont="1" applyFill="1" applyBorder="1" applyAlignment="1"/>
    <xf numFmtId="0" fontId="0" fillId="3" borderId="56" xfId="0" applyFill="1" applyBorder="1" applyAlignment="1">
      <alignment horizontal="left" vertical="center" wrapText="1"/>
    </xf>
    <xf numFmtId="168" fontId="14" fillId="3" borderId="38" xfId="0" applyNumberFormat="1" applyFont="1" applyFill="1" applyBorder="1" applyAlignment="1">
      <alignment horizontal="center" vertical="center"/>
    </xf>
    <xf numFmtId="0" fontId="5" fillId="3" borderId="58" xfId="0" applyFont="1" applyFill="1" applyBorder="1" applyAlignment="1">
      <alignment horizontal="left" vertical="center"/>
    </xf>
    <xf numFmtId="0" fontId="5" fillId="4" borderId="58" xfId="0" applyFont="1" applyFill="1" applyBorder="1" applyAlignment="1">
      <alignment horizontal="center" vertical="center"/>
    </xf>
    <xf numFmtId="0" fontId="5" fillId="3" borderId="58" xfId="0" applyFont="1" applyFill="1" applyBorder="1" applyAlignment="1">
      <alignment horizontal="center" vertical="center" wrapText="1"/>
    </xf>
    <xf numFmtId="0" fontId="15" fillId="3" borderId="56" xfId="0" applyFont="1" applyFill="1" applyBorder="1" applyAlignment="1">
      <alignment horizontal="left" vertical="center" wrapText="1"/>
    </xf>
    <xf numFmtId="0" fontId="0" fillId="3" borderId="56" xfId="0" applyFill="1" applyBorder="1" applyAlignment="1">
      <alignment wrapText="1"/>
    </xf>
    <xf numFmtId="0" fontId="23" fillId="0" borderId="4" xfId="0" applyFont="1" applyBorder="1" applyAlignment="1">
      <alignment horizontal="left" indent="3"/>
    </xf>
    <xf numFmtId="0" fontId="16" fillId="0" borderId="0" xfId="0" applyFont="1" applyAlignment="1">
      <alignment vertical="center"/>
    </xf>
    <xf numFmtId="0" fontId="23" fillId="0" borderId="7" xfId="0" applyFont="1" applyBorder="1" applyAlignment="1"/>
    <xf numFmtId="0" fontId="16" fillId="0" borderId="0" xfId="0" applyFont="1" applyBorder="1" applyAlignment="1">
      <alignment horizontal="center" wrapText="1"/>
    </xf>
    <xf numFmtId="0" fontId="16" fillId="0" borderId="0" xfId="0" applyFont="1" applyFill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16" fillId="4" borderId="7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8" xfId="5" applyFont="1" applyFill="1" applyBorder="1" applyAlignment="1">
      <alignment horizontal="left" wrapText="1"/>
    </xf>
    <xf numFmtId="0" fontId="16" fillId="4" borderId="8" xfId="0" applyFont="1" applyFill="1" applyBorder="1" applyAlignment="1">
      <alignment horizontal="left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4" borderId="0" xfId="0" applyFont="1" applyFill="1" applyBorder="1" applyAlignment="1">
      <alignment horizontal="left" wrapText="1" indent="1"/>
    </xf>
    <xf numFmtId="0" fontId="7" fillId="3" borderId="16" xfId="0" applyFont="1" applyFill="1" applyBorder="1" applyAlignment="1">
      <alignment horizontal="left" vertical="center" wrapText="1" indent="1"/>
    </xf>
    <xf numFmtId="169" fontId="8" fillId="3" borderId="16" xfId="0" applyNumberFormat="1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7" fillId="4" borderId="19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12" fillId="4" borderId="38" xfId="0" applyFont="1" applyFill="1" applyBorder="1" applyAlignment="1">
      <alignment horizontal="left" vertical="center" wrapText="1" indent="1"/>
    </xf>
    <xf numFmtId="0" fontId="0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0" fillId="3" borderId="38" xfId="0" applyFont="1" applyFill="1" applyBorder="1" applyAlignment="1">
      <alignment horizontal="left" vertical="center" wrapText="1"/>
    </xf>
    <xf numFmtId="0" fontId="0" fillId="0" borderId="23" xfId="0" applyBorder="1"/>
    <xf numFmtId="0" fontId="26" fillId="0" borderId="30" xfId="0" applyFont="1" applyFill="1" applyBorder="1" applyAlignment="1">
      <alignment horizontal="left" vertical="center" wrapText="1"/>
    </xf>
    <xf numFmtId="0" fontId="10" fillId="0" borderId="21" xfId="0" applyFont="1" applyBorder="1" applyAlignment="1">
      <alignment vertical="center" wrapText="1"/>
    </xf>
    <xf numFmtId="0" fontId="10" fillId="0" borderId="39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indent="1"/>
    </xf>
    <xf numFmtId="0" fontId="13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3" fillId="0" borderId="13" xfId="0" applyFont="1" applyBorder="1"/>
  </cellXfs>
  <cellStyles count="7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41"/>
  <sheetViews>
    <sheetView tabSelected="1" topLeftCell="A4" zoomScale="93" zoomScaleNormal="93" workbookViewId="0">
      <selection activeCell="K12" sqref="K12"/>
    </sheetView>
  </sheetViews>
  <sheetFormatPr baseColWidth="10" defaultColWidth="11" defaultRowHeight="12.75" x14ac:dyDescent="0.2"/>
  <cols>
    <col min="1" max="1" width="6.42578125" style="25" customWidth="1"/>
    <col min="2" max="2" width="8.5703125" style="25" customWidth="1"/>
    <col min="3" max="3" width="21.5703125" style="25" customWidth="1"/>
    <col min="4" max="4" width="8.42578125" style="25" customWidth="1"/>
    <col min="5" max="5" width="63" style="25" customWidth="1"/>
    <col min="6" max="6" width="11" style="25"/>
    <col min="7" max="7" width="10.42578125" style="25" bestFit="1" customWidth="1"/>
    <col min="8" max="8" width="13.85546875" style="51" customWidth="1"/>
    <col min="9" max="9" width="18.5703125" style="25" customWidth="1"/>
    <col min="10" max="11" width="11" style="25"/>
    <col min="12" max="12" width="13.140625" style="25" customWidth="1"/>
    <col min="13" max="16384" width="11" style="25"/>
  </cols>
  <sheetData>
    <row r="2" spans="1:10" ht="27" x14ac:dyDescent="0.35">
      <c r="B2" s="103" t="s">
        <v>0</v>
      </c>
      <c r="C2" s="103"/>
      <c r="D2" s="103"/>
      <c r="E2" s="103"/>
      <c r="F2" s="103"/>
      <c r="G2" s="103"/>
      <c r="H2" s="103"/>
    </row>
    <row r="3" spans="1:10" ht="12" customHeight="1" x14ac:dyDescent="0.2"/>
    <row r="4" spans="1:10" ht="28.5" customHeight="1" x14ac:dyDescent="0.25">
      <c r="A4" s="102" t="s">
        <v>1</v>
      </c>
      <c r="B4" s="102"/>
      <c r="C4" s="104" t="s">
        <v>52</v>
      </c>
      <c r="D4" s="104"/>
      <c r="E4" s="104"/>
      <c r="F4" s="26"/>
      <c r="G4" s="27"/>
      <c r="H4" s="52"/>
    </row>
    <row r="5" spans="1:10" ht="18" customHeight="1" x14ac:dyDescent="0.25">
      <c r="A5" s="102" t="s">
        <v>2</v>
      </c>
      <c r="B5" s="102"/>
      <c r="C5" s="104" t="s">
        <v>51</v>
      </c>
      <c r="D5" s="104"/>
      <c r="E5" s="104"/>
      <c r="F5" s="26"/>
      <c r="G5" s="27" t="s">
        <v>55</v>
      </c>
      <c r="H5" s="52"/>
    </row>
    <row r="6" spans="1:10" ht="16.5" customHeight="1" x14ac:dyDescent="0.25">
      <c r="A6" s="102" t="s">
        <v>3</v>
      </c>
      <c r="B6" s="102"/>
      <c r="C6" s="42">
        <v>2021</v>
      </c>
      <c r="D6" s="43"/>
      <c r="E6" s="43"/>
      <c r="F6" s="26"/>
      <c r="G6" s="27"/>
      <c r="H6" s="52"/>
    </row>
    <row r="7" spans="1:10" ht="16.5" customHeight="1" x14ac:dyDescent="0.25">
      <c r="A7" s="102" t="s">
        <v>4</v>
      </c>
      <c r="B7" s="102"/>
      <c r="C7" s="42">
        <v>2</v>
      </c>
      <c r="D7" s="43"/>
      <c r="E7" s="43"/>
      <c r="F7" s="26"/>
      <c r="G7" s="27"/>
      <c r="H7" s="52"/>
    </row>
    <row r="8" spans="1:10" ht="13.5" thickBot="1" x14ac:dyDescent="0.25">
      <c r="B8" s="26"/>
      <c r="C8" s="27"/>
      <c r="D8" s="26"/>
      <c r="E8" s="26"/>
      <c r="F8" s="26"/>
      <c r="G8" s="27"/>
      <c r="H8" s="52"/>
      <c r="J8" s="50"/>
    </row>
    <row r="9" spans="1:10" ht="36.75" thickBot="1" x14ac:dyDescent="0.25">
      <c r="A9" s="79" t="s">
        <v>5</v>
      </c>
      <c r="B9" s="79" t="s">
        <v>6</v>
      </c>
      <c r="C9" s="79" t="s">
        <v>7</v>
      </c>
      <c r="D9" s="79" t="s">
        <v>8</v>
      </c>
      <c r="E9" s="79" t="s">
        <v>9</v>
      </c>
      <c r="F9" s="79" t="s">
        <v>10</v>
      </c>
      <c r="G9" s="79" t="s">
        <v>11</v>
      </c>
      <c r="H9" s="80" t="s">
        <v>12</v>
      </c>
      <c r="I9" s="79" t="s">
        <v>13</v>
      </c>
    </row>
    <row r="10" spans="1:10" ht="25.5" x14ac:dyDescent="0.2">
      <c r="A10" s="74">
        <v>1</v>
      </c>
      <c r="B10" s="75"/>
      <c r="C10" s="76" t="s">
        <v>58</v>
      </c>
      <c r="D10" s="77">
        <v>252</v>
      </c>
      <c r="E10" s="90" t="s">
        <v>79</v>
      </c>
      <c r="F10" s="81" t="s">
        <v>59</v>
      </c>
      <c r="G10" s="82">
        <v>10</v>
      </c>
      <c r="H10" s="84">
        <v>1029</v>
      </c>
      <c r="I10" s="78">
        <f>+G10*H10</f>
        <v>10290</v>
      </c>
    </row>
    <row r="11" spans="1:10" ht="25.5" x14ac:dyDescent="0.2">
      <c r="A11" s="74">
        <v>2</v>
      </c>
      <c r="B11" s="75"/>
      <c r="C11" s="76" t="s">
        <v>58</v>
      </c>
      <c r="D11" s="77">
        <v>252</v>
      </c>
      <c r="E11" s="90" t="s">
        <v>60</v>
      </c>
      <c r="F11" s="81" t="s">
        <v>59</v>
      </c>
      <c r="G11" s="82">
        <v>20</v>
      </c>
      <c r="H11" s="84">
        <v>280</v>
      </c>
      <c r="I11" s="78">
        <f t="shared" ref="I11:I29" si="0">+G11*H11</f>
        <v>5600</v>
      </c>
    </row>
    <row r="12" spans="1:10" ht="25.5" x14ac:dyDescent="0.2">
      <c r="A12" s="74">
        <v>3</v>
      </c>
      <c r="B12" s="66"/>
      <c r="C12" s="67" t="s">
        <v>58</v>
      </c>
      <c r="D12" s="68">
        <v>252</v>
      </c>
      <c r="E12" s="91" t="s">
        <v>61</v>
      </c>
      <c r="F12" s="81" t="s">
        <v>59</v>
      </c>
      <c r="G12" s="82">
        <v>100</v>
      </c>
      <c r="H12" s="84">
        <v>300</v>
      </c>
      <c r="I12" s="78">
        <f t="shared" si="0"/>
        <v>30000</v>
      </c>
    </row>
    <row r="13" spans="1:10" ht="25.5" x14ac:dyDescent="0.2">
      <c r="A13" s="74">
        <v>4</v>
      </c>
      <c r="B13" s="66"/>
      <c r="C13" s="67" t="s">
        <v>58</v>
      </c>
      <c r="D13" s="68">
        <v>252</v>
      </c>
      <c r="E13" s="91" t="s">
        <v>62</v>
      </c>
      <c r="F13" s="81" t="s">
        <v>59</v>
      </c>
      <c r="G13" s="82">
        <v>10</v>
      </c>
      <c r="H13" s="84">
        <v>857</v>
      </c>
      <c r="I13" s="78">
        <f t="shared" si="0"/>
        <v>8570</v>
      </c>
    </row>
    <row r="14" spans="1:10" ht="25.5" x14ac:dyDescent="0.2">
      <c r="A14" s="74">
        <v>5</v>
      </c>
      <c r="B14" s="66"/>
      <c r="C14" s="67" t="s">
        <v>58</v>
      </c>
      <c r="D14" s="68">
        <v>252</v>
      </c>
      <c r="E14" s="91" t="s">
        <v>63</v>
      </c>
      <c r="F14" s="81" t="s">
        <v>59</v>
      </c>
      <c r="G14" s="82">
        <v>50</v>
      </c>
      <c r="H14" s="84">
        <v>944</v>
      </c>
      <c r="I14" s="78">
        <f t="shared" si="0"/>
        <v>47200</v>
      </c>
    </row>
    <row r="15" spans="1:10" ht="25.5" x14ac:dyDescent="0.2">
      <c r="A15" s="74">
        <v>6</v>
      </c>
      <c r="B15" s="66"/>
      <c r="C15" s="67" t="s">
        <v>58</v>
      </c>
      <c r="D15" s="68">
        <v>252</v>
      </c>
      <c r="E15" s="85" t="s">
        <v>64</v>
      </c>
      <c r="F15" s="72" t="s">
        <v>59</v>
      </c>
      <c r="G15" s="73">
        <v>30</v>
      </c>
      <c r="H15" s="83">
        <v>200</v>
      </c>
      <c r="I15" s="78">
        <f t="shared" si="0"/>
        <v>6000</v>
      </c>
    </row>
    <row r="16" spans="1:10" ht="25.5" x14ac:dyDescent="0.2">
      <c r="A16" s="74">
        <v>7</v>
      </c>
      <c r="B16" s="66"/>
      <c r="C16" s="67" t="s">
        <v>58</v>
      </c>
      <c r="D16" s="68">
        <v>252</v>
      </c>
      <c r="E16" s="85" t="s">
        <v>65</v>
      </c>
      <c r="F16" s="72" t="s">
        <v>59</v>
      </c>
      <c r="G16" s="73">
        <v>20</v>
      </c>
      <c r="H16" s="83">
        <v>506.6</v>
      </c>
      <c r="I16" s="78">
        <f t="shared" si="0"/>
        <v>10132</v>
      </c>
    </row>
    <row r="17" spans="1:9" ht="25.5" x14ac:dyDescent="0.2">
      <c r="A17" s="74">
        <v>8</v>
      </c>
      <c r="B17" s="66"/>
      <c r="C17" s="67" t="s">
        <v>58</v>
      </c>
      <c r="D17" s="68">
        <v>252</v>
      </c>
      <c r="E17" s="91" t="s">
        <v>66</v>
      </c>
      <c r="F17" s="81" t="s">
        <v>59</v>
      </c>
      <c r="G17" s="82">
        <v>200</v>
      </c>
      <c r="H17" s="84">
        <v>350</v>
      </c>
      <c r="I17" s="78">
        <f t="shared" si="0"/>
        <v>70000</v>
      </c>
    </row>
    <row r="18" spans="1:9" ht="25.5" x14ac:dyDescent="0.2">
      <c r="A18" s="74">
        <v>9</v>
      </c>
      <c r="B18" s="66"/>
      <c r="C18" s="67" t="s">
        <v>58</v>
      </c>
      <c r="D18" s="68">
        <v>252</v>
      </c>
      <c r="E18" s="91" t="s">
        <v>67</v>
      </c>
      <c r="F18" s="81" t="s">
        <v>59</v>
      </c>
      <c r="G18" s="82">
        <v>200</v>
      </c>
      <c r="H18" s="84">
        <v>415</v>
      </c>
      <c r="I18" s="78">
        <f t="shared" si="0"/>
        <v>83000</v>
      </c>
    </row>
    <row r="19" spans="1:9" ht="25.5" x14ac:dyDescent="0.2">
      <c r="A19" s="74">
        <v>10</v>
      </c>
      <c r="B19" s="66"/>
      <c r="C19" s="67" t="s">
        <v>58</v>
      </c>
      <c r="D19" s="68">
        <v>252</v>
      </c>
      <c r="E19" s="91" t="s">
        <v>68</v>
      </c>
      <c r="F19" s="81" t="s">
        <v>59</v>
      </c>
      <c r="G19" s="82">
        <v>200</v>
      </c>
      <c r="H19" s="84">
        <v>280</v>
      </c>
      <c r="I19" s="78">
        <f t="shared" si="0"/>
        <v>56000</v>
      </c>
    </row>
    <row r="20" spans="1:9" ht="25.5" x14ac:dyDescent="0.2">
      <c r="A20" s="74">
        <v>11</v>
      </c>
      <c r="B20" s="66"/>
      <c r="C20" s="67" t="s">
        <v>58</v>
      </c>
      <c r="D20" s="68">
        <v>252</v>
      </c>
      <c r="E20" s="90" t="s">
        <v>69</v>
      </c>
      <c r="F20" s="72" t="s">
        <v>59</v>
      </c>
      <c r="G20" s="73">
        <v>5000</v>
      </c>
      <c r="H20" s="83">
        <v>25</v>
      </c>
      <c r="I20" s="78">
        <f t="shared" si="0"/>
        <v>125000</v>
      </c>
    </row>
    <row r="21" spans="1:9" ht="25.5" x14ac:dyDescent="0.2">
      <c r="A21" s="74">
        <v>12</v>
      </c>
      <c r="B21" s="66"/>
      <c r="C21" s="67" t="s">
        <v>58</v>
      </c>
      <c r="D21" s="68">
        <v>252</v>
      </c>
      <c r="E21" s="90" t="s">
        <v>70</v>
      </c>
      <c r="F21" s="72" t="s">
        <v>59</v>
      </c>
      <c r="G21" s="73">
        <v>100</v>
      </c>
      <c r="H21" s="83">
        <v>7.45</v>
      </c>
      <c r="I21" s="78">
        <f t="shared" si="0"/>
        <v>745</v>
      </c>
    </row>
    <row r="22" spans="1:9" ht="25.5" x14ac:dyDescent="0.2">
      <c r="A22" s="74">
        <v>13</v>
      </c>
      <c r="B22" s="66"/>
      <c r="C22" s="67" t="s">
        <v>58</v>
      </c>
      <c r="D22" s="68">
        <v>252</v>
      </c>
      <c r="E22" s="90" t="s">
        <v>71</v>
      </c>
      <c r="F22" s="72" t="s">
        <v>59</v>
      </c>
      <c r="G22" s="73">
        <v>2000</v>
      </c>
      <c r="H22" s="83">
        <v>647</v>
      </c>
      <c r="I22" s="78">
        <f t="shared" si="0"/>
        <v>1294000</v>
      </c>
    </row>
    <row r="23" spans="1:9" ht="25.5" x14ac:dyDescent="0.2">
      <c r="A23" s="74">
        <v>14</v>
      </c>
      <c r="B23" s="66"/>
      <c r="C23" s="67" t="s">
        <v>58</v>
      </c>
      <c r="D23" s="68">
        <v>252</v>
      </c>
      <c r="E23" s="90" t="s">
        <v>72</v>
      </c>
      <c r="F23" s="72" t="s">
        <v>59</v>
      </c>
      <c r="G23" s="73">
        <v>2000</v>
      </c>
      <c r="H23" s="83">
        <v>1491</v>
      </c>
      <c r="I23" s="78">
        <f t="shared" si="0"/>
        <v>2982000</v>
      </c>
    </row>
    <row r="24" spans="1:9" ht="25.5" x14ac:dyDescent="0.2">
      <c r="A24" s="74">
        <v>15</v>
      </c>
      <c r="B24" s="66"/>
      <c r="C24" s="67" t="s">
        <v>58</v>
      </c>
      <c r="D24" s="68">
        <v>252</v>
      </c>
      <c r="E24" s="90" t="s">
        <v>73</v>
      </c>
      <c r="F24" s="72" t="s">
        <v>59</v>
      </c>
      <c r="G24" s="73">
        <v>100</v>
      </c>
      <c r="H24" s="83">
        <v>469.7</v>
      </c>
      <c r="I24" s="78">
        <f t="shared" si="0"/>
        <v>46970</v>
      </c>
    </row>
    <row r="25" spans="1:9" ht="25.5" x14ac:dyDescent="0.2">
      <c r="A25" s="74">
        <v>16</v>
      </c>
      <c r="B25" s="66"/>
      <c r="C25" s="67" t="s">
        <v>58</v>
      </c>
      <c r="D25" s="68">
        <v>252</v>
      </c>
      <c r="E25" s="90" t="s">
        <v>74</v>
      </c>
      <c r="F25" s="72" t="s">
        <v>59</v>
      </c>
      <c r="G25" s="73">
        <v>1000</v>
      </c>
      <c r="H25" s="83">
        <v>127.68</v>
      </c>
      <c r="I25" s="78">
        <f t="shared" si="0"/>
        <v>127680</v>
      </c>
    </row>
    <row r="26" spans="1:9" ht="25.5" x14ac:dyDescent="0.2">
      <c r="A26" s="74">
        <v>17</v>
      </c>
      <c r="B26" s="66"/>
      <c r="C26" s="67" t="s">
        <v>58</v>
      </c>
      <c r="D26" s="68">
        <v>252</v>
      </c>
      <c r="E26" s="90" t="s">
        <v>75</v>
      </c>
      <c r="F26" s="72" t="s">
        <v>59</v>
      </c>
      <c r="G26" s="73">
        <v>1000</v>
      </c>
      <c r="H26" s="83">
        <v>48.82</v>
      </c>
      <c r="I26" s="78">
        <f t="shared" si="0"/>
        <v>48820</v>
      </c>
    </row>
    <row r="27" spans="1:9" ht="25.5" x14ac:dyDescent="0.2">
      <c r="A27" s="74">
        <v>18</v>
      </c>
      <c r="B27" s="66"/>
      <c r="C27" s="67" t="s">
        <v>58</v>
      </c>
      <c r="D27" s="68">
        <v>252</v>
      </c>
      <c r="E27" s="90" t="s">
        <v>76</v>
      </c>
      <c r="F27" s="72" t="s">
        <v>59</v>
      </c>
      <c r="G27" s="73">
        <v>1000</v>
      </c>
      <c r="H27" s="83">
        <v>10.199999999999999</v>
      </c>
      <c r="I27" s="78">
        <f t="shared" si="0"/>
        <v>10200</v>
      </c>
    </row>
    <row r="28" spans="1:9" ht="25.5" x14ac:dyDescent="0.2">
      <c r="A28" s="74">
        <v>19</v>
      </c>
      <c r="B28" s="66"/>
      <c r="C28" s="67" t="s">
        <v>58</v>
      </c>
      <c r="D28" s="68">
        <v>252</v>
      </c>
      <c r="E28" s="90" t="s">
        <v>77</v>
      </c>
      <c r="F28" s="72" t="s">
        <v>59</v>
      </c>
      <c r="G28" s="73">
        <v>50</v>
      </c>
      <c r="H28" s="83">
        <v>426.41</v>
      </c>
      <c r="I28" s="78">
        <f t="shared" si="0"/>
        <v>21320.5</v>
      </c>
    </row>
    <row r="29" spans="1:9" ht="25.5" x14ac:dyDescent="0.2">
      <c r="A29" s="74">
        <v>20</v>
      </c>
      <c r="B29" s="66"/>
      <c r="C29" s="67" t="s">
        <v>58</v>
      </c>
      <c r="D29" s="68">
        <v>252</v>
      </c>
      <c r="E29" s="90" t="s">
        <v>78</v>
      </c>
      <c r="F29" s="72" t="s">
        <v>59</v>
      </c>
      <c r="G29" s="73">
        <v>30</v>
      </c>
      <c r="H29" s="83">
        <v>936.28</v>
      </c>
      <c r="I29" s="78">
        <f t="shared" si="0"/>
        <v>28088.399999999998</v>
      </c>
    </row>
    <row r="30" spans="1:9" x14ac:dyDescent="0.2">
      <c r="I30" s="33"/>
    </row>
    <row r="31" spans="1:9" ht="12" customHeight="1" thickBot="1" x14ac:dyDescent="0.25"/>
    <row r="32" spans="1:9" x14ac:dyDescent="0.2">
      <c r="B32" s="92" t="s">
        <v>84</v>
      </c>
      <c r="C32" s="28"/>
      <c r="D32" s="28"/>
      <c r="E32" s="29"/>
      <c r="F32" s="93"/>
      <c r="G32" s="54"/>
      <c r="H32" s="25"/>
    </row>
    <row r="33" spans="2:8" ht="12.75" customHeight="1" x14ac:dyDescent="0.2">
      <c r="B33" s="98" t="s">
        <v>85</v>
      </c>
      <c r="C33" s="99"/>
      <c r="D33" s="99"/>
      <c r="E33" s="100"/>
      <c r="F33" s="93"/>
      <c r="G33" s="54"/>
      <c r="H33" s="25"/>
    </row>
    <row r="34" spans="2:8" ht="26.25" customHeight="1" x14ac:dyDescent="0.2">
      <c r="B34" s="98"/>
      <c r="C34" s="99"/>
      <c r="D34" s="99"/>
      <c r="E34" s="100"/>
      <c r="F34" s="93"/>
      <c r="G34" s="54"/>
      <c r="H34" s="25"/>
    </row>
    <row r="35" spans="2:8" ht="26.25" customHeight="1" x14ac:dyDescent="0.2">
      <c r="B35" s="98" t="s">
        <v>86</v>
      </c>
      <c r="C35" s="99"/>
      <c r="D35" s="99"/>
      <c r="E35" s="100"/>
      <c r="F35" s="93"/>
      <c r="G35" s="54"/>
      <c r="H35" s="25"/>
    </row>
    <row r="36" spans="2:8" ht="26.25" customHeight="1" x14ac:dyDescent="0.2">
      <c r="B36" s="98" t="s">
        <v>89</v>
      </c>
      <c r="C36" s="99"/>
      <c r="D36" s="99"/>
      <c r="E36" s="100"/>
      <c r="F36" s="93"/>
      <c r="G36" s="54"/>
      <c r="H36" s="25"/>
    </row>
    <row r="37" spans="2:8" x14ac:dyDescent="0.2">
      <c r="B37" s="94" t="s">
        <v>87</v>
      </c>
      <c r="C37" s="95"/>
      <c r="D37" s="96"/>
      <c r="E37" s="97"/>
      <c r="F37" s="93"/>
      <c r="G37" s="54"/>
      <c r="H37" s="25"/>
    </row>
    <row r="38" spans="2:8" ht="26.25" customHeight="1" x14ac:dyDescent="0.2">
      <c r="B38" s="65"/>
      <c r="C38" s="101" t="s">
        <v>88</v>
      </c>
      <c r="D38" s="101"/>
      <c r="E38" s="101"/>
      <c r="F38" s="93"/>
      <c r="G38" s="54"/>
      <c r="H38" s="25"/>
    </row>
    <row r="39" spans="2:8" ht="13.5" thickBot="1" x14ac:dyDescent="0.25">
      <c r="B39" s="30"/>
      <c r="C39" s="31"/>
      <c r="D39" s="31"/>
      <c r="E39" s="32"/>
      <c r="F39" s="93"/>
      <c r="G39" s="54"/>
      <c r="H39" s="25"/>
    </row>
    <row r="41" spans="2:8" x14ac:dyDescent="0.2">
      <c r="E41" s="25" t="s">
        <v>55</v>
      </c>
    </row>
  </sheetData>
  <autoFilter ref="A9:I29"/>
  <mergeCells count="11">
    <mergeCell ref="B2:H2"/>
    <mergeCell ref="A4:B4"/>
    <mergeCell ref="C4:E4"/>
    <mergeCell ref="A5:B5"/>
    <mergeCell ref="C5:E5"/>
    <mergeCell ref="B33:E34"/>
    <mergeCell ref="B35:E35"/>
    <mergeCell ref="B36:E36"/>
    <mergeCell ref="C38:E38"/>
    <mergeCell ref="A6:B6"/>
    <mergeCell ref="A7:B7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2"/>
  <sheetViews>
    <sheetView topLeftCell="A23" zoomScale="80" zoomScaleNormal="80" workbookViewId="0">
      <selection activeCell="J32" sqref="J32:K32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110" t="s">
        <v>14</v>
      </c>
      <c r="B1" s="110"/>
      <c r="C1" s="110"/>
      <c r="D1" s="110"/>
      <c r="E1" s="110"/>
      <c r="F1" s="110"/>
      <c r="G1" s="110"/>
      <c r="H1" s="110"/>
      <c r="I1" s="110"/>
      <c r="J1" s="34" t="s">
        <v>15</v>
      </c>
      <c r="K1" s="35" t="s">
        <v>80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111" t="s">
        <v>48</v>
      </c>
      <c r="B3" s="111"/>
      <c r="C3" s="111"/>
      <c r="D3" s="105" t="str">
        <f>'Necesidades Trimestrales'!C4</f>
        <v>040 - Ministerio de Salud</v>
      </c>
      <c r="E3" s="105"/>
      <c r="F3" s="105"/>
      <c r="G3" s="105"/>
      <c r="H3" s="105"/>
      <c r="I3" s="105"/>
      <c r="J3" s="105"/>
      <c r="K3" s="105"/>
    </row>
    <row r="4" spans="1:11" ht="18.75" customHeight="1" thickBot="1" x14ac:dyDescent="0.25">
      <c r="A4" s="112" t="s">
        <v>49</v>
      </c>
      <c r="B4" s="112"/>
      <c r="C4" s="112"/>
      <c r="D4" s="105" t="str">
        <f>'Necesidades Trimestrales'!C5</f>
        <v>024 - Hospital Interzonal de Niños</v>
      </c>
      <c r="E4" s="105"/>
      <c r="F4" s="105"/>
      <c r="G4" s="105"/>
      <c r="H4" s="105"/>
      <c r="I4" s="105"/>
      <c r="J4" s="105"/>
      <c r="K4" s="105"/>
    </row>
    <row r="5" spans="1:11" ht="18.75" customHeight="1" thickBot="1" x14ac:dyDescent="0.25">
      <c r="A5" s="112" t="s">
        <v>27</v>
      </c>
      <c r="B5" s="112"/>
      <c r="C5" s="112"/>
      <c r="D5" s="105" t="s">
        <v>51</v>
      </c>
      <c r="E5" s="105"/>
      <c r="F5" s="105"/>
      <c r="G5" s="105"/>
      <c r="H5" s="105"/>
      <c r="I5" s="105"/>
      <c r="J5" s="105"/>
      <c r="K5" s="105"/>
    </row>
    <row r="6" spans="1:11" ht="16.5" customHeight="1" thickBot="1" x14ac:dyDescent="0.25">
      <c r="A6" s="111" t="s">
        <v>50</v>
      </c>
      <c r="B6" s="111"/>
      <c r="C6" s="111"/>
      <c r="D6" s="105" t="s">
        <v>57</v>
      </c>
      <c r="E6" s="105"/>
      <c r="F6" s="105"/>
      <c r="G6" s="105"/>
      <c r="H6" s="105"/>
      <c r="I6" s="105"/>
      <c r="J6" s="105"/>
      <c r="K6" s="105"/>
    </row>
    <row r="7" spans="1:11" ht="16.5" customHeight="1" x14ac:dyDescent="0.2">
      <c r="A7" s="112" t="s">
        <v>16</v>
      </c>
      <c r="B7" s="112"/>
      <c r="C7" s="112"/>
      <c r="D7" s="105" t="str">
        <f>'Necesidades Trimestrales'!C7 &amp; "° Trimestre - Año " &amp; 'Necesidades Trimestrales'!C6</f>
        <v>2° Trimestre - Año 2021</v>
      </c>
      <c r="E7" s="105"/>
      <c r="F7" s="105"/>
      <c r="G7" s="105"/>
      <c r="H7" s="105"/>
      <c r="I7" s="105"/>
      <c r="J7" s="105"/>
      <c r="K7" s="105"/>
    </row>
    <row r="8" spans="1:11" ht="16.5" customHeight="1" x14ac:dyDescent="0.2">
      <c r="A8" s="109" t="s">
        <v>17</v>
      </c>
      <c r="B8" s="109"/>
      <c r="C8" s="109"/>
      <c r="D8" s="113" t="s">
        <v>82</v>
      </c>
      <c r="E8" s="113"/>
      <c r="F8" s="113"/>
      <c r="G8" s="113"/>
      <c r="H8" s="113"/>
      <c r="I8" s="113"/>
      <c r="J8" s="113"/>
      <c r="K8" s="113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114" t="s">
        <v>18</v>
      </c>
      <c r="B10" s="107" t="s">
        <v>19</v>
      </c>
      <c r="C10" s="107" t="s">
        <v>20</v>
      </c>
      <c r="D10" s="107"/>
      <c r="E10" s="107"/>
      <c r="F10" s="107"/>
      <c r="G10" s="107"/>
      <c r="H10" s="107" t="s">
        <v>21</v>
      </c>
      <c r="I10" s="107" t="s">
        <v>22</v>
      </c>
      <c r="J10" s="107" t="s">
        <v>23</v>
      </c>
      <c r="K10" s="108" t="s">
        <v>24</v>
      </c>
    </row>
    <row r="11" spans="1:11" ht="24" customHeight="1" thickBot="1" x14ac:dyDescent="0.25">
      <c r="A11" s="114"/>
      <c r="B11" s="107"/>
      <c r="C11" s="107"/>
      <c r="D11" s="107"/>
      <c r="E11" s="107"/>
      <c r="F11" s="107"/>
      <c r="G11" s="107"/>
      <c r="H11" s="107"/>
      <c r="I11" s="107"/>
      <c r="J11" s="107"/>
      <c r="K11" s="108"/>
    </row>
    <row r="12" spans="1:11" ht="24" customHeight="1" thickBot="1" x14ac:dyDescent="0.25">
      <c r="A12" s="44">
        <v>1</v>
      </c>
      <c r="B12" s="45"/>
      <c r="C12" s="115" t="str">
        <f>+'Necesidades Trimestrales'!E10</f>
        <v xml:space="preserve">VASELINA SOLIDA X 1KG </v>
      </c>
      <c r="D12" s="115"/>
      <c r="E12" s="115"/>
      <c r="F12" s="115"/>
      <c r="G12" s="115"/>
      <c r="H12" s="46" t="s">
        <v>54</v>
      </c>
      <c r="I12" s="47" t="str">
        <f>'Necesidades Trimestrales'!F10</f>
        <v>unidad</v>
      </c>
      <c r="J12" s="48">
        <f>+'Necesidades Trimestrales'!H10</f>
        <v>1029</v>
      </c>
      <c r="K12" s="49">
        <f>+'Necesidades Trimestrales'!G10</f>
        <v>10</v>
      </c>
    </row>
    <row r="13" spans="1:11" ht="27.75" customHeight="1" thickBot="1" x14ac:dyDescent="0.25">
      <c r="A13" s="44">
        <v>2</v>
      </c>
      <c r="B13" s="87"/>
      <c r="C13" s="115" t="str">
        <f>+'Necesidades Trimestrales'!E11</f>
        <v>PASTA AL AGUA X 30 GRS</v>
      </c>
      <c r="D13" s="115"/>
      <c r="E13" s="115"/>
      <c r="F13" s="115"/>
      <c r="G13" s="115"/>
      <c r="H13" s="88" t="s">
        <v>54</v>
      </c>
      <c r="I13" s="89" t="str">
        <f>'Necesidades Trimestrales'!F11</f>
        <v>unidad</v>
      </c>
      <c r="J13" s="48">
        <f>+'Necesidades Trimestrales'!H11</f>
        <v>280</v>
      </c>
      <c r="K13" s="49">
        <f>+'Necesidades Trimestrales'!G11</f>
        <v>20</v>
      </c>
    </row>
    <row r="14" spans="1:11" ht="27.75" customHeight="1" thickBot="1" x14ac:dyDescent="0.25">
      <c r="A14" s="44">
        <v>3</v>
      </c>
      <c r="B14" s="69"/>
      <c r="C14" s="115" t="str">
        <f>+'Necesidades Trimestrales'!E12</f>
        <v>PASTA LASSAR X 30 GRS</v>
      </c>
      <c r="D14" s="115"/>
      <c r="E14" s="115"/>
      <c r="F14" s="115"/>
      <c r="G14" s="115"/>
      <c r="H14" s="70" t="s">
        <v>54</v>
      </c>
      <c r="I14" s="71" t="str">
        <f>'Necesidades Trimestrales'!F12</f>
        <v>unidad</v>
      </c>
      <c r="J14" s="48">
        <f>+'Necesidades Trimestrales'!H12</f>
        <v>300</v>
      </c>
      <c r="K14" s="49">
        <f>+'Necesidades Trimestrales'!G12</f>
        <v>100</v>
      </c>
    </row>
    <row r="15" spans="1:11" ht="27.75" customHeight="1" thickBot="1" x14ac:dyDescent="0.25">
      <c r="A15" s="44">
        <v>4</v>
      </c>
      <c r="B15" s="69"/>
      <c r="C15" s="115" t="str">
        <f>+'Necesidades Trimestrales'!E13</f>
        <v>ACIDO FUSIDICO 2% CREMA</v>
      </c>
      <c r="D15" s="115"/>
      <c r="E15" s="115"/>
      <c r="F15" s="115"/>
      <c r="G15" s="115"/>
      <c r="H15" s="70" t="s">
        <v>54</v>
      </c>
      <c r="I15" s="71" t="str">
        <f>'Necesidades Trimestrales'!F13</f>
        <v>unidad</v>
      </c>
      <c r="J15" s="48">
        <f>+'Necesidades Trimestrales'!H13</f>
        <v>857</v>
      </c>
      <c r="K15" s="49">
        <f>+'Necesidades Trimestrales'!G13</f>
        <v>10</v>
      </c>
    </row>
    <row r="16" spans="1:11" ht="27.75" customHeight="1" thickBot="1" x14ac:dyDescent="0.25">
      <c r="A16" s="44">
        <v>5</v>
      </c>
      <c r="B16" s="69"/>
      <c r="C16" s="115" t="str">
        <f>+'Necesidades Trimestrales'!E14</f>
        <v>SULFADIACINA DE PLATA + VITAMINA A  + LIDOCAINA CREMA  X 100 GRS</v>
      </c>
      <c r="D16" s="115"/>
      <c r="E16" s="115"/>
      <c r="F16" s="115"/>
      <c r="G16" s="115"/>
      <c r="H16" s="70" t="s">
        <v>54</v>
      </c>
      <c r="I16" s="71" t="str">
        <f>'Necesidades Trimestrales'!F14</f>
        <v>unidad</v>
      </c>
      <c r="J16" s="48">
        <f>+'Necesidades Trimestrales'!H14</f>
        <v>944</v>
      </c>
      <c r="K16" s="49">
        <f>+'Necesidades Trimestrales'!G14</f>
        <v>50</v>
      </c>
    </row>
    <row r="17" spans="1:14" ht="27.75" customHeight="1" thickBot="1" x14ac:dyDescent="0.25">
      <c r="A17" s="44">
        <v>6</v>
      </c>
      <c r="B17" s="69"/>
      <c r="C17" s="115" t="str">
        <f>+'Necesidades Trimestrales'!E15</f>
        <v>HIDROCORTISONA 1% CREMA</v>
      </c>
      <c r="D17" s="115"/>
      <c r="E17" s="115"/>
      <c r="F17" s="115"/>
      <c r="G17" s="115"/>
      <c r="H17" s="70" t="s">
        <v>54</v>
      </c>
      <c r="I17" s="71" t="str">
        <f>'Necesidades Trimestrales'!F15</f>
        <v>unidad</v>
      </c>
      <c r="J17" s="48">
        <f>+'Necesidades Trimestrales'!H15</f>
        <v>200</v>
      </c>
      <c r="K17" s="49">
        <f>+'Necesidades Trimestrales'!G15</f>
        <v>30</v>
      </c>
    </row>
    <row r="18" spans="1:14" ht="27.75" customHeight="1" thickBot="1" x14ac:dyDescent="0.25">
      <c r="A18" s="44">
        <v>7</v>
      </c>
      <c r="B18" s="69"/>
      <c r="C18" s="115" t="str">
        <f>+'Necesidades Trimestrales'!E16</f>
        <v xml:space="preserve">NITROFURAZONA 0,2 % APOSITOS </v>
      </c>
      <c r="D18" s="115"/>
      <c r="E18" s="115"/>
      <c r="F18" s="115"/>
      <c r="G18" s="115"/>
      <c r="H18" s="70" t="s">
        <v>54</v>
      </c>
      <c r="I18" s="71" t="str">
        <f>'Necesidades Trimestrales'!F16</f>
        <v>unidad</v>
      </c>
      <c r="J18" s="48">
        <f>+'Necesidades Trimestrales'!H16</f>
        <v>506.6</v>
      </c>
      <c r="K18" s="49">
        <f>+'Necesidades Trimestrales'!G16</f>
        <v>20</v>
      </c>
    </row>
    <row r="19" spans="1:14" ht="27.75" customHeight="1" thickBot="1" x14ac:dyDescent="0.25">
      <c r="A19" s="44">
        <v>8</v>
      </c>
      <c r="B19" s="69"/>
      <c r="C19" s="115" t="str">
        <f>+'Necesidades Trimestrales'!E17</f>
        <v>APOSITO HIDROCOLOIDE CUADRADO 10 X 10 CM</v>
      </c>
      <c r="D19" s="115"/>
      <c r="E19" s="115"/>
      <c r="F19" s="115"/>
      <c r="G19" s="115"/>
      <c r="H19" s="70" t="s">
        <v>54</v>
      </c>
      <c r="I19" s="71" t="str">
        <f>'Necesidades Trimestrales'!F17</f>
        <v>unidad</v>
      </c>
      <c r="J19" s="48">
        <f>+'Necesidades Trimestrales'!H17</f>
        <v>350</v>
      </c>
      <c r="K19" s="49">
        <f>+'Necesidades Trimestrales'!G17</f>
        <v>200</v>
      </c>
    </row>
    <row r="20" spans="1:14" ht="27.75" customHeight="1" thickBot="1" x14ac:dyDescent="0.25">
      <c r="A20" s="44">
        <v>9</v>
      </c>
      <c r="B20" s="69"/>
      <c r="C20" s="115" t="str">
        <f>+'Necesidades Trimestrales'!E18</f>
        <v>APOSITO HIDROCOLIDE OVALADO 14 X 17 CM</v>
      </c>
      <c r="D20" s="115"/>
      <c r="E20" s="115"/>
      <c r="F20" s="115"/>
      <c r="G20" s="115"/>
      <c r="H20" s="70" t="s">
        <v>54</v>
      </c>
      <c r="I20" s="71" t="str">
        <f>'Necesidades Trimestrales'!F18</f>
        <v>unidad</v>
      </c>
      <c r="J20" s="48">
        <f>+'Necesidades Trimestrales'!H18</f>
        <v>415</v>
      </c>
      <c r="K20" s="49">
        <f>+'Necesidades Trimestrales'!G18</f>
        <v>200</v>
      </c>
    </row>
    <row r="21" spans="1:14" ht="27.75" customHeight="1" thickBot="1" x14ac:dyDescent="0.25">
      <c r="A21" s="44">
        <v>10</v>
      </c>
      <c r="B21" s="69"/>
      <c r="C21" s="115" t="str">
        <f>+'Necesidades Trimestrales'!E19</f>
        <v>APOSITO HIDROCOLOIDE FINO 7 X 9 CM</v>
      </c>
      <c r="D21" s="115"/>
      <c r="E21" s="115"/>
      <c r="F21" s="115"/>
      <c r="G21" s="115"/>
      <c r="H21" s="70" t="s">
        <v>54</v>
      </c>
      <c r="I21" s="71" t="str">
        <f>'Necesidades Trimestrales'!F19</f>
        <v>unidad</v>
      </c>
      <c r="J21" s="48">
        <f>+'Necesidades Trimestrales'!H19</f>
        <v>280</v>
      </c>
      <c r="K21" s="49">
        <f>+'Necesidades Trimestrales'!G19</f>
        <v>200</v>
      </c>
    </row>
    <row r="22" spans="1:14" ht="27.75" customHeight="1" thickBot="1" x14ac:dyDescent="0.25">
      <c r="A22" s="44">
        <v>11</v>
      </c>
      <c r="B22" s="69"/>
      <c r="C22" s="115" t="str">
        <f>+'Necesidades Trimestrales'!E20</f>
        <v>DEXAMETASONA 8 MG AMPOLLA</v>
      </c>
      <c r="D22" s="115"/>
      <c r="E22" s="115"/>
      <c r="F22" s="115"/>
      <c r="G22" s="115"/>
      <c r="H22" s="70" t="s">
        <v>54</v>
      </c>
      <c r="I22" s="71" t="str">
        <f>'Necesidades Trimestrales'!F20</f>
        <v>unidad</v>
      </c>
      <c r="J22" s="48">
        <f>+'Necesidades Trimestrales'!H20</f>
        <v>25</v>
      </c>
      <c r="K22" s="49">
        <f>+'Necesidades Trimestrales'!G20</f>
        <v>5000</v>
      </c>
    </row>
    <row r="23" spans="1:14" ht="27.75" customHeight="1" thickBot="1" x14ac:dyDescent="0.25">
      <c r="A23" s="44">
        <v>12</v>
      </c>
      <c r="B23" s="69"/>
      <c r="C23" s="115" t="str">
        <f>+'Necesidades Trimestrales'!E21</f>
        <v>DEXAMETASONA 8 MG COMPRIMIDO</v>
      </c>
      <c r="D23" s="115"/>
      <c r="E23" s="115"/>
      <c r="F23" s="115"/>
      <c r="G23" s="115"/>
      <c r="H23" s="70" t="s">
        <v>54</v>
      </c>
      <c r="I23" s="71" t="str">
        <f>'Necesidades Trimestrales'!F21</f>
        <v>unidad</v>
      </c>
      <c r="J23" s="48">
        <f>+'Necesidades Trimestrales'!H21</f>
        <v>7.45</v>
      </c>
      <c r="K23" s="49">
        <f>+'Necesidades Trimestrales'!G21</f>
        <v>100</v>
      </c>
    </row>
    <row r="24" spans="1:14" ht="27.75" customHeight="1" thickBot="1" x14ac:dyDescent="0.25">
      <c r="A24" s="44">
        <v>13</v>
      </c>
      <c r="B24" s="69"/>
      <c r="C24" s="115" t="str">
        <f>+'Necesidades Trimestrales'!E22</f>
        <v>HIDROCORTISONA 100 MG FCO AMPOLLA</v>
      </c>
      <c r="D24" s="115"/>
      <c r="E24" s="115"/>
      <c r="F24" s="115"/>
      <c r="G24" s="115"/>
      <c r="H24" s="70" t="s">
        <v>54</v>
      </c>
      <c r="I24" s="71" t="str">
        <f>'Necesidades Trimestrales'!F22</f>
        <v>unidad</v>
      </c>
      <c r="J24" s="48">
        <f>+'Necesidades Trimestrales'!H22</f>
        <v>647</v>
      </c>
      <c r="K24" s="49">
        <f>+'Necesidades Trimestrales'!G22</f>
        <v>2000</v>
      </c>
    </row>
    <row r="25" spans="1:14" ht="27.75" customHeight="1" thickBot="1" x14ac:dyDescent="0.25">
      <c r="A25" s="44">
        <v>14</v>
      </c>
      <c r="B25" s="69"/>
      <c r="C25" s="115" t="str">
        <f>+'Necesidades Trimestrales'!E23</f>
        <v>HIDROCORTISONA 500 MG FCO AMPOLLA</v>
      </c>
      <c r="D25" s="115"/>
      <c r="E25" s="115"/>
      <c r="F25" s="115"/>
      <c r="G25" s="115"/>
      <c r="H25" s="70" t="s">
        <v>54</v>
      </c>
      <c r="I25" s="71" t="str">
        <f>'Necesidades Trimestrales'!F23</f>
        <v>unidad</v>
      </c>
      <c r="J25" s="48">
        <f>+'Necesidades Trimestrales'!H23</f>
        <v>1491</v>
      </c>
      <c r="K25" s="49">
        <f>+'Necesidades Trimestrales'!G23</f>
        <v>2000</v>
      </c>
    </row>
    <row r="26" spans="1:14" ht="27.75" customHeight="1" thickBot="1" x14ac:dyDescent="0.25">
      <c r="A26" s="44">
        <v>15</v>
      </c>
      <c r="B26" s="69"/>
      <c r="C26" s="115" t="str">
        <f>+'Necesidades Trimestrales'!E24</f>
        <v>METILPREDNISOLONA 500 MG FCO AMPOLLA</v>
      </c>
      <c r="D26" s="115"/>
      <c r="E26" s="115"/>
      <c r="F26" s="115"/>
      <c r="G26" s="115"/>
      <c r="H26" s="70" t="s">
        <v>54</v>
      </c>
      <c r="I26" s="71" t="str">
        <f>'Necesidades Trimestrales'!F24</f>
        <v>unidad</v>
      </c>
      <c r="J26" s="48">
        <f>+'Necesidades Trimestrales'!H24</f>
        <v>469.7</v>
      </c>
      <c r="K26" s="49">
        <f>+'Necesidades Trimestrales'!G24</f>
        <v>100</v>
      </c>
    </row>
    <row r="27" spans="1:14" ht="27.75" customHeight="1" thickBot="1" x14ac:dyDescent="0.25">
      <c r="A27" s="44">
        <v>16</v>
      </c>
      <c r="B27" s="69"/>
      <c r="C27" s="115" t="str">
        <f>+'Necesidades Trimestrales'!E25</f>
        <v>METILPREDNISONA 40 MG COMPRIMIDO</v>
      </c>
      <c r="D27" s="115"/>
      <c r="E27" s="115"/>
      <c r="F27" s="115"/>
      <c r="G27" s="115"/>
      <c r="H27" s="70" t="s">
        <v>54</v>
      </c>
      <c r="I27" s="71" t="str">
        <f>'Necesidades Trimestrales'!F25</f>
        <v>unidad</v>
      </c>
      <c r="J27" s="48">
        <f>+'Necesidades Trimestrales'!H25</f>
        <v>127.68</v>
      </c>
      <c r="K27" s="49">
        <f>+'Necesidades Trimestrales'!G25</f>
        <v>1000</v>
      </c>
    </row>
    <row r="28" spans="1:14" ht="27.75" customHeight="1" thickBot="1" x14ac:dyDescent="0.25">
      <c r="A28" s="44">
        <v>17</v>
      </c>
      <c r="B28" s="69"/>
      <c r="C28" s="115" t="str">
        <f>+'Necesidades Trimestrales'!E26</f>
        <v>METILPREDNISONA 8MG COMPRIMIDO</v>
      </c>
      <c r="D28" s="115"/>
      <c r="E28" s="115"/>
      <c r="F28" s="115"/>
      <c r="G28" s="115"/>
      <c r="H28" s="70" t="s">
        <v>54</v>
      </c>
      <c r="I28" s="71" t="str">
        <f>'Necesidades Trimestrales'!F26</f>
        <v>unidad</v>
      </c>
      <c r="J28" s="48">
        <f>+'Necesidades Trimestrales'!H26</f>
        <v>48.82</v>
      </c>
      <c r="K28" s="49">
        <f>+'Necesidades Trimestrales'!G26</f>
        <v>1000</v>
      </c>
    </row>
    <row r="29" spans="1:14" ht="27.75" customHeight="1" thickBot="1" x14ac:dyDescent="0.25">
      <c r="A29" s="44">
        <v>18</v>
      </c>
      <c r="B29" s="69"/>
      <c r="C29" s="115" t="str">
        <f>+'Necesidades Trimestrales'!E27</f>
        <v>METILPREDNISONA 4MG/ML</v>
      </c>
      <c r="D29" s="115"/>
      <c r="E29" s="115"/>
      <c r="F29" s="115"/>
      <c r="G29" s="115"/>
      <c r="H29" s="70" t="s">
        <v>54</v>
      </c>
      <c r="I29" s="71" t="str">
        <f>'Necesidades Trimestrales'!F27</f>
        <v>unidad</v>
      </c>
      <c r="J29" s="48">
        <f>+'Necesidades Trimestrales'!H27</f>
        <v>10.199999999999999</v>
      </c>
      <c r="K29" s="49">
        <f>+'Necesidades Trimestrales'!G27</f>
        <v>1000</v>
      </c>
    </row>
    <row r="30" spans="1:14" ht="27.75" customHeight="1" thickBot="1" x14ac:dyDescent="0.25">
      <c r="A30" s="44">
        <v>19</v>
      </c>
      <c r="B30" s="69"/>
      <c r="C30" s="115" t="str">
        <f>+'Necesidades Trimestrales'!E28</f>
        <v>OCTREOTIDA VIAL 1 MG</v>
      </c>
      <c r="D30" s="115"/>
      <c r="E30" s="115"/>
      <c r="F30" s="115"/>
      <c r="G30" s="115"/>
      <c r="H30" s="70" t="s">
        <v>54</v>
      </c>
      <c r="I30" s="71" t="str">
        <f>'Necesidades Trimestrales'!F28</f>
        <v>unidad</v>
      </c>
      <c r="J30" s="48">
        <f>+'Necesidades Trimestrales'!H28</f>
        <v>426.41</v>
      </c>
      <c r="K30" s="49">
        <f>+'Necesidades Trimestrales'!G28</f>
        <v>50</v>
      </c>
    </row>
    <row r="31" spans="1:14" ht="33" customHeight="1" thickBot="1" x14ac:dyDescent="0.25">
      <c r="A31" s="44">
        <v>20</v>
      </c>
      <c r="B31" s="69"/>
      <c r="C31" s="115" t="str">
        <f>+'Necesidades Trimestrales'!E29</f>
        <v>DESMOPRESIN 4 MG/ML AMPOLLA</v>
      </c>
      <c r="D31" s="115"/>
      <c r="E31" s="115"/>
      <c r="F31" s="115"/>
      <c r="G31" s="115"/>
      <c r="H31" s="70" t="s">
        <v>54</v>
      </c>
      <c r="I31" s="71" t="str">
        <f>'Necesidades Trimestrales'!F29</f>
        <v>unidad</v>
      </c>
      <c r="J31" s="48">
        <f>+'Necesidades Trimestrales'!H29</f>
        <v>936.28</v>
      </c>
      <c r="K31" s="49">
        <f>+'Necesidades Trimestrales'!G29</f>
        <v>30</v>
      </c>
    </row>
    <row r="32" spans="1:14" ht="20.25" customHeight="1" thickBot="1" x14ac:dyDescent="0.25">
      <c r="A32" s="105" t="s">
        <v>81</v>
      </c>
      <c r="B32" s="105"/>
      <c r="C32" s="105"/>
      <c r="D32" s="105"/>
      <c r="E32" s="105"/>
      <c r="F32" s="105"/>
      <c r="G32" s="105"/>
      <c r="H32" s="105"/>
      <c r="I32" s="105"/>
      <c r="J32" s="106">
        <f>SUMPRODUCT(J12:J31,K12:K31)</f>
        <v>5011615.9000000004</v>
      </c>
      <c r="K32" s="106"/>
      <c r="N32" s="53"/>
    </row>
  </sheetData>
  <mergeCells count="42">
    <mergeCell ref="C12:G12"/>
    <mergeCell ref="C27:G27"/>
    <mergeCell ref="C28:G28"/>
    <mergeCell ref="C29:G29"/>
    <mergeCell ref="C30:G30"/>
    <mergeCell ref="C31:G3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32:I32"/>
    <mergeCell ref="J32:K3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opLeftCell="A22" zoomScale="130" zoomScaleNormal="130" workbookViewId="0">
      <selection activeCell="S19" sqref="S19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3" t="s">
        <v>3</v>
      </c>
      <c r="B1" s="143"/>
      <c r="C1" s="143"/>
      <c r="D1" s="144">
        <f>'Necesidades Trimestrales'!C6</f>
        <v>2021</v>
      </c>
      <c r="E1" s="144"/>
      <c r="F1" s="3"/>
      <c r="G1" s="3"/>
      <c r="H1" s="4"/>
      <c r="I1" s="4"/>
      <c r="J1" s="4"/>
      <c r="K1" s="4"/>
      <c r="L1" s="4"/>
      <c r="M1" s="4"/>
      <c r="N1" s="4"/>
      <c r="P1" s="145" t="s">
        <v>25</v>
      </c>
      <c r="Q1" s="145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5"/>
      <c r="Q2" s="145"/>
    </row>
    <row r="4" spans="1:17" s="5" customFormat="1" ht="18" customHeight="1" thickBot="1" x14ac:dyDescent="0.25">
      <c r="A4" s="146" t="s">
        <v>26</v>
      </c>
      <c r="B4" s="146"/>
      <c r="C4" s="146"/>
      <c r="D4" s="146"/>
      <c r="E4" s="146"/>
      <c r="F4" s="146"/>
      <c r="G4" s="141" t="str">
        <f>' NotaPedido'!D3</f>
        <v>040 - Ministerio de Salud</v>
      </c>
      <c r="H4" s="141"/>
      <c r="I4" s="141"/>
      <c r="J4" s="141"/>
      <c r="K4" s="141"/>
      <c r="L4" s="141"/>
      <c r="M4" s="141"/>
      <c r="N4" s="141"/>
      <c r="O4" s="141"/>
      <c r="P4" s="141"/>
      <c r="Q4" s="141"/>
    </row>
    <row r="5" spans="1:17" s="5" customFormat="1" ht="18" customHeight="1" thickBot="1" x14ac:dyDescent="0.25">
      <c r="A5" s="138" t="s">
        <v>49</v>
      </c>
      <c r="B5" s="139"/>
      <c r="C5" s="139"/>
      <c r="D5" s="139"/>
      <c r="E5" s="139"/>
      <c r="F5" s="140"/>
      <c r="G5" s="141" t="str">
        <f>' NotaPedido'!D4</f>
        <v>024 - Hospital Interzonal de Niños</v>
      </c>
      <c r="H5" s="141"/>
      <c r="I5" s="141"/>
      <c r="J5" s="141"/>
      <c r="K5" s="141"/>
      <c r="L5" s="141"/>
      <c r="M5" s="141"/>
      <c r="N5" s="141"/>
      <c r="O5" s="141"/>
      <c r="P5" s="141"/>
      <c r="Q5" s="141"/>
    </row>
    <row r="6" spans="1:17" s="5" customFormat="1" ht="18" customHeight="1" thickBot="1" x14ac:dyDescent="0.25">
      <c r="A6" s="138" t="s">
        <v>27</v>
      </c>
      <c r="B6" s="139"/>
      <c r="C6" s="139"/>
      <c r="D6" s="139"/>
      <c r="E6" s="139"/>
      <c r="F6" s="140"/>
      <c r="G6" s="141" t="str">
        <f>' NotaPedido'!D5</f>
        <v>024 - Hospital Interzonal de Niños</v>
      </c>
      <c r="H6" s="141"/>
      <c r="I6" s="141"/>
      <c r="J6" s="141"/>
      <c r="K6" s="141"/>
      <c r="L6" s="141"/>
      <c r="M6" s="141"/>
      <c r="N6" s="141"/>
      <c r="O6" s="141"/>
      <c r="P6" s="141"/>
      <c r="Q6" s="141"/>
    </row>
    <row r="7" spans="1:17" s="5" customFormat="1" ht="18" customHeight="1" thickBot="1" x14ac:dyDescent="0.25">
      <c r="A7" s="138" t="s">
        <v>50</v>
      </c>
      <c r="B7" s="139"/>
      <c r="C7" s="139"/>
      <c r="D7" s="139"/>
      <c r="E7" s="139"/>
      <c r="F7" s="140"/>
      <c r="G7" s="141" t="s">
        <v>57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</row>
    <row r="8" spans="1:17" ht="18" customHeight="1" thickBot="1" x14ac:dyDescent="0.25">
      <c r="A8" s="142" t="s">
        <v>28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</row>
    <row r="9" spans="1:17" ht="18" customHeight="1" x14ac:dyDescent="0.2">
      <c r="A9" s="127" t="s">
        <v>29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"/>
      <c r="P9" s="1"/>
      <c r="Q9" s="6"/>
    </row>
    <row r="10" spans="1:17" ht="54.75" customHeight="1" x14ac:dyDescent="0.2">
      <c r="A10" s="12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052/2021,  afectando la erogación resultante a los créditos presupuestarios aprobados a favor de esta Unidad Ejecutora, conforme al siguiente detalle: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29" t="s">
        <v>30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</row>
    <row r="13" spans="1:17" ht="15.75" customHeight="1" thickBot="1" x14ac:dyDescent="0.25">
      <c r="A13" s="130" t="s">
        <v>31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2" t="s">
        <v>32</v>
      </c>
      <c r="P13" s="133"/>
      <c r="Q13" s="136" t="s">
        <v>33</v>
      </c>
    </row>
    <row r="14" spans="1:17" ht="15.75" customHeight="1" thickBot="1" x14ac:dyDescent="0.25">
      <c r="A14" s="59" t="s">
        <v>34</v>
      </c>
      <c r="B14" s="60" t="s">
        <v>35</v>
      </c>
      <c r="C14" s="60" t="s">
        <v>36</v>
      </c>
      <c r="D14" s="60" t="s">
        <v>37</v>
      </c>
      <c r="E14" s="60" t="s">
        <v>38</v>
      </c>
      <c r="F14" s="60" t="s">
        <v>39</v>
      </c>
      <c r="G14" s="61" t="s">
        <v>40</v>
      </c>
      <c r="H14" s="60" t="s">
        <v>41</v>
      </c>
      <c r="I14" s="60" t="s">
        <v>42</v>
      </c>
      <c r="J14" s="60" t="s">
        <v>43</v>
      </c>
      <c r="K14" s="60" t="s">
        <v>43</v>
      </c>
      <c r="L14" s="60" t="s">
        <v>44</v>
      </c>
      <c r="M14" s="62" t="s">
        <v>45</v>
      </c>
      <c r="N14" s="63" t="s">
        <v>46</v>
      </c>
      <c r="O14" s="134"/>
      <c r="P14" s="135"/>
      <c r="Q14" s="137"/>
    </row>
    <row r="15" spans="1:17" ht="26.25" customHeight="1" x14ac:dyDescent="0.2">
      <c r="A15" s="55">
        <v>36</v>
      </c>
      <c r="B15" s="56"/>
      <c r="C15" s="56"/>
      <c r="D15" s="56">
        <v>1</v>
      </c>
      <c r="E15" s="56"/>
      <c r="F15" s="56">
        <v>4901</v>
      </c>
      <c r="G15" s="56">
        <v>3</v>
      </c>
      <c r="H15" s="56">
        <v>310</v>
      </c>
      <c r="I15" s="56">
        <v>2</v>
      </c>
      <c r="J15" s="56">
        <v>5</v>
      </c>
      <c r="K15" s="56">
        <v>2</v>
      </c>
      <c r="L15" s="56"/>
      <c r="M15" s="57">
        <v>1</v>
      </c>
      <c r="N15" s="58" t="s">
        <v>53</v>
      </c>
      <c r="O15" s="122" t="s">
        <v>56</v>
      </c>
      <c r="P15" s="122"/>
      <c r="Q15" s="64">
        <f>+' NotaPedido'!J32</f>
        <v>5011615.9000000004</v>
      </c>
    </row>
    <row r="16" spans="1:17" ht="17.25" customHeight="1" x14ac:dyDescent="0.2">
      <c r="A16" s="11"/>
      <c r="B16" s="12"/>
      <c r="C16" s="12"/>
      <c r="D16" s="12"/>
      <c r="E16" s="12"/>
      <c r="F16" s="14"/>
      <c r="G16" s="12"/>
      <c r="H16" s="12"/>
      <c r="I16" s="12"/>
      <c r="J16" s="12"/>
      <c r="K16" s="12"/>
      <c r="L16" s="12"/>
      <c r="M16" s="13"/>
      <c r="N16" s="14"/>
      <c r="O16" s="117"/>
      <c r="P16" s="117"/>
      <c r="Q16" s="15"/>
    </row>
    <row r="17" spans="1:18" ht="17.25" customHeight="1" x14ac:dyDescent="0.2">
      <c r="A17" s="16"/>
      <c r="B17" s="17"/>
      <c r="C17" s="17"/>
      <c r="D17" s="17"/>
      <c r="E17" s="17"/>
      <c r="F17" s="18"/>
      <c r="G17" s="17"/>
      <c r="H17" s="17"/>
      <c r="I17" s="17"/>
      <c r="J17" s="17"/>
      <c r="K17" s="17"/>
      <c r="L17" s="17"/>
      <c r="M17" s="19"/>
      <c r="N17" s="20"/>
      <c r="O17" s="118"/>
      <c r="P17" s="118"/>
      <c r="Q17" s="15"/>
      <c r="R17" s="1"/>
    </row>
    <row r="18" spans="1:18" ht="17.25" customHeight="1" x14ac:dyDescent="0.2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3"/>
      <c r="N18" s="22"/>
      <c r="O18" s="119"/>
      <c r="P18" s="119"/>
      <c r="Q18" s="24"/>
    </row>
    <row r="19" spans="1:18" ht="29.25" customHeight="1" x14ac:dyDescent="0.2">
      <c r="A19" s="120" t="s">
        <v>90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86">
        <f>SUM(Q15:Q18)</f>
        <v>5011615.9000000004</v>
      </c>
    </row>
    <row r="20" spans="1:18" ht="18" customHeight="1" thickBot="1" x14ac:dyDescent="0.25">
      <c r="A20" s="121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</row>
    <row r="21" spans="1:18" ht="17.25" customHeight="1" thickBot="1" x14ac:dyDescent="0.25">
      <c r="A21" s="123" t="s">
        <v>47</v>
      </c>
      <c r="B21" s="124"/>
      <c r="C21" s="124"/>
      <c r="D21" s="124"/>
      <c r="E21" s="124"/>
      <c r="F21" s="125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</row>
    <row r="22" spans="1:18" ht="18" customHeight="1" thickBot="1" x14ac:dyDescent="0.25">
      <c r="A22" s="116" t="s">
        <v>83</v>
      </c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</row>
    <row r="23" spans="1:18" ht="26.25" customHeight="1" x14ac:dyDescent="0.2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</row>
  </sheetData>
  <mergeCells count="27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A21:F21"/>
    <mergeCell ref="G21:Q21"/>
    <mergeCell ref="A9:N9"/>
    <mergeCell ref="A10:Q10"/>
    <mergeCell ref="A12:Q12"/>
    <mergeCell ref="A13:N13"/>
    <mergeCell ref="O13:P14"/>
    <mergeCell ref="Q13:Q14"/>
    <mergeCell ref="A22:Q23"/>
    <mergeCell ref="O16:P16"/>
    <mergeCell ref="O17:P17"/>
    <mergeCell ref="O18:P18"/>
    <mergeCell ref="A19:P19"/>
    <mergeCell ref="A20:Q20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2021-03-19T14:38:15Z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