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13_ncr:1_{05FD8B60-4AD3-4524-91CA-5018FEF71C60}" xr6:coauthVersionLast="47" xr6:coauthVersionMax="47" xr10:uidLastSave="{00000000-0000-0000-0000-000000000000}"/>
  <bookViews>
    <workbookView xWindow="-120" yWindow="-120" windowWidth="29040" windowHeight="15720" xr2:uid="{9E348CEC-71CD-4ECD-A850-EA4E896325E4}"/>
  </bookViews>
  <sheets>
    <sheet name="CONSOLIDADO" sheetId="1" r:id="rId1"/>
    <sheet name="Hoja4" sheetId="5" r:id="rId2"/>
    <sheet name="PARA EXPORTAR AL COMPR.AR" sheetId="2" r:id="rId3"/>
    <sheet name="CONTROL ITEM MGJDH" sheetId="3" r:id="rId4"/>
    <sheet name="CONTROL ITEM- HSJB" sheetId="4" r:id="rId5"/>
  </sheets>
  <definedNames>
    <definedName name="_xlnm._FilterDatabase" localSheetId="0" hidden="1">CONSOLIDADO!$A$2:$O$87</definedName>
    <definedName name="_xlnm._FilterDatabase" localSheetId="4" hidden="1">'CONTROL ITEM- HSJB'!$A$4:$AR$42</definedName>
    <definedName name="_xlnm._FilterDatabase" localSheetId="3" hidden="1">'CONTROL ITEM MGJDH'!$A$4:$J$50</definedName>
    <definedName name="_xlnm._FilterDatabase" localSheetId="1" hidden="1">Hoja4!$A$3:$P$86</definedName>
    <definedName name="_xlnm._FilterDatabase" localSheetId="2" hidden="1">'PARA EXPORTAR AL COMPR.AR'!$F$50:$I$50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1" i="1" l="1"/>
  <c r="N80" i="1"/>
  <c r="N79" i="1"/>
  <c r="N78" i="1"/>
  <c r="N49" i="1"/>
  <c r="N48" i="1"/>
  <c r="N85" i="1" s="1"/>
  <c r="O45" i="1"/>
  <c r="O44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5" i="1"/>
  <c r="O66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3" i="1"/>
  <c r="O42" i="1"/>
  <c r="O41" i="1"/>
  <c r="O39" i="1"/>
  <c r="O40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N84" i="1"/>
  <c r="N83" i="1"/>
  <c r="N82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O5" i="1"/>
  <c r="N5" i="1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5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D19" i="3"/>
  <c r="I19" i="3"/>
  <c r="I20" i="3"/>
  <c r="D21" i="3"/>
  <c r="I21" i="3"/>
  <c r="D22" i="3"/>
  <c r="I22" i="3"/>
  <c r="D23" i="3"/>
  <c r="I23" i="3"/>
  <c r="D24" i="3"/>
  <c r="I24" i="3"/>
  <c r="D25" i="3"/>
  <c r="I25" i="3"/>
  <c r="D26" i="3"/>
  <c r="I26" i="3"/>
  <c r="I27" i="3"/>
  <c r="I28" i="3"/>
  <c r="D29" i="3"/>
  <c r="I29" i="3"/>
  <c r="D30" i="3"/>
  <c r="I30" i="3"/>
  <c r="D31" i="3"/>
  <c r="I31" i="3"/>
  <c r="D32" i="3"/>
  <c r="I32" i="3"/>
  <c r="D33" i="3"/>
  <c r="I33" i="3"/>
  <c r="D34" i="3"/>
  <c r="I34" i="3"/>
  <c r="D35" i="3"/>
  <c r="I35" i="3"/>
  <c r="D36" i="3"/>
  <c r="I36" i="3"/>
  <c r="I37" i="3"/>
  <c r="D38" i="3"/>
  <c r="I38" i="3"/>
  <c r="D39" i="3"/>
  <c r="I39" i="3"/>
  <c r="D40" i="3"/>
  <c r="I40" i="3"/>
  <c r="I41" i="3"/>
  <c r="I42" i="3"/>
  <c r="I43" i="3"/>
  <c r="I44" i="3"/>
  <c r="I45" i="3"/>
  <c r="I46" i="3"/>
  <c r="I47" i="3"/>
  <c r="I48" i="3"/>
  <c r="I49" i="3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0" i="2"/>
  <c r="D39" i="2"/>
  <c r="D38" i="2"/>
  <c r="D36" i="2"/>
  <c r="D35" i="2"/>
  <c r="D34" i="2"/>
  <c r="D33" i="2"/>
  <c r="D32" i="2"/>
  <c r="D31" i="2"/>
  <c r="D30" i="2"/>
  <c r="D29" i="2"/>
  <c r="D26" i="2"/>
  <c r="D25" i="2"/>
  <c r="D24" i="2"/>
  <c r="D23" i="2"/>
  <c r="D22" i="2"/>
  <c r="D21" i="2"/>
  <c r="D19" i="2"/>
  <c r="D5" i="2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J51" i="1"/>
  <c r="J50" i="1"/>
  <c r="J47" i="1"/>
  <c r="J46" i="1"/>
  <c r="J45" i="1"/>
  <c r="J44" i="1"/>
  <c r="J43" i="1"/>
  <c r="J42" i="1"/>
  <c r="J41" i="1"/>
  <c r="J40" i="1"/>
  <c r="E40" i="1"/>
  <c r="J39" i="1"/>
  <c r="E39" i="1"/>
  <c r="J38" i="1"/>
  <c r="E38" i="1"/>
  <c r="J37" i="1"/>
  <c r="J36" i="1"/>
  <c r="E36" i="1"/>
  <c r="J35" i="1"/>
  <c r="E35" i="1"/>
  <c r="J34" i="1"/>
  <c r="E34" i="1"/>
  <c r="J33" i="1"/>
  <c r="E33" i="1"/>
  <c r="J32" i="1"/>
  <c r="E32" i="1"/>
  <c r="J31" i="1"/>
  <c r="E31" i="1"/>
  <c r="J30" i="1"/>
  <c r="E30" i="1"/>
  <c r="J29" i="1"/>
  <c r="E29" i="1"/>
  <c r="J28" i="1"/>
  <c r="J27" i="1"/>
  <c r="J26" i="1"/>
  <c r="E26" i="1"/>
  <c r="J25" i="1"/>
  <c r="E25" i="1"/>
  <c r="J24" i="1"/>
  <c r="E24" i="1"/>
  <c r="J23" i="1"/>
  <c r="E23" i="1"/>
  <c r="J22" i="1"/>
  <c r="E22" i="1"/>
  <c r="J21" i="1"/>
  <c r="E21" i="1"/>
  <c r="J20" i="1"/>
  <c r="J19" i="1"/>
  <c r="E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85" i="1" s="1"/>
  <c r="E5" i="1"/>
  <c r="I42" i="4" l="1"/>
  <c r="I50" i="3"/>
</calcChain>
</file>

<file path=xl/sharedStrings.xml><?xml version="1.0" encoding="utf-8"?>
<sst xmlns="http://schemas.openxmlformats.org/spreadsheetml/2006/main" count="1646" uniqueCount="260">
  <si>
    <t xml:space="preserve"> PEDIDO DE UTILES DE ESCRITORIO, OFICINA Y ENSEÑANZA</t>
  </si>
  <si>
    <t>ÍTEM</t>
  </si>
  <si>
    <t>ID (Origen)</t>
  </si>
  <si>
    <t>CODIGO ITEM</t>
  </si>
  <si>
    <t>RUBRO DE COMPRA</t>
  </si>
  <si>
    <t xml:space="preserve">I.P.P. </t>
  </si>
  <si>
    <t>DESCRIPCION</t>
  </si>
  <si>
    <t>UNIDAD DE MEDIDA</t>
  </si>
  <si>
    <t>CANTIDADES TOTALES</t>
  </si>
  <si>
    <t>CANTIDAD</t>
  </si>
  <si>
    <t>PRECIO UNITARIO ESTIMADO</t>
  </si>
  <si>
    <t xml:space="preserve">IMPORTE TOTAL ESTIMADO </t>
  </si>
  <si>
    <t xml:space="preserve"> MINISTERIO DE GOBIERNO, JUSTICIA Y DERECHOS HUMANOS </t>
  </si>
  <si>
    <t xml:space="preserve">NO-2022-01973176-CAT-MGJDH </t>
  </si>
  <si>
    <t>ID</t>
  </si>
  <si>
    <t>2.9.2-261.14</t>
  </si>
  <si>
    <t>LIBRERÍA</t>
  </si>
  <si>
    <r>
      <rPr>
        <b/>
        <sz val="11"/>
        <rFont val="Calibri"/>
        <family val="2"/>
        <scheme val="minor"/>
      </rPr>
      <t>ABROCHADORAS DE PAPEL</t>
    </r>
    <r>
      <rPr>
        <sz val="11"/>
        <rFont val="Calibri"/>
        <family val="2"/>
        <scheme val="minor"/>
      </rPr>
      <t>; TIPO: PINZA, P/BROCHES: 10/50, MATERIAL: METALICA, MEDIDA: 10/50</t>
    </r>
  </si>
  <si>
    <t>UNIDAD</t>
  </si>
  <si>
    <t>2.9.2-291.19</t>
  </si>
  <si>
    <t>2.9.2</t>
  </si>
  <si>
    <r>
      <rPr>
        <b/>
        <sz val="11"/>
        <color theme="1"/>
        <rFont val="Calibri"/>
        <family val="2"/>
        <scheme val="minor"/>
      </rPr>
      <t>ALMOHADILLAS P/SELLOS</t>
    </r>
    <r>
      <rPr>
        <sz val="11"/>
        <color theme="1"/>
        <rFont val="Calibri"/>
        <family val="2"/>
        <scheme val="minor"/>
      </rPr>
      <t>; MEDIDA: 8 X 15 Cm, MATERIAL: METAL</t>
    </r>
  </si>
  <si>
    <t>2.3.1-928.8</t>
  </si>
  <si>
    <t>ARANDELAS DE CARTON; DIAMETRO: 1 pulg, PRESENTACION: CAJA X 500 UNIDADES</t>
  </si>
  <si>
    <t>CAJAS</t>
  </si>
  <si>
    <t>2.9.2-1428.31</t>
  </si>
  <si>
    <t>BANDAS ELASTICAS; DIAMETRO: 5 Cm, PRESENTACION: CAJA DE 1 Kg, ESPESOR: 2 mm</t>
  </si>
  <si>
    <t>2.9.2-262.40</t>
  </si>
  <si>
    <t>ADHESIVOS P/PAPEL; PRESENTACION: 50 mL, TIPO: SINTETICO TRANSPARENTE</t>
  </si>
  <si>
    <t>2.9.2-700.28</t>
  </si>
  <si>
    <t>BROCHES P/ABROCHADORA; NUMERO: 10/50, PRESENTACION: CAJA X 1000 UNIDADES</t>
  </si>
  <si>
    <t>2.9.2-700.2</t>
  </si>
  <si>
    <t>BROCHES P/ABROCHADORA; NUMERO: 21/6, PRESENTACION: CAJA X 1000 UNIDADES</t>
  </si>
  <si>
    <t>2.9.2-850.3</t>
  </si>
  <si>
    <r>
      <rPr>
        <b/>
        <sz val="10"/>
        <rFont val="Arial"/>
        <family val="2"/>
      </rPr>
      <t>CAJAS DE ARCHIVO</t>
    </r>
    <r>
      <rPr>
        <sz val="11"/>
        <color theme="1"/>
        <rFont val="Calibri"/>
        <family val="2"/>
        <scheme val="minor"/>
      </rPr>
      <t>; DIMENSION: 25 X 36 X 12 Cm, COLOR: SIN VALOR, MATERIAL: PLASTICO</t>
    </r>
  </si>
  <si>
    <t xml:space="preserve">UNIDAD </t>
  </si>
  <si>
    <t>2.9.2-850.22</t>
  </si>
  <si>
    <r>
      <rPr>
        <b/>
        <sz val="10"/>
        <rFont val="Arial"/>
        <family val="2"/>
      </rPr>
      <t>CAJAS DE ARCHIVO</t>
    </r>
    <r>
      <rPr>
        <sz val="11"/>
        <color theme="1"/>
        <rFont val="Calibri"/>
        <family val="2"/>
        <scheme val="minor"/>
      </rPr>
      <t>; MATERIAL: CARTON, DIMENSION: 25 X 36 X 12 Cm, COLOR: MARRON</t>
    </r>
  </si>
  <si>
    <t>2.3.4-734.54</t>
  </si>
  <si>
    <t>2.3.4</t>
  </si>
  <si>
    <r>
      <rPr>
        <b/>
        <sz val="11"/>
        <color theme="1"/>
        <rFont val="Calibri"/>
        <family val="2"/>
        <scheme val="minor"/>
      </rPr>
      <t>CINTAS P/EMBALAJE;</t>
    </r>
    <r>
      <rPr>
        <sz val="11"/>
        <color theme="1"/>
        <rFont val="Calibri"/>
        <family val="2"/>
        <scheme val="minor"/>
      </rPr>
      <t xml:space="preserve"> MATERIAL: POLIPROPILENO, USO: GENERAL, ANCHO: 48 Cm, LARGO: 50 M, COLOR: TRANSPARENTE</t>
    </r>
  </si>
  <si>
    <t>2.9.2-1153.52</t>
  </si>
  <si>
    <r>
      <rPr>
        <b/>
        <sz val="11"/>
        <color theme="1"/>
        <rFont val="Calibri"/>
        <family val="2"/>
        <scheme val="minor"/>
      </rPr>
      <t xml:space="preserve">CINTAS ADHESIVAS; </t>
    </r>
    <r>
      <rPr>
        <sz val="11"/>
        <color theme="1"/>
        <rFont val="Calibri"/>
        <family val="2"/>
        <scheme val="minor"/>
      </rPr>
      <t>TIPO: TRANSPARENTE, ANCHO: 12 mm, LARGO ROLLO: 25 M, MATERIAL: POLIPROPILENO, ACCESORIO: SIN, LARGO: 25 M</t>
    </r>
  </si>
  <si>
    <t>2.9.2-323.3</t>
  </si>
  <si>
    <r>
      <rPr>
        <b/>
        <sz val="11"/>
        <color theme="1"/>
        <rFont val="Calibri"/>
        <family val="2"/>
        <scheme val="minor"/>
      </rPr>
      <t>CORRECTORES DE ESCRITURA;</t>
    </r>
    <r>
      <rPr>
        <sz val="11"/>
        <color theme="1"/>
        <rFont val="Calibri"/>
        <family val="2"/>
        <scheme val="minor"/>
      </rPr>
      <t xml:space="preserve"> ENVASE: LAPIZ (PUNTA METAL), PRESENTACION: LAPIZ (PUNTA METAL) X 10 mL, CAPACIDAD: 10 mL</t>
    </r>
  </si>
  <si>
    <t>2.9.2-660.20</t>
  </si>
  <si>
    <r>
      <rPr>
        <b/>
        <sz val="11"/>
        <color theme="1"/>
        <rFont val="Calibri"/>
        <family val="2"/>
        <scheme val="minor"/>
      </rPr>
      <t>CLIPS P/PAPEL;</t>
    </r>
    <r>
      <rPr>
        <sz val="11"/>
        <color theme="1"/>
        <rFont val="Calibri"/>
        <family val="2"/>
        <scheme val="minor"/>
      </rPr>
      <t xml:space="preserve"> NUMERO: 6, MATERIAL: METAL, CANT. X CAJA: 100, PRESENTACION: CAJA X 100</t>
    </r>
  </si>
  <si>
    <t>2.9.2-660.1</t>
  </si>
  <si>
    <r>
      <rPr>
        <b/>
        <sz val="11"/>
        <color theme="1"/>
        <rFont val="Calibri"/>
        <family val="2"/>
        <scheme val="minor"/>
      </rPr>
      <t xml:space="preserve">CLIPS P/PAPEL; </t>
    </r>
    <r>
      <rPr>
        <sz val="11"/>
        <color theme="1"/>
        <rFont val="Calibri"/>
        <family val="2"/>
        <scheme val="minor"/>
      </rPr>
      <t>NUMERO: 3, MATERIAL: METAL, CANT. X CAJA: 100, PRESENTACION: CAJA X 100</t>
    </r>
  </si>
  <si>
    <t>2.3.1-6587.333</t>
  </si>
  <si>
    <r>
      <rPr>
        <b/>
        <sz val="11"/>
        <rFont val="Calibri"/>
        <family val="2"/>
        <scheme val="minor"/>
      </rPr>
      <t>PAPELES ENCUADERNADOS;</t>
    </r>
    <r>
      <rPr>
        <sz val="11"/>
        <rFont val="Calibri"/>
        <family val="2"/>
        <scheme val="minor"/>
      </rPr>
      <t xml:space="preserve"> CANT. DE </t>
    </r>
    <r>
      <rPr>
        <b/>
        <sz val="11"/>
        <rFont val="Calibri"/>
        <family val="2"/>
        <scheme val="minor"/>
      </rPr>
      <t xml:space="preserve">HOJAS: 84 HOJAS, TAMAÑO: 21 X 29,7 Cm, TIPO: RAYADO ESPIRALADO, </t>
    </r>
    <r>
      <rPr>
        <sz val="11"/>
        <rFont val="Calibri"/>
        <family val="2"/>
        <scheme val="minor"/>
      </rPr>
      <t>CERTIFICADO FORESTAL (GFS): CON, PORC. FIBRAS RECICLADAS: 0 %, CERT. FIBRA ALTERNATIVA (FCA): SIN</t>
    </r>
  </si>
  <si>
    <t>2.3.1-6587.298</t>
  </si>
  <si>
    <t>2.3.1</t>
  </si>
  <si>
    <t>PAPELES ENCUADERNADOS; CANT. DE HOJAS: 100, TAMAÑO: 21 X 16 Cm, TIPO: CUADERNO, CERTIFICADO FORESTAL (GFS): CON, PORC. FIBRAS RECICLADAS: 0 %, CERT. FIBRA ALTERNATIVA (FCA): SIN</t>
  </si>
  <si>
    <t>2.3.1-6563.1009</t>
  </si>
  <si>
    <r>
      <rPr>
        <b/>
        <sz val="11"/>
        <rFont val="Calibri"/>
        <family val="2"/>
        <scheme val="minor"/>
      </rPr>
      <t>PAPELES EN HOJA;</t>
    </r>
    <r>
      <rPr>
        <sz val="11"/>
        <rFont val="Calibri"/>
        <family val="2"/>
        <scheme val="minor"/>
      </rPr>
      <t xml:space="preserve"> TIPO DE PAPEL: BLANCO, DIMENSION: </t>
    </r>
    <r>
      <rPr>
        <b/>
        <sz val="11"/>
        <rFont val="Calibri"/>
        <family val="2"/>
        <scheme val="minor"/>
      </rPr>
      <t>OFICIO</t>
    </r>
    <r>
      <rPr>
        <sz val="11"/>
        <rFont val="Calibri"/>
        <family val="2"/>
        <scheme val="minor"/>
      </rPr>
      <t xml:space="preserve">, GRAMAJE: 80 GR, PRESENTACION: </t>
    </r>
    <r>
      <rPr>
        <b/>
        <sz val="11"/>
        <rFont val="Calibri"/>
        <family val="2"/>
        <scheme val="minor"/>
      </rPr>
      <t>ENVASE X 500 HOJAS</t>
    </r>
    <r>
      <rPr>
        <sz val="11"/>
        <rFont val="Calibri"/>
        <family val="2"/>
        <scheme val="minor"/>
      </rPr>
      <t>, CERTIFICADO FORESTAL (GFS): SIN, PORC. FIBRAS RECICLADAS: 0 %, CERT. FIBRA ALTERNATIVA (FCA): SIN</t>
    </r>
  </si>
  <si>
    <t>2.3.1-6563.968</t>
  </si>
  <si>
    <r>
      <rPr>
        <b/>
        <sz val="11"/>
        <rFont val="Calibri"/>
        <family val="2"/>
        <scheme val="minor"/>
      </rPr>
      <t>PAPELES EN HOJA;</t>
    </r>
    <r>
      <rPr>
        <sz val="11"/>
        <rFont val="Calibri"/>
        <family val="2"/>
        <scheme val="minor"/>
      </rPr>
      <t xml:space="preserve"> TIPO DE PAPEL: EXTRA BLANCO, DIMENSION:</t>
    </r>
    <r>
      <rPr>
        <b/>
        <sz val="11"/>
        <rFont val="Calibri"/>
        <family val="2"/>
        <scheme val="minor"/>
      </rPr>
      <t xml:space="preserve"> A4</t>
    </r>
    <r>
      <rPr>
        <sz val="11"/>
        <rFont val="Calibri"/>
        <family val="2"/>
        <scheme val="minor"/>
      </rPr>
      <t>, GRAMAJE: 80 GR, PRESENTACION:</t>
    </r>
    <r>
      <rPr>
        <b/>
        <sz val="11"/>
        <rFont val="Calibri"/>
        <family val="2"/>
        <scheme val="minor"/>
      </rPr>
      <t xml:space="preserve"> RESMA X 500 HOJAS</t>
    </r>
    <r>
      <rPr>
        <sz val="11"/>
        <rFont val="Calibri"/>
        <family val="2"/>
        <scheme val="minor"/>
      </rPr>
      <t>, CERTIFICADO FORESTAL (GFS): SIN, PORC. FIBRAS RECICLADAS: 0 %, CERT. FIBRA ALTERNATIVA (FCA): CON</t>
    </r>
  </si>
  <si>
    <t>2.9.2-1358.354</t>
  </si>
  <si>
    <r>
      <rPr>
        <b/>
        <sz val="11"/>
        <color theme="1"/>
        <rFont val="Calibri"/>
        <family val="2"/>
        <scheme val="minor"/>
      </rPr>
      <t>CARPETAS</t>
    </r>
    <r>
      <rPr>
        <sz val="11"/>
        <color theme="1"/>
        <rFont val="Calibri"/>
        <family val="2"/>
        <scheme val="minor"/>
      </rPr>
      <t>; MATERIAL PLASTICO - TAMAÑO OFICIO.</t>
    </r>
  </si>
  <si>
    <t>2.9.2-1358.353</t>
  </si>
  <si>
    <r>
      <rPr>
        <b/>
        <sz val="11"/>
        <color theme="1"/>
        <rFont val="Calibri"/>
        <family val="2"/>
        <scheme val="minor"/>
      </rPr>
      <t>CARPETAS</t>
    </r>
    <r>
      <rPr>
        <sz val="11"/>
        <color theme="1"/>
        <rFont val="Calibri"/>
        <family val="2"/>
        <scheme val="minor"/>
      </rPr>
      <t>; MATERIAL PLASTICO - TAMAÑO A4.</t>
    </r>
  </si>
  <si>
    <t>2.9.2-866.4</t>
  </si>
  <si>
    <r>
      <rPr>
        <b/>
        <sz val="11"/>
        <rFont val="Calibri"/>
        <family val="2"/>
        <scheme val="minor"/>
      </rPr>
      <t>MAQUINAS SACABROCHE</t>
    </r>
    <r>
      <rPr>
        <sz val="11"/>
        <rFont val="Calibri"/>
        <family val="2"/>
        <scheme val="minor"/>
      </rPr>
      <t>S; EXTRACTOR: ACERO INOXIDABLE, MATERIAL: PLASTICO</t>
    </r>
  </si>
  <si>
    <t>2.9.2-758.8</t>
  </si>
  <si>
    <r>
      <rPr>
        <b/>
        <sz val="11"/>
        <rFont val="Calibri"/>
        <family val="2"/>
        <scheme val="minor"/>
      </rPr>
      <t xml:space="preserve">TIJERAS </t>
    </r>
    <r>
      <rPr>
        <sz val="11"/>
        <rFont val="Calibri"/>
        <family val="2"/>
        <scheme val="minor"/>
      </rPr>
      <t>P/CORTAR PAPELES; CUCHILLA: PUNTIAGUDAS, MATERIAL: ACERO BRUÑIDO, MANGO: PLASTICO, LONG.DE CUERPO: 17 Cm</t>
    </r>
  </si>
  <si>
    <t>2.9.2-1611.22</t>
  </si>
  <si>
    <t>2.9.2.</t>
  </si>
  <si>
    <r>
      <rPr>
        <b/>
        <sz val="11"/>
        <color theme="1"/>
        <rFont val="Calibri"/>
        <family val="2"/>
        <scheme val="minor"/>
      </rPr>
      <t>FOLIOS TRANSPARENTES;</t>
    </r>
    <r>
      <rPr>
        <sz val="11"/>
        <color theme="1"/>
        <rFont val="Calibri"/>
        <family val="2"/>
        <scheme val="minor"/>
      </rPr>
      <t xml:space="preserve"> TAMAÑO: OFICIO, PERFORACIONES: 11, MATERIAL: POLIPROPILENO</t>
    </r>
  </si>
  <si>
    <t>2.9.2-1611.23</t>
  </si>
  <si>
    <t>FOLIOS TRANSPARENTES; TAMAÑO: A4, PERFORACIONES: 11, MATERIAL: POLIPROPILENO</t>
  </si>
  <si>
    <t>2.9.2-848.20</t>
  </si>
  <si>
    <r>
      <rPr>
        <b/>
        <sz val="11"/>
        <rFont val="Calibri"/>
        <family val="2"/>
        <scheme val="minor"/>
      </rPr>
      <t>LAPIZ</t>
    </r>
    <r>
      <rPr>
        <sz val="11"/>
        <rFont val="Calibri"/>
        <family val="2"/>
        <scheme val="minor"/>
      </rPr>
      <t>; TIPO: 2HB, COLOR: NEGRO</t>
    </r>
  </si>
  <si>
    <t>2.9.2-698.4</t>
  </si>
  <si>
    <r>
      <rPr>
        <b/>
        <sz val="11"/>
        <rFont val="Calibri"/>
        <family val="2"/>
        <scheme val="minor"/>
      </rPr>
      <t xml:space="preserve">ALMOHADILLAS MOJADEDOS; </t>
    </r>
    <r>
      <rPr>
        <sz val="11"/>
        <rFont val="Calibri"/>
        <family val="2"/>
        <scheme val="minor"/>
      </rPr>
      <t>MATERIAL TAPA: PLASTICO, MEDIDA: D.7.5 Cm, FORMA: REDONDA</t>
    </r>
  </si>
  <si>
    <t>2.9.2-317.32</t>
  </si>
  <si>
    <t>BOLIGRAFOS; TRAZO: 0,8 mm</t>
  </si>
  <si>
    <t>2.9.2-317.5</t>
  </si>
  <si>
    <r>
      <rPr>
        <b/>
        <sz val="10"/>
        <rFont val="Arial"/>
        <family val="2"/>
      </rPr>
      <t>BOLIGRAFOS</t>
    </r>
    <r>
      <rPr>
        <sz val="11"/>
        <color theme="1"/>
        <rFont val="Calibri"/>
        <family val="2"/>
        <scheme val="minor"/>
      </rPr>
      <t>; TRAZO 1,0mm</t>
    </r>
  </si>
  <si>
    <t>2.9.2-661.11</t>
  </si>
  <si>
    <r>
      <rPr>
        <b/>
        <sz val="11"/>
        <rFont val="Calibri"/>
        <family val="2"/>
        <scheme val="minor"/>
      </rPr>
      <t>GOMAS DE BORRAR</t>
    </r>
    <r>
      <rPr>
        <sz val="11"/>
        <rFont val="Calibri"/>
        <family val="2"/>
        <scheme val="minor"/>
      </rPr>
      <t>; USO: LAPIZ Y TINTA, CANT. X CAJA: 36, DIMENSION: 4 X 1 X 1 Cm, MATERIAL: PLASTICO, PRESENTACION: CAJA X 36</t>
    </r>
  </si>
  <si>
    <t>CAJA</t>
  </si>
  <si>
    <t>2.9.2-1616.128</t>
  </si>
  <si>
    <r>
      <rPr>
        <b/>
        <sz val="11"/>
        <color theme="1"/>
        <rFont val="Calibri"/>
        <family val="2"/>
        <scheme val="minor"/>
      </rPr>
      <t xml:space="preserve">MARCADORES; </t>
    </r>
    <r>
      <rPr>
        <sz val="11"/>
        <color theme="1"/>
        <rFont val="Calibri"/>
        <family val="2"/>
        <scheme val="minor"/>
      </rPr>
      <t>TIPO PARA PIZARRA - TRAZO GRUESO - PUNTA REDONDA - RECARGABLE NO</t>
    </r>
  </si>
  <si>
    <t>2.3.1-6587.139</t>
  </si>
  <si>
    <r>
      <rPr>
        <b/>
        <sz val="11"/>
        <color theme="1"/>
        <rFont val="Calibri"/>
        <family val="2"/>
        <scheme val="minor"/>
      </rPr>
      <t>PAPELES ENCUADERNADOS;</t>
    </r>
    <r>
      <rPr>
        <sz val="11"/>
        <color theme="1"/>
        <rFont val="Calibri"/>
        <family val="2"/>
        <scheme val="minor"/>
      </rPr>
      <t xml:space="preserve"> CANT. DE HOJAS: 100, TAMAÑO: 23 X 35 Cm, TIPO: </t>
    </r>
    <r>
      <rPr>
        <b/>
        <sz val="10"/>
        <rFont val="Arial"/>
        <family val="2"/>
      </rPr>
      <t>LIBRO DE ACTAS</t>
    </r>
  </si>
  <si>
    <t>2.3.1-6590.555</t>
  </si>
  <si>
    <r>
      <rPr>
        <b/>
        <sz val="11"/>
        <rFont val="Calibri"/>
        <family val="2"/>
        <scheme val="minor"/>
      </rPr>
      <t>SOBRES DE PAPEL</t>
    </r>
    <r>
      <rPr>
        <sz val="11"/>
        <rFont val="Calibri"/>
        <family val="2"/>
        <scheme val="minor"/>
      </rPr>
      <t>; TIPO: MANILA, TAMAÑO: OFICIO, GRAMAJE: 80 GR, PRESENTACION: UNIDAD, CERTIFICADO FORESTAL (GFS): SIN, PORC. FIBRAS RECICLADAS: 0 %, CERT. FIBRA ALTERNATIVA (FCA): SIN</t>
    </r>
  </si>
  <si>
    <t>2.3.1-6590.556</t>
  </si>
  <si>
    <r>
      <rPr>
        <b/>
        <sz val="11"/>
        <rFont val="Calibri"/>
        <family val="2"/>
        <scheme val="minor"/>
      </rPr>
      <t>SOBRES DE PAPEL;</t>
    </r>
    <r>
      <rPr>
        <sz val="11"/>
        <rFont val="Calibri"/>
        <family val="2"/>
        <scheme val="minor"/>
      </rPr>
      <t xml:space="preserve"> TIPO: MANILA, TAMAÑO: A4, GRAMAJE: 80 GR, PRESENTACION: UNIDAD, CERTIFICADO FORESTAL (GFS): SIN, PORC. FIBRAS RECICLADAS: 0 %, CERT. FIBRA ALTERNATIVA (FCA): SIN</t>
    </r>
  </si>
  <si>
    <t>2.9.2-674.9</t>
  </si>
  <si>
    <r>
      <rPr>
        <b/>
        <sz val="11"/>
        <rFont val="Calibri"/>
        <family val="2"/>
        <scheme val="minor"/>
      </rPr>
      <t>REGLAS GRADUADAS</t>
    </r>
    <r>
      <rPr>
        <sz val="11"/>
        <rFont val="Calibri"/>
        <family val="2"/>
        <scheme val="minor"/>
      </rPr>
      <t>; TIPO: PLANA, MATERIAL: PLASTICO, LONG.DE CUERPO: 30 Cm</t>
    </r>
  </si>
  <si>
    <t>2.9.2-853.24</t>
  </si>
  <si>
    <r>
      <rPr>
        <b/>
        <sz val="11"/>
        <color theme="1"/>
        <rFont val="Calibri"/>
        <family val="2"/>
        <scheme val="minor"/>
      </rPr>
      <t>BROCHES P/EXPEDIENTE;</t>
    </r>
    <r>
      <rPr>
        <sz val="11"/>
        <color theme="1"/>
        <rFont val="Calibri"/>
        <family val="2"/>
        <scheme val="minor"/>
      </rPr>
      <t xml:space="preserve"> TIPO: MARIPOSA, LONG.DE CUERPO: 30 mm</t>
    </r>
  </si>
  <si>
    <t>2.9.2-791.31</t>
  </si>
  <si>
    <r>
      <rPr>
        <b/>
        <sz val="11"/>
        <color theme="1"/>
        <rFont val="Calibri"/>
        <family val="2"/>
        <scheme val="minor"/>
      </rPr>
      <t>TALONARIOS NOTAS AUTOADHESIVAS;</t>
    </r>
    <r>
      <rPr>
        <sz val="11"/>
        <color theme="1"/>
        <rFont val="Calibri"/>
        <family val="2"/>
        <scheme val="minor"/>
      </rPr>
      <t xml:space="preserve"> COLOR: SIN VALOR, MEDIDA: 75 X 75 mm</t>
    </r>
  </si>
  <si>
    <t>2.9.2-790.4</t>
  </si>
  <si>
    <r>
      <rPr>
        <b/>
        <sz val="11"/>
        <color theme="1"/>
        <rFont val="Calibri"/>
        <family val="2"/>
        <scheme val="minor"/>
      </rPr>
      <t>CUTER;</t>
    </r>
    <r>
      <rPr>
        <sz val="11"/>
        <color theme="1"/>
        <rFont val="Calibri"/>
        <family val="2"/>
        <scheme val="minor"/>
      </rPr>
      <t xml:space="preserve"> MATERIAL MANGO: PLASTICO, ANCHO HOJA: 12 mm, TIPO DE HOJA: FIJA, TIPO HOJA: FIJA, ANCHO DE HOJA: 12 mm</t>
    </r>
  </si>
  <si>
    <t>2.9.2-1450.30</t>
  </si>
  <si>
    <r>
      <rPr>
        <b/>
        <sz val="11"/>
        <rFont val="Calibri"/>
        <family val="2"/>
        <scheme val="minor"/>
      </rPr>
      <t>TINTAS P/SELLOS</t>
    </r>
    <r>
      <rPr>
        <sz val="11"/>
        <rFont val="Calibri"/>
        <family val="2"/>
        <scheme val="minor"/>
      </rPr>
      <t xml:space="preserve">; TIPO DE SELLO: DE GOMA, ENVASE: 60 CM3, COLOR: </t>
    </r>
    <r>
      <rPr>
        <b/>
        <sz val="11"/>
        <rFont val="Calibri"/>
        <family val="2"/>
        <scheme val="minor"/>
      </rPr>
      <t>AZUL</t>
    </r>
    <r>
      <rPr>
        <sz val="11"/>
        <rFont val="Calibri"/>
        <family val="2"/>
        <scheme val="minor"/>
      </rPr>
      <t>, PRESENTACION: ENVASE X 60 CM3</t>
    </r>
  </si>
  <si>
    <t>2.9.2-1450.4</t>
  </si>
  <si>
    <t>TINTAS P/SELLOS; TIPO DE SELLO: DE GOMA, COLOR: NEGRO, PRESENTACION: ENVASE X 50 CM3, ENVASE: 50 CM3</t>
  </si>
  <si>
    <t>2.9.2-9597.5</t>
  </si>
  <si>
    <r>
      <rPr>
        <b/>
        <sz val="11"/>
        <color theme="1"/>
        <rFont val="Calibri"/>
        <family val="2"/>
        <scheme val="minor"/>
      </rPr>
      <t xml:space="preserve">MEMORIAS USB; </t>
    </r>
    <r>
      <rPr>
        <sz val="11"/>
        <color theme="1"/>
        <rFont val="Calibri"/>
        <family val="2"/>
        <scheme val="minor"/>
      </rPr>
      <t>CAPACIDAD: 32 Gb, TIPO: PEN DRIVE</t>
    </r>
  </si>
  <si>
    <t>2.9.2-1354.21</t>
  </si>
  <si>
    <r>
      <rPr>
        <b/>
        <sz val="11"/>
        <color theme="1"/>
        <rFont val="Calibri"/>
        <family val="2"/>
        <scheme val="minor"/>
      </rPr>
      <t>RESALTADORES</t>
    </r>
    <r>
      <rPr>
        <sz val="11"/>
        <color theme="1"/>
        <rFont val="Calibri"/>
        <family val="2"/>
        <scheme val="minor"/>
      </rPr>
      <t>; PUNTA: BISELADA, ACCESORIO: SIN, COLOR: SIN VALOR, TIPO PUNTA: BISELADA</t>
    </r>
  </si>
  <si>
    <t>2.9.2-1616.74</t>
  </si>
  <si>
    <r>
      <rPr>
        <b/>
        <sz val="11"/>
        <color theme="1"/>
        <rFont val="Calibri"/>
        <family val="2"/>
        <scheme val="minor"/>
      </rPr>
      <t>MARCADORES; T</t>
    </r>
    <r>
      <rPr>
        <sz val="11"/>
        <color theme="1"/>
        <rFont val="Calibri"/>
        <family val="2"/>
        <scheme val="minor"/>
      </rPr>
      <t>IPO: AL SOLVENTE, TRAZO: GRUESO, PUNTA: REDONDA, COLOR: NEGRO, RECARGABLE: NO</t>
    </r>
  </si>
  <si>
    <t>2.9.2-1616.69</t>
  </si>
  <si>
    <t>MARCADORES; TIPO: AL SOLVENTE, TRAZO: GRUESO, PUNTA: REDONDA, COLOR: AZUL, RECARGABLE: SI</t>
  </si>
  <si>
    <t>ABROCHADORAS DE PAPEL; TIPO: PINZA, P/BROCHES: 10/50, MATERIAL: METALICA, MEDIDA: 10/50</t>
  </si>
  <si>
    <t>PAPELES EN HOJA; TIPO DE PAPEL: BLANCO, DIMENSION: OFICIO, GRAMAJE: 80 GR, PRESENTACION: ENVASE X 500 HOJAS, CERTIFICADO FORESTAL (GFS): SIN, PORC. FIBRAS RECICLADAS: 0 %, CERT. FIBRA ALTERNATIVA (FCA): SIN</t>
  </si>
  <si>
    <t>PAPELES EN HOJA; TIPO DE PAPEL: EXTRA BLANCO, DIMENSION: A4, GRAMAJE: 80 GR, PRESENTACION: RESMA X 500 HOJAS, CERTIFICADO FORESTAL (GFS): SIN, PORC. FIBRAS RECICLADAS: 0 %, CERT. FIBRA ALTERNATIVA (FCA): CON</t>
  </si>
  <si>
    <t>TINTAS P/SELLOS; TIPO DE SELLO: DE GOMA, ENVASE: 60 CM3, COLOR: AZUL, PRESENTACION: ENVASE X 60 CM3</t>
  </si>
  <si>
    <t>RESALTADORES; PUNTA: BISELADA, ACCESORIO: SIN, COLOR: SIN VALOR, TIPO PUNTA: BISELADA</t>
  </si>
  <si>
    <t>LIBRERIA,PAP. Y UTILES OFICINA</t>
  </si>
  <si>
    <t>2.9.2-853.22</t>
  </si>
  <si>
    <t>BROCHES P/EXPEDIENTE; TIPO: NEPACO, LONG.DE CUERPO: 8 Cm</t>
  </si>
  <si>
    <t>2.9.2-262.4</t>
  </si>
  <si>
    <t>ADHESIVOS P/PAPEL; PRESENTACION: 250 GR, TIPO: COLA VINILICA</t>
  </si>
  <si>
    <t>2.9.2-274.11</t>
  </si>
  <si>
    <t>BIBLIORATOS; LOMO: CARTON, COLOR: GRIS, ANCHO: 85 mm, ANILLO: 2 Y PALANCA, TAMAÑO: OFICIO, TAPAS: CARTON, MATERIAL: CARTON</t>
  </si>
  <si>
    <t>2.9.2-4984.6</t>
  </si>
  <si>
    <t>LAPICERAS ESTILOGRAFICAS; TIPO: TRAZO GRUESO, MATERIAL: PLASTICO Y METAL , RECARGABLE: NO</t>
  </si>
  <si>
    <t>2.9.2-2766.3</t>
  </si>
  <si>
    <t>CARPETAS P/ENCUADERNACION; TAMAÑO: A4, ESPESOR: 9 mm, MATERIAL LOMO: ACERO, PEGAMENTO: CON, TAPA: TRANSPARENTE</t>
  </si>
  <si>
    <t>2.9.2-2766.11</t>
  </si>
  <si>
    <t>CARPETAS P/ENCUADERNACION; TAMAÑO: OFICIO, ESPESOR: 9 mm, MATERIAL LOMO: PLASTICO TRANPARENTE, PEGAMENTO: SIN, TAPA: TRANSPARENTE</t>
  </si>
  <si>
    <t>2.9.2-1358.359</t>
  </si>
  <si>
    <t>CARPETAS; MATERIAL: FIBRA, TAMAÑO: OFICIO</t>
  </si>
  <si>
    <t>2.9.2-1153.166</t>
  </si>
  <si>
    <t>CINTAS ADHESIVAS; TIPO: P/EMBALAR, ANCHO: 48 mm, LARGO: 40 M, MATERIAL: TRANSPARENTE, ACCESORIO: SIN</t>
  </si>
  <si>
    <t>2.9.2-660.13</t>
  </si>
  <si>
    <t>CLIPS P/PAPEL; NUMERO: 5, CANT. X CAJA: 100, MATERIAL: METAL, PRESENTACION: CAJA X 100</t>
  </si>
  <si>
    <t>2.9.2-323.4</t>
  </si>
  <si>
    <t>CORRECTORES DE ESCRITURA; CAPACIDAD: 7 mL, ENVASE: LAPIZ (PUNTA METAL), PRESENTACION: LAPIZ (PUNTA METAL) X 7 mL</t>
  </si>
  <si>
    <t>2.9.2-1611.10</t>
  </si>
  <si>
    <t>FOLIOS TRANSPARENTES; TAMAÑO: A-4, PERFORACIONES: 5, MATERIAL: POLIPROPILENO</t>
  </si>
  <si>
    <t>2.9.2-1611.11</t>
  </si>
  <si>
    <t>FOLIOS TRANSPARENTES; TAMAÑO: OFICIO, PERFORACIONES: 5, MATERIAL: POLIPROPILENO</t>
  </si>
  <si>
    <t>2.9.2-848.5</t>
  </si>
  <si>
    <t>LAPIZ; TIPO: COMUN NRO 2, COLOR: NEGRO</t>
  </si>
  <si>
    <t>2.9.2-1616.80</t>
  </si>
  <si>
    <t>MARCADORES; TIPO AL AGUA - TRAZO GRUESO - PUNTA REDONDA - RECARGABLE NO</t>
  </si>
  <si>
    <t>2.9.2-1616.137</t>
  </si>
  <si>
    <t>MARCADORES; TIPO: INDELEBLE, TRAZO: GRUESO, PUNTA: REDONDA, COLOR: NEGRO, RECARGABLE: NO</t>
  </si>
  <si>
    <t>2.3.1-6563.814</t>
  </si>
  <si>
    <t>PAPELES EN HOJA; TIPO DE PAPEL: CARTULINA, DIMENSION: 63 X 44,5 Cm, GRAMAJE: 125, PRESENTACION: UNIDAD, CERTIFICADO FORESTAL (GFS): CON</t>
  </si>
  <si>
    <t>2.3.1-6587.324</t>
  </si>
  <si>
    <t>PAPELES ENCUADERNADOS; CANT. DE HOJAS: 400, TAMAÑO: 21 X 33 Cm, TIPO: LIBRO DE ACTAS, CERTIFICADO FORESTAL (GFS): SIN, PORC. FIBRAS RECICLADAS: 0 %, CERT. FIBRA ALTERNATIVA (FCA): SIN</t>
  </si>
  <si>
    <t>2.3.1-6587.371</t>
  </si>
  <si>
    <t>PAPELES ENCUADERNADOS; CANT. DE HOJAS: SEGÚN PLIEGO, TAMAÑO: SEGÚN PLIEGO, TIPO: LIBRO DE RECIBOS, CERTIFICADO FORESTAL (GFS): SIN, PORC. FIBRAS RECICLADAS: 0 %</t>
  </si>
  <si>
    <t>2.9.2-858.16</t>
  </si>
  <si>
    <t>PERFORADORAS; TAMAÑO: MEDIANA, N° PERFORACIONES: 2, DIST. ENTRE AGUJ.: SIN VALOR, GUIA POSICION PAPEL: SIN VALOR, MATERIAL ESTRUCTURA: MADERA, MATERIAL: MADERA</t>
  </si>
  <si>
    <t>2.9.2-674.42</t>
  </si>
  <si>
    <t>REGLAS GRADUADAS; TIPO: L, MATERIAL: PLASTICO, LONG.DE CUERPO: 40 Cm</t>
  </si>
  <si>
    <t>2.3.1-6590.432</t>
  </si>
  <si>
    <t>SOBRES DE PAPEL; TIPO: P/DISCO COMPACTO, TAMAÑO: 12,7 X 12,7 Cm, GRAMAJE: 80 GR/M2, PRESENTACION: UNIDAD, CERTIFICADO FORESTAL (GFS): SIN</t>
  </si>
  <si>
    <t>2.3.1-6590.541</t>
  </si>
  <si>
    <t>SOBRES DE PAPEL; TIPO: BOLSA DE PAPEL MANILA, TAMAÑO: 24 X 30 Cm, GRAMAJE: 80 GR/M2, PRESENTACION: ENVASE X 100 UN, CERTIFICADO FORESTAL (GFS): SIN, PORC. FIBRAS RECICLADAS: 0 %, CERT. FIBRA ALTERNATIVA (FCA): SIN</t>
  </si>
  <si>
    <t>2.3.1-6590.465</t>
  </si>
  <si>
    <t>SOBRES DE PAPEL; TIPO: BOLSA MANILA, TAMAÑO: 30 X 40 Cm, GRAMAJE: 90 GR/M2, PRESENTACION: UNIDAD, CERTIFICADO FORESTAL (GFS): SIN, PORC. FIBRAS RECICLADAS: 0 %</t>
  </si>
  <si>
    <t>2.3.1-6590.502</t>
  </si>
  <si>
    <t>SOBRES DE PAPEL; TIPO: BOLSA, TAMAÑO: 19 X 24 Cm, GRAMAJE: 80 GR/CM2, PRESENTACION: UNIDAD, CERTIFICADO FORESTAL (GFS): CON, PORC. FIBRAS RECICLADAS: 0 %</t>
  </si>
  <si>
    <t>2.9.2-758.14</t>
  </si>
  <si>
    <t>TIJERAS P/CORTAR PAPELES; LONG.DE CUERPO: 20 Cm, MATERIAL: ACERO INOXIDABLE, CUCHILLA: REDONDEADAS, MANGO: SIN VALOR</t>
  </si>
  <si>
    <t>2.9.2-8819.1</t>
  </si>
  <si>
    <t>INFORMATICA</t>
  </si>
  <si>
    <t>DISCO VERSATIL DIGITAL (DVD) ; CAPACIDAD: 4,7 Gb, TIPO: GRABABLE</t>
  </si>
  <si>
    <t>2.9.2-1620.1</t>
  </si>
  <si>
    <t>DISCO COMPACTO; TIPO: VIRGEN, CAPACIDAD: 700 MB</t>
  </si>
  <si>
    <t>unidad</t>
  </si>
  <si>
    <t>caja</t>
  </si>
  <si>
    <t>ENVASE</t>
  </si>
  <si>
    <t>RESMA</t>
  </si>
  <si>
    <t>UINIDAD</t>
  </si>
  <si>
    <t>UINDAD</t>
  </si>
  <si>
    <t>NO-2022-01995351-CAT-HSJB#MS</t>
  </si>
  <si>
    <t>Hospital Interzonal San Juan Bautista</t>
  </si>
  <si>
    <t>BROCHES P/EXPEDIENTE; TIPO: MARIPOSA, LONG.DE CUERPO: 30 mm</t>
  </si>
  <si>
    <t>TALONARIOS NOTAS AUTOADHESIVAS; COLOR: SIN VALOR, MEDIDA: 75 X 75 mm</t>
  </si>
  <si>
    <t>CUTER; MATERIAL MANGO: PLASTICO, ANCHO HOJA: 12 mm, TIPO DE HOJA: FIJA, TIPO HOJA: FIJA, ANCHO DE HOJA: 12 mm</t>
  </si>
  <si>
    <t>MEMORIAS USB; CAPACIDAD: 32 Gb, TIPO: PEN DRIVE</t>
  </si>
  <si>
    <t>MARCADORES; TIPO: AL SOLVENTE, TRAZO: GRUESO, PUNTA: REDONDA, COLOR: NEGRO, RECARGABLE: NO</t>
  </si>
  <si>
    <t>PLANILLA PARA EXPORTAR AL SISTEMA COMPR.AR</t>
  </si>
  <si>
    <t>ESPECIFICIDADES</t>
  </si>
  <si>
    <t>ALMOHADILLAS P/SELLOS; MEDIDA: 8 X 15 Cm, MATERIAL: METAL</t>
  </si>
  <si>
    <t>CAJAS DE ARCHIVO; DIMENSION: 25 X 36 X 12 Cm, COLOR: SIN VALOR, MATERIAL: PLASTICO</t>
  </si>
  <si>
    <t>CAJAS DE ARCHIVO; MATERIAL: CARTON, DIMENSION: 25 X 36 X 12 Cm, COLOR: MARRON</t>
  </si>
  <si>
    <t>CINTAS P/EMBALAJE; MATERIAL: POLIPROPILENO, USO: GENERAL, ANCHO: 48 Cm, LARGO: 50 M, COLOR: TRANSPARENTE</t>
  </si>
  <si>
    <t>CINTAS ADHESIVAS; TIPO: TRANSPARENTE, ANCHO: 12 mm, LARGO ROLLO: 25 M, MATERIAL: POLIPROPILENO, ACCESORIO: SIN, LARGO: 25 M</t>
  </si>
  <si>
    <t>CORRECTORES DE ESCRITURA; ENVASE: LAPIZ (PUNTA METAL), PRESENTACION: LAPIZ (PUNTA METAL) X 10 mL, CAPACIDAD: 10 mL</t>
  </si>
  <si>
    <t>CLIPS P/PAPEL; NUMERO: 6, MATERIAL: METAL, CANT. X CAJA: 100, PRESENTACION: CAJA X 100</t>
  </si>
  <si>
    <t>CLIPS P/PAPEL; NUMERO: 3, MATERIAL: METAL, CANT. X CAJA: 100, PRESENTACION: CAJA X 100</t>
  </si>
  <si>
    <t>PAPELES ENCUADERNADOS; CANT. DE HOJAS: 84 HOJAS, TAMAÑO: 21 X 29,7 Cm, TIPO: RAYADO ESPIRALADO, CERTIFICADO FORESTAL (GFS): CON, PORC. FIBRAS RECICLADAS: 0 %, CERT. FIBRA ALTERNATIVA (FCA): SIN</t>
  </si>
  <si>
    <t>CARPETAS; MATERIAL PLASTICO - TAMAÑO OFICIO.</t>
  </si>
  <si>
    <t>CARPETAS; MATERIAL PLASTICO - TAMAÑO A4.</t>
  </si>
  <si>
    <t>MAQUINAS SACABROCHES; EXTRACTOR: ACERO INOXIDABLE, MATERIAL: PLASTICO</t>
  </si>
  <si>
    <t>TIJERAS P/CORTAR PAPELES; CUCHILLA: PUNTIAGUDAS, MATERIAL: ACERO BRUÑIDO, MANGO: PLASTICO, LONG.DE CUERPO: 17 Cm</t>
  </si>
  <si>
    <t>FOLIOS TRANSPARENTES; TAMAÑO: OFICIO, PERFORACIONES: 11, MATERIAL: POLIPROPILENO</t>
  </si>
  <si>
    <t>LAPIZ; TIPO: 2HB, COLOR: NEGRO</t>
  </si>
  <si>
    <t>ALMOHADILLAS MOJADEDOS; MATERIAL TAPA: PLASTICO, MEDIDA: D.7.5 Cm, FORMA: REDONDA</t>
  </si>
  <si>
    <t>BOLIGRAFOS; TRAZO 1,0mm</t>
  </si>
  <si>
    <t>GOMAS DE BORRAR; USO: LAPIZ Y TINTA, CANT. X CAJA: 36, DIMENSION: 4 X 1 X 1 Cm, MATERIAL: PLASTICO, PRESENTACION: CAJA X 36</t>
  </si>
  <si>
    <t>MARCADORES; TIPO PARA PIZARRA - TRAZO GRUESO - PUNTA REDONDA - RECARGABLE NO</t>
  </si>
  <si>
    <t>PAPELES ENCUADERNADOS; CANT. DE HOJAS: 100, TAMAÑO: 23 X 35 Cm, TIPO: LIBRO DE ACTAS</t>
  </si>
  <si>
    <t>SOBRES DE PAPEL; TIPO: MANILA, TAMAÑO: OFICIO, GRAMAJE: 80 GR, PRESENTACION: UNIDAD, CERTIFICADO FORESTAL (GFS): SIN, PORC. FIBRAS RECICLADAS: 0 %, CERT. FIBRA ALTERNATIVA (FCA): SIN</t>
  </si>
  <si>
    <t>SOBRES DE PAPEL; TIPO: MANILA, TAMAÑO: A4, GRAMAJE: 80 GR, PRESENTACION: UNIDAD, CERTIFICADO FORESTAL (GFS): SIN, PORC. FIBRAS RECICLADAS: 0 %, CERT. FIBRA ALTERNATIVA (FCA): SIN</t>
  </si>
  <si>
    <t>REGLAS GRADUADAS; TIPO: PLANA, MATERIAL: PLASTICO, LONG.DE CUERPO: 30 Cm</t>
  </si>
  <si>
    <t>Color Azul.</t>
  </si>
  <si>
    <t>Tapa dura, rayado, espiralado.</t>
  </si>
  <si>
    <t>Tapa blanda, rayado.</t>
  </si>
  <si>
    <t>Tapa transparente, tamaño oficio..</t>
  </si>
  <si>
    <t>Tapa transparente, tamaño A4.</t>
  </si>
  <si>
    <r>
      <rPr>
        <sz val="10"/>
        <rFont val="Times New Roman"/>
        <family val="1"/>
      </rPr>
      <t>BOLIGRAFOS; TRAZO: 0,8 mm (FINO) Color: Negro</t>
    </r>
    <r>
      <rPr>
        <b/>
        <sz val="10"/>
        <rFont val="Times New Roman"/>
        <family val="1"/>
      </rPr>
      <t xml:space="preserve"> </t>
    </r>
  </si>
  <si>
    <r>
      <rPr>
        <sz val="10"/>
        <rFont val="Times New Roman"/>
        <family val="1"/>
      </rPr>
      <t>BOLIGRAFOS; TRAZO: 0,8 mm (FINO) Color: Azul</t>
    </r>
    <r>
      <rPr>
        <b/>
        <sz val="10"/>
        <rFont val="Times New Roman"/>
        <family val="1"/>
      </rPr>
      <t xml:space="preserve"> </t>
    </r>
  </si>
  <si>
    <r>
      <t>BOLIGRAFOS; TRAZO 1,0mm  (GRUESO)  Color: Negro</t>
    </r>
    <r>
      <rPr>
        <b/>
        <sz val="10"/>
        <rFont val="Times New Roman"/>
        <family val="1"/>
      </rPr>
      <t xml:space="preserve"> </t>
    </r>
  </si>
  <si>
    <r>
      <t>BOLIGRAFOS; TRAZO 1,0mm  (GRUESO)  Color: Azul.</t>
    </r>
    <r>
      <rPr>
        <b/>
        <sz val="10"/>
        <rFont val="Times New Roman"/>
        <family val="1"/>
      </rPr>
      <t xml:space="preserve"> </t>
    </r>
  </si>
  <si>
    <t>GOMAS DE BORRAR; USO: LAPIZ Y TINTA, CANT. X CAJA: 36</t>
  </si>
  <si>
    <r>
      <t xml:space="preserve">MARCADORES; TIPO PARA PIZARRA - TRAZO GRUESO - PUNTA REDONDA - RECARGABLE NO  </t>
    </r>
    <r>
      <rPr>
        <b/>
        <sz val="10"/>
        <rFont val="Times New Roman"/>
        <family val="1"/>
      </rPr>
      <t>COLOR: NEGRO</t>
    </r>
  </si>
  <si>
    <t xml:space="preserve">Color Marron. </t>
  </si>
  <si>
    <t>Color Marron.</t>
  </si>
  <si>
    <t>Transparente.</t>
  </si>
  <si>
    <t>Cantidad: x 100 unidades.</t>
  </si>
  <si>
    <r>
      <t xml:space="preserve">TALONARIOS NOTAS AUTOADHESIVAS X 100 HOJAS  MEDIDA: 75 X 75 mm  </t>
    </r>
    <r>
      <rPr>
        <b/>
        <sz val="10"/>
        <rFont val="Times New Roman"/>
        <family val="1"/>
      </rPr>
      <t xml:space="preserve">COLOR: AMARILLO </t>
    </r>
  </si>
  <si>
    <t xml:space="preserve">RESALTADORES;  TIPO PUNTA:  BISELADA COLOR: Amarillo Fluor (40 Und.) Verde Fluor (40 Und.) </t>
  </si>
  <si>
    <t>Color: Negro</t>
  </si>
  <si>
    <t>Color: Azul</t>
  </si>
  <si>
    <t xml:space="preserve">BROCHES DE PLÁSTICO DE 8 CM - PRESENTACION: CAJA X 50 UNIDADES </t>
  </si>
  <si>
    <t>LAPICERAS ESTILOGRAFICAS TRAZO GRUESO - COLOR AZUL - TIPO BIC</t>
  </si>
  <si>
    <t>LAPICERAS ESTILOGRAFICAS TRAZO GRUESO - COLOR NEGRO - TIPO BIC</t>
  </si>
  <si>
    <t>CARPETA TRANSPARENTE BASE OPACA</t>
  </si>
  <si>
    <t>MARCADORES AL AGUA - COLOR ROJO</t>
  </si>
  <si>
    <t>MARCADORES AL AGUA - COLOR NEGRO</t>
  </si>
  <si>
    <t>CARTULINA - COLOR AMARILLO</t>
  </si>
  <si>
    <t>CUADERNO X 100 HOJAS RAYADAS TAPA DURA</t>
  </si>
  <si>
    <t>RESMA DE PAPEL OFICIO HOJAS BLANCAS - 80 GRS - RESMA X 500 HOJAS</t>
  </si>
  <si>
    <t>RESMA DE PAPEL A4 HOJAS BLANCAS - 80 GRS - RESMA X 500 HOJAS</t>
  </si>
  <si>
    <t>RESALTADORES PUNTA BISELADA - COLOR AMARILLO</t>
  </si>
  <si>
    <t>RESALTADORES PUNTA BISELADA - COLO ANARANJADO</t>
  </si>
  <si>
    <t xml:space="preserve"> MANTENIMIENTO: 45 dias habiles </t>
  </si>
  <si>
    <t xml:space="preserve">Lugar y Plazo de entrega: 15 DIAS CORRIDOS - SECCIÓN DEPÓSITO CENTRAL - AVDA. ILLIA Y MARIANO MORENO </t>
  </si>
  <si>
    <t>Plazos y lugares de entrega:</t>
  </si>
  <si>
    <r>
      <t xml:space="preserve">a) LUGAR DE ENTREGA:  Dirección Prov. de Gestion Administrativa- sito en Ayacucho N° 502 (Edificio Ex I.P.P.S) 2do Piso - De 08 a 12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Libre de flete, acarreo y embalaje, como así también, de todo riesgo de pérdida o destrucción total o parcial, por causas ajenas a la Institución.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</si>
  <si>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</si>
  <si>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</si>
  <si>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</si>
  <si>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</si>
  <si>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</si>
  <si>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</si>
  <si>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SOLICITUD DE GASTO N°209 - SAF 23</t>
  </si>
  <si>
    <t>esp</t>
  </si>
  <si>
    <t xml:space="preserve">BOLIGRAFOS; TRAZO: 0,8 mm (FINO) Color: Negro </t>
  </si>
  <si>
    <t xml:space="preserve">BOLIGRAFOS; TRAZO: 0,8 mm (FINO) Color: Azul </t>
  </si>
  <si>
    <t xml:space="preserve">BOLIGRAFOS; TRAZO 1,0mm  (GRUESO)  Color: Negro </t>
  </si>
  <si>
    <t xml:space="preserve">BOLIGRAFOS; TRAZO 1,0mm  (GRUESO)  Color: Azul. </t>
  </si>
  <si>
    <t>MARCADORES; TIPO PARA PIZARRA - TRAZO GRUESO - PUNTA REDONDA - RECARGABLE NO  COLOR: NEGRO</t>
  </si>
  <si>
    <t xml:space="preserve">TALONARIOS NOTAS AUTOADHESIVAS X 100 HOJAS  MEDIDA: 75 X 75 mm  COLOR: AMARILLO </t>
  </si>
  <si>
    <t>N° DE TRAMITE PARTIDA PRESUPUESTARIA</t>
  </si>
  <si>
    <t>EX-2022-1960658- -CAT-DPAD#MGJ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</si>
</sst>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[$$-2C0A]\ * #,##0.00_-;\-[$$-2C0A]\ * #,##0.00_-;_-[$$-2C0A]\ * &quot;-&quot;??_-;_-@_-"/>
    <numFmt numFmtId="166" formatCode="[$$-2C0A]\ #,##0.00;[$$-2C0A]&quot; -&quot;#,##0.00"/>
    <numFmt numFmtId="167" formatCode="[$$-2C0A]\ #,##0.00"/>
    <numFmt numFmtId="168" formatCode="&quot;$&quot;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11"/>
      <color rgb="FF333333"/>
      <name val="Arial"/>
      <family val="2"/>
    </font>
    <font>
      <sz val="9"/>
      <color rgb="FF000000"/>
      <name val="Times New Roman"/>
      <family val="1"/>
    </font>
    <font>
      <b/>
      <sz val="15"/>
      <color theme="3"/>
      <name val="Calibri"/>
      <family val="2"/>
      <scheme val="minor"/>
    </font>
    <font>
      <b/>
      <sz val="10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sz val="15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5" fillId="3" borderId="0" applyNumberFormat="0" applyBorder="0" applyAlignment="0" applyProtection="0"/>
    <xf numFmtId="0" fontId="20" fillId="0" borderId="8" applyNumberFormat="0" applyFill="0" applyAlignment="0" applyProtection="0"/>
    <xf numFmtId="0" fontId="1" fillId="8" borderId="9" applyNumberFormat="0" applyFont="0" applyAlignment="0" applyProtection="0"/>
  </cellStyleXfs>
  <cellXfs count="160">
    <xf numFmtId="0" fontId="0" fillId="0" borderId="0" xfId="0"/>
    <xf numFmtId="0" fontId="10" fillId="6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wrapText="1"/>
    </xf>
    <xf numFmtId="0" fontId="10" fillId="6" borderId="5" xfId="0" applyFont="1" applyFill="1" applyBorder="1" applyAlignment="1">
      <alignment horizontal="center" vertical="center" wrapText="1"/>
    </xf>
    <xf numFmtId="164" fontId="14" fillId="6" borderId="5" xfId="1" applyNumberFormat="1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164" fontId="14" fillId="6" borderId="5" xfId="0" applyNumberFormat="1" applyFont="1" applyFill="1" applyBorder="1"/>
    <xf numFmtId="0" fontId="16" fillId="6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/>
    </xf>
    <xf numFmtId="0" fontId="11" fillId="6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165" fontId="10" fillId="6" borderId="5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5" xfId="0" applyBorder="1"/>
    <xf numFmtId="0" fontId="7" fillId="6" borderId="5" xfId="4" applyFont="1" applyFill="1" applyBorder="1" applyAlignment="1">
      <alignment horizontal="center" vertical="center" wrapText="1"/>
    </xf>
    <xf numFmtId="44" fontId="9" fillId="6" borderId="5" xfId="1" applyFont="1" applyFill="1" applyBorder="1" applyAlignment="1">
      <alignment horizontal="center" vertical="center" wrapText="1"/>
    </xf>
    <xf numFmtId="44" fontId="14" fillId="6" borderId="5" xfId="0" applyNumberFormat="1" applyFont="1" applyFill="1" applyBorder="1"/>
    <xf numFmtId="0" fontId="13" fillId="5" borderId="5" xfId="0" applyFont="1" applyFill="1" applyBorder="1"/>
    <xf numFmtId="0" fontId="0" fillId="6" borderId="5" xfId="0" applyFill="1" applyBorder="1"/>
    <xf numFmtId="0" fontId="18" fillId="5" borderId="5" xfId="0" applyFont="1" applyFill="1" applyBorder="1"/>
    <xf numFmtId="0" fontId="0" fillId="5" borderId="5" xfId="0" applyFill="1" applyBorder="1"/>
    <xf numFmtId="0" fontId="0" fillId="5" borderId="5" xfId="0" applyFill="1" applyBorder="1" applyAlignment="1">
      <alignment horizontal="center" vertical="center" wrapText="1"/>
    </xf>
    <xf numFmtId="165" fontId="0" fillId="6" borderId="5" xfId="0" applyNumberFormat="1" applyFill="1" applyBorder="1"/>
    <xf numFmtId="0" fontId="0" fillId="10" borderId="5" xfId="0" applyFill="1" applyBorder="1"/>
    <xf numFmtId="0" fontId="7" fillId="10" borderId="5" xfId="4" applyFont="1" applyFill="1" applyBorder="1" applyAlignment="1">
      <alignment horizontal="center" vertical="center" wrapText="1"/>
    </xf>
    <xf numFmtId="44" fontId="9" fillId="10" borderId="5" xfId="1" applyFont="1" applyFill="1" applyBorder="1" applyAlignment="1">
      <alignment horizontal="center" vertical="center" wrapText="1"/>
    </xf>
    <xf numFmtId="0" fontId="0" fillId="10" borderId="0" xfId="0" applyFill="1"/>
    <xf numFmtId="0" fontId="6" fillId="12" borderId="5" xfId="3" applyFont="1" applyFill="1" applyBorder="1" applyAlignment="1">
      <alignment horizontal="center" vertical="center"/>
    </xf>
    <xf numFmtId="0" fontId="6" fillId="12" borderId="5" xfId="3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/>
    </xf>
    <xf numFmtId="0" fontId="13" fillId="10" borderId="5" xfId="0" applyFont="1" applyFill="1" applyBorder="1"/>
    <xf numFmtId="0" fontId="18" fillId="10" borderId="5" xfId="0" applyFont="1" applyFill="1" applyBorder="1" applyAlignment="1">
      <alignment horizontal="center" vertical="center" wrapText="1"/>
    </xf>
    <xf numFmtId="0" fontId="19" fillId="10" borderId="5" xfId="0" applyFont="1" applyFill="1" applyBorder="1" applyAlignment="1">
      <alignment horizontal="center" vertical="center" wrapText="1"/>
    </xf>
    <xf numFmtId="0" fontId="18" fillId="10" borderId="5" xfId="0" applyFont="1" applyFill="1" applyBorder="1"/>
    <xf numFmtId="0" fontId="0" fillId="10" borderId="5" xfId="0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166" fontId="17" fillId="11" borderId="5" xfId="1" applyNumberFormat="1" applyFont="1" applyFill="1" applyBorder="1" applyAlignment="1" applyProtection="1">
      <alignment horizontal="center" vertical="center" wrapText="1"/>
    </xf>
    <xf numFmtId="0" fontId="6" fillId="12" borderId="22" xfId="3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left" wrapText="1"/>
    </xf>
    <xf numFmtId="0" fontId="13" fillId="6" borderId="22" xfId="0" applyFont="1" applyFill="1" applyBorder="1" applyAlignment="1">
      <alignment horizontal="left"/>
    </xf>
    <xf numFmtId="0" fontId="0" fillId="6" borderId="22" xfId="0" applyFill="1" applyBorder="1" applyAlignment="1">
      <alignment horizontal="left" vertical="center" wrapText="1"/>
    </xf>
    <xf numFmtId="0" fontId="1" fillId="6" borderId="22" xfId="0" applyFont="1" applyFill="1" applyBorder="1" applyAlignment="1">
      <alignment horizontal="left" wrapText="1"/>
    </xf>
    <xf numFmtId="0" fontId="13" fillId="6" borderId="22" xfId="0" applyFont="1" applyFill="1" applyBorder="1" applyAlignment="1">
      <alignment horizontal="left" wrapText="1"/>
    </xf>
    <xf numFmtId="0" fontId="0" fillId="6" borderId="22" xfId="0" applyFill="1" applyBorder="1" applyAlignment="1">
      <alignment horizontal="left" wrapText="1"/>
    </xf>
    <xf numFmtId="0" fontId="0" fillId="6" borderId="22" xfId="0" applyFill="1" applyBorder="1" applyAlignment="1">
      <alignment horizontal="left"/>
    </xf>
    <xf numFmtId="0" fontId="0" fillId="6" borderId="17" xfId="0" applyFill="1" applyBorder="1" applyAlignment="1">
      <alignment horizontal="left" wrapText="1"/>
    </xf>
    <xf numFmtId="0" fontId="7" fillId="10" borderId="23" xfId="4" applyFont="1" applyFill="1" applyBorder="1" applyAlignment="1">
      <alignment horizontal="center" vertical="center" wrapText="1"/>
    </xf>
    <xf numFmtId="0" fontId="19" fillId="11" borderId="23" xfId="0" applyFont="1" applyFill="1" applyBorder="1" applyAlignment="1">
      <alignment horizontal="center" vertical="center" wrapText="1"/>
    </xf>
    <xf numFmtId="166" fontId="17" fillId="11" borderId="22" xfId="1" applyNumberFormat="1" applyFont="1" applyFill="1" applyBorder="1" applyAlignment="1" applyProtection="1">
      <alignment horizontal="center" vertical="center" wrapText="1"/>
    </xf>
    <xf numFmtId="0" fontId="20" fillId="0" borderId="8" xfId="5"/>
    <xf numFmtId="0" fontId="20" fillId="0" borderId="0" xfId="5" applyBorder="1"/>
    <xf numFmtId="0" fontId="7" fillId="5" borderId="5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4" fillId="5" borderId="5" xfId="1" applyNumberFormat="1" applyFont="1" applyFill="1" applyBorder="1" applyAlignment="1">
      <alignment horizontal="center" wrapText="1"/>
    </xf>
    <xf numFmtId="0" fontId="17" fillId="9" borderId="5" xfId="1" applyNumberFormat="1" applyFont="1" applyFill="1" applyBorder="1" applyAlignment="1" applyProtection="1">
      <alignment horizontal="center" wrapText="1"/>
    </xf>
    <xf numFmtId="0" fontId="14" fillId="5" borderId="5" xfId="0" applyFont="1" applyFill="1" applyBorder="1" applyAlignment="1">
      <alignment horizontal="center" wrapText="1"/>
    </xf>
    <xf numFmtId="2" fontId="10" fillId="5" borderId="5" xfId="0" applyNumberFormat="1" applyFont="1" applyFill="1" applyBorder="1" applyAlignment="1">
      <alignment horizontal="center" vertical="top"/>
    </xf>
    <xf numFmtId="2" fontId="17" fillId="9" borderId="5" xfId="1" applyNumberFormat="1" applyFont="1" applyFill="1" applyBorder="1" applyAlignment="1" applyProtection="1">
      <alignment horizontal="center" vertical="top"/>
    </xf>
    <xf numFmtId="0" fontId="0" fillId="5" borderId="7" xfId="0" applyFill="1" applyBorder="1"/>
    <xf numFmtId="0" fontId="0" fillId="0" borderId="5" xfId="0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7" fillId="0" borderId="5" xfId="0" applyFont="1" applyBorder="1"/>
    <xf numFmtId="0" fontId="2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165" fontId="0" fillId="4" borderId="0" xfId="0" applyNumberFormat="1" applyFill="1"/>
    <xf numFmtId="0" fontId="22" fillId="14" borderId="0" xfId="6" applyFont="1" applyFill="1" applyBorder="1" applyAlignment="1">
      <alignment vertical="center"/>
    </xf>
    <xf numFmtId="0" fontId="0" fillId="14" borderId="0" xfId="6" applyFont="1" applyFill="1" applyBorder="1" applyAlignment="1">
      <alignment vertical="center"/>
    </xf>
    <xf numFmtId="0" fontId="22" fillId="14" borderId="3" xfId="6" applyFont="1" applyFill="1" applyBorder="1" applyAlignment="1">
      <alignment vertical="center"/>
    </xf>
    <xf numFmtId="0" fontId="0" fillId="14" borderId="13" xfId="0" applyFill="1" applyBorder="1" applyAlignment="1">
      <alignment horizontal="center" vertical="center"/>
    </xf>
    <xf numFmtId="0" fontId="0" fillId="14" borderId="13" xfId="6" applyFont="1" applyFill="1" applyBorder="1" applyAlignment="1">
      <alignment vertical="center"/>
    </xf>
    <xf numFmtId="166" fontId="17" fillId="11" borderId="22" xfId="1" applyNumberFormat="1" applyFont="1" applyFill="1" applyBorder="1" applyAlignment="1" applyProtection="1">
      <alignment horizontal="right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4" fontId="9" fillId="10" borderId="22" xfId="1" applyFont="1" applyFill="1" applyBorder="1" applyAlignment="1">
      <alignment horizontal="center" vertical="center" wrapText="1"/>
    </xf>
    <xf numFmtId="0" fontId="20" fillId="10" borderId="0" xfId="5" applyFill="1" applyBorder="1"/>
    <xf numFmtId="0" fontId="0" fillId="10" borderId="0" xfId="0" applyFill="1" applyAlignment="1">
      <alignment horizontal="center" wrapText="1"/>
    </xf>
    <xf numFmtId="167" fontId="0" fillId="4" borderId="0" xfId="0" applyNumberFormat="1" applyFill="1"/>
    <xf numFmtId="0" fontId="26" fillId="0" borderId="0" xfId="0" applyFont="1"/>
    <xf numFmtId="0" fontId="0" fillId="10" borderId="0" xfId="0" applyFill="1" applyAlignment="1">
      <alignment wrapText="1"/>
    </xf>
    <xf numFmtId="0" fontId="19" fillId="11" borderId="5" xfId="0" applyFont="1" applyFill="1" applyBorder="1" applyAlignment="1">
      <alignment horizontal="center" vertical="top" wrapText="1"/>
    </xf>
    <xf numFmtId="0" fontId="7" fillId="10" borderId="5" xfId="0" applyFont="1" applyFill="1" applyBorder="1" applyAlignment="1">
      <alignment horizontal="left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7" fillId="10" borderId="5" xfId="4" applyFont="1" applyFill="1" applyBorder="1" applyAlignment="1">
      <alignment horizontal="center" vertical="center" wrapText="1"/>
    </xf>
    <xf numFmtId="168" fontId="0" fillId="10" borderId="5" xfId="0" applyNumberFormat="1" applyFill="1" applyBorder="1" applyAlignment="1">
      <alignment vertical="center"/>
    </xf>
    <xf numFmtId="168" fontId="17" fillId="11" borderId="5" xfId="1" applyNumberFormat="1" applyFont="1" applyFill="1" applyBorder="1" applyAlignment="1" applyProtection="1">
      <alignment vertical="center"/>
    </xf>
    <xf numFmtId="168" fontId="14" fillId="6" borderId="5" xfId="1" applyNumberFormat="1" applyFont="1" applyFill="1" applyBorder="1" applyAlignment="1">
      <alignment horizontal="center" vertical="center" wrapText="1"/>
    </xf>
    <xf numFmtId="168" fontId="10" fillId="6" borderId="5" xfId="0" applyNumberFormat="1" applyFont="1" applyFill="1" applyBorder="1" applyAlignment="1">
      <alignment horizontal="center" vertical="center" wrapText="1"/>
    </xf>
    <xf numFmtId="168" fontId="14" fillId="6" borderId="5" xfId="0" applyNumberFormat="1" applyFont="1" applyFill="1" applyBorder="1" applyAlignment="1">
      <alignment horizontal="center" vertical="center" wrapText="1"/>
    </xf>
    <xf numFmtId="168" fontId="0" fillId="6" borderId="5" xfId="0" applyNumberFormat="1" applyFill="1" applyBorder="1" applyAlignment="1">
      <alignment horizontal="center" vertical="center" wrapText="1"/>
    </xf>
    <xf numFmtId="0" fontId="0" fillId="5" borderId="0" xfId="0" applyFill="1"/>
    <xf numFmtId="0" fontId="0" fillId="0" borderId="7" xfId="0" applyBorder="1"/>
    <xf numFmtId="0" fontId="13" fillId="6" borderId="5" xfId="0" applyFont="1" applyFill="1" applyBorder="1" applyAlignment="1">
      <alignment horizontal="left"/>
    </xf>
    <xf numFmtId="0" fontId="0" fillId="6" borderId="5" xfId="0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left" wrapText="1"/>
    </xf>
    <xf numFmtId="0" fontId="0" fillId="6" borderId="5" xfId="0" applyFill="1" applyBorder="1" applyAlignment="1">
      <alignment horizontal="left"/>
    </xf>
    <xf numFmtId="0" fontId="18" fillId="10" borderId="5" xfId="0" applyFont="1" applyFill="1" applyBorder="1" applyAlignment="1">
      <alignment horizontal="left" wrapText="1"/>
    </xf>
    <xf numFmtId="0" fontId="18" fillId="10" borderId="5" xfId="0" applyFont="1" applyFill="1" applyBorder="1" applyAlignment="1">
      <alignment wrapText="1"/>
    </xf>
    <xf numFmtId="0" fontId="0" fillId="10" borderId="5" xfId="0" applyFill="1" applyBorder="1" applyAlignment="1">
      <alignment horizontal="left" vertical="center" wrapText="1"/>
    </xf>
    <xf numFmtId="167" fontId="0" fillId="10" borderId="5" xfId="0" applyNumberFormat="1" applyFill="1" applyBorder="1"/>
    <xf numFmtId="0" fontId="27" fillId="16" borderId="10" xfId="0" applyFont="1" applyFill="1" applyBorder="1" applyAlignment="1">
      <alignment horizontal="left" vertical="top"/>
    </xf>
    <xf numFmtId="0" fontId="0" fillId="16" borderId="11" xfId="0" applyFill="1" applyBorder="1" applyAlignment="1">
      <alignment horizontal="left" vertical="top"/>
    </xf>
    <xf numFmtId="0" fontId="0" fillId="16" borderId="12" xfId="0" applyFill="1" applyBorder="1" applyAlignment="1">
      <alignment horizontal="left" vertical="top"/>
    </xf>
    <xf numFmtId="0" fontId="27" fillId="16" borderId="14" xfId="0" applyFont="1" applyFill="1" applyBorder="1" applyAlignment="1">
      <alignment horizontal="left" vertical="top"/>
    </xf>
    <xf numFmtId="0" fontId="0" fillId="16" borderId="15" xfId="0" applyFill="1" applyBorder="1" applyAlignment="1">
      <alignment horizontal="left" vertical="top"/>
    </xf>
    <xf numFmtId="0" fontId="0" fillId="16" borderId="16" xfId="0" applyFill="1" applyBorder="1" applyAlignment="1">
      <alignment horizontal="left" vertical="top"/>
    </xf>
    <xf numFmtId="44" fontId="8" fillId="4" borderId="5" xfId="1" applyFont="1" applyFill="1" applyBorder="1" applyAlignment="1">
      <alignment horizontal="center" vertical="center" wrapText="1"/>
    </xf>
    <xf numFmtId="0" fontId="2" fillId="4" borderId="5" xfId="2" applyFill="1" applyBorder="1" applyAlignment="1">
      <alignment horizontal="center" wrapText="1"/>
    </xf>
    <xf numFmtId="0" fontId="7" fillId="6" borderId="5" xfId="4" applyFont="1" applyFill="1" applyBorder="1" applyAlignment="1">
      <alignment horizontal="center" vertical="center" wrapText="1"/>
    </xf>
    <xf numFmtId="0" fontId="7" fillId="6" borderId="5" xfId="4" applyFont="1" applyFill="1" applyBorder="1" applyAlignment="1">
      <alignment horizontal="center" vertical="center"/>
    </xf>
    <xf numFmtId="0" fontId="7" fillId="10" borderId="5" xfId="4" applyFont="1" applyFill="1" applyBorder="1" applyAlignment="1">
      <alignment horizontal="center" vertical="center"/>
    </xf>
    <xf numFmtId="0" fontId="7" fillId="10" borderId="5" xfId="4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vertical="top" wrapText="1"/>
    </xf>
    <xf numFmtId="0" fontId="23" fillId="7" borderId="0" xfId="0" applyFont="1" applyFill="1" applyAlignment="1">
      <alignment vertical="top" wrapText="1"/>
    </xf>
    <xf numFmtId="0" fontId="7" fillId="7" borderId="14" xfId="0" applyFont="1" applyFill="1" applyBorder="1" applyAlignment="1">
      <alignment vertical="top" wrapText="1"/>
    </xf>
    <xf numFmtId="0" fontId="24" fillId="7" borderId="15" xfId="0" applyFont="1" applyFill="1" applyBorder="1" applyAlignment="1">
      <alignment vertical="top" wrapText="1"/>
    </xf>
    <xf numFmtId="0" fontId="23" fillId="7" borderId="10" xfId="0" applyFont="1" applyFill="1" applyBorder="1" applyAlignment="1">
      <alignment vertical="top" wrapText="1"/>
    </xf>
    <xf numFmtId="0" fontId="23" fillId="7" borderId="11" xfId="0" applyFont="1" applyFill="1" applyBorder="1" applyAlignment="1">
      <alignment vertical="top" wrapText="1"/>
    </xf>
    <xf numFmtId="0" fontId="7" fillId="7" borderId="3" xfId="0" applyFont="1" applyFill="1" applyBorder="1" applyAlignment="1">
      <alignment vertical="top" wrapText="1"/>
    </xf>
    <xf numFmtId="0" fontId="7" fillId="7" borderId="0" xfId="0" applyFont="1" applyFill="1" applyAlignment="1">
      <alignment vertical="top" wrapText="1"/>
    </xf>
  </cellXfs>
  <cellStyles count="7">
    <cellStyle name="Cálculo" xfId="3" builtinId="22"/>
    <cellStyle name="Encabezado 1" xfId="5" builtinId="16"/>
    <cellStyle name="Énfasis6" xfId="4" builtinId="49"/>
    <cellStyle name="Moneda" xfId="1" builtinId="4"/>
    <cellStyle name="Normal" xfId="0" builtinId="0"/>
    <cellStyle name="Notas" xfId="6" builtinId="10"/>
    <cellStyle name="Título 2" xfId="2" builtinId="17"/>
  </cellStyles>
  <dxfs count="0"/>
  <tableStyles count="0" defaultTableStyle="TableStyleMedium2" defaultPivotStyle="PivotStyleLight16"/>
  <colors>
    <mruColors>
      <color rgb="FFED0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885707</xdr:colOff>
      <xdr:row>44</xdr:row>
      <xdr:rowOff>99927</xdr:rowOff>
    </xdr:from>
    <xdr:to>
      <xdr:col>9</xdr:col>
      <xdr:colOff>1971675</xdr:colOff>
      <xdr:row>66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42AF97-37F7-4B8C-84EC-9B1F91D0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082" y="19302327"/>
          <a:ext cx="9277468" cy="5195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AD37-B31B-4123-9C0C-C5953568D59C}">
  <dimension ref="A1:P85"/>
  <sheetViews>
    <sheetView tabSelected="1" topLeftCell="A80" workbookViewId="0">
      <selection activeCell="C97" sqref="C97"/>
    </sheetView>
  </sheetViews>
  <sheetFormatPr baseColWidth="10" defaultRowHeight="15" x14ac:dyDescent="0.25"/>
  <cols>
    <col min="3" max="3" width="16" customWidth="1"/>
    <col min="4" max="4" width="22" customWidth="1"/>
    <col min="5" max="5" width="19.42578125" customWidth="1"/>
    <col min="6" max="6" width="61.28515625" customWidth="1"/>
    <col min="10" max="10" width="18.28515625" customWidth="1"/>
    <col min="14" max="14" width="19.42578125" customWidth="1"/>
    <col min="15" max="15" width="12" bestFit="1" customWidth="1"/>
  </cols>
  <sheetData>
    <row r="1" spans="1:15" x14ac:dyDescent="0.25">
      <c r="A1" s="128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5" ht="18" customHeight="1" x14ac:dyDescent="0.3">
      <c r="A2" s="147" t="s">
        <v>0</v>
      </c>
      <c r="B2" s="147"/>
      <c r="C2" s="147"/>
      <c r="D2" s="147"/>
      <c r="E2" s="147"/>
      <c r="F2" s="33"/>
      <c r="G2" s="38"/>
      <c r="H2" s="149" t="s">
        <v>13</v>
      </c>
      <c r="I2" s="149"/>
      <c r="J2" s="149"/>
      <c r="K2" s="43"/>
      <c r="L2" s="150" t="s">
        <v>177</v>
      </c>
      <c r="M2" s="150"/>
      <c r="N2" s="150"/>
      <c r="O2" s="146" t="s">
        <v>8</v>
      </c>
    </row>
    <row r="3" spans="1:15" ht="30.75" customHeight="1" x14ac:dyDescent="0.25">
      <c r="A3" s="33"/>
      <c r="B3" s="33"/>
      <c r="C3" s="33"/>
      <c r="D3" s="33"/>
      <c r="E3" s="33"/>
      <c r="F3" s="33"/>
      <c r="G3" s="38"/>
      <c r="H3" s="148" t="s">
        <v>12</v>
      </c>
      <c r="I3" s="148"/>
      <c r="J3" s="148"/>
      <c r="K3" s="43"/>
      <c r="L3" s="151" t="s">
        <v>178</v>
      </c>
      <c r="M3" s="151"/>
      <c r="N3" s="151"/>
      <c r="O3" s="146"/>
    </row>
    <row r="4" spans="1:15" ht="38.25" x14ac:dyDescent="0.25">
      <c r="A4" s="47" t="s">
        <v>1</v>
      </c>
      <c r="B4" s="48" t="s">
        <v>2</v>
      </c>
      <c r="C4" s="48" t="s">
        <v>3</v>
      </c>
      <c r="D4" s="48" t="s">
        <v>4</v>
      </c>
      <c r="E4" s="48" t="s">
        <v>5</v>
      </c>
      <c r="F4" s="48" t="s">
        <v>6</v>
      </c>
      <c r="G4" s="34" t="s">
        <v>7</v>
      </c>
      <c r="H4" s="34" t="s">
        <v>9</v>
      </c>
      <c r="I4" s="35" t="s">
        <v>10</v>
      </c>
      <c r="J4" s="35" t="s">
        <v>11</v>
      </c>
      <c r="K4" s="120" t="s">
        <v>7</v>
      </c>
      <c r="L4" s="120" t="s">
        <v>9</v>
      </c>
      <c r="M4" s="45" t="s">
        <v>10</v>
      </c>
      <c r="N4" s="45" t="s">
        <v>11</v>
      </c>
      <c r="O4" s="146"/>
    </row>
    <row r="5" spans="1:15" ht="41.25" customHeight="1" x14ac:dyDescent="0.25">
      <c r="A5" s="66">
        <v>1</v>
      </c>
      <c r="B5" s="6">
        <v>1</v>
      </c>
      <c r="C5" s="2" t="s">
        <v>15</v>
      </c>
      <c r="D5" s="3" t="s">
        <v>16</v>
      </c>
      <c r="E5" s="4" t="str">
        <f>+LEFT(C5,5)</f>
        <v>2.9.2</v>
      </c>
      <c r="F5" s="5" t="s">
        <v>17</v>
      </c>
      <c r="G5" s="6" t="s">
        <v>18</v>
      </c>
      <c r="H5" s="6">
        <v>5</v>
      </c>
      <c r="I5" s="123">
        <v>3000</v>
      </c>
      <c r="J5" s="124">
        <f>H5*I5</f>
        <v>15000</v>
      </c>
      <c r="K5" s="116" t="s">
        <v>171</v>
      </c>
      <c r="L5" s="116">
        <v>10</v>
      </c>
      <c r="M5" s="122">
        <v>2614</v>
      </c>
      <c r="N5" s="122">
        <f t="shared" ref="N5" si="0">L5*M5</f>
        <v>26140</v>
      </c>
      <c r="O5" s="119">
        <f>+H5+L5</f>
        <v>15</v>
      </c>
    </row>
    <row r="6" spans="1:15" x14ac:dyDescent="0.25">
      <c r="A6" s="66">
        <v>2</v>
      </c>
      <c r="B6" s="6">
        <v>2</v>
      </c>
      <c r="C6" s="8" t="s">
        <v>19</v>
      </c>
      <c r="D6" s="3" t="s">
        <v>16</v>
      </c>
      <c r="E6" s="3" t="s">
        <v>20</v>
      </c>
      <c r="F6" s="129" t="s">
        <v>21</v>
      </c>
      <c r="G6" s="6" t="s">
        <v>18</v>
      </c>
      <c r="H6" s="6">
        <v>15</v>
      </c>
      <c r="I6" s="123">
        <v>500</v>
      </c>
      <c r="J6" s="124">
        <f t="shared" ref="J6:J44" si="1">H6*I6</f>
        <v>7500</v>
      </c>
      <c r="K6" s="43"/>
      <c r="L6" s="43"/>
      <c r="M6" s="121"/>
      <c r="N6" s="121"/>
      <c r="O6" s="38">
        <f t="shared" ref="O6:O25" si="2">+H6</f>
        <v>15</v>
      </c>
    </row>
    <row r="7" spans="1:15" ht="30" x14ac:dyDescent="0.25">
      <c r="A7" s="66">
        <v>3</v>
      </c>
      <c r="B7" s="6">
        <v>3</v>
      </c>
      <c r="C7" s="8" t="s">
        <v>22</v>
      </c>
      <c r="D7" s="3" t="s">
        <v>16</v>
      </c>
      <c r="E7" s="3" t="s">
        <v>20</v>
      </c>
      <c r="F7" s="130" t="s">
        <v>23</v>
      </c>
      <c r="G7" s="6" t="s">
        <v>24</v>
      </c>
      <c r="H7" s="6">
        <v>7</v>
      </c>
      <c r="I7" s="123">
        <v>600</v>
      </c>
      <c r="J7" s="124">
        <f t="shared" si="1"/>
        <v>4200</v>
      </c>
      <c r="K7" s="43"/>
      <c r="L7" s="43"/>
      <c r="M7" s="121"/>
      <c r="N7" s="121"/>
      <c r="O7" s="38">
        <f t="shared" si="2"/>
        <v>7</v>
      </c>
    </row>
    <row r="8" spans="1:15" ht="30" x14ac:dyDescent="0.25">
      <c r="A8" s="66">
        <v>4</v>
      </c>
      <c r="B8" s="6">
        <v>4</v>
      </c>
      <c r="C8" s="8" t="s">
        <v>25</v>
      </c>
      <c r="D8" s="3" t="s">
        <v>16</v>
      </c>
      <c r="E8" s="3" t="s">
        <v>20</v>
      </c>
      <c r="F8" s="131" t="s">
        <v>26</v>
      </c>
      <c r="G8" s="6" t="s">
        <v>24</v>
      </c>
      <c r="H8" s="6">
        <v>2</v>
      </c>
      <c r="I8" s="123">
        <v>2500</v>
      </c>
      <c r="J8" s="124">
        <f t="shared" si="1"/>
        <v>5000</v>
      </c>
      <c r="K8" s="43"/>
      <c r="L8" s="43"/>
      <c r="M8" s="121"/>
      <c r="N8" s="121"/>
      <c r="O8" s="38">
        <f t="shared" si="2"/>
        <v>2</v>
      </c>
    </row>
    <row r="9" spans="1:15" ht="26.25" x14ac:dyDescent="0.25">
      <c r="A9" s="66">
        <v>5</v>
      </c>
      <c r="B9" s="6">
        <v>5</v>
      </c>
      <c r="C9" s="8" t="s">
        <v>27</v>
      </c>
      <c r="D9" s="3" t="s">
        <v>16</v>
      </c>
      <c r="E9" s="3" t="s">
        <v>20</v>
      </c>
      <c r="F9" s="132" t="s">
        <v>28</v>
      </c>
      <c r="G9" s="6" t="s">
        <v>18</v>
      </c>
      <c r="H9" s="6">
        <v>50</v>
      </c>
      <c r="I9" s="123">
        <v>150</v>
      </c>
      <c r="J9" s="124">
        <f t="shared" si="1"/>
        <v>7500</v>
      </c>
      <c r="K9" s="43"/>
      <c r="L9" s="43"/>
      <c r="M9" s="121"/>
      <c r="N9" s="121"/>
      <c r="O9" s="38">
        <f t="shared" si="2"/>
        <v>50</v>
      </c>
    </row>
    <row r="10" spans="1:15" ht="26.25" x14ac:dyDescent="0.25">
      <c r="A10" s="66">
        <v>6</v>
      </c>
      <c r="B10" s="6">
        <v>6</v>
      </c>
      <c r="C10" s="8" t="s">
        <v>29</v>
      </c>
      <c r="D10" s="3" t="s">
        <v>16</v>
      </c>
      <c r="E10" s="3" t="s">
        <v>20</v>
      </c>
      <c r="F10" s="132" t="s">
        <v>30</v>
      </c>
      <c r="G10" s="6" t="s">
        <v>24</v>
      </c>
      <c r="H10" s="6">
        <v>50</v>
      </c>
      <c r="I10" s="123">
        <v>200</v>
      </c>
      <c r="J10" s="124">
        <f t="shared" si="1"/>
        <v>10000</v>
      </c>
      <c r="K10" s="43"/>
      <c r="L10" s="43"/>
      <c r="M10" s="121"/>
      <c r="N10" s="121"/>
      <c r="O10" s="38">
        <f t="shared" si="2"/>
        <v>50</v>
      </c>
    </row>
    <row r="11" spans="1:15" ht="26.25" x14ac:dyDescent="0.25">
      <c r="A11" s="66">
        <v>7</v>
      </c>
      <c r="B11" s="6">
        <v>7</v>
      </c>
      <c r="C11" s="8" t="s">
        <v>31</v>
      </c>
      <c r="D11" s="3" t="s">
        <v>16</v>
      </c>
      <c r="E11" s="3" t="s">
        <v>20</v>
      </c>
      <c r="F11" s="132" t="s">
        <v>32</v>
      </c>
      <c r="G11" s="6" t="s">
        <v>24</v>
      </c>
      <c r="H11" s="6">
        <v>15</v>
      </c>
      <c r="I11" s="123">
        <v>250</v>
      </c>
      <c r="J11" s="124">
        <f t="shared" si="1"/>
        <v>3750</v>
      </c>
      <c r="K11" s="43"/>
      <c r="L11" s="43"/>
      <c r="M11" s="121"/>
      <c r="N11" s="121"/>
      <c r="O11" s="38">
        <f t="shared" si="2"/>
        <v>15</v>
      </c>
    </row>
    <row r="12" spans="1:15" ht="30" x14ac:dyDescent="0.25">
      <c r="A12" s="66">
        <v>8</v>
      </c>
      <c r="B12" s="6">
        <v>8</v>
      </c>
      <c r="C12" s="8" t="s">
        <v>33</v>
      </c>
      <c r="D12" s="3" t="s">
        <v>16</v>
      </c>
      <c r="E12" s="3" t="s">
        <v>20</v>
      </c>
      <c r="F12" s="132" t="s">
        <v>34</v>
      </c>
      <c r="G12" s="6" t="s">
        <v>35</v>
      </c>
      <c r="H12" s="6">
        <v>15</v>
      </c>
      <c r="I12" s="123">
        <v>700</v>
      </c>
      <c r="J12" s="124">
        <f t="shared" si="1"/>
        <v>10500</v>
      </c>
      <c r="K12" s="43"/>
      <c r="L12" s="43"/>
      <c r="M12" s="121"/>
      <c r="N12" s="121"/>
      <c r="O12" s="38">
        <f t="shared" si="2"/>
        <v>15</v>
      </c>
    </row>
    <row r="13" spans="1:15" ht="30" x14ac:dyDescent="0.25">
      <c r="A13" s="66">
        <v>9</v>
      </c>
      <c r="B13" s="6">
        <v>9</v>
      </c>
      <c r="C13" s="133" t="s">
        <v>36</v>
      </c>
      <c r="D13" s="3" t="s">
        <v>16</v>
      </c>
      <c r="E13" s="3" t="s">
        <v>20</v>
      </c>
      <c r="F13" s="132" t="s">
        <v>37</v>
      </c>
      <c r="G13" s="6" t="s">
        <v>18</v>
      </c>
      <c r="H13" s="6">
        <v>50</v>
      </c>
      <c r="I13" s="123">
        <v>200</v>
      </c>
      <c r="J13" s="124">
        <f t="shared" si="1"/>
        <v>10000</v>
      </c>
      <c r="K13" s="43"/>
      <c r="L13" s="43"/>
      <c r="M13" s="121"/>
      <c r="N13" s="121"/>
      <c r="O13" s="38">
        <f t="shared" si="2"/>
        <v>50</v>
      </c>
    </row>
    <row r="14" spans="1:15" ht="30" x14ac:dyDescent="0.25">
      <c r="A14" s="66">
        <v>10</v>
      </c>
      <c r="B14" s="6">
        <v>10</v>
      </c>
      <c r="C14" s="8" t="s">
        <v>38</v>
      </c>
      <c r="D14" s="3" t="s">
        <v>16</v>
      </c>
      <c r="E14" s="3" t="s">
        <v>39</v>
      </c>
      <c r="F14" s="132" t="s">
        <v>40</v>
      </c>
      <c r="G14" s="6" t="s">
        <v>35</v>
      </c>
      <c r="H14" s="6">
        <v>30</v>
      </c>
      <c r="I14" s="123">
        <v>250</v>
      </c>
      <c r="J14" s="124">
        <f t="shared" si="1"/>
        <v>7500</v>
      </c>
      <c r="K14" s="43"/>
      <c r="L14" s="43"/>
      <c r="M14" s="121"/>
      <c r="N14" s="121"/>
      <c r="O14" s="38">
        <f t="shared" si="2"/>
        <v>30</v>
      </c>
    </row>
    <row r="15" spans="1:15" ht="45" x14ac:dyDescent="0.25">
      <c r="A15" s="66">
        <v>11</v>
      </c>
      <c r="B15" s="6">
        <v>11</v>
      </c>
      <c r="C15" s="8" t="s">
        <v>41</v>
      </c>
      <c r="D15" s="3" t="s">
        <v>16</v>
      </c>
      <c r="E15" s="3" t="s">
        <v>20</v>
      </c>
      <c r="F15" s="134" t="s">
        <v>42</v>
      </c>
      <c r="G15" s="6" t="s">
        <v>35</v>
      </c>
      <c r="H15" s="6">
        <v>30</v>
      </c>
      <c r="I15" s="125">
        <v>100</v>
      </c>
      <c r="J15" s="124">
        <f t="shared" si="1"/>
        <v>3000</v>
      </c>
      <c r="K15" s="43"/>
      <c r="L15" s="43"/>
      <c r="M15" s="121"/>
      <c r="N15" s="121"/>
      <c r="O15" s="38">
        <f t="shared" si="2"/>
        <v>30</v>
      </c>
    </row>
    <row r="16" spans="1:15" ht="30" x14ac:dyDescent="0.25">
      <c r="A16" s="66">
        <v>12</v>
      </c>
      <c r="B16" s="6">
        <v>12</v>
      </c>
      <c r="C16" s="8" t="s">
        <v>43</v>
      </c>
      <c r="D16" s="3" t="s">
        <v>16</v>
      </c>
      <c r="E16" s="3" t="s">
        <v>20</v>
      </c>
      <c r="F16" s="134" t="s">
        <v>44</v>
      </c>
      <c r="G16" s="6" t="s">
        <v>35</v>
      </c>
      <c r="H16" s="6">
        <v>100</v>
      </c>
      <c r="I16" s="125">
        <v>130</v>
      </c>
      <c r="J16" s="124">
        <f t="shared" si="1"/>
        <v>13000</v>
      </c>
      <c r="K16" s="43"/>
      <c r="L16" s="43"/>
      <c r="M16" s="121"/>
      <c r="N16" s="121"/>
      <c r="O16" s="38">
        <f t="shared" si="2"/>
        <v>100</v>
      </c>
    </row>
    <row r="17" spans="1:15" ht="30" x14ac:dyDescent="0.25">
      <c r="A17" s="66">
        <v>13</v>
      </c>
      <c r="B17" s="6">
        <v>13</v>
      </c>
      <c r="C17" s="8" t="s">
        <v>45</v>
      </c>
      <c r="D17" s="3" t="s">
        <v>16</v>
      </c>
      <c r="E17" s="3" t="s">
        <v>20</v>
      </c>
      <c r="F17" s="134" t="s">
        <v>46</v>
      </c>
      <c r="G17" s="6" t="s">
        <v>35</v>
      </c>
      <c r="H17" s="6">
        <v>10</v>
      </c>
      <c r="I17" s="125">
        <v>150</v>
      </c>
      <c r="J17" s="124">
        <f t="shared" si="1"/>
        <v>1500</v>
      </c>
      <c r="K17" s="43"/>
      <c r="L17" s="43"/>
      <c r="M17" s="121"/>
      <c r="N17" s="121"/>
      <c r="O17" s="38">
        <f t="shared" si="2"/>
        <v>10</v>
      </c>
    </row>
    <row r="18" spans="1:15" ht="30" x14ac:dyDescent="0.25">
      <c r="A18" s="66">
        <v>14</v>
      </c>
      <c r="B18" s="6">
        <v>14</v>
      </c>
      <c r="C18" s="8" t="s">
        <v>47</v>
      </c>
      <c r="D18" s="3" t="s">
        <v>16</v>
      </c>
      <c r="E18" s="3" t="s">
        <v>20</v>
      </c>
      <c r="F18" s="134" t="s">
        <v>48</v>
      </c>
      <c r="G18" s="6" t="s">
        <v>35</v>
      </c>
      <c r="H18" s="6">
        <v>10</v>
      </c>
      <c r="I18" s="125">
        <v>100</v>
      </c>
      <c r="J18" s="124">
        <f t="shared" si="1"/>
        <v>1000</v>
      </c>
      <c r="K18" s="43"/>
      <c r="L18" s="43"/>
      <c r="M18" s="121"/>
      <c r="N18" s="121"/>
      <c r="O18" s="38">
        <f t="shared" si="2"/>
        <v>10</v>
      </c>
    </row>
    <row r="19" spans="1:15" ht="60" x14ac:dyDescent="0.25">
      <c r="A19" s="66">
        <v>15</v>
      </c>
      <c r="B19" s="6">
        <v>15</v>
      </c>
      <c r="C19" s="2" t="s">
        <v>49</v>
      </c>
      <c r="D19" s="3" t="s">
        <v>16</v>
      </c>
      <c r="E19" s="4" t="str">
        <f>+LEFT(C19,5)</f>
        <v>2.3.1</v>
      </c>
      <c r="F19" s="5" t="s">
        <v>50</v>
      </c>
      <c r="G19" s="6" t="s">
        <v>18</v>
      </c>
      <c r="H19" s="6">
        <v>10</v>
      </c>
      <c r="I19" s="123">
        <v>700</v>
      </c>
      <c r="J19" s="124">
        <f t="shared" si="1"/>
        <v>7000</v>
      </c>
      <c r="K19" s="43"/>
      <c r="L19" s="43"/>
      <c r="M19" s="121"/>
      <c r="N19" s="121"/>
      <c r="O19" s="38">
        <f t="shared" si="2"/>
        <v>10</v>
      </c>
    </row>
    <row r="20" spans="1:15" ht="60" x14ac:dyDescent="0.25">
      <c r="A20" s="66">
        <v>16</v>
      </c>
      <c r="B20" s="6">
        <v>16</v>
      </c>
      <c r="C20" s="8" t="s">
        <v>51</v>
      </c>
      <c r="D20" s="3" t="s">
        <v>16</v>
      </c>
      <c r="E20" s="3" t="s">
        <v>52</v>
      </c>
      <c r="F20" s="134" t="s">
        <v>53</v>
      </c>
      <c r="G20" s="6" t="s">
        <v>18</v>
      </c>
      <c r="H20" s="6">
        <v>15</v>
      </c>
      <c r="I20" s="123">
        <v>1000</v>
      </c>
      <c r="J20" s="124">
        <f t="shared" si="1"/>
        <v>15000</v>
      </c>
      <c r="K20" s="43"/>
      <c r="L20" s="43"/>
      <c r="M20" s="121"/>
      <c r="N20" s="121"/>
      <c r="O20" s="38">
        <f t="shared" si="2"/>
        <v>15</v>
      </c>
    </row>
    <row r="21" spans="1:15" ht="60" x14ac:dyDescent="0.25">
      <c r="A21" s="66">
        <v>17</v>
      </c>
      <c r="B21" s="6">
        <v>17</v>
      </c>
      <c r="C21" s="2" t="s">
        <v>54</v>
      </c>
      <c r="D21" s="3" t="s">
        <v>16</v>
      </c>
      <c r="E21" s="12" t="str">
        <f t="shared" ref="E21:E26" si="3">+LEFT(C21,5)</f>
        <v>2.3.1</v>
      </c>
      <c r="F21" s="5" t="s">
        <v>55</v>
      </c>
      <c r="G21" s="13" t="s">
        <v>18</v>
      </c>
      <c r="H21" s="13">
        <v>550</v>
      </c>
      <c r="I21" s="123">
        <v>1500</v>
      </c>
      <c r="J21" s="124">
        <f t="shared" si="1"/>
        <v>825000</v>
      </c>
      <c r="K21" s="43"/>
      <c r="L21" s="43"/>
      <c r="M21" s="121"/>
      <c r="N21" s="121"/>
      <c r="O21" s="38">
        <f t="shared" si="2"/>
        <v>550</v>
      </c>
    </row>
    <row r="22" spans="1:15" ht="60" x14ac:dyDescent="0.25">
      <c r="A22" s="66">
        <v>18</v>
      </c>
      <c r="B22" s="6">
        <v>18</v>
      </c>
      <c r="C22" s="2" t="s">
        <v>56</v>
      </c>
      <c r="D22" s="3" t="s">
        <v>16</v>
      </c>
      <c r="E22" s="12" t="str">
        <f t="shared" si="3"/>
        <v>2.3.1</v>
      </c>
      <c r="F22" s="5" t="s">
        <v>57</v>
      </c>
      <c r="G22" s="13" t="s">
        <v>18</v>
      </c>
      <c r="H22" s="13">
        <v>350</v>
      </c>
      <c r="I22" s="123">
        <v>1200</v>
      </c>
      <c r="J22" s="124">
        <f t="shared" si="1"/>
        <v>420000</v>
      </c>
      <c r="K22" s="43"/>
      <c r="L22" s="43"/>
      <c r="M22" s="121"/>
      <c r="N22" s="121"/>
      <c r="O22" s="38">
        <f t="shared" si="2"/>
        <v>350</v>
      </c>
    </row>
    <row r="23" spans="1:15" x14ac:dyDescent="0.25">
      <c r="A23" s="66">
        <v>19</v>
      </c>
      <c r="B23" s="6">
        <v>19</v>
      </c>
      <c r="C23" s="3" t="s">
        <v>58</v>
      </c>
      <c r="D23" s="3" t="s">
        <v>16</v>
      </c>
      <c r="E23" s="4" t="str">
        <f t="shared" si="3"/>
        <v>2.9.2</v>
      </c>
      <c r="F23" s="135" t="s">
        <v>59</v>
      </c>
      <c r="G23" s="13" t="s">
        <v>18</v>
      </c>
      <c r="H23" s="13">
        <v>40</v>
      </c>
      <c r="I23" s="123">
        <v>100</v>
      </c>
      <c r="J23" s="124">
        <f t="shared" si="1"/>
        <v>4000</v>
      </c>
      <c r="K23" s="43"/>
      <c r="L23" s="43"/>
      <c r="M23" s="121"/>
      <c r="N23" s="121"/>
      <c r="O23" s="38">
        <f t="shared" si="2"/>
        <v>40</v>
      </c>
    </row>
    <row r="24" spans="1:15" x14ac:dyDescent="0.25">
      <c r="A24" s="66">
        <v>20</v>
      </c>
      <c r="B24" s="6">
        <v>20</v>
      </c>
      <c r="C24" s="3" t="s">
        <v>60</v>
      </c>
      <c r="D24" s="3" t="s">
        <v>16</v>
      </c>
      <c r="E24" s="4" t="str">
        <f t="shared" si="3"/>
        <v>2.9.2</v>
      </c>
      <c r="F24" s="135" t="s">
        <v>61</v>
      </c>
      <c r="G24" s="13" t="s">
        <v>18</v>
      </c>
      <c r="H24" s="13">
        <v>20</v>
      </c>
      <c r="I24" s="123">
        <v>100</v>
      </c>
      <c r="J24" s="124">
        <f t="shared" si="1"/>
        <v>2000</v>
      </c>
      <c r="K24" s="43"/>
      <c r="L24" s="43"/>
      <c r="M24" s="121"/>
      <c r="N24" s="121"/>
      <c r="O24" s="38">
        <f t="shared" si="2"/>
        <v>20</v>
      </c>
    </row>
    <row r="25" spans="1:15" ht="30" x14ac:dyDescent="0.25">
      <c r="A25" s="66">
        <v>21</v>
      </c>
      <c r="B25" s="6">
        <v>21</v>
      </c>
      <c r="C25" s="13" t="s">
        <v>62</v>
      </c>
      <c r="D25" s="3" t="s">
        <v>16</v>
      </c>
      <c r="E25" s="4" t="str">
        <f t="shared" si="3"/>
        <v>2.9.2</v>
      </c>
      <c r="F25" s="5" t="s">
        <v>63</v>
      </c>
      <c r="G25" s="13" t="s">
        <v>18</v>
      </c>
      <c r="H25" s="13">
        <v>20</v>
      </c>
      <c r="I25" s="123">
        <v>350</v>
      </c>
      <c r="J25" s="124">
        <f t="shared" si="1"/>
        <v>7000</v>
      </c>
      <c r="K25" s="43"/>
      <c r="L25" s="43"/>
      <c r="M25" s="121"/>
      <c r="N25" s="121"/>
      <c r="O25" s="38">
        <f t="shared" si="2"/>
        <v>20</v>
      </c>
    </row>
    <row r="26" spans="1:15" ht="30" x14ac:dyDescent="0.25">
      <c r="A26" s="66">
        <v>22</v>
      </c>
      <c r="B26" s="6">
        <v>22</v>
      </c>
      <c r="C26" s="2" t="s">
        <v>64</v>
      </c>
      <c r="D26" s="3" t="s">
        <v>16</v>
      </c>
      <c r="E26" s="12" t="str">
        <f t="shared" si="3"/>
        <v>2.9.2</v>
      </c>
      <c r="F26" s="5" t="s">
        <v>65</v>
      </c>
      <c r="G26" s="13" t="s">
        <v>18</v>
      </c>
      <c r="H26" s="13">
        <v>20</v>
      </c>
      <c r="I26" s="123">
        <v>280</v>
      </c>
      <c r="J26" s="124">
        <f t="shared" si="1"/>
        <v>5600</v>
      </c>
      <c r="K26" s="43"/>
      <c r="L26" s="43"/>
      <c r="M26" s="121"/>
      <c r="N26" s="121"/>
      <c r="O26" s="38">
        <f>+H25</f>
        <v>20</v>
      </c>
    </row>
    <row r="27" spans="1:15" ht="30" x14ac:dyDescent="0.25">
      <c r="A27" s="66">
        <v>23</v>
      </c>
      <c r="B27" s="6">
        <v>23</v>
      </c>
      <c r="C27" s="8" t="s">
        <v>66</v>
      </c>
      <c r="D27" s="3" t="s">
        <v>16</v>
      </c>
      <c r="E27" s="3" t="s">
        <v>67</v>
      </c>
      <c r="F27" s="134" t="s">
        <v>68</v>
      </c>
      <c r="G27" s="13" t="s">
        <v>18</v>
      </c>
      <c r="H27" s="13">
        <v>500</v>
      </c>
      <c r="I27" s="123">
        <v>15</v>
      </c>
      <c r="J27" s="124">
        <f t="shared" si="1"/>
        <v>7500</v>
      </c>
      <c r="K27" s="43"/>
      <c r="L27" s="43"/>
      <c r="M27" s="121"/>
      <c r="N27" s="121"/>
      <c r="O27" s="38">
        <f t="shared" ref="O27:O32" si="4">+H27</f>
        <v>500</v>
      </c>
    </row>
    <row r="28" spans="1:15" ht="26.25" x14ac:dyDescent="0.25">
      <c r="A28" s="66">
        <v>24</v>
      </c>
      <c r="B28" s="6">
        <v>24</v>
      </c>
      <c r="C28" s="8" t="s">
        <v>69</v>
      </c>
      <c r="D28" s="3" t="s">
        <v>16</v>
      </c>
      <c r="E28" s="3" t="s">
        <v>20</v>
      </c>
      <c r="F28" s="132" t="s">
        <v>70</v>
      </c>
      <c r="G28" s="13" t="s">
        <v>18</v>
      </c>
      <c r="H28" s="13">
        <v>200</v>
      </c>
      <c r="I28" s="123">
        <v>15</v>
      </c>
      <c r="J28" s="124">
        <f t="shared" si="1"/>
        <v>3000</v>
      </c>
      <c r="K28" s="43"/>
      <c r="L28" s="43"/>
      <c r="M28" s="121"/>
      <c r="N28" s="121"/>
      <c r="O28" s="38">
        <f t="shared" si="4"/>
        <v>200</v>
      </c>
    </row>
    <row r="29" spans="1:15" x14ac:dyDescent="0.25">
      <c r="A29" s="66">
        <v>25</v>
      </c>
      <c r="B29" s="6">
        <v>25</v>
      </c>
      <c r="C29" s="2" t="s">
        <v>71</v>
      </c>
      <c r="D29" s="3" t="s">
        <v>16</v>
      </c>
      <c r="E29" s="4" t="str">
        <f t="shared" ref="E29:E36" si="5">+LEFT(C29,5)</f>
        <v>2.9.2</v>
      </c>
      <c r="F29" s="5" t="s">
        <v>72</v>
      </c>
      <c r="G29" s="6" t="s">
        <v>18</v>
      </c>
      <c r="H29" s="6">
        <v>40</v>
      </c>
      <c r="I29" s="123">
        <v>30</v>
      </c>
      <c r="J29" s="124">
        <f t="shared" si="1"/>
        <v>1200</v>
      </c>
      <c r="K29" s="43"/>
      <c r="L29" s="43"/>
      <c r="M29" s="121"/>
      <c r="N29" s="121"/>
      <c r="O29" s="38">
        <f t="shared" si="4"/>
        <v>40</v>
      </c>
    </row>
    <row r="30" spans="1:15" ht="30" x14ac:dyDescent="0.25">
      <c r="A30" s="66">
        <v>26</v>
      </c>
      <c r="B30" s="6">
        <v>26</v>
      </c>
      <c r="C30" s="13" t="s">
        <v>73</v>
      </c>
      <c r="D30" s="3" t="s">
        <v>16</v>
      </c>
      <c r="E30" s="4" t="str">
        <f t="shared" si="5"/>
        <v>2.9.2</v>
      </c>
      <c r="F30" s="5" t="s">
        <v>74</v>
      </c>
      <c r="G30" s="13" t="s">
        <v>18</v>
      </c>
      <c r="H30" s="13">
        <v>10</v>
      </c>
      <c r="I30" s="123">
        <v>200</v>
      </c>
      <c r="J30" s="124">
        <f t="shared" si="1"/>
        <v>2000</v>
      </c>
      <c r="K30" s="43"/>
      <c r="L30" s="43"/>
      <c r="M30" s="121"/>
      <c r="N30" s="121"/>
      <c r="O30" s="38">
        <f t="shared" si="4"/>
        <v>10</v>
      </c>
    </row>
    <row r="31" spans="1:15" x14ac:dyDescent="0.25">
      <c r="A31" s="66">
        <v>27</v>
      </c>
      <c r="B31" s="6">
        <v>27</v>
      </c>
      <c r="C31" s="8" t="s">
        <v>75</v>
      </c>
      <c r="D31" s="3" t="s">
        <v>16</v>
      </c>
      <c r="E31" s="4" t="str">
        <f t="shared" si="5"/>
        <v>2.9.2</v>
      </c>
      <c r="F31" s="129" t="s">
        <v>76</v>
      </c>
      <c r="G31" s="13" t="s">
        <v>18</v>
      </c>
      <c r="H31" s="13">
        <v>200</v>
      </c>
      <c r="I31" s="123">
        <v>100</v>
      </c>
      <c r="J31" s="124">
        <f t="shared" si="1"/>
        <v>20000</v>
      </c>
      <c r="K31" s="43"/>
      <c r="L31" s="43"/>
      <c r="M31" s="121"/>
      <c r="N31" s="121"/>
      <c r="O31" s="38">
        <f t="shared" si="4"/>
        <v>200</v>
      </c>
    </row>
    <row r="32" spans="1:15" x14ac:dyDescent="0.25">
      <c r="A32" s="66">
        <v>28</v>
      </c>
      <c r="B32" s="6">
        <v>28</v>
      </c>
      <c r="C32" s="8" t="s">
        <v>75</v>
      </c>
      <c r="D32" s="3" t="s">
        <v>16</v>
      </c>
      <c r="E32" s="4" t="str">
        <f t="shared" si="5"/>
        <v>2.9.2</v>
      </c>
      <c r="F32" s="129" t="s">
        <v>76</v>
      </c>
      <c r="G32" s="13" t="s">
        <v>18</v>
      </c>
      <c r="H32" s="13">
        <v>200</v>
      </c>
      <c r="I32" s="123">
        <v>100</v>
      </c>
      <c r="J32" s="124">
        <f t="shared" si="1"/>
        <v>20000</v>
      </c>
      <c r="K32" s="43"/>
      <c r="L32" s="43"/>
      <c r="M32" s="121"/>
      <c r="N32" s="121"/>
      <c r="O32" s="38">
        <f t="shared" si="4"/>
        <v>200</v>
      </c>
    </row>
    <row r="33" spans="1:16" x14ac:dyDescent="0.25">
      <c r="A33" s="66">
        <v>29</v>
      </c>
      <c r="B33" s="6">
        <v>29</v>
      </c>
      <c r="C33" s="2" t="s">
        <v>77</v>
      </c>
      <c r="D33" s="3" t="s">
        <v>16</v>
      </c>
      <c r="E33" s="4" t="str">
        <f t="shared" si="5"/>
        <v>2.9.2</v>
      </c>
      <c r="F33" s="129" t="s">
        <v>78</v>
      </c>
      <c r="G33" s="6" t="s">
        <v>18</v>
      </c>
      <c r="H33" s="6">
        <v>200</v>
      </c>
      <c r="I33" s="123">
        <v>100</v>
      </c>
      <c r="J33" s="124">
        <f t="shared" si="1"/>
        <v>20000</v>
      </c>
      <c r="K33" s="43"/>
      <c r="L33" s="43"/>
      <c r="M33" s="121"/>
      <c r="N33" s="121"/>
      <c r="O33" s="38">
        <f>+H34</f>
        <v>200</v>
      </c>
    </row>
    <row r="34" spans="1:16" x14ac:dyDescent="0.25">
      <c r="A34" s="66">
        <v>30</v>
      </c>
      <c r="B34" s="6">
        <v>30</v>
      </c>
      <c r="C34" s="2" t="s">
        <v>77</v>
      </c>
      <c r="D34" s="3" t="s">
        <v>16</v>
      </c>
      <c r="E34" s="4" t="str">
        <f t="shared" si="5"/>
        <v>2.9.2</v>
      </c>
      <c r="F34" s="129" t="s">
        <v>78</v>
      </c>
      <c r="G34" s="6" t="s">
        <v>18</v>
      </c>
      <c r="H34" s="6">
        <v>200</v>
      </c>
      <c r="I34" s="123">
        <v>100</v>
      </c>
      <c r="J34" s="124">
        <f t="shared" si="1"/>
        <v>20000</v>
      </c>
      <c r="K34" s="43"/>
      <c r="L34" s="43"/>
      <c r="M34" s="121"/>
      <c r="N34" s="121"/>
      <c r="O34" s="38">
        <f t="shared" ref="O34:O43" si="6">+H34</f>
        <v>200</v>
      </c>
    </row>
    <row r="35" spans="1:16" ht="45" x14ac:dyDescent="0.25">
      <c r="A35" s="66">
        <v>31</v>
      </c>
      <c r="B35" s="6">
        <v>31</v>
      </c>
      <c r="C35" s="2" t="s">
        <v>79</v>
      </c>
      <c r="D35" s="3" t="s">
        <v>16</v>
      </c>
      <c r="E35" s="4" t="str">
        <f t="shared" si="5"/>
        <v>2.9.2</v>
      </c>
      <c r="F35" s="5" t="s">
        <v>80</v>
      </c>
      <c r="G35" s="6" t="s">
        <v>81</v>
      </c>
      <c r="H35" s="6">
        <v>2</v>
      </c>
      <c r="I35" s="123">
        <v>900</v>
      </c>
      <c r="J35" s="124">
        <f t="shared" si="1"/>
        <v>1800</v>
      </c>
      <c r="K35" s="43"/>
      <c r="L35" s="43"/>
      <c r="M35" s="121"/>
      <c r="N35" s="121"/>
      <c r="O35" s="38">
        <f t="shared" si="6"/>
        <v>2</v>
      </c>
    </row>
    <row r="36" spans="1:16" ht="30" x14ac:dyDescent="0.25">
      <c r="A36" s="66">
        <v>32</v>
      </c>
      <c r="B36" s="6">
        <v>32</v>
      </c>
      <c r="C36" s="8" t="s">
        <v>82</v>
      </c>
      <c r="D36" s="3" t="s">
        <v>16</v>
      </c>
      <c r="E36" s="4" t="str">
        <f t="shared" si="5"/>
        <v>2.9.2</v>
      </c>
      <c r="F36" s="134" t="s">
        <v>83</v>
      </c>
      <c r="G36" s="6" t="s">
        <v>18</v>
      </c>
      <c r="H36" s="6">
        <v>20</v>
      </c>
      <c r="I36" s="123">
        <v>300</v>
      </c>
      <c r="J36" s="124">
        <f t="shared" si="1"/>
        <v>6000</v>
      </c>
      <c r="K36" s="43"/>
      <c r="L36" s="43"/>
      <c r="M36" s="121"/>
      <c r="N36" s="121"/>
      <c r="O36" s="38">
        <f t="shared" si="6"/>
        <v>20</v>
      </c>
    </row>
    <row r="37" spans="1:16" ht="30" x14ac:dyDescent="0.25">
      <c r="A37" s="66">
        <v>33</v>
      </c>
      <c r="B37" s="6">
        <v>33</v>
      </c>
      <c r="C37" s="8" t="s">
        <v>84</v>
      </c>
      <c r="D37" s="3" t="s">
        <v>16</v>
      </c>
      <c r="E37" s="3" t="s">
        <v>52</v>
      </c>
      <c r="F37" s="132" t="s">
        <v>85</v>
      </c>
      <c r="G37" s="6" t="s">
        <v>18</v>
      </c>
      <c r="H37" s="6">
        <v>20</v>
      </c>
      <c r="I37" s="123">
        <v>1500</v>
      </c>
      <c r="J37" s="124">
        <f t="shared" si="1"/>
        <v>30000</v>
      </c>
      <c r="K37" s="43"/>
      <c r="L37" s="43"/>
      <c r="M37" s="121"/>
      <c r="N37" s="121"/>
      <c r="O37" s="38">
        <f t="shared" si="6"/>
        <v>20</v>
      </c>
    </row>
    <row r="38" spans="1:16" ht="60" x14ac:dyDescent="0.25">
      <c r="A38" s="66">
        <v>34</v>
      </c>
      <c r="B38" s="6">
        <v>34</v>
      </c>
      <c r="C38" s="2" t="s">
        <v>86</v>
      </c>
      <c r="D38" s="3" t="s">
        <v>16</v>
      </c>
      <c r="E38" s="4" t="str">
        <f>+LEFT(C38,5)</f>
        <v>2.3.1</v>
      </c>
      <c r="F38" s="5" t="s">
        <v>87</v>
      </c>
      <c r="G38" s="6" t="s">
        <v>18</v>
      </c>
      <c r="H38" s="6">
        <v>200</v>
      </c>
      <c r="I38" s="123">
        <v>50</v>
      </c>
      <c r="J38" s="124">
        <f t="shared" si="1"/>
        <v>10000</v>
      </c>
      <c r="K38" s="43"/>
      <c r="L38" s="43"/>
      <c r="M38" s="121"/>
      <c r="N38" s="121"/>
      <c r="O38" s="38">
        <f t="shared" si="6"/>
        <v>200</v>
      </c>
    </row>
    <row r="39" spans="1:16" ht="27.75" customHeight="1" x14ac:dyDescent="0.25">
      <c r="A39" s="66">
        <v>35</v>
      </c>
      <c r="B39" s="6">
        <v>35</v>
      </c>
      <c r="C39" s="2" t="s">
        <v>88</v>
      </c>
      <c r="D39" s="3" t="s">
        <v>16</v>
      </c>
      <c r="E39" s="4" t="str">
        <f>+LEFT(C39,5)</f>
        <v>2.3.1</v>
      </c>
      <c r="F39" s="5" t="s">
        <v>89</v>
      </c>
      <c r="G39" s="6" t="s">
        <v>18</v>
      </c>
      <c r="H39" s="6">
        <v>100</v>
      </c>
      <c r="I39" s="123">
        <v>30</v>
      </c>
      <c r="J39" s="124">
        <f t="shared" si="1"/>
        <v>3000</v>
      </c>
      <c r="K39" s="43"/>
      <c r="L39" s="43"/>
      <c r="M39" s="121"/>
      <c r="N39" s="121"/>
      <c r="O39" s="38">
        <f t="shared" si="6"/>
        <v>100</v>
      </c>
    </row>
    <row r="40" spans="1:16" ht="30" x14ac:dyDescent="0.25">
      <c r="A40" s="66">
        <v>36</v>
      </c>
      <c r="B40" s="6">
        <v>36</v>
      </c>
      <c r="C40" s="2" t="s">
        <v>90</v>
      </c>
      <c r="D40" s="3" t="s">
        <v>16</v>
      </c>
      <c r="E40" s="4" t="str">
        <f>+LEFT(C40,5)</f>
        <v>2.9.2</v>
      </c>
      <c r="F40" s="5" t="s">
        <v>91</v>
      </c>
      <c r="G40" s="6" t="s">
        <v>18</v>
      </c>
      <c r="H40" s="6">
        <v>40</v>
      </c>
      <c r="I40" s="123">
        <v>100</v>
      </c>
      <c r="J40" s="124">
        <f t="shared" si="1"/>
        <v>4000</v>
      </c>
      <c r="K40" s="43"/>
      <c r="L40" s="43"/>
      <c r="M40" s="121"/>
      <c r="N40" s="121"/>
      <c r="O40" s="38">
        <f t="shared" si="6"/>
        <v>40</v>
      </c>
    </row>
    <row r="41" spans="1:16" x14ac:dyDescent="0.25">
      <c r="A41" s="66">
        <v>37</v>
      </c>
      <c r="B41" s="6">
        <v>37</v>
      </c>
      <c r="C41" s="8" t="s">
        <v>92</v>
      </c>
      <c r="D41" s="3" t="s">
        <v>16</v>
      </c>
      <c r="E41" s="3" t="s">
        <v>20</v>
      </c>
      <c r="F41" s="135" t="s">
        <v>93</v>
      </c>
      <c r="G41" s="6" t="s">
        <v>24</v>
      </c>
      <c r="H41" s="6">
        <v>15</v>
      </c>
      <c r="I41" s="123">
        <v>300</v>
      </c>
      <c r="J41" s="124">
        <f t="shared" si="1"/>
        <v>4500</v>
      </c>
      <c r="K41" s="43"/>
      <c r="L41" s="43"/>
      <c r="M41" s="121"/>
      <c r="N41" s="121"/>
      <c r="O41" s="38">
        <f t="shared" si="6"/>
        <v>15</v>
      </c>
    </row>
    <row r="42" spans="1:16" x14ac:dyDescent="0.25">
      <c r="A42" s="66">
        <v>38</v>
      </c>
      <c r="B42" s="6">
        <v>38</v>
      </c>
      <c r="C42" s="8" t="s">
        <v>94</v>
      </c>
      <c r="D42" s="3" t="s">
        <v>16</v>
      </c>
      <c r="E42" s="3" t="s">
        <v>20</v>
      </c>
      <c r="F42" s="135" t="s">
        <v>95</v>
      </c>
      <c r="G42" s="6" t="s">
        <v>18</v>
      </c>
      <c r="H42" s="6">
        <v>50</v>
      </c>
      <c r="I42" s="123">
        <v>150</v>
      </c>
      <c r="J42" s="124">
        <f t="shared" si="1"/>
        <v>7500</v>
      </c>
      <c r="K42" s="43"/>
      <c r="L42" s="43"/>
      <c r="M42" s="121"/>
      <c r="N42" s="121"/>
      <c r="O42" s="38">
        <f t="shared" si="6"/>
        <v>50</v>
      </c>
    </row>
    <row r="43" spans="1:16" ht="30" x14ac:dyDescent="0.25">
      <c r="A43" s="66">
        <v>39</v>
      </c>
      <c r="B43" s="6">
        <v>39</v>
      </c>
      <c r="C43" s="8" t="s">
        <v>96</v>
      </c>
      <c r="D43" s="3" t="s">
        <v>16</v>
      </c>
      <c r="E43" s="3" t="s">
        <v>20</v>
      </c>
      <c r="F43" s="134" t="s">
        <v>97</v>
      </c>
      <c r="G43" s="6" t="s">
        <v>18</v>
      </c>
      <c r="H43" s="6">
        <v>5</v>
      </c>
      <c r="I43" s="123">
        <v>250</v>
      </c>
      <c r="J43" s="124">
        <f t="shared" si="1"/>
        <v>1250</v>
      </c>
      <c r="K43" s="43"/>
      <c r="L43" s="43"/>
      <c r="M43" s="121"/>
      <c r="N43" s="121"/>
      <c r="O43" s="38">
        <f t="shared" si="6"/>
        <v>5</v>
      </c>
    </row>
    <row r="44" spans="1:16" ht="30" x14ac:dyDescent="0.25">
      <c r="A44" s="66">
        <v>40</v>
      </c>
      <c r="B44" s="6">
        <v>40</v>
      </c>
      <c r="C44" s="2" t="s">
        <v>98</v>
      </c>
      <c r="D44" s="3" t="s">
        <v>16</v>
      </c>
      <c r="E44" s="3" t="s">
        <v>20</v>
      </c>
      <c r="F44" s="5" t="s">
        <v>99</v>
      </c>
      <c r="G44" s="6" t="s">
        <v>35</v>
      </c>
      <c r="H44" s="6">
        <v>10</v>
      </c>
      <c r="I44" s="123">
        <v>400</v>
      </c>
      <c r="J44" s="124">
        <f t="shared" si="1"/>
        <v>4000</v>
      </c>
      <c r="K44" s="43" t="s">
        <v>18</v>
      </c>
      <c r="L44" s="43">
        <v>15</v>
      </c>
      <c r="M44" s="121">
        <v>391</v>
      </c>
      <c r="N44" s="121">
        <v>5865</v>
      </c>
      <c r="O44" s="119">
        <f>+H44+L44</f>
        <v>25</v>
      </c>
    </row>
    <row r="45" spans="1:16" ht="30" x14ac:dyDescent="0.25">
      <c r="A45" s="66">
        <v>41</v>
      </c>
      <c r="B45" s="6">
        <v>41</v>
      </c>
      <c r="C45" s="2" t="s">
        <v>100</v>
      </c>
      <c r="D45" s="3" t="s">
        <v>16</v>
      </c>
      <c r="E45" s="3" t="s">
        <v>20</v>
      </c>
      <c r="F45" s="5" t="s">
        <v>101</v>
      </c>
      <c r="G45" s="6" t="s">
        <v>18</v>
      </c>
      <c r="H45" s="6">
        <v>10</v>
      </c>
      <c r="I45" s="123">
        <v>400</v>
      </c>
      <c r="J45" s="124">
        <f>H45*I45</f>
        <v>4000</v>
      </c>
      <c r="K45" s="43"/>
      <c r="L45" s="43"/>
      <c r="M45" s="121"/>
      <c r="N45" s="121"/>
      <c r="O45" s="38">
        <f>+H45</f>
        <v>10</v>
      </c>
      <c r="P45" s="127"/>
    </row>
    <row r="46" spans="1:16" x14ac:dyDescent="0.25">
      <c r="A46" s="66">
        <v>42</v>
      </c>
      <c r="B46" s="6">
        <v>42</v>
      </c>
      <c r="C46" s="8" t="s">
        <v>102</v>
      </c>
      <c r="D46" s="3" t="s">
        <v>16</v>
      </c>
      <c r="E46" s="3" t="s">
        <v>20</v>
      </c>
      <c r="F46" s="135" t="s">
        <v>103</v>
      </c>
      <c r="G46" s="6" t="s">
        <v>18</v>
      </c>
      <c r="H46" s="6">
        <v>5</v>
      </c>
      <c r="I46" s="123">
        <v>2300</v>
      </c>
      <c r="J46" s="124">
        <f>H46*I46</f>
        <v>11500</v>
      </c>
      <c r="K46" s="43"/>
      <c r="L46" s="43"/>
      <c r="M46" s="121"/>
      <c r="N46" s="121"/>
      <c r="O46" s="38">
        <f>+H46</f>
        <v>5</v>
      </c>
    </row>
    <row r="47" spans="1:16" ht="30" x14ac:dyDescent="0.25">
      <c r="A47" s="66">
        <v>43</v>
      </c>
      <c r="B47" s="6">
        <v>43</v>
      </c>
      <c r="C47" s="8" t="s">
        <v>104</v>
      </c>
      <c r="D47" s="3" t="s">
        <v>16</v>
      </c>
      <c r="E47" s="3" t="s">
        <v>20</v>
      </c>
      <c r="F47" s="134" t="s">
        <v>105</v>
      </c>
      <c r="G47" s="6" t="s">
        <v>18</v>
      </c>
      <c r="H47" s="6">
        <v>80</v>
      </c>
      <c r="I47" s="123">
        <v>130</v>
      </c>
      <c r="J47" s="124">
        <f>H47*I47</f>
        <v>10400</v>
      </c>
      <c r="K47" s="43"/>
      <c r="L47" s="43"/>
      <c r="M47" s="121"/>
      <c r="N47" s="121"/>
      <c r="O47" s="38">
        <f>+H47</f>
        <v>80</v>
      </c>
    </row>
    <row r="48" spans="1:16" ht="25.5" customHeight="1" x14ac:dyDescent="0.25">
      <c r="A48" s="66">
        <v>44</v>
      </c>
      <c r="B48" s="118">
        <v>28</v>
      </c>
      <c r="C48" s="117" t="s">
        <v>104</v>
      </c>
      <c r="D48" s="117" t="s">
        <v>115</v>
      </c>
      <c r="E48" s="117" t="s">
        <v>20</v>
      </c>
      <c r="F48" s="117" t="s">
        <v>114</v>
      </c>
      <c r="G48" s="6"/>
      <c r="H48" s="6"/>
      <c r="I48" s="123"/>
      <c r="J48" s="124"/>
      <c r="K48" s="67" t="s">
        <v>18</v>
      </c>
      <c r="L48" s="67">
        <v>150</v>
      </c>
      <c r="M48" s="122">
        <v>82</v>
      </c>
      <c r="N48" s="122">
        <f t="shared" ref="N48:N49" si="7">L48*M48</f>
        <v>12300</v>
      </c>
      <c r="O48" s="43">
        <f>+L48</f>
        <v>150</v>
      </c>
    </row>
    <row r="49" spans="1:15" ht="33" customHeight="1" x14ac:dyDescent="0.25">
      <c r="A49" s="66">
        <v>45</v>
      </c>
      <c r="B49" s="118">
        <v>29</v>
      </c>
      <c r="C49" s="117" t="s">
        <v>104</v>
      </c>
      <c r="D49" s="117" t="s">
        <v>115</v>
      </c>
      <c r="E49" s="117" t="s">
        <v>20</v>
      </c>
      <c r="F49" s="117" t="s">
        <v>114</v>
      </c>
      <c r="G49" s="6"/>
      <c r="H49" s="6"/>
      <c r="I49" s="123"/>
      <c r="J49" s="124"/>
      <c r="K49" s="67" t="s">
        <v>18</v>
      </c>
      <c r="L49" s="67">
        <v>150</v>
      </c>
      <c r="M49" s="122">
        <v>82</v>
      </c>
      <c r="N49" s="122">
        <f t="shared" si="7"/>
        <v>12300</v>
      </c>
      <c r="O49" s="43">
        <f>+L49</f>
        <v>150</v>
      </c>
    </row>
    <row r="50" spans="1:15" ht="35.25" customHeight="1" x14ac:dyDescent="0.25">
      <c r="A50" s="66">
        <v>46</v>
      </c>
      <c r="B50" s="6">
        <v>44</v>
      </c>
      <c r="C50" s="8" t="s">
        <v>106</v>
      </c>
      <c r="D50" s="3" t="s">
        <v>16</v>
      </c>
      <c r="E50" s="3" t="s">
        <v>20</v>
      </c>
      <c r="F50" s="134" t="s">
        <v>107</v>
      </c>
      <c r="G50" s="6" t="s">
        <v>18</v>
      </c>
      <c r="H50" s="6">
        <v>80</v>
      </c>
      <c r="I50" s="125">
        <v>150</v>
      </c>
      <c r="J50" s="124">
        <f>H50*I50</f>
        <v>12000</v>
      </c>
      <c r="K50" s="43"/>
      <c r="L50" s="43"/>
      <c r="M50" s="121"/>
      <c r="N50" s="121"/>
      <c r="O50" s="38">
        <f>+H50</f>
        <v>80</v>
      </c>
    </row>
    <row r="51" spans="1:15" ht="30" customHeight="1" x14ac:dyDescent="0.25">
      <c r="A51" s="66">
        <v>47</v>
      </c>
      <c r="B51" s="6">
        <v>45</v>
      </c>
      <c r="C51" s="3" t="s">
        <v>108</v>
      </c>
      <c r="D51" s="3" t="s">
        <v>16</v>
      </c>
      <c r="E51" s="3" t="s">
        <v>20</v>
      </c>
      <c r="F51" s="132" t="s">
        <v>109</v>
      </c>
      <c r="G51" s="6" t="s">
        <v>18</v>
      </c>
      <c r="H51" s="6">
        <v>80</v>
      </c>
      <c r="I51" s="123">
        <v>150</v>
      </c>
      <c r="J51" s="124">
        <f>H51*I51</f>
        <v>12000</v>
      </c>
      <c r="K51" s="43"/>
      <c r="L51" s="43"/>
      <c r="M51" s="121"/>
      <c r="N51" s="121"/>
      <c r="O51" s="38">
        <f>+H51</f>
        <v>80</v>
      </c>
    </row>
    <row r="52" spans="1:15" ht="27" customHeight="1" x14ac:dyDescent="0.25">
      <c r="A52" s="66">
        <v>48</v>
      </c>
      <c r="B52" s="49">
        <v>2</v>
      </c>
      <c r="C52" s="53" t="s">
        <v>116</v>
      </c>
      <c r="D52" s="55" t="s">
        <v>115</v>
      </c>
      <c r="E52" s="52" t="str">
        <f t="shared" ref="E52:E84" si="8">LEFT(C52,5)</f>
        <v>2.9.2</v>
      </c>
      <c r="F52" s="55" t="s">
        <v>117</v>
      </c>
      <c r="G52" s="38"/>
      <c r="H52" s="38"/>
      <c r="I52" s="126"/>
      <c r="J52" s="126"/>
      <c r="K52" s="67" t="s">
        <v>172</v>
      </c>
      <c r="L52" s="67">
        <v>20</v>
      </c>
      <c r="M52" s="122">
        <v>450</v>
      </c>
      <c r="N52" s="122">
        <f t="shared" ref="N52:N84" si="9">L52*M52</f>
        <v>9000</v>
      </c>
      <c r="O52" s="43">
        <f t="shared" ref="O52:O84" si="10">+L52</f>
        <v>20</v>
      </c>
    </row>
    <row r="53" spans="1:15" ht="27" customHeight="1" x14ac:dyDescent="0.25">
      <c r="A53" s="66">
        <v>49</v>
      </c>
      <c r="B53" s="49">
        <v>3</v>
      </c>
      <c r="C53" s="53" t="s">
        <v>118</v>
      </c>
      <c r="D53" s="55" t="s">
        <v>115</v>
      </c>
      <c r="E53" s="52" t="str">
        <f t="shared" si="8"/>
        <v>2.9.2</v>
      </c>
      <c r="F53" s="55" t="s">
        <v>119</v>
      </c>
      <c r="G53" s="38"/>
      <c r="H53" s="38"/>
      <c r="I53" s="126"/>
      <c r="J53" s="126"/>
      <c r="K53" s="67" t="s">
        <v>171</v>
      </c>
      <c r="L53" s="67">
        <v>50</v>
      </c>
      <c r="M53" s="122">
        <v>231</v>
      </c>
      <c r="N53" s="122">
        <f t="shared" si="9"/>
        <v>11550</v>
      </c>
      <c r="O53" s="43">
        <f t="shared" si="10"/>
        <v>50</v>
      </c>
    </row>
    <row r="54" spans="1:15" ht="43.5" x14ac:dyDescent="0.25">
      <c r="A54" s="66">
        <v>50</v>
      </c>
      <c r="B54" s="49">
        <v>4</v>
      </c>
      <c r="C54" s="53" t="s">
        <v>120</v>
      </c>
      <c r="D54" s="55" t="s">
        <v>115</v>
      </c>
      <c r="E54" s="52" t="str">
        <f t="shared" si="8"/>
        <v>2.9.2</v>
      </c>
      <c r="F54" s="136" t="s">
        <v>121</v>
      </c>
      <c r="G54" s="38"/>
      <c r="H54" s="38"/>
      <c r="I54" s="126"/>
      <c r="J54" s="126"/>
      <c r="K54" s="67" t="s">
        <v>171</v>
      </c>
      <c r="L54" s="67">
        <v>50</v>
      </c>
      <c r="M54" s="122">
        <v>820</v>
      </c>
      <c r="N54" s="122">
        <f t="shared" si="9"/>
        <v>41000</v>
      </c>
      <c r="O54" s="43">
        <f t="shared" si="10"/>
        <v>50</v>
      </c>
    </row>
    <row r="55" spans="1:15" ht="29.25" x14ac:dyDescent="0.25">
      <c r="A55" s="66">
        <v>51</v>
      </c>
      <c r="B55" s="49">
        <v>5</v>
      </c>
      <c r="C55" s="53" t="s">
        <v>122</v>
      </c>
      <c r="D55" s="55" t="s">
        <v>115</v>
      </c>
      <c r="E55" s="52" t="str">
        <f t="shared" si="8"/>
        <v>2.9.2</v>
      </c>
      <c r="F55" s="136" t="s">
        <v>123</v>
      </c>
      <c r="G55" s="38"/>
      <c r="H55" s="38"/>
      <c r="I55" s="126"/>
      <c r="J55" s="126"/>
      <c r="K55" s="67" t="s">
        <v>171</v>
      </c>
      <c r="L55" s="67">
        <v>1500</v>
      </c>
      <c r="M55" s="122">
        <v>83</v>
      </c>
      <c r="N55" s="122">
        <f t="shared" si="9"/>
        <v>124500</v>
      </c>
      <c r="O55" s="43">
        <f t="shared" si="10"/>
        <v>1500</v>
      </c>
    </row>
    <row r="56" spans="1:15" ht="29.25" x14ac:dyDescent="0.25">
      <c r="A56" s="66">
        <v>52</v>
      </c>
      <c r="B56" s="49">
        <v>6</v>
      </c>
      <c r="C56" s="43" t="s">
        <v>122</v>
      </c>
      <c r="D56" s="55" t="s">
        <v>115</v>
      </c>
      <c r="E56" s="52" t="str">
        <f t="shared" si="8"/>
        <v>2.9.2</v>
      </c>
      <c r="F56" s="137" t="s">
        <v>123</v>
      </c>
      <c r="G56" s="38"/>
      <c r="H56" s="38"/>
      <c r="I56" s="126"/>
      <c r="J56" s="126"/>
      <c r="K56" s="67" t="s">
        <v>171</v>
      </c>
      <c r="L56" s="67">
        <v>1500</v>
      </c>
      <c r="M56" s="122">
        <v>83</v>
      </c>
      <c r="N56" s="122">
        <f t="shared" si="9"/>
        <v>124500</v>
      </c>
      <c r="O56" s="43">
        <f t="shared" si="10"/>
        <v>1500</v>
      </c>
    </row>
    <row r="57" spans="1:15" ht="29.25" x14ac:dyDescent="0.25">
      <c r="A57" s="66">
        <v>53</v>
      </c>
      <c r="B57" s="49">
        <v>7</v>
      </c>
      <c r="C57" s="53" t="s">
        <v>29</v>
      </c>
      <c r="D57" s="55" t="s">
        <v>115</v>
      </c>
      <c r="E57" s="52" t="str">
        <f t="shared" si="8"/>
        <v>2.9.2</v>
      </c>
      <c r="F57" s="136" t="s">
        <v>30</v>
      </c>
      <c r="G57" s="38"/>
      <c r="H57" s="38"/>
      <c r="I57" s="126"/>
      <c r="J57" s="126"/>
      <c r="K57" s="67" t="s">
        <v>172</v>
      </c>
      <c r="L57" s="67">
        <v>200</v>
      </c>
      <c r="M57" s="122">
        <v>150</v>
      </c>
      <c r="N57" s="122">
        <f t="shared" si="9"/>
        <v>30000</v>
      </c>
      <c r="O57" s="43">
        <f t="shared" si="10"/>
        <v>200</v>
      </c>
    </row>
    <row r="58" spans="1:15" ht="43.5" x14ac:dyDescent="0.25">
      <c r="A58" s="66">
        <v>54</v>
      </c>
      <c r="B58" s="49">
        <v>8</v>
      </c>
      <c r="C58" s="53" t="s">
        <v>124</v>
      </c>
      <c r="D58" s="55" t="s">
        <v>115</v>
      </c>
      <c r="E58" s="52" t="str">
        <f t="shared" si="8"/>
        <v>2.9.2</v>
      </c>
      <c r="F58" s="137" t="s">
        <v>125</v>
      </c>
      <c r="G58" s="38"/>
      <c r="H58" s="38"/>
      <c r="I58" s="126"/>
      <c r="J58" s="126"/>
      <c r="K58" s="67" t="s">
        <v>171</v>
      </c>
      <c r="L58" s="67">
        <v>300</v>
      </c>
      <c r="M58" s="122">
        <v>149</v>
      </c>
      <c r="N58" s="122">
        <f t="shared" si="9"/>
        <v>44700</v>
      </c>
      <c r="O58" s="43">
        <f t="shared" si="10"/>
        <v>300</v>
      </c>
    </row>
    <row r="59" spans="1:15" ht="43.5" x14ac:dyDescent="0.25">
      <c r="A59" s="66">
        <v>55</v>
      </c>
      <c r="B59" s="49">
        <v>9</v>
      </c>
      <c r="C59" s="43" t="s">
        <v>126</v>
      </c>
      <c r="D59" s="138" t="s">
        <v>115</v>
      </c>
      <c r="E59" s="52" t="str">
        <f t="shared" si="8"/>
        <v>2.9.2</v>
      </c>
      <c r="F59" s="136" t="s">
        <v>127</v>
      </c>
      <c r="G59" s="38"/>
      <c r="H59" s="38"/>
      <c r="I59" s="126"/>
      <c r="J59" s="126"/>
      <c r="K59" s="67" t="s">
        <v>18</v>
      </c>
      <c r="L59" s="67">
        <v>300</v>
      </c>
      <c r="M59" s="122">
        <v>159</v>
      </c>
      <c r="N59" s="122">
        <f t="shared" si="9"/>
        <v>47700</v>
      </c>
      <c r="O59" s="43">
        <f t="shared" si="10"/>
        <v>300</v>
      </c>
    </row>
    <row r="60" spans="1:15" ht="28.5" x14ac:dyDescent="0.25">
      <c r="A60" s="66">
        <v>56</v>
      </c>
      <c r="B60" s="49">
        <v>10</v>
      </c>
      <c r="C60" s="53" t="s">
        <v>128</v>
      </c>
      <c r="D60" s="55" t="s">
        <v>115</v>
      </c>
      <c r="E60" s="52" t="str">
        <f t="shared" si="8"/>
        <v>2.9.2</v>
      </c>
      <c r="F60" s="53" t="s">
        <v>129</v>
      </c>
      <c r="G60" s="38"/>
      <c r="H60" s="38"/>
      <c r="I60" s="126"/>
      <c r="J60" s="126"/>
      <c r="K60" s="67" t="s">
        <v>18</v>
      </c>
      <c r="L60" s="67">
        <v>50</v>
      </c>
      <c r="M60" s="122">
        <v>520</v>
      </c>
      <c r="N60" s="122">
        <f t="shared" si="9"/>
        <v>26000</v>
      </c>
      <c r="O60" s="43">
        <f t="shared" si="10"/>
        <v>50</v>
      </c>
    </row>
    <row r="61" spans="1:15" ht="43.5" x14ac:dyDescent="0.25">
      <c r="A61" s="66">
        <v>57</v>
      </c>
      <c r="B61" s="49">
        <v>11</v>
      </c>
      <c r="C61" s="53" t="s">
        <v>130</v>
      </c>
      <c r="D61" s="55" t="s">
        <v>115</v>
      </c>
      <c r="E61" s="52" t="str">
        <f t="shared" si="8"/>
        <v>2.9.2</v>
      </c>
      <c r="F61" s="137" t="s">
        <v>131</v>
      </c>
      <c r="G61" s="38"/>
      <c r="H61" s="38"/>
      <c r="I61" s="126"/>
      <c r="J61" s="126"/>
      <c r="K61" s="67" t="s">
        <v>18</v>
      </c>
      <c r="L61" s="67">
        <v>150</v>
      </c>
      <c r="M61" s="122">
        <v>250</v>
      </c>
      <c r="N61" s="122">
        <f t="shared" si="9"/>
        <v>37500</v>
      </c>
      <c r="O61" s="43">
        <f t="shared" si="10"/>
        <v>150</v>
      </c>
    </row>
    <row r="62" spans="1:15" ht="29.25" x14ac:dyDescent="0.25">
      <c r="A62" s="66">
        <v>58</v>
      </c>
      <c r="B62" s="49">
        <v>12</v>
      </c>
      <c r="C62" s="53" t="s">
        <v>132</v>
      </c>
      <c r="D62" s="55" t="s">
        <v>115</v>
      </c>
      <c r="E62" s="52" t="str">
        <f t="shared" si="8"/>
        <v>2.9.2</v>
      </c>
      <c r="F62" s="137" t="s">
        <v>133</v>
      </c>
      <c r="G62" s="38"/>
      <c r="H62" s="38"/>
      <c r="I62" s="126"/>
      <c r="J62" s="126"/>
      <c r="K62" s="67" t="s">
        <v>81</v>
      </c>
      <c r="L62" s="67">
        <v>20</v>
      </c>
      <c r="M62" s="122">
        <v>185</v>
      </c>
      <c r="N62" s="122">
        <f t="shared" si="9"/>
        <v>3700</v>
      </c>
      <c r="O62" s="43">
        <f t="shared" si="10"/>
        <v>20</v>
      </c>
    </row>
    <row r="63" spans="1:15" ht="43.5" x14ac:dyDescent="0.25">
      <c r="A63" s="66">
        <v>59</v>
      </c>
      <c r="B63" s="49">
        <v>13</v>
      </c>
      <c r="C63" s="53" t="s">
        <v>134</v>
      </c>
      <c r="D63" s="55" t="s">
        <v>115</v>
      </c>
      <c r="E63" s="52" t="str">
        <f t="shared" si="8"/>
        <v>2.9.2</v>
      </c>
      <c r="F63" s="137" t="s">
        <v>135</v>
      </c>
      <c r="G63" s="38"/>
      <c r="H63" s="38"/>
      <c r="I63" s="126"/>
      <c r="J63" s="126"/>
      <c r="K63" s="67" t="s">
        <v>18</v>
      </c>
      <c r="L63" s="67">
        <v>300</v>
      </c>
      <c r="M63" s="122">
        <v>190</v>
      </c>
      <c r="N63" s="122">
        <f t="shared" si="9"/>
        <v>57000</v>
      </c>
      <c r="O63" s="43">
        <f t="shared" si="10"/>
        <v>300</v>
      </c>
    </row>
    <row r="64" spans="1:15" ht="29.25" x14ac:dyDescent="0.25">
      <c r="A64" s="66">
        <v>60</v>
      </c>
      <c r="B64" s="49">
        <v>14</v>
      </c>
      <c r="C64" s="53" t="s">
        <v>136</v>
      </c>
      <c r="D64" s="55" t="s">
        <v>115</v>
      </c>
      <c r="E64" s="52" t="str">
        <f t="shared" si="8"/>
        <v>2.9.2</v>
      </c>
      <c r="F64" s="137" t="s">
        <v>137</v>
      </c>
      <c r="G64" s="38"/>
      <c r="H64" s="38"/>
      <c r="I64" s="126"/>
      <c r="J64" s="126"/>
      <c r="K64" s="67" t="s">
        <v>18</v>
      </c>
      <c r="L64" s="67">
        <v>300</v>
      </c>
      <c r="M64" s="122">
        <v>8.1999999999999993</v>
      </c>
      <c r="N64" s="122">
        <f t="shared" si="9"/>
        <v>2460</v>
      </c>
      <c r="O64" s="43">
        <f t="shared" si="10"/>
        <v>300</v>
      </c>
    </row>
    <row r="65" spans="1:15" ht="29.25" x14ac:dyDescent="0.25">
      <c r="A65" s="66">
        <v>61</v>
      </c>
      <c r="B65" s="49">
        <v>15</v>
      </c>
      <c r="C65" s="53" t="s">
        <v>138</v>
      </c>
      <c r="D65" s="55" t="s">
        <v>115</v>
      </c>
      <c r="E65" s="52" t="str">
        <f t="shared" si="8"/>
        <v>2.9.2</v>
      </c>
      <c r="F65" s="137" t="s">
        <v>139</v>
      </c>
      <c r="G65" s="38"/>
      <c r="H65" s="38"/>
      <c r="I65" s="126"/>
      <c r="J65" s="126"/>
      <c r="K65" s="67" t="s">
        <v>18</v>
      </c>
      <c r="L65" s="67">
        <v>300</v>
      </c>
      <c r="M65" s="122">
        <v>9.5</v>
      </c>
      <c r="N65" s="122">
        <f t="shared" si="9"/>
        <v>2850</v>
      </c>
      <c r="O65" s="43">
        <f t="shared" si="10"/>
        <v>300</v>
      </c>
    </row>
    <row r="66" spans="1:15" ht="28.5" customHeight="1" x14ac:dyDescent="0.25">
      <c r="A66" s="66">
        <v>62</v>
      </c>
      <c r="B66" s="49">
        <v>16</v>
      </c>
      <c r="C66" s="53" t="s">
        <v>140</v>
      </c>
      <c r="D66" s="55" t="s">
        <v>115</v>
      </c>
      <c r="E66" s="52" t="str">
        <f t="shared" si="8"/>
        <v>2.9.2</v>
      </c>
      <c r="F66" s="53" t="s">
        <v>141</v>
      </c>
      <c r="G66" s="38"/>
      <c r="H66" s="38"/>
      <c r="I66" s="126"/>
      <c r="J66" s="126"/>
      <c r="K66" s="67" t="s">
        <v>18</v>
      </c>
      <c r="L66" s="67">
        <v>100</v>
      </c>
      <c r="M66" s="122">
        <v>35.5</v>
      </c>
      <c r="N66" s="122">
        <f t="shared" si="9"/>
        <v>3550</v>
      </c>
      <c r="O66" s="43">
        <f t="shared" si="10"/>
        <v>100</v>
      </c>
    </row>
    <row r="67" spans="1:15" ht="28.5" customHeight="1" x14ac:dyDescent="0.25">
      <c r="A67" s="66">
        <v>63</v>
      </c>
      <c r="B67" s="49">
        <v>17</v>
      </c>
      <c r="C67" s="53" t="s">
        <v>142</v>
      </c>
      <c r="D67" s="55" t="s">
        <v>115</v>
      </c>
      <c r="E67" s="52" t="str">
        <f t="shared" si="8"/>
        <v>2.9.2</v>
      </c>
      <c r="F67" s="55" t="s">
        <v>143</v>
      </c>
      <c r="G67" s="38"/>
      <c r="H67" s="38"/>
      <c r="I67" s="126"/>
      <c r="J67" s="126"/>
      <c r="K67" s="67" t="s">
        <v>18</v>
      </c>
      <c r="L67" s="67">
        <v>100</v>
      </c>
      <c r="M67" s="122">
        <v>130</v>
      </c>
      <c r="N67" s="122">
        <f t="shared" si="9"/>
        <v>13000</v>
      </c>
      <c r="O67" s="43">
        <f t="shared" si="10"/>
        <v>100</v>
      </c>
    </row>
    <row r="68" spans="1:15" ht="29.25" customHeight="1" x14ac:dyDescent="0.25">
      <c r="A68" s="66">
        <v>64</v>
      </c>
      <c r="B68" s="49">
        <v>18</v>
      </c>
      <c r="C68" s="53" t="s">
        <v>142</v>
      </c>
      <c r="D68" s="55" t="s">
        <v>115</v>
      </c>
      <c r="E68" s="52" t="str">
        <f t="shared" si="8"/>
        <v>2.9.2</v>
      </c>
      <c r="F68" s="55" t="s">
        <v>143</v>
      </c>
      <c r="G68" s="38"/>
      <c r="H68" s="38"/>
      <c r="I68" s="126"/>
      <c r="J68" s="126"/>
      <c r="K68" s="67" t="s">
        <v>18</v>
      </c>
      <c r="L68" s="67">
        <v>100</v>
      </c>
      <c r="M68" s="122">
        <v>130</v>
      </c>
      <c r="N68" s="122">
        <f t="shared" si="9"/>
        <v>13000</v>
      </c>
      <c r="O68" s="43">
        <f t="shared" si="10"/>
        <v>100</v>
      </c>
    </row>
    <row r="69" spans="1:15" ht="29.25" x14ac:dyDescent="0.25">
      <c r="A69" s="66">
        <v>65</v>
      </c>
      <c r="B69" s="49">
        <v>19</v>
      </c>
      <c r="C69" s="53" t="s">
        <v>144</v>
      </c>
      <c r="D69" s="55" t="s">
        <v>115</v>
      </c>
      <c r="E69" s="52" t="str">
        <f t="shared" si="8"/>
        <v>2.9.2</v>
      </c>
      <c r="F69" s="136" t="s">
        <v>145</v>
      </c>
      <c r="G69" s="38"/>
      <c r="H69" s="38"/>
      <c r="I69" s="126"/>
      <c r="J69" s="126"/>
      <c r="K69" s="67" t="s">
        <v>18</v>
      </c>
      <c r="L69" s="67">
        <v>200</v>
      </c>
      <c r="M69" s="122">
        <v>200</v>
      </c>
      <c r="N69" s="122">
        <f t="shared" si="9"/>
        <v>40000</v>
      </c>
      <c r="O69" s="43">
        <f t="shared" si="10"/>
        <v>200</v>
      </c>
    </row>
    <row r="70" spans="1:15" ht="43.5" x14ac:dyDescent="0.25">
      <c r="A70" s="66">
        <v>66</v>
      </c>
      <c r="B70" s="49">
        <v>20</v>
      </c>
      <c r="C70" s="53" t="s">
        <v>146</v>
      </c>
      <c r="D70" s="55" t="s">
        <v>115</v>
      </c>
      <c r="E70" s="52" t="str">
        <f t="shared" si="8"/>
        <v>2.3.1</v>
      </c>
      <c r="F70" s="137" t="s">
        <v>147</v>
      </c>
      <c r="G70" s="38"/>
      <c r="H70" s="38"/>
      <c r="I70" s="126"/>
      <c r="J70" s="126"/>
      <c r="K70" s="67" t="s">
        <v>18</v>
      </c>
      <c r="L70" s="67">
        <v>200</v>
      </c>
      <c r="M70" s="122">
        <v>49</v>
      </c>
      <c r="N70" s="122">
        <f t="shared" si="9"/>
        <v>9800</v>
      </c>
      <c r="O70" s="43">
        <f t="shared" si="10"/>
        <v>200</v>
      </c>
    </row>
    <row r="71" spans="1:15" ht="57.75" x14ac:dyDescent="0.25">
      <c r="A71" s="66">
        <v>67</v>
      </c>
      <c r="B71" s="49">
        <v>21</v>
      </c>
      <c r="C71" s="53" t="s">
        <v>51</v>
      </c>
      <c r="D71" s="55" t="s">
        <v>115</v>
      </c>
      <c r="E71" s="52" t="str">
        <f t="shared" si="8"/>
        <v>2.3.1</v>
      </c>
      <c r="F71" s="137" t="s">
        <v>53</v>
      </c>
      <c r="G71" s="38"/>
      <c r="H71" s="38"/>
      <c r="I71" s="126"/>
      <c r="J71" s="126"/>
      <c r="K71" s="67" t="s">
        <v>18</v>
      </c>
      <c r="L71" s="67">
        <v>150</v>
      </c>
      <c r="M71" s="122">
        <v>590</v>
      </c>
      <c r="N71" s="122">
        <f t="shared" si="9"/>
        <v>88500</v>
      </c>
      <c r="O71" s="43">
        <f t="shared" si="10"/>
        <v>150</v>
      </c>
    </row>
    <row r="72" spans="1:15" ht="57.75" x14ac:dyDescent="0.25">
      <c r="A72" s="66">
        <v>68</v>
      </c>
      <c r="B72" s="49">
        <v>22</v>
      </c>
      <c r="C72" s="53" t="s">
        <v>148</v>
      </c>
      <c r="D72" s="55" t="s">
        <v>115</v>
      </c>
      <c r="E72" s="52" t="str">
        <f t="shared" si="8"/>
        <v>2.3.1</v>
      </c>
      <c r="F72" s="137" t="s">
        <v>149</v>
      </c>
      <c r="G72" s="38"/>
      <c r="H72" s="38"/>
      <c r="I72" s="126"/>
      <c r="J72" s="126"/>
      <c r="K72" s="67" t="s">
        <v>18</v>
      </c>
      <c r="L72" s="67">
        <v>10</v>
      </c>
      <c r="M72" s="122">
        <v>1891</v>
      </c>
      <c r="N72" s="122">
        <f t="shared" si="9"/>
        <v>18910</v>
      </c>
      <c r="O72" s="43">
        <f t="shared" si="10"/>
        <v>10</v>
      </c>
    </row>
    <row r="73" spans="1:15" ht="57.75" x14ac:dyDescent="0.25">
      <c r="A73" s="66">
        <v>69</v>
      </c>
      <c r="B73" s="49">
        <v>23</v>
      </c>
      <c r="C73" s="53" t="s">
        <v>150</v>
      </c>
      <c r="D73" s="55" t="s">
        <v>115</v>
      </c>
      <c r="E73" s="52" t="str">
        <f t="shared" si="8"/>
        <v>2.3.1</v>
      </c>
      <c r="F73" s="137" t="s">
        <v>151</v>
      </c>
      <c r="G73" s="38"/>
      <c r="H73" s="38"/>
      <c r="I73" s="126"/>
      <c r="J73" s="126"/>
      <c r="K73" s="67" t="s">
        <v>18</v>
      </c>
      <c r="L73" s="67">
        <v>10</v>
      </c>
      <c r="M73" s="122">
        <v>1395</v>
      </c>
      <c r="N73" s="122">
        <f t="shared" si="9"/>
        <v>13950</v>
      </c>
      <c r="O73" s="43">
        <f t="shared" si="10"/>
        <v>10</v>
      </c>
    </row>
    <row r="74" spans="1:15" ht="72" x14ac:dyDescent="0.25">
      <c r="A74" s="66">
        <v>70</v>
      </c>
      <c r="B74" s="49">
        <v>24</v>
      </c>
      <c r="C74" s="53" t="s">
        <v>54</v>
      </c>
      <c r="D74" s="55" t="s">
        <v>115</v>
      </c>
      <c r="E74" s="52" t="str">
        <f t="shared" si="8"/>
        <v>2.3.1</v>
      </c>
      <c r="F74" s="137" t="s">
        <v>111</v>
      </c>
      <c r="G74" s="38"/>
      <c r="H74" s="38"/>
      <c r="I74" s="126"/>
      <c r="J74" s="126"/>
      <c r="K74" s="67" t="s">
        <v>173</v>
      </c>
      <c r="L74" s="67">
        <v>350</v>
      </c>
      <c r="M74" s="122">
        <v>1512</v>
      </c>
      <c r="N74" s="122">
        <f t="shared" si="9"/>
        <v>529200</v>
      </c>
      <c r="O74" s="43">
        <f t="shared" si="10"/>
        <v>350</v>
      </c>
    </row>
    <row r="75" spans="1:15" ht="72" x14ac:dyDescent="0.25">
      <c r="A75" s="66">
        <v>71</v>
      </c>
      <c r="B75" s="49">
        <v>25</v>
      </c>
      <c r="C75" s="53" t="s">
        <v>56</v>
      </c>
      <c r="D75" s="55" t="s">
        <v>115</v>
      </c>
      <c r="E75" s="52" t="str">
        <f t="shared" si="8"/>
        <v>2.3.1</v>
      </c>
      <c r="F75" s="137" t="s">
        <v>112</v>
      </c>
      <c r="G75" s="38"/>
      <c r="H75" s="38"/>
      <c r="I75" s="126"/>
      <c r="J75" s="126"/>
      <c r="K75" s="67" t="s">
        <v>174</v>
      </c>
      <c r="L75" s="67">
        <v>350</v>
      </c>
      <c r="M75" s="122">
        <v>1095</v>
      </c>
      <c r="N75" s="122">
        <f t="shared" si="9"/>
        <v>383250</v>
      </c>
      <c r="O75" s="43">
        <f t="shared" si="10"/>
        <v>350</v>
      </c>
    </row>
    <row r="76" spans="1:15" ht="57.75" x14ac:dyDescent="0.25">
      <c r="A76" s="66">
        <v>72</v>
      </c>
      <c r="B76" s="49">
        <v>26</v>
      </c>
      <c r="C76" s="53" t="s">
        <v>152</v>
      </c>
      <c r="D76" s="55" t="s">
        <v>115</v>
      </c>
      <c r="E76" s="52" t="str">
        <f t="shared" si="8"/>
        <v>2.9.2</v>
      </c>
      <c r="F76" s="137" t="s">
        <v>153</v>
      </c>
      <c r="G76" s="38"/>
      <c r="H76" s="38"/>
      <c r="I76" s="126"/>
      <c r="J76" s="126"/>
      <c r="K76" s="67" t="s">
        <v>18</v>
      </c>
      <c r="L76" s="67">
        <v>5</v>
      </c>
      <c r="M76" s="122">
        <v>2445</v>
      </c>
      <c r="N76" s="122">
        <f t="shared" si="9"/>
        <v>12225</v>
      </c>
      <c r="O76" s="43">
        <f t="shared" si="10"/>
        <v>5</v>
      </c>
    </row>
    <row r="77" spans="1:15" ht="29.25" x14ac:dyDescent="0.25">
      <c r="A77" s="66">
        <v>73</v>
      </c>
      <c r="B77" s="49">
        <v>27</v>
      </c>
      <c r="C77" s="53" t="s">
        <v>154</v>
      </c>
      <c r="D77" s="55" t="s">
        <v>115</v>
      </c>
      <c r="E77" s="52" t="str">
        <f t="shared" si="8"/>
        <v>2.9.2</v>
      </c>
      <c r="F77" s="137" t="s">
        <v>155</v>
      </c>
      <c r="G77" s="38"/>
      <c r="H77" s="38"/>
      <c r="I77" s="126"/>
      <c r="J77" s="126"/>
      <c r="K77" s="67" t="s">
        <v>18</v>
      </c>
      <c r="L77" s="67">
        <v>20</v>
      </c>
      <c r="M77" s="122">
        <v>219</v>
      </c>
      <c r="N77" s="122">
        <f t="shared" si="9"/>
        <v>4380</v>
      </c>
      <c r="O77" s="43">
        <f t="shared" si="10"/>
        <v>20</v>
      </c>
    </row>
    <row r="78" spans="1:15" ht="43.5" x14ac:dyDescent="0.25">
      <c r="A78" s="66">
        <v>74</v>
      </c>
      <c r="B78" s="49">
        <v>30</v>
      </c>
      <c r="C78" s="53" t="s">
        <v>156</v>
      </c>
      <c r="D78" s="55" t="s">
        <v>115</v>
      </c>
      <c r="E78" s="52" t="str">
        <f t="shared" si="8"/>
        <v>2.3.1</v>
      </c>
      <c r="F78" s="137" t="s">
        <v>157</v>
      </c>
      <c r="G78" s="38"/>
      <c r="H78" s="38"/>
      <c r="I78" s="126"/>
      <c r="J78" s="126"/>
      <c r="K78" s="67" t="s">
        <v>175</v>
      </c>
      <c r="L78" s="67">
        <v>3000</v>
      </c>
      <c r="M78" s="122">
        <v>8</v>
      </c>
      <c r="N78" s="122">
        <f t="shared" si="9"/>
        <v>24000</v>
      </c>
      <c r="O78" s="43">
        <f t="shared" si="10"/>
        <v>3000</v>
      </c>
    </row>
    <row r="79" spans="1:15" ht="72" x14ac:dyDescent="0.25">
      <c r="A79" s="66">
        <v>75</v>
      </c>
      <c r="B79" s="49">
        <v>31</v>
      </c>
      <c r="C79" s="53" t="s">
        <v>158</v>
      </c>
      <c r="D79" s="55" t="s">
        <v>115</v>
      </c>
      <c r="E79" s="52" t="str">
        <f t="shared" si="8"/>
        <v>2.3.1</v>
      </c>
      <c r="F79" s="137" t="s">
        <v>159</v>
      </c>
      <c r="G79" s="38"/>
      <c r="H79" s="38"/>
      <c r="I79" s="126"/>
      <c r="J79" s="126"/>
      <c r="K79" s="67" t="s">
        <v>173</v>
      </c>
      <c r="L79" s="67">
        <v>5</v>
      </c>
      <c r="M79" s="122">
        <v>1750</v>
      </c>
      <c r="N79" s="122">
        <f t="shared" si="9"/>
        <v>8750</v>
      </c>
      <c r="O79" s="43">
        <f t="shared" si="10"/>
        <v>5</v>
      </c>
    </row>
    <row r="80" spans="1:15" ht="57.75" x14ac:dyDescent="0.25">
      <c r="A80" s="66">
        <v>76</v>
      </c>
      <c r="B80" s="49">
        <v>32</v>
      </c>
      <c r="C80" s="53" t="s">
        <v>160</v>
      </c>
      <c r="D80" s="55" t="s">
        <v>115</v>
      </c>
      <c r="E80" s="52" t="str">
        <f t="shared" si="8"/>
        <v>2.3.1</v>
      </c>
      <c r="F80" s="137" t="s">
        <v>161</v>
      </c>
      <c r="G80" s="38"/>
      <c r="H80" s="38"/>
      <c r="I80" s="126"/>
      <c r="J80" s="126"/>
      <c r="K80" s="67" t="s">
        <v>176</v>
      </c>
      <c r="L80" s="67">
        <v>800</v>
      </c>
      <c r="M80" s="122">
        <v>21.08</v>
      </c>
      <c r="N80" s="122">
        <f t="shared" si="9"/>
        <v>16864</v>
      </c>
      <c r="O80" s="43">
        <f t="shared" si="10"/>
        <v>800</v>
      </c>
    </row>
    <row r="81" spans="1:15" ht="57.75" x14ac:dyDescent="0.25">
      <c r="A81" s="66">
        <v>77</v>
      </c>
      <c r="B81" s="49">
        <v>33</v>
      </c>
      <c r="C81" s="53" t="s">
        <v>162</v>
      </c>
      <c r="D81" s="55" t="s">
        <v>115</v>
      </c>
      <c r="E81" s="52" t="str">
        <f t="shared" si="8"/>
        <v>2.3.1</v>
      </c>
      <c r="F81" s="137" t="s">
        <v>163</v>
      </c>
      <c r="G81" s="38"/>
      <c r="H81" s="38"/>
      <c r="I81" s="126"/>
      <c r="J81" s="126"/>
      <c r="K81" s="67" t="s">
        <v>18</v>
      </c>
      <c r="L81" s="67">
        <v>1200</v>
      </c>
      <c r="M81" s="122">
        <v>10.199999999999999</v>
      </c>
      <c r="N81" s="122">
        <f t="shared" si="9"/>
        <v>12240</v>
      </c>
      <c r="O81" s="43">
        <f t="shared" si="10"/>
        <v>1200</v>
      </c>
    </row>
    <row r="82" spans="1:15" ht="43.5" x14ac:dyDescent="0.25">
      <c r="A82" s="66">
        <v>78</v>
      </c>
      <c r="B82" s="49">
        <v>34</v>
      </c>
      <c r="C82" s="53" t="s">
        <v>164</v>
      </c>
      <c r="D82" s="55" t="s">
        <v>115</v>
      </c>
      <c r="E82" s="52" t="str">
        <f t="shared" si="8"/>
        <v>2.9.2</v>
      </c>
      <c r="F82" s="137" t="s">
        <v>165</v>
      </c>
      <c r="G82" s="38"/>
      <c r="H82" s="38"/>
      <c r="I82" s="126"/>
      <c r="J82" s="126"/>
      <c r="K82" s="67" t="s">
        <v>18</v>
      </c>
      <c r="L82" s="67">
        <v>20</v>
      </c>
      <c r="M82" s="122">
        <v>456.52</v>
      </c>
      <c r="N82" s="122">
        <f t="shared" si="9"/>
        <v>9130.4</v>
      </c>
      <c r="O82" s="43">
        <f t="shared" si="10"/>
        <v>20</v>
      </c>
    </row>
    <row r="83" spans="1:15" ht="28.5" x14ac:dyDescent="0.25">
      <c r="A83" s="66">
        <v>79</v>
      </c>
      <c r="B83" s="49">
        <v>36</v>
      </c>
      <c r="C83" s="53" t="s">
        <v>166</v>
      </c>
      <c r="D83" s="55" t="s">
        <v>167</v>
      </c>
      <c r="E83" s="52" t="str">
        <f t="shared" si="8"/>
        <v>2.9.2</v>
      </c>
      <c r="F83" s="55" t="s">
        <v>168</v>
      </c>
      <c r="G83" s="38"/>
      <c r="H83" s="38"/>
      <c r="I83" s="126"/>
      <c r="J83" s="126"/>
      <c r="K83" s="67" t="s">
        <v>18</v>
      </c>
      <c r="L83" s="67">
        <v>500</v>
      </c>
      <c r="M83" s="122">
        <v>45.9</v>
      </c>
      <c r="N83" s="122">
        <f t="shared" si="9"/>
        <v>22950</v>
      </c>
      <c r="O83" s="43">
        <f t="shared" si="10"/>
        <v>500</v>
      </c>
    </row>
    <row r="84" spans="1:15" x14ac:dyDescent="0.25">
      <c r="A84" s="66">
        <v>80</v>
      </c>
      <c r="B84" s="49">
        <v>37</v>
      </c>
      <c r="C84" s="53" t="s">
        <v>169</v>
      </c>
      <c r="D84" s="55" t="s">
        <v>167</v>
      </c>
      <c r="E84" s="52" t="str">
        <f t="shared" si="8"/>
        <v>2.9.2</v>
      </c>
      <c r="F84" s="53" t="s">
        <v>170</v>
      </c>
      <c r="G84" s="38"/>
      <c r="H84" s="38"/>
      <c r="I84" s="126"/>
      <c r="J84" s="126"/>
      <c r="K84" s="67" t="s">
        <v>18</v>
      </c>
      <c r="L84" s="67">
        <v>2500</v>
      </c>
      <c r="M84" s="122">
        <v>53</v>
      </c>
      <c r="N84" s="122">
        <f t="shared" si="9"/>
        <v>132500</v>
      </c>
      <c r="O84" s="43">
        <f t="shared" si="10"/>
        <v>2500</v>
      </c>
    </row>
    <row r="85" spans="1:15" ht="29.25" customHeight="1" x14ac:dyDescent="0.25">
      <c r="A85" s="33"/>
      <c r="B85" s="33"/>
      <c r="C85" s="33"/>
      <c r="D85" s="33"/>
      <c r="E85" s="33"/>
      <c r="F85" s="33"/>
      <c r="G85" s="38"/>
      <c r="H85" s="38"/>
      <c r="I85" s="38"/>
      <c r="J85" s="42">
        <f>+J5+J6+J7+J8+J9+J10+J11+J12+J13+J14+J15+J16+J17+J18+J19+J20+J21+J22+J23+J24+J25+J26+J27+J28+J29+J30+J31+J32+J33+J34+J35+J36+J37+J38+J39+J40+J41+J42+J43+J44+J45+J46+J47+J50+J51</f>
        <v>1600700</v>
      </c>
      <c r="K85" s="33"/>
      <c r="L85" s="33"/>
      <c r="M85" s="33"/>
      <c r="N85" s="139">
        <f>+N5+N44+N48+N49+N52+N53+N54+N55+N56+N57+N58+N59+N60+N61+N62+N63+N64+N65+N66+N67+N68+N69+N70+N71+N72+N73+N74+N75+N76+N78+N77+N79+N80+N81+N82+N83+N84</f>
        <v>1975264.4</v>
      </c>
      <c r="O85" s="33"/>
    </row>
  </sheetData>
  <sortState xmlns:xlrd2="http://schemas.microsoft.com/office/spreadsheetml/2017/richdata2" ref="A5:O87">
    <sortCondition ref="O5:O87"/>
  </sortState>
  <mergeCells count="6">
    <mergeCell ref="O2:O4"/>
    <mergeCell ref="A2:E2"/>
    <mergeCell ref="H3:J3"/>
    <mergeCell ref="H2:J2"/>
    <mergeCell ref="L2:N2"/>
    <mergeCell ref="L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508C-4B89-4A77-BE2D-BCA5EA5CEE8C}">
  <dimension ref="A3:P86"/>
  <sheetViews>
    <sheetView topLeftCell="A65" workbookViewId="0">
      <selection activeCell="N85" sqref="N85"/>
    </sheetView>
  </sheetViews>
  <sheetFormatPr baseColWidth="10" defaultRowHeight="15" x14ac:dyDescent="0.25"/>
  <cols>
    <col min="1" max="1" width="5.28515625" bestFit="1" customWidth="1"/>
    <col min="2" max="2" width="10.7109375" bestFit="1" customWidth="1"/>
    <col min="3" max="3" width="14.42578125" bestFit="1" customWidth="1"/>
    <col min="4" max="4" width="29.28515625" bestFit="1" customWidth="1"/>
    <col min="5" max="5" width="6" bestFit="1" customWidth="1"/>
    <col min="6" max="6" width="99.42578125" customWidth="1"/>
    <col min="7" max="7" width="13.42578125" customWidth="1"/>
    <col min="8" max="8" width="10.28515625" bestFit="1" customWidth="1"/>
    <col min="9" max="9" width="10.28515625" customWidth="1"/>
    <col min="10" max="10" width="12.140625" customWidth="1"/>
    <col min="11" max="11" width="24.140625" customWidth="1"/>
    <col min="12" max="12" width="10.140625" customWidth="1"/>
    <col min="13" max="13" width="10.28515625" bestFit="1" customWidth="1"/>
    <col min="14" max="14" width="11.85546875" customWidth="1"/>
    <col min="15" max="15" width="8.42578125" customWidth="1"/>
    <col min="16" max="16" width="11.42578125" customWidth="1"/>
  </cols>
  <sheetData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9</v>
      </c>
      <c r="I3" t="s">
        <v>10</v>
      </c>
      <c r="J3" t="s">
        <v>11</v>
      </c>
      <c r="K3" t="s">
        <v>251</v>
      </c>
      <c r="L3" t="s">
        <v>7</v>
      </c>
      <c r="M3" t="s">
        <v>9</v>
      </c>
      <c r="N3" t="s">
        <v>10</v>
      </c>
      <c r="O3" t="s">
        <v>11</v>
      </c>
      <c r="P3" t="s">
        <v>251</v>
      </c>
    </row>
    <row r="4" spans="1:16" x14ac:dyDescent="0.25">
      <c r="A4">
        <v>1</v>
      </c>
      <c r="B4">
        <v>1</v>
      </c>
      <c r="C4" s="114" t="s">
        <v>15</v>
      </c>
      <c r="D4" t="s">
        <v>16</v>
      </c>
      <c r="E4" t="s">
        <v>20</v>
      </c>
      <c r="F4" s="46" t="s">
        <v>110</v>
      </c>
      <c r="G4" t="s">
        <v>18</v>
      </c>
      <c r="H4">
        <v>5</v>
      </c>
      <c r="I4">
        <v>3000</v>
      </c>
      <c r="J4">
        <v>15000</v>
      </c>
    </row>
    <row r="5" spans="1:16" x14ac:dyDescent="0.25">
      <c r="A5">
        <v>46</v>
      </c>
      <c r="B5">
        <v>1</v>
      </c>
      <c r="C5" s="114" t="s">
        <v>15</v>
      </c>
      <c r="D5" t="s">
        <v>115</v>
      </c>
      <c r="E5" t="s">
        <v>20</v>
      </c>
      <c r="F5" s="21" t="s">
        <v>110</v>
      </c>
      <c r="L5" t="s">
        <v>171</v>
      </c>
      <c r="M5">
        <v>10</v>
      </c>
      <c r="N5">
        <v>2614</v>
      </c>
      <c r="O5">
        <v>26140</v>
      </c>
    </row>
    <row r="6" spans="1:16" x14ac:dyDescent="0.25">
      <c r="A6">
        <v>48</v>
      </c>
      <c r="B6">
        <v>3</v>
      </c>
      <c r="C6" t="s">
        <v>118</v>
      </c>
      <c r="D6" t="s">
        <v>115</v>
      </c>
      <c r="E6" t="s">
        <v>20</v>
      </c>
      <c r="F6" s="21" t="s">
        <v>119</v>
      </c>
      <c r="L6" t="s">
        <v>171</v>
      </c>
      <c r="M6">
        <v>50</v>
      </c>
      <c r="N6">
        <v>231</v>
      </c>
      <c r="O6">
        <v>11550</v>
      </c>
    </row>
    <row r="7" spans="1:16" x14ac:dyDescent="0.25">
      <c r="A7">
        <v>5</v>
      </c>
      <c r="B7">
        <v>5</v>
      </c>
      <c r="C7" t="s">
        <v>27</v>
      </c>
      <c r="D7" t="s">
        <v>16</v>
      </c>
      <c r="E7" t="s">
        <v>20</v>
      </c>
      <c r="F7" s="46" t="s">
        <v>28</v>
      </c>
      <c r="G7" t="s">
        <v>18</v>
      </c>
      <c r="H7">
        <v>50</v>
      </c>
      <c r="I7">
        <v>150</v>
      </c>
      <c r="J7">
        <v>7500</v>
      </c>
    </row>
    <row r="8" spans="1:16" x14ac:dyDescent="0.25">
      <c r="A8">
        <v>26</v>
      </c>
      <c r="B8">
        <v>26</v>
      </c>
      <c r="C8" t="s">
        <v>73</v>
      </c>
      <c r="D8" t="s">
        <v>16</v>
      </c>
      <c r="E8" t="s">
        <v>20</v>
      </c>
      <c r="F8" s="46" t="s">
        <v>201</v>
      </c>
      <c r="G8" t="s">
        <v>18</v>
      </c>
      <c r="H8">
        <v>10</v>
      </c>
      <c r="I8">
        <v>200</v>
      </c>
      <c r="J8">
        <v>2000</v>
      </c>
    </row>
    <row r="9" spans="1:16" x14ac:dyDescent="0.25">
      <c r="A9">
        <v>2</v>
      </c>
      <c r="B9">
        <v>2</v>
      </c>
      <c r="C9" t="s">
        <v>19</v>
      </c>
      <c r="D9" t="s">
        <v>16</v>
      </c>
      <c r="E9" t="s">
        <v>20</v>
      </c>
      <c r="F9" s="46" t="s">
        <v>186</v>
      </c>
      <c r="G9" t="s">
        <v>18</v>
      </c>
      <c r="H9">
        <v>15</v>
      </c>
      <c r="I9">
        <v>500</v>
      </c>
      <c r="J9">
        <v>7500</v>
      </c>
    </row>
    <row r="10" spans="1:16" x14ac:dyDescent="0.25">
      <c r="A10">
        <v>3</v>
      </c>
      <c r="B10">
        <v>3</v>
      </c>
      <c r="C10" t="s">
        <v>22</v>
      </c>
      <c r="D10" t="s">
        <v>16</v>
      </c>
      <c r="E10" t="s">
        <v>20</v>
      </c>
      <c r="F10" s="46" t="s">
        <v>23</v>
      </c>
      <c r="G10" t="s">
        <v>24</v>
      </c>
      <c r="H10">
        <v>7</v>
      </c>
      <c r="I10">
        <v>600</v>
      </c>
      <c r="J10">
        <v>4200</v>
      </c>
    </row>
    <row r="11" spans="1:16" x14ac:dyDescent="0.25">
      <c r="A11">
        <v>4</v>
      </c>
      <c r="B11">
        <v>4</v>
      </c>
      <c r="C11" t="s">
        <v>25</v>
      </c>
      <c r="D11" t="s">
        <v>16</v>
      </c>
      <c r="E11" t="s">
        <v>20</v>
      </c>
      <c r="F11" s="46" t="s">
        <v>26</v>
      </c>
      <c r="G11" t="s">
        <v>24</v>
      </c>
      <c r="H11">
        <v>2</v>
      </c>
      <c r="I11">
        <v>2500</v>
      </c>
      <c r="J11">
        <v>5000</v>
      </c>
    </row>
    <row r="12" spans="1:16" x14ac:dyDescent="0.25">
      <c r="A12">
        <v>49</v>
      </c>
      <c r="B12">
        <v>4</v>
      </c>
      <c r="C12" t="s">
        <v>120</v>
      </c>
      <c r="D12" t="s">
        <v>115</v>
      </c>
      <c r="E12" t="s">
        <v>20</v>
      </c>
      <c r="F12" s="21" t="s">
        <v>121</v>
      </c>
      <c r="L12" t="s">
        <v>171</v>
      </c>
      <c r="M12">
        <v>50</v>
      </c>
      <c r="N12">
        <v>820</v>
      </c>
      <c r="O12">
        <v>41000</v>
      </c>
    </row>
    <row r="13" spans="1:16" x14ac:dyDescent="0.25">
      <c r="A13">
        <v>29</v>
      </c>
      <c r="B13">
        <v>29</v>
      </c>
      <c r="C13" t="s">
        <v>77</v>
      </c>
      <c r="D13" t="s">
        <v>16</v>
      </c>
      <c r="E13" t="s">
        <v>20</v>
      </c>
      <c r="F13" s="46" t="s">
        <v>202</v>
      </c>
      <c r="G13" t="s">
        <v>18</v>
      </c>
      <c r="H13">
        <v>200</v>
      </c>
      <c r="I13">
        <v>100</v>
      </c>
      <c r="J13">
        <v>20000</v>
      </c>
      <c r="K13" t="s">
        <v>254</v>
      </c>
    </row>
    <row r="14" spans="1:16" x14ac:dyDescent="0.25">
      <c r="A14">
        <v>30</v>
      </c>
      <c r="B14">
        <v>30</v>
      </c>
      <c r="C14" t="s">
        <v>77</v>
      </c>
      <c r="D14" t="s">
        <v>16</v>
      </c>
      <c r="E14" t="s">
        <v>20</v>
      </c>
      <c r="F14" s="46" t="s">
        <v>202</v>
      </c>
      <c r="G14" t="s">
        <v>18</v>
      </c>
      <c r="H14">
        <v>200</v>
      </c>
      <c r="I14">
        <v>100</v>
      </c>
      <c r="J14">
        <v>20000</v>
      </c>
      <c r="K14" t="s">
        <v>255</v>
      </c>
    </row>
    <row r="15" spans="1:16" x14ac:dyDescent="0.25">
      <c r="A15">
        <v>27</v>
      </c>
      <c r="B15">
        <v>27</v>
      </c>
      <c r="C15" t="s">
        <v>75</v>
      </c>
      <c r="D15" t="s">
        <v>16</v>
      </c>
      <c r="E15" t="s">
        <v>20</v>
      </c>
      <c r="F15" s="46" t="s">
        <v>76</v>
      </c>
      <c r="G15" t="s">
        <v>18</v>
      </c>
      <c r="H15">
        <v>200</v>
      </c>
      <c r="I15">
        <v>100</v>
      </c>
      <c r="J15">
        <v>20000</v>
      </c>
      <c r="K15" t="s">
        <v>252</v>
      </c>
    </row>
    <row r="16" spans="1:16" x14ac:dyDescent="0.25">
      <c r="A16">
        <v>28</v>
      </c>
      <c r="B16">
        <v>28</v>
      </c>
      <c r="C16" t="s">
        <v>75</v>
      </c>
      <c r="D16" t="s">
        <v>16</v>
      </c>
      <c r="E16" t="s">
        <v>20</v>
      </c>
      <c r="F16" s="46" t="s">
        <v>76</v>
      </c>
      <c r="G16" t="s">
        <v>18</v>
      </c>
      <c r="H16">
        <v>200</v>
      </c>
      <c r="I16">
        <v>100</v>
      </c>
      <c r="J16">
        <v>20000</v>
      </c>
      <c r="K16" t="s">
        <v>253</v>
      </c>
    </row>
    <row r="17" spans="1:16" x14ac:dyDescent="0.25">
      <c r="A17">
        <v>6</v>
      </c>
      <c r="B17">
        <v>6</v>
      </c>
      <c r="C17" t="s">
        <v>29</v>
      </c>
      <c r="D17" t="s">
        <v>16</v>
      </c>
      <c r="E17" t="s">
        <v>20</v>
      </c>
      <c r="F17" s="46" t="s">
        <v>30</v>
      </c>
      <c r="G17" t="s">
        <v>24</v>
      </c>
      <c r="H17">
        <v>50</v>
      </c>
      <c r="I17">
        <v>200</v>
      </c>
      <c r="J17">
        <v>10000</v>
      </c>
    </row>
    <row r="18" spans="1:16" x14ac:dyDescent="0.25">
      <c r="A18">
        <v>52</v>
      </c>
      <c r="B18">
        <v>7</v>
      </c>
      <c r="C18" t="s">
        <v>29</v>
      </c>
      <c r="D18" t="s">
        <v>115</v>
      </c>
      <c r="E18" t="s">
        <v>20</v>
      </c>
      <c r="F18" s="21" t="s">
        <v>30</v>
      </c>
      <c r="L18" t="s">
        <v>172</v>
      </c>
      <c r="M18">
        <v>200</v>
      </c>
      <c r="N18">
        <v>150</v>
      </c>
      <c r="O18">
        <v>30000</v>
      </c>
    </row>
    <row r="19" spans="1:16" x14ac:dyDescent="0.25">
      <c r="A19">
        <v>7</v>
      </c>
      <c r="B19">
        <v>7</v>
      </c>
      <c r="C19" t="s">
        <v>31</v>
      </c>
      <c r="D19" t="s">
        <v>16</v>
      </c>
      <c r="E19" t="s">
        <v>20</v>
      </c>
      <c r="F19" s="46" t="s">
        <v>32</v>
      </c>
      <c r="G19" t="s">
        <v>24</v>
      </c>
      <c r="H19">
        <v>15</v>
      </c>
      <c r="I19">
        <v>250</v>
      </c>
      <c r="J19">
        <v>3750</v>
      </c>
    </row>
    <row r="20" spans="1:16" x14ac:dyDescent="0.25">
      <c r="A20">
        <v>37</v>
      </c>
      <c r="B20">
        <v>37</v>
      </c>
      <c r="C20" t="s">
        <v>92</v>
      </c>
      <c r="D20" t="s">
        <v>16</v>
      </c>
      <c r="E20" t="s">
        <v>20</v>
      </c>
      <c r="F20" s="46" t="s">
        <v>179</v>
      </c>
      <c r="G20" t="s">
        <v>24</v>
      </c>
      <c r="H20">
        <v>15</v>
      </c>
      <c r="I20">
        <v>300</v>
      </c>
      <c r="J20">
        <v>4500</v>
      </c>
      <c r="K20" t="s">
        <v>223</v>
      </c>
    </row>
    <row r="21" spans="1:16" x14ac:dyDescent="0.25">
      <c r="A21">
        <v>47</v>
      </c>
      <c r="B21">
        <v>2</v>
      </c>
      <c r="C21" t="s">
        <v>116</v>
      </c>
      <c r="D21" t="s">
        <v>115</v>
      </c>
      <c r="E21" t="s">
        <v>20</v>
      </c>
      <c r="F21" s="21" t="s">
        <v>117</v>
      </c>
      <c r="L21" t="s">
        <v>172</v>
      </c>
      <c r="M21">
        <v>20</v>
      </c>
      <c r="N21">
        <v>450</v>
      </c>
      <c r="O21">
        <v>9000</v>
      </c>
      <c r="P21" t="s">
        <v>228</v>
      </c>
    </row>
    <row r="22" spans="1:16" x14ac:dyDescent="0.25">
      <c r="A22">
        <v>8</v>
      </c>
      <c r="B22">
        <v>8</v>
      </c>
      <c r="C22" t="s">
        <v>33</v>
      </c>
      <c r="D22" t="s">
        <v>16</v>
      </c>
      <c r="E22" t="s">
        <v>20</v>
      </c>
      <c r="F22" s="46" t="s">
        <v>187</v>
      </c>
      <c r="G22" t="s">
        <v>35</v>
      </c>
      <c r="H22">
        <v>15</v>
      </c>
      <c r="I22">
        <v>700</v>
      </c>
      <c r="J22">
        <v>10500</v>
      </c>
      <c r="K22" t="s">
        <v>209</v>
      </c>
    </row>
    <row r="23" spans="1:16" x14ac:dyDescent="0.25">
      <c r="A23">
        <v>9</v>
      </c>
      <c r="B23">
        <v>9</v>
      </c>
      <c r="C23" t="s">
        <v>36</v>
      </c>
      <c r="D23" t="s">
        <v>16</v>
      </c>
      <c r="E23" t="s">
        <v>20</v>
      </c>
      <c r="F23" s="46" t="s">
        <v>188</v>
      </c>
      <c r="G23" t="s">
        <v>18</v>
      </c>
      <c r="H23">
        <v>50</v>
      </c>
      <c r="I23">
        <v>200</v>
      </c>
      <c r="J23">
        <v>10000</v>
      </c>
    </row>
    <row r="24" spans="1:16" x14ac:dyDescent="0.25">
      <c r="A24">
        <v>53</v>
      </c>
      <c r="B24">
        <v>8</v>
      </c>
      <c r="C24" t="s">
        <v>124</v>
      </c>
      <c r="D24" t="s">
        <v>115</v>
      </c>
      <c r="E24" t="s">
        <v>20</v>
      </c>
      <c r="F24" s="21" t="s">
        <v>125</v>
      </c>
      <c r="L24" t="s">
        <v>171</v>
      </c>
      <c r="M24">
        <v>300</v>
      </c>
      <c r="N24">
        <v>149</v>
      </c>
      <c r="O24">
        <v>44700</v>
      </c>
      <c r="P24" t="s">
        <v>231</v>
      </c>
    </row>
    <row r="25" spans="1:16" x14ac:dyDescent="0.25">
      <c r="A25">
        <v>54</v>
      </c>
      <c r="B25">
        <v>9</v>
      </c>
      <c r="C25" t="s">
        <v>126</v>
      </c>
      <c r="D25" t="s">
        <v>115</v>
      </c>
      <c r="E25" t="s">
        <v>20</v>
      </c>
      <c r="F25" s="21" t="s">
        <v>127</v>
      </c>
      <c r="L25" t="s">
        <v>18</v>
      </c>
      <c r="M25">
        <v>300</v>
      </c>
      <c r="N25">
        <v>159</v>
      </c>
      <c r="O25">
        <v>47700</v>
      </c>
      <c r="P25" t="s">
        <v>231</v>
      </c>
    </row>
    <row r="26" spans="1:16" x14ac:dyDescent="0.25">
      <c r="A26">
        <v>20</v>
      </c>
      <c r="B26">
        <v>20</v>
      </c>
      <c r="C26" t="s">
        <v>60</v>
      </c>
      <c r="D26" t="s">
        <v>16</v>
      </c>
      <c r="E26" t="s">
        <v>20</v>
      </c>
      <c r="F26" s="46" t="s">
        <v>196</v>
      </c>
      <c r="G26" t="s">
        <v>18</v>
      </c>
      <c r="H26">
        <v>20</v>
      </c>
      <c r="I26">
        <v>100</v>
      </c>
      <c r="J26">
        <v>2000</v>
      </c>
      <c r="K26" t="s">
        <v>213</v>
      </c>
    </row>
    <row r="27" spans="1:16" x14ac:dyDescent="0.25">
      <c r="A27">
        <v>19</v>
      </c>
      <c r="B27">
        <v>19</v>
      </c>
      <c r="C27" t="s">
        <v>58</v>
      </c>
      <c r="D27" t="s">
        <v>16</v>
      </c>
      <c r="E27" t="s">
        <v>20</v>
      </c>
      <c r="F27" s="46" t="s">
        <v>195</v>
      </c>
      <c r="G27" t="s">
        <v>18</v>
      </c>
      <c r="H27">
        <v>40</v>
      </c>
      <c r="I27">
        <v>100</v>
      </c>
      <c r="J27">
        <v>4000</v>
      </c>
      <c r="K27" t="s">
        <v>212</v>
      </c>
    </row>
    <row r="28" spans="1:16" x14ac:dyDescent="0.25">
      <c r="A28">
        <v>55</v>
      </c>
      <c r="B28">
        <v>10</v>
      </c>
      <c r="C28" t="s">
        <v>128</v>
      </c>
      <c r="D28" t="s">
        <v>115</v>
      </c>
      <c r="E28" t="s">
        <v>20</v>
      </c>
      <c r="F28" s="21" t="s">
        <v>129</v>
      </c>
      <c r="L28" t="s">
        <v>18</v>
      </c>
      <c r="M28">
        <v>50</v>
      </c>
      <c r="N28">
        <v>520</v>
      </c>
      <c r="O28">
        <v>26000</v>
      </c>
    </row>
    <row r="29" spans="1:16" x14ac:dyDescent="0.25">
      <c r="A29">
        <v>56</v>
      </c>
      <c r="B29">
        <v>11</v>
      </c>
      <c r="C29" t="s">
        <v>130</v>
      </c>
      <c r="D29" t="s">
        <v>115</v>
      </c>
      <c r="E29" t="s">
        <v>20</v>
      </c>
      <c r="F29" s="21" t="s">
        <v>131</v>
      </c>
      <c r="L29" t="s">
        <v>18</v>
      </c>
      <c r="M29">
        <v>150</v>
      </c>
      <c r="N29">
        <v>250</v>
      </c>
      <c r="O29">
        <v>37500</v>
      </c>
    </row>
    <row r="30" spans="1:16" x14ac:dyDescent="0.25">
      <c r="A30">
        <v>11</v>
      </c>
      <c r="B30">
        <v>11</v>
      </c>
      <c r="C30" t="s">
        <v>41</v>
      </c>
      <c r="D30" t="s">
        <v>16</v>
      </c>
      <c r="E30" t="s">
        <v>20</v>
      </c>
      <c r="F30" s="46" t="s">
        <v>190</v>
      </c>
      <c r="G30" t="s">
        <v>35</v>
      </c>
      <c r="H30">
        <v>30</v>
      </c>
      <c r="I30">
        <v>100</v>
      </c>
      <c r="J30">
        <v>3000</v>
      </c>
    </row>
    <row r="31" spans="1:16" x14ac:dyDescent="0.25">
      <c r="A31">
        <v>10</v>
      </c>
      <c r="B31">
        <v>10</v>
      </c>
      <c r="C31" t="s">
        <v>38</v>
      </c>
      <c r="D31" t="s">
        <v>16</v>
      </c>
      <c r="E31" t="s">
        <v>39</v>
      </c>
      <c r="F31" s="46" t="s">
        <v>189</v>
      </c>
      <c r="G31" t="s">
        <v>35</v>
      </c>
      <c r="H31">
        <v>30</v>
      </c>
      <c r="I31">
        <v>250</v>
      </c>
      <c r="J31">
        <v>7500</v>
      </c>
    </row>
    <row r="32" spans="1:16" x14ac:dyDescent="0.25">
      <c r="A32">
        <v>14</v>
      </c>
      <c r="B32">
        <v>14</v>
      </c>
      <c r="C32" t="s">
        <v>47</v>
      </c>
      <c r="D32" t="s">
        <v>16</v>
      </c>
      <c r="E32" t="s">
        <v>20</v>
      </c>
      <c r="F32" s="46" t="s">
        <v>193</v>
      </c>
      <c r="G32" t="s">
        <v>35</v>
      </c>
      <c r="H32">
        <v>10</v>
      </c>
      <c r="I32">
        <v>100</v>
      </c>
      <c r="J32">
        <v>1000</v>
      </c>
    </row>
    <row r="33" spans="1:16" x14ac:dyDescent="0.25">
      <c r="A33">
        <v>57</v>
      </c>
      <c r="B33">
        <v>12</v>
      </c>
      <c r="C33" t="s">
        <v>132</v>
      </c>
      <c r="D33" t="s">
        <v>115</v>
      </c>
      <c r="E33" t="s">
        <v>20</v>
      </c>
      <c r="F33" s="21" t="s">
        <v>133</v>
      </c>
      <c r="L33" t="s">
        <v>81</v>
      </c>
      <c r="M33">
        <v>20</v>
      </c>
      <c r="N33">
        <v>185</v>
      </c>
      <c r="O33">
        <v>3700</v>
      </c>
    </row>
    <row r="34" spans="1:16" x14ac:dyDescent="0.25">
      <c r="A34">
        <v>13</v>
      </c>
      <c r="B34">
        <v>13</v>
      </c>
      <c r="C34" t="s">
        <v>45</v>
      </c>
      <c r="D34" t="s">
        <v>16</v>
      </c>
      <c r="E34" t="s">
        <v>20</v>
      </c>
      <c r="F34" s="46" t="s">
        <v>192</v>
      </c>
      <c r="G34" t="s">
        <v>35</v>
      </c>
      <c r="H34">
        <v>10</v>
      </c>
      <c r="I34">
        <v>150</v>
      </c>
      <c r="J34">
        <v>1500</v>
      </c>
    </row>
    <row r="35" spans="1:16" ht="30" x14ac:dyDescent="0.25">
      <c r="A35">
        <v>58</v>
      </c>
      <c r="B35">
        <v>13</v>
      </c>
      <c r="C35" t="s">
        <v>134</v>
      </c>
      <c r="D35" t="s">
        <v>115</v>
      </c>
      <c r="E35" t="s">
        <v>20</v>
      </c>
      <c r="F35" s="22" t="s">
        <v>135</v>
      </c>
      <c r="L35" t="s">
        <v>18</v>
      </c>
      <c r="M35">
        <v>300</v>
      </c>
      <c r="N35">
        <v>190</v>
      </c>
      <c r="O35">
        <v>57000</v>
      </c>
    </row>
    <row r="36" spans="1:16" ht="30" x14ac:dyDescent="0.25">
      <c r="A36">
        <v>12</v>
      </c>
      <c r="B36">
        <v>12</v>
      </c>
      <c r="C36" t="s">
        <v>43</v>
      </c>
      <c r="D36" t="s">
        <v>16</v>
      </c>
      <c r="E36" t="s">
        <v>20</v>
      </c>
      <c r="F36" s="115" t="s">
        <v>191</v>
      </c>
      <c r="G36" t="s">
        <v>35</v>
      </c>
      <c r="H36">
        <v>100</v>
      </c>
      <c r="I36">
        <v>130</v>
      </c>
      <c r="J36">
        <v>13000</v>
      </c>
    </row>
    <row r="37" spans="1:16" x14ac:dyDescent="0.25">
      <c r="A37">
        <v>39</v>
      </c>
      <c r="B37">
        <v>39</v>
      </c>
      <c r="C37" t="s">
        <v>96</v>
      </c>
      <c r="D37" t="s">
        <v>16</v>
      </c>
      <c r="E37" t="s">
        <v>20</v>
      </c>
      <c r="F37" s="46" t="s">
        <v>181</v>
      </c>
      <c r="G37" t="s">
        <v>18</v>
      </c>
      <c r="H37">
        <v>5</v>
      </c>
      <c r="I37">
        <v>250</v>
      </c>
      <c r="J37">
        <v>1250</v>
      </c>
    </row>
    <row r="38" spans="1:16" x14ac:dyDescent="0.25">
      <c r="A38">
        <v>82</v>
      </c>
      <c r="B38">
        <v>37</v>
      </c>
      <c r="C38" t="s">
        <v>169</v>
      </c>
      <c r="D38" t="s">
        <v>167</v>
      </c>
      <c r="E38" t="s">
        <v>20</v>
      </c>
      <c r="F38" s="21" t="s">
        <v>170</v>
      </c>
      <c r="L38" t="s">
        <v>18</v>
      </c>
      <c r="M38">
        <v>2500</v>
      </c>
      <c r="N38">
        <v>53</v>
      </c>
      <c r="O38">
        <v>132500</v>
      </c>
    </row>
    <row r="39" spans="1:16" x14ac:dyDescent="0.25">
      <c r="A39">
        <v>81</v>
      </c>
      <c r="B39">
        <v>36</v>
      </c>
      <c r="C39" t="s">
        <v>166</v>
      </c>
      <c r="D39" t="s">
        <v>167</v>
      </c>
      <c r="E39" t="s">
        <v>20</v>
      </c>
      <c r="F39" s="21" t="s">
        <v>168</v>
      </c>
      <c r="L39" t="s">
        <v>18</v>
      </c>
      <c r="M39">
        <v>500</v>
      </c>
      <c r="N39">
        <v>45.9</v>
      </c>
      <c r="O39">
        <v>22950</v>
      </c>
    </row>
    <row r="40" spans="1:16" x14ac:dyDescent="0.25">
      <c r="A40">
        <v>24</v>
      </c>
      <c r="B40">
        <v>24</v>
      </c>
      <c r="C40" t="s">
        <v>69</v>
      </c>
      <c r="D40" t="s">
        <v>16</v>
      </c>
      <c r="E40" t="s">
        <v>20</v>
      </c>
      <c r="F40" s="46" t="s">
        <v>70</v>
      </c>
      <c r="G40" t="s">
        <v>18</v>
      </c>
      <c r="H40">
        <v>200</v>
      </c>
      <c r="I40">
        <v>15</v>
      </c>
      <c r="J40">
        <v>3000</v>
      </c>
    </row>
    <row r="41" spans="1:16" x14ac:dyDescent="0.25">
      <c r="A41">
        <v>59</v>
      </c>
      <c r="B41">
        <v>14</v>
      </c>
      <c r="C41" t="s">
        <v>136</v>
      </c>
      <c r="D41" t="s">
        <v>115</v>
      </c>
      <c r="E41" t="s">
        <v>20</v>
      </c>
      <c r="F41" s="21" t="s">
        <v>137</v>
      </c>
      <c r="L41" t="s">
        <v>18</v>
      </c>
      <c r="M41">
        <v>300</v>
      </c>
      <c r="N41">
        <v>8.1999999999999993</v>
      </c>
      <c r="O41">
        <v>2460</v>
      </c>
    </row>
    <row r="42" spans="1:16" x14ac:dyDescent="0.25">
      <c r="A42">
        <v>23</v>
      </c>
      <c r="B42">
        <v>23</v>
      </c>
      <c r="C42" t="s">
        <v>66</v>
      </c>
      <c r="D42" t="s">
        <v>16</v>
      </c>
      <c r="E42" t="s">
        <v>67</v>
      </c>
      <c r="F42" s="46" t="s">
        <v>199</v>
      </c>
      <c r="G42" t="s">
        <v>18</v>
      </c>
      <c r="H42">
        <v>500</v>
      </c>
      <c r="I42">
        <v>15</v>
      </c>
      <c r="J42">
        <v>7500</v>
      </c>
    </row>
    <row r="43" spans="1:16" x14ac:dyDescent="0.25">
      <c r="A43">
        <v>60</v>
      </c>
      <c r="B43">
        <v>15</v>
      </c>
      <c r="C43" t="s">
        <v>138</v>
      </c>
      <c r="D43" t="s">
        <v>115</v>
      </c>
      <c r="E43" t="s">
        <v>20</v>
      </c>
      <c r="F43" s="21" t="s">
        <v>139</v>
      </c>
      <c r="L43" t="s">
        <v>18</v>
      </c>
      <c r="M43">
        <v>300</v>
      </c>
      <c r="N43">
        <v>9.5</v>
      </c>
      <c r="O43">
        <v>2850</v>
      </c>
    </row>
    <row r="44" spans="1:16" x14ac:dyDescent="0.25">
      <c r="A44">
        <v>31</v>
      </c>
      <c r="B44">
        <v>31</v>
      </c>
      <c r="C44" t="s">
        <v>79</v>
      </c>
      <c r="D44" t="s">
        <v>16</v>
      </c>
      <c r="E44" t="s">
        <v>20</v>
      </c>
      <c r="F44" s="46" t="s">
        <v>203</v>
      </c>
      <c r="G44" t="s">
        <v>81</v>
      </c>
      <c r="H44">
        <v>2</v>
      </c>
      <c r="I44">
        <v>900</v>
      </c>
      <c r="J44">
        <v>1800</v>
      </c>
      <c r="K44" t="s">
        <v>218</v>
      </c>
    </row>
    <row r="45" spans="1:16" x14ac:dyDescent="0.25">
      <c r="A45">
        <v>50</v>
      </c>
      <c r="B45">
        <v>5</v>
      </c>
      <c r="C45" t="s">
        <v>122</v>
      </c>
      <c r="D45" t="s">
        <v>115</v>
      </c>
      <c r="E45" t="s">
        <v>20</v>
      </c>
      <c r="F45" s="21" t="s">
        <v>123</v>
      </c>
      <c r="L45" t="s">
        <v>171</v>
      </c>
      <c r="M45">
        <v>1500</v>
      </c>
      <c r="N45">
        <v>83</v>
      </c>
      <c r="O45">
        <v>124500</v>
      </c>
      <c r="P45" t="s">
        <v>229</v>
      </c>
    </row>
    <row r="46" spans="1:16" x14ac:dyDescent="0.25">
      <c r="A46">
        <v>51</v>
      </c>
      <c r="B46">
        <v>6</v>
      </c>
      <c r="C46" t="s">
        <v>122</v>
      </c>
      <c r="D46" t="s">
        <v>115</v>
      </c>
      <c r="E46" t="s">
        <v>20</v>
      </c>
      <c r="F46" s="21" t="s">
        <v>123</v>
      </c>
      <c r="L46" t="s">
        <v>171</v>
      </c>
      <c r="M46">
        <v>1500</v>
      </c>
      <c r="N46">
        <v>83</v>
      </c>
      <c r="O46">
        <v>124500</v>
      </c>
      <c r="P46" t="s">
        <v>230</v>
      </c>
    </row>
    <row r="47" spans="1:16" x14ac:dyDescent="0.25">
      <c r="A47">
        <v>25</v>
      </c>
      <c r="B47">
        <v>25</v>
      </c>
      <c r="C47" t="s">
        <v>71</v>
      </c>
      <c r="D47" t="s">
        <v>16</v>
      </c>
      <c r="E47" t="s">
        <v>20</v>
      </c>
      <c r="F47" s="46" t="s">
        <v>200</v>
      </c>
      <c r="G47" t="s">
        <v>18</v>
      </c>
      <c r="H47">
        <v>40</v>
      </c>
      <c r="I47">
        <v>30</v>
      </c>
      <c r="J47">
        <v>1200</v>
      </c>
    </row>
    <row r="48" spans="1:16" x14ac:dyDescent="0.25">
      <c r="A48">
        <v>61</v>
      </c>
      <c r="B48">
        <v>16</v>
      </c>
      <c r="C48" t="s">
        <v>140</v>
      </c>
      <c r="D48" t="s">
        <v>115</v>
      </c>
      <c r="E48" t="s">
        <v>20</v>
      </c>
      <c r="F48" s="21" t="s">
        <v>141</v>
      </c>
      <c r="L48" t="s">
        <v>18</v>
      </c>
      <c r="M48">
        <v>100</v>
      </c>
      <c r="N48">
        <v>35.5</v>
      </c>
      <c r="O48">
        <v>3550</v>
      </c>
    </row>
    <row r="49" spans="1:16" x14ac:dyDescent="0.25">
      <c r="A49">
        <v>21</v>
      </c>
      <c r="B49">
        <v>21</v>
      </c>
      <c r="C49" t="s">
        <v>62</v>
      </c>
      <c r="D49" t="s">
        <v>16</v>
      </c>
      <c r="E49" t="s">
        <v>20</v>
      </c>
      <c r="F49" s="46" t="s">
        <v>197</v>
      </c>
      <c r="G49" t="s">
        <v>18</v>
      </c>
      <c r="H49">
        <v>20</v>
      </c>
      <c r="I49">
        <v>350</v>
      </c>
      <c r="J49">
        <v>7000</v>
      </c>
    </row>
    <row r="50" spans="1:16" x14ac:dyDescent="0.25">
      <c r="A50">
        <v>62</v>
      </c>
      <c r="B50">
        <v>17</v>
      </c>
      <c r="C50" t="s">
        <v>142</v>
      </c>
      <c r="D50" t="s">
        <v>115</v>
      </c>
      <c r="E50" t="s">
        <v>20</v>
      </c>
      <c r="F50" s="21" t="s">
        <v>143</v>
      </c>
      <c r="L50" t="s">
        <v>18</v>
      </c>
      <c r="M50">
        <v>100</v>
      </c>
      <c r="N50">
        <v>130</v>
      </c>
      <c r="O50">
        <v>13000</v>
      </c>
      <c r="P50" t="s">
        <v>232</v>
      </c>
    </row>
    <row r="51" spans="1:16" x14ac:dyDescent="0.25">
      <c r="A51">
        <v>63</v>
      </c>
      <c r="B51">
        <v>18</v>
      </c>
      <c r="C51" t="s">
        <v>142</v>
      </c>
      <c r="D51" t="s">
        <v>115</v>
      </c>
      <c r="E51" t="s">
        <v>20</v>
      </c>
      <c r="F51" s="21" t="s">
        <v>143</v>
      </c>
      <c r="L51" t="s">
        <v>18</v>
      </c>
      <c r="M51">
        <v>100</v>
      </c>
      <c r="N51">
        <v>130</v>
      </c>
      <c r="O51">
        <v>13000</v>
      </c>
      <c r="P51" t="s">
        <v>233</v>
      </c>
    </row>
    <row r="52" spans="1:16" x14ac:dyDescent="0.25">
      <c r="A52">
        <v>32</v>
      </c>
      <c r="B52">
        <v>32</v>
      </c>
      <c r="C52" t="s">
        <v>82</v>
      </c>
      <c r="D52" t="s">
        <v>16</v>
      </c>
      <c r="E52" t="s">
        <v>20</v>
      </c>
      <c r="F52" s="46" t="s">
        <v>204</v>
      </c>
      <c r="G52" t="s">
        <v>18</v>
      </c>
      <c r="H52">
        <v>20</v>
      </c>
      <c r="I52">
        <v>300</v>
      </c>
      <c r="J52">
        <v>6000</v>
      </c>
      <c r="K52" t="s">
        <v>256</v>
      </c>
    </row>
    <row r="53" spans="1:16" x14ac:dyDescent="0.25">
      <c r="A53">
        <v>45</v>
      </c>
      <c r="B53">
        <v>45</v>
      </c>
      <c r="C53" t="s">
        <v>108</v>
      </c>
      <c r="D53" t="s">
        <v>16</v>
      </c>
      <c r="E53" t="s">
        <v>20</v>
      </c>
      <c r="F53" s="46" t="s">
        <v>109</v>
      </c>
      <c r="G53" t="s">
        <v>18</v>
      </c>
      <c r="H53">
        <v>80</v>
      </c>
      <c r="I53">
        <v>150</v>
      </c>
      <c r="J53">
        <v>12000</v>
      </c>
      <c r="K53" t="s">
        <v>227</v>
      </c>
    </row>
    <row r="54" spans="1:16" x14ac:dyDescent="0.25">
      <c r="A54">
        <v>44</v>
      </c>
      <c r="B54">
        <v>44</v>
      </c>
      <c r="C54" t="s">
        <v>106</v>
      </c>
      <c r="D54" t="s">
        <v>16</v>
      </c>
      <c r="E54" t="s">
        <v>20</v>
      </c>
      <c r="F54" s="46" t="s">
        <v>183</v>
      </c>
      <c r="G54" t="s">
        <v>18</v>
      </c>
      <c r="H54">
        <v>80</v>
      </c>
      <c r="I54">
        <v>150</v>
      </c>
      <c r="J54">
        <v>12000</v>
      </c>
      <c r="K54" t="s">
        <v>226</v>
      </c>
    </row>
    <row r="55" spans="1:16" x14ac:dyDescent="0.25">
      <c r="A55">
        <v>64</v>
      </c>
      <c r="B55">
        <v>19</v>
      </c>
      <c r="C55" t="s">
        <v>144</v>
      </c>
      <c r="D55" t="s">
        <v>115</v>
      </c>
      <c r="E55" t="s">
        <v>20</v>
      </c>
      <c r="F55" s="21" t="s">
        <v>145</v>
      </c>
      <c r="L55" t="s">
        <v>18</v>
      </c>
      <c r="M55">
        <v>200</v>
      </c>
      <c r="N55">
        <v>200</v>
      </c>
      <c r="O55">
        <v>40000</v>
      </c>
    </row>
    <row r="56" spans="1:16" x14ac:dyDescent="0.25">
      <c r="A56">
        <v>42</v>
      </c>
      <c r="B56">
        <v>42</v>
      </c>
      <c r="C56" t="s">
        <v>102</v>
      </c>
      <c r="D56" t="s">
        <v>16</v>
      </c>
      <c r="E56" t="s">
        <v>20</v>
      </c>
      <c r="F56" s="46" t="s">
        <v>182</v>
      </c>
      <c r="G56" t="s">
        <v>18</v>
      </c>
      <c r="H56">
        <v>5</v>
      </c>
      <c r="I56">
        <v>2300</v>
      </c>
      <c r="J56">
        <v>11500</v>
      </c>
    </row>
    <row r="57" spans="1:16" x14ac:dyDescent="0.25">
      <c r="A57">
        <v>17</v>
      </c>
      <c r="B57">
        <v>17</v>
      </c>
      <c r="C57" t="s">
        <v>54</v>
      </c>
      <c r="D57" t="s">
        <v>16</v>
      </c>
      <c r="E57" t="s">
        <v>52</v>
      </c>
      <c r="F57" s="46" t="s">
        <v>111</v>
      </c>
      <c r="G57" t="s">
        <v>18</v>
      </c>
      <c r="H57">
        <v>550</v>
      </c>
      <c r="I57">
        <v>1500</v>
      </c>
      <c r="J57">
        <v>825000</v>
      </c>
    </row>
    <row r="58" spans="1:16" x14ac:dyDescent="0.25">
      <c r="A58">
        <v>69</v>
      </c>
      <c r="B58">
        <v>24</v>
      </c>
      <c r="C58" t="s">
        <v>54</v>
      </c>
      <c r="D58" t="s">
        <v>115</v>
      </c>
      <c r="E58" t="s">
        <v>52</v>
      </c>
      <c r="F58" s="21" t="s">
        <v>111</v>
      </c>
      <c r="L58" t="s">
        <v>173</v>
      </c>
      <c r="M58">
        <v>350</v>
      </c>
      <c r="N58">
        <v>1512</v>
      </c>
      <c r="O58">
        <v>529200</v>
      </c>
      <c r="P58" t="s">
        <v>236</v>
      </c>
    </row>
    <row r="59" spans="1:16" x14ac:dyDescent="0.25">
      <c r="A59">
        <v>65</v>
      </c>
      <c r="B59">
        <v>20</v>
      </c>
      <c r="C59" t="s">
        <v>146</v>
      </c>
      <c r="D59" t="s">
        <v>115</v>
      </c>
      <c r="E59" t="s">
        <v>52</v>
      </c>
      <c r="F59" s="21" t="s">
        <v>147</v>
      </c>
      <c r="L59" t="s">
        <v>18</v>
      </c>
      <c r="M59">
        <v>200</v>
      </c>
      <c r="N59">
        <v>49</v>
      </c>
      <c r="O59">
        <v>9800</v>
      </c>
      <c r="P59" t="s">
        <v>234</v>
      </c>
    </row>
    <row r="60" spans="1:16" x14ac:dyDescent="0.25">
      <c r="A60">
        <v>18</v>
      </c>
      <c r="B60">
        <v>18</v>
      </c>
      <c r="C60" t="s">
        <v>56</v>
      </c>
      <c r="D60" t="s">
        <v>16</v>
      </c>
      <c r="E60" t="s">
        <v>52</v>
      </c>
      <c r="F60" s="46" t="s">
        <v>112</v>
      </c>
      <c r="G60" t="s">
        <v>18</v>
      </c>
      <c r="H60">
        <v>350</v>
      </c>
      <c r="I60">
        <v>1200</v>
      </c>
      <c r="J60">
        <v>420000</v>
      </c>
    </row>
    <row r="61" spans="1:16" x14ac:dyDescent="0.25">
      <c r="A61">
        <v>70</v>
      </c>
      <c r="B61">
        <v>25</v>
      </c>
      <c r="C61" t="s">
        <v>56</v>
      </c>
      <c r="D61" t="s">
        <v>115</v>
      </c>
      <c r="E61" t="s">
        <v>52</v>
      </c>
      <c r="F61" s="21" t="s">
        <v>112</v>
      </c>
      <c r="L61" t="s">
        <v>174</v>
      </c>
      <c r="M61">
        <v>350</v>
      </c>
      <c r="N61">
        <v>1095</v>
      </c>
      <c r="O61">
        <v>383250</v>
      </c>
      <c r="P61" t="s">
        <v>237</v>
      </c>
    </row>
    <row r="62" spans="1:16" x14ac:dyDescent="0.25">
      <c r="A62">
        <v>16</v>
      </c>
      <c r="B62">
        <v>16</v>
      </c>
      <c r="C62" t="s">
        <v>51</v>
      </c>
      <c r="D62" t="s">
        <v>16</v>
      </c>
      <c r="E62" t="s">
        <v>52</v>
      </c>
      <c r="F62" s="46" t="s">
        <v>53</v>
      </c>
      <c r="G62" t="s">
        <v>18</v>
      </c>
      <c r="H62">
        <v>15</v>
      </c>
      <c r="I62">
        <v>1000</v>
      </c>
      <c r="J62">
        <v>15000</v>
      </c>
      <c r="K62" t="s">
        <v>211</v>
      </c>
    </row>
    <row r="63" spans="1:16" x14ac:dyDescent="0.25">
      <c r="A63">
        <v>66</v>
      </c>
      <c r="B63">
        <v>21</v>
      </c>
      <c r="C63" t="s">
        <v>51</v>
      </c>
      <c r="D63" t="s">
        <v>115</v>
      </c>
      <c r="E63" t="s">
        <v>52</v>
      </c>
      <c r="F63" s="21" t="s">
        <v>53</v>
      </c>
      <c r="L63" t="s">
        <v>18</v>
      </c>
      <c r="M63">
        <v>150</v>
      </c>
      <c r="N63">
        <v>590</v>
      </c>
      <c r="O63">
        <v>88500</v>
      </c>
      <c r="P63" t="s">
        <v>235</v>
      </c>
    </row>
    <row r="64" spans="1:16" x14ac:dyDescent="0.25">
      <c r="A64">
        <v>33</v>
      </c>
      <c r="B64">
        <v>33</v>
      </c>
      <c r="C64" t="s">
        <v>84</v>
      </c>
      <c r="D64" t="s">
        <v>16</v>
      </c>
      <c r="E64" t="s">
        <v>52</v>
      </c>
      <c r="F64" s="46" t="s">
        <v>205</v>
      </c>
      <c r="G64" t="s">
        <v>18</v>
      </c>
      <c r="H64">
        <v>20</v>
      </c>
      <c r="I64">
        <v>1500</v>
      </c>
      <c r="J64">
        <v>30000</v>
      </c>
    </row>
    <row r="65" spans="1:16" x14ac:dyDescent="0.25">
      <c r="A65">
        <v>67</v>
      </c>
      <c r="B65">
        <v>22</v>
      </c>
      <c r="C65" t="s">
        <v>148</v>
      </c>
      <c r="D65" t="s">
        <v>115</v>
      </c>
      <c r="E65" t="s">
        <v>52</v>
      </c>
      <c r="F65" s="21" t="s">
        <v>149</v>
      </c>
      <c r="L65" t="s">
        <v>18</v>
      </c>
      <c r="M65">
        <v>10</v>
      </c>
      <c r="N65">
        <v>1891</v>
      </c>
      <c r="O65">
        <v>18910</v>
      </c>
    </row>
    <row r="66" spans="1:16" x14ac:dyDescent="0.25">
      <c r="A66">
        <v>15</v>
      </c>
      <c r="B66">
        <v>15</v>
      </c>
      <c r="C66" t="s">
        <v>49</v>
      </c>
      <c r="D66" t="s">
        <v>16</v>
      </c>
      <c r="E66" t="s">
        <v>52</v>
      </c>
      <c r="F66" s="46" t="s">
        <v>194</v>
      </c>
      <c r="G66" t="s">
        <v>18</v>
      </c>
      <c r="H66">
        <v>10</v>
      </c>
      <c r="I66">
        <v>700</v>
      </c>
      <c r="J66">
        <v>7000</v>
      </c>
      <c r="K66" t="s">
        <v>210</v>
      </c>
    </row>
    <row r="67" spans="1:16" x14ac:dyDescent="0.25">
      <c r="A67">
        <v>68</v>
      </c>
      <c r="B67">
        <v>23</v>
      </c>
      <c r="C67" t="s">
        <v>150</v>
      </c>
      <c r="D67" t="s">
        <v>115</v>
      </c>
      <c r="E67" t="s">
        <v>52</v>
      </c>
      <c r="F67" s="21" t="s">
        <v>151</v>
      </c>
      <c r="L67" t="s">
        <v>18</v>
      </c>
      <c r="M67">
        <v>10</v>
      </c>
      <c r="N67">
        <v>1395</v>
      </c>
      <c r="O67">
        <v>13950</v>
      </c>
    </row>
    <row r="68" spans="1:16" x14ac:dyDescent="0.25">
      <c r="A68">
        <v>71</v>
      </c>
      <c r="B68">
        <v>26</v>
      </c>
      <c r="C68" t="s">
        <v>152</v>
      </c>
      <c r="D68" t="s">
        <v>115</v>
      </c>
      <c r="E68" t="s">
        <v>20</v>
      </c>
      <c r="F68" s="21" t="s">
        <v>153</v>
      </c>
      <c r="L68" t="s">
        <v>18</v>
      </c>
      <c r="M68">
        <v>5</v>
      </c>
      <c r="N68">
        <v>2445</v>
      </c>
      <c r="O68">
        <v>12225</v>
      </c>
    </row>
    <row r="69" spans="1:16" x14ac:dyDescent="0.25">
      <c r="A69">
        <v>72</v>
      </c>
      <c r="B69">
        <v>27</v>
      </c>
      <c r="C69" t="s">
        <v>154</v>
      </c>
      <c r="D69" t="s">
        <v>115</v>
      </c>
      <c r="E69" t="s">
        <v>20</v>
      </c>
      <c r="F69" s="21" t="s">
        <v>155</v>
      </c>
      <c r="L69" t="s">
        <v>18</v>
      </c>
      <c r="M69">
        <v>20</v>
      </c>
      <c r="N69">
        <v>219</v>
      </c>
      <c r="O69">
        <v>4380</v>
      </c>
    </row>
    <row r="70" spans="1:16" x14ac:dyDescent="0.25">
      <c r="A70">
        <v>36</v>
      </c>
      <c r="B70">
        <v>36</v>
      </c>
      <c r="C70" t="s">
        <v>90</v>
      </c>
      <c r="D70" t="s">
        <v>16</v>
      </c>
      <c r="E70" t="s">
        <v>20</v>
      </c>
      <c r="F70" s="46" t="s">
        <v>208</v>
      </c>
      <c r="G70" t="s">
        <v>18</v>
      </c>
      <c r="H70">
        <v>40</v>
      </c>
      <c r="I70">
        <v>100</v>
      </c>
      <c r="J70">
        <v>4000</v>
      </c>
      <c r="K70" t="s">
        <v>222</v>
      </c>
    </row>
    <row r="71" spans="1:16" x14ac:dyDescent="0.25">
      <c r="A71">
        <v>43</v>
      </c>
      <c r="B71">
        <v>43</v>
      </c>
      <c r="C71" s="114" t="s">
        <v>104</v>
      </c>
      <c r="D71" t="s">
        <v>16</v>
      </c>
      <c r="E71" t="s">
        <v>20</v>
      </c>
      <c r="F71" s="46" t="s">
        <v>114</v>
      </c>
      <c r="G71" t="s">
        <v>18</v>
      </c>
      <c r="H71">
        <v>80</v>
      </c>
      <c r="I71">
        <v>130</v>
      </c>
      <c r="J71">
        <v>10400</v>
      </c>
      <c r="K71" t="s">
        <v>225</v>
      </c>
    </row>
    <row r="72" spans="1:16" x14ac:dyDescent="0.25">
      <c r="A72">
        <v>73</v>
      </c>
      <c r="B72">
        <v>28</v>
      </c>
      <c r="C72" s="114" t="s">
        <v>104</v>
      </c>
      <c r="D72" t="s">
        <v>115</v>
      </c>
      <c r="E72" t="s">
        <v>20</v>
      </c>
      <c r="F72" s="21" t="s">
        <v>114</v>
      </c>
      <c r="L72" t="s">
        <v>18</v>
      </c>
      <c r="M72">
        <v>150</v>
      </c>
      <c r="N72">
        <v>82</v>
      </c>
      <c r="O72">
        <v>12300</v>
      </c>
      <c r="P72" t="s">
        <v>238</v>
      </c>
    </row>
    <row r="73" spans="1:16" x14ac:dyDescent="0.25">
      <c r="A73">
        <v>74</v>
      </c>
      <c r="B73">
        <v>29</v>
      </c>
      <c r="C73" s="114" t="s">
        <v>104</v>
      </c>
      <c r="D73" t="s">
        <v>115</v>
      </c>
      <c r="E73" t="s">
        <v>20</v>
      </c>
      <c r="F73" s="21" t="s">
        <v>114</v>
      </c>
      <c r="L73" t="s">
        <v>18</v>
      </c>
      <c r="M73">
        <v>150</v>
      </c>
      <c r="N73">
        <v>82</v>
      </c>
      <c r="O73">
        <v>12300</v>
      </c>
      <c r="P73" t="s">
        <v>239</v>
      </c>
    </row>
    <row r="74" spans="1:16" x14ac:dyDescent="0.25">
      <c r="A74">
        <v>76</v>
      </c>
      <c r="B74">
        <v>31</v>
      </c>
      <c r="C74" t="s">
        <v>158</v>
      </c>
      <c r="D74" t="s">
        <v>115</v>
      </c>
      <c r="E74" t="s">
        <v>52</v>
      </c>
      <c r="F74" s="21" t="s">
        <v>159</v>
      </c>
      <c r="L74" t="s">
        <v>173</v>
      </c>
      <c r="M74">
        <v>5</v>
      </c>
      <c r="N74">
        <v>1750</v>
      </c>
      <c r="O74">
        <v>8750</v>
      </c>
    </row>
    <row r="75" spans="1:16" x14ac:dyDescent="0.25">
      <c r="A75">
        <v>77</v>
      </c>
      <c r="B75">
        <v>32</v>
      </c>
      <c r="C75" t="s">
        <v>160</v>
      </c>
      <c r="D75" t="s">
        <v>115</v>
      </c>
      <c r="E75" t="s">
        <v>52</v>
      </c>
      <c r="F75" s="21" t="s">
        <v>161</v>
      </c>
      <c r="L75" t="s">
        <v>176</v>
      </c>
      <c r="M75">
        <v>800</v>
      </c>
      <c r="N75">
        <v>21.08</v>
      </c>
      <c r="O75">
        <v>16864</v>
      </c>
    </row>
    <row r="76" spans="1:16" x14ac:dyDescent="0.25">
      <c r="A76">
        <v>78</v>
      </c>
      <c r="B76">
        <v>33</v>
      </c>
      <c r="C76" t="s">
        <v>162</v>
      </c>
      <c r="D76" t="s">
        <v>115</v>
      </c>
      <c r="E76" t="s">
        <v>52</v>
      </c>
      <c r="F76" s="21" t="s">
        <v>163</v>
      </c>
      <c r="L76" t="s">
        <v>18</v>
      </c>
      <c r="M76">
        <v>1200</v>
      </c>
      <c r="N76">
        <v>10.199999999999999</v>
      </c>
      <c r="O76">
        <v>12240</v>
      </c>
    </row>
    <row r="77" spans="1:16" x14ac:dyDescent="0.25">
      <c r="A77">
        <v>35</v>
      </c>
      <c r="B77">
        <v>35</v>
      </c>
      <c r="C77" t="s">
        <v>88</v>
      </c>
      <c r="D77" t="s">
        <v>16</v>
      </c>
      <c r="E77" t="s">
        <v>52</v>
      </c>
      <c r="F77" s="46" t="s">
        <v>207</v>
      </c>
      <c r="G77" t="s">
        <v>18</v>
      </c>
      <c r="H77">
        <v>100</v>
      </c>
      <c r="I77">
        <v>30</v>
      </c>
      <c r="J77">
        <v>3000</v>
      </c>
      <c r="K77" t="s">
        <v>221</v>
      </c>
    </row>
    <row r="78" spans="1:16" x14ac:dyDescent="0.25">
      <c r="A78">
        <v>34</v>
      </c>
      <c r="B78">
        <v>34</v>
      </c>
      <c r="C78" t="s">
        <v>86</v>
      </c>
      <c r="D78" t="s">
        <v>16</v>
      </c>
      <c r="E78" t="s">
        <v>52</v>
      </c>
      <c r="F78" s="46" t="s">
        <v>206</v>
      </c>
      <c r="G78" t="s">
        <v>18</v>
      </c>
      <c r="H78">
        <v>200</v>
      </c>
      <c r="I78">
        <v>50</v>
      </c>
      <c r="J78">
        <v>10000</v>
      </c>
      <c r="K78" t="s">
        <v>220</v>
      </c>
    </row>
    <row r="79" spans="1:16" x14ac:dyDescent="0.25">
      <c r="A79">
        <v>75</v>
      </c>
      <c r="B79">
        <v>30</v>
      </c>
      <c r="C79" t="s">
        <v>156</v>
      </c>
      <c r="D79" t="s">
        <v>115</v>
      </c>
      <c r="E79" t="s">
        <v>52</v>
      </c>
      <c r="F79" s="21" t="s">
        <v>157</v>
      </c>
      <c r="L79" t="s">
        <v>175</v>
      </c>
      <c r="M79">
        <v>3000</v>
      </c>
      <c r="N79">
        <v>8</v>
      </c>
      <c r="O79">
        <v>24000</v>
      </c>
    </row>
    <row r="80" spans="1:16" x14ac:dyDescent="0.25">
      <c r="A80">
        <v>38</v>
      </c>
      <c r="B80">
        <v>38</v>
      </c>
      <c r="C80" t="s">
        <v>94</v>
      </c>
      <c r="D80" t="s">
        <v>16</v>
      </c>
      <c r="E80" t="s">
        <v>20</v>
      </c>
      <c r="F80" s="46" t="s">
        <v>180</v>
      </c>
      <c r="G80" t="s">
        <v>18</v>
      </c>
      <c r="H80">
        <v>50</v>
      </c>
      <c r="I80">
        <v>150</v>
      </c>
      <c r="J80">
        <v>7500</v>
      </c>
      <c r="K80" t="s">
        <v>257</v>
      </c>
    </row>
    <row r="81" spans="1:15" x14ac:dyDescent="0.25">
      <c r="A81">
        <v>22</v>
      </c>
      <c r="B81">
        <v>22</v>
      </c>
      <c r="C81" t="s">
        <v>64</v>
      </c>
      <c r="D81" t="s">
        <v>16</v>
      </c>
      <c r="E81" t="s">
        <v>20</v>
      </c>
      <c r="F81" s="46" t="s">
        <v>198</v>
      </c>
      <c r="G81" t="s">
        <v>18</v>
      </c>
      <c r="H81">
        <v>20</v>
      </c>
      <c r="I81">
        <v>280</v>
      </c>
      <c r="J81">
        <v>5600</v>
      </c>
    </row>
    <row r="82" spans="1:15" x14ac:dyDescent="0.25">
      <c r="A82">
        <v>79</v>
      </c>
      <c r="B82">
        <v>34</v>
      </c>
      <c r="C82" t="s">
        <v>164</v>
      </c>
      <c r="D82" t="s">
        <v>115</v>
      </c>
      <c r="E82" t="s">
        <v>20</v>
      </c>
      <c r="F82" s="21" t="s">
        <v>165</v>
      </c>
      <c r="L82" t="s">
        <v>18</v>
      </c>
      <c r="M82">
        <v>20</v>
      </c>
      <c r="N82">
        <v>456.52</v>
      </c>
      <c r="O82">
        <v>9130.4</v>
      </c>
    </row>
    <row r="83" spans="1:15" ht="26.25" customHeight="1" x14ac:dyDescent="0.25">
      <c r="A83">
        <v>41</v>
      </c>
      <c r="B83">
        <v>41</v>
      </c>
      <c r="C83" t="s">
        <v>100</v>
      </c>
      <c r="D83" t="s">
        <v>16</v>
      </c>
      <c r="E83" t="s">
        <v>20</v>
      </c>
      <c r="F83" s="43" t="s">
        <v>101</v>
      </c>
      <c r="G83" t="s">
        <v>18</v>
      </c>
      <c r="H83">
        <v>10</v>
      </c>
      <c r="I83">
        <v>400</v>
      </c>
      <c r="J83">
        <v>4000</v>
      </c>
    </row>
    <row r="84" spans="1:15" x14ac:dyDescent="0.25">
      <c r="A84">
        <v>40</v>
      </c>
      <c r="B84">
        <v>40</v>
      </c>
      <c r="C84" t="s">
        <v>98</v>
      </c>
      <c r="D84" t="s">
        <v>16</v>
      </c>
      <c r="E84" t="s">
        <v>20</v>
      </c>
      <c r="F84" s="46" t="s">
        <v>113</v>
      </c>
      <c r="G84" t="s">
        <v>35</v>
      </c>
      <c r="H84">
        <v>10</v>
      </c>
      <c r="I84">
        <v>400</v>
      </c>
      <c r="J84">
        <v>4000</v>
      </c>
    </row>
    <row r="85" spans="1:15" x14ac:dyDescent="0.25">
      <c r="A85">
        <v>80</v>
      </c>
      <c r="B85">
        <v>35</v>
      </c>
      <c r="C85" t="s">
        <v>98</v>
      </c>
      <c r="D85" t="s">
        <v>115</v>
      </c>
      <c r="E85" t="s">
        <v>20</v>
      </c>
      <c r="F85" s="21" t="s">
        <v>113</v>
      </c>
      <c r="L85" t="s">
        <v>18</v>
      </c>
      <c r="M85">
        <v>15</v>
      </c>
      <c r="N85">
        <v>391</v>
      </c>
      <c r="O85">
        <v>5865</v>
      </c>
    </row>
    <row r="86" spans="1:15" x14ac:dyDescent="0.25">
      <c r="J86">
        <v>1600700</v>
      </c>
      <c r="O86">
        <v>1975264.4</v>
      </c>
    </row>
  </sheetData>
  <autoFilter ref="A3:P86" xr:uid="{6196508C-4B89-4A77-BE2D-BCA5EA5CEE8C}">
    <sortState xmlns:xlrd2="http://schemas.microsoft.com/office/spreadsheetml/2017/richdata2" ref="A4:P86">
      <sortCondition ref="F3:F8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8C68-07C8-457B-B24F-BAE563E65E86}">
  <dimension ref="A2:J86"/>
  <sheetViews>
    <sheetView topLeftCell="A76" workbookViewId="0">
      <selection activeCell="J87" sqref="J87"/>
    </sheetView>
  </sheetViews>
  <sheetFormatPr baseColWidth="10" defaultRowHeight="15" x14ac:dyDescent="0.25"/>
  <cols>
    <col min="2" max="2" width="18.28515625" customWidth="1"/>
    <col min="3" max="3" width="17" customWidth="1"/>
    <col min="5" max="5" width="70.140625" customWidth="1"/>
    <col min="9" max="9" width="15.42578125" customWidth="1"/>
    <col min="10" max="10" width="56.140625" customWidth="1"/>
  </cols>
  <sheetData>
    <row r="2" spans="1:10" ht="19.5" x14ac:dyDescent="0.3">
      <c r="A2" s="82" t="s">
        <v>184</v>
      </c>
    </row>
    <row r="3" spans="1:10" x14ac:dyDescent="0.25">
      <c r="A3" s="95"/>
      <c r="B3" s="95"/>
      <c r="C3" s="95"/>
      <c r="D3" s="95"/>
      <c r="E3" s="95"/>
      <c r="F3" s="95"/>
      <c r="G3" s="95"/>
      <c r="H3" s="95"/>
      <c r="I3" s="95"/>
    </row>
    <row r="4" spans="1:10" ht="45" x14ac:dyDescent="0.25">
      <c r="A4" s="41" t="s">
        <v>14</v>
      </c>
      <c r="B4" s="41" t="s">
        <v>3</v>
      </c>
      <c r="C4" s="41" t="s">
        <v>4</v>
      </c>
      <c r="D4" s="41" t="s">
        <v>5</v>
      </c>
      <c r="E4" s="41" t="s">
        <v>6</v>
      </c>
      <c r="F4" s="41" t="s">
        <v>7</v>
      </c>
      <c r="G4" s="41" t="s">
        <v>9</v>
      </c>
      <c r="H4" s="41" t="s">
        <v>10</v>
      </c>
      <c r="I4" s="41" t="s">
        <v>11</v>
      </c>
      <c r="J4" s="96" t="s">
        <v>185</v>
      </c>
    </row>
    <row r="5" spans="1:10" ht="32.25" customHeight="1" x14ac:dyDescent="0.25">
      <c r="A5" s="57">
        <v>1</v>
      </c>
      <c r="B5" s="62" t="s">
        <v>15</v>
      </c>
      <c r="C5" s="60" t="s">
        <v>16</v>
      </c>
      <c r="D5" s="63" t="str">
        <f>+LEFT(B5,5)</f>
        <v>2.9.2</v>
      </c>
      <c r="E5" s="83" t="s">
        <v>17</v>
      </c>
      <c r="F5" s="57" t="s">
        <v>18</v>
      </c>
      <c r="G5" s="57">
        <v>5</v>
      </c>
      <c r="H5" s="90">
        <v>3000</v>
      </c>
      <c r="I5" s="93">
        <f t="shared" ref="I5:I49" si="0">G5*H5</f>
        <v>15000</v>
      </c>
      <c r="J5" s="33"/>
    </row>
    <row r="6" spans="1:10" ht="27.75" customHeight="1" x14ac:dyDescent="0.25">
      <c r="A6" s="57">
        <v>2</v>
      </c>
      <c r="B6" s="59" t="s">
        <v>19</v>
      </c>
      <c r="C6" s="60" t="s">
        <v>16</v>
      </c>
      <c r="D6" s="60" t="s">
        <v>20</v>
      </c>
      <c r="E6" s="84" t="s">
        <v>21</v>
      </c>
      <c r="F6" s="57" t="s">
        <v>18</v>
      </c>
      <c r="G6" s="57">
        <v>15</v>
      </c>
      <c r="H6" s="90">
        <v>500</v>
      </c>
      <c r="I6" s="93">
        <f t="shared" si="0"/>
        <v>7500</v>
      </c>
      <c r="J6" s="33"/>
    </row>
    <row r="7" spans="1:10" ht="30" x14ac:dyDescent="0.25">
      <c r="A7" s="57">
        <v>3</v>
      </c>
      <c r="B7" s="59" t="s">
        <v>22</v>
      </c>
      <c r="C7" s="60" t="s">
        <v>16</v>
      </c>
      <c r="D7" s="60" t="s">
        <v>20</v>
      </c>
      <c r="E7" s="61" t="s">
        <v>23</v>
      </c>
      <c r="F7" s="57" t="s">
        <v>24</v>
      </c>
      <c r="G7" s="57">
        <v>7</v>
      </c>
      <c r="H7" s="90">
        <v>600</v>
      </c>
      <c r="I7" s="93">
        <f t="shared" si="0"/>
        <v>4200</v>
      </c>
      <c r="J7" s="33"/>
    </row>
    <row r="8" spans="1:10" ht="30" x14ac:dyDescent="0.25">
      <c r="A8" s="57">
        <v>4</v>
      </c>
      <c r="B8" s="59" t="s">
        <v>25</v>
      </c>
      <c r="C8" s="60" t="s">
        <v>16</v>
      </c>
      <c r="D8" s="60" t="s">
        <v>20</v>
      </c>
      <c r="E8" s="85" t="s">
        <v>26</v>
      </c>
      <c r="F8" s="57" t="s">
        <v>24</v>
      </c>
      <c r="G8" s="57">
        <v>2</v>
      </c>
      <c r="H8" s="90">
        <v>2500</v>
      </c>
      <c r="I8" s="93">
        <f t="shared" si="0"/>
        <v>5000</v>
      </c>
      <c r="J8" s="33"/>
    </row>
    <row r="9" spans="1:10" ht="25.5" x14ac:dyDescent="0.25">
      <c r="A9" s="57">
        <v>5</v>
      </c>
      <c r="B9" s="59" t="s">
        <v>27</v>
      </c>
      <c r="C9" s="60" t="s">
        <v>16</v>
      </c>
      <c r="D9" s="60" t="s">
        <v>20</v>
      </c>
      <c r="E9" s="84" t="s">
        <v>28</v>
      </c>
      <c r="F9" s="57" t="s">
        <v>18</v>
      </c>
      <c r="G9" s="57">
        <v>50</v>
      </c>
      <c r="H9" s="90">
        <v>150</v>
      </c>
      <c r="I9" s="93">
        <f t="shared" si="0"/>
        <v>7500</v>
      </c>
      <c r="J9" s="33"/>
    </row>
    <row r="10" spans="1:10" ht="25.5" x14ac:dyDescent="0.25">
      <c r="A10" s="57">
        <v>6</v>
      </c>
      <c r="B10" s="59" t="s">
        <v>29</v>
      </c>
      <c r="C10" s="60" t="s">
        <v>16</v>
      </c>
      <c r="D10" s="60" t="s">
        <v>20</v>
      </c>
      <c r="E10" s="84" t="s">
        <v>30</v>
      </c>
      <c r="F10" s="57" t="s">
        <v>24</v>
      </c>
      <c r="G10" s="57">
        <v>50</v>
      </c>
      <c r="H10" s="90">
        <v>200</v>
      </c>
      <c r="I10" s="93">
        <f t="shared" si="0"/>
        <v>10000</v>
      </c>
      <c r="J10" s="33"/>
    </row>
    <row r="11" spans="1:10" ht="25.5" x14ac:dyDescent="0.25">
      <c r="A11" s="57">
        <v>7</v>
      </c>
      <c r="B11" s="59" t="s">
        <v>31</v>
      </c>
      <c r="C11" s="60" t="s">
        <v>16</v>
      </c>
      <c r="D11" s="60" t="s">
        <v>20</v>
      </c>
      <c r="E11" s="84" t="s">
        <v>32</v>
      </c>
      <c r="F11" s="57" t="s">
        <v>24</v>
      </c>
      <c r="G11" s="57">
        <v>15</v>
      </c>
      <c r="H11" s="90">
        <v>250</v>
      </c>
      <c r="I11" s="93">
        <f t="shared" si="0"/>
        <v>3750</v>
      </c>
      <c r="J11" s="33"/>
    </row>
    <row r="12" spans="1:10" ht="30" x14ac:dyDescent="0.25">
      <c r="A12" s="57">
        <v>8</v>
      </c>
      <c r="B12" s="59" t="s">
        <v>33</v>
      </c>
      <c r="C12" s="60" t="s">
        <v>16</v>
      </c>
      <c r="D12" s="60" t="s">
        <v>20</v>
      </c>
      <c r="E12" s="84" t="s">
        <v>34</v>
      </c>
      <c r="F12" s="57" t="s">
        <v>35</v>
      </c>
      <c r="G12" s="57">
        <v>15</v>
      </c>
      <c r="H12" s="90">
        <v>700</v>
      </c>
      <c r="I12" s="93">
        <f t="shared" si="0"/>
        <v>10500</v>
      </c>
      <c r="J12" s="33" t="s">
        <v>209</v>
      </c>
    </row>
    <row r="13" spans="1:10" ht="30" x14ac:dyDescent="0.25">
      <c r="A13" s="57">
        <v>9</v>
      </c>
      <c r="B13" s="86" t="s">
        <v>36</v>
      </c>
      <c r="C13" s="60" t="s">
        <v>16</v>
      </c>
      <c r="D13" s="60" t="s">
        <v>20</v>
      </c>
      <c r="E13" s="84" t="s">
        <v>37</v>
      </c>
      <c r="F13" s="57" t="s">
        <v>18</v>
      </c>
      <c r="G13" s="57">
        <v>50</v>
      </c>
      <c r="H13" s="90">
        <v>200</v>
      </c>
      <c r="I13" s="93">
        <f t="shared" si="0"/>
        <v>10000</v>
      </c>
      <c r="J13" s="33"/>
    </row>
    <row r="14" spans="1:10" ht="30" x14ac:dyDescent="0.25">
      <c r="A14" s="57">
        <v>10</v>
      </c>
      <c r="B14" s="59" t="s">
        <v>38</v>
      </c>
      <c r="C14" s="60" t="s">
        <v>16</v>
      </c>
      <c r="D14" s="60" t="s">
        <v>39</v>
      </c>
      <c r="E14" s="84" t="s">
        <v>40</v>
      </c>
      <c r="F14" s="57" t="s">
        <v>35</v>
      </c>
      <c r="G14" s="57">
        <v>30</v>
      </c>
      <c r="H14" s="90">
        <v>250</v>
      </c>
      <c r="I14" s="93">
        <f t="shared" si="0"/>
        <v>7500</v>
      </c>
      <c r="J14" s="33"/>
    </row>
    <row r="15" spans="1:10" ht="30" x14ac:dyDescent="0.25">
      <c r="A15" s="57">
        <v>11</v>
      </c>
      <c r="B15" s="59" t="s">
        <v>41</v>
      </c>
      <c r="C15" s="60" t="s">
        <v>16</v>
      </c>
      <c r="D15" s="60" t="s">
        <v>20</v>
      </c>
      <c r="E15" s="61" t="s">
        <v>42</v>
      </c>
      <c r="F15" s="57" t="s">
        <v>35</v>
      </c>
      <c r="G15" s="57">
        <v>30</v>
      </c>
      <c r="H15" s="92">
        <v>100</v>
      </c>
      <c r="I15" s="93">
        <f t="shared" si="0"/>
        <v>3000</v>
      </c>
      <c r="J15" s="33"/>
    </row>
    <row r="16" spans="1:10" ht="30" x14ac:dyDescent="0.25">
      <c r="A16" s="57">
        <v>12</v>
      </c>
      <c r="B16" s="59" t="s">
        <v>43</v>
      </c>
      <c r="C16" s="60" t="s">
        <v>16</v>
      </c>
      <c r="D16" s="60" t="s">
        <v>20</v>
      </c>
      <c r="E16" s="61" t="s">
        <v>44</v>
      </c>
      <c r="F16" s="57" t="s">
        <v>35</v>
      </c>
      <c r="G16" s="57">
        <v>100</v>
      </c>
      <c r="H16" s="92">
        <v>130</v>
      </c>
      <c r="I16" s="93">
        <f t="shared" si="0"/>
        <v>13000</v>
      </c>
      <c r="J16" s="33"/>
    </row>
    <row r="17" spans="1:10" ht="30" x14ac:dyDescent="0.25">
      <c r="A17" s="57">
        <v>13</v>
      </c>
      <c r="B17" s="59" t="s">
        <v>45</v>
      </c>
      <c r="C17" s="60" t="s">
        <v>16</v>
      </c>
      <c r="D17" s="60" t="s">
        <v>20</v>
      </c>
      <c r="E17" s="61" t="s">
        <v>46</v>
      </c>
      <c r="F17" s="57" t="s">
        <v>35</v>
      </c>
      <c r="G17" s="57">
        <v>10</v>
      </c>
      <c r="H17" s="92">
        <v>150</v>
      </c>
      <c r="I17" s="93">
        <f t="shared" si="0"/>
        <v>1500</v>
      </c>
      <c r="J17" s="33"/>
    </row>
    <row r="18" spans="1:10" ht="30" x14ac:dyDescent="0.25">
      <c r="A18" s="57">
        <v>14</v>
      </c>
      <c r="B18" s="59" t="s">
        <v>47</v>
      </c>
      <c r="C18" s="60" t="s">
        <v>16</v>
      </c>
      <c r="D18" s="60" t="s">
        <v>20</v>
      </c>
      <c r="E18" s="61" t="s">
        <v>48</v>
      </c>
      <c r="F18" s="57" t="s">
        <v>35</v>
      </c>
      <c r="G18" s="57">
        <v>10</v>
      </c>
      <c r="H18" s="92">
        <v>100</v>
      </c>
      <c r="I18" s="93">
        <f t="shared" si="0"/>
        <v>1000</v>
      </c>
      <c r="J18" s="33"/>
    </row>
    <row r="19" spans="1:10" ht="45" x14ac:dyDescent="0.25">
      <c r="A19" s="57">
        <v>15</v>
      </c>
      <c r="B19" s="62" t="s">
        <v>49</v>
      </c>
      <c r="C19" s="60" t="s">
        <v>16</v>
      </c>
      <c r="D19" s="63" t="str">
        <f>+LEFT(B19,5)</f>
        <v>2.3.1</v>
      </c>
      <c r="E19" s="83" t="s">
        <v>50</v>
      </c>
      <c r="F19" s="57" t="s">
        <v>18</v>
      </c>
      <c r="G19" s="57">
        <v>10</v>
      </c>
      <c r="H19" s="90">
        <v>700</v>
      </c>
      <c r="I19" s="93">
        <f t="shared" si="0"/>
        <v>7000</v>
      </c>
      <c r="J19" s="97" t="s">
        <v>210</v>
      </c>
    </row>
    <row r="20" spans="1:10" ht="45" x14ac:dyDescent="0.25">
      <c r="A20" s="57">
        <v>16</v>
      </c>
      <c r="B20" s="59" t="s">
        <v>51</v>
      </c>
      <c r="C20" s="60" t="s">
        <v>16</v>
      </c>
      <c r="D20" s="60" t="s">
        <v>52</v>
      </c>
      <c r="E20" s="61" t="s">
        <v>53</v>
      </c>
      <c r="F20" s="57" t="s">
        <v>18</v>
      </c>
      <c r="G20" s="57">
        <v>15</v>
      </c>
      <c r="H20" s="90">
        <v>1000</v>
      </c>
      <c r="I20" s="93">
        <f t="shared" si="0"/>
        <v>15000</v>
      </c>
      <c r="J20" s="97" t="s">
        <v>211</v>
      </c>
    </row>
    <row r="21" spans="1:10" ht="45" x14ac:dyDescent="0.25">
      <c r="A21" s="57">
        <v>17</v>
      </c>
      <c r="B21" s="62" t="s">
        <v>54</v>
      </c>
      <c r="C21" s="60" t="s">
        <v>16</v>
      </c>
      <c r="D21" s="64" t="str">
        <f t="shared" ref="D21:D26" si="1">+LEFT(B21,5)</f>
        <v>2.3.1</v>
      </c>
      <c r="E21" s="83" t="s">
        <v>55</v>
      </c>
      <c r="F21" s="58" t="s">
        <v>18</v>
      </c>
      <c r="G21" s="58">
        <v>550</v>
      </c>
      <c r="H21" s="90">
        <v>1500</v>
      </c>
      <c r="I21" s="93">
        <f t="shared" si="0"/>
        <v>825000</v>
      </c>
      <c r="J21" s="33"/>
    </row>
    <row r="22" spans="1:10" ht="60" x14ac:dyDescent="0.25">
      <c r="A22" s="57">
        <v>18</v>
      </c>
      <c r="B22" s="62" t="s">
        <v>56</v>
      </c>
      <c r="C22" s="60" t="s">
        <v>16</v>
      </c>
      <c r="D22" s="64" t="str">
        <f t="shared" si="1"/>
        <v>2.3.1</v>
      </c>
      <c r="E22" s="83" t="s">
        <v>57</v>
      </c>
      <c r="F22" s="58" t="s">
        <v>18</v>
      </c>
      <c r="G22" s="58">
        <v>350</v>
      </c>
      <c r="H22" s="90">
        <v>1200</v>
      </c>
      <c r="I22" s="93">
        <f t="shared" si="0"/>
        <v>420000</v>
      </c>
      <c r="J22" s="33"/>
    </row>
    <row r="23" spans="1:10" x14ac:dyDescent="0.25">
      <c r="A23" s="57">
        <v>19</v>
      </c>
      <c r="B23" s="60" t="s">
        <v>58</v>
      </c>
      <c r="C23" s="60" t="s">
        <v>16</v>
      </c>
      <c r="D23" s="63" t="str">
        <f t="shared" si="1"/>
        <v>2.9.2</v>
      </c>
      <c r="E23" s="61" t="s">
        <v>59</v>
      </c>
      <c r="F23" s="58" t="s">
        <v>18</v>
      </c>
      <c r="G23" s="58">
        <v>40</v>
      </c>
      <c r="H23" s="90">
        <v>100</v>
      </c>
      <c r="I23" s="93">
        <f t="shared" si="0"/>
        <v>4000</v>
      </c>
      <c r="J23" s="97" t="s">
        <v>212</v>
      </c>
    </row>
    <row r="24" spans="1:10" x14ac:dyDescent="0.25">
      <c r="A24" s="57">
        <v>20</v>
      </c>
      <c r="B24" s="60" t="s">
        <v>60</v>
      </c>
      <c r="C24" s="60" t="s">
        <v>16</v>
      </c>
      <c r="D24" s="63" t="str">
        <f t="shared" si="1"/>
        <v>2.9.2</v>
      </c>
      <c r="E24" s="61" t="s">
        <v>61</v>
      </c>
      <c r="F24" s="58" t="s">
        <v>18</v>
      </c>
      <c r="G24" s="58">
        <v>20</v>
      </c>
      <c r="H24" s="90">
        <v>100</v>
      </c>
      <c r="I24" s="93">
        <f t="shared" si="0"/>
        <v>2000</v>
      </c>
      <c r="J24" s="97" t="s">
        <v>213</v>
      </c>
    </row>
    <row r="25" spans="1:10" ht="30" x14ac:dyDescent="0.25">
      <c r="A25" s="57">
        <v>21</v>
      </c>
      <c r="B25" s="58" t="s">
        <v>62</v>
      </c>
      <c r="C25" s="60" t="s">
        <v>16</v>
      </c>
      <c r="D25" s="63" t="str">
        <f t="shared" si="1"/>
        <v>2.9.2</v>
      </c>
      <c r="E25" s="83" t="s">
        <v>63</v>
      </c>
      <c r="F25" s="58" t="s">
        <v>18</v>
      </c>
      <c r="G25" s="58">
        <v>20</v>
      </c>
      <c r="H25" s="90">
        <v>350</v>
      </c>
      <c r="I25" s="93">
        <f t="shared" si="0"/>
        <v>7000</v>
      </c>
      <c r="J25" s="33"/>
    </row>
    <row r="26" spans="1:10" ht="30" x14ac:dyDescent="0.25">
      <c r="A26" s="57">
        <v>22</v>
      </c>
      <c r="B26" s="62" t="s">
        <v>64</v>
      </c>
      <c r="C26" s="60" t="s">
        <v>16</v>
      </c>
      <c r="D26" s="64" t="str">
        <f t="shared" si="1"/>
        <v>2.9.2</v>
      </c>
      <c r="E26" s="83" t="s">
        <v>65</v>
      </c>
      <c r="F26" s="58" t="s">
        <v>18</v>
      </c>
      <c r="G26" s="58">
        <v>20</v>
      </c>
      <c r="H26" s="90">
        <v>280</v>
      </c>
      <c r="I26" s="93">
        <f t="shared" si="0"/>
        <v>5600</v>
      </c>
      <c r="J26" s="33"/>
    </row>
    <row r="27" spans="1:10" ht="30" x14ac:dyDescent="0.25">
      <c r="A27" s="57">
        <v>23</v>
      </c>
      <c r="B27" s="59" t="s">
        <v>66</v>
      </c>
      <c r="C27" s="60" t="s">
        <v>16</v>
      </c>
      <c r="D27" s="60" t="s">
        <v>67</v>
      </c>
      <c r="E27" s="61" t="s">
        <v>68</v>
      </c>
      <c r="F27" s="58" t="s">
        <v>18</v>
      </c>
      <c r="G27" s="58">
        <v>500</v>
      </c>
      <c r="H27" s="90">
        <v>15</v>
      </c>
      <c r="I27" s="93">
        <f t="shared" si="0"/>
        <v>7500</v>
      </c>
      <c r="J27" s="33"/>
    </row>
    <row r="28" spans="1:10" ht="25.5" x14ac:dyDescent="0.25">
      <c r="A28" s="57">
        <v>24</v>
      </c>
      <c r="B28" s="59" t="s">
        <v>69</v>
      </c>
      <c r="C28" s="60" t="s">
        <v>16</v>
      </c>
      <c r="D28" s="60" t="s">
        <v>20</v>
      </c>
      <c r="E28" s="84" t="s">
        <v>70</v>
      </c>
      <c r="F28" s="58" t="s">
        <v>18</v>
      </c>
      <c r="G28" s="58">
        <v>200</v>
      </c>
      <c r="H28" s="90">
        <v>15</v>
      </c>
      <c r="I28" s="93">
        <f t="shared" si="0"/>
        <v>3000</v>
      </c>
      <c r="J28" s="33"/>
    </row>
    <row r="29" spans="1:10" x14ac:dyDescent="0.25">
      <c r="A29" s="57">
        <v>25</v>
      </c>
      <c r="B29" s="62" t="s">
        <v>71</v>
      </c>
      <c r="C29" s="60" t="s">
        <v>16</v>
      </c>
      <c r="D29" s="63" t="str">
        <f>+LEFT(B29,5)</f>
        <v>2.9.2</v>
      </c>
      <c r="E29" s="83" t="s">
        <v>72</v>
      </c>
      <c r="F29" s="57" t="s">
        <v>18</v>
      </c>
      <c r="G29" s="57">
        <v>40</v>
      </c>
      <c r="H29" s="90">
        <v>30</v>
      </c>
      <c r="I29" s="93">
        <f t="shared" si="0"/>
        <v>1200</v>
      </c>
      <c r="J29" s="33"/>
    </row>
    <row r="30" spans="1:10" ht="30" x14ac:dyDescent="0.25">
      <c r="A30" s="57">
        <v>26</v>
      </c>
      <c r="B30" s="58" t="s">
        <v>73</v>
      </c>
      <c r="C30" s="60" t="s">
        <v>16</v>
      </c>
      <c r="D30" s="63" t="str">
        <f t="shared" ref="D30:D36" si="2">+LEFT(B30,5)</f>
        <v>2.9.2</v>
      </c>
      <c r="E30" s="83" t="s">
        <v>74</v>
      </c>
      <c r="F30" s="58" t="s">
        <v>18</v>
      </c>
      <c r="G30" s="58">
        <v>10</v>
      </c>
      <c r="H30" s="90">
        <v>200</v>
      </c>
      <c r="I30" s="93">
        <f t="shared" si="0"/>
        <v>2000</v>
      </c>
      <c r="J30" s="33"/>
    </row>
    <row r="31" spans="1:10" x14ac:dyDescent="0.25">
      <c r="A31" s="57">
        <v>27</v>
      </c>
      <c r="B31" s="59" t="s">
        <v>75</v>
      </c>
      <c r="C31" s="60" t="s">
        <v>16</v>
      </c>
      <c r="D31" s="63" t="str">
        <f t="shared" si="2"/>
        <v>2.9.2</v>
      </c>
      <c r="E31" s="84" t="s">
        <v>76</v>
      </c>
      <c r="F31" s="58" t="s">
        <v>18</v>
      </c>
      <c r="G31" s="58">
        <v>200</v>
      </c>
      <c r="H31" s="90">
        <v>100</v>
      </c>
      <c r="I31" s="93">
        <f t="shared" si="0"/>
        <v>20000</v>
      </c>
      <c r="J31" s="99" t="s">
        <v>214</v>
      </c>
    </row>
    <row r="32" spans="1:10" x14ac:dyDescent="0.25">
      <c r="A32" s="57">
        <v>28</v>
      </c>
      <c r="B32" s="59" t="s">
        <v>75</v>
      </c>
      <c r="C32" s="60" t="s">
        <v>16</v>
      </c>
      <c r="D32" s="63" t="str">
        <f t="shared" si="2"/>
        <v>2.9.2</v>
      </c>
      <c r="E32" s="84" t="s">
        <v>76</v>
      </c>
      <c r="F32" s="58" t="s">
        <v>18</v>
      </c>
      <c r="G32" s="58">
        <v>200</v>
      </c>
      <c r="H32" s="90">
        <v>100</v>
      </c>
      <c r="I32" s="93">
        <f t="shared" si="0"/>
        <v>20000</v>
      </c>
      <c r="J32" s="99" t="s">
        <v>215</v>
      </c>
    </row>
    <row r="33" spans="1:10" ht="15" customHeight="1" x14ac:dyDescent="0.25">
      <c r="A33" s="57">
        <v>29</v>
      </c>
      <c r="B33" s="62" t="s">
        <v>77</v>
      </c>
      <c r="C33" s="60" t="s">
        <v>16</v>
      </c>
      <c r="D33" s="63" t="str">
        <f t="shared" si="2"/>
        <v>2.9.2</v>
      </c>
      <c r="E33" s="84" t="s">
        <v>78</v>
      </c>
      <c r="F33" s="57" t="s">
        <v>18</v>
      </c>
      <c r="G33" s="57">
        <v>200</v>
      </c>
      <c r="H33" s="90">
        <v>100</v>
      </c>
      <c r="I33" s="93">
        <f t="shared" si="0"/>
        <v>20000</v>
      </c>
      <c r="J33" s="97" t="s">
        <v>216</v>
      </c>
    </row>
    <row r="34" spans="1:10" ht="15" customHeight="1" x14ac:dyDescent="0.25">
      <c r="A34" s="57">
        <v>30</v>
      </c>
      <c r="B34" s="62" t="s">
        <v>77</v>
      </c>
      <c r="C34" s="60" t="s">
        <v>16</v>
      </c>
      <c r="D34" s="63" t="str">
        <f t="shared" si="2"/>
        <v>2.9.2</v>
      </c>
      <c r="E34" s="84" t="s">
        <v>78</v>
      </c>
      <c r="F34" s="57" t="s">
        <v>18</v>
      </c>
      <c r="G34" s="57">
        <v>200</v>
      </c>
      <c r="H34" s="90">
        <v>100</v>
      </c>
      <c r="I34" s="93">
        <f t="shared" si="0"/>
        <v>20000</v>
      </c>
      <c r="J34" s="97" t="s">
        <v>217</v>
      </c>
    </row>
    <row r="35" spans="1:10" ht="42" customHeight="1" x14ac:dyDescent="0.25">
      <c r="A35" s="57">
        <v>31</v>
      </c>
      <c r="B35" s="62" t="s">
        <v>79</v>
      </c>
      <c r="C35" s="60" t="s">
        <v>16</v>
      </c>
      <c r="D35" s="63" t="str">
        <f t="shared" si="2"/>
        <v>2.9.2</v>
      </c>
      <c r="E35" s="83" t="s">
        <v>80</v>
      </c>
      <c r="F35" s="57" t="s">
        <v>81</v>
      </c>
      <c r="G35" s="57">
        <v>2</v>
      </c>
      <c r="H35" s="90">
        <v>900</v>
      </c>
      <c r="I35" s="93">
        <f t="shared" si="0"/>
        <v>1800</v>
      </c>
      <c r="J35" s="97" t="s">
        <v>218</v>
      </c>
    </row>
    <row r="36" spans="1:10" ht="30" customHeight="1" x14ac:dyDescent="0.25">
      <c r="A36" s="57">
        <v>32</v>
      </c>
      <c r="B36" s="59" t="s">
        <v>82</v>
      </c>
      <c r="C36" s="60" t="s">
        <v>16</v>
      </c>
      <c r="D36" s="63" t="str">
        <f t="shared" si="2"/>
        <v>2.9.2</v>
      </c>
      <c r="E36" s="61" t="s">
        <v>83</v>
      </c>
      <c r="F36" s="57" t="s">
        <v>18</v>
      </c>
      <c r="G36" s="57">
        <v>20</v>
      </c>
      <c r="H36" s="90">
        <v>300</v>
      </c>
      <c r="I36" s="93">
        <f t="shared" si="0"/>
        <v>6000</v>
      </c>
      <c r="J36" s="97" t="s">
        <v>219</v>
      </c>
    </row>
    <row r="37" spans="1:10" ht="30" x14ac:dyDescent="0.25">
      <c r="A37" s="57">
        <v>33</v>
      </c>
      <c r="B37" s="59" t="s">
        <v>84</v>
      </c>
      <c r="C37" s="60" t="s">
        <v>16</v>
      </c>
      <c r="D37" s="60" t="s">
        <v>52</v>
      </c>
      <c r="E37" s="84" t="s">
        <v>85</v>
      </c>
      <c r="F37" s="57" t="s">
        <v>18</v>
      </c>
      <c r="G37" s="57">
        <v>20</v>
      </c>
      <c r="H37" s="90">
        <v>1500</v>
      </c>
      <c r="I37" s="93">
        <f t="shared" si="0"/>
        <v>30000</v>
      </c>
      <c r="J37" s="33"/>
    </row>
    <row r="38" spans="1:10" ht="45" x14ac:dyDescent="0.25">
      <c r="A38" s="57">
        <v>34</v>
      </c>
      <c r="B38" s="62" t="s">
        <v>86</v>
      </c>
      <c r="C38" s="60" t="s">
        <v>16</v>
      </c>
      <c r="D38" s="63" t="str">
        <f>+LEFT(B38,5)</f>
        <v>2.3.1</v>
      </c>
      <c r="E38" s="83" t="s">
        <v>87</v>
      </c>
      <c r="F38" s="57" t="s">
        <v>18</v>
      </c>
      <c r="G38" s="57">
        <v>200</v>
      </c>
      <c r="H38" s="90">
        <v>50</v>
      </c>
      <c r="I38" s="93">
        <f t="shared" si="0"/>
        <v>10000</v>
      </c>
      <c r="J38" s="97" t="s">
        <v>220</v>
      </c>
    </row>
    <row r="39" spans="1:10" ht="45" x14ac:dyDescent="0.25">
      <c r="A39" s="57">
        <v>35</v>
      </c>
      <c r="B39" s="62" t="s">
        <v>88</v>
      </c>
      <c r="C39" s="60" t="s">
        <v>16</v>
      </c>
      <c r="D39" s="63" t="str">
        <f>+LEFT(B39,5)</f>
        <v>2.3.1</v>
      </c>
      <c r="E39" s="83" t="s">
        <v>89</v>
      </c>
      <c r="F39" s="57" t="s">
        <v>18</v>
      </c>
      <c r="G39" s="57">
        <v>100</v>
      </c>
      <c r="H39" s="90">
        <v>30</v>
      </c>
      <c r="I39" s="93">
        <f t="shared" si="0"/>
        <v>3000</v>
      </c>
      <c r="J39" s="97" t="s">
        <v>221</v>
      </c>
    </row>
    <row r="40" spans="1:10" ht="30" x14ac:dyDescent="0.25">
      <c r="A40" s="57">
        <v>36</v>
      </c>
      <c r="B40" s="62" t="s">
        <v>90</v>
      </c>
      <c r="C40" s="60" t="s">
        <v>16</v>
      </c>
      <c r="D40" s="63" t="str">
        <f>+LEFT(B40,5)</f>
        <v>2.9.2</v>
      </c>
      <c r="E40" s="83" t="s">
        <v>91</v>
      </c>
      <c r="F40" s="57" t="s">
        <v>18</v>
      </c>
      <c r="G40" s="57">
        <v>40</v>
      </c>
      <c r="H40" s="90">
        <v>100</v>
      </c>
      <c r="I40" s="93">
        <f t="shared" si="0"/>
        <v>4000</v>
      </c>
      <c r="J40" s="97" t="s">
        <v>222</v>
      </c>
    </row>
    <row r="41" spans="1:10" ht="30" customHeight="1" x14ac:dyDescent="0.25">
      <c r="A41" s="57">
        <v>37</v>
      </c>
      <c r="B41" s="59" t="s">
        <v>92</v>
      </c>
      <c r="C41" s="60" t="s">
        <v>16</v>
      </c>
      <c r="D41" s="60" t="s">
        <v>20</v>
      </c>
      <c r="E41" s="61" t="s">
        <v>93</v>
      </c>
      <c r="F41" s="57" t="s">
        <v>24</v>
      </c>
      <c r="G41" s="57">
        <v>15</v>
      </c>
      <c r="H41" s="90">
        <v>300</v>
      </c>
      <c r="I41" s="93">
        <f t="shared" si="0"/>
        <v>4500</v>
      </c>
      <c r="J41" s="97" t="s">
        <v>223</v>
      </c>
    </row>
    <row r="42" spans="1:10" ht="36" customHeight="1" x14ac:dyDescent="0.25">
      <c r="A42" s="57">
        <v>38</v>
      </c>
      <c r="B42" s="59" t="s">
        <v>94</v>
      </c>
      <c r="C42" s="60" t="s">
        <v>16</v>
      </c>
      <c r="D42" s="60" t="s">
        <v>20</v>
      </c>
      <c r="E42" s="61" t="s">
        <v>95</v>
      </c>
      <c r="F42" s="57" t="s">
        <v>18</v>
      </c>
      <c r="G42" s="57">
        <v>50</v>
      </c>
      <c r="H42" s="90">
        <v>150</v>
      </c>
      <c r="I42" s="93">
        <f t="shared" si="0"/>
        <v>7500</v>
      </c>
      <c r="J42" s="97" t="s">
        <v>224</v>
      </c>
    </row>
    <row r="43" spans="1:10" ht="30" x14ac:dyDescent="0.25">
      <c r="A43" s="57">
        <v>39</v>
      </c>
      <c r="B43" s="59" t="s">
        <v>96</v>
      </c>
      <c r="C43" s="60" t="s">
        <v>16</v>
      </c>
      <c r="D43" s="60" t="s">
        <v>20</v>
      </c>
      <c r="E43" s="61" t="s">
        <v>97</v>
      </c>
      <c r="F43" s="57" t="s">
        <v>18</v>
      </c>
      <c r="G43" s="57">
        <v>5</v>
      </c>
      <c r="H43" s="90">
        <v>250</v>
      </c>
      <c r="I43" s="93">
        <f t="shared" si="0"/>
        <v>1250</v>
      </c>
      <c r="J43" s="33"/>
    </row>
    <row r="44" spans="1:10" ht="30" x14ac:dyDescent="0.25">
      <c r="A44" s="57">
        <v>40</v>
      </c>
      <c r="B44" s="62" t="s">
        <v>98</v>
      </c>
      <c r="C44" s="60" t="s">
        <v>16</v>
      </c>
      <c r="D44" s="60" t="s">
        <v>20</v>
      </c>
      <c r="E44" s="83" t="s">
        <v>99</v>
      </c>
      <c r="F44" s="57" t="s">
        <v>35</v>
      </c>
      <c r="G44" s="57">
        <v>10</v>
      </c>
      <c r="H44" s="90">
        <v>400</v>
      </c>
      <c r="I44" s="93">
        <f t="shared" si="0"/>
        <v>4000</v>
      </c>
      <c r="J44" s="33"/>
    </row>
    <row r="45" spans="1:10" ht="30" x14ac:dyDescent="0.25">
      <c r="A45" s="57">
        <v>41</v>
      </c>
      <c r="B45" s="62" t="s">
        <v>100</v>
      </c>
      <c r="C45" s="60" t="s">
        <v>16</v>
      </c>
      <c r="D45" s="60" t="s">
        <v>20</v>
      </c>
      <c r="E45" s="83" t="s">
        <v>101</v>
      </c>
      <c r="F45" s="57" t="s">
        <v>18</v>
      </c>
      <c r="G45" s="57">
        <v>10</v>
      </c>
      <c r="H45" s="90">
        <v>400</v>
      </c>
      <c r="I45" s="93">
        <f t="shared" si="0"/>
        <v>4000</v>
      </c>
      <c r="J45" s="33"/>
    </row>
    <row r="46" spans="1:10" x14ac:dyDescent="0.25">
      <c r="A46" s="57">
        <v>42</v>
      </c>
      <c r="B46" s="59" t="s">
        <v>102</v>
      </c>
      <c r="C46" s="60" t="s">
        <v>16</v>
      </c>
      <c r="D46" s="60" t="s">
        <v>20</v>
      </c>
      <c r="E46" s="61" t="s">
        <v>103</v>
      </c>
      <c r="F46" s="57" t="s">
        <v>18</v>
      </c>
      <c r="G46" s="57">
        <v>5</v>
      </c>
      <c r="H46" s="90">
        <v>2300</v>
      </c>
      <c r="I46" s="93">
        <f t="shared" si="0"/>
        <v>11500</v>
      </c>
      <c r="J46" s="33"/>
    </row>
    <row r="47" spans="1:10" ht="30" customHeight="1" x14ac:dyDescent="0.25">
      <c r="A47" s="57">
        <v>43</v>
      </c>
      <c r="B47" s="59" t="s">
        <v>104</v>
      </c>
      <c r="C47" s="60" t="s">
        <v>16</v>
      </c>
      <c r="D47" s="60" t="s">
        <v>20</v>
      </c>
      <c r="E47" s="61" t="s">
        <v>105</v>
      </c>
      <c r="F47" s="57" t="s">
        <v>18</v>
      </c>
      <c r="G47" s="57">
        <v>80</v>
      </c>
      <c r="H47" s="90">
        <v>130</v>
      </c>
      <c r="I47" s="93">
        <f t="shared" si="0"/>
        <v>10400</v>
      </c>
      <c r="J47" s="97" t="s">
        <v>225</v>
      </c>
    </row>
    <row r="48" spans="1:10" ht="30" x14ac:dyDescent="0.25">
      <c r="A48" s="57">
        <v>44</v>
      </c>
      <c r="B48" s="59" t="s">
        <v>106</v>
      </c>
      <c r="C48" s="60" t="s">
        <v>16</v>
      </c>
      <c r="D48" s="60" t="s">
        <v>20</v>
      </c>
      <c r="E48" s="61" t="s">
        <v>107</v>
      </c>
      <c r="F48" s="57" t="s">
        <v>18</v>
      </c>
      <c r="G48" s="57">
        <v>80</v>
      </c>
      <c r="H48" s="92">
        <v>150</v>
      </c>
      <c r="I48" s="93">
        <f t="shared" si="0"/>
        <v>12000</v>
      </c>
      <c r="J48" s="97" t="s">
        <v>226</v>
      </c>
    </row>
    <row r="49" spans="1:10" ht="25.5" x14ac:dyDescent="0.25">
      <c r="A49" s="57">
        <v>45</v>
      </c>
      <c r="B49" s="60" t="s">
        <v>108</v>
      </c>
      <c r="C49" s="60" t="s">
        <v>16</v>
      </c>
      <c r="D49" s="60" t="s">
        <v>20</v>
      </c>
      <c r="E49" s="84" t="s">
        <v>109</v>
      </c>
      <c r="F49" s="57" t="s">
        <v>18</v>
      </c>
      <c r="G49" s="57">
        <v>80</v>
      </c>
      <c r="H49" s="90">
        <v>150</v>
      </c>
      <c r="I49" s="93">
        <f t="shared" si="0"/>
        <v>12000</v>
      </c>
      <c r="J49" s="97" t="s">
        <v>227</v>
      </c>
    </row>
    <row r="50" spans="1:10" ht="42.75" x14ac:dyDescent="0.25">
      <c r="A50" s="57">
        <v>46</v>
      </c>
      <c r="B50" s="37" t="s">
        <v>15</v>
      </c>
      <c r="C50" s="87" t="s">
        <v>115</v>
      </c>
      <c r="D50" s="88" t="str">
        <f>LEFT(B50,5)</f>
        <v>2.9.2</v>
      </c>
      <c r="E50" s="87" t="s">
        <v>110</v>
      </c>
      <c r="F50" s="89" t="s">
        <v>171</v>
      </c>
      <c r="G50" s="89">
        <v>10</v>
      </c>
      <c r="H50" s="91">
        <v>2614</v>
      </c>
      <c r="I50" s="94">
        <f t="shared" ref="I50:I86" si="3">G50*H50</f>
        <v>26140</v>
      </c>
      <c r="J50" s="98"/>
    </row>
    <row r="51" spans="1:10" ht="42.75" x14ac:dyDescent="0.25">
      <c r="A51" s="57">
        <v>47</v>
      </c>
      <c r="B51" s="39" t="s">
        <v>116</v>
      </c>
      <c r="C51" s="87" t="s">
        <v>115</v>
      </c>
      <c r="D51" s="88" t="str">
        <f t="shared" ref="D51:D86" si="4">LEFT(B51,5)</f>
        <v>2.9.2</v>
      </c>
      <c r="E51" s="87" t="s">
        <v>117</v>
      </c>
      <c r="F51" s="89" t="s">
        <v>172</v>
      </c>
      <c r="G51" s="89">
        <v>20</v>
      </c>
      <c r="H51" s="91">
        <v>450</v>
      </c>
      <c r="I51" s="94">
        <f t="shared" si="3"/>
        <v>9000</v>
      </c>
      <c r="J51" s="100" t="s">
        <v>228</v>
      </c>
    </row>
    <row r="52" spans="1:10" ht="42.75" x14ac:dyDescent="0.25">
      <c r="A52" s="57">
        <v>48</v>
      </c>
      <c r="B52" s="39" t="s">
        <v>118</v>
      </c>
      <c r="C52" s="87" t="s">
        <v>115</v>
      </c>
      <c r="D52" s="88" t="str">
        <f t="shared" si="4"/>
        <v>2.9.2</v>
      </c>
      <c r="E52" s="87" t="s">
        <v>119</v>
      </c>
      <c r="F52" s="89" t="s">
        <v>171</v>
      </c>
      <c r="G52" s="89">
        <v>50</v>
      </c>
      <c r="H52" s="91">
        <v>231</v>
      </c>
      <c r="I52" s="94">
        <f t="shared" si="3"/>
        <v>11550</v>
      </c>
      <c r="J52" s="33"/>
    </row>
    <row r="53" spans="1:10" ht="42.75" x14ac:dyDescent="0.25">
      <c r="A53" s="57">
        <v>49</v>
      </c>
      <c r="B53" s="39" t="s">
        <v>120</v>
      </c>
      <c r="C53" s="87" t="s">
        <v>115</v>
      </c>
      <c r="D53" s="88" t="str">
        <f t="shared" si="4"/>
        <v>2.9.2</v>
      </c>
      <c r="E53" s="87" t="s">
        <v>121</v>
      </c>
      <c r="F53" s="89" t="s">
        <v>171</v>
      </c>
      <c r="G53" s="89">
        <v>50</v>
      </c>
      <c r="H53" s="91">
        <v>820</v>
      </c>
      <c r="I53" s="94">
        <f t="shared" si="3"/>
        <v>41000</v>
      </c>
      <c r="J53" s="33"/>
    </row>
    <row r="54" spans="1:10" ht="42.75" x14ac:dyDescent="0.25">
      <c r="A54" s="57">
        <v>50</v>
      </c>
      <c r="B54" s="39" t="s">
        <v>122</v>
      </c>
      <c r="C54" s="87" t="s">
        <v>115</v>
      </c>
      <c r="D54" s="88" t="str">
        <f t="shared" si="4"/>
        <v>2.9.2</v>
      </c>
      <c r="E54" s="87" t="s">
        <v>123</v>
      </c>
      <c r="F54" s="89" t="s">
        <v>171</v>
      </c>
      <c r="G54" s="89">
        <v>1500</v>
      </c>
      <c r="H54" s="91">
        <v>83</v>
      </c>
      <c r="I54" s="94">
        <f t="shared" si="3"/>
        <v>124500</v>
      </c>
      <c r="J54" s="100" t="s">
        <v>229</v>
      </c>
    </row>
    <row r="55" spans="1:10" ht="42.75" x14ac:dyDescent="0.25">
      <c r="A55" s="57">
        <v>51</v>
      </c>
      <c r="B55" s="40" t="s">
        <v>122</v>
      </c>
      <c r="C55" s="87" t="s">
        <v>115</v>
      </c>
      <c r="D55" s="88" t="str">
        <f t="shared" si="4"/>
        <v>2.9.2</v>
      </c>
      <c r="E55" s="87" t="s">
        <v>123</v>
      </c>
      <c r="F55" s="89" t="s">
        <v>171</v>
      </c>
      <c r="G55" s="89">
        <v>1500</v>
      </c>
      <c r="H55" s="91">
        <v>83</v>
      </c>
      <c r="I55" s="94">
        <f t="shared" si="3"/>
        <v>124500</v>
      </c>
      <c r="J55" s="100" t="s">
        <v>230</v>
      </c>
    </row>
    <row r="56" spans="1:10" ht="42.75" x14ac:dyDescent="0.25">
      <c r="A56" s="57">
        <v>52</v>
      </c>
      <c r="B56" s="39" t="s">
        <v>29</v>
      </c>
      <c r="C56" s="87" t="s">
        <v>115</v>
      </c>
      <c r="D56" s="88" t="str">
        <f t="shared" si="4"/>
        <v>2.9.2</v>
      </c>
      <c r="E56" s="87" t="s">
        <v>30</v>
      </c>
      <c r="F56" s="89" t="s">
        <v>172</v>
      </c>
      <c r="G56" s="89">
        <v>200</v>
      </c>
      <c r="H56" s="91">
        <v>150</v>
      </c>
      <c r="I56" s="94">
        <f t="shared" si="3"/>
        <v>30000</v>
      </c>
      <c r="J56" s="33"/>
    </row>
    <row r="57" spans="1:10" ht="42.75" x14ac:dyDescent="0.25">
      <c r="A57" s="57">
        <v>53</v>
      </c>
      <c r="B57" s="39" t="s">
        <v>124</v>
      </c>
      <c r="C57" s="87" t="s">
        <v>115</v>
      </c>
      <c r="D57" s="88" t="str">
        <f t="shared" si="4"/>
        <v>2.9.2</v>
      </c>
      <c r="E57" s="87" t="s">
        <v>125</v>
      </c>
      <c r="F57" s="89" t="s">
        <v>171</v>
      </c>
      <c r="G57" s="89">
        <v>300</v>
      </c>
      <c r="H57" s="91">
        <v>149</v>
      </c>
      <c r="I57" s="94">
        <f t="shared" si="3"/>
        <v>44700</v>
      </c>
      <c r="J57" s="33" t="s">
        <v>231</v>
      </c>
    </row>
    <row r="58" spans="1:10" ht="42.75" x14ac:dyDescent="0.25">
      <c r="A58" s="57">
        <v>54</v>
      </c>
      <c r="B58" s="40" t="s">
        <v>126</v>
      </c>
      <c r="C58" s="61" t="s">
        <v>115</v>
      </c>
      <c r="D58" s="88" t="str">
        <f t="shared" si="4"/>
        <v>2.9.2</v>
      </c>
      <c r="E58" s="87" t="s">
        <v>127</v>
      </c>
      <c r="F58" s="89" t="s">
        <v>18</v>
      </c>
      <c r="G58" s="89">
        <v>300</v>
      </c>
      <c r="H58" s="91">
        <v>159</v>
      </c>
      <c r="I58" s="94">
        <f t="shared" si="3"/>
        <v>47700</v>
      </c>
      <c r="J58" s="33" t="s">
        <v>231</v>
      </c>
    </row>
    <row r="59" spans="1:10" ht="42.75" x14ac:dyDescent="0.25">
      <c r="A59" s="57">
        <v>55</v>
      </c>
      <c r="B59" s="39" t="s">
        <v>128</v>
      </c>
      <c r="C59" s="87" t="s">
        <v>115</v>
      </c>
      <c r="D59" s="88" t="str">
        <f t="shared" si="4"/>
        <v>2.9.2</v>
      </c>
      <c r="E59" s="87" t="s">
        <v>129</v>
      </c>
      <c r="F59" s="89" t="s">
        <v>18</v>
      </c>
      <c r="G59" s="89">
        <v>50</v>
      </c>
      <c r="H59" s="91">
        <v>520</v>
      </c>
      <c r="I59" s="94">
        <f t="shared" si="3"/>
        <v>26000</v>
      </c>
      <c r="J59" s="33"/>
    </row>
    <row r="60" spans="1:10" ht="42.75" x14ac:dyDescent="0.25">
      <c r="A60" s="57">
        <v>56</v>
      </c>
      <c r="B60" s="39" t="s">
        <v>130</v>
      </c>
      <c r="C60" s="87" t="s">
        <v>115</v>
      </c>
      <c r="D60" s="88" t="str">
        <f t="shared" si="4"/>
        <v>2.9.2</v>
      </c>
      <c r="E60" s="87" t="s">
        <v>131</v>
      </c>
      <c r="F60" s="89" t="s">
        <v>18</v>
      </c>
      <c r="G60" s="89">
        <v>150</v>
      </c>
      <c r="H60" s="91">
        <v>250</v>
      </c>
      <c r="I60" s="94">
        <f t="shared" si="3"/>
        <v>37500</v>
      </c>
      <c r="J60" s="33"/>
    </row>
    <row r="61" spans="1:10" ht="42.75" x14ac:dyDescent="0.25">
      <c r="A61" s="57">
        <v>57</v>
      </c>
      <c r="B61" s="39" t="s">
        <v>132</v>
      </c>
      <c r="C61" s="87" t="s">
        <v>115</v>
      </c>
      <c r="D61" s="88" t="str">
        <f t="shared" si="4"/>
        <v>2.9.2</v>
      </c>
      <c r="E61" s="87" t="s">
        <v>133</v>
      </c>
      <c r="F61" s="89" t="s">
        <v>81</v>
      </c>
      <c r="G61" s="89">
        <v>20</v>
      </c>
      <c r="H61" s="91">
        <v>185</v>
      </c>
      <c r="I61" s="94">
        <f t="shared" si="3"/>
        <v>3700</v>
      </c>
      <c r="J61" s="33"/>
    </row>
    <row r="62" spans="1:10" ht="42.75" x14ac:dyDescent="0.25">
      <c r="A62" s="57">
        <v>58</v>
      </c>
      <c r="B62" s="39" t="s">
        <v>134</v>
      </c>
      <c r="C62" s="87" t="s">
        <v>115</v>
      </c>
      <c r="D62" s="88" t="str">
        <f t="shared" si="4"/>
        <v>2.9.2</v>
      </c>
      <c r="E62" s="87" t="s">
        <v>135</v>
      </c>
      <c r="F62" s="89" t="s">
        <v>18</v>
      </c>
      <c r="G62" s="89">
        <v>300</v>
      </c>
      <c r="H62" s="91">
        <v>190</v>
      </c>
      <c r="I62" s="94">
        <f t="shared" si="3"/>
        <v>57000</v>
      </c>
      <c r="J62" s="33"/>
    </row>
    <row r="63" spans="1:10" ht="42.75" x14ac:dyDescent="0.25">
      <c r="A63" s="57">
        <v>59</v>
      </c>
      <c r="B63" s="39" t="s">
        <v>136</v>
      </c>
      <c r="C63" s="87" t="s">
        <v>115</v>
      </c>
      <c r="D63" s="88" t="str">
        <f t="shared" si="4"/>
        <v>2.9.2</v>
      </c>
      <c r="E63" s="87" t="s">
        <v>137</v>
      </c>
      <c r="F63" s="89" t="s">
        <v>18</v>
      </c>
      <c r="G63" s="89">
        <v>300</v>
      </c>
      <c r="H63" s="91">
        <v>8.1999999999999993</v>
      </c>
      <c r="I63" s="94">
        <f t="shared" si="3"/>
        <v>2460</v>
      </c>
      <c r="J63" s="33"/>
    </row>
    <row r="64" spans="1:10" ht="42.75" x14ac:dyDescent="0.25">
      <c r="A64" s="57">
        <v>60</v>
      </c>
      <c r="B64" s="39" t="s">
        <v>138</v>
      </c>
      <c r="C64" s="87" t="s">
        <v>115</v>
      </c>
      <c r="D64" s="88" t="str">
        <f t="shared" si="4"/>
        <v>2.9.2</v>
      </c>
      <c r="E64" s="87" t="s">
        <v>139</v>
      </c>
      <c r="F64" s="89" t="s">
        <v>18</v>
      </c>
      <c r="G64" s="89">
        <v>300</v>
      </c>
      <c r="H64" s="91">
        <v>9.5</v>
      </c>
      <c r="I64" s="94">
        <f t="shared" si="3"/>
        <v>2850</v>
      </c>
      <c r="J64" s="33"/>
    </row>
    <row r="65" spans="1:10" ht="42.75" x14ac:dyDescent="0.25">
      <c r="A65" s="57">
        <v>61</v>
      </c>
      <c r="B65" s="39" t="s">
        <v>140</v>
      </c>
      <c r="C65" s="87" t="s">
        <v>115</v>
      </c>
      <c r="D65" s="88" t="str">
        <f t="shared" si="4"/>
        <v>2.9.2</v>
      </c>
      <c r="E65" s="87" t="s">
        <v>141</v>
      </c>
      <c r="F65" s="89" t="s">
        <v>18</v>
      </c>
      <c r="G65" s="89">
        <v>100</v>
      </c>
      <c r="H65" s="91">
        <v>35.5</v>
      </c>
      <c r="I65" s="94">
        <f t="shared" si="3"/>
        <v>3550</v>
      </c>
      <c r="J65" s="33"/>
    </row>
    <row r="66" spans="1:10" ht="42.75" x14ac:dyDescent="0.25">
      <c r="A66" s="57">
        <v>62</v>
      </c>
      <c r="B66" s="39" t="s">
        <v>142</v>
      </c>
      <c r="C66" s="87" t="s">
        <v>115</v>
      </c>
      <c r="D66" s="88" t="str">
        <f t="shared" si="4"/>
        <v>2.9.2</v>
      </c>
      <c r="E66" s="87" t="s">
        <v>143</v>
      </c>
      <c r="F66" s="89" t="s">
        <v>18</v>
      </c>
      <c r="G66" s="89">
        <v>100</v>
      </c>
      <c r="H66" s="91">
        <v>130</v>
      </c>
      <c r="I66" s="94">
        <f t="shared" si="3"/>
        <v>13000</v>
      </c>
      <c r="J66" s="33" t="s">
        <v>232</v>
      </c>
    </row>
    <row r="67" spans="1:10" ht="42.75" x14ac:dyDescent="0.25">
      <c r="A67" s="57">
        <v>63</v>
      </c>
      <c r="B67" s="39" t="s">
        <v>142</v>
      </c>
      <c r="C67" s="87" t="s">
        <v>115</v>
      </c>
      <c r="D67" s="88" t="str">
        <f t="shared" si="4"/>
        <v>2.9.2</v>
      </c>
      <c r="E67" s="87" t="s">
        <v>143</v>
      </c>
      <c r="F67" s="89" t="s">
        <v>18</v>
      </c>
      <c r="G67" s="89">
        <v>100</v>
      </c>
      <c r="H67" s="91">
        <v>130</v>
      </c>
      <c r="I67" s="94">
        <f t="shared" si="3"/>
        <v>13000</v>
      </c>
      <c r="J67" s="33" t="s">
        <v>233</v>
      </c>
    </row>
    <row r="68" spans="1:10" ht="42.75" x14ac:dyDescent="0.25">
      <c r="A68" s="57">
        <v>64</v>
      </c>
      <c r="B68" s="39" t="s">
        <v>144</v>
      </c>
      <c r="C68" s="87" t="s">
        <v>115</v>
      </c>
      <c r="D68" s="88" t="str">
        <f t="shared" si="4"/>
        <v>2.9.2</v>
      </c>
      <c r="E68" s="87" t="s">
        <v>145</v>
      </c>
      <c r="F68" s="89" t="s">
        <v>18</v>
      </c>
      <c r="G68" s="89">
        <v>200</v>
      </c>
      <c r="H68" s="91">
        <v>200</v>
      </c>
      <c r="I68" s="94">
        <f t="shared" si="3"/>
        <v>40000</v>
      </c>
      <c r="J68" s="33"/>
    </row>
    <row r="69" spans="1:10" ht="42.75" x14ac:dyDescent="0.25">
      <c r="A69" s="57">
        <v>65</v>
      </c>
      <c r="B69" s="39" t="s">
        <v>146</v>
      </c>
      <c r="C69" s="87" t="s">
        <v>115</v>
      </c>
      <c r="D69" s="88" t="str">
        <f t="shared" si="4"/>
        <v>2.3.1</v>
      </c>
      <c r="E69" s="87" t="s">
        <v>147</v>
      </c>
      <c r="F69" s="89" t="s">
        <v>18</v>
      </c>
      <c r="G69" s="89">
        <v>200</v>
      </c>
      <c r="H69" s="91">
        <v>49</v>
      </c>
      <c r="I69" s="94">
        <f t="shared" si="3"/>
        <v>9800</v>
      </c>
      <c r="J69" s="33" t="s">
        <v>234</v>
      </c>
    </row>
    <row r="70" spans="1:10" ht="57" x14ac:dyDescent="0.25">
      <c r="A70" s="57">
        <v>66</v>
      </c>
      <c r="B70" s="39" t="s">
        <v>51</v>
      </c>
      <c r="C70" s="87" t="s">
        <v>115</v>
      </c>
      <c r="D70" s="88" t="str">
        <f t="shared" si="4"/>
        <v>2.3.1</v>
      </c>
      <c r="E70" s="87" t="s">
        <v>53</v>
      </c>
      <c r="F70" s="89" t="s">
        <v>18</v>
      </c>
      <c r="G70" s="89">
        <v>150</v>
      </c>
      <c r="H70" s="91">
        <v>590</v>
      </c>
      <c r="I70" s="94">
        <f t="shared" si="3"/>
        <v>88500</v>
      </c>
      <c r="J70" s="33" t="s">
        <v>235</v>
      </c>
    </row>
    <row r="71" spans="1:10" ht="57" x14ac:dyDescent="0.25">
      <c r="A71" s="57">
        <v>67</v>
      </c>
      <c r="B71" s="39" t="s">
        <v>148</v>
      </c>
      <c r="C71" s="87" t="s">
        <v>115</v>
      </c>
      <c r="D71" s="88" t="str">
        <f t="shared" si="4"/>
        <v>2.3.1</v>
      </c>
      <c r="E71" s="87" t="s">
        <v>149</v>
      </c>
      <c r="F71" s="89" t="s">
        <v>18</v>
      </c>
      <c r="G71" s="89">
        <v>10</v>
      </c>
      <c r="H71" s="91">
        <v>1891</v>
      </c>
      <c r="I71" s="94">
        <f t="shared" si="3"/>
        <v>18910</v>
      </c>
      <c r="J71" s="33"/>
    </row>
    <row r="72" spans="1:10" ht="57" x14ac:dyDescent="0.25">
      <c r="A72" s="57">
        <v>68</v>
      </c>
      <c r="B72" s="39" t="s">
        <v>150</v>
      </c>
      <c r="C72" s="87" t="s">
        <v>115</v>
      </c>
      <c r="D72" s="88" t="str">
        <f t="shared" si="4"/>
        <v>2.3.1</v>
      </c>
      <c r="E72" s="87" t="s">
        <v>151</v>
      </c>
      <c r="F72" s="89" t="s">
        <v>18</v>
      </c>
      <c r="G72" s="89">
        <v>10</v>
      </c>
      <c r="H72" s="91">
        <v>1395</v>
      </c>
      <c r="I72" s="94">
        <f t="shared" si="3"/>
        <v>13950</v>
      </c>
      <c r="J72" s="33"/>
    </row>
    <row r="73" spans="1:10" ht="57" x14ac:dyDescent="0.25">
      <c r="A73" s="57">
        <v>69</v>
      </c>
      <c r="B73" s="39" t="s">
        <v>54</v>
      </c>
      <c r="C73" s="87" t="s">
        <v>115</v>
      </c>
      <c r="D73" s="88" t="str">
        <f t="shared" si="4"/>
        <v>2.3.1</v>
      </c>
      <c r="E73" s="87" t="s">
        <v>111</v>
      </c>
      <c r="F73" s="89" t="s">
        <v>173</v>
      </c>
      <c r="G73" s="89">
        <v>350</v>
      </c>
      <c r="H73" s="91">
        <v>1512</v>
      </c>
      <c r="I73" s="94">
        <f t="shared" si="3"/>
        <v>529200</v>
      </c>
      <c r="J73" s="100" t="s">
        <v>236</v>
      </c>
    </row>
    <row r="74" spans="1:10" ht="57" x14ac:dyDescent="0.25">
      <c r="A74" s="57">
        <v>70</v>
      </c>
      <c r="B74" s="39" t="s">
        <v>56</v>
      </c>
      <c r="C74" s="87" t="s">
        <v>115</v>
      </c>
      <c r="D74" s="88" t="str">
        <f t="shared" si="4"/>
        <v>2.3.1</v>
      </c>
      <c r="E74" s="87" t="s">
        <v>112</v>
      </c>
      <c r="F74" s="89" t="s">
        <v>174</v>
      </c>
      <c r="G74" s="89">
        <v>350</v>
      </c>
      <c r="H74" s="91">
        <v>1095</v>
      </c>
      <c r="I74" s="94">
        <f t="shared" si="3"/>
        <v>383250</v>
      </c>
      <c r="J74" s="100" t="s">
        <v>237</v>
      </c>
    </row>
    <row r="75" spans="1:10" ht="42.75" x14ac:dyDescent="0.25">
      <c r="A75" s="57">
        <v>71</v>
      </c>
      <c r="B75" s="39" t="s">
        <v>152</v>
      </c>
      <c r="C75" s="87" t="s">
        <v>115</v>
      </c>
      <c r="D75" s="88" t="str">
        <f t="shared" si="4"/>
        <v>2.9.2</v>
      </c>
      <c r="E75" s="87" t="s">
        <v>153</v>
      </c>
      <c r="F75" s="89" t="s">
        <v>18</v>
      </c>
      <c r="G75" s="89">
        <v>5</v>
      </c>
      <c r="H75" s="91">
        <v>2445</v>
      </c>
      <c r="I75" s="94">
        <f t="shared" si="3"/>
        <v>12225</v>
      </c>
      <c r="J75" s="33"/>
    </row>
    <row r="76" spans="1:10" ht="42.75" x14ac:dyDescent="0.25">
      <c r="A76" s="57">
        <v>72</v>
      </c>
      <c r="B76" s="39" t="s">
        <v>154</v>
      </c>
      <c r="C76" s="87" t="s">
        <v>115</v>
      </c>
      <c r="D76" s="88" t="str">
        <f t="shared" si="4"/>
        <v>2.9.2</v>
      </c>
      <c r="E76" s="87" t="s">
        <v>155</v>
      </c>
      <c r="F76" s="89" t="s">
        <v>18</v>
      </c>
      <c r="G76" s="89">
        <v>20</v>
      </c>
      <c r="H76" s="91">
        <v>219</v>
      </c>
      <c r="I76" s="94">
        <f t="shared" si="3"/>
        <v>4380</v>
      </c>
      <c r="J76" s="33"/>
    </row>
    <row r="77" spans="1:10" ht="42.75" x14ac:dyDescent="0.25">
      <c r="A77" s="57">
        <v>73</v>
      </c>
      <c r="B77" s="39" t="s">
        <v>104</v>
      </c>
      <c r="C77" s="87" t="s">
        <v>115</v>
      </c>
      <c r="D77" s="88" t="str">
        <f t="shared" si="4"/>
        <v>2.9.2</v>
      </c>
      <c r="E77" s="87" t="s">
        <v>114</v>
      </c>
      <c r="F77" s="89" t="s">
        <v>18</v>
      </c>
      <c r="G77" s="89">
        <v>150</v>
      </c>
      <c r="H77" s="91">
        <v>82</v>
      </c>
      <c r="I77" s="94">
        <f t="shared" si="3"/>
        <v>12300</v>
      </c>
      <c r="J77" s="33" t="s">
        <v>238</v>
      </c>
    </row>
    <row r="78" spans="1:10" ht="42.75" x14ac:dyDescent="0.25">
      <c r="A78" s="57">
        <v>74</v>
      </c>
      <c r="B78" s="39" t="s">
        <v>104</v>
      </c>
      <c r="C78" s="87" t="s">
        <v>115</v>
      </c>
      <c r="D78" s="88" t="str">
        <f t="shared" si="4"/>
        <v>2.9.2</v>
      </c>
      <c r="E78" s="87" t="s">
        <v>114</v>
      </c>
      <c r="F78" s="89" t="s">
        <v>18</v>
      </c>
      <c r="G78" s="89">
        <v>150</v>
      </c>
      <c r="H78" s="91">
        <v>82</v>
      </c>
      <c r="I78" s="94">
        <f t="shared" si="3"/>
        <v>12300</v>
      </c>
      <c r="J78" s="33" t="s">
        <v>239</v>
      </c>
    </row>
    <row r="79" spans="1:10" ht="42.75" x14ac:dyDescent="0.25">
      <c r="A79" s="57">
        <v>75</v>
      </c>
      <c r="B79" s="39" t="s">
        <v>156</v>
      </c>
      <c r="C79" s="87" t="s">
        <v>115</v>
      </c>
      <c r="D79" s="88" t="str">
        <f t="shared" si="4"/>
        <v>2.3.1</v>
      </c>
      <c r="E79" s="87" t="s">
        <v>157</v>
      </c>
      <c r="F79" s="89" t="s">
        <v>175</v>
      </c>
      <c r="G79" s="89">
        <v>3000</v>
      </c>
      <c r="H79" s="91">
        <v>8</v>
      </c>
      <c r="I79" s="94">
        <f t="shared" si="3"/>
        <v>24000</v>
      </c>
      <c r="J79" s="33"/>
    </row>
    <row r="80" spans="1:10" ht="57" x14ac:dyDescent="0.25">
      <c r="A80" s="57">
        <v>76</v>
      </c>
      <c r="B80" s="39" t="s">
        <v>158</v>
      </c>
      <c r="C80" s="87" t="s">
        <v>115</v>
      </c>
      <c r="D80" s="88" t="str">
        <f t="shared" si="4"/>
        <v>2.3.1</v>
      </c>
      <c r="E80" s="87" t="s">
        <v>159</v>
      </c>
      <c r="F80" s="89" t="s">
        <v>173</v>
      </c>
      <c r="G80" s="89">
        <v>5</v>
      </c>
      <c r="H80" s="91">
        <v>1750</v>
      </c>
      <c r="I80" s="94">
        <f t="shared" si="3"/>
        <v>8750</v>
      </c>
      <c r="J80" s="33"/>
    </row>
    <row r="81" spans="1:10" ht="42.75" x14ac:dyDescent="0.25">
      <c r="A81" s="57">
        <v>77</v>
      </c>
      <c r="B81" s="39" t="s">
        <v>160</v>
      </c>
      <c r="C81" s="87" t="s">
        <v>115</v>
      </c>
      <c r="D81" s="88" t="str">
        <f t="shared" si="4"/>
        <v>2.3.1</v>
      </c>
      <c r="E81" s="87" t="s">
        <v>161</v>
      </c>
      <c r="F81" s="89" t="s">
        <v>176</v>
      </c>
      <c r="G81" s="89">
        <v>800</v>
      </c>
      <c r="H81" s="91">
        <v>21.08</v>
      </c>
      <c r="I81" s="94">
        <f t="shared" si="3"/>
        <v>16864</v>
      </c>
      <c r="J81" s="33"/>
    </row>
    <row r="82" spans="1:10" ht="42.75" x14ac:dyDescent="0.25">
      <c r="A82" s="57">
        <v>78</v>
      </c>
      <c r="B82" s="39" t="s">
        <v>162</v>
      </c>
      <c r="C82" s="87" t="s">
        <v>115</v>
      </c>
      <c r="D82" s="88" t="str">
        <f t="shared" si="4"/>
        <v>2.3.1</v>
      </c>
      <c r="E82" s="87" t="s">
        <v>163</v>
      </c>
      <c r="F82" s="89" t="s">
        <v>18</v>
      </c>
      <c r="G82" s="89">
        <v>1200</v>
      </c>
      <c r="H82" s="91">
        <v>10.199999999999999</v>
      </c>
      <c r="I82" s="94">
        <f t="shared" si="3"/>
        <v>12240</v>
      </c>
      <c r="J82" s="33"/>
    </row>
    <row r="83" spans="1:10" ht="42.75" x14ac:dyDescent="0.25">
      <c r="A83" s="57">
        <v>79</v>
      </c>
      <c r="B83" s="39" t="s">
        <v>164</v>
      </c>
      <c r="C83" s="87" t="s">
        <v>115</v>
      </c>
      <c r="D83" s="88" t="str">
        <f t="shared" si="4"/>
        <v>2.9.2</v>
      </c>
      <c r="E83" s="87" t="s">
        <v>165</v>
      </c>
      <c r="F83" s="89" t="s">
        <v>18</v>
      </c>
      <c r="G83" s="89">
        <v>20</v>
      </c>
      <c r="H83" s="91">
        <v>456.52</v>
      </c>
      <c r="I83" s="94">
        <f t="shared" si="3"/>
        <v>9130.4</v>
      </c>
      <c r="J83" s="33"/>
    </row>
    <row r="84" spans="1:10" ht="42.75" x14ac:dyDescent="0.25">
      <c r="A84" s="57">
        <v>80</v>
      </c>
      <c r="B84" s="39" t="s">
        <v>98</v>
      </c>
      <c r="C84" s="87" t="s">
        <v>115</v>
      </c>
      <c r="D84" s="88" t="str">
        <f t="shared" si="4"/>
        <v>2.9.2</v>
      </c>
      <c r="E84" s="87" t="s">
        <v>113</v>
      </c>
      <c r="F84" s="89" t="s">
        <v>18</v>
      </c>
      <c r="G84" s="89">
        <v>15</v>
      </c>
      <c r="H84" s="91">
        <v>391</v>
      </c>
      <c r="I84" s="94">
        <f t="shared" si="3"/>
        <v>5865</v>
      </c>
      <c r="J84" s="33"/>
    </row>
    <row r="85" spans="1:10" ht="28.5" x14ac:dyDescent="0.25">
      <c r="A85" s="57">
        <v>81</v>
      </c>
      <c r="B85" s="39" t="s">
        <v>166</v>
      </c>
      <c r="C85" s="87" t="s">
        <v>167</v>
      </c>
      <c r="D85" s="88" t="str">
        <f t="shared" si="4"/>
        <v>2.9.2</v>
      </c>
      <c r="E85" s="87" t="s">
        <v>168</v>
      </c>
      <c r="F85" s="89" t="s">
        <v>18</v>
      </c>
      <c r="G85" s="89">
        <v>500</v>
      </c>
      <c r="H85" s="91">
        <v>45.9</v>
      </c>
      <c r="I85" s="94">
        <f t="shared" si="3"/>
        <v>22950</v>
      </c>
      <c r="J85" s="33"/>
    </row>
    <row r="86" spans="1:10" x14ac:dyDescent="0.25">
      <c r="A86" s="57">
        <v>82</v>
      </c>
      <c r="B86" s="39" t="s">
        <v>169</v>
      </c>
      <c r="C86" s="87" t="s">
        <v>167</v>
      </c>
      <c r="D86" s="88" t="str">
        <f t="shared" si="4"/>
        <v>2.9.2</v>
      </c>
      <c r="E86" s="87" t="s">
        <v>170</v>
      </c>
      <c r="F86" s="89" t="s">
        <v>18</v>
      </c>
      <c r="G86" s="89">
        <v>2500</v>
      </c>
      <c r="H86" s="91">
        <v>53</v>
      </c>
      <c r="I86" s="94">
        <f t="shared" si="3"/>
        <v>132500</v>
      </c>
      <c r="J86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FBD7-3214-42B7-8080-E3EB2C017760}">
  <dimension ref="A2:J58"/>
  <sheetViews>
    <sheetView topLeftCell="A46" workbookViewId="0">
      <selection activeCell="I57" sqref="I57"/>
    </sheetView>
  </sheetViews>
  <sheetFormatPr baseColWidth="10" defaultRowHeight="15" x14ac:dyDescent="0.25"/>
  <cols>
    <col min="2" max="2" width="15.42578125" customWidth="1"/>
    <col min="5" max="5" width="64.42578125" customWidth="1"/>
    <col min="9" max="9" width="19.5703125" customWidth="1"/>
    <col min="10" max="10" width="49.28515625" customWidth="1"/>
  </cols>
  <sheetData>
    <row r="2" spans="1:10" s="81" customFormat="1" ht="20.25" thickBot="1" x14ac:dyDescent="0.35">
      <c r="A2" s="81" t="s">
        <v>13</v>
      </c>
    </row>
    <row r="3" spans="1:10" ht="15.75" thickTop="1" x14ac:dyDescent="0.25"/>
    <row r="4" spans="1:10" ht="24.75" customHeight="1" x14ac:dyDescent="0.25">
      <c r="A4" s="48" t="s">
        <v>2</v>
      </c>
      <c r="B4" s="48" t="s">
        <v>3</v>
      </c>
      <c r="C4" s="48" t="s">
        <v>4</v>
      </c>
      <c r="D4" s="48" t="s">
        <v>5</v>
      </c>
      <c r="E4" s="69" t="s">
        <v>6</v>
      </c>
      <c r="F4" s="34" t="s">
        <v>7</v>
      </c>
      <c r="G4" s="34" t="s">
        <v>9</v>
      </c>
      <c r="H4" s="35" t="s">
        <v>10</v>
      </c>
      <c r="I4" s="35" t="s">
        <v>11</v>
      </c>
      <c r="J4" s="96" t="s">
        <v>185</v>
      </c>
    </row>
    <row r="5" spans="1:10" ht="30" x14ac:dyDescent="0.25">
      <c r="A5" s="1">
        <v>1</v>
      </c>
      <c r="B5" s="2" t="s">
        <v>15</v>
      </c>
      <c r="C5" s="3" t="s">
        <v>16</v>
      </c>
      <c r="D5" s="4" t="str">
        <f>+LEFT(B5,5)</f>
        <v>2.9.2</v>
      </c>
      <c r="E5" s="70" t="s">
        <v>17</v>
      </c>
      <c r="F5" s="6" t="s">
        <v>18</v>
      </c>
      <c r="G5" s="6">
        <v>5</v>
      </c>
      <c r="H5" s="7">
        <v>3000</v>
      </c>
      <c r="I5" s="20">
        <f t="shared" ref="I5:I49" si="0">G5*H5</f>
        <v>15000</v>
      </c>
      <c r="J5" s="33"/>
    </row>
    <row r="6" spans="1:10" x14ac:dyDescent="0.25">
      <c r="A6" s="1">
        <v>2</v>
      </c>
      <c r="B6" s="8" t="s">
        <v>19</v>
      </c>
      <c r="C6" s="3" t="s">
        <v>16</v>
      </c>
      <c r="D6" s="3" t="s">
        <v>20</v>
      </c>
      <c r="E6" s="71" t="s">
        <v>21</v>
      </c>
      <c r="F6" s="6" t="s">
        <v>18</v>
      </c>
      <c r="G6" s="6">
        <v>15</v>
      </c>
      <c r="H6" s="7">
        <v>500</v>
      </c>
      <c r="I6" s="20">
        <f t="shared" si="0"/>
        <v>7500</v>
      </c>
      <c r="J6" s="33"/>
    </row>
    <row r="7" spans="1:10" ht="30" x14ac:dyDescent="0.25">
      <c r="A7" s="9">
        <v>3</v>
      </c>
      <c r="B7" s="8" t="s">
        <v>22</v>
      </c>
      <c r="C7" s="3" t="s">
        <v>16</v>
      </c>
      <c r="D7" s="3" t="s">
        <v>20</v>
      </c>
      <c r="E7" s="72" t="s">
        <v>23</v>
      </c>
      <c r="F7" s="6" t="s">
        <v>24</v>
      </c>
      <c r="G7" s="6">
        <v>7</v>
      </c>
      <c r="H7" s="7">
        <v>600</v>
      </c>
      <c r="I7" s="20">
        <f t="shared" si="0"/>
        <v>4200</v>
      </c>
      <c r="J7" s="33"/>
    </row>
    <row r="8" spans="1:10" ht="30" x14ac:dyDescent="0.25">
      <c r="A8" s="1">
        <v>4</v>
      </c>
      <c r="B8" s="8" t="s">
        <v>25</v>
      </c>
      <c r="C8" s="3" t="s">
        <v>16</v>
      </c>
      <c r="D8" s="3" t="s">
        <v>20</v>
      </c>
      <c r="E8" s="73" t="s">
        <v>26</v>
      </c>
      <c r="F8" s="6" t="s">
        <v>24</v>
      </c>
      <c r="G8" s="6">
        <v>2</v>
      </c>
      <c r="H8" s="7">
        <v>2500</v>
      </c>
      <c r="I8" s="20">
        <f t="shared" si="0"/>
        <v>5000</v>
      </c>
      <c r="J8" s="33"/>
    </row>
    <row r="9" spans="1:10" ht="26.25" x14ac:dyDescent="0.25">
      <c r="A9" s="1">
        <v>5</v>
      </c>
      <c r="B9" s="8" t="s">
        <v>27</v>
      </c>
      <c r="C9" s="3" t="s">
        <v>16</v>
      </c>
      <c r="D9" s="3" t="s">
        <v>20</v>
      </c>
      <c r="E9" s="74" t="s">
        <v>28</v>
      </c>
      <c r="F9" s="6" t="s">
        <v>18</v>
      </c>
      <c r="G9" s="6">
        <v>50</v>
      </c>
      <c r="H9" s="7">
        <v>150</v>
      </c>
      <c r="I9" s="20">
        <f t="shared" si="0"/>
        <v>7500</v>
      </c>
      <c r="J9" s="33"/>
    </row>
    <row r="10" spans="1:10" ht="26.25" x14ac:dyDescent="0.25">
      <c r="A10" s="1">
        <v>6</v>
      </c>
      <c r="B10" s="8" t="s">
        <v>29</v>
      </c>
      <c r="C10" s="3" t="s">
        <v>16</v>
      </c>
      <c r="D10" s="3" t="s">
        <v>20</v>
      </c>
      <c r="E10" s="74" t="s">
        <v>30</v>
      </c>
      <c r="F10" s="6" t="s">
        <v>24</v>
      </c>
      <c r="G10" s="6">
        <v>50</v>
      </c>
      <c r="H10" s="7">
        <v>200</v>
      </c>
      <c r="I10" s="20">
        <f t="shared" si="0"/>
        <v>10000</v>
      </c>
      <c r="J10" s="33"/>
    </row>
    <row r="11" spans="1:10" ht="26.25" x14ac:dyDescent="0.25">
      <c r="A11" s="9">
        <v>7</v>
      </c>
      <c r="B11" s="8" t="s">
        <v>31</v>
      </c>
      <c r="C11" s="3" t="s">
        <v>16</v>
      </c>
      <c r="D11" s="3" t="s">
        <v>20</v>
      </c>
      <c r="E11" s="74" t="s">
        <v>32</v>
      </c>
      <c r="F11" s="6" t="s">
        <v>24</v>
      </c>
      <c r="G11" s="6">
        <v>15</v>
      </c>
      <c r="H11" s="7">
        <v>250</v>
      </c>
      <c r="I11" s="20">
        <f t="shared" si="0"/>
        <v>3750</v>
      </c>
      <c r="J11" s="33"/>
    </row>
    <row r="12" spans="1:10" ht="30" x14ac:dyDescent="0.25">
      <c r="A12" s="1">
        <v>8</v>
      </c>
      <c r="B12" s="8" t="s">
        <v>33</v>
      </c>
      <c r="C12" s="3" t="s">
        <v>16</v>
      </c>
      <c r="D12" s="3" t="s">
        <v>20</v>
      </c>
      <c r="E12" s="74" t="s">
        <v>34</v>
      </c>
      <c r="F12" s="6" t="s">
        <v>35</v>
      </c>
      <c r="G12" s="6">
        <v>15</v>
      </c>
      <c r="H12" s="7">
        <v>700</v>
      </c>
      <c r="I12" s="20">
        <f t="shared" si="0"/>
        <v>10500</v>
      </c>
      <c r="J12" s="33" t="s">
        <v>209</v>
      </c>
    </row>
    <row r="13" spans="1:10" ht="30" x14ac:dyDescent="0.25">
      <c r="A13" s="1">
        <v>9</v>
      </c>
      <c r="B13" s="10" t="s">
        <v>36</v>
      </c>
      <c r="C13" s="3" t="s">
        <v>16</v>
      </c>
      <c r="D13" s="3" t="s">
        <v>20</v>
      </c>
      <c r="E13" s="74" t="s">
        <v>37</v>
      </c>
      <c r="F13" s="6" t="s">
        <v>18</v>
      </c>
      <c r="G13" s="6">
        <v>50</v>
      </c>
      <c r="H13" s="7">
        <v>200</v>
      </c>
      <c r="I13" s="20">
        <f t="shared" si="0"/>
        <v>10000</v>
      </c>
      <c r="J13" s="33"/>
    </row>
    <row r="14" spans="1:10" ht="30" x14ac:dyDescent="0.25">
      <c r="A14" s="1">
        <v>10</v>
      </c>
      <c r="B14" s="8" t="s">
        <v>38</v>
      </c>
      <c r="C14" s="3" t="s">
        <v>16</v>
      </c>
      <c r="D14" s="3" t="s">
        <v>39</v>
      </c>
      <c r="E14" s="74" t="s">
        <v>40</v>
      </c>
      <c r="F14" s="6" t="s">
        <v>35</v>
      </c>
      <c r="G14" s="6">
        <v>30</v>
      </c>
      <c r="H14" s="7">
        <v>250</v>
      </c>
      <c r="I14" s="20">
        <f t="shared" si="0"/>
        <v>7500</v>
      </c>
      <c r="J14" s="33"/>
    </row>
    <row r="15" spans="1:10" ht="45" x14ac:dyDescent="0.25">
      <c r="A15" s="9">
        <v>11</v>
      </c>
      <c r="B15" s="8" t="s">
        <v>41</v>
      </c>
      <c r="C15" s="3" t="s">
        <v>16</v>
      </c>
      <c r="D15" s="3" t="s">
        <v>20</v>
      </c>
      <c r="E15" s="75" t="s">
        <v>42</v>
      </c>
      <c r="F15" s="6" t="s">
        <v>35</v>
      </c>
      <c r="G15" s="6">
        <v>30</v>
      </c>
      <c r="H15" s="11">
        <v>100</v>
      </c>
      <c r="I15" s="20">
        <f t="shared" si="0"/>
        <v>3000</v>
      </c>
      <c r="J15" s="33"/>
    </row>
    <row r="16" spans="1:10" ht="30" x14ac:dyDescent="0.25">
      <c r="A16" s="1">
        <v>12</v>
      </c>
      <c r="B16" s="8" t="s">
        <v>43</v>
      </c>
      <c r="C16" s="3" t="s">
        <v>16</v>
      </c>
      <c r="D16" s="3" t="s">
        <v>20</v>
      </c>
      <c r="E16" s="75" t="s">
        <v>44</v>
      </c>
      <c r="F16" s="6" t="s">
        <v>35</v>
      </c>
      <c r="G16" s="6">
        <v>100</v>
      </c>
      <c r="H16" s="11">
        <v>130</v>
      </c>
      <c r="I16" s="20">
        <f t="shared" si="0"/>
        <v>13000</v>
      </c>
      <c r="J16" s="33"/>
    </row>
    <row r="17" spans="1:10" ht="30" x14ac:dyDescent="0.25">
      <c r="A17" s="1">
        <v>13</v>
      </c>
      <c r="B17" s="8" t="s">
        <v>45</v>
      </c>
      <c r="C17" s="3" t="s">
        <v>16</v>
      </c>
      <c r="D17" s="3" t="s">
        <v>20</v>
      </c>
      <c r="E17" s="75" t="s">
        <v>46</v>
      </c>
      <c r="F17" s="6" t="s">
        <v>35</v>
      </c>
      <c r="G17" s="6">
        <v>10</v>
      </c>
      <c r="H17" s="11">
        <v>150</v>
      </c>
      <c r="I17" s="20">
        <f t="shared" si="0"/>
        <v>1500</v>
      </c>
      <c r="J17" s="33"/>
    </row>
    <row r="18" spans="1:10" ht="30" x14ac:dyDescent="0.25">
      <c r="A18" s="1">
        <v>14</v>
      </c>
      <c r="B18" s="8" t="s">
        <v>47</v>
      </c>
      <c r="C18" s="3" t="s">
        <v>16</v>
      </c>
      <c r="D18" s="3" t="s">
        <v>20</v>
      </c>
      <c r="E18" s="75" t="s">
        <v>48</v>
      </c>
      <c r="F18" s="6" t="s">
        <v>35</v>
      </c>
      <c r="G18" s="6">
        <v>10</v>
      </c>
      <c r="H18" s="11">
        <v>100</v>
      </c>
      <c r="I18" s="20">
        <f t="shared" si="0"/>
        <v>1000</v>
      </c>
      <c r="J18" s="33"/>
    </row>
    <row r="19" spans="1:10" ht="60" x14ac:dyDescent="0.25">
      <c r="A19" s="9">
        <v>15</v>
      </c>
      <c r="B19" s="2" t="s">
        <v>49</v>
      </c>
      <c r="C19" s="3" t="s">
        <v>16</v>
      </c>
      <c r="D19" s="4" t="str">
        <f>+LEFT(B19,5)</f>
        <v>2.3.1</v>
      </c>
      <c r="E19" s="70" t="s">
        <v>50</v>
      </c>
      <c r="F19" s="6" t="s">
        <v>18</v>
      </c>
      <c r="G19" s="6">
        <v>10</v>
      </c>
      <c r="H19" s="7">
        <v>700</v>
      </c>
      <c r="I19" s="20">
        <f t="shared" si="0"/>
        <v>7000</v>
      </c>
      <c r="J19" s="97" t="s">
        <v>210</v>
      </c>
    </row>
    <row r="20" spans="1:10" ht="45" x14ac:dyDescent="0.25">
      <c r="A20" s="1">
        <v>16</v>
      </c>
      <c r="B20" s="8" t="s">
        <v>51</v>
      </c>
      <c r="C20" s="3" t="s">
        <v>16</v>
      </c>
      <c r="D20" s="3" t="s">
        <v>52</v>
      </c>
      <c r="E20" s="75" t="s">
        <v>53</v>
      </c>
      <c r="F20" s="6" t="s">
        <v>18</v>
      </c>
      <c r="G20" s="6">
        <v>15</v>
      </c>
      <c r="H20" s="7">
        <v>1000</v>
      </c>
      <c r="I20" s="20">
        <f t="shared" si="0"/>
        <v>15000</v>
      </c>
      <c r="J20" s="97" t="s">
        <v>211</v>
      </c>
    </row>
    <row r="21" spans="1:10" ht="60" x14ac:dyDescent="0.25">
      <c r="A21" s="1">
        <v>17</v>
      </c>
      <c r="B21" s="2" t="s">
        <v>54</v>
      </c>
      <c r="C21" s="3" t="s">
        <v>16</v>
      </c>
      <c r="D21" s="12" t="str">
        <f t="shared" ref="D21:D26" si="1">+LEFT(B21,5)</f>
        <v>2.3.1</v>
      </c>
      <c r="E21" s="70" t="s">
        <v>55</v>
      </c>
      <c r="F21" s="13" t="s">
        <v>18</v>
      </c>
      <c r="G21" s="13">
        <v>550</v>
      </c>
      <c r="H21" s="7">
        <v>1500</v>
      </c>
      <c r="I21" s="20">
        <f t="shared" si="0"/>
        <v>825000</v>
      </c>
      <c r="J21" s="33"/>
    </row>
    <row r="22" spans="1:10" ht="60" x14ac:dyDescent="0.25">
      <c r="A22" s="1">
        <v>18</v>
      </c>
      <c r="B22" s="2" t="s">
        <v>56</v>
      </c>
      <c r="C22" s="3" t="s">
        <v>16</v>
      </c>
      <c r="D22" s="12" t="str">
        <f t="shared" si="1"/>
        <v>2.3.1</v>
      </c>
      <c r="E22" s="70" t="s">
        <v>57</v>
      </c>
      <c r="F22" s="13" t="s">
        <v>18</v>
      </c>
      <c r="G22" s="13">
        <v>350</v>
      </c>
      <c r="H22" s="7">
        <v>1200</v>
      </c>
      <c r="I22" s="20">
        <f t="shared" si="0"/>
        <v>420000</v>
      </c>
      <c r="J22" s="33"/>
    </row>
    <row r="23" spans="1:10" x14ac:dyDescent="0.25">
      <c r="A23" s="9">
        <v>19</v>
      </c>
      <c r="B23" s="3" t="s">
        <v>58</v>
      </c>
      <c r="C23" s="3" t="s">
        <v>16</v>
      </c>
      <c r="D23" s="4" t="str">
        <f t="shared" si="1"/>
        <v>2.9.2</v>
      </c>
      <c r="E23" s="76" t="s">
        <v>59</v>
      </c>
      <c r="F23" s="13" t="s">
        <v>18</v>
      </c>
      <c r="G23" s="13">
        <v>40</v>
      </c>
      <c r="H23" s="7">
        <v>100</v>
      </c>
      <c r="I23" s="20">
        <f t="shared" si="0"/>
        <v>4000</v>
      </c>
      <c r="J23" s="97" t="s">
        <v>212</v>
      </c>
    </row>
    <row r="24" spans="1:10" x14ac:dyDescent="0.25">
      <c r="A24" s="1">
        <v>20</v>
      </c>
      <c r="B24" s="14" t="s">
        <v>60</v>
      </c>
      <c r="C24" s="3" t="s">
        <v>16</v>
      </c>
      <c r="D24" s="4" t="str">
        <f t="shared" si="1"/>
        <v>2.9.2</v>
      </c>
      <c r="E24" s="15" t="s">
        <v>61</v>
      </c>
      <c r="F24" s="13" t="s">
        <v>18</v>
      </c>
      <c r="G24" s="13">
        <v>20</v>
      </c>
      <c r="H24" s="7">
        <v>100</v>
      </c>
      <c r="I24" s="20">
        <f t="shared" si="0"/>
        <v>2000</v>
      </c>
      <c r="J24" s="97" t="s">
        <v>213</v>
      </c>
    </row>
    <row r="25" spans="1:10" ht="30" x14ac:dyDescent="0.25">
      <c r="A25" s="1">
        <v>21</v>
      </c>
      <c r="B25" s="13" t="s">
        <v>62</v>
      </c>
      <c r="C25" s="3" t="s">
        <v>16</v>
      </c>
      <c r="D25" s="4" t="str">
        <f t="shared" si="1"/>
        <v>2.9.2</v>
      </c>
      <c r="E25" s="70" t="s">
        <v>63</v>
      </c>
      <c r="F25" s="13" t="s">
        <v>18</v>
      </c>
      <c r="G25" s="13">
        <v>20</v>
      </c>
      <c r="H25" s="7">
        <v>350</v>
      </c>
      <c r="I25" s="20">
        <f t="shared" si="0"/>
        <v>7000</v>
      </c>
      <c r="J25" s="33"/>
    </row>
    <row r="26" spans="1:10" ht="30" x14ac:dyDescent="0.25">
      <c r="A26" s="1">
        <v>22</v>
      </c>
      <c r="B26" s="2" t="s">
        <v>64</v>
      </c>
      <c r="C26" s="3" t="s">
        <v>16</v>
      </c>
      <c r="D26" s="12" t="str">
        <f t="shared" si="1"/>
        <v>2.9.2</v>
      </c>
      <c r="E26" s="70" t="s">
        <v>65</v>
      </c>
      <c r="F26" s="13" t="s">
        <v>18</v>
      </c>
      <c r="G26" s="13">
        <v>20</v>
      </c>
      <c r="H26" s="7">
        <v>280</v>
      </c>
      <c r="I26" s="20">
        <f t="shared" si="0"/>
        <v>5600</v>
      </c>
      <c r="J26" s="33"/>
    </row>
    <row r="27" spans="1:10" ht="30" x14ac:dyDescent="0.25">
      <c r="A27" s="9">
        <v>23</v>
      </c>
      <c r="B27" s="8" t="s">
        <v>66</v>
      </c>
      <c r="C27" s="3" t="s">
        <v>16</v>
      </c>
      <c r="D27" s="3" t="s">
        <v>67</v>
      </c>
      <c r="E27" s="75" t="s">
        <v>68</v>
      </c>
      <c r="F27" s="13" t="s">
        <v>18</v>
      </c>
      <c r="G27" s="13">
        <v>500</v>
      </c>
      <c r="H27" s="7">
        <v>15</v>
      </c>
      <c r="I27" s="20">
        <f t="shared" si="0"/>
        <v>7500</v>
      </c>
      <c r="J27" s="33"/>
    </row>
    <row r="28" spans="1:10" ht="26.25" x14ac:dyDescent="0.25">
      <c r="A28" s="1">
        <v>24</v>
      </c>
      <c r="B28" s="8" t="s">
        <v>69</v>
      </c>
      <c r="C28" s="3" t="s">
        <v>16</v>
      </c>
      <c r="D28" s="3" t="s">
        <v>20</v>
      </c>
      <c r="E28" s="74" t="s">
        <v>70</v>
      </c>
      <c r="F28" s="13" t="s">
        <v>18</v>
      </c>
      <c r="G28" s="13">
        <v>200</v>
      </c>
      <c r="H28" s="7">
        <v>15</v>
      </c>
      <c r="I28" s="20">
        <f t="shared" si="0"/>
        <v>3000</v>
      </c>
      <c r="J28" s="33"/>
    </row>
    <row r="29" spans="1:10" x14ac:dyDescent="0.25">
      <c r="A29" s="1">
        <v>25</v>
      </c>
      <c r="B29" s="2" t="s">
        <v>71</v>
      </c>
      <c r="C29" s="3" t="s">
        <v>16</v>
      </c>
      <c r="D29" s="4" t="str">
        <f>+LEFT(B29,5)</f>
        <v>2.9.2</v>
      </c>
      <c r="E29" s="70" t="s">
        <v>72</v>
      </c>
      <c r="F29" s="6" t="s">
        <v>18</v>
      </c>
      <c r="G29" s="6">
        <v>40</v>
      </c>
      <c r="H29" s="7">
        <v>30</v>
      </c>
      <c r="I29" s="20">
        <f t="shared" si="0"/>
        <v>1200</v>
      </c>
      <c r="J29" s="33"/>
    </row>
    <row r="30" spans="1:10" ht="30" x14ac:dyDescent="0.25">
      <c r="A30" s="1">
        <v>26</v>
      </c>
      <c r="B30" s="16" t="s">
        <v>73</v>
      </c>
      <c r="C30" s="3" t="s">
        <v>16</v>
      </c>
      <c r="D30" s="17" t="str">
        <f t="shared" ref="D30:D36" si="2">+LEFT(B30,5)</f>
        <v>2.9.2</v>
      </c>
      <c r="E30" s="70" t="s">
        <v>74</v>
      </c>
      <c r="F30" s="13" t="s">
        <v>18</v>
      </c>
      <c r="G30" s="13">
        <v>10</v>
      </c>
      <c r="H30" s="7">
        <v>200</v>
      </c>
      <c r="I30" s="20">
        <f t="shared" si="0"/>
        <v>2000</v>
      </c>
      <c r="J30" s="33"/>
    </row>
    <row r="31" spans="1:10" ht="45.75" customHeight="1" x14ac:dyDescent="0.25">
      <c r="A31" s="9">
        <v>27</v>
      </c>
      <c r="B31" s="8" t="s">
        <v>75</v>
      </c>
      <c r="C31" s="3" t="s">
        <v>16</v>
      </c>
      <c r="D31" s="4" t="str">
        <f t="shared" si="2"/>
        <v>2.9.2</v>
      </c>
      <c r="E31" s="71" t="s">
        <v>76</v>
      </c>
      <c r="F31" s="13" t="s">
        <v>18</v>
      </c>
      <c r="G31" s="13">
        <v>200</v>
      </c>
      <c r="H31" s="7">
        <v>100</v>
      </c>
      <c r="I31" s="20">
        <f t="shared" si="0"/>
        <v>20000</v>
      </c>
      <c r="J31" s="99" t="s">
        <v>214</v>
      </c>
    </row>
    <row r="32" spans="1:10" ht="42.75" customHeight="1" x14ac:dyDescent="0.25">
      <c r="A32" s="1">
        <v>28</v>
      </c>
      <c r="B32" s="8" t="s">
        <v>75</v>
      </c>
      <c r="C32" s="3" t="s">
        <v>16</v>
      </c>
      <c r="D32" s="4" t="str">
        <f t="shared" si="2"/>
        <v>2.9.2</v>
      </c>
      <c r="E32" s="71" t="s">
        <v>76</v>
      </c>
      <c r="F32" s="13" t="s">
        <v>18</v>
      </c>
      <c r="G32" s="13">
        <v>200</v>
      </c>
      <c r="H32" s="7">
        <v>100</v>
      </c>
      <c r="I32" s="20">
        <f t="shared" si="0"/>
        <v>20000</v>
      </c>
      <c r="J32" s="99" t="s">
        <v>215</v>
      </c>
    </row>
    <row r="33" spans="1:10" ht="31.5" customHeight="1" x14ac:dyDescent="0.25">
      <c r="A33" s="1">
        <v>29</v>
      </c>
      <c r="B33" s="2" t="s">
        <v>77</v>
      </c>
      <c r="C33" s="3" t="s">
        <v>16</v>
      </c>
      <c r="D33" s="4" t="str">
        <f t="shared" si="2"/>
        <v>2.9.2</v>
      </c>
      <c r="E33" s="71" t="s">
        <v>78</v>
      </c>
      <c r="F33" s="6" t="s">
        <v>18</v>
      </c>
      <c r="G33" s="6">
        <v>200</v>
      </c>
      <c r="H33" s="7">
        <v>100</v>
      </c>
      <c r="I33" s="20">
        <f t="shared" si="0"/>
        <v>20000</v>
      </c>
      <c r="J33" s="97" t="s">
        <v>216</v>
      </c>
    </row>
    <row r="34" spans="1:10" ht="30" customHeight="1" x14ac:dyDescent="0.25">
      <c r="A34" s="1">
        <v>30</v>
      </c>
      <c r="B34" s="2" t="s">
        <v>77</v>
      </c>
      <c r="C34" s="3" t="s">
        <v>16</v>
      </c>
      <c r="D34" s="4" t="str">
        <f t="shared" si="2"/>
        <v>2.9.2</v>
      </c>
      <c r="E34" s="71" t="s">
        <v>78</v>
      </c>
      <c r="F34" s="6" t="s">
        <v>18</v>
      </c>
      <c r="G34" s="6">
        <v>200</v>
      </c>
      <c r="H34" s="7">
        <v>100</v>
      </c>
      <c r="I34" s="20">
        <f t="shared" si="0"/>
        <v>20000</v>
      </c>
      <c r="J34" s="97" t="s">
        <v>217</v>
      </c>
    </row>
    <row r="35" spans="1:10" ht="40.5" customHeight="1" x14ac:dyDescent="0.25">
      <c r="A35" s="9">
        <v>31</v>
      </c>
      <c r="B35" s="2" t="s">
        <v>79</v>
      </c>
      <c r="C35" s="3" t="s">
        <v>16</v>
      </c>
      <c r="D35" s="4" t="str">
        <f t="shared" si="2"/>
        <v>2.9.2</v>
      </c>
      <c r="E35" s="70" t="s">
        <v>80</v>
      </c>
      <c r="F35" s="6" t="s">
        <v>81</v>
      </c>
      <c r="G35" s="6">
        <v>2</v>
      </c>
      <c r="H35" s="7">
        <v>900</v>
      </c>
      <c r="I35" s="20">
        <f t="shared" si="0"/>
        <v>1800</v>
      </c>
      <c r="J35" s="97" t="s">
        <v>218</v>
      </c>
    </row>
    <row r="36" spans="1:10" ht="60" customHeight="1" x14ac:dyDescent="0.25">
      <c r="A36" s="1">
        <v>32</v>
      </c>
      <c r="B36" s="8" t="s">
        <v>82</v>
      </c>
      <c r="C36" s="3" t="s">
        <v>16</v>
      </c>
      <c r="D36" s="4" t="str">
        <f t="shared" si="2"/>
        <v>2.9.2</v>
      </c>
      <c r="E36" s="75" t="s">
        <v>83</v>
      </c>
      <c r="F36" s="6" t="s">
        <v>18</v>
      </c>
      <c r="G36" s="6">
        <v>20</v>
      </c>
      <c r="H36" s="7">
        <v>300</v>
      </c>
      <c r="I36" s="20">
        <f t="shared" si="0"/>
        <v>6000</v>
      </c>
      <c r="J36" s="97" t="s">
        <v>219</v>
      </c>
    </row>
    <row r="37" spans="1:10" ht="30" x14ac:dyDescent="0.25">
      <c r="A37" s="1">
        <v>33</v>
      </c>
      <c r="B37" s="8" t="s">
        <v>84</v>
      </c>
      <c r="C37" s="3" t="s">
        <v>16</v>
      </c>
      <c r="D37" s="3" t="s">
        <v>52</v>
      </c>
      <c r="E37" s="74" t="s">
        <v>85</v>
      </c>
      <c r="F37" s="6" t="s">
        <v>18</v>
      </c>
      <c r="G37" s="6">
        <v>20</v>
      </c>
      <c r="H37" s="7">
        <v>1500</v>
      </c>
      <c r="I37" s="20">
        <f t="shared" si="0"/>
        <v>30000</v>
      </c>
      <c r="J37" s="33"/>
    </row>
    <row r="38" spans="1:10" ht="45" x14ac:dyDescent="0.25">
      <c r="A38" s="1">
        <v>34</v>
      </c>
      <c r="B38" s="2" t="s">
        <v>86</v>
      </c>
      <c r="C38" s="3" t="s">
        <v>16</v>
      </c>
      <c r="D38" s="4" t="str">
        <f>+LEFT(B38,5)</f>
        <v>2.3.1</v>
      </c>
      <c r="E38" s="70" t="s">
        <v>87</v>
      </c>
      <c r="F38" s="6" t="s">
        <v>18</v>
      </c>
      <c r="G38" s="6">
        <v>200</v>
      </c>
      <c r="H38" s="7">
        <v>50</v>
      </c>
      <c r="I38" s="20">
        <f t="shared" si="0"/>
        <v>10000</v>
      </c>
      <c r="J38" s="97" t="s">
        <v>220</v>
      </c>
    </row>
    <row r="39" spans="1:10" ht="45" x14ac:dyDescent="0.25">
      <c r="A39" s="9">
        <v>35</v>
      </c>
      <c r="B39" s="2" t="s">
        <v>88</v>
      </c>
      <c r="C39" s="3" t="s">
        <v>16</v>
      </c>
      <c r="D39" s="4" t="str">
        <f>+LEFT(B39,5)</f>
        <v>2.3.1</v>
      </c>
      <c r="E39" s="70" t="s">
        <v>89</v>
      </c>
      <c r="F39" s="6" t="s">
        <v>18</v>
      </c>
      <c r="G39" s="6">
        <v>100</v>
      </c>
      <c r="H39" s="7">
        <v>30</v>
      </c>
      <c r="I39" s="20">
        <f t="shared" si="0"/>
        <v>3000</v>
      </c>
      <c r="J39" s="97" t="s">
        <v>221</v>
      </c>
    </row>
    <row r="40" spans="1:10" ht="30" x14ac:dyDescent="0.25">
      <c r="A40" s="1">
        <v>36</v>
      </c>
      <c r="B40" s="2" t="s">
        <v>90</v>
      </c>
      <c r="C40" s="3" t="s">
        <v>16</v>
      </c>
      <c r="D40" s="4" t="str">
        <f>+LEFT(B40,5)</f>
        <v>2.9.2</v>
      </c>
      <c r="E40" s="70" t="s">
        <v>91</v>
      </c>
      <c r="F40" s="6" t="s">
        <v>18</v>
      </c>
      <c r="G40" s="6">
        <v>40</v>
      </c>
      <c r="H40" s="7">
        <v>100</v>
      </c>
      <c r="I40" s="20">
        <f t="shared" si="0"/>
        <v>4000</v>
      </c>
      <c r="J40" s="97" t="s">
        <v>222</v>
      </c>
    </row>
    <row r="41" spans="1:10" x14ac:dyDescent="0.25">
      <c r="A41" s="1">
        <v>37</v>
      </c>
      <c r="B41" s="8" t="s">
        <v>92</v>
      </c>
      <c r="C41" s="3" t="s">
        <v>16</v>
      </c>
      <c r="D41" s="3" t="s">
        <v>20</v>
      </c>
      <c r="E41" s="76" t="s">
        <v>93</v>
      </c>
      <c r="F41" s="6" t="s">
        <v>24</v>
      </c>
      <c r="G41" s="6">
        <v>15</v>
      </c>
      <c r="H41" s="7">
        <v>300</v>
      </c>
      <c r="I41" s="20">
        <f t="shared" si="0"/>
        <v>4500</v>
      </c>
      <c r="J41" s="97" t="s">
        <v>223</v>
      </c>
    </row>
    <row r="42" spans="1:10" ht="49.5" customHeight="1" x14ac:dyDescent="0.25">
      <c r="A42" s="1">
        <v>38</v>
      </c>
      <c r="B42" s="8" t="s">
        <v>94</v>
      </c>
      <c r="C42" s="3" t="s">
        <v>16</v>
      </c>
      <c r="D42" s="3" t="s">
        <v>20</v>
      </c>
      <c r="E42" s="76" t="s">
        <v>95</v>
      </c>
      <c r="F42" s="6" t="s">
        <v>18</v>
      </c>
      <c r="G42" s="6">
        <v>50</v>
      </c>
      <c r="H42" s="7">
        <v>150</v>
      </c>
      <c r="I42" s="20">
        <f t="shared" si="0"/>
        <v>7500</v>
      </c>
      <c r="J42" s="97" t="s">
        <v>224</v>
      </c>
    </row>
    <row r="43" spans="1:10" ht="30" x14ac:dyDescent="0.25">
      <c r="A43" s="9">
        <v>39</v>
      </c>
      <c r="B43" s="18" t="s">
        <v>96</v>
      </c>
      <c r="C43" s="3" t="s">
        <v>16</v>
      </c>
      <c r="D43" s="19" t="s">
        <v>20</v>
      </c>
      <c r="E43" s="77" t="s">
        <v>97</v>
      </c>
      <c r="F43" s="6" t="s">
        <v>18</v>
      </c>
      <c r="G43" s="6">
        <v>5</v>
      </c>
      <c r="H43" s="7">
        <v>250</v>
      </c>
      <c r="I43" s="20">
        <f t="shared" si="0"/>
        <v>1250</v>
      </c>
      <c r="J43" s="33"/>
    </row>
    <row r="44" spans="1:10" ht="30" x14ac:dyDescent="0.25">
      <c r="A44" s="1">
        <v>40</v>
      </c>
      <c r="B44" s="2" t="s">
        <v>98</v>
      </c>
      <c r="C44" s="3" t="s">
        <v>16</v>
      </c>
      <c r="D44" s="19" t="s">
        <v>20</v>
      </c>
      <c r="E44" s="70" t="s">
        <v>99</v>
      </c>
      <c r="F44" s="6" t="s">
        <v>35</v>
      </c>
      <c r="G44" s="6">
        <v>10</v>
      </c>
      <c r="H44" s="7">
        <v>400</v>
      </c>
      <c r="I44" s="20">
        <f t="shared" si="0"/>
        <v>4000</v>
      </c>
      <c r="J44" s="33"/>
    </row>
    <row r="45" spans="1:10" ht="30" x14ac:dyDescent="0.25">
      <c r="A45" s="1">
        <v>41</v>
      </c>
      <c r="B45" s="2" t="s">
        <v>100</v>
      </c>
      <c r="C45" s="3" t="s">
        <v>16</v>
      </c>
      <c r="D45" s="19" t="s">
        <v>20</v>
      </c>
      <c r="E45" s="70" t="s">
        <v>101</v>
      </c>
      <c r="F45" s="6" t="s">
        <v>18</v>
      </c>
      <c r="G45" s="6">
        <v>10</v>
      </c>
      <c r="H45" s="7">
        <v>400</v>
      </c>
      <c r="I45" s="20">
        <f t="shared" si="0"/>
        <v>4000</v>
      </c>
      <c r="J45" s="33"/>
    </row>
    <row r="46" spans="1:10" x14ac:dyDescent="0.25">
      <c r="A46" s="1">
        <v>42</v>
      </c>
      <c r="B46" s="8" t="s">
        <v>102</v>
      </c>
      <c r="C46" s="3" t="s">
        <v>16</v>
      </c>
      <c r="D46" s="3" t="s">
        <v>20</v>
      </c>
      <c r="E46" s="76" t="s">
        <v>103</v>
      </c>
      <c r="F46" s="6" t="s">
        <v>18</v>
      </c>
      <c r="G46" s="6">
        <v>5</v>
      </c>
      <c r="H46" s="7">
        <v>2300</v>
      </c>
      <c r="I46" s="20">
        <f t="shared" si="0"/>
        <v>11500</v>
      </c>
      <c r="J46" s="33"/>
    </row>
    <row r="47" spans="1:10" ht="53.25" customHeight="1" x14ac:dyDescent="0.25">
      <c r="A47" s="9">
        <v>43</v>
      </c>
      <c r="B47" s="8" t="s">
        <v>104</v>
      </c>
      <c r="C47" s="3" t="s">
        <v>16</v>
      </c>
      <c r="D47" s="19" t="s">
        <v>20</v>
      </c>
      <c r="E47" s="75" t="s">
        <v>105</v>
      </c>
      <c r="F47" s="6" t="s">
        <v>18</v>
      </c>
      <c r="G47" s="6">
        <v>80</v>
      </c>
      <c r="H47" s="7">
        <v>130</v>
      </c>
      <c r="I47" s="20">
        <f t="shared" si="0"/>
        <v>10400</v>
      </c>
      <c r="J47" s="97" t="s">
        <v>225</v>
      </c>
    </row>
    <row r="48" spans="1:10" ht="30" x14ac:dyDescent="0.25">
      <c r="A48" s="1">
        <v>44</v>
      </c>
      <c r="B48" s="8" t="s">
        <v>106</v>
      </c>
      <c r="C48" s="3" t="s">
        <v>16</v>
      </c>
      <c r="D48" s="19" t="s">
        <v>20</v>
      </c>
      <c r="E48" s="75" t="s">
        <v>107</v>
      </c>
      <c r="F48" s="6" t="s">
        <v>18</v>
      </c>
      <c r="G48" s="6">
        <v>80</v>
      </c>
      <c r="H48" s="36">
        <v>150</v>
      </c>
      <c r="I48" s="20">
        <f t="shared" si="0"/>
        <v>12000</v>
      </c>
      <c r="J48" s="97" t="s">
        <v>226</v>
      </c>
    </row>
    <row r="49" spans="1:10" ht="26.25" x14ac:dyDescent="0.25">
      <c r="A49" s="65">
        <v>45</v>
      </c>
      <c r="B49" s="3" t="s">
        <v>108</v>
      </c>
      <c r="C49" s="3" t="s">
        <v>16</v>
      </c>
      <c r="D49" s="3" t="s">
        <v>20</v>
      </c>
      <c r="E49" s="74" t="s">
        <v>109</v>
      </c>
      <c r="F49" s="6" t="s">
        <v>18</v>
      </c>
      <c r="G49" s="6">
        <v>80</v>
      </c>
      <c r="H49" s="7">
        <v>150</v>
      </c>
      <c r="I49" s="20">
        <f t="shared" si="0"/>
        <v>12000</v>
      </c>
      <c r="J49" s="97" t="s">
        <v>227</v>
      </c>
    </row>
    <row r="50" spans="1:10" ht="15.75" thickBot="1" x14ac:dyDescent="0.3">
      <c r="I50" s="101">
        <f>+I5+I6+I7+I8+I9+I10+I11+I12+I13+I14+I15+I16+I17+I18+I19+I20+I21+I22+I23+I24+I25+I26+I27+I28+I29+I30+I31+I32+I33+I34+I35+I36+I37+I38+I39+I40+I41+I42+I43+I44+I45+I46+I47+I48+I49</f>
        <v>1600700</v>
      </c>
    </row>
    <row r="51" spans="1:10" x14ac:dyDescent="0.25">
      <c r="A51" s="23"/>
      <c r="B51" s="24"/>
      <c r="C51" s="24"/>
      <c r="D51" s="24"/>
      <c r="E51" s="25"/>
    </row>
    <row r="52" spans="1:10" x14ac:dyDescent="0.25">
      <c r="A52" s="104" t="s">
        <v>241</v>
      </c>
      <c r="B52" s="102"/>
      <c r="C52" s="102"/>
      <c r="D52" s="102"/>
      <c r="E52" s="105"/>
    </row>
    <row r="53" spans="1:10" x14ac:dyDescent="0.25">
      <c r="A53" s="104" t="s">
        <v>240</v>
      </c>
      <c r="B53" s="103"/>
      <c r="C53" s="103"/>
      <c r="D53" s="103"/>
      <c r="E53" s="106"/>
    </row>
    <row r="54" spans="1:10" ht="15.75" thickBot="1" x14ac:dyDescent="0.3">
      <c r="A54" s="26"/>
      <c r="B54" s="27"/>
      <c r="C54" s="27"/>
      <c r="D54" s="27"/>
      <c r="E54" s="28"/>
    </row>
    <row r="56" spans="1:10" ht="15.75" thickBot="1" x14ac:dyDescent="0.3"/>
    <row r="57" spans="1:10" ht="24" customHeight="1" x14ac:dyDescent="0.25">
      <c r="A57" s="140" t="s">
        <v>258</v>
      </c>
      <c r="B57" s="141"/>
      <c r="C57" s="141"/>
      <c r="D57" s="141"/>
      <c r="E57" s="142"/>
    </row>
    <row r="58" spans="1:10" ht="30.75" customHeight="1" thickBot="1" x14ac:dyDescent="0.3">
      <c r="A58" s="143" t="s">
        <v>259</v>
      </c>
      <c r="B58" s="144"/>
      <c r="C58" s="144"/>
      <c r="D58" s="144"/>
      <c r="E58" s="14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E336-9EFE-4F0B-9B1B-C5C48EEEF1C4}">
  <dimension ref="A2:AR68"/>
  <sheetViews>
    <sheetView topLeftCell="A4" workbookViewId="0">
      <selection activeCell="K38" sqref="K38"/>
    </sheetView>
  </sheetViews>
  <sheetFormatPr baseColWidth="10" defaultRowHeight="15" x14ac:dyDescent="0.25"/>
  <cols>
    <col min="2" max="2" width="14.7109375" customWidth="1"/>
    <col min="3" max="3" width="19.7109375" customWidth="1"/>
    <col min="4" max="4" width="22" customWidth="1"/>
    <col min="5" max="5" width="66.7109375" customWidth="1"/>
    <col min="8" max="8" width="15.42578125" customWidth="1"/>
    <col min="9" max="9" width="17.85546875" customWidth="1"/>
    <col min="10" max="10" width="42.7109375" customWidth="1"/>
  </cols>
  <sheetData>
    <row r="2" spans="1:14" ht="19.5" x14ac:dyDescent="0.3">
      <c r="A2" s="82" t="s">
        <v>177</v>
      </c>
      <c r="B2" s="82"/>
      <c r="C2" s="82"/>
      <c r="D2" s="82"/>
    </row>
    <row r="3" spans="1:14" x14ac:dyDescent="0.25">
      <c r="A3" s="33"/>
      <c r="B3" s="33"/>
      <c r="C3" s="33"/>
      <c r="D3" s="33"/>
      <c r="E3" s="33"/>
    </row>
    <row r="4" spans="1:14" ht="30.75" customHeight="1" x14ac:dyDescent="0.25">
      <c r="A4" s="48" t="s">
        <v>2</v>
      </c>
      <c r="B4" s="48" t="s">
        <v>3</v>
      </c>
      <c r="C4" s="48" t="s">
        <v>4</v>
      </c>
      <c r="D4" s="48" t="s">
        <v>5</v>
      </c>
      <c r="E4" s="48" t="s">
        <v>6</v>
      </c>
      <c r="F4" s="78" t="s">
        <v>7</v>
      </c>
      <c r="G4" s="44" t="s">
        <v>9</v>
      </c>
      <c r="H4" s="45" t="s">
        <v>10</v>
      </c>
      <c r="I4" s="110" t="s">
        <v>11</v>
      </c>
      <c r="J4" s="108" t="s">
        <v>185</v>
      </c>
      <c r="N4" s="29"/>
    </row>
    <row r="5" spans="1:14" ht="28.5" x14ac:dyDescent="0.25">
      <c r="A5" s="49">
        <v>1</v>
      </c>
      <c r="B5" s="50" t="s">
        <v>15</v>
      </c>
      <c r="C5" s="51" t="s">
        <v>115</v>
      </c>
      <c r="D5" s="52" t="str">
        <f>LEFT(B5,5)</f>
        <v>2.9.2</v>
      </c>
      <c r="E5" s="55" t="s">
        <v>110</v>
      </c>
      <c r="F5" s="79" t="s">
        <v>171</v>
      </c>
      <c r="G5" s="67">
        <v>10</v>
      </c>
      <c r="H5" s="68">
        <v>2614</v>
      </c>
      <c r="I5" s="107">
        <f t="shared" ref="I5:I41" si="0">G5*H5</f>
        <v>26140</v>
      </c>
      <c r="J5" s="100"/>
      <c r="N5" s="30"/>
    </row>
    <row r="6" spans="1:14" ht="30" x14ac:dyDescent="0.25">
      <c r="A6" s="49">
        <v>2</v>
      </c>
      <c r="B6" s="53" t="s">
        <v>116</v>
      </c>
      <c r="C6" s="51" t="s">
        <v>115</v>
      </c>
      <c r="D6" s="52" t="str">
        <f t="shared" ref="D6:D41" si="1">LEFT(B6,5)</f>
        <v>2.9.2</v>
      </c>
      <c r="E6" s="55" t="s">
        <v>117</v>
      </c>
      <c r="F6" s="79" t="s">
        <v>172</v>
      </c>
      <c r="G6" s="67">
        <v>20</v>
      </c>
      <c r="H6" s="68">
        <v>450</v>
      </c>
      <c r="I6" s="107">
        <f t="shared" si="0"/>
        <v>9000</v>
      </c>
      <c r="J6" s="100" t="s">
        <v>228</v>
      </c>
      <c r="N6" s="30"/>
    </row>
    <row r="7" spans="1:14" ht="28.5" x14ac:dyDescent="0.25">
      <c r="A7" s="49">
        <v>3</v>
      </c>
      <c r="B7" s="53" t="s">
        <v>118</v>
      </c>
      <c r="C7" s="51" t="s">
        <v>115</v>
      </c>
      <c r="D7" s="52" t="str">
        <f t="shared" si="1"/>
        <v>2.9.2</v>
      </c>
      <c r="E7" s="55" t="s">
        <v>119</v>
      </c>
      <c r="F7" s="79" t="s">
        <v>171</v>
      </c>
      <c r="G7" s="67">
        <v>50</v>
      </c>
      <c r="H7" s="68">
        <v>231</v>
      </c>
      <c r="I7" s="107">
        <f t="shared" si="0"/>
        <v>11550</v>
      </c>
      <c r="J7" s="100"/>
      <c r="N7" s="30"/>
    </row>
    <row r="8" spans="1:14" ht="42.75" x14ac:dyDescent="0.25">
      <c r="A8" s="49">
        <v>4</v>
      </c>
      <c r="B8" s="53" t="s">
        <v>120</v>
      </c>
      <c r="C8" s="51" t="s">
        <v>115</v>
      </c>
      <c r="D8" s="52" t="str">
        <f t="shared" si="1"/>
        <v>2.9.2</v>
      </c>
      <c r="E8" s="55" t="s">
        <v>121</v>
      </c>
      <c r="F8" s="79" t="s">
        <v>171</v>
      </c>
      <c r="G8" s="67">
        <v>50</v>
      </c>
      <c r="H8" s="68">
        <v>820</v>
      </c>
      <c r="I8" s="107">
        <f t="shared" si="0"/>
        <v>41000</v>
      </c>
      <c r="J8" s="100"/>
      <c r="N8" s="30"/>
    </row>
    <row r="9" spans="1:14" ht="30" x14ac:dyDescent="0.25">
      <c r="A9" s="49">
        <v>5</v>
      </c>
      <c r="B9" s="53" t="s">
        <v>122</v>
      </c>
      <c r="C9" s="51" t="s">
        <v>115</v>
      </c>
      <c r="D9" s="52" t="str">
        <f t="shared" si="1"/>
        <v>2.9.2</v>
      </c>
      <c r="E9" s="55" t="s">
        <v>123</v>
      </c>
      <c r="F9" s="79" t="s">
        <v>171</v>
      </c>
      <c r="G9" s="67">
        <v>1500</v>
      </c>
      <c r="H9" s="68">
        <v>83</v>
      </c>
      <c r="I9" s="107">
        <f t="shared" si="0"/>
        <v>124500</v>
      </c>
      <c r="J9" s="100" t="s">
        <v>229</v>
      </c>
      <c r="N9" s="30"/>
    </row>
    <row r="10" spans="1:14" ht="30" x14ac:dyDescent="0.25">
      <c r="A10" s="49">
        <v>6</v>
      </c>
      <c r="B10" s="43" t="s">
        <v>122</v>
      </c>
      <c r="C10" s="51" t="s">
        <v>115</v>
      </c>
      <c r="D10" s="52" t="str">
        <f t="shared" si="1"/>
        <v>2.9.2</v>
      </c>
      <c r="E10" s="55" t="s">
        <v>123</v>
      </c>
      <c r="F10" s="79" t="s">
        <v>171</v>
      </c>
      <c r="G10" s="67">
        <v>1500</v>
      </c>
      <c r="H10" s="68">
        <v>83</v>
      </c>
      <c r="I10" s="107">
        <f t="shared" si="0"/>
        <v>124500</v>
      </c>
      <c r="J10" s="100" t="s">
        <v>230</v>
      </c>
      <c r="N10" s="30"/>
    </row>
    <row r="11" spans="1:14" ht="28.5" x14ac:dyDescent="0.25">
      <c r="A11" s="49">
        <v>7</v>
      </c>
      <c r="B11" s="53" t="s">
        <v>29</v>
      </c>
      <c r="C11" s="51" t="s">
        <v>115</v>
      </c>
      <c r="D11" s="52" t="str">
        <f t="shared" si="1"/>
        <v>2.9.2</v>
      </c>
      <c r="E11" s="55" t="s">
        <v>30</v>
      </c>
      <c r="F11" s="79" t="s">
        <v>172</v>
      </c>
      <c r="G11" s="67">
        <v>200</v>
      </c>
      <c r="H11" s="68">
        <v>150</v>
      </c>
      <c r="I11" s="107">
        <f t="shared" si="0"/>
        <v>30000</v>
      </c>
      <c r="J11" s="100"/>
      <c r="N11" s="30"/>
    </row>
    <row r="12" spans="1:14" ht="42.75" x14ac:dyDescent="0.25">
      <c r="A12" s="49">
        <v>8</v>
      </c>
      <c r="B12" s="53" t="s">
        <v>124</v>
      </c>
      <c r="C12" s="51" t="s">
        <v>115</v>
      </c>
      <c r="D12" s="52" t="str">
        <f t="shared" si="1"/>
        <v>2.9.2</v>
      </c>
      <c r="E12" s="55" t="s">
        <v>125</v>
      </c>
      <c r="F12" s="79" t="s">
        <v>171</v>
      </c>
      <c r="G12" s="67">
        <v>300</v>
      </c>
      <c r="H12" s="68">
        <v>149</v>
      </c>
      <c r="I12" s="107">
        <f t="shared" si="0"/>
        <v>44700</v>
      </c>
      <c r="J12" s="100" t="s">
        <v>231</v>
      </c>
      <c r="N12" s="30"/>
    </row>
    <row r="13" spans="1:14" ht="42.75" x14ac:dyDescent="0.25">
      <c r="A13" s="49">
        <v>9</v>
      </c>
      <c r="B13" s="43" t="s">
        <v>126</v>
      </c>
      <c r="C13" s="54" t="s">
        <v>115</v>
      </c>
      <c r="D13" s="52" t="str">
        <f t="shared" si="1"/>
        <v>2.9.2</v>
      </c>
      <c r="E13" s="55" t="s">
        <v>127</v>
      </c>
      <c r="F13" s="79" t="s">
        <v>18</v>
      </c>
      <c r="G13" s="67">
        <v>300</v>
      </c>
      <c r="H13" s="68">
        <v>159</v>
      </c>
      <c r="I13" s="107">
        <f t="shared" si="0"/>
        <v>47700</v>
      </c>
      <c r="J13" s="100" t="s">
        <v>231</v>
      </c>
      <c r="N13" s="30"/>
    </row>
    <row r="14" spans="1:14" ht="28.5" x14ac:dyDescent="0.25">
      <c r="A14" s="49">
        <v>10</v>
      </c>
      <c r="B14" s="53" t="s">
        <v>128</v>
      </c>
      <c r="C14" s="51" t="s">
        <v>115</v>
      </c>
      <c r="D14" s="52" t="str">
        <f t="shared" si="1"/>
        <v>2.9.2</v>
      </c>
      <c r="E14" s="55" t="s">
        <v>129</v>
      </c>
      <c r="F14" s="79" t="s">
        <v>18</v>
      </c>
      <c r="G14" s="67">
        <v>50</v>
      </c>
      <c r="H14" s="68">
        <v>520</v>
      </c>
      <c r="I14" s="107">
        <f t="shared" si="0"/>
        <v>26000</v>
      </c>
      <c r="J14" s="100"/>
      <c r="N14" s="30"/>
    </row>
    <row r="15" spans="1:14" ht="28.5" x14ac:dyDescent="0.25">
      <c r="A15" s="49">
        <v>11</v>
      </c>
      <c r="B15" s="53" t="s">
        <v>130</v>
      </c>
      <c r="C15" s="51" t="s">
        <v>115</v>
      </c>
      <c r="D15" s="52" t="str">
        <f t="shared" si="1"/>
        <v>2.9.2</v>
      </c>
      <c r="E15" s="55" t="s">
        <v>131</v>
      </c>
      <c r="F15" s="79" t="s">
        <v>18</v>
      </c>
      <c r="G15" s="67">
        <v>150</v>
      </c>
      <c r="H15" s="68">
        <v>250</v>
      </c>
      <c r="I15" s="107">
        <f t="shared" si="0"/>
        <v>37500</v>
      </c>
      <c r="J15" s="100"/>
      <c r="N15" s="30"/>
    </row>
    <row r="16" spans="1:14" ht="28.5" x14ac:dyDescent="0.25">
      <c r="A16" s="49">
        <v>12</v>
      </c>
      <c r="B16" s="53" t="s">
        <v>132</v>
      </c>
      <c r="C16" s="51" t="s">
        <v>115</v>
      </c>
      <c r="D16" s="52" t="str">
        <f t="shared" si="1"/>
        <v>2.9.2</v>
      </c>
      <c r="E16" s="55" t="s">
        <v>133</v>
      </c>
      <c r="F16" s="79" t="s">
        <v>81</v>
      </c>
      <c r="G16" s="67">
        <v>20</v>
      </c>
      <c r="H16" s="68">
        <v>185</v>
      </c>
      <c r="I16" s="107">
        <f t="shared" si="0"/>
        <v>3700</v>
      </c>
      <c r="J16" s="100"/>
      <c r="N16" s="30"/>
    </row>
    <row r="17" spans="1:14" ht="42.75" x14ac:dyDescent="0.25">
      <c r="A17" s="49">
        <v>13</v>
      </c>
      <c r="B17" s="53" t="s">
        <v>134</v>
      </c>
      <c r="C17" s="51" t="s">
        <v>115</v>
      </c>
      <c r="D17" s="52" t="str">
        <f t="shared" si="1"/>
        <v>2.9.2</v>
      </c>
      <c r="E17" s="55" t="s">
        <v>135</v>
      </c>
      <c r="F17" s="79" t="s">
        <v>18</v>
      </c>
      <c r="G17" s="67">
        <v>300</v>
      </c>
      <c r="H17" s="68">
        <v>190</v>
      </c>
      <c r="I17" s="107">
        <f t="shared" si="0"/>
        <v>57000</v>
      </c>
      <c r="J17" s="100"/>
      <c r="N17" s="30"/>
    </row>
    <row r="18" spans="1:14" ht="28.5" x14ac:dyDescent="0.25">
      <c r="A18" s="49">
        <v>14</v>
      </c>
      <c r="B18" s="53" t="s">
        <v>136</v>
      </c>
      <c r="C18" s="51" t="s">
        <v>115</v>
      </c>
      <c r="D18" s="52" t="str">
        <f t="shared" si="1"/>
        <v>2.9.2</v>
      </c>
      <c r="E18" s="55" t="s">
        <v>137</v>
      </c>
      <c r="F18" s="79" t="s">
        <v>18</v>
      </c>
      <c r="G18" s="67">
        <v>300</v>
      </c>
      <c r="H18" s="68">
        <v>8.1999999999999993</v>
      </c>
      <c r="I18" s="107">
        <f t="shared" si="0"/>
        <v>2460</v>
      </c>
      <c r="J18" s="100"/>
      <c r="N18" s="30"/>
    </row>
    <row r="19" spans="1:14" ht="28.5" x14ac:dyDescent="0.25">
      <c r="A19" s="49">
        <v>15</v>
      </c>
      <c r="B19" s="53" t="s">
        <v>138</v>
      </c>
      <c r="C19" s="51" t="s">
        <v>115</v>
      </c>
      <c r="D19" s="52" t="str">
        <f t="shared" si="1"/>
        <v>2.9.2</v>
      </c>
      <c r="E19" s="55" t="s">
        <v>139</v>
      </c>
      <c r="F19" s="79" t="s">
        <v>18</v>
      </c>
      <c r="G19" s="67">
        <v>300</v>
      </c>
      <c r="H19" s="68">
        <v>9.5</v>
      </c>
      <c r="I19" s="107">
        <f t="shared" si="0"/>
        <v>2850</v>
      </c>
      <c r="J19" s="100"/>
      <c r="N19" s="30"/>
    </row>
    <row r="20" spans="1:14" ht="28.5" x14ac:dyDescent="0.25">
      <c r="A20" s="49">
        <v>16</v>
      </c>
      <c r="B20" s="53" t="s">
        <v>140</v>
      </c>
      <c r="C20" s="51" t="s">
        <v>115</v>
      </c>
      <c r="D20" s="52" t="str">
        <f t="shared" si="1"/>
        <v>2.9.2</v>
      </c>
      <c r="E20" s="55" t="s">
        <v>141</v>
      </c>
      <c r="F20" s="79" t="s">
        <v>18</v>
      </c>
      <c r="G20" s="67">
        <v>100</v>
      </c>
      <c r="H20" s="68">
        <v>35.5</v>
      </c>
      <c r="I20" s="107">
        <f t="shared" si="0"/>
        <v>3550</v>
      </c>
      <c r="J20" s="100"/>
      <c r="N20" s="30"/>
    </row>
    <row r="21" spans="1:14" ht="28.5" x14ac:dyDescent="0.25">
      <c r="A21" s="49">
        <v>17</v>
      </c>
      <c r="B21" s="53" t="s">
        <v>142</v>
      </c>
      <c r="C21" s="51" t="s">
        <v>115</v>
      </c>
      <c r="D21" s="52" t="str">
        <f t="shared" si="1"/>
        <v>2.9.2</v>
      </c>
      <c r="E21" s="55" t="s">
        <v>143</v>
      </c>
      <c r="F21" s="79" t="s">
        <v>18</v>
      </c>
      <c r="G21" s="67">
        <v>100</v>
      </c>
      <c r="H21" s="68">
        <v>130</v>
      </c>
      <c r="I21" s="107">
        <f t="shared" si="0"/>
        <v>13000</v>
      </c>
      <c r="J21" s="100" t="s">
        <v>232</v>
      </c>
      <c r="N21" s="30"/>
    </row>
    <row r="22" spans="1:14" ht="28.5" x14ac:dyDescent="0.25">
      <c r="A22" s="49">
        <v>18</v>
      </c>
      <c r="B22" s="53" t="s">
        <v>142</v>
      </c>
      <c r="C22" s="51" t="s">
        <v>115</v>
      </c>
      <c r="D22" s="52" t="str">
        <f t="shared" si="1"/>
        <v>2.9.2</v>
      </c>
      <c r="E22" s="55" t="s">
        <v>143</v>
      </c>
      <c r="F22" s="79" t="s">
        <v>18</v>
      </c>
      <c r="G22" s="67">
        <v>100</v>
      </c>
      <c r="H22" s="68">
        <v>130</v>
      </c>
      <c r="I22" s="107">
        <f t="shared" si="0"/>
        <v>13000</v>
      </c>
      <c r="J22" s="100" t="s">
        <v>233</v>
      </c>
      <c r="N22" s="30"/>
    </row>
    <row r="23" spans="1:14" ht="28.5" x14ac:dyDescent="0.25">
      <c r="A23" s="49">
        <v>19</v>
      </c>
      <c r="B23" s="53" t="s">
        <v>144</v>
      </c>
      <c r="C23" s="51" t="s">
        <v>115</v>
      </c>
      <c r="D23" s="52" t="str">
        <f t="shared" si="1"/>
        <v>2.9.2</v>
      </c>
      <c r="E23" s="55" t="s">
        <v>145</v>
      </c>
      <c r="F23" s="79" t="s">
        <v>18</v>
      </c>
      <c r="G23" s="67">
        <v>200</v>
      </c>
      <c r="H23" s="68">
        <v>200</v>
      </c>
      <c r="I23" s="107">
        <f t="shared" si="0"/>
        <v>40000</v>
      </c>
      <c r="J23" s="100"/>
      <c r="N23" s="30"/>
    </row>
    <row r="24" spans="1:14" ht="42.75" x14ac:dyDescent="0.25">
      <c r="A24" s="49">
        <v>20</v>
      </c>
      <c r="B24" s="53" t="s">
        <v>146</v>
      </c>
      <c r="C24" s="51" t="s">
        <v>115</v>
      </c>
      <c r="D24" s="52" t="str">
        <f t="shared" si="1"/>
        <v>2.3.1</v>
      </c>
      <c r="E24" s="55" t="s">
        <v>147</v>
      </c>
      <c r="F24" s="79" t="s">
        <v>18</v>
      </c>
      <c r="G24" s="67">
        <v>200</v>
      </c>
      <c r="H24" s="68">
        <v>49</v>
      </c>
      <c r="I24" s="107">
        <f t="shared" si="0"/>
        <v>9800</v>
      </c>
      <c r="J24" s="100" t="s">
        <v>234</v>
      </c>
      <c r="N24" s="30"/>
    </row>
    <row r="25" spans="1:14" ht="57" x14ac:dyDescent="0.25">
      <c r="A25" s="49">
        <v>21</v>
      </c>
      <c r="B25" s="53" t="s">
        <v>51</v>
      </c>
      <c r="C25" s="51" t="s">
        <v>115</v>
      </c>
      <c r="D25" s="52" t="str">
        <f t="shared" si="1"/>
        <v>2.3.1</v>
      </c>
      <c r="E25" s="55" t="s">
        <v>53</v>
      </c>
      <c r="F25" s="79" t="s">
        <v>18</v>
      </c>
      <c r="G25" s="67">
        <v>150</v>
      </c>
      <c r="H25" s="68">
        <v>590</v>
      </c>
      <c r="I25" s="107">
        <f t="shared" si="0"/>
        <v>88500</v>
      </c>
      <c r="J25" s="100" t="s">
        <v>235</v>
      </c>
      <c r="N25" s="30"/>
    </row>
    <row r="26" spans="1:14" ht="57" x14ac:dyDescent="0.25">
      <c r="A26" s="49">
        <v>22</v>
      </c>
      <c r="B26" s="53" t="s">
        <v>148</v>
      </c>
      <c r="C26" s="51" t="s">
        <v>115</v>
      </c>
      <c r="D26" s="52" t="str">
        <f t="shared" si="1"/>
        <v>2.3.1</v>
      </c>
      <c r="E26" s="55" t="s">
        <v>149</v>
      </c>
      <c r="F26" s="79" t="s">
        <v>18</v>
      </c>
      <c r="G26" s="67">
        <v>10</v>
      </c>
      <c r="H26" s="68">
        <v>1891</v>
      </c>
      <c r="I26" s="107">
        <f t="shared" si="0"/>
        <v>18910</v>
      </c>
      <c r="J26" s="100"/>
      <c r="N26" s="30"/>
    </row>
    <row r="27" spans="1:14" ht="57" x14ac:dyDescent="0.25">
      <c r="A27" s="49">
        <v>23</v>
      </c>
      <c r="B27" s="53" t="s">
        <v>150</v>
      </c>
      <c r="C27" s="51" t="s">
        <v>115</v>
      </c>
      <c r="D27" s="52" t="str">
        <f t="shared" si="1"/>
        <v>2.3.1</v>
      </c>
      <c r="E27" s="55" t="s">
        <v>151</v>
      </c>
      <c r="F27" s="79" t="s">
        <v>18</v>
      </c>
      <c r="G27" s="67">
        <v>10</v>
      </c>
      <c r="H27" s="68">
        <v>1395</v>
      </c>
      <c r="I27" s="107">
        <f t="shared" si="0"/>
        <v>13950</v>
      </c>
      <c r="J27" s="100"/>
      <c r="N27" s="30"/>
    </row>
    <row r="28" spans="1:14" ht="57" x14ac:dyDescent="0.25">
      <c r="A28" s="49">
        <v>24</v>
      </c>
      <c r="B28" s="53" t="s">
        <v>54</v>
      </c>
      <c r="C28" s="51" t="s">
        <v>115</v>
      </c>
      <c r="D28" s="52" t="str">
        <f t="shared" si="1"/>
        <v>2.3.1</v>
      </c>
      <c r="E28" s="55" t="s">
        <v>111</v>
      </c>
      <c r="F28" s="79" t="s">
        <v>173</v>
      </c>
      <c r="G28" s="67">
        <v>350</v>
      </c>
      <c r="H28" s="68">
        <v>1512</v>
      </c>
      <c r="I28" s="107">
        <f t="shared" si="0"/>
        <v>529200</v>
      </c>
      <c r="J28" s="100" t="s">
        <v>236</v>
      </c>
      <c r="N28" s="30"/>
    </row>
    <row r="29" spans="1:14" ht="71.25" x14ac:dyDescent="0.25">
      <c r="A29" s="49">
        <v>25</v>
      </c>
      <c r="B29" s="53" t="s">
        <v>56</v>
      </c>
      <c r="C29" s="51" t="s">
        <v>115</v>
      </c>
      <c r="D29" s="52" t="str">
        <f t="shared" si="1"/>
        <v>2.3.1</v>
      </c>
      <c r="E29" s="55" t="s">
        <v>112</v>
      </c>
      <c r="F29" s="79" t="s">
        <v>174</v>
      </c>
      <c r="G29" s="67">
        <v>350</v>
      </c>
      <c r="H29" s="68">
        <v>1095</v>
      </c>
      <c r="I29" s="107">
        <f t="shared" si="0"/>
        <v>383250</v>
      </c>
      <c r="J29" s="100" t="s">
        <v>237</v>
      </c>
      <c r="N29" s="30"/>
    </row>
    <row r="30" spans="1:14" ht="42.75" x14ac:dyDescent="0.25">
      <c r="A30" s="49">
        <v>26</v>
      </c>
      <c r="B30" s="53" t="s">
        <v>152</v>
      </c>
      <c r="C30" s="51" t="s">
        <v>115</v>
      </c>
      <c r="D30" s="52" t="str">
        <f t="shared" si="1"/>
        <v>2.9.2</v>
      </c>
      <c r="E30" s="55" t="s">
        <v>153</v>
      </c>
      <c r="F30" s="79" t="s">
        <v>18</v>
      </c>
      <c r="G30" s="67">
        <v>5</v>
      </c>
      <c r="H30" s="68">
        <v>2445</v>
      </c>
      <c r="I30" s="107">
        <f t="shared" si="0"/>
        <v>12225</v>
      </c>
      <c r="J30" s="100"/>
      <c r="N30" s="30"/>
    </row>
    <row r="31" spans="1:14" ht="28.5" x14ac:dyDescent="0.25">
      <c r="A31" s="49">
        <v>27</v>
      </c>
      <c r="B31" s="53" t="s">
        <v>154</v>
      </c>
      <c r="C31" s="51" t="s">
        <v>115</v>
      </c>
      <c r="D31" s="52" t="str">
        <f t="shared" si="1"/>
        <v>2.9.2</v>
      </c>
      <c r="E31" s="55" t="s">
        <v>155</v>
      </c>
      <c r="F31" s="79" t="s">
        <v>18</v>
      </c>
      <c r="G31" s="67">
        <v>20</v>
      </c>
      <c r="H31" s="68">
        <v>219</v>
      </c>
      <c r="I31" s="107">
        <f t="shared" si="0"/>
        <v>4380</v>
      </c>
      <c r="J31" s="100"/>
      <c r="N31" s="30"/>
    </row>
    <row r="32" spans="1:14" ht="30" x14ac:dyDescent="0.25">
      <c r="A32" s="49">
        <v>28</v>
      </c>
      <c r="B32" s="53" t="s">
        <v>104</v>
      </c>
      <c r="C32" s="51" t="s">
        <v>115</v>
      </c>
      <c r="D32" s="52" t="str">
        <f t="shared" si="1"/>
        <v>2.9.2</v>
      </c>
      <c r="E32" s="55" t="s">
        <v>114</v>
      </c>
      <c r="F32" s="79" t="s">
        <v>18</v>
      </c>
      <c r="G32" s="67">
        <v>150</v>
      </c>
      <c r="H32" s="68">
        <v>82</v>
      </c>
      <c r="I32" s="107">
        <f t="shared" si="0"/>
        <v>12300</v>
      </c>
      <c r="J32" s="100" t="s">
        <v>238</v>
      </c>
      <c r="N32" s="30"/>
    </row>
    <row r="33" spans="1:44" ht="30" x14ac:dyDescent="0.25">
      <c r="A33" s="49">
        <v>29</v>
      </c>
      <c r="B33" s="53" t="s">
        <v>104</v>
      </c>
      <c r="C33" s="51" t="s">
        <v>115</v>
      </c>
      <c r="D33" s="52" t="str">
        <f t="shared" si="1"/>
        <v>2.9.2</v>
      </c>
      <c r="E33" s="55" t="s">
        <v>114</v>
      </c>
      <c r="F33" s="79" t="s">
        <v>18</v>
      </c>
      <c r="G33" s="67">
        <v>150</v>
      </c>
      <c r="H33" s="68">
        <v>82</v>
      </c>
      <c r="I33" s="107">
        <f t="shared" si="0"/>
        <v>12300</v>
      </c>
      <c r="J33" s="100" t="s">
        <v>239</v>
      </c>
      <c r="N33" s="30"/>
    </row>
    <row r="34" spans="1:44" ht="42.75" x14ac:dyDescent="0.25">
      <c r="A34" s="49">
        <v>30</v>
      </c>
      <c r="B34" s="53" t="s">
        <v>156</v>
      </c>
      <c r="C34" s="51" t="s">
        <v>115</v>
      </c>
      <c r="D34" s="52" t="str">
        <f t="shared" si="1"/>
        <v>2.3.1</v>
      </c>
      <c r="E34" s="55" t="s">
        <v>157</v>
      </c>
      <c r="F34" s="79" t="s">
        <v>175</v>
      </c>
      <c r="G34" s="67">
        <v>3000</v>
      </c>
      <c r="H34" s="68">
        <v>8</v>
      </c>
      <c r="I34" s="107">
        <f t="shared" si="0"/>
        <v>24000</v>
      </c>
      <c r="J34" s="100"/>
      <c r="N34" s="30"/>
    </row>
    <row r="35" spans="1:44" ht="57" x14ac:dyDescent="0.25">
      <c r="A35" s="49">
        <v>31</v>
      </c>
      <c r="B35" s="53" t="s">
        <v>158</v>
      </c>
      <c r="C35" s="51" t="s">
        <v>115</v>
      </c>
      <c r="D35" s="52" t="str">
        <f t="shared" si="1"/>
        <v>2.3.1</v>
      </c>
      <c r="E35" s="55" t="s">
        <v>159</v>
      </c>
      <c r="F35" s="79" t="s">
        <v>173</v>
      </c>
      <c r="G35" s="67">
        <v>5</v>
      </c>
      <c r="H35" s="68">
        <v>1750</v>
      </c>
      <c r="I35" s="107">
        <f t="shared" si="0"/>
        <v>8750</v>
      </c>
      <c r="J35" s="100"/>
      <c r="N35" s="30"/>
    </row>
    <row r="36" spans="1:44" ht="42.75" x14ac:dyDescent="0.25">
      <c r="A36" s="49">
        <v>32</v>
      </c>
      <c r="B36" s="53" t="s">
        <v>160</v>
      </c>
      <c r="C36" s="51" t="s">
        <v>115</v>
      </c>
      <c r="D36" s="52" t="str">
        <f t="shared" si="1"/>
        <v>2.3.1</v>
      </c>
      <c r="E36" s="55" t="s">
        <v>161</v>
      </c>
      <c r="F36" s="79" t="s">
        <v>176</v>
      </c>
      <c r="G36" s="67">
        <v>800</v>
      </c>
      <c r="H36" s="68">
        <v>21.08</v>
      </c>
      <c r="I36" s="107">
        <f t="shared" si="0"/>
        <v>16864</v>
      </c>
      <c r="J36" s="100"/>
      <c r="N36" s="30"/>
    </row>
    <row r="37" spans="1:44" ht="42.75" x14ac:dyDescent="0.25">
      <c r="A37" s="49">
        <v>33</v>
      </c>
      <c r="B37" s="53" t="s">
        <v>162</v>
      </c>
      <c r="C37" s="51" t="s">
        <v>115</v>
      </c>
      <c r="D37" s="52" t="str">
        <f t="shared" si="1"/>
        <v>2.3.1</v>
      </c>
      <c r="E37" s="55" t="s">
        <v>163</v>
      </c>
      <c r="F37" s="79" t="s">
        <v>18</v>
      </c>
      <c r="G37" s="67">
        <v>1200</v>
      </c>
      <c r="H37" s="68">
        <v>10.199999999999999</v>
      </c>
      <c r="I37" s="107">
        <f t="shared" si="0"/>
        <v>12240</v>
      </c>
      <c r="J37" s="100"/>
      <c r="N37" s="30"/>
    </row>
    <row r="38" spans="1:44" ht="42.75" x14ac:dyDescent="0.25">
      <c r="A38" s="49">
        <v>34</v>
      </c>
      <c r="B38" s="53" t="s">
        <v>164</v>
      </c>
      <c r="C38" s="51" t="s">
        <v>115</v>
      </c>
      <c r="D38" s="52" t="str">
        <f t="shared" si="1"/>
        <v>2.9.2</v>
      </c>
      <c r="E38" s="55" t="s">
        <v>165</v>
      </c>
      <c r="F38" s="79" t="s">
        <v>18</v>
      </c>
      <c r="G38" s="67">
        <v>20</v>
      </c>
      <c r="H38" s="68">
        <v>456.52</v>
      </c>
      <c r="I38" s="107">
        <f t="shared" si="0"/>
        <v>9130.4</v>
      </c>
      <c r="J38" s="100"/>
      <c r="N38" s="30"/>
    </row>
    <row r="39" spans="1:44" ht="28.5" x14ac:dyDescent="0.25">
      <c r="A39" s="49">
        <v>35</v>
      </c>
      <c r="B39" s="53" t="s">
        <v>98</v>
      </c>
      <c r="C39" s="51" t="s">
        <v>115</v>
      </c>
      <c r="D39" s="52" t="str">
        <f t="shared" si="1"/>
        <v>2.9.2</v>
      </c>
      <c r="E39" s="55" t="s">
        <v>113</v>
      </c>
      <c r="F39" s="79" t="s">
        <v>18</v>
      </c>
      <c r="G39" s="67">
        <v>15</v>
      </c>
      <c r="H39" s="68">
        <v>391</v>
      </c>
      <c r="I39" s="107">
        <f t="shared" si="0"/>
        <v>5865</v>
      </c>
      <c r="J39" s="100"/>
      <c r="K39" s="31"/>
      <c r="L39" s="31"/>
      <c r="M39" s="31"/>
      <c r="N39" s="30"/>
    </row>
    <row r="40" spans="1:44" ht="28.5" x14ac:dyDescent="0.25">
      <c r="A40" s="49">
        <v>36</v>
      </c>
      <c r="B40" s="53" t="s">
        <v>166</v>
      </c>
      <c r="C40" s="51" t="s">
        <v>167</v>
      </c>
      <c r="D40" s="52" t="str">
        <f t="shared" si="1"/>
        <v>2.9.2</v>
      </c>
      <c r="E40" s="55" t="s">
        <v>168</v>
      </c>
      <c r="F40" s="79" t="s">
        <v>18</v>
      </c>
      <c r="G40" s="67">
        <v>500</v>
      </c>
      <c r="H40" s="68">
        <v>45.9</v>
      </c>
      <c r="I40" s="107">
        <f t="shared" si="0"/>
        <v>22950</v>
      </c>
      <c r="J40" s="100"/>
      <c r="N40" s="30"/>
    </row>
    <row r="41" spans="1:44" x14ac:dyDescent="0.25">
      <c r="A41" s="49">
        <v>37</v>
      </c>
      <c r="B41" s="53" t="s">
        <v>169</v>
      </c>
      <c r="C41" s="51" t="s">
        <v>167</v>
      </c>
      <c r="D41" s="52" t="str">
        <f t="shared" si="1"/>
        <v>2.9.2</v>
      </c>
      <c r="E41" s="55" t="s">
        <v>170</v>
      </c>
      <c r="F41" s="79" t="s">
        <v>18</v>
      </c>
      <c r="G41" s="67">
        <v>2500</v>
      </c>
      <c r="H41" s="80">
        <v>53</v>
      </c>
      <c r="I41" s="107">
        <f t="shared" si="0"/>
        <v>132500</v>
      </c>
      <c r="J41" s="100"/>
      <c r="N41" s="32"/>
    </row>
    <row r="42" spans="1:44" x14ac:dyDescent="0.25">
      <c r="C42" s="56"/>
      <c r="I42" s="113">
        <f>+I5+I6+I7+I8+I9+I10+I11+I12+I13+I14+I15+I16+I17+I18+I19+I20+I21+I22+I23+I24+I25+I26+I27+I28+I29+I30+I31+I32+I33+I34+I35+I36+I37+I38+I39+I40+I41</f>
        <v>1975264.4</v>
      </c>
    </row>
    <row r="43" spans="1:44" ht="15.75" thickBot="1" x14ac:dyDescent="0.3">
      <c r="C43" s="56"/>
    </row>
    <row r="44" spans="1:44" ht="27.75" customHeight="1" x14ac:dyDescent="0.3">
      <c r="A44" s="156" t="s">
        <v>242</v>
      </c>
      <c r="B44" s="157"/>
      <c r="C44" s="157"/>
      <c r="D44" s="157"/>
      <c r="E44" s="46"/>
      <c r="F44" s="111" t="s">
        <v>250</v>
      </c>
      <c r="G44" s="111"/>
      <c r="H44" s="111"/>
      <c r="I44" s="111"/>
      <c r="J44" s="46"/>
    </row>
    <row r="45" spans="1:44" ht="59.25" customHeight="1" x14ac:dyDescent="0.25">
      <c r="A45" s="158" t="s">
        <v>243</v>
      </c>
      <c r="B45" s="159"/>
      <c r="C45" s="159"/>
      <c r="D45" s="159"/>
      <c r="E45" s="112"/>
      <c r="F45" s="112"/>
      <c r="G45" s="112"/>
      <c r="H45" s="112"/>
      <c r="I45" s="112"/>
      <c r="J45" s="11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</row>
    <row r="46" spans="1:44" ht="49.5" customHeight="1" x14ac:dyDescent="0.25">
      <c r="A46" s="158"/>
      <c r="B46" s="159"/>
      <c r="C46" s="159"/>
      <c r="D46" s="159"/>
      <c r="E46" s="46"/>
      <c r="F46" s="46"/>
      <c r="G46" s="46"/>
      <c r="H46" s="46"/>
      <c r="I46" s="46"/>
      <c r="J46" s="46"/>
    </row>
    <row r="47" spans="1:44" x14ac:dyDescent="0.25">
      <c r="A47" s="152" t="s">
        <v>244</v>
      </c>
      <c r="B47" s="153"/>
      <c r="C47" s="153"/>
      <c r="D47" s="153"/>
      <c r="E47" s="46"/>
      <c r="F47" s="46"/>
      <c r="G47" s="46"/>
      <c r="H47" s="46"/>
      <c r="I47" s="46"/>
      <c r="J47" s="46"/>
    </row>
    <row r="48" spans="1:44" x14ac:dyDescent="0.25">
      <c r="A48" s="158" t="s">
        <v>245</v>
      </c>
      <c r="B48" s="159"/>
      <c r="C48" s="159"/>
      <c r="D48" s="159"/>
      <c r="E48" s="46"/>
      <c r="F48" s="46"/>
      <c r="G48" s="46"/>
      <c r="H48" s="46"/>
      <c r="I48" s="46"/>
      <c r="J48" s="46"/>
    </row>
    <row r="49" spans="1:10" x14ac:dyDescent="0.25">
      <c r="A49" s="152" t="s">
        <v>246</v>
      </c>
      <c r="B49" s="153"/>
      <c r="C49" s="153"/>
      <c r="D49" s="153"/>
      <c r="E49" s="46"/>
      <c r="F49" s="46"/>
      <c r="G49" s="46"/>
      <c r="H49" s="46"/>
      <c r="I49" s="46"/>
      <c r="J49" s="46"/>
    </row>
    <row r="50" spans="1:10" x14ac:dyDescent="0.25">
      <c r="A50" s="158" t="s">
        <v>247</v>
      </c>
      <c r="B50" s="159"/>
      <c r="C50" s="159"/>
      <c r="D50" s="159"/>
      <c r="E50" s="46"/>
      <c r="F50" s="46"/>
      <c r="G50" s="46"/>
      <c r="H50" s="46"/>
      <c r="I50" s="46"/>
      <c r="J50" s="46"/>
    </row>
    <row r="51" spans="1:10" x14ac:dyDescent="0.25">
      <c r="A51" s="152" t="s">
        <v>248</v>
      </c>
      <c r="B51" s="153"/>
      <c r="C51" s="153"/>
      <c r="D51" s="153"/>
      <c r="E51" s="46"/>
      <c r="F51" s="46"/>
      <c r="G51" s="46"/>
      <c r="H51" s="46"/>
      <c r="I51" s="46"/>
      <c r="J51" s="46"/>
    </row>
    <row r="52" spans="1:10" ht="15.75" thickBot="1" x14ac:dyDescent="0.3">
      <c r="A52" s="154" t="s">
        <v>249</v>
      </c>
      <c r="B52" s="155"/>
      <c r="C52" s="155"/>
      <c r="D52" s="155"/>
      <c r="E52" s="46"/>
      <c r="F52" s="46"/>
      <c r="G52" s="46"/>
      <c r="H52" s="46"/>
      <c r="I52" s="46"/>
      <c r="J52" s="46"/>
    </row>
    <row r="53" spans="1:10" x14ac:dyDescent="0.25">
      <c r="E53" s="46"/>
      <c r="F53" s="46"/>
      <c r="G53" s="46"/>
      <c r="H53" s="46"/>
      <c r="I53" s="46"/>
      <c r="J53" s="46"/>
    </row>
    <row r="54" spans="1:10" x14ac:dyDescent="0.25">
      <c r="E54" s="46"/>
      <c r="F54" s="46"/>
      <c r="G54" s="46"/>
      <c r="H54" s="46"/>
      <c r="I54" s="46"/>
      <c r="J54" s="46"/>
    </row>
    <row r="55" spans="1:10" x14ac:dyDescent="0.25">
      <c r="E55" s="46"/>
      <c r="F55" s="46"/>
      <c r="G55" s="46"/>
      <c r="H55" s="46"/>
      <c r="I55" s="46"/>
      <c r="J55" s="46"/>
    </row>
    <row r="56" spans="1:10" x14ac:dyDescent="0.25">
      <c r="E56" s="46"/>
      <c r="F56" s="46"/>
      <c r="G56" s="46"/>
      <c r="H56" s="46"/>
      <c r="I56" s="46"/>
      <c r="J56" s="46"/>
    </row>
    <row r="57" spans="1:10" x14ac:dyDescent="0.25">
      <c r="E57" s="46"/>
      <c r="F57" s="46"/>
      <c r="G57" s="46"/>
      <c r="H57" s="46"/>
      <c r="I57" s="46"/>
      <c r="J57" s="46"/>
    </row>
    <row r="58" spans="1:10" x14ac:dyDescent="0.25">
      <c r="E58" s="46"/>
      <c r="F58" s="46"/>
      <c r="G58" s="46"/>
      <c r="H58" s="46"/>
      <c r="I58" s="46"/>
      <c r="J58" s="46"/>
    </row>
    <row r="59" spans="1:10" x14ac:dyDescent="0.25">
      <c r="E59" s="46"/>
      <c r="F59" s="46"/>
      <c r="G59" s="46"/>
      <c r="H59" s="46"/>
      <c r="I59" s="46"/>
      <c r="J59" s="46"/>
    </row>
    <row r="60" spans="1:10" x14ac:dyDescent="0.25">
      <c r="E60" s="46"/>
      <c r="F60" s="46"/>
      <c r="G60" s="46"/>
      <c r="H60" s="46"/>
      <c r="I60" s="46"/>
      <c r="J60" s="46"/>
    </row>
    <row r="61" spans="1:10" x14ac:dyDescent="0.25">
      <c r="E61" s="46"/>
      <c r="F61" s="46"/>
      <c r="G61" s="46"/>
      <c r="H61" s="46"/>
      <c r="I61" s="46"/>
      <c r="J61" s="46"/>
    </row>
    <row r="62" spans="1:10" x14ac:dyDescent="0.25">
      <c r="E62" s="46"/>
      <c r="F62" s="46"/>
      <c r="G62" s="46"/>
      <c r="H62" s="46"/>
      <c r="I62" s="46"/>
      <c r="J62" s="46"/>
    </row>
    <row r="63" spans="1:10" x14ac:dyDescent="0.25">
      <c r="E63" s="46"/>
      <c r="F63" s="46"/>
      <c r="G63" s="46"/>
      <c r="H63" s="46"/>
      <c r="I63" s="46"/>
      <c r="J63" s="46"/>
    </row>
    <row r="64" spans="1:10" x14ac:dyDescent="0.25">
      <c r="E64" s="46"/>
      <c r="F64" s="46"/>
      <c r="G64" s="46"/>
      <c r="H64" s="46"/>
      <c r="I64" s="46"/>
      <c r="J64" s="46"/>
    </row>
    <row r="65" spans="5:10" x14ac:dyDescent="0.25">
      <c r="E65" s="46"/>
      <c r="F65" s="46"/>
      <c r="G65" s="46"/>
      <c r="H65" s="46"/>
      <c r="I65" s="46"/>
      <c r="J65" s="46"/>
    </row>
    <row r="66" spans="5:10" x14ac:dyDescent="0.25">
      <c r="E66" s="46"/>
      <c r="F66" s="46"/>
      <c r="G66" s="46"/>
      <c r="H66" s="46"/>
      <c r="I66" s="46"/>
      <c r="J66" s="46"/>
    </row>
    <row r="67" spans="5:10" x14ac:dyDescent="0.25">
      <c r="E67" s="46"/>
      <c r="F67" s="46"/>
      <c r="G67" s="46"/>
      <c r="H67" s="46"/>
      <c r="I67" s="46"/>
      <c r="J67" s="46"/>
    </row>
    <row r="68" spans="5:10" x14ac:dyDescent="0.25">
      <c r="E68" s="46"/>
      <c r="F68" s="46"/>
      <c r="G68" s="46"/>
      <c r="H68" s="46"/>
      <c r="I68" s="46"/>
      <c r="J68" s="46"/>
    </row>
  </sheetData>
  <autoFilter ref="A4:AR42" xr:uid="{8C6DE336-9EFE-4F0B-9B1B-C5C48EEEF1C4}"/>
  <mergeCells count="8">
    <mergeCell ref="A51:D51"/>
    <mergeCell ref="A52:D52"/>
    <mergeCell ref="A44:D44"/>
    <mergeCell ref="A45:D46"/>
    <mergeCell ref="A47:D47"/>
    <mergeCell ref="A48:D48"/>
    <mergeCell ref="A49:D49"/>
    <mergeCell ref="A50:D50"/>
  </mergeCells>
  <phoneticPr fontId="2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CONSOLIDADO</vt:lpstr>
      <vt:lpstr>Hoja4</vt:lpstr>
      <vt:lpstr>PARA EXPORTAR AL COMPR.AR</vt:lpstr>
      <vt:lpstr>CONTROL ITEM MGJDH</vt:lpstr>
      <vt:lpstr>CONTROL ITEM- HSJB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MALDONADO</dc:creator>
  <cp:lastModifiedBy>MARIA MALDONADO</cp:lastModifiedBy>
  <dcterms:created xsi:type="dcterms:W3CDTF">2022-10-18T15:36:32Z</dcterms:created>
  <dcterms:modified xsi:type="dcterms:W3CDTF">2022-10-20T11:26:50Z</dcterms:modified>
</cp:coreProperties>
</file>