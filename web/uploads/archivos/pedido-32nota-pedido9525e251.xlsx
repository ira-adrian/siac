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 activeTab="2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Trimestrales'!$A$9:$I$39</definedName>
    <definedName name="_xlnm.Print_Area" localSheetId="2">'Autor Gastar'!$A$1:$Q$27</definedName>
    <definedName name="_xlnm.Print_Area" localSheetId="1">NotaPedido!$A$1:$K$42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42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<sst xmlns="http://schemas.openxmlformats.org/spreadsheetml/2006/main" count="235" uniqueCount="118">
  <si>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</si>
  <si>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</si>
  <si>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</si>
  <si>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</si>
  <si>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</si>
  <si>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</si>
  <si>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</si>
  <si>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</si>
  <si>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</si>
  <si>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</si>
  <si>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</si>
  <si>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</si>
  <si>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</si>
  <si>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</si>
  <si>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</si>
  <si>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</si>
  <si>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</si>
  <si>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</si>
  <si>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</si>
  <si>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</si>
  <si>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</si>
  <si>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</si>
  <si>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</si>
  <si>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</si>
  <si>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</si>
  <si>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</si>
  <si>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</si>
  <si>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</si>
  <si>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</si>
  <si>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</si>
  <si>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</si>
  <si>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</si>
  <si>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</si>
  <si>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</si>
  <si>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</si>
  <si>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</si>
  <si>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</si>
  <si>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</si>
  <si>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</si>
  <si>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</si>
  <si>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</si>
  <si>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</si>
  <si>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</si>
  <si>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</si>
  <si>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</si>
  <si>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</si>
  <si>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</si>
  <si>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</si>
  <si>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</si>
  <si>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</si>
  <si>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</si>
  <si>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</si>
  <si>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</si>
  <si>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</si>
  <si>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</si>
  <si>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</si>
  <si>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</si>
  <si>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</si>
  <si>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</si>
  <si>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</si>
  <si>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</si>
  <si>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 xml:space="preserve">45 dias habiles </t>
  </si>
  <si>
    <t>3.1</t>
  </si>
  <si>
    <t>1.1</t>
  </si>
  <si>
    <t>Utiles Menores Med. Quir. y de Lab.</t>
  </si>
  <si>
    <t xml:space="preserve">Adquisición de Insumos Complejos </t>
  </si>
  <si>
    <t>013 - 2022</t>
  </si>
  <si>
    <t>AGUJA ESPINAL 18 G X 3-1/2</t>
  </si>
  <si>
    <t>AGUJA ESPINAL 19 G 3-1/2</t>
  </si>
  <si>
    <t>Aguja ESPINAL 21 G 3 1/2 PUNTA LAPIZ</t>
  </si>
  <si>
    <t>AGUJA ESPINAL 22 G X 1</t>
  </si>
  <si>
    <t>Aguja ESPINAL 23 G 3 1/2 PUNTA LAPIZ</t>
  </si>
  <si>
    <t>AGUJA ESPINAL 25G 31/2 PUNTA LAPIZ</t>
  </si>
  <si>
    <t>Aguja ESPINAL 26 G 31/2  PUNTA LAPIZ</t>
  </si>
  <si>
    <t>Aguja espinal para obesos  25 G  punta lapiz</t>
  </si>
  <si>
    <t>AGUJA P/SUTURA RECTA X 12 unidades</t>
  </si>
  <si>
    <t>AGUJA PARA FISTULA N° 17</t>
  </si>
  <si>
    <t>AGUJA PARA FISTULA Nº 16</t>
  </si>
  <si>
    <t>AGUJA PUNTA CURVA HUBER Nº 20 X 25 MM</t>
  </si>
  <si>
    <t>AGUJA PUNTA CURVA HUBER Nº 22 X 25 MM</t>
  </si>
  <si>
    <t>ANTEOJOS ANTI HIV X 1</t>
  </si>
  <si>
    <t xml:space="preserve">Collar Philadelfia Grande </t>
  </si>
  <si>
    <t xml:space="preserve">Collar Philadelfia Mediano </t>
  </si>
  <si>
    <t>JERINGA DE BONNEAU</t>
  </si>
  <si>
    <t xml:space="preserve">JERINGA P/BOMBA INFUSION  BASE PRIMEA FRESENIUS </t>
  </si>
  <si>
    <t>PAPEL PARA ECOGRAFIA TIPO UPP 110 S SONY</t>
  </si>
  <si>
    <t>PAPEL PARA ELECTROCARDIOGRAMA 50 X 30</t>
  </si>
  <si>
    <t>PAPEL PARA ELECTROCARDIOGRAMA 62 X 30</t>
  </si>
  <si>
    <t>PLACA MAMOGRAFICA TIPO DI MI 20/25 FUJIFILM X 100 UNIDADES</t>
  </si>
  <si>
    <t>PLACA MAMOGRAFICA TIPO DI MI 26/36 FUJIFILM X 100 UNIDADES</t>
  </si>
  <si>
    <t>PLANCHA  AUTODHESIVA DE DOBLE CAMPO P/ELECTROBISTURI</t>
  </si>
  <si>
    <t>SIERRA GIGLI DE 40 CM DE LARGO</t>
  </si>
  <si>
    <t>TIRAS REACTIVAS PARA DETERMINACION GLUCOSA X 50 UNIDADES</t>
  </si>
  <si>
    <t>TUBO DE INTUBACION SELECTIVA IZQUIERDO CH 35</t>
  </si>
  <si>
    <t>TUBO DE INTUBACION SELECTIVA IZQUIERDO CH 37</t>
  </si>
  <si>
    <t>VENDA DE SMARCH X 15 CM. X 2,20 MTS</t>
  </si>
  <si>
    <t>VENDA DE SMARCH X 20 CM X 2.20 MTS</t>
  </si>
  <si>
    <t>2.9.5</t>
  </si>
  <si>
    <t xml:space="preserve">UNIDAD   </t>
  </si>
  <si>
    <t>BOLSA</t>
  </si>
  <si>
    <t>UNIDAD</t>
  </si>
  <si>
    <t>ROLLO</t>
  </si>
  <si>
    <t>CAJA</t>
  </si>
  <si>
    <t>Especificidades Item N° 26:</t>
  </si>
  <si>
    <t xml:space="preserve">SI </t>
  </si>
  <si>
    <t>Costo total estimado: CUATRO MILLONES SEISCIENTOS OCHENTA Y TRES MIL CIENTO DIEZ CON 00/100.-----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</si>
  <si>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PRESENTES INSUMOS: UN PLAZO NO MENOR A 12 MESES DE LA FECHA DE RECEPCION</t>
  </si>
  <si>
    <t xml:space="preserve">PLAZO DE MANTENIMIENTO DE LA OFERTA: 45 DIAS HABILES </t>
  </si>
  <si>
    <t xml:space="preserve">PLAZO DE ENTREGA: 15 DIAS HABILES - SERVICIO DE FARMACIA - ADVA. ILLIA Y MARIANO MORENO - DE LUNES A VIERNES DE 08:00 A 11:00 HORAS </t>
  </si>
  <si>
    <t xml:space="preserve">15 dias habiles  - Servicio de Farmacia del HISJB - Avda. Illia y Mariano Moreno de lunes a viernes de 08 a 11 horas </t>
  </si>
  <si>
    <t xml:space="preserve">TIRAS REACTIVAS PARA DETERMINACION GLUCOSA CAJA X 50 UNIDADES, MARCA ABBOTT U OPTIUM -DADO QUE LOS EQUIPOS PARA MEDICION FUNCIONAN CON ESAS MARCAS- </t>
  </si>
  <si>
    <t>TOTAL DE PESOS: CUATRO MILLONES SEISCIENTOS OCHENTA Y TRES MIL CIENTO DIEZ CON 10/100.--</t>
  </si>
  <si>
    <t>2.3.4</t>
  </si>
  <si>
    <t>2.5.9</t>
  </si>
  <si>
    <t>Productos de Papel y Cartón</t>
  </si>
  <si>
    <t xml:space="preserve">Otros NEP </t>
  </si>
  <si>
    <t>Utiles Menores Med. Quir. Y de Lab.</t>
  </si>
  <si>
    <t xml:space="preserve">Productos de Papel y Cartón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</si>
</sst>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&quot;$&quot;\ * #,##0.00_-;\-&quot;$&quot;\ * #,##0.00_-;_-&quot;$&quot;\ * &quot;-&quot;??_-;_-@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b/>
      <sz val="9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0" fillId="6" borderId="14" xfId="0" applyFont="1" applyFill="1" applyBorder="1" applyAlignment="1">
      <alignment vertical="center"/>
    </xf>
    <xf numFmtId="0" fontId="14" fillId="6" borderId="14" xfId="0" applyFont="1" applyFill="1" applyBorder="1" applyAlignment="1">
      <alignment horizontal="center" vertical="center"/>
    </xf>
    <xf numFmtId="3" fontId="14" fillId="6" borderId="14" xfId="0" applyNumberFormat="1" applyFont="1" applyFill="1" applyBorder="1" applyAlignment="1">
      <alignment horizontal="center" vertical="center"/>
    </xf>
    <xf numFmtId="169" fontId="14" fillId="6" borderId="14" xfId="0" applyNumberFormat="1" applyFont="1" applyFill="1" applyBorder="1" applyAlignment="1">
      <alignment horizontal="center"/>
    </xf>
    <xf numFmtId="0" fontId="0" fillId="6" borderId="14" xfId="0" applyFont="1" applyFill="1" applyBorder="1" applyAlignment="1">
      <alignment horizontal="left" vertical="center"/>
    </xf>
    <xf numFmtId="169" fontId="14" fillId="6" borderId="14" xfId="0" applyNumberFormat="1" applyFont="1" applyFill="1" applyBorder="1" applyAlignment="1">
      <alignment horizontal="right" vertical="center"/>
    </xf>
    <xf numFmtId="169" fontId="14" fillId="6" borderId="14" xfId="0" applyNumberFormat="1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vertical="center"/>
    </xf>
    <xf numFmtId="0" fontId="15" fillId="3" borderId="6" xfId="0" applyFont="1" applyFill="1" applyBorder="1" applyAlignment="1">
      <alignment horizontal="center" wrapTex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5" fillId="3" borderId="0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center"/>
    </xf>
    <xf numFmtId="0" fontId="21" fillId="7" borderId="20" xfId="0" applyFont="1" applyFill="1" applyBorder="1" applyAlignment="1">
      <alignment horizontal="center" vertical="center" wrapText="1"/>
    </xf>
    <xf numFmtId="0" fontId="21" fillId="7" borderId="48" xfId="0" applyFont="1" applyFill="1" applyBorder="1" applyAlignment="1">
      <alignment horizontal="center" vertical="center" wrapText="1"/>
    </xf>
    <xf numFmtId="0" fontId="21" fillId="7" borderId="21" xfId="0" applyFont="1" applyFill="1" applyBorder="1" applyAlignment="1">
      <alignment horizontal="center" vertical="center" wrapText="1"/>
    </xf>
    <xf numFmtId="0" fontId="15" fillId="7" borderId="20" xfId="0" applyFont="1" applyFill="1" applyBorder="1" applyAlignment="1">
      <alignment horizontal="center" vertical="center"/>
    </xf>
    <xf numFmtId="0" fontId="15" fillId="7" borderId="48" xfId="0" applyFont="1" applyFill="1" applyBorder="1" applyAlignment="1">
      <alignment horizontal="center" vertical="center"/>
    </xf>
    <xf numFmtId="0" fontId="15" fillId="7" borderId="21" xfId="0" applyFont="1" applyFill="1" applyBorder="1" applyAlignment="1">
      <alignment horizontal="center" vertical="center"/>
    </xf>
    <xf numFmtId="0" fontId="15" fillId="7" borderId="20" xfId="0" applyFont="1" applyFill="1" applyBorder="1" applyAlignment="1">
      <alignment horizontal="center" vertical="center" wrapText="1"/>
    </xf>
    <xf numFmtId="0" fontId="15" fillId="7" borderId="48" xfId="0" applyFont="1" applyFill="1" applyBorder="1" applyAlignment="1">
      <alignment horizontal="center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5" fillId="0" borderId="44" xfId="0" applyFont="1" applyBorder="1" applyAlignment="1">
      <alignment horizontal="left" vertical="center" wrapText="1"/>
    </xf>
    <xf numFmtId="0" fontId="0" fillId="0" borderId="22" xfId="0" applyBorder="1"/>
    <xf numFmtId="0" fontId="24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8"/>
  <sheetViews>
    <sheetView topLeftCell="A27" zoomScale="85" zoomScaleNormal="85" workbookViewId="0">
      <selection activeCell="E17" sqref="E17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104" t="s">
        <v>0</v>
      </c>
      <c r="C2" s="104"/>
      <c r="D2" s="104"/>
      <c r="E2" s="104"/>
      <c r="F2" s="104"/>
      <c r="G2" s="104"/>
      <c r="H2" s="104"/>
    </row>
    <row r="4" spans="1:9" ht="18" customHeight="1" x14ac:dyDescent="0.25">
      <c r="A4" s="89" t="s">
        <v>1</v>
      </c>
      <c r="B4" s="89"/>
      <c r="C4" s="105" t="s">
        <v>57</v>
      </c>
      <c r="D4" s="105"/>
      <c r="E4" s="105"/>
      <c r="F4" s="40"/>
      <c r="G4" s="41"/>
      <c r="H4" s="40"/>
    </row>
    <row r="5" spans="1:9" ht="18" customHeight="1" x14ac:dyDescent="0.25">
      <c r="A5" s="89" t="s">
        <v>2</v>
      </c>
      <c r="B5" s="89"/>
      <c r="C5" s="105" t="s">
        <v>58</v>
      </c>
      <c r="D5" s="105"/>
      <c r="E5" s="105"/>
      <c r="F5" s="40"/>
      <c r="G5" s="41"/>
      <c r="H5" s="40"/>
    </row>
    <row r="6" spans="1:9" ht="16.5" customHeight="1" x14ac:dyDescent="0.25">
      <c r="A6" s="89" t="s">
        <v>3</v>
      </c>
      <c r="B6" s="89"/>
      <c r="C6" s="61">
        <v>2022</v>
      </c>
      <c r="D6" s="62"/>
      <c r="E6" s="62"/>
      <c r="F6" s="40"/>
      <c r="G6" s="41"/>
      <c r="H6" s="40"/>
    </row>
    <row r="7" spans="1:9" ht="16.5" customHeight="1" x14ac:dyDescent="0.25">
      <c r="A7" s="89" t="s">
        <v>4</v>
      </c>
      <c r="B7" s="89"/>
      <c r="C7" s="61">
        <v>1</v>
      </c>
      <c r="D7" s="62"/>
      <c r="E7" s="62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59"/>
      <c r="C10" s="57" t="s">
        <v>64</v>
      </c>
      <c r="D10" s="58" t="s">
        <v>97</v>
      </c>
      <c r="E10" s="77" t="s">
        <v>67</v>
      </c>
      <c r="F10" s="78" t="s">
        <v>98</v>
      </c>
      <c r="G10" s="79">
        <v>12</v>
      </c>
      <c r="H10" s="80">
        <v>102</v>
      </c>
      <c r="I10" s="60">
        <f t="shared" ref="I10:I39" si="0">G10*H10</f>
        <v>1224</v>
      </c>
    </row>
    <row r="11" spans="1:9" ht="31.9" customHeight="1" thickBot="1" x14ac:dyDescent="0.25">
      <c r="A11" s="56">
        <v>2</v>
      </c>
      <c r="B11" s="59"/>
      <c r="C11" s="57" t="s">
        <v>64</v>
      </c>
      <c r="D11" s="58" t="s">
        <v>97</v>
      </c>
      <c r="E11" s="77" t="s">
        <v>68</v>
      </c>
      <c r="F11" s="78" t="s">
        <v>98</v>
      </c>
      <c r="G11" s="79">
        <v>12</v>
      </c>
      <c r="H11" s="80">
        <v>102</v>
      </c>
      <c r="I11" s="60">
        <f t="shared" si="0"/>
        <v>1224</v>
      </c>
    </row>
    <row r="12" spans="1:9" ht="31.9" customHeight="1" thickBot="1" x14ac:dyDescent="0.25">
      <c r="A12" s="56">
        <v>3</v>
      </c>
      <c r="B12" s="59"/>
      <c r="C12" s="57" t="s">
        <v>64</v>
      </c>
      <c r="D12" s="58" t="s">
        <v>97</v>
      </c>
      <c r="E12" s="81" t="s">
        <v>69</v>
      </c>
      <c r="F12" s="78" t="s">
        <v>98</v>
      </c>
      <c r="G12" s="79">
        <v>30</v>
      </c>
      <c r="H12" s="80">
        <v>189</v>
      </c>
      <c r="I12" s="60">
        <f t="shared" si="0"/>
        <v>5670</v>
      </c>
    </row>
    <row r="13" spans="1:9" ht="31.9" customHeight="1" thickBot="1" x14ac:dyDescent="0.25">
      <c r="A13" s="56">
        <v>4</v>
      </c>
      <c r="B13" s="59"/>
      <c r="C13" s="57" t="s">
        <v>64</v>
      </c>
      <c r="D13" s="58" t="s">
        <v>97</v>
      </c>
      <c r="E13" s="77" t="s">
        <v>70</v>
      </c>
      <c r="F13" s="78" t="s">
        <v>98</v>
      </c>
      <c r="G13" s="79">
        <v>12</v>
      </c>
      <c r="H13" s="80">
        <v>102</v>
      </c>
      <c r="I13" s="60">
        <f t="shared" si="0"/>
        <v>1224</v>
      </c>
    </row>
    <row r="14" spans="1:9" ht="31.9" customHeight="1" thickBot="1" x14ac:dyDescent="0.25">
      <c r="A14" s="56">
        <v>5</v>
      </c>
      <c r="B14" s="59"/>
      <c r="C14" s="57" t="s">
        <v>64</v>
      </c>
      <c r="D14" s="58" t="s">
        <v>97</v>
      </c>
      <c r="E14" s="81" t="s">
        <v>71</v>
      </c>
      <c r="F14" s="78" t="s">
        <v>98</v>
      </c>
      <c r="G14" s="79">
        <v>12</v>
      </c>
      <c r="H14" s="80">
        <v>189</v>
      </c>
      <c r="I14" s="60">
        <f t="shared" si="0"/>
        <v>2268</v>
      </c>
    </row>
    <row r="15" spans="1:9" ht="31.9" customHeight="1" thickBot="1" x14ac:dyDescent="0.25">
      <c r="A15" s="56">
        <v>6</v>
      </c>
      <c r="B15" s="59"/>
      <c r="C15" s="57" t="s">
        <v>64</v>
      </c>
      <c r="D15" s="58" t="s">
        <v>97</v>
      </c>
      <c r="E15" s="77" t="s">
        <v>72</v>
      </c>
      <c r="F15" s="78" t="s">
        <v>98</v>
      </c>
      <c r="G15" s="79">
        <v>12</v>
      </c>
      <c r="H15" s="80">
        <v>189</v>
      </c>
      <c r="I15" s="60">
        <f t="shared" si="0"/>
        <v>2268</v>
      </c>
    </row>
    <row r="16" spans="1:9" ht="31.9" customHeight="1" thickBot="1" x14ac:dyDescent="0.25">
      <c r="A16" s="56">
        <v>7</v>
      </c>
      <c r="B16" s="59"/>
      <c r="C16" s="57" t="s">
        <v>64</v>
      </c>
      <c r="D16" s="58" t="s">
        <v>97</v>
      </c>
      <c r="E16" s="81" t="s">
        <v>73</v>
      </c>
      <c r="F16" s="78" t="s">
        <v>98</v>
      </c>
      <c r="G16" s="79">
        <v>12</v>
      </c>
      <c r="H16" s="80">
        <v>189</v>
      </c>
      <c r="I16" s="60">
        <f t="shared" si="0"/>
        <v>2268</v>
      </c>
    </row>
    <row r="17" spans="1:9" ht="31.9" customHeight="1" thickBot="1" x14ac:dyDescent="0.25">
      <c r="A17" s="56">
        <v>8</v>
      </c>
      <c r="B17" s="59"/>
      <c r="C17" s="57" t="s">
        <v>64</v>
      </c>
      <c r="D17" s="58" t="s">
        <v>97</v>
      </c>
      <c r="E17" s="81" t="s">
        <v>74</v>
      </c>
      <c r="F17" s="78" t="s">
        <v>98</v>
      </c>
      <c r="G17" s="79">
        <v>12</v>
      </c>
      <c r="H17" s="80">
        <v>1250</v>
      </c>
      <c r="I17" s="60">
        <f t="shared" si="0"/>
        <v>15000</v>
      </c>
    </row>
    <row r="18" spans="1:9" ht="31.9" customHeight="1" thickBot="1" x14ac:dyDescent="0.25">
      <c r="A18" s="56">
        <v>9</v>
      </c>
      <c r="B18" s="59"/>
      <c r="C18" s="57" t="s">
        <v>64</v>
      </c>
      <c r="D18" s="58" t="s">
        <v>97</v>
      </c>
      <c r="E18" s="77" t="s">
        <v>75</v>
      </c>
      <c r="F18" s="78" t="s">
        <v>99</v>
      </c>
      <c r="G18" s="79">
        <v>12</v>
      </c>
      <c r="H18" s="80">
        <v>1680</v>
      </c>
      <c r="I18" s="60">
        <f t="shared" si="0"/>
        <v>20160</v>
      </c>
    </row>
    <row r="19" spans="1:9" ht="31.9" customHeight="1" thickBot="1" x14ac:dyDescent="0.25">
      <c r="A19" s="56">
        <v>10</v>
      </c>
      <c r="B19" s="59"/>
      <c r="C19" s="57" t="s">
        <v>64</v>
      </c>
      <c r="D19" s="58" t="s">
        <v>97</v>
      </c>
      <c r="E19" s="77" t="s">
        <v>76</v>
      </c>
      <c r="F19" s="78" t="s">
        <v>100</v>
      </c>
      <c r="G19" s="79">
        <v>2000</v>
      </c>
      <c r="H19" s="80">
        <v>45</v>
      </c>
      <c r="I19" s="60">
        <f t="shared" si="0"/>
        <v>90000</v>
      </c>
    </row>
    <row r="20" spans="1:9" ht="31.9" customHeight="1" thickBot="1" x14ac:dyDescent="0.25">
      <c r="A20" s="56">
        <v>11</v>
      </c>
      <c r="B20" s="59"/>
      <c r="C20" s="57" t="s">
        <v>64</v>
      </c>
      <c r="D20" s="58" t="s">
        <v>97</v>
      </c>
      <c r="E20" s="77" t="s">
        <v>77</v>
      </c>
      <c r="F20" s="78" t="s">
        <v>100</v>
      </c>
      <c r="G20" s="79">
        <v>3000</v>
      </c>
      <c r="H20" s="80">
        <v>45</v>
      </c>
      <c r="I20" s="60">
        <f t="shared" si="0"/>
        <v>135000</v>
      </c>
    </row>
    <row r="21" spans="1:9" ht="31.9" customHeight="1" thickBot="1" x14ac:dyDescent="0.25">
      <c r="A21" s="56">
        <v>12</v>
      </c>
      <c r="B21" s="59"/>
      <c r="C21" s="57" t="s">
        <v>64</v>
      </c>
      <c r="D21" s="58" t="s">
        <v>97</v>
      </c>
      <c r="E21" s="77" t="s">
        <v>78</v>
      </c>
      <c r="F21" s="78" t="s">
        <v>100</v>
      </c>
      <c r="G21" s="79">
        <v>12</v>
      </c>
      <c r="H21" s="80">
        <v>247</v>
      </c>
      <c r="I21" s="60">
        <f t="shared" si="0"/>
        <v>2964</v>
      </c>
    </row>
    <row r="22" spans="1:9" ht="31.9" customHeight="1" thickBot="1" x14ac:dyDescent="0.25">
      <c r="A22" s="56">
        <v>13</v>
      </c>
      <c r="B22" s="59"/>
      <c r="C22" s="57" t="s">
        <v>64</v>
      </c>
      <c r="D22" s="58" t="s">
        <v>97</v>
      </c>
      <c r="E22" s="77" t="s">
        <v>79</v>
      </c>
      <c r="F22" s="78" t="s">
        <v>100</v>
      </c>
      <c r="G22" s="79">
        <v>12</v>
      </c>
      <c r="H22" s="80">
        <v>247</v>
      </c>
      <c r="I22" s="60">
        <f t="shared" si="0"/>
        <v>2964</v>
      </c>
    </row>
    <row r="23" spans="1:9" ht="31.9" customHeight="1" thickBot="1" x14ac:dyDescent="0.25">
      <c r="A23" s="56">
        <v>14</v>
      </c>
      <c r="B23" s="59"/>
      <c r="C23" s="57" t="s">
        <v>64</v>
      </c>
      <c r="D23" s="58" t="s">
        <v>97</v>
      </c>
      <c r="E23" s="77" t="s">
        <v>80</v>
      </c>
      <c r="F23" s="78" t="s">
        <v>100</v>
      </c>
      <c r="G23" s="79">
        <v>50</v>
      </c>
      <c r="H23" s="80">
        <v>250</v>
      </c>
      <c r="I23" s="60">
        <f t="shared" si="0"/>
        <v>12500</v>
      </c>
    </row>
    <row r="24" spans="1:9" ht="31.9" customHeight="1" thickBot="1" x14ac:dyDescent="0.25">
      <c r="A24" s="56">
        <v>15</v>
      </c>
      <c r="B24" s="59"/>
      <c r="C24" s="57" t="s">
        <v>64</v>
      </c>
      <c r="D24" s="58" t="s">
        <v>97</v>
      </c>
      <c r="E24" s="81" t="s">
        <v>81</v>
      </c>
      <c r="F24" s="78" t="s">
        <v>100</v>
      </c>
      <c r="G24" s="79">
        <v>5</v>
      </c>
      <c r="H24" s="80">
        <v>850</v>
      </c>
      <c r="I24" s="60">
        <f t="shared" si="0"/>
        <v>4250</v>
      </c>
    </row>
    <row r="25" spans="1:9" ht="31.9" customHeight="1" thickBot="1" x14ac:dyDescent="0.25">
      <c r="A25" s="56">
        <v>16</v>
      </c>
      <c r="B25" s="59"/>
      <c r="C25" s="57" t="s">
        <v>64</v>
      </c>
      <c r="D25" s="58" t="s">
        <v>97</v>
      </c>
      <c r="E25" s="81" t="s">
        <v>82</v>
      </c>
      <c r="F25" s="78" t="s">
        <v>100</v>
      </c>
      <c r="G25" s="79">
        <v>5</v>
      </c>
      <c r="H25" s="80">
        <v>850</v>
      </c>
      <c r="I25" s="60">
        <f t="shared" si="0"/>
        <v>4250</v>
      </c>
    </row>
    <row r="26" spans="1:9" ht="31.9" customHeight="1" thickBot="1" x14ac:dyDescent="0.25">
      <c r="A26" s="56">
        <v>17</v>
      </c>
      <c r="B26" s="59"/>
      <c r="C26" s="57" t="s">
        <v>64</v>
      </c>
      <c r="D26" s="58" t="s">
        <v>97</v>
      </c>
      <c r="E26" s="77" t="s">
        <v>83</v>
      </c>
      <c r="F26" s="78" t="s">
        <v>100</v>
      </c>
      <c r="G26" s="79">
        <v>12</v>
      </c>
      <c r="H26" s="80">
        <v>275</v>
      </c>
      <c r="I26" s="60">
        <f t="shared" si="0"/>
        <v>3300</v>
      </c>
    </row>
    <row r="27" spans="1:9" ht="31.9" customHeight="1" thickBot="1" x14ac:dyDescent="0.25">
      <c r="A27" s="56">
        <v>18</v>
      </c>
      <c r="B27" s="59"/>
      <c r="C27" s="57" t="s">
        <v>64</v>
      </c>
      <c r="D27" s="58" t="s">
        <v>97</v>
      </c>
      <c r="E27" s="77" t="s">
        <v>84</v>
      </c>
      <c r="F27" s="78" t="s">
        <v>100</v>
      </c>
      <c r="G27" s="79">
        <v>120</v>
      </c>
      <c r="H27" s="80">
        <v>1284</v>
      </c>
      <c r="I27" s="60">
        <f t="shared" si="0"/>
        <v>154080</v>
      </c>
    </row>
    <row r="28" spans="1:9" ht="31.9" customHeight="1" thickBot="1" x14ac:dyDescent="0.25">
      <c r="A28" s="56">
        <v>19</v>
      </c>
      <c r="B28" s="59"/>
      <c r="C28" s="57" t="s">
        <v>114</v>
      </c>
      <c r="D28" s="58" t="s">
        <v>112</v>
      </c>
      <c r="E28" s="81" t="s">
        <v>85</v>
      </c>
      <c r="F28" s="78" t="s">
        <v>101</v>
      </c>
      <c r="G28" s="79">
        <v>500</v>
      </c>
      <c r="H28" s="80">
        <v>2120</v>
      </c>
      <c r="I28" s="60">
        <f t="shared" si="0"/>
        <v>1060000</v>
      </c>
    </row>
    <row r="29" spans="1:9" ht="31.9" customHeight="1" thickBot="1" x14ac:dyDescent="0.25">
      <c r="A29" s="56">
        <v>20</v>
      </c>
      <c r="B29" s="59"/>
      <c r="C29" s="57" t="s">
        <v>114</v>
      </c>
      <c r="D29" s="58" t="s">
        <v>112</v>
      </c>
      <c r="E29" s="81" t="s">
        <v>86</v>
      </c>
      <c r="F29" s="78" t="s">
        <v>101</v>
      </c>
      <c r="G29" s="79">
        <v>800</v>
      </c>
      <c r="H29" s="80">
        <v>165</v>
      </c>
      <c r="I29" s="60">
        <f t="shared" si="0"/>
        <v>132000</v>
      </c>
    </row>
    <row r="30" spans="1:9" ht="31.9" customHeight="1" thickBot="1" x14ac:dyDescent="0.25">
      <c r="A30" s="56">
        <v>21</v>
      </c>
      <c r="B30" s="59"/>
      <c r="C30" s="57" t="s">
        <v>114</v>
      </c>
      <c r="D30" s="58" t="s">
        <v>112</v>
      </c>
      <c r="E30" s="81" t="s">
        <v>87</v>
      </c>
      <c r="F30" s="78" t="s">
        <v>101</v>
      </c>
      <c r="G30" s="79">
        <v>300</v>
      </c>
      <c r="H30" s="80">
        <v>235</v>
      </c>
      <c r="I30" s="60">
        <f t="shared" si="0"/>
        <v>70500</v>
      </c>
    </row>
    <row r="31" spans="1:9" ht="31.9" customHeight="1" thickBot="1" x14ac:dyDescent="0.25">
      <c r="A31" s="56">
        <v>22</v>
      </c>
      <c r="B31" s="59"/>
      <c r="C31" s="57" t="s">
        <v>115</v>
      </c>
      <c r="D31" s="58" t="s">
        <v>113</v>
      </c>
      <c r="E31" s="77" t="s">
        <v>88</v>
      </c>
      <c r="F31" s="78" t="s">
        <v>102</v>
      </c>
      <c r="G31" s="79">
        <v>20</v>
      </c>
      <c r="H31" s="80">
        <v>10200</v>
      </c>
      <c r="I31" s="60">
        <f t="shared" si="0"/>
        <v>204000</v>
      </c>
    </row>
    <row r="32" spans="1:9" ht="31.9" customHeight="1" thickBot="1" x14ac:dyDescent="0.25">
      <c r="A32" s="56">
        <v>23</v>
      </c>
      <c r="B32" s="59"/>
      <c r="C32" s="57" t="s">
        <v>115</v>
      </c>
      <c r="D32" s="58" t="s">
        <v>113</v>
      </c>
      <c r="E32" s="77" t="s">
        <v>89</v>
      </c>
      <c r="F32" s="78" t="s">
        <v>102</v>
      </c>
      <c r="G32" s="79">
        <v>20</v>
      </c>
      <c r="H32" s="80">
        <v>17300</v>
      </c>
      <c r="I32" s="60">
        <f t="shared" si="0"/>
        <v>346000</v>
      </c>
    </row>
    <row r="33" spans="1:9" ht="31.9" customHeight="1" thickBot="1" x14ac:dyDescent="0.25">
      <c r="A33" s="56">
        <v>24</v>
      </c>
      <c r="B33" s="59"/>
      <c r="C33" s="57" t="s">
        <v>64</v>
      </c>
      <c r="D33" s="58" t="s">
        <v>97</v>
      </c>
      <c r="E33" s="81" t="s">
        <v>90</v>
      </c>
      <c r="F33" s="78" t="s">
        <v>100</v>
      </c>
      <c r="G33" s="79">
        <v>30</v>
      </c>
      <c r="H33" s="80">
        <v>257.39999999999998</v>
      </c>
      <c r="I33" s="60">
        <f t="shared" si="0"/>
        <v>7721.9999999999991</v>
      </c>
    </row>
    <row r="34" spans="1:9" ht="31.9" customHeight="1" thickBot="1" x14ac:dyDescent="0.25">
      <c r="A34" s="56">
        <v>25</v>
      </c>
      <c r="B34" s="59"/>
      <c r="C34" s="57" t="s">
        <v>64</v>
      </c>
      <c r="D34" s="58" t="s">
        <v>97</v>
      </c>
      <c r="E34" s="77" t="s">
        <v>91</v>
      </c>
      <c r="F34" s="78" t="s">
        <v>100</v>
      </c>
      <c r="G34" s="79">
        <v>60</v>
      </c>
      <c r="H34" s="80">
        <v>1480</v>
      </c>
      <c r="I34" s="60">
        <f t="shared" si="0"/>
        <v>88800</v>
      </c>
    </row>
    <row r="35" spans="1:9" ht="31.9" customHeight="1" thickBot="1" x14ac:dyDescent="0.25">
      <c r="A35" s="56">
        <v>26</v>
      </c>
      <c r="B35" s="59"/>
      <c r="C35" s="57" t="s">
        <v>64</v>
      </c>
      <c r="D35" s="58" t="s">
        <v>97</v>
      </c>
      <c r="E35" s="84" t="s">
        <v>92</v>
      </c>
      <c r="F35" s="78" t="s">
        <v>102</v>
      </c>
      <c r="G35" s="79">
        <v>800</v>
      </c>
      <c r="H35" s="82">
        <v>2843.5</v>
      </c>
      <c r="I35" s="60">
        <f t="shared" si="0"/>
        <v>2274800</v>
      </c>
    </row>
    <row r="36" spans="1:9" ht="31.9" customHeight="1" thickBot="1" x14ac:dyDescent="0.25">
      <c r="A36" s="56">
        <v>27</v>
      </c>
      <c r="B36" s="59"/>
      <c r="C36" s="57" t="s">
        <v>64</v>
      </c>
      <c r="D36" s="58" t="s">
        <v>97</v>
      </c>
      <c r="E36" s="77" t="s">
        <v>93</v>
      </c>
      <c r="F36" s="78" t="s">
        <v>100</v>
      </c>
      <c r="G36" s="79">
        <v>2</v>
      </c>
      <c r="H36" s="82">
        <v>5950</v>
      </c>
      <c r="I36" s="60">
        <f t="shared" si="0"/>
        <v>11900</v>
      </c>
    </row>
    <row r="37" spans="1:9" ht="31.9" customHeight="1" thickBot="1" x14ac:dyDescent="0.25">
      <c r="A37" s="56">
        <v>28</v>
      </c>
      <c r="B37" s="59"/>
      <c r="C37" s="57" t="s">
        <v>64</v>
      </c>
      <c r="D37" s="58" t="s">
        <v>97</v>
      </c>
      <c r="E37" s="77" t="s">
        <v>94</v>
      </c>
      <c r="F37" s="78" t="s">
        <v>100</v>
      </c>
      <c r="G37" s="79">
        <v>2</v>
      </c>
      <c r="H37" s="82">
        <v>5950</v>
      </c>
      <c r="I37" s="60">
        <f t="shared" si="0"/>
        <v>11900</v>
      </c>
    </row>
    <row r="38" spans="1:9" ht="31.9" customHeight="1" thickBot="1" x14ac:dyDescent="0.25">
      <c r="A38" s="56">
        <v>29</v>
      </c>
      <c r="B38" s="59"/>
      <c r="C38" s="57" t="s">
        <v>64</v>
      </c>
      <c r="D38" s="58" t="s">
        <v>97</v>
      </c>
      <c r="E38" s="77" t="s">
        <v>95</v>
      </c>
      <c r="F38" s="78" t="s">
        <v>100</v>
      </c>
      <c r="G38" s="79">
        <v>6</v>
      </c>
      <c r="H38" s="83">
        <v>1020</v>
      </c>
      <c r="I38" s="60">
        <f t="shared" si="0"/>
        <v>6120</v>
      </c>
    </row>
    <row r="39" spans="1:9" ht="31.9" customHeight="1" thickBot="1" x14ac:dyDescent="0.25">
      <c r="A39" s="56">
        <v>30</v>
      </c>
      <c r="B39" s="59"/>
      <c r="C39" s="57" t="s">
        <v>64</v>
      </c>
      <c r="D39" s="58" t="s">
        <v>97</v>
      </c>
      <c r="E39" s="77" t="s">
        <v>96</v>
      </c>
      <c r="F39" s="78" t="s">
        <v>100</v>
      </c>
      <c r="G39" s="79">
        <v>6</v>
      </c>
      <c r="H39" s="83">
        <v>1459</v>
      </c>
      <c r="I39" s="60">
        <f t="shared" si="0"/>
        <v>8754</v>
      </c>
    </row>
    <row r="40" spans="1:9" ht="13.5" thickBot="1" x14ac:dyDescent="0.25"/>
    <row r="41" spans="1:9" ht="64.5" customHeight="1" thickBot="1" x14ac:dyDescent="0.25">
      <c r="C41" s="95" t="s">
        <v>106</v>
      </c>
      <c r="D41" s="96"/>
      <c r="E41" s="97"/>
    </row>
    <row r="42" spans="1:9" ht="33.75" customHeight="1" thickBot="1" x14ac:dyDescent="0.25">
      <c r="C42" s="98" t="s">
        <v>107</v>
      </c>
      <c r="D42" s="99"/>
      <c r="E42" s="100"/>
    </row>
    <row r="43" spans="1:9" ht="63" customHeight="1" thickBot="1" x14ac:dyDescent="0.25">
      <c r="C43" s="101" t="s">
        <v>108</v>
      </c>
      <c r="D43" s="102"/>
      <c r="E43" s="103"/>
    </row>
    <row r="44" spans="1:9" ht="13.5" thickBot="1" x14ac:dyDescent="0.25"/>
    <row r="45" spans="1:9" x14ac:dyDescent="0.2">
      <c r="B45" s="42" t="s">
        <v>103</v>
      </c>
      <c r="C45" s="43"/>
      <c r="D45" s="43"/>
      <c r="E45" s="44"/>
    </row>
    <row r="46" spans="1:9" ht="5.25" customHeight="1" x14ac:dyDescent="0.2">
      <c r="B46" s="45"/>
      <c r="C46" s="46"/>
      <c r="D46" s="46"/>
      <c r="E46" s="47"/>
    </row>
    <row r="47" spans="1:9" x14ac:dyDescent="0.2">
      <c r="B47" s="48" t="s">
        <v>14</v>
      </c>
      <c r="C47" s="46"/>
      <c r="D47" s="46"/>
      <c r="E47" s="47"/>
    </row>
    <row r="48" spans="1:9" ht="41.25" customHeight="1" x14ac:dyDescent="0.2">
      <c r="B48" s="48"/>
      <c r="C48" s="90" t="s">
        <v>110</v>
      </c>
      <c r="D48" s="90"/>
      <c r="E48" s="91"/>
    </row>
    <row r="49" spans="2:5" x14ac:dyDescent="0.2">
      <c r="B49" s="48" t="s">
        <v>15</v>
      </c>
      <c r="C49" s="46"/>
      <c r="D49" s="46"/>
      <c r="E49" s="47"/>
    </row>
    <row r="50" spans="2:5" ht="22.5" customHeight="1" x14ac:dyDescent="0.2">
      <c r="B50" s="49"/>
      <c r="C50" s="92" t="s">
        <v>109</v>
      </c>
      <c r="D50" s="92"/>
      <c r="E50" s="93"/>
    </row>
    <row r="51" spans="2:5" x14ac:dyDescent="0.2">
      <c r="B51" s="49"/>
      <c r="C51" s="94"/>
      <c r="D51" s="94"/>
      <c r="E51" s="94"/>
    </row>
    <row r="52" spans="2:5" x14ac:dyDescent="0.2">
      <c r="B52" s="48" t="s">
        <v>16</v>
      </c>
      <c r="C52" s="46"/>
      <c r="D52" s="46"/>
      <c r="E52" s="47"/>
    </row>
    <row r="53" spans="2:5" ht="26.25" customHeight="1" x14ac:dyDescent="0.2">
      <c r="B53" s="49"/>
      <c r="C53" s="85"/>
      <c r="D53" s="85"/>
      <c r="E53" s="85"/>
    </row>
    <row r="54" spans="2:5" x14ac:dyDescent="0.2">
      <c r="B54" s="48" t="s">
        <v>17</v>
      </c>
      <c r="C54" s="50"/>
      <c r="D54" s="50"/>
      <c r="E54" s="51"/>
    </row>
    <row r="55" spans="2:5" ht="26.25" customHeight="1" x14ac:dyDescent="0.2">
      <c r="B55" s="49"/>
      <c r="C55" s="86" t="s">
        <v>61</v>
      </c>
      <c r="D55" s="86"/>
      <c r="E55" s="87"/>
    </row>
    <row r="56" spans="2:5" x14ac:dyDescent="0.2">
      <c r="B56" s="48" t="s">
        <v>18</v>
      </c>
      <c r="C56" s="46"/>
      <c r="D56" s="46"/>
      <c r="E56" s="47"/>
    </row>
    <row r="57" spans="2:5" ht="23.25" customHeight="1" x14ac:dyDescent="0.2">
      <c r="B57" s="48"/>
      <c r="C57" s="88"/>
      <c r="D57" s="88"/>
      <c r="E57" s="88"/>
    </row>
    <row r="58" spans="2:5" x14ac:dyDescent="0.2">
      <c r="B58" s="52"/>
      <c r="C58" s="53"/>
      <c r="D58" s="53"/>
      <c r="E58" s="54"/>
    </row>
  </sheetData>
  <autoFilter ref="A9:I39"/>
  <mergeCells count="16">
    <mergeCell ref="B2:H2"/>
    <mergeCell ref="A4:B4"/>
    <mergeCell ref="C4:E4"/>
    <mergeCell ref="A5:B5"/>
    <mergeCell ref="C5:E5"/>
    <mergeCell ref="C53:E53"/>
    <mergeCell ref="C55:E55"/>
    <mergeCell ref="C57:E57"/>
    <mergeCell ref="A6:B6"/>
    <mergeCell ref="A7:B7"/>
    <mergeCell ref="C48:E48"/>
    <mergeCell ref="C50:E50"/>
    <mergeCell ref="C51:E51"/>
    <mergeCell ref="C41:E41"/>
    <mergeCell ref="C42:E42"/>
    <mergeCell ref="C43:E4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2"/>
  <sheetViews>
    <sheetView topLeftCell="A10" zoomScale="70" zoomScaleNormal="70" workbookViewId="0">
      <selection activeCell="P36" sqref="P3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4" t="s">
        <v>19</v>
      </c>
      <c r="B1" s="114"/>
      <c r="C1" s="114"/>
      <c r="D1" s="114"/>
      <c r="E1" s="114"/>
      <c r="F1" s="114"/>
      <c r="G1" s="114"/>
      <c r="H1" s="114"/>
      <c r="I1" s="114"/>
      <c r="J1" s="3" t="s">
        <v>20</v>
      </c>
      <c r="K1" s="63" t="s">
        <v>66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5" t="s">
        <v>53</v>
      </c>
      <c r="B3" s="115"/>
      <c r="C3" s="115"/>
      <c r="D3" s="116" t="str">
        <f>'Necesidades Trimestrales'!C4</f>
        <v>40 - Ministerio de Salud</v>
      </c>
      <c r="E3" s="116"/>
      <c r="F3" s="116"/>
      <c r="G3" s="116"/>
      <c r="H3" s="116"/>
      <c r="I3" s="116"/>
      <c r="J3" s="116"/>
      <c r="K3" s="116"/>
    </row>
    <row r="4" spans="1:11" ht="18.75" customHeight="1" thickBot="1" x14ac:dyDescent="0.25">
      <c r="A4" s="117" t="s">
        <v>54</v>
      </c>
      <c r="B4" s="117"/>
      <c r="C4" s="117"/>
      <c r="D4" s="116" t="str">
        <f>'Necesidades Trimestrales'!C5</f>
        <v>23 - Hospital Interzonal San Juan Bautista</v>
      </c>
      <c r="E4" s="116"/>
      <c r="F4" s="116"/>
      <c r="G4" s="116"/>
      <c r="H4" s="116"/>
      <c r="I4" s="116"/>
      <c r="J4" s="116"/>
      <c r="K4" s="116"/>
    </row>
    <row r="5" spans="1:11" ht="18.75" customHeight="1" thickBot="1" x14ac:dyDescent="0.25">
      <c r="A5" s="117" t="s">
        <v>32</v>
      </c>
      <c r="B5" s="117"/>
      <c r="C5" s="117"/>
      <c r="D5" s="116" t="s">
        <v>59</v>
      </c>
      <c r="E5" s="116"/>
      <c r="F5" s="116"/>
      <c r="G5" s="116"/>
      <c r="H5" s="116"/>
      <c r="I5" s="116"/>
      <c r="J5" s="116"/>
      <c r="K5" s="116"/>
    </row>
    <row r="6" spans="1:11" ht="16.5" customHeight="1" thickBot="1" x14ac:dyDescent="0.25">
      <c r="A6" s="115" t="s">
        <v>55</v>
      </c>
      <c r="B6" s="115"/>
      <c r="C6" s="115"/>
      <c r="D6" s="116" t="s">
        <v>60</v>
      </c>
      <c r="E6" s="116"/>
      <c r="F6" s="116"/>
      <c r="G6" s="116"/>
      <c r="H6" s="116"/>
      <c r="I6" s="116"/>
      <c r="J6" s="116"/>
      <c r="K6" s="116"/>
    </row>
    <row r="7" spans="1:11" ht="16.5" customHeight="1" x14ac:dyDescent="0.2">
      <c r="A7" s="117" t="s">
        <v>21</v>
      </c>
      <c r="B7" s="117"/>
      <c r="C7" s="117"/>
      <c r="D7" s="116" t="str">
        <f>'Necesidades Trimestrales'!C7 &amp; "° Trimestre - Año " &amp; 'Necesidades Trimestrales'!C6</f>
        <v>1° Trimestre - Año 2022</v>
      </c>
      <c r="E7" s="116"/>
      <c r="F7" s="116"/>
      <c r="G7" s="116"/>
      <c r="H7" s="116"/>
      <c r="I7" s="116"/>
      <c r="J7" s="116"/>
      <c r="K7" s="116"/>
    </row>
    <row r="8" spans="1:11" ht="16.5" customHeight="1" x14ac:dyDescent="0.2">
      <c r="A8" s="109" t="s">
        <v>22</v>
      </c>
      <c r="B8" s="109"/>
      <c r="C8" s="109"/>
      <c r="D8" s="110" t="s">
        <v>65</v>
      </c>
      <c r="E8" s="110"/>
      <c r="F8" s="110"/>
      <c r="G8" s="110"/>
      <c r="H8" s="110"/>
      <c r="I8" s="110"/>
      <c r="J8" s="110"/>
      <c r="K8" s="110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1" t="s">
        <v>23</v>
      </c>
      <c r="B10" s="112" t="s">
        <v>24</v>
      </c>
      <c r="C10" s="112" t="s">
        <v>25</v>
      </c>
      <c r="D10" s="112"/>
      <c r="E10" s="112"/>
      <c r="F10" s="112"/>
      <c r="G10" s="112"/>
      <c r="H10" s="112" t="s">
        <v>26</v>
      </c>
      <c r="I10" s="112" t="s">
        <v>27</v>
      </c>
      <c r="J10" s="112" t="s">
        <v>28</v>
      </c>
      <c r="K10" s="113" t="s">
        <v>29</v>
      </c>
    </row>
    <row r="11" spans="1:11" ht="24" customHeight="1" thickBot="1" x14ac:dyDescent="0.25">
      <c r="A11" s="111"/>
      <c r="B11" s="112"/>
      <c r="C11" s="112"/>
      <c r="D11" s="112"/>
      <c r="E11" s="112"/>
      <c r="F11" s="112"/>
      <c r="G11" s="112"/>
      <c r="H11" s="112"/>
      <c r="I11" s="112"/>
      <c r="J11" s="112"/>
      <c r="K11" s="113"/>
    </row>
    <row r="12" spans="1:11" ht="20.25" customHeight="1" thickBot="1" x14ac:dyDescent="0.25">
      <c r="A12" s="8">
        <v>1</v>
      </c>
      <c r="B12" s="64">
        <f>'Necesidades Trimestrales'!B10</f>
        <v>0</v>
      </c>
      <c r="C12" s="106" t="str">
        <f>'Necesidades Trimestrales'!E10</f>
        <v>AGUJA ESPINAL 18 G X 3-1/2</v>
      </c>
      <c r="D12" s="106"/>
      <c r="E12" s="106"/>
      <c r="F12" s="106"/>
      <c r="G12" s="106"/>
      <c r="H12" s="65" t="s">
        <v>56</v>
      </c>
      <c r="I12" s="66" t="str">
        <f>'Necesidades Trimestrales'!F10</f>
        <v xml:space="preserve">UNIDAD   </v>
      </c>
      <c r="J12" s="67">
        <f>'Necesidades Trimestrales'!H10</f>
        <v>102</v>
      </c>
      <c r="K12" s="68">
        <f>'Necesidades Trimestrales'!G10</f>
        <v>12</v>
      </c>
    </row>
    <row r="13" spans="1:11" ht="20.25" customHeight="1" thickBot="1" x14ac:dyDescent="0.25">
      <c r="A13" s="8">
        <v>2</v>
      </c>
      <c r="B13" s="64">
        <f>'Necesidades Trimestrales'!B11</f>
        <v>0</v>
      </c>
      <c r="C13" s="106" t="str">
        <f>'Necesidades Trimestrales'!E11</f>
        <v>AGUJA ESPINAL 19 G 3-1/2</v>
      </c>
      <c r="D13" s="106"/>
      <c r="E13" s="106"/>
      <c r="F13" s="106"/>
      <c r="G13" s="106"/>
      <c r="H13" s="65" t="s">
        <v>56</v>
      </c>
      <c r="I13" s="66" t="str">
        <f>'Necesidades Trimestrales'!F11</f>
        <v xml:space="preserve">UNIDAD   </v>
      </c>
      <c r="J13" s="67">
        <f>'Necesidades Trimestrales'!H11</f>
        <v>102</v>
      </c>
      <c r="K13" s="68">
        <f>'Necesidades Trimestrales'!G11</f>
        <v>12</v>
      </c>
    </row>
    <row r="14" spans="1:11" ht="20.25" customHeight="1" thickBot="1" x14ac:dyDescent="0.25">
      <c r="A14" s="8">
        <v>3</v>
      </c>
      <c r="B14" s="64">
        <f>'Necesidades Trimestrales'!B12</f>
        <v>0</v>
      </c>
      <c r="C14" s="106" t="str">
        <f>'Necesidades Trimestrales'!E12</f>
        <v>Aguja ESPINAL 21 G 3 1/2 PUNTA LAPIZ</v>
      </c>
      <c r="D14" s="106"/>
      <c r="E14" s="106"/>
      <c r="F14" s="106"/>
      <c r="G14" s="106"/>
      <c r="H14" s="65" t="s">
        <v>56</v>
      </c>
      <c r="I14" s="66" t="str">
        <f>'Necesidades Trimestrales'!F12</f>
        <v xml:space="preserve">UNIDAD   </v>
      </c>
      <c r="J14" s="67">
        <f>'Necesidades Trimestrales'!H12</f>
        <v>189</v>
      </c>
      <c r="K14" s="68">
        <f>'Necesidades Trimestrales'!G12</f>
        <v>30</v>
      </c>
    </row>
    <row r="15" spans="1:11" ht="20.25" customHeight="1" thickBot="1" x14ac:dyDescent="0.25">
      <c r="A15" s="8">
        <v>4</v>
      </c>
      <c r="B15" s="64">
        <f>'Necesidades Trimestrales'!B13</f>
        <v>0</v>
      </c>
      <c r="C15" s="106" t="str">
        <f>'Necesidades Trimestrales'!E13</f>
        <v>AGUJA ESPINAL 22 G X 1</v>
      </c>
      <c r="D15" s="106"/>
      <c r="E15" s="106"/>
      <c r="F15" s="106"/>
      <c r="G15" s="106"/>
      <c r="H15" s="65" t="s">
        <v>56</v>
      </c>
      <c r="I15" s="66" t="str">
        <f>'Necesidades Trimestrales'!F13</f>
        <v xml:space="preserve">UNIDAD   </v>
      </c>
      <c r="J15" s="67">
        <f>'Necesidades Trimestrales'!H13</f>
        <v>102</v>
      </c>
      <c r="K15" s="68">
        <f>'Necesidades Trimestrales'!G13</f>
        <v>12</v>
      </c>
    </row>
    <row r="16" spans="1:11" ht="20.25" customHeight="1" thickBot="1" x14ac:dyDescent="0.25">
      <c r="A16" s="8">
        <v>5</v>
      </c>
      <c r="B16" s="64">
        <f>'Necesidades Trimestrales'!B14</f>
        <v>0</v>
      </c>
      <c r="C16" s="106" t="str">
        <f>'Necesidades Trimestrales'!E14</f>
        <v>Aguja ESPINAL 23 G 3 1/2 PUNTA LAPIZ</v>
      </c>
      <c r="D16" s="106"/>
      <c r="E16" s="106"/>
      <c r="F16" s="106"/>
      <c r="G16" s="106"/>
      <c r="H16" s="65" t="s">
        <v>56</v>
      </c>
      <c r="I16" s="66" t="str">
        <f>'Necesidades Trimestrales'!F14</f>
        <v xml:space="preserve">UNIDAD   </v>
      </c>
      <c r="J16" s="67">
        <f>'Necesidades Trimestrales'!H14</f>
        <v>189</v>
      </c>
      <c r="K16" s="68">
        <f>'Necesidades Trimestrales'!G14</f>
        <v>12</v>
      </c>
    </row>
    <row r="17" spans="1:11" ht="20.25" customHeight="1" thickBot="1" x14ac:dyDescent="0.25">
      <c r="A17" s="8">
        <v>6</v>
      </c>
      <c r="B17" s="64">
        <f>'Necesidades Trimestrales'!B15</f>
        <v>0</v>
      </c>
      <c r="C17" s="106" t="str">
        <f>'Necesidades Trimestrales'!E15</f>
        <v>AGUJA ESPINAL 25G 31/2 PUNTA LAPIZ</v>
      </c>
      <c r="D17" s="106"/>
      <c r="E17" s="106"/>
      <c r="F17" s="106"/>
      <c r="G17" s="106"/>
      <c r="H17" s="65" t="s">
        <v>56</v>
      </c>
      <c r="I17" s="66" t="str">
        <f>'Necesidades Trimestrales'!F15</f>
        <v xml:space="preserve">UNIDAD   </v>
      </c>
      <c r="J17" s="67">
        <f>'Necesidades Trimestrales'!H15</f>
        <v>189</v>
      </c>
      <c r="K17" s="68">
        <f>'Necesidades Trimestrales'!G15</f>
        <v>12</v>
      </c>
    </row>
    <row r="18" spans="1:11" ht="20.25" customHeight="1" thickBot="1" x14ac:dyDescent="0.25">
      <c r="A18" s="8">
        <v>7</v>
      </c>
      <c r="B18" s="64">
        <f>'Necesidades Trimestrales'!B16</f>
        <v>0</v>
      </c>
      <c r="C18" s="106" t="str">
        <f>'Necesidades Trimestrales'!E16</f>
        <v>Aguja ESPINAL 26 G 31/2  PUNTA LAPIZ</v>
      </c>
      <c r="D18" s="106"/>
      <c r="E18" s="106"/>
      <c r="F18" s="106"/>
      <c r="G18" s="106"/>
      <c r="H18" s="65" t="s">
        <v>56</v>
      </c>
      <c r="I18" s="66" t="str">
        <f>'Necesidades Trimestrales'!F16</f>
        <v xml:space="preserve">UNIDAD   </v>
      </c>
      <c r="J18" s="67">
        <f>'Necesidades Trimestrales'!H16</f>
        <v>189</v>
      </c>
      <c r="K18" s="68">
        <f>'Necesidades Trimestrales'!G16</f>
        <v>12</v>
      </c>
    </row>
    <row r="19" spans="1:11" ht="20.25" customHeight="1" thickBot="1" x14ac:dyDescent="0.25">
      <c r="A19" s="8">
        <v>8</v>
      </c>
      <c r="B19" s="64">
        <f>'Necesidades Trimestrales'!B17</f>
        <v>0</v>
      </c>
      <c r="C19" s="106" t="str">
        <f>'Necesidades Trimestrales'!E17</f>
        <v>Aguja espinal para obesos  25 G  punta lapiz</v>
      </c>
      <c r="D19" s="106"/>
      <c r="E19" s="106"/>
      <c r="F19" s="106"/>
      <c r="G19" s="106"/>
      <c r="H19" s="65" t="s">
        <v>56</v>
      </c>
      <c r="I19" s="66" t="str">
        <f>'Necesidades Trimestrales'!F17</f>
        <v xml:space="preserve">UNIDAD   </v>
      </c>
      <c r="J19" s="67">
        <f>'Necesidades Trimestrales'!H17</f>
        <v>1250</v>
      </c>
      <c r="K19" s="68">
        <f>'Necesidades Trimestrales'!G17</f>
        <v>12</v>
      </c>
    </row>
    <row r="20" spans="1:11" ht="20.25" customHeight="1" thickBot="1" x14ac:dyDescent="0.25">
      <c r="A20" s="8">
        <v>9</v>
      </c>
      <c r="B20" s="64">
        <f>'Necesidades Trimestrales'!B18</f>
        <v>0</v>
      </c>
      <c r="C20" s="106" t="str">
        <f>'Necesidades Trimestrales'!E18</f>
        <v>AGUJA P/SUTURA RECTA X 12 unidades</v>
      </c>
      <c r="D20" s="106"/>
      <c r="E20" s="106"/>
      <c r="F20" s="106"/>
      <c r="G20" s="106"/>
      <c r="H20" s="65" t="s">
        <v>56</v>
      </c>
      <c r="I20" s="66" t="str">
        <f>'Necesidades Trimestrales'!F18</f>
        <v>BOLSA</v>
      </c>
      <c r="J20" s="67">
        <f>'Necesidades Trimestrales'!H18</f>
        <v>1680</v>
      </c>
      <c r="K20" s="68">
        <f>'Necesidades Trimestrales'!G18</f>
        <v>12</v>
      </c>
    </row>
    <row r="21" spans="1:11" ht="20.25" customHeight="1" thickBot="1" x14ac:dyDescent="0.25">
      <c r="A21" s="8">
        <v>10</v>
      </c>
      <c r="B21" s="64">
        <f>'Necesidades Trimestrales'!B19</f>
        <v>0</v>
      </c>
      <c r="C21" s="106" t="str">
        <f>'Necesidades Trimestrales'!E19</f>
        <v>AGUJA PARA FISTULA N° 17</v>
      </c>
      <c r="D21" s="106"/>
      <c r="E21" s="106"/>
      <c r="F21" s="106"/>
      <c r="G21" s="106"/>
      <c r="H21" s="65" t="s">
        <v>56</v>
      </c>
      <c r="I21" s="66" t="str">
        <f>'Necesidades Trimestrales'!F19</f>
        <v>UNIDAD</v>
      </c>
      <c r="J21" s="67">
        <f>'Necesidades Trimestrales'!H19</f>
        <v>45</v>
      </c>
      <c r="K21" s="68">
        <f>'Necesidades Trimestrales'!G19</f>
        <v>2000</v>
      </c>
    </row>
    <row r="22" spans="1:11" ht="20.25" customHeight="1" thickBot="1" x14ac:dyDescent="0.25">
      <c r="A22" s="8">
        <v>11</v>
      </c>
      <c r="B22" s="64">
        <f>'Necesidades Trimestrales'!B20</f>
        <v>0</v>
      </c>
      <c r="C22" s="106" t="str">
        <f>'Necesidades Trimestrales'!E20</f>
        <v>AGUJA PARA FISTULA Nº 16</v>
      </c>
      <c r="D22" s="106"/>
      <c r="E22" s="106"/>
      <c r="F22" s="106"/>
      <c r="G22" s="106"/>
      <c r="H22" s="65" t="s">
        <v>56</v>
      </c>
      <c r="I22" s="66" t="str">
        <f>'Necesidades Trimestrales'!F20</f>
        <v>UNIDAD</v>
      </c>
      <c r="J22" s="67">
        <f>'Necesidades Trimestrales'!H20</f>
        <v>45</v>
      </c>
      <c r="K22" s="68">
        <f>'Necesidades Trimestrales'!G20</f>
        <v>3000</v>
      </c>
    </row>
    <row r="23" spans="1:11" ht="20.25" customHeight="1" thickBot="1" x14ac:dyDescent="0.25">
      <c r="A23" s="8">
        <v>12</v>
      </c>
      <c r="B23" s="64">
        <f>'Necesidades Trimestrales'!B21</f>
        <v>0</v>
      </c>
      <c r="C23" s="106" t="str">
        <f>'Necesidades Trimestrales'!E21</f>
        <v>AGUJA PUNTA CURVA HUBER Nº 20 X 25 MM</v>
      </c>
      <c r="D23" s="106"/>
      <c r="E23" s="106"/>
      <c r="F23" s="106"/>
      <c r="G23" s="106"/>
      <c r="H23" s="65" t="s">
        <v>56</v>
      </c>
      <c r="I23" s="66" t="str">
        <f>'Necesidades Trimestrales'!F21</f>
        <v>UNIDAD</v>
      </c>
      <c r="J23" s="67">
        <f>'Necesidades Trimestrales'!H21</f>
        <v>247</v>
      </c>
      <c r="K23" s="68">
        <f>'Necesidades Trimestrales'!G21</f>
        <v>12</v>
      </c>
    </row>
    <row r="24" spans="1:11" ht="20.25" customHeight="1" thickBot="1" x14ac:dyDescent="0.25">
      <c r="A24" s="8">
        <v>13</v>
      </c>
      <c r="B24" s="64">
        <f>'Necesidades Trimestrales'!B22</f>
        <v>0</v>
      </c>
      <c r="C24" s="106" t="str">
        <f>'Necesidades Trimestrales'!E22</f>
        <v>AGUJA PUNTA CURVA HUBER Nº 22 X 25 MM</v>
      </c>
      <c r="D24" s="106"/>
      <c r="E24" s="106"/>
      <c r="F24" s="106"/>
      <c r="G24" s="106"/>
      <c r="H24" s="65" t="s">
        <v>56</v>
      </c>
      <c r="I24" s="66" t="str">
        <f>'Necesidades Trimestrales'!F22</f>
        <v>UNIDAD</v>
      </c>
      <c r="J24" s="67">
        <f>'Necesidades Trimestrales'!H22</f>
        <v>247</v>
      </c>
      <c r="K24" s="68">
        <f>'Necesidades Trimestrales'!G22</f>
        <v>12</v>
      </c>
    </row>
    <row r="25" spans="1:11" ht="20.25" customHeight="1" thickBot="1" x14ac:dyDescent="0.25">
      <c r="A25" s="8">
        <v>14</v>
      </c>
      <c r="B25" s="64">
        <f>'Necesidades Trimestrales'!B23</f>
        <v>0</v>
      </c>
      <c r="C25" s="106" t="str">
        <f>'Necesidades Trimestrales'!E23</f>
        <v>ANTEOJOS ANTI HIV X 1</v>
      </c>
      <c r="D25" s="106"/>
      <c r="E25" s="106"/>
      <c r="F25" s="106"/>
      <c r="G25" s="106"/>
      <c r="H25" s="65" t="s">
        <v>56</v>
      </c>
      <c r="I25" s="66" t="str">
        <f>'Necesidades Trimestrales'!F23</f>
        <v>UNIDAD</v>
      </c>
      <c r="J25" s="67">
        <f>'Necesidades Trimestrales'!H23</f>
        <v>250</v>
      </c>
      <c r="K25" s="68">
        <f>'Necesidades Trimestrales'!G23</f>
        <v>50</v>
      </c>
    </row>
    <row r="26" spans="1:11" ht="20.25" customHeight="1" thickBot="1" x14ac:dyDescent="0.25">
      <c r="A26" s="8">
        <v>15</v>
      </c>
      <c r="B26" s="64">
        <f>'Necesidades Trimestrales'!B24</f>
        <v>0</v>
      </c>
      <c r="C26" s="106" t="str">
        <f>'Necesidades Trimestrales'!E24</f>
        <v xml:space="preserve">Collar Philadelfia Grande </v>
      </c>
      <c r="D26" s="106"/>
      <c r="E26" s="106"/>
      <c r="F26" s="106"/>
      <c r="G26" s="106"/>
      <c r="H26" s="65" t="s">
        <v>56</v>
      </c>
      <c r="I26" s="66" t="str">
        <f>'Necesidades Trimestrales'!F24</f>
        <v>UNIDAD</v>
      </c>
      <c r="J26" s="67">
        <f>'Necesidades Trimestrales'!H24</f>
        <v>850</v>
      </c>
      <c r="K26" s="68">
        <f>'Necesidades Trimestrales'!G24</f>
        <v>5</v>
      </c>
    </row>
    <row r="27" spans="1:11" ht="20.25" customHeight="1" thickBot="1" x14ac:dyDescent="0.25">
      <c r="A27" s="8">
        <v>16</v>
      </c>
      <c r="B27" s="64">
        <f>'Necesidades Trimestrales'!B25</f>
        <v>0</v>
      </c>
      <c r="C27" s="106" t="str">
        <f>'Necesidades Trimestrales'!E25</f>
        <v xml:space="preserve">Collar Philadelfia Mediano </v>
      </c>
      <c r="D27" s="106"/>
      <c r="E27" s="106"/>
      <c r="F27" s="106"/>
      <c r="G27" s="106"/>
      <c r="H27" s="65" t="s">
        <v>56</v>
      </c>
      <c r="I27" s="66" t="str">
        <f>'Necesidades Trimestrales'!F25</f>
        <v>UNIDAD</v>
      </c>
      <c r="J27" s="67">
        <f>'Necesidades Trimestrales'!H25</f>
        <v>850</v>
      </c>
      <c r="K27" s="68">
        <f>'Necesidades Trimestrales'!G25</f>
        <v>5</v>
      </c>
    </row>
    <row r="28" spans="1:11" ht="20.25" customHeight="1" thickBot="1" x14ac:dyDescent="0.25">
      <c r="A28" s="8">
        <v>17</v>
      </c>
      <c r="B28" s="64">
        <f>'Necesidades Trimestrales'!B26</f>
        <v>0</v>
      </c>
      <c r="C28" s="106" t="str">
        <f>'Necesidades Trimestrales'!E26</f>
        <v>JERINGA DE BONNEAU</v>
      </c>
      <c r="D28" s="106"/>
      <c r="E28" s="106"/>
      <c r="F28" s="106"/>
      <c r="G28" s="106"/>
      <c r="H28" s="65" t="s">
        <v>56</v>
      </c>
      <c r="I28" s="66" t="str">
        <f>'Necesidades Trimestrales'!F26</f>
        <v>UNIDAD</v>
      </c>
      <c r="J28" s="67">
        <f>'Necesidades Trimestrales'!H26</f>
        <v>275</v>
      </c>
      <c r="K28" s="68">
        <f>'Necesidades Trimestrales'!G26</f>
        <v>12</v>
      </c>
    </row>
    <row r="29" spans="1:11" ht="20.25" customHeight="1" thickBot="1" x14ac:dyDescent="0.25">
      <c r="A29" s="8">
        <v>18</v>
      </c>
      <c r="B29" s="64">
        <f>'Necesidades Trimestrales'!B27</f>
        <v>0</v>
      </c>
      <c r="C29" s="106" t="str">
        <f>'Necesidades Trimestrales'!E27</f>
        <v xml:space="preserve">JERINGA P/BOMBA INFUSION  BASE PRIMEA FRESENIUS </v>
      </c>
      <c r="D29" s="106"/>
      <c r="E29" s="106"/>
      <c r="F29" s="106"/>
      <c r="G29" s="106"/>
      <c r="H29" s="65" t="s">
        <v>56</v>
      </c>
      <c r="I29" s="66" t="str">
        <f>'Necesidades Trimestrales'!F27</f>
        <v>UNIDAD</v>
      </c>
      <c r="J29" s="67">
        <f>'Necesidades Trimestrales'!H27</f>
        <v>1284</v>
      </c>
      <c r="K29" s="68">
        <f>'Necesidades Trimestrales'!G27</f>
        <v>120</v>
      </c>
    </row>
    <row r="30" spans="1:11" ht="20.25" customHeight="1" thickBot="1" x14ac:dyDescent="0.25">
      <c r="A30" s="8">
        <v>19</v>
      </c>
      <c r="B30" s="64">
        <f>'Necesidades Trimestrales'!B28</f>
        <v>0</v>
      </c>
      <c r="C30" s="106" t="str">
        <f>'Necesidades Trimestrales'!E28</f>
        <v>PAPEL PARA ECOGRAFIA TIPO UPP 110 S SONY</v>
      </c>
      <c r="D30" s="106"/>
      <c r="E30" s="106"/>
      <c r="F30" s="106"/>
      <c r="G30" s="106"/>
      <c r="H30" s="65" t="s">
        <v>56</v>
      </c>
      <c r="I30" s="66" t="str">
        <f>'Necesidades Trimestrales'!F28</f>
        <v>ROLLO</v>
      </c>
      <c r="J30" s="67">
        <f>'Necesidades Trimestrales'!H28</f>
        <v>2120</v>
      </c>
      <c r="K30" s="68">
        <f>'Necesidades Trimestrales'!G28</f>
        <v>500</v>
      </c>
    </row>
    <row r="31" spans="1:11" ht="20.25" customHeight="1" thickBot="1" x14ac:dyDescent="0.25">
      <c r="A31" s="8">
        <v>20</v>
      </c>
      <c r="B31" s="64">
        <f>'Necesidades Trimestrales'!B29</f>
        <v>0</v>
      </c>
      <c r="C31" s="106" t="str">
        <f>'Necesidades Trimestrales'!E29</f>
        <v>PAPEL PARA ELECTROCARDIOGRAMA 50 X 30</v>
      </c>
      <c r="D31" s="106"/>
      <c r="E31" s="106"/>
      <c r="F31" s="106"/>
      <c r="G31" s="106"/>
      <c r="H31" s="65" t="s">
        <v>56</v>
      </c>
      <c r="I31" s="66" t="str">
        <f>'Necesidades Trimestrales'!F29</f>
        <v>ROLLO</v>
      </c>
      <c r="J31" s="67">
        <f>'Necesidades Trimestrales'!H29</f>
        <v>165</v>
      </c>
      <c r="K31" s="68">
        <f>'Necesidades Trimestrales'!G29</f>
        <v>800</v>
      </c>
    </row>
    <row r="32" spans="1:11" ht="20.25" customHeight="1" thickBot="1" x14ac:dyDescent="0.25">
      <c r="A32" s="8">
        <v>21</v>
      </c>
      <c r="B32" s="64">
        <f>'Necesidades Trimestrales'!B30</f>
        <v>0</v>
      </c>
      <c r="C32" s="106" t="str">
        <f>'Necesidades Trimestrales'!E30</f>
        <v>PAPEL PARA ELECTROCARDIOGRAMA 62 X 30</v>
      </c>
      <c r="D32" s="106"/>
      <c r="E32" s="106"/>
      <c r="F32" s="106"/>
      <c r="G32" s="106"/>
      <c r="H32" s="65" t="s">
        <v>56</v>
      </c>
      <c r="I32" s="66" t="str">
        <f>'Necesidades Trimestrales'!F30</f>
        <v>ROLLO</v>
      </c>
      <c r="J32" s="67">
        <f>'Necesidades Trimestrales'!H30</f>
        <v>235</v>
      </c>
      <c r="K32" s="68">
        <f>'Necesidades Trimestrales'!G30</f>
        <v>300</v>
      </c>
    </row>
    <row r="33" spans="1:1024" ht="20.25" customHeight="1" thickBot="1" x14ac:dyDescent="0.25">
      <c r="A33" s="8">
        <v>22</v>
      </c>
      <c r="B33" s="64">
        <f>'Necesidades Trimestrales'!B31</f>
        <v>0</v>
      </c>
      <c r="C33" s="106" t="str">
        <f>'Necesidades Trimestrales'!E31</f>
        <v>PLACA MAMOGRAFICA TIPO DI MI 20/25 FUJIFILM X 100 UNIDADES</v>
      </c>
      <c r="D33" s="106"/>
      <c r="E33" s="106"/>
      <c r="F33" s="106"/>
      <c r="G33" s="106"/>
      <c r="H33" s="65" t="s">
        <v>56</v>
      </c>
      <c r="I33" s="66" t="str">
        <f>'Necesidades Trimestrales'!F31</f>
        <v>CAJA</v>
      </c>
      <c r="J33" s="67">
        <f>'Necesidades Trimestrales'!H31</f>
        <v>10200</v>
      </c>
      <c r="K33" s="68">
        <f>'Necesidades Trimestrales'!G31</f>
        <v>20</v>
      </c>
    </row>
    <row r="34" spans="1:1024" ht="20.25" customHeight="1" thickBot="1" x14ac:dyDescent="0.25">
      <c r="A34" s="8">
        <v>23</v>
      </c>
      <c r="B34" s="64">
        <f>'Necesidades Trimestrales'!B32</f>
        <v>0</v>
      </c>
      <c r="C34" s="106" t="str">
        <f>'Necesidades Trimestrales'!E32</f>
        <v>PLACA MAMOGRAFICA TIPO DI MI 26/36 FUJIFILM X 100 UNIDADES</v>
      </c>
      <c r="D34" s="106"/>
      <c r="E34" s="106"/>
      <c r="F34" s="106"/>
      <c r="G34" s="106"/>
      <c r="H34" s="65" t="s">
        <v>56</v>
      </c>
      <c r="I34" s="66" t="str">
        <f>'Necesidades Trimestrales'!F32</f>
        <v>CAJA</v>
      </c>
      <c r="J34" s="67">
        <f>'Necesidades Trimestrales'!H32</f>
        <v>17300</v>
      </c>
      <c r="K34" s="68">
        <f>'Necesidades Trimestrales'!G32</f>
        <v>20</v>
      </c>
    </row>
    <row r="35" spans="1:1024" ht="20.25" customHeight="1" thickBot="1" x14ac:dyDescent="0.25">
      <c r="A35" s="8">
        <v>24</v>
      </c>
      <c r="B35" s="64">
        <f>'Necesidades Trimestrales'!B33</f>
        <v>0</v>
      </c>
      <c r="C35" s="106" t="str">
        <f>'Necesidades Trimestrales'!E33</f>
        <v>PLANCHA  AUTODHESIVA DE DOBLE CAMPO P/ELECTROBISTURI</v>
      </c>
      <c r="D35" s="106"/>
      <c r="E35" s="106"/>
      <c r="F35" s="106"/>
      <c r="G35" s="106"/>
      <c r="H35" s="65" t="s">
        <v>56</v>
      </c>
      <c r="I35" s="66" t="str">
        <f>'Necesidades Trimestrales'!F33</f>
        <v>UNIDAD</v>
      </c>
      <c r="J35" s="67">
        <f>'Necesidades Trimestrales'!H33</f>
        <v>257.39999999999998</v>
      </c>
      <c r="K35" s="68">
        <f>'Necesidades Trimestrales'!G33</f>
        <v>30</v>
      </c>
    </row>
    <row r="36" spans="1:1024" ht="20.25" customHeight="1" thickBot="1" x14ac:dyDescent="0.25">
      <c r="A36" s="8">
        <v>25</v>
      </c>
      <c r="B36" s="64">
        <f>'Necesidades Trimestrales'!B34</f>
        <v>0</v>
      </c>
      <c r="C36" s="106" t="str">
        <f>'Necesidades Trimestrales'!E34</f>
        <v>SIERRA GIGLI DE 40 CM DE LARGO</v>
      </c>
      <c r="D36" s="106"/>
      <c r="E36" s="106"/>
      <c r="F36" s="106"/>
      <c r="G36" s="106"/>
      <c r="H36" s="65" t="s">
        <v>56</v>
      </c>
      <c r="I36" s="66" t="str">
        <f>'Necesidades Trimestrales'!F34</f>
        <v>UNIDAD</v>
      </c>
      <c r="J36" s="67">
        <f>'Necesidades Trimestrales'!H34</f>
        <v>1480</v>
      </c>
      <c r="K36" s="68">
        <f>'Necesidades Trimestrales'!G34</f>
        <v>60</v>
      </c>
    </row>
    <row r="37" spans="1:1024" ht="20.25" customHeight="1" thickBot="1" x14ac:dyDescent="0.25">
      <c r="A37" s="8">
        <v>26</v>
      </c>
      <c r="B37" s="64">
        <f>'Necesidades Trimestrales'!B35</f>
        <v>0</v>
      </c>
      <c r="C37" s="106" t="str">
        <f>'Necesidades Trimestrales'!E35</f>
        <v>TIRAS REACTIVAS PARA DETERMINACION GLUCOSA X 50 UNIDADES</v>
      </c>
      <c r="D37" s="106"/>
      <c r="E37" s="106"/>
      <c r="F37" s="106"/>
      <c r="G37" s="106"/>
      <c r="H37" s="65" t="s">
        <v>104</v>
      </c>
      <c r="I37" s="66" t="str">
        <f>'Necesidades Trimestrales'!F35</f>
        <v>CAJA</v>
      </c>
      <c r="J37" s="67">
        <f>'Necesidades Trimestrales'!H35</f>
        <v>2843.5</v>
      </c>
      <c r="K37" s="68">
        <f>'Necesidades Trimestrales'!G35</f>
        <v>800</v>
      </c>
    </row>
    <row r="38" spans="1:1024" ht="20.25" customHeight="1" thickBot="1" x14ac:dyDescent="0.25">
      <c r="A38" s="8">
        <v>27</v>
      </c>
      <c r="B38" s="64">
        <f>'Necesidades Trimestrales'!B36</f>
        <v>0</v>
      </c>
      <c r="C38" s="106" t="str">
        <f>'Necesidades Trimestrales'!E36</f>
        <v>TUBO DE INTUBACION SELECTIVA IZQUIERDO CH 35</v>
      </c>
      <c r="D38" s="106"/>
      <c r="E38" s="106"/>
      <c r="F38" s="106"/>
      <c r="G38" s="106"/>
      <c r="H38" s="65" t="s">
        <v>56</v>
      </c>
      <c r="I38" s="66" t="str">
        <f>'Necesidades Trimestrales'!F36</f>
        <v>UNIDAD</v>
      </c>
      <c r="J38" s="67">
        <f>'Necesidades Trimestrales'!H36</f>
        <v>5950</v>
      </c>
      <c r="K38" s="68">
        <f>'Necesidades Trimestrales'!G36</f>
        <v>2</v>
      </c>
    </row>
    <row r="39" spans="1:1024" ht="20.25" customHeight="1" thickBot="1" x14ac:dyDescent="0.25">
      <c r="A39" s="8">
        <v>28</v>
      </c>
      <c r="B39" s="64">
        <f>'Necesidades Trimestrales'!B37</f>
        <v>0</v>
      </c>
      <c r="C39" s="106" t="str">
        <f>'Necesidades Trimestrales'!E37</f>
        <v>TUBO DE INTUBACION SELECTIVA IZQUIERDO CH 37</v>
      </c>
      <c r="D39" s="106"/>
      <c r="E39" s="106"/>
      <c r="F39" s="106"/>
      <c r="G39" s="106"/>
      <c r="H39" s="65" t="s">
        <v>56</v>
      </c>
      <c r="I39" s="66" t="str">
        <f>'Necesidades Trimestrales'!F37</f>
        <v>UNIDAD</v>
      </c>
      <c r="J39" s="67">
        <f>'Necesidades Trimestrales'!H37</f>
        <v>5950</v>
      </c>
      <c r="K39" s="68">
        <f>'Necesidades Trimestrales'!G37</f>
        <v>2</v>
      </c>
    </row>
    <row r="40" spans="1:1024" ht="20.25" customHeight="1" thickBot="1" x14ac:dyDescent="0.25">
      <c r="A40" s="8">
        <v>29</v>
      </c>
      <c r="B40" s="64">
        <f>'Necesidades Trimestrales'!B38</f>
        <v>0</v>
      </c>
      <c r="C40" s="106" t="str">
        <f>'Necesidades Trimestrales'!E38</f>
        <v>VENDA DE SMARCH X 15 CM. X 2,20 MTS</v>
      </c>
      <c r="D40" s="106"/>
      <c r="E40" s="106"/>
      <c r="F40" s="106"/>
      <c r="G40" s="106"/>
      <c r="H40" s="65" t="s">
        <v>56</v>
      </c>
      <c r="I40" s="66" t="str">
        <f>'Necesidades Trimestrales'!F38</f>
        <v>UNIDAD</v>
      </c>
      <c r="J40" s="67">
        <f>'Necesidades Trimestrales'!H38</f>
        <v>1020</v>
      </c>
      <c r="K40" s="68">
        <f>'Necesidades Trimestrales'!G38</f>
        <v>6</v>
      </c>
    </row>
    <row r="41" spans="1:1024" ht="20.25" customHeight="1" thickBot="1" x14ac:dyDescent="0.25">
      <c r="A41" s="8">
        <v>30</v>
      </c>
      <c r="B41" s="64">
        <f>'Necesidades Trimestrales'!B39</f>
        <v>0</v>
      </c>
      <c r="C41" s="106" t="str">
        <f>'Necesidades Trimestrales'!E39</f>
        <v>VENDA DE SMARCH X 20 CM X 2.20 MTS</v>
      </c>
      <c r="D41" s="106"/>
      <c r="E41" s="106"/>
      <c r="F41" s="106"/>
      <c r="G41" s="106"/>
      <c r="H41" s="65" t="s">
        <v>56</v>
      </c>
      <c r="I41" s="66" t="str">
        <f>'Necesidades Trimestrales'!F39</f>
        <v>UNIDAD</v>
      </c>
      <c r="J41" s="67">
        <f>'Necesidades Trimestrales'!H39</f>
        <v>1459</v>
      </c>
      <c r="K41" s="68">
        <f>'Necesidades Trimestrales'!G39</f>
        <v>6</v>
      </c>
    </row>
    <row r="42" spans="1:1024" ht="20.25" customHeight="1" thickBot="1" x14ac:dyDescent="0.25">
      <c r="A42" s="107" t="s">
        <v>105</v>
      </c>
      <c r="B42" s="107"/>
      <c r="C42" s="107"/>
      <c r="D42" s="107"/>
      <c r="E42" s="107"/>
      <c r="F42" s="107"/>
      <c r="G42" s="107"/>
      <c r="H42" s="107"/>
      <c r="I42" s="107"/>
      <c r="J42" s="108">
        <f>SUMPRODUCT(J12:J41,K12:K41)</f>
        <v>4683110</v>
      </c>
      <c r="K42" s="108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  <c r="AJU42"/>
      <c r="AJV42"/>
      <c r="AJW42"/>
      <c r="AJX42"/>
      <c r="AJY42"/>
      <c r="AJZ42"/>
      <c r="AKA42"/>
      <c r="AKB42"/>
      <c r="AKC42"/>
      <c r="AKD42"/>
      <c r="AKE42"/>
      <c r="AKF42"/>
      <c r="AKG42"/>
      <c r="AKH42"/>
      <c r="AKI42"/>
      <c r="AKJ42"/>
      <c r="AKK42"/>
      <c r="AKL42"/>
      <c r="AKM42"/>
      <c r="AKN42"/>
      <c r="AKO42"/>
      <c r="AKP42"/>
      <c r="AKQ42"/>
      <c r="AKR42"/>
      <c r="AKS42"/>
      <c r="AKT42"/>
      <c r="AKU42"/>
      <c r="AKV42"/>
      <c r="AKW42"/>
      <c r="AKX42"/>
      <c r="AKY42"/>
      <c r="AKZ42"/>
      <c r="ALA42"/>
      <c r="ALB42"/>
      <c r="ALC42"/>
      <c r="ALD42"/>
      <c r="ALE42"/>
      <c r="ALF42"/>
      <c r="ALG42"/>
      <c r="ALH42"/>
      <c r="ALI42"/>
      <c r="ALJ42"/>
      <c r="ALK42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  <c r="AMF42"/>
      <c r="AMG42"/>
      <c r="AMH42"/>
      <c r="AMI42"/>
      <c r="AMJ42"/>
    </row>
  </sheetData>
  <mergeCells count="52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42:I42"/>
    <mergeCell ref="J42:K42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41:G41"/>
    <mergeCell ref="C36:G36"/>
    <mergeCell ref="C37:G37"/>
    <mergeCell ref="C38:G38"/>
    <mergeCell ref="C39:G39"/>
    <mergeCell ref="C40:G40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A13" zoomScale="130" zoomScaleNormal="130" workbookViewId="0">
      <selection activeCell="Q23" sqref="Q23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42" t="s">
        <v>3</v>
      </c>
      <c r="B1" s="142"/>
      <c r="C1" s="142"/>
      <c r="D1" s="143">
        <f>'Necesidades Trimestrales'!C6</f>
        <v>2022</v>
      </c>
      <c r="E1" s="143"/>
      <c r="F1" s="10"/>
      <c r="G1" s="10"/>
      <c r="H1" s="11"/>
      <c r="I1" s="11"/>
      <c r="J1" s="11"/>
      <c r="K1" s="11"/>
      <c r="L1" s="11"/>
      <c r="M1" s="11"/>
      <c r="N1" s="11"/>
      <c r="P1" s="144" t="s">
        <v>30</v>
      </c>
      <c r="Q1" s="144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44"/>
      <c r="Q2" s="144"/>
    </row>
    <row r="4" spans="1:17" s="12" customFormat="1" ht="18" customHeight="1" thickBot="1" x14ac:dyDescent="0.25">
      <c r="A4" s="145" t="s">
        <v>31</v>
      </c>
      <c r="B4" s="145"/>
      <c r="C4" s="145"/>
      <c r="D4" s="145"/>
      <c r="E4" s="145"/>
      <c r="F4" s="145"/>
      <c r="G4" s="140" t="str">
        <f>NotaPedido!D3</f>
        <v>40 - Ministerio de Salud</v>
      </c>
      <c r="H4" s="140"/>
      <c r="I4" s="140"/>
      <c r="J4" s="140"/>
      <c r="K4" s="140"/>
      <c r="L4" s="140"/>
      <c r="M4" s="140"/>
      <c r="N4" s="140"/>
      <c r="O4" s="140"/>
      <c r="P4" s="140"/>
      <c r="Q4" s="140"/>
    </row>
    <row r="5" spans="1:17" s="12" customFormat="1" ht="18" customHeight="1" thickBot="1" x14ac:dyDescent="0.25">
      <c r="A5" s="137" t="s">
        <v>54</v>
      </c>
      <c r="B5" s="138"/>
      <c r="C5" s="138"/>
      <c r="D5" s="138"/>
      <c r="E5" s="138"/>
      <c r="F5" s="139"/>
      <c r="G5" s="140" t="str">
        <f>NotaPedido!D4</f>
        <v>23 - Hospital Interzonal San Juan Bautista</v>
      </c>
      <c r="H5" s="140"/>
      <c r="I5" s="140"/>
      <c r="J5" s="140"/>
      <c r="K5" s="140"/>
      <c r="L5" s="140"/>
      <c r="M5" s="140"/>
      <c r="N5" s="140"/>
      <c r="O5" s="140"/>
      <c r="P5" s="140"/>
      <c r="Q5" s="140"/>
    </row>
    <row r="6" spans="1:17" s="12" customFormat="1" ht="18" customHeight="1" thickBot="1" x14ac:dyDescent="0.25">
      <c r="A6" s="137" t="s">
        <v>32</v>
      </c>
      <c r="B6" s="138"/>
      <c r="C6" s="138"/>
      <c r="D6" s="138"/>
      <c r="E6" s="138"/>
      <c r="F6" s="139"/>
      <c r="G6" s="140" t="str">
        <f>NotaPedido!D5</f>
        <v>168 - Direccion Asistencial</v>
      </c>
      <c r="H6" s="140"/>
      <c r="I6" s="140"/>
      <c r="J6" s="140"/>
      <c r="K6" s="140"/>
      <c r="L6" s="140"/>
      <c r="M6" s="140"/>
      <c r="N6" s="140"/>
      <c r="O6" s="140"/>
      <c r="P6" s="140"/>
      <c r="Q6" s="140"/>
    </row>
    <row r="7" spans="1:17" s="12" customFormat="1" ht="18" customHeight="1" thickBot="1" x14ac:dyDescent="0.25">
      <c r="A7" s="137" t="s">
        <v>55</v>
      </c>
      <c r="B7" s="138"/>
      <c r="C7" s="138"/>
      <c r="D7" s="138"/>
      <c r="E7" s="138"/>
      <c r="F7" s="139"/>
      <c r="G7" s="140" t="str">
        <f>NotaPedido!D6</f>
        <v>Servicio de Farmacia</v>
      </c>
      <c r="H7" s="140"/>
      <c r="I7" s="140"/>
      <c r="J7" s="140"/>
      <c r="K7" s="140"/>
      <c r="L7" s="140"/>
      <c r="M7" s="140"/>
      <c r="N7" s="140"/>
      <c r="O7" s="140"/>
      <c r="P7" s="140"/>
      <c r="Q7" s="140"/>
    </row>
    <row r="8" spans="1:17" ht="18" customHeight="1" thickBot="1" x14ac:dyDescent="0.25">
      <c r="A8" s="141" t="s">
        <v>33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</row>
    <row r="9" spans="1:17" ht="18" customHeight="1" x14ac:dyDescent="0.2">
      <c r="A9" s="131" t="s">
        <v>34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"/>
      <c r="P9" s="1"/>
      <c r="Q9" s="13"/>
    </row>
    <row r="10" spans="1:17" ht="54.75" customHeight="1" x14ac:dyDescent="0.2">
      <c r="A10" s="132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013 - 2022,  afectando la erogación resultante a los créditos presupuestarios aprobados a favor de esta Unidad Ejecutora, conforme al siguiente detalle:</v>
      </c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33" t="s">
        <v>35</v>
      </c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</row>
    <row r="13" spans="1:17" ht="15.75" customHeight="1" x14ac:dyDescent="0.2">
      <c r="A13" s="134" t="s">
        <v>36</v>
      </c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5" t="s">
        <v>37</v>
      </c>
      <c r="P13" s="135"/>
      <c r="Q13" s="136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35"/>
      <c r="P14" s="135"/>
      <c r="Q14" s="136"/>
    </row>
    <row r="15" spans="1:17" ht="17.25" customHeight="1" x14ac:dyDescent="0.2">
      <c r="A15" s="71">
        <v>33</v>
      </c>
      <c r="B15" s="72"/>
      <c r="C15" s="72"/>
      <c r="D15" s="72">
        <v>2</v>
      </c>
      <c r="E15" s="72"/>
      <c r="F15" s="72">
        <v>4901</v>
      </c>
      <c r="G15" s="72">
        <v>3</v>
      </c>
      <c r="H15" s="73" t="s">
        <v>62</v>
      </c>
      <c r="I15" s="74">
        <v>2</v>
      </c>
      <c r="J15" s="74">
        <v>3</v>
      </c>
      <c r="K15" s="74">
        <v>4</v>
      </c>
      <c r="L15" s="72"/>
      <c r="M15" s="75">
        <v>1</v>
      </c>
      <c r="N15" s="73" t="s">
        <v>63</v>
      </c>
      <c r="O15" s="128" t="s">
        <v>117</v>
      </c>
      <c r="P15" s="128"/>
      <c r="Q15" s="23">
        <v>1262500</v>
      </c>
    </row>
    <row r="16" spans="1:17" ht="17.25" customHeight="1" x14ac:dyDescent="0.2">
      <c r="A16" s="24">
        <v>33</v>
      </c>
      <c r="B16" s="25"/>
      <c r="C16" s="25"/>
      <c r="D16" s="25">
        <v>2</v>
      </c>
      <c r="E16" s="25"/>
      <c r="F16" s="25">
        <v>4901</v>
      </c>
      <c r="G16" s="25">
        <v>3</v>
      </c>
      <c r="H16" s="69" t="s">
        <v>62</v>
      </c>
      <c r="I16" s="25">
        <v>2</v>
      </c>
      <c r="J16" s="25">
        <v>5</v>
      </c>
      <c r="K16" s="25">
        <v>9</v>
      </c>
      <c r="L16" s="25"/>
      <c r="M16" s="26">
        <v>1</v>
      </c>
      <c r="N16" s="70" t="s">
        <v>63</v>
      </c>
      <c r="O16" s="129" t="s">
        <v>115</v>
      </c>
      <c r="P16" s="129"/>
      <c r="Q16" s="28">
        <v>550000</v>
      </c>
    </row>
    <row r="17" spans="1:19" ht="17.25" customHeight="1" x14ac:dyDescent="0.2">
      <c r="A17" s="24">
        <v>33</v>
      </c>
      <c r="B17" s="25"/>
      <c r="C17" s="25"/>
      <c r="D17" s="25">
        <v>2</v>
      </c>
      <c r="E17" s="25"/>
      <c r="F17" s="27">
        <v>4901</v>
      </c>
      <c r="G17" s="25">
        <v>3</v>
      </c>
      <c r="H17" s="69" t="s">
        <v>62</v>
      </c>
      <c r="I17" s="25">
        <v>2</v>
      </c>
      <c r="J17" s="25">
        <v>9</v>
      </c>
      <c r="K17" s="25">
        <v>5</v>
      </c>
      <c r="L17" s="25"/>
      <c r="M17" s="26">
        <v>1</v>
      </c>
      <c r="N17" s="70" t="s">
        <v>63</v>
      </c>
      <c r="O17" s="129" t="s">
        <v>116</v>
      </c>
      <c r="P17" s="129"/>
      <c r="Q17" s="28">
        <v>2870610</v>
      </c>
      <c r="S17" s="76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9"/>
      <c r="I18" s="25"/>
      <c r="J18" s="25"/>
      <c r="K18" s="25"/>
      <c r="L18" s="25"/>
      <c r="M18" s="26"/>
      <c r="N18" s="70"/>
      <c r="O18" s="130"/>
      <c r="P18" s="123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3"/>
      <c r="P19" s="123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23"/>
      <c r="P20" s="123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24"/>
      <c r="P21" s="124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25"/>
      <c r="P22" s="125"/>
      <c r="Q22" s="37"/>
    </row>
    <row r="23" spans="1:19" ht="20.25" customHeight="1" x14ac:dyDescent="0.2">
      <c r="A23" s="126" t="s">
        <v>111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38">
        <f>SUM(Q15:Q22)</f>
        <v>4683110</v>
      </c>
    </row>
    <row r="24" spans="1:19" ht="18" customHeight="1" thickBot="1" x14ac:dyDescent="0.25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</row>
    <row r="25" spans="1:19" ht="17.25" customHeight="1" thickBot="1" x14ac:dyDescent="0.25">
      <c r="A25" s="118" t="s">
        <v>52</v>
      </c>
      <c r="B25" s="119"/>
      <c r="C25" s="119"/>
      <c r="D25" s="119"/>
      <c r="E25" s="119"/>
      <c r="F25" s="120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</row>
    <row r="26" spans="1:19" ht="18" customHeight="1" thickBot="1" x14ac:dyDescent="0.25">
      <c r="A26" s="122" t="str">
        <f>"Para la "&amp; NotaPedido!D8 &amp;" para ser destinados al " &amp; NotaPedido!D6 &amp;"  del HISJB del Ministerio de Salud."</f>
        <v>Para la Adquisición de Insumos Complejos  para ser destinados al Servicio de Farmacia  del HISJB del Ministerio de Salud.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</row>
    <row r="27" spans="1:19" ht="15" customHeight="1" x14ac:dyDescent="0.2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2022-02-01T15:22:52Z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