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18B9067C-55F4-4E67-81AA-6A6390ED83C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AF 011" sheetId="3" r:id="rId1"/>
    <sheet name=" NP" sheetId="1" r:id="rId2"/>
    <sheet name="APG" sheetId="2" r:id="rId3"/>
  </sheets>
  <definedNames>
    <definedName name="_xlnm.Print_Area" localSheetId="1">' NP'!$A$1:$K$19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AS15" i="3"/>
  <c r="A30" i="2" l="1"/>
  <c r="K12" i="1"/>
  <c r="K13" i="1" l="1"/>
  <c r="K14" i="1"/>
  <c r="K15" i="1"/>
  <c r="K16" i="1"/>
  <c r="J13" i="1"/>
  <c r="M13" i="1" s="1"/>
  <c r="J14" i="1"/>
  <c r="M14" i="1" s="1"/>
  <c r="J15" i="1"/>
  <c r="J16" i="1"/>
  <c r="J17" i="1"/>
  <c r="M17" i="1" s="1"/>
  <c r="J12" i="1"/>
  <c r="M12" i="1" s="1"/>
  <c r="C13" i="1"/>
  <c r="C14" i="1"/>
  <c r="C15" i="1"/>
  <c r="C16" i="1"/>
  <c r="C17" i="1"/>
  <c r="B13" i="1"/>
  <c r="B14" i="1"/>
  <c r="B15" i="1"/>
  <c r="B16" i="1"/>
  <c r="B17" i="1"/>
  <c r="AD11" i="3"/>
  <c r="AD12" i="3"/>
  <c r="AD13" i="3"/>
  <c r="AD14" i="3"/>
  <c r="AD15" i="3"/>
  <c r="AU15" i="3"/>
  <c r="AS12" i="3"/>
  <c r="AU12" i="3" s="1"/>
  <c r="AS13" i="3"/>
  <c r="AU13" i="3" s="1"/>
  <c r="AS14" i="3"/>
  <c r="AU14" i="3" s="1"/>
  <c r="AS11" i="3"/>
  <c r="AU11" i="3" s="1"/>
  <c r="AD10" i="3"/>
  <c r="C12" i="1"/>
  <c r="B12" i="1"/>
  <c r="AL17" i="3"/>
  <c r="X17" i="3"/>
  <c r="AS10" i="3"/>
  <c r="AU10" i="3" s="1"/>
  <c r="P10" i="3"/>
  <c r="P17" i="3"/>
  <c r="G5" i="2"/>
  <c r="G6" i="2"/>
  <c r="G7" i="2"/>
  <c r="G4" i="2"/>
  <c r="M16" i="1" l="1"/>
  <c r="M15" i="1"/>
  <c r="AU17" i="3"/>
  <c r="AD17" i="3"/>
  <c r="M19" i="1"/>
  <c r="J19" i="1" s="1"/>
  <c r="Q16" i="2" l="1"/>
  <c r="Q27" i="2" s="1"/>
</calcChain>
</file>

<file path=xl/sharedStrings.xml><?xml version="1.0" encoding="utf-8"?>
<sst xmlns="http://schemas.openxmlformats.org/spreadsheetml/2006/main" count="164" uniqueCount="132">
  <si>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</si>
  <si>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</si>
  <si>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</si>
  <si>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</si>
  <si>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</si>
  <si>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</si>
  <si>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</si>
  <si>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</si>
  <si>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</si>
  <si>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</si>
  <si>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</si>
  <si>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</si>
  <si>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</si>
  <si>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</si>
  <si>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</si>
  <si>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UNIDAD</t>
  </si>
  <si>
    <t>SI</t>
  </si>
  <si>
    <t>5 (CINCO) AÑOS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</si>
  <si>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</si>
  <si>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</si>
  <si>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</si>
  <si>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</si>
  <si>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</si>
  <si>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</si>
  <si>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</si>
  <si>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</si>
  <si>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</si>
  <si>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</si>
  <si>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</si>
  <si>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</si>
  <si>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</si>
  <si>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</si>
  <si>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</si>
  <si>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</si>
  <si>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</si>
  <si>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</si>
  <si>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</si>
  <si>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</si>
  <si>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</si>
  <si>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</si>
  <si>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</si>
  <si>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</si>
  <si>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31/2021</t>
  </si>
  <si>
    <t xml:space="preserve">EQUIPO SANITARIO Y DE LABORATORIO </t>
  </si>
  <si>
    <t>040 - MINISTERIO DE SALUD</t>
  </si>
  <si>
    <t>011 - DIRECCION PROVINCIAL DE ADMINISTRACION DEL MINISTERIO DE SALUD</t>
  </si>
  <si>
    <t>743 - SECRETARIA DE ASISTENCIA EN SALUD PUBLICA</t>
  </si>
  <si>
    <t>Autorizo la realización de los  trámites correspondientes, a fin de proveer a  este Organismo los bienes que se detallan en Nota de Pedido y Entrega N° 31/2021, afectando la erogación resultante a los créditos presupuestarios aprobados a favor de esta Unidad Ejecutora, conforme al siguiente detalle:</t>
  </si>
  <si>
    <t>Pedido de Necesidades Trimestrales</t>
  </si>
  <si>
    <t>JURISDICCION:</t>
  </si>
  <si>
    <t xml:space="preserve">SAF N°: </t>
  </si>
  <si>
    <t>011 - DIRECCION PROVINCIAL DE ADMINISTRACION - MINISTERIO DE SALUD</t>
  </si>
  <si>
    <t>TRIMESTRE:</t>
  </si>
  <si>
    <t xml:space="preserve">CUARTO 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</si>
  <si>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</si>
  <si>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</si>
  <si>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</si>
  <si>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</si>
  <si>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</si>
  <si>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</si>
  <si>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</si>
  <si>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</si>
  <si>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</si>
  <si>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</si>
  <si>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</si>
  <si>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</si>
  <si>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</si>
  <si>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</si>
  <si>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</si>
  <si>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</si>
  <si>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</si>
  <si>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</si>
  <si>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</si>
  <si>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</si>
  <si>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</si>
  <si>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</si>
  <si>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</si>
  <si>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</si>
  <si>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</si>
  <si>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</si>
  <si>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</si>
  <si>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</si>
  <si>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</si>
  <si>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</si>
  <si>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</si>
  <si>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</si>
  <si>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</si>
  <si>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</si>
  <si>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</si>
  <si>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</si>
  <si>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</si>
  <si>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</si>
  <si>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</si>
  <si>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</si>
  <si>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</si>
  <si>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</si>
  <si>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</si>
  <si>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</si>
  <si>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</si>
  <si>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</si>
  <si>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</si>
  <si>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</si>
  <si>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TOTAL RUBRO EQUIPOS SANITARIOS Y DE LABORATORIO</t>
  </si>
  <si>
    <t>EQUIPOS</t>
  </si>
  <si>
    <t>4.3.3</t>
  </si>
  <si>
    <t>DETALLE TECNICO Y ESPECIFICACIONES</t>
  </si>
  <si>
    <t>Plazos de entrega</t>
  </si>
  <si>
    <t>Lugar de Entrega:</t>
  </si>
  <si>
    <t>Calidad Minima esperada</t>
  </si>
  <si>
    <t>Mantenimiento</t>
  </si>
  <si>
    <t>cuarenta y cinco (45) días</t>
  </si>
  <si>
    <t>VER ANEXO I</t>
  </si>
  <si>
    <t>MINISTERIO DE SALUD - CHACABUCO N° 169 - en el horario de 8:00hs a 12:00hs de lunes a viernes</t>
  </si>
  <si>
    <t>Garantia</t>
  </si>
  <si>
    <t>un (1) año</t>
  </si>
  <si>
    <t>4.3.3-4084.13</t>
  </si>
  <si>
    <t>EQUIPOS DE RAYOS X; USO: PORTATIL, FRECUENCIA: SIN VALOR, REGULACION: AUTOMATICA, COMANDOS: CON INSTRUMENTOS CONTROLADORES, AMPLIACION DE APLIQUE: APLIQUE POTENCIA 20/40/125 KW, COMANDO: CON INSTRUMENTOS CONTROLADORES</t>
  </si>
  <si>
    <t>4.3.3-8914.1</t>
  </si>
  <si>
    <t>HEMODIALIZADORES; TIPO: AUTOMATICO, RANGO DE PRESION VENOSA: -60 A 550 mm hg, RANGO DE PRESION ARTERIAL: -300 A 250 mm hg, RANGO DE TEMPERATURA: 33 A 41 °C, RANGO DE FLUJO: 100 A 1000 mL/MIN, CONCENTRACION: 12800 A 15700 µS/CM, BOMBA DE SANGRE: 15 A 600 mL/MIN, BOMBA DE HEPARINA: 0,0005 A 0,01 L/H</t>
  </si>
  <si>
    <t>ADQUISICION DE EQUIPAMIENTO PARA HOSPITALES</t>
  </si>
  <si>
    <t>ESTIMULADOR MOTOR P/MEDICINA; TIPO: ESTIMULADOR DEL NERVIOS PERIFÉRICOS, USO: ANESTESIA.</t>
  </si>
  <si>
    <t>4.3.3-7117.12</t>
  </si>
  <si>
    <t>4.3.3-2044.7</t>
  </si>
  <si>
    <t>LARINGOSCOPIOS; TIPO:VIDEOLARINGOSCOPIO, MATERIAL: REUTILIZABLE,RAMA: 3 CURVAS, ILUMINACION: CON</t>
  </si>
  <si>
    <t>ELECTROENCEFALOGRAFOS; TIPO: PORTATIL, CANTIDAD DE CANALES: 3, SENSIBILIDAD: SIN DATOS</t>
  </si>
  <si>
    <t>4.3.3-7359.8</t>
  </si>
  <si>
    <t>4.3.3-8492.1</t>
  </si>
  <si>
    <t>SET DE VIAS AEREAS; COMPONENTES: 13</t>
  </si>
  <si>
    <t xml:space="preserve">Costo total: DIECISEIS MILLONES TREINTA Y TRES MIL NOVECIENTOS VEINTICINCO CON 00/100 </t>
  </si>
  <si>
    <t>TOTAL DE PESOS: DIECISEIS MILLONES TREINTA Y TRES MIL NOVECIENTOS VEINTICINCO CON 00/100.-</t>
  </si>
  <si>
    <t>PROD. MEDICO/FARMACEUTICOS/LAB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</si>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</sst>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€&quot;_-;\-* #,##0.00\ &quot;€&quot;_-;_-* &quot;-&quot;??\ &quot;€&quot;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&quot;$&quot;#,##0.00"/>
    <numFmt numFmtId="170" formatCode="&quot;$&quot;\ #,##0.00"/>
    <numFmt numFmtId="171" formatCode="_-[$$-2C0A]\ * #,##0.00_-;\-[$$-2C0A]\ * #,##0.00_-;_-[$$-2C0A]\ * &quot;-&quot;??_-;_-@_-"/>
  </numFmts>
  <fonts count="31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9"/>
      <name val="Arial"/>
      <family val="2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  <charset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/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indexed="64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rgb="FF3D3D3D"/>
      </top>
      <bottom/>
      <diagonal/>
    </border>
    <border>
      <left/>
      <right style="medium">
        <color indexed="64"/>
      </right>
      <top style="medium">
        <color rgb="FF3D3D3D"/>
      </top>
      <bottom/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3D3D3D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3D3D3D"/>
      </top>
      <bottom style="medium">
        <color rgb="FF3D3D3D"/>
      </bottom>
      <diagonal/>
    </border>
  </borders>
  <cellStyleXfs count="6">
    <xf numFmtId="0" fontId="0" fillId="0" borderId="0"/>
    <xf numFmtId="0" fontId="20" fillId="0" borderId="23" applyProtection="0"/>
    <xf numFmtId="164" fontId="1" fillId="0" borderId="0" applyBorder="0" applyAlignment="0" applyProtection="0"/>
    <xf numFmtId="165" fontId="2" fillId="0" borderId="0" applyBorder="0" applyProtection="0"/>
    <xf numFmtId="0" fontId="21" fillId="2" borderId="0" applyBorder="0" applyProtection="0"/>
    <xf numFmtId="0" fontId="1" fillId="0" borderId="0"/>
  </cellStyleXfs>
  <cellXfs count="205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/>
    <xf numFmtId="167" fontId="0" fillId="0" borderId="6" xfId="0" applyNumberFormat="1" applyBorder="1" applyAlignment="1">
      <alignment horizontal="left"/>
    </xf>
    <xf numFmtId="0" fontId="0" fillId="0" borderId="6" xfId="0" applyBorder="1"/>
    <xf numFmtId="167" fontId="0" fillId="0" borderId="0" xfId="0" applyNumberFormat="1" applyBorder="1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25" xfId="0" applyBorder="1"/>
    <xf numFmtId="0" fontId="0" fillId="0" borderId="26" xfId="0" applyBorder="1"/>
    <xf numFmtId="0" fontId="0" fillId="0" borderId="26" xfId="0" applyBorder="1" applyAlignment="1">
      <alignment horizontal="left"/>
    </xf>
    <xf numFmtId="0" fontId="0" fillId="0" borderId="28" xfId="0" applyBorder="1"/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horizontal="left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6" fillId="0" borderId="0" xfId="0" applyFont="1" applyBorder="1" applyAlignment="1">
      <alignment horizontal="left"/>
    </xf>
    <xf numFmtId="0" fontId="1" fillId="0" borderId="0" xfId="0" applyFont="1"/>
    <xf numFmtId="0" fontId="16" fillId="0" borderId="1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171" fontId="23" fillId="0" borderId="0" xfId="0" applyNumberFormat="1" applyFont="1" applyBorder="1" applyAlignment="1">
      <alignment vertical="center"/>
    </xf>
    <xf numFmtId="3" fontId="17" fillId="3" borderId="5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1" fontId="17" fillId="0" borderId="0" xfId="0" applyNumberFormat="1" applyFont="1" applyAlignment="1">
      <alignment horizontal="center" vertical="center"/>
    </xf>
    <xf numFmtId="170" fontId="17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71" fontId="17" fillId="0" borderId="0" xfId="2" applyNumberFormat="1" applyFont="1" applyAlignment="1">
      <alignment horizontal="center" vertical="center"/>
    </xf>
    <xf numFmtId="171" fontId="17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" fontId="24" fillId="0" borderId="0" xfId="0" applyNumberFormat="1" applyFont="1" applyAlignment="1">
      <alignment horizontal="center" vertical="center" wrapText="1"/>
    </xf>
    <xf numFmtId="170" fontId="24" fillId="0" borderId="0" xfId="0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166" fontId="24" fillId="0" borderId="0" xfId="0" applyNumberFormat="1" applyFont="1" applyAlignment="1">
      <alignment horizontal="center" vertical="center" wrapText="1"/>
    </xf>
    <xf numFmtId="0" fontId="25" fillId="0" borderId="0" xfId="0" applyFont="1" applyFill="1" applyAlignment="1">
      <alignment horizontal="left" vertical="center" wrapText="1"/>
    </xf>
    <xf numFmtId="0" fontId="25" fillId="0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5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1" fontId="25" fillId="0" borderId="5" xfId="0" applyNumberFormat="1" applyFont="1" applyBorder="1" applyAlignment="1">
      <alignment horizontal="center" vertical="center" wrapText="1"/>
    </xf>
    <xf numFmtId="170" fontId="25" fillId="0" borderId="5" xfId="0" applyNumberFormat="1" applyFont="1" applyBorder="1" applyAlignment="1">
      <alignment horizontal="center" vertical="center" wrapText="1"/>
    </xf>
    <xf numFmtId="3" fontId="25" fillId="0" borderId="5" xfId="0" applyNumberFormat="1" applyFont="1" applyBorder="1" applyAlignment="1">
      <alignment horizontal="center" vertical="center" wrapText="1"/>
    </xf>
    <xf numFmtId="166" fontId="25" fillId="0" borderId="5" xfId="0" applyNumberFormat="1" applyFont="1" applyBorder="1" applyAlignment="1">
      <alignment horizontal="center" vertical="center" wrapText="1"/>
    </xf>
    <xf numFmtId="3" fontId="25" fillId="4" borderId="5" xfId="0" applyNumberFormat="1" applyFont="1" applyFill="1" applyBorder="1" applyAlignment="1">
      <alignment horizontal="center" vertical="center" wrapText="1"/>
    </xf>
    <xf numFmtId="171" fontId="18" fillId="0" borderId="5" xfId="2" applyNumberFormat="1" applyFont="1" applyBorder="1" applyAlignment="1">
      <alignment horizontal="center" vertical="center" wrapText="1"/>
    </xf>
    <xf numFmtId="171" fontId="25" fillId="0" borderId="5" xfId="0" applyNumberFormat="1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left" vertical="center" wrapText="1"/>
    </xf>
    <xf numFmtId="171" fontId="26" fillId="0" borderId="10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0" fontId="26" fillId="0" borderId="5" xfId="0" applyFont="1" applyBorder="1"/>
    <xf numFmtId="0" fontId="26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wrapText="1"/>
    </xf>
    <xf numFmtId="171" fontId="26" fillId="0" borderId="11" xfId="0" applyNumberFormat="1" applyFont="1" applyBorder="1" applyAlignment="1">
      <alignment horizontal="center" vertical="center"/>
    </xf>
    <xf numFmtId="3" fontId="26" fillId="0" borderId="11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center" vertical="center"/>
    </xf>
    <xf numFmtId="170" fontId="28" fillId="0" borderId="13" xfId="0" applyNumberFormat="1" applyFont="1" applyBorder="1" applyAlignment="1">
      <alignment horizontal="center" vertical="center"/>
    </xf>
    <xf numFmtId="1" fontId="28" fillId="0" borderId="13" xfId="0" applyNumberFormat="1" applyFont="1" applyBorder="1" applyAlignment="1">
      <alignment horizontal="center" vertical="center"/>
    </xf>
    <xf numFmtId="3" fontId="28" fillId="0" borderId="13" xfId="0" applyNumberFormat="1" applyFont="1" applyBorder="1" applyAlignment="1">
      <alignment horizontal="center" vertical="center"/>
    </xf>
    <xf numFmtId="171" fontId="28" fillId="0" borderId="13" xfId="0" applyNumberFormat="1" applyFont="1" applyBorder="1" applyAlignment="1">
      <alignment horizontal="center" vertical="center"/>
    </xf>
    <xf numFmtId="166" fontId="28" fillId="0" borderId="13" xfId="0" applyNumberFormat="1" applyFont="1" applyBorder="1" applyAlignment="1">
      <alignment horizontal="center" vertical="center"/>
    </xf>
    <xf numFmtId="3" fontId="26" fillId="0" borderId="13" xfId="0" applyNumberFormat="1" applyFont="1" applyBorder="1" applyAlignment="1">
      <alignment horizontal="center" vertical="center"/>
    </xf>
    <xf numFmtId="171" fontId="28" fillId="0" borderId="13" xfId="2" applyNumberFormat="1" applyFont="1" applyBorder="1" applyAlignment="1">
      <alignment horizontal="center" vertical="center"/>
    </xf>
    <xf numFmtId="171" fontId="28" fillId="0" borderId="14" xfId="0" applyNumberFormat="1" applyFont="1" applyBorder="1" applyAlignment="1">
      <alignment horizontal="center" vertical="center"/>
    </xf>
    <xf numFmtId="0" fontId="26" fillId="0" borderId="15" xfId="0" applyFont="1" applyBorder="1"/>
    <xf numFmtId="0" fontId="19" fillId="0" borderId="16" xfId="5" applyFont="1" applyFill="1" applyBorder="1" applyAlignment="1">
      <alignment horizontal="center" vertical="center" wrapText="1"/>
    </xf>
    <xf numFmtId="0" fontId="19" fillId="0" borderId="2" xfId="5" applyFont="1" applyFill="1" applyBorder="1" applyAlignment="1">
      <alignment horizontal="center" vertical="center" wrapText="1"/>
    </xf>
    <xf numFmtId="0" fontId="17" fillId="0" borderId="0" xfId="5" applyFont="1" applyFill="1" applyBorder="1" applyAlignment="1">
      <alignment vertical="center"/>
    </xf>
    <xf numFmtId="0" fontId="17" fillId="0" borderId="0" xfId="5" applyFont="1" applyFill="1" applyBorder="1" applyAlignment="1">
      <alignment vertical="center" wrapText="1"/>
    </xf>
    <xf numFmtId="0" fontId="17" fillId="0" borderId="0" xfId="5" applyFont="1" applyBorder="1" applyAlignment="1">
      <alignment vertical="center"/>
    </xf>
    <xf numFmtId="0" fontId="17" fillId="0" borderId="17" xfId="5" applyFont="1" applyBorder="1" applyAlignment="1">
      <alignment vertical="center"/>
    </xf>
    <xf numFmtId="0" fontId="19" fillId="0" borderId="2" xfId="5" applyFont="1" applyBorder="1" applyAlignment="1">
      <alignment horizontal="center" vertical="center" wrapText="1"/>
    </xf>
    <xf numFmtId="0" fontId="19" fillId="0" borderId="18" xfId="5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9" xfId="0" applyBorder="1" applyAlignment="1">
      <alignment vertical="center"/>
    </xf>
    <xf numFmtId="171" fontId="1" fillId="0" borderId="4" xfId="2" applyNumberForma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 wrapText="1"/>
    </xf>
    <xf numFmtId="171" fontId="26" fillId="0" borderId="5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171" fontId="1" fillId="0" borderId="63" xfId="2" applyNumberFormat="1" applyBorder="1" applyAlignment="1">
      <alignment horizontal="center" vertical="center" wrapText="1"/>
    </xf>
    <xf numFmtId="49" fontId="1" fillId="0" borderId="64" xfId="2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64" xfId="2" applyNumberFormat="1" applyBorder="1" applyAlignment="1">
      <alignment horizontal="center" vertical="center"/>
    </xf>
    <xf numFmtId="171" fontId="1" fillId="0" borderId="5" xfId="2" applyNumberForma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169" fontId="1" fillId="0" borderId="11" xfId="2" applyNumberFormat="1" applyBorder="1" applyAlignment="1">
      <alignment horizontal="center" vertical="center" wrapText="1"/>
    </xf>
    <xf numFmtId="3" fontId="9" fillId="0" borderId="68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70" fontId="29" fillId="0" borderId="36" xfId="2" applyNumberFormat="1" applyFont="1" applyBorder="1" applyAlignment="1" applyProtection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168" fontId="29" fillId="0" borderId="41" xfId="3" applyNumberFormat="1" applyFont="1" applyBorder="1" applyAlignment="1" applyProtection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168" fontId="29" fillId="0" borderId="45" xfId="3" applyNumberFormat="1" applyFont="1" applyBorder="1" applyAlignment="1" applyProtection="1">
      <alignment horizontal="center" vertical="center"/>
    </xf>
    <xf numFmtId="170" fontId="30" fillId="0" borderId="46" xfId="2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17" fillId="0" borderId="0" xfId="5" applyFont="1" applyBorder="1" applyAlignment="1">
      <alignment horizontal="left" vertical="center"/>
    </xf>
    <xf numFmtId="0" fontId="17" fillId="0" borderId="1" xfId="5" applyFont="1" applyBorder="1" applyAlignment="1">
      <alignment horizontal="left" vertical="center"/>
    </xf>
    <xf numFmtId="0" fontId="25" fillId="0" borderId="0" xfId="0" applyFont="1" applyBorder="1" applyAlignment="1">
      <alignment horizontal="center" vertical="center" wrapText="1"/>
    </xf>
    <xf numFmtId="0" fontId="17" fillId="0" borderId="6" xfId="5" applyFont="1" applyFill="1" applyBorder="1" applyAlignment="1">
      <alignment vertical="center" wrapText="1"/>
    </xf>
    <xf numFmtId="0" fontId="17" fillId="0" borderId="20" xfId="5" applyFont="1" applyFill="1" applyBorder="1" applyAlignment="1">
      <alignment vertical="center" wrapText="1"/>
    </xf>
    <xf numFmtId="0" fontId="17" fillId="0" borderId="0" xfId="5" applyFont="1" applyFill="1" applyBorder="1" applyAlignment="1">
      <alignment vertical="center"/>
    </xf>
    <xf numFmtId="0" fontId="17" fillId="0" borderId="1" xfId="5" applyFont="1" applyFill="1" applyBorder="1" applyAlignment="1">
      <alignment vertical="center"/>
    </xf>
    <xf numFmtId="0" fontId="17" fillId="0" borderId="0" xfId="5" applyFont="1" applyFill="1" applyBorder="1" applyAlignment="1">
      <alignment vertical="center" wrapText="1"/>
    </xf>
    <xf numFmtId="0" fontId="17" fillId="0" borderId="1" xfId="5" applyFont="1" applyFill="1" applyBorder="1" applyAlignment="1">
      <alignment vertical="center" wrapText="1"/>
    </xf>
    <xf numFmtId="0" fontId="18" fillId="0" borderId="0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 indent="1"/>
    </xf>
    <xf numFmtId="166" fontId="6" fillId="0" borderId="2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8" fillId="0" borderId="65" xfId="0" applyFont="1" applyBorder="1" applyAlignment="1">
      <alignment horizontal="left" vertical="center" wrapText="1"/>
    </xf>
    <xf numFmtId="0" fontId="8" fillId="0" borderId="6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7" fillId="0" borderId="7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6" fillId="0" borderId="49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left" vertical="center"/>
    </xf>
    <xf numFmtId="0" fontId="0" fillId="0" borderId="7" xfId="0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6" fillId="0" borderId="57" xfId="0" applyFont="1" applyBorder="1" applyAlignment="1">
      <alignment vertical="center"/>
    </xf>
    <xf numFmtId="0" fontId="16" fillId="0" borderId="59" xfId="0" applyFont="1" applyBorder="1" applyAlignment="1">
      <alignment horizontal="left" vertical="center"/>
    </xf>
    <xf numFmtId="0" fontId="8" fillId="0" borderId="57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/>
    </xf>
    <xf numFmtId="0" fontId="8" fillId="0" borderId="60" xfId="0" applyFont="1" applyBorder="1" applyAlignment="1">
      <alignment horizontal="left" vertical="center"/>
    </xf>
    <xf numFmtId="0" fontId="8" fillId="0" borderId="61" xfId="0" applyFont="1" applyBorder="1" applyAlignment="1">
      <alignment horizontal="left" vertical="center"/>
    </xf>
    <xf numFmtId="0" fontId="29" fillId="0" borderId="40" xfId="0" applyFont="1" applyBorder="1" applyAlignment="1">
      <alignment horizontal="center" vertical="center"/>
    </xf>
    <xf numFmtId="0" fontId="14" fillId="0" borderId="49" xfId="0" applyFont="1" applyBorder="1" applyAlignment="1">
      <alignment horizontal="left" vertical="center"/>
    </xf>
    <xf numFmtId="0" fontId="14" fillId="0" borderId="60" xfId="0" applyFont="1" applyBorder="1" applyAlignment="1">
      <alignment horizontal="left" vertical="center"/>
    </xf>
    <xf numFmtId="0" fontId="14" fillId="0" borderId="71" xfId="0" applyFont="1" applyBorder="1" applyAlignment="1">
      <alignment horizontal="left" vertical="center"/>
    </xf>
    <xf numFmtId="0" fontId="16" fillId="0" borderId="54" xfId="0" applyFont="1" applyBorder="1" applyAlignment="1">
      <alignment horizontal="left"/>
    </xf>
    <xf numFmtId="49" fontId="16" fillId="0" borderId="22" xfId="0" applyNumberFormat="1" applyFont="1" applyBorder="1" applyAlignment="1">
      <alignment horizontal="justify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 wrapText="1"/>
    </xf>
    <xf numFmtId="0" fontId="29" fillId="0" borderId="40" xfId="0" applyFont="1" applyBorder="1" applyAlignment="1">
      <alignment vertical="center"/>
    </xf>
    <xf numFmtId="0" fontId="29" fillId="0" borderId="40" xfId="0" applyFont="1" applyBorder="1" applyAlignment="1"/>
    <xf numFmtId="0" fontId="16" fillId="0" borderId="2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30" fillId="0" borderId="53" xfId="0" applyFont="1" applyBorder="1" applyAlignment="1">
      <alignment horizontal="left" vertical="center" wrapText="1"/>
    </xf>
    <xf numFmtId="0" fontId="0" fillId="0" borderId="54" xfId="0" applyBorder="1"/>
    <xf numFmtId="0" fontId="11" fillId="0" borderId="21" xfId="0" applyFont="1" applyBorder="1" applyAlignment="1">
      <alignment vertical="center" wrapText="1"/>
    </xf>
    <xf numFmtId="0" fontId="16" fillId="0" borderId="55" xfId="0" applyFont="1" applyBorder="1" applyAlignment="1">
      <alignment vertical="center" wrapText="1"/>
    </xf>
  </cellXfs>
  <cellStyles count="6">
    <cellStyle name="Encabezado 1" xfId="1" xr:uid="{00000000-0005-0000-0000-000000000000}"/>
    <cellStyle name="Moneda" xfId="2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 2" xfId="5" xr:uid="{00000000-0005-0000-0000-000005000000}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s-AR"/>
        </a:p>
      </xdr:txBody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s-AR"/>
        </a:p>
      </xdr:txBody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s-AR"/>
        </a:p>
      </xdr:txBody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s-AR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29"/>
  <sheetViews>
    <sheetView tabSelected="1" topLeftCell="C1" zoomScale="130" zoomScaleNormal="130" workbookViewId="0">
      <selection activeCell="E12" sqref="E12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22.85546875" bestFit="1" customWidth="1"/>
    <col min="4" max="4" width="20.5703125" bestFit="1" customWidth="1"/>
    <col min="5" max="5" width="51.140625" bestFit="1" customWidth="1"/>
    <col min="6" max="6" width="10.5703125" bestFit="1" customWidth="1"/>
    <col min="7" max="7" width="17.140625" hidden="1" customWidth="1"/>
    <col min="8" max="8" width="10.85546875" hidden="1" customWidth="1"/>
    <col min="9" max="9" width="8" hidden="1" customWidth="1"/>
    <col min="10" max="10" width="14.5703125" hidden="1" customWidth="1"/>
    <col min="11" max="11" width="9.42578125" hidden="1" customWidth="1"/>
    <col min="12" max="12" width="14" hidden="1" customWidth="1"/>
    <col min="13" max="13" width="8.28515625" hidden="1" customWidth="1"/>
    <col min="14" max="14" width="14.140625" hidden="1" customWidth="1"/>
    <col min="15" max="15" width="4.5703125" hidden="1" customWidth="1"/>
    <col min="16" max="16" width="12.42578125" hidden="1" customWidth="1"/>
    <col min="17" max="17" width="14.7109375" hidden="1" customWidth="1"/>
    <col min="18" max="18" width="13.42578125" hidden="1" customWidth="1"/>
    <col min="19" max="20" width="10.5703125" hidden="1" customWidth="1"/>
    <col min="21" max="21" width="14.7109375" hidden="1" customWidth="1"/>
    <col min="22" max="22" width="12.85546875" hidden="1" customWidth="1"/>
    <col min="23" max="23" width="6" hidden="1" customWidth="1"/>
    <col min="24" max="24" width="9.85546875" hidden="1" customWidth="1"/>
    <col min="25" max="25" width="10.140625" hidden="1" customWidth="1"/>
    <col min="26" max="26" width="13.5703125" hidden="1" customWidth="1"/>
    <col min="27" max="28" width="14.42578125" hidden="1" customWidth="1"/>
    <col min="29" max="29" width="5.7109375" hidden="1" customWidth="1"/>
    <col min="30" max="30" width="15" hidden="1" customWidth="1"/>
    <col min="31" max="31" width="10.85546875" hidden="1" customWidth="1"/>
    <col min="32" max="32" width="13.5703125" hidden="1" customWidth="1"/>
    <col min="33" max="33" width="12.140625" hidden="1" customWidth="1"/>
    <col min="34" max="34" width="13" hidden="1" customWidth="1"/>
    <col min="35" max="35" width="7.42578125" hidden="1" customWidth="1"/>
    <col min="36" max="36" width="14" hidden="1" customWidth="1"/>
    <col min="37" max="37" width="4.7109375" hidden="1" customWidth="1"/>
    <col min="38" max="38" width="11.28515625" hidden="1" customWidth="1"/>
    <col min="39" max="39" width="6.5703125" hidden="1" customWidth="1"/>
    <col min="40" max="40" width="13.140625" hidden="1" customWidth="1"/>
    <col min="41" max="41" width="14.85546875" hidden="1" customWidth="1"/>
    <col min="42" max="42" width="13.5703125" hidden="1" customWidth="1"/>
    <col min="43" max="43" width="13.85546875" hidden="1" customWidth="1"/>
    <col min="44" max="44" width="12.42578125" hidden="1" customWidth="1"/>
    <col min="45" max="45" width="17.140625" bestFit="1" customWidth="1"/>
    <col min="46" max="46" width="13.85546875" customWidth="1"/>
    <col min="47" max="47" width="16.28515625" bestFit="1" customWidth="1"/>
    <col min="48" max="48" width="23.7109375" bestFit="1" customWidth="1"/>
  </cols>
  <sheetData>
    <row r="1" spans="1:48" x14ac:dyDescent="0.2">
      <c r="A1" s="43">
        <v>2021</v>
      </c>
      <c r="B1" s="44"/>
      <c r="C1" s="45"/>
      <c r="D1" s="45"/>
      <c r="E1" s="46"/>
      <c r="F1" s="45"/>
      <c r="G1" s="45"/>
      <c r="H1" s="45"/>
      <c r="I1" s="45"/>
      <c r="J1" s="45"/>
      <c r="K1" s="45"/>
      <c r="L1" s="45"/>
      <c r="M1" s="47"/>
      <c r="N1" s="48"/>
      <c r="O1" s="49"/>
      <c r="P1" s="45"/>
      <c r="Q1" s="47"/>
      <c r="R1" s="45"/>
      <c r="S1" s="49"/>
      <c r="T1" s="50"/>
      <c r="U1" s="47"/>
      <c r="V1" s="45"/>
      <c r="W1" s="49"/>
      <c r="X1" s="45"/>
      <c r="Y1" s="49"/>
      <c r="Z1" s="45"/>
      <c r="AA1" s="49"/>
      <c r="AB1" s="45"/>
      <c r="AC1" s="49"/>
      <c r="AD1" s="45"/>
      <c r="AE1" s="49"/>
      <c r="AF1" s="45"/>
      <c r="AG1" s="49"/>
      <c r="AH1" s="45"/>
      <c r="AI1" s="49"/>
      <c r="AJ1" s="45"/>
      <c r="AK1" s="49"/>
      <c r="AL1" s="45"/>
      <c r="AM1" s="49"/>
      <c r="AN1" s="45"/>
      <c r="AO1" s="49"/>
      <c r="AP1" s="45"/>
      <c r="AQ1" s="49"/>
      <c r="AR1" s="45"/>
      <c r="AS1" s="49"/>
      <c r="AT1" s="51"/>
      <c r="AU1" s="52"/>
    </row>
    <row r="2" spans="1:48" x14ac:dyDescent="0.2">
      <c r="A2" s="45"/>
      <c r="B2" s="149" t="s">
        <v>48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52"/>
    </row>
    <row r="3" spans="1:48" x14ac:dyDescent="0.2">
      <c r="A3" s="45"/>
      <c r="B3" s="44"/>
      <c r="C3" s="45"/>
      <c r="D3" s="45"/>
      <c r="E3" s="46"/>
      <c r="F3" s="45"/>
      <c r="G3" s="45"/>
      <c r="H3" s="45"/>
      <c r="I3" s="45"/>
      <c r="J3" s="45"/>
      <c r="K3" s="45"/>
      <c r="L3" s="45"/>
      <c r="M3" s="47"/>
      <c r="N3" s="48"/>
      <c r="O3" s="49"/>
      <c r="P3" s="45"/>
      <c r="Q3" s="47"/>
      <c r="R3" s="45"/>
      <c r="S3" s="49"/>
      <c r="T3" s="50"/>
      <c r="U3" s="47"/>
      <c r="V3" s="45"/>
      <c r="W3" s="49"/>
      <c r="X3" s="45"/>
      <c r="Y3" s="49"/>
      <c r="Z3" s="45"/>
      <c r="AA3" s="49"/>
      <c r="AB3" s="45"/>
      <c r="AC3" s="49"/>
      <c r="AD3" s="45"/>
      <c r="AE3" s="49"/>
      <c r="AF3" s="45"/>
      <c r="AG3" s="49"/>
      <c r="AH3" s="45"/>
      <c r="AI3" s="49"/>
      <c r="AJ3" s="45"/>
      <c r="AK3" s="49"/>
      <c r="AL3" s="45"/>
      <c r="AM3" s="49"/>
      <c r="AN3" s="45"/>
      <c r="AO3" s="49"/>
      <c r="AP3" s="45"/>
      <c r="AQ3" s="49"/>
      <c r="AR3" s="45"/>
      <c r="AS3" s="49"/>
      <c r="AT3" s="51"/>
      <c r="AU3" s="52"/>
    </row>
    <row r="4" spans="1:48" x14ac:dyDescent="0.2">
      <c r="A4" s="142" t="s">
        <v>49</v>
      </c>
      <c r="B4" s="142"/>
      <c r="C4" s="150" t="s">
        <v>44</v>
      </c>
      <c r="D4" s="150"/>
      <c r="E4" s="150"/>
      <c r="F4" s="53"/>
      <c r="G4" s="53"/>
      <c r="H4" s="53"/>
      <c r="I4" s="53"/>
      <c r="J4" s="53"/>
      <c r="K4" s="53"/>
      <c r="L4" s="53"/>
      <c r="M4" s="54"/>
      <c r="N4" s="55"/>
      <c r="O4" s="56"/>
      <c r="P4" s="53"/>
      <c r="Q4" s="54"/>
      <c r="R4" s="53"/>
      <c r="S4" s="56"/>
      <c r="T4" s="57"/>
      <c r="U4" s="54"/>
      <c r="V4" s="53"/>
      <c r="W4" s="56"/>
      <c r="X4" s="53"/>
      <c r="Y4" s="56"/>
      <c r="Z4" s="53"/>
      <c r="AA4" s="56"/>
      <c r="AB4" s="53"/>
      <c r="AC4" s="56"/>
      <c r="AD4" s="53"/>
      <c r="AE4" s="56"/>
      <c r="AF4" s="53"/>
      <c r="AG4" s="56"/>
      <c r="AH4" s="53"/>
      <c r="AI4" s="56"/>
      <c r="AJ4" s="53"/>
      <c r="AK4" s="56"/>
      <c r="AL4" s="53"/>
      <c r="AM4" s="56"/>
      <c r="AN4" s="53"/>
      <c r="AO4" s="56"/>
      <c r="AP4" s="53"/>
      <c r="AQ4" s="56"/>
      <c r="AR4" s="53"/>
      <c r="AS4" s="56"/>
      <c r="AT4" s="51"/>
      <c r="AU4" s="52"/>
    </row>
    <row r="5" spans="1:48" x14ac:dyDescent="0.2">
      <c r="A5" s="142" t="s">
        <v>50</v>
      </c>
      <c r="B5" s="142"/>
      <c r="C5" s="151" t="s">
        <v>51</v>
      </c>
      <c r="D5" s="151"/>
      <c r="E5" s="151"/>
      <c r="F5" s="53"/>
      <c r="G5" s="53"/>
      <c r="H5" s="53"/>
      <c r="I5" s="53"/>
      <c r="J5" s="53"/>
      <c r="K5" s="53"/>
      <c r="L5" s="53"/>
      <c r="M5" s="54"/>
      <c r="N5" s="55"/>
      <c r="O5" s="56"/>
      <c r="P5" s="53"/>
      <c r="Q5" s="54"/>
      <c r="R5" s="53"/>
      <c r="S5" s="56"/>
      <c r="T5" s="57"/>
      <c r="U5" s="54"/>
      <c r="V5" s="53"/>
      <c r="W5" s="56"/>
      <c r="X5" s="53"/>
      <c r="Y5" s="56"/>
      <c r="Z5" s="53"/>
      <c r="AA5" s="56"/>
      <c r="AB5" s="53"/>
      <c r="AC5" s="56"/>
      <c r="AD5" s="53"/>
      <c r="AE5" s="56"/>
      <c r="AF5" s="53"/>
      <c r="AG5" s="56"/>
      <c r="AH5" s="53"/>
      <c r="AI5" s="56"/>
      <c r="AJ5" s="53"/>
      <c r="AK5" s="56"/>
      <c r="AL5" s="53"/>
      <c r="AM5" s="56"/>
      <c r="AN5" s="53"/>
      <c r="AO5" s="56"/>
      <c r="AP5" s="53"/>
      <c r="AQ5" s="56"/>
      <c r="AR5" s="53"/>
      <c r="AS5" s="56"/>
      <c r="AT5" s="51"/>
      <c r="AU5" s="52"/>
    </row>
    <row r="6" spans="1:48" x14ac:dyDescent="0.2">
      <c r="A6" s="142" t="s">
        <v>18</v>
      </c>
      <c r="B6" s="142"/>
      <c r="C6" s="58">
        <v>2021</v>
      </c>
      <c r="D6" s="59"/>
      <c r="E6" s="58"/>
      <c r="F6" s="53"/>
      <c r="G6" s="53"/>
      <c r="H6" s="53"/>
      <c r="I6" s="53"/>
      <c r="J6" s="53"/>
      <c r="K6" s="53"/>
      <c r="L6" s="53"/>
      <c r="M6" s="54"/>
      <c r="N6" s="55"/>
      <c r="O6" s="56"/>
      <c r="P6" s="53"/>
      <c r="Q6" s="54"/>
      <c r="R6" s="53"/>
      <c r="S6" s="56"/>
      <c r="T6" s="57"/>
      <c r="U6" s="54"/>
      <c r="V6" s="53"/>
      <c r="W6" s="56"/>
      <c r="X6" s="53"/>
      <c r="Y6" s="56"/>
      <c r="Z6" s="53"/>
      <c r="AA6" s="56"/>
      <c r="AB6" s="53"/>
      <c r="AC6" s="56"/>
      <c r="AD6" s="53"/>
      <c r="AE6" s="56"/>
      <c r="AF6" s="53"/>
      <c r="AG6" s="56"/>
      <c r="AH6" s="53"/>
      <c r="AI6" s="56"/>
      <c r="AJ6" s="53"/>
      <c r="AK6" s="56"/>
      <c r="AL6" s="53"/>
      <c r="AM6" s="56"/>
      <c r="AN6" s="53"/>
      <c r="AO6" s="56"/>
      <c r="AP6" s="53"/>
      <c r="AQ6" s="56"/>
      <c r="AR6" s="53"/>
      <c r="AS6" s="56"/>
      <c r="AT6" s="51"/>
      <c r="AU6" s="52"/>
    </row>
    <row r="7" spans="1:48" x14ac:dyDescent="0.2">
      <c r="A7" s="142" t="s">
        <v>52</v>
      </c>
      <c r="B7" s="142"/>
      <c r="C7" s="58" t="s">
        <v>53</v>
      </c>
      <c r="D7" s="59"/>
      <c r="E7" s="58"/>
      <c r="F7" s="53"/>
      <c r="G7" s="53"/>
      <c r="H7" s="53"/>
      <c r="I7" s="53"/>
      <c r="J7" s="53"/>
      <c r="K7" s="53"/>
      <c r="L7" s="53"/>
      <c r="M7" s="54"/>
      <c r="N7" s="55"/>
      <c r="O7" s="56"/>
      <c r="P7" s="53"/>
      <c r="Q7" s="54"/>
      <c r="R7" s="53"/>
      <c r="S7" s="56"/>
      <c r="T7" s="57"/>
      <c r="U7" s="54"/>
      <c r="V7" s="53"/>
      <c r="W7" s="56"/>
      <c r="X7" s="53"/>
      <c r="Y7" s="56"/>
      <c r="Z7" s="53"/>
      <c r="AA7" s="56"/>
      <c r="AB7" s="53"/>
      <c r="AC7" s="56"/>
      <c r="AD7" s="53"/>
      <c r="AE7" s="56"/>
      <c r="AF7" s="53"/>
      <c r="AG7" s="56"/>
      <c r="AH7" s="53"/>
      <c r="AI7" s="56"/>
      <c r="AJ7" s="53"/>
      <c r="AK7" s="56"/>
      <c r="AL7" s="53"/>
      <c r="AM7" s="56"/>
      <c r="AN7" s="53"/>
      <c r="AO7" s="56"/>
      <c r="AP7" s="53"/>
      <c r="AQ7" s="56"/>
      <c r="AR7" s="53"/>
      <c r="AS7" s="56"/>
      <c r="AT7" s="51"/>
      <c r="AU7" s="52"/>
    </row>
    <row r="8" spans="1:48" x14ac:dyDescent="0.2">
      <c r="A8" s="45"/>
      <c r="B8" s="53"/>
      <c r="C8" s="53"/>
      <c r="D8" s="53"/>
      <c r="E8" s="60"/>
      <c r="F8" s="53"/>
      <c r="G8" s="53"/>
      <c r="H8" s="53"/>
      <c r="I8" s="53"/>
      <c r="J8" s="53"/>
      <c r="K8" s="53"/>
      <c r="L8" s="53"/>
      <c r="M8" s="54"/>
      <c r="N8" s="55"/>
      <c r="O8" s="56"/>
      <c r="P8" s="53"/>
      <c r="Q8" s="54"/>
      <c r="R8" s="53"/>
      <c r="S8" s="56"/>
      <c r="T8" s="57"/>
      <c r="U8" s="54"/>
      <c r="V8" s="53"/>
      <c r="W8" s="56"/>
      <c r="X8" s="53"/>
      <c r="Y8" s="56"/>
      <c r="Z8" s="53"/>
      <c r="AA8" s="56"/>
      <c r="AB8" s="53"/>
      <c r="AC8" s="56"/>
      <c r="AD8" s="53"/>
      <c r="AE8" s="56"/>
      <c r="AF8" s="53"/>
      <c r="AG8" s="56"/>
      <c r="AH8" s="53"/>
      <c r="AI8" s="56"/>
      <c r="AJ8" s="53"/>
      <c r="AK8" s="56"/>
      <c r="AL8" s="53"/>
      <c r="AM8" s="56"/>
      <c r="AN8" s="53"/>
      <c r="AO8" s="56"/>
      <c r="AP8" s="53"/>
      <c r="AQ8" s="56"/>
      <c r="AR8" s="53"/>
      <c r="AS8" s="56"/>
      <c r="AT8" s="51"/>
      <c r="AU8" s="52"/>
    </row>
    <row r="9" spans="1:48" ht="38.25" x14ac:dyDescent="0.2">
      <c r="A9" s="61" t="s">
        <v>54</v>
      </c>
      <c r="B9" s="61" t="s">
        <v>55</v>
      </c>
      <c r="C9" s="62" t="s">
        <v>56</v>
      </c>
      <c r="D9" s="61" t="s">
        <v>57</v>
      </c>
      <c r="E9" s="63" t="s">
        <v>58</v>
      </c>
      <c r="F9" s="62" t="s">
        <v>59</v>
      </c>
      <c r="G9" s="62" t="s">
        <v>60</v>
      </c>
      <c r="H9" s="62" t="s">
        <v>61</v>
      </c>
      <c r="I9" s="62" t="s">
        <v>62</v>
      </c>
      <c r="J9" s="62" t="s">
        <v>63</v>
      </c>
      <c r="K9" s="62" t="s">
        <v>64</v>
      </c>
      <c r="L9" s="62" t="s">
        <v>65</v>
      </c>
      <c r="M9" s="64" t="s">
        <v>66</v>
      </c>
      <c r="N9" s="65" t="s">
        <v>67</v>
      </c>
      <c r="O9" s="66" t="s">
        <v>68</v>
      </c>
      <c r="P9" s="62" t="s">
        <v>69</v>
      </c>
      <c r="Q9" s="64" t="s">
        <v>70</v>
      </c>
      <c r="R9" s="62" t="s">
        <v>71</v>
      </c>
      <c r="S9" s="66" t="s">
        <v>72</v>
      </c>
      <c r="T9" s="67" t="s">
        <v>73</v>
      </c>
      <c r="U9" s="64" t="s">
        <v>74</v>
      </c>
      <c r="V9" s="62" t="s">
        <v>75</v>
      </c>
      <c r="W9" s="66" t="s">
        <v>76</v>
      </c>
      <c r="X9" s="62" t="s">
        <v>77</v>
      </c>
      <c r="Y9" s="66" t="s">
        <v>78</v>
      </c>
      <c r="Z9" s="62" t="s">
        <v>79</v>
      </c>
      <c r="AA9" s="66" t="s">
        <v>80</v>
      </c>
      <c r="AB9" s="62" t="s">
        <v>81</v>
      </c>
      <c r="AC9" s="68" t="s">
        <v>82</v>
      </c>
      <c r="AD9" s="62" t="s">
        <v>83</v>
      </c>
      <c r="AE9" s="66" t="s">
        <v>84</v>
      </c>
      <c r="AF9" s="62" t="s">
        <v>85</v>
      </c>
      <c r="AG9" s="66" t="s">
        <v>86</v>
      </c>
      <c r="AH9" s="62" t="s">
        <v>87</v>
      </c>
      <c r="AI9" s="66" t="s">
        <v>88</v>
      </c>
      <c r="AJ9" s="62" t="s">
        <v>89</v>
      </c>
      <c r="AK9" s="66" t="s">
        <v>90</v>
      </c>
      <c r="AL9" s="62" t="s">
        <v>91</v>
      </c>
      <c r="AM9" s="68" t="s">
        <v>92</v>
      </c>
      <c r="AN9" s="62" t="s">
        <v>93</v>
      </c>
      <c r="AO9" s="66" t="s">
        <v>94</v>
      </c>
      <c r="AP9" s="62" t="s">
        <v>95</v>
      </c>
      <c r="AQ9" s="66" t="s">
        <v>96</v>
      </c>
      <c r="AR9" s="62" t="s">
        <v>97</v>
      </c>
      <c r="AS9" s="66" t="s">
        <v>98</v>
      </c>
      <c r="AT9" s="69" t="s">
        <v>99</v>
      </c>
      <c r="AU9" s="70" t="s">
        <v>100</v>
      </c>
      <c r="AV9" s="71" t="s">
        <v>101</v>
      </c>
    </row>
    <row r="10" spans="1:48" ht="63.75" x14ac:dyDescent="0.2">
      <c r="A10" s="72">
        <v>1</v>
      </c>
      <c r="B10" s="72" t="s">
        <v>115</v>
      </c>
      <c r="C10" s="72" t="s">
        <v>103</v>
      </c>
      <c r="D10" s="72" t="s">
        <v>104</v>
      </c>
      <c r="E10" s="73" t="s">
        <v>116</v>
      </c>
      <c r="F10" s="72" t="s">
        <v>15</v>
      </c>
      <c r="G10" s="72"/>
      <c r="H10" s="72"/>
      <c r="I10" s="72"/>
      <c r="J10" s="72"/>
      <c r="K10" s="72"/>
      <c r="L10" s="72"/>
      <c r="M10" s="72"/>
      <c r="N10" s="72"/>
      <c r="O10" s="72"/>
      <c r="P10" s="74">
        <f>+O10*AT10</f>
        <v>0</v>
      </c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>
        <v>1</v>
      </c>
      <c r="AD10" s="74">
        <f t="shared" ref="AD10:AD15" si="0">+AC10*AT10</f>
        <v>2580800</v>
      </c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5">
        <f t="shared" ref="AS10:AS15" si="1">+G10+I10+K10+M10+O10+Q10+S10+U10+W10+Y10++AA10+AC10+AE10+AG10+AI10+AK10+AM10+AO10+AQ10</f>
        <v>1</v>
      </c>
      <c r="AT10" s="74">
        <v>2580800</v>
      </c>
      <c r="AU10" s="74">
        <f t="shared" ref="AU10:AU15" si="2">+AS10*AT10</f>
        <v>2580800</v>
      </c>
      <c r="AV10" s="76"/>
    </row>
    <row r="11" spans="1:48" ht="76.5" x14ac:dyDescent="0.2">
      <c r="A11" s="106">
        <v>2</v>
      </c>
      <c r="B11" s="106" t="s">
        <v>117</v>
      </c>
      <c r="C11" s="106" t="s">
        <v>103</v>
      </c>
      <c r="D11" s="106" t="s">
        <v>104</v>
      </c>
      <c r="E11" s="107" t="s">
        <v>118</v>
      </c>
      <c r="F11" s="106" t="s">
        <v>15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8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>
        <v>4</v>
      </c>
      <c r="AD11" s="74">
        <f t="shared" si="0"/>
        <v>8536125</v>
      </c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75">
        <f t="shared" si="1"/>
        <v>4</v>
      </c>
      <c r="AT11" s="108">
        <v>2134031.25</v>
      </c>
      <c r="AU11" s="74">
        <f t="shared" si="2"/>
        <v>8536125</v>
      </c>
      <c r="AV11" s="76"/>
    </row>
    <row r="12" spans="1:48" ht="38.25" x14ac:dyDescent="0.2">
      <c r="A12" s="106">
        <v>3</v>
      </c>
      <c r="B12" s="139" t="s">
        <v>121</v>
      </c>
      <c r="C12" s="139" t="s">
        <v>130</v>
      </c>
      <c r="D12" s="106" t="s">
        <v>104</v>
      </c>
      <c r="E12" s="107" t="s">
        <v>124</v>
      </c>
      <c r="F12" s="106" t="s">
        <v>15</v>
      </c>
      <c r="G12" s="106"/>
      <c r="H12" s="106"/>
      <c r="I12" s="106"/>
      <c r="J12" s="106"/>
      <c r="K12" s="106"/>
      <c r="L12" s="106"/>
      <c r="M12" s="106"/>
      <c r="N12" s="106"/>
      <c r="O12" s="106"/>
      <c r="P12" s="108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>
        <v>3</v>
      </c>
      <c r="AD12" s="74">
        <f t="shared" si="0"/>
        <v>2382000</v>
      </c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75">
        <f t="shared" si="1"/>
        <v>3</v>
      </c>
      <c r="AT12" s="108">
        <v>794000</v>
      </c>
      <c r="AU12" s="74">
        <f t="shared" si="2"/>
        <v>2382000</v>
      </c>
      <c r="AV12" s="76"/>
    </row>
    <row r="13" spans="1:48" ht="25.5" x14ac:dyDescent="0.2">
      <c r="A13" s="106">
        <v>4</v>
      </c>
      <c r="B13" s="106" t="s">
        <v>125</v>
      </c>
      <c r="C13" s="106" t="s">
        <v>103</v>
      </c>
      <c r="D13" s="106" t="s">
        <v>104</v>
      </c>
      <c r="E13" s="107" t="s">
        <v>120</v>
      </c>
      <c r="F13" s="106" t="s">
        <v>15</v>
      </c>
      <c r="G13" s="106"/>
      <c r="H13" s="106"/>
      <c r="I13" s="106"/>
      <c r="J13" s="106"/>
      <c r="K13" s="106"/>
      <c r="L13" s="106"/>
      <c r="M13" s="106"/>
      <c r="N13" s="106"/>
      <c r="O13" s="106"/>
      <c r="P13" s="108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>
        <v>3</v>
      </c>
      <c r="AD13" s="74">
        <f t="shared" si="0"/>
        <v>387000</v>
      </c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75">
        <f t="shared" si="1"/>
        <v>3</v>
      </c>
      <c r="AT13" s="108">
        <v>129000</v>
      </c>
      <c r="AU13" s="74">
        <f t="shared" si="2"/>
        <v>387000</v>
      </c>
      <c r="AV13" s="76"/>
    </row>
    <row r="14" spans="1:48" ht="38.25" x14ac:dyDescent="0.2">
      <c r="A14" s="106">
        <v>5</v>
      </c>
      <c r="B14" s="106" t="s">
        <v>122</v>
      </c>
      <c r="C14" s="139" t="s">
        <v>130</v>
      </c>
      <c r="D14" s="106" t="s">
        <v>104</v>
      </c>
      <c r="E14" s="107" t="s">
        <v>123</v>
      </c>
      <c r="F14" s="106" t="s">
        <v>15</v>
      </c>
      <c r="G14" s="106"/>
      <c r="H14" s="106"/>
      <c r="I14" s="106"/>
      <c r="J14" s="106"/>
      <c r="K14" s="106"/>
      <c r="L14" s="106"/>
      <c r="M14" s="106"/>
      <c r="N14" s="106"/>
      <c r="O14" s="106"/>
      <c r="P14" s="108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>
        <v>3</v>
      </c>
      <c r="AD14" s="74">
        <f t="shared" si="0"/>
        <v>1446000</v>
      </c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75">
        <f t="shared" si="1"/>
        <v>3</v>
      </c>
      <c r="AT14" s="108">
        <v>482000</v>
      </c>
      <c r="AU14" s="74">
        <f t="shared" si="2"/>
        <v>1446000</v>
      </c>
      <c r="AV14" s="76"/>
    </row>
    <row r="15" spans="1:48" x14ac:dyDescent="0.2">
      <c r="A15" s="106">
        <v>6</v>
      </c>
      <c r="B15" s="106" t="s">
        <v>126</v>
      </c>
      <c r="C15" s="106" t="s">
        <v>103</v>
      </c>
      <c r="D15" s="106" t="s">
        <v>104</v>
      </c>
      <c r="E15" s="107" t="s">
        <v>127</v>
      </c>
      <c r="F15" s="106" t="s">
        <v>15</v>
      </c>
      <c r="G15" s="106"/>
      <c r="H15" s="106"/>
      <c r="I15" s="106"/>
      <c r="J15" s="106"/>
      <c r="K15" s="106"/>
      <c r="L15" s="106"/>
      <c r="M15" s="106"/>
      <c r="N15" s="106"/>
      <c r="O15" s="106"/>
      <c r="P15" s="108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>
        <v>3</v>
      </c>
      <c r="AD15" s="74">
        <f t="shared" si="0"/>
        <v>702000</v>
      </c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75">
        <f t="shared" si="1"/>
        <v>3</v>
      </c>
      <c r="AT15" s="108">
        <v>234000</v>
      </c>
      <c r="AU15" s="74">
        <f t="shared" si="2"/>
        <v>702000</v>
      </c>
      <c r="AV15" s="76"/>
    </row>
    <row r="16" spans="1:48" ht="13.5" thickBot="1" x14ac:dyDescent="0.25">
      <c r="A16" s="77"/>
      <c r="B16" s="77"/>
      <c r="C16" s="77"/>
      <c r="D16" s="77"/>
      <c r="E16" s="78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9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9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80"/>
      <c r="AT16" s="79"/>
      <c r="AU16" s="79"/>
      <c r="AV16" s="76"/>
    </row>
    <row r="17" spans="1:48" ht="13.5" thickBot="1" x14ac:dyDescent="0.25">
      <c r="A17" s="81"/>
      <c r="B17" s="82"/>
      <c r="C17" s="83"/>
      <c r="D17" s="83"/>
      <c r="E17" s="84" t="s">
        <v>102</v>
      </c>
      <c r="F17" s="85"/>
      <c r="G17" s="85"/>
      <c r="H17" s="85"/>
      <c r="I17" s="85"/>
      <c r="J17" s="85"/>
      <c r="K17" s="85"/>
      <c r="L17" s="86"/>
      <c r="M17" s="87"/>
      <c r="N17" s="86"/>
      <c r="O17" s="88"/>
      <c r="P17" s="89">
        <f>SUM(P10:P16)</f>
        <v>0</v>
      </c>
      <c r="Q17" s="87"/>
      <c r="R17" s="85"/>
      <c r="S17" s="88"/>
      <c r="T17" s="90"/>
      <c r="U17" s="87"/>
      <c r="V17" s="86"/>
      <c r="W17" s="88"/>
      <c r="X17" s="85">
        <f>SUM(X10:X16)</f>
        <v>0</v>
      </c>
      <c r="Y17" s="88"/>
      <c r="Z17" s="85"/>
      <c r="AA17" s="88"/>
      <c r="AB17" s="85"/>
      <c r="AC17" s="88"/>
      <c r="AD17" s="89">
        <f>SUM(AD10:AD16)</f>
        <v>16033925</v>
      </c>
      <c r="AE17" s="88"/>
      <c r="AF17" s="85"/>
      <c r="AG17" s="88"/>
      <c r="AH17" s="85"/>
      <c r="AI17" s="88"/>
      <c r="AJ17" s="85"/>
      <c r="AK17" s="88"/>
      <c r="AL17" s="86">
        <f>SUM(AL10:AL16)</f>
        <v>0</v>
      </c>
      <c r="AM17" s="88"/>
      <c r="AN17" s="85"/>
      <c r="AO17" s="88"/>
      <c r="AP17" s="85"/>
      <c r="AQ17" s="88"/>
      <c r="AR17" s="85"/>
      <c r="AS17" s="91"/>
      <c r="AT17" s="92"/>
      <c r="AU17" s="93">
        <f>SUM(AU10:AU16)</f>
        <v>16033925</v>
      </c>
      <c r="AV17" s="94"/>
    </row>
    <row r="18" spans="1:48" ht="13.5" thickBot="1" x14ac:dyDescent="0.25"/>
    <row r="19" spans="1:48" ht="54.75" customHeight="1" x14ac:dyDescent="0.2">
      <c r="C19" s="95" t="s">
        <v>105</v>
      </c>
      <c r="D19" s="143" t="s">
        <v>111</v>
      </c>
      <c r="E19" s="144"/>
    </row>
    <row r="20" spans="1:48" ht="15" x14ac:dyDescent="0.2">
      <c r="C20" s="96"/>
      <c r="D20" s="98"/>
      <c r="E20" s="103"/>
    </row>
    <row r="21" spans="1:48" ht="15" x14ac:dyDescent="0.2">
      <c r="C21" s="96" t="s">
        <v>106</v>
      </c>
      <c r="D21" s="145" t="s">
        <v>131</v>
      </c>
      <c r="E21" s="146"/>
    </row>
    <row r="22" spans="1:48" ht="15" x14ac:dyDescent="0.2">
      <c r="C22" s="96"/>
      <c r="D22" s="97"/>
      <c r="E22" s="103"/>
    </row>
    <row r="23" spans="1:48" ht="32.25" customHeight="1" x14ac:dyDescent="0.2">
      <c r="C23" s="96" t="s">
        <v>107</v>
      </c>
      <c r="D23" s="147" t="s">
        <v>112</v>
      </c>
      <c r="E23" s="148"/>
    </row>
    <row r="24" spans="1:48" ht="15" x14ac:dyDescent="0.2">
      <c r="C24" s="96"/>
      <c r="D24" s="97"/>
      <c r="E24" s="103"/>
    </row>
    <row r="25" spans="1:48" ht="15" x14ac:dyDescent="0.2">
      <c r="C25" s="101" t="s">
        <v>108</v>
      </c>
      <c r="D25" s="140"/>
      <c r="E25" s="141"/>
    </row>
    <row r="26" spans="1:48" ht="15" x14ac:dyDescent="0.2">
      <c r="C26" s="101"/>
      <c r="D26" s="99"/>
      <c r="E26" s="103"/>
    </row>
    <row r="27" spans="1:48" ht="15" x14ac:dyDescent="0.2">
      <c r="C27" s="101" t="s">
        <v>113</v>
      </c>
      <c r="D27" s="140" t="s">
        <v>114</v>
      </c>
      <c r="E27" s="141"/>
    </row>
    <row r="28" spans="1:48" ht="15" x14ac:dyDescent="0.2">
      <c r="C28" s="101"/>
      <c r="D28" s="99"/>
      <c r="E28" s="103"/>
    </row>
    <row r="29" spans="1:48" ht="15.75" thickBot="1" x14ac:dyDescent="0.25">
      <c r="C29" s="102" t="s">
        <v>109</v>
      </c>
      <c r="D29" s="100" t="s">
        <v>110</v>
      </c>
      <c r="E29" s="104"/>
    </row>
  </sheetData>
  <mergeCells count="12">
    <mergeCell ref="B2:AT2"/>
    <mergeCell ref="A4:B4"/>
    <mergeCell ref="C4:E4"/>
    <mergeCell ref="A5:B5"/>
    <mergeCell ref="C5:E5"/>
    <mergeCell ref="D27:E27"/>
    <mergeCell ref="D25:E25"/>
    <mergeCell ref="A6:B6"/>
    <mergeCell ref="A7:B7"/>
    <mergeCell ref="D19:E19"/>
    <mergeCell ref="D21:E21"/>
    <mergeCell ref="D23:E23"/>
  </mergeCells>
  <conditionalFormatting sqref="B17">
    <cfRule type="duplicateValues" dxfId="16" priority="5"/>
  </conditionalFormatting>
  <conditionalFormatting sqref="E17">
    <cfRule type="duplicateValues" dxfId="15" priority="6"/>
  </conditionalFormatting>
  <conditionalFormatting sqref="E17">
    <cfRule type="duplicateValues" dxfId="14" priority="7"/>
    <cfRule type="duplicateValues" dxfId="13" priority="8"/>
  </conditionalFormatting>
  <conditionalFormatting sqref="E17 B17">
    <cfRule type="duplicateValues" dxfId="12" priority="9"/>
  </conditionalFormatting>
  <conditionalFormatting sqref="E17">
    <cfRule type="duplicateValues" dxfId="11" priority="10"/>
  </conditionalFormatting>
  <conditionalFormatting sqref="E17">
    <cfRule type="duplicateValues" dxfId="10" priority="11"/>
  </conditionalFormatting>
  <conditionalFormatting sqref="B1:B9 E1:E9">
    <cfRule type="duplicateValues" dxfId="9" priority="12"/>
  </conditionalFormatting>
  <conditionalFormatting sqref="E1:E9 B1:B9">
    <cfRule type="duplicateValues" dxfId="8" priority="13"/>
  </conditionalFormatting>
  <conditionalFormatting sqref="B1:B9">
    <cfRule type="duplicateValues" dxfId="7" priority="14"/>
  </conditionalFormatting>
  <conditionalFormatting sqref="E1:E9">
    <cfRule type="duplicateValues" dxfId="6" priority="15"/>
  </conditionalFormatting>
  <conditionalFormatting sqref="E1:E9">
    <cfRule type="duplicateValues" dxfId="5" priority="16"/>
    <cfRule type="duplicateValues" dxfId="4" priority="17"/>
  </conditionalFormatting>
  <conditionalFormatting sqref="C21:C29">
    <cfRule type="duplicateValues" dxfId="3" priority="1"/>
  </conditionalFormatting>
  <conditionalFormatting sqref="C21:C29">
    <cfRule type="duplicateValues" dxfId="2" priority="2"/>
  </conditionalFormatting>
  <conditionalFormatting sqref="C21:C29">
    <cfRule type="duplicateValues" dxfId="1" priority="3"/>
  </conditionalFormatting>
  <conditionalFormatting sqref="C21:C29">
    <cfRule type="duplicateValues" dxfId="0" priority="4"/>
  </conditionalFormatting>
  <pageMargins left="0.23622047244094491" right="0.23622047244094491" top="0.35433070866141736" bottom="0.35433070866141736" header="0.31496062992125984" footer="0.31496062992125984"/>
  <pageSetup paperSize="5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opLeftCell="A4" zoomScale="115" zoomScaleNormal="115" workbookViewId="0">
      <selection activeCell="C13" sqref="C13:G13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5.85546875" style="1" customWidth="1"/>
    <col min="13" max="13" width="15.42578125" style="42" bestFit="1" customWidth="1"/>
    <col min="14" max="14" width="5.85546875" style="1" customWidth="1"/>
    <col min="15" max="15" width="12.5703125" style="1" customWidth="1"/>
    <col min="16" max="16384" width="9.140625" style="1"/>
  </cols>
  <sheetData>
    <row r="1" spans="1:13" ht="27" customHeight="1" x14ac:dyDescent="0.2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2" t="s">
        <v>1</v>
      </c>
      <c r="K1" s="16" t="s">
        <v>42</v>
      </c>
    </row>
    <row r="2" spans="1:13" ht="18.75" customHeight="1" thickBot="1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3" ht="18.75" customHeight="1" thickBot="1" x14ac:dyDescent="0.25">
      <c r="A3" s="164" t="s">
        <v>2</v>
      </c>
      <c r="B3" s="164"/>
      <c r="C3" s="164"/>
      <c r="D3" s="38" t="s">
        <v>44</v>
      </c>
      <c r="E3" s="39"/>
      <c r="F3" s="39"/>
      <c r="G3" s="39"/>
      <c r="H3" s="39"/>
      <c r="I3" s="39"/>
      <c r="J3" s="39"/>
      <c r="K3" s="40"/>
    </row>
    <row r="4" spans="1:13" ht="18.75" customHeight="1" thickBot="1" x14ac:dyDescent="0.25">
      <c r="A4" s="165" t="s">
        <v>3</v>
      </c>
      <c r="B4" s="165"/>
      <c r="C4" s="165"/>
      <c r="D4" s="38" t="s">
        <v>45</v>
      </c>
      <c r="E4" s="39"/>
      <c r="F4" s="39"/>
      <c r="G4" s="39"/>
      <c r="H4" s="39"/>
      <c r="I4" s="39"/>
      <c r="J4" s="39"/>
      <c r="K4" s="40"/>
    </row>
    <row r="5" spans="1:13" ht="18.75" customHeight="1" thickBot="1" x14ac:dyDescent="0.25">
      <c r="A5" s="165" t="s">
        <v>4</v>
      </c>
      <c r="B5" s="165"/>
      <c r="C5" s="165"/>
      <c r="D5" s="38" t="s">
        <v>46</v>
      </c>
      <c r="E5" s="39"/>
      <c r="F5" s="39"/>
      <c r="G5" s="39"/>
      <c r="H5" s="39"/>
      <c r="I5" s="39"/>
      <c r="J5" s="39"/>
      <c r="K5" s="40"/>
    </row>
    <row r="6" spans="1:13" ht="16.5" customHeight="1" thickBot="1" x14ac:dyDescent="0.25">
      <c r="A6" s="164" t="s">
        <v>5</v>
      </c>
      <c r="B6" s="164"/>
      <c r="C6" s="164"/>
      <c r="D6" s="38" t="s">
        <v>46</v>
      </c>
      <c r="E6" s="39"/>
      <c r="F6" s="39"/>
      <c r="G6" s="39"/>
      <c r="H6" s="39"/>
      <c r="I6" s="39"/>
      <c r="J6" s="39"/>
      <c r="K6" s="40"/>
    </row>
    <row r="7" spans="1:13" ht="16.5" customHeight="1" thickBot="1" x14ac:dyDescent="0.25">
      <c r="A7" s="165" t="s">
        <v>6</v>
      </c>
      <c r="B7" s="165"/>
      <c r="C7" s="165"/>
      <c r="D7" s="38" t="s">
        <v>17</v>
      </c>
      <c r="E7" s="39"/>
      <c r="F7" s="39"/>
      <c r="G7" s="39"/>
      <c r="H7" s="39"/>
      <c r="I7" s="39"/>
      <c r="J7" s="39"/>
      <c r="K7" s="40"/>
    </row>
    <row r="8" spans="1:13" ht="16.5" customHeight="1" thickBot="1" x14ac:dyDescent="0.25">
      <c r="A8" s="167" t="s">
        <v>7</v>
      </c>
      <c r="B8" s="167"/>
      <c r="C8" s="167"/>
      <c r="D8" s="41" t="s">
        <v>119</v>
      </c>
      <c r="E8" s="39"/>
      <c r="F8" s="39"/>
      <c r="G8" s="39"/>
      <c r="H8" s="39"/>
      <c r="I8" s="39"/>
      <c r="J8" s="39"/>
      <c r="K8" s="40"/>
    </row>
    <row r="9" spans="1:13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3" ht="18.75" customHeight="1" thickBot="1" x14ac:dyDescent="0.25">
      <c r="A10" s="160" t="s">
        <v>8</v>
      </c>
      <c r="B10" s="166" t="s">
        <v>9</v>
      </c>
      <c r="C10" s="166" t="s">
        <v>10</v>
      </c>
      <c r="D10" s="166"/>
      <c r="E10" s="166"/>
      <c r="F10" s="166"/>
      <c r="G10" s="166"/>
      <c r="H10" s="166" t="s">
        <v>11</v>
      </c>
      <c r="I10" s="166" t="s">
        <v>12</v>
      </c>
      <c r="J10" s="161" t="s">
        <v>13</v>
      </c>
      <c r="K10" s="158" t="s">
        <v>14</v>
      </c>
    </row>
    <row r="11" spans="1:13" ht="24" customHeight="1" thickBot="1" x14ac:dyDescent="0.25">
      <c r="A11" s="160"/>
      <c r="B11" s="166"/>
      <c r="C11" s="166"/>
      <c r="D11" s="166"/>
      <c r="E11" s="166"/>
      <c r="F11" s="166"/>
      <c r="G11" s="166"/>
      <c r="H11" s="166"/>
      <c r="I11" s="166"/>
      <c r="J11" s="161"/>
      <c r="K11" s="159"/>
    </row>
    <row r="12" spans="1:13" ht="71.25" customHeight="1" x14ac:dyDescent="0.2">
      <c r="A12" s="11">
        <v>1</v>
      </c>
      <c r="B12" s="114" t="str">
        <f>'SAF 011'!B10</f>
        <v>4.3.3-4084.13</v>
      </c>
      <c r="C12" s="162" t="str">
        <f>'SAF 011'!E10</f>
        <v>EQUIPOS DE RAYOS X; USO: PORTATIL, FRECUENCIA: SIN VALOR, REGULACION: AUTOMATICA, COMANDOS: CON INSTRUMENTOS CONTROLADORES, AMPLIACION DE APLIQUE: APLIQUE POTENCIA 20/40/125 KW, COMANDO: CON INSTRUMENTOS CONTROLADORES</v>
      </c>
      <c r="D12" s="162"/>
      <c r="E12" s="162"/>
      <c r="F12" s="162"/>
      <c r="G12" s="162"/>
      <c r="H12" s="12" t="s">
        <v>16</v>
      </c>
      <c r="I12" s="13" t="s">
        <v>15</v>
      </c>
      <c r="J12" s="105">
        <f>'SAF 011'!AT10</f>
        <v>2580800</v>
      </c>
      <c r="K12" s="117">
        <f>+'SAF 011'!AC10</f>
        <v>1</v>
      </c>
      <c r="M12" s="42">
        <f>+J12*K12</f>
        <v>2580800</v>
      </c>
    </row>
    <row r="13" spans="1:13" ht="71.25" customHeight="1" x14ac:dyDescent="0.2">
      <c r="A13" s="109">
        <v>2</v>
      </c>
      <c r="B13" s="115" t="str">
        <f>'SAF 011'!B11</f>
        <v>4.3.3-8914.1</v>
      </c>
      <c r="C13" s="155" t="str">
        <f>'SAF 011'!E11</f>
        <v>HEMODIALIZADORES; TIPO: AUTOMATICO, RANGO DE PRESION VENOSA: -60 A 550 mm hg, RANGO DE PRESION ARTERIAL: -300 A 250 mm hg, RANGO DE TEMPERATURA: 33 A 41 °C, RANGO DE FLUJO: 100 A 1000 mL/MIN, CONCENTRACION: 12800 A 15700 µS/CM, BOMBA DE SANGRE: 15 A 600 mL/MIN, BOMBA DE HEPARINA: 0,0005 A 0,01 L/H</v>
      </c>
      <c r="D13" s="156"/>
      <c r="E13" s="156"/>
      <c r="F13" s="156"/>
      <c r="G13" s="157"/>
      <c r="H13" s="110" t="s">
        <v>16</v>
      </c>
      <c r="I13" s="111" t="s">
        <v>15</v>
      </c>
      <c r="J13" s="112">
        <f>'SAF 011'!AT11</f>
        <v>2134031.25</v>
      </c>
      <c r="K13" s="117">
        <f>+'SAF 011'!AC11</f>
        <v>4</v>
      </c>
      <c r="M13" s="42">
        <f t="shared" ref="M13:M17" si="0">+J13*K13</f>
        <v>8536125</v>
      </c>
    </row>
    <row r="14" spans="1:13" ht="42.75" customHeight="1" x14ac:dyDescent="0.2">
      <c r="A14" s="109">
        <v>3</v>
      </c>
      <c r="B14" s="115" t="str">
        <f>'SAF 011'!B12</f>
        <v>4.3.3-7117.12</v>
      </c>
      <c r="C14" s="155" t="str">
        <f>'SAF 011'!E12</f>
        <v>ELECTROENCEFALOGRAFOS; TIPO: PORTATIL, CANTIDAD DE CANALES: 3, SENSIBILIDAD: SIN DATOS</v>
      </c>
      <c r="D14" s="156"/>
      <c r="E14" s="156"/>
      <c r="F14" s="156"/>
      <c r="G14" s="157"/>
      <c r="H14" s="110" t="s">
        <v>16</v>
      </c>
      <c r="I14" s="111" t="s">
        <v>15</v>
      </c>
      <c r="J14" s="112">
        <f>'SAF 011'!AT12</f>
        <v>794000</v>
      </c>
      <c r="K14" s="113">
        <f>+'SAF 011'!AC12</f>
        <v>3</v>
      </c>
      <c r="M14" s="42">
        <f t="shared" si="0"/>
        <v>2382000</v>
      </c>
    </row>
    <row r="15" spans="1:13" ht="36.75" customHeight="1" x14ac:dyDescent="0.2">
      <c r="A15" s="109">
        <v>4</v>
      </c>
      <c r="B15" s="115" t="str">
        <f>'SAF 011'!B13</f>
        <v>4.3.3-7359.8</v>
      </c>
      <c r="C15" s="155" t="str">
        <f>'SAF 011'!E13</f>
        <v>ESTIMULADOR MOTOR P/MEDICINA; TIPO: ESTIMULADOR DEL NERVIOS PERIFÉRICOS, USO: ANESTESIA.</v>
      </c>
      <c r="D15" s="156"/>
      <c r="E15" s="156"/>
      <c r="F15" s="156"/>
      <c r="G15" s="157"/>
      <c r="H15" s="110" t="s">
        <v>16</v>
      </c>
      <c r="I15" s="111" t="s">
        <v>15</v>
      </c>
      <c r="J15" s="112">
        <f>'SAF 011'!AT13</f>
        <v>129000</v>
      </c>
      <c r="K15" s="113">
        <f>+'SAF 011'!AC13</f>
        <v>3</v>
      </c>
      <c r="M15" s="42">
        <f t="shared" si="0"/>
        <v>387000</v>
      </c>
    </row>
    <row r="16" spans="1:13" ht="33" customHeight="1" x14ac:dyDescent="0.2">
      <c r="A16" s="109">
        <v>5</v>
      </c>
      <c r="B16" s="115" t="str">
        <f>'SAF 011'!B14</f>
        <v>4.3.3-2044.7</v>
      </c>
      <c r="C16" s="155" t="str">
        <f>'SAF 011'!E14</f>
        <v>LARINGOSCOPIOS; TIPO:VIDEOLARINGOSCOPIO, MATERIAL: REUTILIZABLE,RAMA: 3 CURVAS, ILUMINACION: CON</v>
      </c>
      <c r="D16" s="156"/>
      <c r="E16" s="156"/>
      <c r="F16" s="156"/>
      <c r="G16" s="157"/>
      <c r="H16" s="110" t="s">
        <v>16</v>
      </c>
      <c r="I16" s="111" t="s">
        <v>15</v>
      </c>
      <c r="J16" s="112">
        <f>'SAF 011'!AT14</f>
        <v>482000</v>
      </c>
      <c r="K16" s="113">
        <f>+'SAF 011'!AC14</f>
        <v>3</v>
      </c>
      <c r="M16" s="42">
        <f t="shared" si="0"/>
        <v>1446000</v>
      </c>
    </row>
    <row r="17" spans="1:13" ht="23.25" customHeight="1" x14ac:dyDescent="0.2">
      <c r="A17" s="109">
        <v>6</v>
      </c>
      <c r="B17" s="116" t="str">
        <f>'SAF 011'!B15</f>
        <v>4.3.3-8492.1</v>
      </c>
      <c r="C17" s="155" t="str">
        <f>'SAF 011'!E15</f>
        <v>SET DE VIAS AEREAS; COMPONENTES: 13</v>
      </c>
      <c r="D17" s="156"/>
      <c r="E17" s="156"/>
      <c r="F17" s="156"/>
      <c r="G17" s="157"/>
      <c r="H17" s="14" t="s">
        <v>16</v>
      </c>
      <c r="I17" s="15" t="s">
        <v>15</v>
      </c>
      <c r="J17" s="118">
        <f>'SAF 011'!AT15</f>
        <v>234000</v>
      </c>
      <c r="K17" s="113">
        <f>+'SAF 011'!AC15</f>
        <v>3</v>
      </c>
      <c r="M17" s="42">
        <f t="shared" si="0"/>
        <v>702000</v>
      </c>
    </row>
    <row r="18" spans="1:13" ht="24" customHeight="1" thickBot="1" x14ac:dyDescent="0.25">
      <c r="A18" s="119"/>
      <c r="B18" s="120"/>
      <c r="C18" s="154"/>
      <c r="D18" s="154"/>
      <c r="E18" s="154"/>
      <c r="F18" s="154"/>
      <c r="G18" s="154"/>
      <c r="H18" s="121"/>
      <c r="I18" s="122"/>
      <c r="J18" s="123"/>
      <c r="K18" s="124"/>
    </row>
    <row r="19" spans="1:13" ht="42" customHeight="1" thickBot="1" x14ac:dyDescent="0.25">
      <c r="A19" s="152" t="s">
        <v>128</v>
      </c>
      <c r="B19" s="152"/>
      <c r="C19" s="152"/>
      <c r="D19" s="152"/>
      <c r="E19" s="152"/>
      <c r="F19" s="152"/>
      <c r="G19" s="152"/>
      <c r="H19" s="152"/>
      <c r="I19" s="152"/>
      <c r="J19" s="153">
        <f>+M19</f>
        <v>16033925</v>
      </c>
      <c r="K19" s="153"/>
      <c r="M19" s="42">
        <f>SUM(M12:M18)</f>
        <v>16033925</v>
      </c>
    </row>
  </sheetData>
  <mergeCells count="23">
    <mergeCell ref="A1:I1"/>
    <mergeCell ref="A3:C3"/>
    <mergeCell ref="A4:C4"/>
    <mergeCell ref="H10:H11"/>
    <mergeCell ref="I10:I11"/>
    <mergeCell ref="A6:C6"/>
    <mergeCell ref="A7:C7"/>
    <mergeCell ref="A8:C8"/>
    <mergeCell ref="A5:C5"/>
    <mergeCell ref="B10:B11"/>
    <mergeCell ref="C10:G11"/>
    <mergeCell ref="A19:I19"/>
    <mergeCell ref="J19:K19"/>
    <mergeCell ref="C18:G18"/>
    <mergeCell ref="C17:G17"/>
    <mergeCell ref="K10:K11"/>
    <mergeCell ref="A10:A11"/>
    <mergeCell ref="J10:J11"/>
    <mergeCell ref="C13:G13"/>
    <mergeCell ref="C14:G14"/>
    <mergeCell ref="C15:G15"/>
    <mergeCell ref="C16:G16"/>
    <mergeCell ref="C12:G12"/>
  </mergeCells>
  <printOptions horizontalCentered="1"/>
  <pageMargins left="0.19685039370078741" right="0.19685039370078741" top="0.19685039370078741" bottom="0.19685039370078741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2"/>
  <sheetViews>
    <sheetView topLeftCell="A10" workbookViewId="0">
      <selection activeCell="H36" sqref="H36"/>
    </sheetView>
  </sheetViews>
  <sheetFormatPr baseColWidth="10" defaultRowHeight="12.75" x14ac:dyDescent="0.2"/>
  <cols>
    <col min="1" max="1" width="4.140625" customWidth="1"/>
    <col min="2" max="2" width="3.85546875" customWidth="1"/>
    <col min="3" max="3" width="4.140625" customWidth="1"/>
    <col min="4" max="4" width="4.85546875" customWidth="1"/>
    <col min="5" max="5" width="4.140625" customWidth="1"/>
    <col min="6" max="6" width="9.7109375" customWidth="1"/>
    <col min="7" max="13" width="4.42578125" customWidth="1"/>
    <col min="14" max="14" width="3.85546875" customWidth="1"/>
    <col min="15" max="15" width="14.85546875" customWidth="1"/>
    <col min="16" max="16" width="13.28515625" customWidth="1"/>
    <col min="17" max="17" width="18.85546875" customWidth="1"/>
  </cols>
  <sheetData>
    <row r="1" spans="1:18" ht="15.75" thickBot="1" x14ac:dyDescent="0.3">
      <c r="A1" s="168" t="s">
        <v>18</v>
      </c>
      <c r="B1" s="168"/>
      <c r="C1" s="168"/>
      <c r="D1" s="169">
        <v>2021</v>
      </c>
      <c r="E1" s="169"/>
      <c r="F1" s="17"/>
      <c r="G1" s="17"/>
      <c r="H1" s="18"/>
      <c r="I1" s="18"/>
      <c r="J1" s="18"/>
      <c r="K1" s="18"/>
      <c r="L1" s="18"/>
      <c r="M1" s="18"/>
      <c r="N1" s="18"/>
      <c r="O1" s="19"/>
      <c r="P1" s="170" t="s">
        <v>19</v>
      </c>
      <c r="Q1" s="170"/>
    </row>
    <row r="2" spans="1:18" ht="13.5" thickBot="1" x14ac:dyDescent="0.25">
      <c r="A2" s="171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20"/>
      <c r="M2" s="20"/>
      <c r="N2" s="20"/>
      <c r="O2" s="21"/>
      <c r="P2" s="170"/>
      <c r="Q2" s="170"/>
    </row>
    <row r="3" spans="1:18" ht="26.25" customHeight="1" thickBot="1" x14ac:dyDescent="0.25">
      <c r="A3" s="22"/>
      <c r="B3" s="21"/>
      <c r="C3" s="21"/>
      <c r="D3" s="21"/>
      <c r="E3" s="21"/>
      <c r="F3" s="21"/>
      <c r="G3" s="23"/>
      <c r="H3" s="21"/>
      <c r="I3" s="21"/>
      <c r="J3" s="21"/>
      <c r="K3" s="21"/>
      <c r="L3" s="21"/>
      <c r="M3" s="21"/>
      <c r="N3" s="21"/>
      <c r="O3" s="21"/>
      <c r="P3" s="21"/>
      <c r="Q3" s="24"/>
    </row>
    <row r="4" spans="1:18" ht="18.75" customHeight="1" thickBot="1" x14ac:dyDescent="0.25">
      <c r="A4" s="173" t="s">
        <v>20</v>
      </c>
      <c r="B4" s="173"/>
      <c r="C4" s="173"/>
      <c r="D4" s="173"/>
      <c r="E4" s="173"/>
      <c r="F4" s="173"/>
      <c r="G4" s="174" t="str">
        <f>' NP'!D3</f>
        <v>040 - MINISTERIO DE SALUD</v>
      </c>
      <c r="H4" s="174"/>
      <c r="I4" s="174"/>
      <c r="J4" s="174"/>
      <c r="K4" s="174"/>
      <c r="L4" s="174"/>
      <c r="M4" s="174"/>
      <c r="N4" s="174"/>
      <c r="O4" s="174"/>
      <c r="P4" s="174"/>
      <c r="Q4" s="174"/>
    </row>
    <row r="5" spans="1:18" ht="27.75" customHeight="1" thickBot="1" x14ac:dyDescent="0.25">
      <c r="A5" s="175" t="s">
        <v>3</v>
      </c>
      <c r="B5" s="175"/>
      <c r="C5" s="175"/>
      <c r="D5" s="175"/>
      <c r="E5" s="175"/>
      <c r="F5" s="175"/>
      <c r="G5" s="174" t="str">
        <f>' NP'!D4</f>
        <v>011 - DIRECCION PROVINCIAL DE ADMINISTRACION DEL MINISTERIO DE SALUD</v>
      </c>
      <c r="H5" s="174"/>
      <c r="I5" s="174"/>
      <c r="J5" s="174"/>
      <c r="K5" s="174"/>
      <c r="L5" s="174"/>
      <c r="M5" s="174"/>
      <c r="N5" s="174"/>
      <c r="O5" s="174"/>
      <c r="P5" s="174"/>
      <c r="Q5" s="174"/>
    </row>
    <row r="6" spans="1:18" ht="18.75" customHeight="1" thickBot="1" x14ac:dyDescent="0.25">
      <c r="A6" s="175" t="s">
        <v>4</v>
      </c>
      <c r="B6" s="175"/>
      <c r="C6" s="175"/>
      <c r="D6" s="175"/>
      <c r="E6" s="175"/>
      <c r="F6" s="175"/>
      <c r="G6" s="174" t="str">
        <f>' NP'!D5</f>
        <v>743 - SECRETARIA DE ASISTENCIA EN SALUD PUBLICA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</row>
    <row r="7" spans="1:18" ht="21.75" customHeight="1" thickBot="1" x14ac:dyDescent="0.25">
      <c r="A7" s="176" t="s">
        <v>5</v>
      </c>
      <c r="B7" s="177"/>
      <c r="C7" s="177"/>
      <c r="D7" s="177"/>
      <c r="E7" s="177"/>
      <c r="F7" s="178"/>
      <c r="G7" s="174" t="str">
        <f>' NP'!D6</f>
        <v>743 - SECRETARIA DE ASISTENCIA EN SALUD PUBLICA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</row>
    <row r="8" spans="1:18" ht="35.25" customHeight="1" thickBot="1" x14ac:dyDescent="0.25">
      <c r="A8" s="180" t="s">
        <v>21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2"/>
    </row>
    <row r="9" spans="1:18" ht="29.25" customHeight="1" x14ac:dyDescent="0.2">
      <c r="A9" s="183" t="s">
        <v>22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</row>
    <row r="10" spans="1:18" ht="16.5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6"/>
    </row>
    <row r="11" spans="1:18" ht="55.5" customHeight="1" x14ac:dyDescent="0.2">
      <c r="A11" s="184" t="s">
        <v>47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22"/>
    </row>
    <row r="12" spans="1:18" ht="15.75" customHeight="1" thickBot="1" x14ac:dyDescent="0.25">
      <c r="A12" s="25"/>
      <c r="B12" s="26"/>
      <c r="C12" s="26"/>
      <c r="D12" s="26"/>
      <c r="E12" s="26"/>
      <c r="F12" s="26"/>
      <c r="G12" s="27"/>
      <c r="H12" s="26"/>
      <c r="I12" s="26"/>
      <c r="J12" s="26"/>
      <c r="K12" s="26"/>
      <c r="L12" s="26"/>
      <c r="M12" s="26"/>
      <c r="N12" s="26"/>
      <c r="O12" s="26"/>
      <c r="P12" s="26"/>
      <c r="Q12" s="28"/>
    </row>
    <row r="13" spans="1:18" ht="13.5" thickBot="1" x14ac:dyDescent="0.25">
      <c r="A13" s="185" t="s">
        <v>23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</row>
    <row r="14" spans="1:18" ht="17.25" customHeight="1" thickBot="1" x14ac:dyDescent="0.25">
      <c r="A14" s="186" t="s">
        <v>24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7" t="s">
        <v>25</v>
      </c>
      <c r="P14" s="187"/>
      <c r="Q14" s="188" t="s">
        <v>26</v>
      </c>
    </row>
    <row r="15" spans="1:18" ht="13.5" thickBot="1" x14ac:dyDescent="0.25">
      <c r="A15" s="29" t="s">
        <v>27</v>
      </c>
      <c r="B15" s="30" t="s">
        <v>28</v>
      </c>
      <c r="C15" s="30" t="s">
        <v>29</v>
      </c>
      <c r="D15" s="30" t="s">
        <v>30</v>
      </c>
      <c r="E15" s="30" t="s">
        <v>31</v>
      </c>
      <c r="F15" s="30" t="s">
        <v>32</v>
      </c>
      <c r="G15" s="31" t="s">
        <v>33</v>
      </c>
      <c r="H15" s="30" t="s">
        <v>34</v>
      </c>
      <c r="I15" s="30" t="s">
        <v>35</v>
      </c>
      <c r="J15" s="30" t="s">
        <v>36</v>
      </c>
      <c r="K15" s="30" t="s">
        <v>36</v>
      </c>
      <c r="L15" s="30" t="s">
        <v>37</v>
      </c>
      <c r="M15" s="32" t="s">
        <v>38</v>
      </c>
      <c r="N15" s="33" t="s">
        <v>39</v>
      </c>
      <c r="O15" s="187"/>
      <c r="P15" s="187"/>
      <c r="Q15" s="188"/>
    </row>
    <row r="16" spans="1:18" ht="42.75" customHeight="1" x14ac:dyDescent="0.2">
      <c r="A16" s="125">
        <v>3</v>
      </c>
      <c r="B16" s="126"/>
      <c r="C16" s="126"/>
      <c r="D16" s="126">
        <v>1</v>
      </c>
      <c r="E16" s="126"/>
      <c r="F16" s="126">
        <v>4901</v>
      </c>
      <c r="G16" s="126">
        <v>1</v>
      </c>
      <c r="H16" s="126">
        <v>3</v>
      </c>
      <c r="I16" s="126">
        <v>4</v>
      </c>
      <c r="J16" s="126">
        <v>3</v>
      </c>
      <c r="K16" s="126">
        <v>3</v>
      </c>
      <c r="L16" s="126"/>
      <c r="M16" s="127">
        <v>1</v>
      </c>
      <c r="N16" s="126" t="s">
        <v>40</v>
      </c>
      <c r="O16" s="189" t="s">
        <v>43</v>
      </c>
      <c r="P16" s="190"/>
      <c r="Q16" s="128">
        <f>' NP'!M19</f>
        <v>16033925</v>
      </c>
    </row>
    <row r="17" spans="1:19" ht="18.75" customHeight="1" x14ac:dyDescent="0.2">
      <c r="A17" s="129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1"/>
      <c r="N17" s="132"/>
      <c r="O17" s="191"/>
      <c r="P17" s="191"/>
      <c r="Q17" s="133"/>
      <c r="S17" s="35"/>
    </row>
    <row r="18" spans="1:19" ht="19.5" customHeight="1" x14ac:dyDescent="0.2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1"/>
      <c r="N18" s="132"/>
      <c r="O18" s="192"/>
      <c r="P18" s="192"/>
      <c r="Q18" s="133"/>
    </row>
    <row r="19" spans="1:19" ht="19.5" customHeight="1" x14ac:dyDescent="0.2">
      <c r="A19" s="129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1"/>
      <c r="N19" s="132"/>
      <c r="O19" s="179"/>
      <c r="P19" s="179"/>
      <c r="Q19" s="133"/>
    </row>
    <row r="20" spans="1:19" ht="16.5" customHeight="1" x14ac:dyDescent="0.2">
      <c r="A20" s="129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1"/>
      <c r="N20" s="132"/>
      <c r="O20" s="179"/>
      <c r="P20" s="179"/>
      <c r="Q20" s="133"/>
    </row>
    <row r="21" spans="1:19" ht="17.25" customHeight="1" x14ac:dyDescent="0.2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1"/>
      <c r="N21" s="132"/>
      <c r="O21" s="179"/>
      <c r="P21" s="179"/>
      <c r="Q21" s="133"/>
    </row>
    <row r="22" spans="1:19" ht="18" customHeight="1" x14ac:dyDescent="0.2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  <c r="N22" s="132"/>
      <c r="O22" s="179"/>
      <c r="P22" s="179"/>
      <c r="Q22" s="133"/>
    </row>
    <row r="23" spans="1:19" ht="15.75" customHeight="1" x14ac:dyDescent="0.2">
      <c r="A23" s="129"/>
      <c r="B23" s="130"/>
      <c r="C23" s="130"/>
      <c r="D23" s="130"/>
      <c r="E23" s="130"/>
      <c r="F23" s="132"/>
      <c r="G23" s="130"/>
      <c r="H23" s="130"/>
      <c r="I23" s="130"/>
      <c r="J23" s="130"/>
      <c r="K23" s="130"/>
      <c r="L23" s="130"/>
      <c r="M23" s="131"/>
      <c r="N23" s="132"/>
      <c r="O23" s="199"/>
      <c r="P23" s="199"/>
      <c r="Q23" s="133"/>
    </row>
    <row r="24" spans="1:19" ht="17.25" customHeight="1" x14ac:dyDescent="0.2">
      <c r="A24" s="129"/>
      <c r="B24" s="130"/>
      <c r="C24" s="130"/>
      <c r="D24" s="130"/>
      <c r="E24" s="130"/>
      <c r="F24" s="132"/>
      <c r="G24" s="130"/>
      <c r="H24" s="130"/>
      <c r="I24" s="130"/>
      <c r="J24" s="130"/>
      <c r="K24" s="130"/>
      <c r="L24" s="130"/>
      <c r="M24" s="131"/>
      <c r="N24" s="132"/>
      <c r="O24" s="199"/>
      <c r="P24" s="199"/>
      <c r="Q24" s="133"/>
    </row>
    <row r="25" spans="1:19" ht="18" customHeight="1" x14ac:dyDescent="0.2">
      <c r="A25" s="129"/>
      <c r="B25" s="130"/>
      <c r="C25" s="130"/>
      <c r="D25" s="130"/>
      <c r="E25" s="130"/>
      <c r="F25" s="132"/>
      <c r="G25" s="130"/>
      <c r="H25" s="130"/>
      <c r="I25" s="130"/>
      <c r="J25" s="130"/>
      <c r="K25" s="130"/>
      <c r="L25" s="130"/>
      <c r="M25" s="131"/>
      <c r="N25" s="132"/>
      <c r="O25" s="199"/>
      <c r="P25" s="199"/>
      <c r="Q25" s="133"/>
    </row>
    <row r="26" spans="1:19" ht="17.25" customHeight="1" thickBot="1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5"/>
      <c r="O26" s="200"/>
      <c r="P26" s="200"/>
      <c r="Q26" s="137"/>
    </row>
    <row r="27" spans="1:19" ht="45.75" customHeight="1" thickBot="1" x14ac:dyDescent="0.25">
      <c r="A27" s="201" t="s">
        <v>129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138">
        <f>SUM(Q16:Q26)</f>
        <v>16033925</v>
      </c>
    </row>
    <row r="28" spans="1:19" ht="28.5" customHeight="1" thickBot="1" x14ac:dyDescent="0.25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</row>
    <row r="29" spans="1:19" ht="20.25" customHeight="1" thickBot="1" x14ac:dyDescent="0.25">
      <c r="A29" s="203" t="s">
        <v>41</v>
      </c>
      <c r="B29" s="203"/>
      <c r="C29" s="203"/>
      <c r="D29" s="203"/>
      <c r="E29" s="203"/>
      <c r="F29" s="203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</row>
    <row r="30" spans="1:19" x14ac:dyDescent="0.2">
      <c r="A30" s="193" t="str">
        <f>' NP'!D8</f>
        <v>ADQUISICION DE EQUIPAMIENTO PARA HOSPITALES</v>
      </c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5"/>
    </row>
    <row r="31" spans="1:19" ht="57.75" customHeight="1" thickBot="1" x14ac:dyDescent="0.25">
      <c r="A31" s="196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8"/>
    </row>
    <row r="32" spans="1:19" x14ac:dyDescent="0.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</row>
  </sheetData>
  <mergeCells count="35">
    <mergeCell ref="A30:Q31"/>
    <mergeCell ref="O22:P22"/>
    <mergeCell ref="O23:P23"/>
    <mergeCell ref="O24:P24"/>
    <mergeCell ref="O25:P25"/>
    <mergeCell ref="O26:P26"/>
    <mergeCell ref="A27:P27"/>
    <mergeCell ref="A28:Q28"/>
    <mergeCell ref="A29:F29"/>
    <mergeCell ref="G29:Q29"/>
    <mergeCell ref="O21:P21"/>
    <mergeCell ref="A8:Q8"/>
    <mergeCell ref="A9:Q9"/>
    <mergeCell ref="A11:Q11"/>
    <mergeCell ref="A13:Q13"/>
    <mergeCell ref="A14:N14"/>
    <mergeCell ref="O14:P15"/>
    <mergeCell ref="Q14:Q15"/>
    <mergeCell ref="O16:P16"/>
    <mergeCell ref="O17:P17"/>
    <mergeCell ref="O18:P18"/>
    <mergeCell ref="O19:P19"/>
    <mergeCell ref="O20:P20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2:K2"/>
    <mergeCell ref="A4:F4"/>
    <mergeCell ref="G4:Q4"/>
  </mergeCells>
  <pageMargins left="0" right="0" top="0" bottom="0" header="0.31496062992125984" footer="0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SAF 011</vt:lpstr>
      <vt:lpstr> NP</vt:lpstr>
      <vt:lpstr>APG</vt:lpstr>
      <vt:lpstr>' NP'!Área_de_impresión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ELIAS QUINTAR</cp:lastModifiedBy>
  <cp:revision>3</cp:revision>
  <cp:lastPrinted>2021-09-28T13:47:17Z</cp:lastPrinted>
  <dcterms:created xsi:type="dcterms:W3CDTF">2020-07-17T23:44:49Z</dcterms:created>
  <dcterms:modified xsi:type="dcterms:W3CDTF">2021-10-22T13:26:34Z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