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13_ncr:1_{09D432FE-F934-49EA-B3E0-DB41D58E5E2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Trimestrales'!$A$9:$I$22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Trimestrales'!$E$9:$E$22</definedName>
  </definedNames>
  <calcPr calcId="181029"/>
</workbook>
</file>

<file path=xl/calcChain.xml><?xml version="1.0" encoding="utf-8"?>
<calcChain xmlns="http://schemas.openxmlformats.org/spreadsheetml/2006/main">
  <c r="E22" i="2" l="1"/>
  <c r="E23" i="2"/>
  <c r="E24" i="2"/>
  <c r="B22" i="2"/>
  <c r="B23" i="2"/>
  <c r="B24" i="2"/>
  <c r="B12" i="2"/>
  <c r="Q23" i="3" l="1"/>
  <c r="G13" i="2" l="1"/>
  <c r="G14" i="2"/>
  <c r="G15" i="2"/>
  <c r="G16" i="2"/>
  <c r="G17" i="2"/>
  <c r="G18" i="2"/>
  <c r="G19" i="2"/>
  <c r="G20" i="2"/>
  <c r="G21" i="2"/>
  <c r="G22" i="2"/>
  <c r="G23" i="2"/>
  <c r="G24" i="2"/>
  <c r="F13" i="2"/>
  <c r="F14" i="2"/>
  <c r="F15" i="2"/>
  <c r="F16" i="2"/>
  <c r="F17" i="2"/>
  <c r="F18" i="2"/>
  <c r="F19" i="2"/>
  <c r="F20" i="2"/>
  <c r="F21" i="2"/>
  <c r="F22" i="2"/>
  <c r="F23" i="2"/>
  <c r="F24" i="2"/>
  <c r="C13" i="2"/>
  <c r="C14" i="2"/>
  <c r="C15" i="2"/>
  <c r="C16" i="2"/>
  <c r="C17" i="2"/>
  <c r="C18" i="2"/>
  <c r="C19" i="2"/>
  <c r="C20" i="2"/>
  <c r="C21" i="2"/>
  <c r="C22" i="2"/>
  <c r="C23" i="2"/>
  <c r="C24" i="2"/>
  <c r="I22" i="1" l="1"/>
  <c r="I21" i="1"/>
  <c r="I20" i="1"/>
  <c r="I10" i="1" l="1"/>
  <c r="G12" i="2" l="1"/>
  <c r="F12" i="2"/>
  <c r="I19" i="1"/>
  <c r="I18" i="1"/>
  <c r="I17" i="1"/>
  <c r="I16" i="1"/>
  <c r="I15" i="1"/>
  <c r="I14" i="1"/>
  <c r="I13" i="1"/>
  <c r="F25" i="2" l="1"/>
  <c r="D4" i="2"/>
  <c r="D3" i="2"/>
  <c r="A10" i="3" l="1"/>
  <c r="B14" i="2" l="1"/>
  <c r="B16" i="2"/>
  <c r="B17" i="2"/>
  <c r="B18" i="2"/>
  <c r="B19" i="2"/>
  <c r="B20" i="2"/>
  <c r="B21" i="2"/>
  <c r="E14" i="2"/>
  <c r="E15" i="2"/>
  <c r="E16" i="2"/>
  <c r="E17" i="2"/>
  <c r="E18" i="2"/>
  <c r="E19" i="2"/>
  <c r="E20" i="2"/>
  <c r="E21" i="2"/>
  <c r="E13" i="2"/>
  <c r="B13" i="2"/>
  <c r="I12" i="1" l="1"/>
  <c r="I11" i="1"/>
  <c r="D1" i="3" l="1"/>
  <c r="E12" i="2"/>
  <c r="C12" i="2"/>
</calcChain>
</file>

<file path=xl/sharedStrings.xml><?xml version="1.0" encoding="utf-8"?>
<sst xmlns="http://schemas.openxmlformats.org/spreadsheetml/2006/main" count="132" uniqueCount="89">
  <si>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</si>
  <si>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</si>
  <si>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</si>
  <si>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</si>
  <si>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</si>
  <si>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</si>
  <si>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</si>
  <si>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</si>
  <si>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</si>
  <si>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</si>
  <si>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</si>
  <si>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</si>
  <si>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</si>
  <si>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</si>
  <si>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</si>
  <si>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</si>
  <si>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</si>
  <si>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</si>
  <si>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</si>
  <si>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</si>
  <si>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</si>
  <si>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</si>
  <si>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</si>
  <si>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</si>
  <si>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</si>
  <si>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</si>
  <si>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</si>
  <si>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</si>
  <si>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</si>
  <si>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</si>
  <si>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</si>
  <si>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</si>
  <si>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</si>
  <si>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</si>
  <si>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</si>
  <si>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</si>
  <si>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</si>
  <si>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</si>
  <si>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</si>
  <si>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</si>
  <si>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</si>
  <si>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</si>
  <si>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</si>
  <si>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</si>
  <si>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</si>
  <si>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</si>
  <si>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</si>
  <si>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</si>
  <si>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</si>
  <si>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</si>
  <si>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</si>
  <si>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</si>
  <si>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</si>
  <si>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</si>
  <si>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</si>
  <si>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</si>
  <si>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Plazos y lugares de entrega</t>
  </si>
  <si>
    <t xml:space="preserve">45 dias habiles 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</si>
  <si>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</si>
  <si>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</si>
  <si>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</si>
  <si>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REACTIVOS P/LAB. TEC. MANUAL ; NOMBRE: SUERO HEMOTIPIFICADOR ANTI-A1, USO: HEMOTERAPIA, PRESENTACION: ENVASE X 10 mL</t>
  </si>
  <si>
    <t>REACTIVOS P/LAB. TEC. MANUAL ; NOMBRE: SUERO HEMOTIPIFICADOR ANTI-B, USO: HEMOTERAPIA, PRESENTACION: ENVASE X 10 mL</t>
  </si>
  <si>
    <t>REACTIVOS P/LAB. TEC. MANUAL ; NOMBRE: SUERO HEMOTIPIFICADOR ANTI-AB, USO: HEMOTERAPIA, PRESENTACION: ENVASE X 10 mL</t>
  </si>
  <si>
    <t>REACTIVO P/LAB TEC. MANUAL NOMBRE:SOLUCION DE BAJA FUERZA IONICA (LISS) USO: HEMOTERAPIA PRESENTACION FCO X 10 ML</t>
  </si>
  <si>
    <t>REACTIVOS P/LAB. TEC. MANUAL ; NOMBRE: SUERO HEMOTIPIFICADOR ANTI-D, USO: HEMOTERAPIA, PRESENTACION: ENVASE X 10 mL</t>
  </si>
  <si>
    <t>REACTIVOS P/LAB. TEC. MANUAL ; NOMBRE: SUERO COOMBS POLI.ANTI IGG/C3B, USO: HEMOTERAPIA, PRESENTACION: ENVASE X 10 mL</t>
  </si>
  <si>
    <t>TUBOS P/ANALISIS DE SANGRE; MATERIAL: POLIMETILMETACRILATO, DIMENSION: 13 X 115 mm, TIPO: C/CITRATO DE SODIO</t>
  </si>
  <si>
    <t>TUBOS P/ANALISIS DE SANGRE; MATERIAL: POLIMETILMETACRILATO, DIMENSION: 16 X 100 mm, TIPO: C/ACELER. COAG. C/ GEL SEPARAD</t>
  </si>
  <si>
    <t>MICROTUBOS P/LABORATORIO; MATERIAL: POLIPROPILENO, PRESENTACION: ENVASE X 1000 UN, MEDIDA: 2 mL, TIPO: EPPENDORF</t>
  </si>
  <si>
    <t>TIP P/MICROPIPETA; MATERIAL: PLASTICO DESCARTABLE, TAMAÑO: 1000 mL</t>
  </si>
  <si>
    <t>PORTAOBJETOS P/LABORATORIO; PRESENTACION: CAJA X 50 UN, MEDIDA: 2,5 X 7,5 Cm, USO: LABORATORIO, MATERIAL: VIDRIO</t>
  </si>
  <si>
    <t>FILTROS DE DESLUOCOTIZACION; USO: DERIVAR A BOLSA SATELITE , CAPACIDAD DE FILTRADO: 1 UNIDAD DE GLOBULOS ROJOS, CAPACIDAD DEL FILTRO: LOGARITMO 5</t>
  </si>
  <si>
    <t>FILTROS DE DESLUOCOTIZACION; USO: RETENCION DE LEUCOCITO, CAPACIDAD DE FILTRADO: 2 A 6 UNIDADES DE PLAQUETAS, CAPACIDAD DEL FILTRO: 5 LOGARITMOS</t>
  </si>
  <si>
    <t xml:space="preserve">UNIDAD  </t>
  </si>
  <si>
    <t>BOLSA X 1000U</t>
  </si>
  <si>
    <t>BOLSA X100 U</t>
  </si>
  <si>
    <t>CAJA X 50 UNID</t>
  </si>
  <si>
    <t xml:space="preserve">Adquisición de Insumos de Hemoterapia </t>
  </si>
  <si>
    <t>Servicio de Hemoterapia</t>
  </si>
  <si>
    <t>COSTO TOTAL ESTIMADO: Trescientos Nueve Mil Doscientos Quince Con 00/100.</t>
  </si>
  <si>
    <t>Compuestos Quimicos</t>
  </si>
  <si>
    <t xml:space="preserve">Utiles Menores Medico, Quirurgico y de Laboratorio </t>
  </si>
  <si>
    <t>TOTAL DE PESOS: Trescientos Nueve Mil Doscientos Quince Con 00/100.</t>
  </si>
  <si>
    <t>Para la adquisición de Insumos destinados al servico de Hemoterapia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</si>
  <si>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HEMOTERAPIA -HOSPITAL INT. DE NIÑOS – AV. VIRGEN DEL VALLE N° 1050-CATAMARCA DE 8:00 A 12:00HS., DEBIENDO CORRER LOS GASTOS DE FLETES, ACARREO, CARGA, DESCARGA Y SEGURO A CARGO DEL ADJUDICATARIO.</t>
    </r>
  </si>
  <si>
    <t>024/2021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</si>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</sst>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</cellStyleXfs>
  <cellXfs count="16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67" fontId="0" fillId="0" borderId="28" xfId="3" applyNumberFormat="1" applyFont="1" applyBorder="1" applyAlignment="1" applyProtection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7" fontId="0" fillId="0" borderId="37" xfId="3" applyNumberFormat="1" applyFont="1" applyBorder="1" applyAlignment="1" applyProtection="1">
      <alignment horizontal="center" vertical="center"/>
    </xf>
    <xf numFmtId="167" fontId="13" fillId="0" borderId="38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0" fillId="0" borderId="44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5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0" fillId="3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21" fillId="4" borderId="44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left" indent="3"/>
    </xf>
    <xf numFmtId="0" fontId="15" fillId="0" borderId="48" xfId="0" applyFont="1" applyBorder="1"/>
    <xf numFmtId="0" fontId="15" fillId="0" borderId="49" xfId="0" applyFont="1" applyBorder="1"/>
    <xf numFmtId="0" fontId="24" fillId="0" borderId="50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1" xfId="0" applyFont="1" applyBorder="1" applyAlignment="1">
      <alignment horizontal="center" wrapText="1"/>
    </xf>
    <xf numFmtId="0" fontId="15" fillId="0" borderId="50" xfId="0" applyFont="1" applyBorder="1" applyAlignment="1">
      <alignment horizontal="left" indent="3"/>
    </xf>
    <xf numFmtId="0" fontId="1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170" fontId="14" fillId="0" borderId="0" xfId="1" applyNumberFormat="1" applyFill="1"/>
    <xf numFmtId="170" fontId="14" fillId="0" borderId="2" xfId="1" applyNumberFormat="1" applyFill="1" applyBorder="1"/>
    <xf numFmtId="0" fontId="15" fillId="0" borderId="0" xfId="0" applyFont="1" applyFill="1"/>
    <xf numFmtId="168" fontId="2" fillId="3" borderId="0" xfId="0" applyNumberFormat="1" applyFont="1" applyFill="1" applyBorder="1" applyAlignment="1">
      <alignment vertical="center"/>
    </xf>
    <xf numFmtId="167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wrapText="1"/>
    </xf>
    <xf numFmtId="0" fontId="0" fillId="0" borderId="44" xfId="0" applyBorder="1" applyAlignment="1">
      <alignment vertical="center" wrapText="1"/>
    </xf>
    <xf numFmtId="0" fontId="14" fillId="3" borderId="44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164" fontId="14" fillId="3" borderId="44" xfId="1" applyNumberFormat="1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167" fontId="20" fillId="4" borderId="44" xfId="1" applyNumberFormat="1" applyFont="1" applyFill="1" applyBorder="1" applyAlignment="1" applyProtection="1">
      <alignment horizontal="right" vertical="center" wrapText="1"/>
    </xf>
    <xf numFmtId="167" fontId="20" fillId="4" borderId="3" xfId="1" applyNumberFormat="1" applyFont="1" applyFill="1" applyBorder="1" applyAlignment="1" applyProtection="1">
      <alignment horizontal="right" vertical="center" wrapText="1"/>
    </xf>
    <xf numFmtId="0" fontId="4" fillId="3" borderId="5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7" fontId="4" fillId="3" borderId="3" xfId="1" applyNumberFormat="1" applyFont="1" applyFill="1" applyBorder="1" applyAlignment="1" applyProtection="1">
      <alignment horizontal="righ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left" vertical="center"/>
    </xf>
    <xf numFmtId="0" fontId="4" fillId="4" borderId="4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 wrapText="1"/>
    </xf>
    <xf numFmtId="167" fontId="4" fillId="3" borderId="44" xfId="1" applyNumberFormat="1" applyFont="1" applyFill="1" applyBorder="1" applyAlignment="1" applyProtection="1">
      <alignment horizontal="right" vertical="center" wrapText="1"/>
    </xf>
    <xf numFmtId="3" fontId="4" fillId="3" borderId="57" xfId="0" applyNumberFormat="1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left" vertical="center"/>
    </xf>
    <xf numFmtId="0" fontId="4" fillId="4" borderId="59" xfId="0" applyFont="1" applyFill="1" applyBorder="1" applyAlignment="1">
      <alignment horizontal="center" vertical="center"/>
    </xf>
    <xf numFmtId="167" fontId="4" fillId="3" borderId="59" xfId="1" applyNumberFormat="1" applyFont="1" applyFill="1" applyBorder="1" applyAlignment="1" applyProtection="1">
      <alignment horizontal="right" vertical="center" wrapText="1"/>
    </xf>
    <xf numFmtId="3" fontId="4" fillId="3" borderId="60" xfId="0" applyNumberFormat="1" applyFont="1" applyFill="1" applyBorder="1" applyAlignment="1">
      <alignment horizontal="center" vertical="center"/>
    </xf>
    <xf numFmtId="167" fontId="15" fillId="0" borderId="0" xfId="0" applyNumberFormat="1" applyFont="1"/>
    <xf numFmtId="0" fontId="17" fillId="0" borderId="0" xfId="0" applyFont="1" applyBorder="1" applyAlignment="1">
      <alignment horizontal="left" vertical="center" wrapText="1"/>
    </xf>
    <xf numFmtId="0" fontId="15" fillId="4" borderId="50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1" xfId="5" applyFont="1" applyFill="1" applyBorder="1" applyAlignment="1">
      <alignment horizontal="left" wrapText="1"/>
    </xf>
    <xf numFmtId="0" fontId="15" fillId="4" borderId="51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3" fillId="3" borderId="14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left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46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0" fillId="0" borderId="14" xfId="0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7" xfId="0" applyFont="1" applyBorder="1"/>
    <xf numFmtId="0" fontId="11" fillId="0" borderId="18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14" fillId="0" borderId="61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/>
    </xf>
    <xf numFmtId="0" fontId="9" fillId="0" borderId="14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9" fillId="0" borderId="38" xfId="0" applyFont="1" applyBorder="1" applyAlignment="1">
      <alignment horizontal="left" vertical="center" wrapText="1"/>
    </xf>
    <xf numFmtId="0" fontId="0" fillId="0" borderId="16" xfId="0" applyBorder="1"/>
    <xf numFmtId="0" fontId="24" fillId="0" borderId="48" xfId="0" applyFont="1" applyBorder="1" applyAlignment="1">
      <alignment horizontal="left" indent="3"/>
    </xf>
    <xf numFmtId="0" fontId="24" fillId="0" borderId="0" xfId="0" applyFont="1" applyBorder="1" applyAlignment="1"/>
    <xf numFmtId="0" fontId="15" fillId="0" borderId="0" xfId="0" applyFont="1" applyBorder="1" applyAlignment="1">
      <alignment horizontal="left" indent="3"/>
    </xf>
    <xf numFmtId="0" fontId="15" fillId="0" borderId="53" xfId="0" applyFont="1" applyBorder="1" applyAlignment="1">
      <alignment horizontal="left" indent="3"/>
    </xf>
    <xf numFmtId="0" fontId="19" fillId="0" borderId="63" xfId="0" applyFont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25" fillId="0" borderId="9" xfId="0" applyFont="1" applyBorder="1" applyAlignment="1">
      <alignment horizontal="center" vertical="center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2"/>
  <sheetViews>
    <sheetView tabSelected="1" zoomScaleNormal="100" workbookViewId="0">
      <selection activeCell="E16" sqref="E16"/>
    </sheetView>
  </sheetViews>
  <sheetFormatPr baseColWidth="10" defaultColWidth="11" defaultRowHeight="12.75" x14ac:dyDescent="0.2"/>
  <cols>
    <col min="1" max="1" width="4.5703125" style="32" customWidth="1"/>
    <col min="2" max="3" width="14" style="32" customWidth="1"/>
    <col min="4" max="4" width="13.28515625" style="32" customWidth="1"/>
    <col min="5" max="5" width="52.5703125" style="32" customWidth="1"/>
    <col min="6" max="6" width="11" style="32" customWidth="1"/>
    <col min="7" max="7" width="10.42578125" style="71" bestFit="1" customWidth="1"/>
    <col min="8" max="8" width="13.85546875" style="66" customWidth="1"/>
    <col min="9" max="9" width="18.5703125" style="32" customWidth="1"/>
    <col min="10" max="16384" width="11" style="32"/>
  </cols>
  <sheetData>
    <row r="2" spans="1:11" ht="27" x14ac:dyDescent="0.35">
      <c r="B2" s="111" t="s">
        <v>0</v>
      </c>
      <c r="C2" s="111"/>
      <c r="D2" s="111"/>
      <c r="E2" s="111"/>
      <c r="F2" s="111"/>
      <c r="G2" s="111"/>
      <c r="H2" s="111"/>
    </row>
    <row r="3" spans="1:11" ht="12" customHeight="1" x14ac:dyDescent="0.2"/>
    <row r="4" spans="1:11" ht="18" customHeight="1" x14ac:dyDescent="0.25">
      <c r="A4" s="110" t="s">
        <v>1</v>
      </c>
      <c r="B4" s="110"/>
      <c r="C4" s="105"/>
      <c r="D4" s="112" t="s">
        <v>52</v>
      </c>
      <c r="E4" s="112"/>
      <c r="F4" s="33"/>
      <c r="G4" s="72"/>
    </row>
    <row r="5" spans="1:11" ht="18" customHeight="1" x14ac:dyDescent="0.25">
      <c r="A5" s="110" t="s">
        <v>2</v>
      </c>
      <c r="B5" s="110"/>
      <c r="C5" s="105"/>
      <c r="D5" s="112" t="s">
        <v>51</v>
      </c>
      <c r="E5" s="112"/>
      <c r="F5" s="33"/>
      <c r="G5" s="72"/>
    </row>
    <row r="6" spans="1:11" ht="16.5" customHeight="1" x14ac:dyDescent="0.25">
      <c r="A6" s="110" t="s">
        <v>3</v>
      </c>
      <c r="B6" s="110"/>
      <c r="C6" s="105"/>
      <c r="D6" s="46">
        <v>2021</v>
      </c>
      <c r="E6" s="47"/>
      <c r="F6" s="33"/>
      <c r="G6" s="72"/>
    </row>
    <row r="7" spans="1:11" ht="16.5" customHeight="1" x14ac:dyDescent="0.25">
      <c r="A7" s="110" t="s">
        <v>4</v>
      </c>
      <c r="B7" s="110"/>
      <c r="C7" s="105"/>
      <c r="D7" s="46">
        <v>1</v>
      </c>
      <c r="E7" s="47"/>
      <c r="F7" s="33"/>
      <c r="G7" s="72"/>
    </row>
    <row r="8" spans="1:11" ht="13.5" thickBot="1" x14ac:dyDescent="0.25">
      <c r="B8" s="33"/>
      <c r="C8" s="33"/>
      <c r="D8" s="34"/>
      <c r="E8" s="33"/>
      <c r="F8" s="33"/>
      <c r="G8" s="72"/>
    </row>
    <row r="9" spans="1:11" ht="27" thickTop="1" thickBot="1" x14ac:dyDescent="0.25">
      <c r="A9" s="161" t="s">
        <v>5</v>
      </c>
      <c r="B9" s="163" t="s">
        <v>88</v>
      </c>
      <c r="C9" s="37" t="s">
        <v>6</v>
      </c>
      <c r="D9" s="35" t="s">
        <v>7</v>
      </c>
      <c r="E9" s="54" t="s">
        <v>8</v>
      </c>
      <c r="F9" s="37" t="s">
        <v>9</v>
      </c>
      <c r="G9" s="35" t="s">
        <v>10</v>
      </c>
      <c r="H9" s="67" t="s">
        <v>11</v>
      </c>
      <c r="I9" s="35" t="s">
        <v>12</v>
      </c>
    </row>
    <row r="10" spans="1:11" ht="39" thickTop="1" x14ac:dyDescent="0.2">
      <c r="A10" s="36">
        <v>1</v>
      </c>
      <c r="B10" s="162">
        <v>251</v>
      </c>
      <c r="C10" s="81"/>
      <c r="D10" s="38" t="s">
        <v>55</v>
      </c>
      <c r="E10" s="75" t="s">
        <v>61</v>
      </c>
      <c r="F10" s="53" t="s">
        <v>13</v>
      </c>
      <c r="G10" s="79">
        <v>4</v>
      </c>
      <c r="H10" s="80">
        <v>786</v>
      </c>
      <c r="I10" s="83">
        <f>+G10*H10</f>
        <v>3144</v>
      </c>
    </row>
    <row r="11" spans="1:11" ht="38.25" x14ac:dyDescent="0.2">
      <c r="A11" s="36">
        <v>2</v>
      </c>
      <c r="B11" s="81">
        <v>251</v>
      </c>
      <c r="C11" s="81"/>
      <c r="D11" s="38" t="s">
        <v>55</v>
      </c>
      <c r="E11" s="75" t="s">
        <v>62</v>
      </c>
      <c r="F11" s="53" t="s">
        <v>13</v>
      </c>
      <c r="G11" s="79">
        <v>4</v>
      </c>
      <c r="H11" s="80">
        <v>786</v>
      </c>
      <c r="I11" s="82">
        <f>G11*H11</f>
        <v>3144</v>
      </c>
    </row>
    <row r="12" spans="1:11" ht="38.25" x14ac:dyDescent="0.2">
      <c r="A12" s="36">
        <v>3</v>
      </c>
      <c r="B12" s="81">
        <v>251</v>
      </c>
      <c r="C12" s="81"/>
      <c r="D12" s="38" t="s">
        <v>55</v>
      </c>
      <c r="E12" s="75" t="s">
        <v>63</v>
      </c>
      <c r="F12" s="53" t="s">
        <v>13</v>
      </c>
      <c r="G12" s="79">
        <v>4</v>
      </c>
      <c r="H12" s="80">
        <v>797</v>
      </c>
      <c r="I12" s="82">
        <f t="shared" ref="I12" si="0">G12*H12</f>
        <v>3188</v>
      </c>
      <c r="K12" s="104"/>
    </row>
    <row r="13" spans="1:11" ht="38.25" x14ac:dyDescent="0.2">
      <c r="A13" s="36">
        <v>4</v>
      </c>
      <c r="B13" s="81">
        <v>251</v>
      </c>
      <c r="C13" s="81"/>
      <c r="D13" s="38" t="s">
        <v>55</v>
      </c>
      <c r="E13" s="75" t="s">
        <v>64</v>
      </c>
      <c r="F13" s="53" t="s">
        <v>13</v>
      </c>
      <c r="G13" s="79">
        <v>4</v>
      </c>
      <c r="H13" s="80">
        <v>1487</v>
      </c>
      <c r="I13" s="82">
        <f t="shared" ref="I13:I19" si="1">+G13*H13</f>
        <v>5948</v>
      </c>
    </row>
    <row r="14" spans="1:11" ht="38.25" x14ac:dyDescent="0.2">
      <c r="A14" s="36">
        <v>5</v>
      </c>
      <c r="B14" s="81">
        <v>251</v>
      </c>
      <c r="C14" s="81"/>
      <c r="D14" s="38" t="s">
        <v>55</v>
      </c>
      <c r="E14" s="75" t="s">
        <v>65</v>
      </c>
      <c r="F14" s="53" t="s">
        <v>13</v>
      </c>
      <c r="G14" s="79">
        <v>4</v>
      </c>
      <c r="H14" s="80">
        <v>1487</v>
      </c>
      <c r="I14" s="82">
        <f t="shared" si="1"/>
        <v>5948</v>
      </c>
    </row>
    <row r="15" spans="1:11" ht="38.25" x14ac:dyDescent="0.2">
      <c r="A15" s="36">
        <v>6</v>
      </c>
      <c r="B15" s="81">
        <v>251</v>
      </c>
      <c r="C15" s="81"/>
      <c r="D15" s="38" t="s">
        <v>55</v>
      </c>
      <c r="E15" s="75" t="s">
        <v>66</v>
      </c>
      <c r="F15" s="53" t="s">
        <v>13</v>
      </c>
      <c r="G15" s="79">
        <v>4</v>
      </c>
      <c r="H15" s="80">
        <v>1840</v>
      </c>
      <c r="I15" s="82">
        <f t="shared" si="1"/>
        <v>7360</v>
      </c>
    </row>
    <row r="16" spans="1:11" ht="38.25" x14ac:dyDescent="0.2">
      <c r="A16" s="36">
        <v>7</v>
      </c>
      <c r="B16" s="81">
        <v>295</v>
      </c>
      <c r="C16" s="81"/>
      <c r="D16" s="38" t="s">
        <v>55</v>
      </c>
      <c r="E16" s="75" t="s">
        <v>67</v>
      </c>
      <c r="F16" s="53" t="s">
        <v>13</v>
      </c>
      <c r="G16" s="79">
        <v>1500</v>
      </c>
      <c r="H16" s="80">
        <v>10</v>
      </c>
      <c r="I16" s="82">
        <f t="shared" si="1"/>
        <v>15000</v>
      </c>
      <c r="K16" s="104"/>
    </row>
    <row r="17" spans="1:11" ht="38.25" x14ac:dyDescent="0.2">
      <c r="A17" s="36">
        <v>8</v>
      </c>
      <c r="B17" s="81">
        <v>295</v>
      </c>
      <c r="C17" s="81"/>
      <c r="D17" s="38" t="s">
        <v>55</v>
      </c>
      <c r="E17" s="75" t="s">
        <v>68</v>
      </c>
      <c r="F17" s="77" t="s">
        <v>74</v>
      </c>
      <c r="G17" s="79">
        <v>1500</v>
      </c>
      <c r="H17" s="80">
        <v>11</v>
      </c>
      <c r="I17" s="82">
        <f t="shared" si="1"/>
        <v>16500</v>
      </c>
    </row>
    <row r="18" spans="1:11" ht="38.25" x14ac:dyDescent="0.2">
      <c r="A18" s="36">
        <v>9</v>
      </c>
      <c r="B18" s="81">
        <v>295</v>
      </c>
      <c r="C18" s="81"/>
      <c r="D18" s="38" t="s">
        <v>55</v>
      </c>
      <c r="E18" s="75" t="s">
        <v>69</v>
      </c>
      <c r="F18" s="78" t="s">
        <v>75</v>
      </c>
      <c r="G18" s="79">
        <v>1</v>
      </c>
      <c r="H18" s="80">
        <v>3101</v>
      </c>
      <c r="I18" s="82">
        <f t="shared" si="1"/>
        <v>3101</v>
      </c>
      <c r="K18" s="104"/>
    </row>
    <row r="19" spans="1:11" ht="25.5" x14ac:dyDescent="0.2">
      <c r="A19" s="36">
        <v>10</v>
      </c>
      <c r="B19" s="81">
        <v>295</v>
      </c>
      <c r="C19" s="81"/>
      <c r="D19" s="38" t="s">
        <v>55</v>
      </c>
      <c r="E19" s="75" t="s">
        <v>70</v>
      </c>
      <c r="F19" s="78" t="s">
        <v>76</v>
      </c>
      <c r="G19" s="79">
        <v>1</v>
      </c>
      <c r="H19" s="80">
        <v>1356</v>
      </c>
      <c r="I19" s="82">
        <f t="shared" si="1"/>
        <v>1356</v>
      </c>
    </row>
    <row r="20" spans="1:11" ht="38.25" x14ac:dyDescent="0.2">
      <c r="A20" s="36">
        <v>11</v>
      </c>
      <c r="B20" s="81">
        <v>295</v>
      </c>
      <c r="C20" s="81"/>
      <c r="D20" s="38" t="s">
        <v>55</v>
      </c>
      <c r="E20" s="76" t="s">
        <v>71</v>
      </c>
      <c r="F20" s="78" t="s">
        <v>77</v>
      </c>
      <c r="G20" s="79">
        <v>2</v>
      </c>
      <c r="H20" s="80">
        <v>138</v>
      </c>
      <c r="I20" s="82">
        <f t="shared" ref="I20:I22" si="2">+G20*H20</f>
        <v>276</v>
      </c>
    </row>
    <row r="21" spans="1:11" ht="51" x14ac:dyDescent="0.2">
      <c r="A21" s="36">
        <v>12</v>
      </c>
      <c r="B21" s="81">
        <v>295</v>
      </c>
      <c r="C21" s="81"/>
      <c r="D21" s="38" t="s">
        <v>55</v>
      </c>
      <c r="E21" s="75" t="s">
        <v>72</v>
      </c>
      <c r="F21" s="77" t="s">
        <v>74</v>
      </c>
      <c r="G21" s="79">
        <v>25</v>
      </c>
      <c r="H21" s="80">
        <v>3790</v>
      </c>
      <c r="I21" s="82">
        <f t="shared" si="2"/>
        <v>94750</v>
      </c>
    </row>
    <row r="22" spans="1:11" ht="51" x14ac:dyDescent="0.2">
      <c r="A22" s="36">
        <v>13</v>
      </c>
      <c r="B22" s="81">
        <v>295</v>
      </c>
      <c r="C22" s="81"/>
      <c r="D22" s="38" t="s">
        <v>55</v>
      </c>
      <c r="E22" s="75" t="s">
        <v>73</v>
      </c>
      <c r="F22" s="77" t="s">
        <v>74</v>
      </c>
      <c r="G22" s="79">
        <v>25</v>
      </c>
      <c r="H22" s="80">
        <v>5980</v>
      </c>
      <c r="I22" s="82">
        <f t="shared" si="2"/>
        <v>149500</v>
      </c>
    </row>
    <row r="24" spans="1:11" ht="13.5" thickBot="1" x14ac:dyDescent="0.25"/>
    <row r="25" spans="1:11" x14ac:dyDescent="0.2">
      <c r="B25" s="55" t="s">
        <v>56</v>
      </c>
      <c r="C25" s="157"/>
      <c r="D25" s="56"/>
      <c r="E25" s="56"/>
      <c r="F25" s="57"/>
      <c r="G25" s="73"/>
      <c r="H25" s="68"/>
    </row>
    <row r="26" spans="1:11" ht="12.75" customHeight="1" x14ac:dyDescent="0.2">
      <c r="B26" s="106" t="s">
        <v>85</v>
      </c>
      <c r="C26" s="107"/>
      <c r="D26" s="107"/>
      <c r="E26" s="107"/>
      <c r="F26" s="108"/>
      <c r="G26" s="73"/>
      <c r="H26" s="68"/>
    </row>
    <row r="27" spans="1:11" ht="26.25" customHeight="1" x14ac:dyDescent="0.2">
      <c r="B27" s="106"/>
      <c r="C27" s="107"/>
      <c r="D27" s="107"/>
      <c r="E27" s="107"/>
      <c r="F27" s="108"/>
      <c r="G27" s="73"/>
      <c r="H27" s="68"/>
    </row>
    <row r="28" spans="1:11" ht="26.25" customHeight="1" x14ac:dyDescent="0.2">
      <c r="B28" s="106" t="s">
        <v>60</v>
      </c>
      <c r="C28" s="107"/>
      <c r="D28" s="107"/>
      <c r="E28" s="107"/>
      <c r="F28" s="108"/>
      <c r="G28" s="73"/>
      <c r="H28" s="68"/>
    </row>
    <row r="29" spans="1:11" ht="26.25" customHeight="1" x14ac:dyDescent="0.2">
      <c r="B29" s="106" t="s">
        <v>87</v>
      </c>
      <c r="C29" s="107"/>
      <c r="D29" s="107"/>
      <c r="E29" s="107"/>
      <c r="F29" s="108"/>
      <c r="G29" s="73"/>
      <c r="H29" s="68"/>
    </row>
    <row r="30" spans="1:11" x14ac:dyDescent="0.2">
      <c r="B30" s="58" t="s">
        <v>58</v>
      </c>
      <c r="C30" s="158"/>
      <c r="D30" s="59"/>
      <c r="E30" s="60"/>
      <c r="F30" s="61"/>
      <c r="G30" s="73"/>
      <c r="H30" s="68"/>
    </row>
    <row r="31" spans="1:11" ht="26.25" customHeight="1" x14ac:dyDescent="0.2">
      <c r="B31" s="62"/>
      <c r="C31" s="159"/>
      <c r="D31" s="109" t="s">
        <v>57</v>
      </c>
      <c r="E31" s="109"/>
      <c r="F31" s="109"/>
      <c r="G31" s="73"/>
      <c r="H31" s="68"/>
    </row>
    <row r="32" spans="1:11" ht="13.5" thickBot="1" x14ac:dyDescent="0.25">
      <c r="B32" s="63"/>
      <c r="C32" s="160"/>
      <c r="D32" s="64"/>
      <c r="E32" s="64"/>
      <c r="F32" s="65"/>
      <c r="G32" s="73"/>
      <c r="H32" s="68"/>
    </row>
  </sheetData>
  <sortState xmlns:xlrd2="http://schemas.microsoft.com/office/spreadsheetml/2017/richdata2" ref="E454:I576">
    <sortCondition ref="I576"/>
  </sortState>
  <mergeCells count="11">
    <mergeCell ref="B2:H2"/>
    <mergeCell ref="A4:B4"/>
    <mergeCell ref="D4:E4"/>
    <mergeCell ref="A5:B5"/>
    <mergeCell ref="D5:E5"/>
    <mergeCell ref="B26:F27"/>
    <mergeCell ref="B29:F29"/>
    <mergeCell ref="D31:F31"/>
    <mergeCell ref="A6:B6"/>
    <mergeCell ref="A7:B7"/>
    <mergeCell ref="B28:F28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25"/>
  <sheetViews>
    <sheetView topLeftCell="A10" zoomScaleNormal="100" workbookViewId="0">
      <selection activeCell="F12" sqref="F12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54.5703125" style="40" customWidth="1"/>
    <col min="4" max="4" width="9.28515625" style="40" customWidth="1"/>
    <col min="5" max="5" width="15.5703125" style="40" customWidth="1"/>
    <col min="6" max="6" width="14.7109375" style="40" customWidth="1"/>
    <col min="7" max="7" width="15.5703125" style="40" customWidth="1"/>
    <col min="8" max="8" width="9.140625" style="40"/>
    <col min="9" max="9" width="13.85546875" style="40" bestFit="1" customWidth="1"/>
    <col min="10" max="1016" width="9.140625" style="40"/>
    <col min="1017" max="16384" width="9.140625" style="41"/>
  </cols>
  <sheetData>
    <row r="1" spans="1:7" ht="18" customHeight="1" thickBot="1" x14ac:dyDescent="0.25">
      <c r="A1" s="122" t="s">
        <v>14</v>
      </c>
      <c r="B1" s="122"/>
      <c r="C1" s="122"/>
      <c r="D1" s="122"/>
      <c r="E1" s="122"/>
      <c r="F1" s="39" t="s">
        <v>15</v>
      </c>
      <c r="G1" s="74" t="s">
        <v>86</v>
      </c>
    </row>
    <row r="2" spans="1:7" ht="18.75" customHeight="1" thickBot="1" x14ac:dyDescent="0.25">
      <c r="A2" s="42"/>
      <c r="B2" s="42"/>
      <c r="C2" s="42"/>
      <c r="D2" s="43"/>
      <c r="E2" s="43"/>
      <c r="F2" s="43"/>
      <c r="G2" s="43"/>
    </row>
    <row r="3" spans="1:7" ht="18.75" customHeight="1" thickBot="1" x14ac:dyDescent="0.25">
      <c r="A3" s="123" t="s">
        <v>48</v>
      </c>
      <c r="B3" s="123"/>
      <c r="C3" s="123"/>
      <c r="D3" s="125" t="str">
        <f>'[1]Necesidades Trimestrales'!C4</f>
        <v>040 - Ministerio de Salud</v>
      </c>
      <c r="E3" s="126"/>
      <c r="F3" s="126"/>
      <c r="G3" s="127"/>
    </row>
    <row r="4" spans="1:7" ht="18.75" customHeight="1" thickBot="1" x14ac:dyDescent="0.25">
      <c r="A4" s="124" t="s">
        <v>49</v>
      </c>
      <c r="B4" s="124"/>
      <c r="C4" s="124"/>
      <c r="D4" s="116" t="str">
        <f>'[1]Necesidades Trimestrales'!C5</f>
        <v>024 - Hospital Interzonal de Niños</v>
      </c>
      <c r="E4" s="116"/>
      <c r="F4" s="116"/>
      <c r="G4" s="116"/>
    </row>
    <row r="5" spans="1:7" ht="18.75" customHeight="1" thickBot="1" x14ac:dyDescent="0.25">
      <c r="A5" s="124" t="s">
        <v>27</v>
      </c>
      <c r="B5" s="124"/>
      <c r="C5" s="124"/>
      <c r="D5" s="116" t="s">
        <v>51</v>
      </c>
      <c r="E5" s="116"/>
      <c r="F5" s="116"/>
      <c r="G5" s="116"/>
    </row>
    <row r="6" spans="1:7" ht="16.5" customHeight="1" thickBot="1" x14ac:dyDescent="0.25">
      <c r="A6" s="123" t="s">
        <v>50</v>
      </c>
      <c r="B6" s="123"/>
      <c r="C6" s="123"/>
      <c r="D6" s="116" t="s">
        <v>79</v>
      </c>
      <c r="E6" s="116"/>
      <c r="F6" s="116"/>
      <c r="G6" s="116"/>
    </row>
    <row r="7" spans="1:7" ht="16.5" customHeight="1" thickBot="1" x14ac:dyDescent="0.25">
      <c r="A7" s="124" t="s">
        <v>16</v>
      </c>
      <c r="B7" s="124"/>
      <c r="C7" s="124"/>
      <c r="D7" s="116" t="s">
        <v>59</v>
      </c>
      <c r="E7" s="116"/>
      <c r="F7" s="116"/>
      <c r="G7" s="116"/>
    </row>
    <row r="8" spans="1:7" ht="16.5" customHeight="1" thickBot="1" x14ac:dyDescent="0.25">
      <c r="A8" s="118" t="s">
        <v>17</v>
      </c>
      <c r="B8" s="118"/>
      <c r="C8" s="118"/>
      <c r="D8" s="117" t="s">
        <v>78</v>
      </c>
      <c r="E8" s="117"/>
      <c r="F8" s="117"/>
      <c r="G8" s="117"/>
    </row>
    <row r="9" spans="1:7" ht="16.5" thickBot="1" x14ac:dyDescent="0.25">
      <c r="A9" s="44"/>
      <c r="B9" s="44"/>
      <c r="C9" s="44"/>
      <c r="D9" s="45"/>
      <c r="E9" s="45"/>
      <c r="F9" s="45"/>
      <c r="G9" s="45"/>
    </row>
    <row r="10" spans="1:7" ht="18.75" customHeight="1" thickBot="1" x14ac:dyDescent="0.25">
      <c r="A10" s="119" t="s">
        <v>18</v>
      </c>
      <c r="B10" s="120" t="s">
        <v>19</v>
      </c>
      <c r="C10" s="120" t="s">
        <v>20</v>
      </c>
      <c r="D10" s="120" t="s">
        <v>21</v>
      </c>
      <c r="E10" s="120" t="s">
        <v>22</v>
      </c>
      <c r="F10" s="120" t="s">
        <v>23</v>
      </c>
      <c r="G10" s="121" t="s">
        <v>24</v>
      </c>
    </row>
    <row r="11" spans="1:7" ht="24" customHeight="1" thickBot="1" x14ac:dyDescent="0.25">
      <c r="A11" s="119"/>
      <c r="B11" s="120"/>
      <c r="C11" s="120"/>
      <c r="D11" s="120"/>
      <c r="E11" s="120"/>
      <c r="F11" s="120"/>
      <c r="G11" s="121"/>
    </row>
    <row r="12" spans="1:7" ht="27.75" customHeight="1" x14ac:dyDescent="0.2">
      <c r="A12" s="84">
        <v>1</v>
      </c>
      <c r="B12" s="85">
        <f>'Necesidades Trimestrales'!B10</f>
        <v>251</v>
      </c>
      <c r="C12" s="86" t="str">
        <f>'Necesidades Trimestrales'!E10</f>
        <v>REACTIVOS P/LAB. TEC. MANUAL ; NOMBRE: SUERO HEMOTIPIFICADOR ANTI-A1, USO: HEMOTERAPIA, PRESENTACION: ENVASE X 10 mL</v>
      </c>
      <c r="D12" s="87" t="s">
        <v>54</v>
      </c>
      <c r="E12" s="88" t="str">
        <f>'Necesidades Trimestrales'!F10</f>
        <v>UNIDAD</v>
      </c>
      <c r="F12" s="89">
        <f>+'Necesidades Trimestrales'!H10</f>
        <v>786</v>
      </c>
      <c r="G12" s="90">
        <f>+'Necesidades Trimestrales'!G10</f>
        <v>4</v>
      </c>
    </row>
    <row r="13" spans="1:7" ht="20.25" customHeight="1" x14ac:dyDescent="0.2">
      <c r="A13" s="91">
        <v>2</v>
      </c>
      <c r="B13" s="92">
        <f>'Necesidades Trimestrales'!B11</f>
        <v>251</v>
      </c>
      <c r="C13" s="93" t="str">
        <f>'Necesidades Trimestrales'!E11</f>
        <v>REACTIVOS P/LAB. TEC. MANUAL ; NOMBRE: SUERO HEMOTIPIFICADOR ANTI-B, USO: HEMOTERAPIA, PRESENTACION: ENVASE X 10 mL</v>
      </c>
      <c r="D13" s="94" t="s">
        <v>54</v>
      </c>
      <c r="E13" s="95" t="str">
        <f>'Necesidades Trimestrales'!F11</f>
        <v>UNIDAD</v>
      </c>
      <c r="F13" s="96">
        <f>+'Necesidades Trimestrales'!H11</f>
        <v>786</v>
      </c>
      <c r="G13" s="97">
        <f>+'Necesidades Trimestrales'!G11</f>
        <v>4</v>
      </c>
    </row>
    <row r="14" spans="1:7" ht="20.25" customHeight="1" x14ac:dyDescent="0.2">
      <c r="A14" s="91">
        <v>3</v>
      </c>
      <c r="B14" s="92">
        <f>'Necesidades Trimestrales'!B12</f>
        <v>251</v>
      </c>
      <c r="C14" s="93" t="str">
        <f>'Necesidades Trimestrales'!E12</f>
        <v>REACTIVOS P/LAB. TEC. MANUAL ; NOMBRE: SUERO HEMOTIPIFICADOR ANTI-AB, USO: HEMOTERAPIA, PRESENTACION: ENVASE X 10 mL</v>
      </c>
      <c r="D14" s="94" t="s">
        <v>54</v>
      </c>
      <c r="E14" s="95" t="str">
        <f>'Necesidades Trimestrales'!F12</f>
        <v>UNIDAD</v>
      </c>
      <c r="F14" s="96">
        <f>+'Necesidades Trimestrales'!H12</f>
        <v>797</v>
      </c>
      <c r="G14" s="97">
        <f>+'Necesidades Trimestrales'!G12</f>
        <v>4</v>
      </c>
    </row>
    <row r="15" spans="1:7" ht="20.25" customHeight="1" x14ac:dyDescent="0.2">
      <c r="A15" s="91">
        <v>4</v>
      </c>
      <c r="B15" s="92">
        <v>252</v>
      </c>
      <c r="C15" s="93" t="str">
        <f>'Necesidades Trimestrales'!E13</f>
        <v>REACTIVO P/LAB TEC. MANUAL NOMBRE:SOLUCION DE BAJA FUERZA IONICA (LISS) USO: HEMOTERAPIA PRESENTACION FCO X 10 ML</v>
      </c>
      <c r="D15" s="94" t="s">
        <v>54</v>
      </c>
      <c r="E15" s="95" t="str">
        <f>'Necesidades Trimestrales'!F13</f>
        <v>UNIDAD</v>
      </c>
      <c r="F15" s="96">
        <f>+'Necesidades Trimestrales'!H13</f>
        <v>1487</v>
      </c>
      <c r="G15" s="97">
        <f>+'Necesidades Trimestrales'!G13</f>
        <v>4</v>
      </c>
    </row>
    <row r="16" spans="1:7" ht="20.25" customHeight="1" x14ac:dyDescent="0.2">
      <c r="A16" s="91">
        <v>5</v>
      </c>
      <c r="B16" s="92">
        <f>'Necesidades Trimestrales'!B14</f>
        <v>251</v>
      </c>
      <c r="C16" s="93" t="str">
        <f>'Necesidades Trimestrales'!E14</f>
        <v>REACTIVOS P/LAB. TEC. MANUAL ; NOMBRE: SUERO HEMOTIPIFICADOR ANTI-D, USO: HEMOTERAPIA, PRESENTACION: ENVASE X 10 mL</v>
      </c>
      <c r="D16" s="94" t="s">
        <v>54</v>
      </c>
      <c r="E16" s="95" t="str">
        <f>'Necesidades Trimestrales'!F14</f>
        <v>UNIDAD</v>
      </c>
      <c r="F16" s="96">
        <f>+'Necesidades Trimestrales'!H14</f>
        <v>1487</v>
      </c>
      <c r="G16" s="97">
        <f>+'Necesidades Trimestrales'!G14</f>
        <v>4</v>
      </c>
    </row>
    <row r="17" spans="1:9" ht="20.25" customHeight="1" x14ac:dyDescent="0.2">
      <c r="A17" s="91">
        <v>6</v>
      </c>
      <c r="B17" s="92">
        <f>'Necesidades Trimestrales'!B15</f>
        <v>251</v>
      </c>
      <c r="C17" s="93" t="str">
        <f>'Necesidades Trimestrales'!E15</f>
        <v>REACTIVOS P/LAB. TEC. MANUAL ; NOMBRE: SUERO COOMBS POLI.ANTI IGG/C3B, USO: HEMOTERAPIA, PRESENTACION: ENVASE X 10 mL</v>
      </c>
      <c r="D17" s="94" t="s">
        <v>54</v>
      </c>
      <c r="E17" s="95" t="str">
        <f>'Necesidades Trimestrales'!F15</f>
        <v>UNIDAD</v>
      </c>
      <c r="F17" s="96">
        <f>+'Necesidades Trimestrales'!H15</f>
        <v>1840</v>
      </c>
      <c r="G17" s="97">
        <f>+'Necesidades Trimestrales'!G15</f>
        <v>4</v>
      </c>
    </row>
    <row r="18" spans="1:9" ht="20.25" customHeight="1" x14ac:dyDescent="0.2">
      <c r="A18" s="91">
        <v>7</v>
      </c>
      <c r="B18" s="92">
        <f>'Necesidades Trimestrales'!B16</f>
        <v>295</v>
      </c>
      <c r="C18" s="93" t="str">
        <f>'Necesidades Trimestrales'!E16</f>
        <v>TUBOS P/ANALISIS DE SANGRE; MATERIAL: POLIMETILMETACRILATO, DIMENSION: 13 X 115 mm, TIPO: C/CITRATO DE SODIO</v>
      </c>
      <c r="D18" s="94" t="s">
        <v>54</v>
      </c>
      <c r="E18" s="95" t="str">
        <f>'Necesidades Trimestrales'!F16</f>
        <v>UNIDAD</v>
      </c>
      <c r="F18" s="96">
        <f>+'Necesidades Trimestrales'!H16</f>
        <v>10</v>
      </c>
      <c r="G18" s="97">
        <f>+'Necesidades Trimestrales'!G16</f>
        <v>1500</v>
      </c>
    </row>
    <row r="19" spans="1:9" ht="20.25" customHeight="1" x14ac:dyDescent="0.2">
      <c r="A19" s="91">
        <v>8</v>
      </c>
      <c r="B19" s="92">
        <f>'Necesidades Trimestrales'!B17</f>
        <v>295</v>
      </c>
      <c r="C19" s="93" t="str">
        <f>'Necesidades Trimestrales'!E17</f>
        <v>TUBOS P/ANALISIS DE SANGRE; MATERIAL: POLIMETILMETACRILATO, DIMENSION: 16 X 100 mm, TIPO: C/ACELER. COAG. C/ GEL SEPARAD</v>
      </c>
      <c r="D19" s="94" t="s">
        <v>54</v>
      </c>
      <c r="E19" s="95" t="str">
        <f>'Necesidades Trimestrales'!F17</f>
        <v xml:space="preserve">UNIDAD  </v>
      </c>
      <c r="F19" s="96">
        <f>+'Necesidades Trimestrales'!H17</f>
        <v>11</v>
      </c>
      <c r="G19" s="97">
        <f>+'Necesidades Trimestrales'!G17</f>
        <v>1500</v>
      </c>
    </row>
    <row r="20" spans="1:9" ht="20.25" customHeight="1" x14ac:dyDescent="0.2">
      <c r="A20" s="91">
        <v>9</v>
      </c>
      <c r="B20" s="92">
        <f>'Necesidades Trimestrales'!B18</f>
        <v>295</v>
      </c>
      <c r="C20" s="93" t="str">
        <f>'Necesidades Trimestrales'!E18</f>
        <v>MICROTUBOS P/LABORATORIO; MATERIAL: POLIPROPILENO, PRESENTACION: ENVASE X 1000 UN, MEDIDA: 2 mL, TIPO: EPPENDORF</v>
      </c>
      <c r="D20" s="94" t="s">
        <v>54</v>
      </c>
      <c r="E20" s="95" t="str">
        <f>'Necesidades Trimestrales'!F18</f>
        <v>BOLSA X 1000U</v>
      </c>
      <c r="F20" s="96">
        <f>+'Necesidades Trimestrales'!H18</f>
        <v>3101</v>
      </c>
      <c r="G20" s="97">
        <f>+'Necesidades Trimestrales'!G18</f>
        <v>1</v>
      </c>
    </row>
    <row r="21" spans="1:9" ht="20.25" customHeight="1" x14ac:dyDescent="0.2">
      <c r="A21" s="91">
        <v>10</v>
      </c>
      <c r="B21" s="92">
        <f>'Necesidades Trimestrales'!B19</f>
        <v>295</v>
      </c>
      <c r="C21" s="93" t="str">
        <f>'Necesidades Trimestrales'!E19</f>
        <v>TIP P/MICROPIPETA; MATERIAL: PLASTICO DESCARTABLE, TAMAÑO: 1000 mL</v>
      </c>
      <c r="D21" s="94" t="s">
        <v>54</v>
      </c>
      <c r="E21" s="95" t="str">
        <f>'Necesidades Trimestrales'!F19</f>
        <v>BOLSA X100 U</v>
      </c>
      <c r="F21" s="96">
        <f>+'Necesidades Trimestrales'!H19</f>
        <v>1356</v>
      </c>
      <c r="G21" s="97">
        <f>+'Necesidades Trimestrales'!G19</f>
        <v>1</v>
      </c>
    </row>
    <row r="22" spans="1:9" ht="20.25" customHeight="1" x14ac:dyDescent="0.2">
      <c r="A22" s="91">
        <v>11</v>
      </c>
      <c r="B22" s="92">
        <f>'Necesidades Trimestrales'!B20</f>
        <v>295</v>
      </c>
      <c r="C22" s="93" t="str">
        <f>'Necesidades Trimestrales'!E20</f>
        <v>PORTAOBJETOS P/LABORATORIO; PRESENTACION: CAJA X 50 UN, MEDIDA: 2,5 X 7,5 Cm, USO: LABORATORIO, MATERIAL: VIDRIO</v>
      </c>
      <c r="D22" s="94" t="s">
        <v>54</v>
      </c>
      <c r="E22" s="95" t="str">
        <f>'Necesidades Trimestrales'!F20</f>
        <v>CAJA X 50 UNID</v>
      </c>
      <c r="F22" s="96">
        <f>+'Necesidades Trimestrales'!H20</f>
        <v>138</v>
      </c>
      <c r="G22" s="97">
        <f>+'Necesidades Trimestrales'!G20</f>
        <v>2</v>
      </c>
    </row>
    <row r="23" spans="1:9" ht="20.25" customHeight="1" x14ac:dyDescent="0.2">
      <c r="A23" s="91">
        <v>12</v>
      </c>
      <c r="B23" s="92">
        <f>'Necesidades Trimestrales'!B21</f>
        <v>295</v>
      </c>
      <c r="C23" s="93" t="str">
        <f>'Necesidades Trimestrales'!E21</f>
        <v>FILTROS DE DESLUOCOTIZACION; USO: DERIVAR A BOLSA SATELITE , CAPACIDAD DE FILTRADO: 1 UNIDAD DE GLOBULOS ROJOS, CAPACIDAD DEL FILTRO: LOGARITMO 5</v>
      </c>
      <c r="D23" s="94" t="s">
        <v>54</v>
      </c>
      <c r="E23" s="95" t="str">
        <f>'Necesidades Trimestrales'!F21</f>
        <v xml:space="preserve">UNIDAD  </v>
      </c>
      <c r="F23" s="96">
        <f>+'Necesidades Trimestrales'!H21</f>
        <v>3790</v>
      </c>
      <c r="G23" s="97">
        <f>+'Necesidades Trimestrales'!G21</f>
        <v>25</v>
      </c>
    </row>
    <row r="24" spans="1:9" ht="20.25" customHeight="1" thickBot="1" x14ac:dyDescent="0.25">
      <c r="A24" s="98">
        <v>13</v>
      </c>
      <c r="B24" s="99">
        <f>'Necesidades Trimestrales'!B22</f>
        <v>295</v>
      </c>
      <c r="C24" s="100" t="str">
        <f>'Necesidades Trimestrales'!E22</f>
        <v>FILTROS DE DESLUOCOTIZACION; USO: RETENCION DE LEUCOCITO, CAPACIDAD DE FILTRADO: 2 A 6 UNIDADES DE PLAQUETAS, CAPACIDAD DEL FILTRO: 5 LOGARITMOS</v>
      </c>
      <c r="D24" s="101" t="s">
        <v>54</v>
      </c>
      <c r="E24" s="95" t="str">
        <f>'Necesidades Trimestrales'!F22</f>
        <v xml:space="preserve">UNIDAD  </v>
      </c>
      <c r="F24" s="102">
        <f>+'Necesidades Trimestrales'!H22</f>
        <v>5980</v>
      </c>
      <c r="G24" s="103">
        <f>+'Necesidades Trimestrales'!G22</f>
        <v>25</v>
      </c>
    </row>
    <row r="25" spans="1:9" ht="25.5" customHeight="1" thickBot="1" x14ac:dyDescent="0.25">
      <c r="A25" s="113" t="s">
        <v>80</v>
      </c>
      <c r="B25" s="114"/>
      <c r="C25" s="114"/>
      <c r="D25" s="114"/>
      <c r="E25" s="114"/>
      <c r="F25" s="115">
        <f>SUMPRODUCT(F12:F24,G12:G24)</f>
        <v>309215</v>
      </c>
      <c r="G25" s="115"/>
      <c r="I25" s="69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25:E25"/>
    <mergeCell ref="F25:G25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A12" sqref="A12:Q1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28" t="s">
        <v>3</v>
      </c>
      <c r="B1" s="128"/>
      <c r="C1" s="128"/>
      <c r="D1" s="129">
        <f>'Necesidades Trimestrales'!D6</f>
        <v>2021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25</v>
      </c>
      <c r="Q1" s="130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30"/>
      <c r="Q2" s="130"/>
    </row>
    <row r="4" spans="1:19" s="5" customFormat="1" ht="18" customHeight="1" thickBot="1" x14ac:dyDescent="0.25">
      <c r="A4" s="131" t="s">
        <v>26</v>
      </c>
      <c r="B4" s="131"/>
      <c r="C4" s="131"/>
      <c r="D4" s="131"/>
      <c r="E4" s="131"/>
      <c r="F4" s="131"/>
      <c r="G4" s="132" t="s">
        <v>52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</row>
    <row r="5" spans="1:19" s="5" customFormat="1" ht="18" customHeight="1" thickBot="1" x14ac:dyDescent="0.25">
      <c r="A5" s="133" t="s">
        <v>49</v>
      </c>
      <c r="B5" s="134"/>
      <c r="C5" s="134"/>
      <c r="D5" s="134"/>
      <c r="E5" s="134"/>
      <c r="F5" s="135"/>
      <c r="G5" s="132" t="s">
        <v>51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</row>
    <row r="6" spans="1:19" s="5" customFormat="1" ht="18" customHeight="1" thickBot="1" x14ac:dyDescent="0.25">
      <c r="A6" s="133" t="s">
        <v>27</v>
      </c>
      <c r="B6" s="134"/>
      <c r="C6" s="134"/>
      <c r="D6" s="134"/>
      <c r="E6" s="134"/>
      <c r="F6" s="135"/>
      <c r="G6" s="132" t="s">
        <v>51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</row>
    <row r="7" spans="1:19" s="5" customFormat="1" ht="18" customHeight="1" thickBot="1" x14ac:dyDescent="0.25">
      <c r="A7" s="133" t="s">
        <v>50</v>
      </c>
      <c r="B7" s="134"/>
      <c r="C7" s="134"/>
      <c r="D7" s="134"/>
      <c r="E7" s="134"/>
      <c r="F7" s="135"/>
      <c r="G7" s="132" t="s">
        <v>79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8" spans="1:19" ht="18" customHeight="1" thickBot="1" x14ac:dyDescent="0.25">
      <c r="A8" s="136" t="s">
        <v>28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9" ht="18" customHeight="1" x14ac:dyDescent="0.2">
      <c r="A9" s="137" t="s">
        <v>29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6"/>
    </row>
    <row r="10" spans="1:19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024/2021,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39" t="s">
        <v>30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9" ht="15.75" customHeight="1" x14ac:dyDescent="0.2">
      <c r="A13" s="140" t="s">
        <v>31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32</v>
      </c>
      <c r="P13" s="141"/>
      <c r="Q13" s="142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1"/>
      <c r="P14" s="141"/>
      <c r="Q14" s="142"/>
    </row>
    <row r="15" spans="1:19" ht="27.7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50">
        <v>2</v>
      </c>
      <c r="J15" s="50">
        <v>5</v>
      </c>
      <c r="K15" s="50">
        <v>1</v>
      </c>
      <c r="L15" s="49"/>
      <c r="M15" s="51">
        <v>1</v>
      </c>
      <c r="N15" s="52" t="s">
        <v>53</v>
      </c>
      <c r="O15" s="143" t="s">
        <v>81</v>
      </c>
      <c r="P15" s="144"/>
      <c r="Q15" s="16">
        <v>28732</v>
      </c>
      <c r="S15" s="70"/>
    </row>
    <row r="16" spans="1:19" ht="26.25" customHeight="1" x14ac:dyDescent="0.2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9</v>
      </c>
      <c r="K16" s="18">
        <v>5</v>
      </c>
      <c r="L16" s="18"/>
      <c r="M16" s="19">
        <v>1</v>
      </c>
      <c r="N16" s="24" t="s">
        <v>53</v>
      </c>
      <c r="O16" s="145" t="s">
        <v>82</v>
      </c>
      <c r="P16" s="146"/>
      <c r="Q16" s="21">
        <v>280483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7"/>
      <c r="P17" s="14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7"/>
      <c r="P18" s="147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7"/>
      <c r="P19" s="147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7"/>
      <c r="P20" s="147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53"/>
      <c r="P21" s="153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54"/>
      <c r="P22" s="154"/>
      <c r="Q22" s="30"/>
    </row>
    <row r="23" spans="1:18" ht="29.25" customHeight="1" x14ac:dyDescent="0.2">
      <c r="A23" s="155" t="s">
        <v>83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31">
        <f>SUM(Q15:Q22)</f>
        <v>309215</v>
      </c>
    </row>
    <row r="24" spans="1:18" ht="18" customHeight="1" thickBot="1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1:18" ht="17.25" customHeight="1" thickBot="1" x14ac:dyDescent="0.25">
      <c r="A25" s="148" t="s">
        <v>47</v>
      </c>
      <c r="B25" s="149"/>
      <c r="C25" s="149"/>
      <c r="D25" s="149"/>
      <c r="E25" s="149"/>
      <c r="F25" s="150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8" ht="18" customHeight="1" thickBot="1" x14ac:dyDescent="0.25">
      <c r="A26" s="152" t="s">
        <v>84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 spans="1:18" ht="15" customHeight="1" x14ac:dyDescent="0.2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2020-07-23T13:47:13Z</cp:lastPrinted>
  <dcterms:created xsi:type="dcterms:W3CDTF">2020-07-17T23:44:49Z</dcterms:created>
  <dcterms:modified xsi:type="dcterms:W3CDTF">2021-08-13T14:40:23Z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