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A4C8AD3-911B-47AA-9CEF-DE4DBE26B086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NotaPedido'!$A$1:$K$17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I10" i="1" l="1"/>
  <c r="I15" i="3" l="1"/>
  <c r="Q23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J15" i="2" l="1"/>
</calcChain>
</file>

<file path=xl/sharedStrings.xml><?xml version="1.0" encoding="utf-8"?>
<sst xmlns="http://schemas.openxmlformats.org/spreadsheetml/2006/main" count="85" uniqueCount="79">
  <si>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</si>
  <si>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</si>
  <si>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</si>
  <si>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</si>
  <si>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</si>
  <si>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</si>
  <si>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</si>
  <si>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</si>
  <si>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</si>
  <si>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</si>
  <si>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</si>
  <si>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</si>
  <si>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</si>
  <si>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</si>
  <si>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</si>
  <si>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</si>
  <si>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</si>
  <si>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</si>
  <si>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</si>
  <si>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</si>
  <si>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</si>
  <si>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</si>
  <si>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</si>
  <si>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</si>
  <si>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</si>
  <si>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</si>
  <si>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</si>
  <si>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</si>
  <si>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</si>
  <si>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</si>
  <si>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</si>
  <si>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</si>
  <si>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</si>
  <si>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</si>
  <si>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</si>
  <si>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</si>
  <si>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</si>
  <si>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</si>
  <si>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</si>
  <si>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</si>
  <si>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</si>
  <si>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</si>
  <si>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</si>
  <si>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</si>
  <si>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</si>
  <si>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</si>
  <si>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</si>
  <si>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</si>
  <si>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</si>
  <si>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</si>
  <si>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</si>
  <si>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</si>
  <si>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</si>
  <si>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</si>
  <si>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</si>
  <si>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</si>
  <si>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</si>
  <si>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</si>
  <si>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</si>
  <si>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</si>
  <si>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</si>
  <si>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</si>
  <si>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MEDIA</t>
  </si>
  <si>
    <t>45- Ministerio de Desarrollo Social y Deporte.-</t>
  </si>
  <si>
    <t>2.1.1</t>
  </si>
  <si>
    <t>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</si>
  <si>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</si>
  <si>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</si>
  <si>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 xml:space="preserve">05 CINCO DIAS </t>
  </si>
  <si>
    <t>DEPOSITO MINISTERIO DE DESARROLLO SOCIAL Y DEPORTE AREA EL PANTANILLO SAN FERNANDO DEL VALLE DE CATAMARCA</t>
  </si>
  <si>
    <t>60DIAS</t>
  </si>
  <si>
    <t>Direccion Provincial de Accion Social Directa</t>
  </si>
  <si>
    <t>Programa Vivir Mejor PRO.VI.ME.</t>
  </si>
  <si>
    <t>PRO.VI.ME. Programa Vivir Mejor</t>
  </si>
  <si>
    <t>Adquisición de Leche En Polvo  que seran destinadas a personas de escasos recursos, en el armado de modulos alimentarios, en el Marco del Programa Vivir Mejor</t>
  </si>
  <si>
    <r>
      <t xml:space="preserve">Costo total estimado:  </t>
    </r>
    <r>
      <rPr>
        <b/>
        <sz val="10"/>
        <rFont val="Times New Roman"/>
        <family val="1"/>
      </rPr>
      <t>TREINTA Y SEIS MILLONES CINCUENTA MIL CON 00/100.-</t>
    </r>
  </si>
  <si>
    <t>TOTAL DE PESOS: TREINTA Y SEIS MILLONES CINCUENTA MIL CON 00/100.-</t>
  </si>
  <si>
    <t>Adquisición de Leche en Polvo,  que seran destinadas a personas de escasos recursos, en el armado de modulos alimentarios, en el Marco del Programa Vivir Mejor</t>
  </si>
  <si>
    <t>305/20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</si>
</sst>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5" xfId="0" applyFont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6" xfId="0" applyBorder="1"/>
    <xf numFmtId="0" fontId="0" fillId="0" borderId="32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33" xfId="0" applyBorder="1"/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6" xfId="0" applyFont="1" applyBorder="1" applyAlignment="1">
      <alignment horizontal="left" vertical="center"/>
    </xf>
    <xf numFmtId="0" fontId="14" fillId="0" borderId="37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166" fontId="14" fillId="0" borderId="47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2" fillId="3" borderId="2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3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0" xfId="0" applyFont="1" applyBorder="1"/>
    <xf numFmtId="0" fontId="16" fillId="0" borderId="12" xfId="0" applyFont="1" applyBorder="1"/>
    <xf numFmtId="0" fontId="23" fillId="0" borderId="11" xfId="0" applyFont="1" applyBorder="1" applyAlignment="1">
      <alignment horizontal="left" indent="3"/>
    </xf>
    <xf numFmtId="0" fontId="16" fillId="0" borderId="11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left" indent="3"/>
    </xf>
    <xf numFmtId="0" fontId="16" fillId="0" borderId="14" xfId="0" applyFont="1" applyBorder="1"/>
    <xf numFmtId="0" fontId="16" fillId="0" borderId="15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5" xfId="0" applyFont="1" applyFill="1" applyBorder="1" applyAlignment="1">
      <alignment horizontal="left" vertical="center"/>
    </xf>
    <xf numFmtId="0" fontId="4" fillId="4" borderId="25" xfId="0" applyFont="1" applyFill="1" applyBorder="1" applyAlignment="1">
      <alignment horizontal="center" vertical="center" wrapText="1"/>
    </xf>
    <xf numFmtId="166" fontId="4" fillId="4" borderId="25" xfId="1" applyNumberFormat="1" applyFont="1" applyFill="1" applyBorder="1" applyAlignment="1" applyProtection="1">
      <alignment horizontal="right" vertical="center" wrapText="1"/>
    </xf>
    <xf numFmtId="3" fontId="4" fillId="4" borderId="25" xfId="0" applyNumberFormat="1" applyFont="1" applyFill="1" applyBorder="1" applyAlignment="1">
      <alignment horizontal="center" vertical="center"/>
    </xf>
    <xf numFmtId="0" fontId="0" fillId="0" borderId="4" xfId="0" applyBorder="1"/>
    <xf numFmtId="0" fontId="20" fillId="0" borderId="20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0" fillId="0" borderId="7" xfId="0" applyBorder="1"/>
    <xf numFmtId="0" fontId="22" fillId="3" borderId="59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wrapText="1"/>
    </xf>
    <xf numFmtId="0" fontId="19" fillId="4" borderId="7" xfId="0" applyFont="1" applyFill="1" applyBorder="1" applyAlignment="1">
      <alignment horizontal="center" wrapText="1"/>
    </xf>
    <xf numFmtId="166" fontId="21" fillId="3" borderId="59" xfId="1" applyNumberFormat="1" applyFont="1" applyFill="1" applyBorder="1" applyAlignment="1" applyProtection="1">
      <alignment horizontal="right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21" fillId="3" borderId="60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166" fontId="0" fillId="0" borderId="61" xfId="3" applyNumberFormat="1" applyFont="1" applyBorder="1" applyAlignment="1" applyProtection="1">
      <alignment horizontal="center" vertical="center"/>
    </xf>
    <xf numFmtId="0" fontId="0" fillId="3" borderId="62" xfId="0" applyFont="1" applyFill="1" applyBorder="1" applyAlignment="1">
      <alignment horizontal="center" vertical="center"/>
    </xf>
    <xf numFmtId="0" fontId="0" fillId="3" borderId="63" xfId="0" applyFont="1" applyFill="1" applyBorder="1" applyAlignment="1">
      <alignment horizontal="center" vertical="center"/>
    </xf>
    <xf numFmtId="0" fontId="0" fillId="3" borderId="64" xfId="0" applyFont="1" applyFill="1" applyBorder="1" applyAlignment="1">
      <alignment horizontal="center" vertical="center"/>
    </xf>
    <xf numFmtId="166" fontId="0" fillId="0" borderId="65" xfId="3" applyNumberFormat="1" applyFont="1" applyBorder="1" applyAlignment="1" applyProtection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0" fillId="0" borderId="52" xfId="0" applyFill="1" applyBorder="1"/>
    <xf numFmtId="0" fontId="20" fillId="0" borderId="2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0" fillId="0" borderId="51" xfId="0" applyBorder="1"/>
    <xf numFmtId="0" fontId="4" fillId="3" borderId="67" xfId="0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center" vertical="center" wrapText="1"/>
    </xf>
    <xf numFmtId="0" fontId="26" fillId="0" borderId="52" xfId="0" applyFont="1" applyFill="1" applyBorder="1"/>
    <xf numFmtId="0" fontId="26" fillId="0" borderId="53" xfId="0" applyFont="1" applyBorder="1"/>
    <xf numFmtId="0" fontId="26" fillId="0" borderId="4" xfId="0" applyFont="1" applyBorder="1"/>
    <xf numFmtId="0" fontId="19" fillId="0" borderId="5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0" fillId="0" borderId="0" xfId="0"/>
    <xf numFmtId="166" fontId="16" fillId="0" borderId="0" xfId="0" applyNumberFormat="1" applyFont="1"/>
    <xf numFmtId="166" fontId="21" fillId="3" borderId="68" xfId="1" applyNumberFormat="1" applyFont="1" applyFill="1" applyBorder="1" applyAlignment="1" applyProtection="1">
      <alignment horizontal="right" vertical="center" wrapText="1"/>
    </xf>
    <xf numFmtId="166" fontId="21" fillId="3" borderId="7" xfId="1" applyNumberFormat="1" applyFont="1" applyFill="1" applyBorder="1" applyAlignment="1" applyProtection="1">
      <alignment horizontal="right" vertical="center" wrapText="1"/>
    </xf>
    <xf numFmtId="0" fontId="0" fillId="0" borderId="69" xfId="0" applyBorder="1"/>
    <xf numFmtId="0" fontId="19" fillId="0" borderId="70" xfId="0" applyFont="1" applyBorder="1" applyAlignment="1">
      <alignment horizontal="center" vertical="center" wrapText="1"/>
    </xf>
    <xf numFmtId="0" fontId="26" fillId="0" borderId="52" xfId="0" applyFont="1" applyBorder="1"/>
    <xf numFmtId="0" fontId="19" fillId="0" borderId="52" xfId="0" applyFont="1" applyBorder="1" applyAlignment="1">
      <alignment horizontal="center" vertical="center" wrapText="1"/>
    </xf>
    <xf numFmtId="0" fontId="0" fillId="4" borderId="63" xfId="0" applyFont="1" applyFill="1" applyBorder="1" applyAlignment="1">
      <alignment horizontal="center" vertical="center"/>
    </xf>
    <xf numFmtId="0" fontId="26" fillId="0" borderId="0" xfId="0" applyFont="1" applyFill="1" applyBorder="1"/>
    <xf numFmtId="0" fontId="26" fillId="0" borderId="0" xfId="0" applyFont="1" applyBorder="1"/>
    <xf numFmtId="0" fontId="26" fillId="0" borderId="71" xfId="0" applyFont="1" applyBorder="1"/>
    <xf numFmtId="0" fontId="26" fillId="0" borderId="7" xfId="0" applyFont="1" applyBorder="1"/>
    <xf numFmtId="0" fontId="22" fillId="4" borderId="7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wrapText="1"/>
    </xf>
    <xf numFmtId="0" fontId="16" fillId="3" borderId="12" xfId="0" applyFont="1" applyFill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0" borderId="20" xfId="0" applyFont="1" applyBorder="1" applyAlignment="1">
      <alignment horizontal="left" vertical="center" wrapText="1" indent="1"/>
    </xf>
    <xf numFmtId="167" fontId="25" fillId="0" borderId="20" xfId="0" applyNumberFormat="1" applyFont="1" applyBorder="1" applyAlignment="1">
      <alignment horizontal="center" vertical="center"/>
    </xf>
    <xf numFmtId="0" fontId="4" fillId="4" borderId="25" xfId="0" applyFont="1" applyFill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/>
    </xf>
    <xf numFmtId="0" fontId="6" fillId="3" borderId="23" xfId="0" applyFont="1" applyFill="1" applyBorder="1" applyAlignment="1">
      <alignment horizontal="left" vertical="center" wrapText="1" indent="1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 wrapText="1" indent="1"/>
    </xf>
    <xf numFmtId="0" fontId="7" fillId="0" borderId="21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4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3" borderId="47" xfId="0" applyFont="1" applyFill="1" applyBorder="1" applyAlignment="1">
      <alignment horizontal="left" vertical="center" wrapText="1" indent="1"/>
    </xf>
    <xf numFmtId="0" fontId="0" fillId="0" borderId="41" xfId="0" applyFont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8" fillId="0" borderId="47" xfId="0" applyFont="1" applyBorder="1" applyAlignment="1">
      <alignment horizontal="left" vertical="center" wrapText="1"/>
    </xf>
    <xf numFmtId="0" fontId="10" fillId="0" borderId="47" xfId="0" applyFont="1" applyBorder="1" applyAlignment="1">
      <alignment horizontal="left" vertical="center" wrapText="1"/>
    </xf>
    <xf numFmtId="0" fontId="0" fillId="0" borderId="29" xfId="0" applyBorder="1"/>
    <xf numFmtId="0" fontId="26" fillId="0" borderId="63" xfId="0" applyFont="1" applyBorder="1" applyAlignment="1">
      <alignment horizontal="left" vertical="center" wrapText="1"/>
    </xf>
    <xf numFmtId="0" fontId="0" fillId="0" borderId="63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12" fillId="0" borderId="30" xfId="0" applyFont="1" applyBorder="1"/>
    <xf numFmtId="0" fontId="12" fillId="0" borderId="31" xfId="0" applyFont="1" applyBorder="1" applyAlignment="1">
      <alignment horizontal="left" vertical="center" wrapText="1" indent="1"/>
    </xf>
    <xf numFmtId="0" fontId="14" fillId="0" borderId="2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indent="1"/>
    </xf>
    <xf numFmtId="0" fontId="13" fillId="0" borderId="17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10" fillId="0" borderId="28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2" fillId="0" borderId="17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Temp/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1"/>
  <sheetViews>
    <sheetView topLeftCell="C1" zoomScaleNormal="100" workbookViewId="0">
      <selection activeCell="H11" sqref="H11"/>
    </sheetView>
  </sheetViews>
  <sheetFormatPr baseColWidth="10" defaultColWidth="11" defaultRowHeight="12.75" x14ac:dyDescent="0.2"/>
  <cols>
    <col min="1" max="1" width="4.5703125" style="41" customWidth="1"/>
    <col min="2" max="2" width="21.7109375" style="41" customWidth="1"/>
    <col min="3" max="3" width="32.42578125" style="41" customWidth="1"/>
    <col min="4" max="4" width="8.42578125" style="41" customWidth="1"/>
    <col min="5" max="5" width="174.5703125" style="41" customWidth="1"/>
    <col min="6" max="6" width="10.5703125" style="41" bestFit="1" customWidth="1"/>
    <col min="7" max="8" width="10.42578125" style="41" bestFit="1" customWidth="1"/>
    <col min="9" max="9" width="15.7109375" style="41" bestFit="1" customWidth="1"/>
    <col min="10" max="16384" width="11" style="41"/>
  </cols>
  <sheetData>
    <row r="2" spans="1:10" ht="27" x14ac:dyDescent="0.35">
      <c r="B2" s="115" t="s">
        <v>0</v>
      </c>
      <c r="C2" s="115"/>
      <c r="D2" s="115"/>
      <c r="E2" s="115"/>
      <c r="F2" s="115"/>
      <c r="G2" s="115"/>
      <c r="H2" s="115"/>
    </row>
    <row r="4" spans="1:10" ht="18" customHeight="1" x14ac:dyDescent="0.25">
      <c r="A4" s="114" t="s">
        <v>1</v>
      </c>
      <c r="B4" s="114"/>
      <c r="C4" s="116" t="s">
        <v>63</v>
      </c>
      <c r="D4" s="116"/>
      <c r="E4" s="116"/>
      <c r="F4" s="42"/>
      <c r="G4" s="43"/>
      <c r="H4" s="42"/>
    </row>
    <row r="5" spans="1:10" ht="18" customHeight="1" x14ac:dyDescent="0.25">
      <c r="A5" s="114" t="s">
        <v>2</v>
      </c>
      <c r="B5" s="114"/>
      <c r="C5" s="116" t="s">
        <v>60</v>
      </c>
      <c r="D5" s="116"/>
      <c r="E5" s="116"/>
      <c r="F5" s="42"/>
      <c r="G5" s="43"/>
      <c r="H5" s="42"/>
    </row>
    <row r="6" spans="1:10" ht="16.5" customHeight="1" x14ac:dyDescent="0.25">
      <c r="A6" s="114" t="s">
        <v>3</v>
      </c>
      <c r="B6" s="114"/>
      <c r="C6" s="60">
        <v>2020</v>
      </c>
      <c r="D6" s="61"/>
      <c r="E6" s="61"/>
      <c r="F6" s="42"/>
      <c r="G6" s="43"/>
      <c r="H6" s="42"/>
    </row>
    <row r="7" spans="1:10" ht="16.5" customHeight="1" x14ac:dyDescent="0.25">
      <c r="A7" s="114" t="s">
        <v>4</v>
      </c>
      <c r="B7" s="114"/>
      <c r="C7" s="60">
        <v>4</v>
      </c>
      <c r="D7" s="61"/>
      <c r="E7" s="61"/>
      <c r="F7" s="42"/>
      <c r="G7" s="43"/>
      <c r="H7" s="42"/>
    </row>
    <row r="8" spans="1:10" ht="13.5" thickBot="1" x14ac:dyDescent="0.25">
      <c r="B8" s="42"/>
      <c r="C8" s="43"/>
      <c r="D8" s="42"/>
      <c r="E8" s="42"/>
      <c r="F8" s="42"/>
      <c r="G8" s="43"/>
      <c r="H8" s="42"/>
    </row>
    <row r="9" spans="1:10" ht="39" thickBot="1" x14ac:dyDescent="0.25">
      <c r="A9" s="87" t="s">
        <v>5</v>
      </c>
      <c r="B9" s="67" t="s">
        <v>6</v>
      </c>
      <c r="C9" s="67" t="s">
        <v>7</v>
      </c>
      <c r="D9" s="88" t="s">
        <v>8</v>
      </c>
      <c r="E9" s="67" t="s">
        <v>9</v>
      </c>
      <c r="F9" s="68" t="s">
        <v>10</v>
      </c>
      <c r="G9" s="69" t="s">
        <v>11</v>
      </c>
      <c r="H9" s="69" t="s">
        <v>12</v>
      </c>
      <c r="I9" s="70" t="s">
        <v>13</v>
      </c>
    </row>
    <row r="10" spans="1:10" x14ac:dyDescent="0.2">
      <c r="A10" s="85">
        <v>1</v>
      </c>
      <c r="B10" s="92" t="s">
        <v>67</v>
      </c>
      <c r="C10" s="86" t="s">
        <v>58</v>
      </c>
      <c r="D10" s="95" t="s">
        <v>64</v>
      </c>
      <c r="E10" s="107" t="s">
        <v>66</v>
      </c>
      <c r="F10" s="72" t="s">
        <v>14</v>
      </c>
      <c r="G10" s="44">
        <v>100000</v>
      </c>
      <c r="H10" s="76">
        <v>360.5</v>
      </c>
      <c r="I10" s="78">
        <f>+H10*G10</f>
        <v>36050000</v>
      </c>
    </row>
    <row r="11" spans="1:10" x14ac:dyDescent="0.2">
      <c r="A11" s="45"/>
      <c r="B11" s="1"/>
      <c r="C11" s="102"/>
      <c r="D11" s="103"/>
      <c r="E11" s="89"/>
      <c r="F11" s="73"/>
      <c r="G11" s="74"/>
      <c r="H11" s="77"/>
      <c r="I11" s="79"/>
    </row>
    <row r="12" spans="1:10" x14ac:dyDescent="0.2">
      <c r="A12" s="45"/>
      <c r="B12" s="66"/>
      <c r="C12" s="66"/>
      <c r="D12" s="96"/>
      <c r="E12" s="66"/>
      <c r="F12" s="73"/>
      <c r="G12" s="74"/>
      <c r="H12" s="77"/>
      <c r="I12" s="79"/>
    </row>
    <row r="13" spans="1:10" x14ac:dyDescent="0.2">
      <c r="A13" s="45"/>
      <c r="B13" s="104"/>
      <c r="C13" s="1"/>
      <c r="D13" s="105"/>
      <c r="E13" s="108"/>
      <c r="F13" s="73"/>
      <c r="G13" s="74"/>
      <c r="H13" s="77"/>
      <c r="I13" s="79"/>
    </row>
    <row r="14" spans="1:10" x14ac:dyDescent="0.2">
      <c r="A14" s="45"/>
      <c r="B14" s="93"/>
      <c r="C14" s="66"/>
      <c r="D14" s="95"/>
      <c r="E14" s="94"/>
      <c r="F14" s="73"/>
      <c r="G14" s="74"/>
      <c r="H14" s="77"/>
      <c r="I14" s="79"/>
    </row>
    <row r="15" spans="1:10" ht="13.5" thickBot="1" x14ac:dyDescent="0.25">
      <c r="A15" s="46"/>
      <c r="B15" s="109"/>
      <c r="C15" s="71"/>
      <c r="D15" s="97"/>
      <c r="E15" s="110"/>
      <c r="F15" s="111"/>
      <c r="G15" s="75"/>
      <c r="H15" s="101"/>
      <c r="I15" s="100"/>
    </row>
    <row r="16" spans="1:10" x14ac:dyDescent="0.2">
      <c r="I16" s="99"/>
      <c r="J16" s="99"/>
    </row>
    <row r="18" spans="2:5" x14ac:dyDescent="0.2">
      <c r="B18" s="47" t="s">
        <v>15</v>
      </c>
      <c r="C18" s="48"/>
      <c r="D18" s="48"/>
      <c r="E18" s="49"/>
    </row>
    <row r="19" spans="2:5" ht="5.25" customHeight="1" x14ac:dyDescent="0.2">
      <c r="B19" s="50"/>
      <c r="C19" s="51"/>
      <c r="D19" s="51"/>
      <c r="E19" s="52"/>
    </row>
    <row r="20" spans="2:5" x14ac:dyDescent="0.2">
      <c r="B20" s="53" t="s">
        <v>16</v>
      </c>
      <c r="C20" s="51"/>
      <c r="D20" s="51"/>
      <c r="E20" s="52"/>
    </row>
    <row r="21" spans="2:5" ht="41.25" customHeight="1" x14ac:dyDescent="0.2">
      <c r="B21" s="53"/>
      <c r="C21" s="112"/>
      <c r="D21" s="112"/>
      <c r="E21" s="112"/>
    </row>
    <row r="22" spans="2:5" x14ac:dyDescent="0.2">
      <c r="B22" s="53" t="s">
        <v>17</v>
      </c>
      <c r="C22" s="51"/>
      <c r="D22" s="51"/>
      <c r="E22" s="52"/>
    </row>
    <row r="23" spans="2:5" x14ac:dyDescent="0.2">
      <c r="B23" s="54"/>
      <c r="C23" s="113" t="s">
        <v>68</v>
      </c>
      <c r="D23" s="113"/>
      <c r="E23" s="113"/>
    </row>
    <row r="24" spans="2:5" x14ac:dyDescent="0.2">
      <c r="B24" s="54"/>
      <c r="C24" s="113" t="s">
        <v>69</v>
      </c>
      <c r="D24" s="113"/>
      <c r="E24" s="113"/>
    </row>
    <row r="25" spans="2:5" x14ac:dyDescent="0.2">
      <c r="B25" s="53" t="s">
        <v>18</v>
      </c>
      <c r="C25" s="51"/>
      <c r="D25" s="51"/>
      <c r="E25" s="52"/>
    </row>
    <row r="26" spans="2:5" ht="26.25" customHeight="1" x14ac:dyDescent="0.2">
      <c r="B26" s="54"/>
      <c r="C26" s="112" t="s">
        <v>62</v>
      </c>
      <c r="D26" s="112"/>
      <c r="E26" s="112"/>
    </row>
    <row r="27" spans="2:5" x14ac:dyDescent="0.2">
      <c r="B27" s="53" t="s">
        <v>19</v>
      </c>
      <c r="C27" s="55"/>
      <c r="D27" s="55"/>
      <c r="E27" s="56"/>
    </row>
    <row r="28" spans="2:5" ht="26.25" customHeight="1" x14ac:dyDescent="0.2">
      <c r="B28" s="54"/>
      <c r="C28" s="112" t="s">
        <v>70</v>
      </c>
      <c r="D28" s="112"/>
      <c r="E28" s="112"/>
    </row>
    <row r="29" spans="2:5" x14ac:dyDescent="0.2">
      <c r="B29" s="53" t="s">
        <v>20</v>
      </c>
      <c r="C29" s="51"/>
      <c r="D29" s="51"/>
      <c r="E29" s="52"/>
    </row>
    <row r="30" spans="2:5" ht="23.25" customHeight="1" x14ac:dyDescent="0.2">
      <c r="B30" s="53"/>
      <c r="C30" s="113" t="s">
        <v>61</v>
      </c>
      <c r="D30" s="113"/>
      <c r="E30" s="113"/>
    </row>
    <row r="31" spans="2:5" x14ac:dyDescent="0.2">
      <c r="B31" s="57"/>
      <c r="C31" s="58"/>
      <c r="D31" s="58"/>
      <c r="E31" s="59"/>
    </row>
  </sheetData>
  <mergeCells count="13">
    <mergeCell ref="B2:H2"/>
    <mergeCell ref="A4:B4"/>
    <mergeCell ref="C4:E4"/>
    <mergeCell ref="A5:B5"/>
    <mergeCell ref="C5:E5"/>
    <mergeCell ref="C26:E26"/>
    <mergeCell ref="C28:E28"/>
    <mergeCell ref="C30:E30"/>
    <mergeCell ref="A6:B6"/>
    <mergeCell ref="A7:B7"/>
    <mergeCell ref="C21:E21"/>
    <mergeCell ref="C23:E23"/>
    <mergeCell ref="C24:E24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zoomScale="110" zoomScaleNormal="110" workbookViewId="0">
      <selection activeCell="K2" sqref="K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125" t="s">
        <v>21</v>
      </c>
      <c r="B1" s="125"/>
      <c r="C1" s="125"/>
      <c r="D1" s="125"/>
      <c r="E1" s="125"/>
      <c r="F1" s="125"/>
      <c r="G1" s="125"/>
      <c r="H1" s="125"/>
      <c r="I1" s="125"/>
      <c r="J1" s="3" t="s">
        <v>22</v>
      </c>
      <c r="K1" s="4" t="s">
        <v>78</v>
      </c>
    </row>
    <row r="2" spans="1:1024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024" ht="18.75" customHeight="1" thickBot="1" x14ac:dyDescent="0.25">
      <c r="A3" s="126" t="s">
        <v>55</v>
      </c>
      <c r="B3" s="126"/>
      <c r="C3" s="126"/>
      <c r="D3" s="127" t="str">
        <f>'Necesidades Trimestrales'!C4</f>
        <v>45- Ministerio de Desarrollo Social y Deporte.-</v>
      </c>
      <c r="E3" s="127"/>
      <c r="F3" s="127"/>
      <c r="G3" s="127"/>
      <c r="H3" s="127"/>
      <c r="I3" s="127"/>
      <c r="J3" s="127"/>
      <c r="K3" s="127"/>
    </row>
    <row r="4" spans="1:1024" ht="18.75" customHeight="1" thickBot="1" x14ac:dyDescent="0.25">
      <c r="A4" s="128" t="s">
        <v>56</v>
      </c>
      <c r="B4" s="128"/>
      <c r="C4" s="128"/>
      <c r="D4" s="127" t="str">
        <f>'Necesidades Trimestrales'!C5</f>
        <v>25- Direccion Provincial de Gestion Administracion y RRHH</v>
      </c>
      <c r="E4" s="127"/>
      <c r="F4" s="127"/>
      <c r="G4" s="127"/>
      <c r="H4" s="127"/>
      <c r="I4" s="127"/>
      <c r="J4" s="127"/>
      <c r="K4" s="127"/>
    </row>
    <row r="5" spans="1:1024" ht="18.75" customHeight="1" thickBot="1" x14ac:dyDescent="0.25">
      <c r="A5" s="128" t="s">
        <v>34</v>
      </c>
      <c r="B5" s="128"/>
      <c r="C5" s="128"/>
      <c r="D5" s="127" t="s">
        <v>71</v>
      </c>
      <c r="E5" s="127"/>
      <c r="F5" s="127"/>
      <c r="G5" s="127"/>
      <c r="H5" s="127"/>
      <c r="I5" s="127"/>
      <c r="J5" s="127"/>
      <c r="K5" s="127"/>
    </row>
    <row r="6" spans="1:1024" ht="16.5" customHeight="1" thickBot="1" x14ac:dyDescent="0.25">
      <c r="A6" s="126" t="s">
        <v>57</v>
      </c>
      <c r="B6" s="126"/>
      <c r="C6" s="126"/>
      <c r="D6" s="127" t="s">
        <v>72</v>
      </c>
      <c r="E6" s="127"/>
      <c r="F6" s="127"/>
      <c r="G6" s="127"/>
      <c r="H6" s="127"/>
      <c r="I6" s="127"/>
      <c r="J6" s="127"/>
      <c r="K6" s="127"/>
    </row>
    <row r="7" spans="1:1024" ht="16.5" customHeight="1" x14ac:dyDescent="0.2">
      <c r="A7" s="128" t="s">
        <v>23</v>
      </c>
      <c r="B7" s="128"/>
      <c r="C7" s="128"/>
      <c r="D7" s="127" t="str">
        <f>'Necesidades Trimestrales'!C7 &amp; "° Trimestre - Año " &amp; 'Necesidades Trimestrales'!C6</f>
        <v>4° Trimestre - Año 2020</v>
      </c>
      <c r="E7" s="127"/>
      <c r="F7" s="127"/>
      <c r="G7" s="127"/>
      <c r="H7" s="127"/>
      <c r="I7" s="127"/>
      <c r="J7" s="127"/>
      <c r="K7" s="127"/>
    </row>
    <row r="8" spans="1:1024" ht="40.5" customHeight="1" x14ac:dyDescent="0.2">
      <c r="A8" s="120" t="s">
        <v>24</v>
      </c>
      <c r="B8" s="120"/>
      <c r="C8" s="120"/>
      <c r="D8" s="121" t="s">
        <v>74</v>
      </c>
      <c r="E8" s="121"/>
      <c r="F8" s="121"/>
      <c r="G8" s="121"/>
      <c r="H8" s="121"/>
      <c r="I8" s="121"/>
      <c r="J8" s="121"/>
      <c r="K8" s="121"/>
    </row>
    <row r="9" spans="1:1024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024" ht="18.75" customHeight="1" x14ac:dyDescent="0.2">
      <c r="A10" s="122" t="s">
        <v>25</v>
      </c>
      <c r="B10" s="123" t="s">
        <v>26</v>
      </c>
      <c r="C10" s="123" t="s">
        <v>27</v>
      </c>
      <c r="D10" s="123"/>
      <c r="E10" s="123"/>
      <c r="F10" s="123"/>
      <c r="G10" s="123"/>
      <c r="H10" s="123" t="s">
        <v>28</v>
      </c>
      <c r="I10" s="123" t="s">
        <v>29</v>
      </c>
      <c r="J10" s="123" t="s">
        <v>30</v>
      </c>
      <c r="K10" s="124" t="s">
        <v>31</v>
      </c>
    </row>
    <row r="11" spans="1:1024" ht="24" customHeight="1" x14ac:dyDescent="0.2">
      <c r="A11" s="122"/>
      <c r="B11" s="123"/>
      <c r="C11" s="123"/>
      <c r="D11" s="123"/>
      <c r="E11" s="123"/>
      <c r="F11" s="123"/>
      <c r="G11" s="123"/>
      <c r="H11" s="123"/>
      <c r="I11" s="123"/>
      <c r="J11" s="123"/>
      <c r="K11" s="124"/>
    </row>
    <row r="12" spans="1:1024" ht="42" customHeight="1" thickBot="1" x14ac:dyDescent="0.25">
      <c r="A12" s="9">
        <v>1</v>
      </c>
      <c r="B12" s="62" t="str">
        <f>'Necesidades Trimestrales'!B10</f>
        <v>2.1.1-705.93</v>
      </c>
      <c r="C12" s="119" t="str">
        <f>'Necesidades Trimestrales'!E10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12" s="119"/>
      <c r="E12" s="119"/>
      <c r="F12" s="119"/>
      <c r="G12" s="119"/>
      <c r="H12" s="10" t="s">
        <v>65</v>
      </c>
      <c r="I12" s="63" t="str">
        <f>'Necesidades Trimestrales'!F10</f>
        <v>UNIDAD</v>
      </c>
      <c r="J12" s="64">
        <f>'Necesidades Trimestrales'!H10</f>
        <v>360.5</v>
      </c>
      <c r="K12" s="65">
        <f>'Necesidades Trimestrales'!G10</f>
        <v>100000</v>
      </c>
    </row>
    <row r="13" spans="1:1024" ht="41.25" customHeight="1" thickBot="1" x14ac:dyDescent="0.25">
      <c r="A13" s="11"/>
      <c r="B13" s="62"/>
      <c r="C13" s="119"/>
      <c r="D13" s="119"/>
      <c r="E13" s="119"/>
      <c r="F13" s="119"/>
      <c r="G13" s="119"/>
      <c r="H13" s="10"/>
      <c r="I13" s="63"/>
      <c r="J13" s="64"/>
      <c r="K13" s="65"/>
    </row>
    <row r="14" spans="1:1024" s="98" customFormat="1" ht="30.75" customHeight="1" thickBot="1" x14ac:dyDescent="0.25">
      <c r="A14" s="11"/>
      <c r="B14" s="62"/>
      <c r="C14" s="119"/>
      <c r="D14" s="119"/>
      <c r="E14" s="119"/>
      <c r="F14" s="119"/>
      <c r="G14" s="119"/>
      <c r="H14" s="90"/>
      <c r="I14" s="91"/>
      <c r="J14" s="64"/>
      <c r="K14" s="6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</row>
    <row r="15" spans="1:1024" ht="26.25" customHeight="1" thickBot="1" x14ac:dyDescent="0.25">
      <c r="A15" s="117" t="s">
        <v>75</v>
      </c>
      <c r="B15" s="117"/>
      <c r="C15" s="117"/>
      <c r="D15" s="117"/>
      <c r="E15" s="117"/>
      <c r="F15" s="117"/>
      <c r="G15" s="117"/>
      <c r="H15" s="117"/>
      <c r="I15" s="117"/>
      <c r="J15" s="118">
        <f>+J12*K12</f>
        <v>36050000</v>
      </c>
      <c r="K15" s="118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5:I15"/>
    <mergeCell ref="J15:K15"/>
    <mergeCell ref="C12:G12"/>
    <mergeCell ref="C13:G13"/>
    <mergeCell ref="C14:G14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8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abSelected="1" topLeftCell="A7" zoomScale="130" zoomScaleNormal="130" workbookViewId="0">
      <selection activeCell="O17" sqref="O17:P1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2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154" t="s">
        <v>3</v>
      </c>
      <c r="B1" s="154"/>
      <c r="C1" s="154"/>
      <c r="D1" s="155">
        <f>'Necesidades Trimestrales'!C6</f>
        <v>2020</v>
      </c>
      <c r="E1" s="155"/>
      <c r="F1" s="13"/>
      <c r="G1" s="13"/>
      <c r="H1" s="14"/>
      <c r="I1" s="14"/>
      <c r="J1" s="14"/>
      <c r="K1" s="14"/>
      <c r="L1" s="14"/>
      <c r="M1" s="14"/>
      <c r="N1" s="14"/>
      <c r="P1" s="156" t="s">
        <v>32</v>
      </c>
      <c r="Q1" s="156"/>
    </row>
    <row r="2" spans="1:17" ht="15.75" customHeight="1" x14ac:dyDescent="0.2">
      <c r="H2" s="14"/>
      <c r="I2" s="14"/>
      <c r="J2" s="14"/>
      <c r="K2" s="14"/>
      <c r="L2" s="14"/>
      <c r="M2" s="14"/>
      <c r="N2" s="14"/>
      <c r="P2" s="156"/>
      <c r="Q2" s="156"/>
    </row>
    <row r="4" spans="1:17" s="15" customFormat="1" ht="18" customHeight="1" thickBot="1" x14ac:dyDescent="0.25">
      <c r="A4" s="157" t="s">
        <v>33</v>
      </c>
      <c r="B4" s="157"/>
      <c r="C4" s="157"/>
      <c r="D4" s="157"/>
      <c r="E4" s="157"/>
      <c r="F4" s="157"/>
      <c r="G4" s="152" t="str">
        <f>' NotaPedido'!D3</f>
        <v>45- Ministerio de Desarrollo Social y Deporte.-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s="15" customFormat="1" ht="18" customHeight="1" thickBot="1" x14ac:dyDescent="0.25">
      <c r="A5" s="149" t="s">
        <v>56</v>
      </c>
      <c r="B5" s="150"/>
      <c r="C5" s="150"/>
      <c r="D5" s="150"/>
      <c r="E5" s="150"/>
      <c r="F5" s="151"/>
      <c r="G5" s="152" t="str">
        <f>' NotaPedido'!D4</f>
        <v>25- Direccion Provincial de Gestion Administracion y RRHH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s="15" customFormat="1" ht="18" customHeight="1" thickBot="1" x14ac:dyDescent="0.25">
      <c r="A6" s="149" t="s">
        <v>34</v>
      </c>
      <c r="B6" s="150"/>
      <c r="C6" s="150"/>
      <c r="D6" s="150"/>
      <c r="E6" s="150"/>
      <c r="F6" s="151"/>
      <c r="G6" s="152" t="s">
        <v>71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</row>
    <row r="7" spans="1:17" s="15" customFormat="1" ht="18" customHeight="1" thickBot="1" x14ac:dyDescent="0.25">
      <c r="A7" s="149" t="s">
        <v>57</v>
      </c>
      <c r="B7" s="150"/>
      <c r="C7" s="150"/>
      <c r="D7" s="150"/>
      <c r="E7" s="150"/>
      <c r="F7" s="151"/>
      <c r="G7" s="152" t="s">
        <v>73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</row>
    <row r="8" spans="1:17" ht="18" customHeight="1" thickBot="1" x14ac:dyDescent="0.25">
      <c r="A8" s="153" t="s">
        <v>35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</row>
    <row r="9" spans="1:17" ht="18" customHeight="1" x14ac:dyDescent="0.2">
      <c r="A9" s="143" t="s">
        <v>36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"/>
      <c r="P9" s="1"/>
      <c r="Q9" s="16"/>
    </row>
    <row r="10" spans="1:17" ht="54.75" customHeight="1" x14ac:dyDescent="0.2">
      <c r="A10" s="14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305/20,  afectando la erogación resultante a los créditos presupuestarios aprobados a favor de esta Unidad Ejecutora, conforme al siguiente detalle: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7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7" ht="15.75" customHeight="1" x14ac:dyDescent="0.2">
      <c r="A12" s="145" t="s">
        <v>37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</row>
    <row r="13" spans="1:17" ht="15.75" customHeight="1" x14ac:dyDescent="0.2">
      <c r="A13" s="146" t="s">
        <v>38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7" t="s">
        <v>39</v>
      </c>
      <c r="P13" s="147"/>
      <c r="Q13" s="148" t="s">
        <v>40</v>
      </c>
    </row>
    <row r="14" spans="1:17" ht="15.75" customHeight="1" x14ac:dyDescent="0.2">
      <c r="A14" s="21" t="s">
        <v>41</v>
      </c>
      <c r="B14" s="22" t="s">
        <v>42</v>
      </c>
      <c r="C14" s="22" t="s">
        <v>43</v>
      </c>
      <c r="D14" s="22" t="s">
        <v>44</v>
      </c>
      <c r="E14" s="22" t="s">
        <v>45</v>
      </c>
      <c r="F14" s="22" t="s">
        <v>46</v>
      </c>
      <c r="G14" s="23" t="s">
        <v>47</v>
      </c>
      <c r="H14" s="22" t="s">
        <v>48</v>
      </c>
      <c r="I14" s="22" t="s">
        <v>49</v>
      </c>
      <c r="J14" s="22" t="s">
        <v>50</v>
      </c>
      <c r="K14" s="22" t="s">
        <v>50</v>
      </c>
      <c r="L14" s="22" t="s">
        <v>51</v>
      </c>
      <c r="M14" s="24" t="s">
        <v>52</v>
      </c>
      <c r="N14" s="25" t="s">
        <v>53</v>
      </c>
      <c r="O14" s="147"/>
      <c r="P14" s="147"/>
      <c r="Q14" s="148"/>
    </row>
    <row r="15" spans="1:17" ht="17.25" customHeight="1" x14ac:dyDescent="0.2">
      <c r="A15" s="81">
        <v>16</v>
      </c>
      <c r="B15" s="82"/>
      <c r="C15" s="82"/>
      <c r="D15" s="82">
        <v>2</v>
      </c>
      <c r="E15" s="82"/>
      <c r="F15" s="82">
        <v>4901</v>
      </c>
      <c r="G15" s="82">
        <v>1</v>
      </c>
      <c r="H15" s="82">
        <v>4</v>
      </c>
      <c r="I15" s="106" t="str">
        <f>LEFT('[1]Necesidades Trimestrales'!D10,1)</f>
        <v>2</v>
      </c>
      <c r="J15" s="106">
        <v>1</v>
      </c>
      <c r="K15" s="106">
        <v>1</v>
      </c>
      <c r="L15" s="82"/>
      <c r="M15" s="83">
        <v>1</v>
      </c>
      <c r="N15" s="82">
        <v>1.1000000000000001</v>
      </c>
      <c r="O15" s="140" t="s">
        <v>59</v>
      </c>
      <c r="P15" s="141"/>
      <c r="Q15" s="84">
        <v>36050000</v>
      </c>
    </row>
    <row r="16" spans="1:17" ht="17.25" customHeight="1" x14ac:dyDescent="0.2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7"/>
      <c r="O16" s="142"/>
      <c r="P16" s="142"/>
      <c r="Q16" s="80"/>
    </row>
    <row r="17" spans="1:18" ht="17.25" customHeight="1" x14ac:dyDescent="0.2">
      <c r="A17" s="26"/>
      <c r="B17" s="27"/>
      <c r="C17" s="27"/>
      <c r="D17" s="27"/>
      <c r="E17" s="27"/>
      <c r="F17" s="29"/>
      <c r="G17" s="27"/>
      <c r="H17" s="27"/>
      <c r="I17" s="27"/>
      <c r="J17" s="27"/>
      <c r="K17" s="27"/>
      <c r="L17" s="27"/>
      <c r="M17" s="28"/>
      <c r="N17" s="29"/>
      <c r="O17" s="134"/>
      <c r="P17" s="134"/>
      <c r="Q17" s="30"/>
    </row>
    <row r="18" spans="1:18" ht="17.25" customHeight="1" x14ac:dyDescent="0.2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9"/>
      <c r="O18" s="134"/>
      <c r="P18" s="134"/>
      <c r="Q18" s="30"/>
    </row>
    <row r="19" spans="1:18" ht="17.25" customHeight="1" x14ac:dyDescent="0.2">
      <c r="A19" s="26"/>
      <c r="B19" s="27"/>
      <c r="C19" s="27"/>
      <c r="D19" s="27"/>
      <c r="E19" s="27"/>
      <c r="F19" s="29"/>
      <c r="G19" s="27"/>
      <c r="H19" s="27"/>
      <c r="I19" s="27"/>
      <c r="J19" s="27"/>
      <c r="K19" s="27"/>
      <c r="L19" s="27"/>
      <c r="M19" s="28"/>
      <c r="N19" s="29"/>
      <c r="O19" s="134"/>
      <c r="P19" s="134"/>
      <c r="Q19" s="30"/>
    </row>
    <row r="20" spans="1:18" ht="17.25" customHeight="1" x14ac:dyDescent="0.2">
      <c r="A20" s="26"/>
      <c r="B20" s="27"/>
      <c r="C20" s="27"/>
      <c r="D20" s="27"/>
      <c r="E20" s="27"/>
      <c r="F20" s="29"/>
      <c r="G20" s="27"/>
      <c r="H20" s="27"/>
      <c r="I20" s="27"/>
      <c r="J20" s="27"/>
      <c r="K20" s="27"/>
      <c r="L20" s="27"/>
      <c r="M20" s="28"/>
      <c r="N20" s="29"/>
      <c r="O20" s="134"/>
      <c r="P20" s="134"/>
      <c r="Q20" s="30"/>
    </row>
    <row r="21" spans="1:18" ht="17.25" customHeight="1" x14ac:dyDescent="0.2">
      <c r="A21" s="31"/>
      <c r="B21" s="32"/>
      <c r="C21" s="32"/>
      <c r="D21" s="32"/>
      <c r="E21" s="32"/>
      <c r="F21" s="33"/>
      <c r="G21" s="32"/>
      <c r="H21" s="32"/>
      <c r="I21" s="32"/>
      <c r="J21" s="32"/>
      <c r="K21" s="32"/>
      <c r="L21" s="32"/>
      <c r="M21" s="34"/>
      <c r="N21" s="35"/>
      <c r="O21" s="135"/>
      <c r="P21" s="135"/>
      <c r="Q21" s="30"/>
      <c r="R21" s="1"/>
    </row>
    <row r="22" spans="1:18" ht="17.25" customHeight="1" x14ac:dyDescent="0.2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8"/>
      <c r="N22" s="37"/>
      <c r="O22" s="136"/>
      <c r="P22" s="136"/>
      <c r="Q22" s="39"/>
    </row>
    <row r="23" spans="1:18" ht="32.25" customHeight="1" x14ac:dyDescent="0.2">
      <c r="A23" s="137" t="s">
        <v>76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40">
        <f>SUM(Q15:Q22)</f>
        <v>36050000</v>
      </c>
    </row>
    <row r="24" spans="1:18" ht="18" customHeight="1" thickBot="1" x14ac:dyDescent="0.25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</row>
    <row r="25" spans="1:18" ht="17.25" customHeight="1" thickBot="1" x14ac:dyDescent="0.25">
      <c r="A25" s="129" t="s">
        <v>54</v>
      </c>
      <c r="B25" s="130"/>
      <c r="C25" s="130"/>
      <c r="D25" s="130"/>
      <c r="E25" s="130"/>
      <c r="F25" s="131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</row>
    <row r="26" spans="1:18" ht="18" customHeight="1" thickBot="1" x14ac:dyDescent="0.25">
      <c r="A26" s="133" t="s">
        <v>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</row>
    <row r="27" spans="1:18" ht="15" customHeight="1" x14ac:dyDescent="0.2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USUARIO</cp:lastModifiedBy>
  <cp:revision>2</cp:revision>
  <cp:lastPrinted>2020-08-11T14:41:53Z</cp:lastPrinted>
  <dcterms:created xsi:type="dcterms:W3CDTF">2020-07-17T23:44:49Z</dcterms:created>
  <dcterms:modified xsi:type="dcterms:W3CDTF">2021-08-17T16:36:51Z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