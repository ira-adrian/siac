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Trimestrales'!$A$9:$I$51</definedName>
    <definedName name="_xlnm.Print_Area" localSheetId="2">'Autor Gastar'!$A$1:$Q$27</definedName>
    <definedName name="_xlnm.Print_Area" localSheetId="1">NotaPedido!$A$1:$K$54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Q23" i="3"/>
  <c r="D29" i="1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D51" i="1" l="1"/>
  <c r="D50" i="1"/>
  <c r="D49" i="1"/>
  <c r="D48" i="1" l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8" i="1"/>
  <c r="D27" i="1"/>
  <c r="D26" i="1"/>
  <c r="D25" i="1"/>
  <c r="D24" i="1"/>
  <c r="D23" i="1"/>
  <c r="D22" i="1"/>
  <c r="D21" i="1"/>
  <c r="D20" i="1"/>
  <c r="D19" i="1"/>
  <c r="D18" i="1"/>
  <c r="I10" i="1"/>
  <c r="A26" i="3" l="1"/>
  <c r="A10" i="3"/>
  <c r="K12" i="2"/>
  <c r="J12" i="2"/>
  <c r="I12" i="2"/>
  <c r="C12" i="2"/>
  <c r="B12" i="2"/>
  <c r="J54" i="2" l="1"/>
  <c r="G6" i="3" l="1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<sst xmlns="http://schemas.openxmlformats.org/spreadsheetml/2006/main" count="474" uniqueCount="206">
  <si>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</si>
  <si>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</si>
  <si>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</si>
  <si>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</si>
  <si>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</si>
  <si>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</si>
  <si>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</si>
  <si>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</si>
  <si>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</si>
  <si>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</si>
  <si>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</si>
  <si>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</si>
  <si>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</si>
  <si>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</si>
  <si>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</si>
  <si>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</si>
  <si>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</si>
  <si>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</si>
  <si>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</si>
  <si>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</si>
  <si>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</si>
  <si>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</si>
  <si>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</si>
  <si>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</si>
  <si>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</si>
  <si>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</si>
  <si>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</si>
  <si>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</si>
  <si>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</si>
  <si>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</si>
  <si>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</si>
  <si>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</si>
  <si>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</si>
  <si>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</si>
  <si>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</si>
  <si>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</si>
  <si>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</si>
  <si>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</si>
  <si>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</si>
  <si>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</si>
  <si>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</si>
  <si>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</si>
  <si>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</si>
  <si>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</si>
  <si>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</si>
  <si>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</si>
  <si>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</si>
  <si>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</si>
  <si>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</si>
  <si>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</si>
  <si>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</si>
  <si>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</si>
  <si>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</si>
  <si>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</si>
  <si>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</si>
  <si>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</si>
  <si>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</si>
  <si>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</si>
  <si>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</si>
  <si>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</si>
  <si>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Compuestos Quimicos</t>
  </si>
  <si>
    <t xml:space="preserve">45 dias habiles </t>
  </si>
  <si>
    <t>3.1</t>
  </si>
  <si>
    <t>1.1</t>
  </si>
  <si>
    <t>2.9.1-6951.28</t>
  </si>
  <si>
    <t>ELEMENTOS DE LIMPIEZA</t>
  </si>
  <si>
    <t>LIMPIADORES; TIPO: LAVANDINA, PRESENTACION: ENVASE X 1 L</t>
  </si>
  <si>
    <t>LITRO</t>
  </si>
  <si>
    <t>2.9.1-6951.203</t>
  </si>
  <si>
    <t>LIMPIADORES; TIPO: DESODORANTE LIQUIDO , PRESENTACION: ENVASE X 1 L</t>
  </si>
  <si>
    <t>2.9.1-6951.214</t>
  </si>
  <si>
    <t>LIMPIADORES; TIPO: DETERGENTE NEUTRO, PRESENTACION: ENVASE X 5 L</t>
  </si>
  <si>
    <t>2.9.1-6952.61</t>
  </si>
  <si>
    <t>CEPILLOS; TIPO: ESCOBA REFORZADA, MATERIAL: PLASTICO</t>
  </si>
  <si>
    <t xml:space="preserve">UNIDAD </t>
  </si>
  <si>
    <t>2.9.1-1083.10</t>
  </si>
  <si>
    <t>ESPONJA DE ACERO; PESO: 80 GR, MATERIAL: ACERO INOXIDABLE</t>
  </si>
  <si>
    <t>UNIDAD</t>
  </si>
  <si>
    <t>2.9.1-1164.10</t>
  </si>
  <si>
    <t>ESPONJAS; MATERIAL: ESPONJA NATURAL, USO: P/COCINA, FORMA: RECTANGULAR, COLOR: AMARILLO, ADITAMENTO: SIN VALOR, LARGO X ANCHO X ESP: 9,7 X 5,7 Cm</t>
  </si>
  <si>
    <t>2.9.1-714.3</t>
  </si>
  <si>
    <t>FRANELAS; DIMENSION: 50 X 45 Cm</t>
  </si>
  <si>
    <t>2.9.1-761.8</t>
  </si>
  <si>
    <t>PAR</t>
  </si>
  <si>
    <t>2.9.1-761.5</t>
  </si>
  <si>
    <t>2.5.1-9004.1235</t>
  </si>
  <si>
    <t>QUIMICOS</t>
  </si>
  <si>
    <t>SALES; COMPUESTO QUIMICO: HIPOCLORITO DE SODIO, ESTADO: SOLUCION, CALIDAD: COMERCIAL, CONCENTRACION/PUREZA: 100 GR/L, PRESENTACION: ENVASE X 5 L, GRADO HIDRATACION: SOLUCION</t>
  </si>
  <si>
    <t xml:space="preserve"> EN ENVASE OSCURO Y ESTIBADO EN CAJAS</t>
  </si>
  <si>
    <t>2.9.4-719.7</t>
  </si>
  <si>
    <t>BAZAR Y MENAJE</t>
  </si>
  <si>
    <t>JARRAS; CAPACIDAD: 1000 mL, MATERIAL: PLASTICO</t>
  </si>
  <si>
    <t>2.9.1-6960.27</t>
  </si>
  <si>
    <t>ELEM. LIMPIEZA P/INDUMENTARIA; TIPO: JABON EN PAN, PRESENTACION: 200 GR</t>
  </si>
  <si>
    <t xml:space="preserve"> JABON NEUTRO</t>
  </si>
  <si>
    <t>2.9.1-6956.73</t>
  </si>
  <si>
    <t>ARTICULOS DE TOCADOR; TIPO: JABON LIQUIDO, PRESENTACION: ENVASE X 5 L</t>
  </si>
  <si>
    <t>2.9.1-6960.20</t>
  </si>
  <si>
    <t>ELEM. LIMPIEZA P/INDUMENTARIA; TIPO: JABON EN POLVO, PRESENTACION: ENVASE X 3 Kg</t>
  </si>
  <si>
    <t>PAQUETE</t>
  </si>
  <si>
    <t>JABON BAJA ESPUMA SIN SUAVIZANTE</t>
  </si>
  <si>
    <t>2.5.4-505.13</t>
  </si>
  <si>
    <t>DESINFECTANTES; CAPACIDAD: 5 L, USO P/CONTROL: BACTERIAS, PRINCIPIO ACTIVO: SAL AMONIO CUATERNARIO, PRESENTACION: ENVASE X 5 L, CONTROL: BACTERIAS</t>
  </si>
  <si>
    <t>2.9.1-6951.116</t>
  </si>
  <si>
    <t>LIMPIADORES; TIPO: LIMPIAVIDRIOS, PRESENTACION: ENVASE X 5 L</t>
  </si>
  <si>
    <t>2.9.1-6951.110</t>
  </si>
  <si>
    <t>LIMPIADORES; TIPO: SECUESTRANTE DE POLVO, PRESENTACION: ENVASE X 5 L</t>
  </si>
  <si>
    <t>2.9.1-6950.30</t>
  </si>
  <si>
    <t>LUSTRADORES; TIPO: LUSTRAMUEBLES, PRESENTACION: AEROSOL X 360 CM3</t>
  </si>
  <si>
    <t>2.9.1-544.12</t>
  </si>
  <si>
    <t>DESODORANTES DE AMBIENTE; CONTENIDO: 440 CM3, FRAGANCIA: CAMPOS DE LAVANDA, FORMATO: AEROSOL, PRESENTACION: CAJA X 24, LIBRE DE CFC: SI</t>
  </si>
  <si>
    <t>CAJA</t>
  </si>
  <si>
    <t>2.3.4-786.51</t>
  </si>
  <si>
    <t>PAPEL HIGIENICO; PRESENTACION: PAQUETE X 4 UN, TIPO: PRECORTADO, HOJA: SIMPLE, ANCHO: 10 Cm, LARGO: 30 M, MATERIAL HOJA: SIMPLE, TIPO DE HOJA: SIMPLE</t>
  </si>
  <si>
    <t>2.9.1-683.6</t>
  </si>
  <si>
    <t>SECADORES DE GOMA; COLOR: NEGRO, LARGO: 50 Cm</t>
  </si>
  <si>
    <t>2.9.1-683.4</t>
  </si>
  <si>
    <t>SECADORES DE GOMA; LARGO: 80 Cm, COLOR: ROJO</t>
  </si>
  <si>
    <t>2.9.1-1156.3</t>
  </si>
  <si>
    <t>PLUMEROS; PLUMA: NATURAL, CLASE: MEDIO, MATERIAL MANGO: MADERA, LARGO MANGO: 40 Cm, Nº VUELTAS PENACHO: 3, TIPO: MEDIO</t>
  </si>
  <si>
    <t>2.9.1-1156.8</t>
  </si>
  <si>
    <t>PLUMEROS; PLUMA: SINTETICA, CLASE: PARA TECHO, MATERIAL MANGO: METAL, LARGO MANGO: EXTENSIBLE, Nº VUELTAS PENACHO: 3, TIPO: PARA TECHO</t>
  </si>
  <si>
    <t>2.9.1-6951.174</t>
  </si>
  <si>
    <t>LIMPIADORES; TIPO: POLVO LIMPIADOR, PRESENTACION: ENVASE X 400 GR</t>
  </si>
  <si>
    <t>2.9.1-6951.80</t>
  </si>
  <si>
    <t>LIMPIADORES; TIPO: QUITASARRO, PRESENTACION: ENVASE X 500 CM3</t>
  </si>
  <si>
    <t>2.9.1-8853.3</t>
  </si>
  <si>
    <t>MOPAS; LARGO MANGO: 1 M, MATERIAL: ALGODON</t>
  </si>
  <si>
    <t>2.9.1-6960.1</t>
  </si>
  <si>
    <t>ELEM. LIMPIEZA P/INDUMENTARIA; TIPO: SUAVIZANTE P/ROPA, PRESENTACION: ENVASE X 5 L</t>
  </si>
  <si>
    <t>2.9.1-6951.60</t>
  </si>
  <si>
    <t>LIMPIADORES; TIPO: DESENGRASANTE, PRESENTACION: ENVASE X 5 L</t>
  </si>
  <si>
    <t>2.9.1-713.5</t>
  </si>
  <si>
    <t>TRAPOS DE PISO; COLOR: BLANCO, DIMENSION: 60 X 70 Cm</t>
  </si>
  <si>
    <t>2.9.1-678.7</t>
  </si>
  <si>
    <t>TRAPOS REJILLA; DIMENSION: 40 X 50 Cm, COLOR: SIN VALOR, MATERIAL: ALGODON</t>
  </si>
  <si>
    <t>2.9.1-646.18</t>
  </si>
  <si>
    <t>BOLSAS DE RESIDUOS; COLOR: OBSCURO, ESPESOR: 40 Mn, DIMENSION: 45 X 60 Cm, PRESENTACION: SIN VALOR</t>
  </si>
  <si>
    <t xml:space="preserve"> NO DE ARRASTRE</t>
  </si>
  <si>
    <t>2.9.1-646.48</t>
  </si>
  <si>
    <t>BOLSAS DE RESIDUOS; DIMENSION: 60 X 90 Cm, PRESENTACION: BOLSA X 50 UN, ESPESOR: 45 Mn, COLOR: NEGRO</t>
  </si>
  <si>
    <t>2.9.1-646.19</t>
  </si>
  <si>
    <t>BOLSAS DE RESIDUOS; ESPESOR: 40 Mn, COLOR: TRANSPARENTE, DIMENSION: 50 X 70 Cm, PRESENTACION: SIN VALOR</t>
  </si>
  <si>
    <t>2.5.8-5590.41</t>
  </si>
  <si>
    <t>LIBRERIA,PAP. Y UTILES OFICINA</t>
  </si>
  <si>
    <t>FILMS DE POLIETILENO; ESPESOR: 100 Mn, ANCHO: 2 M, PRESENTACION: ROLLO X 100 M, USO: ALIMENTARIO</t>
  </si>
  <si>
    <t>ROLLO</t>
  </si>
  <si>
    <t>NYLON CRISTAL  DE 1 METRO DOBLE ANCHO</t>
  </si>
  <si>
    <t>2.5.8-5590.3</t>
  </si>
  <si>
    <t>FILMS DE POLIETILENO; ESPESOR: 70 Mn, ANCHO: SIN VALOR, PRESENTACION: POR KILOGRAMO, USO: SIN VALOR</t>
  </si>
  <si>
    <t xml:space="preserve">  ROLLO DE 15 CM DE ANCHO</t>
  </si>
  <si>
    <t xml:space="preserve"> ROLLO DE 25 CM DE ANCHO</t>
  </si>
  <si>
    <t xml:space="preserve"> ROLLO DE 40 CM  DE ANCHO</t>
  </si>
  <si>
    <t>MOPA PARA BARRIDO DE 1 Mt de largo</t>
  </si>
  <si>
    <t>GUANTES P/LIMPIEZA; TAMAÑO: GRANDE, MATERIAL: LATEX C/FELPA INTERIOR</t>
  </si>
  <si>
    <t>GUANTES P/LIMPIEZA; TAMAÑO: EXTRA GRANDE, MATERIAL: LATEX C/FELPA INTERIOR</t>
  </si>
  <si>
    <t>15 dias - Deposito Central del HISJB</t>
  </si>
  <si>
    <t>Especificidades Item N° 3:</t>
  </si>
  <si>
    <t>Especificidades Item N° 4:</t>
  </si>
  <si>
    <t>Especificidades Item N° 11:</t>
  </si>
  <si>
    <t>Especificidades Item N° 13:</t>
  </si>
  <si>
    <t>Especificidades Item N° 15:</t>
  </si>
  <si>
    <t>Especificidades Item N° 28:</t>
  </si>
  <si>
    <t>Especificidades Item N° 31:</t>
  </si>
  <si>
    <t>Especificidades Item N° 33:</t>
  </si>
  <si>
    <t>Especificidades Item N° 34:</t>
  </si>
  <si>
    <t>Especificidades Item N° 35:</t>
  </si>
  <si>
    <t>Especificidades Item N° 36:</t>
  </si>
  <si>
    <t>Especificidades Item N° 37:</t>
  </si>
  <si>
    <t>Especificidades Item N° 38:</t>
  </si>
  <si>
    <t>Especificidades Item N° 39:</t>
  </si>
  <si>
    <t>2.9.1</t>
  </si>
  <si>
    <t>237 - Direccion de Mantenimiento</t>
  </si>
  <si>
    <t>Deposito Central</t>
  </si>
  <si>
    <t>Especificidades Item N° 40:</t>
  </si>
  <si>
    <t xml:space="preserve">15 % DE MATERIA ACTIVA POR BIDON DE 5 LITROS </t>
  </si>
  <si>
    <t>Especificidades Item N° 10:</t>
  </si>
  <si>
    <t>Tamaño Grande ; Color Amarillo o Naranjado</t>
  </si>
  <si>
    <t>Especificidades Item N° 9:</t>
  </si>
  <si>
    <t xml:space="preserve">AROMAS CHERRY, LAVANDA O CITRONELA - DEBIDAMENTE ETIQUETADA CADA ENVASE </t>
  </si>
  <si>
    <t xml:space="preserve">55 A 60 GRAMOS DE CLORO POR LITRO - DEBIDAMENTE ETIQUETADA CADA BOTELLA </t>
  </si>
  <si>
    <t xml:space="preserve">55 GRAMOS DE CLORO POR LITRO - DEBIDAMENTE ETIQUETADO CADA BOTELLA </t>
  </si>
  <si>
    <t xml:space="preserve"> TRAPO DE PISO 90 % ALGODÓN -COMUN GRIS O BLANCO-</t>
  </si>
  <si>
    <t>BOLSA DE CONSORCIO CON FUELLE PARA RESIDUOS DE 90 X 60 CM. DE 50 MICRONES, COLOR VERDE DE BAJA DENSIDAD EN PAQUETES DE 100 UNIDADES. NO DE ARRASTRE.-</t>
  </si>
  <si>
    <t>BOLSAS DE RESIDUOS; DIMENSION: 60 X 90 Cm, PRESENTACION: ENVASE X 100 UN, ESPESOR: 50 Mn</t>
  </si>
  <si>
    <t>2.9.1-646.104</t>
  </si>
  <si>
    <t>2.3.4-783.49</t>
  </si>
  <si>
    <t>LIBRERÍA,PAP Y UTILES DE OFICINA</t>
  </si>
  <si>
    <t>TOALLAS DE PAPEL; MATERIAL: PAPEL TISUE, GRAMAJE: 42 GR/M2, DIMENSION: 0,19 X 300 M, PRESENTACION: ROLLO</t>
  </si>
  <si>
    <t>2.3.4-783.25</t>
  </si>
  <si>
    <t>TOALLAS DE PAPEL; MATERIAL: PAPEL TISSUE, GRAMAJE: 50/55 GR/M2, DIMENSION: 22 X 36 Cm, COLOR: BLANCO, PRESENTACION: CAJA X 10 PAQ. 250 USOS</t>
  </si>
  <si>
    <t>SI</t>
  </si>
  <si>
    <t xml:space="preserve">SI </t>
  </si>
  <si>
    <t>Costo total estimado: CUATRO MILLONES DOCIENTOS CUARENTA Y CINCO MIL CUATROACIENTOS DOCE CON 50/100.--</t>
  </si>
  <si>
    <t xml:space="preserve">Productos de papel y cartón </t>
  </si>
  <si>
    <t xml:space="preserve">Insecticida, fumigantes y otros </t>
  </si>
  <si>
    <t xml:space="preserve">Productos de material plástico </t>
  </si>
  <si>
    <t>Elementos de Limpieza</t>
  </si>
  <si>
    <t xml:space="preserve">Utensillos de cocina y comedor </t>
  </si>
  <si>
    <t>TOTAL DE PESOS: CUATRO MILLONES DOSCIENTOS CUARENTA Y CINCO MIL CUATROCIENTOS DOCE CON 50/100.---</t>
  </si>
  <si>
    <t>DOCFI-2022-01238708-CAT-DMAN#HSJB</t>
  </si>
  <si>
    <t>NOTA DE PEDIDO 86</t>
  </si>
  <si>
    <t>Adquisición de Elementos de limpieza</t>
  </si>
  <si>
    <t>Plazo de entrega: 15 dias corridos</t>
  </si>
  <si>
    <t xml:space="preserve">Lugar de entrega: Sección Deposito Central - Avda. Illia y Mariano Moreno </t>
  </si>
  <si>
    <t>Mantenimiento de Oferta: 45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</si>
</sst>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&quot;$&quot;#,##0;[Red]\-&quot;$&quot;#,##0"/>
    <numFmt numFmtId="165" formatCode="&quot;$&quot;#,##0.00;[Red]\-&quot;$&quot;#,##0.00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  <charset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7" fontId="14" fillId="0" borderId="0" applyBorder="0" applyProtection="0"/>
    <xf numFmtId="0" fontId="1" fillId="0" borderId="1" applyProtection="0"/>
    <xf numFmtId="166" fontId="2" fillId="0" borderId="0" applyBorder="0" applyProtection="0"/>
    <xf numFmtId="0" fontId="3" fillId="2" borderId="0" applyBorder="0" applyProtection="0"/>
  </cellStyleXfs>
  <cellXfs count="18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2" fillId="0" borderId="0" xfId="0" applyFont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8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8" fontId="0" fillId="0" borderId="43" xfId="3" applyNumberFormat="1" applyFont="1" applyBorder="1" applyAlignment="1" applyProtection="1">
      <alignment horizontal="center" vertical="center"/>
    </xf>
    <xf numFmtId="168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0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9" fillId="0" borderId="14" xfId="0" applyFont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8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8" fontId="0" fillId="0" borderId="0" xfId="0" applyNumberFormat="1"/>
    <xf numFmtId="0" fontId="19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9" fillId="5" borderId="0" xfId="0" applyFont="1" applyFill="1" applyAlignment="1">
      <alignment horizontal="left" vertical="center" wrapText="1"/>
    </xf>
    <xf numFmtId="0" fontId="15" fillId="0" borderId="3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23" fillId="4" borderId="0" xfId="0" applyFont="1" applyFill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22" fillId="0" borderId="2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2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1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0" fontId="21" fillId="4" borderId="0" xfId="0" applyFont="1" applyFill="1" applyBorder="1" applyAlignment="1">
      <alignment horizontal="center" vertical="center" wrapText="1"/>
    </xf>
    <xf numFmtId="168" fontId="20" fillId="4" borderId="0" xfId="1" applyNumberFormat="1" applyFont="1" applyFill="1" applyBorder="1" applyAlignment="1" applyProtection="1">
      <alignment horizontal="center" vertical="center" wrapText="1"/>
    </xf>
    <xf numFmtId="0" fontId="27" fillId="5" borderId="0" xfId="0" applyFont="1" applyFill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7" fillId="0" borderId="14" xfId="0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4" xfId="0" applyFont="1" applyBorder="1"/>
    <xf numFmtId="0" fontId="14" fillId="0" borderId="6" xfId="0" applyFont="1" applyBorder="1"/>
    <xf numFmtId="0" fontId="14" fillId="0" borderId="6" xfId="0" applyFont="1" applyBorder="1" applyAlignment="1">
      <alignment horizontal="center" wrapText="1"/>
    </xf>
    <xf numFmtId="0" fontId="14" fillId="0" borderId="9" xfId="0" applyFont="1" applyBorder="1"/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/>
    <xf numFmtId="0" fontId="15" fillId="5" borderId="14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vertical="center" wrapText="1"/>
    </xf>
    <xf numFmtId="168" fontId="15" fillId="4" borderId="14" xfId="1" applyNumberFormat="1" applyFont="1" applyFill="1" applyBorder="1" applyAlignment="1" applyProtection="1">
      <alignment horizontal="center" vertical="center" wrapText="1"/>
    </xf>
    <xf numFmtId="0" fontId="15" fillId="5" borderId="0" xfId="0" applyFont="1" applyFill="1" applyBorder="1"/>
    <xf numFmtId="0" fontId="15" fillId="5" borderId="0" xfId="0" applyFont="1" applyFill="1"/>
    <xf numFmtId="0" fontId="20" fillId="5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vertical="center"/>
    </xf>
    <xf numFmtId="168" fontId="20" fillId="4" borderId="14" xfId="1" applyNumberFormat="1" applyFont="1" applyFill="1" applyBorder="1" applyAlignment="1" applyProtection="1">
      <alignment horizontal="center" vertical="center" wrapText="1"/>
    </xf>
    <xf numFmtId="168" fontId="20" fillId="4" borderId="14" xfId="1" applyNumberFormat="1" applyFont="1" applyFill="1" applyBorder="1" applyAlignment="1" applyProtection="1">
      <alignment horizontal="right" vertical="center" wrapText="1"/>
    </xf>
    <xf numFmtId="0" fontId="14" fillId="5" borderId="14" xfId="0" applyFont="1" applyFill="1" applyBorder="1" applyAlignment="1">
      <alignment vertical="center"/>
    </xf>
    <xf numFmtId="0" fontId="26" fillId="5" borderId="14" xfId="0" applyFont="1" applyFill="1" applyBorder="1" applyAlignment="1">
      <alignment vertical="center"/>
    </xf>
    <xf numFmtId="0" fontId="0" fillId="5" borderId="14" xfId="0" applyFill="1" applyBorder="1" applyAlignment="1">
      <alignment horizontal="center" vertical="center"/>
    </xf>
    <xf numFmtId="0" fontId="25" fillId="5" borderId="14" xfId="0" applyFont="1" applyFill="1" applyBorder="1" applyAlignment="1">
      <alignment vertical="center"/>
    </xf>
    <xf numFmtId="0" fontId="26" fillId="5" borderId="14" xfId="0" applyFont="1" applyFill="1" applyBorder="1" applyAlignment="1">
      <alignment vertical="center" wrapText="1"/>
    </xf>
    <xf numFmtId="0" fontId="14" fillId="5" borderId="14" xfId="0" applyFont="1" applyFill="1" applyBorder="1" applyAlignment="1">
      <alignment horizontal="left" vertical="center" wrapText="1"/>
    </xf>
    <xf numFmtId="0" fontId="0" fillId="5" borderId="14" xfId="0" applyFill="1" applyBorder="1" applyAlignment="1">
      <alignment horizontal="center" vertical="center" wrapText="1"/>
    </xf>
    <xf numFmtId="165" fontId="0" fillId="5" borderId="14" xfId="0" applyNumberFormat="1" applyFill="1" applyBorder="1" applyAlignment="1">
      <alignment horizontal="center" vertical="center" wrapText="1"/>
    </xf>
    <xf numFmtId="165" fontId="0" fillId="5" borderId="14" xfId="0" applyNumberFormat="1" applyFill="1" applyBorder="1" applyAlignment="1">
      <alignment horizontal="center" vertical="center"/>
    </xf>
    <xf numFmtId="164" fontId="0" fillId="5" borderId="14" xfId="0" applyNumberFormat="1" applyFill="1" applyBorder="1" applyAlignment="1">
      <alignment horizontal="center" vertical="center" wrapText="1"/>
    </xf>
    <xf numFmtId="169" fontId="7" fillId="0" borderId="20" xfId="0" applyNumberFormat="1" applyFont="1" applyBorder="1" applyAlignment="1">
      <alignment horizontal="center" vertical="center"/>
    </xf>
    <xf numFmtId="169" fontId="7" fillId="0" borderId="2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24" fillId="5" borderId="32" xfId="0" applyFont="1" applyFill="1" applyBorder="1" applyAlignment="1">
      <alignment horizontal="left" vertical="center" wrapText="1"/>
    </xf>
    <xf numFmtId="168" fontId="0" fillId="5" borderId="34" xfId="3" applyNumberFormat="1" applyFont="1" applyFill="1" applyBorder="1" applyAlignment="1" applyProtection="1">
      <alignment horizontal="center" vertical="center"/>
    </xf>
    <xf numFmtId="0" fontId="0" fillId="5" borderId="35" xfId="0" applyFont="1" applyFill="1" applyBorder="1" applyAlignment="1">
      <alignment horizontal="center" vertical="center"/>
    </xf>
    <xf numFmtId="0" fontId="0" fillId="5" borderId="36" xfId="0" applyFont="1" applyFill="1" applyBorder="1" applyAlignment="1">
      <alignment horizontal="center" vertical="center"/>
    </xf>
    <xf numFmtId="0" fontId="14" fillId="5" borderId="36" xfId="0" applyFont="1" applyFill="1" applyBorder="1" applyAlignment="1">
      <alignment horizontal="center" vertical="center"/>
    </xf>
    <xf numFmtId="0" fontId="0" fillId="5" borderId="37" xfId="0" applyFont="1" applyFill="1" applyBorder="1" applyAlignment="1">
      <alignment horizontal="center" vertical="center"/>
    </xf>
    <xf numFmtId="0" fontId="14" fillId="5" borderId="38" xfId="0" applyFont="1" applyFill="1" applyBorder="1" applyAlignment="1">
      <alignment horizontal="center" vertical="center"/>
    </xf>
    <xf numFmtId="0" fontId="24" fillId="5" borderId="38" xfId="0" applyFont="1" applyFill="1" applyBorder="1" applyAlignment="1">
      <alignment horizontal="left" vertical="center"/>
    </xf>
    <xf numFmtId="168" fontId="0" fillId="5" borderId="39" xfId="3" applyNumberFormat="1" applyFont="1" applyFill="1" applyBorder="1" applyAlignment="1" applyProtection="1">
      <alignment horizontal="center" vertical="center"/>
    </xf>
    <xf numFmtId="0" fontId="0" fillId="5" borderId="38" xfId="0" applyFont="1" applyFill="1" applyBorder="1" applyAlignment="1">
      <alignment horizontal="center" vertical="center"/>
    </xf>
    <xf numFmtId="0" fontId="14" fillId="5" borderId="38" xfId="0" applyFont="1" applyFill="1" applyBorder="1" applyAlignment="1">
      <alignment horizontal="left" vertical="center"/>
    </xf>
    <xf numFmtId="0" fontId="0" fillId="5" borderId="38" xfId="0" applyFont="1" applyFill="1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30" fillId="6" borderId="20" xfId="0" applyFont="1" applyFill="1" applyBorder="1" applyAlignment="1">
      <alignment horizontal="center" vertical="center"/>
    </xf>
    <xf numFmtId="0" fontId="30" fillId="6" borderId="48" xfId="0" applyFont="1" applyFill="1" applyBorder="1" applyAlignment="1">
      <alignment horizontal="center" vertical="center"/>
    </xf>
    <xf numFmtId="0" fontId="30" fillId="6" borderId="21" xfId="0" applyFont="1" applyFill="1" applyBorder="1" applyAlignment="1">
      <alignment horizontal="center" vertic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56"/>
  <sheetViews>
    <sheetView tabSelected="1"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6" customWidth="1"/>
    <col min="2" max="2" width="12.85546875" style="63" customWidth="1"/>
    <col min="3" max="3" width="32.42578125" style="63" customWidth="1"/>
    <col min="4" max="4" width="8.42578125" style="63" customWidth="1"/>
    <col min="5" max="5" width="79" style="89" customWidth="1"/>
    <col min="6" max="6" width="11" style="63"/>
    <col min="7" max="7" width="12.7109375" style="36" customWidth="1"/>
    <col min="8" max="8" width="13.85546875" style="36" customWidth="1"/>
    <col min="9" max="9" width="18.5703125" style="166" customWidth="1"/>
    <col min="10" max="16384" width="11" style="36"/>
  </cols>
  <sheetData>
    <row r="2" spans="1:10" ht="27" x14ac:dyDescent="0.35">
      <c r="B2" s="99" t="s">
        <v>0</v>
      </c>
      <c r="C2" s="99"/>
      <c r="D2" s="99"/>
      <c r="E2" s="99"/>
      <c r="F2" s="99"/>
      <c r="G2" s="99"/>
      <c r="H2" s="99"/>
    </row>
    <row r="4" spans="1:10" ht="18" customHeight="1" x14ac:dyDescent="0.25">
      <c r="A4" s="94" t="s">
        <v>1</v>
      </c>
      <c r="B4" s="94"/>
      <c r="C4" s="100" t="s">
        <v>58</v>
      </c>
      <c r="D4" s="100"/>
      <c r="E4" s="100"/>
      <c r="F4" s="62"/>
      <c r="G4" s="38"/>
      <c r="H4" s="37"/>
    </row>
    <row r="5" spans="1:10" ht="18" customHeight="1" x14ac:dyDescent="0.25">
      <c r="A5" s="94" t="s">
        <v>2</v>
      </c>
      <c r="B5" s="94"/>
      <c r="C5" s="100" t="s">
        <v>59</v>
      </c>
      <c r="D5" s="100"/>
      <c r="E5" s="100"/>
      <c r="F5" s="62"/>
      <c r="G5" s="38"/>
      <c r="H5" s="37"/>
    </row>
    <row r="6" spans="1:10" ht="16.5" customHeight="1" x14ac:dyDescent="0.2">
      <c r="A6" s="94" t="s">
        <v>3</v>
      </c>
      <c r="B6" s="94"/>
      <c r="C6" s="69">
        <v>2022</v>
      </c>
      <c r="D6" s="64"/>
      <c r="E6" s="82"/>
      <c r="F6" s="62"/>
      <c r="G6" s="38"/>
      <c r="H6" s="37"/>
    </row>
    <row r="7" spans="1:10" ht="16.5" customHeight="1" x14ac:dyDescent="0.2">
      <c r="A7" s="94" t="s">
        <v>4</v>
      </c>
      <c r="B7" s="94"/>
      <c r="C7" s="69">
        <v>3</v>
      </c>
      <c r="D7" s="64"/>
      <c r="E7" s="82"/>
      <c r="F7" s="62"/>
      <c r="G7" s="38"/>
      <c r="H7" s="37"/>
    </row>
    <row r="8" spans="1:10" ht="13.5" thickBot="1" x14ac:dyDescent="0.25">
      <c r="B8" s="62"/>
      <c r="C8" s="70"/>
      <c r="D8" s="62"/>
      <c r="E8" s="83"/>
      <c r="F8" s="62"/>
      <c r="G8" s="38"/>
      <c r="H8" s="37"/>
    </row>
    <row r="9" spans="1:10" ht="39" thickBot="1" x14ac:dyDescent="0.25">
      <c r="A9" s="48" t="s">
        <v>5</v>
      </c>
      <c r="B9" s="61" t="s">
        <v>6</v>
      </c>
      <c r="C9" s="48" t="s">
        <v>7</v>
      </c>
      <c r="D9" s="48" t="s">
        <v>8</v>
      </c>
      <c r="E9" s="84" t="s">
        <v>9</v>
      </c>
      <c r="F9" s="48" t="s">
        <v>10</v>
      </c>
      <c r="G9" s="48" t="s">
        <v>11</v>
      </c>
      <c r="H9" s="48" t="s">
        <v>12</v>
      </c>
      <c r="I9" s="48" t="s">
        <v>13</v>
      </c>
      <c r="J9" s="42"/>
    </row>
    <row r="10" spans="1:10" s="149" customFormat="1" ht="31.9" customHeight="1" thickBot="1" x14ac:dyDescent="0.25">
      <c r="A10" s="150">
        <v>1</v>
      </c>
      <c r="B10" s="151" t="s">
        <v>64</v>
      </c>
      <c r="C10" s="151" t="s">
        <v>65</v>
      </c>
      <c r="D10" s="156" t="s">
        <v>171</v>
      </c>
      <c r="E10" s="159" t="s">
        <v>66</v>
      </c>
      <c r="F10" s="143" t="s">
        <v>67</v>
      </c>
      <c r="G10" s="143">
        <v>3000</v>
      </c>
      <c r="H10" s="152">
        <v>98</v>
      </c>
      <c r="I10" s="153">
        <f t="shared" ref="I10:I51" si="0">G10*H10</f>
        <v>294000</v>
      </c>
      <c r="J10" s="148"/>
    </row>
    <row r="11" spans="1:10" s="149" customFormat="1" ht="31.9" customHeight="1" thickBot="1" x14ac:dyDescent="0.25">
      <c r="A11" s="150">
        <v>2</v>
      </c>
      <c r="B11" s="151" t="s">
        <v>64</v>
      </c>
      <c r="C11" s="151" t="s">
        <v>65</v>
      </c>
      <c r="D11" s="156" t="s">
        <v>171</v>
      </c>
      <c r="E11" s="159" t="s">
        <v>66</v>
      </c>
      <c r="F11" s="143" t="s">
        <v>67</v>
      </c>
      <c r="G11" s="143">
        <v>200</v>
      </c>
      <c r="H11" s="152">
        <v>120</v>
      </c>
      <c r="I11" s="153">
        <f t="shared" si="0"/>
        <v>24000</v>
      </c>
      <c r="J11" s="148"/>
    </row>
    <row r="12" spans="1:10" s="149" customFormat="1" ht="31.9" customHeight="1" thickBot="1" x14ac:dyDescent="0.25">
      <c r="A12" s="150">
        <v>3</v>
      </c>
      <c r="B12" s="151" t="s">
        <v>68</v>
      </c>
      <c r="C12" s="151" t="s">
        <v>65</v>
      </c>
      <c r="D12" s="156" t="s">
        <v>171</v>
      </c>
      <c r="E12" s="159" t="s">
        <v>69</v>
      </c>
      <c r="F12" s="143" t="s">
        <v>67</v>
      </c>
      <c r="G12" s="143">
        <v>3500</v>
      </c>
      <c r="H12" s="152">
        <v>144</v>
      </c>
      <c r="I12" s="153">
        <f t="shared" si="0"/>
        <v>504000</v>
      </c>
      <c r="J12" s="148"/>
    </row>
    <row r="13" spans="1:10" s="149" customFormat="1" ht="31.9" customHeight="1" thickBot="1" x14ac:dyDescent="0.25">
      <c r="A13" s="150">
        <v>4</v>
      </c>
      <c r="B13" s="151" t="s">
        <v>70</v>
      </c>
      <c r="C13" s="151" t="s">
        <v>65</v>
      </c>
      <c r="D13" s="156" t="s">
        <v>171</v>
      </c>
      <c r="E13" s="159" t="s">
        <v>71</v>
      </c>
      <c r="F13" s="143" t="s">
        <v>67</v>
      </c>
      <c r="G13" s="143">
        <v>80</v>
      </c>
      <c r="H13" s="152">
        <v>1895</v>
      </c>
      <c r="I13" s="153">
        <f t="shared" si="0"/>
        <v>151600</v>
      </c>
      <c r="J13" s="148"/>
    </row>
    <row r="14" spans="1:10" s="149" customFormat="1" ht="31.9" customHeight="1" thickBot="1" x14ac:dyDescent="0.25">
      <c r="A14" s="150">
        <v>5</v>
      </c>
      <c r="B14" s="151" t="s">
        <v>72</v>
      </c>
      <c r="C14" s="151" t="s">
        <v>65</v>
      </c>
      <c r="D14" s="156" t="s">
        <v>171</v>
      </c>
      <c r="E14" s="159" t="s">
        <v>73</v>
      </c>
      <c r="F14" s="143" t="s">
        <v>74</v>
      </c>
      <c r="G14" s="143">
        <v>20</v>
      </c>
      <c r="H14" s="152">
        <v>328</v>
      </c>
      <c r="I14" s="153">
        <f t="shared" si="0"/>
        <v>6560</v>
      </c>
      <c r="J14" s="148"/>
    </row>
    <row r="15" spans="1:10" s="149" customFormat="1" ht="31.9" customHeight="1" thickBot="1" x14ac:dyDescent="0.25">
      <c r="A15" s="150">
        <v>6</v>
      </c>
      <c r="B15" s="151" t="s">
        <v>75</v>
      </c>
      <c r="C15" s="151" t="s">
        <v>65</v>
      </c>
      <c r="D15" s="156" t="s">
        <v>171</v>
      </c>
      <c r="E15" s="159" t="s">
        <v>76</v>
      </c>
      <c r="F15" s="156" t="s">
        <v>77</v>
      </c>
      <c r="G15" s="143">
        <v>150</v>
      </c>
      <c r="H15" s="152">
        <v>58.5</v>
      </c>
      <c r="I15" s="153">
        <f t="shared" si="0"/>
        <v>8775</v>
      </c>
      <c r="J15" s="148"/>
    </row>
    <row r="16" spans="1:10" s="149" customFormat="1" ht="41.25" customHeight="1" thickBot="1" x14ac:dyDescent="0.25">
      <c r="A16" s="150">
        <v>7</v>
      </c>
      <c r="B16" s="151" t="s">
        <v>78</v>
      </c>
      <c r="C16" s="151" t="s">
        <v>65</v>
      </c>
      <c r="D16" s="156" t="s">
        <v>171</v>
      </c>
      <c r="E16" s="159" t="s">
        <v>79</v>
      </c>
      <c r="F16" s="156" t="s">
        <v>77</v>
      </c>
      <c r="G16" s="156">
        <v>200</v>
      </c>
      <c r="H16" s="162">
        <v>49.5</v>
      </c>
      <c r="I16" s="153">
        <f t="shared" si="0"/>
        <v>9900</v>
      </c>
      <c r="J16" s="148"/>
    </row>
    <row r="17" spans="1:10" s="149" customFormat="1" ht="31.9" customHeight="1" thickBot="1" x14ac:dyDescent="0.25">
      <c r="A17" s="150">
        <v>8</v>
      </c>
      <c r="B17" s="151" t="s">
        <v>80</v>
      </c>
      <c r="C17" s="151" t="s">
        <v>65</v>
      </c>
      <c r="D17" s="156" t="s">
        <v>171</v>
      </c>
      <c r="E17" s="159" t="s">
        <v>81</v>
      </c>
      <c r="F17" s="143" t="s">
        <v>77</v>
      </c>
      <c r="G17" s="143">
        <v>150</v>
      </c>
      <c r="H17" s="152">
        <v>155</v>
      </c>
      <c r="I17" s="153">
        <f t="shared" si="0"/>
        <v>23250</v>
      </c>
      <c r="J17" s="148"/>
    </row>
    <row r="18" spans="1:10" s="149" customFormat="1" ht="31.9" customHeight="1" thickBot="1" x14ac:dyDescent="0.25">
      <c r="A18" s="150">
        <v>9</v>
      </c>
      <c r="B18" s="151" t="s">
        <v>84</v>
      </c>
      <c r="C18" s="151" t="s">
        <v>65</v>
      </c>
      <c r="D18" s="145" t="str">
        <f t="shared" ref="D18:D48" si="1">LEFT(B18,5)</f>
        <v>2.9.1</v>
      </c>
      <c r="E18" s="155" t="s">
        <v>154</v>
      </c>
      <c r="F18" s="156" t="s">
        <v>83</v>
      </c>
      <c r="G18" s="143">
        <v>175</v>
      </c>
      <c r="H18" s="152">
        <v>240</v>
      </c>
      <c r="I18" s="153">
        <f t="shared" si="0"/>
        <v>42000</v>
      </c>
      <c r="J18" s="148"/>
    </row>
    <row r="19" spans="1:10" s="149" customFormat="1" ht="38.25" customHeight="1" thickBot="1" x14ac:dyDescent="0.25">
      <c r="A19" s="150">
        <v>10</v>
      </c>
      <c r="B19" s="157" t="s">
        <v>82</v>
      </c>
      <c r="C19" s="151" t="s">
        <v>65</v>
      </c>
      <c r="D19" s="145" t="str">
        <f t="shared" si="1"/>
        <v>2.9.1</v>
      </c>
      <c r="E19" s="158" t="s">
        <v>155</v>
      </c>
      <c r="F19" s="156" t="s">
        <v>83</v>
      </c>
      <c r="G19" s="143">
        <v>75</v>
      </c>
      <c r="H19" s="152">
        <v>240</v>
      </c>
      <c r="I19" s="153">
        <f t="shared" si="0"/>
        <v>18000</v>
      </c>
      <c r="J19" s="148"/>
    </row>
    <row r="20" spans="1:10" s="149" customFormat="1" ht="43.5" customHeight="1" thickBot="1" x14ac:dyDescent="0.25">
      <c r="A20" s="150">
        <v>11</v>
      </c>
      <c r="B20" s="151" t="s">
        <v>85</v>
      </c>
      <c r="C20" s="151" t="s">
        <v>86</v>
      </c>
      <c r="D20" s="145" t="str">
        <f t="shared" si="1"/>
        <v>2.5.1</v>
      </c>
      <c r="E20" s="159" t="s">
        <v>87</v>
      </c>
      <c r="F20" s="156" t="s">
        <v>67</v>
      </c>
      <c r="G20" s="156">
        <v>200</v>
      </c>
      <c r="H20" s="156">
        <v>405</v>
      </c>
      <c r="I20" s="153">
        <f t="shared" si="0"/>
        <v>81000</v>
      </c>
      <c r="J20" s="148"/>
    </row>
    <row r="21" spans="1:10" s="149" customFormat="1" ht="31.9" customHeight="1" thickBot="1" x14ac:dyDescent="0.25">
      <c r="A21" s="150">
        <v>12</v>
      </c>
      <c r="B21" s="151" t="s">
        <v>89</v>
      </c>
      <c r="C21" s="151" t="s">
        <v>90</v>
      </c>
      <c r="D21" s="145" t="str">
        <f t="shared" si="1"/>
        <v>2.9.4</v>
      </c>
      <c r="E21" s="159" t="s">
        <v>91</v>
      </c>
      <c r="F21" s="143" t="s">
        <v>77</v>
      </c>
      <c r="G21" s="143">
        <v>30</v>
      </c>
      <c r="H21" s="152">
        <v>800</v>
      </c>
      <c r="I21" s="153">
        <f t="shared" si="0"/>
        <v>24000</v>
      </c>
      <c r="J21" s="148"/>
    </row>
    <row r="22" spans="1:10" s="149" customFormat="1" ht="31.9" customHeight="1" thickBot="1" x14ac:dyDescent="0.25">
      <c r="A22" s="150">
        <v>13</v>
      </c>
      <c r="B22" s="151" t="s">
        <v>92</v>
      </c>
      <c r="C22" s="151" t="s">
        <v>65</v>
      </c>
      <c r="D22" s="145" t="str">
        <f t="shared" si="1"/>
        <v>2.9.1</v>
      </c>
      <c r="E22" s="159" t="s">
        <v>93</v>
      </c>
      <c r="F22" s="143" t="s">
        <v>77</v>
      </c>
      <c r="G22" s="143">
        <v>70</v>
      </c>
      <c r="H22" s="152">
        <v>115</v>
      </c>
      <c r="I22" s="153">
        <f t="shared" si="0"/>
        <v>8050</v>
      </c>
      <c r="J22" s="148"/>
    </row>
    <row r="23" spans="1:10" s="149" customFormat="1" ht="31.9" customHeight="1" thickBot="1" x14ac:dyDescent="0.25">
      <c r="A23" s="150">
        <v>14</v>
      </c>
      <c r="B23" s="151" t="s">
        <v>95</v>
      </c>
      <c r="C23" s="151" t="s">
        <v>65</v>
      </c>
      <c r="D23" s="145" t="str">
        <f t="shared" si="1"/>
        <v>2.9.1</v>
      </c>
      <c r="E23" s="159" t="s">
        <v>96</v>
      </c>
      <c r="F23" s="143" t="s">
        <v>67</v>
      </c>
      <c r="G23" s="143">
        <v>60</v>
      </c>
      <c r="H23" s="152">
        <v>648</v>
      </c>
      <c r="I23" s="153">
        <f t="shared" si="0"/>
        <v>38880</v>
      </c>
      <c r="J23" s="148"/>
    </row>
    <row r="24" spans="1:10" s="149" customFormat="1" ht="31.9" customHeight="1" thickBot="1" x14ac:dyDescent="0.25">
      <c r="A24" s="150">
        <v>15</v>
      </c>
      <c r="B24" s="151" t="s">
        <v>97</v>
      </c>
      <c r="C24" s="151" t="s">
        <v>65</v>
      </c>
      <c r="D24" s="145" t="str">
        <f t="shared" si="1"/>
        <v>2.9.1</v>
      </c>
      <c r="E24" s="159" t="s">
        <v>98</v>
      </c>
      <c r="F24" s="143" t="s">
        <v>99</v>
      </c>
      <c r="G24" s="143">
        <v>200</v>
      </c>
      <c r="H24" s="152">
        <v>1500</v>
      </c>
      <c r="I24" s="153">
        <f t="shared" si="0"/>
        <v>300000</v>
      </c>
      <c r="J24" s="148"/>
    </row>
    <row r="25" spans="1:10" s="149" customFormat="1" ht="31.9" customHeight="1" thickBot="1" x14ac:dyDescent="0.25">
      <c r="A25" s="150">
        <v>16</v>
      </c>
      <c r="B25" s="151" t="s">
        <v>101</v>
      </c>
      <c r="C25" s="151" t="s">
        <v>65</v>
      </c>
      <c r="D25" s="145" t="str">
        <f t="shared" si="1"/>
        <v>2.5.4</v>
      </c>
      <c r="E25" s="159" t="s">
        <v>102</v>
      </c>
      <c r="F25" s="156" t="s">
        <v>67</v>
      </c>
      <c r="G25" s="156">
        <v>25</v>
      </c>
      <c r="H25" s="152">
        <v>708.5</v>
      </c>
      <c r="I25" s="153">
        <f t="shared" si="0"/>
        <v>17712.5</v>
      </c>
      <c r="J25" s="148"/>
    </row>
    <row r="26" spans="1:10" s="149" customFormat="1" ht="31.9" customHeight="1" thickBot="1" x14ac:dyDescent="0.25">
      <c r="A26" s="150">
        <v>17</v>
      </c>
      <c r="B26" s="151" t="s">
        <v>103</v>
      </c>
      <c r="C26" s="151" t="s">
        <v>65</v>
      </c>
      <c r="D26" s="145" t="str">
        <f t="shared" si="1"/>
        <v>2.9.1</v>
      </c>
      <c r="E26" s="159" t="s">
        <v>104</v>
      </c>
      <c r="F26" s="143" t="s">
        <v>67</v>
      </c>
      <c r="G26" s="143">
        <v>7</v>
      </c>
      <c r="H26" s="152">
        <v>470</v>
      </c>
      <c r="I26" s="153">
        <f t="shared" si="0"/>
        <v>3290</v>
      </c>
      <c r="J26" s="148"/>
    </row>
    <row r="27" spans="1:10" s="149" customFormat="1" ht="31.9" customHeight="1" thickBot="1" x14ac:dyDescent="0.25">
      <c r="A27" s="150">
        <v>18</v>
      </c>
      <c r="B27" s="151" t="s">
        <v>105</v>
      </c>
      <c r="C27" s="151" t="s">
        <v>65</v>
      </c>
      <c r="D27" s="145" t="str">
        <f t="shared" si="1"/>
        <v>2.9.1</v>
      </c>
      <c r="E27" s="159" t="s">
        <v>106</v>
      </c>
      <c r="F27" s="143" t="s">
        <v>67</v>
      </c>
      <c r="G27" s="143">
        <v>25</v>
      </c>
      <c r="H27" s="152">
        <v>3150</v>
      </c>
      <c r="I27" s="153">
        <f t="shared" si="0"/>
        <v>78750</v>
      </c>
      <c r="J27" s="148"/>
    </row>
    <row r="28" spans="1:10" s="149" customFormat="1" ht="31.9" customHeight="1" thickBot="1" x14ac:dyDescent="0.25">
      <c r="A28" s="150">
        <v>19</v>
      </c>
      <c r="B28" s="151" t="s">
        <v>107</v>
      </c>
      <c r="C28" s="151" t="s">
        <v>65</v>
      </c>
      <c r="D28" s="145" t="str">
        <f t="shared" si="1"/>
        <v>2.9.1</v>
      </c>
      <c r="E28" s="159" t="s">
        <v>108</v>
      </c>
      <c r="F28" s="143" t="s">
        <v>77</v>
      </c>
      <c r="G28" s="143">
        <v>25</v>
      </c>
      <c r="H28" s="152">
        <v>295</v>
      </c>
      <c r="I28" s="153">
        <f t="shared" si="0"/>
        <v>7375</v>
      </c>
      <c r="J28" s="148"/>
    </row>
    <row r="29" spans="1:10" s="149" customFormat="1" ht="39" customHeight="1" thickBot="1" x14ac:dyDescent="0.25">
      <c r="A29" s="150">
        <v>20</v>
      </c>
      <c r="B29" s="151" t="s">
        <v>109</v>
      </c>
      <c r="C29" s="151" t="s">
        <v>65</v>
      </c>
      <c r="D29" s="145" t="str">
        <f t="shared" si="1"/>
        <v>2.9.1</v>
      </c>
      <c r="E29" s="146" t="s">
        <v>110</v>
      </c>
      <c r="F29" s="160" t="s">
        <v>111</v>
      </c>
      <c r="G29" s="160">
        <v>4</v>
      </c>
      <c r="H29" s="163">
        <v>9276</v>
      </c>
      <c r="I29" s="153">
        <f t="shared" si="0"/>
        <v>37104</v>
      </c>
      <c r="J29" s="148"/>
    </row>
    <row r="30" spans="1:10" s="149" customFormat="1" ht="31.9" customHeight="1" thickBot="1" x14ac:dyDescent="0.25">
      <c r="A30" s="150">
        <v>21</v>
      </c>
      <c r="B30" s="151" t="s">
        <v>112</v>
      </c>
      <c r="C30" s="151" t="s">
        <v>65</v>
      </c>
      <c r="D30" s="145" t="str">
        <f t="shared" si="1"/>
        <v>2.3.4</v>
      </c>
      <c r="E30" s="159" t="s">
        <v>113</v>
      </c>
      <c r="F30" s="156" t="s">
        <v>99</v>
      </c>
      <c r="G30" s="156">
        <v>250</v>
      </c>
      <c r="H30" s="152">
        <v>165</v>
      </c>
      <c r="I30" s="153">
        <f t="shared" si="0"/>
        <v>41250</v>
      </c>
      <c r="J30" s="148"/>
    </row>
    <row r="31" spans="1:10" s="149" customFormat="1" ht="31.9" customHeight="1" thickBot="1" x14ac:dyDescent="0.25">
      <c r="A31" s="150">
        <v>22</v>
      </c>
      <c r="B31" s="151" t="s">
        <v>114</v>
      </c>
      <c r="C31" s="151" t="s">
        <v>65</v>
      </c>
      <c r="D31" s="145" t="str">
        <f t="shared" si="1"/>
        <v>2.9.1</v>
      </c>
      <c r="E31" s="159" t="s">
        <v>115</v>
      </c>
      <c r="F31" s="143" t="s">
        <v>77</v>
      </c>
      <c r="G31" s="143">
        <v>160</v>
      </c>
      <c r="H31" s="152">
        <v>260</v>
      </c>
      <c r="I31" s="153">
        <f t="shared" si="0"/>
        <v>41600</v>
      </c>
      <c r="J31" s="148"/>
    </row>
    <row r="32" spans="1:10" s="149" customFormat="1" ht="31.9" customHeight="1" thickBot="1" x14ac:dyDescent="0.25">
      <c r="A32" s="150">
        <v>23</v>
      </c>
      <c r="B32" s="151" t="s">
        <v>116</v>
      </c>
      <c r="C32" s="151" t="s">
        <v>65</v>
      </c>
      <c r="D32" s="145" t="str">
        <f t="shared" si="1"/>
        <v>2.9.1</v>
      </c>
      <c r="E32" s="159" t="s">
        <v>117</v>
      </c>
      <c r="F32" s="143" t="s">
        <v>77</v>
      </c>
      <c r="G32" s="143">
        <v>10</v>
      </c>
      <c r="H32" s="152">
        <v>599</v>
      </c>
      <c r="I32" s="153">
        <f t="shared" si="0"/>
        <v>5990</v>
      </c>
      <c r="J32" s="148"/>
    </row>
    <row r="33" spans="1:10" s="149" customFormat="1" ht="34.5" customHeight="1" thickBot="1" x14ac:dyDescent="0.25">
      <c r="A33" s="150">
        <v>24</v>
      </c>
      <c r="B33" s="151" t="s">
        <v>118</v>
      </c>
      <c r="C33" s="151" t="s">
        <v>65</v>
      </c>
      <c r="D33" s="145" t="str">
        <f t="shared" si="1"/>
        <v>2.9.1</v>
      </c>
      <c r="E33" s="146" t="s">
        <v>119</v>
      </c>
      <c r="F33" s="160" t="s">
        <v>77</v>
      </c>
      <c r="G33" s="160">
        <v>20</v>
      </c>
      <c r="H33" s="152">
        <v>839</v>
      </c>
      <c r="I33" s="153">
        <f t="shared" si="0"/>
        <v>16780</v>
      </c>
      <c r="J33" s="148"/>
    </row>
    <row r="34" spans="1:10" s="149" customFormat="1" ht="31.9" customHeight="1" thickBot="1" x14ac:dyDescent="0.25">
      <c r="A34" s="150">
        <v>25</v>
      </c>
      <c r="B34" s="151" t="s">
        <v>120</v>
      </c>
      <c r="C34" s="151" t="s">
        <v>65</v>
      </c>
      <c r="D34" s="145" t="str">
        <f t="shared" si="1"/>
        <v>2.9.1</v>
      </c>
      <c r="E34" s="146" t="s">
        <v>121</v>
      </c>
      <c r="F34" s="160" t="s">
        <v>77</v>
      </c>
      <c r="G34" s="160">
        <v>25</v>
      </c>
      <c r="H34" s="161">
        <v>1500</v>
      </c>
      <c r="I34" s="153">
        <f t="shared" si="0"/>
        <v>37500</v>
      </c>
      <c r="J34" s="148"/>
    </row>
    <row r="35" spans="1:10" s="149" customFormat="1" ht="31.9" customHeight="1" thickBot="1" x14ac:dyDescent="0.25">
      <c r="A35" s="150">
        <v>26</v>
      </c>
      <c r="B35" s="151" t="s">
        <v>122</v>
      </c>
      <c r="C35" s="151" t="s">
        <v>65</v>
      </c>
      <c r="D35" s="145" t="str">
        <f t="shared" si="1"/>
        <v>2.9.1</v>
      </c>
      <c r="E35" s="154" t="s">
        <v>123</v>
      </c>
      <c r="F35" s="143" t="s">
        <v>77</v>
      </c>
      <c r="G35" s="143">
        <v>50</v>
      </c>
      <c r="H35" s="152">
        <v>212</v>
      </c>
      <c r="I35" s="153">
        <f t="shared" si="0"/>
        <v>10600</v>
      </c>
      <c r="J35" s="148"/>
    </row>
    <row r="36" spans="1:10" s="149" customFormat="1" ht="31.9" customHeight="1" thickBot="1" x14ac:dyDescent="0.25">
      <c r="A36" s="150">
        <v>27</v>
      </c>
      <c r="B36" s="151" t="s">
        <v>124</v>
      </c>
      <c r="C36" s="151" t="s">
        <v>65</v>
      </c>
      <c r="D36" s="145" t="str">
        <f t="shared" si="1"/>
        <v>2.9.1</v>
      </c>
      <c r="E36" s="154" t="s">
        <v>125</v>
      </c>
      <c r="F36" s="143" t="s">
        <v>77</v>
      </c>
      <c r="G36" s="143">
        <v>50</v>
      </c>
      <c r="H36" s="152">
        <v>318</v>
      </c>
      <c r="I36" s="153">
        <f t="shared" si="0"/>
        <v>15900</v>
      </c>
      <c r="J36" s="148"/>
    </row>
    <row r="37" spans="1:10" s="149" customFormat="1" ht="31.9" customHeight="1" thickBot="1" x14ac:dyDescent="0.25">
      <c r="A37" s="150">
        <v>28</v>
      </c>
      <c r="B37" s="151" t="s">
        <v>126</v>
      </c>
      <c r="C37" s="151" t="s">
        <v>65</v>
      </c>
      <c r="D37" s="145" t="str">
        <f t="shared" si="1"/>
        <v>2.9.1</v>
      </c>
      <c r="E37" s="154" t="s">
        <v>127</v>
      </c>
      <c r="F37" s="143" t="s">
        <v>77</v>
      </c>
      <c r="G37" s="143">
        <v>8</v>
      </c>
      <c r="H37" s="152">
        <v>1522</v>
      </c>
      <c r="I37" s="153">
        <f t="shared" si="0"/>
        <v>12176</v>
      </c>
      <c r="J37" s="148"/>
    </row>
    <row r="38" spans="1:10" s="149" customFormat="1" ht="31.9" customHeight="1" thickBot="1" x14ac:dyDescent="0.25">
      <c r="A38" s="150">
        <v>29</v>
      </c>
      <c r="B38" s="151" t="s">
        <v>128</v>
      </c>
      <c r="C38" s="151" t="s">
        <v>65</v>
      </c>
      <c r="D38" s="145" t="str">
        <f t="shared" si="1"/>
        <v>2.9.1</v>
      </c>
      <c r="E38" s="154" t="s">
        <v>129</v>
      </c>
      <c r="F38" s="143" t="s">
        <v>67</v>
      </c>
      <c r="G38" s="143">
        <v>40</v>
      </c>
      <c r="H38" s="152">
        <v>899</v>
      </c>
      <c r="I38" s="153">
        <f t="shared" si="0"/>
        <v>35960</v>
      </c>
      <c r="J38" s="148"/>
    </row>
    <row r="39" spans="1:10" s="149" customFormat="1" ht="31.9" customHeight="1" thickBot="1" x14ac:dyDescent="0.25">
      <c r="A39" s="150">
        <v>30</v>
      </c>
      <c r="B39" s="151" t="s">
        <v>130</v>
      </c>
      <c r="C39" s="151" t="s">
        <v>65</v>
      </c>
      <c r="D39" s="145" t="str">
        <f t="shared" si="1"/>
        <v>2.9.1</v>
      </c>
      <c r="E39" s="154" t="s">
        <v>131</v>
      </c>
      <c r="F39" s="143" t="s">
        <v>67</v>
      </c>
      <c r="G39" s="143">
        <v>10</v>
      </c>
      <c r="H39" s="152">
        <v>398</v>
      </c>
      <c r="I39" s="153">
        <f t="shared" si="0"/>
        <v>3980</v>
      </c>
      <c r="J39" s="148"/>
    </row>
    <row r="40" spans="1:10" s="149" customFormat="1" ht="31.9" customHeight="1" thickBot="1" x14ac:dyDescent="0.25">
      <c r="A40" s="150">
        <v>31</v>
      </c>
      <c r="B40" s="151" t="s">
        <v>132</v>
      </c>
      <c r="C40" s="151" t="s">
        <v>65</v>
      </c>
      <c r="D40" s="145" t="str">
        <f t="shared" si="1"/>
        <v>2.9.1</v>
      </c>
      <c r="E40" s="154" t="s">
        <v>133</v>
      </c>
      <c r="F40" s="143" t="s">
        <v>77</v>
      </c>
      <c r="G40" s="143">
        <v>300</v>
      </c>
      <c r="H40" s="152">
        <v>232.5</v>
      </c>
      <c r="I40" s="153">
        <f t="shared" si="0"/>
        <v>69750</v>
      </c>
      <c r="J40" s="148"/>
    </row>
    <row r="41" spans="1:10" s="149" customFormat="1" ht="31.9" customHeight="1" thickBot="1" x14ac:dyDescent="0.25">
      <c r="A41" s="150">
        <v>32</v>
      </c>
      <c r="B41" s="151" t="s">
        <v>134</v>
      </c>
      <c r="C41" s="151" t="s">
        <v>65</v>
      </c>
      <c r="D41" s="145" t="str">
        <f t="shared" si="1"/>
        <v>2.9.1</v>
      </c>
      <c r="E41" s="154" t="s">
        <v>135</v>
      </c>
      <c r="F41" s="143" t="s">
        <v>77</v>
      </c>
      <c r="G41" s="143">
        <v>275</v>
      </c>
      <c r="H41" s="152">
        <v>120</v>
      </c>
      <c r="I41" s="153">
        <f t="shared" si="0"/>
        <v>33000</v>
      </c>
      <c r="J41" s="148"/>
    </row>
    <row r="42" spans="1:10" s="149" customFormat="1" ht="31.9" customHeight="1" thickBot="1" x14ac:dyDescent="0.25">
      <c r="A42" s="150">
        <v>33</v>
      </c>
      <c r="B42" s="151" t="s">
        <v>136</v>
      </c>
      <c r="C42" s="151" t="s">
        <v>65</v>
      </c>
      <c r="D42" s="145" t="str">
        <f t="shared" si="1"/>
        <v>2.9.1</v>
      </c>
      <c r="E42" s="146" t="s">
        <v>137</v>
      </c>
      <c r="F42" s="143" t="s">
        <v>77</v>
      </c>
      <c r="G42" s="143">
        <v>18000</v>
      </c>
      <c r="H42" s="152">
        <v>15</v>
      </c>
      <c r="I42" s="153">
        <f t="shared" si="0"/>
        <v>270000</v>
      </c>
      <c r="J42" s="148"/>
    </row>
    <row r="43" spans="1:10" s="149" customFormat="1" ht="31.9" customHeight="1" thickBot="1" x14ac:dyDescent="0.25">
      <c r="A43" s="150">
        <v>34</v>
      </c>
      <c r="B43" s="151" t="s">
        <v>139</v>
      </c>
      <c r="C43" s="151" t="s">
        <v>65</v>
      </c>
      <c r="D43" s="145" t="str">
        <f t="shared" si="1"/>
        <v>2.9.1</v>
      </c>
      <c r="E43" s="146" t="s">
        <v>140</v>
      </c>
      <c r="F43" s="143" t="s">
        <v>99</v>
      </c>
      <c r="G43" s="143">
        <v>240</v>
      </c>
      <c r="H43" s="152">
        <v>1590</v>
      </c>
      <c r="I43" s="153">
        <f t="shared" si="0"/>
        <v>381600</v>
      </c>
      <c r="J43" s="148"/>
    </row>
    <row r="44" spans="1:10" s="149" customFormat="1" ht="31.9" customHeight="1" thickBot="1" x14ac:dyDescent="0.25">
      <c r="A44" s="150">
        <v>35</v>
      </c>
      <c r="B44" s="151" t="s">
        <v>141</v>
      </c>
      <c r="C44" s="151" t="s">
        <v>65</v>
      </c>
      <c r="D44" s="145" t="str">
        <f t="shared" si="1"/>
        <v>2.9.1</v>
      </c>
      <c r="E44" s="146" t="s">
        <v>142</v>
      </c>
      <c r="F44" s="143" t="s">
        <v>77</v>
      </c>
      <c r="G44" s="143">
        <v>4500</v>
      </c>
      <c r="H44" s="152">
        <v>21</v>
      </c>
      <c r="I44" s="153">
        <f t="shared" si="0"/>
        <v>94500</v>
      </c>
      <c r="J44" s="148"/>
    </row>
    <row r="45" spans="1:10" s="149" customFormat="1" ht="31.9" customHeight="1" thickBot="1" x14ac:dyDescent="0.25">
      <c r="A45" s="150">
        <v>36</v>
      </c>
      <c r="B45" s="154" t="s">
        <v>185</v>
      </c>
      <c r="C45" s="151" t="s">
        <v>65</v>
      </c>
      <c r="D45" s="145" t="str">
        <f t="shared" si="1"/>
        <v>2.9.1</v>
      </c>
      <c r="E45" s="146" t="s">
        <v>184</v>
      </c>
      <c r="F45" s="143" t="s">
        <v>99</v>
      </c>
      <c r="G45" s="143">
        <v>120</v>
      </c>
      <c r="H45" s="152">
        <v>2829</v>
      </c>
      <c r="I45" s="153">
        <f t="shared" si="0"/>
        <v>339480</v>
      </c>
      <c r="J45" s="148"/>
    </row>
    <row r="46" spans="1:10" s="149" customFormat="1" ht="31.9" customHeight="1" thickBot="1" x14ac:dyDescent="0.25">
      <c r="A46" s="150">
        <v>37</v>
      </c>
      <c r="B46" s="151" t="s">
        <v>143</v>
      </c>
      <c r="C46" s="151" t="s">
        <v>144</v>
      </c>
      <c r="D46" s="145" t="str">
        <f t="shared" si="1"/>
        <v>2.5.8</v>
      </c>
      <c r="E46" s="146" t="s">
        <v>145</v>
      </c>
      <c r="F46" s="143" t="s">
        <v>146</v>
      </c>
      <c r="G46" s="143">
        <v>3</v>
      </c>
      <c r="H46" s="152">
        <v>26600</v>
      </c>
      <c r="I46" s="153">
        <f t="shared" si="0"/>
        <v>79800</v>
      </c>
      <c r="J46" s="148"/>
    </row>
    <row r="47" spans="1:10" s="149" customFormat="1" ht="31.9" customHeight="1" thickBot="1" x14ac:dyDescent="0.25">
      <c r="A47" s="150">
        <v>38</v>
      </c>
      <c r="B47" s="151" t="s">
        <v>148</v>
      </c>
      <c r="C47" s="151" t="s">
        <v>144</v>
      </c>
      <c r="D47" s="145" t="str">
        <f t="shared" si="1"/>
        <v>2.5.8</v>
      </c>
      <c r="E47" s="146" t="s">
        <v>149</v>
      </c>
      <c r="F47" s="143" t="s">
        <v>146</v>
      </c>
      <c r="G47" s="143">
        <v>25</v>
      </c>
      <c r="H47" s="152">
        <v>1380</v>
      </c>
      <c r="I47" s="153">
        <f t="shared" si="0"/>
        <v>34500</v>
      </c>
      <c r="J47" s="148"/>
    </row>
    <row r="48" spans="1:10" s="149" customFormat="1" ht="31.9" customHeight="1" thickBot="1" x14ac:dyDescent="0.25">
      <c r="A48" s="150">
        <v>39</v>
      </c>
      <c r="B48" s="151" t="s">
        <v>148</v>
      </c>
      <c r="C48" s="151" t="s">
        <v>144</v>
      </c>
      <c r="D48" s="145" t="str">
        <f t="shared" si="1"/>
        <v>2.5.8</v>
      </c>
      <c r="E48" s="146" t="s">
        <v>149</v>
      </c>
      <c r="F48" s="143" t="s">
        <v>146</v>
      </c>
      <c r="G48" s="143">
        <v>30</v>
      </c>
      <c r="H48" s="152">
        <v>1380</v>
      </c>
      <c r="I48" s="153">
        <f t="shared" si="0"/>
        <v>41400</v>
      </c>
      <c r="J48" s="148"/>
    </row>
    <row r="49" spans="1:10" s="149" customFormat="1" ht="31.9" customHeight="1" thickBot="1" x14ac:dyDescent="0.25">
      <c r="A49" s="150">
        <v>40</v>
      </c>
      <c r="B49" s="151" t="s">
        <v>148</v>
      </c>
      <c r="C49" s="151" t="s">
        <v>144</v>
      </c>
      <c r="D49" s="145" t="str">
        <f t="shared" ref="D49:D51" si="2">LEFT(B49,5)</f>
        <v>2.5.8</v>
      </c>
      <c r="E49" s="146" t="s">
        <v>149</v>
      </c>
      <c r="F49" s="143" t="s">
        <v>146</v>
      </c>
      <c r="G49" s="143">
        <v>30</v>
      </c>
      <c r="H49" s="152">
        <v>1380</v>
      </c>
      <c r="I49" s="153">
        <f t="shared" si="0"/>
        <v>41400</v>
      </c>
      <c r="J49" s="148"/>
    </row>
    <row r="50" spans="1:10" s="149" customFormat="1" ht="43.5" customHeight="1" thickBot="1" x14ac:dyDescent="0.25">
      <c r="A50" s="142">
        <v>41</v>
      </c>
      <c r="B50" s="143" t="s">
        <v>186</v>
      </c>
      <c r="C50" s="144" t="s">
        <v>187</v>
      </c>
      <c r="D50" s="145" t="str">
        <f t="shared" si="2"/>
        <v>2.3.4</v>
      </c>
      <c r="E50" s="146" t="s">
        <v>188</v>
      </c>
      <c r="F50" s="143" t="s">
        <v>77</v>
      </c>
      <c r="G50" s="143">
        <v>300</v>
      </c>
      <c r="H50" s="147">
        <v>1400</v>
      </c>
      <c r="I50" s="153">
        <f t="shared" si="0"/>
        <v>420000</v>
      </c>
      <c r="J50" s="148"/>
    </row>
    <row r="51" spans="1:10" s="149" customFormat="1" ht="55.5" customHeight="1" thickBot="1" x14ac:dyDescent="0.25">
      <c r="A51" s="142">
        <v>42</v>
      </c>
      <c r="B51" s="143" t="s">
        <v>189</v>
      </c>
      <c r="C51" s="144" t="s">
        <v>65</v>
      </c>
      <c r="D51" s="145" t="str">
        <f t="shared" si="2"/>
        <v>2.3.4</v>
      </c>
      <c r="E51" s="146" t="s">
        <v>190</v>
      </c>
      <c r="F51" s="143" t="s">
        <v>111</v>
      </c>
      <c r="G51" s="143">
        <v>300</v>
      </c>
      <c r="H51" s="147">
        <v>1800</v>
      </c>
      <c r="I51" s="153">
        <f t="shared" si="0"/>
        <v>540000</v>
      </c>
      <c r="J51" s="148"/>
    </row>
    <row r="52" spans="1:10" ht="31.9" customHeight="1" thickBot="1" x14ac:dyDescent="0.25">
      <c r="A52" s="76"/>
      <c r="B52" s="77"/>
      <c r="C52" s="77"/>
      <c r="D52" s="78"/>
      <c r="E52" s="79"/>
      <c r="F52" s="80"/>
      <c r="G52" s="80"/>
      <c r="H52" s="81"/>
      <c r="I52" s="81"/>
      <c r="J52" s="42"/>
    </row>
    <row r="53" spans="1:10" ht="31.9" customHeight="1" thickBot="1" x14ac:dyDescent="0.25">
      <c r="A53" s="76"/>
      <c r="B53" s="183" t="s">
        <v>203</v>
      </c>
      <c r="C53" s="184"/>
      <c r="D53" s="184"/>
      <c r="E53" s="185"/>
      <c r="F53" s="80"/>
      <c r="G53" s="80"/>
      <c r="H53" s="81"/>
      <c r="I53" s="81"/>
      <c r="J53" s="42"/>
    </row>
    <row r="54" spans="1:10" ht="31.9" customHeight="1" thickBot="1" x14ac:dyDescent="0.25">
      <c r="A54" s="76"/>
      <c r="B54" s="183" t="s">
        <v>204</v>
      </c>
      <c r="C54" s="184"/>
      <c r="D54" s="184"/>
      <c r="E54" s="185"/>
      <c r="F54" s="80"/>
      <c r="G54" s="80"/>
      <c r="H54" s="81"/>
      <c r="I54" s="81"/>
      <c r="J54" s="42"/>
    </row>
    <row r="55" spans="1:10" ht="31.5" customHeight="1" thickBot="1" x14ac:dyDescent="0.25">
      <c r="B55" s="183" t="s">
        <v>205</v>
      </c>
      <c r="C55" s="184"/>
      <c r="D55" s="184"/>
      <c r="E55" s="185"/>
    </row>
    <row r="56" spans="1:10" ht="13.5" thickBot="1" x14ac:dyDescent="0.25"/>
    <row r="57" spans="1:10" x14ac:dyDescent="0.2">
      <c r="B57" s="71" t="s">
        <v>14</v>
      </c>
      <c r="C57" s="65"/>
      <c r="D57" s="65"/>
      <c r="E57" s="85"/>
    </row>
    <row r="58" spans="1:10" ht="5.25" customHeight="1" x14ac:dyDescent="0.2">
      <c r="B58" s="72"/>
      <c r="C58" s="66"/>
      <c r="D58" s="66"/>
      <c r="E58" s="86"/>
    </row>
    <row r="59" spans="1:10" x14ac:dyDescent="0.2">
      <c r="B59" s="73" t="s">
        <v>15</v>
      </c>
      <c r="C59" s="66"/>
      <c r="D59" s="66"/>
      <c r="E59" s="86"/>
    </row>
    <row r="60" spans="1:10" ht="30" customHeight="1" x14ac:dyDescent="0.2">
      <c r="B60" s="73"/>
      <c r="C60" s="95" t="s">
        <v>181</v>
      </c>
      <c r="D60" s="95"/>
      <c r="E60" s="96"/>
    </row>
    <row r="61" spans="1:10" x14ac:dyDescent="0.2">
      <c r="B61" s="73" t="s">
        <v>16</v>
      </c>
      <c r="C61" s="66"/>
      <c r="D61" s="66"/>
      <c r="E61" s="86"/>
    </row>
    <row r="62" spans="1:10" ht="24" customHeight="1" x14ac:dyDescent="0.2">
      <c r="B62" s="74"/>
      <c r="C62" s="97" t="s">
        <v>156</v>
      </c>
      <c r="D62" s="97"/>
      <c r="E62" s="97"/>
    </row>
    <row r="63" spans="1:10" x14ac:dyDescent="0.2">
      <c r="B63" s="74"/>
      <c r="C63" s="98"/>
      <c r="D63" s="98"/>
      <c r="E63" s="98"/>
    </row>
    <row r="64" spans="1:10" x14ac:dyDescent="0.2">
      <c r="B64" s="73" t="s">
        <v>17</v>
      </c>
      <c r="C64" s="66"/>
      <c r="D64" s="66"/>
      <c r="E64" s="86"/>
    </row>
    <row r="65" spans="2:5" ht="26.25" customHeight="1" x14ac:dyDescent="0.2">
      <c r="B65" s="74"/>
      <c r="C65" s="102"/>
      <c r="D65" s="102"/>
      <c r="E65" s="102"/>
    </row>
    <row r="66" spans="2:5" x14ac:dyDescent="0.2">
      <c r="B66" s="73" t="s">
        <v>18</v>
      </c>
      <c r="C66" s="67"/>
      <c r="D66" s="67"/>
      <c r="E66" s="87"/>
    </row>
    <row r="67" spans="2:5" ht="26.25" customHeight="1" x14ac:dyDescent="0.2">
      <c r="B67" s="74"/>
      <c r="C67" s="103" t="s">
        <v>61</v>
      </c>
      <c r="D67" s="103"/>
      <c r="E67" s="103"/>
    </row>
    <row r="68" spans="2:5" x14ac:dyDescent="0.2">
      <c r="B68" s="73" t="s">
        <v>19</v>
      </c>
      <c r="C68" s="66"/>
      <c r="D68" s="66"/>
      <c r="E68" s="86"/>
    </row>
    <row r="69" spans="2:5" ht="23.25" customHeight="1" x14ac:dyDescent="0.2">
      <c r="B69" s="73"/>
      <c r="C69" s="101"/>
      <c r="D69" s="101"/>
      <c r="E69" s="101"/>
    </row>
    <row r="70" spans="2:5" ht="13.5" thickBot="1" x14ac:dyDescent="0.25">
      <c r="B70" s="75"/>
      <c r="C70" s="68"/>
      <c r="D70" s="68"/>
      <c r="E70" s="88"/>
    </row>
    <row r="72" spans="2:5" x14ac:dyDescent="0.2">
      <c r="B72" s="71" t="s">
        <v>20</v>
      </c>
      <c r="C72" s="65"/>
      <c r="D72" s="65"/>
      <c r="E72" s="85"/>
    </row>
    <row r="73" spans="2:5" ht="7.5" customHeight="1" x14ac:dyDescent="0.2">
      <c r="B73" s="72"/>
      <c r="C73" s="66"/>
      <c r="D73" s="66"/>
      <c r="E73" s="86"/>
    </row>
    <row r="74" spans="2:5" x14ac:dyDescent="0.2">
      <c r="B74" s="73" t="s">
        <v>15</v>
      </c>
      <c r="C74" s="66"/>
      <c r="D74" s="66"/>
      <c r="E74" s="86"/>
    </row>
    <row r="75" spans="2:5" ht="29.25" customHeight="1" x14ac:dyDescent="0.2">
      <c r="B75" s="73"/>
      <c r="C75" s="95" t="s">
        <v>180</v>
      </c>
      <c r="D75" s="95"/>
      <c r="E75" s="96"/>
    </row>
    <row r="76" spans="2:5" x14ac:dyDescent="0.2">
      <c r="B76" s="73" t="s">
        <v>16</v>
      </c>
      <c r="C76" s="66"/>
      <c r="D76" s="66"/>
      <c r="E76" s="86"/>
    </row>
    <row r="77" spans="2:5" ht="23.25" customHeight="1" x14ac:dyDescent="0.2">
      <c r="B77" s="74"/>
      <c r="C77" s="97" t="s">
        <v>156</v>
      </c>
      <c r="D77" s="97"/>
      <c r="E77" s="97"/>
    </row>
    <row r="78" spans="2:5" x14ac:dyDescent="0.2">
      <c r="B78" s="74"/>
      <c r="C78" s="101"/>
      <c r="D78" s="101"/>
      <c r="E78" s="101"/>
    </row>
    <row r="79" spans="2:5" x14ac:dyDescent="0.2">
      <c r="B79" s="73" t="s">
        <v>17</v>
      </c>
      <c r="C79" s="66"/>
      <c r="D79" s="66"/>
      <c r="E79" s="86"/>
    </row>
    <row r="80" spans="2:5" x14ac:dyDescent="0.2">
      <c r="B80" s="74"/>
      <c r="C80" s="102"/>
      <c r="D80" s="102"/>
      <c r="E80" s="102"/>
    </row>
    <row r="81" spans="2:5" x14ac:dyDescent="0.2">
      <c r="B81" s="73" t="s">
        <v>18</v>
      </c>
      <c r="C81" s="67"/>
      <c r="D81" s="67"/>
      <c r="E81" s="87"/>
    </row>
    <row r="82" spans="2:5" ht="19.5" customHeight="1" x14ac:dyDescent="0.2">
      <c r="B82" s="74"/>
      <c r="C82" s="103" t="s">
        <v>61</v>
      </c>
      <c r="D82" s="103"/>
      <c r="E82" s="103"/>
    </row>
    <row r="83" spans="2:5" x14ac:dyDescent="0.2">
      <c r="B83" s="73" t="s">
        <v>19</v>
      </c>
      <c r="C83" s="66"/>
      <c r="D83" s="66"/>
      <c r="E83" s="86"/>
    </row>
    <row r="84" spans="2:5" x14ac:dyDescent="0.2">
      <c r="B84" s="73"/>
      <c r="C84" s="101"/>
      <c r="D84" s="101"/>
      <c r="E84" s="101"/>
    </row>
    <row r="85" spans="2:5" ht="13.5" thickBot="1" x14ac:dyDescent="0.25">
      <c r="B85" s="75"/>
      <c r="C85" s="68"/>
      <c r="D85" s="68"/>
      <c r="E85" s="88"/>
    </row>
    <row r="87" spans="2:5" ht="13.5" thickBot="1" x14ac:dyDescent="0.25"/>
    <row r="88" spans="2:5" x14ac:dyDescent="0.2">
      <c r="B88" s="71" t="s">
        <v>157</v>
      </c>
      <c r="C88" s="65"/>
      <c r="D88" s="65"/>
      <c r="E88" s="85"/>
    </row>
    <row r="89" spans="2:5" x14ac:dyDescent="0.2">
      <c r="B89" s="72"/>
      <c r="C89" s="66"/>
      <c r="D89" s="66"/>
      <c r="E89" s="86"/>
    </row>
    <row r="90" spans="2:5" x14ac:dyDescent="0.2">
      <c r="B90" s="73" t="s">
        <v>15</v>
      </c>
      <c r="C90" s="66"/>
      <c r="D90" s="66"/>
      <c r="E90" s="86"/>
    </row>
    <row r="91" spans="2:5" ht="24.75" customHeight="1" x14ac:dyDescent="0.2">
      <c r="B91" s="73"/>
      <c r="C91" s="95" t="s">
        <v>179</v>
      </c>
      <c r="D91" s="95"/>
      <c r="E91" s="96"/>
    </row>
    <row r="92" spans="2:5" x14ac:dyDescent="0.2">
      <c r="B92" s="73" t="s">
        <v>16</v>
      </c>
      <c r="C92" s="66"/>
      <c r="D92" s="66"/>
      <c r="E92" s="86"/>
    </row>
    <row r="93" spans="2:5" x14ac:dyDescent="0.2">
      <c r="B93" s="74"/>
      <c r="C93" s="97" t="s">
        <v>156</v>
      </c>
      <c r="D93" s="97"/>
      <c r="E93" s="97"/>
    </row>
    <row r="94" spans="2:5" x14ac:dyDescent="0.2">
      <c r="B94" s="74"/>
      <c r="C94" s="101"/>
      <c r="D94" s="101"/>
      <c r="E94" s="101"/>
    </row>
    <row r="95" spans="2:5" x14ac:dyDescent="0.2">
      <c r="B95" s="73" t="s">
        <v>17</v>
      </c>
      <c r="C95" s="66"/>
      <c r="D95" s="66"/>
      <c r="E95" s="86"/>
    </row>
    <row r="96" spans="2:5" x14ac:dyDescent="0.2">
      <c r="B96" s="74"/>
      <c r="C96" s="102"/>
      <c r="D96" s="102"/>
      <c r="E96" s="102"/>
    </row>
    <row r="97" spans="2:5" x14ac:dyDescent="0.2">
      <c r="B97" s="73" t="s">
        <v>18</v>
      </c>
      <c r="C97" s="67"/>
      <c r="D97" s="67"/>
      <c r="E97" s="87"/>
    </row>
    <row r="98" spans="2:5" x14ac:dyDescent="0.2">
      <c r="B98" s="74"/>
      <c r="C98" s="103" t="s">
        <v>61</v>
      </c>
      <c r="D98" s="103"/>
      <c r="E98" s="103"/>
    </row>
    <row r="99" spans="2:5" x14ac:dyDescent="0.2">
      <c r="B99" s="73" t="s">
        <v>19</v>
      </c>
      <c r="C99" s="66"/>
      <c r="D99" s="66"/>
      <c r="E99" s="86"/>
    </row>
    <row r="100" spans="2:5" x14ac:dyDescent="0.2">
      <c r="B100" s="73"/>
      <c r="C100" s="101"/>
      <c r="D100" s="101"/>
      <c r="E100" s="101"/>
    </row>
    <row r="101" spans="2:5" ht="13.5" thickBot="1" x14ac:dyDescent="0.25">
      <c r="B101" s="75"/>
      <c r="C101" s="68"/>
      <c r="D101" s="68"/>
      <c r="E101" s="88"/>
    </row>
    <row r="103" spans="2:5" ht="13.5" thickBot="1" x14ac:dyDescent="0.25"/>
    <row r="104" spans="2:5" x14ac:dyDescent="0.2">
      <c r="B104" s="71" t="s">
        <v>158</v>
      </c>
      <c r="C104" s="65"/>
      <c r="D104" s="65"/>
      <c r="E104" s="85"/>
    </row>
    <row r="105" spans="2:5" x14ac:dyDescent="0.2">
      <c r="B105" s="72"/>
      <c r="C105" s="66"/>
      <c r="D105" s="66"/>
      <c r="E105" s="86"/>
    </row>
    <row r="106" spans="2:5" x14ac:dyDescent="0.2">
      <c r="B106" s="73" t="s">
        <v>15</v>
      </c>
      <c r="C106" s="66"/>
      <c r="D106" s="66"/>
      <c r="E106" s="86"/>
    </row>
    <row r="107" spans="2:5" ht="26.25" customHeight="1" x14ac:dyDescent="0.2">
      <c r="B107" s="73"/>
      <c r="C107" s="95" t="s">
        <v>175</v>
      </c>
      <c r="D107" s="95"/>
      <c r="E107" s="96"/>
    </row>
    <row r="108" spans="2:5" x14ac:dyDescent="0.2">
      <c r="B108" s="73" t="s">
        <v>16</v>
      </c>
      <c r="C108" s="66"/>
      <c r="D108" s="66"/>
      <c r="E108" s="86"/>
    </row>
    <row r="109" spans="2:5" ht="21" customHeight="1" x14ac:dyDescent="0.2">
      <c r="B109" s="74"/>
      <c r="C109" s="97" t="s">
        <v>156</v>
      </c>
      <c r="D109" s="97"/>
      <c r="E109" s="97"/>
    </row>
    <row r="110" spans="2:5" x14ac:dyDescent="0.2">
      <c r="B110" s="74"/>
      <c r="C110" s="101"/>
      <c r="D110" s="101"/>
      <c r="E110" s="101"/>
    </row>
    <row r="111" spans="2:5" x14ac:dyDescent="0.2">
      <c r="B111" s="73" t="s">
        <v>17</v>
      </c>
      <c r="C111" s="66"/>
      <c r="D111" s="66"/>
      <c r="E111" s="86"/>
    </row>
    <row r="112" spans="2:5" x14ac:dyDescent="0.2">
      <c r="B112" s="74"/>
      <c r="C112" s="102"/>
      <c r="D112" s="102"/>
      <c r="E112" s="102"/>
    </row>
    <row r="113" spans="2:5" x14ac:dyDescent="0.2">
      <c r="B113" s="73" t="s">
        <v>18</v>
      </c>
      <c r="C113" s="67"/>
      <c r="D113" s="67"/>
      <c r="E113" s="87"/>
    </row>
    <row r="114" spans="2:5" ht="19.5" customHeight="1" x14ac:dyDescent="0.2">
      <c r="B114" s="74"/>
      <c r="C114" s="103" t="s">
        <v>61</v>
      </c>
      <c r="D114" s="103"/>
      <c r="E114" s="103"/>
    </row>
    <row r="115" spans="2:5" x14ac:dyDescent="0.2">
      <c r="B115" s="73" t="s">
        <v>19</v>
      </c>
      <c r="C115" s="66"/>
      <c r="D115" s="66"/>
      <c r="E115" s="86"/>
    </row>
    <row r="116" spans="2:5" x14ac:dyDescent="0.2">
      <c r="B116" s="73"/>
      <c r="C116" s="101"/>
      <c r="D116" s="101"/>
      <c r="E116" s="101"/>
    </row>
    <row r="117" spans="2:5" ht="13.5" thickBot="1" x14ac:dyDescent="0.25">
      <c r="B117" s="75"/>
      <c r="C117" s="68"/>
      <c r="D117" s="68"/>
      <c r="E117" s="88"/>
    </row>
    <row r="119" spans="2:5" ht="13.5" thickBot="1" x14ac:dyDescent="0.25"/>
    <row r="120" spans="2:5" x14ac:dyDescent="0.2">
      <c r="B120" s="71" t="s">
        <v>178</v>
      </c>
      <c r="C120" s="40"/>
      <c r="D120" s="40"/>
      <c r="E120" s="90"/>
    </row>
    <row r="121" spans="2:5" x14ac:dyDescent="0.2">
      <c r="B121" s="72"/>
      <c r="C121" s="42"/>
      <c r="D121" s="42"/>
      <c r="E121" s="91"/>
    </row>
    <row r="122" spans="2:5" x14ac:dyDescent="0.2">
      <c r="B122" s="73" t="s">
        <v>15</v>
      </c>
      <c r="C122" s="42"/>
      <c r="D122" s="42"/>
      <c r="E122" s="91"/>
    </row>
    <row r="123" spans="2:5" ht="21.75" customHeight="1" x14ac:dyDescent="0.2">
      <c r="B123" s="73"/>
      <c r="C123" s="95" t="s">
        <v>177</v>
      </c>
      <c r="D123" s="95"/>
      <c r="E123" s="96"/>
    </row>
    <row r="124" spans="2:5" x14ac:dyDescent="0.2">
      <c r="B124" s="73" t="s">
        <v>16</v>
      </c>
      <c r="C124" s="42"/>
      <c r="D124" s="42"/>
      <c r="E124" s="91"/>
    </row>
    <row r="125" spans="2:5" ht="21" customHeight="1" x14ac:dyDescent="0.2">
      <c r="B125" s="74"/>
      <c r="C125" s="97" t="s">
        <v>156</v>
      </c>
      <c r="D125" s="97"/>
      <c r="E125" s="97"/>
    </row>
    <row r="126" spans="2:5" x14ac:dyDescent="0.2">
      <c r="B126" s="74"/>
      <c r="C126" s="101"/>
      <c r="D126" s="101"/>
      <c r="E126" s="101"/>
    </row>
    <row r="127" spans="2:5" x14ac:dyDescent="0.2">
      <c r="B127" s="73" t="s">
        <v>17</v>
      </c>
      <c r="C127" s="42"/>
      <c r="D127" s="42"/>
      <c r="E127" s="91"/>
    </row>
    <row r="128" spans="2:5" x14ac:dyDescent="0.2">
      <c r="B128" s="74"/>
      <c r="C128" s="102"/>
      <c r="D128" s="102"/>
      <c r="E128" s="102"/>
    </row>
    <row r="129" spans="2:5" x14ac:dyDescent="0.2">
      <c r="B129" s="73" t="s">
        <v>18</v>
      </c>
      <c r="C129" s="45"/>
      <c r="D129" s="45"/>
      <c r="E129" s="92"/>
    </row>
    <row r="130" spans="2:5" x14ac:dyDescent="0.2">
      <c r="B130" s="74"/>
      <c r="C130" s="103" t="s">
        <v>61</v>
      </c>
      <c r="D130" s="103"/>
      <c r="E130" s="103"/>
    </row>
    <row r="131" spans="2:5" x14ac:dyDescent="0.2">
      <c r="B131" s="73" t="s">
        <v>19</v>
      </c>
      <c r="C131" s="42"/>
      <c r="D131" s="42"/>
      <c r="E131" s="91"/>
    </row>
    <row r="132" spans="2:5" x14ac:dyDescent="0.2">
      <c r="B132" s="73"/>
      <c r="C132" s="101"/>
      <c r="D132" s="101"/>
      <c r="E132" s="101"/>
    </row>
    <row r="133" spans="2:5" ht="13.5" thickBot="1" x14ac:dyDescent="0.25">
      <c r="B133" s="75"/>
      <c r="C133" s="47"/>
      <c r="D133" s="47"/>
      <c r="E133" s="93"/>
    </row>
    <row r="135" spans="2:5" ht="13.5" thickBot="1" x14ac:dyDescent="0.25"/>
    <row r="136" spans="2:5" x14ac:dyDescent="0.2">
      <c r="B136" s="39" t="s">
        <v>176</v>
      </c>
      <c r="C136" s="40"/>
      <c r="D136" s="40"/>
      <c r="E136" s="90"/>
    </row>
    <row r="137" spans="2:5" x14ac:dyDescent="0.2">
      <c r="B137" s="41"/>
      <c r="C137" s="42"/>
      <c r="D137" s="42"/>
      <c r="E137" s="91"/>
    </row>
    <row r="138" spans="2:5" x14ac:dyDescent="0.2">
      <c r="B138" s="43" t="s">
        <v>15</v>
      </c>
      <c r="C138" s="42"/>
      <c r="D138" s="42"/>
      <c r="E138" s="91"/>
    </row>
    <row r="139" spans="2:5" ht="23.25" customHeight="1" x14ac:dyDescent="0.2">
      <c r="B139" s="43"/>
      <c r="C139" s="95" t="s">
        <v>177</v>
      </c>
      <c r="D139" s="95"/>
      <c r="E139" s="96"/>
    </row>
    <row r="140" spans="2:5" x14ac:dyDescent="0.2">
      <c r="B140" s="43" t="s">
        <v>16</v>
      </c>
      <c r="C140" s="42"/>
      <c r="D140" s="42"/>
      <c r="E140" s="91"/>
    </row>
    <row r="141" spans="2:5" ht="12.75" customHeight="1" x14ac:dyDescent="0.2">
      <c r="B141" s="44"/>
      <c r="C141" s="97" t="s">
        <v>156</v>
      </c>
      <c r="D141" s="97"/>
      <c r="E141" s="97"/>
    </row>
    <row r="142" spans="2:5" x14ac:dyDescent="0.2">
      <c r="B142" s="44"/>
      <c r="C142" s="101"/>
      <c r="D142" s="101"/>
      <c r="E142" s="101"/>
    </row>
    <row r="143" spans="2:5" x14ac:dyDescent="0.2">
      <c r="B143" s="43" t="s">
        <v>17</v>
      </c>
      <c r="C143" s="42"/>
      <c r="D143" s="42"/>
      <c r="E143" s="91"/>
    </row>
    <row r="144" spans="2:5" x14ac:dyDescent="0.2">
      <c r="B144" s="44"/>
      <c r="C144" s="102"/>
      <c r="D144" s="102"/>
      <c r="E144" s="102"/>
    </row>
    <row r="145" spans="2:5" x14ac:dyDescent="0.2">
      <c r="B145" s="43" t="s">
        <v>18</v>
      </c>
      <c r="C145" s="45"/>
      <c r="D145" s="45"/>
      <c r="E145" s="92"/>
    </row>
    <row r="146" spans="2:5" x14ac:dyDescent="0.2">
      <c r="B146" s="44"/>
      <c r="C146" s="103" t="s">
        <v>61</v>
      </c>
      <c r="D146" s="103"/>
      <c r="E146" s="103"/>
    </row>
    <row r="147" spans="2:5" ht="14.25" customHeight="1" x14ac:dyDescent="0.2">
      <c r="B147" s="43" t="s">
        <v>19</v>
      </c>
      <c r="C147" s="42"/>
      <c r="D147" s="42"/>
      <c r="E147" s="91"/>
    </row>
    <row r="148" spans="2:5" ht="14.25" customHeight="1" x14ac:dyDescent="0.2">
      <c r="B148" s="43"/>
      <c r="C148" s="101"/>
      <c r="D148" s="101"/>
      <c r="E148" s="101"/>
    </row>
    <row r="149" spans="2:5" ht="13.5" thickBot="1" x14ac:dyDescent="0.25">
      <c r="B149" s="46"/>
      <c r="C149" s="47"/>
      <c r="D149" s="47"/>
      <c r="E149" s="93"/>
    </row>
    <row r="151" spans="2:5" ht="13.5" thickBot="1" x14ac:dyDescent="0.25"/>
    <row r="152" spans="2:5" x14ac:dyDescent="0.2">
      <c r="B152" s="71" t="s">
        <v>159</v>
      </c>
      <c r="C152" s="65"/>
      <c r="D152" s="65"/>
      <c r="E152" s="85"/>
    </row>
    <row r="153" spans="2:5" x14ac:dyDescent="0.2">
      <c r="B153" s="72"/>
      <c r="C153" s="66"/>
      <c r="D153" s="66"/>
      <c r="E153" s="86"/>
    </row>
    <row r="154" spans="2:5" x14ac:dyDescent="0.2">
      <c r="B154" s="73" t="s">
        <v>15</v>
      </c>
      <c r="C154" s="66"/>
      <c r="D154" s="66"/>
      <c r="E154" s="86"/>
    </row>
    <row r="155" spans="2:5" ht="22.5" customHeight="1" x14ac:dyDescent="0.2">
      <c r="B155" s="73"/>
      <c r="C155" s="95" t="s">
        <v>88</v>
      </c>
      <c r="D155" s="95"/>
      <c r="E155" s="96"/>
    </row>
    <row r="156" spans="2:5" x14ac:dyDescent="0.2">
      <c r="B156" s="73" t="s">
        <v>16</v>
      </c>
      <c r="C156" s="66"/>
      <c r="D156" s="66"/>
      <c r="E156" s="86"/>
    </row>
    <row r="157" spans="2:5" x14ac:dyDescent="0.2">
      <c r="B157" s="74"/>
      <c r="C157" s="97" t="s">
        <v>156</v>
      </c>
      <c r="D157" s="97"/>
      <c r="E157" s="97"/>
    </row>
    <row r="158" spans="2:5" x14ac:dyDescent="0.2">
      <c r="B158" s="74"/>
      <c r="C158" s="101"/>
      <c r="D158" s="101"/>
      <c r="E158" s="101"/>
    </row>
    <row r="159" spans="2:5" x14ac:dyDescent="0.2">
      <c r="B159" s="73" t="s">
        <v>17</v>
      </c>
      <c r="C159" s="66"/>
      <c r="D159" s="66"/>
      <c r="E159" s="86"/>
    </row>
    <row r="160" spans="2:5" x14ac:dyDescent="0.2">
      <c r="B160" s="74"/>
      <c r="C160" s="102"/>
      <c r="D160" s="102"/>
      <c r="E160" s="102"/>
    </row>
    <row r="161" spans="2:5" x14ac:dyDescent="0.2">
      <c r="B161" s="73" t="s">
        <v>18</v>
      </c>
      <c r="C161" s="67"/>
      <c r="D161" s="67"/>
      <c r="E161" s="87"/>
    </row>
    <row r="162" spans="2:5" x14ac:dyDescent="0.2">
      <c r="B162" s="74"/>
      <c r="C162" s="104" t="s">
        <v>61</v>
      </c>
      <c r="D162" s="104"/>
      <c r="E162" s="104"/>
    </row>
    <row r="163" spans="2:5" x14ac:dyDescent="0.2">
      <c r="B163" s="73" t="s">
        <v>19</v>
      </c>
      <c r="C163" s="66"/>
      <c r="D163" s="66"/>
      <c r="E163" s="86"/>
    </row>
    <row r="164" spans="2:5" x14ac:dyDescent="0.2">
      <c r="B164" s="73"/>
      <c r="C164" s="101"/>
      <c r="D164" s="101"/>
      <c r="E164" s="101"/>
    </row>
    <row r="165" spans="2:5" ht="13.5" thickBot="1" x14ac:dyDescent="0.25">
      <c r="B165" s="75"/>
      <c r="C165" s="68"/>
      <c r="D165" s="68"/>
      <c r="E165" s="88"/>
    </row>
    <row r="167" spans="2:5" ht="13.5" thickBot="1" x14ac:dyDescent="0.25"/>
    <row r="168" spans="2:5" x14ac:dyDescent="0.2">
      <c r="B168" s="71" t="s">
        <v>160</v>
      </c>
      <c r="C168" s="65"/>
      <c r="D168" s="65"/>
      <c r="E168" s="85"/>
    </row>
    <row r="169" spans="2:5" x14ac:dyDescent="0.2">
      <c r="B169" s="72"/>
      <c r="C169" s="66"/>
      <c r="D169" s="66"/>
      <c r="E169" s="86"/>
    </row>
    <row r="170" spans="2:5" x14ac:dyDescent="0.2">
      <c r="B170" s="73" t="s">
        <v>15</v>
      </c>
      <c r="C170" s="66"/>
      <c r="D170" s="66"/>
      <c r="E170" s="86"/>
    </row>
    <row r="171" spans="2:5" ht="29.25" customHeight="1" x14ac:dyDescent="0.2">
      <c r="B171" s="73"/>
      <c r="C171" s="95" t="s">
        <v>94</v>
      </c>
      <c r="D171" s="95"/>
      <c r="E171" s="96"/>
    </row>
    <row r="172" spans="2:5" x14ac:dyDescent="0.2">
      <c r="B172" s="73" t="s">
        <v>16</v>
      </c>
      <c r="C172" s="66"/>
      <c r="D172" s="66"/>
      <c r="E172" s="86"/>
    </row>
    <row r="173" spans="2:5" x14ac:dyDescent="0.2">
      <c r="B173" s="74"/>
      <c r="C173" s="97" t="s">
        <v>156</v>
      </c>
      <c r="D173" s="97"/>
      <c r="E173" s="97"/>
    </row>
    <row r="174" spans="2:5" x14ac:dyDescent="0.2">
      <c r="B174" s="74"/>
      <c r="C174" s="101"/>
      <c r="D174" s="101"/>
      <c r="E174" s="101"/>
    </row>
    <row r="175" spans="2:5" x14ac:dyDescent="0.2">
      <c r="B175" s="73" t="s">
        <v>17</v>
      </c>
      <c r="C175" s="66"/>
      <c r="D175" s="66"/>
      <c r="E175" s="86"/>
    </row>
    <row r="176" spans="2:5" x14ac:dyDescent="0.2">
      <c r="B176" s="74"/>
      <c r="C176" s="102"/>
      <c r="D176" s="102"/>
      <c r="E176" s="102"/>
    </row>
    <row r="177" spans="2:5" x14ac:dyDescent="0.2">
      <c r="B177" s="73" t="s">
        <v>18</v>
      </c>
      <c r="C177" s="67"/>
      <c r="D177" s="67"/>
      <c r="E177" s="87"/>
    </row>
    <row r="178" spans="2:5" ht="21" customHeight="1" x14ac:dyDescent="0.2">
      <c r="B178" s="74"/>
      <c r="C178" s="103" t="s">
        <v>61</v>
      </c>
      <c r="D178" s="103"/>
      <c r="E178" s="103"/>
    </row>
    <row r="179" spans="2:5" x14ac:dyDescent="0.2">
      <c r="B179" s="73" t="s">
        <v>19</v>
      </c>
      <c r="C179" s="66"/>
      <c r="D179" s="66"/>
      <c r="E179" s="86"/>
    </row>
    <row r="180" spans="2:5" x14ac:dyDescent="0.2">
      <c r="B180" s="73"/>
      <c r="C180" s="101"/>
      <c r="D180" s="101"/>
      <c r="E180" s="101"/>
    </row>
    <row r="181" spans="2:5" ht="13.5" thickBot="1" x14ac:dyDescent="0.25">
      <c r="B181" s="75"/>
      <c r="C181" s="68"/>
      <c r="D181" s="68"/>
      <c r="E181" s="88"/>
    </row>
    <row r="182" spans="2:5" ht="13.5" thickBot="1" x14ac:dyDescent="0.25"/>
    <row r="183" spans="2:5" x14ac:dyDescent="0.2">
      <c r="B183" s="71" t="s">
        <v>161</v>
      </c>
      <c r="C183" s="65"/>
      <c r="D183" s="65"/>
      <c r="E183" s="85"/>
    </row>
    <row r="184" spans="2:5" x14ac:dyDescent="0.2">
      <c r="B184" s="72"/>
      <c r="C184" s="66"/>
      <c r="D184" s="66"/>
      <c r="E184" s="86"/>
    </row>
    <row r="185" spans="2:5" x14ac:dyDescent="0.2">
      <c r="B185" s="73" t="s">
        <v>15</v>
      </c>
      <c r="C185" s="66"/>
      <c r="D185" s="66"/>
      <c r="E185" s="86"/>
    </row>
    <row r="186" spans="2:5" ht="26.25" customHeight="1" x14ac:dyDescent="0.2">
      <c r="B186" s="73"/>
      <c r="C186" s="95" t="s">
        <v>100</v>
      </c>
      <c r="D186" s="95"/>
      <c r="E186" s="96"/>
    </row>
    <row r="187" spans="2:5" x14ac:dyDescent="0.2">
      <c r="B187" s="73" t="s">
        <v>16</v>
      </c>
      <c r="C187" s="66"/>
      <c r="D187" s="66"/>
      <c r="E187" s="86"/>
    </row>
    <row r="188" spans="2:5" ht="22.5" customHeight="1" x14ac:dyDescent="0.2">
      <c r="B188" s="74"/>
      <c r="C188" s="97" t="s">
        <v>156</v>
      </c>
      <c r="D188" s="97"/>
      <c r="E188" s="97"/>
    </row>
    <row r="189" spans="2:5" x14ac:dyDescent="0.2">
      <c r="B189" s="74"/>
      <c r="C189" s="101"/>
      <c r="D189" s="101"/>
      <c r="E189" s="101"/>
    </row>
    <row r="190" spans="2:5" x14ac:dyDescent="0.2">
      <c r="B190" s="73" t="s">
        <v>17</v>
      </c>
      <c r="C190" s="66"/>
      <c r="D190" s="66"/>
      <c r="E190" s="86"/>
    </row>
    <row r="191" spans="2:5" x14ac:dyDescent="0.2">
      <c r="B191" s="74"/>
      <c r="C191" s="102"/>
      <c r="D191" s="102"/>
      <c r="E191" s="102"/>
    </row>
    <row r="192" spans="2:5" x14ac:dyDescent="0.2">
      <c r="B192" s="73" t="s">
        <v>18</v>
      </c>
      <c r="C192" s="67"/>
      <c r="D192" s="67"/>
      <c r="E192" s="87"/>
    </row>
    <row r="193" spans="2:5" ht="27" customHeight="1" x14ac:dyDescent="0.2">
      <c r="B193" s="74"/>
      <c r="C193" s="95" t="s">
        <v>61</v>
      </c>
      <c r="D193" s="95"/>
      <c r="E193" s="96"/>
    </row>
    <row r="194" spans="2:5" x14ac:dyDescent="0.2">
      <c r="B194" s="73" t="s">
        <v>19</v>
      </c>
      <c r="C194" s="66"/>
      <c r="D194" s="66"/>
      <c r="E194" s="86"/>
    </row>
    <row r="195" spans="2:5" x14ac:dyDescent="0.2">
      <c r="B195" s="73"/>
      <c r="C195" s="101"/>
      <c r="D195" s="101"/>
      <c r="E195" s="101"/>
    </row>
    <row r="196" spans="2:5" ht="13.5" thickBot="1" x14ac:dyDescent="0.25">
      <c r="B196" s="75"/>
      <c r="C196" s="68"/>
      <c r="D196" s="68"/>
      <c r="E196" s="88"/>
    </row>
    <row r="199" spans="2:5" ht="13.5" thickBot="1" x14ac:dyDescent="0.25"/>
    <row r="200" spans="2:5" x14ac:dyDescent="0.2">
      <c r="B200" s="71" t="s">
        <v>162</v>
      </c>
      <c r="C200" s="65"/>
      <c r="D200" s="65"/>
      <c r="E200" s="85"/>
    </row>
    <row r="201" spans="2:5" x14ac:dyDescent="0.2">
      <c r="B201" s="72"/>
      <c r="C201" s="66"/>
      <c r="D201" s="66"/>
      <c r="E201" s="86"/>
    </row>
    <row r="202" spans="2:5" x14ac:dyDescent="0.2">
      <c r="B202" s="73" t="s">
        <v>15</v>
      </c>
      <c r="C202" s="66"/>
      <c r="D202" s="66"/>
      <c r="E202" s="86"/>
    </row>
    <row r="203" spans="2:5" ht="26.25" customHeight="1" x14ac:dyDescent="0.2">
      <c r="B203" s="73"/>
      <c r="C203" s="95" t="s">
        <v>153</v>
      </c>
      <c r="D203" s="95"/>
      <c r="E203" s="96"/>
    </row>
    <row r="204" spans="2:5" x14ac:dyDescent="0.2">
      <c r="B204" s="73" t="s">
        <v>16</v>
      </c>
      <c r="C204" s="66"/>
      <c r="D204" s="66"/>
      <c r="E204" s="86"/>
    </row>
    <row r="205" spans="2:5" x14ac:dyDescent="0.2">
      <c r="B205" s="74"/>
      <c r="C205" s="97" t="s">
        <v>156</v>
      </c>
      <c r="D205" s="97"/>
      <c r="E205" s="97"/>
    </row>
    <row r="206" spans="2:5" x14ac:dyDescent="0.2">
      <c r="B206" s="74"/>
      <c r="C206" s="101"/>
      <c r="D206" s="101"/>
      <c r="E206" s="101"/>
    </row>
    <row r="207" spans="2:5" x14ac:dyDescent="0.2">
      <c r="B207" s="73" t="s">
        <v>17</v>
      </c>
      <c r="C207" s="66"/>
      <c r="D207" s="66"/>
      <c r="E207" s="86"/>
    </row>
    <row r="208" spans="2:5" x14ac:dyDescent="0.2">
      <c r="B208" s="74"/>
      <c r="C208" s="102"/>
      <c r="D208" s="102"/>
      <c r="E208" s="102"/>
    </row>
    <row r="209" spans="2:5" x14ac:dyDescent="0.2">
      <c r="B209" s="73" t="s">
        <v>18</v>
      </c>
      <c r="C209" s="67"/>
      <c r="D209" s="67"/>
      <c r="E209" s="87"/>
    </row>
    <row r="210" spans="2:5" ht="19.5" customHeight="1" x14ac:dyDescent="0.2">
      <c r="B210" s="74"/>
      <c r="C210" s="103" t="s">
        <v>61</v>
      </c>
      <c r="D210" s="103"/>
      <c r="E210" s="103"/>
    </row>
    <row r="211" spans="2:5" x14ac:dyDescent="0.2">
      <c r="B211" s="73" t="s">
        <v>19</v>
      </c>
      <c r="C211" s="66"/>
      <c r="D211" s="66"/>
      <c r="E211" s="86"/>
    </row>
    <row r="212" spans="2:5" x14ac:dyDescent="0.2">
      <c r="B212" s="73"/>
      <c r="C212" s="101"/>
      <c r="D212" s="101"/>
      <c r="E212" s="101"/>
    </row>
    <row r="213" spans="2:5" ht="13.5" thickBot="1" x14ac:dyDescent="0.25">
      <c r="B213" s="75"/>
      <c r="C213" s="68"/>
      <c r="D213" s="68"/>
      <c r="E213" s="88"/>
    </row>
    <row r="215" spans="2:5" ht="13.5" thickBot="1" x14ac:dyDescent="0.25"/>
    <row r="216" spans="2:5" x14ac:dyDescent="0.2">
      <c r="B216" s="71" t="s">
        <v>163</v>
      </c>
      <c r="C216" s="65"/>
      <c r="D216" s="65"/>
      <c r="E216" s="85"/>
    </row>
    <row r="217" spans="2:5" x14ac:dyDescent="0.2">
      <c r="B217" s="72"/>
      <c r="C217" s="66"/>
      <c r="D217" s="66"/>
      <c r="E217" s="86"/>
    </row>
    <row r="218" spans="2:5" x14ac:dyDescent="0.2">
      <c r="B218" s="73" t="s">
        <v>15</v>
      </c>
      <c r="C218" s="66"/>
      <c r="D218" s="66"/>
      <c r="E218" s="86"/>
    </row>
    <row r="219" spans="2:5" ht="26.25" customHeight="1" x14ac:dyDescent="0.2">
      <c r="B219" s="73"/>
      <c r="C219" s="95" t="s">
        <v>182</v>
      </c>
      <c r="D219" s="95"/>
      <c r="E219" s="96"/>
    </row>
    <row r="220" spans="2:5" x14ac:dyDescent="0.2">
      <c r="B220" s="73" t="s">
        <v>16</v>
      </c>
      <c r="C220" s="66"/>
      <c r="D220" s="66"/>
      <c r="E220" s="86"/>
    </row>
    <row r="221" spans="2:5" x14ac:dyDescent="0.2">
      <c r="B221" s="74"/>
      <c r="C221" s="97" t="s">
        <v>156</v>
      </c>
      <c r="D221" s="97"/>
      <c r="E221" s="97"/>
    </row>
    <row r="222" spans="2:5" x14ac:dyDescent="0.2">
      <c r="B222" s="74"/>
      <c r="C222" s="101"/>
      <c r="D222" s="101"/>
      <c r="E222" s="101"/>
    </row>
    <row r="223" spans="2:5" x14ac:dyDescent="0.2">
      <c r="B223" s="73" t="s">
        <v>17</v>
      </c>
      <c r="C223" s="66"/>
      <c r="D223" s="66"/>
      <c r="E223" s="86"/>
    </row>
    <row r="224" spans="2:5" x14ac:dyDescent="0.2">
      <c r="B224" s="74"/>
      <c r="C224" s="102"/>
      <c r="D224" s="102"/>
      <c r="E224" s="102"/>
    </row>
    <row r="225" spans="2:5" x14ac:dyDescent="0.2">
      <c r="B225" s="73" t="s">
        <v>18</v>
      </c>
      <c r="C225" s="67"/>
      <c r="D225" s="67"/>
      <c r="E225" s="87"/>
    </row>
    <row r="226" spans="2:5" x14ac:dyDescent="0.2">
      <c r="B226" s="74"/>
      <c r="C226" s="103" t="s">
        <v>61</v>
      </c>
      <c r="D226" s="103"/>
      <c r="E226" s="103"/>
    </row>
    <row r="227" spans="2:5" x14ac:dyDescent="0.2">
      <c r="B227" s="73" t="s">
        <v>19</v>
      </c>
      <c r="C227" s="66"/>
      <c r="D227" s="66"/>
      <c r="E227" s="86"/>
    </row>
    <row r="228" spans="2:5" x14ac:dyDescent="0.2">
      <c r="B228" s="73"/>
      <c r="C228" s="101"/>
      <c r="D228" s="101"/>
      <c r="E228" s="101"/>
    </row>
    <row r="229" spans="2:5" ht="13.5" thickBot="1" x14ac:dyDescent="0.25">
      <c r="B229" s="75"/>
      <c r="C229" s="68"/>
      <c r="D229" s="68"/>
      <c r="E229" s="88"/>
    </row>
    <row r="232" spans="2:5" ht="13.5" thickBot="1" x14ac:dyDescent="0.25"/>
    <row r="233" spans="2:5" x14ac:dyDescent="0.2">
      <c r="B233" s="71" t="s">
        <v>164</v>
      </c>
      <c r="C233" s="65"/>
      <c r="D233" s="65"/>
      <c r="E233" s="85"/>
    </row>
    <row r="234" spans="2:5" x14ac:dyDescent="0.2">
      <c r="B234" s="72"/>
      <c r="C234" s="66"/>
      <c r="D234" s="66"/>
      <c r="E234" s="86"/>
    </row>
    <row r="235" spans="2:5" x14ac:dyDescent="0.2">
      <c r="B235" s="73" t="s">
        <v>15</v>
      </c>
      <c r="C235" s="66"/>
      <c r="D235" s="66"/>
      <c r="E235" s="86"/>
    </row>
    <row r="236" spans="2:5" ht="21" customHeight="1" x14ac:dyDescent="0.2">
      <c r="B236" s="73"/>
      <c r="C236" s="95" t="s">
        <v>138</v>
      </c>
      <c r="D236" s="95"/>
      <c r="E236" s="96"/>
    </row>
    <row r="237" spans="2:5" x14ac:dyDescent="0.2">
      <c r="B237" s="73" t="s">
        <v>16</v>
      </c>
      <c r="C237" s="66"/>
      <c r="D237" s="66"/>
      <c r="E237" s="86"/>
    </row>
    <row r="238" spans="2:5" x14ac:dyDescent="0.2">
      <c r="B238" s="74"/>
      <c r="C238" s="97" t="s">
        <v>156</v>
      </c>
      <c r="D238" s="97"/>
      <c r="E238" s="97"/>
    </row>
    <row r="239" spans="2:5" x14ac:dyDescent="0.2">
      <c r="B239" s="74"/>
      <c r="C239" s="101"/>
      <c r="D239" s="101"/>
      <c r="E239" s="101"/>
    </row>
    <row r="240" spans="2:5" x14ac:dyDescent="0.2">
      <c r="B240" s="73" t="s">
        <v>17</v>
      </c>
      <c r="C240" s="66"/>
      <c r="D240" s="66"/>
      <c r="E240" s="86"/>
    </row>
    <row r="241" spans="2:5" x14ac:dyDescent="0.2">
      <c r="B241" s="74"/>
      <c r="C241" s="102"/>
      <c r="D241" s="102"/>
      <c r="E241" s="102"/>
    </row>
    <row r="242" spans="2:5" x14ac:dyDescent="0.2">
      <c r="B242" s="73" t="s">
        <v>18</v>
      </c>
      <c r="C242" s="67"/>
      <c r="D242" s="67"/>
      <c r="E242" s="87"/>
    </row>
    <row r="243" spans="2:5" x14ac:dyDescent="0.2">
      <c r="B243" s="74"/>
      <c r="C243" s="103" t="s">
        <v>61</v>
      </c>
      <c r="D243" s="103"/>
      <c r="E243" s="103"/>
    </row>
    <row r="244" spans="2:5" x14ac:dyDescent="0.2">
      <c r="B244" s="73" t="s">
        <v>19</v>
      </c>
      <c r="C244" s="66"/>
      <c r="D244" s="66"/>
      <c r="E244" s="86"/>
    </row>
    <row r="245" spans="2:5" x14ac:dyDescent="0.2">
      <c r="B245" s="73"/>
      <c r="C245" s="101"/>
      <c r="D245" s="101"/>
      <c r="E245" s="101"/>
    </row>
    <row r="246" spans="2:5" ht="13.5" thickBot="1" x14ac:dyDescent="0.25">
      <c r="B246" s="75"/>
      <c r="C246" s="68"/>
      <c r="D246" s="68"/>
      <c r="E246" s="88"/>
    </row>
    <row r="248" spans="2:5" ht="13.5" thickBot="1" x14ac:dyDescent="0.25"/>
    <row r="249" spans="2:5" x14ac:dyDescent="0.2">
      <c r="B249" s="71" t="s">
        <v>165</v>
      </c>
      <c r="C249" s="65"/>
      <c r="D249" s="65"/>
      <c r="E249" s="85"/>
    </row>
    <row r="250" spans="2:5" x14ac:dyDescent="0.2">
      <c r="B250" s="72"/>
      <c r="C250" s="66"/>
      <c r="D250" s="66"/>
      <c r="E250" s="86"/>
    </row>
    <row r="251" spans="2:5" x14ac:dyDescent="0.2">
      <c r="B251" s="73" t="s">
        <v>15</v>
      </c>
      <c r="C251" s="66"/>
      <c r="D251" s="66"/>
      <c r="E251" s="86"/>
    </row>
    <row r="252" spans="2:5" ht="24" customHeight="1" x14ac:dyDescent="0.2">
      <c r="B252" s="73"/>
      <c r="C252" s="95" t="s">
        <v>138</v>
      </c>
      <c r="D252" s="95"/>
      <c r="E252" s="96"/>
    </row>
    <row r="253" spans="2:5" x14ac:dyDescent="0.2">
      <c r="B253" s="73" t="s">
        <v>16</v>
      </c>
      <c r="C253" s="66"/>
      <c r="D253" s="66"/>
      <c r="E253" s="86"/>
    </row>
    <row r="254" spans="2:5" x14ac:dyDescent="0.2">
      <c r="B254" s="74"/>
      <c r="C254" s="97" t="s">
        <v>156</v>
      </c>
      <c r="D254" s="97"/>
      <c r="E254" s="97"/>
    </row>
    <row r="255" spans="2:5" x14ac:dyDescent="0.2">
      <c r="B255" s="74"/>
      <c r="C255" s="101"/>
      <c r="D255" s="101"/>
      <c r="E255" s="101"/>
    </row>
    <row r="256" spans="2:5" x14ac:dyDescent="0.2">
      <c r="B256" s="73" t="s">
        <v>17</v>
      </c>
      <c r="C256" s="66"/>
      <c r="D256" s="66"/>
      <c r="E256" s="86"/>
    </row>
    <row r="257" spans="2:5" x14ac:dyDescent="0.2">
      <c r="B257" s="74"/>
      <c r="C257" s="102"/>
      <c r="D257" s="102"/>
      <c r="E257" s="102"/>
    </row>
    <row r="258" spans="2:5" x14ac:dyDescent="0.2">
      <c r="B258" s="73" t="s">
        <v>18</v>
      </c>
      <c r="C258" s="67"/>
      <c r="D258" s="67"/>
      <c r="E258" s="87"/>
    </row>
    <row r="259" spans="2:5" x14ac:dyDescent="0.2">
      <c r="B259" s="74"/>
      <c r="C259" s="103" t="s">
        <v>61</v>
      </c>
      <c r="D259" s="103"/>
      <c r="E259" s="103"/>
    </row>
    <row r="260" spans="2:5" x14ac:dyDescent="0.2">
      <c r="B260" s="73" t="s">
        <v>19</v>
      </c>
      <c r="C260" s="66"/>
      <c r="D260" s="66"/>
      <c r="E260" s="86"/>
    </row>
    <row r="261" spans="2:5" x14ac:dyDescent="0.2">
      <c r="B261" s="73"/>
      <c r="C261" s="101"/>
      <c r="D261" s="101"/>
      <c r="E261" s="101"/>
    </row>
    <row r="262" spans="2:5" ht="13.5" thickBot="1" x14ac:dyDescent="0.25">
      <c r="B262" s="75"/>
      <c r="C262" s="68"/>
      <c r="D262" s="68"/>
      <c r="E262" s="88"/>
    </row>
    <row r="263" spans="2:5" ht="13.5" thickBot="1" x14ac:dyDescent="0.25"/>
    <row r="264" spans="2:5" x14ac:dyDescent="0.2">
      <c r="B264" s="71" t="s">
        <v>166</v>
      </c>
      <c r="C264" s="65"/>
      <c r="D264" s="65"/>
      <c r="E264" s="85"/>
    </row>
    <row r="265" spans="2:5" x14ac:dyDescent="0.2">
      <c r="B265" s="72"/>
      <c r="C265" s="66"/>
      <c r="D265" s="66"/>
      <c r="E265" s="86"/>
    </row>
    <row r="266" spans="2:5" x14ac:dyDescent="0.2">
      <c r="B266" s="73" t="s">
        <v>15</v>
      </c>
      <c r="C266" s="66"/>
      <c r="D266" s="66"/>
      <c r="E266" s="86"/>
    </row>
    <row r="267" spans="2:5" ht="28.5" customHeight="1" x14ac:dyDescent="0.2">
      <c r="B267" s="73"/>
      <c r="C267" s="95" t="s">
        <v>138</v>
      </c>
      <c r="D267" s="95"/>
      <c r="E267" s="96"/>
    </row>
    <row r="268" spans="2:5" x14ac:dyDescent="0.2">
      <c r="B268" s="73" t="s">
        <v>16</v>
      </c>
      <c r="C268" s="66"/>
      <c r="D268" s="66"/>
      <c r="E268" s="86"/>
    </row>
    <row r="269" spans="2:5" x14ac:dyDescent="0.2">
      <c r="B269" s="74"/>
      <c r="C269" s="97" t="s">
        <v>156</v>
      </c>
      <c r="D269" s="97"/>
      <c r="E269" s="97"/>
    </row>
    <row r="270" spans="2:5" x14ac:dyDescent="0.2">
      <c r="B270" s="74"/>
      <c r="C270" s="101"/>
      <c r="D270" s="101"/>
      <c r="E270" s="101"/>
    </row>
    <row r="271" spans="2:5" x14ac:dyDescent="0.2">
      <c r="B271" s="73" t="s">
        <v>17</v>
      </c>
      <c r="C271" s="66"/>
      <c r="D271" s="66"/>
      <c r="E271" s="86"/>
    </row>
    <row r="272" spans="2:5" x14ac:dyDescent="0.2">
      <c r="B272" s="74"/>
      <c r="C272" s="102"/>
      <c r="D272" s="102"/>
      <c r="E272" s="102"/>
    </row>
    <row r="273" spans="2:5" x14ac:dyDescent="0.2">
      <c r="B273" s="73" t="s">
        <v>18</v>
      </c>
      <c r="C273" s="67"/>
      <c r="D273" s="67"/>
      <c r="E273" s="87"/>
    </row>
    <row r="274" spans="2:5" x14ac:dyDescent="0.2">
      <c r="B274" s="74"/>
      <c r="C274" s="103" t="s">
        <v>61</v>
      </c>
      <c r="D274" s="103"/>
      <c r="E274" s="103"/>
    </row>
    <row r="275" spans="2:5" x14ac:dyDescent="0.2">
      <c r="B275" s="73" t="s">
        <v>19</v>
      </c>
      <c r="C275" s="66"/>
      <c r="D275" s="66"/>
      <c r="E275" s="86"/>
    </row>
    <row r="276" spans="2:5" x14ac:dyDescent="0.2">
      <c r="B276" s="73"/>
      <c r="C276" s="101"/>
      <c r="D276" s="101"/>
      <c r="E276" s="101"/>
    </row>
    <row r="277" spans="2:5" ht="13.5" thickBot="1" x14ac:dyDescent="0.25">
      <c r="B277" s="75"/>
      <c r="C277" s="68"/>
      <c r="D277" s="68"/>
      <c r="E277" s="88"/>
    </row>
    <row r="279" spans="2:5" ht="13.5" thickBot="1" x14ac:dyDescent="0.25"/>
    <row r="280" spans="2:5" x14ac:dyDescent="0.2">
      <c r="B280" s="71" t="s">
        <v>167</v>
      </c>
      <c r="C280" s="65"/>
      <c r="D280" s="65"/>
      <c r="E280" s="85"/>
    </row>
    <row r="281" spans="2:5" x14ac:dyDescent="0.2">
      <c r="B281" s="72"/>
      <c r="C281" s="66"/>
      <c r="D281" s="66"/>
      <c r="E281" s="86"/>
    </row>
    <row r="282" spans="2:5" x14ac:dyDescent="0.2">
      <c r="B282" s="73" t="s">
        <v>15</v>
      </c>
      <c r="C282" s="66"/>
      <c r="D282" s="66"/>
      <c r="E282" s="86"/>
    </row>
    <row r="283" spans="2:5" ht="33" customHeight="1" x14ac:dyDescent="0.2">
      <c r="B283" s="73"/>
      <c r="C283" s="95" t="s">
        <v>183</v>
      </c>
      <c r="D283" s="95"/>
      <c r="E283" s="96"/>
    </row>
    <row r="284" spans="2:5" x14ac:dyDescent="0.2">
      <c r="B284" s="73" t="s">
        <v>16</v>
      </c>
      <c r="C284" s="66"/>
      <c r="D284" s="66"/>
      <c r="E284" s="86"/>
    </row>
    <row r="285" spans="2:5" x14ac:dyDescent="0.2">
      <c r="B285" s="74"/>
      <c r="C285" s="97" t="s">
        <v>156</v>
      </c>
      <c r="D285" s="97"/>
      <c r="E285" s="97"/>
    </row>
    <row r="286" spans="2:5" x14ac:dyDescent="0.2">
      <c r="B286" s="74"/>
      <c r="C286" s="101"/>
      <c r="D286" s="101"/>
      <c r="E286" s="101"/>
    </row>
    <row r="287" spans="2:5" x14ac:dyDescent="0.2">
      <c r="B287" s="73" t="s">
        <v>17</v>
      </c>
      <c r="C287" s="66"/>
      <c r="D287" s="66"/>
      <c r="E287" s="86"/>
    </row>
    <row r="288" spans="2:5" x14ac:dyDescent="0.2">
      <c r="B288" s="74"/>
      <c r="C288" s="102"/>
      <c r="D288" s="102"/>
      <c r="E288" s="102"/>
    </row>
    <row r="289" spans="2:5" x14ac:dyDescent="0.2">
      <c r="B289" s="73" t="s">
        <v>18</v>
      </c>
      <c r="C289" s="67"/>
      <c r="D289" s="67"/>
      <c r="E289" s="87"/>
    </row>
    <row r="290" spans="2:5" x14ac:dyDescent="0.2">
      <c r="B290" s="74"/>
      <c r="C290" s="103" t="s">
        <v>61</v>
      </c>
      <c r="D290" s="103"/>
      <c r="E290" s="103"/>
    </row>
    <row r="291" spans="2:5" x14ac:dyDescent="0.2">
      <c r="B291" s="73" t="s">
        <v>19</v>
      </c>
      <c r="C291" s="66"/>
      <c r="D291" s="66"/>
      <c r="E291" s="86"/>
    </row>
    <row r="292" spans="2:5" x14ac:dyDescent="0.2">
      <c r="B292" s="73"/>
      <c r="C292" s="101"/>
      <c r="D292" s="101"/>
      <c r="E292" s="101"/>
    </row>
    <row r="293" spans="2:5" ht="13.5" thickBot="1" x14ac:dyDescent="0.25">
      <c r="B293" s="75"/>
      <c r="C293" s="68"/>
      <c r="D293" s="68"/>
      <c r="E293" s="88"/>
    </row>
    <row r="295" spans="2:5" ht="13.5" thickBot="1" x14ac:dyDescent="0.25"/>
    <row r="296" spans="2:5" x14ac:dyDescent="0.2">
      <c r="B296" s="71" t="s">
        <v>168</v>
      </c>
      <c r="C296" s="65"/>
      <c r="D296" s="65"/>
      <c r="E296" s="85"/>
    </row>
    <row r="297" spans="2:5" x14ac:dyDescent="0.2">
      <c r="B297" s="72"/>
      <c r="C297" s="66"/>
      <c r="D297" s="66"/>
      <c r="E297" s="86"/>
    </row>
    <row r="298" spans="2:5" x14ac:dyDescent="0.2">
      <c r="B298" s="73" t="s">
        <v>15</v>
      </c>
      <c r="C298" s="66"/>
      <c r="D298" s="66"/>
      <c r="E298" s="86"/>
    </row>
    <row r="299" spans="2:5" ht="22.5" customHeight="1" x14ac:dyDescent="0.2">
      <c r="B299" s="73"/>
      <c r="C299" s="95" t="s">
        <v>147</v>
      </c>
      <c r="D299" s="95"/>
      <c r="E299" s="96"/>
    </row>
    <row r="300" spans="2:5" x14ac:dyDescent="0.2">
      <c r="B300" s="73" t="s">
        <v>16</v>
      </c>
      <c r="C300" s="66"/>
      <c r="D300" s="66"/>
      <c r="E300" s="86"/>
    </row>
    <row r="301" spans="2:5" x14ac:dyDescent="0.2">
      <c r="B301" s="74"/>
      <c r="C301" s="97" t="s">
        <v>156</v>
      </c>
      <c r="D301" s="97"/>
      <c r="E301" s="97"/>
    </row>
    <row r="302" spans="2:5" x14ac:dyDescent="0.2">
      <c r="B302" s="74"/>
      <c r="C302" s="101"/>
      <c r="D302" s="101"/>
      <c r="E302" s="101"/>
    </row>
    <row r="303" spans="2:5" x14ac:dyDescent="0.2">
      <c r="B303" s="73" t="s">
        <v>17</v>
      </c>
      <c r="C303" s="66"/>
      <c r="D303" s="66"/>
      <c r="E303" s="86"/>
    </row>
    <row r="304" spans="2:5" x14ac:dyDescent="0.2">
      <c r="B304" s="74"/>
      <c r="C304" s="102"/>
      <c r="D304" s="102"/>
      <c r="E304" s="102"/>
    </row>
    <row r="305" spans="2:5" x14ac:dyDescent="0.2">
      <c r="B305" s="73" t="s">
        <v>18</v>
      </c>
      <c r="C305" s="67"/>
      <c r="D305" s="67"/>
      <c r="E305" s="87"/>
    </row>
    <row r="306" spans="2:5" x14ac:dyDescent="0.2">
      <c r="B306" s="74"/>
      <c r="C306" s="103" t="s">
        <v>61</v>
      </c>
      <c r="D306" s="103"/>
      <c r="E306" s="103"/>
    </row>
    <row r="307" spans="2:5" x14ac:dyDescent="0.2">
      <c r="B307" s="73" t="s">
        <v>19</v>
      </c>
      <c r="C307" s="66"/>
      <c r="D307" s="66"/>
      <c r="E307" s="86"/>
    </row>
    <row r="308" spans="2:5" x14ac:dyDescent="0.2">
      <c r="B308" s="73"/>
      <c r="C308" s="101"/>
      <c r="D308" s="101"/>
      <c r="E308" s="101"/>
    </row>
    <row r="309" spans="2:5" ht="13.5" thickBot="1" x14ac:dyDescent="0.25">
      <c r="B309" s="75"/>
      <c r="C309" s="68"/>
      <c r="D309" s="68"/>
      <c r="E309" s="88"/>
    </row>
    <row r="310" spans="2:5" ht="13.5" thickBot="1" x14ac:dyDescent="0.25"/>
    <row r="311" spans="2:5" x14ac:dyDescent="0.2">
      <c r="B311" s="71" t="s">
        <v>169</v>
      </c>
      <c r="C311" s="65"/>
      <c r="D311" s="65"/>
      <c r="E311" s="85"/>
    </row>
    <row r="312" spans="2:5" x14ac:dyDescent="0.2">
      <c r="B312" s="72"/>
      <c r="C312" s="66"/>
      <c r="D312" s="66"/>
      <c r="E312" s="86"/>
    </row>
    <row r="313" spans="2:5" x14ac:dyDescent="0.2">
      <c r="B313" s="73" t="s">
        <v>15</v>
      </c>
      <c r="C313" s="66"/>
      <c r="D313" s="66"/>
      <c r="E313" s="86"/>
    </row>
    <row r="314" spans="2:5" ht="21" customHeight="1" x14ac:dyDescent="0.2">
      <c r="B314" s="73"/>
      <c r="C314" s="95" t="s">
        <v>150</v>
      </c>
      <c r="D314" s="95"/>
      <c r="E314" s="96"/>
    </row>
    <row r="315" spans="2:5" x14ac:dyDescent="0.2">
      <c r="B315" s="73" t="s">
        <v>16</v>
      </c>
      <c r="C315" s="66"/>
      <c r="D315" s="66"/>
      <c r="E315" s="86"/>
    </row>
    <row r="316" spans="2:5" x14ac:dyDescent="0.2">
      <c r="B316" s="74"/>
      <c r="C316" s="105" t="s">
        <v>156</v>
      </c>
      <c r="D316" s="105"/>
      <c r="E316" s="105"/>
    </row>
    <row r="317" spans="2:5" x14ac:dyDescent="0.2">
      <c r="B317" s="74"/>
      <c r="C317" s="101"/>
      <c r="D317" s="101"/>
      <c r="E317" s="101"/>
    </row>
    <row r="318" spans="2:5" x14ac:dyDescent="0.2">
      <c r="B318" s="73" t="s">
        <v>17</v>
      </c>
      <c r="C318" s="66"/>
      <c r="D318" s="66"/>
      <c r="E318" s="86"/>
    </row>
    <row r="319" spans="2:5" x14ac:dyDescent="0.2">
      <c r="B319" s="74"/>
      <c r="C319" s="102"/>
      <c r="D319" s="102"/>
      <c r="E319" s="102"/>
    </row>
    <row r="320" spans="2:5" x14ac:dyDescent="0.2">
      <c r="B320" s="73" t="s">
        <v>18</v>
      </c>
      <c r="C320" s="67"/>
      <c r="D320" s="67"/>
      <c r="E320" s="87"/>
    </row>
    <row r="321" spans="2:5" x14ac:dyDescent="0.2">
      <c r="B321" s="74"/>
      <c r="C321" s="104" t="s">
        <v>61</v>
      </c>
      <c r="D321" s="104"/>
      <c r="E321" s="104"/>
    </row>
    <row r="322" spans="2:5" x14ac:dyDescent="0.2">
      <c r="B322" s="73" t="s">
        <v>19</v>
      </c>
      <c r="C322" s="66"/>
      <c r="D322" s="66"/>
      <c r="E322" s="86"/>
    </row>
    <row r="323" spans="2:5" x14ac:dyDescent="0.2">
      <c r="B323" s="73"/>
      <c r="C323" s="101"/>
      <c r="D323" s="101"/>
      <c r="E323" s="101"/>
    </row>
    <row r="324" spans="2:5" ht="13.5" thickBot="1" x14ac:dyDescent="0.25">
      <c r="B324" s="75"/>
      <c r="C324" s="68"/>
      <c r="D324" s="68"/>
      <c r="E324" s="88"/>
    </row>
    <row r="326" spans="2:5" ht="13.5" thickBot="1" x14ac:dyDescent="0.25"/>
    <row r="327" spans="2:5" x14ac:dyDescent="0.2">
      <c r="B327" s="71" t="s">
        <v>170</v>
      </c>
      <c r="C327" s="65"/>
      <c r="D327" s="65"/>
      <c r="E327" s="85"/>
    </row>
    <row r="328" spans="2:5" x14ac:dyDescent="0.2">
      <c r="B328" s="72"/>
      <c r="C328" s="66"/>
      <c r="D328" s="66"/>
      <c r="E328" s="86"/>
    </row>
    <row r="329" spans="2:5" x14ac:dyDescent="0.2">
      <c r="B329" s="73" t="s">
        <v>15</v>
      </c>
      <c r="C329" s="66"/>
      <c r="D329" s="66"/>
      <c r="E329" s="86"/>
    </row>
    <row r="330" spans="2:5" x14ac:dyDescent="0.2">
      <c r="B330" s="73"/>
      <c r="C330" s="102" t="s">
        <v>151</v>
      </c>
      <c r="D330" s="102"/>
      <c r="E330" s="102"/>
    </row>
    <row r="331" spans="2:5" x14ac:dyDescent="0.2">
      <c r="B331" s="73" t="s">
        <v>16</v>
      </c>
      <c r="C331" s="66"/>
      <c r="D331" s="66"/>
      <c r="E331" s="86"/>
    </row>
    <row r="332" spans="2:5" x14ac:dyDescent="0.2">
      <c r="B332" s="74"/>
      <c r="C332" s="105" t="s">
        <v>156</v>
      </c>
      <c r="D332" s="105"/>
      <c r="E332" s="105"/>
    </row>
    <row r="333" spans="2:5" x14ac:dyDescent="0.2">
      <c r="B333" s="74"/>
      <c r="C333" s="101"/>
      <c r="D333" s="101"/>
      <c r="E333" s="101"/>
    </row>
    <row r="334" spans="2:5" x14ac:dyDescent="0.2">
      <c r="B334" s="73" t="s">
        <v>17</v>
      </c>
      <c r="C334" s="66"/>
      <c r="D334" s="66"/>
      <c r="E334" s="86"/>
    </row>
    <row r="335" spans="2:5" x14ac:dyDescent="0.2">
      <c r="B335" s="74"/>
      <c r="C335" s="102"/>
      <c r="D335" s="102"/>
      <c r="E335" s="102"/>
    </row>
    <row r="336" spans="2:5" x14ac:dyDescent="0.2">
      <c r="B336" s="73" t="s">
        <v>18</v>
      </c>
      <c r="C336" s="67"/>
      <c r="D336" s="67"/>
      <c r="E336" s="87"/>
    </row>
    <row r="337" spans="2:5" x14ac:dyDescent="0.2">
      <c r="B337" s="74"/>
      <c r="C337" s="104" t="s">
        <v>61</v>
      </c>
      <c r="D337" s="104"/>
      <c r="E337" s="104"/>
    </row>
    <row r="338" spans="2:5" x14ac:dyDescent="0.2">
      <c r="B338" s="73" t="s">
        <v>19</v>
      </c>
      <c r="C338" s="66"/>
      <c r="D338" s="66"/>
      <c r="E338" s="86"/>
    </row>
    <row r="339" spans="2:5" x14ac:dyDescent="0.2">
      <c r="B339" s="73"/>
      <c r="C339" s="101"/>
      <c r="D339" s="101"/>
      <c r="E339" s="101"/>
    </row>
    <row r="340" spans="2:5" ht="13.5" thickBot="1" x14ac:dyDescent="0.25">
      <c r="B340" s="75"/>
      <c r="C340" s="68"/>
      <c r="D340" s="68"/>
      <c r="E340" s="88"/>
    </row>
    <row r="342" spans="2:5" ht="13.5" thickBot="1" x14ac:dyDescent="0.25"/>
    <row r="343" spans="2:5" x14ac:dyDescent="0.2">
      <c r="B343" s="71" t="s">
        <v>174</v>
      </c>
      <c r="C343" s="65"/>
      <c r="D343" s="65"/>
      <c r="E343" s="85"/>
    </row>
    <row r="344" spans="2:5" x14ac:dyDescent="0.2">
      <c r="B344" s="72"/>
      <c r="C344" s="66"/>
      <c r="D344" s="66"/>
      <c r="E344" s="86"/>
    </row>
    <row r="345" spans="2:5" x14ac:dyDescent="0.2">
      <c r="B345" s="73" t="s">
        <v>15</v>
      </c>
      <c r="C345" s="66"/>
      <c r="D345" s="66"/>
      <c r="E345" s="86"/>
    </row>
    <row r="346" spans="2:5" x14ac:dyDescent="0.2">
      <c r="B346" s="73"/>
      <c r="C346" s="102" t="s">
        <v>152</v>
      </c>
      <c r="D346" s="102"/>
      <c r="E346" s="102"/>
    </row>
    <row r="347" spans="2:5" x14ac:dyDescent="0.2">
      <c r="B347" s="73" t="s">
        <v>16</v>
      </c>
      <c r="C347" s="66"/>
      <c r="D347" s="66"/>
      <c r="E347" s="86"/>
    </row>
    <row r="348" spans="2:5" x14ac:dyDescent="0.2">
      <c r="B348" s="74"/>
      <c r="C348" s="105" t="s">
        <v>156</v>
      </c>
      <c r="D348" s="105"/>
      <c r="E348" s="105"/>
    </row>
    <row r="349" spans="2:5" x14ac:dyDescent="0.2">
      <c r="B349" s="74"/>
      <c r="C349" s="101"/>
      <c r="D349" s="101"/>
      <c r="E349" s="101"/>
    </row>
    <row r="350" spans="2:5" x14ac:dyDescent="0.2">
      <c r="B350" s="73" t="s">
        <v>17</v>
      </c>
      <c r="C350" s="66"/>
      <c r="D350" s="66"/>
      <c r="E350" s="86"/>
    </row>
    <row r="351" spans="2:5" x14ac:dyDescent="0.2">
      <c r="B351" s="74"/>
      <c r="C351" s="102"/>
      <c r="D351" s="102"/>
      <c r="E351" s="102"/>
    </row>
    <row r="352" spans="2:5" x14ac:dyDescent="0.2">
      <c r="B352" s="73" t="s">
        <v>18</v>
      </c>
      <c r="C352" s="67"/>
      <c r="D352" s="67"/>
      <c r="E352" s="87"/>
    </row>
    <row r="353" spans="2:5" x14ac:dyDescent="0.2">
      <c r="B353" s="74"/>
      <c r="C353" s="104" t="s">
        <v>61</v>
      </c>
      <c r="D353" s="104"/>
      <c r="E353" s="104"/>
    </row>
    <row r="354" spans="2:5" x14ac:dyDescent="0.2">
      <c r="B354" s="73" t="s">
        <v>19</v>
      </c>
      <c r="C354" s="66"/>
      <c r="D354" s="66"/>
      <c r="E354" s="86"/>
    </row>
    <row r="355" spans="2:5" x14ac:dyDescent="0.2">
      <c r="B355" s="73"/>
      <c r="C355" s="101"/>
      <c r="D355" s="101"/>
      <c r="E355" s="101"/>
    </row>
    <row r="356" spans="2:5" ht="13.5" thickBot="1" x14ac:dyDescent="0.25">
      <c r="B356" s="75"/>
      <c r="C356" s="68"/>
      <c r="D356" s="68"/>
      <c r="E356" s="88"/>
    </row>
  </sheetData>
  <mergeCells count="124">
    <mergeCell ref="C348:E348"/>
    <mergeCell ref="C349:E349"/>
    <mergeCell ref="C351:E351"/>
    <mergeCell ref="C353:E353"/>
    <mergeCell ref="C355:E355"/>
    <mergeCell ref="C333:E333"/>
    <mergeCell ref="C335:E335"/>
    <mergeCell ref="C337:E337"/>
    <mergeCell ref="C339:E339"/>
    <mergeCell ref="C346:E346"/>
    <mergeCell ref="C319:E319"/>
    <mergeCell ref="C321:E321"/>
    <mergeCell ref="C323:E323"/>
    <mergeCell ref="C330:E330"/>
    <mergeCell ref="C332:E332"/>
    <mergeCell ref="C306:E306"/>
    <mergeCell ref="C308:E308"/>
    <mergeCell ref="C314:E314"/>
    <mergeCell ref="C316:E316"/>
    <mergeCell ref="C317:E317"/>
    <mergeCell ref="C292:E292"/>
    <mergeCell ref="C299:E299"/>
    <mergeCell ref="C301:E301"/>
    <mergeCell ref="C302:E302"/>
    <mergeCell ref="C304:E304"/>
    <mergeCell ref="C283:E283"/>
    <mergeCell ref="C285:E285"/>
    <mergeCell ref="C286:E286"/>
    <mergeCell ref="C288:E288"/>
    <mergeCell ref="C290:E290"/>
    <mergeCell ref="C269:E269"/>
    <mergeCell ref="C270:E270"/>
    <mergeCell ref="C272:E272"/>
    <mergeCell ref="C274:E274"/>
    <mergeCell ref="C276:E276"/>
    <mergeCell ref="C255:E255"/>
    <mergeCell ref="C257:E257"/>
    <mergeCell ref="C259:E259"/>
    <mergeCell ref="C261:E261"/>
    <mergeCell ref="C267:E267"/>
    <mergeCell ref="C241:E241"/>
    <mergeCell ref="C243:E243"/>
    <mergeCell ref="C245:E245"/>
    <mergeCell ref="C252:E252"/>
    <mergeCell ref="C254:E254"/>
    <mergeCell ref="C226:E226"/>
    <mergeCell ref="C228:E228"/>
    <mergeCell ref="C236:E236"/>
    <mergeCell ref="C238:E238"/>
    <mergeCell ref="C239:E239"/>
    <mergeCell ref="C212:E212"/>
    <mergeCell ref="C219:E219"/>
    <mergeCell ref="C221:E221"/>
    <mergeCell ref="C222:E222"/>
    <mergeCell ref="C224:E224"/>
    <mergeCell ref="C203:E203"/>
    <mergeCell ref="C205:E205"/>
    <mergeCell ref="C206:E206"/>
    <mergeCell ref="C208:E208"/>
    <mergeCell ref="C210:E210"/>
    <mergeCell ref="C188:E188"/>
    <mergeCell ref="C189:E189"/>
    <mergeCell ref="C191:E191"/>
    <mergeCell ref="C193:E193"/>
    <mergeCell ref="C195:E195"/>
    <mergeCell ref="C174:E174"/>
    <mergeCell ref="C176:E176"/>
    <mergeCell ref="C178:E178"/>
    <mergeCell ref="C180:E180"/>
    <mergeCell ref="C186:E186"/>
    <mergeCell ref="C160:E160"/>
    <mergeCell ref="C162:E162"/>
    <mergeCell ref="C164:E164"/>
    <mergeCell ref="C171:E171"/>
    <mergeCell ref="C173:E173"/>
    <mergeCell ref="C114:E114"/>
    <mergeCell ref="C116:E116"/>
    <mergeCell ref="C155:E155"/>
    <mergeCell ref="C157:E157"/>
    <mergeCell ref="C158:E158"/>
    <mergeCell ref="C123:E123"/>
    <mergeCell ref="C125:E125"/>
    <mergeCell ref="C126:E126"/>
    <mergeCell ref="C128:E128"/>
    <mergeCell ref="C130:E130"/>
    <mergeCell ref="C132:E132"/>
    <mergeCell ref="C139:E139"/>
    <mergeCell ref="C141:E141"/>
    <mergeCell ref="C142:E142"/>
    <mergeCell ref="C144:E144"/>
    <mergeCell ref="C146:E146"/>
    <mergeCell ref="C148:E148"/>
    <mergeCell ref="C100:E100"/>
    <mergeCell ref="C107:E107"/>
    <mergeCell ref="C109:E109"/>
    <mergeCell ref="C110:E110"/>
    <mergeCell ref="C112:E112"/>
    <mergeCell ref="C91:E91"/>
    <mergeCell ref="C93:E93"/>
    <mergeCell ref="C94:E94"/>
    <mergeCell ref="C96:E96"/>
    <mergeCell ref="C98:E98"/>
    <mergeCell ref="C78:E78"/>
    <mergeCell ref="C80:E80"/>
    <mergeCell ref="C82:E82"/>
    <mergeCell ref="C84:E84"/>
    <mergeCell ref="C65:E65"/>
    <mergeCell ref="C67:E67"/>
    <mergeCell ref="C69:E69"/>
    <mergeCell ref="C75:E75"/>
    <mergeCell ref="C77:E77"/>
    <mergeCell ref="A6:B6"/>
    <mergeCell ref="A7:B7"/>
    <mergeCell ref="C60:E60"/>
    <mergeCell ref="C62:E62"/>
    <mergeCell ref="C63:E63"/>
    <mergeCell ref="B2:H2"/>
    <mergeCell ref="A4:B4"/>
    <mergeCell ref="C4:E4"/>
    <mergeCell ref="A5:B5"/>
    <mergeCell ref="C5:E5"/>
    <mergeCell ref="B53:E53"/>
    <mergeCell ref="B54:E54"/>
    <mergeCell ref="B55:E5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4"/>
  <sheetViews>
    <sheetView zoomScale="70" zoomScaleNormal="70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6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6" t="s">
        <v>201</v>
      </c>
      <c r="B1" s="106"/>
      <c r="C1" s="106"/>
      <c r="D1" s="106"/>
      <c r="E1" s="106"/>
      <c r="F1" s="106"/>
      <c r="G1" s="106"/>
      <c r="H1" s="106"/>
      <c r="I1" s="106"/>
      <c r="J1" s="3" t="s">
        <v>21</v>
      </c>
      <c r="K1" s="49" t="s">
        <v>200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7" t="s">
        <v>54</v>
      </c>
      <c r="B3" s="107"/>
      <c r="C3" s="107"/>
      <c r="D3" s="108" t="str">
        <f>'Necesidades Trimestrales'!C4</f>
        <v>40 - Ministerio de Salud</v>
      </c>
      <c r="E3" s="108"/>
      <c r="F3" s="108"/>
      <c r="G3" s="108"/>
      <c r="H3" s="108"/>
      <c r="I3" s="108"/>
      <c r="J3" s="108"/>
      <c r="K3" s="108"/>
    </row>
    <row r="4" spans="1:11" ht="18.75" customHeight="1" thickBot="1" x14ac:dyDescent="0.25">
      <c r="A4" s="109" t="s">
        <v>55</v>
      </c>
      <c r="B4" s="109"/>
      <c r="C4" s="109"/>
      <c r="D4" s="108" t="str">
        <f>'Necesidades Trimestrales'!C5</f>
        <v>23 - Hospital Interzonal San Juan Bautista</v>
      </c>
      <c r="E4" s="108"/>
      <c r="F4" s="108"/>
      <c r="G4" s="108"/>
      <c r="H4" s="108"/>
      <c r="I4" s="108"/>
      <c r="J4" s="108"/>
      <c r="K4" s="108"/>
    </row>
    <row r="5" spans="1:11" ht="18.75" customHeight="1" thickBot="1" x14ac:dyDescent="0.25">
      <c r="A5" s="109" t="s">
        <v>33</v>
      </c>
      <c r="B5" s="109"/>
      <c r="C5" s="109"/>
      <c r="D5" s="108" t="s">
        <v>172</v>
      </c>
      <c r="E5" s="108"/>
      <c r="F5" s="108"/>
      <c r="G5" s="108"/>
      <c r="H5" s="108"/>
      <c r="I5" s="108"/>
      <c r="J5" s="108"/>
      <c r="K5" s="108"/>
    </row>
    <row r="6" spans="1:11" ht="16.5" customHeight="1" thickBot="1" x14ac:dyDescent="0.25">
      <c r="A6" s="107" t="s">
        <v>56</v>
      </c>
      <c r="B6" s="107"/>
      <c r="C6" s="107"/>
      <c r="D6" s="108" t="s">
        <v>173</v>
      </c>
      <c r="E6" s="108"/>
      <c r="F6" s="108"/>
      <c r="G6" s="108"/>
      <c r="H6" s="108"/>
      <c r="I6" s="108"/>
      <c r="J6" s="108"/>
      <c r="K6" s="108"/>
    </row>
    <row r="7" spans="1:11" ht="16.5" customHeight="1" x14ac:dyDescent="0.2">
      <c r="A7" s="109" t="s">
        <v>22</v>
      </c>
      <c r="B7" s="109"/>
      <c r="C7" s="109"/>
      <c r="D7" s="108" t="str">
        <f>'Necesidades Trimestrales'!C7 &amp; "° Trimestre - Año " &amp; 'Necesidades Trimestrales'!C6</f>
        <v>3° Trimestre - Año 2022</v>
      </c>
      <c r="E7" s="108"/>
      <c r="F7" s="108"/>
      <c r="G7" s="108"/>
      <c r="H7" s="108"/>
      <c r="I7" s="108"/>
      <c r="J7" s="108"/>
      <c r="K7" s="108"/>
    </row>
    <row r="8" spans="1:11" ht="16.5" customHeight="1" x14ac:dyDescent="0.2">
      <c r="A8" s="110" t="s">
        <v>23</v>
      </c>
      <c r="B8" s="110"/>
      <c r="C8" s="110"/>
      <c r="D8" s="111" t="s">
        <v>202</v>
      </c>
      <c r="E8" s="111"/>
      <c r="F8" s="111"/>
      <c r="G8" s="111"/>
      <c r="H8" s="111"/>
      <c r="I8" s="111"/>
      <c r="J8" s="111"/>
      <c r="K8" s="11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2" t="s">
        <v>24</v>
      </c>
      <c r="B10" s="113" t="s">
        <v>25</v>
      </c>
      <c r="C10" s="113" t="s">
        <v>26</v>
      </c>
      <c r="D10" s="113"/>
      <c r="E10" s="113"/>
      <c r="F10" s="113"/>
      <c r="G10" s="113"/>
      <c r="H10" s="113" t="s">
        <v>27</v>
      </c>
      <c r="I10" s="113" t="s">
        <v>28</v>
      </c>
      <c r="J10" s="113" t="s">
        <v>29</v>
      </c>
      <c r="K10" s="114" t="s">
        <v>30</v>
      </c>
    </row>
    <row r="11" spans="1:11" ht="24" customHeight="1" thickBot="1" x14ac:dyDescent="0.25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20.25" customHeight="1" thickBot="1" x14ac:dyDescent="0.25">
      <c r="A12" s="8">
        <v>1</v>
      </c>
      <c r="B12" s="50" t="str">
        <f>'Necesidades Trimestrales'!B10</f>
        <v>2.9.1-6951.28</v>
      </c>
      <c r="C12" s="115" t="str">
        <f>'Necesidades Trimestrales'!E10</f>
        <v>LIMPIADORES; TIPO: LAVANDINA, PRESENTACION: ENVASE X 1 L</v>
      </c>
      <c r="D12" s="115"/>
      <c r="E12" s="115"/>
      <c r="F12" s="115"/>
      <c r="G12" s="115"/>
      <c r="H12" s="51" t="s">
        <v>191</v>
      </c>
      <c r="I12" s="52" t="str">
        <f>'Necesidades Trimestrales'!F10</f>
        <v>LITRO</v>
      </c>
      <c r="J12" s="53">
        <f>'Necesidades Trimestrales'!H10</f>
        <v>98</v>
      </c>
      <c r="K12" s="54">
        <f>'Necesidades Trimestrales'!G10</f>
        <v>3000</v>
      </c>
    </row>
    <row r="13" spans="1:11" ht="20.25" customHeight="1" thickBot="1" x14ac:dyDescent="0.25">
      <c r="A13" s="8">
        <v>2</v>
      </c>
      <c r="B13" s="50" t="str">
        <f>'Necesidades Trimestrales'!B11</f>
        <v>2.9.1-6951.28</v>
      </c>
      <c r="C13" s="115" t="str">
        <f>'Necesidades Trimestrales'!E11</f>
        <v>LIMPIADORES; TIPO: LAVANDINA, PRESENTACION: ENVASE X 1 L</v>
      </c>
      <c r="D13" s="115"/>
      <c r="E13" s="115"/>
      <c r="F13" s="115"/>
      <c r="G13" s="115"/>
      <c r="H13" s="51" t="s">
        <v>191</v>
      </c>
      <c r="I13" s="52" t="str">
        <f>'Necesidades Trimestrales'!F11</f>
        <v>LITRO</v>
      </c>
      <c r="J13" s="53">
        <f>'Necesidades Trimestrales'!H11</f>
        <v>120</v>
      </c>
      <c r="K13" s="54">
        <f>'Necesidades Trimestrales'!G11</f>
        <v>200</v>
      </c>
    </row>
    <row r="14" spans="1:11" ht="30" customHeight="1" thickBot="1" x14ac:dyDescent="0.25">
      <c r="A14" s="8">
        <v>3</v>
      </c>
      <c r="B14" s="50" t="str">
        <f>'Necesidades Trimestrales'!B12</f>
        <v>2.9.1-6951.203</v>
      </c>
      <c r="C14" s="115" t="str">
        <f>'Necesidades Trimestrales'!E12</f>
        <v>LIMPIADORES; TIPO: DESODORANTE LIQUIDO , PRESENTACION: ENVASE X 1 L</v>
      </c>
      <c r="D14" s="115"/>
      <c r="E14" s="115"/>
      <c r="F14" s="115"/>
      <c r="G14" s="115"/>
      <c r="H14" s="51" t="s">
        <v>192</v>
      </c>
      <c r="I14" s="52" t="str">
        <f>'Necesidades Trimestrales'!F12</f>
        <v>LITRO</v>
      </c>
      <c r="J14" s="53">
        <f>'Necesidades Trimestrales'!H12</f>
        <v>144</v>
      </c>
      <c r="K14" s="54">
        <f>'Necesidades Trimestrales'!G12</f>
        <v>3500</v>
      </c>
    </row>
    <row r="15" spans="1:11" ht="18.75" customHeight="1" thickBot="1" x14ac:dyDescent="0.25">
      <c r="A15" s="8">
        <v>4</v>
      </c>
      <c r="B15" s="50" t="str">
        <f>'Necesidades Trimestrales'!B13</f>
        <v>2.9.1-6951.214</v>
      </c>
      <c r="C15" s="115" t="str">
        <f>'Necesidades Trimestrales'!E13</f>
        <v>LIMPIADORES; TIPO: DETERGENTE NEUTRO, PRESENTACION: ENVASE X 5 L</v>
      </c>
      <c r="D15" s="115"/>
      <c r="E15" s="115"/>
      <c r="F15" s="115"/>
      <c r="G15" s="115"/>
      <c r="H15" s="51" t="s">
        <v>192</v>
      </c>
      <c r="I15" s="52" t="str">
        <f>'Necesidades Trimestrales'!F13</f>
        <v>LITRO</v>
      </c>
      <c r="J15" s="53">
        <f>'Necesidades Trimestrales'!H13</f>
        <v>1895</v>
      </c>
      <c r="K15" s="54">
        <f>'Necesidades Trimestrales'!G13</f>
        <v>80</v>
      </c>
    </row>
    <row r="16" spans="1:11" ht="26.25" customHeight="1" thickBot="1" x14ac:dyDescent="0.25">
      <c r="A16" s="8">
        <v>5</v>
      </c>
      <c r="B16" s="50" t="str">
        <f>'Necesidades Trimestrales'!B14</f>
        <v>2.9.1-6952.61</v>
      </c>
      <c r="C16" s="115" t="str">
        <f>'Necesidades Trimestrales'!E14</f>
        <v>CEPILLOS; TIPO: ESCOBA REFORZADA, MATERIAL: PLASTICO</v>
      </c>
      <c r="D16" s="115"/>
      <c r="E16" s="115"/>
      <c r="F16" s="115"/>
      <c r="G16" s="115"/>
      <c r="H16" s="51" t="s">
        <v>57</v>
      </c>
      <c r="I16" s="52" t="str">
        <f>'Necesidades Trimestrales'!F14</f>
        <v xml:space="preserve">UNIDAD </v>
      </c>
      <c r="J16" s="53">
        <f>'Necesidades Trimestrales'!H14</f>
        <v>328</v>
      </c>
      <c r="K16" s="54">
        <f>'Necesidades Trimestrales'!G14</f>
        <v>20</v>
      </c>
    </row>
    <row r="17" spans="1:11" ht="27.75" customHeight="1" thickBot="1" x14ac:dyDescent="0.25">
      <c r="A17" s="8">
        <v>6</v>
      </c>
      <c r="B17" s="50" t="str">
        <f>'Necesidades Trimestrales'!B15</f>
        <v>2.9.1-1083.10</v>
      </c>
      <c r="C17" s="115" t="str">
        <f>'Necesidades Trimestrales'!E15</f>
        <v>ESPONJA DE ACERO; PESO: 80 GR, MATERIAL: ACERO INOXIDABLE</v>
      </c>
      <c r="D17" s="115"/>
      <c r="E17" s="115"/>
      <c r="F17" s="115"/>
      <c r="G17" s="115"/>
      <c r="H17" s="51" t="s">
        <v>57</v>
      </c>
      <c r="I17" s="52" t="str">
        <f>'Necesidades Trimestrales'!F15</f>
        <v>UNIDAD</v>
      </c>
      <c r="J17" s="53">
        <f>'Necesidades Trimestrales'!H15</f>
        <v>58.5</v>
      </c>
      <c r="K17" s="54">
        <f>'Necesidades Trimestrales'!G15</f>
        <v>150</v>
      </c>
    </row>
    <row r="18" spans="1:11" ht="33" customHeight="1" thickBot="1" x14ac:dyDescent="0.25">
      <c r="A18" s="8">
        <v>7</v>
      </c>
      <c r="B18" s="50" t="str">
        <f>'Necesidades Trimestrales'!B16</f>
        <v>2.9.1-1164.10</v>
      </c>
      <c r="C18" s="115" t="str">
        <f>'Necesidades Trimestrales'!E16</f>
        <v>ESPONJAS; MATERIAL: ESPONJA NATURAL, USO: P/COCINA, FORMA: RECTANGULAR, COLOR: AMARILLO, ADITAMENTO: SIN VALOR, LARGO X ANCHO X ESP: 9,7 X 5,7 Cm</v>
      </c>
      <c r="D18" s="115"/>
      <c r="E18" s="115"/>
      <c r="F18" s="115"/>
      <c r="G18" s="115"/>
      <c r="H18" s="51" t="s">
        <v>57</v>
      </c>
      <c r="I18" s="52" t="str">
        <f>'Necesidades Trimestrales'!F16</f>
        <v>UNIDAD</v>
      </c>
      <c r="J18" s="53">
        <f>'Necesidades Trimestrales'!H16</f>
        <v>49.5</v>
      </c>
      <c r="K18" s="54">
        <f>'Necesidades Trimestrales'!G16</f>
        <v>200</v>
      </c>
    </row>
    <row r="19" spans="1:11" ht="30.75" customHeight="1" thickBot="1" x14ac:dyDescent="0.25">
      <c r="A19" s="8">
        <v>8</v>
      </c>
      <c r="B19" s="50" t="str">
        <f>'Necesidades Trimestrales'!B17</f>
        <v>2.9.1-714.3</v>
      </c>
      <c r="C19" s="115" t="str">
        <f>'Necesidades Trimestrales'!E17</f>
        <v>FRANELAS; DIMENSION: 50 X 45 Cm</v>
      </c>
      <c r="D19" s="115"/>
      <c r="E19" s="115"/>
      <c r="F19" s="115"/>
      <c r="G19" s="115"/>
      <c r="H19" s="51" t="s">
        <v>57</v>
      </c>
      <c r="I19" s="52" t="str">
        <f>'Necesidades Trimestrales'!F17</f>
        <v>UNIDAD</v>
      </c>
      <c r="J19" s="53">
        <f>'Necesidades Trimestrales'!H17</f>
        <v>155</v>
      </c>
      <c r="K19" s="54">
        <f>'Necesidades Trimestrales'!G17</f>
        <v>150</v>
      </c>
    </row>
    <row r="20" spans="1:11" ht="30" customHeight="1" thickBot="1" x14ac:dyDescent="0.25">
      <c r="A20" s="8">
        <v>9</v>
      </c>
      <c r="B20" s="50" t="str">
        <f>'Necesidades Trimestrales'!B18</f>
        <v>2.9.1-761.5</v>
      </c>
      <c r="C20" s="115" t="str">
        <f>'Necesidades Trimestrales'!E18</f>
        <v>GUANTES P/LIMPIEZA; TAMAÑO: GRANDE, MATERIAL: LATEX C/FELPA INTERIOR</v>
      </c>
      <c r="D20" s="115"/>
      <c r="E20" s="115"/>
      <c r="F20" s="115"/>
      <c r="G20" s="115"/>
      <c r="H20" s="51" t="s">
        <v>191</v>
      </c>
      <c r="I20" s="52" t="str">
        <f>'Necesidades Trimestrales'!F18</f>
        <v>PAR</v>
      </c>
      <c r="J20" s="53">
        <f>'Necesidades Trimestrales'!H18</f>
        <v>240</v>
      </c>
      <c r="K20" s="54">
        <f>'Necesidades Trimestrales'!G18</f>
        <v>175</v>
      </c>
    </row>
    <row r="21" spans="1:11" ht="27.75" customHeight="1" thickBot="1" x14ac:dyDescent="0.25">
      <c r="A21" s="8">
        <v>10</v>
      </c>
      <c r="B21" s="50" t="str">
        <f>'Necesidades Trimestrales'!B19</f>
        <v>2.9.1-761.8</v>
      </c>
      <c r="C21" s="115" t="str">
        <f>'Necesidades Trimestrales'!E19</f>
        <v>GUANTES P/LIMPIEZA; TAMAÑO: EXTRA GRANDE, MATERIAL: LATEX C/FELPA INTERIOR</v>
      </c>
      <c r="D21" s="115"/>
      <c r="E21" s="115"/>
      <c r="F21" s="115"/>
      <c r="G21" s="115"/>
      <c r="H21" s="51" t="s">
        <v>191</v>
      </c>
      <c r="I21" s="52" t="str">
        <f>'Necesidades Trimestrales'!F19</f>
        <v>PAR</v>
      </c>
      <c r="J21" s="53">
        <f>'Necesidades Trimestrales'!H19</f>
        <v>240</v>
      </c>
      <c r="K21" s="54">
        <f>'Necesidades Trimestrales'!G19</f>
        <v>75</v>
      </c>
    </row>
    <row r="22" spans="1:11" ht="40.5" customHeight="1" thickBot="1" x14ac:dyDescent="0.25">
      <c r="A22" s="8">
        <v>11</v>
      </c>
      <c r="B22" s="50" t="str">
        <f>'Necesidades Trimestrales'!B20</f>
        <v>2.5.1-9004.1235</v>
      </c>
      <c r="C22" s="115" t="str">
        <f>'Necesidades Trimestrales'!E20</f>
        <v>SALES; COMPUESTO QUIMICO: HIPOCLORITO DE SODIO, ESTADO: SOLUCION, CALIDAD: COMERCIAL, CONCENTRACION/PUREZA: 100 GR/L, PRESENTACION: ENVASE X 5 L, GRADO HIDRATACION: SOLUCION</v>
      </c>
      <c r="D22" s="115"/>
      <c r="E22" s="115"/>
      <c r="F22" s="115"/>
      <c r="G22" s="115"/>
      <c r="H22" s="51" t="s">
        <v>191</v>
      </c>
      <c r="I22" s="52" t="str">
        <f>'Necesidades Trimestrales'!F20</f>
        <v>LITRO</v>
      </c>
      <c r="J22" s="53">
        <f>'Necesidades Trimestrales'!H20</f>
        <v>405</v>
      </c>
      <c r="K22" s="54">
        <f>'Necesidades Trimestrales'!G20</f>
        <v>200</v>
      </c>
    </row>
    <row r="23" spans="1:11" ht="20.25" customHeight="1" thickBot="1" x14ac:dyDescent="0.25">
      <c r="A23" s="8">
        <v>12</v>
      </c>
      <c r="B23" s="50" t="str">
        <f>'Necesidades Trimestrales'!B21</f>
        <v>2.9.4-719.7</v>
      </c>
      <c r="C23" s="115" t="str">
        <f>'Necesidades Trimestrales'!E21</f>
        <v>JARRAS; CAPACIDAD: 1000 mL, MATERIAL: PLASTICO</v>
      </c>
      <c r="D23" s="115"/>
      <c r="E23" s="115"/>
      <c r="F23" s="115"/>
      <c r="G23" s="115"/>
      <c r="H23" s="51" t="s">
        <v>57</v>
      </c>
      <c r="I23" s="52" t="str">
        <f>'Necesidades Trimestrales'!F21</f>
        <v>UNIDAD</v>
      </c>
      <c r="J23" s="53">
        <f>'Necesidades Trimestrales'!H21</f>
        <v>800</v>
      </c>
      <c r="K23" s="54">
        <f>'Necesidades Trimestrales'!G21</f>
        <v>30</v>
      </c>
    </row>
    <row r="24" spans="1:11" ht="20.25" customHeight="1" thickBot="1" x14ac:dyDescent="0.25">
      <c r="A24" s="8">
        <v>13</v>
      </c>
      <c r="B24" s="50" t="str">
        <f>'Necesidades Trimestrales'!B22</f>
        <v>2.9.1-6960.27</v>
      </c>
      <c r="C24" s="115" t="str">
        <f>'Necesidades Trimestrales'!E22</f>
        <v>ELEM. LIMPIEZA P/INDUMENTARIA; TIPO: JABON EN PAN, PRESENTACION: 200 GR</v>
      </c>
      <c r="D24" s="115"/>
      <c r="E24" s="115"/>
      <c r="F24" s="115"/>
      <c r="G24" s="115"/>
      <c r="H24" s="51" t="s">
        <v>191</v>
      </c>
      <c r="I24" s="52" t="str">
        <f>'Necesidades Trimestrales'!F22</f>
        <v>UNIDAD</v>
      </c>
      <c r="J24" s="53">
        <f>'Necesidades Trimestrales'!H22</f>
        <v>115</v>
      </c>
      <c r="K24" s="54">
        <f>'Necesidades Trimestrales'!G22</f>
        <v>70</v>
      </c>
    </row>
    <row r="25" spans="1:11" ht="20.25" customHeight="1" thickBot="1" x14ac:dyDescent="0.25">
      <c r="A25" s="8">
        <v>14</v>
      </c>
      <c r="B25" s="50" t="str">
        <f>'Necesidades Trimestrales'!B23</f>
        <v>2.9.1-6956.73</v>
      </c>
      <c r="C25" s="115" t="str">
        <f>'Necesidades Trimestrales'!E23</f>
        <v>ARTICULOS DE TOCADOR; TIPO: JABON LIQUIDO, PRESENTACION: ENVASE X 5 L</v>
      </c>
      <c r="D25" s="115"/>
      <c r="E25" s="115"/>
      <c r="F25" s="115"/>
      <c r="G25" s="115"/>
      <c r="H25" s="51" t="s">
        <v>57</v>
      </c>
      <c r="I25" s="52" t="str">
        <f>'Necesidades Trimestrales'!F23</f>
        <v>LITRO</v>
      </c>
      <c r="J25" s="53">
        <f>'Necesidades Trimestrales'!H23</f>
        <v>648</v>
      </c>
      <c r="K25" s="54">
        <f>'Necesidades Trimestrales'!G23</f>
        <v>60</v>
      </c>
    </row>
    <row r="26" spans="1:11" ht="20.25" customHeight="1" thickBot="1" x14ac:dyDescent="0.25">
      <c r="A26" s="8">
        <v>15</v>
      </c>
      <c r="B26" s="50" t="str">
        <f>'Necesidades Trimestrales'!B24</f>
        <v>2.9.1-6960.20</v>
      </c>
      <c r="C26" s="115" t="str">
        <f>'Necesidades Trimestrales'!E24</f>
        <v>ELEM. LIMPIEZA P/INDUMENTARIA; TIPO: JABON EN POLVO, PRESENTACION: ENVASE X 3 Kg</v>
      </c>
      <c r="D26" s="115"/>
      <c r="E26" s="115"/>
      <c r="F26" s="115"/>
      <c r="G26" s="115"/>
      <c r="H26" s="51" t="s">
        <v>191</v>
      </c>
      <c r="I26" s="52" t="str">
        <f>'Necesidades Trimestrales'!F24</f>
        <v>PAQUETE</v>
      </c>
      <c r="J26" s="53">
        <f>'Necesidades Trimestrales'!H24</f>
        <v>1500</v>
      </c>
      <c r="K26" s="54">
        <f>'Necesidades Trimestrales'!G24</f>
        <v>200</v>
      </c>
    </row>
    <row r="27" spans="1:11" ht="33" customHeight="1" thickBot="1" x14ac:dyDescent="0.25">
      <c r="A27" s="8">
        <v>16</v>
      </c>
      <c r="B27" s="50" t="str">
        <f>'Necesidades Trimestrales'!B25</f>
        <v>2.5.4-505.13</v>
      </c>
      <c r="C27" s="115" t="str">
        <f>'Necesidades Trimestrales'!E25</f>
        <v>DESINFECTANTES; CAPACIDAD: 5 L, USO P/CONTROL: BACTERIAS, PRINCIPIO ACTIVO: SAL AMONIO CUATERNARIO, PRESENTACION: ENVASE X 5 L, CONTROL: BACTERIAS</v>
      </c>
      <c r="D27" s="115"/>
      <c r="E27" s="115"/>
      <c r="F27" s="115"/>
      <c r="G27" s="115"/>
      <c r="H27" s="51" t="s">
        <v>57</v>
      </c>
      <c r="I27" s="52" t="str">
        <f>'Necesidades Trimestrales'!F25</f>
        <v>LITRO</v>
      </c>
      <c r="J27" s="53">
        <f>'Necesidades Trimestrales'!H25</f>
        <v>708.5</v>
      </c>
      <c r="K27" s="54">
        <f>'Necesidades Trimestrales'!G25</f>
        <v>25</v>
      </c>
    </row>
    <row r="28" spans="1:11" ht="20.25" customHeight="1" thickBot="1" x14ac:dyDescent="0.25">
      <c r="A28" s="8">
        <v>17</v>
      </c>
      <c r="B28" s="50" t="str">
        <f>'Necesidades Trimestrales'!B26</f>
        <v>2.9.1-6951.116</v>
      </c>
      <c r="C28" s="115" t="str">
        <f>'Necesidades Trimestrales'!E26</f>
        <v>LIMPIADORES; TIPO: LIMPIAVIDRIOS, PRESENTACION: ENVASE X 5 L</v>
      </c>
      <c r="D28" s="115"/>
      <c r="E28" s="115"/>
      <c r="F28" s="115"/>
      <c r="G28" s="115"/>
      <c r="H28" s="51" t="s">
        <v>57</v>
      </c>
      <c r="I28" s="52" t="str">
        <f>'Necesidades Trimestrales'!F26</f>
        <v>LITRO</v>
      </c>
      <c r="J28" s="53">
        <f>'Necesidades Trimestrales'!H26</f>
        <v>470</v>
      </c>
      <c r="K28" s="54">
        <f>'Necesidades Trimestrales'!G26</f>
        <v>7</v>
      </c>
    </row>
    <row r="29" spans="1:11" ht="20.25" customHeight="1" thickBot="1" x14ac:dyDescent="0.25">
      <c r="A29" s="8">
        <v>18</v>
      </c>
      <c r="B29" s="50" t="str">
        <f>'Necesidades Trimestrales'!B27</f>
        <v>2.9.1-6951.110</v>
      </c>
      <c r="C29" s="115" t="str">
        <f>'Necesidades Trimestrales'!E27</f>
        <v>LIMPIADORES; TIPO: SECUESTRANTE DE POLVO, PRESENTACION: ENVASE X 5 L</v>
      </c>
      <c r="D29" s="115"/>
      <c r="E29" s="115"/>
      <c r="F29" s="115"/>
      <c r="G29" s="115"/>
      <c r="H29" s="51" t="s">
        <v>57</v>
      </c>
      <c r="I29" s="52" t="str">
        <f>'Necesidades Trimestrales'!F27</f>
        <v>LITRO</v>
      </c>
      <c r="J29" s="53">
        <f>'Necesidades Trimestrales'!H27</f>
        <v>3150</v>
      </c>
      <c r="K29" s="54">
        <f>'Necesidades Trimestrales'!G27</f>
        <v>25</v>
      </c>
    </row>
    <row r="30" spans="1:11" ht="20.25" customHeight="1" thickBot="1" x14ac:dyDescent="0.25">
      <c r="A30" s="8">
        <v>19</v>
      </c>
      <c r="B30" s="50" t="str">
        <f>'Necesidades Trimestrales'!B28</f>
        <v>2.9.1-6950.30</v>
      </c>
      <c r="C30" s="115" t="str">
        <f>'Necesidades Trimestrales'!E28</f>
        <v>LUSTRADORES; TIPO: LUSTRAMUEBLES, PRESENTACION: AEROSOL X 360 CM3</v>
      </c>
      <c r="D30" s="115"/>
      <c r="E30" s="115"/>
      <c r="F30" s="115"/>
      <c r="G30" s="115"/>
      <c r="H30" s="51" t="s">
        <v>57</v>
      </c>
      <c r="I30" s="52" t="str">
        <f>'Necesidades Trimestrales'!F28</f>
        <v>UNIDAD</v>
      </c>
      <c r="J30" s="53">
        <f>'Necesidades Trimestrales'!H28</f>
        <v>295</v>
      </c>
      <c r="K30" s="54">
        <f>'Necesidades Trimestrales'!G28</f>
        <v>25</v>
      </c>
    </row>
    <row r="31" spans="1:11" ht="34.5" customHeight="1" thickBot="1" x14ac:dyDescent="0.25">
      <c r="A31" s="8">
        <v>20</v>
      </c>
      <c r="B31" s="50" t="str">
        <f>'Necesidades Trimestrales'!B29</f>
        <v>2.9.1-544.12</v>
      </c>
      <c r="C31" s="115" t="str">
        <f>'Necesidades Trimestrales'!E29</f>
        <v>DESODORANTES DE AMBIENTE; CONTENIDO: 440 CM3, FRAGANCIA: CAMPOS DE LAVANDA, FORMATO: AEROSOL, PRESENTACION: CAJA X 24, LIBRE DE CFC: SI</v>
      </c>
      <c r="D31" s="115"/>
      <c r="E31" s="115"/>
      <c r="F31" s="115"/>
      <c r="G31" s="115"/>
      <c r="H31" s="51" t="s">
        <v>57</v>
      </c>
      <c r="I31" s="52" t="str">
        <f>'Necesidades Trimestrales'!F29</f>
        <v>CAJA</v>
      </c>
      <c r="J31" s="53">
        <f>'Necesidades Trimestrales'!H29</f>
        <v>9276</v>
      </c>
      <c r="K31" s="54">
        <f>'Necesidades Trimestrales'!G29</f>
        <v>4</v>
      </c>
    </row>
    <row r="32" spans="1:11" ht="30" customHeight="1" thickBot="1" x14ac:dyDescent="0.25">
      <c r="A32" s="8">
        <v>21</v>
      </c>
      <c r="B32" s="50" t="str">
        <f>'Necesidades Trimestrales'!B30</f>
        <v>2.3.4-786.51</v>
      </c>
      <c r="C32" s="115" t="str">
        <f>'Necesidades Trimestrales'!E30</f>
        <v>PAPEL HIGIENICO; PRESENTACION: PAQUETE X 4 UN, TIPO: PRECORTADO, HOJA: SIMPLE, ANCHO: 10 Cm, LARGO: 30 M, MATERIAL HOJA: SIMPLE, TIPO DE HOJA: SIMPLE</v>
      </c>
      <c r="D32" s="115"/>
      <c r="E32" s="115"/>
      <c r="F32" s="115"/>
      <c r="G32" s="115"/>
      <c r="H32" s="51" t="s">
        <v>57</v>
      </c>
      <c r="I32" s="52" t="str">
        <f>'Necesidades Trimestrales'!F30</f>
        <v>PAQUETE</v>
      </c>
      <c r="J32" s="53">
        <f>'Necesidades Trimestrales'!H30</f>
        <v>165</v>
      </c>
      <c r="K32" s="54">
        <f>'Necesidades Trimestrales'!G30</f>
        <v>250</v>
      </c>
    </row>
    <row r="33" spans="1:11" ht="25.5" customHeight="1" thickBot="1" x14ac:dyDescent="0.25">
      <c r="A33" s="8">
        <v>22</v>
      </c>
      <c r="B33" s="50" t="str">
        <f>'Necesidades Trimestrales'!B31</f>
        <v>2.9.1-683.6</v>
      </c>
      <c r="C33" s="115" t="str">
        <f>'Necesidades Trimestrales'!E31</f>
        <v>SECADORES DE GOMA; COLOR: NEGRO, LARGO: 50 Cm</v>
      </c>
      <c r="D33" s="115"/>
      <c r="E33" s="115"/>
      <c r="F33" s="115"/>
      <c r="G33" s="115"/>
      <c r="H33" s="51" t="s">
        <v>57</v>
      </c>
      <c r="I33" s="52" t="str">
        <f>'Necesidades Trimestrales'!F31</f>
        <v>UNIDAD</v>
      </c>
      <c r="J33" s="53">
        <f>'Necesidades Trimestrales'!H31</f>
        <v>260</v>
      </c>
      <c r="K33" s="54">
        <f>'Necesidades Trimestrales'!G31</f>
        <v>160</v>
      </c>
    </row>
    <row r="34" spans="1:11" ht="20.25" customHeight="1" thickBot="1" x14ac:dyDescent="0.25">
      <c r="A34" s="8">
        <v>23</v>
      </c>
      <c r="B34" s="50" t="str">
        <f>'Necesidades Trimestrales'!B32</f>
        <v>2.9.1-683.4</v>
      </c>
      <c r="C34" s="115" t="str">
        <f>'Necesidades Trimestrales'!E32</f>
        <v>SECADORES DE GOMA; LARGO: 80 Cm, COLOR: ROJO</v>
      </c>
      <c r="D34" s="115"/>
      <c r="E34" s="115"/>
      <c r="F34" s="115"/>
      <c r="G34" s="115"/>
      <c r="H34" s="51" t="s">
        <v>57</v>
      </c>
      <c r="I34" s="52" t="str">
        <f>'Necesidades Trimestrales'!F32</f>
        <v>UNIDAD</v>
      </c>
      <c r="J34" s="53">
        <f>'Necesidades Trimestrales'!H32</f>
        <v>599</v>
      </c>
      <c r="K34" s="54">
        <f>'Necesidades Trimestrales'!G32</f>
        <v>10</v>
      </c>
    </row>
    <row r="35" spans="1:11" ht="25.5" customHeight="1" thickBot="1" x14ac:dyDescent="0.25">
      <c r="A35" s="8">
        <v>24</v>
      </c>
      <c r="B35" s="50" t="str">
        <f>'Necesidades Trimestrales'!B33</f>
        <v>2.9.1-1156.3</v>
      </c>
      <c r="C35" s="115" t="str">
        <f>'Necesidades Trimestrales'!E33</f>
        <v>PLUMEROS; PLUMA: NATURAL, CLASE: MEDIO, MATERIAL MANGO: MADERA, LARGO MANGO: 40 Cm, Nº VUELTAS PENACHO: 3, TIPO: MEDIO</v>
      </c>
      <c r="D35" s="115"/>
      <c r="E35" s="115"/>
      <c r="F35" s="115"/>
      <c r="G35" s="115"/>
      <c r="H35" s="51" t="s">
        <v>57</v>
      </c>
      <c r="I35" s="52" t="str">
        <f>'Necesidades Trimestrales'!F33</f>
        <v>UNIDAD</v>
      </c>
      <c r="J35" s="53">
        <f>'Necesidades Trimestrales'!H33</f>
        <v>839</v>
      </c>
      <c r="K35" s="54">
        <f>'Necesidades Trimestrales'!G33</f>
        <v>20</v>
      </c>
    </row>
    <row r="36" spans="1:11" ht="27.75" customHeight="1" thickBot="1" x14ac:dyDescent="0.25">
      <c r="A36" s="8">
        <v>25</v>
      </c>
      <c r="B36" s="50" t="str">
        <f>'Necesidades Trimestrales'!B34</f>
        <v>2.9.1-1156.8</v>
      </c>
      <c r="C36" s="115" t="str">
        <f>'Necesidades Trimestrales'!E34</f>
        <v>PLUMEROS; PLUMA: SINTETICA, CLASE: PARA TECHO, MATERIAL MANGO: METAL, LARGO MANGO: EXTENSIBLE, Nº VUELTAS PENACHO: 3, TIPO: PARA TECHO</v>
      </c>
      <c r="D36" s="115"/>
      <c r="E36" s="115"/>
      <c r="F36" s="115"/>
      <c r="G36" s="115"/>
      <c r="H36" s="51" t="s">
        <v>57</v>
      </c>
      <c r="I36" s="52" t="str">
        <f>'Necesidades Trimestrales'!F34</f>
        <v>UNIDAD</v>
      </c>
      <c r="J36" s="53">
        <f>'Necesidades Trimestrales'!H34</f>
        <v>1500</v>
      </c>
      <c r="K36" s="54">
        <f>'Necesidades Trimestrales'!G34</f>
        <v>25</v>
      </c>
    </row>
    <row r="37" spans="1:11" ht="34.5" customHeight="1" thickBot="1" x14ac:dyDescent="0.25">
      <c r="A37" s="8">
        <v>26</v>
      </c>
      <c r="B37" s="50" t="str">
        <f>'Necesidades Trimestrales'!B35</f>
        <v>2.9.1-6951.174</v>
      </c>
      <c r="C37" s="115" t="str">
        <f>'Necesidades Trimestrales'!E35</f>
        <v>LIMPIADORES; TIPO: POLVO LIMPIADOR, PRESENTACION: ENVASE X 400 GR</v>
      </c>
      <c r="D37" s="115"/>
      <c r="E37" s="115"/>
      <c r="F37" s="115"/>
      <c r="G37" s="115"/>
      <c r="H37" s="51" t="s">
        <v>57</v>
      </c>
      <c r="I37" s="52" t="str">
        <f>'Necesidades Trimestrales'!F35</f>
        <v>UNIDAD</v>
      </c>
      <c r="J37" s="53">
        <f>'Necesidades Trimestrales'!H35</f>
        <v>212</v>
      </c>
      <c r="K37" s="54">
        <f>'Necesidades Trimestrales'!G35</f>
        <v>50</v>
      </c>
    </row>
    <row r="38" spans="1:11" ht="39.75" customHeight="1" thickBot="1" x14ac:dyDescent="0.25">
      <c r="A38" s="8">
        <v>27</v>
      </c>
      <c r="B38" s="50" t="str">
        <f>'Necesidades Trimestrales'!B36</f>
        <v>2.9.1-6951.80</v>
      </c>
      <c r="C38" s="115" t="str">
        <f>'Necesidades Trimestrales'!E36</f>
        <v>LIMPIADORES; TIPO: QUITASARRO, PRESENTACION: ENVASE X 500 CM3</v>
      </c>
      <c r="D38" s="115"/>
      <c r="E38" s="115"/>
      <c r="F38" s="115"/>
      <c r="G38" s="115"/>
      <c r="H38" s="51" t="s">
        <v>57</v>
      </c>
      <c r="I38" s="52" t="str">
        <f>'Necesidades Trimestrales'!F36</f>
        <v>UNIDAD</v>
      </c>
      <c r="J38" s="53">
        <f>'Necesidades Trimestrales'!H36</f>
        <v>318</v>
      </c>
      <c r="K38" s="54">
        <f>'Necesidades Trimestrales'!G36</f>
        <v>50</v>
      </c>
    </row>
    <row r="39" spans="1:11" ht="20.25" customHeight="1" thickBot="1" x14ac:dyDescent="0.25">
      <c r="A39" s="8">
        <v>28</v>
      </c>
      <c r="B39" s="50" t="str">
        <f>'Necesidades Trimestrales'!B37</f>
        <v>2.9.1-8853.3</v>
      </c>
      <c r="C39" s="115" t="str">
        <f>'Necesidades Trimestrales'!E37</f>
        <v>MOPAS; LARGO MANGO: 1 M, MATERIAL: ALGODON</v>
      </c>
      <c r="D39" s="115"/>
      <c r="E39" s="115"/>
      <c r="F39" s="115"/>
      <c r="G39" s="115"/>
      <c r="H39" s="51" t="s">
        <v>191</v>
      </c>
      <c r="I39" s="52" t="str">
        <f>'Necesidades Trimestrales'!F37</f>
        <v>UNIDAD</v>
      </c>
      <c r="J39" s="53">
        <f>'Necesidades Trimestrales'!H37</f>
        <v>1522</v>
      </c>
      <c r="K39" s="54">
        <f>'Necesidades Trimestrales'!G37</f>
        <v>8</v>
      </c>
    </row>
    <row r="40" spans="1:11" ht="20.25" customHeight="1" thickBot="1" x14ac:dyDescent="0.25">
      <c r="A40" s="8">
        <v>29</v>
      </c>
      <c r="B40" s="50" t="str">
        <f>'Necesidades Trimestrales'!B38</f>
        <v>2.9.1-6960.1</v>
      </c>
      <c r="C40" s="115" t="str">
        <f>'Necesidades Trimestrales'!E38</f>
        <v>ELEM. LIMPIEZA P/INDUMENTARIA; TIPO: SUAVIZANTE P/ROPA, PRESENTACION: ENVASE X 5 L</v>
      </c>
      <c r="D40" s="115"/>
      <c r="E40" s="115"/>
      <c r="F40" s="115"/>
      <c r="G40" s="115"/>
      <c r="H40" s="51" t="s">
        <v>57</v>
      </c>
      <c r="I40" s="52" t="str">
        <f>'Necesidades Trimestrales'!F38</f>
        <v>LITRO</v>
      </c>
      <c r="J40" s="53">
        <f>'Necesidades Trimestrales'!H38</f>
        <v>899</v>
      </c>
      <c r="K40" s="54">
        <f>'Necesidades Trimestrales'!G38</f>
        <v>40</v>
      </c>
    </row>
    <row r="41" spans="1:11" ht="20.25" customHeight="1" thickBot="1" x14ac:dyDescent="0.25">
      <c r="A41" s="8">
        <v>30</v>
      </c>
      <c r="B41" s="50" t="str">
        <f>'Necesidades Trimestrales'!B39</f>
        <v>2.9.1-6951.60</v>
      </c>
      <c r="C41" s="115" t="str">
        <f>'Necesidades Trimestrales'!E39</f>
        <v>LIMPIADORES; TIPO: DESENGRASANTE, PRESENTACION: ENVASE X 5 L</v>
      </c>
      <c r="D41" s="115"/>
      <c r="E41" s="115"/>
      <c r="F41" s="115"/>
      <c r="G41" s="115"/>
      <c r="H41" s="51" t="s">
        <v>57</v>
      </c>
      <c r="I41" s="52" t="str">
        <f>'Necesidades Trimestrales'!F39</f>
        <v>LITRO</v>
      </c>
      <c r="J41" s="53">
        <f>'Necesidades Trimestrales'!H39</f>
        <v>398</v>
      </c>
      <c r="K41" s="54">
        <f>'Necesidades Trimestrales'!G39</f>
        <v>10</v>
      </c>
    </row>
    <row r="42" spans="1:11" ht="20.25" customHeight="1" thickBot="1" x14ac:dyDescent="0.25">
      <c r="A42" s="8">
        <v>31</v>
      </c>
      <c r="B42" s="50" t="str">
        <f>'Necesidades Trimestrales'!B40</f>
        <v>2.9.1-713.5</v>
      </c>
      <c r="C42" s="115" t="str">
        <f>'Necesidades Trimestrales'!E40</f>
        <v>TRAPOS DE PISO; COLOR: BLANCO, DIMENSION: 60 X 70 Cm</v>
      </c>
      <c r="D42" s="115"/>
      <c r="E42" s="115"/>
      <c r="F42" s="115"/>
      <c r="G42" s="115"/>
      <c r="H42" s="51" t="s">
        <v>191</v>
      </c>
      <c r="I42" s="52" t="str">
        <f>'Necesidades Trimestrales'!F40</f>
        <v>UNIDAD</v>
      </c>
      <c r="J42" s="53">
        <f>'Necesidades Trimestrales'!H40</f>
        <v>232.5</v>
      </c>
      <c r="K42" s="54">
        <f>'Necesidades Trimestrales'!G40</f>
        <v>300</v>
      </c>
    </row>
    <row r="43" spans="1:11" ht="20.25" customHeight="1" thickBot="1" x14ac:dyDescent="0.25">
      <c r="A43" s="8">
        <v>32</v>
      </c>
      <c r="B43" s="50" t="str">
        <f>'Necesidades Trimestrales'!B41</f>
        <v>2.9.1-678.7</v>
      </c>
      <c r="C43" s="115" t="str">
        <f>'Necesidades Trimestrales'!E41</f>
        <v>TRAPOS REJILLA; DIMENSION: 40 X 50 Cm, COLOR: SIN VALOR, MATERIAL: ALGODON</v>
      </c>
      <c r="D43" s="115"/>
      <c r="E43" s="115"/>
      <c r="F43" s="115"/>
      <c r="G43" s="115"/>
      <c r="H43" s="51" t="s">
        <v>57</v>
      </c>
      <c r="I43" s="52" t="str">
        <f>'Necesidades Trimestrales'!F41</f>
        <v>UNIDAD</v>
      </c>
      <c r="J43" s="53">
        <f>'Necesidades Trimestrales'!H41</f>
        <v>120</v>
      </c>
      <c r="K43" s="54">
        <f>'Necesidades Trimestrales'!G41</f>
        <v>275</v>
      </c>
    </row>
    <row r="44" spans="1:11" ht="32.25" customHeight="1" thickBot="1" x14ac:dyDescent="0.25">
      <c r="A44" s="8">
        <v>33</v>
      </c>
      <c r="B44" s="50" t="str">
        <f>'Necesidades Trimestrales'!B42</f>
        <v>2.9.1-646.18</v>
      </c>
      <c r="C44" s="115" t="str">
        <f>'Necesidades Trimestrales'!E42</f>
        <v>BOLSAS DE RESIDUOS; COLOR: OBSCURO, ESPESOR: 40 Mn, DIMENSION: 45 X 60 Cm, PRESENTACION: SIN VALOR</v>
      </c>
      <c r="D44" s="115"/>
      <c r="E44" s="115"/>
      <c r="F44" s="115"/>
      <c r="G44" s="115"/>
      <c r="H44" s="51" t="s">
        <v>191</v>
      </c>
      <c r="I44" s="52" t="str">
        <f>'Necesidades Trimestrales'!F42</f>
        <v>UNIDAD</v>
      </c>
      <c r="J44" s="53">
        <f>'Necesidades Trimestrales'!H42</f>
        <v>15</v>
      </c>
      <c r="K44" s="54">
        <f>'Necesidades Trimestrales'!G42</f>
        <v>18000</v>
      </c>
    </row>
    <row r="45" spans="1:11" ht="30" customHeight="1" thickBot="1" x14ac:dyDescent="0.25">
      <c r="A45" s="8">
        <v>34</v>
      </c>
      <c r="B45" s="50" t="str">
        <f>'Necesidades Trimestrales'!B43</f>
        <v>2.9.1-646.48</v>
      </c>
      <c r="C45" s="115" t="str">
        <f>'Necesidades Trimestrales'!E43</f>
        <v>BOLSAS DE RESIDUOS; DIMENSION: 60 X 90 Cm, PRESENTACION: BOLSA X 50 UN, ESPESOR: 45 Mn, COLOR: NEGRO</v>
      </c>
      <c r="D45" s="115"/>
      <c r="E45" s="115"/>
      <c r="F45" s="115"/>
      <c r="G45" s="115"/>
      <c r="H45" s="51" t="s">
        <v>191</v>
      </c>
      <c r="I45" s="52" t="str">
        <f>'Necesidades Trimestrales'!F43</f>
        <v>PAQUETE</v>
      </c>
      <c r="J45" s="53">
        <f>'Necesidades Trimestrales'!H43</f>
        <v>1590</v>
      </c>
      <c r="K45" s="54">
        <f>'Necesidades Trimestrales'!G43</f>
        <v>240</v>
      </c>
    </row>
    <row r="46" spans="1:11" ht="37.5" customHeight="1" thickBot="1" x14ac:dyDescent="0.25">
      <c r="A46" s="8">
        <v>35</v>
      </c>
      <c r="B46" s="50" t="str">
        <f>'Necesidades Trimestrales'!B44</f>
        <v>2.9.1-646.19</v>
      </c>
      <c r="C46" s="115" t="str">
        <f>'Necesidades Trimestrales'!E44</f>
        <v>BOLSAS DE RESIDUOS; ESPESOR: 40 Mn, COLOR: TRANSPARENTE, DIMENSION: 50 X 70 Cm, PRESENTACION: SIN VALOR</v>
      </c>
      <c r="D46" s="115"/>
      <c r="E46" s="115"/>
      <c r="F46" s="115"/>
      <c r="G46" s="115"/>
      <c r="H46" s="51" t="s">
        <v>191</v>
      </c>
      <c r="I46" s="52" t="str">
        <f>'Necesidades Trimestrales'!F44</f>
        <v>UNIDAD</v>
      </c>
      <c r="J46" s="53">
        <f>'Necesidades Trimestrales'!H44</f>
        <v>21</v>
      </c>
      <c r="K46" s="54">
        <f>'Necesidades Trimestrales'!G44</f>
        <v>4500</v>
      </c>
    </row>
    <row r="47" spans="1:11" ht="35.25" customHeight="1" thickBot="1" x14ac:dyDescent="0.25">
      <c r="A47" s="8">
        <v>36</v>
      </c>
      <c r="B47" s="50" t="str">
        <f>'Necesidades Trimestrales'!B45</f>
        <v>2.9.1-646.104</v>
      </c>
      <c r="C47" s="115" t="str">
        <f>'Necesidades Trimestrales'!E45</f>
        <v>BOLSAS DE RESIDUOS; DIMENSION: 60 X 90 Cm, PRESENTACION: ENVASE X 100 UN, ESPESOR: 50 Mn</v>
      </c>
      <c r="D47" s="115"/>
      <c r="E47" s="115"/>
      <c r="F47" s="115"/>
      <c r="G47" s="115"/>
      <c r="H47" s="51" t="s">
        <v>191</v>
      </c>
      <c r="I47" s="52" t="str">
        <f>'Necesidades Trimestrales'!F45</f>
        <v>PAQUETE</v>
      </c>
      <c r="J47" s="53">
        <f>'Necesidades Trimestrales'!H45</f>
        <v>2829</v>
      </c>
      <c r="K47" s="54">
        <f>'Necesidades Trimestrales'!G45</f>
        <v>120</v>
      </c>
    </row>
    <row r="48" spans="1:11" ht="37.5" customHeight="1" thickBot="1" x14ac:dyDescent="0.25">
      <c r="A48" s="8">
        <v>37</v>
      </c>
      <c r="B48" s="50" t="str">
        <f>'Necesidades Trimestrales'!B46</f>
        <v>2.5.8-5590.41</v>
      </c>
      <c r="C48" s="115" t="str">
        <f>'Necesidades Trimestrales'!E46</f>
        <v>FILMS DE POLIETILENO; ESPESOR: 100 Mn, ANCHO: 2 M, PRESENTACION: ROLLO X 100 M, USO: ALIMENTARIO</v>
      </c>
      <c r="D48" s="115"/>
      <c r="E48" s="115"/>
      <c r="F48" s="115"/>
      <c r="G48" s="115"/>
      <c r="H48" s="51" t="s">
        <v>191</v>
      </c>
      <c r="I48" s="52" t="str">
        <f>'Necesidades Trimestrales'!F46</f>
        <v>ROLLO</v>
      </c>
      <c r="J48" s="53">
        <f>'Necesidades Trimestrales'!H46</f>
        <v>26600</v>
      </c>
      <c r="K48" s="54">
        <f>'Necesidades Trimestrales'!G46</f>
        <v>3</v>
      </c>
    </row>
    <row r="49" spans="1:1024" ht="36" customHeight="1" thickBot="1" x14ac:dyDescent="0.25">
      <c r="A49" s="8">
        <v>38</v>
      </c>
      <c r="B49" s="50" t="str">
        <f>'Necesidades Trimestrales'!B47</f>
        <v>2.5.8-5590.3</v>
      </c>
      <c r="C49" s="115" t="str">
        <f>'Necesidades Trimestrales'!E47</f>
        <v>FILMS DE POLIETILENO; ESPESOR: 70 Mn, ANCHO: SIN VALOR, PRESENTACION: POR KILOGRAMO, USO: SIN VALOR</v>
      </c>
      <c r="D49" s="115"/>
      <c r="E49" s="115"/>
      <c r="F49" s="115"/>
      <c r="G49" s="115"/>
      <c r="H49" s="51" t="s">
        <v>191</v>
      </c>
      <c r="I49" s="52" t="str">
        <f>'Necesidades Trimestrales'!F47</f>
        <v>ROLLO</v>
      </c>
      <c r="J49" s="53">
        <f>'Necesidades Trimestrales'!H47</f>
        <v>1380</v>
      </c>
      <c r="K49" s="54">
        <f>'Necesidades Trimestrales'!G47</f>
        <v>25</v>
      </c>
    </row>
    <row r="50" spans="1:1024" ht="34.5" customHeight="1" thickBot="1" x14ac:dyDescent="0.25">
      <c r="A50" s="8">
        <v>39</v>
      </c>
      <c r="B50" s="50" t="str">
        <f>'Necesidades Trimestrales'!B48</f>
        <v>2.5.8-5590.3</v>
      </c>
      <c r="C50" s="115" t="str">
        <f>'Necesidades Trimestrales'!E48</f>
        <v>FILMS DE POLIETILENO; ESPESOR: 70 Mn, ANCHO: SIN VALOR, PRESENTACION: POR KILOGRAMO, USO: SIN VALOR</v>
      </c>
      <c r="D50" s="115"/>
      <c r="E50" s="115"/>
      <c r="F50" s="115"/>
      <c r="G50" s="115"/>
      <c r="H50" s="51" t="s">
        <v>191</v>
      </c>
      <c r="I50" s="52" t="str">
        <f>'Necesidades Trimestrales'!F48</f>
        <v>ROLLO</v>
      </c>
      <c r="J50" s="53">
        <f>'Necesidades Trimestrales'!H48</f>
        <v>1380</v>
      </c>
      <c r="K50" s="54">
        <f>'Necesidades Trimestrales'!G48</f>
        <v>30</v>
      </c>
    </row>
    <row r="51" spans="1:1024" ht="34.5" customHeight="1" thickBot="1" x14ac:dyDescent="0.25">
      <c r="A51" s="8">
        <v>40</v>
      </c>
      <c r="B51" s="50" t="str">
        <f>'Necesidades Trimestrales'!B49</f>
        <v>2.5.8-5590.3</v>
      </c>
      <c r="C51" s="115" t="str">
        <f>'Necesidades Trimestrales'!E49</f>
        <v>FILMS DE POLIETILENO; ESPESOR: 70 Mn, ANCHO: SIN VALOR, PRESENTACION: POR KILOGRAMO, USO: SIN VALOR</v>
      </c>
      <c r="D51" s="115"/>
      <c r="E51" s="115"/>
      <c r="F51" s="115"/>
      <c r="G51" s="115"/>
      <c r="H51" s="51" t="s">
        <v>191</v>
      </c>
      <c r="I51" s="52" t="str">
        <f>'Necesidades Trimestrales'!F49</f>
        <v>ROLLO</v>
      </c>
      <c r="J51" s="53">
        <f>'Necesidades Trimestrales'!H49</f>
        <v>1380</v>
      </c>
      <c r="K51" s="54">
        <f>'Necesidades Trimestrales'!G49</f>
        <v>30</v>
      </c>
    </row>
    <row r="52" spans="1:1024" ht="34.5" customHeight="1" thickBot="1" x14ac:dyDescent="0.25">
      <c r="A52" s="8">
        <v>41</v>
      </c>
      <c r="B52" s="50" t="str">
        <f>'Necesidades Trimestrales'!B50</f>
        <v>2.3.4-783.49</v>
      </c>
      <c r="C52" s="115" t="str">
        <f>'Necesidades Trimestrales'!E50</f>
        <v>TOALLAS DE PAPEL; MATERIAL: PAPEL TISUE, GRAMAJE: 42 GR/M2, DIMENSION: 0,19 X 300 M, PRESENTACION: ROLLO</v>
      </c>
      <c r="D52" s="115"/>
      <c r="E52" s="115"/>
      <c r="F52" s="115"/>
      <c r="G52" s="115"/>
      <c r="H52" s="51" t="s">
        <v>57</v>
      </c>
      <c r="I52" s="52" t="str">
        <f>'Necesidades Trimestrales'!F50</f>
        <v>UNIDAD</v>
      </c>
      <c r="J52" s="53">
        <f>'Necesidades Trimestrales'!H50</f>
        <v>1400</v>
      </c>
      <c r="K52" s="54">
        <f>'Necesidades Trimestrales'!G50</f>
        <v>300</v>
      </c>
    </row>
    <row r="53" spans="1:1024" ht="32.25" customHeight="1" thickBot="1" x14ac:dyDescent="0.25">
      <c r="A53" s="8">
        <v>42</v>
      </c>
      <c r="B53" s="50" t="str">
        <f>'Necesidades Trimestrales'!B51</f>
        <v>2.3.4-783.25</v>
      </c>
      <c r="C53" s="115" t="str">
        <f>'Necesidades Trimestrales'!E51</f>
        <v>TOALLAS DE PAPEL; MATERIAL: PAPEL TISSUE, GRAMAJE: 50/55 GR/M2, DIMENSION: 22 X 36 Cm, COLOR: BLANCO, PRESENTACION: CAJA X 10 PAQ. 250 USOS</v>
      </c>
      <c r="D53" s="115"/>
      <c r="E53" s="115"/>
      <c r="F53" s="115"/>
      <c r="G53" s="115"/>
      <c r="H53" s="51" t="s">
        <v>57</v>
      </c>
      <c r="I53" s="52" t="str">
        <f>'Necesidades Trimestrales'!F51</f>
        <v>CAJA</v>
      </c>
      <c r="J53" s="53">
        <f>'Necesidades Trimestrales'!H51</f>
        <v>1800</v>
      </c>
      <c r="K53" s="54">
        <f>'Necesidades Trimestrales'!G51</f>
        <v>300</v>
      </c>
    </row>
    <row r="54" spans="1:1024" ht="20.25" customHeight="1" thickBot="1" x14ac:dyDescent="0.25">
      <c r="A54" s="116" t="s">
        <v>193</v>
      </c>
      <c r="B54" s="116"/>
      <c r="C54" s="116"/>
      <c r="D54" s="116"/>
      <c r="E54" s="116"/>
      <c r="F54" s="116"/>
      <c r="G54" s="116"/>
      <c r="H54" s="116"/>
      <c r="I54" s="116"/>
      <c r="J54" s="164">
        <f>SUMPRODUCT(J12:J53,K12:K53)</f>
        <v>4245412.5</v>
      </c>
      <c r="K54" s="165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</sheetData>
  <mergeCells count="64">
    <mergeCell ref="C49:G49"/>
    <mergeCell ref="C50:G50"/>
    <mergeCell ref="C53:G53"/>
    <mergeCell ref="C44:G44"/>
    <mergeCell ref="C45:G45"/>
    <mergeCell ref="C46:G46"/>
    <mergeCell ref="C47:G47"/>
    <mergeCell ref="C48:G48"/>
    <mergeCell ref="C51:G51"/>
    <mergeCell ref="C52:G52"/>
    <mergeCell ref="C39:G39"/>
    <mergeCell ref="C40:G40"/>
    <mergeCell ref="C41:G41"/>
    <mergeCell ref="C42:G42"/>
    <mergeCell ref="C43:G43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13:G13"/>
    <mergeCell ref="C14:G14"/>
    <mergeCell ref="C15:G15"/>
    <mergeCell ref="C16:G16"/>
    <mergeCell ref="C35:G35"/>
    <mergeCell ref="C34:G34"/>
    <mergeCell ref="J54:K5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54:I54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O20" sqref="O20:P2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style="169" customWidth="1"/>
    <col min="19" max="19" width="13.28515625" bestFit="1" customWidth="1"/>
  </cols>
  <sheetData>
    <row r="1" spans="1:17" ht="15.75" customHeight="1" x14ac:dyDescent="0.25">
      <c r="A1" s="117" t="s">
        <v>3</v>
      </c>
      <c r="B1" s="117"/>
      <c r="C1" s="117"/>
      <c r="D1" s="118">
        <f>'Necesidades Trimestrales'!C6</f>
        <v>2022</v>
      </c>
      <c r="E1" s="118"/>
      <c r="F1" s="10"/>
      <c r="G1" s="10"/>
      <c r="H1" s="11"/>
      <c r="I1" s="11"/>
      <c r="J1" s="11"/>
      <c r="K1" s="11"/>
      <c r="L1" s="11"/>
      <c r="M1" s="11"/>
      <c r="N1" s="11"/>
      <c r="P1" s="119" t="s">
        <v>31</v>
      </c>
      <c r="Q1" s="11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9"/>
      <c r="Q2" s="119"/>
    </row>
    <row r="4" spans="1:17" s="12" customFormat="1" ht="18" customHeight="1" thickBot="1" x14ac:dyDescent="0.25">
      <c r="A4" s="120" t="s">
        <v>32</v>
      </c>
      <c r="B4" s="120"/>
      <c r="C4" s="120"/>
      <c r="D4" s="120"/>
      <c r="E4" s="120"/>
      <c r="F4" s="120"/>
      <c r="G4" s="121" t="str">
        <f>NotaPedido!D3</f>
        <v>40 - Ministerio de Salud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7" s="12" customFormat="1" ht="18" customHeight="1" thickBot="1" x14ac:dyDescent="0.25">
      <c r="A5" s="122" t="s">
        <v>55</v>
      </c>
      <c r="B5" s="123"/>
      <c r="C5" s="123"/>
      <c r="D5" s="123"/>
      <c r="E5" s="123"/>
      <c r="F5" s="124"/>
      <c r="G5" s="121" t="str">
        <f>NotaPedido!D4</f>
        <v>23 - Hospital Interzonal San Juan Bautista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17" s="12" customFormat="1" ht="18" customHeight="1" thickBot="1" x14ac:dyDescent="0.25">
      <c r="A6" s="122" t="s">
        <v>33</v>
      </c>
      <c r="B6" s="123"/>
      <c r="C6" s="123"/>
      <c r="D6" s="123"/>
      <c r="E6" s="123"/>
      <c r="F6" s="124"/>
      <c r="G6" s="121" t="str">
        <f>NotaPedido!D5</f>
        <v>237 - Direccion de Mantenimiento</v>
      </c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s="12" customFormat="1" ht="18" customHeight="1" thickBot="1" x14ac:dyDescent="0.25">
      <c r="A7" s="122" t="s">
        <v>56</v>
      </c>
      <c r="B7" s="123"/>
      <c r="C7" s="123"/>
      <c r="D7" s="123"/>
      <c r="E7" s="123"/>
      <c r="F7" s="124"/>
      <c r="G7" s="121" t="str">
        <f>NotaPedido!D6</f>
        <v>Deposito Central</v>
      </c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8" customHeight="1" thickBot="1" x14ac:dyDescent="0.25">
      <c r="A8" s="125" t="s">
        <v>34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</row>
    <row r="9" spans="1:17" ht="18" customHeight="1" x14ac:dyDescent="0.2">
      <c r="A9" s="126" t="s">
        <v>35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"/>
      <c r="P9" s="1"/>
      <c r="Q9" s="167"/>
    </row>
    <row r="10" spans="1:17" ht="54.75" customHeight="1" x14ac:dyDescent="0.2">
      <c r="A10" s="12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DOCFI-2022-01238708-CAT-DMAN#HSJB,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8"/>
    </row>
    <row r="12" spans="1:17" ht="15.75" customHeight="1" x14ac:dyDescent="0.2">
      <c r="A12" s="128" t="s">
        <v>36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spans="1:17" ht="15.75" customHeight="1" x14ac:dyDescent="0.2">
      <c r="A13" s="129" t="s">
        <v>37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38</v>
      </c>
      <c r="P13" s="130"/>
      <c r="Q13" s="131" t="s">
        <v>39</v>
      </c>
    </row>
    <row r="14" spans="1:17" ht="15.75" customHeight="1" thickBot="1" x14ac:dyDescent="0.25">
      <c r="A14" s="16" t="s">
        <v>40</v>
      </c>
      <c r="B14" s="17" t="s">
        <v>41</v>
      </c>
      <c r="C14" s="17" t="s">
        <v>42</v>
      </c>
      <c r="D14" s="17" t="s">
        <v>43</v>
      </c>
      <c r="E14" s="17" t="s">
        <v>44</v>
      </c>
      <c r="F14" s="17" t="s">
        <v>45</v>
      </c>
      <c r="G14" s="18" t="s">
        <v>46</v>
      </c>
      <c r="H14" s="17" t="s">
        <v>47</v>
      </c>
      <c r="I14" s="17" t="s">
        <v>48</v>
      </c>
      <c r="J14" s="17" t="s">
        <v>49</v>
      </c>
      <c r="K14" s="17" t="s">
        <v>49</v>
      </c>
      <c r="L14" s="17" t="s">
        <v>50</v>
      </c>
      <c r="M14" s="19" t="s">
        <v>51</v>
      </c>
      <c r="N14" s="20" t="s">
        <v>52</v>
      </c>
      <c r="O14" s="130"/>
      <c r="P14" s="130"/>
      <c r="Q14" s="131"/>
    </row>
    <row r="15" spans="1:17" ht="17.25" customHeight="1" x14ac:dyDescent="0.2">
      <c r="A15" s="55">
        <v>33</v>
      </c>
      <c r="B15" s="56"/>
      <c r="C15" s="56"/>
      <c r="D15" s="56">
        <v>4</v>
      </c>
      <c r="E15" s="56"/>
      <c r="F15" s="56">
        <v>4901</v>
      </c>
      <c r="G15" s="56">
        <v>3</v>
      </c>
      <c r="H15" s="57" t="s">
        <v>62</v>
      </c>
      <c r="I15" s="58">
        <v>2</v>
      </c>
      <c r="J15" s="58">
        <v>3</v>
      </c>
      <c r="K15" s="58">
        <v>4</v>
      </c>
      <c r="L15" s="56"/>
      <c r="M15" s="59">
        <v>1</v>
      </c>
      <c r="N15" s="57" t="s">
        <v>63</v>
      </c>
      <c r="O15" s="170" t="s">
        <v>194</v>
      </c>
      <c r="P15" s="170"/>
      <c r="Q15" s="171">
        <v>1001250</v>
      </c>
    </row>
    <row r="16" spans="1:17" ht="17.25" customHeight="1" x14ac:dyDescent="0.2">
      <c r="A16" s="172">
        <v>33</v>
      </c>
      <c r="B16" s="173"/>
      <c r="C16" s="173"/>
      <c r="D16" s="173">
        <v>4</v>
      </c>
      <c r="E16" s="173"/>
      <c r="F16" s="173">
        <v>4901</v>
      </c>
      <c r="G16" s="173">
        <v>3</v>
      </c>
      <c r="H16" s="174" t="s">
        <v>62</v>
      </c>
      <c r="I16" s="173">
        <v>2</v>
      </c>
      <c r="J16" s="173">
        <v>5</v>
      </c>
      <c r="K16" s="173">
        <v>1</v>
      </c>
      <c r="L16" s="173"/>
      <c r="M16" s="175">
        <v>1</v>
      </c>
      <c r="N16" s="176" t="s">
        <v>63</v>
      </c>
      <c r="O16" s="177" t="s">
        <v>60</v>
      </c>
      <c r="P16" s="177"/>
      <c r="Q16" s="178">
        <v>81000</v>
      </c>
    </row>
    <row r="17" spans="1:19" ht="17.25" customHeight="1" x14ac:dyDescent="0.2">
      <c r="A17" s="172">
        <v>33</v>
      </c>
      <c r="B17" s="173"/>
      <c r="C17" s="173"/>
      <c r="D17" s="173">
        <v>4</v>
      </c>
      <c r="E17" s="173"/>
      <c r="F17" s="179">
        <v>4901</v>
      </c>
      <c r="G17" s="173">
        <v>3</v>
      </c>
      <c r="H17" s="174" t="s">
        <v>62</v>
      </c>
      <c r="I17" s="173">
        <v>2</v>
      </c>
      <c r="J17" s="173">
        <v>5</v>
      </c>
      <c r="K17" s="173">
        <v>4</v>
      </c>
      <c r="L17" s="173"/>
      <c r="M17" s="175">
        <v>1</v>
      </c>
      <c r="N17" s="176" t="s">
        <v>63</v>
      </c>
      <c r="O17" s="177" t="s">
        <v>195</v>
      </c>
      <c r="P17" s="177"/>
      <c r="Q17" s="178">
        <v>17712.5</v>
      </c>
      <c r="S17" s="60"/>
    </row>
    <row r="18" spans="1:19" ht="17.25" customHeight="1" x14ac:dyDescent="0.2">
      <c r="A18" s="172">
        <v>33</v>
      </c>
      <c r="B18" s="173"/>
      <c r="C18" s="173"/>
      <c r="D18" s="173">
        <v>4</v>
      </c>
      <c r="E18" s="173"/>
      <c r="F18" s="173">
        <v>4901</v>
      </c>
      <c r="G18" s="173">
        <v>3</v>
      </c>
      <c r="H18" s="174" t="s">
        <v>62</v>
      </c>
      <c r="I18" s="173">
        <v>2</v>
      </c>
      <c r="J18" s="173">
        <v>5</v>
      </c>
      <c r="K18" s="173">
        <v>8</v>
      </c>
      <c r="L18" s="173"/>
      <c r="M18" s="175">
        <v>1</v>
      </c>
      <c r="N18" s="176" t="s">
        <v>63</v>
      </c>
      <c r="O18" s="180" t="s">
        <v>196</v>
      </c>
      <c r="P18" s="181"/>
      <c r="Q18" s="178">
        <v>197100</v>
      </c>
    </row>
    <row r="19" spans="1:19" ht="17.25" customHeight="1" x14ac:dyDescent="0.2">
      <c r="A19" s="21">
        <v>33</v>
      </c>
      <c r="B19" s="22"/>
      <c r="C19" s="22"/>
      <c r="D19" s="22">
        <v>4</v>
      </c>
      <c r="E19" s="22"/>
      <c r="F19" s="24">
        <v>4901</v>
      </c>
      <c r="G19" s="22">
        <v>3</v>
      </c>
      <c r="H19" s="22" t="s">
        <v>62</v>
      </c>
      <c r="I19" s="22">
        <v>2</v>
      </c>
      <c r="J19" s="22">
        <v>9</v>
      </c>
      <c r="K19" s="22">
        <v>1</v>
      </c>
      <c r="L19" s="22"/>
      <c r="M19" s="23">
        <v>1</v>
      </c>
      <c r="N19" s="24" t="s">
        <v>63</v>
      </c>
      <c r="O19" s="132" t="s">
        <v>197</v>
      </c>
      <c r="P19" s="133"/>
      <c r="Q19" s="25">
        <v>2924350</v>
      </c>
    </row>
    <row r="20" spans="1:19" ht="17.25" customHeight="1" x14ac:dyDescent="0.2">
      <c r="A20" s="21">
        <v>33</v>
      </c>
      <c r="B20" s="22"/>
      <c r="C20" s="22"/>
      <c r="D20" s="22">
        <v>4</v>
      </c>
      <c r="E20" s="22"/>
      <c r="F20" s="24">
        <v>4901</v>
      </c>
      <c r="G20" s="22">
        <v>3</v>
      </c>
      <c r="H20" s="22" t="s">
        <v>62</v>
      </c>
      <c r="I20" s="22">
        <v>2</v>
      </c>
      <c r="J20" s="22">
        <v>9</v>
      </c>
      <c r="K20" s="22">
        <v>4</v>
      </c>
      <c r="L20" s="22"/>
      <c r="M20" s="23">
        <v>1</v>
      </c>
      <c r="N20" s="24" t="s">
        <v>63</v>
      </c>
      <c r="O20" s="132" t="s">
        <v>198</v>
      </c>
      <c r="P20" s="133"/>
      <c r="Q20" s="25">
        <v>24000</v>
      </c>
    </row>
    <row r="21" spans="1:19" ht="17.25" customHeight="1" x14ac:dyDescent="0.2">
      <c r="A21" s="26"/>
      <c r="B21" s="27"/>
      <c r="C21" s="27"/>
      <c r="D21" s="27"/>
      <c r="E21" s="27"/>
      <c r="F21" s="28"/>
      <c r="G21" s="27"/>
      <c r="H21" s="27"/>
      <c r="I21" s="27"/>
      <c r="J21" s="27"/>
      <c r="K21" s="27"/>
      <c r="L21" s="27"/>
      <c r="M21" s="29"/>
      <c r="N21" s="30"/>
      <c r="O21" s="139"/>
      <c r="P21" s="139"/>
      <c r="Q21" s="25"/>
      <c r="R21" s="1"/>
    </row>
    <row r="22" spans="1:19" ht="17.25" customHeight="1" x14ac:dyDescent="0.2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2"/>
      <c r="O22" s="140"/>
      <c r="P22" s="140"/>
      <c r="Q22" s="34"/>
    </row>
    <row r="23" spans="1:19" ht="20.25" customHeight="1" x14ac:dyDescent="0.2">
      <c r="A23" s="182" t="s">
        <v>199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35">
        <f>+SUM(Q15:Q21)</f>
        <v>4245412.5</v>
      </c>
    </row>
    <row r="24" spans="1:19" ht="18" customHeight="1" thickBot="1" x14ac:dyDescent="0.25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</row>
    <row r="25" spans="1:19" ht="17.25" customHeight="1" thickBot="1" x14ac:dyDescent="0.25">
      <c r="A25" s="134" t="s">
        <v>53</v>
      </c>
      <c r="B25" s="135"/>
      <c r="C25" s="135"/>
      <c r="D25" s="135"/>
      <c r="E25" s="135"/>
      <c r="F25" s="136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</row>
    <row r="26" spans="1:19" ht="18" customHeight="1" thickBot="1" x14ac:dyDescent="0.25">
      <c r="A26" s="138" t="str">
        <f>"Para la "&amp; NotaPedido!D8 &amp;" para ser destinados al " &amp; NotaPedido!D6 &amp;"  del HISJB del Ministerio de Salud."</f>
        <v>Para la Adquisición de Elementos de limpieza para ser destinados al Deposito Central  del HISJB del Ministerio de Salud.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</row>
    <row r="27" spans="1:19" ht="15" customHeight="1" x14ac:dyDescent="0.2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2022-07-12T16:33:01Z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