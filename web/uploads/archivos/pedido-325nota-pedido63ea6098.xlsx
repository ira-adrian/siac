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TIN\Desktop\UTILES Y PAPEL\"/>
    </mc:Choice>
  </mc:AlternateContent>
  <bookViews>
    <workbookView xWindow="0" yWindow="0" windowWidth="20490" windowHeight="7755" tabRatio="500" activeTab="1"/>
  </bookViews>
  <sheets>
    <sheet name="Autor Gastar" sheetId="2" r:id="rId1"/>
    <sheet name="NPT" sheetId="3" r:id="rId2"/>
    <sheet name="NP" sheetId="4" r:id="rId3"/>
  </sheets>
  <definedNames>
    <definedName name="_xlnm.Print_Area" localSheetId="0">'Autor Gastar'!$A$1:$Q$36</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Q31" i="2" l="1"/>
  <c r="I10" i="3" l="1"/>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9" i="3"/>
</calcChain>
</file>

<file path=xl/sharedStrings.xml><?xml version="1.0" encoding="utf-8"?>
<sst xmlns="http://schemas.openxmlformats.org/spreadsheetml/2006/main" count="690" uniqueCount="184">
  <si>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</si>
  <si>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</si>
  <si>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</si>
  <si>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</si>
  <si>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</si>
  <si>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</si>
  <si>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</si>
  <si>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</si>
  <si>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</si>
  <si>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</si>
  <si>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</si>
  <si>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</si>
  <si>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</si>
  <si>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</si>
  <si>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</si>
  <si>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</si>
  <si>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</si>
  <si>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</si>
  <si>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</si>
  <si>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</si>
  <si>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</si>
  <si>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</si>
  <si>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</si>
  <si>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</si>
  <si>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</si>
  <si>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</si>
  <si>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</si>
  <si>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</si>
  <si>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</si>
  <si>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</si>
  <si>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Utiles de Escritorio, Oficina y Enseñanza</t>
  </si>
  <si>
    <t>Papel de Escritorio y Carton</t>
  </si>
  <si>
    <t>Productos de Papel y Carton</t>
  </si>
  <si>
    <t>La presente erogación tiene por objeto la adquisición  de utiles de escritorio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</si>
  <si>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N°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</si>
  <si>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</si>
  <si>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</si>
  <si>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</si>
  <si>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</si>
  <si>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</si>
  <si>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</si>
  <si>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</si>
  <si>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</si>
  <si>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</si>
  <si>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</si>
  <si>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</si>
  <si>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</si>
  <si>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</si>
  <si>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</si>
  <si>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</si>
  <si>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2.9.2-848.11</t>
  </si>
  <si>
    <t>LIBRERIA,PAP. Y UTILES OFICINA</t>
  </si>
  <si>
    <t>2.9.2</t>
  </si>
  <si>
    <t>LAPIZ; TIPO: HB, COLOR: NEGRO</t>
  </si>
  <si>
    <t>Unidad</t>
  </si>
  <si>
    <t>2.9.2-661.58</t>
  </si>
  <si>
    <t>GOMAS DE BORRAR; USO: LAPIZ Y TINTA, DIMENSION: 40 X 18 X 12 mm, MATERIAL: CAUCHO, PRESENTACION: UNIDAD</t>
  </si>
  <si>
    <t>2.9.2-700.28</t>
  </si>
  <si>
    <t>BROCHES P/ABROCHADORA; NUMERO: 10/50, PRESENTACION: CAJA X 1000 UNIDADES</t>
  </si>
  <si>
    <t>2.9.2-700.29</t>
  </si>
  <si>
    <t>BROCHES P/ABROCHADORA; NUMERO: 24/6, PRESENTACION: CAJA X 1000 UNIDADES</t>
  </si>
  <si>
    <t>2.9.2-858.16</t>
  </si>
  <si>
    <t xml:space="preserve"> 
PERFORADORAS; TAMAÑO: MEDIANA, N° PERFORACIONES: 2, DIST. ENTRE AGUJ.: SIN VALOR, GUIA POSICION PAPEL: SIN VALOR, MATERIAL ESTRUCTURA: MADERA, MATERIAL: MADERA</t>
  </si>
  <si>
    <t>2.9.2-1450.30</t>
  </si>
  <si>
    <t>TINTAS P/SELLOS; TIPO DE SELLO: DE GOMA, ENVASE: 60 CM3, COLOR: AZUL, PRESENTACION: ENVASE X 60 CM3</t>
  </si>
  <si>
    <t>2.9.2-1450.4</t>
  </si>
  <si>
    <t>TINTAS P/SELLOS; TIPO DE SELLO: DE GOMA, COLOR: NEGRO, PRESENTACION: ENVASE X 50 CM3, ENVASE: 50 CM3</t>
  </si>
  <si>
    <t>2.3.1-6587.159</t>
  </si>
  <si>
    <t>2.3.1</t>
  </si>
  <si>
    <t>PAPELES ENCUADERNADOS; CANT. DE HOJAS: 200, TAMAÑO: OFICIO, TIPO: LIBRO DE ACTAS, CERTIFICADO FORESTAL (GFS): SIN, PORC. FIBRAS RECICLADAS: 0 %, CERT. FIBRA ALTERNATIVA (FCA): SIN</t>
  </si>
  <si>
    <t>2.3.1-6587.267</t>
  </si>
  <si>
    <t xml:space="preserve"> 
PAPELES ENCUADERNADOS; CANT. DE HOJAS: 84, TAMAÑO: 22,3 X 29,5 Cm, TIPO: RAYADO ESPIRALADO, CERTIFICADO FORESTAL (GFS): CON</t>
  </si>
  <si>
    <t>2.9.2-317.17</t>
  </si>
  <si>
    <t>BOLIGRAFOS; TRAZO: GRUESO, COLOR TINTA: NEGRO</t>
  </si>
  <si>
    <t>UNIDAD</t>
  </si>
  <si>
    <t>2.9.2-317.36</t>
  </si>
  <si>
    <t>BOLIGRAFOS; TRAZO: GRUESO, COLOR TINTA: AZUL</t>
  </si>
  <si>
    <t>2.9.2-323.4</t>
  </si>
  <si>
    <t>CORRECTORES DE ESCRITURA; CAPACIDAD: 7 mL, ENVASE: LAPIZ (PUNTA METAL), PRESENTACION: LAPIZ (PUNTA METAL) X 7 mL</t>
  </si>
  <si>
    <t>2.9.2-2138.1</t>
  </si>
  <si>
    <t>LAPIZ PORTAMINAS; TAMAÑO DE MINA: 0,5 mm, TIPO: AUTOMATICO, PUNTA: SIN VALOR, MATERIAL: ALUMINIO, ACCESORIO: SIN VALOR, TIPO PUNTA: SIN VALOR</t>
  </si>
  <si>
    <t>2.3.1-6587.274</t>
  </si>
  <si>
    <t>PAPELES ENCUADERNADOS; CANT. DE HOJAS: 100, TAMAÑO: 22 X 34 Cm, TIPO: RAYADO ESPIRALADO, CERTIFICADO FORESTAL (GFS): SIN, PORC. FIBRAS RECICLADAS: 0 %</t>
  </si>
  <si>
    <t>2.9.2-262.36</t>
  </si>
  <si>
    <t>ADHESIVOS P/PAPEL; PRESENTACION: 50 mL, TIPO: LIQUIDA</t>
  </si>
  <si>
    <t>2.9.2-791.9</t>
  </si>
  <si>
    <t>TALONARIOS NOTAS AUTOADHESIVAS; MEDIDA 76 X 76mm</t>
  </si>
  <si>
    <t>2.9.2-852.4</t>
  </si>
  <si>
    <t>BROCHES DORADOS; PRESENTACION: CAJA X 100 UNIDADES, N° PATAS: 2, N°: 8, CANTIDAD PATAS: 2, NUMERO: 8</t>
  </si>
  <si>
    <t>CAJA</t>
  </si>
  <si>
    <t>2.9.2-6873.6</t>
  </si>
  <si>
    <t>BROCHES PLASTICOS; TIPO: NEPACO, TAMAÑO: Nº 2, PRESENTACION: CAJA X 50 UN</t>
  </si>
  <si>
    <t>2.9.2-1354.21</t>
  </si>
  <si>
    <t>RESALTADORES; PUNTA: BISELADA, ACCESORIO: SIN, COLOR: SIN VALOR, TIPO PUNTA: BISELADA</t>
  </si>
  <si>
    <t>2.9.2-674.9</t>
  </si>
  <si>
    <t>REGLAS GRADUADAS; TIPO: PLANA, MATERIAL: PLASTICO, LONG.DE CUERPO: 30 Cm</t>
  </si>
  <si>
    <t>2.9.2-758.18</t>
  </si>
  <si>
    <t>TIJERAS P/CORTAR PAPELES; LONG.DE CUERPO: 17 Cm, MATERIAL: ACERO INOXIDABLE, CUCHILLA: REDONDEADAS, MANGO: PLASTICO</t>
  </si>
  <si>
    <t>2.9.2-261.14</t>
  </si>
  <si>
    <t>ABROCHADORAS DE PAPEL; TIPO: PINZA, P/BROCHES: 10/50, MATERIAL: METALICA, MEDIDA: 10/50</t>
  </si>
  <si>
    <t>2.9.2-261.25</t>
  </si>
  <si>
    <t>ABROCHADORAS DE PAPEL; TIPO: PINZA, P/BROCHES: 24/6 - 24/8, MATERIAL: METAL, MEDIDA: 24/6 - 24/8</t>
  </si>
  <si>
    <t>2.9.2-1616.128</t>
  </si>
  <si>
    <t>MARCADORES; TIPO PARA PIZARRA - TRAZO GRUESO - PUNTA REDONDA - RECARGABLE NO</t>
  </si>
  <si>
    <t>2.9.2-1611.9</t>
  </si>
  <si>
    <t>FOLIOS TRANSPARENTES; TAMAÑO: OFICIO, PERFORACIONES: 2, MATERIAL: PLASTICO (POLIETILENO)</t>
  </si>
  <si>
    <t>2.9.2-1611.25</t>
  </si>
  <si>
    <t>FOLIOS TRANSPARENTES; TAMAÑO: A4, PERFORACIONES: 2, MATERIAL: PLASTICO (POLIETILENO)</t>
  </si>
  <si>
    <t>2.9.2-850.23</t>
  </si>
  <si>
    <t>CAJAS DE ARCHIVO; MATERIAL: CARTON, DIMENSION: 42 X 32 X 25 Cm, COLOR: MARRON</t>
  </si>
  <si>
    <t>2.9.2-850.3</t>
  </si>
  <si>
    <t>CAJAS DE ARCHIVO; DIMENSION: 25 X 36 X 12 Cm, COLOR: SIN VALOR, MATERIAL: PLASTICO</t>
  </si>
  <si>
    <t>2.3.4-734.1</t>
  </si>
  <si>
    <t>CINTAS P/EMBALAJE; MATERIAL: PAPEL, USO: GENERAL, ANCHO: 12 mm, COLOR: BLANCO, LARGO: 50 M</t>
  </si>
  <si>
    <t>2.3.1-6563.814</t>
  </si>
  <si>
    <t>PAPELES EN HOJA; TIPO DE PAPEL: CARTULINA, DIMENSION: 63 X 44,5 Cm, GRAMAJE: 125, PRESENTACION: UNIDAD, CERTIFICADO FORESTAL (GFS): CON</t>
  </si>
  <si>
    <t>2.9.2-660.4</t>
  </si>
  <si>
    <t>CLIPS P/PAPEL; MATERIAL: METAL, NUMERO: 4, CANT. X CAJA: 100, PRESENTACION: CAJA X 100</t>
  </si>
  <si>
    <t>2.9.2-274.28</t>
  </si>
  <si>
    <t>BIBLIORATOS; COLOR: GRIS, ANCHO: 80 mm, ANILLO: 2 Y PALANCA, TAMAÑO: A4, TAPAS: CARTON, LOMO: CARTON, MATERIAL: CARTON</t>
  </si>
  <si>
    <t>2.9.2-3283.2</t>
  </si>
  <si>
    <t>JUEGO DE LAPICES; TIPO: SIN VALOR, COLOR: COLORES, PRESENTACION: CAJA X 6 UN</t>
  </si>
  <si>
    <t>2.9.2-663.2</t>
  </si>
  <si>
    <t>TUBOS DE MINAS; DUREZA: H, DIAMETRO: 0.5 mm</t>
  </si>
  <si>
    <t>2.9.2-663.13</t>
  </si>
  <si>
    <t>TUBOS DE MINAS; DIAMETRO: 0.9 mm, DUREZA: HB</t>
  </si>
  <si>
    <t>2.9.2-2138.13</t>
  </si>
  <si>
    <t>LIBRERIA,PAP. Y UTILES OFICINA LAPIZ PORTAMINAS LAPIZ PORTAMINAS; TAMAÑO DE MINA: 0,9 MM, TIPO: MANUAL, MATERIAL: PLASTICO, ACCESORIO: SIN, TIPO PUNTA: FIJA</t>
  </si>
  <si>
    <t>2.3.1-6563.1068</t>
  </si>
  <si>
    <t>PAPELES EN HOJA; TIPO DE PAPEL: AFICHE, DIMENSION: 70 X 100 Cm, GRAMAJE: 65 GR/M2, PRESENTACION: UNIDAD, CERTIFICADO FORESTAL (GFS): SIN, PORC. FIBRAS RECICLADAS: 0 %, CERT. FIBRA ALTERNATIVA (FCA): SIN</t>
  </si>
  <si>
    <t>2.9.2-1578.1</t>
  </si>
  <si>
    <t>TINTAS P/MARCADORES; PRESENTACION: 38 CM3, COLOR: NEGRO</t>
  </si>
  <si>
    <t>2.9.2-1578.5</t>
  </si>
  <si>
    <t>TINTAS P/MARCADORES; COLOR: AZUL, PRESENTACION: 20 CM3</t>
  </si>
  <si>
    <t xml:space="preserve"> 2.3.1-6590.476</t>
  </si>
  <si>
    <t>SOBRES DE PAPEL; TIPO: MANILA, TAMAÑO: 30 X 40 Cm, GRAMAJE: 80 GR/M2, PRESENTACION: ENVASE X 250 UN, CERTIFICADO FORESTAL (GFS): SIN, PORC. FIBRAS RECICLADAS: SIN VALOR</t>
  </si>
  <si>
    <t>2.3.1-6590.539</t>
  </si>
  <si>
    <t>SOBRES DE PAPEL; TIPO: MANILA, TAMAÑO: 24 X 30 Cm, GRAMAJE: 80 GR/CM2, PRESENTACION: ENVSE X 250, CERTIFICADO FORESTAL (GFS): SIN, PORC. FIBRAS RECICLADAS: 0 %, CERT. FIBRA ALTERNATIVA (FCA): SIN</t>
  </si>
  <si>
    <t>SOBRES DE PAPEL; TIPO: BLANCO, TAMAÑO: 12,5 X 19 Cm, GRAMAJE: 80 GR/M2, PRESENTACION: UNIDAD, CERTIFICADO FORESTAL (GFS): SIN, PORC. FIBRAS RECICLADAS: 0 %, CERT. FIBRA ALTERNATIVA (FCA): SIN</t>
  </si>
  <si>
    <t>2.3.1-6563.968</t>
  </si>
  <si>
    <t>PAPELES EN HOJA; TIPO DE PAPEL: EXTRA BLANCO, DIMENSION: A4, GRAMAJE: 80 GR, PRESENTACION: RESMA X 500 HOJAS, CERTIFICADO FORESTAL (GFS): SIN, PORC. FIBRAS RECICLADAS: 0 %, CERT. FIBRA ALTERNATIVA (FCA): CON</t>
  </si>
  <si>
    <t>2.3.1-6563.1009</t>
  </si>
  <si>
    <t>PAPELES EN HOJA; TIPO DE PAPEL: BLANCO, DIMENSION: OFICIO, GRAMAJE: 80 GR, PRESENTACION: ENVASE X 500 HOJAS, CERTIFICADO FORESTAL (GFS): SIN, PORC. FIBRAS RECICLADAS: 0 %, CERT. FIBRA ALTERNATIVA (FCA): SIN</t>
  </si>
  <si>
    <t>Especificidades Items N° 14</t>
  </si>
  <si>
    <r>
      <t xml:space="preserve">Descripción técnica: </t>
    </r>
    <r>
      <rPr>
        <sz val="10"/>
        <rFont val="Times New Roman"/>
        <family val="1"/>
      </rPr>
      <t>Tapa dura , hojas rayadas.</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</si>
  <si>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</si>
  <si>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</si>
  <si>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</si>
  <si>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r>
      <t>Mantenimiento:</t>
    </r>
    <r>
      <rPr>
        <sz val="10"/>
        <rFont val="Times New Roman"/>
        <family val="1"/>
      </rPr>
      <t xml:space="preserve"> 30 días corridos</t>
    </r>
  </si>
  <si>
    <t>Garantia</t>
  </si>
  <si>
    <t>Especificidades Items N° 16:</t>
  </si>
  <si>
    <r>
      <t>Descripción técnica</t>
    </r>
    <r>
      <rPr>
        <sz val="10"/>
        <rFont val="Times New Roman"/>
        <family val="1"/>
      </rPr>
      <t>: notas autoadhesivas color amarillo x 100u</t>
    </r>
  </si>
  <si>
    <t>Especificidades Items N° 19:</t>
  </si>
  <si>
    <t>NOTA DE PEDIDO</t>
  </si>
  <si>
    <t>N°</t>
  </si>
  <si>
    <t xml:space="preserve">JURISDICCIÓN: </t>
  </si>
  <si>
    <t>PERIODO UTILIZACIÓN:</t>
  </si>
  <si>
    <t>3 TRIMESTRE</t>
  </si>
  <si>
    <t>OBJETO:</t>
  </si>
  <si>
    <t>Adquisición de utiles de escritorio y papel  para distintas dependencias del  Ministerio de Educación, los cuales son de uso diario para los agentes que desarrollan y desempeñan sus funciones en las distintas dependencias de dicho ministerio.</t>
  </si>
  <si>
    <t>Ítem</t>
  </si>
  <si>
    <t>Codigo Item</t>
  </si>
  <si>
    <t>DESCRIPCIÓN</t>
  </si>
  <si>
    <t>Adjunta Detalle Técnico</t>
  </si>
  <si>
    <t>Unidad Medida</t>
  </si>
  <si>
    <t>Precio Unitario Estimado</t>
  </si>
  <si>
    <t>Cantidad Solicitada</t>
  </si>
  <si>
    <t>no</t>
  </si>
  <si>
    <t>si</t>
  </si>
  <si>
    <r>
      <t>Descripción técnica:</t>
    </r>
    <r>
      <rPr>
        <sz val="10"/>
        <rFont val="Times New Roman"/>
        <family val="1"/>
      </rPr>
      <t xml:space="preserve">  Color azul </t>
    </r>
  </si>
  <si>
    <t>NO</t>
  </si>
  <si>
    <r>
      <t>Descripción técnica:</t>
    </r>
    <r>
      <rPr>
        <sz val="10"/>
        <rFont val="Times New Roman"/>
        <family val="1"/>
      </rPr>
      <t xml:space="preserve">  Caja x 12 unidades </t>
    </r>
  </si>
  <si>
    <r>
      <t>Descripción técnica:</t>
    </r>
    <r>
      <rPr>
        <sz val="10"/>
        <rFont val="Times New Roman"/>
        <family val="1"/>
      </rPr>
      <t xml:space="preserve">  125 unid color celeste, 125 unid color amarillo fluor, 125 unid color celeste, 125 unid color naranajado fluor</t>
    </r>
  </si>
  <si>
    <r>
      <t>Descripción técnica:</t>
    </r>
    <r>
      <rPr>
        <sz val="10"/>
        <rFont val="Times New Roman"/>
        <family val="1"/>
      </rPr>
      <t xml:space="preserve">  250 unid color negro y  250 unid color azul</t>
    </r>
  </si>
  <si>
    <r>
      <t>Descripción técnica:</t>
    </r>
    <r>
      <rPr>
        <sz val="10"/>
        <rFont val="Times New Roman"/>
        <family val="1"/>
      </rPr>
      <t xml:space="preserve">  100 Color blanca, 100 color celeste, 100 color amarillo, 100 verde</t>
    </r>
  </si>
  <si>
    <r>
      <t>Descripción técnica:</t>
    </r>
    <r>
      <rPr>
        <sz val="10"/>
        <rFont val="Times New Roman"/>
        <family val="1"/>
      </rPr>
      <t xml:space="preserve">  75 Color blanca, 75 color celeste, 75 color amarillo, 75 verde</t>
    </r>
  </si>
  <si>
    <t>2.3.1-6590.558</t>
  </si>
  <si>
    <t>TOTAL DE PESOS: SEIS MILLONES  TRESCIENTOS SESENTA Y CINCO MIL DOSCIENTOS NOVENTA Y OCHO  CON 00/100</t>
  </si>
  <si>
    <t>Costo total estimado: SEIS MILLONES  TRESCIENTOS SESENTA Y CINCO MIL DOSCIENTOS NOVENTA Y OCHO  CON 00/100</t>
  </si>
  <si>
    <t xml:space="preserve">Especificidades Items N° 34 y 35: </t>
  </si>
  <si>
    <t>Especificidades Items N° 24:</t>
  </si>
  <si>
    <t>Especificidades Items N° 28:</t>
  </si>
  <si>
    <t xml:space="preserve">Especificidades Items N° 30: </t>
  </si>
  <si>
    <t xml:space="preserve">Especificidades Items N° 37: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</si>
</sst>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quot;$&quot;* #,##0.00_-;_-&quot;$&quot;* &quot;-&quot;??_-;_-@_-"/>
    <numFmt numFmtId="164" formatCode="_(\$* #,##0.00_);_(\$* \(#,##0.00\);_(\$* \-??_);_(@_)"/>
    <numFmt numFmtId="165" formatCode="dd\-mm\-yy;@"/>
    <numFmt numFmtId="166" formatCode="[$$-2C0A]\ #,##0.00;[$$-2C0A]&quot; -&quot;#,##0.00"/>
    <numFmt numFmtId="167" formatCode="_-[$$-2C0A]* #,##0.00_-;\-[$$-2C0A]* #,##0.00_-;_-[$$-2C0A]* &quot;-&quot;??_-;_-@_-"/>
    <numFmt numFmtId="168" formatCode="[$$-2C0A]\ #,##0.00"/>
  </numFmts>
  <fonts count="3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name val="Arial"/>
      <family val="2"/>
    </font>
    <font>
      <sz val="11"/>
      <color theme="1"/>
      <name val="Arial"/>
      <family val="2"/>
    </font>
    <font>
      <sz val="11"/>
      <name val="Times New Roman"/>
      <family val="1"/>
    </font>
    <font>
      <sz val="11"/>
      <color rgb="FF000000"/>
      <name val="Arial"/>
      <family val="2"/>
    </font>
    <font>
      <sz val="11"/>
      <color rgb="FF333333"/>
      <name val="Arial"/>
      <family val="2"/>
    </font>
    <font>
      <sz val="11"/>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6">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rgb="FF3D3D3D"/>
      </right>
      <top style="medium">
        <color rgb="FF3D3D3D"/>
      </top>
      <bottom style="medium">
        <color auto="1"/>
      </bottom>
      <diagonal/>
    </border>
    <border>
      <left/>
      <right/>
      <top style="medium">
        <color rgb="FF3D3D3D"/>
      </top>
      <bottom style="thin">
        <color rgb="FF3D3D3D"/>
      </bottom>
      <diagonal/>
    </border>
    <border>
      <left style="thin">
        <color rgb="FF3D3D3D"/>
      </left>
      <right style="medium">
        <color auto="1"/>
      </right>
      <top/>
      <bottom style="thin">
        <color rgb="FF3D3D3D"/>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s>
  <cellStyleXfs count="5">
    <xf numFmtId="0" fontId="0" fillId="0" borderId="0"/>
    <xf numFmtId="0" fontId="1" fillId="0" borderId="1" applyProtection="0"/>
    <xf numFmtId="164" fontId="2" fillId="0" borderId="0" applyBorder="0" applyProtection="0"/>
    <xf numFmtId="0" fontId="3" fillId="2" borderId="0" applyBorder="0" applyProtection="0"/>
    <xf numFmtId="44" fontId="11" fillId="0" borderId="0" applyFont="0" applyFill="0" applyBorder="0" applyAlignment="0" applyProtection="0"/>
  </cellStyleXfs>
  <cellXfs count="205">
    <xf numFmtId="0" fontId="0" fillId="0" borderId="0" xfId="0"/>
    <xf numFmtId="0" fontId="0" fillId="0" borderId="0" xfId="0" applyAlignment="1">
      <alignment horizontal="left"/>
    </xf>
    <xf numFmtId="3" fontId="5" fillId="0" borderId="11" xfId="0" applyNumberFormat="1" applyFont="1" applyBorder="1" applyAlignment="1"/>
    <xf numFmtId="165"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5"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166" fontId="0" fillId="0" borderId="30" xfId="2" applyNumberFormat="1" applyFont="1" applyBorder="1" applyAlignment="1" applyProtection="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0" fillId="0" borderId="29" xfId="0"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66" fontId="0" fillId="0" borderId="34" xfId="2" applyNumberFormat="1" applyFont="1" applyBorder="1" applyAlignment="1" applyProtection="1">
      <alignment horizontal="center" vertical="center"/>
    </xf>
    <xf numFmtId="166" fontId="9" fillId="0" borderId="36" xfId="0" applyNumberFormat="1" applyFont="1" applyBorder="1" applyAlignment="1">
      <alignment horizontal="center" vertical="center"/>
    </xf>
    <xf numFmtId="0" fontId="7" fillId="0" borderId="38" xfId="0" applyFont="1" applyBorder="1" applyAlignment="1">
      <alignment horizontal="left" indent="1"/>
    </xf>
    <xf numFmtId="0" fontId="7" fillId="0" borderId="39" xfId="0" applyFont="1" applyBorder="1" applyAlignment="1">
      <alignment horizontal="left" indent="1"/>
    </xf>
    <xf numFmtId="0" fontId="7" fillId="0" borderId="0" xfId="0" applyFont="1" applyBorder="1" applyAlignment="1"/>
    <xf numFmtId="0" fontId="7" fillId="0" borderId="37" xfId="0" applyFont="1" applyBorder="1" applyAlignment="1"/>
    <xf numFmtId="0" fontId="0" fillId="0" borderId="29" xfId="0" applyFont="1" applyBorder="1" applyAlignment="1">
      <alignment horizontal="center" vertical="center"/>
    </xf>
    <xf numFmtId="0" fontId="10" fillId="0" borderId="0" xfId="0" applyFont="1"/>
    <xf numFmtId="0" fontId="0" fillId="0" borderId="42" xfId="0" applyFont="1" applyBorder="1" applyAlignment="1">
      <alignment horizontal="left" vertical="center"/>
    </xf>
    <xf numFmtId="0" fontId="0" fillId="0" borderId="41" xfId="0" applyFont="1" applyBorder="1" applyAlignment="1">
      <alignment horizontal="left" vertical="center"/>
    </xf>
    <xf numFmtId="0" fontId="12" fillId="0" borderId="0" xfId="0" applyFont="1"/>
    <xf numFmtId="0" fontId="12" fillId="0" borderId="0" xfId="0" applyNumberFormat="1" applyFont="1" applyAlignment="1">
      <alignment horizontal="center"/>
    </xf>
    <xf numFmtId="0" fontId="16" fillId="0" borderId="0" xfId="0" applyFont="1" applyAlignment="1">
      <alignment horizontal="left" wrapText="1"/>
    </xf>
    <xf numFmtId="0" fontId="16" fillId="0" borderId="0" xfId="0" applyNumberFormat="1"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6" fillId="0" borderId="0" xfId="0" applyFont="1" applyAlignment="1">
      <alignment horizontal="center" wrapText="1"/>
    </xf>
    <xf numFmtId="0" fontId="14" fillId="0" borderId="43" xfId="0" applyFont="1" applyBorder="1" applyAlignment="1">
      <alignment horizontal="center" vertical="center" wrapText="1"/>
    </xf>
    <xf numFmtId="0" fontId="14" fillId="0" borderId="43" xfId="0" applyNumberFormat="1" applyFont="1" applyBorder="1" applyAlignment="1">
      <alignment horizontal="center" vertical="center" wrapText="1"/>
    </xf>
    <xf numFmtId="0" fontId="18" fillId="0" borderId="44" xfId="0" applyFont="1" applyBorder="1" applyAlignment="1">
      <alignment horizontal="center" vertical="center"/>
    </xf>
    <xf numFmtId="0" fontId="19" fillId="0" borderId="44" xfId="0" applyFont="1" applyBorder="1" applyAlignment="1">
      <alignment horizontal="center" vertical="center"/>
    </xf>
    <xf numFmtId="0" fontId="20" fillId="0" borderId="44" xfId="0" applyFont="1" applyBorder="1" applyAlignment="1">
      <alignment horizontal="center" vertical="center" wrapText="1"/>
    </xf>
    <xf numFmtId="0" fontId="21" fillId="0" borderId="44" xfId="0" applyFont="1" applyBorder="1" applyAlignment="1">
      <alignment horizontal="center" vertical="center" wrapText="1"/>
    </xf>
    <xf numFmtId="0" fontId="18" fillId="0" borderId="44" xfId="0" applyFont="1" applyBorder="1" applyAlignment="1">
      <alignment horizontal="left" vertical="center" wrapText="1"/>
    </xf>
    <xf numFmtId="0" fontId="21" fillId="3" borderId="44" xfId="0" applyFont="1" applyFill="1" applyBorder="1" applyAlignment="1">
      <alignment horizontal="center" vertical="center" wrapText="1"/>
    </xf>
    <xf numFmtId="0" fontId="21" fillId="3" borderId="44" xfId="0" applyNumberFormat="1" applyFont="1" applyFill="1" applyBorder="1" applyAlignment="1">
      <alignment horizontal="center" vertical="center" wrapText="1"/>
    </xf>
    <xf numFmtId="167" fontId="18" fillId="0" borderId="44" xfId="4" applyNumberFormat="1" applyFont="1" applyBorder="1" applyAlignment="1">
      <alignment vertical="center" wrapText="1"/>
    </xf>
    <xf numFmtId="167" fontId="18" fillId="4" borderId="44" xfId="4" applyNumberFormat="1" applyFont="1" applyFill="1" applyBorder="1" applyAlignment="1" applyProtection="1">
      <alignment horizontal="right" vertical="center" wrapText="1"/>
    </xf>
    <xf numFmtId="0" fontId="18" fillId="0" borderId="45" xfId="0" applyFont="1" applyBorder="1" applyAlignment="1">
      <alignment horizontal="center" vertical="center"/>
    </xf>
    <xf numFmtId="0" fontId="18" fillId="0" borderId="44" xfId="0" applyFont="1" applyFill="1" applyBorder="1" applyAlignment="1">
      <alignment horizontal="left" vertical="center" wrapText="1"/>
    </xf>
    <xf numFmtId="0" fontId="21" fillId="3" borderId="46" xfId="0" applyFont="1" applyFill="1" applyBorder="1" applyAlignment="1">
      <alignment horizontal="center" vertical="center" wrapText="1"/>
    </xf>
    <xf numFmtId="0" fontId="21" fillId="3" borderId="46" xfId="0" applyNumberFormat="1" applyFont="1" applyFill="1" applyBorder="1" applyAlignment="1">
      <alignment horizontal="center" vertical="center" wrapText="1"/>
    </xf>
    <xf numFmtId="0" fontId="21" fillId="0" borderId="44" xfId="0" applyFont="1" applyBorder="1" applyAlignment="1">
      <alignment horizontal="left" vertical="center" wrapText="1"/>
    </xf>
    <xf numFmtId="0" fontId="18" fillId="0" borderId="44" xfId="0" applyFont="1" applyBorder="1" applyAlignment="1">
      <alignment horizontal="center" vertical="center" wrapText="1"/>
    </xf>
    <xf numFmtId="0" fontId="22" fillId="0" borderId="0" xfId="0" applyFont="1"/>
    <xf numFmtId="0" fontId="22" fillId="0" borderId="44" xfId="0" applyFont="1" applyBorder="1" applyAlignment="1">
      <alignment wrapText="1"/>
    </xf>
    <xf numFmtId="0" fontId="22" fillId="0" borderId="0" xfId="0" applyFont="1" applyAlignment="1">
      <alignment wrapText="1"/>
    </xf>
    <xf numFmtId="0" fontId="23" fillId="0" borderId="44" xfId="0" applyFont="1" applyBorder="1" applyAlignment="1">
      <alignment horizontal="center" vertical="center" wrapText="1"/>
    </xf>
    <xf numFmtId="0" fontId="20" fillId="0" borderId="44" xfId="0" applyFont="1" applyBorder="1" applyAlignment="1">
      <alignment wrapText="1"/>
    </xf>
    <xf numFmtId="0" fontId="18" fillId="0" borderId="44" xfId="4" applyNumberFormat="1" applyFont="1" applyBorder="1" applyAlignment="1">
      <alignment horizontal="center" vertical="center" wrapText="1"/>
    </xf>
    <xf numFmtId="167" fontId="18" fillId="0" borderId="44" xfId="4" applyNumberFormat="1" applyFont="1" applyBorder="1" applyAlignment="1">
      <alignment vertical="center"/>
    </xf>
    <xf numFmtId="0" fontId="0" fillId="0" borderId="0" xfId="0" applyFont="1" applyAlignment="1">
      <alignment horizontal="center" vertical="center"/>
    </xf>
    <xf numFmtId="0" fontId="20" fillId="0" borderId="0" xfId="0" applyFont="1" applyAlignment="1">
      <alignment horizontal="left" vertical="center" wrapText="1"/>
    </xf>
    <xf numFmtId="0" fontId="20" fillId="0" borderId="44" xfId="0" applyFont="1" applyBorder="1" applyAlignment="1">
      <alignment horizontal="left" vertical="center" wrapText="1"/>
    </xf>
    <xf numFmtId="0" fontId="20" fillId="0" borderId="47" xfId="0" applyFont="1" applyBorder="1" applyAlignment="1">
      <alignment horizontal="center" vertical="center" wrapText="1"/>
    </xf>
    <xf numFmtId="0" fontId="23" fillId="0" borderId="47" xfId="0" applyFont="1" applyBorder="1" applyAlignment="1">
      <alignment horizontal="center" vertical="center" wrapText="1"/>
    </xf>
    <xf numFmtId="0" fontId="0" fillId="0" borderId="48" xfId="0" applyFont="1" applyBorder="1" applyAlignment="1">
      <alignment horizontal="center" vertical="center"/>
    </xf>
    <xf numFmtId="0" fontId="20" fillId="0" borderId="49" xfId="0" applyFont="1" applyBorder="1" applyAlignment="1">
      <alignment horizontal="left" vertical="center" wrapText="1"/>
    </xf>
    <xf numFmtId="0" fontId="20" fillId="0" borderId="50" xfId="0" applyFont="1" applyBorder="1" applyAlignment="1">
      <alignment horizontal="center" vertical="center" wrapText="1"/>
    </xf>
    <xf numFmtId="0" fontId="23" fillId="0" borderId="50" xfId="0" applyFont="1" applyBorder="1" applyAlignment="1">
      <alignment horizontal="center" vertical="center" wrapText="1"/>
    </xf>
    <xf numFmtId="0" fontId="22" fillId="0" borderId="44" xfId="0" applyFont="1" applyBorder="1" applyAlignment="1">
      <alignment horizontal="center"/>
    </xf>
    <xf numFmtId="0" fontId="22" fillId="0" borderId="44" xfId="0" applyFont="1" applyFill="1" applyBorder="1" applyAlignment="1">
      <alignment horizontal="center"/>
    </xf>
    <xf numFmtId="0" fontId="20" fillId="0" borderId="44" xfId="0" applyFont="1" applyFill="1" applyBorder="1" applyAlignment="1">
      <alignment horizontal="center" vertical="center" wrapText="1"/>
    </xf>
    <xf numFmtId="0" fontId="21" fillId="0" borderId="44" xfId="0" applyFont="1" applyFill="1" applyBorder="1" applyAlignment="1">
      <alignment horizontal="center" vertical="center" wrapText="1"/>
    </xf>
    <xf numFmtId="0" fontId="22" fillId="0" borderId="44" xfId="0" applyFont="1" applyFill="1" applyBorder="1" applyAlignment="1">
      <alignment wrapText="1"/>
    </xf>
    <xf numFmtId="0" fontId="18" fillId="0" borderId="44" xfId="0" applyFont="1" applyFill="1" applyBorder="1" applyAlignment="1">
      <alignment horizontal="center" vertical="center" wrapText="1"/>
    </xf>
    <xf numFmtId="0" fontId="21" fillId="0" borderId="44" xfId="0" applyNumberFormat="1" applyFont="1" applyFill="1" applyBorder="1" applyAlignment="1">
      <alignment horizontal="center" vertical="center" wrapText="1"/>
    </xf>
    <xf numFmtId="167" fontId="18" fillId="0" borderId="44" xfId="4" applyNumberFormat="1" applyFont="1" applyFill="1" applyBorder="1" applyAlignment="1">
      <alignment vertical="center" wrapText="1"/>
    </xf>
    <xf numFmtId="0" fontId="22" fillId="0" borderId="44" xfId="0" applyFont="1" applyFill="1" applyBorder="1" applyAlignment="1"/>
    <xf numFmtId="0" fontId="24" fillId="0" borderId="0" xfId="0" applyFont="1" applyAlignment="1">
      <alignment horizontal="center" vertical="center"/>
    </xf>
    <xf numFmtId="0" fontId="25" fillId="3" borderId="0" xfId="0" applyFont="1" applyFill="1" applyBorder="1" applyAlignment="1">
      <alignment horizontal="center" vertical="center" wrapText="1"/>
    </xf>
    <xf numFmtId="0" fontId="0" fillId="0" borderId="0" xfId="0" applyAlignment="1">
      <alignment horizontal="center" vertical="center" wrapText="1"/>
    </xf>
    <xf numFmtId="0" fontId="25" fillId="0" borderId="0" xfId="0" applyFont="1" applyFill="1" applyBorder="1" applyAlignment="1">
      <alignment horizontal="center" vertical="center" wrapText="1"/>
    </xf>
    <xf numFmtId="0" fontId="0" fillId="0" borderId="0" xfId="0" applyAlignment="1">
      <alignment horizontal="left" vertical="center" wrapText="1"/>
    </xf>
    <xf numFmtId="0" fontId="25" fillId="3" borderId="0" xfId="0" applyFont="1" applyFill="1" applyAlignment="1">
      <alignment horizontal="center" vertical="center" wrapText="1"/>
    </xf>
    <xf numFmtId="0" fontId="25" fillId="3" borderId="0" xfId="0" applyNumberFormat="1" applyFont="1" applyFill="1" applyAlignment="1">
      <alignment horizontal="center" vertical="center" wrapText="1"/>
    </xf>
    <xf numFmtId="166" fontId="24" fillId="3" borderId="0" xfId="4" applyNumberFormat="1" applyFont="1" applyFill="1" applyBorder="1" applyAlignment="1" applyProtection="1">
      <alignment horizontal="right" vertical="center" wrapText="1"/>
    </xf>
    <xf numFmtId="0" fontId="26" fillId="0" borderId="51" xfId="0" applyFont="1" applyBorder="1"/>
    <xf numFmtId="0" fontId="12" fillId="0" borderId="11" xfId="0" applyFont="1" applyBorder="1"/>
    <xf numFmtId="0" fontId="12" fillId="0" borderId="52" xfId="0" applyFont="1" applyBorder="1"/>
    <xf numFmtId="0" fontId="12" fillId="0" borderId="7" xfId="0" applyFont="1" applyBorder="1"/>
    <xf numFmtId="0" fontId="12" fillId="0" borderId="5" xfId="0" applyFont="1" applyBorder="1"/>
    <xf numFmtId="0" fontId="26" fillId="0" borderId="7" xfId="0" applyFont="1" applyBorder="1" applyAlignment="1">
      <alignment horizontal="left" indent="3"/>
    </xf>
    <xf numFmtId="0" fontId="26" fillId="0" borderId="0" xfId="0" applyNumberFormat="1" applyFont="1" applyBorder="1" applyAlignment="1">
      <alignment horizontal="center"/>
    </xf>
    <xf numFmtId="0" fontId="12" fillId="0" borderId="7" xfId="0" applyFont="1" applyBorder="1" applyAlignment="1">
      <alignment horizontal="left" indent="3"/>
    </xf>
    <xf numFmtId="0" fontId="12" fillId="0" borderId="0" xfId="0" applyFont="1" applyAlignment="1">
      <alignment horizontal="center" wrapText="1"/>
    </xf>
    <xf numFmtId="0" fontId="12" fillId="0" borderId="5" xfId="0" applyFont="1" applyBorder="1" applyAlignment="1">
      <alignment horizontal="center" wrapText="1"/>
    </xf>
    <xf numFmtId="0" fontId="12" fillId="0" borderId="53" xfId="0" applyFont="1" applyBorder="1" applyAlignment="1">
      <alignment horizontal="left" indent="3"/>
    </xf>
    <xf numFmtId="0" fontId="12" fillId="0" borderId="54" xfId="0" applyFont="1" applyBorder="1"/>
    <xf numFmtId="0" fontId="12" fillId="0" borderId="55" xfId="0" applyFont="1" applyBorder="1"/>
    <xf numFmtId="0" fontId="0" fillId="0" borderId="0" xfId="0" applyNumberFormat="1" applyAlignment="1">
      <alignment horizontal="center"/>
    </xf>
    <xf numFmtId="0" fontId="12" fillId="0" borderId="0" xfId="0" applyFont="1" applyBorder="1"/>
    <xf numFmtId="0" fontId="19" fillId="0" borderId="0" xfId="0" applyNumberFormat="1" applyFont="1" applyAlignment="1">
      <alignment horizontal="center"/>
    </xf>
    <xf numFmtId="0" fontId="20" fillId="3" borderId="0" xfId="0" applyFont="1" applyFill="1" applyBorder="1" applyAlignment="1">
      <alignment horizontal="left" wrapText="1"/>
    </xf>
    <xf numFmtId="0" fontId="20" fillId="3" borderId="5" xfId="0" applyFont="1" applyFill="1" applyBorder="1" applyAlignment="1">
      <alignment horizontal="left" wrapText="1"/>
    </xf>
    <xf numFmtId="0" fontId="12" fillId="0" borderId="0" xfId="0" applyFont="1" applyBorder="1" applyAlignment="1">
      <alignment horizontal="center" wrapText="1"/>
    </xf>
    <xf numFmtId="0" fontId="28" fillId="0" borderId="56" xfId="0" applyFont="1" applyBorder="1" applyAlignment="1">
      <alignment horizontal="right" vertical="center"/>
    </xf>
    <xf numFmtId="0" fontId="29" fillId="0" borderId="2" xfId="0" applyNumberFormat="1" applyFont="1" applyBorder="1" applyAlignment="1">
      <alignment horizontal="center" vertical="center"/>
    </xf>
    <xf numFmtId="0" fontId="2" fillId="0" borderId="0" xfId="0" applyFont="1" applyBorder="1" applyAlignment="1">
      <alignment vertical="center"/>
    </xf>
    <xf numFmtId="0" fontId="28" fillId="0" borderId="3" xfId="0" applyFont="1" applyBorder="1" applyAlignment="1">
      <alignment vertical="center"/>
    </xf>
    <xf numFmtId="0" fontId="28" fillId="0" borderId="4" xfId="0" applyFont="1" applyBorder="1" applyAlignment="1">
      <alignment vertical="center"/>
    </xf>
    <xf numFmtId="0" fontId="28" fillId="0" borderId="0" xfId="0" applyFont="1" applyBorder="1" applyAlignment="1">
      <alignment vertical="center"/>
    </xf>
    <xf numFmtId="0" fontId="28" fillId="0" borderId="5" xfId="0" applyFont="1" applyBorder="1" applyAlignment="1">
      <alignment vertical="center"/>
    </xf>
    <xf numFmtId="0" fontId="30" fillId="0" borderId="7" xfId="0" applyFont="1" applyBorder="1" applyAlignment="1">
      <alignment horizontal="left" vertical="center"/>
    </xf>
    <xf numFmtId="0" fontId="30" fillId="0" borderId="0" xfId="0" applyFont="1" applyBorder="1" applyAlignment="1">
      <alignment horizontal="left" vertical="center"/>
    </xf>
    <xf numFmtId="0" fontId="29" fillId="0" borderId="0" xfId="0" applyFont="1" applyBorder="1" applyAlignment="1">
      <alignment horizontal="left" vertical="center" wrapText="1" indent="1"/>
    </xf>
    <xf numFmtId="0" fontId="29" fillId="0" borderId="5" xfId="0" applyFont="1" applyBorder="1" applyAlignment="1">
      <alignment horizontal="left" vertical="center" wrapText="1" indent="1"/>
    </xf>
    <xf numFmtId="0" fontId="33" fillId="0" borderId="64" xfId="0" applyFont="1" applyBorder="1" applyAlignment="1">
      <alignment horizontal="center" vertical="center"/>
    </xf>
    <xf numFmtId="0" fontId="33" fillId="0" borderId="46" xfId="0" applyFont="1" applyBorder="1" applyAlignment="1">
      <alignment horizontal="left" vertical="center"/>
    </xf>
    <xf numFmtId="0" fontId="4" fillId="0" borderId="46" xfId="0" applyFont="1" applyBorder="1" applyAlignment="1">
      <alignment horizontal="center" vertical="center"/>
    </xf>
    <xf numFmtId="0" fontId="7" fillId="0" borderId="0" xfId="0" applyFont="1" applyBorder="1" applyAlignment="1">
      <alignment horizontal="left" indent="1"/>
    </xf>
    <xf numFmtId="0" fontId="0" fillId="0" borderId="0" xfId="0" applyBorder="1" applyAlignment="1">
      <alignment wrapText="1"/>
    </xf>
    <xf numFmtId="0" fontId="7" fillId="0" borderId="40" xfId="0" applyFont="1" applyBorder="1" applyAlignment="1">
      <alignment horizontal="left" indent="1"/>
    </xf>
    <xf numFmtId="0" fontId="7" fillId="0" borderId="71" xfId="0" applyFont="1" applyBorder="1" applyAlignment="1">
      <alignment horizontal="left" indent="1"/>
    </xf>
    <xf numFmtId="166" fontId="0" fillId="0" borderId="73" xfId="2" applyNumberFormat="1" applyFont="1" applyBorder="1" applyAlignment="1" applyProtection="1">
      <alignment horizontal="center" vertical="center"/>
    </xf>
    <xf numFmtId="167" fontId="0" fillId="0" borderId="44" xfId="0" applyNumberFormat="1" applyBorder="1"/>
    <xf numFmtId="167" fontId="18" fillId="4" borderId="0" xfId="4" applyNumberFormat="1" applyFont="1" applyFill="1" applyBorder="1" applyAlignment="1" applyProtection="1">
      <alignment horizontal="right" vertical="center" wrapText="1"/>
    </xf>
    <xf numFmtId="0" fontId="5" fillId="0" borderId="6" xfId="0" applyFont="1" applyBorder="1" applyAlignment="1">
      <alignment vertical="center" wrapText="1"/>
    </xf>
    <xf numFmtId="0" fontId="7" fillId="0" borderId="18" xfId="0" applyFont="1" applyBorder="1" applyAlignment="1">
      <alignment vertical="center" wrapText="1"/>
    </xf>
    <xf numFmtId="0" fontId="7" fillId="0" borderId="8" xfId="0" applyFont="1" applyBorder="1" applyAlignment="1">
      <alignment horizontal="left" vertical="center" wrapText="1" indent="1"/>
    </xf>
    <xf numFmtId="0" fontId="0" fillId="0" borderId="29" xfId="0" applyFont="1" applyBorder="1" applyAlignment="1">
      <alignment horizontal="left" vertical="center"/>
    </xf>
    <xf numFmtId="0" fontId="0" fillId="0" borderId="29" xfId="0" applyBorder="1" applyAlignment="1">
      <alignment horizontal="left" vertical="center"/>
    </xf>
    <xf numFmtId="0" fontId="0" fillId="0" borderId="32" xfId="0" applyBorder="1" applyAlignment="1">
      <alignment horizontal="left" vertical="center"/>
    </xf>
    <xf numFmtId="0" fontId="5" fillId="0" borderId="35" xfId="0" applyFont="1" applyBorder="1" applyAlignment="1">
      <alignment horizontal="left" vertical="center" wrapText="1"/>
    </xf>
    <xf numFmtId="0" fontId="0" fillId="0" borderId="14" xfId="0" applyBorder="1"/>
    <xf numFmtId="0" fontId="0" fillId="0" borderId="29" xfId="0" applyFont="1" applyBorder="1" applyAlignment="1">
      <alignment horizontal="center" vertical="center"/>
    </xf>
    <xf numFmtId="0" fontId="10" fillId="0" borderId="25" xfId="0" applyFont="1" applyBorder="1" applyAlignment="1">
      <alignment horizontal="center" vertical="center" wrapText="1"/>
    </xf>
    <xf numFmtId="0" fontId="0" fillId="0" borderId="72" xfId="0" applyFont="1" applyBorder="1" applyAlignment="1">
      <alignment horizontal="center" vertical="center" wrapText="1"/>
    </xf>
    <xf numFmtId="0" fontId="0" fillId="0" borderId="29" xfId="0" applyBorder="1" applyAlignment="1">
      <alignment horizont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4" fillId="0" borderId="12" xfId="0" applyFont="1" applyBorder="1" applyAlignment="1">
      <alignment horizontal="left" vertical="center" wrapText="1"/>
    </xf>
    <xf numFmtId="0" fontId="7" fillId="0" borderId="37" xfId="0" applyFont="1" applyBorder="1" applyAlignment="1">
      <alignment horizontal="left" wrapText="1"/>
    </xf>
    <xf numFmtId="0" fontId="0" fillId="0" borderId="38" xfId="0" applyBorder="1" applyAlignment="1">
      <alignment horizontal="left" wrapText="1"/>
    </xf>
    <xf numFmtId="0" fontId="0" fillId="0" borderId="40"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12" fillId="3" borderId="0" xfId="0" applyFont="1" applyFill="1" applyAlignment="1">
      <alignment horizontal="left" wrapText="1"/>
    </xf>
    <xf numFmtId="0" fontId="12" fillId="3" borderId="5" xfId="0" applyFont="1" applyFill="1" applyBorder="1" applyAlignment="1">
      <alignment horizontal="left" wrapText="1"/>
    </xf>
    <xf numFmtId="0" fontId="13" fillId="0" borderId="0" xfId="0" applyFont="1" applyAlignment="1">
      <alignment horizontal="center"/>
    </xf>
    <xf numFmtId="0" fontId="14" fillId="0" borderId="0" xfId="0" applyFont="1" applyAlignment="1">
      <alignment horizontal="left" vertical="center" wrapText="1"/>
    </xf>
    <xf numFmtId="0" fontId="15" fillId="3" borderId="0" xfId="0" applyFont="1" applyFill="1" applyAlignment="1">
      <alignment horizontal="left" wrapText="1" indent="1"/>
    </xf>
    <xf numFmtId="0" fontId="20" fillId="3" borderId="0" xfId="0" applyFont="1" applyFill="1" applyAlignment="1">
      <alignment horizontal="left" wrapText="1"/>
    </xf>
    <xf numFmtId="0" fontId="20" fillId="3" borderId="5" xfId="0" applyFont="1" applyFill="1" applyBorder="1" applyAlignment="1">
      <alignment horizontal="left" wrapText="1"/>
    </xf>
    <xf numFmtId="0" fontId="12" fillId="3" borderId="0" xfId="0" applyFont="1" applyFill="1" applyAlignment="1">
      <alignment horizontal="left"/>
    </xf>
    <xf numFmtId="0" fontId="12" fillId="3" borderId="5" xfId="0" applyFont="1" applyFill="1" applyBorder="1" applyAlignment="1">
      <alignment horizontal="left"/>
    </xf>
    <xf numFmtId="0" fontId="12" fillId="3" borderId="0" xfId="0" applyFont="1" applyFill="1" applyBorder="1" applyAlignment="1">
      <alignment horizontal="left" wrapText="1"/>
    </xf>
    <xf numFmtId="0" fontId="12" fillId="3" borderId="0" xfId="0" applyFont="1" applyFill="1" applyBorder="1" applyAlignment="1">
      <alignment horizontal="left"/>
    </xf>
    <xf numFmtId="0" fontId="30" fillId="0" borderId="57" xfId="0" applyFont="1" applyBorder="1" applyAlignment="1">
      <alignment horizontal="left" vertical="center" wrapText="1"/>
    </xf>
    <xf numFmtId="0" fontId="7" fillId="0" borderId="38" xfId="0" applyFont="1" applyBorder="1" applyAlignment="1">
      <alignment horizontal="left" wrapText="1"/>
    </xf>
    <xf numFmtId="0" fontId="7" fillId="0" borderId="40" xfId="0" applyFont="1" applyBorder="1" applyAlignment="1">
      <alignment horizontal="left" wrapText="1"/>
    </xf>
    <xf numFmtId="0" fontId="27" fillId="0" borderId="51" xfId="0" applyFont="1" applyBorder="1" applyAlignment="1">
      <alignment horizontal="center" vertical="center"/>
    </xf>
    <xf numFmtId="0" fontId="30" fillId="0" borderId="58" xfId="0" applyFont="1" applyBorder="1" applyAlignment="1">
      <alignment horizontal="left" vertical="center" wrapText="1"/>
    </xf>
    <xf numFmtId="0" fontId="31" fillId="0" borderId="6" xfId="0" applyFont="1" applyBorder="1" applyAlignment="1">
      <alignment vertical="center" wrapText="1"/>
    </xf>
    <xf numFmtId="0" fontId="29" fillId="0" borderId="6" xfId="0" applyFont="1" applyBorder="1" applyAlignment="1">
      <alignment vertical="center" wrapText="1"/>
    </xf>
    <xf numFmtId="0" fontId="30" fillId="0" borderId="59" xfId="0" applyFont="1" applyBorder="1" applyAlignment="1">
      <alignment horizontal="left" vertical="center"/>
    </xf>
    <xf numFmtId="0" fontId="31" fillId="0" borderId="60" xfId="0" applyFont="1" applyBorder="1" applyAlignment="1">
      <alignment vertical="center" wrapText="1"/>
    </xf>
    <xf numFmtId="0" fontId="29" fillId="0" borderId="60" xfId="0" applyFont="1" applyBorder="1" applyAlignment="1">
      <alignment vertical="center" wrapText="1"/>
    </xf>
    <xf numFmtId="0" fontId="32" fillId="0" borderId="61" xfId="0" applyFont="1" applyBorder="1" applyAlignment="1">
      <alignment horizontal="center" vertical="center"/>
    </xf>
    <xf numFmtId="0" fontId="32" fillId="0" borderId="62" xfId="0" applyFont="1" applyBorder="1" applyAlignment="1">
      <alignment horizontal="center" vertical="center" wrapText="1"/>
    </xf>
    <xf numFmtId="0" fontId="30" fillId="0" borderId="65" xfId="0" applyFont="1" applyBorder="1" applyAlignment="1">
      <alignment horizontal="left" vertical="center" wrapText="1"/>
    </xf>
    <xf numFmtId="0" fontId="30" fillId="0" borderId="66" xfId="0" applyFont="1" applyBorder="1" applyAlignment="1">
      <alignment horizontal="left" vertical="center" wrapText="1"/>
    </xf>
    <xf numFmtId="0" fontId="30" fillId="0" borderId="67" xfId="0" applyFont="1" applyBorder="1" applyAlignment="1">
      <alignment horizontal="left" vertical="center" wrapText="1"/>
    </xf>
    <xf numFmtId="0" fontId="32" fillId="0" borderId="63" xfId="0" applyFont="1" applyBorder="1" applyAlignment="1">
      <alignment horizontal="center" vertical="center" wrapText="1"/>
    </xf>
    <xf numFmtId="168" fontId="30" fillId="0" borderId="74" xfId="0" applyNumberFormat="1" applyFont="1" applyBorder="1" applyAlignment="1">
      <alignment horizontal="center" vertical="center"/>
    </xf>
    <xf numFmtId="168" fontId="30" fillId="0" borderId="75" xfId="0" applyNumberFormat="1" applyFont="1" applyBorder="1" applyAlignment="1">
      <alignment horizontal="center" vertical="center"/>
    </xf>
    <xf numFmtId="0" fontId="30" fillId="0" borderId="68" xfId="0" applyFont="1" applyBorder="1" applyAlignment="1">
      <alignment horizontal="left" vertical="center" wrapText="1"/>
    </xf>
    <xf numFmtId="0" fontId="30" fillId="0" borderId="69" xfId="0" applyFont="1" applyBorder="1" applyAlignment="1">
      <alignment horizontal="left" vertical="center" wrapText="1"/>
    </xf>
    <xf numFmtId="0" fontId="30" fillId="0" borderId="70" xfId="0" applyFont="1" applyBorder="1" applyAlignment="1">
      <alignment horizontal="left" vertical="center" wrapText="1"/>
    </xf>
    <xf numFmtId="0" fontId="34" fillId="0" borderId="8" xfId="0" applyFont="1" applyBorder="1" applyAlignment="1">
      <alignment horizontal="left" vertical="center" wrapText="1" indent="1"/>
    </xf>
  </cellXfs>
  <cellStyles count="5">
    <cellStyle name="Encabezado 1" xfId="1"/>
    <cellStyle name="Moneda" xfId="4" builtinId="4"/>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zoomScale="130" zoomScaleNormal="130" workbookViewId="0">
      <selection activeCell="G33" sqref="G33:Q33"/>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168" t="s">
        <v>3</v>
      </c>
      <c r="B1" s="168"/>
      <c r="C1" s="168"/>
      <c r="D1" s="169">
        <v>2022</v>
      </c>
      <c r="E1" s="169"/>
      <c r="F1" s="2"/>
      <c r="G1" s="2"/>
      <c r="H1" s="3"/>
      <c r="I1" s="3"/>
      <c r="J1" s="3"/>
      <c r="K1" s="3"/>
      <c r="L1" s="3"/>
      <c r="M1" s="3"/>
      <c r="N1" s="3"/>
      <c r="O1" s="4"/>
      <c r="P1" s="170" t="s">
        <v>4</v>
      </c>
      <c r="Q1" s="170"/>
    </row>
    <row r="2" spans="1:18" ht="15.75" customHeight="1" x14ac:dyDescent="0.2">
      <c r="A2" s="5"/>
      <c r="B2" s="6"/>
      <c r="C2" s="6"/>
      <c r="D2" s="6"/>
      <c r="E2" s="6"/>
      <c r="F2" s="6"/>
      <c r="G2" s="7"/>
      <c r="H2" s="8"/>
      <c r="I2" s="8"/>
      <c r="J2" s="8"/>
      <c r="K2" s="8"/>
      <c r="L2" s="8"/>
      <c r="M2" s="8"/>
      <c r="N2" s="8"/>
      <c r="O2" s="6"/>
      <c r="P2" s="170"/>
      <c r="Q2" s="170"/>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171" t="s">
        <v>5</v>
      </c>
      <c r="B4" s="171"/>
      <c r="C4" s="171"/>
      <c r="D4" s="171"/>
      <c r="E4" s="171"/>
      <c r="F4" s="171"/>
      <c r="G4" s="41" t="s">
        <v>26</v>
      </c>
      <c r="H4" s="38"/>
      <c r="I4" s="38"/>
      <c r="J4" s="38"/>
      <c r="K4" s="38"/>
      <c r="L4" s="38"/>
      <c r="M4" s="38"/>
      <c r="N4" s="38"/>
      <c r="O4" s="38"/>
      <c r="P4" s="38"/>
      <c r="Q4" s="39"/>
    </row>
    <row r="5" spans="1:18" s="10" customFormat="1" ht="31.5" customHeight="1" thickBot="1" x14ac:dyDescent="0.25">
      <c r="A5" s="164" t="s">
        <v>0</v>
      </c>
      <c r="B5" s="164"/>
      <c r="C5" s="164"/>
      <c r="D5" s="164"/>
      <c r="E5" s="164"/>
      <c r="F5" s="164"/>
      <c r="G5" s="165" t="s">
        <v>27</v>
      </c>
      <c r="H5" s="166"/>
      <c r="I5" s="166"/>
      <c r="J5" s="166"/>
      <c r="K5" s="166"/>
      <c r="L5" s="166"/>
      <c r="M5" s="166"/>
      <c r="N5" s="166"/>
      <c r="O5" s="166"/>
      <c r="P5" s="166"/>
      <c r="Q5" s="167"/>
      <c r="R5" s="40"/>
    </row>
    <row r="6" spans="1:18" s="10" customFormat="1" ht="18" customHeight="1" thickBot="1" x14ac:dyDescent="0.25">
      <c r="A6" s="164" t="s">
        <v>1</v>
      </c>
      <c r="B6" s="164"/>
      <c r="C6" s="164"/>
      <c r="D6" s="164"/>
      <c r="E6" s="164"/>
      <c r="F6" s="164"/>
      <c r="G6" s="41" t="s">
        <v>29</v>
      </c>
      <c r="H6" s="38"/>
      <c r="I6" s="38"/>
      <c r="J6" s="38"/>
      <c r="K6" s="38"/>
      <c r="L6" s="38"/>
      <c r="M6" s="38"/>
      <c r="N6" s="38"/>
      <c r="O6" s="38"/>
      <c r="P6" s="38"/>
      <c r="Q6" s="39"/>
    </row>
    <row r="7" spans="1:18" s="10" customFormat="1" ht="18" customHeight="1" thickBot="1" x14ac:dyDescent="0.25">
      <c r="A7" s="164" t="s">
        <v>2</v>
      </c>
      <c r="B7" s="164"/>
      <c r="C7" s="164"/>
      <c r="D7" s="164"/>
      <c r="E7" s="164"/>
      <c r="F7" s="164"/>
      <c r="G7" s="41" t="s">
        <v>29</v>
      </c>
      <c r="H7" s="38"/>
      <c r="I7" s="38"/>
      <c r="J7" s="38"/>
      <c r="K7" s="38"/>
      <c r="L7" s="38"/>
      <c r="M7" s="38"/>
      <c r="N7" s="38"/>
      <c r="O7" s="38"/>
      <c r="P7" s="38"/>
      <c r="Q7" s="39"/>
    </row>
    <row r="8" spans="1:18" ht="18" customHeight="1" thickBot="1" x14ac:dyDescent="0.25">
      <c r="A8" s="155" t="s">
        <v>6</v>
      </c>
      <c r="B8" s="155"/>
      <c r="C8" s="155"/>
      <c r="D8" s="155"/>
      <c r="E8" s="155"/>
      <c r="F8" s="155"/>
      <c r="G8" s="155"/>
      <c r="H8" s="155"/>
      <c r="I8" s="155"/>
      <c r="J8" s="155"/>
      <c r="K8" s="155"/>
      <c r="L8" s="155"/>
      <c r="M8" s="155"/>
      <c r="N8" s="155"/>
      <c r="O8" s="155"/>
      <c r="P8" s="155"/>
      <c r="Q8" s="155"/>
    </row>
    <row r="9" spans="1:18" ht="18" customHeight="1" x14ac:dyDescent="0.2">
      <c r="A9" s="156" t="s">
        <v>7</v>
      </c>
      <c r="B9" s="156"/>
      <c r="C9" s="156"/>
      <c r="D9" s="156"/>
      <c r="E9" s="156"/>
      <c r="F9" s="156"/>
      <c r="G9" s="156"/>
      <c r="H9" s="156"/>
      <c r="I9" s="156"/>
      <c r="J9" s="156"/>
      <c r="K9" s="156"/>
      <c r="L9" s="156"/>
      <c r="M9" s="156"/>
      <c r="N9" s="156"/>
      <c r="O9" s="156"/>
      <c r="P9" s="156"/>
      <c r="Q9" s="156"/>
    </row>
    <row r="10" spans="1:18" ht="54.75" customHeight="1" x14ac:dyDescent="0.2">
      <c r="A10" s="157" t="s">
        <v>34</v>
      </c>
      <c r="B10" s="157"/>
      <c r="C10" s="157"/>
      <c r="D10" s="157"/>
      <c r="E10" s="157"/>
      <c r="F10" s="157"/>
      <c r="G10" s="157"/>
      <c r="H10" s="157"/>
      <c r="I10" s="157"/>
      <c r="J10" s="157"/>
      <c r="K10" s="157"/>
      <c r="L10" s="157"/>
      <c r="M10" s="157"/>
      <c r="N10" s="157"/>
      <c r="O10" s="157"/>
      <c r="P10" s="157"/>
      <c r="Q10" s="157"/>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58" t="s">
        <v>8</v>
      </c>
      <c r="B12" s="158"/>
      <c r="C12" s="158"/>
      <c r="D12" s="158"/>
      <c r="E12" s="158"/>
      <c r="F12" s="158"/>
      <c r="G12" s="158"/>
      <c r="H12" s="158"/>
      <c r="I12" s="158"/>
      <c r="J12" s="158"/>
      <c r="K12" s="158"/>
      <c r="L12" s="158"/>
      <c r="M12" s="158"/>
      <c r="N12" s="158"/>
      <c r="O12" s="158"/>
      <c r="P12" s="158"/>
      <c r="Q12" s="158"/>
    </row>
    <row r="13" spans="1:18" ht="15.75" customHeight="1" x14ac:dyDescent="0.2">
      <c r="A13" s="159" t="s">
        <v>9</v>
      </c>
      <c r="B13" s="159"/>
      <c r="C13" s="159"/>
      <c r="D13" s="159"/>
      <c r="E13" s="159"/>
      <c r="F13" s="159"/>
      <c r="G13" s="159"/>
      <c r="H13" s="159"/>
      <c r="I13" s="159"/>
      <c r="J13" s="159"/>
      <c r="K13" s="159"/>
      <c r="L13" s="159"/>
      <c r="M13" s="159"/>
      <c r="N13" s="159"/>
      <c r="O13" s="160" t="s">
        <v>10</v>
      </c>
      <c r="P13" s="160"/>
      <c r="Q13" s="161"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60"/>
      <c r="P14" s="160"/>
      <c r="Q14" s="161"/>
    </row>
    <row r="15" spans="1:18" ht="27.75" customHeight="1" thickBot="1" x14ac:dyDescent="0.25">
      <c r="A15" s="20">
        <v>1</v>
      </c>
      <c r="B15" s="21">
        <v>0</v>
      </c>
      <c r="C15" s="21">
        <v>0</v>
      </c>
      <c r="D15" s="21">
        <v>1</v>
      </c>
      <c r="E15" s="21">
        <v>0</v>
      </c>
      <c r="F15" s="21">
        <v>4901</v>
      </c>
      <c r="G15" s="21">
        <v>3</v>
      </c>
      <c r="H15" s="21">
        <v>4</v>
      </c>
      <c r="I15" s="21">
        <v>2</v>
      </c>
      <c r="J15" s="21">
        <v>9</v>
      </c>
      <c r="K15" s="21">
        <v>2</v>
      </c>
      <c r="L15" s="21">
        <v>0</v>
      </c>
      <c r="M15" s="22">
        <v>1</v>
      </c>
      <c r="N15" s="21" t="s">
        <v>28</v>
      </c>
      <c r="O15" s="152" t="s">
        <v>30</v>
      </c>
      <c r="P15" s="153"/>
      <c r="Q15" s="141">
        <v>3084990</v>
      </c>
    </row>
    <row r="16" spans="1:18" ht="17.25" customHeight="1" thickBot="1" x14ac:dyDescent="0.25">
      <c r="A16" s="20">
        <v>1</v>
      </c>
      <c r="B16" s="21">
        <v>0</v>
      </c>
      <c r="C16" s="21">
        <v>0</v>
      </c>
      <c r="D16" s="21">
        <v>1</v>
      </c>
      <c r="E16" s="21">
        <v>0</v>
      </c>
      <c r="F16" s="21">
        <v>4901</v>
      </c>
      <c r="G16" s="21">
        <v>3</v>
      </c>
      <c r="H16" s="21">
        <v>4</v>
      </c>
      <c r="I16" s="21">
        <v>2</v>
      </c>
      <c r="J16" s="21">
        <v>3</v>
      </c>
      <c r="K16" s="21">
        <v>1</v>
      </c>
      <c r="L16" s="21">
        <v>0</v>
      </c>
      <c r="M16" s="22">
        <v>1</v>
      </c>
      <c r="N16" s="21" t="s">
        <v>28</v>
      </c>
      <c r="O16" s="151" t="s">
        <v>31</v>
      </c>
      <c r="P16" s="151"/>
      <c r="Q16" s="140">
        <v>2793248</v>
      </c>
    </row>
    <row r="17" spans="1:18" ht="17.25" customHeight="1" x14ac:dyDescent="0.2">
      <c r="A17" s="20">
        <v>1</v>
      </c>
      <c r="B17" s="21">
        <v>0</v>
      </c>
      <c r="C17" s="21">
        <v>0</v>
      </c>
      <c r="D17" s="21">
        <v>1</v>
      </c>
      <c r="E17" s="21">
        <v>0</v>
      </c>
      <c r="F17" s="21">
        <v>4901</v>
      </c>
      <c r="G17" s="21">
        <v>3</v>
      </c>
      <c r="H17" s="21">
        <v>4</v>
      </c>
      <c r="I17" s="21">
        <v>2</v>
      </c>
      <c r="J17" s="21">
        <v>3</v>
      </c>
      <c r="K17" s="21">
        <v>4</v>
      </c>
      <c r="L17" s="21">
        <v>0</v>
      </c>
      <c r="M17" s="22">
        <v>1</v>
      </c>
      <c r="N17" s="21" t="s">
        <v>28</v>
      </c>
      <c r="O17" s="162" t="s">
        <v>32</v>
      </c>
      <c r="P17" s="163"/>
      <c r="Q17" s="27">
        <v>487060</v>
      </c>
    </row>
    <row r="18" spans="1:18" ht="17.25" customHeight="1" x14ac:dyDescent="0.2">
      <c r="A18" s="23"/>
      <c r="B18" s="24"/>
      <c r="C18" s="24"/>
      <c r="D18" s="24"/>
      <c r="E18" s="24"/>
      <c r="F18" s="24"/>
      <c r="G18" s="24"/>
      <c r="H18" s="24"/>
      <c r="I18" s="24"/>
      <c r="J18" s="24"/>
      <c r="K18" s="24"/>
      <c r="L18" s="24"/>
      <c r="M18" s="25"/>
      <c r="N18" s="42"/>
      <c r="O18" s="45"/>
      <c r="P18" s="44"/>
      <c r="Q18" s="27"/>
    </row>
    <row r="19" spans="1:18" ht="17.25" customHeight="1" x14ac:dyDescent="0.2">
      <c r="A19" s="23"/>
      <c r="B19" s="24"/>
      <c r="C19" s="24"/>
      <c r="D19" s="24"/>
      <c r="E19" s="24"/>
      <c r="F19" s="24"/>
      <c r="G19" s="24"/>
      <c r="H19" s="24"/>
      <c r="I19" s="24"/>
      <c r="J19" s="24"/>
      <c r="K19" s="24"/>
      <c r="L19" s="24"/>
      <c r="M19" s="25"/>
      <c r="N19" s="42"/>
      <c r="O19" s="45"/>
      <c r="P19" s="44"/>
      <c r="Q19" s="27"/>
    </row>
    <row r="20" spans="1:18" ht="17.25" customHeight="1" x14ac:dyDescent="0.2">
      <c r="A20" s="23"/>
      <c r="B20" s="24"/>
      <c r="C20" s="24"/>
      <c r="D20" s="24"/>
      <c r="E20" s="24"/>
      <c r="F20" s="24"/>
      <c r="G20" s="24"/>
      <c r="H20" s="24"/>
      <c r="I20" s="24"/>
      <c r="J20" s="24"/>
      <c r="K20" s="24"/>
      <c r="L20" s="24"/>
      <c r="M20" s="25"/>
      <c r="N20" s="42"/>
      <c r="O20" s="45"/>
      <c r="P20" s="44"/>
      <c r="Q20" s="27"/>
    </row>
    <row r="21" spans="1:18" ht="17.25" customHeight="1" x14ac:dyDescent="0.2">
      <c r="A21" s="23"/>
      <c r="B21" s="24"/>
      <c r="C21" s="24"/>
      <c r="D21" s="24"/>
      <c r="E21" s="24"/>
      <c r="F21" s="24"/>
      <c r="G21" s="24"/>
      <c r="H21" s="24"/>
      <c r="I21" s="24"/>
      <c r="J21" s="24"/>
      <c r="K21" s="24"/>
      <c r="L21" s="24"/>
      <c r="M21" s="25"/>
      <c r="N21" s="26"/>
      <c r="O21" s="154"/>
      <c r="P21" s="154"/>
      <c r="Q21" s="27"/>
    </row>
    <row r="22" spans="1:18" ht="17.25" customHeight="1" x14ac:dyDescent="0.2">
      <c r="A22" s="23"/>
      <c r="B22" s="24"/>
      <c r="C22" s="24"/>
      <c r="D22" s="24"/>
      <c r="E22" s="24"/>
      <c r="F22" s="24"/>
      <c r="G22" s="24"/>
      <c r="H22" s="24"/>
      <c r="I22" s="24"/>
      <c r="J22" s="24"/>
      <c r="K22" s="24"/>
      <c r="L22" s="24"/>
      <c r="M22" s="25"/>
      <c r="N22" s="26"/>
      <c r="O22" s="151"/>
      <c r="P22" s="151"/>
      <c r="Q22" s="27"/>
    </row>
    <row r="23" spans="1:18" ht="17.25" customHeight="1" x14ac:dyDescent="0.2">
      <c r="A23" s="23"/>
      <c r="B23" s="24"/>
      <c r="C23" s="24"/>
      <c r="D23" s="24"/>
      <c r="E23" s="24"/>
      <c r="F23" s="24"/>
      <c r="G23" s="24"/>
      <c r="H23" s="24"/>
      <c r="I23" s="24"/>
      <c r="J23" s="24"/>
      <c r="K23" s="24"/>
      <c r="L23" s="24"/>
      <c r="M23" s="25"/>
      <c r="N23" s="26"/>
      <c r="O23" s="151"/>
      <c r="P23" s="151"/>
      <c r="Q23" s="27"/>
    </row>
    <row r="24" spans="1:18" ht="17.25" customHeight="1" x14ac:dyDescent="0.2">
      <c r="A24" s="23"/>
      <c r="B24" s="24"/>
      <c r="C24" s="24"/>
      <c r="D24" s="24"/>
      <c r="E24" s="24"/>
      <c r="F24" s="24"/>
      <c r="G24" s="24"/>
      <c r="H24" s="24"/>
      <c r="I24" s="24"/>
      <c r="J24" s="24"/>
      <c r="K24" s="24"/>
      <c r="L24" s="24"/>
      <c r="M24" s="25"/>
      <c r="N24" s="26"/>
      <c r="O24" s="151"/>
      <c r="P24" s="151"/>
      <c r="Q24" s="27"/>
    </row>
    <row r="25" spans="1:18" ht="17.25" customHeight="1" x14ac:dyDescent="0.2">
      <c r="A25" s="23"/>
      <c r="B25" s="24"/>
      <c r="C25" s="24"/>
      <c r="D25" s="24"/>
      <c r="E25" s="24"/>
      <c r="F25" s="26"/>
      <c r="G25" s="24"/>
      <c r="H25" s="24"/>
      <c r="I25" s="24"/>
      <c r="J25" s="24"/>
      <c r="K25" s="24"/>
      <c r="L25" s="24"/>
      <c r="M25" s="25"/>
      <c r="N25" s="26"/>
      <c r="O25" s="146"/>
      <c r="P25" s="146"/>
      <c r="Q25" s="27"/>
    </row>
    <row r="26" spans="1:18" ht="17.25" customHeight="1" x14ac:dyDescent="0.2">
      <c r="A26" s="23"/>
      <c r="B26" s="24"/>
      <c r="C26" s="24"/>
      <c r="D26" s="24"/>
      <c r="E26" s="24"/>
      <c r="F26" s="24"/>
      <c r="G26" s="24"/>
      <c r="H26" s="24"/>
      <c r="I26" s="24"/>
      <c r="J26" s="24"/>
      <c r="K26" s="24"/>
      <c r="L26" s="24"/>
      <c r="M26" s="25"/>
      <c r="N26" s="26"/>
      <c r="O26" s="146"/>
      <c r="P26" s="146"/>
      <c r="Q26" s="27"/>
    </row>
    <row r="27" spans="1:18" ht="17.25" customHeight="1" x14ac:dyDescent="0.2">
      <c r="A27" s="23"/>
      <c r="B27" s="24"/>
      <c r="C27" s="24"/>
      <c r="D27" s="24"/>
      <c r="E27" s="24"/>
      <c r="F27" s="26"/>
      <c r="G27" s="24"/>
      <c r="H27" s="24"/>
      <c r="I27" s="24"/>
      <c r="J27" s="24"/>
      <c r="K27" s="24"/>
      <c r="L27" s="24"/>
      <c r="M27" s="25"/>
      <c r="N27" s="26"/>
      <c r="O27" s="146"/>
      <c r="P27" s="146"/>
      <c r="Q27" s="27"/>
    </row>
    <row r="28" spans="1:18" ht="17.25" customHeight="1" x14ac:dyDescent="0.2">
      <c r="A28" s="23"/>
      <c r="B28" s="24"/>
      <c r="C28" s="24"/>
      <c r="D28" s="24"/>
      <c r="E28" s="24"/>
      <c r="F28" s="26"/>
      <c r="G28" s="24"/>
      <c r="H28" s="24"/>
      <c r="I28" s="24"/>
      <c r="J28" s="24"/>
      <c r="K28" s="24"/>
      <c r="L28" s="24"/>
      <c r="M28" s="25"/>
      <c r="N28" s="26"/>
      <c r="O28" s="146"/>
      <c r="P28" s="146"/>
      <c r="Q28" s="27"/>
    </row>
    <row r="29" spans="1:18" ht="17.25" customHeight="1" x14ac:dyDescent="0.2">
      <c r="A29" s="28"/>
      <c r="B29" s="29"/>
      <c r="C29" s="29"/>
      <c r="D29" s="29"/>
      <c r="E29" s="29"/>
      <c r="F29" s="30"/>
      <c r="G29" s="29"/>
      <c r="H29" s="29"/>
      <c r="I29" s="29"/>
      <c r="J29" s="29"/>
      <c r="K29" s="29"/>
      <c r="L29" s="29"/>
      <c r="M29" s="31"/>
      <c r="N29" s="32"/>
      <c r="O29" s="147"/>
      <c r="P29" s="147"/>
      <c r="Q29" s="27"/>
      <c r="R29" s="6"/>
    </row>
    <row r="30" spans="1:18" ht="17.25" customHeight="1" x14ac:dyDescent="0.2">
      <c r="A30" s="33"/>
      <c r="B30" s="34"/>
      <c r="C30" s="34"/>
      <c r="D30" s="34"/>
      <c r="E30" s="34"/>
      <c r="F30" s="34"/>
      <c r="G30" s="34"/>
      <c r="H30" s="34"/>
      <c r="I30" s="34"/>
      <c r="J30" s="34"/>
      <c r="K30" s="34"/>
      <c r="L30" s="34"/>
      <c r="M30" s="35"/>
      <c r="N30" s="34"/>
      <c r="O30" s="148"/>
      <c r="P30" s="148"/>
      <c r="Q30" s="36"/>
    </row>
    <row r="31" spans="1:18" ht="39" customHeight="1" x14ac:dyDescent="0.2">
      <c r="A31" s="149" t="s">
        <v>177</v>
      </c>
      <c r="B31" s="149"/>
      <c r="C31" s="149"/>
      <c r="D31" s="149"/>
      <c r="E31" s="149"/>
      <c r="F31" s="149"/>
      <c r="G31" s="149"/>
      <c r="H31" s="149"/>
      <c r="I31" s="149"/>
      <c r="J31" s="149"/>
      <c r="K31" s="149"/>
      <c r="L31" s="149"/>
      <c r="M31" s="149"/>
      <c r="N31" s="149"/>
      <c r="O31" s="149"/>
      <c r="P31" s="149"/>
      <c r="Q31" s="37">
        <f>SUM(Q15:Q30)</f>
        <v>6365298</v>
      </c>
    </row>
    <row r="32" spans="1:18" ht="18" customHeight="1" x14ac:dyDescent="0.2">
      <c r="A32" s="150"/>
      <c r="B32" s="150"/>
      <c r="C32" s="150"/>
      <c r="D32" s="150"/>
      <c r="E32" s="150"/>
      <c r="F32" s="150"/>
      <c r="G32" s="150"/>
      <c r="H32" s="150"/>
      <c r="I32" s="150"/>
      <c r="J32" s="150"/>
      <c r="K32" s="150"/>
      <c r="L32" s="150"/>
      <c r="M32" s="150"/>
      <c r="N32" s="150"/>
      <c r="O32" s="150"/>
      <c r="P32" s="150"/>
      <c r="Q32" s="150"/>
    </row>
    <row r="33" spans="1:17" ht="17.25" customHeight="1" x14ac:dyDescent="0.2">
      <c r="A33" s="143" t="s">
        <v>25</v>
      </c>
      <c r="B33" s="143"/>
      <c r="C33" s="143"/>
      <c r="D33" s="143"/>
      <c r="E33" s="143"/>
      <c r="F33" s="143"/>
      <c r="G33" s="144"/>
      <c r="H33" s="144"/>
      <c r="I33" s="144"/>
      <c r="J33" s="144"/>
      <c r="K33" s="144"/>
      <c r="L33" s="144"/>
      <c r="M33" s="144"/>
      <c r="N33" s="144"/>
      <c r="O33" s="144"/>
      <c r="P33" s="144"/>
      <c r="Q33" s="144"/>
    </row>
    <row r="34" spans="1:17" ht="18" customHeight="1" x14ac:dyDescent="0.2">
      <c r="A34" s="145" t="s">
        <v>33</v>
      </c>
      <c r="B34" s="145"/>
      <c r="C34" s="145"/>
      <c r="D34" s="145"/>
      <c r="E34" s="145"/>
      <c r="F34" s="145"/>
      <c r="G34" s="145"/>
      <c r="H34" s="145"/>
      <c r="I34" s="145"/>
      <c r="J34" s="145"/>
      <c r="K34" s="145"/>
      <c r="L34" s="145"/>
      <c r="M34" s="145"/>
      <c r="N34" s="145"/>
      <c r="O34" s="145"/>
      <c r="P34" s="145"/>
      <c r="Q34" s="145"/>
    </row>
    <row r="35" spans="1:17" ht="63.75" customHeight="1" x14ac:dyDescent="0.2">
      <c r="A35" s="145"/>
      <c r="B35" s="145"/>
      <c r="C35" s="145"/>
      <c r="D35" s="145"/>
      <c r="E35" s="145"/>
      <c r="F35" s="145"/>
      <c r="G35" s="145"/>
      <c r="H35" s="145"/>
      <c r="I35" s="145"/>
      <c r="J35" s="145"/>
      <c r="K35" s="145"/>
      <c r="L35" s="145"/>
      <c r="M35" s="145"/>
      <c r="N35" s="145"/>
      <c r="O35" s="145"/>
      <c r="P35" s="145"/>
      <c r="Q35" s="145"/>
    </row>
    <row r="37" spans="1:17" x14ac:dyDescent="0.2">
      <c r="A37" s="43"/>
    </row>
  </sheetData>
  <mergeCells count="33">
    <mergeCell ref="A5:F5"/>
    <mergeCell ref="G5:Q5"/>
    <mergeCell ref="A6:F6"/>
    <mergeCell ref="A7:F7"/>
    <mergeCell ref="A1:C1"/>
    <mergeCell ref="D1:E1"/>
    <mergeCell ref="P1:Q2"/>
    <mergeCell ref="A4:F4"/>
    <mergeCell ref="O15:P15"/>
    <mergeCell ref="O16:P16"/>
    <mergeCell ref="O21:P21"/>
    <mergeCell ref="O22:P22"/>
    <mergeCell ref="A8:Q8"/>
    <mergeCell ref="A9:Q9"/>
    <mergeCell ref="A10:Q10"/>
    <mergeCell ref="A12:Q12"/>
    <mergeCell ref="A13:N13"/>
    <mergeCell ref="O13:P14"/>
    <mergeCell ref="Q13:Q14"/>
    <mergeCell ref="O17:P17"/>
    <mergeCell ref="O23:P23"/>
    <mergeCell ref="O24:P24"/>
    <mergeCell ref="O25:P25"/>
    <mergeCell ref="O26:P26"/>
    <mergeCell ref="O27:P27"/>
    <mergeCell ref="A33:F33"/>
    <mergeCell ref="G33:Q33"/>
    <mergeCell ref="A34:Q35"/>
    <mergeCell ref="O28:P28"/>
    <mergeCell ref="O29:P29"/>
    <mergeCell ref="O30:P30"/>
    <mergeCell ref="A31:P31"/>
    <mergeCell ref="A32:Q32"/>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6"/>
  <sheetViews>
    <sheetView tabSelected="1" topLeftCell="A140" workbookViewId="0">
      <selection activeCell="B146" sqref="B146"/>
    </sheetView>
  </sheetViews>
  <sheetFormatPr baseColWidth="10" defaultColWidth="9.140625" defaultRowHeight="12.75" x14ac:dyDescent="0.2"/>
  <cols>
    <col min="1" max="1" width="4.5703125" customWidth="1"/>
    <col min="2" max="2" width="16.5703125" customWidth="1"/>
    <col min="3" max="3" width="25.140625" customWidth="1"/>
    <col min="4" max="4" width="8.42578125" customWidth="1"/>
    <col min="5" max="5" width="64.7109375" customWidth="1"/>
    <col min="6" max="6" width="11.28515625" customWidth="1"/>
    <col min="7" max="7" width="12.7109375" style="116" customWidth="1"/>
    <col min="8" max="8" width="13.85546875" customWidth="1"/>
    <col min="9" max="9" width="17.5703125" customWidth="1"/>
    <col min="11" max="11" width="13" customWidth="1"/>
    <col min="12" max="12" width="13.140625" customWidth="1"/>
  </cols>
  <sheetData>
    <row r="1" spans="1:9" ht="27" x14ac:dyDescent="0.35">
      <c r="A1" s="46"/>
      <c r="B1" s="174" t="s">
        <v>35</v>
      </c>
      <c r="C1" s="174"/>
      <c r="D1" s="174"/>
      <c r="E1" s="174"/>
      <c r="F1" s="174"/>
      <c r="G1" s="174"/>
      <c r="H1" s="174"/>
      <c r="I1" s="46"/>
    </row>
    <row r="2" spans="1:9" x14ac:dyDescent="0.2">
      <c r="A2" s="46"/>
      <c r="B2" s="46"/>
      <c r="C2" s="46"/>
      <c r="D2" s="46"/>
      <c r="E2" s="46"/>
      <c r="F2" s="46"/>
      <c r="G2" s="47"/>
      <c r="H2" s="46"/>
      <c r="I2" s="46"/>
    </row>
    <row r="3" spans="1:9" ht="15.75" x14ac:dyDescent="0.25">
      <c r="A3" s="175" t="s">
        <v>36</v>
      </c>
      <c r="B3" s="175"/>
      <c r="C3" s="176" t="s">
        <v>37</v>
      </c>
      <c r="D3" s="176"/>
      <c r="E3" s="176"/>
      <c r="F3" s="48"/>
      <c r="G3" s="49"/>
      <c r="H3" s="48"/>
      <c r="I3" s="46"/>
    </row>
    <row r="4" spans="1:9" ht="15.75" x14ac:dyDescent="0.25">
      <c r="A4" s="175" t="s">
        <v>38</v>
      </c>
      <c r="B4" s="175"/>
      <c r="C4" s="176" t="s">
        <v>39</v>
      </c>
      <c r="D4" s="176"/>
      <c r="E4" s="176"/>
      <c r="F4" s="48"/>
      <c r="G4" s="49"/>
      <c r="H4" s="48"/>
      <c r="I4" s="46"/>
    </row>
    <row r="5" spans="1:9" ht="15.75" x14ac:dyDescent="0.25">
      <c r="A5" s="175" t="s">
        <v>3</v>
      </c>
      <c r="B5" s="175"/>
      <c r="C5" s="50">
        <v>2022</v>
      </c>
      <c r="D5" s="51"/>
      <c r="E5" s="51"/>
      <c r="F5" s="48"/>
      <c r="G5" s="49"/>
      <c r="H5" s="48"/>
      <c r="I5" s="46"/>
    </row>
    <row r="6" spans="1:9" ht="15.75" x14ac:dyDescent="0.25">
      <c r="A6" s="175" t="s">
        <v>40</v>
      </c>
      <c r="B6" s="175"/>
      <c r="C6" s="50">
        <v>3</v>
      </c>
      <c r="D6" s="51"/>
      <c r="E6" s="51"/>
      <c r="F6" s="48"/>
      <c r="G6" s="49"/>
      <c r="H6" s="48"/>
      <c r="I6" s="46"/>
    </row>
    <row r="7" spans="1:9" ht="13.5" thickBot="1" x14ac:dyDescent="0.25">
      <c r="A7" s="46"/>
      <c r="B7" s="48"/>
      <c r="C7" s="52"/>
      <c r="D7" s="48"/>
      <c r="E7" s="48"/>
      <c r="F7" s="48"/>
      <c r="G7" s="49"/>
      <c r="H7" s="48"/>
      <c r="I7" s="46"/>
    </row>
    <row r="8" spans="1:9" ht="43.5" thickTop="1" x14ac:dyDescent="0.2">
      <c r="A8" s="53" t="s">
        <v>41</v>
      </c>
      <c r="B8" s="53" t="s">
        <v>42</v>
      </c>
      <c r="C8" s="53" t="s">
        <v>43</v>
      </c>
      <c r="D8" s="53" t="s">
        <v>44</v>
      </c>
      <c r="E8" s="53" t="s">
        <v>45</v>
      </c>
      <c r="F8" s="53" t="s">
        <v>46</v>
      </c>
      <c r="G8" s="54" t="s">
        <v>47</v>
      </c>
      <c r="H8" s="53" t="s">
        <v>48</v>
      </c>
      <c r="I8" s="53" t="s">
        <v>49</v>
      </c>
    </row>
    <row r="9" spans="1:9" ht="30.75" thickBot="1" x14ac:dyDescent="0.25">
      <c r="A9" s="55">
        <v>1</v>
      </c>
      <c r="B9" s="56" t="s">
        <v>50</v>
      </c>
      <c r="C9" s="57" t="s">
        <v>51</v>
      </c>
      <c r="D9" s="58" t="s">
        <v>52</v>
      </c>
      <c r="E9" s="59" t="s">
        <v>53</v>
      </c>
      <c r="F9" s="60" t="s">
        <v>54</v>
      </c>
      <c r="G9" s="61">
        <v>300</v>
      </c>
      <c r="H9" s="62">
        <v>39.200000000000003</v>
      </c>
      <c r="I9" s="63">
        <f>H9*G9</f>
        <v>11760</v>
      </c>
    </row>
    <row r="10" spans="1:9" ht="30" x14ac:dyDescent="0.2">
      <c r="A10" s="64">
        <v>2</v>
      </c>
      <c r="B10" s="55" t="s">
        <v>55</v>
      </c>
      <c r="C10" s="57" t="s">
        <v>51</v>
      </c>
      <c r="D10" s="58" t="s">
        <v>52</v>
      </c>
      <c r="E10" s="65" t="s">
        <v>56</v>
      </c>
      <c r="F10" s="66" t="s">
        <v>54</v>
      </c>
      <c r="G10" s="67">
        <v>350</v>
      </c>
      <c r="H10" s="62">
        <v>44.3</v>
      </c>
      <c r="I10" s="63">
        <f t="shared" ref="I10:I52" si="0">H10*G10</f>
        <v>15504.999999999998</v>
      </c>
    </row>
    <row r="11" spans="1:9" ht="39.75" customHeight="1" x14ac:dyDescent="0.2">
      <c r="A11" s="55">
        <v>3</v>
      </c>
      <c r="B11" s="58" t="s">
        <v>57</v>
      </c>
      <c r="C11" s="57" t="s">
        <v>51</v>
      </c>
      <c r="D11" s="58" t="s">
        <v>52</v>
      </c>
      <c r="E11" s="68" t="s">
        <v>58</v>
      </c>
      <c r="F11" s="69" t="s">
        <v>54</v>
      </c>
      <c r="G11" s="61">
        <v>400</v>
      </c>
      <c r="H11" s="62">
        <v>136.5</v>
      </c>
      <c r="I11" s="63">
        <f t="shared" si="0"/>
        <v>54600</v>
      </c>
    </row>
    <row r="12" spans="1:9" ht="30" x14ac:dyDescent="0.2">
      <c r="A12" s="64">
        <v>4</v>
      </c>
      <c r="B12" s="58" t="s">
        <v>59</v>
      </c>
      <c r="C12" s="57" t="s">
        <v>51</v>
      </c>
      <c r="D12" s="58" t="s">
        <v>52</v>
      </c>
      <c r="E12" s="68" t="s">
        <v>60</v>
      </c>
      <c r="F12" s="69" t="s">
        <v>54</v>
      </c>
      <c r="G12" s="61">
        <v>400</v>
      </c>
      <c r="H12" s="62">
        <v>210.5</v>
      </c>
      <c r="I12" s="63">
        <f t="shared" si="0"/>
        <v>84200</v>
      </c>
    </row>
    <row r="13" spans="1:9" ht="74.25" customHeight="1" x14ac:dyDescent="0.2">
      <c r="A13" s="55">
        <v>5</v>
      </c>
      <c r="B13" s="58" t="s">
        <v>61</v>
      </c>
      <c r="C13" s="57" t="s">
        <v>51</v>
      </c>
      <c r="D13" s="58" t="s">
        <v>52</v>
      </c>
      <c r="E13" s="68" t="s">
        <v>62</v>
      </c>
      <c r="F13" s="69" t="s">
        <v>54</v>
      </c>
      <c r="G13" s="61">
        <v>100</v>
      </c>
      <c r="H13" s="62">
        <v>1746.53</v>
      </c>
      <c r="I13" s="63">
        <f t="shared" si="0"/>
        <v>174653</v>
      </c>
    </row>
    <row r="14" spans="1:9" ht="30" x14ac:dyDescent="0.2">
      <c r="A14" s="64">
        <v>6</v>
      </c>
      <c r="B14" s="70" t="s">
        <v>63</v>
      </c>
      <c r="C14" s="57" t="s">
        <v>51</v>
      </c>
      <c r="D14" s="58" t="s">
        <v>52</v>
      </c>
      <c r="E14" s="71" t="s">
        <v>64</v>
      </c>
      <c r="F14" s="69" t="s">
        <v>54</v>
      </c>
      <c r="G14" s="61">
        <v>250</v>
      </c>
      <c r="H14" s="62">
        <v>237</v>
      </c>
      <c r="I14" s="63">
        <f t="shared" si="0"/>
        <v>59250</v>
      </c>
    </row>
    <row r="15" spans="1:9" ht="30" x14ac:dyDescent="0.2">
      <c r="A15" s="55">
        <v>7</v>
      </c>
      <c r="B15" s="58" t="s">
        <v>65</v>
      </c>
      <c r="C15" s="57" t="s">
        <v>51</v>
      </c>
      <c r="D15" s="58" t="s">
        <v>52</v>
      </c>
      <c r="E15" s="71" t="s">
        <v>66</v>
      </c>
      <c r="F15" s="69" t="s">
        <v>54</v>
      </c>
      <c r="G15" s="61">
        <v>250</v>
      </c>
      <c r="H15" s="62">
        <v>237</v>
      </c>
      <c r="I15" s="63">
        <f t="shared" si="0"/>
        <v>59250</v>
      </c>
    </row>
    <row r="16" spans="1:9" ht="57" x14ac:dyDescent="0.2">
      <c r="A16" s="64">
        <v>8</v>
      </c>
      <c r="B16" s="58" t="s">
        <v>67</v>
      </c>
      <c r="C16" s="57" t="s">
        <v>51</v>
      </c>
      <c r="D16" s="58" t="s">
        <v>68</v>
      </c>
      <c r="E16" s="72" t="s">
        <v>69</v>
      </c>
      <c r="F16" s="69" t="s">
        <v>54</v>
      </c>
      <c r="G16" s="61">
        <v>300</v>
      </c>
      <c r="H16" s="62">
        <v>1788.8</v>
      </c>
      <c r="I16" s="63">
        <f t="shared" si="0"/>
        <v>536640</v>
      </c>
    </row>
    <row r="17" spans="1:9" ht="57" customHeight="1" x14ac:dyDescent="0.2">
      <c r="A17" s="55">
        <v>9</v>
      </c>
      <c r="B17" s="70" t="s">
        <v>70</v>
      </c>
      <c r="C17" s="57" t="s">
        <v>51</v>
      </c>
      <c r="D17" s="58" t="s">
        <v>68</v>
      </c>
      <c r="E17" s="68" t="s">
        <v>71</v>
      </c>
      <c r="F17" s="69" t="s">
        <v>54</v>
      </c>
      <c r="G17" s="61">
        <v>300</v>
      </c>
      <c r="H17" s="62">
        <v>296.8</v>
      </c>
      <c r="I17" s="63">
        <f t="shared" si="0"/>
        <v>89040</v>
      </c>
    </row>
    <row r="18" spans="1:9" ht="30.75" customHeight="1" x14ac:dyDescent="0.25">
      <c r="A18" s="64">
        <v>10</v>
      </c>
      <c r="B18" s="55" t="s">
        <v>72</v>
      </c>
      <c r="C18" s="57" t="s">
        <v>51</v>
      </c>
      <c r="D18" s="73" t="s">
        <v>52</v>
      </c>
      <c r="E18" s="74" t="s">
        <v>73</v>
      </c>
      <c r="F18" s="60" t="s">
        <v>74</v>
      </c>
      <c r="G18" s="75">
        <v>300</v>
      </c>
      <c r="H18" s="76">
        <v>62</v>
      </c>
      <c r="I18" s="63">
        <f t="shared" si="0"/>
        <v>18600</v>
      </c>
    </row>
    <row r="19" spans="1:9" ht="30" x14ac:dyDescent="0.2">
      <c r="A19" s="55">
        <v>11</v>
      </c>
      <c r="B19" s="77" t="s">
        <v>75</v>
      </c>
      <c r="C19" s="57" t="s">
        <v>51</v>
      </c>
      <c r="D19" s="73" t="s">
        <v>52</v>
      </c>
      <c r="E19" s="78" t="s">
        <v>76</v>
      </c>
      <c r="F19" s="60" t="s">
        <v>74</v>
      </c>
      <c r="G19" s="75">
        <v>300</v>
      </c>
      <c r="H19" s="76">
        <v>62</v>
      </c>
      <c r="I19" s="63">
        <f t="shared" si="0"/>
        <v>18600</v>
      </c>
    </row>
    <row r="20" spans="1:9" ht="45" x14ac:dyDescent="0.2">
      <c r="A20" s="64">
        <v>12</v>
      </c>
      <c r="B20" s="55" t="s">
        <v>77</v>
      </c>
      <c r="C20" s="57" t="s">
        <v>51</v>
      </c>
      <c r="D20" s="73" t="s">
        <v>52</v>
      </c>
      <c r="E20" s="79" t="s">
        <v>78</v>
      </c>
      <c r="F20" s="60" t="s">
        <v>74</v>
      </c>
      <c r="G20" s="75">
        <v>250</v>
      </c>
      <c r="H20" s="76">
        <v>135.6</v>
      </c>
      <c r="I20" s="63">
        <f t="shared" si="0"/>
        <v>33900</v>
      </c>
    </row>
    <row r="21" spans="1:9" ht="47.25" customHeight="1" x14ac:dyDescent="0.2">
      <c r="A21" s="55">
        <v>13</v>
      </c>
      <c r="B21" s="77" t="s">
        <v>79</v>
      </c>
      <c r="C21" s="80" t="s">
        <v>51</v>
      </c>
      <c r="D21" s="81" t="s">
        <v>52</v>
      </c>
      <c r="E21" s="78" t="s">
        <v>80</v>
      </c>
      <c r="F21" s="60" t="s">
        <v>74</v>
      </c>
      <c r="G21" s="75">
        <v>80</v>
      </c>
      <c r="H21" s="76">
        <v>584.5</v>
      </c>
      <c r="I21" s="63">
        <f t="shared" si="0"/>
        <v>46760</v>
      </c>
    </row>
    <row r="22" spans="1:9" ht="45" customHeight="1" x14ac:dyDescent="0.2">
      <c r="A22" s="64">
        <v>14</v>
      </c>
      <c r="B22" s="82" t="s">
        <v>81</v>
      </c>
      <c r="C22" s="57" t="s">
        <v>51</v>
      </c>
      <c r="D22" s="73" t="s">
        <v>68</v>
      </c>
      <c r="E22" s="83" t="s">
        <v>82</v>
      </c>
      <c r="F22" s="60" t="s">
        <v>74</v>
      </c>
      <c r="G22" s="75">
        <v>300</v>
      </c>
      <c r="H22" s="76">
        <v>804.2</v>
      </c>
      <c r="I22" s="63">
        <f t="shared" si="0"/>
        <v>241260</v>
      </c>
    </row>
    <row r="23" spans="1:9" ht="30" x14ac:dyDescent="0.2">
      <c r="A23" s="55">
        <v>15</v>
      </c>
      <c r="B23" s="77" t="s">
        <v>83</v>
      </c>
      <c r="C23" s="84" t="s">
        <v>51</v>
      </c>
      <c r="D23" s="85" t="s">
        <v>52</v>
      </c>
      <c r="E23" s="79" t="s">
        <v>84</v>
      </c>
      <c r="F23" s="60" t="s">
        <v>74</v>
      </c>
      <c r="G23" s="75">
        <v>600</v>
      </c>
      <c r="H23" s="76">
        <v>200.3</v>
      </c>
      <c r="I23" s="63">
        <f t="shared" si="0"/>
        <v>120180</v>
      </c>
    </row>
    <row r="24" spans="1:9" ht="30" x14ac:dyDescent="0.2">
      <c r="A24" s="64">
        <v>16</v>
      </c>
      <c r="B24" s="55" t="s">
        <v>85</v>
      </c>
      <c r="C24" s="57" t="s">
        <v>51</v>
      </c>
      <c r="D24" s="73" t="s">
        <v>52</v>
      </c>
      <c r="E24" s="79" t="s">
        <v>86</v>
      </c>
      <c r="F24" s="60" t="s">
        <v>74</v>
      </c>
      <c r="G24" s="75">
        <v>600</v>
      </c>
      <c r="H24" s="76">
        <v>97.1</v>
      </c>
      <c r="I24" s="63">
        <f t="shared" si="0"/>
        <v>58260</v>
      </c>
    </row>
    <row r="25" spans="1:9" ht="30" x14ac:dyDescent="0.2">
      <c r="A25" s="55">
        <v>17</v>
      </c>
      <c r="B25" s="55" t="s">
        <v>87</v>
      </c>
      <c r="C25" s="57" t="s">
        <v>51</v>
      </c>
      <c r="D25" s="73" t="s">
        <v>52</v>
      </c>
      <c r="E25" s="79" t="s">
        <v>88</v>
      </c>
      <c r="F25" s="60" t="s">
        <v>89</v>
      </c>
      <c r="G25" s="75">
        <v>500</v>
      </c>
      <c r="H25" s="76">
        <v>261.39999999999998</v>
      </c>
      <c r="I25" s="63">
        <f t="shared" si="0"/>
        <v>130699.99999999999</v>
      </c>
    </row>
    <row r="26" spans="1:9" ht="30" x14ac:dyDescent="0.2">
      <c r="A26" s="64">
        <v>18</v>
      </c>
      <c r="B26" s="55" t="s">
        <v>90</v>
      </c>
      <c r="C26" s="57" t="s">
        <v>51</v>
      </c>
      <c r="D26" s="73" t="s">
        <v>52</v>
      </c>
      <c r="E26" s="79" t="s">
        <v>91</v>
      </c>
      <c r="F26" s="60" t="s">
        <v>89</v>
      </c>
      <c r="G26" s="75">
        <v>500</v>
      </c>
      <c r="H26" s="76">
        <v>331.1</v>
      </c>
      <c r="I26" s="63">
        <f t="shared" si="0"/>
        <v>165550</v>
      </c>
    </row>
    <row r="27" spans="1:9" ht="30" x14ac:dyDescent="0.2">
      <c r="A27" s="55">
        <v>19</v>
      </c>
      <c r="B27" s="55" t="s">
        <v>92</v>
      </c>
      <c r="C27" s="57" t="s">
        <v>51</v>
      </c>
      <c r="D27" s="73" t="s">
        <v>52</v>
      </c>
      <c r="E27" s="79" t="s">
        <v>93</v>
      </c>
      <c r="F27" s="60" t="s">
        <v>74</v>
      </c>
      <c r="G27" s="75">
        <v>500</v>
      </c>
      <c r="H27" s="76">
        <v>104.1</v>
      </c>
      <c r="I27" s="63">
        <f t="shared" si="0"/>
        <v>52050</v>
      </c>
    </row>
    <row r="28" spans="1:9" ht="30" x14ac:dyDescent="0.2">
      <c r="A28" s="64">
        <v>20</v>
      </c>
      <c r="B28" s="55" t="s">
        <v>94</v>
      </c>
      <c r="C28" s="57" t="s">
        <v>51</v>
      </c>
      <c r="D28" s="73" t="s">
        <v>52</v>
      </c>
      <c r="E28" s="79" t="s">
        <v>95</v>
      </c>
      <c r="F28" s="60" t="s">
        <v>74</v>
      </c>
      <c r="G28" s="75">
        <v>200</v>
      </c>
      <c r="H28" s="76">
        <v>64.400000000000006</v>
      </c>
      <c r="I28" s="63">
        <f t="shared" si="0"/>
        <v>12880.000000000002</v>
      </c>
    </row>
    <row r="29" spans="1:9" ht="45" x14ac:dyDescent="0.2">
      <c r="A29" s="55">
        <v>21</v>
      </c>
      <c r="B29" s="55" t="s">
        <v>96</v>
      </c>
      <c r="C29" s="57" t="s">
        <v>51</v>
      </c>
      <c r="D29" s="73" t="s">
        <v>52</v>
      </c>
      <c r="E29" s="79" t="s">
        <v>97</v>
      </c>
      <c r="F29" s="60" t="s">
        <v>74</v>
      </c>
      <c r="G29" s="75">
        <v>200</v>
      </c>
      <c r="H29" s="76">
        <v>375.8</v>
      </c>
      <c r="I29" s="63">
        <f t="shared" si="0"/>
        <v>75160</v>
      </c>
    </row>
    <row r="30" spans="1:9" ht="30" x14ac:dyDescent="0.2">
      <c r="A30" s="64">
        <v>22</v>
      </c>
      <c r="B30" s="55" t="s">
        <v>98</v>
      </c>
      <c r="C30" s="57" t="s">
        <v>51</v>
      </c>
      <c r="D30" s="73" t="s">
        <v>52</v>
      </c>
      <c r="E30" s="79" t="s">
        <v>99</v>
      </c>
      <c r="F30" s="60" t="s">
        <v>74</v>
      </c>
      <c r="G30" s="75">
        <v>350</v>
      </c>
      <c r="H30" s="76">
        <v>2533.06</v>
      </c>
      <c r="I30" s="63">
        <f t="shared" si="0"/>
        <v>886571</v>
      </c>
    </row>
    <row r="31" spans="1:9" ht="30" x14ac:dyDescent="0.2">
      <c r="A31" s="55">
        <v>23</v>
      </c>
      <c r="B31" s="55" t="s">
        <v>100</v>
      </c>
      <c r="C31" s="57" t="s">
        <v>51</v>
      </c>
      <c r="D31" s="73" t="s">
        <v>52</v>
      </c>
      <c r="E31" s="79" t="s">
        <v>101</v>
      </c>
      <c r="F31" s="60" t="s">
        <v>74</v>
      </c>
      <c r="G31" s="75">
        <v>350</v>
      </c>
      <c r="H31" s="76">
        <v>1153.7</v>
      </c>
      <c r="I31" s="63">
        <f t="shared" si="0"/>
        <v>403795</v>
      </c>
    </row>
    <row r="32" spans="1:9" ht="30" x14ac:dyDescent="0.2">
      <c r="A32" s="64">
        <v>24</v>
      </c>
      <c r="B32" s="58" t="s">
        <v>102</v>
      </c>
      <c r="C32" s="57" t="s">
        <v>51</v>
      </c>
      <c r="D32" s="58" t="s">
        <v>52</v>
      </c>
      <c r="E32" s="68" t="s">
        <v>103</v>
      </c>
      <c r="F32" s="60" t="s">
        <v>54</v>
      </c>
      <c r="G32" s="75">
        <v>500</v>
      </c>
      <c r="H32" s="76">
        <v>164.4</v>
      </c>
      <c r="I32" s="63">
        <f t="shared" si="0"/>
        <v>82200</v>
      </c>
    </row>
    <row r="33" spans="1:12" ht="30" x14ac:dyDescent="0.2">
      <c r="A33" s="55">
        <v>25</v>
      </c>
      <c r="B33" s="58" t="s">
        <v>104</v>
      </c>
      <c r="C33" s="57" t="s">
        <v>51</v>
      </c>
      <c r="D33" s="58" t="s">
        <v>52</v>
      </c>
      <c r="E33" s="71" t="s">
        <v>105</v>
      </c>
      <c r="F33" s="60" t="s">
        <v>54</v>
      </c>
      <c r="G33" s="75">
        <v>500</v>
      </c>
      <c r="H33" s="76">
        <v>21.2</v>
      </c>
      <c r="I33" s="63">
        <f t="shared" si="0"/>
        <v>10600</v>
      </c>
    </row>
    <row r="34" spans="1:12" ht="30" x14ac:dyDescent="0.2">
      <c r="A34" s="64">
        <v>26</v>
      </c>
      <c r="B34" s="58" t="s">
        <v>106</v>
      </c>
      <c r="C34" s="57" t="s">
        <v>51</v>
      </c>
      <c r="D34" s="58" t="s">
        <v>52</v>
      </c>
      <c r="E34" s="71" t="s">
        <v>107</v>
      </c>
      <c r="F34" s="60" t="s">
        <v>54</v>
      </c>
      <c r="G34" s="75">
        <v>500</v>
      </c>
      <c r="H34" s="76">
        <v>17.100000000000001</v>
      </c>
      <c r="I34" s="63">
        <f t="shared" si="0"/>
        <v>8550</v>
      </c>
    </row>
    <row r="35" spans="1:12" ht="30" x14ac:dyDescent="0.2">
      <c r="A35" s="55">
        <v>27</v>
      </c>
      <c r="B35" s="58" t="s">
        <v>108</v>
      </c>
      <c r="C35" s="57" t="s">
        <v>51</v>
      </c>
      <c r="D35" s="58">
        <v>234</v>
      </c>
      <c r="E35" s="71" t="s">
        <v>109</v>
      </c>
      <c r="F35" s="60" t="s">
        <v>54</v>
      </c>
      <c r="G35" s="75">
        <v>500</v>
      </c>
      <c r="H35" s="76">
        <v>270.7</v>
      </c>
      <c r="I35" s="63">
        <f t="shared" si="0"/>
        <v>135350</v>
      </c>
    </row>
    <row r="36" spans="1:12" ht="30" x14ac:dyDescent="0.2">
      <c r="A36" s="64">
        <v>28</v>
      </c>
      <c r="B36" s="58" t="s">
        <v>110</v>
      </c>
      <c r="C36" s="57" t="s">
        <v>51</v>
      </c>
      <c r="D36" s="58">
        <v>234</v>
      </c>
      <c r="E36" s="71" t="s">
        <v>111</v>
      </c>
      <c r="F36" s="60" t="s">
        <v>54</v>
      </c>
      <c r="G36" s="75">
        <v>500</v>
      </c>
      <c r="H36" s="76">
        <v>426.4</v>
      </c>
      <c r="I36" s="63">
        <f t="shared" si="0"/>
        <v>213200</v>
      </c>
    </row>
    <row r="37" spans="1:12" ht="46.7" customHeight="1" x14ac:dyDescent="0.2">
      <c r="A37" s="55">
        <v>29</v>
      </c>
      <c r="B37" s="86" t="s">
        <v>112</v>
      </c>
      <c r="C37" s="57" t="s">
        <v>51</v>
      </c>
      <c r="D37" s="58" t="s">
        <v>52</v>
      </c>
      <c r="E37" s="71" t="s">
        <v>113</v>
      </c>
      <c r="F37" s="60" t="s">
        <v>74</v>
      </c>
      <c r="G37" s="61">
        <v>400</v>
      </c>
      <c r="H37" s="62">
        <v>113.4</v>
      </c>
      <c r="I37" s="63">
        <f t="shared" si="0"/>
        <v>45360</v>
      </c>
      <c r="L37" s="142"/>
    </row>
    <row r="38" spans="1:12" ht="42.75" x14ac:dyDescent="0.2">
      <c r="A38" s="64">
        <v>30</v>
      </c>
      <c r="B38" s="87" t="s">
        <v>114</v>
      </c>
      <c r="C38" s="88" t="s">
        <v>51</v>
      </c>
      <c r="D38" s="89" t="s">
        <v>68</v>
      </c>
      <c r="E38" s="90" t="s">
        <v>115</v>
      </c>
      <c r="F38" s="91" t="s">
        <v>74</v>
      </c>
      <c r="G38" s="92">
        <v>400</v>
      </c>
      <c r="H38" s="93">
        <v>37.200000000000003</v>
      </c>
      <c r="I38" s="63">
        <f t="shared" si="0"/>
        <v>14880.000000000002</v>
      </c>
    </row>
    <row r="39" spans="1:12" ht="34.700000000000003" customHeight="1" x14ac:dyDescent="0.2">
      <c r="A39" s="55">
        <v>31</v>
      </c>
      <c r="B39" s="87" t="s">
        <v>116</v>
      </c>
      <c r="C39" s="88" t="s">
        <v>51</v>
      </c>
      <c r="D39" s="89">
        <v>292</v>
      </c>
      <c r="E39" s="72" t="s">
        <v>117</v>
      </c>
      <c r="F39" s="91" t="s">
        <v>89</v>
      </c>
      <c r="G39" s="92">
        <v>300</v>
      </c>
      <c r="H39" s="93">
        <v>102.4</v>
      </c>
      <c r="I39" s="63">
        <f t="shared" si="0"/>
        <v>30720</v>
      </c>
    </row>
    <row r="40" spans="1:12" ht="62.25" customHeight="1" x14ac:dyDescent="0.2">
      <c r="A40" s="64">
        <v>32</v>
      </c>
      <c r="B40" s="87" t="s">
        <v>118</v>
      </c>
      <c r="C40" s="88" t="s">
        <v>51</v>
      </c>
      <c r="D40" s="89">
        <v>234</v>
      </c>
      <c r="E40" s="71" t="s">
        <v>119</v>
      </c>
      <c r="F40" s="91" t="s">
        <v>74</v>
      </c>
      <c r="G40" s="92">
        <v>300</v>
      </c>
      <c r="H40" s="93">
        <v>461.7</v>
      </c>
      <c r="I40" s="63">
        <f t="shared" si="0"/>
        <v>138510</v>
      </c>
    </row>
    <row r="41" spans="1:12" ht="34.700000000000003" customHeight="1" x14ac:dyDescent="0.2">
      <c r="A41" s="55">
        <v>33</v>
      </c>
      <c r="B41" s="87" t="s">
        <v>120</v>
      </c>
      <c r="C41" s="88" t="s">
        <v>51</v>
      </c>
      <c r="D41" s="89">
        <v>292</v>
      </c>
      <c r="E41" s="72" t="s">
        <v>121</v>
      </c>
      <c r="F41" s="91" t="s">
        <v>89</v>
      </c>
      <c r="G41" s="92">
        <v>200</v>
      </c>
      <c r="H41" s="93">
        <v>200.93</v>
      </c>
      <c r="I41" s="63">
        <f t="shared" si="0"/>
        <v>40186</v>
      </c>
    </row>
    <row r="42" spans="1:12" ht="30.75" customHeight="1" x14ac:dyDescent="0.2">
      <c r="A42" s="64">
        <v>34</v>
      </c>
      <c r="B42" s="87" t="s">
        <v>122</v>
      </c>
      <c r="C42" s="88" t="s">
        <v>51</v>
      </c>
      <c r="D42" s="89">
        <v>292</v>
      </c>
      <c r="E42" s="71" t="s">
        <v>123</v>
      </c>
      <c r="F42" s="91" t="s">
        <v>89</v>
      </c>
      <c r="G42" s="92">
        <v>200</v>
      </c>
      <c r="H42" s="93">
        <v>107.7</v>
      </c>
      <c r="I42" s="63">
        <f t="shared" si="0"/>
        <v>21540</v>
      </c>
    </row>
    <row r="43" spans="1:12" ht="34.700000000000003" customHeight="1" x14ac:dyDescent="0.2">
      <c r="A43" s="55">
        <v>35</v>
      </c>
      <c r="B43" s="87" t="s">
        <v>124</v>
      </c>
      <c r="C43" s="88" t="s">
        <v>51</v>
      </c>
      <c r="D43" s="89">
        <v>292</v>
      </c>
      <c r="E43" s="71" t="s">
        <v>125</v>
      </c>
      <c r="F43" s="91" t="s">
        <v>89</v>
      </c>
      <c r="G43" s="92">
        <v>200</v>
      </c>
      <c r="H43" s="93">
        <v>237.9</v>
      </c>
      <c r="I43" s="63">
        <f t="shared" si="0"/>
        <v>47580</v>
      </c>
    </row>
    <row r="44" spans="1:12" ht="57.75" customHeight="1" x14ac:dyDescent="0.2">
      <c r="A44" s="64">
        <v>36</v>
      </c>
      <c r="B44" s="87" t="s">
        <v>126</v>
      </c>
      <c r="C44" s="88" t="s">
        <v>51</v>
      </c>
      <c r="D44" s="89">
        <v>292</v>
      </c>
      <c r="E44" s="71" t="s">
        <v>127</v>
      </c>
      <c r="F44" s="91" t="s">
        <v>74</v>
      </c>
      <c r="G44" s="92">
        <v>100</v>
      </c>
      <c r="H44" s="93">
        <v>584.5</v>
      </c>
      <c r="I44" s="63">
        <f t="shared" si="0"/>
        <v>58450</v>
      </c>
    </row>
    <row r="45" spans="1:12" ht="59.25" customHeight="1" x14ac:dyDescent="0.2">
      <c r="A45" s="55">
        <v>37</v>
      </c>
      <c r="B45" s="94" t="s">
        <v>128</v>
      </c>
      <c r="C45" s="88" t="s">
        <v>51</v>
      </c>
      <c r="D45" s="89">
        <v>231</v>
      </c>
      <c r="E45" s="90" t="s">
        <v>129</v>
      </c>
      <c r="F45" s="91" t="s">
        <v>74</v>
      </c>
      <c r="G45" s="92">
        <v>300</v>
      </c>
      <c r="H45" s="93">
        <v>43</v>
      </c>
      <c r="I45" s="63">
        <f t="shared" si="0"/>
        <v>12900</v>
      </c>
      <c r="K45" s="142"/>
    </row>
    <row r="46" spans="1:12" ht="30" x14ac:dyDescent="0.2">
      <c r="A46" s="64">
        <v>38</v>
      </c>
      <c r="B46" s="94" t="s">
        <v>130</v>
      </c>
      <c r="C46" s="88" t="s">
        <v>51</v>
      </c>
      <c r="D46" s="89">
        <v>292</v>
      </c>
      <c r="E46" s="90" t="s">
        <v>131</v>
      </c>
      <c r="F46" s="91" t="s">
        <v>74</v>
      </c>
      <c r="G46" s="92">
        <v>300</v>
      </c>
      <c r="H46" s="93">
        <v>429.3</v>
      </c>
      <c r="I46" s="63">
        <f t="shared" si="0"/>
        <v>128790</v>
      </c>
    </row>
    <row r="47" spans="1:12" ht="30" x14ac:dyDescent="0.2">
      <c r="A47" s="55">
        <v>39</v>
      </c>
      <c r="B47" s="94" t="s">
        <v>132</v>
      </c>
      <c r="C47" s="88" t="s">
        <v>51</v>
      </c>
      <c r="D47" s="89">
        <v>292</v>
      </c>
      <c r="E47" s="90" t="s">
        <v>133</v>
      </c>
      <c r="F47" s="91" t="s">
        <v>74</v>
      </c>
      <c r="G47" s="92">
        <v>300</v>
      </c>
      <c r="H47" s="93">
        <v>429.3</v>
      </c>
      <c r="I47" s="63">
        <f t="shared" si="0"/>
        <v>128790</v>
      </c>
    </row>
    <row r="48" spans="1:12" ht="57" x14ac:dyDescent="0.2">
      <c r="A48" s="64">
        <v>40</v>
      </c>
      <c r="B48" s="94" t="s">
        <v>134</v>
      </c>
      <c r="C48" s="88" t="s">
        <v>51</v>
      </c>
      <c r="D48" s="89">
        <v>231</v>
      </c>
      <c r="E48" s="90" t="s">
        <v>135</v>
      </c>
      <c r="F48" s="91" t="s">
        <v>74</v>
      </c>
      <c r="G48" s="92">
        <v>400</v>
      </c>
      <c r="H48" s="93">
        <v>41.1</v>
      </c>
      <c r="I48" s="63">
        <f t="shared" si="0"/>
        <v>16440</v>
      </c>
    </row>
    <row r="49" spans="1:9" ht="78" customHeight="1" x14ac:dyDescent="0.2">
      <c r="A49" s="55">
        <v>41</v>
      </c>
      <c r="B49" s="94" t="s">
        <v>136</v>
      </c>
      <c r="C49" s="88" t="s">
        <v>51</v>
      </c>
      <c r="D49" s="89">
        <v>231</v>
      </c>
      <c r="E49" s="90" t="s">
        <v>137</v>
      </c>
      <c r="F49" s="91" t="s">
        <v>74</v>
      </c>
      <c r="G49" s="92">
        <v>400</v>
      </c>
      <c r="H49" s="93">
        <v>26.7</v>
      </c>
      <c r="I49" s="63">
        <f t="shared" si="0"/>
        <v>10680</v>
      </c>
    </row>
    <row r="50" spans="1:9" ht="78" customHeight="1" x14ac:dyDescent="0.2">
      <c r="A50" s="64">
        <v>42</v>
      </c>
      <c r="B50" s="94" t="s">
        <v>176</v>
      </c>
      <c r="C50" s="88" t="s">
        <v>51</v>
      </c>
      <c r="D50" s="89">
        <v>231</v>
      </c>
      <c r="E50" s="90" t="s">
        <v>138</v>
      </c>
      <c r="F50" s="91" t="s">
        <v>74</v>
      </c>
      <c r="G50" s="92">
        <v>400</v>
      </c>
      <c r="H50" s="93">
        <v>22.2</v>
      </c>
      <c r="I50" s="63">
        <f t="shared" si="0"/>
        <v>8880</v>
      </c>
    </row>
    <row r="51" spans="1:9" ht="78" customHeight="1" x14ac:dyDescent="0.2">
      <c r="A51" s="55">
        <v>43</v>
      </c>
      <c r="B51" s="94" t="s">
        <v>139</v>
      </c>
      <c r="C51" s="88" t="s">
        <v>51</v>
      </c>
      <c r="D51" s="89">
        <v>231</v>
      </c>
      <c r="E51" s="90" t="s">
        <v>140</v>
      </c>
      <c r="F51" s="91" t="s">
        <v>74</v>
      </c>
      <c r="G51" s="92">
        <v>800</v>
      </c>
      <c r="H51" s="93">
        <v>1043.56</v>
      </c>
      <c r="I51" s="63">
        <f t="shared" si="0"/>
        <v>834848</v>
      </c>
    </row>
    <row r="52" spans="1:9" ht="72.75" customHeight="1" x14ac:dyDescent="0.2">
      <c r="A52" s="64">
        <v>44</v>
      </c>
      <c r="B52" s="94" t="s">
        <v>141</v>
      </c>
      <c r="C52" s="88" t="s">
        <v>51</v>
      </c>
      <c r="D52" s="89">
        <v>231</v>
      </c>
      <c r="E52" s="90" t="s">
        <v>142</v>
      </c>
      <c r="F52" s="91" t="s">
        <v>74</v>
      </c>
      <c r="G52" s="92">
        <v>800</v>
      </c>
      <c r="H52" s="93">
        <v>1284.5999999999999</v>
      </c>
      <c r="I52" s="63">
        <f t="shared" si="0"/>
        <v>1027679.9999999999</v>
      </c>
    </row>
    <row r="53" spans="1:9" ht="15.75" customHeight="1" thickBot="1" x14ac:dyDescent="0.25">
      <c r="A53" s="95"/>
      <c r="B53" s="96"/>
      <c r="C53" s="97"/>
      <c r="D53" s="98"/>
      <c r="E53" s="99"/>
      <c r="F53" s="100"/>
      <c r="G53" s="101"/>
      <c r="H53" s="102"/>
      <c r="I53" s="102"/>
    </row>
    <row r="54" spans="1:9" ht="15.75" customHeight="1" x14ac:dyDescent="0.2">
      <c r="A54" s="46"/>
      <c r="B54" s="103" t="s">
        <v>143</v>
      </c>
      <c r="C54" s="104"/>
      <c r="D54" s="104"/>
      <c r="E54" s="105"/>
      <c r="F54" s="46"/>
      <c r="G54" s="47"/>
      <c r="H54" s="46"/>
      <c r="I54" s="46"/>
    </row>
    <row r="55" spans="1:9" ht="15.75" customHeight="1" x14ac:dyDescent="0.2">
      <c r="A55" s="46"/>
      <c r="B55" s="106"/>
      <c r="C55" s="46"/>
      <c r="D55" s="46"/>
      <c r="E55" s="107"/>
      <c r="F55" s="46"/>
      <c r="G55" s="47"/>
      <c r="H55" s="46"/>
      <c r="I55" s="46"/>
    </row>
    <row r="56" spans="1:9" x14ac:dyDescent="0.2">
      <c r="A56" s="46"/>
      <c r="B56" s="108" t="s">
        <v>144</v>
      </c>
      <c r="C56" s="46"/>
      <c r="D56" s="46"/>
      <c r="E56" s="107"/>
      <c r="F56" s="46"/>
      <c r="G56" s="109"/>
      <c r="H56" s="46"/>
      <c r="I56" s="46"/>
    </row>
    <row r="57" spans="1:9" x14ac:dyDescent="0.2">
      <c r="A57" s="46"/>
      <c r="B57" s="108"/>
      <c r="C57" s="172"/>
      <c r="D57" s="172"/>
      <c r="E57" s="173"/>
      <c r="F57" s="46"/>
      <c r="G57" s="47"/>
      <c r="H57" s="46"/>
      <c r="I57" s="46"/>
    </row>
    <row r="58" spans="1:9" x14ac:dyDescent="0.2">
      <c r="A58" s="46"/>
      <c r="B58" s="108" t="s">
        <v>145</v>
      </c>
      <c r="C58" s="46"/>
      <c r="D58" s="46"/>
      <c r="E58" s="107"/>
      <c r="F58" s="46"/>
      <c r="G58" s="47"/>
      <c r="H58" s="46"/>
      <c r="I58" s="46"/>
    </row>
    <row r="59" spans="1:9" x14ac:dyDescent="0.2">
      <c r="A59" s="46"/>
      <c r="B59" s="110"/>
      <c r="C59" s="177" t="s">
        <v>146</v>
      </c>
      <c r="D59" s="177"/>
      <c r="E59" s="178"/>
      <c r="F59" s="46"/>
      <c r="G59" s="47"/>
      <c r="H59" s="46"/>
      <c r="I59" s="46"/>
    </row>
    <row r="60" spans="1:9" ht="69" customHeight="1" x14ac:dyDescent="0.2">
      <c r="A60" s="46"/>
      <c r="B60" s="110"/>
      <c r="C60" s="177"/>
      <c r="D60" s="177"/>
      <c r="E60" s="178"/>
      <c r="F60" s="46"/>
      <c r="G60" s="47"/>
      <c r="H60" s="46"/>
      <c r="I60" s="46"/>
    </row>
    <row r="61" spans="1:9" x14ac:dyDescent="0.2">
      <c r="A61" s="46"/>
      <c r="B61" s="108" t="s">
        <v>147</v>
      </c>
      <c r="C61" s="46"/>
      <c r="D61" s="46"/>
      <c r="E61" s="107"/>
      <c r="F61" s="46"/>
      <c r="G61" s="47"/>
      <c r="H61" s="46"/>
      <c r="I61" s="46"/>
    </row>
    <row r="62" spans="1:9" x14ac:dyDescent="0.2">
      <c r="A62" s="46"/>
      <c r="B62" s="110"/>
      <c r="C62" s="172"/>
      <c r="D62" s="172"/>
      <c r="E62" s="173"/>
      <c r="F62" s="46"/>
      <c r="G62" s="47"/>
      <c r="H62" s="46"/>
      <c r="I62" s="46"/>
    </row>
    <row r="63" spans="1:9" x14ac:dyDescent="0.2">
      <c r="A63" s="46"/>
      <c r="B63" s="108" t="s">
        <v>148</v>
      </c>
      <c r="C63" s="111"/>
      <c r="D63" s="111"/>
      <c r="E63" s="112"/>
      <c r="F63" s="46"/>
      <c r="G63" s="47"/>
      <c r="H63" s="46"/>
      <c r="I63" s="46"/>
    </row>
    <row r="64" spans="1:9" x14ac:dyDescent="0.2">
      <c r="A64" s="46"/>
      <c r="B64" s="110"/>
      <c r="C64" s="172"/>
      <c r="D64" s="172"/>
      <c r="E64" s="173"/>
      <c r="F64" s="46"/>
      <c r="G64" s="47"/>
      <c r="H64" s="46"/>
      <c r="I64" s="46"/>
    </row>
    <row r="65" spans="1:9" x14ac:dyDescent="0.2">
      <c r="A65" s="46"/>
      <c r="B65" s="108" t="s">
        <v>149</v>
      </c>
      <c r="C65" s="46"/>
      <c r="D65" s="46"/>
      <c r="E65" s="107"/>
      <c r="F65" s="46"/>
      <c r="G65" s="47"/>
      <c r="I65" s="46"/>
    </row>
    <row r="66" spans="1:9" x14ac:dyDescent="0.2">
      <c r="A66" s="46"/>
      <c r="B66" s="108"/>
      <c r="C66" s="172"/>
      <c r="D66" s="172"/>
      <c r="E66" s="173"/>
      <c r="F66" s="46"/>
      <c r="G66" s="47"/>
      <c r="H66" s="46"/>
      <c r="I66" s="46"/>
    </row>
    <row r="67" spans="1:9" ht="13.5" thickBot="1" x14ac:dyDescent="0.25">
      <c r="A67" s="46"/>
      <c r="B67" s="113"/>
      <c r="C67" s="114"/>
      <c r="D67" s="114"/>
      <c r="E67" s="115"/>
      <c r="F67" s="46"/>
      <c r="G67" s="47"/>
      <c r="H67" s="46"/>
      <c r="I67" s="46"/>
    </row>
    <row r="68" spans="1:9" x14ac:dyDescent="0.2">
      <c r="A68" s="46"/>
      <c r="B68" s="103" t="s">
        <v>150</v>
      </c>
      <c r="C68" s="104"/>
      <c r="D68" s="104"/>
      <c r="E68" s="105"/>
      <c r="F68" s="46"/>
      <c r="G68" s="47"/>
      <c r="H68" s="46"/>
      <c r="I68" s="46"/>
    </row>
    <row r="69" spans="1:9" x14ac:dyDescent="0.2">
      <c r="A69" s="46"/>
      <c r="B69" s="106"/>
      <c r="C69" s="46"/>
      <c r="D69" s="46"/>
      <c r="E69" s="107"/>
      <c r="F69" s="46"/>
      <c r="G69" s="47"/>
      <c r="H69" s="46"/>
      <c r="I69" s="46"/>
    </row>
    <row r="70" spans="1:9" x14ac:dyDescent="0.2">
      <c r="A70" s="46"/>
      <c r="B70" s="108" t="s">
        <v>151</v>
      </c>
      <c r="C70" s="46"/>
      <c r="D70" s="46"/>
      <c r="E70" s="107"/>
      <c r="F70" s="46"/>
      <c r="G70" s="47"/>
      <c r="H70" s="46"/>
      <c r="I70" s="46"/>
    </row>
    <row r="71" spans="1:9" x14ac:dyDescent="0.2">
      <c r="A71" s="46"/>
      <c r="B71" s="108"/>
      <c r="C71" s="172"/>
      <c r="D71" s="172"/>
      <c r="E71" s="173"/>
      <c r="F71" s="46"/>
      <c r="G71" s="47"/>
      <c r="H71" s="46"/>
      <c r="I71" s="46"/>
    </row>
    <row r="72" spans="1:9" x14ac:dyDescent="0.2">
      <c r="A72" s="46"/>
      <c r="B72" s="108" t="s">
        <v>145</v>
      </c>
      <c r="C72" s="46"/>
      <c r="D72" s="46"/>
      <c r="E72" s="107"/>
      <c r="F72" s="46"/>
      <c r="G72" s="47"/>
      <c r="H72" s="46"/>
      <c r="I72" s="46"/>
    </row>
    <row r="73" spans="1:9" ht="15" customHeight="1" x14ac:dyDescent="0.2">
      <c r="A73" s="46"/>
      <c r="B73" s="110"/>
      <c r="C73" s="177" t="s">
        <v>146</v>
      </c>
      <c r="D73" s="177"/>
      <c r="E73" s="178"/>
      <c r="F73" s="46"/>
      <c r="G73" s="47"/>
      <c r="H73" s="46"/>
      <c r="I73" s="46"/>
    </row>
    <row r="74" spans="1:9" ht="75" customHeight="1" x14ac:dyDescent="0.2">
      <c r="A74" s="46"/>
      <c r="B74" s="110"/>
      <c r="C74" s="177"/>
      <c r="D74" s="177"/>
      <c r="E74" s="178"/>
      <c r="F74" s="46"/>
    </row>
    <row r="75" spans="1:9" x14ac:dyDescent="0.2">
      <c r="A75" s="46"/>
      <c r="B75" s="108" t="s">
        <v>147</v>
      </c>
      <c r="C75" s="46"/>
      <c r="D75" s="46"/>
      <c r="E75" s="107"/>
      <c r="F75" s="46"/>
      <c r="G75" s="47"/>
      <c r="H75" s="46"/>
      <c r="I75" s="46"/>
    </row>
    <row r="76" spans="1:9" x14ac:dyDescent="0.2">
      <c r="A76" s="46"/>
      <c r="B76" s="110"/>
      <c r="C76" s="172"/>
      <c r="D76" s="172"/>
      <c r="E76" s="173"/>
      <c r="F76" s="46"/>
      <c r="G76" s="47"/>
      <c r="H76" s="46"/>
      <c r="I76" s="46"/>
    </row>
    <row r="77" spans="1:9" x14ac:dyDescent="0.2">
      <c r="A77" s="46"/>
      <c r="B77" s="108" t="s">
        <v>148</v>
      </c>
      <c r="C77" s="111"/>
      <c r="D77" s="111"/>
      <c r="E77" s="112"/>
      <c r="F77" s="46"/>
      <c r="G77" s="47"/>
      <c r="H77" s="46"/>
      <c r="I77" s="46"/>
    </row>
    <row r="78" spans="1:9" x14ac:dyDescent="0.2">
      <c r="A78" s="46"/>
      <c r="B78" s="110"/>
      <c r="C78" s="172"/>
      <c r="D78" s="172"/>
      <c r="E78" s="173"/>
      <c r="F78" s="46"/>
      <c r="G78" s="47"/>
      <c r="H78" s="46"/>
      <c r="I78" s="46"/>
    </row>
    <row r="79" spans="1:9" x14ac:dyDescent="0.2">
      <c r="A79" s="46"/>
      <c r="B79" s="108" t="s">
        <v>149</v>
      </c>
      <c r="C79" s="46"/>
      <c r="D79" s="46"/>
      <c r="E79" s="107"/>
      <c r="F79" s="46"/>
      <c r="G79" s="47"/>
      <c r="H79" s="46"/>
      <c r="I79" s="46"/>
    </row>
    <row r="80" spans="1:9" x14ac:dyDescent="0.2">
      <c r="A80" s="46"/>
      <c r="B80" s="108"/>
      <c r="C80" s="172"/>
      <c r="D80" s="179"/>
      <c r="E80" s="180"/>
      <c r="F80" s="46"/>
      <c r="G80" s="47"/>
      <c r="H80" s="46"/>
      <c r="I80" s="46"/>
    </row>
    <row r="81" spans="1:9" ht="13.5" thickBot="1" x14ac:dyDescent="0.25">
      <c r="A81" s="46"/>
      <c r="B81" s="113"/>
      <c r="C81" s="114"/>
      <c r="D81" s="114"/>
      <c r="E81" s="115"/>
      <c r="F81" s="46"/>
      <c r="G81" s="47"/>
      <c r="H81" s="46"/>
      <c r="I81" s="46"/>
    </row>
    <row r="82" spans="1:9" x14ac:dyDescent="0.2">
      <c r="A82" s="46"/>
      <c r="B82" s="103" t="s">
        <v>152</v>
      </c>
      <c r="C82" s="104"/>
      <c r="D82" s="104"/>
      <c r="E82" s="105"/>
      <c r="F82" s="46"/>
      <c r="G82" s="47"/>
      <c r="H82" s="46"/>
      <c r="I82" s="46"/>
    </row>
    <row r="83" spans="1:9" x14ac:dyDescent="0.2">
      <c r="B83" s="106"/>
      <c r="C83" s="117"/>
      <c r="D83" s="117"/>
      <c r="E83" s="107"/>
    </row>
    <row r="84" spans="1:9" ht="14.25" x14ac:dyDescent="0.2">
      <c r="B84" s="108" t="s">
        <v>172</v>
      </c>
      <c r="C84" s="117"/>
      <c r="D84" s="117"/>
      <c r="E84" s="107"/>
      <c r="G84" s="118"/>
    </row>
    <row r="85" spans="1:9" x14ac:dyDescent="0.2">
      <c r="B85" s="108"/>
      <c r="C85" s="181"/>
      <c r="D85" s="181"/>
      <c r="E85" s="173"/>
    </row>
    <row r="86" spans="1:9" x14ac:dyDescent="0.2">
      <c r="B86" s="108" t="s">
        <v>145</v>
      </c>
      <c r="C86" s="117"/>
      <c r="D86" s="117"/>
      <c r="E86" s="107"/>
    </row>
    <row r="87" spans="1:9" ht="15" customHeight="1" x14ac:dyDescent="0.2">
      <c r="B87" s="110"/>
      <c r="C87" s="177" t="s">
        <v>146</v>
      </c>
      <c r="D87" s="177"/>
      <c r="E87" s="178"/>
    </row>
    <row r="88" spans="1:9" ht="75" customHeight="1" x14ac:dyDescent="0.2">
      <c r="B88" s="110"/>
      <c r="C88" s="177"/>
      <c r="D88" s="177"/>
      <c r="E88" s="178"/>
    </row>
    <row r="89" spans="1:9" ht="15" x14ac:dyDescent="0.25">
      <c r="B89" s="110"/>
      <c r="C89" s="119"/>
      <c r="D89" s="119"/>
      <c r="E89" s="120"/>
    </row>
    <row r="90" spans="1:9" ht="2.25" customHeight="1" x14ac:dyDescent="0.25">
      <c r="B90" s="110"/>
      <c r="C90" s="119"/>
      <c r="D90" s="119"/>
      <c r="E90" s="120"/>
    </row>
    <row r="91" spans="1:9" hidden="1" x14ac:dyDescent="0.2">
      <c r="B91" s="108" t="s">
        <v>147</v>
      </c>
      <c r="C91" s="117"/>
      <c r="D91" s="117"/>
      <c r="E91" s="107"/>
    </row>
    <row r="92" spans="1:9" x14ac:dyDescent="0.2">
      <c r="B92" s="110"/>
      <c r="C92" s="181"/>
      <c r="D92" s="181"/>
      <c r="E92" s="173"/>
    </row>
    <row r="93" spans="1:9" x14ac:dyDescent="0.2">
      <c r="B93" s="108" t="s">
        <v>148</v>
      </c>
      <c r="C93" s="121"/>
      <c r="D93" s="121"/>
      <c r="E93" s="112"/>
    </row>
    <row r="94" spans="1:9" x14ac:dyDescent="0.2">
      <c r="B94" s="110"/>
      <c r="C94" s="181"/>
      <c r="D94" s="181"/>
      <c r="E94" s="173"/>
    </row>
    <row r="95" spans="1:9" x14ac:dyDescent="0.2">
      <c r="B95" s="108" t="s">
        <v>149</v>
      </c>
      <c r="C95" s="117"/>
      <c r="D95" s="117"/>
      <c r="E95" s="107"/>
    </row>
    <row r="96" spans="1:9" x14ac:dyDescent="0.2">
      <c r="B96" s="108"/>
      <c r="C96" s="181"/>
      <c r="D96" s="182"/>
      <c r="E96" s="180"/>
    </row>
    <row r="97" spans="2:5" ht="13.5" thickBot="1" x14ac:dyDescent="0.25">
      <c r="B97" s="113"/>
      <c r="C97" s="114"/>
      <c r="D97" s="114"/>
      <c r="E97" s="115"/>
    </row>
    <row r="98" spans="2:5" x14ac:dyDescent="0.2">
      <c r="B98" s="103" t="s">
        <v>180</v>
      </c>
      <c r="C98" s="104"/>
      <c r="D98" s="104"/>
      <c r="E98" s="105"/>
    </row>
    <row r="99" spans="2:5" x14ac:dyDescent="0.2">
      <c r="B99" s="106"/>
      <c r="C99" s="117"/>
      <c r="D99" s="117"/>
      <c r="E99" s="107"/>
    </row>
    <row r="100" spans="2:5" x14ac:dyDescent="0.2">
      <c r="B100" s="108" t="s">
        <v>173</v>
      </c>
      <c r="C100" s="117"/>
      <c r="D100" s="117"/>
      <c r="E100" s="107"/>
    </row>
    <row r="101" spans="2:5" x14ac:dyDescent="0.2">
      <c r="B101" s="108"/>
      <c r="C101" s="181"/>
      <c r="D101" s="181"/>
      <c r="E101" s="173"/>
    </row>
    <row r="102" spans="2:5" x14ac:dyDescent="0.2">
      <c r="B102" s="108" t="s">
        <v>145</v>
      </c>
      <c r="C102" s="117"/>
      <c r="D102" s="117"/>
      <c r="E102" s="107"/>
    </row>
    <row r="103" spans="2:5" x14ac:dyDescent="0.2">
      <c r="B103" s="110"/>
      <c r="C103" s="177" t="s">
        <v>146</v>
      </c>
      <c r="D103" s="177"/>
      <c r="E103" s="178"/>
    </row>
    <row r="104" spans="2:5" ht="69.75" customHeight="1" x14ac:dyDescent="0.2">
      <c r="B104" s="110"/>
      <c r="C104" s="177"/>
      <c r="D104" s="177"/>
      <c r="E104" s="178"/>
    </row>
    <row r="105" spans="2:5" ht="15" x14ac:dyDescent="0.25">
      <c r="B105" s="110"/>
      <c r="C105" s="119"/>
      <c r="D105" s="119"/>
      <c r="E105" s="120"/>
    </row>
    <row r="106" spans="2:5" ht="15" x14ac:dyDescent="0.25">
      <c r="B106" s="110"/>
      <c r="C106" s="119"/>
      <c r="D106" s="119"/>
      <c r="E106" s="120"/>
    </row>
    <row r="107" spans="2:5" x14ac:dyDescent="0.2">
      <c r="B107" s="108" t="s">
        <v>147</v>
      </c>
      <c r="C107" s="117"/>
      <c r="D107" s="117"/>
      <c r="E107" s="107"/>
    </row>
    <row r="108" spans="2:5" x14ac:dyDescent="0.2">
      <c r="B108" s="110"/>
      <c r="C108" s="181"/>
      <c r="D108" s="181"/>
      <c r="E108" s="173"/>
    </row>
    <row r="109" spans="2:5" x14ac:dyDescent="0.2">
      <c r="B109" s="108" t="s">
        <v>148</v>
      </c>
      <c r="C109" s="121"/>
      <c r="D109" s="121"/>
      <c r="E109" s="112"/>
    </row>
    <row r="110" spans="2:5" x14ac:dyDescent="0.2">
      <c r="B110" s="110"/>
      <c r="C110" s="181"/>
      <c r="D110" s="181"/>
      <c r="E110" s="173"/>
    </row>
    <row r="111" spans="2:5" x14ac:dyDescent="0.2">
      <c r="B111" s="108" t="s">
        <v>149</v>
      </c>
      <c r="C111" s="117"/>
      <c r="D111" s="117"/>
      <c r="E111" s="107"/>
    </row>
    <row r="112" spans="2:5" x14ac:dyDescent="0.2">
      <c r="B112" s="108"/>
      <c r="C112" s="181"/>
      <c r="D112" s="182"/>
      <c r="E112" s="180"/>
    </row>
    <row r="113" spans="2:5" ht="13.5" thickBot="1" x14ac:dyDescent="0.25">
      <c r="B113" s="113"/>
      <c r="C113" s="114"/>
      <c r="D113" s="114"/>
      <c r="E113" s="115"/>
    </row>
    <row r="114" spans="2:5" x14ac:dyDescent="0.2">
      <c r="B114" s="103" t="s">
        <v>181</v>
      </c>
      <c r="C114" s="104"/>
      <c r="D114" s="104"/>
      <c r="E114" s="105"/>
    </row>
    <row r="115" spans="2:5" x14ac:dyDescent="0.2">
      <c r="B115" s="106"/>
      <c r="C115" s="117"/>
      <c r="D115" s="117"/>
      <c r="E115" s="107"/>
    </row>
    <row r="116" spans="2:5" x14ac:dyDescent="0.2">
      <c r="B116" s="108" t="s">
        <v>169</v>
      </c>
      <c r="C116" s="117"/>
      <c r="D116" s="117"/>
      <c r="E116" s="107"/>
    </row>
    <row r="117" spans="2:5" x14ac:dyDescent="0.2">
      <c r="B117" s="108"/>
      <c r="C117" s="181"/>
      <c r="D117" s="181"/>
      <c r="E117" s="173"/>
    </row>
    <row r="118" spans="2:5" x14ac:dyDescent="0.2">
      <c r="B118" s="108" t="s">
        <v>145</v>
      </c>
      <c r="C118" s="117"/>
      <c r="D118" s="117"/>
      <c r="E118" s="107"/>
    </row>
    <row r="119" spans="2:5" x14ac:dyDescent="0.2">
      <c r="B119" s="110"/>
      <c r="C119" s="177" t="s">
        <v>146</v>
      </c>
      <c r="D119" s="177"/>
      <c r="E119" s="178"/>
    </row>
    <row r="120" spans="2:5" ht="66" customHeight="1" x14ac:dyDescent="0.2">
      <c r="B120" s="110"/>
      <c r="C120" s="177"/>
      <c r="D120" s="177"/>
      <c r="E120" s="178"/>
    </row>
    <row r="121" spans="2:5" ht="15" x14ac:dyDescent="0.25">
      <c r="B121" s="110"/>
      <c r="C121" s="119"/>
      <c r="D121" s="119"/>
      <c r="E121" s="120"/>
    </row>
    <row r="122" spans="2:5" ht="15" x14ac:dyDescent="0.25">
      <c r="B122" s="110"/>
      <c r="C122" s="119"/>
      <c r="D122" s="119"/>
      <c r="E122" s="120"/>
    </row>
    <row r="123" spans="2:5" x14ac:dyDescent="0.2">
      <c r="B123" s="108" t="s">
        <v>147</v>
      </c>
      <c r="C123" s="117"/>
      <c r="D123" s="117"/>
      <c r="E123" s="107"/>
    </row>
    <row r="124" spans="2:5" x14ac:dyDescent="0.2">
      <c r="B124" s="110"/>
      <c r="C124" s="181"/>
      <c r="D124" s="181"/>
      <c r="E124" s="173"/>
    </row>
    <row r="125" spans="2:5" x14ac:dyDescent="0.2">
      <c r="B125" s="108" t="s">
        <v>148</v>
      </c>
      <c r="C125" s="121"/>
      <c r="D125" s="121"/>
      <c r="E125" s="112"/>
    </row>
    <row r="126" spans="2:5" x14ac:dyDescent="0.2">
      <c r="B126" s="110"/>
      <c r="C126" s="181"/>
      <c r="D126" s="181"/>
      <c r="E126" s="173"/>
    </row>
    <row r="127" spans="2:5" x14ac:dyDescent="0.2">
      <c r="B127" s="108" t="s">
        <v>149</v>
      </c>
      <c r="C127" s="117"/>
      <c r="D127" s="117"/>
      <c r="E127" s="107"/>
    </row>
    <row r="128" spans="2:5" x14ac:dyDescent="0.2">
      <c r="B128" s="108"/>
      <c r="C128" s="181"/>
      <c r="D128" s="182"/>
      <c r="E128" s="180"/>
    </row>
    <row r="129" spans="2:5" ht="13.5" thickBot="1" x14ac:dyDescent="0.25">
      <c r="B129" s="113"/>
      <c r="C129" s="114"/>
      <c r="D129" s="114"/>
      <c r="E129" s="115"/>
    </row>
    <row r="130" spans="2:5" x14ac:dyDescent="0.2">
      <c r="B130" s="103" t="s">
        <v>182</v>
      </c>
      <c r="C130" s="104"/>
      <c r="D130" s="104"/>
      <c r="E130" s="105"/>
    </row>
    <row r="131" spans="2:5" x14ac:dyDescent="0.2">
      <c r="B131" s="106"/>
      <c r="C131" s="117"/>
      <c r="D131" s="117"/>
      <c r="E131" s="107"/>
    </row>
    <row r="132" spans="2:5" x14ac:dyDescent="0.2">
      <c r="B132" s="108" t="s">
        <v>174</v>
      </c>
      <c r="C132" s="117"/>
      <c r="D132" s="117"/>
      <c r="E132" s="107"/>
    </row>
    <row r="133" spans="2:5" x14ac:dyDescent="0.2">
      <c r="B133" s="108"/>
      <c r="C133" s="181"/>
      <c r="D133" s="181"/>
      <c r="E133" s="173"/>
    </row>
    <row r="134" spans="2:5" x14ac:dyDescent="0.2">
      <c r="B134" s="108" t="s">
        <v>145</v>
      </c>
      <c r="C134" s="117"/>
      <c r="D134" s="117"/>
      <c r="E134" s="107"/>
    </row>
    <row r="135" spans="2:5" x14ac:dyDescent="0.2">
      <c r="B135" s="110"/>
      <c r="C135" s="177" t="s">
        <v>146</v>
      </c>
      <c r="D135" s="177"/>
      <c r="E135" s="178"/>
    </row>
    <row r="136" spans="2:5" ht="60.75" customHeight="1" x14ac:dyDescent="0.2">
      <c r="B136" s="110"/>
      <c r="C136" s="177"/>
      <c r="D136" s="177"/>
      <c r="E136" s="178"/>
    </row>
    <row r="137" spans="2:5" ht="15" x14ac:dyDescent="0.25">
      <c r="B137" s="110"/>
      <c r="C137" s="119"/>
      <c r="D137" s="119"/>
      <c r="E137" s="120"/>
    </row>
    <row r="138" spans="2:5" ht="15" x14ac:dyDescent="0.25">
      <c r="B138" s="110"/>
      <c r="C138" s="119"/>
      <c r="D138" s="119"/>
      <c r="E138" s="120"/>
    </row>
    <row r="139" spans="2:5" x14ac:dyDescent="0.2">
      <c r="B139" s="108" t="s">
        <v>147</v>
      </c>
      <c r="C139" s="117"/>
      <c r="D139" s="117"/>
      <c r="E139" s="107"/>
    </row>
    <row r="140" spans="2:5" x14ac:dyDescent="0.2">
      <c r="B140" s="110"/>
      <c r="C140" s="181"/>
      <c r="D140" s="181"/>
      <c r="E140" s="173"/>
    </row>
    <row r="141" spans="2:5" x14ac:dyDescent="0.2">
      <c r="B141" s="108" t="s">
        <v>148</v>
      </c>
      <c r="C141" s="121"/>
      <c r="D141" s="121"/>
      <c r="E141" s="112"/>
    </row>
    <row r="142" spans="2:5" x14ac:dyDescent="0.2">
      <c r="B142" s="110"/>
      <c r="C142" s="181"/>
      <c r="D142" s="181"/>
      <c r="E142" s="173"/>
    </row>
    <row r="143" spans="2:5" x14ac:dyDescent="0.2">
      <c r="B143" s="108" t="s">
        <v>149</v>
      </c>
      <c r="C143" s="117"/>
      <c r="D143" s="117"/>
      <c r="E143" s="107"/>
    </row>
    <row r="144" spans="2:5" x14ac:dyDescent="0.2">
      <c r="B144" s="108"/>
      <c r="C144" s="181"/>
      <c r="D144" s="182"/>
      <c r="E144" s="180"/>
    </row>
    <row r="145" spans="2:5" ht="13.5" thickBot="1" x14ac:dyDescent="0.25">
      <c r="B145" s="113"/>
      <c r="C145" s="114"/>
      <c r="D145" s="114"/>
      <c r="E145" s="115"/>
    </row>
    <row r="146" spans="2:5" x14ac:dyDescent="0.2">
      <c r="B146" s="103" t="s">
        <v>183</v>
      </c>
      <c r="C146" s="104"/>
      <c r="D146" s="104"/>
      <c r="E146" s="105"/>
    </row>
    <row r="147" spans="2:5" x14ac:dyDescent="0.2">
      <c r="B147" s="106"/>
      <c r="C147" s="117"/>
      <c r="D147" s="117"/>
      <c r="E147" s="107"/>
    </row>
    <row r="148" spans="2:5" x14ac:dyDescent="0.2">
      <c r="B148" s="108" t="s">
        <v>175</v>
      </c>
      <c r="C148" s="117"/>
      <c r="D148" s="117"/>
      <c r="E148" s="107"/>
    </row>
    <row r="149" spans="2:5" x14ac:dyDescent="0.2">
      <c r="B149" s="108"/>
      <c r="C149" s="181"/>
      <c r="D149" s="181"/>
      <c r="E149" s="173"/>
    </row>
    <row r="150" spans="2:5" x14ac:dyDescent="0.2">
      <c r="B150" s="108" t="s">
        <v>145</v>
      </c>
      <c r="C150" s="117"/>
      <c r="D150" s="117"/>
      <c r="E150" s="107"/>
    </row>
    <row r="151" spans="2:5" x14ac:dyDescent="0.2">
      <c r="B151" s="110"/>
      <c r="C151" s="177" t="s">
        <v>146</v>
      </c>
      <c r="D151" s="177"/>
      <c r="E151" s="178"/>
    </row>
    <row r="152" spans="2:5" ht="73.5" customHeight="1" x14ac:dyDescent="0.2">
      <c r="B152" s="110"/>
      <c r="C152" s="177"/>
      <c r="D152" s="177"/>
      <c r="E152" s="178"/>
    </row>
    <row r="153" spans="2:5" ht="15" x14ac:dyDescent="0.25">
      <c r="B153" s="110"/>
      <c r="C153" s="119"/>
      <c r="D153" s="119"/>
      <c r="E153" s="120"/>
    </row>
    <row r="154" spans="2:5" ht="15" x14ac:dyDescent="0.25">
      <c r="B154" s="110"/>
      <c r="C154" s="119"/>
      <c r="D154" s="119"/>
      <c r="E154" s="120"/>
    </row>
    <row r="155" spans="2:5" x14ac:dyDescent="0.2">
      <c r="B155" s="108" t="s">
        <v>147</v>
      </c>
      <c r="C155" s="117"/>
      <c r="D155" s="117"/>
      <c r="E155" s="107"/>
    </row>
    <row r="156" spans="2:5" x14ac:dyDescent="0.2">
      <c r="B156" s="110"/>
      <c r="C156" s="181"/>
      <c r="D156" s="181"/>
      <c r="E156" s="173"/>
    </row>
    <row r="157" spans="2:5" x14ac:dyDescent="0.2">
      <c r="B157" s="108" t="s">
        <v>148</v>
      </c>
      <c r="C157" s="121"/>
      <c r="D157" s="121"/>
      <c r="E157" s="112"/>
    </row>
    <row r="158" spans="2:5" x14ac:dyDescent="0.2">
      <c r="B158" s="110"/>
      <c r="C158" s="181"/>
      <c r="D158" s="181"/>
      <c r="E158" s="173"/>
    </row>
    <row r="159" spans="2:5" x14ac:dyDescent="0.2">
      <c r="B159" s="108" t="s">
        <v>149</v>
      </c>
      <c r="C159" s="117"/>
      <c r="D159" s="117"/>
      <c r="E159" s="107"/>
    </row>
    <row r="160" spans="2:5" x14ac:dyDescent="0.2">
      <c r="B160" s="108"/>
      <c r="C160" s="181"/>
      <c r="D160" s="182"/>
      <c r="E160" s="180"/>
    </row>
    <row r="161" spans="2:5" ht="13.5" thickBot="1" x14ac:dyDescent="0.25">
      <c r="B161" s="113"/>
      <c r="C161" s="114"/>
      <c r="D161" s="114"/>
      <c r="E161" s="115"/>
    </row>
    <row r="162" spans="2:5" x14ac:dyDescent="0.2">
      <c r="B162" s="103" t="s">
        <v>179</v>
      </c>
      <c r="C162" s="117"/>
      <c r="D162" s="117"/>
      <c r="E162" s="107"/>
    </row>
    <row r="163" spans="2:5" x14ac:dyDescent="0.2">
      <c r="B163" s="108" t="s">
        <v>171</v>
      </c>
      <c r="C163" s="117"/>
      <c r="D163" s="117"/>
      <c r="E163" s="107"/>
    </row>
    <row r="164" spans="2:5" x14ac:dyDescent="0.2">
      <c r="B164" s="108"/>
      <c r="C164" s="181"/>
      <c r="D164" s="181"/>
      <c r="E164" s="173"/>
    </row>
    <row r="165" spans="2:5" x14ac:dyDescent="0.2">
      <c r="B165" s="108" t="s">
        <v>145</v>
      </c>
      <c r="C165" s="117"/>
      <c r="D165" s="117"/>
      <c r="E165" s="107"/>
    </row>
    <row r="166" spans="2:5" x14ac:dyDescent="0.2">
      <c r="B166" s="110"/>
      <c r="C166" s="177" t="s">
        <v>146</v>
      </c>
      <c r="D166" s="177"/>
      <c r="E166" s="178"/>
    </row>
    <row r="167" spans="2:5" ht="78.75" customHeight="1" x14ac:dyDescent="0.2">
      <c r="B167" s="110"/>
      <c r="C167" s="177"/>
      <c r="D167" s="177"/>
      <c r="E167" s="178"/>
    </row>
    <row r="168" spans="2:5" ht="15" x14ac:dyDescent="0.25">
      <c r="B168" s="110"/>
      <c r="C168" s="119"/>
      <c r="D168" s="119"/>
      <c r="E168" s="120"/>
    </row>
    <row r="169" spans="2:5" ht="15" x14ac:dyDescent="0.25">
      <c r="B169" s="110"/>
      <c r="C169" s="119"/>
      <c r="D169" s="119"/>
      <c r="E169" s="120"/>
    </row>
    <row r="170" spans="2:5" x14ac:dyDescent="0.2">
      <c r="B170" s="108" t="s">
        <v>147</v>
      </c>
      <c r="C170" s="117"/>
      <c r="D170" s="117"/>
      <c r="E170" s="107"/>
    </row>
    <row r="171" spans="2:5" x14ac:dyDescent="0.2">
      <c r="B171" s="110"/>
      <c r="C171" s="181"/>
      <c r="D171" s="181"/>
      <c r="E171" s="173"/>
    </row>
    <row r="172" spans="2:5" x14ac:dyDescent="0.2">
      <c r="B172" s="108" t="s">
        <v>148</v>
      </c>
      <c r="C172" s="121"/>
      <c r="D172" s="121"/>
      <c r="E172" s="112"/>
    </row>
    <row r="173" spans="2:5" x14ac:dyDescent="0.2">
      <c r="B173" s="110"/>
      <c r="C173" s="181"/>
      <c r="D173" s="181"/>
      <c r="E173" s="173"/>
    </row>
    <row r="174" spans="2:5" x14ac:dyDescent="0.2">
      <c r="B174" s="108" t="s">
        <v>149</v>
      </c>
      <c r="C174" s="117"/>
      <c r="D174" s="117"/>
      <c r="E174" s="107"/>
    </row>
    <row r="175" spans="2:5" x14ac:dyDescent="0.2">
      <c r="B175" s="108"/>
      <c r="C175" s="181"/>
      <c r="D175" s="182"/>
      <c r="E175" s="180"/>
    </row>
    <row r="176" spans="2:5" ht="13.5" thickBot="1" x14ac:dyDescent="0.25">
      <c r="B176" s="113"/>
      <c r="C176" s="114"/>
      <c r="D176" s="114"/>
      <c r="E176" s="115"/>
    </row>
  </sheetData>
  <mergeCells count="47">
    <mergeCell ref="C173:E173"/>
    <mergeCell ref="C175:E175"/>
    <mergeCell ref="C128:E128"/>
    <mergeCell ref="C156:E156"/>
    <mergeCell ref="C133:E133"/>
    <mergeCell ref="C135:E136"/>
    <mergeCell ref="C140:E140"/>
    <mergeCell ref="C142:E142"/>
    <mergeCell ref="C144:E144"/>
    <mergeCell ref="C149:E149"/>
    <mergeCell ref="C151:E152"/>
    <mergeCell ref="C158:E158"/>
    <mergeCell ref="C160:E160"/>
    <mergeCell ref="C164:E164"/>
    <mergeCell ref="C166:E167"/>
    <mergeCell ref="C171:E171"/>
    <mergeCell ref="C117:E117"/>
    <mergeCell ref="C119:E120"/>
    <mergeCell ref="C124:E124"/>
    <mergeCell ref="C126:E126"/>
    <mergeCell ref="C108:E108"/>
    <mergeCell ref="C110:E110"/>
    <mergeCell ref="C112:E112"/>
    <mergeCell ref="C103:E104"/>
    <mergeCell ref="C71:E71"/>
    <mergeCell ref="C73:E74"/>
    <mergeCell ref="C76:E76"/>
    <mergeCell ref="C78:E78"/>
    <mergeCell ref="C80:E80"/>
    <mergeCell ref="C85:E85"/>
    <mergeCell ref="C87:E88"/>
    <mergeCell ref="C92:E92"/>
    <mergeCell ref="C94:E94"/>
    <mergeCell ref="C96:E96"/>
    <mergeCell ref="C101:E101"/>
    <mergeCell ref="C66:E66"/>
    <mergeCell ref="B1:H1"/>
    <mergeCell ref="A3:B3"/>
    <mergeCell ref="C3:E3"/>
    <mergeCell ref="A4:B4"/>
    <mergeCell ref="C4:E4"/>
    <mergeCell ref="A5:B5"/>
    <mergeCell ref="A6:B6"/>
    <mergeCell ref="C57:E57"/>
    <mergeCell ref="C59:E60"/>
    <mergeCell ref="C62:E62"/>
    <mergeCell ref="C64:E64"/>
  </mergeCells>
  <pageMargins left="0.70866141732283472" right="0.70866141732283472" top="0.74803149606299213" bottom="0.74803149606299213" header="0.31496062992125984" footer="0.31496062992125984"/>
  <pageSetup scale="7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H56"/>
  <sheetViews>
    <sheetView topLeftCell="A52" workbookViewId="0">
      <selection activeCell="C55" sqref="C55:G55"/>
    </sheetView>
  </sheetViews>
  <sheetFormatPr baseColWidth="10" defaultColWidth="9.140625" defaultRowHeight="12.75" x14ac:dyDescent="0.2"/>
  <cols>
    <col min="1" max="1" width="5.5703125" style="124" customWidth="1"/>
    <col min="2" max="2" width="15.140625" style="124" customWidth="1"/>
    <col min="3" max="3" width="14.140625" style="124" customWidth="1"/>
    <col min="4" max="4" width="26" style="124" customWidth="1"/>
    <col min="5" max="5" width="8" style="124" customWidth="1"/>
    <col min="6" max="6" width="7.85546875" style="124" customWidth="1"/>
    <col min="7" max="7" width="28.5703125" style="124" customWidth="1"/>
    <col min="8" max="8" width="9.28515625" style="124" customWidth="1"/>
    <col min="9" max="9" width="15.5703125" style="124" customWidth="1"/>
    <col min="10" max="10" width="14.7109375" style="124" customWidth="1"/>
    <col min="11" max="11" width="15.5703125" style="124" customWidth="1"/>
    <col min="12" max="12" width="5.85546875" style="124" customWidth="1"/>
    <col min="13" max="13" width="12.5703125" style="124" customWidth="1"/>
    <col min="14" max="1022" width="9.140625" style="124"/>
  </cols>
  <sheetData>
    <row r="1" spans="1:12" ht="27" customHeight="1" thickBot="1" x14ac:dyDescent="0.25">
      <c r="A1" s="186" t="s">
        <v>153</v>
      </c>
      <c r="B1" s="186"/>
      <c r="C1" s="186"/>
      <c r="D1" s="186"/>
      <c r="E1" s="186"/>
      <c r="F1" s="186"/>
      <c r="G1" s="186"/>
      <c r="H1" s="186"/>
      <c r="I1" s="186"/>
      <c r="J1" s="122" t="s">
        <v>154</v>
      </c>
      <c r="K1" s="123"/>
    </row>
    <row r="2" spans="1:12" ht="18.75" customHeight="1" thickBot="1" x14ac:dyDescent="0.25">
      <c r="A2" s="125"/>
      <c r="B2" s="126"/>
      <c r="C2" s="126"/>
      <c r="D2" s="127"/>
      <c r="E2" s="127"/>
      <c r="F2" s="127"/>
      <c r="G2" s="127"/>
      <c r="H2" s="127"/>
      <c r="I2" s="127"/>
      <c r="J2" s="127"/>
      <c r="K2" s="128"/>
    </row>
    <row r="3" spans="1:12" ht="18.75" customHeight="1" thickBot="1" x14ac:dyDescent="0.25">
      <c r="A3" s="183" t="s">
        <v>155</v>
      </c>
      <c r="B3" s="183"/>
      <c r="C3" s="183"/>
      <c r="D3" s="41" t="s">
        <v>26</v>
      </c>
      <c r="E3" s="38"/>
      <c r="F3" s="38"/>
      <c r="G3" s="38"/>
      <c r="H3" s="38"/>
      <c r="I3" s="38"/>
      <c r="J3" s="38"/>
      <c r="K3" s="138"/>
      <c r="L3" s="136"/>
    </row>
    <row r="4" spans="1:12" ht="18.75" customHeight="1" thickBot="1" x14ac:dyDescent="0.25">
      <c r="A4" s="187" t="s">
        <v>0</v>
      </c>
      <c r="B4" s="187"/>
      <c r="C4" s="187"/>
      <c r="D4" s="165" t="s">
        <v>27</v>
      </c>
      <c r="E4" s="184"/>
      <c r="F4" s="184"/>
      <c r="G4" s="184"/>
      <c r="H4" s="184"/>
      <c r="I4" s="184"/>
      <c r="J4" s="184"/>
      <c r="K4" s="185"/>
      <c r="L4" s="137"/>
    </row>
    <row r="5" spans="1:12" ht="18.75" customHeight="1" thickBot="1" x14ac:dyDescent="0.25">
      <c r="A5" s="187" t="s">
        <v>1</v>
      </c>
      <c r="B5" s="187"/>
      <c r="C5" s="187"/>
      <c r="D5" s="41" t="s">
        <v>29</v>
      </c>
      <c r="E5" s="38"/>
      <c r="F5" s="38"/>
      <c r="G5" s="38"/>
      <c r="H5" s="38"/>
      <c r="I5" s="38"/>
      <c r="J5" s="38"/>
      <c r="K5" s="138"/>
      <c r="L5" s="136"/>
    </row>
    <row r="6" spans="1:12" ht="16.5" customHeight="1" thickBot="1" x14ac:dyDescent="0.25">
      <c r="A6" s="183" t="s">
        <v>2</v>
      </c>
      <c r="B6" s="183"/>
      <c r="C6" s="183"/>
      <c r="D6" s="41" t="s">
        <v>29</v>
      </c>
      <c r="E6" s="38"/>
      <c r="F6" s="38"/>
      <c r="G6" s="38"/>
      <c r="H6" s="38"/>
      <c r="I6" s="38"/>
      <c r="J6" s="38"/>
      <c r="K6" s="139"/>
      <c r="L6" s="136"/>
    </row>
    <row r="7" spans="1:12" ht="16.5" customHeight="1" thickBot="1" x14ac:dyDescent="0.25">
      <c r="A7" s="187" t="s">
        <v>156</v>
      </c>
      <c r="B7" s="187"/>
      <c r="C7" s="187"/>
      <c r="D7" s="188" t="s">
        <v>157</v>
      </c>
      <c r="E7" s="189"/>
      <c r="F7" s="189"/>
      <c r="G7" s="189"/>
      <c r="H7" s="189"/>
      <c r="I7" s="189"/>
      <c r="J7" s="189"/>
      <c r="K7" s="189"/>
    </row>
    <row r="8" spans="1:12" ht="47.25" customHeight="1" thickBot="1" x14ac:dyDescent="0.25">
      <c r="A8" s="190" t="s">
        <v>158</v>
      </c>
      <c r="B8" s="190"/>
      <c r="C8" s="190"/>
      <c r="D8" s="191" t="s">
        <v>159</v>
      </c>
      <c r="E8" s="192"/>
      <c r="F8" s="192"/>
      <c r="G8" s="192"/>
      <c r="H8" s="192"/>
      <c r="I8" s="192"/>
      <c r="J8" s="192"/>
      <c r="K8" s="192"/>
    </row>
    <row r="9" spans="1:12" ht="16.5" thickBot="1" x14ac:dyDescent="0.25">
      <c r="A9" s="129"/>
      <c r="B9" s="130"/>
      <c r="C9" s="130"/>
      <c r="D9" s="131"/>
      <c r="E9" s="131"/>
      <c r="F9" s="131"/>
      <c r="G9" s="131"/>
      <c r="H9" s="131"/>
      <c r="I9" s="131"/>
      <c r="J9" s="131"/>
      <c r="K9" s="132"/>
    </row>
    <row r="10" spans="1:12" ht="18.75" customHeight="1" thickBot="1" x14ac:dyDescent="0.25">
      <c r="A10" s="193" t="s">
        <v>160</v>
      </c>
      <c r="B10" s="194" t="s">
        <v>161</v>
      </c>
      <c r="C10" s="194" t="s">
        <v>162</v>
      </c>
      <c r="D10" s="194"/>
      <c r="E10" s="194"/>
      <c r="F10" s="194"/>
      <c r="G10" s="194"/>
      <c r="H10" s="194" t="s">
        <v>163</v>
      </c>
      <c r="I10" s="194" t="s">
        <v>164</v>
      </c>
      <c r="J10" s="194" t="s">
        <v>165</v>
      </c>
      <c r="K10" s="198" t="s">
        <v>166</v>
      </c>
    </row>
    <row r="11" spans="1:12" ht="24" customHeight="1" thickBot="1" x14ac:dyDescent="0.25">
      <c r="A11" s="193"/>
      <c r="B11" s="194"/>
      <c r="C11" s="194"/>
      <c r="D11" s="194"/>
      <c r="E11" s="194"/>
      <c r="F11" s="194"/>
      <c r="G11" s="194"/>
      <c r="H11" s="194"/>
      <c r="I11" s="194"/>
      <c r="J11" s="194"/>
      <c r="K11" s="198"/>
    </row>
    <row r="12" spans="1:12" ht="24" customHeight="1" thickBot="1" x14ac:dyDescent="0.25">
      <c r="A12" s="133">
        <v>1</v>
      </c>
      <c r="B12" s="134" t="s">
        <v>50</v>
      </c>
      <c r="C12" s="195" t="s">
        <v>53</v>
      </c>
      <c r="D12" s="196" t="s">
        <v>53</v>
      </c>
      <c r="E12" s="196" t="s">
        <v>53</v>
      </c>
      <c r="F12" s="196" t="s">
        <v>53</v>
      </c>
      <c r="G12" s="197" t="s">
        <v>53</v>
      </c>
      <c r="H12" s="135" t="s">
        <v>167</v>
      </c>
      <c r="I12" s="60" t="s">
        <v>54</v>
      </c>
      <c r="J12" s="62">
        <v>39.200000000000003</v>
      </c>
      <c r="K12" s="61">
        <v>300</v>
      </c>
    </row>
    <row r="13" spans="1:12" ht="31.5" customHeight="1" thickBot="1" x14ac:dyDescent="0.25">
      <c r="A13" s="133">
        <v>2</v>
      </c>
      <c r="B13" s="134" t="s">
        <v>55</v>
      </c>
      <c r="C13" s="195" t="s">
        <v>56</v>
      </c>
      <c r="D13" s="196" t="s">
        <v>56</v>
      </c>
      <c r="E13" s="196" t="s">
        <v>56</v>
      </c>
      <c r="F13" s="196" t="s">
        <v>56</v>
      </c>
      <c r="G13" s="197" t="s">
        <v>56</v>
      </c>
      <c r="H13" s="135" t="s">
        <v>167</v>
      </c>
      <c r="I13" s="66" t="s">
        <v>54</v>
      </c>
      <c r="J13" s="62">
        <v>44.3</v>
      </c>
      <c r="K13" s="67">
        <v>350</v>
      </c>
    </row>
    <row r="14" spans="1:12" ht="36.75" customHeight="1" thickBot="1" x14ac:dyDescent="0.25">
      <c r="A14" s="133">
        <v>3</v>
      </c>
      <c r="B14" s="134" t="s">
        <v>57</v>
      </c>
      <c r="C14" s="195" t="s">
        <v>58</v>
      </c>
      <c r="D14" s="196" t="s">
        <v>58</v>
      </c>
      <c r="E14" s="196" t="s">
        <v>58</v>
      </c>
      <c r="F14" s="196" t="s">
        <v>58</v>
      </c>
      <c r="G14" s="197" t="s">
        <v>58</v>
      </c>
      <c r="H14" s="135" t="s">
        <v>167</v>
      </c>
      <c r="I14" s="69" t="s">
        <v>54</v>
      </c>
      <c r="J14" s="62">
        <v>136.5</v>
      </c>
      <c r="K14" s="61">
        <v>400</v>
      </c>
    </row>
    <row r="15" spans="1:12" ht="36.75" customHeight="1" thickBot="1" x14ac:dyDescent="0.25">
      <c r="A15" s="133">
        <v>4</v>
      </c>
      <c r="B15" s="134" t="s">
        <v>59</v>
      </c>
      <c r="C15" s="195" t="s">
        <v>60</v>
      </c>
      <c r="D15" s="196" t="s">
        <v>60</v>
      </c>
      <c r="E15" s="196" t="s">
        <v>60</v>
      </c>
      <c r="F15" s="196" t="s">
        <v>60</v>
      </c>
      <c r="G15" s="197" t="s">
        <v>60</v>
      </c>
      <c r="H15" s="135" t="s">
        <v>167</v>
      </c>
      <c r="I15" s="69" t="s">
        <v>54</v>
      </c>
      <c r="J15" s="62">
        <v>210.5</v>
      </c>
      <c r="K15" s="61">
        <v>400</v>
      </c>
    </row>
    <row r="16" spans="1:12" ht="69.75" customHeight="1" thickBot="1" x14ac:dyDescent="0.25">
      <c r="A16" s="133">
        <v>5</v>
      </c>
      <c r="B16" s="134" t="s">
        <v>61</v>
      </c>
      <c r="C16" s="195" t="s">
        <v>62</v>
      </c>
      <c r="D16" s="196" t="s">
        <v>62</v>
      </c>
      <c r="E16" s="196" t="s">
        <v>62</v>
      </c>
      <c r="F16" s="196" t="s">
        <v>62</v>
      </c>
      <c r="G16" s="197" t="s">
        <v>62</v>
      </c>
      <c r="H16" s="135" t="s">
        <v>167</v>
      </c>
      <c r="I16" s="69" t="s">
        <v>54</v>
      </c>
      <c r="J16" s="62">
        <v>1746.53</v>
      </c>
      <c r="K16" s="61">
        <v>100</v>
      </c>
    </row>
    <row r="17" spans="1:11" ht="46.5" customHeight="1" thickBot="1" x14ac:dyDescent="0.25">
      <c r="A17" s="133">
        <v>6</v>
      </c>
      <c r="B17" s="134" t="s">
        <v>63</v>
      </c>
      <c r="C17" s="195" t="s">
        <v>64</v>
      </c>
      <c r="D17" s="196" t="s">
        <v>64</v>
      </c>
      <c r="E17" s="196" t="s">
        <v>64</v>
      </c>
      <c r="F17" s="196" t="s">
        <v>64</v>
      </c>
      <c r="G17" s="197" t="s">
        <v>64</v>
      </c>
      <c r="H17" s="135" t="s">
        <v>167</v>
      </c>
      <c r="I17" s="69" t="s">
        <v>54</v>
      </c>
      <c r="J17" s="62">
        <v>237</v>
      </c>
      <c r="K17" s="61">
        <v>250</v>
      </c>
    </row>
    <row r="18" spans="1:11" ht="45" customHeight="1" thickBot="1" x14ac:dyDescent="0.25">
      <c r="A18" s="133">
        <v>7</v>
      </c>
      <c r="B18" s="134" t="s">
        <v>65</v>
      </c>
      <c r="C18" s="195" t="s">
        <v>66</v>
      </c>
      <c r="D18" s="196" t="s">
        <v>66</v>
      </c>
      <c r="E18" s="196" t="s">
        <v>66</v>
      </c>
      <c r="F18" s="196" t="s">
        <v>66</v>
      </c>
      <c r="G18" s="197" t="s">
        <v>66</v>
      </c>
      <c r="H18" s="135" t="s">
        <v>167</v>
      </c>
      <c r="I18" s="69" t="s">
        <v>54</v>
      </c>
      <c r="J18" s="62">
        <v>237</v>
      </c>
      <c r="K18" s="61">
        <v>250</v>
      </c>
    </row>
    <row r="19" spans="1:11" ht="54" customHeight="1" thickBot="1" x14ac:dyDescent="0.25">
      <c r="A19" s="133">
        <v>8</v>
      </c>
      <c r="B19" s="134" t="s">
        <v>67</v>
      </c>
      <c r="C19" s="195" t="s">
        <v>69</v>
      </c>
      <c r="D19" s="196" t="s">
        <v>69</v>
      </c>
      <c r="E19" s="196" t="s">
        <v>69</v>
      </c>
      <c r="F19" s="196" t="s">
        <v>69</v>
      </c>
      <c r="G19" s="197" t="s">
        <v>69</v>
      </c>
      <c r="H19" s="135" t="s">
        <v>167</v>
      </c>
      <c r="I19" s="69" t="s">
        <v>54</v>
      </c>
      <c r="J19" s="62">
        <v>1788.8</v>
      </c>
      <c r="K19" s="61">
        <v>300</v>
      </c>
    </row>
    <row r="20" spans="1:11" ht="63.75" customHeight="1" thickBot="1" x14ac:dyDescent="0.25">
      <c r="A20" s="133">
        <v>9</v>
      </c>
      <c r="B20" s="134" t="s">
        <v>70</v>
      </c>
      <c r="C20" s="195" t="s">
        <v>71</v>
      </c>
      <c r="D20" s="196" t="s">
        <v>71</v>
      </c>
      <c r="E20" s="196" t="s">
        <v>71</v>
      </c>
      <c r="F20" s="196" t="s">
        <v>71</v>
      </c>
      <c r="G20" s="197" t="s">
        <v>71</v>
      </c>
      <c r="H20" s="135" t="s">
        <v>167</v>
      </c>
      <c r="I20" s="69" t="s">
        <v>54</v>
      </c>
      <c r="J20" s="62">
        <v>296.8</v>
      </c>
      <c r="K20" s="61">
        <v>300</v>
      </c>
    </row>
    <row r="21" spans="1:11" ht="24" customHeight="1" thickBot="1" x14ac:dyDescent="0.25">
      <c r="A21" s="133">
        <v>10</v>
      </c>
      <c r="B21" s="134" t="s">
        <v>72</v>
      </c>
      <c r="C21" s="195" t="s">
        <v>73</v>
      </c>
      <c r="D21" s="196" t="s">
        <v>73</v>
      </c>
      <c r="E21" s="196" t="s">
        <v>73</v>
      </c>
      <c r="F21" s="196" t="s">
        <v>73</v>
      </c>
      <c r="G21" s="197" t="s">
        <v>73</v>
      </c>
      <c r="H21" s="135" t="s">
        <v>167</v>
      </c>
      <c r="I21" s="60" t="s">
        <v>74</v>
      </c>
      <c r="J21" s="76">
        <v>62</v>
      </c>
      <c r="K21" s="75">
        <v>300</v>
      </c>
    </row>
    <row r="22" spans="1:11" ht="24" customHeight="1" thickBot="1" x14ac:dyDescent="0.25">
      <c r="A22" s="133">
        <v>11</v>
      </c>
      <c r="B22" s="134" t="s">
        <v>75</v>
      </c>
      <c r="C22" s="195" t="s">
        <v>76</v>
      </c>
      <c r="D22" s="196" t="s">
        <v>76</v>
      </c>
      <c r="E22" s="196" t="s">
        <v>76</v>
      </c>
      <c r="F22" s="196" t="s">
        <v>76</v>
      </c>
      <c r="G22" s="197" t="s">
        <v>76</v>
      </c>
      <c r="H22" s="135" t="s">
        <v>167</v>
      </c>
      <c r="I22" s="60" t="s">
        <v>74</v>
      </c>
      <c r="J22" s="76">
        <v>62</v>
      </c>
      <c r="K22" s="75">
        <v>300</v>
      </c>
    </row>
    <row r="23" spans="1:11" ht="44.25" customHeight="1" thickBot="1" x14ac:dyDescent="0.25">
      <c r="A23" s="133">
        <v>12</v>
      </c>
      <c r="B23" s="134" t="s">
        <v>77</v>
      </c>
      <c r="C23" s="195" t="s">
        <v>78</v>
      </c>
      <c r="D23" s="196" t="s">
        <v>78</v>
      </c>
      <c r="E23" s="196" t="s">
        <v>78</v>
      </c>
      <c r="F23" s="196" t="s">
        <v>78</v>
      </c>
      <c r="G23" s="197" t="s">
        <v>78</v>
      </c>
      <c r="H23" s="135" t="s">
        <v>167</v>
      </c>
      <c r="I23" s="60" t="s">
        <v>74</v>
      </c>
      <c r="J23" s="76">
        <v>135.6</v>
      </c>
      <c r="K23" s="75">
        <v>250</v>
      </c>
    </row>
    <row r="24" spans="1:11" ht="45" customHeight="1" thickBot="1" x14ac:dyDescent="0.25">
      <c r="A24" s="133">
        <v>13</v>
      </c>
      <c r="B24" s="134" t="s">
        <v>79</v>
      </c>
      <c r="C24" s="195" t="s">
        <v>80</v>
      </c>
      <c r="D24" s="196" t="s">
        <v>80</v>
      </c>
      <c r="E24" s="196" t="s">
        <v>80</v>
      </c>
      <c r="F24" s="196" t="s">
        <v>80</v>
      </c>
      <c r="G24" s="197" t="s">
        <v>80</v>
      </c>
      <c r="H24" s="135" t="s">
        <v>167</v>
      </c>
      <c r="I24" s="60" t="s">
        <v>74</v>
      </c>
      <c r="J24" s="76">
        <v>584.5</v>
      </c>
      <c r="K24" s="75">
        <v>80</v>
      </c>
    </row>
    <row r="25" spans="1:11" ht="45.75" customHeight="1" thickBot="1" x14ac:dyDescent="0.25">
      <c r="A25" s="133">
        <v>14</v>
      </c>
      <c r="B25" s="134" t="s">
        <v>81</v>
      </c>
      <c r="C25" s="195" t="s">
        <v>82</v>
      </c>
      <c r="D25" s="196" t="s">
        <v>82</v>
      </c>
      <c r="E25" s="196" t="s">
        <v>82</v>
      </c>
      <c r="F25" s="196" t="s">
        <v>82</v>
      </c>
      <c r="G25" s="197" t="s">
        <v>82</v>
      </c>
      <c r="H25" s="135" t="s">
        <v>168</v>
      </c>
      <c r="I25" s="60" t="s">
        <v>74</v>
      </c>
      <c r="J25" s="76">
        <v>804.2</v>
      </c>
      <c r="K25" s="75">
        <v>300</v>
      </c>
    </row>
    <row r="26" spans="1:11" ht="24" customHeight="1" thickBot="1" x14ac:dyDescent="0.25">
      <c r="A26" s="133">
        <v>15</v>
      </c>
      <c r="B26" s="134" t="s">
        <v>83</v>
      </c>
      <c r="C26" s="195" t="s">
        <v>84</v>
      </c>
      <c r="D26" s="196" t="s">
        <v>84</v>
      </c>
      <c r="E26" s="196" t="s">
        <v>84</v>
      </c>
      <c r="F26" s="196" t="s">
        <v>84</v>
      </c>
      <c r="G26" s="197" t="s">
        <v>84</v>
      </c>
      <c r="H26" s="135" t="s">
        <v>167</v>
      </c>
      <c r="I26" s="60" t="s">
        <v>74</v>
      </c>
      <c r="J26" s="76">
        <v>200.3</v>
      </c>
      <c r="K26" s="75">
        <v>600</v>
      </c>
    </row>
    <row r="27" spans="1:11" ht="24" customHeight="1" thickBot="1" x14ac:dyDescent="0.25">
      <c r="A27" s="133">
        <v>16</v>
      </c>
      <c r="B27" s="134" t="s">
        <v>85</v>
      </c>
      <c r="C27" s="195" t="s">
        <v>86</v>
      </c>
      <c r="D27" s="196" t="s">
        <v>86</v>
      </c>
      <c r="E27" s="196" t="s">
        <v>86</v>
      </c>
      <c r="F27" s="196" t="s">
        <v>86</v>
      </c>
      <c r="G27" s="197" t="s">
        <v>86</v>
      </c>
      <c r="H27" s="135" t="s">
        <v>168</v>
      </c>
      <c r="I27" s="60" t="s">
        <v>74</v>
      </c>
      <c r="J27" s="76">
        <v>97.1</v>
      </c>
      <c r="K27" s="75">
        <v>600</v>
      </c>
    </row>
    <row r="28" spans="1:11" ht="43.5" customHeight="1" thickBot="1" x14ac:dyDescent="0.25">
      <c r="A28" s="133">
        <v>17</v>
      </c>
      <c r="B28" s="134" t="s">
        <v>87</v>
      </c>
      <c r="C28" s="195" t="s">
        <v>88</v>
      </c>
      <c r="D28" s="196" t="s">
        <v>88</v>
      </c>
      <c r="E28" s="196" t="s">
        <v>88</v>
      </c>
      <c r="F28" s="196" t="s">
        <v>88</v>
      </c>
      <c r="G28" s="197" t="s">
        <v>88</v>
      </c>
      <c r="H28" s="135" t="s">
        <v>167</v>
      </c>
      <c r="I28" s="60" t="s">
        <v>89</v>
      </c>
      <c r="J28" s="76">
        <v>261.39999999999998</v>
      </c>
      <c r="K28" s="75">
        <v>500</v>
      </c>
    </row>
    <row r="29" spans="1:11" ht="46.5" customHeight="1" thickBot="1" x14ac:dyDescent="0.25">
      <c r="A29" s="133">
        <v>18</v>
      </c>
      <c r="B29" s="134" t="s">
        <v>90</v>
      </c>
      <c r="C29" s="195" t="s">
        <v>91</v>
      </c>
      <c r="D29" s="196" t="s">
        <v>91</v>
      </c>
      <c r="E29" s="196" t="s">
        <v>91</v>
      </c>
      <c r="F29" s="196" t="s">
        <v>91</v>
      </c>
      <c r="G29" s="197" t="s">
        <v>91</v>
      </c>
      <c r="H29" s="135" t="s">
        <v>167</v>
      </c>
      <c r="I29" s="60" t="s">
        <v>89</v>
      </c>
      <c r="J29" s="76">
        <v>331.1</v>
      </c>
      <c r="K29" s="75">
        <v>500</v>
      </c>
    </row>
    <row r="30" spans="1:11" ht="49.5" customHeight="1" thickBot="1" x14ac:dyDescent="0.25">
      <c r="A30" s="133">
        <v>19</v>
      </c>
      <c r="B30" s="134" t="s">
        <v>92</v>
      </c>
      <c r="C30" s="195" t="s">
        <v>93</v>
      </c>
      <c r="D30" s="196" t="s">
        <v>93</v>
      </c>
      <c r="E30" s="196" t="s">
        <v>93</v>
      </c>
      <c r="F30" s="196" t="s">
        <v>93</v>
      </c>
      <c r="G30" s="197" t="s">
        <v>93</v>
      </c>
      <c r="H30" s="135" t="s">
        <v>168</v>
      </c>
      <c r="I30" s="60" t="s">
        <v>74</v>
      </c>
      <c r="J30" s="76">
        <v>104.1</v>
      </c>
      <c r="K30" s="75">
        <v>500</v>
      </c>
    </row>
    <row r="31" spans="1:11" ht="39.75" customHeight="1" thickBot="1" x14ac:dyDescent="0.25">
      <c r="A31" s="133">
        <v>20</v>
      </c>
      <c r="B31" s="134" t="s">
        <v>94</v>
      </c>
      <c r="C31" s="195" t="s">
        <v>95</v>
      </c>
      <c r="D31" s="196" t="s">
        <v>95</v>
      </c>
      <c r="E31" s="196" t="s">
        <v>95</v>
      </c>
      <c r="F31" s="196" t="s">
        <v>95</v>
      </c>
      <c r="G31" s="197" t="s">
        <v>95</v>
      </c>
      <c r="H31" s="135" t="s">
        <v>167</v>
      </c>
      <c r="I31" s="60" t="s">
        <v>74</v>
      </c>
      <c r="J31" s="76">
        <v>64.400000000000006</v>
      </c>
      <c r="K31" s="75">
        <v>200</v>
      </c>
    </row>
    <row r="32" spans="1:11" ht="39.75" customHeight="1" thickBot="1" x14ac:dyDescent="0.25">
      <c r="A32" s="133">
        <v>21</v>
      </c>
      <c r="B32" s="134" t="s">
        <v>96</v>
      </c>
      <c r="C32" s="195" t="s">
        <v>97</v>
      </c>
      <c r="D32" s="196" t="s">
        <v>97</v>
      </c>
      <c r="E32" s="196" t="s">
        <v>97</v>
      </c>
      <c r="F32" s="196" t="s">
        <v>97</v>
      </c>
      <c r="G32" s="197" t="s">
        <v>97</v>
      </c>
      <c r="H32" s="135" t="s">
        <v>167</v>
      </c>
      <c r="I32" s="60" t="s">
        <v>74</v>
      </c>
      <c r="J32" s="76">
        <v>375.8</v>
      </c>
      <c r="K32" s="75">
        <v>200</v>
      </c>
    </row>
    <row r="33" spans="1:11" ht="42" customHeight="1" thickBot="1" x14ac:dyDescent="0.25">
      <c r="A33" s="133">
        <v>22</v>
      </c>
      <c r="B33" s="134" t="s">
        <v>98</v>
      </c>
      <c r="C33" s="195" t="s">
        <v>99</v>
      </c>
      <c r="D33" s="196" t="s">
        <v>99</v>
      </c>
      <c r="E33" s="196" t="s">
        <v>99</v>
      </c>
      <c r="F33" s="196" t="s">
        <v>99</v>
      </c>
      <c r="G33" s="197" t="s">
        <v>99</v>
      </c>
      <c r="H33" s="135" t="s">
        <v>167</v>
      </c>
      <c r="I33" s="60" t="s">
        <v>74</v>
      </c>
      <c r="J33" s="76">
        <v>2533.06</v>
      </c>
      <c r="K33" s="75">
        <v>350</v>
      </c>
    </row>
    <row r="34" spans="1:11" ht="45" customHeight="1" thickBot="1" x14ac:dyDescent="0.25">
      <c r="A34" s="133">
        <v>23</v>
      </c>
      <c r="B34" s="134" t="s">
        <v>100</v>
      </c>
      <c r="C34" s="195" t="s">
        <v>101</v>
      </c>
      <c r="D34" s="196" t="s">
        <v>101</v>
      </c>
      <c r="E34" s="196" t="s">
        <v>101</v>
      </c>
      <c r="F34" s="196" t="s">
        <v>101</v>
      </c>
      <c r="G34" s="197" t="s">
        <v>101</v>
      </c>
      <c r="H34" s="135" t="s">
        <v>167</v>
      </c>
      <c r="I34" s="60" t="s">
        <v>74</v>
      </c>
      <c r="J34" s="76">
        <v>1153.7</v>
      </c>
      <c r="K34" s="75">
        <v>350</v>
      </c>
    </row>
    <row r="35" spans="1:11" ht="43.5" customHeight="1" thickBot="1" x14ac:dyDescent="0.25">
      <c r="A35" s="133">
        <v>24</v>
      </c>
      <c r="B35" s="134" t="s">
        <v>102</v>
      </c>
      <c r="C35" s="195" t="s">
        <v>103</v>
      </c>
      <c r="D35" s="196" t="s">
        <v>103</v>
      </c>
      <c r="E35" s="196" t="s">
        <v>103</v>
      </c>
      <c r="F35" s="196" t="s">
        <v>103</v>
      </c>
      <c r="G35" s="197" t="s">
        <v>103</v>
      </c>
      <c r="H35" s="135" t="s">
        <v>168</v>
      </c>
      <c r="I35" s="60" t="s">
        <v>54</v>
      </c>
      <c r="J35" s="76">
        <v>164.4</v>
      </c>
      <c r="K35" s="75">
        <v>500</v>
      </c>
    </row>
    <row r="36" spans="1:11" ht="38.25" customHeight="1" thickBot="1" x14ac:dyDescent="0.25">
      <c r="A36" s="133">
        <v>25</v>
      </c>
      <c r="B36" s="134" t="s">
        <v>104</v>
      </c>
      <c r="C36" s="195" t="s">
        <v>105</v>
      </c>
      <c r="D36" s="196" t="s">
        <v>105</v>
      </c>
      <c r="E36" s="196" t="s">
        <v>105</v>
      </c>
      <c r="F36" s="196" t="s">
        <v>105</v>
      </c>
      <c r="G36" s="197" t="s">
        <v>105</v>
      </c>
      <c r="H36" s="135" t="s">
        <v>167</v>
      </c>
      <c r="I36" s="60" t="s">
        <v>54</v>
      </c>
      <c r="J36" s="76">
        <v>21.2</v>
      </c>
      <c r="K36" s="75">
        <v>500</v>
      </c>
    </row>
    <row r="37" spans="1:11" ht="37.5" customHeight="1" thickBot="1" x14ac:dyDescent="0.25">
      <c r="A37" s="133">
        <v>26</v>
      </c>
      <c r="B37" s="134" t="s">
        <v>106</v>
      </c>
      <c r="C37" s="195" t="s">
        <v>107</v>
      </c>
      <c r="D37" s="196" t="s">
        <v>107</v>
      </c>
      <c r="E37" s="196" t="s">
        <v>107</v>
      </c>
      <c r="F37" s="196" t="s">
        <v>107</v>
      </c>
      <c r="G37" s="197" t="s">
        <v>107</v>
      </c>
      <c r="H37" s="135" t="s">
        <v>167</v>
      </c>
      <c r="I37" s="60" t="s">
        <v>54</v>
      </c>
      <c r="J37" s="76">
        <v>17.100000000000001</v>
      </c>
      <c r="K37" s="75">
        <v>500</v>
      </c>
    </row>
    <row r="38" spans="1:11" ht="42.75" customHeight="1" thickBot="1" x14ac:dyDescent="0.25">
      <c r="A38" s="133">
        <v>27</v>
      </c>
      <c r="B38" s="134" t="s">
        <v>108</v>
      </c>
      <c r="C38" s="195" t="s">
        <v>109</v>
      </c>
      <c r="D38" s="196" t="s">
        <v>109</v>
      </c>
      <c r="E38" s="196" t="s">
        <v>109</v>
      </c>
      <c r="F38" s="196" t="s">
        <v>109</v>
      </c>
      <c r="G38" s="197" t="s">
        <v>109</v>
      </c>
      <c r="H38" s="135" t="s">
        <v>167</v>
      </c>
      <c r="I38" s="60" t="s">
        <v>54</v>
      </c>
      <c r="J38" s="76">
        <v>270.7</v>
      </c>
      <c r="K38" s="75">
        <v>500</v>
      </c>
    </row>
    <row r="39" spans="1:11" ht="39.75" customHeight="1" thickBot="1" x14ac:dyDescent="0.25">
      <c r="A39" s="133">
        <v>28</v>
      </c>
      <c r="B39" s="134" t="s">
        <v>110</v>
      </c>
      <c r="C39" s="195" t="s">
        <v>111</v>
      </c>
      <c r="D39" s="196" t="s">
        <v>111</v>
      </c>
      <c r="E39" s="196" t="s">
        <v>111</v>
      </c>
      <c r="F39" s="196" t="s">
        <v>111</v>
      </c>
      <c r="G39" s="197" t="s">
        <v>111</v>
      </c>
      <c r="H39" s="135" t="s">
        <v>168</v>
      </c>
      <c r="I39" s="60" t="s">
        <v>54</v>
      </c>
      <c r="J39" s="76">
        <v>426.4</v>
      </c>
      <c r="K39" s="75">
        <v>500</v>
      </c>
    </row>
    <row r="40" spans="1:11" ht="42.75" customHeight="1" thickBot="1" x14ac:dyDescent="0.25">
      <c r="A40" s="133">
        <v>29</v>
      </c>
      <c r="B40" s="134" t="s">
        <v>112</v>
      </c>
      <c r="C40" s="195" t="s">
        <v>113</v>
      </c>
      <c r="D40" s="196" t="s">
        <v>113</v>
      </c>
      <c r="E40" s="196" t="s">
        <v>113</v>
      </c>
      <c r="F40" s="196" t="s">
        <v>113</v>
      </c>
      <c r="G40" s="197" t="s">
        <v>113</v>
      </c>
      <c r="H40" s="135" t="s">
        <v>170</v>
      </c>
      <c r="I40" s="60" t="s">
        <v>74</v>
      </c>
      <c r="J40" s="62">
        <v>113.4</v>
      </c>
      <c r="K40" s="61">
        <v>400</v>
      </c>
    </row>
    <row r="41" spans="1:11" ht="53.25" customHeight="1" thickBot="1" x14ac:dyDescent="0.25">
      <c r="A41" s="133">
        <v>30</v>
      </c>
      <c r="B41" s="134" t="s">
        <v>114</v>
      </c>
      <c r="C41" s="195" t="s">
        <v>115</v>
      </c>
      <c r="D41" s="196" t="s">
        <v>115</v>
      </c>
      <c r="E41" s="196" t="s">
        <v>115</v>
      </c>
      <c r="F41" s="196" t="s">
        <v>115</v>
      </c>
      <c r="G41" s="197" t="s">
        <v>115</v>
      </c>
      <c r="H41" s="135" t="s">
        <v>168</v>
      </c>
      <c r="I41" s="91" t="s">
        <v>74</v>
      </c>
      <c r="J41" s="93">
        <v>37.200000000000003</v>
      </c>
      <c r="K41" s="92">
        <v>400</v>
      </c>
    </row>
    <row r="42" spans="1:11" ht="42.75" customHeight="1" thickBot="1" x14ac:dyDescent="0.25">
      <c r="A42" s="133">
        <v>31</v>
      </c>
      <c r="B42" s="134" t="s">
        <v>116</v>
      </c>
      <c r="C42" s="195" t="s">
        <v>117</v>
      </c>
      <c r="D42" s="196" t="s">
        <v>117</v>
      </c>
      <c r="E42" s="196" t="s">
        <v>117</v>
      </c>
      <c r="F42" s="196" t="s">
        <v>117</v>
      </c>
      <c r="G42" s="197" t="s">
        <v>117</v>
      </c>
      <c r="H42" s="135" t="s">
        <v>167</v>
      </c>
      <c r="I42" s="91" t="s">
        <v>89</v>
      </c>
      <c r="J42" s="93">
        <v>102.4</v>
      </c>
      <c r="K42" s="92">
        <v>300</v>
      </c>
    </row>
    <row r="43" spans="1:11" ht="38.25" customHeight="1" thickBot="1" x14ac:dyDescent="0.25">
      <c r="A43" s="133">
        <v>32</v>
      </c>
      <c r="B43" s="134" t="s">
        <v>118</v>
      </c>
      <c r="C43" s="195" t="s">
        <v>119</v>
      </c>
      <c r="D43" s="196" t="s">
        <v>119</v>
      </c>
      <c r="E43" s="196" t="s">
        <v>119</v>
      </c>
      <c r="F43" s="196" t="s">
        <v>119</v>
      </c>
      <c r="G43" s="197" t="s">
        <v>119</v>
      </c>
      <c r="H43" s="135" t="s">
        <v>167</v>
      </c>
      <c r="I43" s="91" t="s">
        <v>74</v>
      </c>
      <c r="J43" s="93">
        <v>461.7</v>
      </c>
      <c r="K43" s="92">
        <v>300</v>
      </c>
    </row>
    <row r="44" spans="1:11" ht="33.75" customHeight="1" thickBot="1" x14ac:dyDescent="0.25">
      <c r="A44" s="133">
        <v>33</v>
      </c>
      <c r="B44" s="134" t="s">
        <v>120</v>
      </c>
      <c r="C44" s="195" t="s">
        <v>121</v>
      </c>
      <c r="D44" s="196" t="s">
        <v>121</v>
      </c>
      <c r="E44" s="196" t="s">
        <v>121</v>
      </c>
      <c r="F44" s="196" t="s">
        <v>121</v>
      </c>
      <c r="G44" s="197" t="s">
        <v>121</v>
      </c>
      <c r="H44" s="135" t="s">
        <v>167</v>
      </c>
      <c r="I44" s="91" t="s">
        <v>89</v>
      </c>
      <c r="J44" s="93">
        <v>200.93</v>
      </c>
      <c r="K44" s="92">
        <v>200</v>
      </c>
    </row>
    <row r="45" spans="1:11" ht="24" customHeight="1" thickBot="1" x14ac:dyDescent="0.25">
      <c r="A45" s="133">
        <v>34</v>
      </c>
      <c r="B45" s="134" t="s">
        <v>122</v>
      </c>
      <c r="C45" s="195" t="s">
        <v>123</v>
      </c>
      <c r="D45" s="196" t="s">
        <v>123</v>
      </c>
      <c r="E45" s="196" t="s">
        <v>123</v>
      </c>
      <c r="F45" s="196" t="s">
        <v>123</v>
      </c>
      <c r="G45" s="197" t="s">
        <v>123</v>
      </c>
      <c r="H45" s="135" t="s">
        <v>168</v>
      </c>
      <c r="I45" s="91" t="s">
        <v>89</v>
      </c>
      <c r="J45" s="93">
        <v>107.7</v>
      </c>
      <c r="K45" s="92">
        <v>200</v>
      </c>
    </row>
    <row r="46" spans="1:11" ht="24" customHeight="1" thickBot="1" x14ac:dyDescent="0.25">
      <c r="A46" s="133">
        <v>35</v>
      </c>
      <c r="B46" s="134" t="s">
        <v>124</v>
      </c>
      <c r="C46" s="195" t="s">
        <v>125</v>
      </c>
      <c r="D46" s="196" t="s">
        <v>125</v>
      </c>
      <c r="E46" s="196" t="s">
        <v>125</v>
      </c>
      <c r="F46" s="196" t="s">
        <v>125</v>
      </c>
      <c r="G46" s="197" t="s">
        <v>125</v>
      </c>
      <c r="H46" s="135" t="s">
        <v>168</v>
      </c>
      <c r="I46" s="91" t="s">
        <v>89</v>
      </c>
      <c r="J46" s="93">
        <v>237.9</v>
      </c>
      <c r="K46" s="92">
        <v>200</v>
      </c>
    </row>
    <row r="47" spans="1:11" ht="53.25" customHeight="1" thickBot="1" x14ac:dyDescent="0.25">
      <c r="A47" s="133">
        <v>36</v>
      </c>
      <c r="B47" s="134" t="s">
        <v>126</v>
      </c>
      <c r="C47" s="195" t="s">
        <v>127</v>
      </c>
      <c r="D47" s="196" t="s">
        <v>127</v>
      </c>
      <c r="E47" s="196" t="s">
        <v>127</v>
      </c>
      <c r="F47" s="196" t="s">
        <v>127</v>
      </c>
      <c r="G47" s="197" t="s">
        <v>127</v>
      </c>
      <c r="H47" s="135" t="s">
        <v>167</v>
      </c>
      <c r="I47" s="91" t="s">
        <v>74</v>
      </c>
      <c r="J47" s="93">
        <v>584.5</v>
      </c>
      <c r="K47" s="92">
        <v>100</v>
      </c>
    </row>
    <row r="48" spans="1:11" ht="66.75" customHeight="1" thickBot="1" x14ac:dyDescent="0.25">
      <c r="A48" s="133">
        <v>37</v>
      </c>
      <c r="B48" s="134" t="s">
        <v>128</v>
      </c>
      <c r="C48" s="195" t="s">
        <v>129</v>
      </c>
      <c r="D48" s="196" t="s">
        <v>129</v>
      </c>
      <c r="E48" s="196" t="s">
        <v>129</v>
      </c>
      <c r="F48" s="196" t="s">
        <v>129</v>
      </c>
      <c r="G48" s="197" t="s">
        <v>129</v>
      </c>
      <c r="H48" s="135" t="s">
        <v>168</v>
      </c>
      <c r="I48" s="91" t="s">
        <v>74</v>
      </c>
      <c r="J48" s="93">
        <v>43</v>
      </c>
      <c r="K48" s="92">
        <v>300</v>
      </c>
    </row>
    <row r="49" spans="1:11" ht="24" customHeight="1" thickBot="1" x14ac:dyDescent="0.25">
      <c r="A49" s="133">
        <v>38</v>
      </c>
      <c r="B49" s="134" t="s">
        <v>130</v>
      </c>
      <c r="C49" s="195" t="s">
        <v>131</v>
      </c>
      <c r="D49" s="196" t="s">
        <v>131</v>
      </c>
      <c r="E49" s="196" t="s">
        <v>131</v>
      </c>
      <c r="F49" s="196" t="s">
        <v>131</v>
      </c>
      <c r="G49" s="197" t="s">
        <v>131</v>
      </c>
      <c r="H49" s="135" t="s">
        <v>167</v>
      </c>
      <c r="I49" s="91" t="s">
        <v>74</v>
      </c>
      <c r="J49" s="93">
        <v>429.3</v>
      </c>
      <c r="K49" s="92">
        <v>300</v>
      </c>
    </row>
    <row r="50" spans="1:11" ht="24" customHeight="1" thickBot="1" x14ac:dyDescent="0.25">
      <c r="A50" s="133">
        <v>39</v>
      </c>
      <c r="B50" s="134" t="s">
        <v>132</v>
      </c>
      <c r="C50" s="195" t="s">
        <v>133</v>
      </c>
      <c r="D50" s="196" t="s">
        <v>133</v>
      </c>
      <c r="E50" s="196" t="s">
        <v>133</v>
      </c>
      <c r="F50" s="196" t="s">
        <v>133</v>
      </c>
      <c r="G50" s="197" t="s">
        <v>133</v>
      </c>
      <c r="H50" s="135" t="s">
        <v>167</v>
      </c>
      <c r="I50" s="91" t="s">
        <v>74</v>
      </c>
      <c r="J50" s="93">
        <v>429.3</v>
      </c>
      <c r="K50" s="92">
        <v>300</v>
      </c>
    </row>
    <row r="51" spans="1:11" ht="63" customHeight="1" thickBot="1" x14ac:dyDescent="0.25">
      <c r="A51" s="133">
        <v>40</v>
      </c>
      <c r="B51" s="134" t="s">
        <v>134</v>
      </c>
      <c r="C51" s="195" t="s">
        <v>135</v>
      </c>
      <c r="D51" s="196" t="s">
        <v>135</v>
      </c>
      <c r="E51" s="196" t="s">
        <v>135</v>
      </c>
      <c r="F51" s="196" t="s">
        <v>135</v>
      </c>
      <c r="G51" s="197" t="s">
        <v>135</v>
      </c>
      <c r="H51" s="135" t="s">
        <v>167</v>
      </c>
      <c r="I51" s="91" t="s">
        <v>74</v>
      </c>
      <c r="J51" s="93">
        <v>41.1</v>
      </c>
      <c r="K51" s="92">
        <v>400</v>
      </c>
    </row>
    <row r="52" spans="1:11" ht="55.5" customHeight="1" thickBot="1" x14ac:dyDescent="0.25">
      <c r="A52" s="133">
        <v>41</v>
      </c>
      <c r="B52" s="134" t="s">
        <v>136</v>
      </c>
      <c r="C52" s="195" t="s">
        <v>137</v>
      </c>
      <c r="D52" s="196" t="s">
        <v>137</v>
      </c>
      <c r="E52" s="196" t="s">
        <v>137</v>
      </c>
      <c r="F52" s="196" t="s">
        <v>137</v>
      </c>
      <c r="G52" s="197" t="s">
        <v>137</v>
      </c>
      <c r="H52" s="135" t="s">
        <v>167</v>
      </c>
      <c r="I52" s="91" t="s">
        <v>74</v>
      </c>
      <c r="J52" s="93">
        <v>26.7</v>
      </c>
      <c r="K52" s="92">
        <v>400</v>
      </c>
    </row>
    <row r="53" spans="1:11" ht="55.5" customHeight="1" thickBot="1" x14ac:dyDescent="0.25">
      <c r="A53" s="133">
        <v>42</v>
      </c>
      <c r="B53" s="134" t="s">
        <v>176</v>
      </c>
      <c r="C53" s="201" t="s">
        <v>138</v>
      </c>
      <c r="D53" s="202" t="s">
        <v>138</v>
      </c>
      <c r="E53" s="202" t="s">
        <v>138</v>
      </c>
      <c r="F53" s="202" t="s">
        <v>138</v>
      </c>
      <c r="G53" s="203" t="s">
        <v>138</v>
      </c>
      <c r="H53" s="135" t="s">
        <v>167</v>
      </c>
      <c r="I53" s="91" t="s">
        <v>74</v>
      </c>
      <c r="J53" s="93">
        <v>22.2</v>
      </c>
      <c r="K53" s="92">
        <v>400</v>
      </c>
    </row>
    <row r="54" spans="1:11" ht="72.75" customHeight="1" thickBot="1" x14ac:dyDescent="0.25">
      <c r="A54" s="133">
        <v>43</v>
      </c>
      <c r="B54" s="134" t="s">
        <v>139</v>
      </c>
      <c r="C54" s="195" t="s">
        <v>140</v>
      </c>
      <c r="D54" s="196" t="s">
        <v>138</v>
      </c>
      <c r="E54" s="196" t="s">
        <v>138</v>
      </c>
      <c r="F54" s="196" t="s">
        <v>138</v>
      </c>
      <c r="G54" s="197" t="s">
        <v>138</v>
      </c>
      <c r="H54" s="135" t="s">
        <v>167</v>
      </c>
      <c r="I54" s="91" t="s">
        <v>74</v>
      </c>
      <c r="J54" s="93">
        <v>1043.56</v>
      </c>
      <c r="K54" s="92">
        <v>800</v>
      </c>
    </row>
    <row r="55" spans="1:11" ht="60.75" customHeight="1" x14ac:dyDescent="0.2">
      <c r="A55" s="133">
        <v>44</v>
      </c>
      <c r="B55" s="134" t="s">
        <v>141</v>
      </c>
      <c r="C55" s="201" t="s">
        <v>142</v>
      </c>
      <c r="D55" s="202" t="s">
        <v>138</v>
      </c>
      <c r="E55" s="202" t="s">
        <v>138</v>
      </c>
      <c r="F55" s="202" t="s">
        <v>138</v>
      </c>
      <c r="G55" s="203" t="s">
        <v>138</v>
      </c>
      <c r="H55" s="135" t="s">
        <v>167</v>
      </c>
      <c r="I55" s="91" t="s">
        <v>74</v>
      </c>
      <c r="J55" s="93">
        <v>1284.5999999999999</v>
      </c>
      <c r="K55" s="92">
        <v>800</v>
      </c>
    </row>
    <row r="56" spans="1:11" ht="55.5" customHeight="1" thickBot="1" x14ac:dyDescent="0.25">
      <c r="A56" s="204" t="s">
        <v>178</v>
      </c>
      <c r="B56" s="204"/>
      <c r="C56" s="204"/>
      <c r="D56" s="204"/>
      <c r="E56" s="204"/>
      <c r="F56" s="204"/>
      <c r="G56" s="204"/>
      <c r="H56" s="204"/>
      <c r="I56" s="204"/>
      <c r="J56" s="199">
        <v>6365298</v>
      </c>
      <c r="K56" s="200"/>
    </row>
  </sheetData>
  <mergeCells count="63">
    <mergeCell ref="J56:K56"/>
    <mergeCell ref="C46:G46"/>
    <mergeCell ref="C47:G47"/>
    <mergeCell ref="C48:G48"/>
    <mergeCell ref="C49:G49"/>
    <mergeCell ref="C50:G50"/>
    <mergeCell ref="C51:G51"/>
    <mergeCell ref="C52:G52"/>
    <mergeCell ref="C53:G53"/>
    <mergeCell ref="C54:G54"/>
    <mergeCell ref="C55:G55"/>
    <mergeCell ref="A56:I56"/>
    <mergeCell ref="C45:G45"/>
    <mergeCell ref="C34:G34"/>
    <mergeCell ref="C35:G35"/>
    <mergeCell ref="C36:G36"/>
    <mergeCell ref="C37:G37"/>
    <mergeCell ref="C38:G38"/>
    <mergeCell ref="C39:G39"/>
    <mergeCell ref="C40:G40"/>
    <mergeCell ref="C41:G41"/>
    <mergeCell ref="C42:G42"/>
    <mergeCell ref="C43:G43"/>
    <mergeCell ref="C44:G44"/>
    <mergeCell ref="C33:G33"/>
    <mergeCell ref="C23:G23"/>
    <mergeCell ref="C24:G24"/>
    <mergeCell ref="C25:G25"/>
    <mergeCell ref="C26:G26"/>
    <mergeCell ref="C27:G27"/>
    <mergeCell ref="C28:G28"/>
    <mergeCell ref="C29:G29"/>
    <mergeCell ref="C30:G30"/>
    <mergeCell ref="C31:G31"/>
    <mergeCell ref="C32:G32"/>
    <mergeCell ref="C22:G22"/>
    <mergeCell ref="K10:K11"/>
    <mergeCell ref="C12:G12"/>
    <mergeCell ref="C13:G13"/>
    <mergeCell ref="C14:G14"/>
    <mergeCell ref="C15:G15"/>
    <mergeCell ref="C16:G16"/>
    <mergeCell ref="C17:G17"/>
    <mergeCell ref="C18:G18"/>
    <mergeCell ref="C19:G19"/>
    <mergeCell ref="C20:G20"/>
    <mergeCell ref="C21:G21"/>
    <mergeCell ref="A7:C7"/>
    <mergeCell ref="D7:K7"/>
    <mergeCell ref="A8:C8"/>
    <mergeCell ref="D8:K8"/>
    <mergeCell ref="A10:A11"/>
    <mergeCell ref="B10:B11"/>
    <mergeCell ref="C10:G11"/>
    <mergeCell ref="H10:H11"/>
    <mergeCell ref="I10:I11"/>
    <mergeCell ref="J10:J11"/>
    <mergeCell ref="A6:C6"/>
    <mergeCell ref="D4:K4"/>
    <mergeCell ref="A1:I1"/>
    <mergeCell ref="A3:C3"/>
    <mergeCell ref="A4:C4"/>
    <mergeCell ref="A5:C5"/>
  </mergeCells>
  <pageMargins left="0.70866141732283472" right="0.70866141732283472" top="0.74803149606299213" bottom="0.74803149606299213" header="0.31496062992125984" footer="0.31496062992125984"/>
  <pageSetup scale="70" orientation="landscape" horizontalDpi="0" verticalDpi="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Autor Gastar</vt:lpstr>
      <vt:lpstr>NPT</vt:lpstr>
      <vt:lpstr>NP</vt:lpstr>
      <vt:lpstr>'Autor Gastar'!Área_de_impresión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MARTIN</cp:lastModifiedBy>
  <cp:revision>3</cp:revision>
  <cp:lastPrinted>2022-07-12T12:22:21Z</cp:lastPrinted>
  <dcterms:created xsi:type="dcterms:W3CDTF">2020-07-17T23:44:49Z</dcterms:created>
  <dcterms:modified xsi:type="dcterms:W3CDTF">2022-07-12T12:24:19Z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