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05" windowWidth="19410" windowHeight="11010" tabRatio="500"/>
  </bookViews>
  <sheets>
    <sheet name="Necesidades Trimestrales" sheetId="1" r:id="rId1"/>
    <sheet name="NotaPedido" sheetId="2" r:id="rId2"/>
    <sheet name="Autor Gastar" sheetId="3" r:id="rId3"/>
  </sheets>
  <definedNames>
    <definedName name="_xlnm._FilterDatabase" localSheetId="0" hidden="1">'Necesidades Trimestrales'!$A$9:$I$13</definedName>
    <definedName name="_xlnm.Print_Area" localSheetId="2">'Autor Gastar'!$A$1:$Q$28</definedName>
    <definedName name="_xlnm.Print_Area" localSheetId="1">NotaPedido!$A$1:$K$16</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3" i="2" l="1"/>
  <c r="K14" i="2"/>
  <c r="K15" i="2"/>
  <c r="J13" i="2"/>
  <c r="J14" i="2"/>
  <c r="J15" i="2"/>
  <c r="I13" i="2"/>
  <c r="I14" i="2"/>
  <c r="I15" i="2"/>
  <c r="B13" i="2"/>
  <c r="B14" i="2"/>
  <c r="B15" i="2"/>
  <c r="C13" i="2"/>
  <c r="C14" i="2"/>
  <c r="C15" i="2"/>
  <c r="I10" i="1"/>
  <c r="I12" i="1" l="1"/>
  <c r="I13" i="1"/>
  <c r="A27" i="3" l="1"/>
  <c r="A10" i="3"/>
  <c r="K12" i="2"/>
  <c r="J12" i="2"/>
  <c r="I12" i="2"/>
  <c r="C12" i="2"/>
  <c r="B12" i="2"/>
  <c r="I11" i="1"/>
  <c r="J16" i="2" l="1"/>
  <c r="G6" i="3" l="1"/>
  <c r="G7" i="3"/>
  <c r="D7" i="2"/>
  <c r="D3" i="2"/>
  <c r="G4" i="3" s="1"/>
  <c r="D4" i="2"/>
  <c r="G5" i="3" s="1"/>
  <c r="D1" i="3" l="1"/>
  <c r="Q24" i="3"/>
</calcChain>
</file>

<file path=xl/sharedStrings.xml><?xml version="1.0" encoding="utf-8"?>
<sst xmlns="http://schemas.openxmlformats.org/spreadsheetml/2006/main" count="105" uniqueCount="89">
  <si>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</si>
  <si>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</si>
  <si>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</si>
  <si>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</si>
  <si>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</si>
  <si>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</si>
  <si>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</si>
  <si>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</si>
  <si>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</si>
  <si>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</si>
  <si>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</si>
  <si>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</si>
  <si>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</si>
  <si>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</si>
  <si>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</si>
  <si>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</si>
  <si>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</si>
  <si>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</si>
  <si>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</si>
  <si>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</si>
  <si>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</si>
  <si>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</si>
  <si>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</si>
  <si>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</si>
  <si>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</si>
  <si>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</si>
  <si>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</si>
  <si>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</si>
  <si>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</si>
  <si>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</si>
  <si>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</si>
  <si>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</si>
  <si>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</si>
  <si>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</si>
  <si>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</si>
  <si>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</si>
  <si>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</si>
  <si>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</si>
  <si>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</si>
  <si>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</si>
  <si>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</si>
  <si>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</si>
  <si>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</si>
  <si>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</si>
  <si>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</si>
  <si>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</si>
  <si>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</si>
  <si>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</si>
  <si>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</si>
  <si>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</si>
  <si>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</si>
  <si>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</si>
  <si>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</si>
  <si>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</si>
  <si>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</si>
  <si>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</si>
  <si>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</si>
  <si>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</si>
  <si>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</si>
  <si>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</si>
  <si>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 xml:space="preserve">45 dias habiles </t>
  </si>
  <si>
    <t>3.1</t>
  </si>
  <si>
    <t>1.1</t>
  </si>
  <si>
    <t>Utiles Menores Med. Quir. y de Lab.</t>
  </si>
  <si>
    <t xml:space="preserve">Servicio de Esterilización </t>
  </si>
  <si>
    <t>Adquisición de Insumos para Esterilización</t>
  </si>
  <si>
    <t>2.9.5</t>
  </si>
  <si>
    <t xml:space="preserve">UNIDAD </t>
  </si>
  <si>
    <t>LUPAS; POTENCIA: 75 Diop, DIAMETRO: 65 mm, MATERIAL LENTE: VIDRIO, ACCESORIO: C/LUZ, ARMAZON: PLASTICO, ESTRUCTURA: PLASTICO</t>
  </si>
  <si>
    <t xml:space="preserve">UT. MENORES MED. QUIRUR. Y DE LAB. </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</si>
  <si>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</si>
  <si>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Especificidades Tecnicas:</t>
  </si>
  <si>
    <t>2.5.9</t>
  </si>
  <si>
    <t xml:space="preserve">OTROS NEP </t>
  </si>
  <si>
    <t xml:space="preserve">Otros NEP </t>
  </si>
  <si>
    <t xml:space="preserve">15 dias habiles - Servicio de Esterilización del HISJB - Avda. Illia y Mariano Moreno - Lunes a viernes de 08:00 a 12:00 horas </t>
  </si>
  <si>
    <t>Polipropileno Paquete x 100 hojas 1 mt. x 1 mt. Tipo ST PACK</t>
  </si>
  <si>
    <t>2.5.8</t>
  </si>
  <si>
    <t xml:space="preserve">PRODUCTOS DE MATERIAL PLASTICO </t>
  </si>
  <si>
    <t>PAPEL GRADO MEDICO 80 CM X 330 MTS</t>
  </si>
  <si>
    <t xml:space="preserve">Productos de Material Plastico </t>
  </si>
  <si>
    <t xml:space="preserve">BOBINA </t>
  </si>
  <si>
    <t>003 - 2022</t>
  </si>
  <si>
    <t>Cartucho de Oxido de Etileno x 160 grs. Diam. 50mm. X 174mm.</t>
  </si>
  <si>
    <t>2.5.1</t>
  </si>
  <si>
    <t xml:space="preserve">COMPUESTOS QUIMICOS </t>
  </si>
  <si>
    <t>Costo total estimado: SETECIENTOS CUARENTA Y NUEVE MIL NOVECIENTOS CUARENTA CON 00/100.---</t>
  </si>
  <si>
    <t xml:space="preserve">Compuestos Quimicos </t>
  </si>
  <si>
    <t>TOTAL DE PESOS: SETECIENTOS CUARENTA Y NUEVE MIL NOVECIENTOS CUARENTA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</si>
</sst>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sz val="12"/>
      <name val="Calibri"/>
      <family val="2"/>
    </font>
    <font>
      <sz val="9"/>
      <name val="Arial"/>
      <family val="2"/>
    </font>
    <font>
      <sz val="12"/>
      <color rgb="FF000000"/>
      <name val="Calibri"/>
      <family val="2"/>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rgb="FFF2F2F2"/>
        <bgColor rgb="FFF2F2F2"/>
      </patternFill>
    </fill>
  </fills>
  <borders count="51">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rgb="FF3D3D3D"/>
      </left>
      <right style="medium">
        <color rgb="FF3D3D3D"/>
      </right>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40">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19" xfId="0" applyFont="1" applyBorder="1" applyAlignment="1">
      <alignment horizontal="center"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3" fillId="0" borderId="4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1"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1"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0" fillId="0" borderId="14" xfId="0" applyFont="1" applyBorder="1" applyAlignment="1">
      <alignment horizontal="center" vertical="center"/>
    </xf>
    <xf numFmtId="0" fontId="23" fillId="0" borderId="14" xfId="0" applyFont="1" applyFill="1" applyBorder="1" applyAlignment="1">
      <alignment vertical="center" wrapText="1"/>
    </xf>
    <xf numFmtId="0" fontId="22" fillId="4" borderId="0" xfId="0" applyFont="1" applyFill="1" applyAlignment="1">
      <alignment horizontal="left" wrapText="1" indent="1"/>
    </xf>
    <xf numFmtId="0" fontId="19" fillId="5" borderId="0" xfId="0" applyFont="1" applyFill="1" applyAlignment="1">
      <alignment horizontal="left" wrapText="1"/>
    </xf>
    <xf numFmtId="0" fontId="4" fillId="5" borderId="19" xfId="0" applyFont="1" applyFill="1" applyBorder="1" applyAlignment="1">
      <alignment horizontal="left"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wrapText="1"/>
    </xf>
    <xf numFmtId="3" fontId="4" fillId="5" borderId="19" xfId="0" applyNumberFormat="1" applyFont="1" applyFill="1" applyBorder="1" applyAlignment="1">
      <alignment horizontal="center" vertical="center"/>
    </xf>
    <xf numFmtId="0" fontId="14" fillId="0" borderId="36" xfId="0" applyFont="1" applyBorder="1" applyAlignment="1">
      <alignment horizontal="center" vertical="center"/>
    </xf>
    <xf numFmtId="0" fontId="14"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4"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25" fillId="4" borderId="14" xfId="0" applyFont="1" applyFill="1" applyBorder="1" applyAlignment="1">
      <alignment horizontal="center" vertical="center" wrapText="1"/>
    </xf>
    <xf numFmtId="0" fontId="25" fillId="0" borderId="14" xfId="0" applyFont="1" applyBorder="1" applyAlignment="1">
      <alignment horizontal="left" vertical="center" wrapText="1"/>
    </xf>
    <xf numFmtId="0" fontId="25" fillId="0" borderId="14" xfId="0" applyFont="1" applyBorder="1" applyAlignment="1">
      <alignment horizontal="center" vertical="center" wrapText="1"/>
    </xf>
    <xf numFmtId="166" fontId="23" fillId="4" borderId="14" xfId="1" applyNumberFormat="1" applyFont="1" applyFill="1" applyBorder="1" applyAlignment="1" applyProtection="1">
      <alignment horizontal="right" vertical="center" wrapText="1"/>
    </xf>
    <xf numFmtId="0" fontId="23" fillId="6" borderId="14" xfId="0" applyFont="1" applyFill="1" applyBorder="1" applyAlignment="1">
      <alignment vertical="center"/>
    </xf>
    <xf numFmtId="0" fontId="6" fillId="4" borderId="11" xfId="0" applyFont="1" applyFill="1" applyBorder="1" applyAlignment="1">
      <alignment horizontal="center" vertical="center"/>
    </xf>
    <xf numFmtId="166" fontId="4" fillId="5" borderId="19" xfId="1" applyNumberFormat="1" applyFont="1" applyFill="1" applyBorder="1" applyAlignment="1" applyProtection="1">
      <alignment horizontal="right" vertical="center" wrapText="1"/>
    </xf>
    <xf numFmtId="166" fontId="23" fillId="4" borderId="14" xfId="1" applyNumberFormat="1" applyFont="1" applyFill="1" applyBorder="1" applyAlignment="1" applyProtection="1">
      <alignment horizontal="center" vertical="center" wrapText="1"/>
    </xf>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14" fillId="4" borderId="36" xfId="0" applyFont="1" applyFill="1" applyBorder="1" applyAlignment="1">
      <alignment horizontal="center" vertical="center"/>
    </xf>
    <xf numFmtId="0" fontId="0" fillId="5" borderId="36" xfId="0" applyFont="1" applyFill="1" applyBorder="1" applyAlignment="1">
      <alignment horizontal="center" vertical="center"/>
    </xf>
    <xf numFmtId="0" fontId="0" fillId="4" borderId="37" xfId="0" applyFont="1" applyFill="1" applyBorder="1" applyAlignment="1">
      <alignment horizontal="center" vertical="center"/>
    </xf>
    <xf numFmtId="166" fontId="0" fillId="0" borderId="48" xfId="3" applyNumberFormat="1" applyFont="1" applyBorder="1" applyAlignment="1" applyProtection="1">
      <alignment horizontal="center" vertical="center"/>
    </xf>
    <xf numFmtId="0" fontId="16" fillId="0" borderId="0" xfId="0" applyFont="1" applyBorder="1" applyAlignment="1">
      <alignment horizontal="center"/>
    </xf>
    <xf numFmtId="0" fontId="17" fillId="0" borderId="0" xfId="0" applyFont="1" applyBorder="1" applyAlignment="1">
      <alignment horizontal="left" vertical="center" wrapText="1"/>
    </xf>
    <xf numFmtId="0" fontId="22" fillId="4" borderId="0" xfId="0" applyFont="1" applyFill="1" applyBorder="1" applyAlignment="1">
      <alignment horizontal="left" wrapText="1" indent="1"/>
    </xf>
    <xf numFmtId="0" fontId="15" fillId="3" borderId="6" xfId="0" applyFont="1" applyFill="1" applyBorder="1" applyAlignment="1">
      <alignment horizontal="center" wrapText="1"/>
    </xf>
    <xf numFmtId="0" fontId="15" fillId="3" borderId="0"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15" fillId="3" borderId="6" xfId="0" applyFont="1" applyFill="1" applyBorder="1" applyAlignment="1">
      <alignment horizontal="center"/>
    </xf>
    <xf numFmtId="0" fontId="15" fillId="3" borderId="0"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0" xfId="0" applyFont="1" applyFill="1" applyBorder="1" applyAlignment="1">
      <alignment horizontal="left" vertical="center"/>
    </xf>
    <xf numFmtId="0" fontId="15" fillId="3" borderId="6" xfId="0" applyFont="1" applyFill="1" applyBorder="1" applyAlignment="1">
      <alignment horizontal="left" vertical="center"/>
    </xf>
    <xf numFmtId="0" fontId="15" fillId="4" borderId="6" xfId="0" applyFont="1" applyFill="1" applyBorder="1" applyAlignment="1">
      <alignment horizontal="center"/>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5"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7" fillId="0" borderId="16" xfId="0" applyFont="1" applyBorder="1" applyAlignment="1">
      <alignment horizontal="left" vertical="center"/>
    </xf>
    <xf numFmtId="0" fontId="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6"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4" fillId="5" borderId="19" xfId="0" applyFont="1" applyFill="1" applyBorder="1" applyAlignment="1">
      <alignment horizontal="left" vertical="center" wrapText="1"/>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xf numFmtId="0" fontId="11" fillId="0" borderId="11" xfId="0" applyFont="1" applyBorder="1" applyAlignment="1">
      <alignment horizontal="left" indent="1"/>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2" fillId="0" borderId="11" xfId="0" applyFont="1" applyBorder="1" applyAlignment="1">
      <alignment horizontal="left"/>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24" fillId="0" borderId="32" xfId="0" applyFont="1" applyBorder="1" applyAlignment="1">
      <alignment horizontal="left" vertical="center" wrapText="1"/>
    </xf>
    <xf numFmtId="0" fontId="24" fillId="0" borderId="38" xfId="0" applyFont="1" applyBorder="1" applyAlignment="1">
      <alignment horizontal="left" vertical="center"/>
    </xf>
    <xf numFmtId="0" fontId="14" fillId="0" borderId="38" xfId="0" applyFont="1" applyBorder="1" applyAlignment="1">
      <alignment horizontal="left" vertical="center"/>
    </xf>
    <xf numFmtId="0" fontId="0" fillId="0" borderId="38" xfId="0" applyFont="1" applyBorder="1" applyAlignment="1">
      <alignment horizontal="left" vertical="center"/>
    </xf>
    <xf numFmtId="0" fontId="24" fillId="0" borderId="49" xfId="0" applyFont="1" applyBorder="1" applyAlignment="1">
      <alignment horizontal="left" vertical="center"/>
    </xf>
    <xf numFmtId="0" fontId="24" fillId="0" borderId="50" xfId="0" applyFont="1" applyBorder="1" applyAlignment="1">
      <alignment horizontal="left" vertical="center"/>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Border="1" applyAlignment="1">
      <alignment horizontal="left" vertical="center"/>
    </xf>
    <xf numFmtId="0" fontId="0" fillId="0" borderId="41" xfId="0" applyBorder="1" applyAlignment="1">
      <alignment horizontal="left" vertical="center"/>
    </xf>
    <xf numFmtId="0" fontId="13" fillId="0" borderId="44" xfId="0" applyFont="1" applyBorder="1" applyAlignment="1">
      <alignment horizontal="left" vertical="center" wrapText="1"/>
    </xf>
    <xf numFmtId="0" fontId="0" fillId="0" borderId="22" xfId="0" applyBorder="1"/>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9"/>
  <sheetViews>
    <sheetView tabSelected="1" topLeftCell="A10" zoomScale="85" zoomScaleNormal="85" workbookViewId="0">
      <selection activeCell="I18" sqref="I18"/>
    </sheetView>
  </sheetViews>
  <sheetFormatPr baseColWidth="10" defaultColWidth="11" defaultRowHeight="12.75" x14ac:dyDescent="0.2"/>
  <cols>
    <col min="1" max="1" width="4.5703125" style="39" customWidth="1"/>
    <col min="2" max="2" width="12.85546875" style="39" customWidth="1"/>
    <col min="3" max="3" width="32.42578125" style="39" customWidth="1"/>
    <col min="4" max="4" width="8.42578125" style="39" customWidth="1"/>
    <col min="5" max="5" width="79" style="39" customWidth="1"/>
    <col min="6" max="6" width="11" style="39"/>
    <col min="7" max="7" width="12.7109375" style="39" customWidth="1"/>
    <col min="8" max="8" width="13.85546875" style="39" customWidth="1"/>
    <col min="9" max="9" width="18.5703125" style="39" customWidth="1"/>
    <col min="10" max="16384" width="11" style="39"/>
  </cols>
  <sheetData>
    <row r="2" spans="1:9" ht="27" x14ac:dyDescent="0.35">
      <c r="B2" s="86" t="s">
        <v>0</v>
      </c>
      <c r="C2" s="86"/>
      <c r="D2" s="86"/>
      <c r="E2" s="86"/>
      <c r="F2" s="86"/>
      <c r="G2" s="86"/>
      <c r="H2" s="86"/>
    </row>
    <row r="4" spans="1:9" ht="18" customHeight="1" x14ac:dyDescent="0.25">
      <c r="A4" s="87" t="s">
        <v>1</v>
      </c>
      <c r="B4" s="87"/>
      <c r="C4" s="88" t="s">
        <v>57</v>
      </c>
      <c r="D4" s="88"/>
      <c r="E4" s="88"/>
      <c r="F4" s="40"/>
      <c r="G4" s="41"/>
      <c r="H4" s="40"/>
    </row>
    <row r="5" spans="1:9" ht="18" customHeight="1" x14ac:dyDescent="0.25">
      <c r="A5" s="87" t="s">
        <v>2</v>
      </c>
      <c r="B5" s="87"/>
      <c r="C5" s="88" t="s">
        <v>58</v>
      </c>
      <c r="D5" s="88"/>
      <c r="E5" s="88"/>
      <c r="F5" s="40"/>
      <c r="G5" s="41"/>
      <c r="H5" s="40"/>
    </row>
    <row r="6" spans="1:9" ht="16.5" customHeight="1" x14ac:dyDescent="0.25">
      <c r="A6" s="87" t="s">
        <v>3</v>
      </c>
      <c r="B6" s="87"/>
      <c r="C6" s="58">
        <v>2022</v>
      </c>
      <c r="D6" s="59"/>
      <c r="E6" s="59"/>
      <c r="F6" s="40"/>
      <c r="G6" s="41"/>
      <c r="H6" s="40"/>
    </row>
    <row r="7" spans="1:9" ht="16.5" customHeight="1" x14ac:dyDescent="0.25">
      <c r="A7" s="87" t="s">
        <v>4</v>
      </c>
      <c r="B7" s="87"/>
      <c r="C7" s="58">
        <v>1</v>
      </c>
      <c r="D7" s="59"/>
      <c r="E7" s="59"/>
      <c r="F7" s="40"/>
      <c r="G7" s="41"/>
      <c r="H7" s="40"/>
    </row>
    <row r="8" spans="1:9" ht="13.5" thickBot="1" x14ac:dyDescent="0.25">
      <c r="B8" s="40"/>
      <c r="C8" s="41"/>
      <c r="D8" s="40"/>
      <c r="E8" s="40"/>
      <c r="F8" s="40"/>
      <c r="G8" s="41"/>
      <c r="H8" s="40"/>
    </row>
    <row r="9" spans="1:9" ht="39" thickBot="1" x14ac:dyDescent="0.25">
      <c r="A9" s="55" t="s">
        <v>5</v>
      </c>
      <c r="B9" s="55" t="s">
        <v>6</v>
      </c>
      <c r="C9" s="55" t="s">
        <v>7</v>
      </c>
      <c r="D9" s="55" t="s">
        <v>8</v>
      </c>
      <c r="E9" s="55" t="s">
        <v>9</v>
      </c>
      <c r="F9" s="55" t="s">
        <v>10</v>
      </c>
      <c r="G9" s="55" t="s">
        <v>11</v>
      </c>
      <c r="H9" s="55" t="s">
        <v>12</v>
      </c>
      <c r="I9" s="55" t="s">
        <v>13</v>
      </c>
    </row>
    <row r="10" spans="1:9" ht="36" customHeight="1" thickBot="1" x14ac:dyDescent="0.25">
      <c r="A10" s="56">
        <v>1</v>
      </c>
      <c r="B10" s="72"/>
      <c r="C10" s="73" t="s">
        <v>85</v>
      </c>
      <c r="D10" s="74" t="s">
        <v>84</v>
      </c>
      <c r="E10" s="57" t="s">
        <v>83</v>
      </c>
      <c r="F10" s="72" t="s">
        <v>67</v>
      </c>
      <c r="G10" s="72">
        <v>75</v>
      </c>
      <c r="H10" s="79">
        <v>1680</v>
      </c>
      <c r="I10" s="75">
        <f>G10*H10</f>
        <v>126000</v>
      </c>
    </row>
    <row r="11" spans="1:9" ht="36" customHeight="1" thickBot="1" x14ac:dyDescent="0.25">
      <c r="A11" s="56">
        <v>2</v>
      </c>
      <c r="B11" s="72"/>
      <c r="C11" s="73" t="s">
        <v>69</v>
      </c>
      <c r="D11" s="74" t="s">
        <v>66</v>
      </c>
      <c r="E11" s="57" t="s">
        <v>68</v>
      </c>
      <c r="F11" s="72" t="s">
        <v>67</v>
      </c>
      <c r="G11" s="72">
        <v>2</v>
      </c>
      <c r="H11" s="79">
        <v>5560</v>
      </c>
      <c r="I11" s="75">
        <f>G11*H11</f>
        <v>11120</v>
      </c>
    </row>
    <row r="12" spans="1:9" ht="37.5" customHeight="1" thickBot="1" x14ac:dyDescent="0.25">
      <c r="A12" s="56">
        <v>3</v>
      </c>
      <c r="B12" s="72"/>
      <c r="C12" s="73" t="s">
        <v>73</v>
      </c>
      <c r="D12" s="74" t="s">
        <v>72</v>
      </c>
      <c r="E12" s="76" t="s">
        <v>79</v>
      </c>
      <c r="F12" s="72" t="s">
        <v>81</v>
      </c>
      <c r="G12" s="72">
        <v>10</v>
      </c>
      <c r="H12" s="79">
        <v>9282</v>
      </c>
      <c r="I12" s="75">
        <f>G12*H12</f>
        <v>92820</v>
      </c>
    </row>
    <row r="13" spans="1:9" ht="45" customHeight="1" thickBot="1" x14ac:dyDescent="0.25">
      <c r="A13" s="56">
        <v>4</v>
      </c>
      <c r="B13" s="72"/>
      <c r="C13" s="73" t="s">
        <v>78</v>
      </c>
      <c r="D13" s="74" t="s">
        <v>77</v>
      </c>
      <c r="E13" s="76" t="s">
        <v>76</v>
      </c>
      <c r="F13" s="72" t="s">
        <v>67</v>
      </c>
      <c r="G13" s="72">
        <v>40</v>
      </c>
      <c r="H13" s="79">
        <v>13000</v>
      </c>
      <c r="I13" s="75">
        <f>G13*H13</f>
        <v>520000</v>
      </c>
    </row>
    <row r="15" spans="1:9" ht="13.5" thickBot="1" x14ac:dyDescent="0.25"/>
    <row r="16" spans="1:9" x14ac:dyDescent="0.2">
      <c r="B16" s="42" t="s">
        <v>71</v>
      </c>
      <c r="C16" s="43"/>
      <c r="D16" s="43"/>
      <c r="E16" s="44"/>
    </row>
    <row r="17" spans="2:5" ht="5.25" customHeight="1" x14ac:dyDescent="0.2">
      <c r="B17" s="45"/>
      <c r="C17" s="46"/>
      <c r="D17" s="46"/>
      <c r="E17" s="47"/>
    </row>
    <row r="18" spans="2:5" x14ac:dyDescent="0.2">
      <c r="B18" s="48" t="s">
        <v>14</v>
      </c>
      <c r="C18" s="46"/>
      <c r="D18" s="46"/>
      <c r="E18" s="47"/>
    </row>
    <row r="19" spans="2:5" ht="98.25" customHeight="1" x14ac:dyDescent="0.2">
      <c r="B19" s="48"/>
      <c r="C19" s="93" t="s">
        <v>70</v>
      </c>
      <c r="D19" s="93"/>
      <c r="E19" s="94"/>
    </row>
    <row r="20" spans="2:5" x14ac:dyDescent="0.2">
      <c r="B20" s="48" t="s">
        <v>15</v>
      </c>
      <c r="C20" s="46"/>
      <c r="D20" s="46"/>
      <c r="E20" s="47"/>
    </row>
    <row r="21" spans="2:5" ht="24" customHeight="1" x14ac:dyDescent="0.2">
      <c r="B21" s="49"/>
      <c r="C21" s="95" t="s">
        <v>75</v>
      </c>
      <c r="D21" s="95"/>
      <c r="E21" s="96"/>
    </row>
    <row r="22" spans="2:5" x14ac:dyDescent="0.2">
      <c r="B22" s="49"/>
      <c r="C22" s="97"/>
      <c r="D22" s="97"/>
      <c r="E22" s="97"/>
    </row>
    <row r="23" spans="2:5" x14ac:dyDescent="0.2">
      <c r="B23" s="48" t="s">
        <v>16</v>
      </c>
      <c r="C23" s="46"/>
      <c r="D23" s="46"/>
      <c r="E23" s="47"/>
    </row>
    <row r="24" spans="2:5" ht="26.25" customHeight="1" x14ac:dyDescent="0.2">
      <c r="B24" s="49"/>
      <c r="C24" s="89"/>
      <c r="D24" s="89"/>
      <c r="E24" s="89"/>
    </row>
    <row r="25" spans="2:5" x14ac:dyDescent="0.2">
      <c r="B25" s="48" t="s">
        <v>17</v>
      </c>
      <c r="C25" s="50"/>
      <c r="D25" s="50"/>
      <c r="E25" s="51"/>
    </row>
    <row r="26" spans="2:5" ht="26.25" customHeight="1" x14ac:dyDescent="0.2">
      <c r="B26" s="49"/>
      <c r="C26" s="90" t="s">
        <v>60</v>
      </c>
      <c r="D26" s="90"/>
      <c r="E26" s="91"/>
    </row>
    <row r="27" spans="2:5" x14ac:dyDescent="0.2">
      <c r="B27" s="48" t="s">
        <v>18</v>
      </c>
      <c r="C27" s="46"/>
      <c r="D27" s="46"/>
      <c r="E27" s="47"/>
    </row>
    <row r="28" spans="2:5" ht="23.25" customHeight="1" x14ac:dyDescent="0.2">
      <c r="B28" s="48"/>
      <c r="C28" s="92"/>
      <c r="D28" s="92"/>
      <c r="E28" s="92"/>
    </row>
    <row r="29" spans="2:5" x14ac:dyDescent="0.2">
      <c r="B29" s="52"/>
      <c r="C29" s="53"/>
      <c r="D29" s="53"/>
      <c r="E29" s="54"/>
    </row>
  </sheetData>
  <sortState ref="B10:I13">
    <sortCondition ref="E10:E13"/>
  </sortState>
  <mergeCells count="13">
    <mergeCell ref="C24:E24"/>
    <mergeCell ref="C26:E26"/>
    <mergeCell ref="C28:E28"/>
    <mergeCell ref="A6:B6"/>
    <mergeCell ref="A7:B7"/>
    <mergeCell ref="C19:E19"/>
    <mergeCell ref="C21:E21"/>
    <mergeCell ref="C22:E22"/>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6"/>
  <sheetViews>
    <sheetView zoomScale="70" zoomScaleNormal="70" workbookViewId="0">
      <selection activeCell="R15" sqref="R15"/>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024" ht="18" customHeight="1" x14ac:dyDescent="0.2">
      <c r="A1" s="98" t="s">
        <v>19</v>
      </c>
      <c r="B1" s="98"/>
      <c r="C1" s="98"/>
      <c r="D1" s="98"/>
      <c r="E1" s="98"/>
      <c r="F1" s="98"/>
      <c r="G1" s="98"/>
      <c r="H1" s="98"/>
      <c r="I1" s="98"/>
      <c r="J1" s="3" t="s">
        <v>20</v>
      </c>
      <c r="K1" s="77" t="s">
        <v>82</v>
      </c>
    </row>
    <row r="2" spans="1:1024" ht="18.75" customHeight="1" thickBot="1" x14ac:dyDescent="0.25">
      <c r="A2" s="4"/>
      <c r="B2" s="4"/>
      <c r="C2" s="4"/>
      <c r="D2" s="5"/>
      <c r="E2" s="5"/>
      <c r="F2" s="5"/>
      <c r="G2" s="5"/>
      <c r="H2" s="5"/>
      <c r="I2" s="5"/>
      <c r="J2" s="5"/>
      <c r="K2" s="5"/>
    </row>
    <row r="3" spans="1:1024" ht="18.75" customHeight="1" thickBot="1" x14ac:dyDescent="0.25">
      <c r="A3" s="99" t="s">
        <v>53</v>
      </c>
      <c r="B3" s="99"/>
      <c r="C3" s="99"/>
      <c r="D3" s="100" t="str">
        <f>'Necesidades Trimestrales'!C4</f>
        <v>40 - Ministerio de Salud</v>
      </c>
      <c r="E3" s="100"/>
      <c r="F3" s="100"/>
      <c r="G3" s="100"/>
      <c r="H3" s="100"/>
      <c r="I3" s="100"/>
      <c r="J3" s="100"/>
      <c r="K3" s="100"/>
    </row>
    <row r="4" spans="1:1024" ht="18.75" customHeight="1" thickBot="1" x14ac:dyDescent="0.25">
      <c r="A4" s="101" t="s">
        <v>54</v>
      </c>
      <c r="B4" s="101"/>
      <c r="C4" s="101"/>
      <c r="D4" s="100" t="str">
        <f>'Necesidades Trimestrales'!C5</f>
        <v>23 - Hospital Interzonal San Juan Bautista</v>
      </c>
      <c r="E4" s="100"/>
      <c r="F4" s="100"/>
      <c r="G4" s="100"/>
      <c r="H4" s="100"/>
      <c r="I4" s="100"/>
      <c r="J4" s="100"/>
      <c r="K4" s="100"/>
    </row>
    <row r="5" spans="1:1024" ht="18.75" customHeight="1" thickBot="1" x14ac:dyDescent="0.25">
      <c r="A5" s="101" t="s">
        <v>32</v>
      </c>
      <c r="B5" s="101"/>
      <c r="C5" s="101"/>
      <c r="D5" s="100" t="s">
        <v>59</v>
      </c>
      <c r="E5" s="100"/>
      <c r="F5" s="100"/>
      <c r="G5" s="100"/>
      <c r="H5" s="100"/>
      <c r="I5" s="100"/>
      <c r="J5" s="100"/>
      <c r="K5" s="100"/>
    </row>
    <row r="6" spans="1:1024" ht="16.5" customHeight="1" thickBot="1" x14ac:dyDescent="0.25">
      <c r="A6" s="99" t="s">
        <v>55</v>
      </c>
      <c r="B6" s="99"/>
      <c r="C6" s="99"/>
      <c r="D6" s="100" t="s">
        <v>64</v>
      </c>
      <c r="E6" s="100"/>
      <c r="F6" s="100"/>
      <c r="G6" s="100"/>
      <c r="H6" s="100"/>
      <c r="I6" s="100"/>
      <c r="J6" s="100"/>
      <c r="K6" s="100"/>
    </row>
    <row r="7" spans="1:1024" ht="16.5" customHeight="1" x14ac:dyDescent="0.2">
      <c r="A7" s="101" t="s">
        <v>21</v>
      </c>
      <c r="B7" s="101"/>
      <c r="C7" s="101"/>
      <c r="D7" s="100" t="str">
        <f>'Necesidades Trimestrales'!C7 &amp; "° Trimestre - Año " &amp; 'Necesidades Trimestrales'!C6</f>
        <v>1° Trimestre - Año 2022</v>
      </c>
      <c r="E7" s="100"/>
      <c r="F7" s="100"/>
      <c r="G7" s="100"/>
      <c r="H7" s="100"/>
      <c r="I7" s="100"/>
      <c r="J7" s="100"/>
      <c r="K7" s="100"/>
    </row>
    <row r="8" spans="1:1024" ht="16.5" customHeight="1" x14ac:dyDescent="0.2">
      <c r="A8" s="102" t="s">
        <v>22</v>
      </c>
      <c r="B8" s="102"/>
      <c r="C8" s="102"/>
      <c r="D8" s="103" t="s">
        <v>65</v>
      </c>
      <c r="E8" s="103"/>
      <c r="F8" s="103"/>
      <c r="G8" s="103"/>
      <c r="H8" s="103"/>
      <c r="I8" s="103"/>
      <c r="J8" s="103"/>
      <c r="K8" s="103"/>
    </row>
    <row r="9" spans="1:1024" ht="15.75" x14ac:dyDescent="0.2">
      <c r="A9" s="6"/>
      <c r="B9" s="6"/>
      <c r="C9" s="6"/>
      <c r="D9" s="7"/>
      <c r="E9" s="7"/>
      <c r="F9" s="7"/>
      <c r="G9" s="7"/>
      <c r="H9" s="7"/>
      <c r="I9" s="7"/>
      <c r="J9" s="7"/>
      <c r="K9" s="7"/>
    </row>
    <row r="10" spans="1:1024" ht="18.75" customHeight="1" x14ac:dyDescent="0.2">
      <c r="A10" s="104" t="s">
        <v>23</v>
      </c>
      <c r="B10" s="105" t="s">
        <v>24</v>
      </c>
      <c r="C10" s="105" t="s">
        <v>25</v>
      </c>
      <c r="D10" s="105"/>
      <c r="E10" s="105"/>
      <c r="F10" s="105"/>
      <c r="G10" s="105"/>
      <c r="H10" s="105" t="s">
        <v>26</v>
      </c>
      <c r="I10" s="105" t="s">
        <v>27</v>
      </c>
      <c r="J10" s="105" t="s">
        <v>28</v>
      </c>
      <c r="K10" s="106" t="s">
        <v>29</v>
      </c>
    </row>
    <row r="11" spans="1:1024" ht="24" customHeight="1" thickBot="1" x14ac:dyDescent="0.25">
      <c r="A11" s="104"/>
      <c r="B11" s="105"/>
      <c r="C11" s="105"/>
      <c r="D11" s="105"/>
      <c r="E11" s="105"/>
      <c r="F11" s="105"/>
      <c r="G11" s="105"/>
      <c r="H11" s="105"/>
      <c r="I11" s="105"/>
      <c r="J11" s="105"/>
      <c r="K11" s="106"/>
    </row>
    <row r="12" spans="1:1024" ht="33" customHeight="1" thickBot="1" x14ac:dyDescent="0.25">
      <c r="A12" s="8">
        <v>1</v>
      </c>
      <c r="B12" s="60">
        <f>'Necesidades Trimestrales'!B10</f>
        <v>0</v>
      </c>
      <c r="C12" s="109" t="str">
        <f>'Necesidades Trimestrales'!E10</f>
        <v>Cartucho de Oxido de Etileno x 160 grs. Diam. 50mm. X 174mm.</v>
      </c>
      <c r="D12" s="109"/>
      <c r="E12" s="109"/>
      <c r="F12" s="109"/>
      <c r="G12" s="109"/>
      <c r="H12" s="61" t="s">
        <v>56</v>
      </c>
      <c r="I12" s="62" t="str">
        <f>'Necesidades Trimestrales'!F10</f>
        <v xml:space="preserve">UNIDAD </v>
      </c>
      <c r="J12" s="78">
        <f>'Necesidades Trimestrales'!H10</f>
        <v>1680</v>
      </c>
      <c r="K12" s="63">
        <f>'Necesidades Trimestrales'!G10</f>
        <v>75</v>
      </c>
    </row>
    <row r="13" spans="1:1024" ht="35.25" customHeight="1" thickBot="1" x14ac:dyDescent="0.25">
      <c r="A13" s="8">
        <v>2</v>
      </c>
      <c r="B13" s="60">
        <f>'Necesidades Trimestrales'!B11</f>
        <v>0</v>
      </c>
      <c r="C13" s="109" t="str">
        <f>'Necesidades Trimestrales'!E11</f>
        <v>LUPAS; POTENCIA: 75 Diop, DIAMETRO: 65 mm, MATERIAL LENTE: VIDRIO, ACCESORIO: C/LUZ, ARMAZON: PLASTICO, ESTRUCTURA: PLASTICO</v>
      </c>
      <c r="D13" s="109"/>
      <c r="E13" s="109"/>
      <c r="F13" s="109"/>
      <c r="G13" s="109"/>
      <c r="H13" s="61" t="s">
        <v>56</v>
      </c>
      <c r="I13" s="62" t="str">
        <f>'Necesidades Trimestrales'!F11</f>
        <v xml:space="preserve">UNIDAD </v>
      </c>
      <c r="J13" s="78">
        <f>'Necesidades Trimestrales'!H11</f>
        <v>5560</v>
      </c>
      <c r="K13" s="63">
        <f>'Necesidades Trimestrales'!G11</f>
        <v>2</v>
      </c>
    </row>
    <row r="14" spans="1:1024" ht="24.75" customHeight="1" thickBot="1" x14ac:dyDescent="0.25">
      <c r="A14" s="8">
        <v>3</v>
      </c>
      <c r="B14" s="60">
        <f>'Necesidades Trimestrales'!B12</f>
        <v>0</v>
      </c>
      <c r="C14" s="109" t="str">
        <f>'Necesidades Trimestrales'!E12</f>
        <v>PAPEL GRADO MEDICO 80 CM X 330 MTS</v>
      </c>
      <c r="D14" s="109"/>
      <c r="E14" s="109"/>
      <c r="F14" s="109"/>
      <c r="G14" s="109"/>
      <c r="H14" s="61" t="s">
        <v>56</v>
      </c>
      <c r="I14" s="62" t="str">
        <f>'Necesidades Trimestrales'!F12</f>
        <v xml:space="preserve">BOBINA </v>
      </c>
      <c r="J14" s="78">
        <f>'Necesidades Trimestrales'!H12</f>
        <v>9282</v>
      </c>
      <c r="K14" s="63">
        <f>'Necesidades Trimestrales'!G12</f>
        <v>10</v>
      </c>
    </row>
    <row r="15" spans="1:1024" ht="27.75" customHeight="1" thickBot="1" x14ac:dyDescent="0.25">
      <c r="A15" s="8">
        <v>4</v>
      </c>
      <c r="B15" s="60">
        <f>'Necesidades Trimestrales'!B13</f>
        <v>0</v>
      </c>
      <c r="C15" s="109" t="str">
        <f>'Necesidades Trimestrales'!E13</f>
        <v>Polipropileno Paquete x 100 hojas 1 mt. x 1 mt. Tipo ST PACK</v>
      </c>
      <c r="D15" s="109"/>
      <c r="E15" s="109"/>
      <c r="F15" s="109"/>
      <c r="G15" s="109"/>
      <c r="H15" s="61" t="s">
        <v>56</v>
      </c>
      <c r="I15" s="62" t="str">
        <f>'Necesidades Trimestrales'!F13</f>
        <v xml:space="preserve">UNIDAD </v>
      </c>
      <c r="J15" s="78">
        <f>'Necesidades Trimestrales'!H13</f>
        <v>13000</v>
      </c>
      <c r="K15" s="63">
        <f>'Necesidades Trimestrales'!G13</f>
        <v>40</v>
      </c>
    </row>
    <row r="16" spans="1:1024" ht="20.25" customHeight="1" thickBot="1" x14ac:dyDescent="0.25">
      <c r="A16" s="107" t="s">
        <v>86</v>
      </c>
      <c r="B16" s="107"/>
      <c r="C16" s="107"/>
      <c r="D16" s="107"/>
      <c r="E16" s="107"/>
      <c r="F16" s="107"/>
      <c r="G16" s="107"/>
      <c r="H16" s="107"/>
      <c r="I16" s="107"/>
      <c r="J16" s="108">
        <f>SUMPRODUCT(J12:J15,K12:K15)</f>
        <v>749940</v>
      </c>
      <c r="K16" s="108"/>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sheetData>
  <mergeCells count="26">
    <mergeCell ref="A16:I16"/>
    <mergeCell ref="J16:K16"/>
    <mergeCell ref="C12:G12"/>
    <mergeCell ref="C13:G13"/>
    <mergeCell ref="C14:G14"/>
    <mergeCell ref="C15:G15"/>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topLeftCell="A13" zoomScale="130" zoomScaleNormal="130" workbookViewId="0">
      <selection activeCell="J21" sqref="J21"/>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10" t="s">
        <v>3</v>
      </c>
      <c r="B1" s="110"/>
      <c r="C1" s="110"/>
      <c r="D1" s="111">
        <f>'Necesidades Trimestrales'!C6</f>
        <v>2022</v>
      </c>
      <c r="E1" s="111"/>
      <c r="F1" s="10"/>
      <c r="G1" s="10"/>
      <c r="H1" s="11"/>
      <c r="I1" s="11"/>
      <c r="J1" s="11"/>
      <c r="K1" s="11"/>
      <c r="L1" s="11"/>
      <c r="M1" s="11"/>
      <c r="N1" s="11"/>
      <c r="P1" s="112" t="s">
        <v>30</v>
      </c>
      <c r="Q1" s="112"/>
    </row>
    <row r="2" spans="1:17" ht="15.75" customHeight="1" x14ac:dyDescent="0.2">
      <c r="H2" s="11"/>
      <c r="I2" s="11"/>
      <c r="J2" s="11"/>
      <c r="K2" s="11"/>
      <c r="L2" s="11"/>
      <c r="M2" s="11"/>
      <c r="N2" s="11"/>
      <c r="P2" s="112"/>
      <c r="Q2" s="112"/>
    </row>
    <row r="4" spans="1:17" s="12" customFormat="1" ht="18" customHeight="1" thickBot="1" x14ac:dyDescent="0.25">
      <c r="A4" s="113" t="s">
        <v>31</v>
      </c>
      <c r="B4" s="113"/>
      <c r="C4" s="113"/>
      <c r="D4" s="113"/>
      <c r="E4" s="113"/>
      <c r="F4" s="113"/>
      <c r="G4" s="114" t="str">
        <f>NotaPedido!D3</f>
        <v>40 - Ministerio de Salud</v>
      </c>
      <c r="H4" s="114"/>
      <c r="I4" s="114"/>
      <c r="J4" s="114"/>
      <c r="K4" s="114"/>
      <c r="L4" s="114"/>
      <c r="M4" s="114"/>
      <c r="N4" s="114"/>
      <c r="O4" s="114"/>
      <c r="P4" s="114"/>
      <c r="Q4" s="114"/>
    </row>
    <row r="5" spans="1:17" s="12" customFormat="1" ht="18" customHeight="1" thickBot="1" x14ac:dyDescent="0.25">
      <c r="A5" s="115" t="s">
        <v>54</v>
      </c>
      <c r="B5" s="116"/>
      <c r="C5" s="116"/>
      <c r="D5" s="116"/>
      <c r="E5" s="116"/>
      <c r="F5" s="117"/>
      <c r="G5" s="114" t="str">
        <f>NotaPedido!D4</f>
        <v>23 - Hospital Interzonal San Juan Bautista</v>
      </c>
      <c r="H5" s="114"/>
      <c r="I5" s="114"/>
      <c r="J5" s="114"/>
      <c r="K5" s="114"/>
      <c r="L5" s="114"/>
      <c r="M5" s="114"/>
      <c r="N5" s="114"/>
      <c r="O5" s="114"/>
      <c r="P5" s="114"/>
      <c r="Q5" s="114"/>
    </row>
    <row r="6" spans="1:17" s="12" customFormat="1" ht="18" customHeight="1" thickBot="1" x14ac:dyDescent="0.25">
      <c r="A6" s="115" t="s">
        <v>32</v>
      </c>
      <c r="B6" s="116"/>
      <c r="C6" s="116"/>
      <c r="D6" s="116"/>
      <c r="E6" s="116"/>
      <c r="F6" s="117"/>
      <c r="G6" s="114" t="str">
        <f>NotaPedido!D5</f>
        <v>168 - Direccion Asistencial</v>
      </c>
      <c r="H6" s="114"/>
      <c r="I6" s="114"/>
      <c r="J6" s="114"/>
      <c r="K6" s="114"/>
      <c r="L6" s="114"/>
      <c r="M6" s="114"/>
      <c r="N6" s="114"/>
      <c r="O6" s="114"/>
      <c r="P6" s="114"/>
      <c r="Q6" s="114"/>
    </row>
    <row r="7" spans="1:17" s="12" customFormat="1" ht="18" customHeight="1" thickBot="1" x14ac:dyDescent="0.25">
      <c r="A7" s="115" t="s">
        <v>55</v>
      </c>
      <c r="B7" s="116"/>
      <c r="C7" s="116"/>
      <c r="D7" s="116"/>
      <c r="E7" s="116"/>
      <c r="F7" s="117"/>
      <c r="G7" s="114" t="str">
        <f>NotaPedido!D6</f>
        <v xml:space="preserve">Servicio de Esterilización </v>
      </c>
      <c r="H7" s="114"/>
      <c r="I7" s="114"/>
      <c r="J7" s="114"/>
      <c r="K7" s="114"/>
      <c r="L7" s="114"/>
      <c r="M7" s="114"/>
      <c r="N7" s="114"/>
      <c r="O7" s="114"/>
      <c r="P7" s="114"/>
      <c r="Q7" s="114"/>
    </row>
    <row r="8" spans="1:17" ht="18" customHeight="1" thickBot="1" x14ac:dyDescent="0.25">
      <c r="A8" s="118" t="s">
        <v>33</v>
      </c>
      <c r="B8" s="118"/>
      <c r="C8" s="118"/>
      <c r="D8" s="118"/>
      <c r="E8" s="118"/>
      <c r="F8" s="118"/>
      <c r="G8" s="118"/>
      <c r="H8" s="118"/>
      <c r="I8" s="118"/>
      <c r="J8" s="118"/>
      <c r="K8" s="118"/>
      <c r="L8" s="118"/>
      <c r="M8" s="118"/>
      <c r="N8" s="118"/>
      <c r="O8" s="118"/>
      <c r="P8" s="118"/>
      <c r="Q8" s="118"/>
    </row>
    <row r="9" spans="1:17" ht="18" customHeight="1" x14ac:dyDescent="0.2">
      <c r="A9" s="119" t="s">
        <v>34</v>
      </c>
      <c r="B9" s="119"/>
      <c r="C9" s="119"/>
      <c r="D9" s="119"/>
      <c r="E9" s="119"/>
      <c r="F9" s="119"/>
      <c r="G9" s="119"/>
      <c r="H9" s="119"/>
      <c r="I9" s="119"/>
      <c r="J9" s="119"/>
      <c r="K9" s="119"/>
      <c r="L9" s="119"/>
      <c r="M9" s="119"/>
      <c r="N9" s="119"/>
      <c r="O9" s="1"/>
      <c r="P9" s="1"/>
      <c r="Q9" s="13"/>
    </row>
    <row r="10" spans="1:17" ht="54.75" customHeight="1" x14ac:dyDescent="0.2">
      <c r="A10" s="120"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003 - 2022,  afectando la erogación resultante a los créditos presupuestarios aprobados a favor de esta Unidad Ejecutora, conforme al siguiente detalle:</v>
      </c>
      <c r="B10" s="120"/>
      <c r="C10" s="120"/>
      <c r="D10" s="120"/>
      <c r="E10" s="120"/>
      <c r="F10" s="120"/>
      <c r="G10" s="120"/>
      <c r="H10" s="120"/>
      <c r="I10" s="120"/>
      <c r="J10" s="120"/>
      <c r="K10" s="120"/>
      <c r="L10" s="120"/>
      <c r="M10" s="120"/>
      <c r="N10" s="120"/>
      <c r="O10" s="120"/>
      <c r="P10" s="120"/>
      <c r="Q10" s="120"/>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21" t="s">
        <v>35</v>
      </c>
      <c r="B12" s="121"/>
      <c r="C12" s="121"/>
      <c r="D12" s="121"/>
      <c r="E12" s="121"/>
      <c r="F12" s="121"/>
      <c r="G12" s="121"/>
      <c r="H12" s="121"/>
      <c r="I12" s="121"/>
      <c r="J12" s="121"/>
      <c r="K12" s="121"/>
      <c r="L12" s="121"/>
      <c r="M12" s="121"/>
      <c r="N12" s="121"/>
      <c r="O12" s="121"/>
      <c r="P12" s="121"/>
      <c r="Q12" s="121"/>
    </row>
    <row r="13" spans="1:17" ht="15.75" customHeight="1" x14ac:dyDescent="0.2">
      <c r="A13" s="122" t="s">
        <v>36</v>
      </c>
      <c r="B13" s="122"/>
      <c r="C13" s="122"/>
      <c r="D13" s="122"/>
      <c r="E13" s="122"/>
      <c r="F13" s="122"/>
      <c r="G13" s="122"/>
      <c r="H13" s="122"/>
      <c r="I13" s="122"/>
      <c r="J13" s="122"/>
      <c r="K13" s="122"/>
      <c r="L13" s="122"/>
      <c r="M13" s="122"/>
      <c r="N13" s="122"/>
      <c r="O13" s="123" t="s">
        <v>37</v>
      </c>
      <c r="P13" s="123"/>
      <c r="Q13" s="124" t="s">
        <v>38</v>
      </c>
    </row>
    <row r="14" spans="1:17" ht="15.75" customHeight="1" x14ac:dyDescent="0.2">
      <c r="A14" s="18" t="s">
        <v>39</v>
      </c>
      <c r="B14" s="19" t="s">
        <v>40</v>
      </c>
      <c r="C14" s="19" t="s">
        <v>41</v>
      </c>
      <c r="D14" s="19" t="s">
        <v>42</v>
      </c>
      <c r="E14" s="19" t="s">
        <v>43</v>
      </c>
      <c r="F14" s="19" t="s">
        <v>44</v>
      </c>
      <c r="G14" s="20" t="s">
        <v>45</v>
      </c>
      <c r="H14" s="19" t="s">
        <v>46</v>
      </c>
      <c r="I14" s="19" t="s">
        <v>47</v>
      </c>
      <c r="J14" s="19" t="s">
        <v>48</v>
      </c>
      <c r="K14" s="19" t="s">
        <v>48</v>
      </c>
      <c r="L14" s="19" t="s">
        <v>49</v>
      </c>
      <c r="M14" s="21" t="s">
        <v>50</v>
      </c>
      <c r="N14" s="22" t="s">
        <v>51</v>
      </c>
      <c r="O14" s="123"/>
      <c r="P14" s="123"/>
      <c r="Q14" s="124"/>
    </row>
    <row r="15" spans="1:17" ht="17.25" customHeight="1" x14ac:dyDescent="0.2">
      <c r="A15" s="66">
        <v>33</v>
      </c>
      <c r="B15" s="67"/>
      <c r="C15" s="67"/>
      <c r="D15" s="67">
        <v>2</v>
      </c>
      <c r="E15" s="67"/>
      <c r="F15" s="67">
        <v>4901</v>
      </c>
      <c r="G15" s="67">
        <v>3</v>
      </c>
      <c r="H15" s="68" t="s">
        <v>61</v>
      </c>
      <c r="I15" s="69">
        <v>2</v>
      </c>
      <c r="J15" s="69">
        <v>5</v>
      </c>
      <c r="K15" s="69">
        <v>1</v>
      </c>
      <c r="L15" s="67"/>
      <c r="M15" s="70">
        <v>1</v>
      </c>
      <c r="N15" s="68" t="s">
        <v>62</v>
      </c>
      <c r="O15" s="125" t="s">
        <v>87</v>
      </c>
      <c r="P15" s="125"/>
      <c r="Q15" s="23">
        <v>126000</v>
      </c>
    </row>
    <row r="16" spans="1:17" ht="17.25" customHeight="1" x14ac:dyDescent="0.2">
      <c r="A16" s="80">
        <v>33</v>
      </c>
      <c r="B16" s="81"/>
      <c r="C16" s="81"/>
      <c r="D16" s="81">
        <v>2</v>
      </c>
      <c r="E16" s="81"/>
      <c r="F16" s="81">
        <v>4901</v>
      </c>
      <c r="G16" s="81">
        <v>3</v>
      </c>
      <c r="H16" s="82" t="s">
        <v>61</v>
      </c>
      <c r="I16" s="83">
        <v>2</v>
      </c>
      <c r="J16" s="83">
        <v>5</v>
      </c>
      <c r="K16" s="83">
        <v>8</v>
      </c>
      <c r="L16" s="81"/>
      <c r="M16" s="84">
        <v>1</v>
      </c>
      <c r="N16" s="82" t="s">
        <v>62</v>
      </c>
      <c r="O16" s="129" t="s">
        <v>80</v>
      </c>
      <c r="P16" s="130"/>
      <c r="Q16" s="85">
        <v>520000</v>
      </c>
    </row>
    <row r="17" spans="1:19" ht="17.25" customHeight="1" x14ac:dyDescent="0.2">
      <c r="A17" s="24">
        <v>33</v>
      </c>
      <c r="B17" s="25"/>
      <c r="C17" s="25"/>
      <c r="D17" s="25">
        <v>2</v>
      </c>
      <c r="E17" s="25"/>
      <c r="F17" s="27">
        <v>4901</v>
      </c>
      <c r="G17" s="25">
        <v>3</v>
      </c>
      <c r="H17" s="64" t="s">
        <v>61</v>
      </c>
      <c r="I17" s="25">
        <v>2</v>
      </c>
      <c r="J17" s="25">
        <v>5</v>
      </c>
      <c r="K17" s="25">
        <v>9</v>
      </c>
      <c r="L17" s="25"/>
      <c r="M17" s="26">
        <v>1</v>
      </c>
      <c r="N17" s="65" t="s">
        <v>62</v>
      </c>
      <c r="O17" s="126" t="s">
        <v>74</v>
      </c>
      <c r="P17" s="126"/>
      <c r="Q17" s="28">
        <v>92820</v>
      </c>
    </row>
    <row r="18" spans="1:19" ht="17.25" customHeight="1" x14ac:dyDescent="0.2">
      <c r="A18" s="24">
        <v>33</v>
      </c>
      <c r="B18" s="25"/>
      <c r="C18" s="25"/>
      <c r="D18" s="25">
        <v>2</v>
      </c>
      <c r="E18" s="25"/>
      <c r="F18" s="27">
        <v>4901</v>
      </c>
      <c r="G18" s="25">
        <v>3</v>
      </c>
      <c r="H18" s="64" t="s">
        <v>61</v>
      </c>
      <c r="I18" s="25">
        <v>2</v>
      </c>
      <c r="J18" s="25">
        <v>9</v>
      </c>
      <c r="K18" s="25">
        <v>5</v>
      </c>
      <c r="L18" s="25"/>
      <c r="M18" s="26">
        <v>1</v>
      </c>
      <c r="N18" s="65" t="s">
        <v>62</v>
      </c>
      <c r="O18" s="126" t="s">
        <v>63</v>
      </c>
      <c r="P18" s="126"/>
      <c r="Q18" s="28">
        <v>11120</v>
      </c>
      <c r="S18" s="71"/>
    </row>
    <row r="19" spans="1:19" ht="17.25" customHeight="1" x14ac:dyDescent="0.2">
      <c r="A19" s="24"/>
      <c r="B19" s="25"/>
      <c r="C19" s="25"/>
      <c r="D19" s="25"/>
      <c r="E19" s="25"/>
      <c r="F19" s="25"/>
      <c r="G19" s="25"/>
      <c r="H19" s="64"/>
      <c r="I19" s="25"/>
      <c r="J19" s="25"/>
      <c r="K19" s="25"/>
      <c r="L19" s="25"/>
      <c r="M19" s="26"/>
      <c r="N19" s="65"/>
      <c r="O19" s="127"/>
      <c r="P19" s="128"/>
      <c r="Q19" s="28"/>
    </row>
    <row r="20" spans="1:19" ht="17.25" customHeight="1" x14ac:dyDescent="0.2">
      <c r="A20" s="24"/>
      <c r="B20" s="25"/>
      <c r="C20" s="25"/>
      <c r="D20" s="25"/>
      <c r="E20" s="25"/>
      <c r="F20" s="27"/>
      <c r="G20" s="25"/>
      <c r="H20" s="25"/>
      <c r="I20" s="25"/>
      <c r="J20" s="25"/>
      <c r="K20" s="25"/>
      <c r="L20" s="25"/>
      <c r="M20" s="26"/>
      <c r="N20" s="27"/>
      <c r="O20" s="128"/>
      <c r="P20" s="128"/>
      <c r="Q20" s="28"/>
    </row>
    <row r="21" spans="1:19" ht="17.25" customHeight="1" x14ac:dyDescent="0.2">
      <c r="A21" s="24"/>
      <c r="B21" s="25"/>
      <c r="C21" s="25"/>
      <c r="D21" s="25"/>
      <c r="E21" s="25"/>
      <c r="F21" s="27"/>
      <c r="G21" s="25"/>
      <c r="H21" s="25"/>
      <c r="I21" s="25"/>
      <c r="J21" s="25"/>
      <c r="K21" s="25"/>
      <c r="L21" s="25"/>
      <c r="M21" s="26"/>
      <c r="N21" s="27"/>
      <c r="O21" s="128"/>
      <c r="P21" s="128"/>
      <c r="Q21" s="28"/>
    </row>
    <row r="22" spans="1:19" ht="17.25" customHeight="1" x14ac:dyDescent="0.2">
      <c r="A22" s="29"/>
      <c r="B22" s="30"/>
      <c r="C22" s="30"/>
      <c r="D22" s="30"/>
      <c r="E22" s="30"/>
      <c r="F22" s="31"/>
      <c r="G22" s="30"/>
      <c r="H22" s="30"/>
      <c r="I22" s="30"/>
      <c r="J22" s="30"/>
      <c r="K22" s="30"/>
      <c r="L22" s="30"/>
      <c r="M22" s="32"/>
      <c r="N22" s="33"/>
      <c r="O22" s="136"/>
      <c r="P22" s="136"/>
      <c r="Q22" s="28"/>
      <c r="R22" s="1"/>
    </row>
    <row r="23" spans="1:19" ht="17.25" customHeight="1" x14ac:dyDescent="0.2">
      <c r="A23" s="34"/>
      <c r="B23" s="35"/>
      <c r="C23" s="35"/>
      <c r="D23" s="35"/>
      <c r="E23" s="35"/>
      <c r="F23" s="35"/>
      <c r="G23" s="35"/>
      <c r="H23" s="35"/>
      <c r="I23" s="35"/>
      <c r="J23" s="35"/>
      <c r="K23" s="35"/>
      <c r="L23" s="35"/>
      <c r="M23" s="36"/>
      <c r="N23" s="35"/>
      <c r="O23" s="137"/>
      <c r="P23" s="137"/>
      <c r="Q23" s="37"/>
    </row>
    <row r="24" spans="1:19" ht="20.25" customHeight="1" x14ac:dyDescent="0.2">
      <c r="A24" s="138" t="s">
        <v>88</v>
      </c>
      <c r="B24" s="138"/>
      <c r="C24" s="138"/>
      <c r="D24" s="138"/>
      <c r="E24" s="138"/>
      <c r="F24" s="138"/>
      <c r="G24" s="138"/>
      <c r="H24" s="138"/>
      <c r="I24" s="138"/>
      <c r="J24" s="138"/>
      <c r="K24" s="138"/>
      <c r="L24" s="138"/>
      <c r="M24" s="138"/>
      <c r="N24" s="138"/>
      <c r="O24" s="138"/>
      <c r="P24" s="138"/>
      <c r="Q24" s="38">
        <f>SUM(Q15:Q23)</f>
        <v>749940</v>
      </c>
    </row>
    <row r="25" spans="1:19" ht="18" customHeight="1" thickBot="1" x14ac:dyDescent="0.25">
      <c r="A25" s="139"/>
      <c r="B25" s="139"/>
      <c r="C25" s="139"/>
      <c r="D25" s="139"/>
      <c r="E25" s="139"/>
      <c r="F25" s="139"/>
      <c r="G25" s="139"/>
      <c r="H25" s="139"/>
      <c r="I25" s="139"/>
      <c r="J25" s="139"/>
      <c r="K25" s="139"/>
      <c r="L25" s="139"/>
      <c r="M25" s="139"/>
      <c r="N25" s="139"/>
      <c r="O25" s="139"/>
      <c r="P25" s="139"/>
      <c r="Q25" s="139"/>
    </row>
    <row r="26" spans="1:19" ht="17.25" customHeight="1" thickBot="1" x14ac:dyDescent="0.25">
      <c r="A26" s="131" t="s">
        <v>52</v>
      </c>
      <c r="B26" s="132"/>
      <c r="C26" s="132"/>
      <c r="D26" s="132"/>
      <c r="E26" s="132"/>
      <c r="F26" s="133"/>
      <c r="G26" s="134"/>
      <c r="H26" s="134"/>
      <c r="I26" s="134"/>
      <c r="J26" s="134"/>
      <c r="K26" s="134"/>
      <c r="L26" s="134"/>
      <c r="M26" s="134"/>
      <c r="N26" s="134"/>
      <c r="O26" s="134"/>
      <c r="P26" s="134"/>
      <c r="Q26" s="134"/>
    </row>
    <row r="27" spans="1:19" ht="18" customHeight="1" thickBot="1" x14ac:dyDescent="0.25">
      <c r="A27" s="135" t="str">
        <f>"Para la "&amp; NotaPedido!D8 &amp;" para ser destinados al " &amp; NotaPedido!D6 &amp;"  del HISJB del Ministerio de Salud."</f>
        <v>Para la Adquisición de Insumos para Esterilización para ser destinados al Servicio de Esterilización   del HISJB del Ministerio de Salud.</v>
      </c>
      <c r="B27" s="135"/>
      <c r="C27" s="135"/>
      <c r="D27" s="135"/>
      <c r="E27" s="135"/>
      <c r="F27" s="135"/>
      <c r="G27" s="135"/>
      <c r="H27" s="135"/>
      <c r="I27" s="135"/>
      <c r="J27" s="135"/>
      <c r="K27" s="135"/>
      <c r="L27" s="135"/>
      <c r="M27" s="135"/>
      <c r="N27" s="135"/>
      <c r="O27" s="135"/>
      <c r="P27" s="135"/>
      <c r="Q27" s="135"/>
    </row>
    <row r="28" spans="1:19" ht="15" customHeight="1" x14ac:dyDescent="0.2">
      <c r="A28" s="135"/>
      <c r="B28" s="135"/>
      <c r="C28" s="135"/>
      <c r="D28" s="135"/>
      <c r="E28" s="135"/>
      <c r="F28" s="135"/>
      <c r="G28" s="135"/>
      <c r="H28" s="135"/>
      <c r="I28" s="135"/>
      <c r="J28" s="135"/>
      <c r="K28" s="135"/>
      <c r="L28" s="135"/>
      <c r="M28" s="135"/>
      <c r="N28" s="135"/>
      <c r="O28" s="135"/>
      <c r="P28" s="135"/>
      <c r="Q28" s="135"/>
    </row>
  </sheetData>
  <mergeCells count="32">
    <mergeCell ref="A26:F26"/>
    <mergeCell ref="G26:Q26"/>
    <mergeCell ref="A27:Q28"/>
    <mergeCell ref="O21:P21"/>
    <mergeCell ref="O22:P22"/>
    <mergeCell ref="O23:P23"/>
    <mergeCell ref="A24:P24"/>
    <mergeCell ref="A25:Q25"/>
    <mergeCell ref="O15:P15"/>
    <mergeCell ref="O17:P17"/>
    <mergeCell ref="O18:P18"/>
    <mergeCell ref="O19:P19"/>
    <mergeCell ref="O20:P20"/>
    <mergeCell ref="O16:P16"/>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LICITACION23</cp:lastModifiedBy>
  <cp:revision>2</cp:revision>
  <cp:lastPrinted>2020-07-17T22:18:48Z</cp:lastPrinted>
  <dcterms:created xsi:type="dcterms:W3CDTF">2020-07-17T23:44:49Z</dcterms:created>
  <dcterms:modified xsi:type="dcterms:W3CDTF">2022-01-26T12:20:04Z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