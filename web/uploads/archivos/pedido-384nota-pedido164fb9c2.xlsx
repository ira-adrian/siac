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CONSOLIDADOS\POLLO\final\"/>
    </mc:Choice>
  </mc:AlternateContent>
  <xr:revisionPtr revIDLastSave="0" documentId="8_{072FB1F3-F862-4D6A-B9B7-6AD9E5CD224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LIMENTOS PERECEDEROS" sheetId="1" r:id="rId1"/>
    <sheet name=" NotaPedido" sheetId="2" r:id="rId2"/>
    <sheet name="Autor Gastar" sheetId="3" r:id="rId3"/>
  </sheets>
  <definedNames>
    <definedName name="_xlnm._FilterDatabase" localSheetId="0" hidden="1">'ALIMENTOS PERECEDEROS'!$E$1:$E$199</definedName>
    <definedName name="_xlnm.Print_Area" localSheetId="1">' NotaPedido'!$A$1:$K$13</definedName>
    <definedName name="_xlnm.Print_Area" localSheetId="2">'Autor Gastar'!$A$1:$Q$23</definedName>
  </definedNames>
  <calcPr calcId="181029" iterateDelta="1E-4"/>
</workbook>
</file>

<file path=xl/calcChain.xml><?xml version="1.0" encoding="utf-8"?>
<calcChain xmlns="http://schemas.openxmlformats.org/spreadsheetml/2006/main">
  <c r="I10" i="1" l="1"/>
  <c r="D10" i="1"/>
  <c r="K12" i="2"/>
  <c r="J12" i="2"/>
  <c r="I12" i="2"/>
  <c r="C12" i="2"/>
  <c r="B12" i="2"/>
  <c r="A12" i="2"/>
  <c r="A10" i="3" l="1"/>
  <c r="Q19" i="3" l="1"/>
  <c r="D7" i="2"/>
  <c r="J13" i="2" l="1"/>
  <c r="I11" i="1" l="1"/>
  <c r="G6" i="3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<sst xmlns="http://schemas.openxmlformats.org/spreadsheetml/2006/main" count="85" uniqueCount="80">
  <si>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</si>
  <si>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</si>
  <si>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</si>
  <si>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</si>
  <si>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</si>
  <si>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</si>
  <si>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</si>
  <si>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</si>
  <si>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</si>
  <si>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</si>
  <si>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</si>
  <si>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</si>
  <si>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</si>
  <si>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</si>
  <si>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</si>
  <si>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</si>
  <si>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</si>
  <si>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</si>
  <si>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</si>
  <si>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</si>
  <si>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</si>
  <si>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</si>
  <si>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</si>
  <si>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</si>
  <si>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</si>
  <si>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</si>
  <si>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</si>
  <si>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</si>
  <si>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</si>
  <si>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</si>
  <si>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</si>
  <si>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</si>
  <si>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</si>
  <si>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</si>
  <si>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</si>
  <si>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</si>
  <si>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</si>
  <si>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</si>
  <si>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</si>
  <si>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</si>
  <si>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</si>
  <si>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</si>
  <si>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</si>
  <si>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</si>
  <si>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</si>
  <si>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</si>
  <si>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</si>
  <si>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</si>
  <si>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</si>
  <si>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</si>
  <si>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</si>
  <si>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</si>
  <si>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</si>
  <si>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</si>
  <si>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</si>
  <si>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</si>
  <si>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CAJA</t>
  </si>
  <si>
    <t>RUBRO</t>
  </si>
  <si>
    <t>2.1.1-621.20</t>
  </si>
  <si>
    <t>AVES; TIPO: POLLO, PRESENTACION: CAJA X 22 Kg, EVISCERADO: SI, ELEM. TRANSPORTE: SIN, MATERIAL ELEM. TRANSPORTE: SIN, LIBRE DE GLUTEN: SIN VALOR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</si>
  <si>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</si>
  <si>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</si>
  <si>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</si>
  <si>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</si>
  <si>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</si>
  <si>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 xml:space="preserve">SECTOR DE NUTRICION-MATERNIDAD PROVINCIAL 25 DE MAYO , HERNADO DE PEDRAZA 1650- </t>
  </si>
  <si>
    <t>SI</t>
  </si>
  <si>
    <t>40-Ministerio de Salud</t>
  </si>
  <si>
    <t xml:space="preserve">169-Direccion Asistencial </t>
  </si>
  <si>
    <t>8 a 10 Hs</t>
  </si>
  <si>
    <t>3°</t>
  </si>
  <si>
    <t>30 (treinta) dias habiles</t>
  </si>
  <si>
    <t xml:space="preserve">Servicio de Nutrición </t>
  </si>
  <si>
    <t>/2022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</si>
  <si>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</si>
  <si>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>Especificidades Item N° 1:</t>
  </si>
  <si>
    <t>Costo total estimado: QUINIENTOS OCHENTA Y CUATRO MIL CIEN CON 00/100.</t>
  </si>
  <si>
    <t>TOTAL DE PESOS: QUINIENTOS OCHENTA Y CUATRO MIL CIEN CON 00/100.</t>
  </si>
  <si>
    <t>Para la adquisición de de alimentos perecederos(pollo) para ser destinados al Servicio de Nutricion de la Maternidad Provincial 25 de Mayo del Ministerio de Salud.</t>
  </si>
  <si>
    <t>Adquisición de Alimentos Perecederos (pollo) para el Servicio de Nutrición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</si>
</sst>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6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1" fillId="0" borderId="2" xfId="5" applyFill="1" applyBorder="1" applyAlignment="1">
      <alignment horizontal="left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1" fillId="0" borderId="2" xfId="5" applyFill="1" applyBorder="1" applyAlignment="1">
      <alignment vertical="center"/>
    </xf>
    <xf numFmtId="0" fontId="26" fillId="0" borderId="0" xfId="0" applyFont="1" applyFill="1" applyBorder="1"/>
    <xf numFmtId="0" fontId="26" fillId="0" borderId="0" xfId="0" applyFont="1" applyFill="1"/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169" fontId="20" fillId="0" borderId="35" xfId="0" applyNumberFormat="1" applyFont="1" applyFill="1" applyBorder="1" applyAlignment="1">
      <alignment horizontal="center" vertical="center" wrapText="1"/>
    </xf>
    <xf numFmtId="0" fontId="20" fillId="0" borderId="36" xfId="0" applyFont="1" applyFill="1" applyBorder="1" applyAlignment="1">
      <alignment horizontal="center" vertical="center" wrapText="1"/>
    </xf>
    <xf numFmtId="0" fontId="16" fillId="0" borderId="4" xfId="0" applyFont="1" applyFill="1" applyBorder="1"/>
    <xf numFmtId="0" fontId="27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 wrapText="1"/>
    </xf>
    <xf numFmtId="0" fontId="16" fillId="0" borderId="4" xfId="0" applyFont="1" applyFill="1" applyBorder="1" applyAlignment="1">
      <alignment horizontal="center" wrapText="1"/>
    </xf>
    <xf numFmtId="0" fontId="16" fillId="0" borderId="0" xfId="0" applyFont="1" applyFill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left" indent="3"/>
    </xf>
    <xf numFmtId="0" fontId="16" fillId="0" borderId="3" xfId="0" applyFont="1" applyFill="1" applyBorder="1"/>
    <xf numFmtId="0" fontId="16" fillId="0" borderId="38" xfId="0" applyFont="1" applyFill="1" applyBorder="1"/>
    <xf numFmtId="0" fontId="23" fillId="0" borderId="0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Alignment="1">
      <alignment vertical="center"/>
    </xf>
    <xf numFmtId="169" fontId="16" fillId="0" borderId="0" xfId="0" applyNumberFormat="1" applyFont="1" applyFill="1"/>
    <xf numFmtId="0" fontId="16" fillId="0" borderId="0" xfId="0" applyFont="1" applyFill="1" applyAlignment="1">
      <alignment horizontal="center" wrapText="1"/>
    </xf>
    <xf numFmtId="0" fontId="29" fillId="0" borderId="37" xfId="0" applyFont="1" applyFill="1" applyBorder="1"/>
    <xf numFmtId="0" fontId="29" fillId="0" borderId="39" xfId="0" applyFont="1" applyFill="1" applyBorder="1" applyAlignment="1">
      <alignment horizontal="left" indent="3"/>
    </xf>
    <xf numFmtId="0" fontId="30" fillId="0" borderId="39" xfId="0" applyFont="1" applyFill="1" applyBorder="1" applyAlignment="1">
      <alignment horizontal="left" indent="3"/>
    </xf>
    <xf numFmtId="0" fontId="30" fillId="0" borderId="39" xfId="0" applyFont="1" applyFill="1" applyBorder="1"/>
    <xf numFmtId="0" fontId="29" fillId="0" borderId="39" xfId="0" applyFont="1" applyFill="1" applyBorder="1" applyAlignment="1">
      <alignment horizontal="left" vertical="center" indent="3"/>
    </xf>
    <xf numFmtId="0" fontId="7" fillId="3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50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167" fontId="3" fillId="0" borderId="0" xfId="0" applyNumberFormat="1" applyFont="1" applyFill="1" applyBorder="1" applyAlignment="1">
      <alignment vertical="center" wrapText="1"/>
    </xf>
    <xf numFmtId="0" fontId="30" fillId="0" borderId="0" xfId="0" applyFont="1" applyFill="1" applyAlignment="1">
      <alignment horizontal="center"/>
    </xf>
    <xf numFmtId="0" fontId="27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 wrapText="1"/>
    </xf>
    <xf numFmtId="0" fontId="16" fillId="0" borderId="30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167" fontId="25" fillId="3" borderId="31" xfId="0" applyNumberFormat="1" applyFont="1" applyFill="1" applyBorder="1" applyAlignment="1">
      <alignment horizontal="center" vertical="center"/>
    </xf>
    <xf numFmtId="167" fontId="25" fillId="3" borderId="30" xfId="0" applyNumberFormat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  <xf numFmtId="0" fontId="7" fillId="3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3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"/>
  <sheetViews>
    <sheetView tabSelected="1" zoomScale="77" zoomScaleNormal="77" workbookViewId="0">
      <selection activeCell="E23" sqref="E23"/>
    </sheetView>
  </sheetViews>
  <sheetFormatPr baseColWidth="10" defaultColWidth="11" defaultRowHeight="23.25" x14ac:dyDescent="0.35"/>
  <cols>
    <col min="1" max="1" width="4.5703125" style="31" customWidth="1"/>
    <col min="2" max="2" width="14.5703125" style="35" customWidth="1"/>
    <col min="3" max="3" width="32.42578125" style="90" customWidth="1"/>
    <col min="4" max="4" width="8.42578125" style="31" customWidth="1"/>
    <col min="5" max="5" width="79" style="36" customWidth="1"/>
    <col min="6" max="6" width="11" style="31"/>
    <col min="7" max="7" width="12.7109375" style="31" customWidth="1"/>
    <col min="8" max="8" width="13.85546875" style="91" customWidth="1"/>
    <col min="9" max="9" width="18.5703125" style="31" customWidth="1"/>
    <col min="10" max="10" width="42.5703125" style="31" customWidth="1"/>
    <col min="11" max="11" width="11" style="66"/>
    <col min="12" max="16384" width="11" style="31"/>
  </cols>
  <sheetData>
    <row r="1" spans="1:11" s="35" customFormat="1" x14ac:dyDescent="0.35">
      <c r="C1" s="40"/>
      <c r="E1" s="36"/>
      <c r="H1" s="41"/>
      <c r="K1" s="65"/>
    </row>
    <row r="2" spans="1:11" s="35" customFormat="1" ht="27" x14ac:dyDescent="0.35">
      <c r="B2" s="113" t="s">
        <v>0</v>
      </c>
      <c r="C2" s="113"/>
      <c r="D2" s="113"/>
      <c r="E2" s="113"/>
      <c r="F2" s="113"/>
      <c r="G2" s="113"/>
      <c r="H2" s="113"/>
      <c r="K2" s="65"/>
    </row>
    <row r="3" spans="1:11" s="35" customFormat="1" x14ac:dyDescent="0.35">
      <c r="C3" s="40"/>
      <c r="E3" s="36"/>
      <c r="H3" s="41"/>
      <c r="K3" s="65"/>
    </row>
    <row r="4" spans="1:11" s="35" customFormat="1" ht="18" customHeight="1" x14ac:dyDescent="0.35">
      <c r="A4" s="114" t="s">
        <v>1</v>
      </c>
      <c r="B4" s="114"/>
      <c r="C4" s="115" t="s">
        <v>67</v>
      </c>
      <c r="D4" s="115"/>
      <c r="E4" s="115"/>
      <c r="F4" s="38"/>
      <c r="G4" s="42"/>
      <c r="H4" s="43"/>
      <c r="K4" s="65"/>
    </row>
    <row r="5" spans="1:11" s="35" customFormat="1" ht="18" customHeight="1" x14ac:dyDescent="0.35">
      <c r="A5" s="114" t="s">
        <v>2</v>
      </c>
      <c r="B5" s="114"/>
      <c r="C5" s="115" t="s">
        <v>54</v>
      </c>
      <c r="D5" s="115"/>
      <c r="E5" s="115"/>
      <c r="F5" s="38"/>
      <c r="G5" s="42"/>
      <c r="H5" s="43"/>
      <c r="K5" s="65"/>
    </row>
    <row r="6" spans="1:11" s="35" customFormat="1" ht="16.5" customHeight="1" x14ac:dyDescent="0.35">
      <c r="A6" s="114" t="s">
        <v>3</v>
      </c>
      <c r="B6" s="114"/>
      <c r="C6" s="44">
        <v>2022</v>
      </c>
      <c r="D6" s="45"/>
      <c r="E6" s="37"/>
      <c r="F6" s="38"/>
      <c r="G6" s="42"/>
      <c r="H6" s="43"/>
      <c r="K6" s="65"/>
    </row>
    <row r="7" spans="1:11" s="35" customFormat="1" ht="16.5" customHeight="1" x14ac:dyDescent="0.35">
      <c r="A7" s="114" t="s">
        <v>4</v>
      </c>
      <c r="B7" s="114"/>
      <c r="C7" s="44" t="s">
        <v>70</v>
      </c>
      <c r="D7" s="45"/>
      <c r="E7" s="37"/>
      <c r="F7" s="38"/>
      <c r="G7" s="42"/>
      <c r="H7" s="43"/>
      <c r="K7" s="65"/>
    </row>
    <row r="8" spans="1:11" s="35" customFormat="1" ht="24" thickBot="1" x14ac:dyDescent="0.4">
      <c r="B8" s="38"/>
      <c r="C8" s="46"/>
      <c r="D8" s="38"/>
      <c r="E8" s="39"/>
      <c r="F8" s="38"/>
      <c r="G8" s="42"/>
      <c r="H8" s="43"/>
      <c r="K8" s="65"/>
    </row>
    <row r="9" spans="1:11" ht="38.25" x14ac:dyDescent="0.35">
      <c r="A9" s="47" t="s">
        <v>5</v>
      </c>
      <c r="B9" s="47" t="s">
        <v>6</v>
      </c>
      <c r="C9" s="74" t="s">
        <v>57</v>
      </c>
      <c r="D9" s="75" t="s">
        <v>7</v>
      </c>
      <c r="E9" s="47" t="s">
        <v>8</v>
      </c>
      <c r="F9" s="74" t="s">
        <v>9</v>
      </c>
      <c r="G9" s="76" t="s">
        <v>10</v>
      </c>
      <c r="H9" s="77" t="s">
        <v>11</v>
      </c>
      <c r="I9" s="78" t="s">
        <v>12</v>
      </c>
    </row>
    <row r="10" spans="1:11" ht="58.5" customHeight="1" x14ac:dyDescent="0.35">
      <c r="A10" s="32">
        <v>1</v>
      </c>
      <c r="B10" s="64" t="s">
        <v>58</v>
      </c>
      <c r="C10" s="34" t="s">
        <v>55</v>
      </c>
      <c r="D10" s="33" t="str">
        <f t="shared" ref="D10" si="0">LEFT(B10,5)</f>
        <v>2.1.1</v>
      </c>
      <c r="E10" s="48" t="s">
        <v>59</v>
      </c>
      <c r="F10" s="62" t="s">
        <v>56</v>
      </c>
      <c r="G10" s="62">
        <v>90</v>
      </c>
      <c r="H10" s="63">
        <v>6490</v>
      </c>
      <c r="I10" s="17">
        <f t="shared" ref="I10" si="1">H10*G10</f>
        <v>584100</v>
      </c>
    </row>
    <row r="11" spans="1:11" s="35" customFormat="1" ht="17.25" customHeight="1" x14ac:dyDescent="0.35">
      <c r="A11" s="67"/>
      <c r="B11" s="68"/>
      <c r="C11" s="68"/>
      <c r="D11" s="69"/>
      <c r="E11" s="70"/>
      <c r="F11" s="46"/>
      <c r="G11" s="46"/>
      <c r="H11" s="71"/>
      <c r="I11" s="72">
        <f>SUM(I10:I10)</f>
        <v>584100</v>
      </c>
      <c r="J11" s="49"/>
      <c r="K11" s="65"/>
    </row>
    <row r="12" spans="1:11" s="35" customFormat="1" ht="14.25" customHeight="1" x14ac:dyDescent="0.35">
      <c r="A12" s="67"/>
      <c r="B12" s="68"/>
      <c r="C12" s="88"/>
      <c r="D12" s="99"/>
      <c r="E12" s="99"/>
      <c r="F12" s="99"/>
      <c r="G12" s="65"/>
    </row>
    <row r="13" spans="1:11" s="35" customFormat="1" ht="14.25" customHeight="1" thickBot="1" x14ac:dyDescent="0.4">
      <c r="A13" s="67"/>
      <c r="B13" s="68"/>
      <c r="C13" s="88"/>
      <c r="D13" s="89"/>
      <c r="E13" s="89"/>
      <c r="F13" s="89"/>
      <c r="G13" s="65"/>
    </row>
    <row r="14" spans="1:11" s="35" customFormat="1" ht="14.25" customHeight="1" x14ac:dyDescent="0.35">
      <c r="A14" s="67"/>
      <c r="B14" s="68"/>
      <c r="C14" s="93" t="s">
        <v>75</v>
      </c>
      <c r="D14" s="86"/>
      <c r="E14" s="86"/>
      <c r="F14" s="87"/>
      <c r="G14" s="65"/>
    </row>
    <row r="15" spans="1:11" s="35" customFormat="1" ht="14.25" customHeight="1" x14ac:dyDescent="0.35">
      <c r="A15" s="67"/>
      <c r="B15" s="68"/>
      <c r="C15" s="96"/>
      <c r="D15" s="31"/>
      <c r="E15" s="31"/>
      <c r="F15" s="79"/>
      <c r="G15" s="65"/>
    </row>
    <row r="16" spans="1:11" s="35" customFormat="1" ht="14.25" customHeight="1" x14ac:dyDescent="0.35">
      <c r="A16" s="67"/>
      <c r="B16" s="68"/>
      <c r="C16" s="97" t="s">
        <v>13</v>
      </c>
      <c r="D16" s="108"/>
      <c r="E16" s="108"/>
      <c r="F16" s="79"/>
      <c r="G16" s="65"/>
    </row>
    <row r="17" spans="1:11" s="35" customFormat="1" ht="14.25" customHeight="1" x14ac:dyDescent="0.35">
      <c r="A17" s="67"/>
      <c r="B17" s="68"/>
      <c r="C17" s="94"/>
      <c r="D17" s="109"/>
      <c r="E17" s="110"/>
      <c r="F17" s="110"/>
      <c r="G17" s="65"/>
    </row>
    <row r="18" spans="1:11" s="35" customFormat="1" ht="14.25" customHeight="1" x14ac:dyDescent="0.35">
      <c r="A18" s="67"/>
      <c r="B18" s="68"/>
      <c r="C18" s="94"/>
      <c r="D18" s="80"/>
      <c r="E18" s="81"/>
      <c r="F18" s="82"/>
      <c r="G18" s="65"/>
    </row>
    <row r="19" spans="1:11" s="35" customFormat="1" ht="134.25" customHeight="1" x14ac:dyDescent="0.35">
      <c r="A19" s="67"/>
      <c r="B19" s="68"/>
      <c r="C19" s="94" t="s">
        <v>62</v>
      </c>
      <c r="D19" s="31"/>
      <c r="E19" s="92" t="s">
        <v>74</v>
      </c>
      <c r="F19" s="79"/>
      <c r="G19" s="65"/>
    </row>
    <row r="20" spans="1:11" s="35" customFormat="1" ht="14.25" customHeight="1" x14ac:dyDescent="0.35">
      <c r="A20" s="67"/>
      <c r="B20" s="68"/>
      <c r="C20" s="95"/>
      <c r="D20" s="112"/>
      <c r="E20" s="112"/>
      <c r="F20" s="112"/>
      <c r="G20" s="65"/>
    </row>
    <row r="21" spans="1:11" s="35" customFormat="1" ht="14.25" customHeight="1" x14ac:dyDescent="0.35">
      <c r="A21" s="67"/>
      <c r="B21" s="68"/>
      <c r="C21" s="94" t="s">
        <v>63</v>
      </c>
      <c r="D21" s="112" t="s">
        <v>65</v>
      </c>
      <c r="E21" s="112"/>
      <c r="F21" s="112"/>
      <c r="G21" s="65"/>
    </row>
    <row r="22" spans="1:11" s="35" customFormat="1" ht="14.25" customHeight="1" x14ac:dyDescent="0.35">
      <c r="A22" s="67"/>
      <c r="B22" s="68"/>
      <c r="C22" s="94"/>
      <c r="D22" s="83"/>
      <c r="E22" s="83"/>
      <c r="F22" s="84"/>
      <c r="G22" s="65"/>
    </row>
    <row r="23" spans="1:11" s="35" customFormat="1" ht="14.25" customHeight="1" x14ac:dyDescent="0.35">
      <c r="A23" s="67"/>
      <c r="B23" s="68"/>
      <c r="C23" s="94" t="s">
        <v>64</v>
      </c>
      <c r="D23" s="83"/>
      <c r="E23" s="83" t="s">
        <v>69</v>
      </c>
      <c r="F23" s="84"/>
      <c r="G23" s="65"/>
    </row>
    <row r="24" spans="1:11" s="35" customFormat="1" ht="14.25" customHeight="1" x14ac:dyDescent="0.35">
      <c r="A24" s="67"/>
      <c r="B24" s="68"/>
      <c r="C24" s="94"/>
      <c r="D24" s="83"/>
      <c r="E24" s="83"/>
      <c r="F24" s="84"/>
      <c r="G24" s="65"/>
    </row>
    <row r="25" spans="1:11" s="35" customFormat="1" ht="14.25" customHeight="1" x14ac:dyDescent="0.35">
      <c r="A25" s="67"/>
      <c r="B25" s="68"/>
      <c r="C25" s="94" t="s">
        <v>14</v>
      </c>
      <c r="D25" s="31"/>
      <c r="E25" s="31"/>
      <c r="F25" s="79"/>
      <c r="G25" s="65"/>
    </row>
    <row r="26" spans="1:11" s="35" customFormat="1" ht="14.25" customHeight="1" x14ac:dyDescent="0.35">
      <c r="A26" s="67"/>
      <c r="B26" s="68"/>
      <c r="C26" s="95"/>
      <c r="D26" s="110"/>
      <c r="E26" s="110"/>
      <c r="F26" s="110"/>
      <c r="G26" s="65"/>
    </row>
    <row r="27" spans="1:11" s="35" customFormat="1" ht="14.25" customHeight="1" x14ac:dyDescent="0.35">
      <c r="A27" s="67"/>
      <c r="B27" s="68"/>
      <c r="C27" s="94" t="s">
        <v>15</v>
      </c>
      <c r="D27" s="81"/>
      <c r="E27" s="81" t="s">
        <v>71</v>
      </c>
      <c r="F27" s="82"/>
      <c r="G27" s="65"/>
    </row>
    <row r="28" spans="1:11" s="35" customFormat="1" ht="14.25" customHeight="1" x14ac:dyDescent="0.35">
      <c r="A28" s="67"/>
      <c r="B28" s="68"/>
      <c r="C28" s="95"/>
      <c r="D28" s="110"/>
      <c r="E28" s="110"/>
      <c r="F28" s="110"/>
      <c r="G28" s="65"/>
    </row>
    <row r="29" spans="1:11" s="35" customFormat="1" ht="14.25" customHeight="1" x14ac:dyDescent="0.35">
      <c r="A29" s="67"/>
      <c r="B29" s="68"/>
      <c r="C29" s="94" t="s">
        <v>16</v>
      </c>
      <c r="D29" s="31"/>
      <c r="E29" s="31"/>
      <c r="F29" s="79"/>
      <c r="G29" s="65"/>
    </row>
    <row r="30" spans="1:11" s="35" customFormat="1" ht="14.25" customHeight="1" thickBot="1" x14ac:dyDescent="0.4">
      <c r="A30" s="67"/>
      <c r="B30" s="68"/>
      <c r="C30" s="85"/>
      <c r="D30" s="111"/>
      <c r="E30" s="111"/>
      <c r="F30" s="111"/>
      <c r="G30" s="65"/>
    </row>
    <row r="31" spans="1:11" s="35" customFormat="1" ht="14.25" customHeight="1" x14ac:dyDescent="0.35">
      <c r="A31" s="67"/>
      <c r="B31" s="68"/>
      <c r="C31" s="88"/>
      <c r="D31" s="89"/>
      <c r="E31" s="89"/>
      <c r="F31" s="89"/>
      <c r="G31" s="65"/>
    </row>
    <row r="32" spans="1:11" s="35" customFormat="1" ht="14.25" customHeight="1" x14ac:dyDescent="0.35">
      <c r="A32" s="67"/>
      <c r="B32" s="68"/>
      <c r="C32" s="90"/>
      <c r="D32" s="31"/>
      <c r="E32" s="36"/>
      <c r="F32" s="31"/>
      <c r="G32" s="46"/>
      <c r="H32" s="71"/>
      <c r="I32" s="72"/>
      <c r="J32" s="49"/>
      <c r="K32" s="65"/>
    </row>
    <row r="33" spans="1:11" s="35" customFormat="1" ht="14.25" customHeight="1" x14ac:dyDescent="0.35">
      <c r="A33" s="67"/>
      <c r="B33" s="68"/>
      <c r="C33" s="90"/>
      <c r="D33" s="31"/>
      <c r="E33" s="36"/>
      <c r="F33" s="31"/>
      <c r="G33" s="46"/>
      <c r="H33" s="71"/>
      <c r="I33" s="72"/>
      <c r="J33" s="49"/>
      <c r="K33" s="65"/>
    </row>
    <row r="34" spans="1:11" s="35" customFormat="1" ht="14.25" customHeight="1" x14ac:dyDescent="0.35">
      <c r="A34" s="67"/>
      <c r="B34" s="68"/>
      <c r="C34" s="90"/>
      <c r="D34" s="31"/>
      <c r="E34" s="36"/>
      <c r="F34" s="31"/>
      <c r="G34" s="46"/>
      <c r="H34" s="71"/>
      <c r="I34" s="72"/>
      <c r="J34" s="49"/>
      <c r="K34" s="65"/>
    </row>
    <row r="35" spans="1:11" s="35" customFormat="1" ht="14.25" customHeight="1" x14ac:dyDescent="0.35">
      <c r="A35" s="67"/>
      <c r="B35" s="68"/>
      <c r="C35" s="90"/>
      <c r="D35" s="31"/>
      <c r="E35" s="36"/>
      <c r="F35" s="31"/>
      <c r="G35" s="46"/>
      <c r="H35" s="71"/>
      <c r="I35" s="72"/>
      <c r="J35" s="49"/>
      <c r="K35" s="65"/>
    </row>
    <row r="36" spans="1:11" s="35" customFormat="1" ht="14.25" customHeight="1" x14ac:dyDescent="0.35">
      <c r="A36" s="67"/>
      <c r="B36" s="68"/>
      <c r="C36" s="90"/>
      <c r="D36" s="31"/>
      <c r="E36" s="36"/>
      <c r="F36" s="31"/>
      <c r="G36" s="46"/>
      <c r="H36" s="71"/>
      <c r="I36" s="72"/>
      <c r="J36" s="49"/>
      <c r="K36" s="65"/>
    </row>
    <row r="37" spans="1:11" s="35" customFormat="1" ht="14.25" customHeight="1" x14ac:dyDescent="0.35">
      <c r="A37" s="67"/>
      <c r="B37" s="68"/>
      <c r="C37" s="90"/>
      <c r="D37" s="31"/>
      <c r="E37" s="36"/>
      <c r="F37" s="31"/>
      <c r="G37" s="46"/>
      <c r="H37" s="71"/>
      <c r="I37" s="72"/>
      <c r="J37" s="49"/>
      <c r="K37" s="65"/>
    </row>
    <row r="38" spans="1:11" s="35" customFormat="1" ht="14.25" customHeight="1" x14ac:dyDescent="0.35">
      <c r="A38" s="67"/>
      <c r="B38" s="68"/>
      <c r="C38" s="90"/>
      <c r="D38" s="31"/>
      <c r="E38" s="36"/>
      <c r="F38" s="31"/>
      <c r="G38" s="46"/>
      <c r="H38" s="71"/>
      <c r="I38" s="72"/>
      <c r="J38" s="49"/>
      <c r="K38" s="65"/>
    </row>
    <row r="39" spans="1:11" s="35" customFormat="1" ht="14.25" customHeight="1" x14ac:dyDescent="0.35">
      <c r="A39" s="67"/>
      <c r="B39" s="68"/>
      <c r="C39" s="90"/>
      <c r="D39" s="31"/>
      <c r="E39" s="36"/>
      <c r="F39" s="31"/>
      <c r="G39" s="46"/>
      <c r="H39" s="71"/>
      <c r="I39" s="72"/>
      <c r="J39" s="49"/>
      <c r="K39" s="65"/>
    </row>
    <row r="40" spans="1:11" s="35" customFormat="1" ht="14.25" customHeight="1" x14ac:dyDescent="0.35">
      <c r="A40" s="67"/>
      <c r="C40" s="90"/>
      <c r="D40" s="31"/>
      <c r="E40" s="36"/>
      <c r="F40" s="31"/>
      <c r="G40" s="46"/>
      <c r="H40" s="71"/>
      <c r="I40" s="72"/>
      <c r="J40" s="49"/>
      <c r="K40" s="65"/>
    </row>
    <row r="41" spans="1:11" s="35" customFormat="1" ht="14.25" customHeight="1" x14ac:dyDescent="0.35">
      <c r="A41" s="67"/>
      <c r="C41" s="90"/>
      <c r="D41" s="31"/>
      <c r="E41" s="36"/>
      <c r="F41" s="31"/>
      <c r="G41" s="46"/>
      <c r="H41" s="71"/>
      <c r="I41" s="72"/>
      <c r="J41" s="49"/>
      <c r="K41" s="65"/>
    </row>
    <row r="42" spans="1:11" s="35" customFormat="1" ht="14.25" customHeight="1" x14ac:dyDescent="0.35">
      <c r="A42" s="67"/>
      <c r="C42" s="90"/>
      <c r="D42" s="31"/>
      <c r="E42" s="36"/>
      <c r="F42" s="31"/>
      <c r="G42" s="46"/>
      <c r="H42" s="71"/>
      <c r="I42" s="72"/>
      <c r="J42" s="49"/>
      <c r="K42" s="65"/>
    </row>
    <row r="43" spans="1:11" s="35" customFormat="1" ht="30" customHeight="1" x14ac:dyDescent="0.35">
      <c r="A43" s="67"/>
      <c r="C43" s="90"/>
      <c r="D43" s="31"/>
      <c r="E43" s="36"/>
      <c r="F43" s="31"/>
      <c r="G43" s="46"/>
      <c r="H43" s="71"/>
      <c r="I43" s="72"/>
      <c r="J43" s="49"/>
      <c r="K43" s="65"/>
    </row>
    <row r="44" spans="1:11" s="35" customFormat="1" ht="14.25" customHeight="1" x14ac:dyDescent="0.35">
      <c r="A44" s="67"/>
      <c r="C44" s="90"/>
      <c r="D44" s="31"/>
      <c r="E44" s="36"/>
      <c r="F44" s="31"/>
      <c r="G44" s="46"/>
      <c r="H44" s="71"/>
      <c r="I44" s="72"/>
      <c r="J44" s="49"/>
      <c r="K44" s="65"/>
    </row>
    <row r="45" spans="1:11" s="35" customFormat="1" ht="14.25" customHeight="1" x14ac:dyDescent="0.35">
      <c r="A45" s="67"/>
      <c r="C45" s="90"/>
      <c r="D45" s="31"/>
      <c r="E45" s="36"/>
      <c r="F45" s="31"/>
      <c r="G45" s="46"/>
      <c r="H45" s="71"/>
      <c r="I45" s="72"/>
      <c r="J45" s="49"/>
      <c r="K45" s="65"/>
    </row>
    <row r="46" spans="1:11" s="35" customFormat="1" ht="14.25" customHeight="1" x14ac:dyDescent="0.35">
      <c r="A46" s="67"/>
      <c r="C46" s="90"/>
      <c r="D46" s="31"/>
      <c r="E46" s="36"/>
      <c r="F46" s="31"/>
      <c r="G46" s="46"/>
      <c r="H46" s="71"/>
      <c r="I46" s="72"/>
      <c r="J46" s="49"/>
      <c r="K46" s="65"/>
    </row>
    <row r="47" spans="1:11" s="35" customFormat="1" ht="14.25" customHeight="1" x14ac:dyDescent="0.35">
      <c r="A47" s="67"/>
      <c r="C47" s="90"/>
      <c r="D47" s="31"/>
      <c r="E47" s="36"/>
      <c r="F47" s="31"/>
      <c r="G47" s="46"/>
      <c r="H47" s="71"/>
      <c r="I47" s="72"/>
      <c r="J47" s="49"/>
      <c r="K47" s="65"/>
    </row>
    <row r="48" spans="1:11" s="35" customFormat="1" ht="14.25" customHeight="1" x14ac:dyDescent="0.35">
      <c r="A48" s="67"/>
      <c r="C48" s="90"/>
      <c r="D48" s="31"/>
      <c r="E48" s="36"/>
      <c r="F48" s="31"/>
      <c r="G48" s="46"/>
      <c r="H48" s="71"/>
      <c r="I48" s="72"/>
      <c r="J48" s="49"/>
      <c r="K48" s="65"/>
    </row>
    <row r="49" spans="1:11" s="35" customFormat="1" ht="14.25" customHeight="1" x14ac:dyDescent="0.35">
      <c r="A49" s="67"/>
      <c r="C49" s="90"/>
      <c r="D49" s="31"/>
      <c r="E49" s="36"/>
      <c r="F49" s="31"/>
      <c r="G49" s="46"/>
      <c r="H49" s="71"/>
      <c r="I49" s="72"/>
      <c r="J49" s="49"/>
      <c r="K49" s="65"/>
    </row>
    <row r="50" spans="1:11" s="35" customFormat="1" ht="14.25" customHeight="1" x14ac:dyDescent="0.35">
      <c r="A50" s="67"/>
      <c r="C50" s="90"/>
      <c r="D50" s="31"/>
      <c r="E50" s="36"/>
      <c r="F50" s="31"/>
      <c r="G50" s="46"/>
      <c r="H50" s="71"/>
      <c r="I50" s="72"/>
      <c r="J50" s="49"/>
      <c r="K50" s="65"/>
    </row>
    <row r="51" spans="1:11" s="35" customFormat="1" ht="14.25" customHeight="1" x14ac:dyDescent="0.35">
      <c r="A51" s="67"/>
      <c r="C51" s="90"/>
      <c r="D51" s="31"/>
      <c r="E51" s="36"/>
      <c r="F51" s="31"/>
      <c r="G51" s="46"/>
      <c r="H51" s="71"/>
      <c r="I51" s="72"/>
      <c r="J51" s="49"/>
      <c r="K51" s="65"/>
    </row>
    <row r="52" spans="1:11" s="35" customFormat="1" ht="14.25" customHeight="1" x14ac:dyDescent="0.35">
      <c r="A52" s="67"/>
      <c r="C52" s="90"/>
      <c r="D52" s="31"/>
      <c r="E52" s="36"/>
      <c r="F52" s="31"/>
      <c r="G52" s="46"/>
      <c r="H52" s="71"/>
      <c r="I52" s="72"/>
      <c r="J52" s="49"/>
      <c r="K52" s="65"/>
    </row>
    <row r="53" spans="1:11" s="35" customFormat="1" ht="14.25" customHeight="1" x14ac:dyDescent="0.35">
      <c r="A53" s="67"/>
      <c r="C53" s="90"/>
      <c r="D53" s="31"/>
      <c r="E53" s="36"/>
      <c r="F53" s="31"/>
      <c r="G53" s="46"/>
      <c r="H53" s="71"/>
      <c r="I53" s="72"/>
      <c r="J53" s="49"/>
      <c r="K53" s="65"/>
    </row>
    <row r="54" spans="1:11" s="35" customFormat="1" ht="14.25" customHeight="1" x14ac:dyDescent="0.35">
      <c r="A54" s="67"/>
      <c r="C54" s="90"/>
      <c r="D54" s="31"/>
      <c r="E54" s="36"/>
      <c r="F54" s="31"/>
      <c r="G54" s="46"/>
      <c r="H54" s="71"/>
      <c r="I54" s="72"/>
      <c r="J54" s="49"/>
      <c r="K54" s="65"/>
    </row>
    <row r="55" spans="1:11" s="35" customFormat="1" ht="14.25" customHeight="1" x14ac:dyDescent="0.35">
      <c r="A55" s="67"/>
      <c r="C55" s="90"/>
      <c r="D55" s="31"/>
      <c r="E55" s="36"/>
      <c r="F55" s="31"/>
      <c r="G55" s="46"/>
      <c r="H55" s="71"/>
      <c r="I55" s="72"/>
      <c r="J55" s="49"/>
      <c r="K55" s="65"/>
    </row>
    <row r="56" spans="1:11" s="35" customFormat="1" ht="14.25" customHeight="1" x14ac:dyDescent="0.35">
      <c r="A56" s="67"/>
      <c r="C56" s="90"/>
      <c r="D56" s="31"/>
      <c r="E56" s="36"/>
      <c r="F56" s="31"/>
      <c r="G56" s="46"/>
      <c r="H56" s="71"/>
      <c r="I56" s="72"/>
      <c r="J56" s="49"/>
      <c r="K56" s="65"/>
    </row>
    <row r="57" spans="1:11" s="35" customFormat="1" ht="14.25" customHeight="1" x14ac:dyDescent="0.35">
      <c r="A57" s="67"/>
      <c r="C57" s="90"/>
      <c r="D57" s="31"/>
      <c r="E57" s="36"/>
      <c r="F57" s="31"/>
      <c r="G57" s="46"/>
      <c r="H57" s="71"/>
      <c r="I57" s="72"/>
      <c r="J57" s="49"/>
      <c r="K57" s="65"/>
    </row>
    <row r="58" spans="1:11" s="35" customFormat="1" ht="14.25" customHeight="1" x14ac:dyDescent="0.35">
      <c r="A58" s="67"/>
      <c r="C58" s="90"/>
      <c r="D58" s="31"/>
      <c r="E58" s="36"/>
      <c r="F58" s="31"/>
      <c r="G58" s="46"/>
      <c r="H58" s="71"/>
      <c r="I58" s="72"/>
      <c r="J58" s="49"/>
      <c r="K58" s="65"/>
    </row>
    <row r="59" spans="1:11" s="35" customFormat="1" ht="14.25" customHeight="1" x14ac:dyDescent="0.35">
      <c r="A59" s="67"/>
      <c r="C59" s="90"/>
      <c r="D59" s="31"/>
      <c r="E59" s="36"/>
      <c r="F59" s="31"/>
      <c r="G59" s="46"/>
      <c r="H59" s="71"/>
      <c r="I59" s="72"/>
      <c r="J59" s="49"/>
      <c r="K59" s="65"/>
    </row>
    <row r="60" spans="1:11" s="35" customFormat="1" ht="14.25" customHeight="1" x14ac:dyDescent="0.35">
      <c r="A60" s="67"/>
      <c r="C60" s="90"/>
      <c r="D60" s="31"/>
      <c r="E60" s="36"/>
      <c r="F60" s="31"/>
      <c r="G60" s="46"/>
      <c r="H60" s="71"/>
      <c r="I60" s="72"/>
      <c r="J60" s="49"/>
      <c r="K60" s="65"/>
    </row>
    <row r="61" spans="1:11" s="35" customFormat="1" ht="14.25" customHeight="1" x14ac:dyDescent="0.35">
      <c r="A61" s="67"/>
      <c r="C61" s="90"/>
      <c r="D61" s="31"/>
      <c r="E61" s="36"/>
      <c r="F61" s="31"/>
      <c r="G61" s="46"/>
      <c r="H61" s="71"/>
      <c r="I61" s="72"/>
      <c r="J61" s="49"/>
      <c r="K61" s="65"/>
    </row>
    <row r="62" spans="1:11" s="35" customFormat="1" ht="14.25" customHeight="1" x14ac:dyDescent="0.35">
      <c r="A62" s="67"/>
      <c r="C62" s="90"/>
      <c r="D62" s="31"/>
      <c r="E62" s="36"/>
      <c r="F62" s="31"/>
      <c r="G62" s="46"/>
      <c r="H62" s="71"/>
      <c r="I62" s="72"/>
      <c r="J62" s="49"/>
      <c r="K62" s="65"/>
    </row>
    <row r="63" spans="1:11" s="35" customFormat="1" ht="14.25" customHeight="1" x14ac:dyDescent="0.35">
      <c r="A63" s="67"/>
      <c r="C63" s="90"/>
      <c r="D63" s="31"/>
      <c r="E63" s="36"/>
      <c r="F63" s="31"/>
      <c r="G63" s="46"/>
      <c r="H63" s="71"/>
      <c r="I63" s="72"/>
      <c r="J63" s="49"/>
      <c r="K63" s="65"/>
    </row>
    <row r="64" spans="1:11" s="35" customFormat="1" ht="14.25" customHeight="1" x14ac:dyDescent="0.35">
      <c r="A64" s="67"/>
      <c r="C64" s="90"/>
      <c r="D64" s="31"/>
      <c r="E64" s="36"/>
      <c r="F64" s="31"/>
      <c r="G64" s="46"/>
      <c r="H64" s="71"/>
      <c r="I64" s="72"/>
      <c r="J64" s="49"/>
      <c r="K64" s="65"/>
    </row>
    <row r="65" spans="1:11" s="35" customFormat="1" ht="14.25" customHeight="1" x14ac:dyDescent="0.35">
      <c r="A65" s="67"/>
      <c r="C65" s="90"/>
      <c r="D65" s="31"/>
      <c r="E65" s="36"/>
      <c r="F65" s="31"/>
      <c r="G65" s="46"/>
      <c r="H65" s="71"/>
      <c r="I65" s="72"/>
      <c r="J65" s="49"/>
      <c r="K65" s="65"/>
    </row>
    <row r="66" spans="1:11" s="35" customFormat="1" ht="14.25" customHeight="1" x14ac:dyDescent="0.35">
      <c r="A66" s="67"/>
      <c r="C66" s="90"/>
      <c r="D66" s="31"/>
      <c r="E66" s="36"/>
      <c r="F66" s="31"/>
      <c r="G66" s="46"/>
      <c r="H66" s="71"/>
      <c r="I66" s="72"/>
      <c r="J66" s="49"/>
      <c r="K66" s="65"/>
    </row>
    <row r="67" spans="1:11" s="35" customFormat="1" ht="14.25" customHeight="1" x14ac:dyDescent="0.35">
      <c r="A67" s="67"/>
      <c r="C67" s="90"/>
      <c r="D67" s="31"/>
      <c r="E67" s="36"/>
      <c r="F67" s="31"/>
      <c r="G67" s="46"/>
      <c r="H67" s="71"/>
      <c r="I67" s="72"/>
      <c r="J67" s="49"/>
      <c r="K67" s="65"/>
    </row>
    <row r="68" spans="1:11" s="35" customFormat="1" ht="14.25" customHeight="1" x14ac:dyDescent="0.35">
      <c r="A68" s="67"/>
      <c r="C68" s="90"/>
      <c r="D68" s="31"/>
      <c r="E68" s="36"/>
      <c r="F68" s="31"/>
      <c r="G68" s="46"/>
      <c r="H68" s="71"/>
      <c r="I68" s="72"/>
      <c r="J68" s="49"/>
      <c r="K68" s="65"/>
    </row>
    <row r="69" spans="1:11" s="35" customFormat="1" ht="14.25" customHeight="1" x14ac:dyDescent="0.35">
      <c r="A69" s="67"/>
      <c r="C69" s="90"/>
      <c r="D69" s="31"/>
      <c r="E69" s="36"/>
      <c r="F69" s="31"/>
      <c r="G69" s="46"/>
      <c r="H69" s="71"/>
      <c r="I69" s="72"/>
      <c r="J69" s="49"/>
      <c r="K69" s="65"/>
    </row>
    <row r="70" spans="1:11" s="35" customFormat="1" ht="14.25" customHeight="1" x14ac:dyDescent="0.35">
      <c r="A70" s="67"/>
      <c r="C70" s="90"/>
      <c r="D70" s="31"/>
      <c r="E70" s="36"/>
      <c r="F70" s="31"/>
      <c r="G70" s="46"/>
      <c r="H70" s="71"/>
      <c r="I70" s="72"/>
      <c r="J70" s="49"/>
      <c r="K70" s="65"/>
    </row>
    <row r="71" spans="1:11" s="35" customFormat="1" ht="14.25" customHeight="1" x14ac:dyDescent="0.35">
      <c r="A71" s="67"/>
      <c r="C71" s="90"/>
      <c r="D71" s="31"/>
      <c r="E71" s="36"/>
      <c r="F71" s="31"/>
      <c r="G71" s="46"/>
      <c r="H71" s="71"/>
      <c r="I71" s="72"/>
      <c r="J71" s="49"/>
      <c r="K71" s="65"/>
    </row>
    <row r="72" spans="1:11" s="35" customFormat="1" ht="14.25" customHeight="1" x14ac:dyDescent="0.35">
      <c r="A72" s="67"/>
      <c r="C72" s="90"/>
      <c r="D72" s="31"/>
      <c r="E72" s="36"/>
      <c r="F72" s="31"/>
      <c r="G72" s="46"/>
      <c r="H72" s="71"/>
      <c r="I72" s="72"/>
      <c r="J72" s="49"/>
      <c r="K72" s="65"/>
    </row>
    <row r="73" spans="1:11" s="35" customFormat="1" ht="14.25" customHeight="1" x14ac:dyDescent="0.35">
      <c r="A73" s="67"/>
      <c r="C73" s="90"/>
      <c r="D73" s="31"/>
      <c r="E73" s="36"/>
      <c r="F73" s="31"/>
      <c r="G73" s="46"/>
      <c r="H73" s="71"/>
      <c r="I73" s="72"/>
      <c r="J73" s="49"/>
      <c r="K73" s="65"/>
    </row>
    <row r="74" spans="1:11" s="35" customFormat="1" ht="14.25" customHeight="1" x14ac:dyDescent="0.35">
      <c r="A74" s="67"/>
      <c r="C74" s="90"/>
      <c r="D74" s="31"/>
      <c r="E74" s="36"/>
      <c r="F74" s="31"/>
      <c r="G74" s="46"/>
      <c r="H74" s="71"/>
      <c r="I74" s="72"/>
      <c r="J74" s="49"/>
      <c r="K74" s="65"/>
    </row>
    <row r="75" spans="1:11" s="35" customFormat="1" ht="14.25" customHeight="1" x14ac:dyDescent="0.35">
      <c r="A75" s="67"/>
      <c r="C75" s="90"/>
      <c r="D75" s="31"/>
      <c r="E75" s="36"/>
      <c r="F75" s="31"/>
      <c r="G75" s="46"/>
      <c r="H75" s="71"/>
      <c r="I75" s="72"/>
      <c r="J75" s="49"/>
      <c r="K75" s="65"/>
    </row>
    <row r="76" spans="1:11" s="35" customFormat="1" ht="14.25" customHeight="1" x14ac:dyDescent="0.35">
      <c r="A76" s="67"/>
      <c r="C76" s="90"/>
      <c r="D76" s="31"/>
      <c r="E76" s="36"/>
      <c r="F76" s="31"/>
      <c r="G76" s="46"/>
      <c r="H76" s="71"/>
      <c r="I76" s="72"/>
      <c r="J76" s="49"/>
      <c r="K76" s="65"/>
    </row>
    <row r="77" spans="1:11" s="35" customFormat="1" ht="14.25" customHeight="1" x14ac:dyDescent="0.35">
      <c r="A77" s="67"/>
      <c r="C77" s="90"/>
      <c r="D77" s="31"/>
      <c r="E77" s="36"/>
      <c r="F77" s="31"/>
      <c r="G77" s="46"/>
      <c r="H77" s="71"/>
      <c r="I77" s="72"/>
      <c r="J77" s="49"/>
      <c r="K77" s="65"/>
    </row>
    <row r="78" spans="1:11" s="35" customFormat="1" ht="14.25" customHeight="1" x14ac:dyDescent="0.35">
      <c r="A78" s="67"/>
      <c r="C78" s="90"/>
      <c r="D78" s="31"/>
      <c r="E78" s="36"/>
      <c r="F78" s="31"/>
      <c r="G78" s="46"/>
      <c r="H78" s="71"/>
      <c r="I78" s="72"/>
      <c r="J78" s="49"/>
      <c r="K78" s="65"/>
    </row>
    <row r="79" spans="1:11" s="35" customFormat="1" ht="23.25" customHeight="1" x14ac:dyDescent="0.35">
      <c r="A79" s="67"/>
      <c r="C79" s="90"/>
      <c r="D79" s="31"/>
      <c r="E79" s="36"/>
      <c r="F79" s="31"/>
      <c r="G79" s="46"/>
      <c r="H79" s="71"/>
      <c r="I79" s="72"/>
      <c r="J79" s="49"/>
      <c r="K79" s="65"/>
    </row>
    <row r="80" spans="1:11" s="35" customFormat="1" ht="14.25" customHeight="1" x14ac:dyDescent="0.35">
      <c r="A80" s="67"/>
      <c r="C80" s="90"/>
      <c r="D80" s="31"/>
      <c r="E80" s="36"/>
      <c r="F80" s="31"/>
      <c r="G80" s="46"/>
      <c r="H80" s="71"/>
      <c r="I80" s="72"/>
      <c r="J80" s="49"/>
      <c r="K80" s="65"/>
    </row>
    <row r="81" spans="1:11" s="35" customFormat="1" ht="14.25" customHeight="1" x14ac:dyDescent="0.35">
      <c r="A81" s="67"/>
      <c r="C81" s="90"/>
      <c r="D81" s="31"/>
      <c r="E81" s="36"/>
      <c r="F81" s="31"/>
      <c r="G81" s="46"/>
      <c r="H81" s="71"/>
      <c r="I81" s="72"/>
      <c r="J81" s="49"/>
      <c r="K81" s="65"/>
    </row>
    <row r="82" spans="1:11" s="35" customFormat="1" ht="14.25" customHeight="1" x14ac:dyDescent="0.35">
      <c r="A82" s="67"/>
      <c r="C82" s="90"/>
      <c r="D82" s="31"/>
      <c r="E82" s="36"/>
      <c r="F82" s="31"/>
      <c r="G82" s="46"/>
      <c r="H82" s="71"/>
      <c r="I82" s="72"/>
      <c r="J82" s="49"/>
      <c r="K82" s="65"/>
    </row>
    <row r="83" spans="1:11" s="35" customFormat="1" ht="14.25" customHeight="1" x14ac:dyDescent="0.35">
      <c r="A83" s="67"/>
      <c r="C83" s="90"/>
      <c r="D83" s="31"/>
      <c r="E83" s="36"/>
      <c r="F83" s="31"/>
      <c r="G83" s="46"/>
      <c r="H83" s="71"/>
      <c r="I83" s="72"/>
      <c r="J83" s="49"/>
      <c r="K83" s="65"/>
    </row>
    <row r="84" spans="1:11" s="35" customFormat="1" ht="14.25" customHeight="1" x14ac:dyDescent="0.35">
      <c r="A84" s="67"/>
      <c r="C84" s="90"/>
      <c r="D84" s="31"/>
      <c r="E84" s="36"/>
      <c r="F84" s="31"/>
      <c r="G84" s="46"/>
      <c r="H84" s="71"/>
      <c r="I84" s="72"/>
      <c r="J84" s="49"/>
      <c r="K84" s="65"/>
    </row>
    <row r="85" spans="1:11" s="35" customFormat="1" ht="14.25" customHeight="1" x14ac:dyDescent="0.35">
      <c r="A85" s="67"/>
      <c r="C85" s="90"/>
      <c r="D85" s="31"/>
      <c r="E85" s="36"/>
      <c r="F85" s="31"/>
      <c r="G85" s="46"/>
      <c r="H85" s="71"/>
      <c r="I85" s="72"/>
      <c r="J85" s="49"/>
      <c r="K85" s="65"/>
    </row>
    <row r="86" spans="1:11" s="35" customFormat="1" ht="14.25" customHeight="1" x14ac:dyDescent="0.35">
      <c r="A86" s="67"/>
      <c r="C86" s="90"/>
      <c r="D86" s="31"/>
      <c r="E86" s="36"/>
      <c r="F86" s="31"/>
      <c r="G86" s="46"/>
      <c r="H86" s="71"/>
      <c r="I86" s="72"/>
      <c r="J86" s="49"/>
      <c r="K86" s="65"/>
    </row>
    <row r="87" spans="1:11" s="35" customFormat="1" ht="14.25" customHeight="1" x14ac:dyDescent="0.35">
      <c r="A87" s="67"/>
      <c r="C87" s="90"/>
      <c r="D87" s="31"/>
      <c r="E87" s="36"/>
      <c r="F87" s="31"/>
      <c r="G87" s="46"/>
      <c r="H87" s="71"/>
      <c r="I87" s="72"/>
      <c r="J87" s="49"/>
      <c r="K87" s="65"/>
    </row>
    <row r="88" spans="1:11" s="35" customFormat="1" ht="14.25" customHeight="1" x14ac:dyDescent="0.35">
      <c r="A88" s="67"/>
      <c r="C88" s="90"/>
      <c r="D88" s="31"/>
      <c r="E88" s="36"/>
      <c r="F88" s="31"/>
      <c r="G88" s="46"/>
      <c r="H88" s="71"/>
      <c r="I88" s="72"/>
      <c r="J88" s="49"/>
      <c r="K88" s="65"/>
    </row>
    <row r="89" spans="1:11" s="35" customFormat="1" ht="14.25" customHeight="1" x14ac:dyDescent="0.35">
      <c r="A89" s="67"/>
      <c r="C89" s="90"/>
      <c r="D89" s="31"/>
      <c r="E89" s="36"/>
      <c r="F89" s="31"/>
      <c r="G89" s="46"/>
      <c r="H89" s="71"/>
      <c r="I89" s="72"/>
      <c r="J89" s="49"/>
      <c r="K89" s="65"/>
    </row>
    <row r="90" spans="1:11" s="35" customFormat="1" ht="14.25" customHeight="1" x14ac:dyDescent="0.35">
      <c r="A90" s="67"/>
      <c r="C90" s="90"/>
      <c r="D90" s="31"/>
      <c r="E90" s="36"/>
      <c r="F90" s="31"/>
      <c r="G90" s="46"/>
      <c r="H90" s="71"/>
      <c r="I90" s="72"/>
      <c r="J90" s="49"/>
      <c r="K90" s="65"/>
    </row>
    <row r="91" spans="1:11" s="35" customFormat="1" ht="14.25" customHeight="1" x14ac:dyDescent="0.35">
      <c r="A91" s="67"/>
      <c r="C91" s="90"/>
      <c r="D91" s="31"/>
      <c r="E91" s="36"/>
      <c r="F91" s="31"/>
      <c r="G91" s="46"/>
      <c r="H91" s="71"/>
      <c r="I91" s="72"/>
      <c r="J91" s="49"/>
      <c r="K91" s="65"/>
    </row>
    <row r="92" spans="1:11" s="35" customFormat="1" ht="14.25" customHeight="1" x14ac:dyDescent="0.35">
      <c r="A92" s="67"/>
      <c r="C92" s="90"/>
      <c r="D92" s="31"/>
      <c r="E92" s="36"/>
      <c r="F92" s="31"/>
      <c r="G92" s="46"/>
      <c r="H92" s="71"/>
      <c r="I92" s="72"/>
      <c r="J92" s="49"/>
      <c r="K92" s="65"/>
    </row>
    <row r="93" spans="1:11" s="35" customFormat="1" ht="14.25" customHeight="1" x14ac:dyDescent="0.35">
      <c r="A93" s="67"/>
      <c r="C93" s="90"/>
      <c r="D93" s="31"/>
      <c r="E93" s="36"/>
      <c r="F93" s="31"/>
      <c r="G93" s="46"/>
      <c r="H93" s="71"/>
      <c r="I93" s="72"/>
      <c r="J93" s="49"/>
      <c r="K93" s="65"/>
    </row>
    <row r="94" spans="1:11" s="35" customFormat="1" ht="14.25" customHeight="1" x14ac:dyDescent="0.35">
      <c r="A94" s="67"/>
      <c r="C94" s="90"/>
      <c r="D94" s="31"/>
      <c r="E94" s="36"/>
      <c r="F94" s="31"/>
      <c r="G94" s="46"/>
      <c r="H94" s="71"/>
      <c r="I94" s="72"/>
      <c r="J94" s="49"/>
      <c r="K94" s="65"/>
    </row>
    <row r="95" spans="1:11" s="35" customFormat="1" ht="14.25" customHeight="1" x14ac:dyDescent="0.35">
      <c r="A95" s="67"/>
      <c r="C95" s="90"/>
      <c r="D95" s="31"/>
      <c r="E95" s="36"/>
      <c r="F95" s="31"/>
      <c r="G95" s="46"/>
      <c r="H95" s="71"/>
      <c r="I95" s="72"/>
      <c r="J95" s="49"/>
      <c r="K95" s="65"/>
    </row>
    <row r="96" spans="1:11" s="35" customFormat="1" ht="14.25" customHeight="1" x14ac:dyDescent="0.35">
      <c r="A96" s="67"/>
      <c r="C96" s="90"/>
      <c r="D96" s="31"/>
      <c r="E96" s="36"/>
      <c r="F96" s="31"/>
      <c r="G96" s="46"/>
      <c r="H96" s="71"/>
      <c r="I96" s="72"/>
      <c r="J96" s="49"/>
      <c r="K96" s="65"/>
    </row>
    <row r="97" spans="1:11" s="35" customFormat="1" ht="14.25" customHeight="1" x14ac:dyDescent="0.35">
      <c r="A97" s="67"/>
      <c r="C97" s="90"/>
      <c r="D97" s="31"/>
      <c r="E97" s="36"/>
      <c r="F97" s="31"/>
      <c r="G97" s="46"/>
      <c r="H97" s="71"/>
      <c r="I97" s="72"/>
      <c r="J97" s="49"/>
      <c r="K97" s="65"/>
    </row>
    <row r="98" spans="1:11" s="35" customFormat="1" ht="14.25" customHeight="1" x14ac:dyDescent="0.35">
      <c r="A98" s="67"/>
      <c r="C98" s="90"/>
      <c r="D98" s="31"/>
      <c r="E98" s="36"/>
      <c r="F98" s="31"/>
      <c r="G98" s="46"/>
      <c r="H98" s="71"/>
      <c r="I98" s="72"/>
      <c r="J98" s="49"/>
      <c r="K98" s="65"/>
    </row>
    <row r="99" spans="1:11" s="35" customFormat="1" ht="14.25" customHeight="1" x14ac:dyDescent="0.35">
      <c r="A99" s="67"/>
      <c r="C99" s="90"/>
      <c r="D99" s="31"/>
      <c r="E99" s="36"/>
      <c r="F99" s="31"/>
      <c r="G99" s="46"/>
      <c r="H99" s="71"/>
      <c r="I99" s="72"/>
      <c r="J99" s="49"/>
      <c r="K99" s="65"/>
    </row>
    <row r="100" spans="1:11" s="35" customFormat="1" ht="14.25" customHeight="1" x14ac:dyDescent="0.35">
      <c r="A100" s="67"/>
      <c r="C100" s="90"/>
      <c r="D100" s="31"/>
      <c r="E100" s="36"/>
      <c r="F100" s="31"/>
      <c r="G100" s="46"/>
      <c r="H100" s="71"/>
      <c r="I100" s="72"/>
      <c r="J100" s="49"/>
      <c r="K100" s="65"/>
    </row>
    <row r="101" spans="1:11" s="35" customFormat="1" ht="14.25" customHeight="1" x14ac:dyDescent="0.35">
      <c r="A101" s="67"/>
      <c r="C101" s="90"/>
      <c r="D101" s="31"/>
      <c r="E101" s="36"/>
      <c r="F101" s="31"/>
      <c r="G101" s="46"/>
      <c r="H101" s="71"/>
      <c r="I101" s="72"/>
      <c r="J101" s="49"/>
      <c r="K101" s="65"/>
    </row>
    <row r="102" spans="1:11" s="35" customFormat="1" ht="14.25" customHeight="1" x14ac:dyDescent="0.35">
      <c r="A102" s="67"/>
      <c r="C102" s="90"/>
      <c r="D102" s="31"/>
      <c r="E102" s="36"/>
      <c r="F102" s="31"/>
      <c r="G102" s="46"/>
      <c r="H102" s="71"/>
      <c r="I102" s="72"/>
      <c r="J102" s="49"/>
      <c r="K102" s="65"/>
    </row>
    <row r="103" spans="1:11" s="35" customFormat="1" ht="14.25" customHeight="1" x14ac:dyDescent="0.35">
      <c r="A103" s="67"/>
      <c r="C103" s="90"/>
      <c r="D103" s="31"/>
      <c r="E103" s="36"/>
      <c r="F103" s="31"/>
      <c r="G103" s="46"/>
      <c r="H103" s="71"/>
      <c r="I103" s="72"/>
      <c r="J103" s="49"/>
      <c r="K103" s="65"/>
    </row>
    <row r="104" spans="1:11" s="35" customFormat="1" ht="14.25" customHeight="1" x14ac:dyDescent="0.35">
      <c r="A104" s="67"/>
      <c r="C104" s="90"/>
      <c r="D104" s="31"/>
      <c r="E104" s="36"/>
      <c r="F104" s="31"/>
      <c r="G104" s="46"/>
      <c r="H104" s="71"/>
      <c r="I104" s="72"/>
      <c r="J104" s="49"/>
      <c r="K104" s="65"/>
    </row>
    <row r="105" spans="1:11" s="35" customFormat="1" ht="14.25" customHeight="1" x14ac:dyDescent="0.35">
      <c r="A105" s="67"/>
      <c r="C105" s="90"/>
      <c r="D105" s="31"/>
      <c r="E105" s="36"/>
      <c r="F105" s="31"/>
      <c r="G105" s="46"/>
      <c r="H105" s="71"/>
      <c r="I105" s="72"/>
      <c r="J105" s="49"/>
      <c r="K105" s="65"/>
    </row>
    <row r="106" spans="1:11" s="35" customFormat="1" ht="14.25" customHeight="1" x14ac:dyDescent="0.35">
      <c r="A106" s="67"/>
      <c r="C106" s="90"/>
      <c r="D106" s="31"/>
      <c r="E106" s="36"/>
      <c r="F106" s="31"/>
      <c r="G106" s="46"/>
      <c r="H106" s="71"/>
      <c r="I106" s="72"/>
      <c r="J106" s="49"/>
      <c r="K106" s="65"/>
    </row>
    <row r="107" spans="1:11" s="35" customFormat="1" ht="14.25" customHeight="1" x14ac:dyDescent="0.35">
      <c r="A107" s="67"/>
      <c r="C107" s="90"/>
      <c r="D107" s="31"/>
      <c r="E107" s="36"/>
      <c r="F107" s="31"/>
      <c r="G107" s="46"/>
      <c r="H107" s="71"/>
      <c r="I107" s="72"/>
      <c r="J107" s="49"/>
      <c r="K107" s="65"/>
    </row>
    <row r="108" spans="1:11" s="35" customFormat="1" ht="14.25" customHeight="1" x14ac:dyDescent="0.35">
      <c r="A108" s="67"/>
      <c r="C108" s="90"/>
      <c r="D108" s="31"/>
      <c r="E108" s="36"/>
      <c r="F108" s="31"/>
      <c r="G108" s="46"/>
      <c r="H108" s="71"/>
      <c r="I108" s="72"/>
      <c r="J108" s="49"/>
      <c r="K108" s="65"/>
    </row>
    <row r="109" spans="1:11" s="35" customFormat="1" ht="14.25" customHeight="1" x14ac:dyDescent="0.35">
      <c r="A109" s="67"/>
      <c r="C109" s="90"/>
      <c r="D109" s="31"/>
      <c r="E109" s="36"/>
      <c r="F109" s="31"/>
      <c r="G109" s="46"/>
      <c r="H109" s="71"/>
      <c r="I109" s="72"/>
      <c r="J109" s="49"/>
      <c r="K109" s="65"/>
    </row>
    <row r="110" spans="1:11" s="35" customFormat="1" ht="14.25" customHeight="1" x14ac:dyDescent="0.35">
      <c r="A110" s="67"/>
      <c r="C110" s="90"/>
      <c r="D110" s="31"/>
      <c r="E110" s="36"/>
      <c r="F110" s="31"/>
      <c r="G110" s="46"/>
      <c r="H110" s="71"/>
      <c r="I110" s="72"/>
      <c r="J110" s="49"/>
      <c r="K110" s="65"/>
    </row>
    <row r="111" spans="1:11" s="35" customFormat="1" ht="14.25" customHeight="1" x14ac:dyDescent="0.35">
      <c r="A111" s="67"/>
      <c r="C111" s="90"/>
      <c r="D111" s="31"/>
      <c r="E111" s="36"/>
      <c r="F111" s="31"/>
      <c r="G111" s="46"/>
      <c r="H111" s="71"/>
      <c r="I111" s="72"/>
      <c r="J111" s="49"/>
      <c r="K111" s="65"/>
    </row>
    <row r="112" spans="1:11" s="35" customFormat="1" ht="14.25" customHeight="1" x14ac:dyDescent="0.35">
      <c r="A112" s="67"/>
      <c r="C112" s="90"/>
      <c r="D112" s="31"/>
      <c r="E112" s="36"/>
      <c r="F112" s="31"/>
      <c r="G112" s="46"/>
      <c r="H112" s="71"/>
      <c r="I112" s="72"/>
      <c r="J112" s="49"/>
      <c r="K112" s="65"/>
    </row>
    <row r="113" spans="1:11" s="35" customFormat="1" ht="14.25" customHeight="1" x14ac:dyDescent="0.35">
      <c r="A113" s="67"/>
      <c r="C113" s="90"/>
      <c r="D113" s="31"/>
      <c r="E113" s="36"/>
      <c r="F113" s="31"/>
      <c r="G113" s="46"/>
      <c r="H113" s="71"/>
      <c r="I113" s="72"/>
      <c r="J113" s="49"/>
      <c r="K113" s="65"/>
    </row>
    <row r="114" spans="1:11" s="35" customFormat="1" ht="14.25" customHeight="1" x14ac:dyDescent="0.35">
      <c r="A114" s="67"/>
      <c r="C114" s="90"/>
      <c r="D114" s="31"/>
      <c r="E114" s="36"/>
      <c r="F114" s="31"/>
      <c r="G114" s="46"/>
      <c r="H114" s="71"/>
      <c r="I114" s="72"/>
      <c r="J114" s="49"/>
      <c r="K114" s="65"/>
    </row>
    <row r="115" spans="1:11" s="35" customFormat="1" ht="27" customHeight="1" x14ac:dyDescent="0.35">
      <c r="A115" s="67"/>
      <c r="C115" s="90"/>
      <c r="D115" s="31"/>
      <c r="E115" s="36"/>
      <c r="F115" s="31"/>
      <c r="G115" s="46"/>
      <c r="H115" s="71"/>
      <c r="I115" s="72"/>
      <c r="J115" s="49"/>
      <c r="K115" s="65"/>
    </row>
    <row r="116" spans="1:11" s="35" customFormat="1" ht="14.25" customHeight="1" x14ac:dyDescent="0.35">
      <c r="A116" s="67"/>
      <c r="C116" s="90"/>
      <c r="D116" s="31"/>
      <c r="E116" s="36"/>
      <c r="F116" s="31"/>
      <c r="G116" s="46"/>
      <c r="H116" s="71"/>
      <c r="I116" s="72"/>
      <c r="J116" s="49"/>
      <c r="K116" s="65"/>
    </row>
    <row r="117" spans="1:11" s="35" customFormat="1" ht="14.25" customHeight="1" x14ac:dyDescent="0.35">
      <c r="A117" s="67"/>
      <c r="C117" s="90"/>
      <c r="D117" s="31"/>
      <c r="E117" s="36"/>
      <c r="F117" s="31"/>
      <c r="G117" s="46"/>
      <c r="H117" s="71"/>
      <c r="I117" s="72"/>
      <c r="J117" s="49"/>
      <c r="K117" s="65"/>
    </row>
    <row r="118" spans="1:11" s="35" customFormat="1" ht="14.25" customHeight="1" x14ac:dyDescent="0.35">
      <c r="A118" s="67"/>
      <c r="C118" s="90"/>
      <c r="D118" s="31"/>
      <c r="E118" s="36"/>
      <c r="F118" s="31"/>
      <c r="G118" s="46"/>
      <c r="H118" s="71"/>
      <c r="I118" s="72"/>
      <c r="J118" s="49"/>
      <c r="K118" s="65"/>
    </row>
    <row r="119" spans="1:11" s="35" customFormat="1" ht="14.25" customHeight="1" x14ac:dyDescent="0.35">
      <c r="A119" s="67"/>
      <c r="C119" s="90"/>
      <c r="D119" s="31"/>
      <c r="E119" s="36"/>
      <c r="F119" s="31"/>
      <c r="G119" s="46"/>
      <c r="H119" s="71"/>
      <c r="I119" s="72"/>
      <c r="J119" s="49"/>
      <c r="K119" s="65"/>
    </row>
    <row r="120" spans="1:11" s="35" customFormat="1" ht="14.25" customHeight="1" x14ac:dyDescent="0.35">
      <c r="A120" s="67"/>
      <c r="C120" s="90"/>
      <c r="D120" s="31"/>
      <c r="E120" s="36"/>
      <c r="F120" s="31"/>
      <c r="G120" s="46"/>
      <c r="H120" s="71"/>
      <c r="I120" s="72"/>
      <c r="J120" s="49"/>
      <c r="K120" s="65"/>
    </row>
    <row r="121" spans="1:11" s="35" customFormat="1" ht="14.25" customHeight="1" x14ac:dyDescent="0.35">
      <c r="A121" s="67"/>
      <c r="C121" s="90"/>
      <c r="D121" s="31"/>
      <c r="E121" s="36"/>
      <c r="F121" s="31"/>
      <c r="G121" s="46"/>
      <c r="H121" s="71"/>
      <c r="I121" s="72"/>
      <c r="J121" s="49"/>
      <c r="K121" s="65"/>
    </row>
    <row r="122" spans="1:11" s="35" customFormat="1" ht="14.25" customHeight="1" x14ac:dyDescent="0.35">
      <c r="A122" s="67"/>
      <c r="C122" s="90"/>
      <c r="D122" s="31"/>
      <c r="E122" s="36"/>
      <c r="F122" s="31"/>
      <c r="G122" s="46"/>
      <c r="H122" s="71"/>
      <c r="I122" s="72"/>
      <c r="J122" s="49"/>
      <c r="K122" s="65"/>
    </row>
    <row r="123" spans="1:11" s="35" customFormat="1" ht="14.25" customHeight="1" x14ac:dyDescent="0.35">
      <c r="A123" s="67"/>
      <c r="C123" s="90"/>
      <c r="D123" s="31"/>
      <c r="E123" s="36"/>
      <c r="F123" s="31"/>
      <c r="G123" s="46"/>
      <c r="H123" s="71"/>
      <c r="I123" s="72"/>
      <c r="J123" s="49"/>
      <c r="K123" s="65"/>
    </row>
    <row r="124" spans="1:11" s="35" customFormat="1" ht="14.25" customHeight="1" x14ac:dyDescent="0.35">
      <c r="A124" s="67"/>
      <c r="C124" s="90"/>
      <c r="D124" s="31"/>
      <c r="E124" s="36"/>
      <c r="F124" s="31"/>
      <c r="G124" s="46"/>
      <c r="H124" s="71"/>
      <c r="I124" s="72"/>
      <c r="J124" s="49"/>
      <c r="K124" s="65"/>
    </row>
    <row r="125" spans="1:11" s="35" customFormat="1" ht="14.25" customHeight="1" x14ac:dyDescent="0.35">
      <c r="A125" s="67"/>
      <c r="C125" s="90"/>
      <c r="D125" s="31"/>
      <c r="E125" s="36"/>
      <c r="F125" s="31"/>
      <c r="G125" s="46"/>
      <c r="H125" s="71"/>
      <c r="I125" s="72"/>
      <c r="J125" s="49"/>
      <c r="K125" s="65"/>
    </row>
    <row r="126" spans="1:11" s="35" customFormat="1" ht="14.25" customHeight="1" x14ac:dyDescent="0.35">
      <c r="A126" s="67"/>
      <c r="C126" s="90"/>
      <c r="D126" s="31"/>
      <c r="E126" s="36"/>
      <c r="F126" s="31"/>
      <c r="G126" s="46"/>
      <c r="H126" s="71"/>
      <c r="I126" s="72"/>
      <c r="J126" s="49"/>
      <c r="K126" s="65"/>
    </row>
    <row r="127" spans="1:11" s="35" customFormat="1" ht="14.25" customHeight="1" x14ac:dyDescent="0.35">
      <c r="A127" s="67"/>
      <c r="C127" s="90"/>
      <c r="D127" s="31"/>
      <c r="E127" s="36"/>
      <c r="F127" s="31"/>
      <c r="G127" s="46"/>
      <c r="H127" s="71"/>
      <c r="I127" s="72"/>
      <c r="J127" s="49"/>
      <c r="K127" s="65"/>
    </row>
    <row r="128" spans="1:11" s="35" customFormat="1" ht="14.25" customHeight="1" x14ac:dyDescent="0.35">
      <c r="A128" s="67"/>
      <c r="C128" s="90"/>
      <c r="D128" s="31"/>
      <c r="E128" s="36"/>
      <c r="F128" s="31"/>
      <c r="G128" s="46"/>
      <c r="H128" s="71"/>
      <c r="I128" s="72"/>
      <c r="J128" s="49"/>
      <c r="K128" s="65"/>
    </row>
    <row r="129" spans="1:11" s="35" customFormat="1" ht="14.25" customHeight="1" x14ac:dyDescent="0.35">
      <c r="A129" s="67"/>
      <c r="C129" s="90"/>
      <c r="D129" s="31"/>
      <c r="E129" s="36"/>
      <c r="F129" s="31"/>
      <c r="G129" s="46"/>
      <c r="H129" s="71"/>
      <c r="I129" s="72"/>
      <c r="J129" s="49"/>
      <c r="K129" s="65"/>
    </row>
    <row r="130" spans="1:11" s="35" customFormat="1" ht="14.25" customHeight="1" x14ac:dyDescent="0.35">
      <c r="A130" s="67"/>
      <c r="C130" s="90"/>
      <c r="D130" s="31"/>
      <c r="E130" s="36"/>
      <c r="F130" s="31"/>
      <c r="G130" s="46"/>
      <c r="H130" s="71"/>
      <c r="I130" s="72"/>
      <c r="J130" s="49"/>
      <c r="K130" s="65"/>
    </row>
    <row r="131" spans="1:11" s="35" customFormat="1" ht="14.25" customHeight="1" x14ac:dyDescent="0.35">
      <c r="A131" s="67"/>
      <c r="C131" s="90"/>
      <c r="D131" s="31"/>
      <c r="E131" s="36"/>
      <c r="F131" s="31"/>
      <c r="G131" s="46"/>
      <c r="H131" s="71"/>
      <c r="I131" s="72"/>
      <c r="J131" s="49"/>
      <c r="K131" s="65"/>
    </row>
    <row r="132" spans="1:11" s="35" customFormat="1" ht="14.25" customHeight="1" x14ac:dyDescent="0.35">
      <c r="A132" s="67"/>
      <c r="C132" s="90"/>
      <c r="D132" s="31"/>
      <c r="E132" s="36"/>
      <c r="F132" s="31"/>
      <c r="G132" s="46"/>
      <c r="H132" s="71"/>
      <c r="I132" s="72"/>
      <c r="J132" s="49"/>
      <c r="K132" s="65"/>
    </row>
    <row r="133" spans="1:11" s="35" customFormat="1" ht="31.5" customHeight="1" x14ac:dyDescent="0.35">
      <c r="A133" s="67"/>
      <c r="C133" s="90"/>
      <c r="D133" s="31"/>
      <c r="E133" s="36"/>
      <c r="F133" s="31"/>
      <c r="G133" s="46"/>
      <c r="H133" s="71"/>
      <c r="I133" s="72"/>
      <c r="J133" s="49"/>
      <c r="K133" s="65"/>
    </row>
    <row r="134" spans="1:11" s="35" customFormat="1" ht="14.25" customHeight="1" x14ac:dyDescent="0.35">
      <c r="A134" s="73"/>
      <c r="C134" s="90"/>
      <c r="D134" s="31"/>
      <c r="E134" s="36"/>
      <c r="F134" s="31"/>
      <c r="G134" s="46"/>
      <c r="H134" s="71"/>
      <c r="I134" s="72"/>
      <c r="J134" s="49"/>
      <c r="K134" s="65"/>
    </row>
    <row r="135" spans="1:11" s="35" customFormat="1" ht="14.25" customHeight="1" x14ac:dyDescent="0.35">
      <c r="A135" s="73"/>
      <c r="C135" s="90"/>
      <c r="D135" s="31"/>
      <c r="E135" s="36"/>
      <c r="F135" s="31"/>
      <c r="G135" s="46"/>
      <c r="H135" s="71"/>
      <c r="I135" s="72"/>
      <c r="J135" s="49"/>
      <c r="K135" s="65"/>
    </row>
    <row r="136" spans="1:11" s="35" customFormat="1" ht="14.25" customHeight="1" x14ac:dyDescent="0.35">
      <c r="A136" s="67"/>
      <c r="C136" s="90"/>
      <c r="D136" s="31"/>
      <c r="E136" s="36"/>
      <c r="F136" s="31"/>
      <c r="G136" s="46"/>
      <c r="H136" s="71"/>
      <c r="I136" s="72"/>
      <c r="J136" s="49"/>
      <c r="K136" s="65"/>
    </row>
    <row r="137" spans="1:11" s="35" customFormat="1" ht="14.25" customHeight="1" x14ac:dyDescent="0.35">
      <c r="A137" s="67"/>
      <c r="C137" s="90"/>
      <c r="D137" s="31"/>
      <c r="E137" s="36"/>
      <c r="F137" s="31"/>
      <c r="G137" s="46"/>
      <c r="H137" s="71"/>
      <c r="I137" s="72"/>
      <c r="J137" s="49"/>
      <c r="K137" s="65"/>
    </row>
    <row r="138" spans="1:11" s="35" customFormat="1" ht="14.25" customHeight="1" x14ac:dyDescent="0.35">
      <c r="A138" s="67"/>
      <c r="C138" s="90"/>
      <c r="D138" s="31"/>
      <c r="E138" s="36"/>
      <c r="F138" s="31"/>
      <c r="G138" s="46"/>
      <c r="H138" s="71"/>
      <c r="I138" s="72"/>
      <c r="J138" s="49"/>
      <c r="K138" s="65"/>
    </row>
    <row r="139" spans="1:11" s="35" customFormat="1" ht="14.25" customHeight="1" x14ac:dyDescent="0.35">
      <c r="A139" s="67"/>
      <c r="C139" s="90"/>
      <c r="D139" s="31"/>
      <c r="E139" s="36"/>
      <c r="F139" s="31"/>
      <c r="G139" s="46"/>
      <c r="H139" s="71"/>
      <c r="I139" s="72"/>
      <c r="J139" s="49"/>
      <c r="K139" s="65"/>
    </row>
    <row r="140" spans="1:11" s="35" customFormat="1" ht="14.25" customHeight="1" x14ac:dyDescent="0.35">
      <c r="A140" s="67"/>
      <c r="C140" s="90"/>
      <c r="D140" s="31"/>
      <c r="E140" s="36"/>
      <c r="F140" s="31"/>
      <c r="G140" s="46"/>
      <c r="H140" s="71"/>
      <c r="I140" s="72"/>
      <c r="J140" s="49"/>
      <c r="K140" s="65"/>
    </row>
    <row r="141" spans="1:11" s="35" customFormat="1" ht="14.25" customHeight="1" x14ac:dyDescent="0.35">
      <c r="A141" s="67"/>
      <c r="C141" s="90"/>
      <c r="D141" s="31"/>
      <c r="E141" s="36"/>
      <c r="F141" s="31"/>
      <c r="G141" s="46"/>
      <c r="H141" s="71"/>
      <c r="I141" s="72"/>
      <c r="J141" s="49"/>
      <c r="K141" s="65"/>
    </row>
    <row r="142" spans="1:11" s="35" customFormat="1" ht="14.25" customHeight="1" x14ac:dyDescent="0.35">
      <c r="A142" s="67"/>
      <c r="C142" s="90"/>
      <c r="D142" s="31"/>
      <c r="E142" s="36"/>
      <c r="F142" s="31"/>
      <c r="G142" s="46"/>
      <c r="H142" s="71"/>
      <c r="I142" s="72"/>
      <c r="J142" s="49"/>
      <c r="K142" s="65"/>
    </row>
    <row r="143" spans="1:11" s="35" customFormat="1" ht="14.25" customHeight="1" x14ac:dyDescent="0.35">
      <c r="A143" s="67"/>
      <c r="C143" s="90"/>
      <c r="D143" s="31"/>
      <c r="E143" s="36"/>
      <c r="F143" s="31"/>
      <c r="G143" s="46"/>
      <c r="H143" s="71"/>
      <c r="I143" s="72"/>
      <c r="J143" s="49"/>
      <c r="K143" s="65"/>
    </row>
    <row r="144" spans="1:11" s="35" customFormat="1" ht="14.25" customHeight="1" x14ac:dyDescent="0.35">
      <c r="A144" s="67"/>
      <c r="C144" s="90"/>
      <c r="D144" s="31"/>
      <c r="E144" s="36"/>
      <c r="F144" s="31"/>
      <c r="G144" s="46"/>
      <c r="H144" s="71"/>
      <c r="I144" s="72"/>
      <c r="J144" s="49"/>
      <c r="K144" s="65"/>
    </row>
    <row r="145" spans="1:11" s="35" customFormat="1" ht="14.25" customHeight="1" x14ac:dyDescent="0.35">
      <c r="A145" s="67"/>
      <c r="C145" s="90"/>
      <c r="D145" s="31"/>
      <c r="E145" s="36"/>
      <c r="F145" s="31"/>
      <c r="G145" s="46"/>
      <c r="H145" s="71"/>
      <c r="I145" s="72"/>
      <c r="J145" s="49"/>
      <c r="K145" s="65"/>
    </row>
    <row r="146" spans="1:11" s="35" customFormat="1" ht="14.25" customHeight="1" x14ac:dyDescent="0.35">
      <c r="A146" s="67"/>
      <c r="C146" s="90"/>
      <c r="D146" s="31"/>
      <c r="E146" s="36"/>
      <c r="F146" s="31"/>
      <c r="G146" s="46"/>
      <c r="H146" s="71"/>
      <c r="I146" s="72"/>
      <c r="J146" s="49"/>
      <c r="K146" s="65"/>
    </row>
    <row r="147" spans="1:11" s="35" customFormat="1" ht="14.25" customHeight="1" x14ac:dyDescent="0.35">
      <c r="A147" s="67"/>
      <c r="C147" s="90"/>
      <c r="D147" s="31"/>
      <c r="E147" s="36"/>
      <c r="F147" s="31"/>
      <c r="G147" s="46"/>
      <c r="H147" s="71"/>
      <c r="I147" s="72"/>
      <c r="J147" s="49"/>
      <c r="K147" s="65"/>
    </row>
    <row r="148" spans="1:11" s="35" customFormat="1" ht="14.25" customHeight="1" x14ac:dyDescent="0.35">
      <c r="A148" s="67"/>
      <c r="C148" s="90"/>
      <c r="D148" s="31"/>
      <c r="E148" s="36"/>
      <c r="F148" s="31"/>
      <c r="G148" s="46"/>
      <c r="H148" s="71"/>
      <c r="I148" s="72"/>
      <c r="J148" s="49"/>
      <c r="K148" s="65"/>
    </row>
    <row r="149" spans="1:11" s="35" customFormat="1" ht="14.25" customHeight="1" x14ac:dyDescent="0.35">
      <c r="A149" s="67"/>
      <c r="C149" s="90"/>
      <c r="D149" s="31"/>
      <c r="E149" s="36"/>
      <c r="F149" s="31"/>
      <c r="G149" s="46"/>
      <c r="H149" s="71"/>
      <c r="I149" s="72"/>
      <c r="J149" s="49"/>
      <c r="K149" s="65"/>
    </row>
    <row r="150" spans="1:11" s="35" customFormat="1" ht="14.25" customHeight="1" x14ac:dyDescent="0.35">
      <c r="A150" s="67"/>
      <c r="C150" s="90"/>
      <c r="D150" s="31"/>
      <c r="E150" s="36"/>
      <c r="F150" s="31"/>
      <c r="G150" s="46"/>
      <c r="H150" s="71"/>
      <c r="I150" s="72"/>
      <c r="J150" s="49"/>
      <c r="K150" s="65"/>
    </row>
    <row r="151" spans="1:11" s="35" customFormat="1" ht="14.25" customHeight="1" x14ac:dyDescent="0.35">
      <c r="A151" s="67"/>
      <c r="C151" s="90"/>
      <c r="D151" s="31"/>
      <c r="E151" s="36"/>
      <c r="F151" s="31"/>
      <c r="G151" s="46"/>
      <c r="H151" s="71"/>
      <c r="I151" s="72"/>
      <c r="J151" s="49"/>
      <c r="K151" s="65"/>
    </row>
    <row r="152" spans="1:11" s="35" customFormat="1" ht="14.25" customHeight="1" x14ac:dyDescent="0.35">
      <c r="A152" s="67"/>
      <c r="C152" s="90"/>
      <c r="D152" s="31"/>
      <c r="E152" s="36"/>
      <c r="F152" s="31"/>
      <c r="G152" s="46"/>
      <c r="H152" s="71"/>
      <c r="I152" s="72"/>
      <c r="J152" s="49"/>
      <c r="K152" s="65"/>
    </row>
    <row r="153" spans="1:11" s="35" customFormat="1" ht="14.25" customHeight="1" x14ac:dyDescent="0.35">
      <c r="A153" s="67"/>
      <c r="C153" s="90"/>
      <c r="D153" s="31"/>
      <c r="E153" s="36"/>
      <c r="F153" s="31"/>
      <c r="G153" s="46"/>
      <c r="H153" s="71"/>
      <c r="I153" s="72"/>
      <c r="J153" s="49"/>
      <c r="K153" s="65"/>
    </row>
    <row r="154" spans="1:11" s="35" customFormat="1" ht="14.25" customHeight="1" x14ac:dyDescent="0.35">
      <c r="A154" s="67"/>
      <c r="C154" s="90"/>
      <c r="D154" s="31"/>
      <c r="E154" s="36"/>
      <c r="F154" s="31"/>
      <c r="G154" s="46"/>
      <c r="H154" s="71"/>
      <c r="I154" s="72"/>
      <c r="J154" s="49"/>
      <c r="K154" s="65"/>
    </row>
    <row r="155" spans="1:11" s="35" customFormat="1" ht="14.25" customHeight="1" x14ac:dyDescent="0.35">
      <c r="A155" s="67"/>
      <c r="C155" s="90"/>
      <c r="D155" s="31"/>
      <c r="E155" s="36"/>
      <c r="F155" s="31"/>
      <c r="G155" s="46"/>
      <c r="H155" s="71"/>
      <c r="I155" s="72"/>
      <c r="J155" s="49"/>
      <c r="K155" s="65"/>
    </row>
    <row r="156" spans="1:11" s="35" customFormat="1" ht="14.25" customHeight="1" x14ac:dyDescent="0.35">
      <c r="A156" s="67"/>
      <c r="C156" s="90"/>
      <c r="D156" s="31"/>
      <c r="E156" s="36"/>
      <c r="F156" s="31"/>
      <c r="G156" s="46"/>
      <c r="H156" s="71"/>
      <c r="I156" s="72"/>
      <c r="J156" s="49"/>
      <c r="K156" s="65"/>
    </row>
    <row r="157" spans="1:11" s="35" customFormat="1" ht="14.25" customHeight="1" x14ac:dyDescent="0.35">
      <c r="A157" s="67"/>
      <c r="C157" s="90"/>
      <c r="D157" s="31"/>
      <c r="E157" s="36"/>
      <c r="F157" s="31"/>
      <c r="G157" s="46"/>
      <c r="H157" s="71"/>
      <c r="I157" s="72"/>
      <c r="J157" s="49"/>
      <c r="K157" s="65"/>
    </row>
    <row r="158" spans="1:11" s="35" customFormat="1" ht="14.25" customHeight="1" x14ac:dyDescent="0.35">
      <c r="A158" s="67"/>
      <c r="C158" s="90"/>
      <c r="D158" s="31"/>
      <c r="E158" s="36"/>
      <c r="F158" s="31"/>
      <c r="G158" s="46"/>
      <c r="H158" s="71"/>
      <c r="I158" s="72"/>
      <c r="J158" s="49"/>
      <c r="K158" s="65"/>
    </row>
    <row r="159" spans="1:11" s="35" customFormat="1" ht="14.25" customHeight="1" x14ac:dyDescent="0.35">
      <c r="A159" s="67"/>
      <c r="C159" s="90"/>
      <c r="D159" s="31"/>
      <c r="E159" s="36"/>
      <c r="F159" s="31"/>
      <c r="G159" s="46"/>
      <c r="H159" s="71"/>
      <c r="I159" s="72"/>
      <c r="J159" s="49"/>
      <c r="K159" s="65"/>
    </row>
    <row r="160" spans="1:11" s="35" customFormat="1" ht="14.25" customHeight="1" x14ac:dyDescent="0.35">
      <c r="A160" s="67"/>
      <c r="C160" s="90"/>
      <c r="D160" s="31"/>
      <c r="E160" s="36"/>
      <c r="F160" s="31"/>
      <c r="G160" s="46"/>
      <c r="H160" s="71"/>
      <c r="I160" s="72"/>
      <c r="J160" s="49"/>
      <c r="K160" s="65"/>
    </row>
    <row r="161" spans="1:11" s="35" customFormat="1" ht="14.25" customHeight="1" x14ac:dyDescent="0.35">
      <c r="A161" s="67"/>
      <c r="C161" s="90"/>
      <c r="D161" s="31"/>
      <c r="E161" s="36"/>
      <c r="F161" s="31"/>
      <c r="G161" s="46"/>
      <c r="H161" s="71"/>
      <c r="I161" s="72"/>
      <c r="J161" s="49"/>
      <c r="K161" s="65"/>
    </row>
    <row r="162" spans="1:11" s="35" customFormat="1" ht="14.25" customHeight="1" x14ac:dyDescent="0.35">
      <c r="A162" s="67"/>
      <c r="C162" s="90"/>
      <c r="D162" s="31"/>
      <c r="E162" s="36"/>
      <c r="F162" s="31"/>
      <c r="G162" s="46"/>
      <c r="H162" s="71"/>
      <c r="I162" s="72"/>
      <c r="J162" s="49"/>
      <c r="K162" s="65"/>
    </row>
    <row r="163" spans="1:11" s="35" customFormat="1" ht="14.25" customHeight="1" x14ac:dyDescent="0.35">
      <c r="A163" s="67"/>
      <c r="C163" s="90"/>
      <c r="D163" s="31"/>
      <c r="E163" s="36"/>
      <c r="F163" s="31"/>
      <c r="G163" s="46"/>
      <c r="H163" s="71"/>
      <c r="I163" s="72"/>
      <c r="J163" s="49"/>
      <c r="K163" s="65"/>
    </row>
    <row r="164" spans="1:11" s="35" customFormat="1" ht="14.25" customHeight="1" x14ac:dyDescent="0.35">
      <c r="A164" s="67"/>
      <c r="C164" s="90"/>
      <c r="D164" s="31"/>
      <c r="E164" s="36"/>
      <c r="F164" s="31"/>
      <c r="G164" s="46"/>
      <c r="H164" s="71"/>
      <c r="I164" s="72"/>
      <c r="J164" s="49"/>
      <c r="K164" s="65"/>
    </row>
    <row r="165" spans="1:11" s="35" customFormat="1" ht="14.25" customHeight="1" x14ac:dyDescent="0.35">
      <c r="A165" s="67"/>
      <c r="C165" s="90"/>
      <c r="D165" s="31"/>
      <c r="E165" s="36"/>
      <c r="F165" s="31"/>
      <c r="G165" s="46"/>
      <c r="H165" s="71"/>
      <c r="I165" s="72"/>
      <c r="J165" s="49"/>
      <c r="K165" s="65"/>
    </row>
    <row r="166" spans="1:11" s="35" customFormat="1" ht="14.25" customHeight="1" x14ac:dyDescent="0.35">
      <c r="A166" s="67"/>
      <c r="C166" s="90"/>
      <c r="D166" s="31"/>
      <c r="E166" s="36"/>
      <c r="F166" s="31"/>
      <c r="G166" s="46"/>
      <c r="H166" s="71"/>
      <c r="I166" s="72"/>
      <c r="J166" s="49"/>
      <c r="K166" s="65"/>
    </row>
    <row r="167" spans="1:11" s="35" customFormat="1" ht="14.25" customHeight="1" x14ac:dyDescent="0.35">
      <c r="A167" s="67"/>
      <c r="C167" s="90"/>
      <c r="D167" s="31"/>
      <c r="E167" s="36"/>
      <c r="F167" s="31"/>
      <c r="G167" s="46"/>
      <c r="H167" s="71"/>
      <c r="I167" s="72"/>
      <c r="J167" s="49"/>
      <c r="K167" s="65"/>
    </row>
    <row r="168" spans="1:11" s="35" customFormat="1" ht="14.25" customHeight="1" x14ac:dyDescent="0.35">
      <c r="A168" s="67"/>
      <c r="C168" s="90"/>
      <c r="D168" s="31"/>
      <c r="E168" s="36"/>
      <c r="F168" s="31"/>
      <c r="G168" s="46"/>
      <c r="H168" s="71"/>
      <c r="I168" s="72"/>
      <c r="J168" s="49"/>
      <c r="K168" s="65"/>
    </row>
    <row r="169" spans="1:11" s="35" customFormat="1" ht="14.25" customHeight="1" x14ac:dyDescent="0.35">
      <c r="A169" s="67"/>
      <c r="C169" s="90"/>
      <c r="D169" s="31"/>
      <c r="E169" s="36"/>
      <c r="F169" s="31"/>
      <c r="G169" s="46"/>
      <c r="H169" s="71"/>
      <c r="I169" s="72"/>
      <c r="J169" s="49"/>
      <c r="K169" s="65"/>
    </row>
    <row r="170" spans="1:11" s="35" customFormat="1" ht="14.25" customHeight="1" x14ac:dyDescent="0.35">
      <c r="A170" s="67"/>
      <c r="C170" s="90"/>
      <c r="D170" s="31"/>
      <c r="E170" s="36"/>
      <c r="F170" s="31"/>
      <c r="G170" s="46"/>
      <c r="H170" s="71"/>
      <c r="I170" s="72"/>
      <c r="J170" s="49"/>
      <c r="K170" s="65"/>
    </row>
    <row r="171" spans="1:11" s="35" customFormat="1" ht="14.25" customHeight="1" x14ac:dyDescent="0.35">
      <c r="A171" s="67"/>
      <c r="C171" s="90"/>
      <c r="D171" s="31"/>
      <c r="E171" s="36"/>
      <c r="F171" s="31"/>
      <c r="G171" s="46"/>
      <c r="H171" s="71"/>
      <c r="I171" s="72"/>
      <c r="J171" s="49"/>
      <c r="K171" s="65"/>
    </row>
    <row r="172" spans="1:11" s="35" customFormat="1" ht="14.25" customHeight="1" x14ac:dyDescent="0.35">
      <c r="A172" s="67"/>
      <c r="C172" s="90"/>
      <c r="D172" s="31"/>
      <c r="E172" s="36"/>
      <c r="F172" s="31"/>
      <c r="G172" s="46"/>
      <c r="H172" s="71"/>
      <c r="I172" s="72"/>
      <c r="J172" s="49"/>
      <c r="K172" s="65"/>
    </row>
    <row r="173" spans="1:11" s="35" customFormat="1" ht="14.25" customHeight="1" x14ac:dyDescent="0.35">
      <c r="A173" s="67"/>
      <c r="C173" s="90"/>
      <c r="D173" s="31"/>
      <c r="E173" s="36"/>
      <c r="F173" s="31"/>
      <c r="G173" s="46"/>
      <c r="H173" s="71"/>
      <c r="I173" s="72"/>
      <c r="J173" s="49"/>
      <c r="K173" s="65"/>
    </row>
    <row r="174" spans="1:11" s="35" customFormat="1" ht="14.25" customHeight="1" x14ac:dyDescent="0.35">
      <c r="A174" s="67"/>
      <c r="C174" s="90"/>
      <c r="D174" s="31"/>
      <c r="E174" s="36"/>
      <c r="F174" s="31"/>
      <c r="G174" s="46"/>
      <c r="H174" s="71"/>
      <c r="I174" s="72"/>
      <c r="J174" s="49"/>
      <c r="K174" s="65"/>
    </row>
    <row r="175" spans="1:11" s="35" customFormat="1" ht="14.25" customHeight="1" x14ac:dyDescent="0.35">
      <c r="A175" s="67"/>
      <c r="C175" s="90"/>
      <c r="D175" s="31"/>
      <c r="E175" s="36"/>
      <c r="F175" s="31"/>
      <c r="G175" s="46"/>
      <c r="H175" s="71"/>
      <c r="I175" s="72"/>
      <c r="J175" s="49"/>
      <c r="K175" s="65"/>
    </row>
    <row r="176" spans="1:11" s="35" customFormat="1" ht="14.25" customHeight="1" x14ac:dyDescent="0.35">
      <c r="A176" s="67"/>
      <c r="C176" s="90"/>
      <c r="D176" s="31"/>
      <c r="E176" s="36"/>
      <c r="F176" s="31"/>
      <c r="G176" s="46"/>
      <c r="H176" s="71"/>
      <c r="I176" s="72"/>
      <c r="J176" s="49"/>
      <c r="K176" s="65"/>
    </row>
    <row r="177" spans="1:11" s="35" customFormat="1" ht="14.25" customHeight="1" x14ac:dyDescent="0.35">
      <c r="A177" s="67"/>
      <c r="C177" s="90"/>
      <c r="D177" s="31"/>
      <c r="E177" s="36"/>
      <c r="F177" s="31"/>
      <c r="G177" s="46"/>
      <c r="H177" s="71"/>
      <c r="I177" s="72"/>
      <c r="J177" s="49"/>
      <c r="K177" s="65"/>
    </row>
    <row r="178" spans="1:11" s="35" customFormat="1" ht="14.25" customHeight="1" x14ac:dyDescent="0.35">
      <c r="A178" s="67"/>
      <c r="C178" s="90"/>
      <c r="D178" s="31"/>
      <c r="E178" s="36"/>
      <c r="F178" s="31"/>
      <c r="G178" s="46"/>
      <c r="H178" s="71"/>
      <c r="I178" s="72"/>
      <c r="J178" s="49"/>
      <c r="K178" s="65"/>
    </row>
    <row r="179" spans="1:11" s="35" customFormat="1" ht="14.25" customHeight="1" x14ac:dyDescent="0.35">
      <c r="A179" s="67"/>
      <c r="C179" s="90"/>
      <c r="D179" s="31"/>
      <c r="E179" s="36"/>
      <c r="F179" s="31"/>
      <c r="G179" s="46"/>
      <c r="H179" s="71"/>
      <c r="I179" s="72"/>
      <c r="J179" s="49"/>
      <c r="K179" s="65"/>
    </row>
    <row r="180" spans="1:11" s="35" customFormat="1" ht="14.25" customHeight="1" x14ac:dyDescent="0.35">
      <c r="A180" s="67"/>
      <c r="C180" s="90"/>
      <c r="D180" s="31"/>
      <c r="E180" s="36"/>
      <c r="F180" s="31"/>
      <c r="G180" s="46"/>
      <c r="H180" s="71"/>
      <c r="I180" s="72"/>
      <c r="J180" s="49"/>
      <c r="K180" s="65"/>
    </row>
    <row r="181" spans="1:11" s="35" customFormat="1" ht="14.25" customHeight="1" x14ac:dyDescent="0.35">
      <c r="A181" s="67"/>
      <c r="C181" s="90"/>
      <c r="D181" s="31"/>
      <c r="E181" s="36"/>
      <c r="F181" s="31"/>
      <c r="G181" s="46"/>
      <c r="H181" s="71"/>
      <c r="I181" s="72"/>
      <c r="J181" s="49"/>
      <c r="K181" s="65"/>
    </row>
    <row r="182" spans="1:11" s="35" customFormat="1" ht="14.25" customHeight="1" x14ac:dyDescent="0.35">
      <c r="A182" s="67"/>
      <c r="C182" s="90"/>
      <c r="D182" s="31"/>
      <c r="E182" s="36"/>
      <c r="F182" s="31"/>
      <c r="G182" s="46"/>
      <c r="H182" s="71"/>
      <c r="I182" s="72"/>
      <c r="J182" s="49"/>
      <c r="K182" s="65"/>
    </row>
    <row r="183" spans="1:11" s="35" customFormat="1" ht="14.25" customHeight="1" x14ac:dyDescent="0.35">
      <c r="A183" s="67"/>
      <c r="C183" s="90"/>
      <c r="D183" s="31"/>
      <c r="E183" s="36"/>
      <c r="F183" s="31"/>
      <c r="G183" s="46"/>
      <c r="H183" s="71"/>
      <c r="I183" s="72"/>
      <c r="J183" s="49"/>
      <c r="K183" s="65"/>
    </row>
    <row r="184" spans="1:11" s="35" customFormat="1" ht="14.25" customHeight="1" x14ac:dyDescent="0.35">
      <c r="A184" s="67"/>
      <c r="C184" s="90"/>
      <c r="D184" s="31"/>
      <c r="E184" s="36"/>
      <c r="F184" s="31"/>
      <c r="G184" s="46"/>
      <c r="H184" s="71"/>
      <c r="I184" s="72"/>
      <c r="J184" s="49"/>
      <c r="K184" s="65"/>
    </row>
    <row r="185" spans="1:11" s="35" customFormat="1" ht="14.25" customHeight="1" x14ac:dyDescent="0.35">
      <c r="A185" s="67"/>
      <c r="C185" s="90"/>
      <c r="D185" s="31"/>
      <c r="E185" s="36"/>
      <c r="F185" s="31"/>
      <c r="G185" s="46"/>
      <c r="H185" s="71"/>
      <c r="I185" s="72"/>
      <c r="J185" s="49"/>
      <c r="K185" s="65"/>
    </row>
    <row r="186" spans="1:11" s="35" customFormat="1" ht="14.25" customHeight="1" x14ac:dyDescent="0.35">
      <c r="A186" s="67"/>
      <c r="C186" s="90"/>
      <c r="D186" s="31"/>
      <c r="E186" s="36"/>
      <c r="F186" s="31"/>
      <c r="G186" s="46"/>
      <c r="H186" s="71"/>
      <c r="I186" s="72"/>
      <c r="J186" s="49"/>
      <c r="K186" s="65"/>
    </row>
    <row r="187" spans="1:11" s="35" customFormat="1" ht="14.25" customHeight="1" x14ac:dyDescent="0.35">
      <c r="A187" s="67"/>
      <c r="C187" s="90"/>
      <c r="D187" s="31"/>
      <c r="E187" s="36"/>
      <c r="F187" s="31"/>
      <c r="G187" s="46"/>
      <c r="H187" s="71"/>
      <c r="I187" s="72"/>
      <c r="J187" s="49"/>
      <c r="K187" s="65"/>
    </row>
    <row r="188" spans="1:11" s="35" customFormat="1" ht="14.25" customHeight="1" x14ac:dyDescent="0.35">
      <c r="A188" s="67"/>
      <c r="C188" s="90"/>
      <c r="D188" s="31"/>
      <c r="E188" s="36"/>
      <c r="F188" s="31"/>
      <c r="G188" s="46"/>
      <c r="H188" s="71"/>
      <c r="I188" s="72"/>
      <c r="J188" s="49"/>
      <c r="K188" s="65"/>
    </row>
    <row r="189" spans="1:11" s="35" customFormat="1" ht="14.25" customHeight="1" x14ac:dyDescent="0.35">
      <c r="A189" s="67"/>
      <c r="C189" s="90"/>
      <c r="D189" s="31"/>
      <c r="E189" s="36"/>
      <c r="F189" s="31"/>
      <c r="G189" s="46"/>
      <c r="H189" s="71"/>
      <c r="I189" s="72"/>
      <c r="J189" s="49"/>
      <c r="K189" s="65"/>
    </row>
    <row r="190" spans="1:11" s="35" customFormat="1" ht="14.25" customHeight="1" x14ac:dyDescent="0.35">
      <c r="A190" s="67"/>
      <c r="C190" s="90"/>
      <c r="D190" s="31"/>
      <c r="E190" s="36"/>
      <c r="F190" s="31"/>
      <c r="G190" s="46"/>
      <c r="H190" s="71"/>
      <c r="I190" s="72"/>
      <c r="J190" s="49"/>
      <c r="K190" s="65"/>
    </row>
    <row r="191" spans="1:11" s="35" customFormat="1" ht="14.25" customHeight="1" x14ac:dyDescent="0.35">
      <c r="A191" s="67"/>
      <c r="C191" s="90"/>
      <c r="D191" s="31"/>
      <c r="E191" s="36"/>
      <c r="F191" s="31"/>
      <c r="G191" s="46"/>
      <c r="H191" s="71"/>
      <c r="I191" s="72"/>
      <c r="J191" s="49"/>
      <c r="K191" s="65"/>
    </row>
    <row r="192" spans="1:11" s="35" customFormat="1" ht="14.25" customHeight="1" x14ac:dyDescent="0.35">
      <c r="A192" s="67"/>
      <c r="C192" s="90"/>
      <c r="D192" s="31"/>
      <c r="E192" s="36"/>
      <c r="F192" s="31"/>
      <c r="G192" s="46"/>
      <c r="H192" s="71"/>
      <c r="I192" s="72"/>
      <c r="J192" s="49"/>
      <c r="K192" s="65"/>
    </row>
    <row r="193" spans="1:11" s="35" customFormat="1" ht="14.25" customHeight="1" x14ac:dyDescent="0.35">
      <c r="A193" s="67"/>
      <c r="C193" s="90"/>
      <c r="D193" s="31"/>
      <c r="E193" s="36"/>
      <c r="F193" s="31"/>
      <c r="G193" s="46"/>
      <c r="H193" s="71"/>
      <c r="I193" s="72"/>
      <c r="J193" s="49"/>
      <c r="K193" s="65"/>
    </row>
    <row r="194" spans="1:11" s="35" customFormat="1" ht="14.25" customHeight="1" x14ac:dyDescent="0.35">
      <c r="A194" s="67"/>
      <c r="C194" s="90"/>
      <c r="D194" s="31"/>
      <c r="E194" s="36"/>
      <c r="F194" s="31"/>
      <c r="G194" s="46"/>
      <c r="H194" s="71"/>
      <c r="I194" s="72"/>
      <c r="J194" s="49"/>
      <c r="K194" s="65"/>
    </row>
    <row r="195" spans="1:11" s="35" customFormat="1" ht="14.25" customHeight="1" x14ac:dyDescent="0.35">
      <c r="A195" s="67"/>
      <c r="C195" s="90"/>
      <c r="D195" s="31"/>
      <c r="E195" s="36"/>
      <c r="F195" s="31"/>
      <c r="G195" s="46"/>
      <c r="H195" s="71"/>
      <c r="I195" s="72"/>
      <c r="J195" s="49"/>
      <c r="K195" s="65"/>
    </row>
    <row r="196" spans="1:11" s="35" customFormat="1" ht="14.25" customHeight="1" x14ac:dyDescent="0.35">
      <c r="A196" s="67"/>
      <c r="C196" s="90"/>
      <c r="D196" s="31"/>
      <c r="E196" s="36"/>
      <c r="F196" s="31"/>
      <c r="G196" s="46"/>
      <c r="H196" s="71"/>
      <c r="I196" s="72"/>
      <c r="J196" s="49"/>
      <c r="K196" s="65"/>
    </row>
    <row r="197" spans="1:11" s="35" customFormat="1" ht="14.25" customHeight="1" x14ac:dyDescent="0.35">
      <c r="A197" s="67"/>
      <c r="C197" s="90"/>
      <c r="D197" s="31"/>
      <c r="E197" s="36"/>
      <c r="F197" s="31"/>
      <c r="G197" s="46"/>
      <c r="H197" s="71"/>
      <c r="I197" s="72"/>
      <c r="J197" s="49"/>
      <c r="K197" s="65"/>
    </row>
    <row r="198" spans="1:11" s="35" customFormat="1" ht="14.25" customHeight="1" x14ac:dyDescent="0.35">
      <c r="A198" s="67"/>
      <c r="C198" s="90"/>
      <c r="D198" s="31"/>
      <c r="E198" s="36"/>
      <c r="F198" s="31"/>
      <c r="G198" s="46"/>
      <c r="H198" s="71"/>
      <c r="I198" s="72"/>
      <c r="J198" s="49"/>
      <c r="K198" s="65"/>
    </row>
    <row r="199" spans="1:11" s="35" customFormat="1" ht="14.25" customHeight="1" x14ac:dyDescent="0.35">
      <c r="A199" s="67"/>
      <c r="C199" s="90"/>
      <c r="D199" s="31"/>
      <c r="E199" s="36"/>
      <c r="F199" s="31"/>
      <c r="G199" s="46"/>
      <c r="H199" s="71"/>
      <c r="I199" s="72"/>
      <c r="J199" s="49"/>
      <c r="K199" s="65"/>
    </row>
  </sheetData>
  <autoFilter ref="E1:E199" xr:uid="{00000000-0009-0000-0000-000000000000}"/>
  <mergeCells count="14">
    <mergeCell ref="A6:B6"/>
    <mergeCell ref="A7:B7"/>
    <mergeCell ref="B2:H2"/>
    <mergeCell ref="A4:B4"/>
    <mergeCell ref="C4:E4"/>
    <mergeCell ref="A5:B5"/>
    <mergeCell ref="C5:E5"/>
    <mergeCell ref="D16:E16"/>
    <mergeCell ref="D17:F17"/>
    <mergeCell ref="D28:F28"/>
    <mergeCell ref="D30:F30"/>
    <mergeCell ref="D20:F20"/>
    <mergeCell ref="D21:F21"/>
    <mergeCell ref="D26:F26"/>
  </mergeCells>
  <pageMargins left="0" right="0" top="0" bottom="0" header="0" footer="0"/>
  <pageSetup paperSize="5" scale="65" firstPageNumber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topLeftCell="A6" zoomScale="72" zoomScaleNormal="72" workbookViewId="0">
      <selection activeCell="D8" sqref="D8:K8"/>
    </sheetView>
  </sheetViews>
  <sheetFormatPr baseColWidth="10" defaultColWidth="9.140625" defaultRowHeight="50.1" customHeight="1" x14ac:dyDescent="0.2"/>
  <cols>
    <col min="1" max="1" width="5.5703125" style="20" customWidth="1"/>
    <col min="2" max="2" width="15.140625" style="20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2" style="29" customWidth="1"/>
    <col min="8" max="8" width="9.28515625" style="20" customWidth="1"/>
    <col min="9" max="9" width="15.5703125" style="20" customWidth="1"/>
    <col min="10" max="10" width="14.7109375" style="20" customWidth="1"/>
    <col min="11" max="11" width="15.5703125" style="20" customWidth="1"/>
    <col min="12" max="13" width="5.85546875" style="20" customWidth="1"/>
    <col min="14" max="14" width="20.140625" style="20" customWidth="1"/>
    <col min="15" max="15" width="12.5703125" style="20" customWidth="1"/>
    <col min="16" max="1024" width="9.140625" style="20"/>
    <col min="1025" max="16384" width="9.140625" style="18"/>
  </cols>
  <sheetData>
    <row r="1" spans="1:1024" ht="27.75" customHeight="1" x14ac:dyDescent="0.2">
      <c r="A1" s="128" t="s">
        <v>17</v>
      </c>
      <c r="B1" s="128"/>
      <c r="C1" s="128"/>
      <c r="D1" s="128"/>
      <c r="E1" s="128"/>
      <c r="F1" s="128"/>
      <c r="G1" s="128"/>
      <c r="H1" s="128"/>
      <c r="I1" s="128"/>
      <c r="J1" s="19" t="s">
        <v>18</v>
      </c>
      <c r="K1" s="98" t="s">
        <v>73</v>
      </c>
    </row>
    <row r="2" spans="1:1024" ht="12" customHeight="1" thickBot="1" x14ac:dyDescent="0.25">
      <c r="A2" s="21"/>
      <c r="B2" s="21"/>
      <c r="C2" s="25"/>
      <c r="D2" s="26"/>
      <c r="E2" s="26"/>
      <c r="F2" s="26"/>
      <c r="G2" s="26"/>
      <c r="H2" s="22"/>
      <c r="I2" s="22"/>
      <c r="J2" s="22"/>
      <c r="K2" s="22"/>
    </row>
    <row r="3" spans="1:1024" ht="22.5" customHeight="1" thickBot="1" x14ac:dyDescent="0.25">
      <c r="A3" s="129" t="s">
        <v>51</v>
      </c>
      <c r="B3" s="129"/>
      <c r="C3" s="129"/>
      <c r="D3" s="130" t="str">
        <f>'ALIMENTOS PERECEDEROS'!C4</f>
        <v>40-Ministerio de Salud</v>
      </c>
      <c r="E3" s="130"/>
      <c r="F3" s="130"/>
      <c r="G3" s="130"/>
      <c r="H3" s="130"/>
      <c r="I3" s="130"/>
      <c r="J3" s="130"/>
      <c r="K3" s="130"/>
    </row>
    <row r="4" spans="1:1024" ht="16.5" customHeight="1" thickBot="1" x14ac:dyDescent="0.25">
      <c r="A4" s="131" t="s">
        <v>52</v>
      </c>
      <c r="B4" s="131"/>
      <c r="C4" s="131"/>
      <c r="D4" s="130" t="str">
        <f>'ALIMENTOS PERECEDEROS'!C5</f>
        <v>28- Maternidad Provincial 25 de Mayo</v>
      </c>
      <c r="E4" s="130"/>
      <c r="F4" s="130"/>
      <c r="G4" s="130"/>
      <c r="H4" s="130"/>
      <c r="I4" s="130"/>
      <c r="J4" s="130"/>
      <c r="K4" s="130"/>
    </row>
    <row r="5" spans="1:1024" ht="17.25" customHeight="1" thickBot="1" x14ac:dyDescent="0.25">
      <c r="A5" s="131" t="s">
        <v>30</v>
      </c>
      <c r="B5" s="131"/>
      <c r="C5" s="131"/>
      <c r="D5" s="130" t="s">
        <v>68</v>
      </c>
      <c r="E5" s="130"/>
      <c r="F5" s="130"/>
      <c r="G5" s="130"/>
      <c r="H5" s="130"/>
      <c r="I5" s="130"/>
      <c r="J5" s="130"/>
      <c r="K5" s="130"/>
    </row>
    <row r="6" spans="1:1024" ht="20.25" customHeight="1" thickBot="1" x14ac:dyDescent="0.25">
      <c r="A6" s="129" t="s">
        <v>53</v>
      </c>
      <c r="B6" s="129"/>
      <c r="C6" s="129"/>
      <c r="D6" s="130" t="s">
        <v>72</v>
      </c>
      <c r="E6" s="130"/>
      <c r="F6" s="130"/>
      <c r="G6" s="130"/>
      <c r="H6" s="130"/>
      <c r="I6" s="130"/>
      <c r="J6" s="130"/>
      <c r="K6" s="130"/>
    </row>
    <row r="7" spans="1:1024" ht="18.75" customHeight="1" x14ac:dyDescent="0.2">
      <c r="A7" s="131" t="s">
        <v>19</v>
      </c>
      <c r="B7" s="131"/>
      <c r="C7" s="131"/>
      <c r="D7" s="130" t="str">
        <f>'ALIMENTOS PERECEDEROS'!C7 &amp; "° Trimestre - Año " &amp; 'ALIMENTOS PERECEDEROS'!C6</f>
        <v>3°° Trimestre - Año 2022</v>
      </c>
      <c r="E7" s="130"/>
      <c r="F7" s="130"/>
      <c r="G7" s="130"/>
      <c r="H7" s="130"/>
      <c r="I7" s="130"/>
      <c r="J7" s="130"/>
      <c r="K7" s="130"/>
    </row>
    <row r="8" spans="1:1024" ht="16.5" customHeight="1" x14ac:dyDescent="0.2">
      <c r="A8" s="132" t="s">
        <v>20</v>
      </c>
      <c r="B8" s="132"/>
      <c r="C8" s="132"/>
      <c r="D8" s="116" t="s">
        <v>79</v>
      </c>
      <c r="E8" s="116"/>
      <c r="F8" s="116"/>
      <c r="G8" s="116"/>
      <c r="H8" s="116"/>
      <c r="I8" s="116"/>
      <c r="J8" s="116"/>
      <c r="K8" s="116"/>
    </row>
    <row r="9" spans="1:1024" ht="18" customHeight="1" x14ac:dyDescent="0.2">
      <c r="A9" s="23"/>
      <c r="B9" s="23"/>
      <c r="C9" s="27"/>
      <c r="D9" s="28"/>
      <c r="E9" s="28"/>
      <c r="F9" s="28"/>
      <c r="G9" s="28"/>
      <c r="H9" s="24"/>
      <c r="I9" s="24"/>
      <c r="J9" s="24"/>
      <c r="K9" s="24"/>
    </row>
    <row r="10" spans="1:1024" ht="50.1" customHeight="1" thickBot="1" x14ac:dyDescent="0.25">
      <c r="A10" s="117" t="s">
        <v>21</v>
      </c>
      <c r="B10" s="119" t="s">
        <v>22</v>
      </c>
      <c r="C10" s="119" t="s">
        <v>23</v>
      </c>
      <c r="D10" s="119"/>
      <c r="E10" s="119"/>
      <c r="F10" s="119"/>
      <c r="G10" s="119"/>
      <c r="H10" s="119" t="s">
        <v>24</v>
      </c>
      <c r="I10" s="119" t="s">
        <v>25</v>
      </c>
      <c r="J10" s="119" t="s">
        <v>26</v>
      </c>
      <c r="K10" s="121" t="s">
        <v>27</v>
      </c>
    </row>
    <row r="11" spans="1:1024" ht="50.1" customHeight="1" thickBot="1" x14ac:dyDescent="0.25">
      <c r="A11" s="118"/>
      <c r="B11" s="120"/>
      <c r="C11" s="120"/>
      <c r="D11" s="120"/>
      <c r="E11" s="120"/>
      <c r="F11" s="120"/>
      <c r="G11" s="120"/>
      <c r="H11" s="120"/>
      <c r="I11" s="120"/>
      <c r="J11" s="120"/>
      <c r="K11" s="122"/>
    </row>
    <row r="12" spans="1:1024" s="30" customFormat="1" ht="50.1" customHeight="1" x14ac:dyDescent="0.2">
      <c r="A12" s="100">
        <f>+'ALIMENTOS PERECEDEROS'!A10</f>
        <v>1</v>
      </c>
      <c r="B12" s="104" t="str">
        <f>+'ALIMENTOS PERECEDEROS'!B10</f>
        <v>2.1.1-621.20</v>
      </c>
      <c r="C12" s="133" t="str">
        <f>+'ALIMENTOS PERECEDEROS'!E10</f>
        <v>AVES; TIPO: POLLO, PRESENTACION: CAJA X 22 Kg, EVISCERADO: SI, ELEM. TRANSPORTE: SIN, MATERIAL ELEM. TRANSPORTE: SIN, LIBRE DE GLUTEN: SIN VALOR</v>
      </c>
      <c r="D12" s="133"/>
      <c r="E12" s="133"/>
      <c r="F12" s="133"/>
      <c r="G12" s="133"/>
      <c r="H12" s="101" t="s">
        <v>66</v>
      </c>
      <c r="I12" s="101" t="str">
        <f>+'ALIMENTOS PERECEDEROS'!F10</f>
        <v>CAJA</v>
      </c>
      <c r="J12" s="102">
        <f>+'ALIMENTOS PERECEDEROS'!H10</f>
        <v>6490</v>
      </c>
      <c r="K12" s="103">
        <f>+'ALIMENTOS PERECEDEROS'!G10</f>
        <v>90</v>
      </c>
      <c r="L12" s="105"/>
      <c r="M12" s="29"/>
      <c r="N12" s="107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29"/>
      <c r="MU12" s="29"/>
      <c r="MV12" s="29"/>
      <c r="MW12" s="29"/>
      <c r="MX12" s="29"/>
      <c r="MY12" s="29"/>
      <c r="MZ12" s="29"/>
      <c r="NA12" s="29"/>
      <c r="NB12" s="29"/>
      <c r="NC12" s="29"/>
      <c r="ND12" s="29"/>
      <c r="NE12" s="29"/>
      <c r="NF12" s="29"/>
      <c r="NG12" s="29"/>
      <c r="NH12" s="29"/>
      <c r="NI12" s="29"/>
      <c r="NJ12" s="29"/>
      <c r="NK12" s="29"/>
      <c r="NL12" s="29"/>
      <c r="NM12" s="29"/>
      <c r="NN12" s="29"/>
      <c r="NO12" s="29"/>
      <c r="NP12" s="29"/>
      <c r="NQ12" s="29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29"/>
      <c r="QA12" s="29"/>
      <c r="QB12" s="29"/>
      <c r="QC12" s="29"/>
      <c r="QD12" s="29"/>
      <c r="QE12" s="29"/>
      <c r="QF12" s="29"/>
      <c r="QG12" s="29"/>
      <c r="QH12" s="29"/>
      <c r="QI12" s="29"/>
      <c r="QJ12" s="29"/>
      <c r="QK12" s="29"/>
      <c r="QL12" s="29"/>
      <c r="QM12" s="29"/>
      <c r="QN12" s="29"/>
      <c r="QO12" s="29"/>
      <c r="QP12" s="29"/>
      <c r="QQ12" s="29"/>
      <c r="QR12" s="29"/>
      <c r="QS12" s="29"/>
      <c r="QT12" s="29"/>
      <c r="QU12" s="29"/>
      <c r="QV12" s="29"/>
      <c r="QW12" s="29"/>
      <c r="QX12" s="29"/>
      <c r="QY12" s="29"/>
      <c r="QZ12" s="29"/>
      <c r="RA12" s="29"/>
      <c r="RB12" s="29"/>
      <c r="RC12" s="29"/>
      <c r="RD12" s="29"/>
      <c r="RE12" s="29"/>
      <c r="RF12" s="29"/>
      <c r="RG12" s="29"/>
      <c r="RH12" s="29"/>
      <c r="RI12" s="29"/>
      <c r="RJ12" s="29"/>
      <c r="RK12" s="29"/>
      <c r="RL12" s="29"/>
      <c r="RM12" s="29"/>
      <c r="RN12" s="29"/>
      <c r="RO12" s="29"/>
      <c r="RP12" s="29"/>
      <c r="RQ12" s="29"/>
      <c r="RR12" s="29"/>
      <c r="RS12" s="29"/>
      <c r="RT12" s="29"/>
      <c r="RU12" s="29"/>
      <c r="RV12" s="29"/>
      <c r="RW12" s="29"/>
      <c r="RX12" s="29"/>
      <c r="RY12" s="29"/>
      <c r="RZ12" s="29"/>
      <c r="SA12" s="29"/>
      <c r="SB12" s="29"/>
      <c r="SC12" s="29"/>
      <c r="SD12" s="29"/>
      <c r="SE12" s="29"/>
      <c r="SF12" s="29"/>
      <c r="SG12" s="29"/>
      <c r="SH12" s="29"/>
      <c r="SI12" s="29"/>
      <c r="SJ12" s="29"/>
      <c r="SK12" s="29"/>
      <c r="SL12" s="29"/>
      <c r="SM12" s="29"/>
      <c r="SN12" s="29"/>
      <c r="SO12" s="29"/>
      <c r="SP12" s="29"/>
      <c r="SQ12" s="29"/>
      <c r="SR12" s="29"/>
      <c r="SS12" s="29"/>
      <c r="ST12" s="29"/>
      <c r="SU12" s="29"/>
      <c r="SV12" s="29"/>
      <c r="SW12" s="29"/>
      <c r="SX12" s="29"/>
      <c r="SY12" s="29"/>
      <c r="SZ12" s="29"/>
      <c r="TA12" s="29"/>
      <c r="TB12" s="29"/>
      <c r="TC12" s="29"/>
      <c r="TD12" s="29"/>
      <c r="TE12" s="29"/>
      <c r="TF12" s="29"/>
      <c r="TG12" s="29"/>
      <c r="TH12" s="29"/>
      <c r="TI12" s="29"/>
      <c r="TJ12" s="29"/>
      <c r="TK12" s="29"/>
      <c r="TL12" s="29"/>
      <c r="TM12" s="29"/>
      <c r="TN12" s="29"/>
      <c r="TO12" s="29"/>
      <c r="TP12" s="29"/>
      <c r="TQ12" s="29"/>
      <c r="TR12" s="29"/>
      <c r="TS12" s="29"/>
      <c r="TT12" s="29"/>
      <c r="TU12" s="29"/>
      <c r="TV12" s="29"/>
      <c r="TW12" s="29"/>
      <c r="TX12" s="29"/>
      <c r="TY12" s="29"/>
      <c r="TZ12" s="29"/>
      <c r="UA12" s="29"/>
      <c r="UB12" s="29"/>
      <c r="UC12" s="29"/>
      <c r="UD12" s="29"/>
      <c r="UE12" s="29"/>
      <c r="UF12" s="29"/>
      <c r="UG12" s="29"/>
      <c r="UH12" s="29"/>
      <c r="UI12" s="29"/>
      <c r="UJ12" s="29"/>
      <c r="UK12" s="29"/>
      <c r="UL12" s="29"/>
      <c r="UM12" s="29"/>
      <c r="UN12" s="29"/>
      <c r="UO12" s="29"/>
      <c r="UP12" s="29"/>
      <c r="UQ12" s="29"/>
      <c r="UR12" s="29"/>
      <c r="US12" s="29"/>
      <c r="UT12" s="29"/>
      <c r="UU12" s="29"/>
      <c r="UV12" s="29"/>
      <c r="UW12" s="29"/>
      <c r="UX12" s="29"/>
      <c r="UY12" s="29"/>
      <c r="UZ12" s="29"/>
      <c r="VA12" s="29"/>
      <c r="VB12" s="29"/>
      <c r="VC12" s="29"/>
      <c r="VD12" s="29"/>
      <c r="VE12" s="29"/>
      <c r="VF12" s="29"/>
      <c r="VG12" s="29"/>
      <c r="VH12" s="29"/>
      <c r="VI12" s="29"/>
      <c r="VJ12" s="29"/>
      <c r="VK12" s="29"/>
      <c r="VL12" s="29"/>
      <c r="VM12" s="29"/>
      <c r="VN12" s="29"/>
      <c r="VO12" s="29"/>
      <c r="VP12" s="29"/>
      <c r="VQ12" s="29"/>
      <c r="VR12" s="29"/>
      <c r="VS12" s="29"/>
      <c r="VT12" s="29"/>
      <c r="VU12" s="29"/>
      <c r="VV12" s="29"/>
      <c r="VW12" s="29"/>
      <c r="VX12" s="29"/>
      <c r="VY12" s="29"/>
      <c r="VZ12" s="29"/>
      <c r="WA12" s="29"/>
      <c r="WB12" s="29"/>
      <c r="WC12" s="29"/>
      <c r="WD12" s="29"/>
      <c r="WE12" s="29"/>
      <c r="WF12" s="29"/>
      <c r="WG12" s="29"/>
      <c r="WH12" s="29"/>
      <c r="WI12" s="29"/>
      <c r="WJ12" s="29"/>
      <c r="WK12" s="29"/>
      <c r="WL12" s="29"/>
      <c r="WM12" s="29"/>
      <c r="WN12" s="29"/>
      <c r="WO12" s="29"/>
      <c r="WP12" s="29"/>
      <c r="WQ12" s="29"/>
      <c r="WR12" s="29"/>
      <c r="WS12" s="29"/>
      <c r="WT12" s="29"/>
      <c r="WU12" s="29"/>
      <c r="WV12" s="29"/>
      <c r="WW12" s="29"/>
      <c r="WX12" s="29"/>
      <c r="WY12" s="29"/>
      <c r="WZ12" s="29"/>
      <c r="XA12" s="29"/>
      <c r="XB12" s="29"/>
      <c r="XC12" s="29"/>
      <c r="XD12" s="29"/>
      <c r="XE12" s="29"/>
      <c r="XF12" s="29"/>
      <c r="XG12" s="29"/>
      <c r="XH12" s="29"/>
      <c r="XI12" s="29"/>
      <c r="XJ12" s="29"/>
      <c r="XK12" s="29"/>
      <c r="XL12" s="29"/>
      <c r="XM12" s="29"/>
      <c r="XN12" s="29"/>
      <c r="XO12" s="29"/>
      <c r="XP12" s="29"/>
      <c r="XQ12" s="29"/>
      <c r="XR12" s="29"/>
      <c r="XS12" s="29"/>
      <c r="XT12" s="29"/>
      <c r="XU12" s="29"/>
      <c r="XV12" s="29"/>
      <c r="XW12" s="29"/>
      <c r="XX12" s="29"/>
      <c r="XY12" s="29"/>
      <c r="XZ12" s="29"/>
      <c r="YA12" s="29"/>
      <c r="YB12" s="29"/>
      <c r="YC12" s="29"/>
      <c r="YD12" s="29"/>
      <c r="YE12" s="29"/>
      <c r="YF12" s="29"/>
      <c r="YG12" s="29"/>
      <c r="YH12" s="29"/>
      <c r="YI12" s="29"/>
      <c r="YJ12" s="29"/>
      <c r="YK12" s="29"/>
      <c r="YL12" s="29"/>
      <c r="YM12" s="29"/>
      <c r="YN12" s="29"/>
      <c r="YO12" s="29"/>
      <c r="YP12" s="29"/>
      <c r="YQ12" s="29"/>
      <c r="YR12" s="29"/>
      <c r="YS12" s="29"/>
      <c r="YT12" s="29"/>
      <c r="YU12" s="29"/>
      <c r="YV12" s="29"/>
      <c r="YW12" s="29"/>
      <c r="YX12" s="29"/>
      <c r="YY12" s="29"/>
      <c r="YZ12" s="29"/>
      <c r="ZA12" s="29"/>
      <c r="ZB12" s="29"/>
      <c r="ZC12" s="29"/>
      <c r="ZD12" s="29"/>
      <c r="ZE12" s="29"/>
      <c r="ZF12" s="29"/>
      <c r="ZG12" s="29"/>
      <c r="ZH12" s="29"/>
      <c r="ZI12" s="29"/>
      <c r="ZJ12" s="29"/>
      <c r="ZK12" s="29"/>
      <c r="ZL12" s="29"/>
      <c r="ZM12" s="29"/>
      <c r="ZN12" s="29"/>
      <c r="ZO12" s="29"/>
      <c r="ZP12" s="29"/>
      <c r="ZQ12" s="29"/>
      <c r="ZR12" s="29"/>
      <c r="ZS12" s="29"/>
      <c r="ZT12" s="29"/>
      <c r="ZU12" s="29"/>
      <c r="ZV12" s="29"/>
      <c r="ZW12" s="29"/>
      <c r="ZX12" s="29"/>
      <c r="ZY12" s="29"/>
      <c r="ZZ12" s="29"/>
      <c r="AAA12" s="29"/>
      <c r="AAB12" s="29"/>
      <c r="AAC12" s="29"/>
      <c r="AAD12" s="29"/>
      <c r="AAE12" s="29"/>
      <c r="AAF12" s="29"/>
      <c r="AAG12" s="29"/>
      <c r="AAH12" s="29"/>
      <c r="AAI12" s="29"/>
      <c r="AAJ12" s="29"/>
      <c r="AAK12" s="29"/>
      <c r="AAL12" s="29"/>
      <c r="AAM12" s="29"/>
      <c r="AAN12" s="29"/>
      <c r="AAO12" s="29"/>
      <c r="AAP12" s="29"/>
      <c r="AAQ12" s="29"/>
      <c r="AAR12" s="29"/>
      <c r="AAS12" s="29"/>
      <c r="AAT12" s="29"/>
      <c r="AAU12" s="29"/>
      <c r="AAV12" s="29"/>
      <c r="AAW12" s="29"/>
      <c r="AAX12" s="29"/>
      <c r="AAY12" s="29"/>
      <c r="AAZ12" s="29"/>
      <c r="ABA12" s="29"/>
      <c r="ABB12" s="29"/>
      <c r="ABC12" s="29"/>
      <c r="ABD12" s="29"/>
      <c r="ABE12" s="29"/>
      <c r="ABF12" s="29"/>
      <c r="ABG12" s="29"/>
      <c r="ABH12" s="29"/>
      <c r="ABI12" s="29"/>
      <c r="ABJ12" s="29"/>
      <c r="ABK12" s="29"/>
      <c r="ABL12" s="29"/>
      <c r="ABM12" s="29"/>
      <c r="ABN12" s="29"/>
      <c r="ABO12" s="29"/>
      <c r="ABP12" s="29"/>
      <c r="ABQ12" s="29"/>
      <c r="ABR12" s="29"/>
      <c r="ABS12" s="29"/>
      <c r="ABT12" s="29"/>
      <c r="ABU12" s="29"/>
      <c r="ABV12" s="29"/>
      <c r="ABW12" s="29"/>
      <c r="ABX12" s="29"/>
      <c r="ABY12" s="29"/>
      <c r="ABZ12" s="29"/>
      <c r="ACA12" s="29"/>
      <c r="ACB12" s="29"/>
      <c r="ACC12" s="29"/>
      <c r="ACD12" s="29"/>
      <c r="ACE12" s="29"/>
      <c r="ACF12" s="29"/>
      <c r="ACG12" s="29"/>
      <c r="ACH12" s="29"/>
      <c r="ACI12" s="29"/>
      <c r="ACJ12" s="29"/>
      <c r="ACK12" s="29"/>
      <c r="ACL12" s="29"/>
      <c r="ACM12" s="29"/>
      <c r="ACN12" s="29"/>
      <c r="ACO12" s="29"/>
      <c r="ACP12" s="29"/>
      <c r="ACQ12" s="29"/>
      <c r="ACR12" s="29"/>
      <c r="ACS12" s="29"/>
      <c r="ACT12" s="29"/>
      <c r="ACU12" s="29"/>
      <c r="ACV12" s="29"/>
      <c r="ACW12" s="29"/>
      <c r="ACX12" s="29"/>
      <c r="ACY12" s="29"/>
      <c r="ACZ12" s="29"/>
      <c r="ADA12" s="29"/>
      <c r="ADB12" s="29"/>
      <c r="ADC12" s="29"/>
      <c r="ADD12" s="29"/>
      <c r="ADE12" s="29"/>
      <c r="ADF12" s="29"/>
      <c r="ADG12" s="29"/>
      <c r="ADH12" s="29"/>
      <c r="ADI12" s="29"/>
      <c r="ADJ12" s="29"/>
      <c r="ADK12" s="29"/>
      <c r="ADL12" s="29"/>
      <c r="ADM12" s="29"/>
      <c r="ADN12" s="29"/>
      <c r="ADO12" s="29"/>
      <c r="ADP12" s="29"/>
      <c r="ADQ12" s="29"/>
      <c r="ADR12" s="29"/>
      <c r="ADS12" s="29"/>
      <c r="ADT12" s="29"/>
      <c r="ADU12" s="29"/>
      <c r="ADV12" s="29"/>
      <c r="ADW12" s="29"/>
      <c r="ADX12" s="29"/>
      <c r="ADY12" s="29"/>
      <c r="ADZ12" s="29"/>
      <c r="AEA12" s="29"/>
      <c r="AEB12" s="29"/>
      <c r="AEC12" s="29"/>
      <c r="AED12" s="29"/>
      <c r="AEE12" s="29"/>
      <c r="AEF12" s="29"/>
      <c r="AEG12" s="29"/>
      <c r="AEH12" s="29"/>
      <c r="AEI12" s="29"/>
      <c r="AEJ12" s="29"/>
      <c r="AEK12" s="29"/>
      <c r="AEL12" s="29"/>
      <c r="AEM12" s="29"/>
      <c r="AEN12" s="29"/>
      <c r="AEO12" s="29"/>
      <c r="AEP12" s="29"/>
      <c r="AEQ12" s="29"/>
      <c r="AER12" s="29"/>
      <c r="AES12" s="29"/>
      <c r="AET12" s="29"/>
      <c r="AEU12" s="29"/>
      <c r="AEV12" s="29"/>
      <c r="AEW12" s="29"/>
      <c r="AEX12" s="29"/>
      <c r="AEY12" s="29"/>
      <c r="AEZ12" s="29"/>
      <c r="AFA12" s="29"/>
      <c r="AFB12" s="29"/>
      <c r="AFC12" s="29"/>
      <c r="AFD12" s="29"/>
      <c r="AFE12" s="29"/>
      <c r="AFF12" s="29"/>
      <c r="AFG12" s="29"/>
      <c r="AFH12" s="29"/>
      <c r="AFI12" s="29"/>
      <c r="AFJ12" s="29"/>
      <c r="AFK12" s="29"/>
      <c r="AFL12" s="29"/>
      <c r="AFM12" s="29"/>
      <c r="AFN12" s="29"/>
      <c r="AFO12" s="29"/>
      <c r="AFP12" s="29"/>
      <c r="AFQ12" s="29"/>
      <c r="AFR12" s="29"/>
      <c r="AFS12" s="29"/>
      <c r="AFT12" s="29"/>
      <c r="AFU12" s="29"/>
      <c r="AFV12" s="29"/>
      <c r="AFW12" s="29"/>
      <c r="AFX12" s="29"/>
      <c r="AFY12" s="29"/>
      <c r="AFZ12" s="29"/>
      <c r="AGA12" s="29"/>
      <c r="AGB12" s="29"/>
      <c r="AGC12" s="29"/>
      <c r="AGD12" s="29"/>
      <c r="AGE12" s="29"/>
      <c r="AGF12" s="29"/>
      <c r="AGG12" s="29"/>
      <c r="AGH12" s="29"/>
      <c r="AGI12" s="29"/>
      <c r="AGJ12" s="29"/>
      <c r="AGK12" s="29"/>
      <c r="AGL12" s="29"/>
      <c r="AGM12" s="29"/>
      <c r="AGN12" s="29"/>
      <c r="AGO12" s="29"/>
      <c r="AGP12" s="29"/>
      <c r="AGQ12" s="29"/>
      <c r="AGR12" s="29"/>
      <c r="AGS12" s="29"/>
      <c r="AGT12" s="29"/>
      <c r="AGU12" s="29"/>
      <c r="AGV12" s="29"/>
      <c r="AGW12" s="29"/>
      <c r="AGX12" s="29"/>
      <c r="AGY12" s="29"/>
      <c r="AGZ12" s="29"/>
      <c r="AHA12" s="29"/>
      <c r="AHB12" s="29"/>
      <c r="AHC12" s="29"/>
      <c r="AHD12" s="29"/>
      <c r="AHE12" s="29"/>
      <c r="AHF12" s="29"/>
      <c r="AHG12" s="29"/>
      <c r="AHH12" s="29"/>
      <c r="AHI12" s="29"/>
      <c r="AHJ12" s="29"/>
      <c r="AHK12" s="29"/>
      <c r="AHL12" s="29"/>
      <c r="AHM12" s="29"/>
      <c r="AHN12" s="29"/>
      <c r="AHO12" s="29"/>
      <c r="AHP12" s="29"/>
      <c r="AHQ12" s="29"/>
      <c r="AHR12" s="29"/>
      <c r="AHS12" s="29"/>
      <c r="AHT12" s="29"/>
      <c r="AHU12" s="29"/>
      <c r="AHV12" s="29"/>
      <c r="AHW12" s="29"/>
      <c r="AHX12" s="29"/>
      <c r="AHY12" s="29"/>
      <c r="AHZ12" s="29"/>
      <c r="AIA12" s="29"/>
      <c r="AIB12" s="29"/>
      <c r="AIC12" s="29"/>
      <c r="AID12" s="29"/>
      <c r="AIE12" s="29"/>
      <c r="AIF12" s="29"/>
      <c r="AIG12" s="29"/>
      <c r="AIH12" s="29"/>
      <c r="AII12" s="29"/>
      <c r="AIJ12" s="29"/>
      <c r="AIK12" s="29"/>
      <c r="AIL12" s="29"/>
      <c r="AIM12" s="29"/>
      <c r="AIN12" s="29"/>
      <c r="AIO12" s="29"/>
      <c r="AIP12" s="29"/>
      <c r="AIQ12" s="29"/>
      <c r="AIR12" s="29"/>
      <c r="AIS12" s="29"/>
      <c r="AIT12" s="29"/>
      <c r="AIU12" s="29"/>
      <c r="AIV12" s="29"/>
      <c r="AIW12" s="29"/>
      <c r="AIX12" s="29"/>
      <c r="AIY12" s="29"/>
      <c r="AIZ12" s="29"/>
      <c r="AJA12" s="29"/>
      <c r="AJB12" s="29"/>
      <c r="AJC12" s="29"/>
      <c r="AJD12" s="29"/>
      <c r="AJE12" s="29"/>
      <c r="AJF12" s="29"/>
      <c r="AJG12" s="29"/>
      <c r="AJH12" s="29"/>
      <c r="AJI12" s="29"/>
      <c r="AJJ12" s="29"/>
      <c r="AJK12" s="29"/>
      <c r="AJL12" s="29"/>
      <c r="AJM12" s="29"/>
      <c r="AJN12" s="29"/>
      <c r="AJO12" s="29"/>
      <c r="AJP12" s="29"/>
      <c r="AJQ12" s="29"/>
      <c r="AJR12" s="29"/>
      <c r="AJS12" s="29"/>
      <c r="AJT12" s="29"/>
      <c r="AJU12" s="29"/>
      <c r="AJV12" s="29"/>
      <c r="AJW12" s="29"/>
      <c r="AJX12" s="29"/>
      <c r="AJY12" s="29"/>
      <c r="AJZ12" s="29"/>
      <c r="AKA12" s="29"/>
      <c r="AKB12" s="29"/>
      <c r="AKC12" s="29"/>
      <c r="AKD12" s="29"/>
      <c r="AKE12" s="29"/>
      <c r="AKF12" s="29"/>
      <c r="AKG12" s="29"/>
      <c r="AKH12" s="29"/>
      <c r="AKI12" s="29"/>
      <c r="AKJ12" s="29"/>
      <c r="AKK12" s="29"/>
      <c r="AKL12" s="29"/>
      <c r="AKM12" s="29"/>
      <c r="AKN12" s="29"/>
      <c r="AKO12" s="29"/>
      <c r="AKP12" s="29"/>
      <c r="AKQ12" s="29"/>
      <c r="AKR12" s="29"/>
      <c r="AKS12" s="29"/>
      <c r="AKT12" s="29"/>
      <c r="AKU12" s="29"/>
      <c r="AKV12" s="29"/>
      <c r="AKW12" s="29"/>
      <c r="AKX12" s="29"/>
      <c r="AKY12" s="29"/>
      <c r="AKZ12" s="29"/>
      <c r="ALA12" s="29"/>
      <c r="ALB12" s="29"/>
      <c r="ALC12" s="29"/>
      <c r="ALD12" s="29"/>
      <c r="ALE12" s="29"/>
      <c r="ALF12" s="29"/>
      <c r="ALG12" s="29"/>
      <c r="ALH12" s="29"/>
      <c r="ALI12" s="29"/>
      <c r="ALJ12" s="29"/>
      <c r="ALK12" s="29"/>
      <c r="ALL12" s="29"/>
      <c r="ALM12" s="29"/>
      <c r="ALN12" s="29"/>
      <c r="ALO12" s="29"/>
      <c r="ALP12" s="29"/>
      <c r="ALQ12" s="29"/>
      <c r="ALR12" s="29"/>
      <c r="ALS12" s="29"/>
      <c r="ALT12" s="29"/>
      <c r="ALU12" s="29"/>
      <c r="ALV12" s="29"/>
      <c r="ALW12" s="29"/>
      <c r="ALX12" s="29"/>
      <c r="ALY12" s="29"/>
      <c r="ALZ12" s="29"/>
      <c r="AMA12" s="29"/>
      <c r="AMB12" s="29"/>
      <c r="AMC12" s="29"/>
      <c r="AMD12" s="29"/>
      <c r="AME12" s="29"/>
      <c r="AMF12" s="29"/>
      <c r="AMG12" s="29"/>
      <c r="AMH12" s="29"/>
      <c r="AMI12" s="29"/>
      <c r="AMJ12" s="29"/>
    </row>
    <row r="13" spans="1:1024" ht="50.1" customHeight="1" thickBot="1" x14ac:dyDescent="0.25">
      <c r="A13" s="125" t="s">
        <v>76</v>
      </c>
      <c r="B13" s="126"/>
      <c r="C13" s="126"/>
      <c r="D13" s="126"/>
      <c r="E13" s="126"/>
      <c r="F13" s="126"/>
      <c r="G13" s="126"/>
      <c r="H13" s="126"/>
      <c r="I13" s="127"/>
      <c r="J13" s="123">
        <f>SUMPRODUCT(J12:J12,K12:K12)</f>
        <v>584100</v>
      </c>
      <c r="K13" s="124"/>
      <c r="L13" s="106"/>
    </row>
  </sheetData>
  <mergeCells count="23">
    <mergeCell ref="J13:K13"/>
    <mergeCell ref="A13:I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2:G12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12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7.28515625" customWidth="1"/>
  </cols>
  <sheetData>
    <row r="1" spans="1:17" ht="15.75" customHeight="1" x14ac:dyDescent="0.25">
      <c r="A1" s="134" t="s">
        <v>3</v>
      </c>
      <c r="B1" s="134"/>
      <c r="C1" s="134"/>
      <c r="D1" s="135">
        <f>'ALIMENTOS PERECEDEROS'!C6</f>
        <v>2022</v>
      </c>
      <c r="E1" s="135"/>
      <c r="F1" s="3"/>
      <c r="G1" s="3"/>
      <c r="H1" s="4"/>
      <c r="I1" s="4"/>
      <c r="J1" s="4"/>
      <c r="K1" s="4"/>
      <c r="L1" s="4"/>
      <c r="M1" s="4"/>
      <c r="N1" s="4"/>
      <c r="P1" s="136" t="s">
        <v>28</v>
      </c>
      <c r="Q1" s="13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6"/>
      <c r="Q2" s="136"/>
    </row>
    <row r="4" spans="1:17" s="5" customFormat="1" ht="18" customHeight="1" thickBot="1" x14ac:dyDescent="0.25">
      <c r="A4" s="137" t="s">
        <v>29</v>
      </c>
      <c r="B4" s="137"/>
      <c r="C4" s="137"/>
      <c r="D4" s="137"/>
      <c r="E4" s="137"/>
      <c r="F4" s="137"/>
      <c r="G4" s="138" t="str">
        <f>' NotaPedido'!D3</f>
        <v>40-Ministerio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5" customFormat="1" ht="18" customHeight="1" thickBot="1" x14ac:dyDescent="0.25">
      <c r="A5" s="139" t="s">
        <v>52</v>
      </c>
      <c r="B5" s="140"/>
      <c r="C5" s="140"/>
      <c r="D5" s="140"/>
      <c r="E5" s="140"/>
      <c r="F5" s="141"/>
      <c r="G5" s="138" t="str">
        <f>' NotaPedido'!D4</f>
        <v>28- Maternidad Provincial 25 de Mayo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5" customFormat="1" ht="18" customHeight="1" thickBot="1" x14ac:dyDescent="0.25">
      <c r="A6" s="139" t="s">
        <v>30</v>
      </c>
      <c r="B6" s="140"/>
      <c r="C6" s="140"/>
      <c r="D6" s="140"/>
      <c r="E6" s="140"/>
      <c r="F6" s="141"/>
      <c r="G6" s="138" t="str">
        <f>' NotaPedido'!D5</f>
        <v xml:space="preserve">169-Direccion Asistencial 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5" customFormat="1" ht="18" customHeight="1" thickBot="1" x14ac:dyDescent="0.25">
      <c r="A7" s="139" t="s">
        <v>53</v>
      </c>
      <c r="B7" s="140"/>
      <c r="C7" s="140"/>
      <c r="D7" s="140"/>
      <c r="E7" s="140"/>
      <c r="F7" s="141"/>
      <c r="G7" s="138" t="str">
        <f>' NotaPedido'!D6</f>
        <v xml:space="preserve">Servicio de Nutrición 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 x14ac:dyDescent="0.25">
      <c r="A8" s="142" t="s">
        <v>31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43" t="s">
        <v>32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6"/>
    </row>
    <row r="10" spans="1:17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5" t="s">
        <v>33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x14ac:dyDescent="0.2">
      <c r="A13" s="146" t="s">
        <v>34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35</v>
      </c>
      <c r="P13" s="147"/>
      <c r="Q13" s="148" t="s">
        <v>36</v>
      </c>
    </row>
    <row r="14" spans="1:17" ht="15.75" customHeight="1" thickBot="1" x14ac:dyDescent="0.25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47"/>
      <c r="P14" s="147"/>
      <c r="Q14" s="148"/>
    </row>
    <row r="15" spans="1:17" ht="17.25" customHeight="1" x14ac:dyDescent="0.2">
      <c r="A15" s="53">
        <v>42</v>
      </c>
      <c r="B15" s="54"/>
      <c r="C15" s="54"/>
      <c r="D15" s="54">
        <v>2</v>
      </c>
      <c r="E15" s="54"/>
      <c r="F15" s="54">
        <v>4901</v>
      </c>
      <c r="G15" s="54">
        <v>3</v>
      </c>
      <c r="H15" s="54">
        <v>1</v>
      </c>
      <c r="I15" s="54">
        <v>2</v>
      </c>
      <c r="J15" s="54">
        <v>1</v>
      </c>
      <c r="K15" s="54">
        <v>1</v>
      </c>
      <c r="L15" s="54"/>
      <c r="M15" s="54"/>
      <c r="N15" s="54" t="s">
        <v>60</v>
      </c>
      <c r="O15" s="149" t="s">
        <v>61</v>
      </c>
      <c r="P15" s="150"/>
      <c r="Q15" s="55">
        <v>584100</v>
      </c>
    </row>
    <row r="16" spans="1:17" ht="17.25" customHeight="1" x14ac:dyDescent="0.2">
      <c r="A16" s="57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156"/>
      <c r="P16" s="156"/>
      <c r="Q16" s="56"/>
    </row>
    <row r="17" spans="1:18" ht="17.25" customHeight="1" x14ac:dyDescent="0.2">
      <c r="A17" s="58"/>
      <c r="B17" s="51"/>
      <c r="C17" s="51"/>
      <c r="D17" s="51"/>
      <c r="E17" s="51"/>
      <c r="F17" s="52"/>
      <c r="G17" s="51"/>
      <c r="H17" s="51"/>
      <c r="I17" s="51"/>
      <c r="J17" s="51"/>
      <c r="K17" s="51"/>
      <c r="L17" s="51"/>
      <c r="M17" s="51"/>
      <c r="N17" s="51"/>
      <c r="O17" s="157"/>
      <c r="P17" s="157"/>
      <c r="Q17" s="56"/>
      <c r="R17" s="1"/>
    </row>
    <row r="18" spans="1:18" ht="17.25" customHeight="1" thickBo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158"/>
      <c r="P18" s="158"/>
      <c r="Q18" s="61"/>
    </row>
    <row r="19" spans="1:18" ht="25.5" customHeight="1" thickBot="1" x14ac:dyDescent="0.25">
      <c r="A19" s="159" t="s">
        <v>77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">
        <f>SUM(Q15:Q18)</f>
        <v>584100</v>
      </c>
    </row>
    <row r="20" spans="1:18" ht="18" customHeight="1" thickBot="1" x14ac:dyDescent="0.25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</row>
    <row r="21" spans="1:18" ht="17.25" customHeight="1" thickBot="1" x14ac:dyDescent="0.25">
      <c r="A21" s="151" t="s">
        <v>50</v>
      </c>
      <c r="B21" s="152"/>
      <c r="C21" s="152"/>
      <c r="D21" s="152"/>
      <c r="E21" s="152"/>
      <c r="F21" s="153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 spans="1:18" ht="18" customHeight="1" thickBot="1" x14ac:dyDescent="0.25">
      <c r="A22" s="155" t="s">
        <v>78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</row>
    <row r="23" spans="1:18" ht="15" customHeight="1" x14ac:dyDescent="0.2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2022-06-27T14:10:52Z</cp:lastPrinted>
  <dcterms:created xsi:type="dcterms:W3CDTF">2020-07-17T23:44:49Z</dcterms:created>
  <dcterms:modified xsi:type="dcterms:W3CDTF">2022-07-19T14:54:05Z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