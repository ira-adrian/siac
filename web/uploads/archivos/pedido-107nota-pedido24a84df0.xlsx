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25441F3C-A4F9-4F44-9E0F-8875047EBAB7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B12" i="2"/>
  <c r="C12" i="2"/>
  <c r="I12" i="2"/>
  <c r="J12" i="2"/>
  <c r="K12" i="2"/>
  <c r="I11" i="1"/>
  <c r="J15" i="2" l="1"/>
  <c r="I10" i="1"/>
  <c r="Q20" i="3" l="1"/>
  <c r="D7" i="2" l="1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<sst xmlns="http://schemas.openxmlformats.org/spreadsheetml/2006/main" count="91" uniqueCount="78">
  <si>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</si>
  <si>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</si>
  <si>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</si>
  <si>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</si>
  <si>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</si>
  <si>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</si>
  <si>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</si>
  <si>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</si>
  <si>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</si>
  <si>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</si>
  <si>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</si>
  <si>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</si>
  <si>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</si>
  <si>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</si>
  <si>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</si>
  <si>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</si>
  <si>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</si>
  <si>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</si>
  <si>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</si>
  <si>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</si>
  <si>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</si>
  <si>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</si>
  <si>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</si>
  <si>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</si>
  <si>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</si>
  <si>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</si>
  <si>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</si>
  <si>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</si>
  <si>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</si>
  <si>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</si>
  <si>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</si>
  <si>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</si>
  <si>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</si>
  <si>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</si>
  <si>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</si>
  <si>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</si>
  <si>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</si>
  <si>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</si>
  <si>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</si>
  <si>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</si>
  <si>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</si>
  <si>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</si>
  <si>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</si>
  <si>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</si>
  <si>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</si>
  <si>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</si>
  <si>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</si>
  <si>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</si>
  <si>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</si>
  <si>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</si>
  <si>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</si>
  <si>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</si>
  <si>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</si>
  <si>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</si>
  <si>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</si>
  <si>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</si>
  <si>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25- Direccion Provincial de Gestion Administrativa y RRHH</t>
  </si>
  <si>
    <t>Plazo de Mantinimiento 30 dias</t>
  </si>
  <si>
    <t>ALIMENTOS</t>
  </si>
  <si>
    <t>2.1.1</t>
  </si>
  <si>
    <t>UNIDADES</t>
  </si>
  <si>
    <t>Alimentos para Personas</t>
  </si>
  <si>
    <t>2.1.1-478.43</t>
  </si>
  <si>
    <t>AGUA MINERAL; TIPO: SIN GASIFICAR, PRESENTACION: ENVASE X 500 CM3, MATERIAL ENVASE: PLASTICO PVC, TIPO ENVASE: NO RETORNABLE, ELEM. TRANSPORTE: SIN, MATERIAL ELEM. TRANSPORTE: SIN</t>
  </si>
  <si>
    <t>02- Programa Vivir Mejor (PRO.VI.ME)</t>
  </si>
  <si>
    <t>2.1.1-478.41</t>
  </si>
  <si>
    <t>AGUA MINERAL; TIPO: SIN GASIFICAR, PRESENTACION: ENVASE X 1500 CM3, MATERIAL ENVASE: PLASTICO PVC, TIPO ENVASE: NO RETORNABLE, ELEM. TRANSPORTE: SIN, MATERIAL ELEM. TRANSPORTE: SIN</t>
  </si>
  <si>
    <t>45- Ministerio de Desarrollo Social</t>
  </si>
  <si>
    <t>Especificidades Item N° 1 y 2:</t>
  </si>
  <si>
    <t>16- Direccion Provincial de Accion Social Directa</t>
  </si>
  <si>
    <t>16-Direccion Provincial de Accion Social Directa</t>
  </si>
  <si>
    <t>Adquisición de Alimentos (Agua de mesa envasada sin gas) con destino a ser entregados a  personas de escasos recursos economicos, en el Marco del Programa Vivir Mejor (PRO.VI.ME.)</t>
  </si>
  <si>
    <t>025/2022</t>
  </si>
  <si>
    <t>NO</t>
  </si>
  <si>
    <t>Costo total estimado:  UN MILLON TRESCIENTOS VEINTISEIS MIL CON 00/100.-</t>
  </si>
  <si>
    <t>TOTAL DE PESOS: UN MILLON TRESCIENTOS VEINTISEIS MIL CON 00/100.-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</si>
  <si>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10 (cinco) dias habiles de Notificada la Orden de Compra.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</si>
  <si>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Area Industrial El Pantanillo Deposito perteneciente al Ministerio de Desarrollo Social - San Fernando del Valle de Catamarca (CP 4700) , corriendo los gastos de flete, acarreo, carga, descarga y seguros por cuenta del adjudicatario.-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</si>
</sst>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0" fontId="16" fillId="0" borderId="0" xfId="0" applyFont="1"/>
    <xf numFmtId="167" fontId="0" fillId="0" borderId="0" xfId="0" applyNumberFormat="1"/>
    <xf numFmtId="0" fontId="0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0" fontId="0" fillId="0" borderId="47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166" fontId="4" fillId="0" borderId="21" xfId="1" applyNumberFormat="1" applyFont="1" applyFill="1" applyBorder="1" applyAlignment="1" applyProtection="1">
      <alignment horizontal="right" vertical="center" wrapText="1"/>
    </xf>
    <xf numFmtId="3" fontId="4" fillId="0" borderId="21" xfId="0" applyNumberFormat="1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4" xfId="0" applyFont="1" applyFill="1" applyBorder="1" applyAlignment="1">
      <alignment horizontal="center" vertical="center" wrapText="1"/>
    </xf>
    <xf numFmtId="0" fontId="20" fillId="0" borderId="45" xfId="0" applyFont="1" applyFill="1" applyBorder="1" applyAlignment="1">
      <alignment horizontal="center" vertical="center" wrapText="1"/>
    </xf>
    <xf numFmtId="0" fontId="20" fillId="0" borderId="46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0" fillId="0" borderId="3" xfId="0" applyFill="1" applyBorder="1"/>
    <xf numFmtId="0" fontId="22" fillId="0" borderId="3" xfId="0" applyFont="1" applyFill="1" applyBorder="1" applyAlignment="1">
      <alignment horizontal="center" vertical="center" wrapText="1"/>
    </xf>
    <xf numFmtId="0" fontId="23" fillId="0" borderId="4" xfId="0" applyFont="1" applyFill="1" applyBorder="1"/>
    <xf numFmtId="0" fontId="16" fillId="0" borderId="5" xfId="0" applyFont="1" applyFill="1" applyBorder="1"/>
    <xf numFmtId="0" fontId="16" fillId="0" borderId="6" xfId="0" applyFont="1" applyFill="1" applyBorder="1"/>
    <xf numFmtId="0" fontId="16" fillId="0" borderId="7" xfId="0" applyFont="1" applyFill="1" applyBorder="1"/>
    <xf numFmtId="0" fontId="16" fillId="0" borderId="0" xfId="0" applyFont="1" applyFill="1" applyBorder="1"/>
    <xf numFmtId="0" fontId="16" fillId="0" borderId="8" xfId="0" applyFont="1" applyFill="1" applyBorder="1"/>
    <xf numFmtId="0" fontId="23" fillId="0" borderId="7" xfId="0" applyFont="1" applyFill="1" applyBorder="1" applyAlignment="1">
      <alignment horizontal="left" indent="3"/>
    </xf>
    <xf numFmtId="0" fontId="16" fillId="0" borderId="7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Fill="1" applyBorder="1" applyAlignment="1">
      <alignment horizontal="center" wrapText="1"/>
    </xf>
    <xf numFmtId="0" fontId="16" fillId="0" borderId="9" xfId="0" applyFont="1" applyFill="1" applyBorder="1" applyAlignment="1">
      <alignment horizontal="left" indent="3"/>
    </xf>
    <xf numFmtId="0" fontId="16" fillId="0" borderId="10" xfId="0" applyFont="1" applyFill="1" applyBorder="1"/>
    <xf numFmtId="0" fontId="16" fillId="0" borderId="11" xfId="0" applyFont="1" applyFill="1" applyBorder="1"/>
    <xf numFmtId="0" fontId="15" fillId="0" borderId="49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5" fillId="0" borderId="12" xfId="0" applyFont="1" applyFill="1" applyBorder="1" applyAlignment="1">
      <alignment horizontal="right" vertical="center"/>
    </xf>
    <xf numFmtId="0" fontId="6" fillId="0" borderId="13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21" fillId="0" borderId="56" xfId="0" applyFont="1" applyFill="1" applyBorder="1" applyAlignment="1">
      <alignment horizontal="center" vertical="center"/>
    </xf>
    <xf numFmtId="0" fontId="0" fillId="0" borderId="57" xfId="0" applyFill="1" applyBorder="1"/>
    <xf numFmtId="0" fontId="0" fillId="0" borderId="57" xfId="0" applyFill="1" applyBorder="1" applyAlignment="1">
      <alignment horizontal="center"/>
    </xf>
    <xf numFmtId="0" fontId="22" fillId="0" borderId="57" xfId="0" applyFont="1" applyFill="1" applyBorder="1" applyAlignment="1">
      <alignment horizontal="center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15" fillId="0" borderId="3" xfId="0" applyFont="1" applyFill="1" applyBorder="1"/>
    <xf numFmtId="0" fontId="0" fillId="0" borderId="3" xfId="0" applyFill="1" applyBorder="1" applyAlignment="1">
      <alignment horizontal="center"/>
    </xf>
    <xf numFmtId="0" fontId="15" fillId="0" borderId="43" xfId="0" applyFont="1" applyFill="1" applyBorder="1"/>
    <xf numFmtId="166" fontId="21" fillId="0" borderId="3" xfId="1" applyNumberFormat="1" applyFont="1" applyFill="1" applyBorder="1" applyAlignment="1" applyProtection="1">
      <alignment horizontal="right" vertical="center" wrapText="1"/>
    </xf>
    <xf numFmtId="166" fontId="21" fillId="0" borderId="59" xfId="1" applyNumberFormat="1" applyFont="1" applyFill="1" applyBorder="1" applyAlignment="1" applyProtection="1">
      <alignment horizontal="right" vertical="center" wrapText="1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61" xfId="3" applyNumberFormat="1" applyFont="1" applyBorder="1" applyAlignment="1" applyProtection="1">
      <alignment horizontal="center" vertical="center"/>
    </xf>
    <xf numFmtId="166" fontId="14" fillId="0" borderId="19" xfId="0" applyNumberFormat="1" applyFont="1" applyBorder="1" applyAlignment="1">
      <alignment horizontal="center" vertical="center"/>
    </xf>
    <xf numFmtId="0" fontId="16" fillId="0" borderId="8" xfId="0" applyFont="1" applyFill="1" applyBorder="1" applyAlignment="1">
      <alignment horizontal="center" wrapText="1"/>
    </xf>
    <xf numFmtId="0" fontId="16" fillId="0" borderId="8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/>
    </xf>
    <xf numFmtId="0" fontId="16" fillId="0" borderId="8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16" xfId="0" applyFont="1" applyFill="1" applyBorder="1" applyAlignment="1">
      <alignment horizontal="left" vertical="center" wrapText="1" indent="1"/>
    </xf>
    <xf numFmtId="167" fontId="25" fillId="0" borderId="16" xfId="0" applyNumberFormat="1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left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54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left" vertical="center" wrapText="1" indent="1"/>
    </xf>
    <xf numFmtId="0" fontId="8" fillId="0" borderId="1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39" xfId="0" applyFont="1" applyFill="1" applyBorder="1" applyAlignment="1">
      <alignment horizontal="left" vertical="center" wrapText="1" indent="1"/>
    </xf>
    <xf numFmtId="0" fontId="0" fillId="0" borderId="60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0" fillId="0" borderId="26" xfId="0" applyBorder="1"/>
    <xf numFmtId="0" fontId="26" fillId="0" borderId="49" xfId="0" applyFont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 wrapText="1"/>
    </xf>
    <xf numFmtId="0" fontId="12" fillId="0" borderId="25" xfId="0" applyFont="1" applyBorder="1"/>
    <xf numFmtId="0" fontId="12" fillId="0" borderId="26" xfId="0" applyFont="1" applyBorder="1" applyAlignment="1">
      <alignment horizontal="left" vertical="center" wrapText="1" indent="1"/>
    </xf>
    <xf numFmtId="0" fontId="14" fillId="0" borderId="2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opLeftCell="A7" zoomScaleNormal="100" workbookViewId="0">
      <selection activeCell="C24" sqref="C24:E24"/>
    </sheetView>
  </sheetViews>
  <sheetFormatPr baseColWidth="10" defaultColWidth="11" defaultRowHeight="12.75" x14ac:dyDescent="0.2"/>
  <cols>
    <col min="1" max="1" width="4.5703125" style="23" customWidth="1"/>
    <col min="2" max="2" width="21.7109375" style="23" customWidth="1"/>
    <col min="3" max="3" width="32.42578125" style="23" customWidth="1"/>
    <col min="4" max="4" width="8.42578125" style="23" customWidth="1"/>
    <col min="5" max="5" width="193" style="23" customWidth="1"/>
    <col min="6" max="6" width="11" style="23"/>
    <col min="7" max="8" width="10.42578125" style="23" bestFit="1" customWidth="1"/>
    <col min="9" max="9" width="15.7109375" style="23" bestFit="1" customWidth="1"/>
    <col min="10" max="16384" width="11" style="23"/>
  </cols>
  <sheetData>
    <row r="1" spans="1:10" x14ac:dyDescent="0.2">
      <c r="A1" s="36"/>
      <c r="B1" s="36"/>
      <c r="C1" s="36"/>
      <c r="D1" s="36"/>
      <c r="E1" s="36"/>
      <c r="F1" s="36"/>
      <c r="G1" s="36"/>
      <c r="H1" s="36"/>
      <c r="I1" s="36"/>
      <c r="J1" s="36"/>
    </row>
    <row r="2" spans="1:10" ht="27" x14ac:dyDescent="0.35">
      <c r="A2" s="36"/>
      <c r="B2" s="97" t="s">
        <v>0</v>
      </c>
      <c r="C2" s="97"/>
      <c r="D2" s="97"/>
      <c r="E2" s="97"/>
      <c r="F2" s="97"/>
      <c r="G2" s="97"/>
      <c r="H2" s="97"/>
      <c r="I2" s="36"/>
      <c r="J2" s="36"/>
    </row>
    <row r="3" spans="1:10" x14ac:dyDescent="0.2">
      <c r="A3" s="36"/>
      <c r="B3" s="36"/>
      <c r="C3" s="36"/>
      <c r="D3" s="36"/>
      <c r="E3" s="36"/>
      <c r="F3" s="36"/>
      <c r="G3" s="36"/>
      <c r="H3" s="36"/>
      <c r="I3" s="36"/>
      <c r="J3" s="36"/>
    </row>
    <row r="4" spans="1:10" ht="18" customHeight="1" x14ac:dyDescent="0.25">
      <c r="A4" s="92" t="s">
        <v>1</v>
      </c>
      <c r="B4" s="92"/>
      <c r="C4" s="98" t="s">
        <v>67</v>
      </c>
      <c r="D4" s="98"/>
      <c r="E4" s="98"/>
      <c r="F4" s="37"/>
      <c r="G4" s="38"/>
      <c r="H4" s="37"/>
      <c r="I4" s="36"/>
      <c r="J4" s="36"/>
    </row>
    <row r="5" spans="1:10" ht="18" customHeight="1" x14ac:dyDescent="0.25">
      <c r="A5" s="92" t="s">
        <v>2</v>
      </c>
      <c r="B5" s="92"/>
      <c r="C5" s="98" t="s">
        <v>56</v>
      </c>
      <c r="D5" s="98"/>
      <c r="E5" s="98"/>
      <c r="F5" s="37"/>
      <c r="G5" s="38"/>
      <c r="H5" s="37"/>
      <c r="I5" s="36"/>
      <c r="J5" s="36"/>
    </row>
    <row r="6" spans="1:10" ht="16.5" customHeight="1" x14ac:dyDescent="0.25">
      <c r="A6" s="92" t="s">
        <v>3</v>
      </c>
      <c r="B6" s="92"/>
      <c r="C6" s="39">
        <v>2022</v>
      </c>
      <c r="D6" s="40"/>
      <c r="E6" s="40"/>
      <c r="F6" s="37"/>
      <c r="G6" s="38"/>
      <c r="H6" s="37"/>
      <c r="I6" s="36"/>
      <c r="J6" s="36"/>
    </row>
    <row r="7" spans="1:10" ht="16.5" customHeight="1" x14ac:dyDescent="0.25">
      <c r="A7" s="92" t="s">
        <v>4</v>
      </c>
      <c r="B7" s="92"/>
      <c r="C7" s="39">
        <v>1</v>
      </c>
      <c r="D7" s="40"/>
      <c r="E7" s="40"/>
      <c r="F7" s="37"/>
      <c r="G7" s="38"/>
      <c r="H7" s="37"/>
      <c r="I7" s="36"/>
      <c r="J7" s="36"/>
    </row>
    <row r="8" spans="1:10" ht="13.5" thickBot="1" x14ac:dyDescent="0.25">
      <c r="A8" s="36"/>
      <c r="B8" s="37"/>
      <c r="C8" s="38"/>
      <c r="D8" s="37"/>
      <c r="E8" s="37"/>
      <c r="F8" s="37"/>
      <c r="G8" s="38"/>
      <c r="H8" s="37"/>
      <c r="I8" s="36"/>
      <c r="J8" s="36"/>
    </row>
    <row r="9" spans="1:10" ht="39" thickBot="1" x14ac:dyDescent="0.25">
      <c r="A9" s="41" t="s">
        <v>5</v>
      </c>
      <c r="B9" s="42" t="s">
        <v>6</v>
      </c>
      <c r="C9" s="42" t="s">
        <v>7</v>
      </c>
      <c r="D9" s="43" t="s">
        <v>8</v>
      </c>
      <c r="E9" s="42" t="s">
        <v>9</v>
      </c>
      <c r="F9" s="44" t="s">
        <v>10</v>
      </c>
      <c r="G9" s="45" t="s">
        <v>11</v>
      </c>
      <c r="H9" s="45" t="s">
        <v>12</v>
      </c>
      <c r="I9" s="46" t="s">
        <v>13</v>
      </c>
      <c r="J9" s="36"/>
    </row>
    <row r="10" spans="1:10" x14ac:dyDescent="0.2">
      <c r="A10" s="73">
        <v>1</v>
      </c>
      <c r="B10" s="74" t="s">
        <v>62</v>
      </c>
      <c r="C10" s="74" t="s">
        <v>58</v>
      </c>
      <c r="D10" s="75" t="s">
        <v>59</v>
      </c>
      <c r="E10" s="74" t="s">
        <v>63</v>
      </c>
      <c r="F10" s="76" t="s">
        <v>60</v>
      </c>
      <c r="G10" s="76">
        <v>12000</v>
      </c>
      <c r="H10" s="77">
        <v>58</v>
      </c>
      <c r="I10" s="78">
        <f t="shared" ref="I10:I11" si="0">+H10*G10</f>
        <v>696000</v>
      </c>
      <c r="J10" s="36"/>
    </row>
    <row r="11" spans="1:10" ht="13.5" thickBot="1" x14ac:dyDescent="0.25">
      <c r="A11" s="47">
        <v>2</v>
      </c>
      <c r="B11" s="79" t="s">
        <v>65</v>
      </c>
      <c r="C11" s="48" t="s">
        <v>58</v>
      </c>
      <c r="D11" s="80" t="s">
        <v>59</v>
      </c>
      <c r="E11" s="81" t="s">
        <v>66</v>
      </c>
      <c r="F11" s="49" t="s">
        <v>60</v>
      </c>
      <c r="G11" s="49">
        <v>6000</v>
      </c>
      <c r="H11" s="82">
        <v>105</v>
      </c>
      <c r="I11" s="83">
        <f t="shared" si="0"/>
        <v>630000</v>
      </c>
      <c r="J11" s="36"/>
    </row>
    <row r="12" spans="1:10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spans="1:10" x14ac:dyDescent="0.2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x14ac:dyDescent="0.2">
      <c r="A14" s="36"/>
      <c r="B14" s="50" t="s">
        <v>68</v>
      </c>
      <c r="C14" s="51"/>
      <c r="D14" s="51"/>
      <c r="E14" s="52"/>
      <c r="F14" s="36"/>
      <c r="G14" s="36"/>
      <c r="H14" s="36"/>
      <c r="I14" s="36"/>
      <c r="J14" s="36"/>
    </row>
    <row r="15" spans="1:10" ht="5.25" customHeight="1" x14ac:dyDescent="0.2">
      <c r="A15" s="36"/>
      <c r="B15" s="53"/>
      <c r="C15" s="54"/>
      <c r="D15" s="54"/>
      <c r="E15" s="55"/>
      <c r="F15" s="36"/>
      <c r="G15" s="36"/>
      <c r="H15" s="36"/>
      <c r="I15" s="36"/>
      <c r="J15" s="36"/>
    </row>
    <row r="16" spans="1:10" x14ac:dyDescent="0.2">
      <c r="A16" s="36"/>
      <c r="B16" s="56" t="s">
        <v>14</v>
      </c>
      <c r="C16" s="54"/>
      <c r="D16" s="54"/>
      <c r="E16" s="55"/>
      <c r="F16" s="36"/>
      <c r="G16" s="36"/>
      <c r="H16" s="36"/>
      <c r="I16" s="36"/>
      <c r="J16" s="36"/>
    </row>
    <row r="17" spans="1:10" ht="41.25" customHeight="1" x14ac:dyDescent="0.2">
      <c r="A17" s="36"/>
      <c r="B17" s="56"/>
      <c r="C17" s="90"/>
      <c r="D17" s="90"/>
      <c r="E17" s="90"/>
      <c r="F17" s="36"/>
      <c r="G17" s="36"/>
      <c r="H17" s="36"/>
      <c r="I17" s="36"/>
      <c r="J17" s="36"/>
    </row>
    <row r="18" spans="1:10" x14ac:dyDescent="0.2">
      <c r="A18" s="36"/>
      <c r="B18" s="56" t="s">
        <v>15</v>
      </c>
      <c r="C18" s="54"/>
      <c r="D18" s="54"/>
      <c r="E18" s="55"/>
      <c r="F18" s="36"/>
      <c r="G18" s="36"/>
      <c r="H18" s="36"/>
      <c r="I18" s="36"/>
      <c r="J18" s="36"/>
    </row>
    <row r="19" spans="1:10" x14ac:dyDescent="0.2">
      <c r="A19" s="36"/>
      <c r="B19" s="57"/>
      <c r="C19" s="93" t="s">
        <v>76</v>
      </c>
      <c r="D19" s="93"/>
      <c r="E19" s="94"/>
      <c r="F19" s="36"/>
      <c r="G19" s="36"/>
      <c r="H19" s="36"/>
      <c r="I19" s="36"/>
      <c r="J19" s="36"/>
    </row>
    <row r="20" spans="1:10" ht="50.25" customHeight="1" x14ac:dyDescent="0.2">
      <c r="A20" s="36"/>
      <c r="B20" s="57"/>
      <c r="C20" s="95" t="s">
        <v>77</v>
      </c>
      <c r="D20" s="95"/>
      <c r="E20" s="96"/>
      <c r="F20" s="36"/>
      <c r="G20" s="36"/>
      <c r="H20" s="36"/>
      <c r="I20" s="36"/>
      <c r="J20" s="36"/>
    </row>
    <row r="21" spans="1:10" x14ac:dyDescent="0.2">
      <c r="A21" s="36"/>
      <c r="B21" s="56" t="s">
        <v>16</v>
      </c>
      <c r="C21" s="54"/>
      <c r="D21" s="54"/>
      <c r="E21" s="55"/>
      <c r="F21" s="36"/>
      <c r="G21" s="36"/>
      <c r="H21" s="36"/>
      <c r="I21" s="36"/>
      <c r="J21" s="36"/>
    </row>
    <row r="22" spans="1:10" ht="26.25" customHeight="1" x14ac:dyDescent="0.2">
      <c r="A22" s="36"/>
      <c r="B22" s="57"/>
      <c r="C22" s="90"/>
      <c r="D22" s="90"/>
      <c r="E22" s="90"/>
      <c r="F22" s="36"/>
      <c r="G22" s="36"/>
      <c r="H22" s="36"/>
      <c r="I22" s="36"/>
      <c r="J22" s="36"/>
    </row>
    <row r="23" spans="1:10" x14ac:dyDescent="0.2">
      <c r="A23" s="36"/>
      <c r="B23" s="56" t="s">
        <v>17</v>
      </c>
      <c r="C23" s="58"/>
      <c r="D23" s="58"/>
      <c r="E23" s="59"/>
      <c r="F23" s="36"/>
      <c r="G23" s="36"/>
      <c r="H23" s="36"/>
      <c r="I23" s="36"/>
      <c r="J23" s="36"/>
    </row>
    <row r="24" spans="1:10" ht="26.25" customHeight="1" x14ac:dyDescent="0.2">
      <c r="A24" s="36"/>
      <c r="B24" s="57"/>
      <c r="C24" s="90" t="s">
        <v>57</v>
      </c>
      <c r="D24" s="90"/>
      <c r="E24" s="90"/>
      <c r="F24" s="36"/>
      <c r="G24" s="36"/>
      <c r="H24" s="36"/>
      <c r="I24" s="36"/>
      <c r="J24" s="36"/>
    </row>
    <row r="25" spans="1:10" x14ac:dyDescent="0.2">
      <c r="A25" s="36"/>
      <c r="B25" s="56" t="s">
        <v>18</v>
      </c>
      <c r="C25" s="54"/>
      <c r="D25" s="54"/>
      <c r="E25" s="55"/>
      <c r="F25" s="36"/>
      <c r="G25" s="36"/>
      <c r="H25" s="36"/>
      <c r="I25" s="36"/>
      <c r="J25" s="36"/>
    </row>
    <row r="26" spans="1:10" ht="23.25" customHeight="1" x14ac:dyDescent="0.2">
      <c r="A26" s="36"/>
      <c r="B26" s="56"/>
      <c r="C26" s="91"/>
      <c r="D26" s="91"/>
      <c r="E26" s="91"/>
      <c r="F26" s="36"/>
      <c r="G26" s="36"/>
      <c r="H26" s="36"/>
      <c r="I26" s="36"/>
      <c r="J26" s="36"/>
    </row>
    <row r="27" spans="1:10" x14ac:dyDescent="0.2">
      <c r="A27" s="36"/>
      <c r="B27" s="60"/>
      <c r="C27" s="61"/>
      <c r="D27" s="61"/>
      <c r="E27" s="62"/>
      <c r="F27" s="36"/>
      <c r="G27" s="36"/>
      <c r="H27" s="36"/>
      <c r="I27" s="36"/>
      <c r="J27" s="36"/>
    </row>
  </sheetData>
  <mergeCells count="13">
    <mergeCell ref="B2:H2"/>
    <mergeCell ref="A4:B4"/>
    <mergeCell ref="C4:E4"/>
    <mergeCell ref="A5:B5"/>
    <mergeCell ref="C5:E5"/>
    <mergeCell ref="C22:E22"/>
    <mergeCell ref="C24:E24"/>
    <mergeCell ref="C26:E26"/>
    <mergeCell ref="A6:B6"/>
    <mergeCell ref="A7:B7"/>
    <mergeCell ref="C17:E17"/>
    <mergeCell ref="C19:E19"/>
    <mergeCell ref="C20:E20"/>
  </mergeCells>
  <pageMargins left="0" right="0" top="0.74803149606299213" bottom="0" header="0.51181102362204722" footer="0.51181102362204722"/>
  <pageSetup paperSize="5" scale="72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tabSelected="1" zoomScale="110" zoomScaleNormal="110" workbookViewId="0">
      <selection activeCell="D18" sqref="D1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0" t="s">
        <v>19</v>
      </c>
      <c r="B1" s="110"/>
      <c r="C1" s="110"/>
      <c r="D1" s="110"/>
      <c r="E1" s="110"/>
      <c r="F1" s="110"/>
      <c r="G1" s="110"/>
      <c r="H1" s="110"/>
      <c r="I1" s="110"/>
      <c r="J1" s="68" t="s">
        <v>20</v>
      </c>
      <c r="K1" s="69" t="s">
        <v>72</v>
      </c>
    </row>
    <row r="2" spans="1:11" ht="18.75" customHeight="1" thickBot="1" x14ac:dyDescent="0.25">
      <c r="A2" s="64"/>
      <c r="B2" s="64"/>
      <c r="C2" s="64"/>
      <c r="D2" s="65"/>
      <c r="E2" s="65"/>
      <c r="F2" s="65"/>
      <c r="G2" s="65"/>
      <c r="H2" s="65"/>
      <c r="I2" s="65"/>
      <c r="J2" s="65"/>
      <c r="K2" s="65"/>
    </row>
    <row r="3" spans="1:11" ht="18.75" customHeight="1" thickBot="1" x14ac:dyDescent="0.25">
      <c r="A3" s="111" t="s">
        <v>53</v>
      </c>
      <c r="B3" s="111"/>
      <c r="C3" s="111"/>
      <c r="D3" s="99" t="str">
        <f>'Necesidades Trimestrales'!C4</f>
        <v>45- Ministerio de Desarrollo Social</v>
      </c>
      <c r="E3" s="99"/>
      <c r="F3" s="99"/>
      <c r="G3" s="99"/>
      <c r="H3" s="99"/>
      <c r="I3" s="99"/>
      <c r="J3" s="99"/>
      <c r="K3" s="99"/>
    </row>
    <row r="4" spans="1:11" ht="18.75" customHeight="1" thickBot="1" x14ac:dyDescent="0.25">
      <c r="A4" s="112" t="s">
        <v>54</v>
      </c>
      <c r="B4" s="112"/>
      <c r="C4" s="112"/>
      <c r="D4" s="99" t="str">
        <f>'Necesidades Trimestrales'!C5</f>
        <v>25- Direccion Provincial de Gestion Administrativa y RRHH</v>
      </c>
      <c r="E4" s="99"/>
      <c r="F4" s="99"/>
      <c r="G4" s="99"/>
      <c r="H4" s="99"/>
      <c r="I4" s="99"/>
      <c r="J4" s="99"/>
      <c r="K4" s="99"/>
    </row>
    <row r="5" spans="1:11" ht="18.75" customHeight="1" thickBot="1" x14ac:dyDescent="0.25">
      <c r="A5" s="112" t="s">
        <v>32</v>
      </c>
      <c r="B5" s="112"/>
      <c r="C5" s="112"/>
      <c r="D5" s="99" t="s">
        <v>70</v>
      </c>
      <c r="E5" s="99"/>
      <c r="F5" s="99"/>
      <c r="G5" s="99"/>
      <c r="H5" s="99"/>
      <c r="I5" s="99"/>
      <c r="J5" s="99"/>
      <c r="K5" s="99"/>
    </row>
    <row r="6" spans="1:11" ht="16.5" customHeight="1" thickBot="1" x14ac:dyDescent="0.25">
      <c r="A6" s="111" t="s">
        <v>55</v>
      </c>
      <c r="B6" s="111"/>
      <c r="C6" s="111"/>
      <c r="D6" s="99" t="s">
        <v>64</v>
      </c>
      <c r="E6" s="99"/>
      <c r="F6" s="99"/>
      <c r="G6" s="99"/>
      <c r="H6" s="99"/>
      <c r="I6" s="99"/>
      <c r="J6" s="99"/>
      <c r="K6" s="99"/>
    </row>
    <row r="7" spans="1:11" ht="16.5" customHeight="1" x14ac:dyDescent="0.2">
      <c r="A7" s="112" t="s">
        <v>21</v>
      </c>
      <c r="B7" s="112"/>
      <c r="C7" s="112"/>
      <c r="D7" s="99" t="str">
        <f>'Necesidades Trimestrales'!C7 &amp; "° Trimestre - Año " &amp; 'Necesidades Trimestrales'!C6</f>
        <v>1° Trimestre - Año 2022</v>
      </c>
      <c r="E7" s="99"/>
      <c r="F7" s="99"/>
      <c r="G7" s="99"/>
      <c r="H7" s="99"/>
      <c r="I7" s="99"/>
      <c r="J7" s="99"/>
      <c r="K7" s="99"/>
    </row>
    <row r="8" spans="1:11" ht="35.25" customHeight="1" x14ac:dyDescent="0.2">
      <c r="A8" s="107" t="s">
        <v>22</v>
      </c>
      <c r="B8" s="107"/>
      <c r="C8" s="107"/>
      <c r="D8" s="108" t="s">
        <v>71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66"/>
      <c r="B9" s="66"/>
      <c r="C9" s="66"/>
      <c r="D9" s="67"/>
      <c r="E9" s="67"/>
      <c r="F9" s="67"/>
      <c r="G9" s="67"/>
      <c r="H9" s="67"/>
      <c r="I9" s="67"/>
      <c r="J9" s="67"/>
      <c r="K9" s="67"/>
    </row>
    <row r="10" spans="1:11" ht="18.75" customHeight="1" x14ac:dyDescent="0.2">
      <c r="A10" s="109" t="s">
        <v>23</v>
      </c>
      <c r="B10" s="102" t="s">
        <v>24</v>
      </c>
      <c r="C10" s="102" t="s">
        <v>25</v>
      </c>
      <c r="D10" s="102"/>
      <c r="E10" s="102"/>
      <c r="F10" s="102"/>
      <c r="G10" s="102"/>
      <c r="H10" s="102" t="s">
        <v>26</v>
      </c>
      <c r="I10" s="102" t="s">
        <v>27</v>
      </c>
      <c r="J10" s="102" t="s">
        <v>28</v>
      </c>
      <c r="K10" s="103" t="s">
        <v>29</v>
      </c>
    </row>
    <row r="11" spans="1:11" ht="24" customHeight="1" thickBot="1" x14ac:dyDescent="0.25">
      <c r="A11" s="109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46.5" customHeight="1" thickBot="1" x14ac:dyDescent="0.25">
      <c r="A12" s="70">
        <v>1</v>
      </c>
      <c r="B12" s="31" t="str">
        <f>'Necesidades Trimestrales'!B10</f>
        <v>2.1.1-478.43</v>
      </c>
      <c r="C12" s="104" t="str">
        <f>'Necesidades Trimestrales'!E10</f>
        <v>AGUA MINERAL; TIPO: SIN GASIFICAR, PRESENTACION: ENVASE X 500 CM3, MATERIAL ENVASE: PLASTICO PVC, TIPO ENVASE: NO RETORNABLE, ELEM. TRANSPORTE: SIN, MATERIAL ELEM. TRANSPORTE: SIN</v>
      </c>
      <c r="D12" s="105"/>
      <c r="E12" s="105"/>
      <c r="F12" s="105"/>
      <c r="G12" s="106"/>
      <c r="H12" s="32" t="s">
        <v>73</v>
      </c>
      <c r="I12" s="33" t="str">
        <f>'Necesidades Trimestrales'!F10</f>
        <v>UNIDADES</v>
      </c>
      <c r="J12" s="34">
        <f>+'Necesidades Trimestrales'!H10</f>
        <v>58</v>
      </c>
      <c r="K12" s="35">
        <f>+'Necesidades Trimestrales'!G10</f>
        <v>12000</v>
      </c>
    </row>
    <row r="13" spans="1:11" ht="41.25" customHeight="1" thickBot="1" x14ac:dyDescent="0.25">
      <c r="A13" s="72">
        <v>2</v>
      </c>
      <c r="B13" s="31" t="s">
        <v>65</v>
      </c>
      <c r="C13" s="101" t="s">
        <v>66</v>
      </c>
      <c r="D13" s="101"/>
      <c r="E13" s="101"/>
      <c r="F13" s="101"/>
      <c r="G13" s="101"/>
      <c r="H13" s="32" t="s">
        <v>73</v>
      </c>
      <c r="I13" s="33" t="str">
        <f>'Necesidades Trimestrales'!F11</f>
        <v>UNIDADES</v>
      </c>
      <c r="J13" s="34">
        <f>+'Necesidades Trimestrales'!H11</f>
        <v>105</v>
      </c>
      <c r="K13" s="35">
        <f>+'Necesidades Trimestrales'!G11</f>
        <v>6000</v>
      </c>
    </row>
    <row r="14" spans="1:11" ht="27.75" customHeight="1" thickBot="1" x14ac:dyDescent="0.25">
      <c r="A14" s="71"/>
      <c r="B14" s="31"/>
      <c r="C14" s="101"/>
      <c r="D14" s="101"/>
      <c r="E14" s="101"/>
      <c r="F14" s="101"/>
      <c r="G14" s="101"/>
      <c r="H14" s="32"/>
      <c r="I14" s="33"/>
      <c r="J14" s="34"/>
      <c r="K14" s="35"/>
    </row>
    <row r="15" spans="1:11" ht="26.25" customHeight="1" thickBot="1" x14ac:dyDescent="0.25">
      <c r="A15" s="99" t="s">
        <v>74</v>
      </c>
      <c r="B15" s="99"/>
      <c r="C15" s="99"/>
      <c r="D15" s="99"/>
      <c r="E15" s="99"/>
      <c r="F15" s="99"/>
      <c r="G15" s="99"/>
      <c r="H15" s="99"/>
      <c r="I15" s="99"/>
      <c r="J15" s="100">
        <f>+J12*K12+J13*K13</f>
        <v>1326000</v>
      </c>
      <c r="K15" s="100"/>
    </row>
  </sheetData>
  <mergeCells count="25">
    <mergeCell ref="A8:C8"/>
    <mergeCell ref="D8:K8"/>
    <mergeCell ref="A10:A11"/>
    <mergeCell ref="B10:B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C13:G13"/>
    <mergeCell ref="C14:G14"/>
    <mergeCell ref="C10:G11"/>
    <mergeCell ref="H10:H11"/>
    <mergeCell ref="I10:I11"/>
    <mergeCell ref="J10:J11"/>
    <mergeCell ref="K10:K11"/>
    <mergeCell ref="C12:G12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topLeftCell="A10" zoomScale="130" zoomScaleNormal="130" workbookViewId="0">
      <selection activeCell="P26" sqref="P26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37" t="s">
        <v>3</v>
      </c>
      <c r="B1" s="137"/>
      <c r="C1" s="137"/>
      <c r="D1" s="138">
        <f>'Necesidades Trimestrales'!C6</f>
        <v>2022</v>
      </c>
      <c r="E1" s="138"/>
      <c r="F1" s="4"/>
      <c r="G1" s="4"/>
      <c r="H1" s="5"/>
      <c r="I1" s="5"/>
      <c r="J1" s="5"/>
      <c r="K1" s="5"/>
      <c r="L1" s="5"/>
      <c r="M1" s="5"/>
      <c r="N1" s="5"/>
      <c r="P1" s="139" t="s">
        <v>30</v>
      </c>
      <c r="Q1" s="139"/>
    </row>
    <row r="2" spans="1:18" ht="15.75" customHeight="1" x14ac:dyDescent="0.2">
      <c r="H2" s="5"/>
      <c r="I2" s="5"/>
      <c r="J2" s="5"/>
      <c r="K2" s="5"/>
      <c r="L2" s="5"/>
      <c r="M2" s="5"/>
      <c r="N2" s="5"/>
      <c r="P2" s="139"/>
      <c r="Q2" s="139"/>
    </row>
    <row r="4" spans="1:18" s="6" customFormat="1" ht="18" customHeight="1" thickBot="1" x14ac:dyDescent="0.25">
      <c r="A4" s="140" t="s">
        <v>31</v>
      </c>
      <c r="B4" s="140"/>
      <c r="C4" s="140"/>
      <c r="D4" s="140"/>
      <c r="E4" s="140"/>
      <c r="F4" s="140"/>
      <c r="G4" s="135" t="str">
        <f>' NotaPedido'!D3</f>
        <v>45- Ministerio de Desarrollo Social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8" s="6" customFormat="1" ht="18" customHeight="1" thickBot="1" x14ac:dyDescent="0.25">
      <c r="A5" s="132" t="s">
        <v>54</v>
      </c>
      <c r="B5" s="133"/>
      <c r="C5" s="133"/>
      <c r="D5" s="133"/>
      <c r="E5" s="133"/>
      <c r="F5" s="134"/>
      <c r="G5" s="135" t="str">
        <f>' NotaPedido'!D4</f>
        <v>25- Direccion Provincial de Gestion Administrativa y RRHH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8" s="6" customFormat="1" ht="18" customHeight="1" thickBot="1" x14ac:dyDescent="0.25">
      <c r="A6" s="132" t="s">
        <v>32</v>
      </c>
      <c r="B6" s="133"/>
      <c r="C6" s="133"/>
      <c r="D6" s="133"/>
      <c r="E6" s="133"/>
      <c r="F6" s="134"/>
      <c r="G6" s="135" t="s">
        <v>69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8" s="6" customFormat="1" ht="18" customHeight="1" thickBot="1" x14ac:dyDescent="0.25">
      <c r="A7" s="132" t="s">
        <v>55</v>
      </c>
      <c r="B7" s="133"/>
      <c r="C7" s="133"/>
      <c r="D7" s="133"/>
      <c r="E7" s="133"/>
      <c r="F7" s="134"/>
      <c r="G7" s="135" t="s">
        <v>64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8" ht="18" customHeight="1" thickBot="1" x14ac:dyDescent="0.25">
      <c r="A8" s="136" t="s">
        <v>33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8" ht="18" customHeight="1" x14ac:dyDescent="0.2">
      <c r="A9" s="126" t="s">
        <v>34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"/>
      <c r="P9" s="1"/>
      <c r="Q9" s="7"/>
    </row>
    <row r="10" spans="1:18" ht="54.75" customHeight="1" x14ac:dyDescent="0.2">
      <c r="A10" s="12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025/2022,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8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8" ht="15.75" customHeight="1" x14ac:dyDescent="0.2">
      <c r="A12" s="128" t="s">
        <v>35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8" ht="15.75" customHeight="1" x14ac:dyDescent="0.2">
      <c r="A13" s="129" t="s">
        <v>36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37</v>
      </c>
      <c r="P13" s="130"/>
      <c r="Q13" s="131" t="s">
        <v>38</v>
      </c>
    </row>
    <row r="14" spans="1:18" ht="15.75" customHeight="1" x14ac:dyDescent="0.2">
      <c r="A14" s="12" t="s">
        <v>39</v>
      </c>
      <c r="B14" s="13" t="s">
        <v>40</v>
      </c>
      <c r="C14" s="13" t="s">
        <v>41</v>
      </c>
      <c r="D14" s="13" t="s">
        <v>42</v>
      </c>
      <c r="E14" s="13" t="s">
        <v>43</v>
      </c>
      <c r="F14" s="13" t="s">
        <v>44</v>
      </c>
      <c r="G14" s="14" t="s">
        <v>45</v>
      </c>
      <c r="H14" s="13" t="s">
        <v>46</v>
      </c>
      <c r="I14" s="13" t="s">
        <v>47</v>
      </c>
      <c r="J14" s="13" t="s">
        <v>48</v>
      </c>
      <c r="K14" s="13" t="s">
        <v>48</v>
      </c>
      <c r="L14" s="13" t="s">
        <v>49</v>
      </c>
      <c r="M14" s="15" t="s">
        <v>50</v>
      </c>
      <c r="N14" s="16" t="s">
        <v>51</v>
      </c>
      <c r="O14" s="130"/>
      <c r="P14" s="130"/>
      <c r="Q14" s="131"/>
    </row>
    <row r="15" spans="1:18" ht="17.25" customHeight="1" x14ac:dyDescent="0.2">
      <c r="A15" s="25">
        <v>16</v>
      </c>
      <c r="B15" s="26"/>
      <c r="C15" s="26"/>
      <c r="D15" s="26">
        <v>2</v>
      </c>
      <c r="E15" s="26"/>
      <c r="F15" s="26">
        <v>4901</v>
      </c>
      <c r="G15" s="63">
        <v>3</v>
      </c>
      <c r="H15" s="63">
        <v>2</v>
      </c>
      <c r="I15" s="26">
        <v>2</v>
      </c>
      <c r="J15" s="26">
        <v>1</v>
      </c>
      <c r="K15" s="26">
        <v>1</v>
      </c>
      <c r="L15" s="26"/>
      <c r="M15" s="27">
        <v>1</v>
      </c>
      <c r="N15" s="26">
        <v>1.1000000000000001</v>
      </c>
      <c r="O15" s="122" t="s">
        <v>61</v>
      </c>
      <c r="P15" s="123"/>
      <c r="Q15" s="17">
        <v>1326000</v>
      </c>
      <c r="R15" s="24"/>
    </row>
    <row r="16" spans="1:18" ht="17.25" customHeight="1" x14ac:dyDescent="0.2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0"/>
      <c r="N16" s="29"/>
      <c r="O16" s="124"/>
      <c r="P16" s="125"/>
      <c r="Q16" s="22"/>
    </row>
    <row r="17" spans="1:17" ht="17.25" customHeight="1" x14ac:dyDescent="0.2">
      <c r="A17" s="18"/>
      <c r="B17" s="19"/>
      <c r="C17" s="19"/>
      <c r="D17" s="19"/>
      <c r="E17" s="19"/>
      <c r="F17" s="21"/>
      <c r="G17" s="19"/>
      <c r="H17" s="19"/>
      <c r="I17" s="19"/>
      <c r="J17" s="19"/>
      <c r="K17" s="19"/>
      <c r="L17" s="19"/>
      <c r="M17" s="20"/>
      <c r="N17" s="21"/>
      <c r="O17" s="124"/>
      <c r="P17" s="125"/>
      <c r="Q17" s="22"/>
    </row>
    <row r="18" spans="1:17" ht="17.25" customHeight="1" x14ac:dyDescent="0.2">
      <c r="A18" s="18"/>
      <c r="B18" s="19"/>
      <c r="C18" s="19"/>
      <c r="D18" s="19"/>
      <c r="E18" s="19"/>
      <c r="F18" s="29"/>
      <c r="G18" s="29"/>
      <c r="H18" s="29"/>
      <c r="I18" s="29"/>
      <c r="J18" s="29"/>
      <c r="K18" s="29"/>
      <c r="L18" s="19"/>
      <c r="M18" s="30"/>
      <c r="N18" s="29"/>
      <c r="O18" s="124"/>
      <c r="P18" s="125"/>
      <c r="Q18" s="22"/>
    </row>
    <row r="19" spans="1:17" ht="17.25" customHeight="1" thickBot="1" x14ac:dyDescent="0.25">
      <c r="A19" s="84"/>
      <c r="B19" s="85"/>
      <c r="C19" s="85"/>
      <c r="D19" s="85"/>
      <c r="E19" s="85"/>
      <c r="F19" s="86"/>
      <c r="G19" s="85"/>
      <c r="H19" s="85"/>
      <c r="I19" s="85"/>
      <c r="J19" s="85"/>
      <c r="K19" s="85"/>
      <c r="L19" s="85"/>
      <c r="M19" s="87"/>
      <c r="N19" s="86"/>
      <c r="O19" s="118"/>
      <c r="P19" s="118"/>
      <c r="Q19" s="88"/>
    </row>
    <row r="20" spans="1:17" ht="30" customHeight="1" thickBot="1" x14ac:dyDescent="0.25">
      <c r="A20" s="119" t="s">
        <v>75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89">
        <f>SUM(Q15:Q19)</f>
        <v>1326000</v>
      </c>
    </row>
    <row r="21" spans="1:17" ht="18" customHeight="1" thickBot="1" x14ac:dyDescent="0.25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</row>
    <row r="22" spans="1:17" ht="17.25" customHeight="1" thickBot="1" x14ac:dyDescent="0.25">
      <c r="A22" s="113" t="s">
        <v>52</v>
      </c>
      <c r="B22" s="114"/>
      <c r="C22" s="114"/>
      <c r="D22" s="114"/>
      <c r="E22" s="114"/>
      <c r="F22" s="115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</row>
    <row r="23" spans="1:17" ht="18" customHeight="1" thickBot="1" x14ac:dyDescent="0.25">
      <c r="A23" s="117" t="s">
        <v>71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</row>
    <row r="24" spans="1:17" ht="15" customHeight="1" x14ac:dyDescent="0.2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</sheetData>
  <mergeCells count="28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2:F22"/>
    <mergeCell ref="G22:Q22"/>
    <mergeCell ref="A23:Q24"/>
    <mergeCell ref="O19:P19"/>
    <mergeCell ref="A20:P20"/>
    <mergeCell ref="A21:Q21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2022-02-15T13:55:06Z</cp:lastPrinted>
  <dcterms:created xsi:type="dcterms:W3CDTF">2020-07-17T23:44:49Z</dcterms:created>
  <dcterms:modified xsi:type="dcterms:W3CDTF">2022-02-17T12:06:14Z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