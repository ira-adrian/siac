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Usuario\Desktop\4to trimestre COMPRAR\PINTURAS\"/>
    </mc:Choice>
  </mc:AlternateContent>
  <xr:revisionPtr revIDLastSave="0" documentId="13_ncr:1_{F13D2F2A-887A-4D1C-BD6B-537732680696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Necesidades Trimestrales" sheetId="4" r:id="rId1"/>
    <sheet name=" NotaPedido" sheetId="1" r:id="rId2"/>
    <sheet name="Autor Gastar" sheetId="2" r:id="rId3"/>
  </sheets>
  <definedNames>
    <definedName name="_xlnm.Print_Area" localSheetId="1">' NotaPedido'!$A$1:$K$16</definedName>
    <definedName name="_xlnm.Print_Area" localSheetId="2">'Autor Gastar'!$A$1:$Q$39</definedName>
    <definedName name="_xlnm.Print_Area" localSheetId="0">'Necesidades Trimestrales'!$A$1:$I$30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3" i="4" l="1"/>
  <c r="I12" i="4"/>
  <c r="I11" i="4"/>
  <c r="I10" i="4"/>
  <c r="Q35" i="2" l="1"/>
</calcChain>
</file>

<file path=xl/sharedStrings.xml><?xml version="1.0" encoding="utf-8"?>
<sst xmlns="http://schemas.openxmlformats.org/spreadsheetml/2006/main" count="160" uniqueCount="89">
  <si>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</si>
  <si>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</si>
  <si>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</si>
  <si>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</si>
  <si>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</si>
  <si>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</si>
  <si>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</si>
  <si>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</si>
  <si>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</si>
  <si>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</si>
  <si>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</si>
  <si>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</si>
  <si>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</si>
  <si>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</si>
  <si>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</si>
  <si>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</si>
  <si>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</si>
  <si>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</si>
  <si>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</si>
  <si>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</si>
  <si>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</si>
  <si>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</si>
  <si>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</si>
  <si>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</si>
  <si>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</si>
  <si>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</si>
  <si>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</si>
  <si>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</si>
  <si>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</si>
  <si>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</si>
  <si>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</si>
  <si>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</si>
  <si>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</si>
  <si>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</si>
  <si>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</si>
  <si>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</si>
  <si>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</si>
  <si>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1.1</t>
  </si>
  <si>
    <t>ID</t>
  </si>
  <si>
    <t>CODIGO ITEM</t>
  </si>
  <si>
    <t>RUBRO DE LA COMPRA</t>
  </si>
  <si>
    <t>I.P.P</t>
  </si>
  <si>
    <t>DESCRIPCION</t>
  </si>
  <si>
    <t>UNIDAD DE MEDIDA</t>
  </si>
  <si>
    <t>CANTIDAD</t>
  </si>
  <si>
    <t>PRECIO UNITARIO ESTIMADO</t>
  </si>
  <si>
    <t>Especialidades item N° 1</t>
  </si>
  <si>
    <t>Descripcion Técnica</t>
  </si>
  <si>
    <t>Plazos y lugares de entrega:</t>
  </si>
  <si>
    <t>Pedido de Necesidades Trimestrales</t>
  </si>
  <si>
    <t>IMPORTE TOTAL ESTIMADO</t>
  </si>
  <si>
    <t>30 DIAS</t>
  </si>
  <si>
    <t>Mantenimiento</t>
  </si>
  <si>
    <t xml:space="preserve">Calidad Minima esperada </t>
  </si>
  <si>
    <t>SI</t>
  </si>
  <si>
    <t>PG</t>
  </si>
  <si>
    <t xml:space="preserve">62- MINISTERIO DE INCLUSION DIGITAL Y SISTEMAS PRODUCTIVOS </t>
  </si>
  <si>
    <t>33- DIRECCION PROVINCIAL DE ADMINISTRACION GENERAL</t>
  </si>
  <si>
    <t xml:space="preserve">MINISTERIO DE INCLUSION DIGITAL Y SISTEMAS PRODUCTIVOS </t>
  </si>
  <si>
    <t>JURISDICCION : 62- MINISTERIO DE INCLUSION DIGITAL Y SISTEMAS PRODUCTIVOS</t>
  </si>
  <si>
    <t>EJERCICIO: 2022</t>
  </si>
  <si>
    <t>SAF N°: 33- DIRECCION PROVINCIAL DE ADMINISTRACION GENERAL</t>
  </si>
  <si>
    <t>DEBERA SER DE PRIMERA CALIDAD</t>
  </si>
  <si>
    <t>TRIMESTRE: 04</t>
  </si>
  <si>
    <t>4 - TRIMESTRE 2022</t>
  </si>
  <si>
    <t>2.5.5-381.17</t>
  </si>
  <si>
    <t>FERRETERIA</t>
  </si>
  <si>
    <t>2.5.5</t>
  </si>
  <si>
    <t>UNIDAD</t>
  </si>
  <si>
    <t>2.5.5-5444.19</t>
  </si>
  <si>
    <t>PINTURAS</t>
  </si>
  <si>
    <t>2.5.5-6979.341</t>
  </si>
  <si>
    <t>2.5.5-6979.350</t>
  </si>
  <si>
    <t>ENDUIDOS; CAPACIDAD: LATA X 20 Kg</t>
  </si>
  <si>
    <t>DILUYENTES; PRESENTACION: ENVASE X 250 CM3</t>
  </si>
  <si>
    <t>PINTURAS; TIPO: LATEX PARA INTERIOR, PRESENTACION: ENVASE X 20 L, COMPUESTOS VOLATILES: SIN, PORCENTAJE DE PLOMO: 0 %</t>
  </si>
  <si>
    <t>PINTURAS; TIPO: LATEX ANTIHONGO, PRESENTACION: ENVASE X 20 L, COMPUESTOS VOLATILES: 0 %, PORCENTAJE DE PLOMO: 0 %</t>
  </si>
  <si>
    <t>a)  FORMA DE LA ENTREGA   : Presentar  Remito que deberá cumplimentar lo dispuesto por la R.G. AFIP 1415/03, sin excepción en las oficinas del Área Compras del Ministerio de Inclusion Digital y Sistemas Productivos,Av. Venezuela S/N - Pabellon 28 - Capital - De 08 a 12 horas. .-
b)  PLAZO DE ENTREGA: 10 DIAS HABILES. AV. VENEZUELA S/N - C.A.P.E - PABELLON N° 28 -SAN FERNANDO DEL VALLE DE CATAMARCA. -</t>
  </si>
  <si>
    <t>Especialidades item N° 2</t>
  </si>
  <si>
    <t>Especialidades item N° 3</t>
  </si>
  <si>
    <t>Según descripcion item.</t>
  </si>
  <si>
    <t>ADQUISICION DE PINTURAS PARA AGRONOMIAS DE ZONA</t>
  </si>
  <si>
    <t>Costo total estimado: TRES MILLONES CUATROCIENTOS CUARENTA Y DOS MIL QUINIENTOS DIECINUEVE CON 71/100</t>
  </si>
  <si>
    <t>Especialidades item N° 4</t>
  </si>
  <si>
    <t>TOTAL DE PESOS: TRES MILLONES CUATROCIENTOS CUARENTA Y DOS MIL QUINIENTOS DIECINUEVE CON 71/100</t>
  </si>
  <si>
    <t>Según descripcion item, pintura exterior color blanco.</t>
  </si>
  <si>
    <t>Según descripcion item, pintura interior color blanco.</t>
  </si>
  <si>
    <t>Autorizo la realización de los  trámites correspondientes, a fin de proveer a  este Organismo los bienes que se detallan en Nota  de Pedido N º DOCFI-2022-02228956-CAT-MIDSP afectando la erogación resultante a los créditos presupuestarios aprobados a favor de esta Unidad Ejecutora, conforme al siguiente detalle:</t>
  </si>
  <si>
    <t>TINTAS, PINTURAS Y COLORANTES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</si>
</sst>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dd\-mm\-yy;@"/>
    <numFmt numFmtId="166" formatCode="[$$-2C0A]\ #,##0.00;[$$-2C0A]&quot; -&quot;#,##0.00"/>
    <numFmt numFmtId="167" formatCode="&quot;$&quot;#,##0.00"/>
    <numFmt numFmtId="168" formatCode="[$$-2C0A]\ #,##0"/>
    <numFmt numFmtId="169" formatCode="[$$-2C0A]\ #,##0.00"/>
  </numFmts>
  <fonts count="32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Times New Roman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9"/>
      <name val="Century Gothic"/>
      <family val="2"/>
    </font>
    <font>
      <u/>
      <sz val="10"/>
      <name val="Century Gothic"/>
      <family val="2"/>
    </font>
    <font>
      <sz val="8"/>
      <name val="Century Gothic"/>
      <family val="2"/>
    </font>
    <font>
      <b/>
      <sz val="14"/>
      <name val="Century Gothic"/>
      <family val="2"/>
    </font>
    <font>
      <sz val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rgb="FF3D3D3D"/>
      </left>
      <right style="medium">
        <color auto="1"/>
      </right>
      <top/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 style="thin">
        <color rgb="FF3D3D3D"/>
      </left>
      <right/>
      <top style="thin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medium">
        <color indexed="64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rgb="FF3D3D3D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rgb="FF3D3D3D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medium">
        <color indexed="64"/>
      </top>
      <bottom style="medium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indexed="64"/>
      </top>
      <bottom style="medium">
        <color indexed="64"/>
      </bottom>
      <diagonal/>
    </border>
    <border>
      <left style="thin">
        <color rgb="FF3D3D3D"/>
      </left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  <xf numFmtId="44" fontId="22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7" xfId="0" applyFont="1" applyBorder="1" applyAlignment="1">
      <alignment vertical="center"/>
    </xf>
    <xf numFmtId="0" fontId="0" fillId="0" borderId="0" xfId="0" applyAlignment="1">
      <alignment horizontal="left"/>
    </xf>
    <xf numFmtId="3" fontId="12" fillId="0" borderId="19" xfId="0" applyNumberFormat="1" applyFont="1" applyBorder="1"/>
    <xf numFmtId="165" fontId="0" fillId="0" borderId="19" xfId="0" applyNumberFormat="1" applyBorder="1" applyAlignment="1">
      <alignment horizontal="left"/>
    </xf>
    <xf numFmtId="0" fontId="0" fillId="0" borderId="19" xfId="0" applyBorder="1"/>
    <xf numFmtId="0" fontId="0" fillId="0" borderId="13" xfId="0" applyBorder="1"/>
    <xf numFmtId="165" fontId="0" fillId="0" borderId="0" xfId="0" applyNumberFormat="1" applyAlignment="1">
      <alignment horizontal="left"/>
    </xf>
    <xf numFmtId="0" fontId="0" fillId="0" borderId="7" xfId="0" applyBorder="1"/>
    <xf numFmtId="0" fontId="3" fillId="0" borderId="0" xfId="0" applyFont="1"/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28" xfId="0" applyFont="1" applyBorder="1" applyAlignment="1">
      <alignment horizontal="left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6" fontId="0" fillId="0" borderId="36" xfId="2" applyNumberFormat="1" applyFont="1" applyBorder="1" applyAlignment="1" applyProtection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166" fontId="16" fillId="0" borderId="38" xfId="0" applyNumberFormat="1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168" fontId="0" fillId="0" borderId="49" xfId="2" applyNumberFormat="1" applyFont="1" applyBorder="1" applyAlignment="1" applyProtection="1">
      <alignment horizontal="right" vertical="center"/>
    </xf>
    <xf numFmtId="0" fontId="19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25" fillId="0" borderId="0" xfId="0" applyFont="1"/>
    <xf numFmtId="0" fontId="25" fillId="0" borderId="7" xfId="0" applyFont="1" applyBorder="1"/>
    <xf numFmtId="0" fontId="25" fillId="0" borderId="13" xfId="0" applyFont="1" applyBorder="1"/>
    <xf numFmtId="0" fontId="28" fillId="0" borderId="0" xfId="0" applyFont="1"/>
    <xf numFmtId="0" fontId="29" fillId="0" borderId="0" xfId="0" applyFont="1"/>
    <xf numFmtId="0" fontId="25" fillId="0" borderId="41" xfId="0" applyFont="1" applyBorder="1"/>
    <xf numFmtId="0" fontId="28" fillId="0" borderId="42" xfId="0" applyFont="1" applyBorder="1"/>
    <xf numFmtId="0" fontId="25" fillId="0" borderId="42" xfId="0" applyFont="1" applyBorder="1"/>
    <xf numFmtId="0" fontId="25" fillId="0" borderId="43" xfId="0" applyFont="1" applyBorder="1"/>
    <xf numFmtId="0" fontId="28" fillId="0" borderId="0" xfId="0" applyFont="1" applyAlignment="1">
      <alignment vertical="top" wrapText="1"/>
    </xf>
    <xf numFmtId="0" fontId="26" fillId="0" borderId="0" xfId="0" applyFont="1"/>
    <xf numFmtId="0" fontId="26" fillId="0" borderId="46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0" fontId="26" fillId="0" borderId="45" xfId="0" applyFont="1" applyBorder="1" applyAlignment="1">
      <alignment horizontal="center" vertical="center"/>
    </xf>
    <xf numFmtId="0" fontId="26" fillId="0" borderId="45" xfId="0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/>
    </xf>
    <xf numFmtId="3" fontId="0" fillId="0" borderId="44" xfId="0" applyNumberFormat="1" applyBorder="1" applyAlignment="1">
      <alignment horizontal="center" vertical="center"/>
    </xf>
    <xf numFmtId="167" fontId="0" fillId="0" borderId="44" xfId="0" applyNumberForma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166" fontId="0" fillId="0" borderId="53" xfId="2" applyNumberFormat="1" applyFont="1" applyBorder="1" applyAlignment="1" applyProtection="1">
      <alignment horizontal="center" vertical="center"/>
    </xf>
    <xf numFmtId="0" fontId="25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28" fillId="0" borderId="55" xfId="0" applyFont="1" applyBorder="1"/>
    <xf numFmtId="0" fontId="25" fillId="0" borderId="56" xfId="0" applyFont="1" applyBorder="1"/>
    <xf numFmtId="0" fontId="25" fillId="0" borderId="57" xfId="0" applyFont="1" applyBorder="1"/>
    <xf numFmtId="0" fontId="23" fillId="0" borderId="58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23" fillId="0" borderId="59" xfId="0" applyFon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0" fillId="0" borderId="24" xfId="0" applyNumberForma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67" fontId="0" fillId="0" borderId="39" xfId="0" applyNumberForma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7" fillId="0" borderId="63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64" xfId="0" applyFont="1" applyBorder="1" applyAlignment="1">
      <alignment horizontal="center" vertical="center"/>
    </xf>
    <xf numFmtId="0" fontId="17" fillId="0" borderId="65" xfId="0" applyFont="1" applyBorder="1" applyAlignment="1">
      <alignment horizontal="center" vertical="center"/>
    </xf>
    <xf numFmtId="0" fontId="17" fillId="0" borderId="66" xfId="0" applyFont="1" applyBorder="1" applyAlignment="1">
      <alignment horizontal="center" vertical="center"/>
    </xf>
    <xf numFmtId="169" fontId="3" fillId="0" borderId="40" xfId="0" applyNumberFormat="1" applyFont="1" applyBorder="1" applyAlignment="1">
      <alignment vertical="center"/>
    </xf>
    <xf numFmtId="0" fontId="29" fillId="0" borderId="0" xfId="0" applyFont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7" fillId="3" borderId="0" xfId="0" applyFont="1" applyFill="1" applyAlignment="1">
      <alignment horizontal="left" vertical="top" wrapText="1"/>
    </xf>
    <xf numFmtId="0" fontId="27" fillId="3" borderId="7" xfId="0" applyFont="1" applyFill="1" applyBorder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29" fillId="0" borderId="7" xfId="0" applyFont="1" applyBorder="1" applyAlignment="1">
      <alignment horizontal="left" vertical="top" wrapText="1"/>
    </xf>
    <xf numFmtId="0" fontId="30" fillId="0" borderId="0" xfId="0" applyFont="1" applyAlignment="1">
      <alignment horizontal="center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41" xfId="0" applyFont="1" applyBorder="1" applyAlignment="1">
      <alignment horizontal="left" vertical="center" wrapText="1"/>
    </xf>
    <xf numFmtId="44" fontId="23" fillId="0" borderId="60" xfId="5" applyFont="1" applyBorder="1" applyAlignment="1">
      <alignment horizontal="center" vertical="center"/>
    </xf>
    <xf numFmtId="44" fontId="23" fillId="0" borderId="61" xfId="5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 wrapText="1" inden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62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23" fillId="0" borderId="13" xfId="0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0" fontId="23" fillId="0" borderId="7" xfId="0" applyFont="1" applyBorder="1" applyAlignment="1">
      <alignment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23" fillId="0" borderId="17" xfId="0" applyFont="1" applyBorder="1" applyAlignment="1">
      <alignment vertical="center" wrapText="1"/>
    </xf>
    <xf numFmtId="0" fontId="23" fillId="0" borderId="39" xfId="0" applyFont="1" applyBorder="1" applyAlignment="1">
      <alignment vertical="center" wrapText="1"/>
    </xf>
    <xf numFmtId="0" fontId="23" fillId="0" borderId="18" xfId="0" applyFont="1" applyBorder="1" applyAlignment="1">
      <alignment vertical="center" wrapText="1"/>
    </xf>
    <xf numFmtId="0" fontId="8" fillId="0" borderId="10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 indent="1"/>
    </xf>
    <xf numFmtId="0" fontId="7" fillId="0" borderId="39" xfId="0" applyFont="1" applyBorder="1" applyAlignment="1">
      <alignment horizontal="left" vertical="center" wrapText="1" indent="1"/>
    </xf>
    <xf numFmtId="0" fontId="7" fillId="0" borderId="18" xfId="0" applyFont="1" applyBorder="1" applyAlignment="1">
      <alignment horizontal="left" vertical="center" wrapText="1" indent="1"/>
    </xf>
    <xf numFmtId="0" fontId="8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center" vertical="center"/>
    </xf>
    <xf numFmtId="0" fontId="12" fillId="0" borderId="9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21" fillId="0" borderId="16" xfId="0" applyFont="1" applyBorder="1" applyAlignment="1">
      <alignment horizontal="left" vertical="center" wrapText="1" indent="1"/>
    </xf>
    <xf numFmtId="0" fontId="14" fillId="0" borderId="16" xfId="0" applyFont="1" applyBorder="1" applyAlignment="1">
      <alignment horizontal="left" vertical="center" wrapText="1" indent="1"/>
    </xf>
    <xf numFmtId="0" fontId="0" fillId="0" borderId="35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12" fillId="0" borderId="37" xfId="0" applyFont="1" applyBorder="1" applyAlignment="1">
      <alignment horizontal="left" vertical="center" wrapText="1"/>
    </xf>
    <xf numFmtId="0" fontId="0" fillId="0" borderId="23" xfId="0" applyBorder="1"/>
    <xf numFmtId="0" fontId="0" fillId="0" borderId="35" xfId="0" applyBorder="1" applyAlignment="1">
      <alignment horizontal="center" vertical="center"/>
    </xf>
    <xf numFmtId="0" fontId="24" fillId="0" borderId="65" xfId="0" applyFont="1" applyBorder="1" applyAlignment="1">
      <alignment horizontal="center" vertical="center" wrapText="1"/>
    </xf>
    <xf numFmtId="0" fontId="24" fillId="0" borderId="66" xfId="0" applyFont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left"/>
    </xf>
    <xf numFmtId="0" fontId="14" fillId="0" borderId="23" xfId="0" applyFont="1" applyBorder="1" applyAlignment="1">
      <alignment horizontal="left"/>
    </xf>
    <xf numFmtId="49" fontId="14" fillId="0" borderId="24" xfId="0" applyNumberFormat="1" applyFont="1" applyBorder="1" applyAlignment="1">
      <alignment horizontal="justify" vertical="center" wrapText="1"/>
    </xf>
    <xf numFmtId="0" fontId="16" fillId="0" borderId="46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/>
    </xf>
    <xf numFmtId="0" fontId="10" fillId="0" borderId="20" xfId="0" applyFont="1" applyBorder="1" applyAlignment="1">
      <alignment horizontal="left" vertical="center" wrapText="1"/>
    </xf>
    <xf numFmtId="0" fontId="17" fillId="0" borderId="21" xfId="0" applyFont="1" applyBorder="1" applyAlignment="1">
      <alignment horizontal="left" indent="1"/>
    </xf>
    <xf numFmtId="0" fontId="0" fillId="0" borderId="17" xfId="0" applyBorder="1" applyAlignment="1">
      <alignment horizontal="center"/>
    </xf>
    <xf numFmtId="3" fontId="12" fillId="0" borderId="18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3" fillId="0" borderId="20" xfId="0" applyFont="1" applyBorder="1"/>
  </cellXfs>
  <cellStyles count="6">
    <cellStyle name="Encabezado 1" xfId="1" xr:uid="{00000000-0005-0000-0000-000000000000}"/>
    <cellStyle name="Moneda" xfId="5" builtinId="4"/>
    <cellStyle name="Moneda_AUTORIZACION Y NOTA DE PEDIDO" xfId="2" xr:uid="{00000000-0005-0000-0000-000002000000}"/>
    <cellStyle name="Neutral 1" xfId="3" xr:uid="{00000000-0005-0000-0000-000003000000}"/>
    <cellStyle name="Normal" xfId="0" builtinId="0"/>
    <cellStyle name="Normal 2" xfId="4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2EBF-F15D-4D98-8E19-105A66B5EF24}">
  <dimension ref="A2:I71"/>
  <sheetViews>
    <sheetView workbookViewId="0">
      <selection activeCell="B9" sqref="B9:G13"/>
    </sheetView>
  </sheetViews>
  <sheetFormatPr baseColWidth="10" defaultRowHeight="12.75" x14ac:dyDescent="0.2"/>
  <cols>
    <col min="1" max="1" width="5.5703125" customWidth="1"/>
    <col min="2" max="2" width="20.5703125" customWidth="1"/>
    <col min="3" max="3" width="22.28515625" customWidth="1"/>
    <col min="4" max="4" width="10" customWidth="1"/>
    <col min="5" max="5" width="31" customWidth="1"/>
    <col min="7" max="7" width="13.42578125" customWidth="1"/>
    <col min="8" max="8" width="11.5703125" bestFit="1" customWidth="1"/>
    <col min="9" max="9" width="13.7109375" bestFit="1" customWidth="1"/>
  </cols>
  <sheetData>
    <row r="2" spans="1:9" ht="18" x14ac:dyDescent="0.25">
      <c r="A2" s="35"/>
      <c r="B2" s="92" t="s">
        <v>49</v>
      </c>
      <c r="C2" s="92"/>
      <c r="D2" s="92"/>
      <c r="E2" s="92"/>
      <c r="F2" s="92"/>
      <c r="G2" s="92"/>
      <c r="H2" s="92"/>
      <c r="I2" s="92"/>
    </row>
    <row r="3" spans="1:9" ht="13.5" x14ac:dyDescent="0.25">
      <c r="A3" s="35"/>
      <c r="B3" s="35"/>
      <c r="C3" s="35"/>
      <c r="D3" s="35"/>
      <c r="E3" s="35"/>
      <c r="F3" s="35"/>
      <c r="G3" s="35"/>
      <c r="H3" s="35"/>
      <c r="I3" s="35"/>
    </row>
    <row r="4" spans="1:9" x14ac:dyDescent="0.2">
      <c r="A4" s="45" t="s">
        <v>59</v>
      </c>
      <c r="B4" s="45"/>
      <c r="C4" s="45"/>
      <c r="D4" s="45"/>
      <c r="E4" s="45"/>
      <c r="F4" s="45"/>
      <c r="G4" s="45"/>
      <c r="H4" s="45"/>
      <c r="I4" s="45"/>
    </row>
    <row r="5" spans="1:9" x14ac:dyDescent="0.2">
      <c r="A5" s="45" t="s">
        <v>61</v>
      </c>
      <c r="B5" s="45"/>
      <c r="C5" s="45"/>
      <c r="D5" s="45"/>
      <c r="E5" s="45"/>
      <c r="F5" s="45"/>
      <c r="G5" s="45"/>
      <c r="H5" s="45"/>
      <c r="I5" s="45"/>
    </row>
    <row r="6" spans="1:9" x14ac:dyDescent="0.2">
      <c r="A6" s="45" t="s">
        <v>60</v>
      </c>
      <c r="B6" s="45"/>
      <c r="C6" s="45"/>
      <c r="D6" s="45"/>
      <c r="E6" s="45"/>
      <c r="F6" s="45"/>
      <c r="G6" s="45"/>
      <c r="H6" s="45"/>
      <c r="I6" s="45"/>
    </row>
    <row r="7" spans="1:9" x14ac:dyDescent="0.2">
      <c r="A7" s="45" t="s">
        <v>63</v>
      </c>
      <c r="B7" s="45"/>
      <c r="C7" s="45"/>
      <c r="D7" s="45"/>
      <c r="E7" s="45"/>
      <c r="F7" s="45"/>
      <c r="G7" s="45"/>
      <c r="H7" s="45"/>
      <c r="I7" s="45"/>
    </row>
    <row r="8" spans="1:9" ht="13.5" thickBot="1" x14ac:dyDescent="0.25">
      <c r="A8" s="45"/>
      <c r="B8" s="45"/>
      <c r="C8" s="45"/>
      <c r="D8" s="45"/>
      <c r="E8" s="45"/>
      <c r="F8" s="45"/>
      <c r="G8" s="45"/>
      <c r="H8" s="45"/>
      <c r="I8" s="45"/>
    </row>
    <row r="9" spans="1:9" ht="38.25" customHeight="1" x14ac:dyDescent="0.2">
      <c r="A9" s="46" t="s">
        <v>38</v>
      </c>
      <c r="B9" s="47" t="s">
        <v>39</v>
      </c>
      <c r="C9" s="48" t="s">
        <v>40</v>
      </c>
      <c r="D9" s="48" t="s">
        <v>41</v>
      </c>
      <c r="E9" s="48" t="s">
        <v>42</v>
      </c>
      <c r="F9" s="49" t="s">
        <v>43</v>
      </c>
      <c r="G9" s="48" t="s">
        <v>44</v>
      </c>
      <c r="H9" s="49" t="s">
        <v>45</v>
      </c>
      <c r="I9" s="50" t="s">
        <v>50</v>
      </c>
    </row>
    <row r="10" spans="1:9" ht="87.75" customHeight="1" x14ac:dyDescent="0.2">
      <c r="A10" s="51">
        <v>1</v>
      </c>
      <c r="B10" s="52" t="s">
        <v>65</v>
      </c>
      <c r="C10" s="53" t="s">
        <v>66</v>
      </c>
      <c r="D10" s="54" t="s">
        <v>67</v>
      </c>
      <c r="E10" s="53" t="s">
        <v>73</v>
      </c>
      <c r="F10" s="54" t="s">
        <v>68</v>
      </c>
      <c r="G10" s="55">
        <v>77</v>
      </c>
      <c r="H10" s="56">
        <v>8980.23</v>
      </c>
      <c r="I10" s="56">
        <f>+H10*G10</f>
        <v>691477.71</v>
      </c>
    </row>
    <row r="11" spans="1:9" ht="87.75" customHeight="1" x14ac:dyDescent="0.2">
      <c r="A11" s="51">
        <v>2</v>
      </c>
      <c r="B11" s="52" t="s">
        <v>69</v>
      </c>
      <c r="C11" s="53" t="s">
        <v>70</v>
      </c>
      <c r="D11" s="54" t="s">
        <v>67</v>
      </c>
      <c r="E11" s="53" t="s">
        <v>74</v>
      </c>
      <c r="F11" s="54" t="s">
        <v>68</v>
      </c>
      <c r="G11" s="55">
        <v>6</v>
      </c>
      <c r="H11" s="56">
        <v>123329.60000000001</v>
      </c>
      <c r="I11" s="56">
        <f>+H11*G11</f>
        <v>739977.60000000009</v>
      </c>
    </row>
    <row r="12" spans="1:9" ht="87.75" customHeight="1" x14ac:dyDescent="0.2">
      <c r="A12" s="51">
        <v>3</v>
      </c>
      <c r="B12" s="52" t="s">
        <v>72</v>
      </c>
      <c r="C12" s="53" t="s">
        <v>70</v>
      </c>
      <c r="D12" s="54" t="s">
        <v>67</v>
      </c>
      <c r="E12" s="53" t="s">
        <v>75</v>
      </c>
      <c r="F12" s="54" t="s">
        <v>68</v>
      </c>
      <c r="G12" s="55">
        <v>60</v>
      </c>
      <c r="H12" s="56">
        <v>14096.73</v>
      </c>
      <c r="I12" s="56">
        <f>+H12*G12</f>
        <v>845803.79999999993</v>
      </c>
    </row>
    <row r="13" spans="1:9" ht="87.75" customHeight="1" x14ac:dyDescent="0.2">
      <c r="A13" s="51">
        <v>4</v>
      </c>
      <c r="B13" s="52" t="s">
        <v>71</v>
      </c>
      <c r="C13" s="53" t="s">
        <v>70</v>
      </c>
      <c r="D13" s="54" t="s">
        <v>67</v>
      </c>
      <c r="E13" s="53" t="s">
        <v>76</v>
      </c>
      <c r="F13" s="54" t="s">
        <v>68</v>
      </c>
      <c r="G13" s="55">
        <v>70</v>
      </c>
      <c r="H13" s="56">
        <v>16646.580000000002</v>
      </c>
      <c r="I13" s="56">
        <f>+H13*G13</f>
        <v>1165260.6000000001</v>
      </c>
    </row>
    <row r="14" spans="1:9" ht="18" customHeight="1" x14ac:dyDescent="0.2">
      <c r="A14" s="61"/>
      <c r="B14" s="62"/>
      <c r="C14" s="63"/>
      <c r="D14" s="64"/>
      <c r="E14" s="63"/>
      <c r="F14" s="64"/>
      <c r="G14" s="65"/>
      <c r="H14" s="66"/>
      <c r="I14" s="66"/>
    </row>
    <row r="15" spans="1:9" ht="18" customHeight="1" x14ac:dyDescent="0.2">
      <c r="A15" s="61"/>
      <c r="B15" s="62"/>
      <c r="C15" s="63"/>
      <c r="D15" s="64"/>
      <c r="E15" s="63"/>
      <c r="F15" s="64"/>
      <c r="G15" s="65"/>
      <c r="H15" s="66"/>
      <c r="I15" s="66"/>
    </row>
    <row r="16" spans="1:9" ht="16.5" customHeight="1" x14ac:dyDescent="0.2">
      <c r="A16" s="61"/>
      <c r="B16" s="62"/>
      <c r="C16" s="63"/>
      <c r="D16" s="64"/>
      <c r="E16" s="63"/>
      <c r="F16" s="64"/>
      <c r="G16" s="65"/>
      <c r="H16" s="66"/>
      <c r="I16" s="66"/>
    </row>
    <row r="17" spans="2:9" ht="13.5" x14ac:dyDescent="0.25">
      <c r="B17" s="67" t="s">
        <v>46</v>
      </c>
      <c r="C17" s="68"/>
      <c r="D17" s="68"/>
      <c r="E17" s="68"/>
      <c r="F17" s="68"/>
      <c r="G17" s="68"/>
      <c r="H17" s="68"/>
      <c r="I17" s="69"/>
    </row>
    <row r="18" spans="2:9" ht="13.5" x14ac:dyDescent="0.25">
      <c r="B18" s="37"/>
      <c r="C18" s="35"/>
      <c r="D18" s="35"/>
      <c r="E18" s="35"/>
      <c r="F18" s="35"/>
      <c r="G18" s="35"/>
      <c r="H18" s="35"/>
      <c r="I18" s="36"/>
    </row>
    <row r="19" spans="2:9" ht="13.5" x14ac:dyDescent="0.25">
      <c r="B19" s="37"/>
      <c r="C19" s="38" t="s">
        <v>47</v>
      </c>
      <c r="D19" s="35"/>
      <c r="E19" s="35"/>
      <c r="F19" s="35"/>
      <c r="G19" s="35"/>
      <c r="H19" s="35"/>
      <c r="I19" s="36"/>
    </row>
    <row r="20" spans="2:9" ht="35.25" customHeight="1" x14ac:dyDescent="0.25">
      <c r="B20" s="37"/>
      <c r="C20" s="35"/>
      <c r="D20" s="86" t="s">
        <v>80</v>
      </c>
      <c r="E20" s="86"/>
      <c r="F20" s="86"/>
      <c r="G20" s="86"/>
      <c r="H20" s="86"/>
      <c r="I20" s="87"/>
    </row>
    <row r="21" spans="2:9" ht="13.5" x14ac:dyDescent="0.25">
      <c r="B21" s="37"/>
      <c r="C21" s="35"/>
      <c r="D21" s="86"/>
      <c r="E21" s="86"/>
      <c r="F21" s="86"/>
      <c r="G21" s="86"/>
      <c r="H21" s="86"/>
      <c r="I21" s="87"/>
    </row>
    <row r="22" spans="2:9" ht="14.25" x14ac:dyDescent="0.3">
      <c r="B22" s="37"/>
      <c r="C22" s="35"/>
      <c r="D22" s="39"/>
      <c r="E22" s="35"/>
      <c r="F22" s="35"/>
      <c r="G22" s="35"/>
      <c r="H22" s="35"/>
      <c r="I22" s="36"/>
    </row>
    <row r="23" spans="2:9" ht="13.5" x14ac:dyDescent="0.25">
      <c r="B23" s="37"/>
      <c r="C23" s="38" t="s">
        <v>48</v>
      </c>
      <c r="D23" s="35"/>
      <c r="E23" s="35"/>
      <c r="F23" s="35"/>
      <c r="G23" s="35"/>
      <c r="H23" s="35"/>
      <c r="I23" s="36"/>
    </row>
    <row r="24" spans="2:9" ht="75.75" customHeight="1" x14ac:dyDescent="0.25">
      <c r="B24" s="37"/>
      <c r="C24" s="35"/>
      <c r="D24" s="88" t="s">
        <v>77</v>
      </c>
      <c r="E24" s="88"/>
      <c r="F24" s="88"/>
      <c r="G24" s="88"/>
      <c r="H24" s="88"/>
      <c r="I24" s="89"/>
    </row>
    <row r="25" spans="2:9" ht="14.25" x14ac:dyDescent="0.3">
      <c r="B25" s="37"/>
      <c r="C25" s="35"/>
      <c r="D25" s="39"/>
      <c r="E25" s="35"/>
      <c r="F25" s="35"/>
      <c r="G25" s="35"/>
      <c r="H25" s="35"/>
      <c r="I25" s="36"/>
    </row>
    <row r="26" spans="2:9" ht="13.5" hidden="1" customHeight="1" x14ac:dyDescent="0.25">
      <c r="B26" s="37"/>
      <c r="C26" s="35"/>
      <c r="D26" s="35"/>
      <c r="E26" s="35"/>
      <c r="F26" s="35"/>
      <c r="G26" s="35"/>
      <c r="H26" s="35"/>
      <c r="I26" s="36"/>
    </row>
    <row r="27" spans="2:9" ht="35.25" customHeight="1" x14ac:dyDescent="0.25">
      <c r="B27" s="37"/>
      <c r="C27" s="44" t="s">
        <v>53</v>
      </c>
      <c r="D27" s="90" t="s">
        <v>62</v>
      </c>
      <c r="E27" s="90"/>
      <c r="F27" s="90"/>
      <c r="G27" s="90"/>
      <c r="H27" s="90"/>
      <c r="I27" s="91"/>
    </row>
    <row r="28" spans="2:9" ht="14.25" x14ac:dyDescent="0.3">
      <c r="B28" s="37"/>
      <c r="C28" s="38" t="s">
        <v>52</v>
      </c>
      <c r="D28" s="39" t="s">
        <v>51</v>
      </c>
      <c r="E28" s="35"/>
      <c r="F28" s="35"/>
      <c r="G28" s="35"/>
      <c r="H28" s="35"/>
      <c r="I28" s="36"/>
    </row>
    <row r="29" spans="2:9" ht="14.25" thickBot="1" x14ac:dyDescent="0.3">
      <c r="B29" s="40"/>
      <c r="C29" s="41"/>
      <c r="D29" s="42"/>
      <c r="E29" s="42"/>
      <c r="F29" s="42"/>
      <c r="G29" s="42"/>
      <c r="H29" s="42"/>
      <c r="I29" s="43"/>
    </row>
    <row r="31" spans="2:9" ht="13.5" x14ac:dyDescent="0.25">
      <c r="B31" s="67" t="s">
        <v>78</v>
      </c>
      <c r="C31" s="68"/>
      <c r="D31" s="68"/>
      <c r="E31" s="68"/>
      <c r="F31" s="68"/>
      <c r="G31" s="68"/>
      <c r="H31" s="68"/>
      <c r="I31" s="69"/>
    </row>
    <row r="32" spans="2:9" ht="13.5" x14ac:dyDescent="0.25">
      <c r="B32" s="37"/>
      <c r="C32" s="35"/>
      <c r="D32" s="35"/>
      <c r="E32" s="35"/>
      <c r="F32" s="35"/>
      <c r="G32" s="35"/>
      <c r="H32" s="35"/>
      <c r="I32" s="36"/>
    </row>
    <row r="33" spans="2:9" ht="13.5" x14ac:dyDescent="0.25">
      <c r="B33" s="37"/>
      <c r="C33" s="38" t="s">
        <v>47</v>
      </c>
      <c r="D33" s="35"/>
      <c r="E33" s="35"/>
      <c r="F33" s="35"/>
      <c r="G33" s="35"/>
      <c r="H33" s="35"/>
      <c r="I33" s="36"/>
    </row>
    <row r="34" spans="2:9" ht="13.5" customHeight="1" x14ac:dyDescent="0.25">
      <c r="B34" s="37"/>
      <c r="C34" s="35"/>
      <c r="D34" s="86" t="s">
        <v>86</v>
      </c>
      <c r="E34" s="86"/>
      <c r="F34" s="86"/>
      <c r="G34" s="86"/>
      <c r="H34" s="86"/>
      <c r="I34" s="87"/>
    </row>
    <row r="35" spans="2:9" ht="13.5" x14ac:dyDescent="0.25">
      <c r="B35" s="37"/>
      <c r="C35" s="35"/>
      <c r="D35" s="86"/>
      <c r="E35" s="86"/>
      <c r="F35" s="86"/>
      <c r="G35" s="86"/>
      <c r="H35" s="86"/>
      <c r="I35" s="87"/>
    </row>
    <row r="36" spans="2:9" ht="14.25" x14ac:dyDescent="0.3">
      <c r="B36" s="37"/>
      <c r="C36" s="35"/>
      <c r="D36" s="39"/>
      <c r="E36" s="35"/>
      <c r="F36" s="35"/>
      <c r="G36" s="35"/>
      <c r="H36" s="35"/>
      <c r="I36" s="36"/>
    </row>
    <row r="37" spans="2:9" ht="13.5" x14ac:dyDescent="0.25">
      <c r="B37" s="37"/>
      <c r="C37" s="38" t="s">
        <v>48</v>
      </c>
      <c r="D37" s="35"/>
      <c r="E37" s="35"/>
      <c r="F37" s="35"/>
      <c r="G37" s="35"/>
      <c r="H37" s="35"/>
      <c r="I37" s="36"/>
    </row>
    <row r="38" spans="2:9" ht="73.5" customHeight="1" x14ac:dyDescent="0.25">
      <c r="B38" s="37"/>
      <c r="C38" s="35"/>
      <c r="D38" s="88" t="s">
        <v>77</v>
      </c>
      <c r="E38" s="88"/>
      <c r="F38" s="88"/>
      <c r="G38" s="88"/>
      <c r="H38" s="88"/>
      <c r="I38" s="89"/>
    </row>
    <row r="39" spans="2:9" ht="3.75" customHeight="1" x14ac:dyDescent="0.3">
      <c r="B39" s="37"/>
      <c r="C39" s="35"/>
      <c r="D39" s="39"/>
      <c r="E39" s="35"/>
      <c r="F39" s="35"/>
      <c r="G39" s="35"/>
      <c r="H39" s="35"/>
      <c r="I39" s="36"/>
    </row>
    <row r="40" spans="2:9" ht="2.25" customHeight="1" x14ac:dyDescent="0.25">
      <c r="B40" s="37"/>
      <c r="C40" s="35"/>
      <c r="D40" s="35"/>
      <c r="E40" s="35"/>
      <c r="F40" s="35"/>
      <c r="G40" s="35"/>
      <c r="H40" s="35"/>
      <c r="I40" s="36"/>
    </row>
    <row r="41" spans="2:9" ht="27" customHeight="1" x14ac:dyDescent="0.25">
      <c r="B41" s="37"/>
      <c r="C41" s="44" t="s">
        <v>53</v>
      </c>
      <c r="D41" s="90" t="s">
        <v>62</v>
      </c>
      <c r="E41" s="90"/>
      <c r="F41" s="90"/>
      <c r="G41" s="90"/>
      <c r="H41" s="90"/>
      <c r="I41" s="91"/>
    </row>
    <row r="42" spans="2:9" ht="14.25" x14ac:dyDescent="0.3">
      <c r="B42" s="37"/>
      <c r="C42" s="38" t="s">
        <v>52</v>
      </c>
      <c r="D42" s="39" t="s">
        <v>51</v>
      </c>
      <c r="E42" s="35"/>
      <c r="F42" s="35"/>
      <c r="G42" s="35"/>
      <c r="H42" s="35"/>
      <c r="I42" s="36"/>
    </row>
    <row r="43" spans="2:9" ht="14.25" thickBot="1" x14ac:dyDescent="0.3">
      <c r="B43" s="40"/>
      <c r="C43" s="41"/>
      <c r="D43" s="42"/>
      <c r="E43" s="42"/>
      <c r="F43" s="42"/>
      <c r="G43" s="42"/>
      <c r="H43" s="42"/>
      <c r="I43" s="43"/>
    </row>
    <row r="45" spans="2:9" ht="13.5" x14ac:dyDescent="0.25">
      <c r="B45" s="67" t="s">
        <v>79</v>
      </c>
      <c r="C45" s="68"/>
      <c r="D45" s="68"/>
      <c r="E45" s="68"/>
      <c r="F45" s="68"/>
      <c r="G45" s="68"/>
      <c r="H45" s="68"/>
      <c r="I45" s="69"/>
    </row>
    <row r="46" spans="2:9" ht="13.5" x14ac:dyDescent="0.25">
      <c r="B46" s="37"/>
      <c r="C46" s="35"/>
      <c r="D46" s="35"/>
      <c r="E46" s="35"/>
      <c r="F46" s="35"/>
      <c r="G46" s="35"/>
      <c r="H46" s="35"/>
      <c r="I46" s="36"/>
    </row>
    <row r="47" spans="2:9" ht="13.5" x14ac:dyDescent="0.25">
      <c r="B47" s="37"/>
      <c r="C47" s="38" t="s">
        <v>47</v>
      </c>
      <c r="D47" s="35"/>
      <c r="E47" s="35"/>
      <c r="F47" s="35"/>
      <c r="G47" s="35"/>
      <c r="H47" s="35"/>
      <c r="I47" s="36"/>
    </row>
    <row r="48" spans="2:9" ht="13.5" customHeight="1" x14ac:dyDescent="0.25">
      <c r="B48" s="37"/>
      <c r="C48" s="35"/>
      <c r="D48" s="86" t="s">
        <v>85</v>
      </c>
      <c r="E48" s="86"/>
      <c r="F48" s="86"/>
      <c r="G48" s="86"/>
      <c r="H48" s="86"/>
      <c r="I48" s="87"/>
    </row>
    <row r="49" spans="2:9" ht="13.5" x14ac:dyDescent="0.25">
      <c r="B49" s="37"/>
      <c r="C49" s="35"/>
      <c r="D49" s="86"/>
      <c r="E49" s="86"/>
      <c r="F49" s="86"/>
      <c r="G49" s="86"/>
      <c r="H49" s="86"/>
      <c r="I49" s="87"/>
    </row>
    <row r="50" spans="2:9" ht="14.25" x14ac:dyDescent="0.3">
      <c r="B50" s="37"/>
      <c r="C50" s="35"/>
      <c r="D50" s="39"/>
      <c r="E50" s="35"/>
      <c r="F50" s="35"/>
      <c r="G50" s="35"/>
      <c r="H50" s="35"/>
      <c r="I50" s="36"/>
    </row>
    <row r="51" spans="2:9" ht="13.5" x14ac:dyDescent="0.25">
      <c r="B51" s="37"/>
      <c r="C51" s="38" t="s">
        <v>48</v>
      </c>
      <c r="D51" s="35"/>
      <c r="E51" s="35"/>
      <c r="F51" s="35"/>
      <c r="G51" s="35"/>
      <c r="H51" s="35"/>
      <c r="I51" s="36"/>
    </row>
    <row r="52" spans="2:9" ht="72" customHeight="1" x14ac:dyDescent="0.25">
      <c r="B52" s="37"/>
      <c r="C52" s="35"/>
      <c r="D52" s="88" t="s">
        <v>77</v>
      </c>
      <c r="E52" s="88"/>
      <c r="F52" s="88"/>
      <c r="G52" s="88"/>
      <c r="H52" s="88"/>
      <c r="I52" s="89"/>
    </row>
    <row r="53" spans="2:9" ht="14.25" x14ac:dyDescent="0.3">
      <c r="B53" s="37"/>
      <c r="C53" s="35"/>
      <c r="D53" s="39"/>
      <c r="E53" s="35"/>
      <c r="F53" s="35"/>
      <c r="G53" s="35"/>
      <c r="H53" s="35"/>
      <c r="I53" s="36"/>
    </row>
    <row r="54" spans="2:9" ht="13.5" x14ac:dyDescent="0.25">
      <c r="B54" s="37"/>
      <c r="C54" s="35"/>
      <c r="D54" s="35"/>
      <c r="E54" s="35"/>
      <c r="F54" s="35"/>
      <c r="G54" s="35"/>
      <c r="H54" s="35"/>
      <c r="I54" s="36"/>
    </row>
    <row r="55" spans="2:9" ht="27" customHeight="1" x14ac:dyDescent="0.25">
      <c r="B55" s="37"/>
      <c r="C55" s="44" t="s">
        <v>53</v>
      </c>
      <c r="D55" s="90" t="s">
        <v>62</v>
      </c>
      <c r="E55" s="90"/>
      <c r="F55" s="90"/>
      <c r="G55" s="90"/>
      <c r="H55" s="90"/>
      <c r="I55" s="91"/>
    </row>
    <row r="56" spans="2:9" ht="14.25" x14ac:dyDescent="0.3">
      <c r="B56" s="37"/>
      <c r="C56" s="38" t="s">
        <v>52</v>
      </c>
      <c r="D56" s="39" t="s">
        <v>51</v>
      </c>
      <c r="E56" s="35"/>
      <c r="F56" s="35"/>
      <c r="G56" s="35"/>
      <c r="H56" s="35"/>
      <c r="I56" s="36"/>
    </row>
    <row r="57" spans="2:9" ht="14.25" thickBot="1" x14ac:dyDescent="0.3">
      <c r="B57" s="40"/>
      <c r="C57" s="41"/>
      <c r="D57" s="42"/>
      <c r="E57" s="42"/>
      <c r="F57" s="42"/>
      <c r="G57" s="42"/>
      <c r="H57" s="42"/>
      <c r="I57" s="43"/>
    </row>
    <row r="59" spans="2:9" ht="13.5" x14ac:dyDescent="0.25">
      <c r="B59" s="67" t="s">
        <v>83</v>
      </c>
      <c r="C59" s="68"/>
      <c r="D59" s="68"/>
      <c r="E59" s="68"/>
      <c r="F59" s="68"/>
      <c r="G59" s="68"/>
      <c r="H59" s="68"/>
      <c r="I59" s="69"/>
    </row>
    <row r="60" spans="2:9" ht="13.5" x14ac:dyDescent="0.25">
      <c r="B60" s="37"/>
      <c r="C60" s="35"/>
      <c r="D60" s="35"/>
      <c r="E60" s="35"/>
      <c r="F60" s="35"/>
      <c r="G60" s="35"/>
      <c r="H60" s="35"/>
      <c r="I60" s="36"/>
    </row>
    <row r="61" spans="2:9" ht="13.5" x14ac:dyDescent="0.25">
      <c r="B61" s="37"/>
      <c r="C61" s="38" t="s">
        <v>47</v>
      </c>
      <c r="D61" s="35"/>
      <c r="E61" s="35"/>
      <c r="F61" s="35"/>
      <c r="G61" s="35"/>
      <c r="H61" s="35"/>
      <c r="I61" s="36"/>
    </row>
    <row r="62" spans="2:9" ht="13.5" customHeight="1" x14ac:dyDescent="0.25">
      <c r="B62" s="37"/>
      <c r="C62" s="35"/>
      <c r="D62" s="86" t="s">
        <v>80</v>
      </c>
      <c r="E62" s="86"/>
      <c r="F62" s="86"/>
      <c r="G62" s="86"/>
      <c r="H62" s="86"/>
      <c r="I62" s="87"/>
    </row>
    <row r="63" spans="2:9" ht="13.5" x14ac:dyDescent="0.25">
      <c r="B63" s="37"/>
      <c r="C63" s="35"/>
      <c r="D63" s="86"/>
      <c r="E63" s="86"/>
      <c r="F63" s="86"/>
      <c r="G63" s="86"/>
      <c r="H63" s="86"/>
      <c r="I63" s="87"/>
    </row>
    <row r="64" spans="2:9" ht="14.25" x14ac:dyDescent="0.3">
      <c r="B64" s="37"/>
      <c r="C64" s="35"/>
      <c r="D64" s="39"/>
      <c r="E64" s="35"/>
      <c r="F64" s="35"/>
      <c r="G64" s="35"/>
      <c r="H64" s="35"/>
      <c r="I64" s="36"/>
    </row>
    <row r="65" spans="2:9" ht="13.5" x14ac:dyDescent="0.25">
      <c r="B65" s="37"/>
      <c r="C65" s="38" t="s">
        <v>48</v>
      </c>
      <c r="D65" s="35"/>
      <c r="E65" s="35"/>
      <c r="F65" s="35"/>
      <c r="G65" s="35"/>
      <c r="H65" s="35"/>
      <c r="I65" s="36"/>
    </row>
    <row r="66" spans="2:9" ht="76.5" customHeight="1" x14ac:dyDescent="0.25">
      <c r="B66" s="37"/>
      <c r="C66" s="35"/>
      <c r="D66" s="88" t="s">
        <v>77</v>
      </c>
      <c r="E66" s="88"/>
      <c r="F66" s="88"/>
      <c r="G66" s="88"/>
      <c r="H66" s="88"/>
      <c r="I66" s="89"/>
    </row>
    <row r="67" spans="2:9" ht="14.25" x14ac:dyDescent="0.3">
      <c r="B67" s="37"/>
      <c r="C67" s="35"/>
      <c r="D67" s="39"/>
      <c r="E67" s="35"/>
      <c r="F67" s="35"/>
      <c r="G67" s="35"/>
      <c r="H67" s="35"/>
      <c r="I67" s="36"/>
    </row>
    <row r="68" spans="2:9" ht="13.5" x14ac:dyDescent="0.25">
      <c r="B68" s="37"/>
      <c r="C68" s="35"/>
      <c r="D68" s="35"/>
      <c r="E68" s="35"/>
      <c r="F68" s="35"/>
      <c r="G68" s="35"/>
      <c r="H68" s="35"/>
      <c r="I68" s="36"/>
    </row>
    <row r="69" spans="2:9" ht="27" customHeight="1" x14ac:dyDescent="0.25">
      <c r="B69" s="37"/>
      <c r="C69" s="44" t="s">
        <v>53</v>
      </c>
      <c r="D69" s="90" t="s">
        <v>62</v>
      </c>
      <c r="E69" s="90"/>
      <c r="F69" s="90"/>
      <c r="G69" s="90"/>
      <c r="H69" s="90"/>
      <c r="I69" s="91"/>
    </row>
    <row r="70" spans="2:9" ht="14.25" x14ac:dyDescent="0.3">
      <c r="B70" s="37"/>
      <c r="C70" s="38" t="s">
        <v>52</v>
      </c>
      <c r="D70" s="39" t="s">
        <v>51</v>
      </c>
      <c r="E70" s="35"/>
      <c r="F70" s="35"/>
      <c r="G70" s="35"/>
      <c r="H70" s="35"/>
      <c r="I70" s="36"/>
    </row>
    <row r="71" spans="2:9" ht="14.25" thickBot="1" x14ac:dyDescent="0.3">
      <c r="B71" s="40"/>
      <c r="C71" s="41"/>
      <c r="D71" s="42"/>
      <c r="E71" s="42"/>
      <c r="F71" s="42"/>
      <c r="G71" s="42"/>
      <c r="H71" s="42"/>
      <c r="I71" s="43"/>
    </row>
  </sheetData>
  <mergeCells count="13">
    <mergeCell ref="B2:I2"/>
    <mergeCell ref="D20:I21"/>
    <mergeCell ref="D24:I24"/>
    <mergeCell ref="D27:I27"/>
    <mergeCell ref="D34:I35"/>
    <mergeCell ref="D62:I63"/>
    <mergeCell ref="D66:I66"/>
    <mergeCell ref="D69:I69"/>
    <mergeCell ref="D38:I38"/>
    <mergeCell ref="D41:I41"/>
    <mergeCell ref="D48:I49"/>
    <mergeCell ref="D52:I52"/>
    <mergeCell ref="D55:I55"/>
  </mergeCells>
  <phoneticPr fontId="31" type="noConversion"/>
  <pageMargins left="0.7" right="0.7" top="0.75" bottom="0.75" header="0.3" footer="0.3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6"/>
  <sheetViews>
    <sheetView tabSelected="1" zoomScaleNormal="100" workbookViewId="0">
      <selection activeCell="D8" sqref="D8:K8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2" width="14.42578125" style="1" customWidth="1"/>
    <col min="13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2" t="s">
        <v>1</v>
      </c>
      <c r="K1" s="3"/>
    </row>
    <row r="2" spans="1:11" ht="18.75" customHeight="1" thickBot="1" x14ac:dyDescent="0.25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1" ht="18.75" customHeight="1" thickBot="1" x14ac:dyDescent="0.25">
      <c r="A3" s="117" t="s">
        <v>2</v>
      </c>
      <c r="B3" s="117"/>
      <c r="C3" s="117"/>
      <c r="D3" s="114" t="s">
        <v>56</v>
      </c>
      <c r="E3" s="115"/>
      <c r="F3" s="115"/>
      <c r="G3" s="115"/>
      <c r="H3" s="115"/>
      <c r="I3" s="115"/>
      <c r="J3" s="115"/>
      <c r="K3" s="116"/>
    </row>
    <row r="4" spans="1:11" ht="18.75" customHeight="1" thickBot="1" x14ac:dyDescent="0.25">
      <c r="A4" s="113" t="s">
        <v>3</v>
      </c>
      <c r="B4" s="113"/>
      <c r="C4" s="113"/>
      <c r="D4" s="114" t="s">
        <v>57</v>
      </c>
      <c r="E4" s="115"/>
      <c r="F4" s="115"/>
      <c r="G4" s="115"/>
      <c r="H4" s="115"/>
      <c r="I4" s="115"/>
      <c r="J4" s="115"/>
      <c r="K4" s="116"/>
    </row>
    <row r="5" spans="1:11" ht="18.75" customHeight="1" thickBot="1" x14ac:dyDescent="0.25">
      <c r="A5" s="113" t="s">
        <v>4</v>
      </c>
      <c r="B5" s="113"/>
      <c r="C5" s="113"/>
      <c r="D5" s="114" t="s">
        <v>58</v>
      </c>
      <c r="E5" s="115"/>
      <c r="F5" s="115"/>
      <c r="G5" s="115"/>
      <c r="H5" s="115"/>
      <c r="I5" s="115"/>
      <c r="J5" s="115"/>
      <c r="K5" s="116"/>
    </row>
    <row r="6" spans="1:11" ht="16.5" customHeight="1" thickBot="1" x14ac:dyDescent="0.25">
      <c r="A6" s="117" t="s">
        <v>5</v>
      </c>
      <c r="B6" s="117"/>
      <c r="C6" s="117"/>
      <c r="D6" s="114" t="s">
        <v>58</v>
      </c>
      <c r="E6" s="115"/>
      <c r="F6" s="115"/>
      <c r="G6" s="115"/>
      <c r="H6" s="115"/>
      <c r="I6" s="115"/>
      <c r="J6" s="115"/>
      <c r="K6" s="116"/>
    </row>
    <row r="7" spans="1:11" ht="16.5" customHeight="1" thickBot="1" x14ac:dyDescent="0.25">
      <c r="A7" s="113" t="s">
        <v>6</v>
      </c>
      <c r="B7" s="113"/>
      <c r="C7" s="113"/>
      <c r="D7" s="118" t="s">
        <v>64</v>
      </c>
      <c r="E7" s="118"/>
      <c r="F7" s="118"/>
      <c r="G7" s="118"/>
      <c r="H7" s="118"/>
      <c r="I7" s="118"/>
      <c r="J7" s="118"/>
      <c r="K7" s="118"/>
    </row>
    <row r="8" spans="1:11" ht="40.5" customHeight="1" thickBot="1" x14ac:dyDescent="0.25">
      <c r="A8" s="97" t="s">
        <v>7</v>
      </c>
      <c r="B8" s="97"/>
      <c r="C8" s="97"/>
      <c r="D8" s="98" t="s">
        <v>81</v>
      </c>
      <c r="E8" s="98"/>
      <c r="F8" s="98"/>
      <c r="G8" s="98"/>
      <c r="H8" s="98"/>
      <c r="I8" s="98"/>
      <c r="J8" s="98"/>
      <c r="K8" s="98"/>
    </row>
    <row r="9" spans="1:11" ht="16.5" thickBot="1" x14ac:dyDescent="0.25">
      <c r="A9" s="107"/>
      <c r="B9" s="108"/>
      <c r="C9" s="108"/>
      <c r="D9" s="108"/>
      <c r="E9" s="108"/>
      <c r="F9" s="108"/>
      <c r="G9" s="108"/>
      <c r="H9" s="108"/>
      <c r="I9" s="108"/>
      <c r="J9" s="108"/>
      <c r="K9" s="109"/>
    </row>
    <row r="10" spans="1:11" ht="18.75" customHeight="1" thickBot="1" x14ac:dyDescent="0.25">
      <c r="A10" s="99" t="s">
        <v>8</v>
      </c>
      <c r="B10" s="100" t="s">
        <v>9</v>
      </c>
      <c r="C10" s="100" t="s">
        <v>10</v>
      </c>
      <c r="D10" s="100"/>
      <c r="E10" s="100"/>
      <c r="F10" s="100"/>
      <c r="G10" s="100"/>
      <c r="H10" s="101" t="s">
        <v>11</v>
      </c>
      <c r="I10" s="102" t="s">
        <v>12</v>
      </c>
      <c r="J10" s="103" t="s">
        <v>13</v>
      </c>
      <c r="K10" s="102" t="s">
        <v>14</v>
      </c>
    </row>
    <row r="11" spans="1:11" ht="24" customHeight="1" thickBot="1" x14ac:dyDescent="0.25">
      <c r="A11" s="99"/>
      <c r="B11" s="100"/>
      <c r="C11" s="100"/>
      <c r="D11" s="100"/>
      <c r="E11" s="100"/>
      <c r="F11" s="100"/>
      <c r="G11" s="100"/>
      <c r="H11" s="101"/>
      <c r="I11" s="102"/>
      <c r="J11" s="103"/>
      <c r="K11" s="102"/>
    </row>
    <row r="12" spans="1:11" ht="51.75" customHeight="1" thickBot="1" x14ac:dyDescent="0.25">
      <c r="A12" s="33">
        <v>1</v>
      </c>
      <c r="B12" s="70" t="s">
        <v>65</v>
      </c>
      <c r="C12" s="110" t="s">
        <v>73</v>
      </c>
      <c r="D12" s="111" t="s">
        <v>73</v>
      </c>
      <c r="E12" s="111" t="s">
        <v>73</v>
      </c>
      <c r="F12" s="111" t="s">
        <v>73</v>
      </c>
      <c r="G12" s="112" t="s">
        <v>73</v>
      </c>
      <c r="H12" s="75" t="s">
        <v>54</v>
      </c>
      <c r="I12" s="34" t="s">
        <v>68</v>
      </c>
      <c r="J12" s="77">
        <v>8980.23</v>
      </c>
      <c r="K12" s="73">
        <v>77</v>
      </c>
    </row>
    <row r="13" spans="1:11" ht="51.75" customHeight="1" thickBot="1" x14ac:dyDescent="0.25">
      <c r="A13" s="71">
        <v>2</v>
      </c>
      <c r="B13" s="72" t="s">
        <v>69</v>
      </c>
      <c r="C13" s="104" t="s">
        <v>74</v>
      </c>
      <c r="D13" s="105" t="s">
        <v>74</v>
      </c>
      <c r="E13" s="105" t="s">
        <v>74</v>
      </c>
      <c r="F13" s="105" t="s">
        <v>74</v>
      </c>
      <c r="G13" s="106" t="s">
        <v>74</v>
      </c>
      <c r="H13" s="76" t="s">
        <v>54</v>
      </c>
      <c r="I13" s="78" t="s">
        <v>68</v>
      </c>
      <c r="J13" s="66">
        <v>123329.60000000001</v>
      </c>
      <c r="K13" s="74">
        <v>6</v>
      </c>
    </row>
    <row r="14" spans="1:11" ht="51.75" customHeight="1" thickBot="1" x14ac:dyDescent="0.25">
      <c r="A14" s="33">
        <v>3</v>
      </c>
      <c r="B14" s="70" t="s">
        <v>72</v>
      </c>
      <c r="C14" s="110" t="s">
        <v>75</v>
      </c>
      <c r="D14" s="111" t="s">
        <v>75</v>
      </c>
      <c r="E14" s="111" t="s">
        <v>75</v>
      </c>
      <c r="F14" s="111" t="s">
        <v>75</v>
      </c>
      <c r="G14" s="112" t="s">
        <v>75</v>
      </c>
      <c r="H14" s="75" t="s">
        <v>54</v>
      </c>
      <c r="I14" s="34" t="s">
        <v>68</v>
      </c>
      <c r="J14" s="77">
        <v>14096.73</v>
      </c>
      <c r="K14" s="73">
        <v>60</v>
      </c>
    </row>
    <row r="15" spans="1:11" ht="51.75" customHeight="1" thickBot="1" x14ac:dyDescent="0.25">
      <c r="A15" s="33">
        <v>4</v>
      </c>
      <c r="B15" s="70" t="s">
        <v>71</v>
      </c>
      <c r="C15" s="110" t="s">
        <v>76</v>
      </c>
      <c r="D15" s="111" t="s">
        <v>76</v>
      </c>
      <c r="E15" s="111" t="s">
        <v>76</v>
      </c>
      <c r="F15" s="111" t="s">
        <v>76</v>
      </c>
      <c r="G15" s="112" t="s">
        <v>76</v>
      </c>
      <c r="H15" s="75" t="s">
        <v>54</v>
      </c>
      <c r="I15" s="34" t="s">
        <v>68</v>
      </c>
      <c r="J15" s="77">
        <v>16646.580000000002</v>
      </c>
      <c r="K15" s="73">
        <v>70</v>
      </c>
    </row>
    <row r="16" spans="1:11" ht="36.75" customHeight="1" thickBot="1" x14ac:dyDescent="0.25">
      <c r="A16" s="93" t="s">
        <v>82</v>
      </c>
      <c r="B16" s="93"/>
      <c r="C16" s="93"/>
      <c r="D16" s="93"/>
      <c r="E16" s="93"/>
      <c r="F16" s="93"/>
      <c r="G16" s="93"/>
      <c r="H16" s="93"/>
      <c r="I16" s="94"/>
      <c r="J16" s="95">
        <v>3442519.71</v>
      </c>
      <c r="K16" s="96"/>
    </row>
  </sheetData>
  <mergeCells count="27">
    <mergeCell ref="A1:I1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  <mergeCell ref="A16:I16"/>
    <mergeCell ref="J16:K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3:G13"/>
    <mergeCell ref="A9:K9"/>
    <mergeCell ref="C12:G12"/>
    <mergeCell ref="C14:G14"/>
    <mergeCell ref="C15:G1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9"/>
  <sheetViews>
    <sheetView topLeftCell="A12" zoomScale="110" zoomScaleNormal="110" workbookViewId="0">
      <selection activeCell="S15" sqref="S15"/>
    </sheetView>
  </sheetViews>
  <sheetFormatPr baseColWidth="10" defaultColWidth="11" defaultRowHeight="12.75" x14ac:dyDescent="0.2"/>
  <cols>
    <col min="1" max="5" width="4.42578125" customWidth="1"/>
    <col min="6" max="6" width="5.140625" bestFit="1" customWidth="1"/>
    <col min="7" max="7" width="4.42578125" style="8" customWidth="1"/>
    <col min="8" max="14" width="4.42578125" customWidth="1"/>
    <col min="15" max="16" width="14.85546875" customWidth="1"/>
    <col min="17" max="17" width="15.42578125" customWidth="1"/>
  </cols>
  <sheetData>
    <row r="1" spans="1:17" ht="15.75" customHeight="1" x14ac:dyDescent="0.25">
      <c r="A1" s="142" t="s">
        <v>15</v>
      </c>
      <c r="B1" s="142"/>
      <c r="C1" s="142"/>
      <c r="D1" s="143">
        <v>2022</v>
      </c>
      <c r="E1" s="143"/>
      <c r="F1" s="9"/>
      <c r="G1" s="9"/>
      <c r="H1" s="10"/>
      <c r="I1" s="10"/>
      <c r="J1" s="10"/>
      <c r="K1" s="10"/>
      <c r="L1" s="10"/>
      <c r="M1" s="10"/>
      <c r="N1" s="10"/>
      <c r="O1" s="11"/>
      <c r="P1" s="144" t="s">
        <v>16</v>
      </c>
      <c r="Q1" s="144"/>
    </row>
    <row r="2" spans="1:17" ht="15.75" customHeight="1" x14ac:dyDescent="0.2">
      <c r="A2" s="12"/>
      <c r="H2" s="13"/>
      <c r="I2" s="13"/>
      <c r="J2" s="13"/>
      <c r="K2" s="13"/>
      <c r="L2" s="13"/>
      <c r="M2" s="13"/>
      <c r="N2" s="13"/>
      <c r="P2" s="144"/>
      <c r="Q2" s="144"/>
    </row>
    <row r="3" spans="1:17" ht="13.5" thickBot="1" x14ac:dyDescent="0.25">
      <c r="A3" s="12"/>
      <c r="Q3" s="14"/>
    </row>
    <row r="4" spans="1:17" s="15" customFormat="1" ht="18" customHeight="1" thickBot="1" x14ac:dyDescent="0.25">
      <c r="A4" s="145" t="s">
        <v>17</v>
      </c>
      <c r="B4" s="145"/>
      <c r="C4" s="145"/>
      <c r="D4" s="145"/>
      <c r="E4" s="145"/>
      <c r="F4" s="145"/>
      <c r="G4" s="141" t="s">
        <v>56</v>
      </c>
      <c r="H4" s="141"/>
      <c r="I4" s="141"/>
      <c r="J4" s="141"/>
      <c r="K4" s="141"/>
      <c r="L4" s="141"/>
      <c r="M4" s="141"/>
      <c r="N4" s="141"/>
      <c r="O4" s="141"/>
      <c r="P4" s="141"/>
      <c r="Q4" s="141"/>
    </row>
    <row r="5" spans="1:17" s="15" customFormat="1" ht="18" customHeight="1" thickBot="1" x14ac:dyDescent="0.25">
      <c r="A5" s="140" t="s">
        <v>3</v>
      </c>
      <c r="B5" s="140"/>
      <c r="C5" s="140"/>
      <c r="D5" s="140"/>
      <c r="E5" s="140"/>
      <c r="F5" s="140"/>
      <c r="G5" s="141" t="s">
        <v>57</v>
      </c>
      <c r="H5" s="141"/>
      <c r="I5" s="141"/>
      <c r="J5" s="141"/>
      <c r="K5" s="141"/>
      <c r="L5" s="141"/>
      <c r="M5" s="141"/>
      <c r="N5" s="141"/>
      <c r="O5" s="141"/>
      <c r="P5" s="141"/>
      <c r="Q5" s="141"/>
    </row>
    <row r="6" spans="1:17" s="15" customFormat="1" ht="18" customHeight="1" thickBot="1" x14ac:dyDescent="0.25">
      <c r="A6" s="140" t="s">
        <v>4</v>
      </c>
      <c r="B6" s="140"/>
      <c r="C6" s="140"/>
      <c r="D6" s="140"/>
      <c r="E6" s="140"/>
      <c r="F6" s="140"/>
      <c r="G6" s="141" t="s">
        <v>58</v>
      </c>
      <c r="H6" s="141"/>
      <c r="I6" s="141"/>
      <c r="J6" s="141"/>
      <c r="K6" s="141"/>
      <c r="L6" s="141"/>
      <c r="M6" s="141"/>
      <c r="N6" s="141"/>
      <c r="O6" s="141"/>
      <c r="P6" s="141"/>
      <c r="Q6" s="141"/>
    </row>
    <row r="7" spans="1:17" s="15" customFormat="1" ht="22.5" customHeight="1" thickBot="1" x14ac:dyDescent="0.25">
      <c r="A7" s="140" t="s">
        <v>5</v>
      </c>
      <c r="B7" s="140"/>
      <c r="C7" s="140"/>
      <c r="D7" s="140"/>
      <c r="E7" s="140"/>
      <c r="F7" s="140"/>
      <c r="G7" s="141" t="s">
        <v>58</v>
      </c>
      <c r="H7" s="141"/>
      <c r="I7" s="141"/>
      <c r="J7" s="141"/>
      <c r="K7" s="141"/>
      <c r="L7" s="141"/>
      <c r="M7" s="141"/>
      <c r="N7" s="141"/>
      <c r="O7" s="141"/>
      <c r="P7" s="141"/>
      <c r="Q7" s="141"/>
    </row>
    <row r="8" spans="1:17" ht="18" customHeight="1" thickBot="1" x14ac:dyDescent="0.25">
      <c r="A8" s="132" t="s">
        <v>18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</row>
    <row r="9" spans="1:17" ht="18" customHeight="1" x14ac:dyDescent="0.2">
      <c r="A9" s="133" t="s">
        <v>19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</row>
    <row r="10" spans="1:17" ht="66" customHeight="1" x14ac:dyDescent="0.2">
      <c r="A10" s="134" t="s">
        <v>87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</row>
    <row r="11" spans="1:17" ht="9" customHeight="1" thickBot="1" x14ac:dyDescent="0.25">
      <c r="A11" s="12"/>
      <c r="Q11" s="14"/>
    </row>
    <row r="12" spans="1:17" ht="15.75" customHeight="1" thickBot="1" x14ac:dyDescent="0.25">
      <c r="A12" s="135" t="s">
        <v>20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</row>
    <row r="13" spans="1:17" ht="15.75" customHeight="1" thickBot="1" x14ac:dyDescent="0.25">
      <c r="A13" s="136" t="s">
        <v>21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7" t="s">
        <v>22</v>
      </c>
      <c r="P13" s="138"/>
      <c r="Q13" s="135" t="s">
        <v>23</v>
      </c>
    </row>
    <row r="14" spans="1:17" ht="15.75" customHeight="1" thickBot="1" x14ac:dyDescent="0.25">
      <c r="A14" s="16" t="s">
        <v>24</v>
      </c>
      <c r="B14" s="17" t="s">
        <v>25</v>
      </c>
      <c r="C14" s="17" t="s">
        <v>55</v>
      </c>
      <c r="D14" s="17" t="s">
        <v>26</v>
      </c>
      <c r="E14" s="17" t="s">
        <v>27</v>
      </c>
      <c r="F14" s="17" t="s">
        <v>28</v>
      </c>
      <c r="G14" s="18" t="s">
        <v>29</v>
      </c>
      <c r="H14" s="17" t="s">
        <v>30</v>
      </c>
      <c r="I14" s="17" t="s">
        <v>31</v>
      </c>
      <c r="J14" s="17" t="s">
        <v>32</v>
      </c>
      <c r="K14" s="17" t="s">
        <v>32</v>
      </c>
      <c r="L14" s="17" t="s">
        <v>33</v>
      </c>
      <c r="M14" s="19" t="s">
        <v>34</v>
      </c>
      <c r="N14" s="20" t="s">
        <v>35</v>
      </c>
      <c r="O14" s="137"/>
      <c r="P14" s="138"/>
      <c r="Q14" s="139"/>
    </row>
    <row r="15" spans="1:17" ht="31.5" customHeight="1" thickBot="1" x14ac:dyDescent="0.25">
      <c r="A15" s="79">
        <v>1</v>
      </c>
      <c r="B15" s="82">
        <v>0</v>
      </c>
      <c r="C15" s="83">
        <v>0</v>
      </c>
      <c r="D15" s="83">
        <v>1</v>
      </c>
      <c r="E15" s="83">
        <v>0</v>
      </c>
      <c r="F15" s="83">
        <v>4901</v>
      </c>
      <c r="G15" s="83">
        <v>1</v>
      </c>
      <c r="H15" s="83">
        <v>3</v>
      </c>
      <c r="I15" s="83">
        <v>2</v>
      </c>
      <c r="J15" s="83">
        <v>5</v>
      </c>
      <c r="K15" s="83">
        <v>5</v>
      </c>
      <c r="L15" s="83">
        <v>0</v>
      </c>
      <c r="M15" s="84">
        <v>1</v>
      </c>
      <c r="N15" s="83" t="s">
        <v>37</v>
      </c>
      <c r="O15" s="129" t="s">
        <v>88</v>
      </c>
      <c r="P15" s="130"/>
      <c r="Q15" s="85">
        <v>3442519.71</v>
      </c>
    </row>
    <row r="16" spans="1:17" ht="28.5" customHeight="1" x14ac:dyDescent="0.2">
      <c r="A16" s="31"/>
      <c r="B16" s="80"/>
      <c r="C16" s="80"/>
      <c r="D16" s="80"/>
      <c r="E16" s="80"/>
      <c r="F16" s="80"/>
      <c r="G16" s="80"/>
      <c r="H16" s="80"/>
      <c r="I16" s="22"/>
      <c r="J16" s="22"/>
      <c r="K16" s="22"/>
      <c r="L16" s="80"/>
      <c r="M16" s="81"/>
      <c r="N16" s="80"/>
      <c r="O16" s="131"/>
      <c r="P16" s="131"/>
      <c r="Q16" s="32"/>
    </row>
    <row r="17" spans="1:17" ht="17.25" customHeight="1" x14ac:dyDescent="0.2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3"/>
      <c r="N17" s="24"/>
      <c r="O17" s="128"/>
      <c r="P17" s="128"/>
      <c r="Q17" s="25"/>
    </row>
    <row r="18" spans="1:17" ht="17.25" customHeight="1" x14ac:dyDescent="0.2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3"/>
      <c r="N18" s="24"/>
      <c r="O18" s="128"/>
      <c r="P18" s="128"/>
      <c r="Q18" s="25"/>
    </row>
    <row r="19" spans="1:17" ht="17.25" customHeight="1" x14ac:dyDescent="0.2">
      <c r="A19" s="2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3"/>
      <c r="N19" s="24"/>
      <c r="O19" s="128"/>
      <c r="P19" s="128"/>
      <c r="Q19" s="25"/>
    </row>
    <row r="20" spans="1:17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4"/>
      <c r="O20" s="128"/>
      <c r="P20" s="128"/>
      <c r="Q20" s="25"/>
    </row>
    <row r="21" spans="1:17" ht="17.25" customHeight="1" x14ac:dyDescent="0.2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3"/>
      <c r="N21" s="24"/>
      <c r="O21" s="128"/>
      <c r="P21" s="128"/>
      <c r="Q21" s="25"/>
    </row>
    <row r="22" spans="1:17" ht="17.25" customHeight="1" x14ac:dyDescent="0.2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3"/>
      <c r="N22" s="24"/>
      <c r="O22" s="128"/>
      <c r="P22" s="128"/>
      <c r="Q22" s="25"/>
    </row>
    <row r="23" spans="1:17" ht="17.25" customHeight="1" x14ac:dyDescent="0.2">
      <c r="A23" s="21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3"/>
      <c r="N23" s="24"/>
      <c r="O23" s="128"/>
      <c r="P23" s="128"/>
      <c r="Q23" s="25"/>
    </row>
    <row r="24" spans="1:17" ht="17.25" customHeight="1" x14ac:dyDescent="0.2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3"/>
      <c r="N24" s="24"/>
      <c r="O24" s="128"/>
      <c r="P24" s="128"/>
      <c r="Q24" s="25"/>
    </row>
    <row r="25" spans="1:17" ht="17.25" customHeight="1" x14ac:dyDescent="0.2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3"/>
      <c r="N25" s="24"/>
      <c r="O25" s="128"/>
      <c r="P25" s="128"/>
      <c r="Q25" s="25"/>
    </row>
    <row r="26" spans="1:17" ht="17.25" customHeight="1" x14ac:dyDescent="0.2">
      <c r="A26" s="21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3"/>
      <c r="N26" s="24"/>
      <c r="O26" s="128"/>
      <c r="P26" s="128"/>
      <c r="Q26" s="25"/>
    </row>
    <row r="27" spans="1:17" ht="17.25" customHeight="1" x14ac:dyDescent="0.2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3"/>
      <c r="N27" s="24"/>
      <c r="O27" s="128"/>
      <c r="P27" s="128"/>
      <c r="Q27" s="25"/>
    </row>
    <row r="28" spans="1:17" ht="17.25" customHeight="1" x14ac:dyDescent="0.2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3"/>
      <c r="N28" s="24"/>
      <c r="O28" s="128"/>
      <c r="P28" s="128"/>
      <c r="Q28" s="25"/>
    </row>
    <row r="29" spans="1:17" ht="17.25" customHeight="1" x14ac:dyDescent="0.2">
      <c r="A29" s="21"/>
      <c r="B29" s="22"/>
      <c r="C29" s="22"/>
      <c r="D29" s="22"/>
      <c r="E29" s="22"/>
      <c r="F29" s="24"/>
      <c r="G29" s="22"/>
      <c r="H29" s="22"/>
      <c r="I29" s="22"/>
      <c r="J29" s="22"/>
      <c r="K29" s="22"/>
      <c r="L29" s="22"/>
      <c r="M29" s="23"/>
      <c r="N29" s="24"/>
      <c r="O29" s="124"/>
      <c r="P29" s="124"/>
      <c r="Q29" s="25"/>
    </row>
    <row r="30" spans="1:17" ht="17.25" customHeight="1" x14ac:dyDescent="0.2">
      <c r="A30" s="21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3"/>
      <c r="N30" s="24"/>
      <c r="O30" s="124"/>
      <c r="P30" s="124"/>
      <c r="Q30" s="25"/>
    </row>
    <row r="31" spans="1:17" ht="17.25" customHeight="1" x14ac:dyDescent="0.2">
      <c r="A31" s="21"/>
      <c r="B31" s="22"/>
      <c r="C31" s="22"/>
      <c r="D31" s="22"/>
      <c r="E31" s="22"/>
      <c r="F31" s="24"/>
      <c r="G31" s="22"/>
      <c r="H31" s="22"/>
      <c r="I31" s="22"/>
      <c r="J31" s="22"/>
      <c r="K31" s="22"/>
      <c r="L31" s="22"/>
      <c r="M31" s="23"/>
      <c r="N31" s="24"/>
      <c r="O31" s="124"/>
      <c r="P31" s="124"/>
      <c r="Q31" s="25"/>
    </row>
    <row r="32" spans="1:17" ht="17.25" customHeight="1" x14ac:dyDescent="0.2">
      <c r="A32" s="21"/>
      <c r="B32" s="22"/>
      <c r="C32" s="22"/>
      <c r="D32" s="22"/>
      <c r="E32" s="22"/>
      <c r="F32" s="24"/>
      <c r="G32" s="22"/>
      <c r="H32" s="22"/>
      <c r="I32" s="22"/>
      <c r="J32" s="22"/>
      <c r="K32" s="22"/>
      <c r="L32" s="22"/>
      <c r="M32" s="23"/>
      <c r="N32" s="24"/>
      <c r="O32" s="124"/>
      <c r="P32" s="124"/>
      <c r="Q32" s="25"/>
    </row>
    <row r="33" spans="1:17" ht="17.25" customHeight="1" x14ac:dyDescent="0.2">
      <c r="A33" s="26"/>
      <c r="B33" s="27"/>
      <c r="C33" s="27"/>
      <c r="D33" s="27"/>
      <c r="E33" s="27"/>
      <c r="F33" s="24"/>
      <c r="G33" s="27"/>
      <c r="H33" s="27"/>
      <c r="I33" s="27"/>
      <c r="J33" s="27"/>
      <c r="K33" s="27"/>
      <c r="L33" s="27"/>
      <c r="M33" s="28"/>
      <c r="N33" s="29"/>
      <c r="O33" s="124"/>
      <c r="P33" s="124"/>
      <c r="Q33" s="25"/>
    </row>
    <row r="34" spans="1:17" ht="17.25" customHeight="1" x14ac:dyDescent="0.2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8"/>
      <c r="O34" s="125"/>
      <c r="P34" s="125"/>
      <c r="Q34" s="60"/>
    </row>
    <row r="35" spans="1:17" ht="30.75" customHeight="1" x14ac:dyDescent="0.2">
      <c r="A35" s="126" t="s">
        <v>84</v>
      </c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30">
        <f>SUM(Q15:Q34)</f>
        <v>3442519.71</v>
      </c>
    </row>
    <row r="36" spans="1:17" ht="18" customHeight="1" x14ac:dyDescent="0.2">
      <c r="A36" s="127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</row>
    <row r="37" spans="1:17" ht="17.25" customHeight="1" x14ac:dyDescent="0.2">
      <c r="A37" s="120" t="s">
        <v>36</v>
      </c>
      <c r="B37" s="120"/>
      <c r="C37" s="120"/>
      <c r="D37" s="120"/>
      <c r="E37" s="120"/>
      <c r="F37" s="120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</row>
    <row r="38" spans="1:17" ht="18" customHeight="1" x14ac:dyDescent="0.2">
      <c r="A38" s="122" t="s">
        <v>81</v>
      </c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</row>
    <row r="39" spans="1:17" ht="63.75" customHeight="1" x14ac:dyDescent="0.2">
      <c r="A39" s="123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</row>
  </sheetData>
  <mergeCells count="43"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O15:P15"/>
    <mergeCell ref="O16:P16"/>
    <mergeCell ref="A8:Q8"/>
    <mergeCell ref="A9:Q9"/>
    <mergeCell ref="A10:Q10"/>
    <mergeCell ref="A12:Q12"/>
    <mergeCell ref="A13:N13"/>
    <mergeCell ref="O13:P14"/>
    <mergeCell ref="Q13:Q14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A37:F37"/>
    <mergeCell ref="G37:Q37"/>
    <mergeCell ref="A38:Q39"/>
    <mergeCell ref="O32:P32"/>
    <mergeCell ref="O33:P33"/>
    <mergeCell ref="O34:P34"/>
    <mergeCell ref="A35:P35"/>
    <mergeCell ref="A36:Q36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Usuario</cp:lastModifiedBy>
  <cp:revision>3</cp:revision>
  <cp:lastPrinted>2022-05-03T13:20:58Z</cp:lastPrinted>
  <dcterms:created xsi:type="dcterms:W3CDTF">2020-07-17T23:44:49Z</dcterms:created>
  <dcterms:modified xsi:type="dcterms:W3CDTF">2022-11-16T11:35:58Z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