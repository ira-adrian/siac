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CONSOLIDADOS\bombas\corregido\HNEP\"/>
    </mc:Choice>
  </mc:AlternateContent>
  <xr:revisionPtr revIDLastSave="0" documentId="8_{D9C047D7-27ED-4F7B-A0C6-8982784CDA57}" xr6:coauthVersionLast="47" xr6:coauthVersionMax="47" xr10:uidLastSave="{00000000-0000-0000-0000-000000000000}"/>
  <bookViews>
    <workbookView xWindow="-120" yWindow="-120" windowWidth="29040" windowHeight="15840" tabRatio="499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NotaPedido'!$A$1:$K$15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G12" i="1" l="1"/>
  <c r="G11" i="1"/>
  <c r="G10" i="1"/>
  <c r="K13" i="2" l="1"/>
  <c r="K14" i="2"/>
  <c r="K12" i="2"/>
  <c r="Q18" i="3" l="1"/>
  <c r="A10" i="3"/>
  <c r="G7" i="3"/>
  <c r="G6" i="3"/>
  <c r="D1" i="3"/>
  <c r="D7" i="2"/>
  <c r="I11" i="1"/>
  <c r="I12" i="1"/>
  <c r="I10" i="1"/>
  <c r="J13" i="2"/>
  <c r="J14" i="2"/>
  <c r="J12" i="2"/>
  <c r="J15" i="2" s="1"/>
  <c r="C13" i="2"/>
  <c r="C14" i="2"/>
  <c r="C12" i="2"/>
  <c r="B13" i="2"/>
  <c r="B14" i="2"/>
  <c r="B12" i="2"/>
  <c r="D3" i="2"/>
  <c r="G4" i="3" s="1"/>
  <c r="D4" i="2"/>
  <c r="G5" i="3" s="1"/>
  <c r="I12" i="2"/>
  <c r="I13" i="2"/>
  <c r="I14" i="2"/>
  <c r="D13" i="1" l="1"/>
  <c r="D14" i="1"/>
  <c r="I13" i="1"/>
  <c r="I14" i="1"/>
</calcChain>
</file>

<file path=xl/sharedStrings.xml><?xml version="1.0" encoding="utf-8"?>
<sst xmlns="http://schemas.openxmlformats.org/spreadsheetml/2006/main" count="119" uniqueCount="88">
  <si>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</si>
  <si>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</si>
  <si>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</si>
  <si>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</si>
  <si>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</si>
  <si>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</si>
  <si>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</si>
  <si>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</si>
  <si>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</si>
  <si>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</si>
  <si>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</si>
  <si>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</si>
  <si>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</si>
  <si>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</si>
  <si>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                                                                                 </t>
  </si>
  <si>
    <t>UNIDAD</t>
  </si>
  <si>
    <t>Treinta (30) días habiles.</t>
  </si>
  <si>
    <t>PROD. MEDICO/FARMACEUTICOS/LAB</t>
  </si>
  <si>
    <t>2.9.5</t>
  </si>
  <si>
    <t>2.9.5-3474.17</t>
  </si>
  <si>
    <t>SET P/BOMBA DE INFUSION; MARCA EQUIPO: ICUMEDICAL, MODELO EQUIPO: PLUM 360 - DOBLE CANAL</t>
  </si>
  <si>
    <t xml:space="preserve">2  ( SEMESTRAL ) </t>
  </si>
  <si>
    <t>Especificidades Item N°  2 :</t>
  </si>
  <si>
    <t>Especificidades Item N°  3 :</t>
  </si>
  <si>
    <t>Especificidades Item N° 1 :</t>
  </si>
  <si>
    <t>Plazo de Mantenimiento de oferta:</t>
  </si>
  <si>
    <t>Plazos y lugares de entrega:</t>
  </si>
  <si>
    <t>:Plazos y lugares de entrega:</t>
  </si>
  <si>
    <t xml:space="preserve">
</t>
  </si>
  <si>
    <t>SET DE BOMBA PARA INFUSION ENDOVENOSA con TUBO REVESTIDO RESISTENTE A LA LUZ.</t>
  </si>
  <si>
    <t>Ver ANEXO I</t>
  </si>
  <si>
    <t xml:space="preserve"> SET DE BOMBA PARA INFUSION ENDOVENOSA.</t>
  </si>
  <si>
    <t>SET DE BOMBA  PARA ALIMENTACION ENTERAL CON PUNSON SIN PUERTO EN Y.</t>
  </si>
  <si>
    <r>
      <rPr>
        <u/>
        <sz val="10"/>
        <rFont val="Times New Roman"/>
        <family val="1"/>
      </rPr>
      <t>Condiciones  de calidad:</t>
    </r>
    <r>
      <rPr>
        <sz val="10"/>
        <rFont val="Times New Roman"/>
        <family val="1"/>
      </rPr>
      <t xml:space="preserve"> </t>
    </r>
  </si>
  <si>
    <t>024 - Hospital Interzonal de Niños</t>
  </si>
  <si>
    <t>NO</t>
  </si>
  <si>
    <t>Cantidad Solicitada</t>
  </si>
  <si>
    <t>Precio Unitario Estimado</t>
  </si>
  <si>
    <t>Unidad Medida</t>
  </si>
  <si>
    <t>Adjunta Detalle Técnico</t>
  </si>
  <si>
    <t>DESCRIPCIÓN</t>
  </si>
  <si>
    <t>Codigo Item</t>
  </si>
  <si>
    <t>Ítem</t>
  </si>
  <si>
    <t>OBJETO:</t>
  </si>
  <si>
    <t>PERIODO UTILIZACIÓN:</t>
  </si>
  <si>
    <t>Farmacia</t>
  </si>
  <si>
    <t xml:space="preserve">DEPENDENCIA SOLICITANTE: </t>
  </si>
  <si>
    <t>UNIDAD EJECUTORA:</t>
  </si>
  <si>
    <t>SAF:</t>
  </si>
  <si>
    <t xml:space="preserve">JURISDICCIÓN: </t>
  </si>
  <si>
    <t>N°</t>
  </si>
  <si>
    <t>NOTA DE PEDIDO</t>
  </si>
  <si>
    <t>Set/ para bombas de infusión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</si>
  <si>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</si>
  <si>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</si>
  <si>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</si>
  <si>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</si>
  <si>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</si>
  <si>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</si>
  <si>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</si>
  <si>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</si>
  <si>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</si>
  <si>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</si>
  <si>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</si>
  <si>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</si>
  <si>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</si>
  <si>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</si>
  <si>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</si>
  <si>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</si>
  <si>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</si>
  <si>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</si>
  <si>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</si>
  <si>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</si>
  <si>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</si>
  <si>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</si>
  <si>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Utiles Menores Medico, Quirurgico y de Laboratorio</t>
  </si>
  <si>
    <t>JUSTIFICACIÓN:</t>
  </si>
  <si>
    <t>40 - MINISTERIO DE SALUD</t>
  </si>
  <si>
    <t>76/2022</t>
  </si>
  <si>
    <t>Para la adquisición de Set/ para bombas de infusión, destinados al servico de Farmacia del Hospital Interzonal de Niños.</t>
  </si>
  <si>
    <t>Costo total estimado: Cuatro Millones Ciento noventa y cinco Mil ciento cuarenta y seis con 00/100.</t>
  </si>
  <si>
    <t>TOTAL DE PESOS: Cuatro Millones Ciento noventa y cinco Mil ciento cuarenta y seis con 00/100.</t>
  </si>
  <si>
    <t>Diez (10) dias habiles. HOSPITAL INT. DE NIÑOS -SERVICIO DE FARMACIA - AV. VIRGEN DEL VALLE N° 1050-CATAMARCA DE 8:00 A 12:00HS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</si>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</sst>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&quot;$&quot;#,##0.00"/>
    <numFmt numFmtId="166" formatCode="[$$-2C0A]\ #,##0.00"/>
    <numFmt numFmtId="167" formatCode="_-* #,##0.00&quot; €&quot;_-;\-* #,##0.00&quot; €&quot;_-;_-* \-??&quot; €&quot;_-;_-@_-"/>
    <numFmt numFmtId="168" formatCode="[$$-2C0A]\ #,##0.00;[$$-2C0A]&quot; -&quot;#,##0.00"/>
    <numFmt numFmtId="169" formatCode="_(\$* #,##0.00_);_(\$* \(#,##0.00\);_(\$* \-??_);_(@_)"/>
    <numFmt numFmtId="170" formatCode="dd\-mm\-yy;@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10">
    <xf numFmtId="0" fontId="0" fillId="0" borderId="0"/>
    <xf numFmtId="0" fontId="2" fillId="0" borderId="1" applyProtection="0"/>
    <xf numFmtId="0" fontId="3" fillId="2" borderId="0" applyBorder="0" applyProtection="0"/>
    <xf numFmtId="44" fontId="14" fillId="0" borderId="0" applyFont="0" applyFill="0" applyBorder="0" applyAlignment="0" applyProtection="0"/>
    <xf numFmtId="167" fontId="14" fillId="0" borderId="0" applyBorder="0" applyProtection="0"/>
    <xf numFmtId="169" fontId="18" fillId="0" borderId="0" applyBorder="0" applyProtection="0"/>
    <xf numFmtId="0" fontId="14" fillId="0" borderId="0"/>
    <xf numFmtId="0" fontId="14" fillId="0" borderId="0"/>
    <xf numFmtId="0" fontId="14" fillId="0" borderId="0"/>
    <xf numFmtId="0" fontId="1" fillId="0" borderId="0"/>
  </cellStyleXfs>
  <cellXfs count="162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2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6" xfId="0" applyFont="1" applyFill="1" applyBorder="1"/>
    <xf numFmtId="0" fontId="5" fillId="0" borderId="0" xfId="0" applyFont="1" applyAlignment="1">
      <alignment horizontal="left" vertical="center"/>
    </xf>
    <xf numFmtId="0" fontId="11" fillId="0" borderId="5" xfId="0" applyFont="1" applyBorder="1"/>
    <xf numFmtId="0" fontId="11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3" fillId="0" borderId="2" xfId="0" applyFont="1" applyBorder="1"/>
    <xf numFmtId="0" fontId="4" fillId="0" borderId="11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15" fillId="0" borderId="0" xfId="0" applyFont="1"/>
    <xf numFmtId="0" fontId="10" fillId="0" borderId="12" xfId="0" applyFont="1" applyFill="1" applyBorder="1" applyAlignment="1">
      <alignment horizontal="center" vertical="center" wrapText="1"/>
    </xf>
    <xf numFmtId="0" fontId="5" fillId="0" borderId="5" xfId="0" applyFont="1" applyBorder="1" applyAlignment="1"/>
    <xf numFmtId="44" fontId="15" fillId="0" borderId="0" xfId="3" applyFont="1"/>
    <xf numFmtId="44" fontId="16" fillId="0" borderId="10" xfId="3" applyFont="1" applyBorder="1" applyAlignment="1">
      <alignment horizontal="center" vertical="center"/>
    </xf>
    <xf numFmtId="44" fontId="16" fillId="0" borderId="13" xfId="3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0" fillId="0" borderId="1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 wrapText="1"/>
    </xf>
    <xf numFmtId="0" fontId="14" fillId="0" borderId="15" xfId="0" applyFont="1" applyBorder="1" applyAlignment="1">
      <alignment vertic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Fill="1" applyBorder="1" applyAlignment="1">
      <alignment vertical="center" wrapText="1"/>
    </xf>
    <xf numFmtId="0" fontId="0" fillId="3" borderId="0" xfId="0" applyFill="1"/>
    <xf numFmtId="0" fontId="18" fillId="3" borderId="0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3" fontId="4" fillId="3" borderId="18" xfId="0" applyNumberFormat="1" applyFont="1" applyFill="1" applyBorder="1" applyAlignment="1">
      <alignment horizontal="center" vertical="center"/>
    </xf>
    <xf numFmtId="168" fontId="4" fillId="3" borderId="19" xfId="4" applyNumberFormat="1" applyFont="1" applyFill="1" applyBorder="1" applyAlignment="1" applyProtection="1">
      <alignment horizontal="righ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 wrapText="1" indent="1"/>
    </xf>
    <xf numFmtId="0" fontId="19" fillId="3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vertical="center"/>
    </xf>
    <xf numFmtId="0" fontId="22" fillId="3" borderId="27" xfId="0" applyFont="1" applyFill="1" applyBorder="1" applyAlignment="1">
      <alignment vertical="center"/>
    </xf>
    <xf numFmtId="0" fontId="20" fillId="3" borderId="28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right" vertical="center"/>
    </xf>
    <xf numFmtId="0" fontId="8" fillId="3" borderId="15" xfId="0" applyFont="1" applyFill="1" applyBorder="1" applyAlignment="1">
      <alignment horizontal="center" vertical="center" wrapText="1"/>
    </xf>
    <xf numFmtId="165" fontId="8" fillId="3" borderId="15" xfId="0" applyNumberFormat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164" fontId="9" fillId="3" borderId="15" xfId="0" applyNumberFormat="1" applyFont="1" applyFill="1" applyBorder="1" applyAlignment="1">
      <alignment horizontal="center" vertical="center" wrapText="1"/>
    </xf>
    <xf numFmtId="3" fontId="23" fillId="0" borderId="0" xfId="6" applyNumberFormat="1" applyFont="1" applyBorder="1" applyAlignment="1"/>
    <xf numFmtId="170" fontId="14" fillId="0" borderId="0" xfId="6" applyNumberFormat="1" applyAlignment="1">
      <alignment horizontal="left"/>
    </xf>
    <xf numFmtId="0" fontId="14" fillId="0" borderId="0" xfId="6"/>
    <xf numFmtId="0" fontId="14" fillId="0" borderId="0" xfId="6" applyAlignment="1">
      <alignment horizontal="left"/>
    </xf>
    <xf numFmtId="0" fontId="18" fillId="0" borderId="0" xfId="6" applyFont="1"/>
    <xf numFmtId="0" fontId="14" fillId="0" borderId="0" xfId="6" applyBorder="1"/>
    <xf numFmtId="0" fontId="14" fillId="0" borderId="29" xfId="6" applyBorder="1"/>
    <xf numFmtId="0" fontId="14" fillId="0" borderId="36" xfId="6" applyBorder="1"/>
    <xf numFmtId="0" fontId="14" fillId="0" borderId="27" xfId="6" applyBorder="1"/>
    <xf numFmtId="0" fontId="14" fillId="0" borderId="27" xfId="6" applyBorder="1" applyAlignment="1">
      <alignment horizontal="left"/>
    </xf>
    <xf numFmtId="0" fontId="14" fillId="0" borderId="37" xfId="6" applyBorder="1"/>
    <xf numFmtId="0" fontId="27" fillId="0" borderId="40" xfId="6" applyFont="1" applyBorder="1" applyAlignment="1">
      <alignment horizontal="center" vertical="center"/>
    </xf>
    <xf numFmtId="0" fontId="27" fillId="0" borderId="41" xfId="6" applyFont="1" applyBorder="1" applyAlignment="1">
      <alignment horizontal="center" vertical="center"/>
    </xf>
    <xf numFmtId="0" fontId="27" fillId="0" borderId="41" xfId="6" applyFont="1" applyBorder="1" applyAlignment="1">
      <alignment horizontal="left" vertical="center"/>
    </xf>
    <xf numFmtId="0" fontId="27" fillId="0" borderId="42" xfId="6" applyFont="1" applyBorder="1" applyAlignment="1">
      <alignment horizontal="center" vertical="center"/>
    </xf>
    <xf numFmtId="0" fontId="27" fillId="0" borderId="43" xfId="6" applyFont="1" applyBorder="1" applyAlignment="1">
      <alignment horizontal="center" vertical="center"/>
    </xf>
    <xf numFmtId="0" fontId="14" fillId="0" borderId="44" xfId="6" applyFont="1" applyBorder="1" applyAlignment="1">
      <alignment horizontal="center" vertical="center"/>
    </xf>
    <xf numFmtId="0" fontId="14" fillId="0" borderId="45" xfId="6" applyFont="1" applyBorder="1" applyAlignment="1">
      <alignment horizontal="center" vertical="center"/>
    </xf>
    <xf numFmtId="0" fontId="14" fillId="3" borderId="45" xfId="6" applyFont="1" applyFill="1" applyBorder="1" applyAlignment="1">
      <alignment horizontal="center" vertical="center"/>
    </xf>
    <xf numFmtId="0" fontId="14" fillId="0" borderId="46" xfId="6" applyFont="1" applyBorder="1" applyAlignment="1">
      <alignment horizontal="center" vertical="center"/>
    </xf>
    <xf numFmtId="168" fontId="0" fillId="0" borderId="47" xfId="5" applyNumberFormat="1" applyFont="1" applyBorder="1" applyAlignment="1" applyProtection="1">
      <alignment horizontal="center" vertical="center"/>
    </xf>
    <xf numFmtId="168" fontId="0" fillId="0" borderId="49" xfId="5" applyNumberFormat="1" applyFont="1" applyBorder="1" applyAlignment="1" applyProtection="1">
      <alignment horizontal="center" vertical="center"/>
    </xf>
    <xf numFmtId="0" fontId="25" fillId="0" borderId="44" xfId="6" applyFont="1" applyBorder="1" applyAlignment="1">
      <alignment horizontal="center" vertical="center"/>
    </xf>
    <xf numFmtId="0" fontId="25" fillId="0" borderId="45" xfId="6" applyFont="1" applyBorder="1" applyAlignment="1">
      <alignment horizontal="center" vertical="center"/>
    </xf>
    <xf numFmtId="0" fontId="14" fillId="0" borderId="48" xfId="6" applyBorder="1" applyAlignment="1">
      <alignment horizontal="center" vertical="center"/>
    </xf>
    <xf numFmtId="0" fontId="25" fillId="0" borderId="46" xfId="6" applyFont="1" applyBorder="1" applyAlignment="1">
      <alignment horizontal="center" vertical="center"/>
    </xf>
    <xf numFmtId="0" fontId="25" fillId="0" borderId="48" xfId="6" applyFont="1" applyBorder="1" applyAlignment="1">
      <alignment horizontal="center" vertical="center"/>
    </xf>
    <xf numFmtId="0" fontId="14" fillId="0" borderId="50" xfId="6" applyBorder="1" applyAlignment="1">
      <alignment horizontal="center" vertical="center"/>
    </xf>
    <xf numFmtId="0" fontId="14" fillId="0" borderId="51" xfId="6" applyBorder="1" applyAlignment="1">
      <alignment horizontal="center" vertical="center"/>
    </xf>
    <xf numFmtId="0" fontId="14" fillId="0" borderId="52" xfId="6" applyBorder="1" applyAlignment="1">
      <alignment horizontal="center" vertical="center"/>
    </xf>
    <xf numFmtId="168" fontId="0" fillId="0" borderId="53" xfId="5" applyNumberFormat="1" applyFont="1" applyBorder="1" applyAlignment="1" applyProtection="1">
      <alignment horizontal="center" vertical="center"/>
    </xf>
    <xf numFmtId="168" fontId="27" fillId="3" borderId="54" xfId="6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indent="3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7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wrapText="1"/>
    </xf>
    <xf numFmtId="0" fontId="5" fillId="0" borderId="9" xfId="0" applyFont="1" applyFill="1" applyBorder="1" applyAlignment="1">
      <alignment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wrapText="1" inden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5" fillId="4" borderId="5" xfId="8" applyFont="1" applyFill="1" applyBorder="1" applyAlignment="1">
      <alignment horizontal="left" wrapText="1"/>
    </xf>
    <xf numFmtId="0" fontId="5" fillId="4" borderId="0" xfId="8" applyFont="1" applyFill="1" applyBorder="1" applyAlignment="1">
      <alignment horizontal="left" wrapText="1"/>
    </xf>
    <xf numFmtId="0" fontId="5" fillId="4" borderId="6" xfId="8" applyFont="1" applyFill="1" applyBorder="1" applyAlignment="1">
      <alignment horizontal="left" wrapText="1"/>
    </xf>
    <xf numFmtId="0" fontId="20" fillId="3" borderId="16" xfId="0" applyFont="1" applyFill="1" applyBorder="1" applyAlignment="1">
      <alignment horizontal="left" vertical="center" wrapText="1" indent="1"/>
    </xf>
    <xf numFmtId="166" fontId="19" fillId="3" borderId="16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 wrapText="1"/>
    </xf>
    <xf numFmtId="0" fontId="19" fillId="3" borderId="23" xfId="0" applyFont="1" applyFill="1" applyBorder="1" applyAlignment="1">
      <alignment horizontal="left" vertical="center"/>
    </xf>
    <xf numFmtId="0" fontId="20" fillId="4" borderId="21" xfId="0" applyFont="1" applyFill="1" applyBorder="1" applyAlignment="1">
      <alignment horizontal="left" vertical="center" wrapText="1" indent="1"/>
    </xf>
    <xf numFmtId="0" fontId="21" fillId="3" borderId="2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left" vertical="center" wrapText="1" indent="1"/>
    </xf>
    <xf numFmtId="0" fontId="19" fillId="3" borderId="25" xfId="0" applyFont="1" applyFill="1" applyBorder="1" applyAlignment="1">
      <alignment horizontal="left" vertical="center" wrapText="1"/>
    </xf>
    <xf numFmtId="0" fontId="22" fillId="3" borderId="0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left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5" fillId="0" borderId="34" xfId="6" applyFont="1" applyBorder="1"/>
    <xf numFmtId="0" fontId="14" fillId="0" borderId="30" xfId="6" applyFont="1" applyBorder="1" applyAlignment="1">
      <alignment horizontal="center"/>
    </xf>
    <xf numFmtId="3" fontId="23" fillId="0" borderId="31" xfId="6" applyNumberFormat="1" applyFont="1" applyBorder="1" applyAlignment="1">
      <alignment horizontal="center"/>
    </xf>
    <xf numFmtId="0" fontId="24" fillId="0" borderId="28" xfId="6" applyFont="1" applyBorder="1" applyAlignment="1">
      <alignment horizontal="center" vertical="center" wrapText="1"/>
    </xf>
    <xf numFmtId="0" fontId="18" fillId="0" borderId="28" xfId="6" applyFont="1" applyBorder="1"/>
    <xf numFmtId="0" fontId="25" fillId="0" borderId="28" xfId="6" applyFont="1" applyBorder="1" applyAlignment="1">
      <alignment horizontal="left" indent="1"/>
    </xf>
    <xf numFmtId="0" fontId="4" fillId="3" borderId="26" xfId="6" applyFont="1" applyFill="1" applyBorder="1" applyAlignment="1">
      <alignment horizontal="left" vertical="center" wrapText="1"/>
    </xf>
    <xf numFmtId="0" fontId="4" fillId="3" borderId="32" xfId="6" applyFont="1" applyFill="1" applyBorder="1" applyAlignment="1">
      <alignment horizontal="left" vertical="center" wrapText="1"/>
    </xf>
    <xf numFmtId="0" fontId="4" fillId="3" borderId="33" xfId="6" applyFont="1" applyFill="1" applyBorder="1" applyAlignment="1">
      <alignment horizontal="left" vertical="center" wrapText="1"/>
    </xf>
    <xf numFmtId="0" fontId="25" fillId="3" borderId="28" xfId="6" applyFont="1" applyFill="1" applyBorder="1" applyAlignment="1">
      <alignment horizontal="left" indent="1"/>
    </xf>
    <xf numFmtId="0" fontId="26" fillId="0" borderId="28" xfId="6" applyFont="1" applyBorder="1" applyAlignment="1">
      <alignment horizontal="left"/>
    </xf>
    <xf numFmtId="0" fontId="14" fillId="0" borderId="51" xfId="6" applyBorder="1" applyAlignment="1">
      <alignment horizontal="left" vertical="center"/>
    </xf>
    <xf numFmtId="0" fontId="25" fillId="3" borderId="35" xfId="6" applyFont="1" applyFill="1" applyBorder="1" applyAlignment="1">
      <alignment horizontal="left" vertical="center" wrapText="1" indent="1"/>
    </xf>
    <xf numFmtId="0" fontId="27" fillId="0" borderId="38" xfId="6" applyFont="1" applyBorder="1" applyAlignment="1">
      <alignment horizontal="center" vertical="center"/>
    </xf>
    <xf numFmtId="0" fontId="27" fillId="0" borderId="28" xfId="6" applyFont="1" applyBorder="1" applyAlignment="1">
      <alignment horizontal="center" vertical="center"/>
    </xf>
    <xf numFmtId="0" fontId="27" fillId="0" borderId="38" xfId="6" applyFont="1" applyBorder="1" applyAlignment="1">
      <alignment horizontal="center" vertical="center" wrapText="1"/>
    </xf>
    <xf numFmtId="0" fontId="27" fillId="0" borderId="28" xfId="6" applyFont="1" applyBorder="1" applyAlignment="1">
      <alignment horizontal="center" vertical="center" wrapText="1"/>
    </xf>
    <xf numFmtId="0" fontId="27" fillId="0" borderId="39" xfId="6" applyFont="1" applyBorder="1" applyAlignment="1">
      <alignment horizontal="center" vertical="center"/>
    </xf>
    <xf numFmtId="0" fontId="27" fillId="0" borderId="33" xfId="6" applyFont="1" applyBorder="1" applyAlignment="1">
      <alignment horizontal="center" vertical="center"/>
    </xf>
    <xf numFmtId="0" fontId="14" fillId="0" borderId="56" xfId="6" applyFont="1" applyBorder="1" applyAlignment="1">
      <alignment horizontal="left" vertical="center" wrapText="1"/>
    </xf>
    <xf numFmtId="0" fontId="14" fillId="0" borderId="57" xfId="6" applyFont="1" applyBorder="1" applyAlignment="1">
      <alignment horizontal="left" vertical="center" wrapText="1"/>
    </xf>
    <xf numFmtId="0" fontId="14" fillId="0" borderId="48" xfId="6" applyBorder="1" applyAlignment="1">
      <alignment horizontal="left" vertical="center"/>
    </xf>
    <xf numFmtId="0" fontId="23" fillId="3" borderId="43" xfId="6" applyFont="1" applyFill="1" applyBorder="1" applyAlignment="1">
      <alignment horizontal="left" vertical="center" wrapText="1"/>
    </xf>
    <xf numFmtId="0" fontId="14" fillId="0" borderId="38" xfId="6" applyBorder="1"/>
    <xf numFmtId="0" fontId="14" fillId="0" borderId="35" xfId="6" applyBorder="1"/>
    <xf numFmtId="0" fontId="23" fillId="0" borderId="2" xfId="6" applyFont="1" applyBorder="1" applyAlignment="1">
      <alignment vertical="center" wrapText="1"/>
    </xf>
    <xf numFmtId="0" fontId="23" fillId="0" borderId="55" xfId="6" applyFont="1" applyBorder="1" applyAlignment="1">
      <alignment vertical="center" wrapText="1"/>
    </xf>
    <xf numFmtId="0" fontId="25" fillId="0" borderId="39" xfId="6" applyFont="1" applyBorder="1" applyAlignment="1">
      <alignment vertical="center" wrapText="1"/>
    </xf>
    <xf numFmtId="0" fontId="25" fillId="4" borderId="43" xfId="6" applyFont="1" applyFill="1" applyBorder="1" applyAlignment="1">
      <alignment horizontal="left" vertical="center" wrapText="1" indent="1"/>
    </xf>
  </cellXfs>
  <cellStyles count="10">
    <cellStyle name="Encabezado 1" xfId="1" xr:uid="{00000000-0005-0000-0000-000000000000}"/>
    <cellStyle name="Moneda" xfId="3" builtinId="4"/>
    <cellStyle name="Moneda 2" xfId="4" xr:uid="{00000000-0005-0000-0000-000002000000}"/>
    <cellStyle name="Moneda_AUTORIZACION Y NOTA DE PEDIDO" xfId="5" xr:uid="{00000000-0005-0000-0000-000003000000}"/>
    <cellStyle name="Neutral 1" xfId="2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3" xfId="8" xr:uid="{00000000-0005-0000-0000-000008000000}"/>
    <cellStyle name="Normal 3" xfId="9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MPRAS\AppData\Local\Temp\$frd_\F9R3E66.tmp\DESCARTABLES%20DESIERTOS%20Y%20FRACASADOS%201%20TRIM.%20SAF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  <row r="6">
          <cell r="C6">
            <v>2022</v>
          </cell>
        </row>
        <row r="10">
          <cell r="F10" t="str">
            <v>unidad</v>
          </cell>
        </row>
        <row r="11">
          <cell r="F11" t="str">
            <v>unidad</v>
          </cell>
        </row>
        <row r="12">
          <cell r="F12" t="str">
            <v xml:space="preserve">unidad  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SheetLayoutView="80" workbookViewId="0">
      <selection activeCell="E54" sqref="E54"/>
    </sheetView>
  </sheetViews>
  <sheetFormatPr baseColWidth="10" defaultColWidth="11" defaultRowHeight="12.75" x14ac:dyDescent="0.2"/>
  <cols>
    <col min="1" max="1" width="4.5703125" style="1" customWidth="1"/>
    <col min="2" max="2" width="26" style="1" customWidth="1"/>
    <col min="3" max="3" width="28.28515625" style="1" customWidth="1"/>
    <col min="4" max="4" width="8.42578125" style="1" customWidth="1"/>
    <col min="5" max="5" width="92" style="1" customWidth="1"/>
    <col min="6" max="6" width="17.42578125" style="1" customWidth="1"/>
    <col min="7" max="7" width="15" style="1" customWidth="1"/>
    <col min="8" max="8" width="16.5703125" style="1" customWidth="1"/>
    <col min="9" max="9" width="14.42578125" style="1" customWidth="1"/>
    <col min="10" max="10" width="0.42578125" style="11" customWidth="1"/>
    <col min="11" max="12" width="11" style="11"/>
    <col min="13" max="16384" width="11" style="1"/>
  </cols>
  <sheetData>
    <row r="1" spans="1:9" ht="6" customHeight="1" x14ac:dyDescent="0.2"/>
    <row r="2" spans="1:9" ht="20.25" customHeight="1" x14ac:dyDescent="0.35">
      <c r="B2" s="111" t="s">
        <v>0</v>
      </c>
      <c r="C2" s="111"/>
      <c r="D2" s="111"/>
      <c r="E2" s="111"/>
      <c r="F2" s="111"/>
      <c r="G2" s="111"/>
      <c r="H2" s="111"/>
    </row>
    <row r="4" spans="1:9" ht="18" customHeight="1" x14ac:dyDescent="0.25">
      <c r="A4" s="110" t="s">
        <v>1</v>
      </c>
      <c r="B4" s="110"/>
      <c r="C4" s="112" t="s">
        <v>77</v>
      </c>
      <c r="D4" s="112"/>
      <c r="E4" s="112"/>
      <c r="F4" s="2"/>
      <c r="G4" s="3"/>
      <c r="H4" s="2"/>
    </row>
    <row r="5" spans="1:9" ht="18" customHeight="1" x14ac:dyDescent="0.25">
      <c r="A5" s="110" t="s">
        <v>2</v>
      </c>
      <c r="B5" s="110"/>
      <c r="C5" s="112" t="s">
        <v>34</v>
      </c>
      <c r="D5" s="112"/>
      <c r="E5" s="112"/>
      <c r="F5" s="2"/>
      <c r="G5" s="3"/>
      <c r="H5" s="2"/>
    </row>
    <row r="6" spans="1:9" ht="16.5" customHeight="1" x14ac:dyDescent="0.25">
      <c r="A6" s="110" t="s">
        <v>3</v>
      </c>
      <c r="B6" s="110"/>
      <c r="C6" s="8">
        <v>2022</v>
      </c>
      <c r="D6" s="7"/>
      <c r="E6" s="7"/>
      <c r="F6" s="2"/>
      <c r="G6" s="3"/>
      <c r="H6" s="2"/>
    </row>
    <row r="7" spans="1:9" ht="16.5" customHeight="1" x14ac:dyDescent="0.25">
      <c r="A7" s="110" t="s">
        <v>4</v>
      </c>
      <c r="B7" s="110"/>
      <c r="C7" s="8" t="s">
        <v>21</v>
      </c>
      <c r="D7" s="7"/>
      <c r="E7" s="7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44.25" customHeight="1" x14ac:dyDescent="0.2">
      <c r="A9" s="29" t="s">
        <v>5</v>
      </c>
      <c r="B9" s="29" t="s">
        <v>6</v>
      </c>
      <c r="C9" s="29" t="s">
        <v>7</v>
      </c>
      <c r="D9" s="29" t="s">
        <v>8</v>
      </c>
      <c r="E9" s="29" t="s">
        <v>9</v>
      </c>
      <c r="F9" s="29" t="s">
        <v>10</v>
      </c>
      <c r="G9" s="29" t="s">
        <v>11</v>
      </c>
      <c r="H9" s="29" t="s">
        <v>12</v>
      </c>
      <c r="I9" s="29" t="s">
        <v>13</v>
      </c>
    </row>
    <row r="10" spans="1:9" ht="46.5" customHeight="1" x14ac:dyDescent="0.2">
      <c r="A10" s="30">
        <v>1</v>
      </c>
      <c r="B10" s="31" t="s">
        <v>19</v>
      </c>
      <c r="C10" s="32" t="s">
        <v>17</v>
      </c>
      <c r="D10" s="30" t="s">
        <v>18</v>
      </c>
      <c r="E10" s="33" t="s">
        <v>20</v>
      </c>
      <c r="F10" s="53" t="s">
        <v>15</v>
      </c>
      <c r="G10" s="53">
        <f>475*6</f>
        <v>2850</v>
      </c>
      <c r="H10" s="54">
        <v>1391</v>
      </c>
      <c r="I10" s="56">
        <f>+G10*H10</f>
        <v>3964350</v>
      </c>
    </row>
    <row r="11" spans="1:9" ht="46.5" customHeight="1" x14ac:dyDescent="0.2">
      <c r="A11" s="30">
        <v>2</v>
      </c>
      <c r="B11" s="31" t="s">
        <v>19</v>
      </c>
      <c r="C11" s="32" t="s">
        <v>17</v>
      </c>
      <c r="D11" s="30" t="s">
        <v>18</v>
      </c>
      <c r="E11" s="33" t="s">
        <v>20</v>
      </c>
      <c r="F11" s="53" t="s">
        <v>15</v>
      </c>
      <c r="G11" s="53">
        <f>20*6</f>
        <v>120</v>
      </c>
      <c r="H11" s="54">
        <v>1512.5</v>
      </c>
      <c r="I11" s="56">
        <f t="shared" ref="I11:I12" si="0">+G11*H11</f>
        <v>181500</v>
      </c>
    </row>
    <row r="12" spans="1:9" ht="46.5" customHeight="1" x14ac:dyDescent="0.2">
      <c r="A12" s="30">
        <v>3</v>
      </c>
      <c r="B12" s="31" t="s">
        <v>19</v>
      </c>
      <c r="C12" s="32" t="s">
        <v>17</v>
      </c>
      <c r="D12" s="30" t="s">
        <v>18</v>
      </c>
      <c r="E12" s="33" t="s">
        <v>20</v>
      </c>
      <c r="F12" s="53" t="s">
        <v>15</v>
      </c>
      <c r="G12" s="55">
        <f>5*6</f>
        <v>30</v>
      </c>
      <c r="H12" s="54">
        <v>1643.2</v>
      </c>
      <c r="I12" s="56">
        <f t="shared" si="0"/>
        <v>49296</v>
      </c>
    </row>
    <row r="13" spans="1:9" ht="15.75" hidden="1" thickBot="1" x14ac:dyDescent="0.3">
      <c r="B13" s="6"/>
      <c r="C13" s="14"/>
      <c r="D13" s="28" t="str">
        <f t="shared" ref="D13:D14" si="1">LEFT(B13,5)</f>
        <v/>
      </c>
      <c r="E13" s="15"/>
      <c r="F13" s="17" t="s">
        <v>15</v>
      </c>
      <c r="G13" s="19"/>
      <c r="H13" s="22"/>
      <c r="I13" s="23">
        <f t="shared" ref="I13:I14" si="2">H13*G13</f>
        <v>0</v>
      </c>
    </row>
    <row r="14" spans="1:9" ht="15.75" hidden="1" thickBot="1" x14ac:dyDescent="0.3">
      <c r="B14" s="6"/>
      <c r="C14" s="9"/>
      <c r="D14" s="20" t="str">
        <f t="shared" si="1"/>
        <v/>
      </c>
      <c r="E14" s="10"/>
      <c r="F14" s="17" t="s">
        <v>15</v>
      </c>
      <c r="G14" s="19"/>
      <c r="H14" s="22"/>
      <c r="I14" s="24">
        <f t="shared" si="2"/>
        <v>0</v>
      </c>
    </row>
    <row r="16" spans="1:9" ht="13.5" thickBot="1" x14ac:dyDescent="0.25">
      <c r="F16" s="4"/>
      <c r="G16" s="4"/>
      <c r="H16" s="4"/>
      <c r="I16" s="4"/>
    </row>
    <row r="17" spans="2:9" x14ac:dyDescent="0.2">
      <c r="B17" s="16" t="s">
        <v>24</v>
      </c>
      <c r="C17" s="97" t="s">
        <v>31</v>
      </c>
      <c r="D17" s="97"/>
      <c r="E17" s="98"/>
      <c r="F17" s="4"/>
      <c r="G17" s="4"/>
      <c r="H17" s="4"/>
      <c r="I17" s="4"/>
    </row>
    <row r="18" spans="2:9" x14ac:dyDescent="0.2">
      <c r="B18" s="103"/>
      <c r="C18" s="104"/>
      <c r="D18" s="104"/>
      <c r="E18" s="105"/>
      <c r="F18" s="4"/>
      <c r="G18" s="4"/>
      <c r="H18" s="4"/>
      <c r="I18" s="4"/>
    </row>
    <row r="19" spans="2:9" x14ac:dyDescent="0.2">
      <c r="B19" s="13" t="s">
        <v>27</v>
      </c>
      <c r="C19" s="101" t="s">
        <v>82</v>
      </c>
      <c r="D19" s="101"/>
      <c r="E19" s="102"/>
      <c r="F19" s="4"/>
      <c r="G19" s="4"/>
      <c r="H19" s="4"/>
      <c r="I19" s="4"/>
    </row>
    <row r="20" spans="2:9" x14ac:dyDescent="0.2">
      <c r="B20" s="13"/>
      <c r="C20" s="9"/>
      <c r="D20" s="9"/>
      <c r="E20" s="10"/>
      <c r="F20" s="4"/>
      <c r="G20" s="4"/>
      <c r="H20" s="4"/>
      <c r="I20" s="4"/>
    </row>
    <row r="21" spans="2:9" ht="12.75" customHeight="1" x14ac:dyDescent="0.2">
      <c r="B21" s="13" t="s">
        <v>25</v>
      </c>
      <c r="C21" s="99" t="s">
        <v>16</v>
      </c>
      <c r="D21" s="99"/>
      <c r="E21" s="100"/>
      <c r="F21" s="4"/>
      <c r="G21" s="4"/>
      <c r="H21" s="4"/>
      <c r="I21" s="4"/>
    </row>
    <row r="22" spans="2:9" ht="11.25" customHeight="1" x14ac:dyDescent="0.2">
      <c r="B22" s="13"/>
      <c r="C22" s="18"/>
      <c r="D22" s="106"/>
      <c r="E22" s="107"/>
      <c r="F22" s="4"/>
      <c r="G22" s="4"/>
      <c r="H22" s="4"/>
      <c r="I22" s="4"/>
    </row>
    <row r="23" spans="2:9" ht="12.75" customHeight="1" x14ac:dyDescent="0.2">
      <c r="B23" s="21" t="s">
        <v>33</v>
      </c>
      <c r="C23" s="99" t="s">
        <v>30</v>
      </c>
      <c r="D23" s="99"/>
      <c r="E23" s="100"/>
      <c r="F23" s="4"/>
      <c r="G23" s="4"/>
      <c r="H23" s="4"/>
      <c r="I23" s="4"/>
    </row>
    <row r="24" spans="2:9" ht="13.5" customHeight="1" thickBot="1" x14ac:dyDescent="0.25">
      <c r="B24" s="34"/>
      <c r="C24" s="35" t="s">
        <v>14</v>
      </c>
      <c r="D24" s="108"/>
      <c r="E24" s="109"/>
      <c r="F24" s="4"/>
      <c r="G24" s="4"/>
      <c r="H24" s="4"/>
      <c r="I24" s="4"/>
    </row>
    <row r="25" spans="2:9" ht="13.5" thickBot="1" x14ac:dyDescent="0.25">
      <c r="B25" s="4"/>
      <c r="C25" s="4"/>
      <c r="D25" s="4"/>
      <c r="E25" s="4"/>
      <c r="F25" s="4"/>
      <c r="G25" s="4"/>
      <c r="H25" s="4"/>
      <c r="I25" s="4"/>
    </row>
    <row r="26" spans="2:9" x14ac:dyDescent="0.2">
      <c r="B26" s="16" t="s">
        <v>22</v>
      </c>
      <c r="C26" s="97" t="s">
        <v>32</v>
      </c>
      <c r="D26" s="97"/>
      <c r="E26" s="98"/>
      <c r="F26" s="4"/>
      <c r="G26" s="4"/>
      <c r="H26" s="4"/>
      <c r="I26" s="4"/>
    </row>
    <row r="27" spans="2:9" x14ac:dyDescent="0.2">
      <c r="B27" s="12"/>
      <c r="C27" s="4"/>
      <c r="D27" s="4"/>
      <c r="E27" s="5"/>
      <c r="F27" s="4"/>
      <c r="G27" s="4"/>
      <c r="H27" s="4"/>
      <c r="I27" s="4"/>
    </row>
    <row r="28" spans="2:9" x14ac:dyDescent="0.2">
      <c r="B28" s="13" t="s">
        <v>26</v>
      </c>
      <c r="C28" s="101" t="s">
        <v>82</v>
      </c>
      <c r="D28" s="101"/>
      <c r="E28" s="102"/>
      <c r="F28" s="4"/>
      <c r="G28" s="4"/>
      <c r="H28" s="4"/>
      <c r="I28" s="4"/>
    </row>
    <row r="29" spans="2:9" x14ac:dyDescent="0.2">
      <c r="B29" s="13"/>
      <c r="C29" s="9"/>
      <c r="D29" s="9"/>
      <c r="E29" s="10"/>
      <c r="F29" s="4"/>
      <c r="G29" s="4"/>
      <c r="H29" s="4"/>
      <c r="I29" s="4"/>
    </row>
    <row r="30" spans="2:9" x14ac:dyDescent="0.2">
      <c r="B30" s="13" t="s">
        <v>25</v>
      </c>
      <c r="C30" s="99" t="s">
        <v>16</v>
      </c>
      <c r="D30" s="99"/>
      <c r="E30" s="100"/>
      <c r="F30" s="4"/>
      <c r="G30" s="4"/>
      <c r="H30" s="4"/>
      <c r="I30" s="4"/>
    </row>
    <row r="31" spans="2:9" x14ac:dyDescent="0.2">
      <c r="B31" s="13"/>
      <c r="C31" s="18"/>
      <c r="D31" s="106"/>
      <c r="E31" s="107"/>
      <c r="F31" s="4"/>
      <c r="G31" s="4"/>
      <c r="H31" s="4"/>
      <c r="I31" s="4"/>
    </row>
    <row r="32" spans="2:9" x14ac:dyDescent="0.2">
      <c r="B32" s="21" t="s">
        <v>33</v>
      </c>
      <c r="C32" s="99" t="s">
        <v>30</v>
      </c>
      <c r="D32" s="99"/>
      <c r="E32" s="100"/>
      <c r="F32" s="4"/>
      <c r="G32" s="4"/>
      <c r="H32" s="4"/>
      <c r="I32" s="4"/>
    </row>
    <row r="33" spans="2:9" ht="13.5" thickBot="1" x14ac:dyDescent="0.25">
      <c r="B33" s="25"/>
      <c r="C33" s="26"/>
      <c r="D33" s="26"/>
      <c r="E33" s="27"/>
      <c r="F33" s="4"/>
      <c r="G33" s="4"/>
      <c r="H33" s="4"/>
      <c r="I33" s="4"/>
    </row>
    <row r="34" spans="2:9" ht="13.5" thickBot="1" x14ac:dyDescent="0.25">
      <c r="B34" s="4"/>
      <c r="C34" s="4"/>
      <c r="D34" s="4"/>
      <c r="E34" s="4"/>
      <c r="F34" s="4"/>
      <c r="G34" s="4"/>
      <c r="H34" s="4"/>
      <c r="I34" s="4"/>
    </row>
    <row r="35" spans="2:9" x14ac:dyDescent="0.2">
      <c r="B35" s="16"/>
      <c r="C35" s="113" t="s">
        <v>28</v>
      </c>
      <c r="D35" s="114"/>
      <c r="E35" s="115"/>
      <c r="F35" s="4"/>
      <c r="G35" s="4"/>
      <c r="H35" s="4"/>
      <c r="I35" s="4"/>
    </row>
    <row r="36" spans="2:9" x14ac:dyDescent="0.2">
      <c r="B36" s="12" t="s">
        <v>23</v>
      </c>
      <c r="C36" s="116" t="s">
        <v>29</v>
      </c>
      <c r="D36" s="116"/>
      <c r="E36" s="117"/>
      <c r="F36" s="4"/>
      <c r="G36" s="4"/>
      <c r="H36" s="4"/>
      <c r="I36" s="4"/>
    </row>
    <row r="37" spans="2:9" x14ac:dyDescent="0.2">
      <c r="B37" s="103"/>
      <c r="C37" s="104"/>
      <c r="D37" s="104"/>
      <c r="E37" s="105"/>
      <c r="F37" s="4"/>
      <c r="G37" s="4"/>
      <c r="H37" s="4"/>
      <c r="I37" s="4"/>
    </row>
    <row r="38" spans="2:9" x14ac:dyDescent="0.2">
      <c r="B38" s="13" t="s">
        <v>26</v>
      </c>
      <c r="C38" s="101" t="s">
        <v>82</v>
      </c>
      <c r="D38" s="101"/>
      <c r="E38" s="102"/>
      <c r="F38" s="4"/>
      <c r="G38" s="4"/>
      <c r="H38" s="4"/>
      <c r="I38" s="4"/>
    </row>
    <row r="39" spans="2:9" x14ac:dyDescent="0.2">
      <c r="B39" s="13"/>
      <c r="C39" s="9"/>
      <c r="D39" s="9"/>
      <c r="E39" s="10"/>
      <c r="F39" s="4"/>
      <c r="G39" s="4"/>
      <c r="H39" s="4"/>
      <c r="I39" s="4"/>
    </row>
    <row r="40" spans="2:9" x14ac:dyDescent="0.2">
      <c r="B40" s="13" t="s">
        <v>25</v>
      </c>
      <c r="C40" s="99" t="s">
        <v>16</v>
      </c>
      <c r="D40" s="99"/>
      <c r="E40" s="100"/>
      <c r="F40" s="4"/>
      <c r="G40" s="4"/>
      <c r="H40" s="4"/>
      <c r="I40" s="4"/>
    </row>
    <row r="41" spans="2:9" x14ac:dyDescent="0.2">
      <c r="B41" s="13"/>
      <c r="C41" s="18"/>
      <c r="D41" s="106"/>
      <c r="E41" s="107"/>
      <c r="F41" s="4"/>
      <c r="G41" s="4"/>
      <c r="H41" s="4"/>
      <c r="I41" s="4"/>
    </row>
    <row r="42" spans="2:9" ht="12.75" customHeight="1" x14ac:dyDescent="0.2">
      <c r="B42" s="21" t="s">
        <v>33</v>
      </c>
      <c r="C42" s="99" t="s">
        <v>30</v>
      </c>
      <c r="D42" s="99"/>
      <c r="E42" s="100"/>
      <c r="F42" s="4"/>
      <c r="G42" s="4"/>
      <c r="H42" s="4"/>
      <c r="I42" s="4"/>
    </row>
    <row r="43" spans="2:9" ht="13.5" thickBot="1" x14ac:dyDescent="0.25">
      <c r="B43" s="25"/>
      <c r="C43" s="26"/>
      <c r="D43" s="26"/>
      <c r="E43" s="27"/>
      <c r="F43" s="4"/>
      <c r="G43" s="4"/>
      <c r="H43" s="4"/>
      <c r="I43" s="4"/>
    </row>
    <row r="44" spans="2:9" x14ac:dyDescent="0.2">
      <c r="B44" s="4"/>
      <c r="C44" s="4"/>
      <c r="D44" s="4"/>
      <c r="E44" s="4"/>
      <c r="F44" s="4"/>
      <c r="G44" s="4"/>
      <c r="H44" s="4"/>
      <c r="I44" s="4"/>
    </row>
    <row r="45" spans="2:9" ht="13.5" thickBot="1" x14ac:dyDescent="0.25"/>
    <row r="46" spans="2:9" x14ac:dyDescent="0.2">
      <c r="B46" s="89" t="s">
        <v>83</v>
      </c>
      <c r="C46" s="90"/>
      <c r="D46" s="90"/>
      <c r="E46" s="91"/>
    </row>
    <row r="47" spans="2:9" x14ac:dyDescent="0.2">
      <c r="B47" s="118" t="s">
        <v>84</v>
      </c>
      <c r="C47" s="119"/>
      <c r="D47" s="119"/>
      <c r="E47" s="120"/>
    </row>
    <row r="48" spans="2:9" x14ac:dyDescent="0.2">
      <c r="B48" s="118"/>
      <c r="C48" s="119"/>
      <c r="D48" s="119"/>
      <c r="E48" s="120"/>
    </row>
    <row r="49" spans="2:5" x14ac:dyDescent="0.2">
      <c r="B49" s="118" t="s">
        <v>85</v>
      </c>
      <c r="C49" s="119"/>
      <c r="D49" s="119"/>
      <c r="E49" s="120"/>
    </row>
    <row r="50" spans="2:5" x14ac:dyDescent="0.2">
      <c r="B50" s="13" t="s">
        <v>86</v>
      </c>
      <c r="C50" s="92"/>
      <c r="D50" s="18"/>
      <c r="E50" s="93"/>
    </row>
    <row r="51" spans="2:5" ht="13.5" thickBot="1" x14ac:dyDescent="0.25">
      <c r="B51" s="94" t="s">
        <v>87</v>
      </c>
      <c r="C51" s="95"/>
      <c r="D51" s="95"/>
      <c r="E51" s="96"/>
    </row>
  </sheetData>
  <mergeCells count="28">
    <mergeCell ref="B47:E48"/>
    <mergeCell ref="B49:E49"/>
    <mergeCell ref="C40:E40"/>
    <mergeCell ref="D41:E41"/>
    <mergeCell ref="C42:E42"/>
    <mergeCell ref="C30:E30"/>
    <mergeCell ref="C32:E32"/>
    <mergeCell ref="C35:E35"/>
    <mergeCell ref="C36:E36"/>
    <mergeCell ref="C38:E38"/>
    <mergeCell ref="D31:E31"/>
    <mergeCell ref="B37:E37"/>
    <mergeCell ref="A6:B6"/>
    <mergeCell ref="A7:B7"/>
    <mergeCell ref="B2:H2"/>
    <mergeCell ref="A4:B4"/>
    <mergeCell ref="C4:E4"/>
    <mergeCell ref="A5:B5"/>
    <mergeCell ref="C5:E5"/>
    <mergeCell ref="C17:E17"/>
    <mergeCell ref="C21:E21"/>
    <mergeCell ref="C23:E23"/>
    <mergeCell ref="C26:E26"/>
    <mergeCell ref="C28:E28"/>
    <mergeCell ref="B18:E18"/>
    <mergeCell ref="D22:E22"/>
    <mergeCell ref="D24:E24"/>
    <mergeCell ref="C19:E19"/>
  </mergeCells>
  <pageMargins left="0.70866141732283472" right="0.70866141732283472" top="0.35433070866141736" bottom="0.35433070866141736" header="0.51181102362204722" footer="0.51181102362204722"/>
  <pageSetup paperSize="9" scale="56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55.42578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4" width="9.140625" style="37"/>
    <col min="1025" max="16384" width="9.140625" style="36"/>
  </cols>
  <sheetData>
    <row r="1" spans="1:11" ht="18" customHeight="1" thickBot="1" x14ac:dyDescent="0.25">
      <c r="A1" s="130" t="s">
        <v>51</v>
      </c>
      <c r="B1" s="130"/>
      <c r="C1" s="130"/>
      <c r="D1" s="130"/>
      <c r="E1" s="130"/>
      <c r="F1" s="130"/>
      <c r="G1" s="130"/>
      <c r="H1" s="130"/>
      <c r="I1" s="130"/>
      <c r="J1" s="52" t="s">
        <v>50</v>
      </c>
      <c r="K1" s="51" t="s">
        <v>78</v>
      </c>
    </row>
    <row r="2" spans="1:11" ht="18.75" customHeight="1" thickBot="1" x14ac:dyDescent="0.25">
      <c r="A2" s="50"/>
      <c r="B2" s="50"/>
      <c r="C2" s="50"/>
      <c r="D2" s="49"/>
      <c r="E2" s="49"/>
      <c r="F2" s="49"/>
      <c r="G2" s="49"/>
      <c r="H2" s="49"/>
      <c r="I2" s="49"/>
      <c r="J2" s="49"/>
      <c r="K2" s="49"/>
    </row>
    <row r="3" spans="1:11" ht="18.75" customHeight="1" thickBot="1" x14ac:dyDescent="0.25">
      <c r="A3" s="131" t="s">
        <v>49</v>
      </c>
      <c r="B3" s="131"/>
      <c r="C3" s="131"/>
      <c r="D3" s="128" t="str">
        <f>'[1]Necesidades Trimestrales'!C4</f>
        <v>040 - Ministerio de Salud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29" t="s">
        <v>48</v>
      </c>
      <c r="B4" s="129"/>
      <c r="C4" s="129"/>
      <c r="D4" s="128" t="str">
        <f>'[1]Necesidades Trimestrales'!C5</f>
        <v>024 - Hospital Interzonal de Niños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29" t="s">
        <v>47</v>
      </c>
      <c r="B5" s="129"/>
      <c r="C5" s="129"/>
      <c r="D5" s="128" t="s">
        <v>34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1" t="s">
        <v>46</v>
      </c>
      <c r="B6" s="131"/>
      <c r="C6" s="131"/>
      <c r="D6" s="128" t="s">
        <v>45</v>
      </c>
      <c r="E6" s="128"/>
      <c r="F6" s="128"/>
      <c r="G6" s="128"/>
      <c r="H6" s="128"/>
      <c r="I6" s="128"/>
      <c r="J6" s="128"/>
      <c r="K6" s="128"/>
    </row>
    <row r="7" spans="1:11" ht="16.5" customHeight="1" thickBot="1" x14ac:dyDescent="0.25">
      <c r="A7" s="129" t="s">
        <v>44</v>
      </c>
      <c r="B7" s="129"/>
      <c r="C7" s="129"/>
      <c r="D7" s="128" t="str">
        <f>+'Necesidades Trimestrales'!C7</f>
        <v xml:space="preserve">2  ( SEMESTRAL ) </v>
      </c>
      <c r="E7" s="128"/>
      <c r="F7" s="128"/>
      <c r="G7" s="128"/>
      <c r="H7" s="128"/>
      <c r="I7" s="128"/>
      <c r="J7" s="128"/>
      <c r="K7" s="128"/>
    </row>
    <row r="8" spans="1:11" ht="16.5" customHeight="1" thickBot="1" x14ac:dyDescent="0.25">
      <c r="A8" s="124" t="s">
        <v>43</v>
      </c>
      <c r="B8" s="124"/>
      <c r="C8" s="124"/>
      <c r="D8" s="125" t="s">
        <v>52</v>
      </c>
      <c r="E8" s="125"/>
      <c r="F8" s="125"/>
      <c r="G8" s="125"/>
      <c r="H8" s="125"/>
      <c r="I8" s="125"/>
      <c r="J8" s="125"/>
      <c r="K8" s="125"/>
    </row>
    <row r="9" spans="1:11" ht="16.5" thickBot="1" x14ac:dyDescent="0.25">
      <c r="A9" s="48"/>
      <c r="B9" s="48"/>
      <c r="C9" s="48"/>
      <c r="D9" s="47"/>
      <c r="E9" s="47"/>
      <c r="F9" s="47"/>
      <c r="G9" s="47"/>
      <c r="H9" s="47"/>
      <c r="I9" s="47"/>
      <c r="J9" s="47"/>
      <c r="K9" s="47"/>
    </row>
    <row r="10" spans="1:11" ht="18.75" customHeight="1" thickBot="1" x14ac:dyDescent="0.25">
      <c r="A10" s="126" t="s">
        <v>42</v>
      </c>
      <c r="B10" s="127" t="s">
        <v>41</v>
      </c>
      <c r="C10" s="127" t="s">
        <v>40</v>
      </c>
      <c r="D10" s="127"/>
      <c r="E10" s="127"/>
      <c r="F10" s="127"/>
      <c r="G10" s="127"/>
      <c r="H10" s="127" t="s">
        <v>39</v>
      </c>
      <c r="I10" s="127" t="s">
        <v>38</v>
      </c>
      <c r="J10" s="127" t="s">
        <v>37</v>
      </c>
      <c r="K10" s="132" t="s">
        <v>36</v>
      </c>
    </row>
    <row r="11" spans="1:11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32"/>
    </row>
    <row r="12" spans="1:11" ht="29.25" customHeight="1" thickBot="1" x14ac:dyDescent="0.25">
      <c r="A12" s="46">
        <v>1</v>
      </c>
      <c r="B12" s="45" t="str">
        <f>+'Necesidades Trimestrales'!B10</f>
        <v>2.9.5-3474.17</v>
      </c>
      <c r="C12" s="123" t="str">
        <f>+'Necesidades Trimestrales'!E10</f>
        <v>SET P/BOMBA DE INFUSION; MARCA EQUIPO: ICUMEDICAL, MODELO EQUIPO: PLUM 360 - DOBLE CANAL</v>
      </c>
      <c r="D12" s="123"/>
      <c r="E12" s="123"/>
      <c r="F12" s="123"/>
      <c r="G12" s="123"/>
      <c r="H12" s="44" t="s">
        <v>35</v>
      </c>
      <c r="I12" s="43" t="str">
        <f>+'[1]Necesidades Trimestrales'!F10</f>
        <v>unidad</v>
      </c>
      <c r="J12" s="42">
        <f>+'Necesidades Trimestrales'!H10</f>
        <v>1391</v>
      </c>
      <c r="K12" s="41">
        <f>+'Necesidades Trimestrales'!G10</f>
        <v>2850</v>
      </c>
    </row>
    <row r="13" spans="1:11" ht="13.5" customHeight="1" thickBot="1" x14ac:dyDescent="0.25">
      <c r="A13" s="40">
        <v>2</v>
      </c>
      <c r="B13" s="45" t="str">
        <f>+'Necesidades Trimestrales'!B11</f>
        <v>2.9.5-3474.17</v>
      </c>
      <c r="C13" s="123" t="str">
        <f>+'Necesidades Trimestrales'!E11</f>
        <v>SET P/BOMBA DE INFUSION; MARCA EQUIPO: ICUMEDICAL, MODELO EQUIPO: PLUM 360 - DOBLE CANAL</v>
      </c>
      <c r="D13" s="123"/>
      <c r="E13" s="123"/>
      <c r="F13" s="123"/>
      <c r="G13" s="123"/>
      <c r="H13" s="39" t="s">
        <v>35</v>
      </c>
      <c r="I13" s="38" t="str">
        <f>+'[1]Necesidades Trimestrales'!F11</f>
        <v>unidad</v>
      </c>
      <c r="J13" s="42">
        <f>+'Necesidades Trimestrales'!H11</f>
        <v>1512.5</v>
      </c>
      <c r="K13" s="41">
        <f>+'Necesidades Trimestrales'!G11</f>
        <v>120</v>
      </c>
    </row>
    <row r="14" spans="1:11" ht="13.5" customHeight="1" x14ac:dyDescent="0.2">
      <c r="A14" s="40">
        <v>3</v>
      </c>
      <c r="B14" s="45" t="str">
        <f>+'Necesidades Trimestrales'!B12</f>
        <v>2.9.5-3474.17</v>
      </c>
      <c r="C14" s="123" t="str">
        <f>+'Necesidades Trimestrales'!E12</f>
        <v>SET P/BOMBA DE INFUSION; MARCA EQUIPO: ICUMEDICAL, MODELO EQUIPO: PLUM 360 - DOBLE CANAL</v>
      </c>
      <c r="D14" s="123"/>
      <c r="E14" s="123"/>
      <c r="F14" s="123"/>
      <c r="G14" s="123"/>
      <c r="H14" s="39" t="s">
        <v>35</v>
      </c>
      <c r="I14" s="38" t="str">
        <f>+'[1]Necesidades Trimestrales'!F12</f>
        <v xml:space="preserve">unidad  </v>
      </c>
      <c r="J14" s="42">
        <f>+'Necesidades Trimestrales'!H12</f>
        <v>1643.2</v>
      </c>
      <c r="K14" s="41">
        <f>+'Necesidades Trimestrales'!G12</f>
        <v>30</v>
      </c>
    </row>
    <row r="15" spans="1:11" ht="16.5" thickBot="1" x14ac:dyDescent="0.25">
      <c r="A15" s="121" t="s">
        <v>80</v>
      </c>
      <c r="B15" s="121"/>
      <c r="C15" s="121"/>
      <c r="D15" s="121"/>
      <c r="E15" s="121"/>
      <c r="F15" s="121"/>
      <c r="G15" s="121"/>
      <c r="H15" s="121"/>
      <c r="I15" s="121"/>
      <c r="J15" s="122">
        <f>SUMPRODUCT(J12:J14,K12:K14)</f>
        <v>4195146</v>
      </c>
      <c r="K15" s="122"/>
    </row>
  </sheetData>
  <mergeCells count="25">
    <mergeCell ref="D4:K4"/>
    <mergeCell ref="A5:C5"/>
    <mergeCell ref="D5:K5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H10:H11"/>
    <mergeCell ref="I10:I11"/>
    <mergeCell ref="J10:J11"/>
    <mergeCell ref="K10:K11"/>
    <mergeCell ref="A15:I15"/>
    <mergeCell ref="J15:K15"/>
    <mergeCell ref="C12:G12"/>
    <mergeCell ref="A8:C8"/>
    <mergeCell ref="D8:K8"/>
    <mergeCell ref="A10:A11"/>
    <mergeCell ref="B10:B11"/>
    <mergeCell ref="C10:G11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topLeftCell="A10" zoomScale="130" zoomScaleNormal="130" workbookViewId="0">
      <selection activeCell="A21" sqref="A21:Q22"/>
    </sheetView>
  </sheetViews>
  <sheetFormatPr baseColWidth="10" defaultColWidth="11" defaultRowHeight="12.75" x14ac:dyDescent="0.2"/>
  <cols>
    <col min="1" max="5" width="4.42578125" style="59" customWidth="1"/>
    <col min="6" max="6" width="5" style="59" customWidth="1"/>
    <col min="7" max="7" width="4.42578125" style="60" customWidth="1"/>
    <col min="8" max="14" width="4.42578125" style="59" customWidth="1"/>
    <col min="15" max="16" width="14.85546875" style="59" customWidth="1"/>
    <col min="17" max="17" width="14.7109375" style="59" customWidth="1"/>
    <col min="18" max="16384" width="11" style="59"/>
  </cols>
  <sheetData>
    <row r="1" spans="1:18" ht="15.75" customHeight="1" thickBot="1" x14ac:dyDescent="0.3">
      <c r="A1" s="134" t="s">
        <v>3</v>
      </c>
      <c r="B1" s="134"/>
      <c r="C1" s="134"/>
      <c r="D1" s="135">
        <f>'[1]Necesidades Trimestrales'!C6</f>
        <v>2022</v>
      </c>
      <c r="E1" s="135"/>
      <c r="F1" s="57"/>
      <c r="G1" s="57"/>
      <c r="H1" s="58"/>
      <c r="I1" s="58"/>
      <c r="J1" s="58"/>
      <c r="K1" s="58"/>
      <c r="L1" s="58"/>
      <c r="M1" s="58"/>
      <c r="N1" s="58"/>
      <c r="P1" s="136" t="s">
        <v>53</v>
      </c>
      <c r="Q1" s="136"/>
    </row>
    <row r="2" spans="1:18" ht="15.75" customHeight="1" thickBot="1" x14ac:dyDescent="0.25">
      <c r="H2" s="58"/>
      <c r="I2" s="58"/>
      <c r="J2" s="58"/>
      <c r="K2" s="58"/>
      <c r="L2" s="58"/>
      <c r="M2" s="58"/>
      <c r="N2" s="58"/>
      <c r="P2" s="136"/>
      <c r="Q2" s="136"/>
    </row>
    <row r="4" spans="1:18" s="61" customFormat="1" ht="18" customHeight="1" thickBot="1" x14ac:dyDescent="0.25">
      <c r="A4" s="137" t="s">
        <v>54</v>
      </c>
      <c r="B4" s="137"/>
      <c r="C4" s="137"/>
      <c r="D4" s="137"/>
      <c r="E4" s="137"/>
      <c r="F4" s="137"/>
      <c r="G4" s="138" t="str">
        <f>' NotaPedido'!D3</f>
        <v>040 -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8" s="61" customFormat="1" ht="18" customHeight="1" thickBot="1" x14ac:dyDescent="0.25">
      <c r="A5" s="139" t="s">
        <v>48</v>
      </c>
      <c r="B5" s="140"/>
      <c r="C5" s="140"/>
      <c r="D5" s="140"/>
      <c r="E5" s="140"/>
      <c r="F5" s="141"/>
      <c r="G5" s="142" t="str">
        <f>' NotaPedido'!D4</f>
        <v>024 - Hospital Interzonal de Niños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8" s="61" customFormat="1" ht="18" customHeight="1" thickBot="1" x14ac:dyDescent="0.25">
      <c r="A6" s="139" t="s">
        <v>47</v>
      </c>
      <c r="B6" s="140"/>
      <c r="C6" s="140"/>
      <c r="D6" s="140"/>
      <c r="E6" s="140"/>
      <c r="F6" s="141"/>
      <c r="G6" s="142" t="str">
        <f>' NotaPedido'!D5</f>
        <v>024 - Hospital Interzonal de Niños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8" s="61" customFormat="1" ht="18" customHeight="1" thickBot="1" x14ac:dyDescent="0.25">
      <c r="A7" s="139" t="s">
        <v>46</v>
      </c>
      <c r="B7" s="140"/>
      <c r="C7" s="140"/>
      <c r="D7" s="140"/>
      <c r="E7" s="140"/>
      <c r="F7" s="141"/>
      <c r="G7" s="142" t="str">
        <f>' NotaPedido'!D6</f>
        <v>Farmacia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8" ht="18" customHeight="1" thickBot="1" x14ac:dyDescent="0.25">
      <c r="A8" s="143" t="s">
        <v>55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8" ht="18" customHeight="1" x14ac:dyDescent="0.2">
      <c r="A9" s="133" t="s">
        <v>56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62"/>
      <c r="P9" s="62"/>
      <c r="Q9" s="63"/>
    </row>
    <row r="10" spans="1:18" ht="54.75" customHeight="1" x14ac:dyDescent="0.2">
      <c r="A10" s="14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76/2022,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8" ht="9" customHeight="1" thickBot="1" x14ac:dyDescent="0.25">
      <c r="A11" s="64"/>
      <c r="B11" s="65"/>
      <c r="C11" s="65"/>
      <c r="D11" s="65"/>
      <c r="E11" s="65"/>
      <c r="F11" s="65"/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7"/>
    </row>
    <row r="12" spans="1:18" ht="15.75" customHeight="1" thickBot="1" x14ac:dyDescent="0.25">
      <c r="A12" s="146" t="s">
        <v>57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8" ht="15.75" customHeight="1" thickBot="1" x14ac:dyDescent="0.25">
      <c r="A13" s="147" t="s">
        <v>58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59</v>
      </c>
      <c r="P13" s="148"/>
      <c r="Q13" s="150" t="s">
        <v>60</v>
      </c>
    </row>
    <row r="14" spans="1:18" ht="15.75" customHeight="1" thickBot="1" x14ac:dyDescent="0.25">
      <c r="A14" s="68" t="s">
        <v>61</v>
      </c>
      <c r="B14" s="69" t="s">
        <v>62</v>
      </c>
      <c r="C14" s="69" t="s">
        <v>63</v>
      </c>
      <c r="D14" s="69" t="s">
        <v>64</v>
      </c>
      <c r="E14" s="69" t="s">
        <v>65</v>
      </c>
      <c r="F14" s="69" t="s">
        <v>66</v>
      </c>
      <c r="G14" s="70" t="s">
        <v>67</v>
      </c>
      <c r="H14" s="69" t="s">
        <v>68</v>
      </c>
      <c r="I14" s="69" t="s">
        <v>69</v>
      </c>
      <c r="J14" s="69" t="s">
        <v>70</v>
      </c>
      <c r="K14" s="69" t="s">
        <v>70</v>
      </c>
      <c r="L14" s="69" t="s">
        <v>71</v>
      </c>
      <c r="M14" s="71" t="s">
        <v>72</v>
      </c>
      <c r="N14" s="72" t="s">
        <v>73</v>
      </c>
      <c r="O14" s="149"/>
      <c r="P14" s="149"/>
      <c r="Q14" s="151"/>
    </row>
    <row r="15" spans="1:18" ht="26.25" customHeight="1" x14ac:dyDescent="0.2">
      <c r="A15" s="73">
        <v>36</v>
      </c>
      <c r="B15" s="74"/>
      <c r="C15" s="74"/>
      <c r="D15" s="74">
        <v>1</v>
      </c>
      <c r="E15" s="74"/>
      <c r="F15" s="74">
        <v>4901</v>
      </c>
      <c r="G15" s="74">
        <v>3</v>
      </c>
      <c r="H15" s="74">
        <v>310</v>
      </c>
      <c r="I15" s="75">
        <v>2</v>
      </c>
      <c r="J15" s="75">
        <v>9</v>
      </c>
      <c r="K15" s="75">
        <v>5</v>
      </c>
      <c r="L15" s="74"/>
      <c r="M15" s="76">
        <v>1</v>
      </c>
      <c r="N15" s="74" t="s">
        <v>74</v>
      </c>
      <c r="O15" s="152" t="s">
        <v>75</v>
      </c>
      <c r="P15" s="153"/>
      <c r="Q15" s="77">
        <v>4195146</v>
      </c>
    </row>
    <row r="16" spans="1:18" ht="17.25" customHeight="1" x14ac:dyDescent="0.2">
      <c r="A16" s="79"/>
      <c r="B16" s="80"/>
      <c r="C16" s="80"/>
      <c r="D16" s="80"/>
      <c r="E16" s="80"/>
      <c r="F16" s="81"/>
      <c r="G16" s="80"/>
      <c r="H16" s="80"/>
      <c r="I16" s="80"/>
      <c r="J16" s="80"/>
      <c r="K16" s="80"/>
      <c r="L16" s="80"/>
      <c r="M16" s="82"/>
      <c r="N16" s="83"/>
      <c r="O16" s="154"/>
      <c r="P16" s="154"/>
      <c r="Q16" s="78"/>
      <c r="R16" s="62"/>
    </row>
    <row r="17" spans="1:17" ht="17.25" customHeight="1" thickBot="1" x14ac:dyDescent="0.25">
      <c r="A17" s="84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6"/>
      <c r="N17" s="85"/>
      <c r="O17" s="144"/>
      <c r="P17" s="144"/>
      <c r="Q17" s="87"/>
    </row>
    <row r="18" spans="1:17" ht="29.25" customHeight="1" thickBot="1" x14ac:dyDescent="0.25">
      <c r="A18" s="155" t="s">
        <v>81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88">
        <f>SUM(Q15:Q17)</f>
        <v>4195146</v>
      </c>
    </row>
    <row r="19" spans="1:17" ht="18" customHeight="1" thickBot="1" x14ac:dyDescent="0.25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7"/>
    </row>
    <row r="20" spans="1:17" ht="17.25" customHeight="1" x14ac:dyDescent="0.2">
      <c r="A20" s="158" t="s">
        <v>76</v>
      </c>
      <c r="B20" s="159"/>
      <c r="C20" s="159"/>
      <c r="D20" s="159"/>
      <c r="E20" s="159"/>
      <c r="F20" s="159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</row>
    <row r="21" spans="1:17" ht="18" customHeight="1" thickBot="1" x14ac:dyDescent="0.25">
      <c r="A21" s="161" t="s">
        <v>79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</row>
    <row r="22" spans="1:17" ht="15" customHeight="1" thickBot="1" x14ac:dyDescent="0.25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</row>
  </sheetData>
  <mergeCells count="26">
    <mergeCell ref="A18:P18"/>
    <mergeCell ref="A19:Q19"/>
    <mergeCell ref="A20:F20"/>
    <mergeCell ref="G20:Q20"/>
    <mergeCell ref="A21:Q22"/>
    <mergeCell ref="O17:P17"/>
    <mergeCell ref="A10:Q10"/>
    <mergeCell ref="A12:Q12"/>
    <mergeCell ref="A13:N13"/>
    <mergeCell ref="O13:P14"/>
    <mergeCell ref="Q13:Q14"/>
    <mergeCell ref="O15:P15"/>
    <mergeCell ref="O16:P16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2022-08-12T12:10:23Z</cp:lastPrinted>
  <dcterms:created xsi:type="dcterms:W3CDTF">2020-07-17T23:44:49Z</dcterms:created>
  <dcterms:modified xsi:type="dcterms:W3CDTF">2022-08-29T15:43:30Z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