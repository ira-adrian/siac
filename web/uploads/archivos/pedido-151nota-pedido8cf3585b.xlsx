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809FDAD7-26D7-4092-B6AA-6C91B6434E1A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Trimestrales'!$A$9:$I$122</definedName>
    <definedName name="_xlnm.Print_Area" localSheetId="1">' NotaPedido'!$A$1:$K$125</definedName>
    <definedName name="_xlnm.Print_Area" localSheetId="2">'Autor Gastar'!$A$1:$Q$25</definedName>
    <definedName name="_xlnm.Print_Area" localSheetId="0">'Necesidades Trimestrales'!$E$9:$E$122</definedName>
  </definedNames>
  <calcPr calcId="181029"/>
</workbook>
</file>

<file path=xl/calcChain.xml><?xml version="1.0" encoding="utf-8"?>
<calcChain xmlns="http://schemas.openxmlformats.org/spreadsheetml/2006/main">
  <c r="I13" i="2" l="1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I32" i="2"/>
  <c r="J32" i="2"/>
  <c r="K32" i="2"/>
  <c r="I33" i="2"/>
  <c r="J33" i="2"/>
  <c r="K33" i="2"/>
  <c r="I34" i="2"/>
  <c r="J34" i="2"/>
  <c r="K34" i="2"/>
  <c r="I35" i="2"/>
  <c r="J35" i="2"/>
  <c r="K35" i="2"/>
  <c r="I36" i="2"/>
  <c r="J36" i="2"/>
  <c r="K36" i="2"/>
  <c r="I37" i="2"/>
  <c r="J37" i="2"/>
  <c r="K37" i="2"/>
  <c r="I38" i="2"/>
  <c r="J38" i="2"/>
  <c r="K38" i="2"/>
  <c r="I39" i="2"/>
  <c r="J39" i="2"/>
  <c r="K39" i="2"/>
  <c r="I40" i="2"/>
  <c r="J40" i="2"/>
  <c r="K40" i="2"/>
  <c r="I41" i="2"/>
  <c r="J41" i="2"/>
  <c r="K41" i="2"/>
  <c r="I42" i="2"/>
  <c r="J42" i="2"/>
  <c r="K42" i="2"/>
  <c r="I43" i="2"/>
  <c r="J43" i="2"/>
  <c r="K43" i="2"/>
  <c r="I44" i="2"/>
  <c r="J44" i="2"/>
  <c r="K44" i="2"/>
  <c r="I45" i="2"/>
  <c r="J45" i="2"/>
  <c r="K45" i="2"/>
  <c r="I46" i="2"/>
  <c r="J46" i="2"/>
  <c r="K46" i="2"/>
  <c r="I47" i="2"/>
  <c r="J47" i="2"/>
  <c r="K47" i="2"/>
  <c r="I48" i="2"/>
  <c r="J48" i="2"/>
  <c r="K48" i="2"/>
  <c r="I49" i="2"/>
  <c r="J49" i="2"/>
  <c r="K49" i="2"/>
  <c r="I50" i="2"/>
  <c r="J50" i="2"/>
  <c r="K50" i="2"/>
  <c r="I51" i="2"/>
  <c r="J51" i="2"/>
  <c r="K51" i="2"/>
  <c r="I52" i="2"/>
  <c r="J52" i="2"/>
  <c r="K52" i="2"/>
  <c r="I53" i="2"/>
  <c r="J53" i="2"/>
  <c r="K53" i="2"/>
  <c r="I54" i="2"/>
  <c r="J54" i="2"/>
  <c r="K54" i="2"/>
  <c r="I55" i="2"/>
  <c r="J55" i="2"/>
  <c r="K55" i="2"/>
  <c r="I56" i="2"/>
  <c r="J56" i="2"/>
  <c r="K56" i="2"/>
  <c r="I57" i="2"/>
  <c r="J57" i="2"/>
  <c r="K57" i="2"/>
  <c r="I58" i="2"/>
  <c r="J58" i="2"/>
  <c r="K58" i="2"/>
  <c r="I59" i="2"/>
  <c r="J59" i="2"/>
  <c r="K59" i="2"/>
  <c r="I60" i="2"/>
  <c r="J60" i="2"/>
  <c r="K60" i="2"/>
  <c r="I61" i="2"/>
  <c r="J61" i="2"/>
  <c r="K61" i="2"/>
  <c r="I62" i="2"/>
  <c r="J62" i="2"/>
  <c r="K62" i="2"/>
  <c r="I63" i="2"/>
  <c r="J63" i="2"/>
  <c r="K63" i="2"/>
  <c r="I64" i="2"/>
  <c r="J64" i="2"/>
  <c r="K64" i="2"/>
  <c r="I65" i="2"/>
  <c r="J65" i="2"/>
  <c r="K65" i="2"/>
  <c r="I66" i="2"/>
  <c r="J66" i="2"/>
  <c r="K66" i="2"/>
  <c r="I67" i="2"/>
  <c r="J67" i="2"/>
  <c r="K67" i="2"/>
  <c r="I68" i="2"/>
  <c r="J68" i="2"/>
  <c r="K68" i="2"/>
  <c r="I69" i="2"/>
  <c r="J69" i="2"/>
  <c r="K69" i="2"/>
  <c r="I70" i="2"/>
  <c r="J70" i="2"/>
  <c r="K70" i="2"/>
  <c r="I71" i="2"/>
  <c r="J71" i="2"/>
  <c r="K71" i="2"/>
  <c r="I72" i="2"/>
  <c r="J72" i="2"/>
  <c r="K72" i="2"/>
  <c r="I73" i="2"/>
  <c r="J73" i="2"/>
  <c r="K73" i="2"/>
  <c r="I74" i="2"/>
  <c r="J74" i="2"/>
  <c r="K74" i="2"/>
  <c r="I75" i="2"/>
  <c r="J75" i="2"/>
  <c r="K75" i="2"/>
  <c r="I76" i="2"/>
  <c r="J76" i="2"/>
  <c r="K76" i="2"/>
  <c r="I77" i="2"/>
  <c r="J77" i="2"/>
  <c r="K77" i="2"/>
  <c r="I78" i="2"/>
  <c r="J78" i="2"/>
  <c r="K78" i="2"/>
  <c r="I79" i="2"/>
  <c r="J79" i="2"/>
  <c r="K79" i="2"/>
  <c r="I80" i="2"/>
  <c r="J80" i="2"/>
  <c r="K80" i="2"/>
  <c r="I81" i="2"/>
  <c r="J81" i="2"/>
  <c r="K81" i="2"/>
  <c r="I82" i="2"/>
  <c r="J82" i="2"/>
  <c r="K82" i="2"/>
  <c r="I83" i="2"/>
  <c r="J83" i="2"/>
  <c r="K83" i="2"/>
  <c r="I84" i="2"/>
  <c r="J84" i="2"/>
  <c r="K84" i="2"/>
  <c r="I85" i="2"/>
  <c r="J85" i="2"/>
  <c r="K85" i="2"/>
  <c r="I86" i="2"/>
  <c r="J86" i="2"/>
  <c r="K86" i="2"/>
  <c r="I87" i="2"/>
  <c r="J87" i="2"/>
  <c r="K87" i="2"/>
  <c r="I88" i="2"/>
  <c r="J88" i="2"/>
  <c r="K88" i="2"/>
  <c r="I89" i="2"/>
  <c r="J89" i="2"/>
  <c r="K89" i="2"/>
  <c r="I90" i="2"/>
  <c r="J90" i="2"/>
  <c r="K90" i="2"/>
  <c r="I91" i="2"/>
  <c r="J91" i="2"/>
  <c r="K91" i="2"/>
  <c r="I92" i="2"/>
  <c r="J92" i="2"/>
  <c r="K92" i="2"/>
  <c r="I93" i="2"/>
  <c r="J93" i="2"/>
  <c r="K93" i="2"/>
  <c r="I94" i="2"/>
  <c r="J94" i="2"/>
  <c r="K94" i="2"/>
  <c r="I95" i="2"/>
  <c r="J95" i="2"/>
  <c r="K95" i="2"/>
  <c r="I96" i="2"/>
  <c r="J96" i="2"/>
  <c r="K96" i="2"/>
  <c r="I97" i="2"/>
  <c r="J97" i="2"/>
  <c r="K97" i="2"/>
  <c r="I98" i="2"/>
  <c r="J98" i="2"/>
  <c r="K98" i="2"/>
  <c r="I99" i="2"/>
  <c r="J99" i="2"/>
  <c r="K99" i="2"/>
  <c r="I100" i="2"/>
  <c r="J100" i="2"/>
  <c r="K100" i="2"/>
  <c r="I101" i="2"/>
  <c r="J101" i="2"/>
  <c r="K101" i="2"/>
  <c r="I102" i="2"/>
  <c r="J102" i="2"/>
  <c r="K102" i="2"/>
  <c r="I103" i="2"/>
  <c r="J103" i="2"/>
  <c r="K103" i="2"/>
  <c r="I104" i="2"/>
  <c r="J104" i="2"/>
  <c r="K104" i="2"/>
  <c r="I105" i="2"/>
  <c r="J105" i="2"/>
  <c r="K105" i="2"/>
  <c r="I106" i="2"/>
  <c r="J106" i="2"/>
  <c r="K106" i="2"/>
  <c r="I107" i="2"/>
  <c r="J107" i="2"/>
  <c r="K107" i="2"/>
  <c r="I108" i="2"/>
  <c r="J108" i="2"/>
  <c r="K108" i="2"/>
  <c r="I109" i="2"/>
  <c r="J109" i="2"/>
  <c r="K109" i="2"/>
  <c r="I110" i="2"/>
  <c r="J110" i="2"/>
  <c r="K110" i="2"/>
  <c r="I111" i="2"/>
  <c r="J111" i="2"/>
  <c r="K111" i="2"/>
  <c r="I112" i="2"/>
  <c r="J112" i="2"/>
  <c r="K112" i="2"/>
  <c r="I113" i="2"/>
  <c r="J113" i="2"/>
  <c r="K113" i="2"/>
  <c r="I114" i="2"/>
  <c r="J114" i="2"/>
  <c r="K114" i="2"/>
  <c r="I115" i="2"/>
  <c r="J115" i="2"/>
  <c r="K115" i="2"/>
  <c r="I116" i="2"/>
  <c r="J116" i="2"/>
  <c r="K116" i="2"/>
  <c r="I117" i="2"/>
  <c r="J117" i="2"/>
  <c r="K117" i="2"/>
  <c r="I118" i="2"/>
  <c r="J118" i="2"/>
  <c r="K118" i="2"/>
  <c r="I119" i="2"/>
  <c r="J119" i="2"/>
  <c r="K119" i="2"/>
  <c r="I120" i="2"/>
  <c r="J120" i="2"/>
  <c r="K120" i="2"/>
  <c r="I121" i="2"/>
  <c r="J121" i="2"/>
  <c r="K121" i="2"/>
  <c r="I122" i="2"/>
  <c r="J122" i="2"/>
  <c r="K122" i="2"/>
  <c r="I123" i="2"/>
  <c r="J123" i="2"/>
  <c r="K123" i="2"/>
  <c r="I124" i="2"/>
  <c r="J124" i="2"/>
  <c r="K124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I20" i="1"/>
  <c r="I117" i="1" l="1"/>
  <c r="I116" i="1"/>
  <c r="I115" i="1"/>
  <c r="I114" i="1"/>
  <c r="I113" i="1"/>
  <c r="I112" i="1"/>
  <c r="I111" i="1"/>
  <c r="I110" i="1"/>
  <c r="I109" i="1"/>
  <c r="I107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52" i="1"/>
  <c r="I51" i="1"/>
  <c r="I50" i="1"/>
  <c r="I49" i="1"/>
  <c r="I48" i="1"/>
  <c r="I47" i="1"/>
  <c r="I46" i="1"/>
  <c r="I45" i="1"/>
  <c r="I44" i="1"/>
  <c r="I43" i="1"/>
  <c r="I42" i="1"/>
  <c r="I41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8" i="1"/>
  <c r="I118" i="1"/>
  <c r="I119" i="1"/>
  <c r="I120" i="1"/>
  <c r="I121" i="1"/>
  <c r="I122" i="1"/>
  <c r="I93" i="1" l="1"/>
  <c r="I55" i="1" l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11" i="1" l="1"/>
  <c r="I12" i="1"/>
  <c r="I13" i="1"/>
  <c r="I14" i="1"/>
  <c r="I15" i="1"/>
  <c r="I16" i="1"/>
  <c r="I17" i="1"/>
  <c r="I18" i="1"/>
  <c r="I19" i="1"/>
  <c r="I21" i="1"/>
  <c r="I22" i="1"/>
  <c r="I23" i="1"/>
  <c r="I24" i="1"/>
  <c r="I25" i="1"/>
  <c r="I26" i="1"/>
  <c r="I53" i="1"/>
  <c r="I54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125" i="2" l="1"/>
  <c r="Q21" i="3"/>
</calcChain>
</file>

<file path=xl/sharedStrings.xml><?xml version="1.0" encoding="utf-8"?>
<sst xmlns="http://schemas.openxmlformats.org/spreadsheetml/2006/main" count="529" uniqueCount="184">
  <si>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</si>
  <si>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</si>
  <si>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</si>
  <si>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</si>
  <si>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</si>
  <si>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</si>
  <si>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</si>
  <si>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</si>
  <si>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</si>
  <si>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</si>
  <si>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</si>
  <si>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</si>
  <si>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</si>
  <si>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</si>
  <si>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</si>
  <si>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</si>
  <si>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</si>
  <si>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</si>
  <si>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</si>
  <si>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</si>
  <si>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</si>
  <si>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</si>
  <si>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</si>
  <si>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</si>
  <si>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</si>
  <si>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</si>
  <si>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</si>
  <si>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</si>
  <si>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</si>
  <si>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</si>
  <si>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</si>
  <si>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</si>
  <si>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</si>
  <si>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</si>
  <si>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</si>
  <si>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</si>
  <si>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</si>
  <si>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</si>
  <si>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</si>
  <si>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</si>
  <si>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</si>
  <si>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</si>
  <si>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</si>
  <si>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</si>
  <si>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</si>
  <si>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</si>
  <si>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</si>
  <si>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</si>
  <si>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</si>
  <si>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</si>
  <si>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</si>
  <si>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</si>
  <si>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</si>
  <si>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</si>
  <si>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</si>
  <si>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</si>
  <si>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Servicio de Farmacia</t>
  </si>
  <si>
    <t>PROD. MEDICO/ FARMACEUTICOS/LAB</t>
  </si>
  <si>
    <t>UNIDAD</t>
  </si>
  <si>
    <t>UTILES MENORES MEDICO, QUIRURGICO Y DE LABORATORIO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</si>
  <si>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</si>
  <si>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</si>
  <si>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</t>
    </r>
    <r>
      <rPr>
        <sz val="10"/>
        <rFont val="Times New Roman"/>
        <family val="1"/>
      </rPr>
      <t xml:space="preserve">: 45 dias habiles </t>
    </r>
  </si>
  <si>
    <t>SI</t>
  </si>
  <si>
    <t>ALCOHOL 70 % X 1000 ML</t>
  </si>
  <si>
    <t>ALCOHOL 70 % X 500 ML</t>
  </si>
  <si>
    <t>ALCOHOL EN GEL X 250 ML</t>
  </si>
  <si>
    <t>ALCOHOL EN GEL X 500 ML.</t>
  </si>
  <si>
    <t>AMONIO CUATERNARIO X 5 LITROS TIPO SURFANIOS</t>
  </si>
  <si>
    <t>BAJALENGUA X 100 UNIDADES</t>
  </si>
  <si>
    <t>BARBIJO HEMORREPELENTE QUIRURGICO TRIPLE CAPA</t>
  </si>
  <si>
    <t>BARBIJOS DE ALTA EFICIENCIA TIPO N95</t>
  </si>
  <si>
    <t>BOTAS ALTAS DESCARTABLES DE 30 GRAMOS CON TIRA EL PAR</t>
  </si>
  <si>
    <t xml:space="preserve">CAMARA HUMIDIFICADORA DESCARTABLE TIPO GGM  o FISHER PAIKEL </t>
  </si>
  <si>
    <t>CAMISOLIN DESCARTABLE DE TELA SMS 50 GRAMOS CON MANGA Y PUÑOS DE 1,4 M DE LARGO</t>
  </si>
  <si>
    <t>CANULA NASAL DE ALTO FLUJO TIPO OPTIFLOW INFANTIL F&amp;P OPT 316</t>
  </si>
  <si>
    <t>CANULA NASAL DE ALTO FLUJO TIPO OPTIFLOW PEDIATRICA F&amp;P OPT 318</t>
  </si>
  <si>
    <t>CANULA NASAL PARA ALTO FLUJO TIPO GGM  ADULTO 5 mm 4825R1V TAMANO M</t>
  </si>
  <si>
    <t xml:space="preserve">CANULA NASAL PARA ALTO FLUJO TIPO GGM  ADULTO 6 mm 4826R1V TAMANO L </t>
  </si>
  <si>
    <t xml:space="preserve">CANULA NASAL PARA ALTO FLUJO TIPO GGM  NEO  3.5 mm 4828 r1v </t>
  </si>
  <si>
    <t xml:space="preserve">CANULA NASAL PARA ALTO FLUJO TIPO GGM  PEDIATRICA 4mm 4824R1V </t>
  </si>
  <si>
    <t>CANULA NASAL PARA ALTO FLUJO TIPO OPT844 / OPT 944 FISHER PAYKEL</t>
  </si>
  <si>
    <t>CANULA NASAL PARA ALTO FLUJO TIPO OPT846/OPT 946  FISHER PAYKEL</t>
  </si>
  <si>
    <t>CANULA NASAL PARA OXIGENOTERAPIA ADULTO</t>
  </si>
  <si>
    <t>CANULA NASAL PARA OXIGENOTERAPIA NEONATAL</t>
  </si>
  <si>
    <t>CANULA NASAL PARA OXIGENOTERAPIA PEDIATRICO</t>
  </si>
  <si>
    <t>CANULA PARA TRAQUEOSTOMIA Nº 7 1/2</t>
  </si>
  <si>
    <t>CANULA PARA TRAQUEOSTOMIA Nº 8</t>
  </si>
  <si>
    <t>CANULA PARA TRAQUEOTOMIA N° 9</t>
  </si>
  <si>
    <t>CIRCUITO ANESTESIA EXTENSIBLE ADULTO AUTOCLAVABLE</t>
  </si>
  <si>
    <t>CIRCUITO ANESTESIA EXTENSIBLE ADULTO DESCARTABLE</t>
  </si>
  <si>
    <t>CIRCUITO ANESTESIA EXTENSIBLE NEONATAL AUTOCLAVABLE</t>
  </si>
  <si>
    <t>CIRCUITO ANESTESIA EXTENSIBLE NEONATAL DESCARTABLE</t>
  </si>
  <si>
    <t>CIRCUITO ANESTESIA EXTENSIBLE PEDIATRICO AUTOCLAVABLE</t>
  </si>
  <si>
    <t>CIRCUITO ANESTESIA EXTENSIBLE PEDIATRICO DESCARTABLE</t>
  </si>
  <si>
    <t>CIRCUITO CERRADO P/ASPIRACION 10 FR</t>
  </si>
  <si>
    <t>CIRCUITO CERRADO P/ASPIRACION 12 FR</t>
  </si>
  <si>
    <t>CIRCUITO CERRADO P/ASPIRACION 14 FR</t>
  </si>
  <si>
    <t>CIRCUITO CERRADO P/ASPIRACION 16 FR</t>
  </si>
  <si>
    <t>CIRCUITO CERRADO P/ASPIRACION 6 FR</t>
  </si>
  <si>
    <t>CIRCUITO CERRADO P/ASPIRACION 7 FR</t>
  </si>
  <si>
    <t>CIRCUITO CERRADO P/ASPIRACION 8 FR</t>
  </si>
  <si>
    <t>CIRCUITO PARA ALTO FLUJO TIPO  FISHER PAYKEL PEDIATRICO/ADULTO  AIRVO</t>
  </si>
  <si>
    <t>CIRCUITO PARA ALTO FLUJO TIPO  HUMIDOFLO  PEDIATRICO/ADULTO</t>
  </si>
  <si>
    <t>CIRCUITO RESPIRADOR CON TRAMPA DE AGUA AUTOCLAVABLE ADULTO</t>
  </si>
  <si>
    <t>CIRCUITO RESPIRADOR CON TRAMPA DE AGUA AUTOCLAVABLE PEDIATRICO</t>
  </si>
  <si>
    <t>CIRCUITO RESPIRADOR CON TRAMPA DE AGUA DESCARTABLE ADULTO</t>
  </si>
  <si>
    <t>CIRCUITO RESPIRADOR CON TRAMPA DE AGUA DESCARTABLE PEDIATRICO</t>
  </si>
  <si>
    <t xml:space="preserve">CLORHEXIDINA 4% JABON X 500 ML CON VALVULA DISPENSADORA </t>
  </si>
  <si>
    <t>COFIAS PLIZADAS CON AJUSTE ELASTIZADO</t>
  </si>
  <si>
    <t>DETERGENTE TRES ENZIMAS ( LIPASA, AMILASA,PROTEASA ) BIDON X 5 LITROS</t>
  </si>
  <si>
    <t xml:space="preserve">FILTRO HME ADULTO HIGROBAC INTERCAMBIADOR CALOR/HUMEDAD </t>
  </si>
  <si>
    <t>FILTRO HME BACTERIAL VIRAL PARA CIRCUITO RESPIRADOR</t>
  </si>
  <si>
    <t>GUANTES DE CIRUGIA ESTERIL N° 7 1/2 PAR NITRILO CAÑA LARGA</t>
  </si>
  <si>
    <t>GUANTES DE CIRUGIA ESTERIL Nº 6 1/2 PAR. ANATOMICOS . CAÑA LARGA SIN TALCO</t>
  </si>
  <si>
    <t>GUANTES DE CIRUGIA ESTERIL Nº 7  PAR. ANATOMICOS . CAÑA LARGA SIN TALCO</t>
  </si>
  <si>
    <t>GUANTES DE CIRUGIA ESTERIL Nº 7 1/2 PAR.  ANATOMICOS . CAÑA LARGA SIN TALCO</t>
  </si>
  <si>
    <t>GUANTES DE CIRUGIA ESTERIL Nº 8 PAR.  ANATOMICOS . CAÑA LARGA SIN TALCO</t>
  </si>
  <si>
    <t>GUANTES DE CIRUGIA ESTERIL Nº 81/2 PAR. ANATOMICOS . CAÑA LARGA SIN TALCO</t>
  </si>
  <si>
    <t>GUANTES DE EXAMINACION TAMAÑO L X 100</t>
  </si>
  <si>
    <t>GUANTES DE EXAMINACION TAMAÑO M X 100</t>
  </si>
  <si>
    <t>GUANTES DE EXAMINACON TAMAÑO S X 100</t>
  </si>
  <si>
    <t>GUANTES DE VINILO TAMAÑO L X 100</t>
  </si>
  <si>
    <t>GUANTES DE VINILO TAMAÑO M X 100</t>
  </si>
  <si>
    <t>KIT DESCARTABLE CAMISOLIN 50 GRS + COFIA + BOTAS PAR</t>
  </si>
  <si>
    <t>LLAVE DE TRES VIAS</t>
  </si>
  <si>
    <t>MAMELUCO LAMINADO TALLE XXL</t>
  </si>
  <si>
    <t>MASCARA CON BOLSA RESERVORIO</t>
  </si>
  <si>
    <t>MASCARA DE OXIGENO CON REGULADORES</t>
  </si>
  <si>
    <t>MASCARA PARA NEBULIZAR ADULTO COMPLETA MASCARA+PIPETA+TUBULADURA</t>
  </si>
  <si>
    <t>MASCARA PARA NEBULIZAR PEDIATRICA COMPLETA MASCARA+PIPETA+TUBULADURA</t>
  </si>
  <si>
    <t>MASCARA PERFOMAX TOTAL FACE  TALLE G PARA VNI</t>
  </si>
  <si>
    <t>MASCARA PERFOMAX TOTAL FACE  TALLE XG PARA VNI</t>
  </si>
  <si>
    <t>MONOPERSUFATO DE POTASIO DESINFECTANTE DE SUPERFICIE SOBRE PARA PREPARAR UN LITRO DE SOLUCION TIPO LT8</t>
  </si>
  <si>
    <t xml:space="preserve">OXIMETRO DE PULSO </t>
  </si>
  <si>
    <t>SENSOR ADULTO DESCARTABLE TIPO NELLCOR COVIDIEN X 12</t>
  </si>
  <si>
    <t xml:space="preserve">SENSOR NEONATAL DESCARTABLE TIPO NELLCOR COVIDIEN X 12 </t>
  </si>
  <si>
    <t>SENSOR P/SATUROMETRIA PEDIATRICO REUTILIZABLE 04-15KG T/PHILIPS</t>
  </si>
  <si>
    <t>SENSOR P/SATUROMETRIA PEDIATRICO REUTILIZABLE 15-50KG T/PHILIPS</t>
  </si>
  <si>
    <t>SET DE VIA CENTRAL DOBLE LUMEN 4  FRENCH  /30 CM 22/22 G TIPO ARROW</t>
  </si>
  <si>
    <t>SET DE VIA CENTRAL DOBLE LUMEN 7 FRENCH TIPO ARROW</t>
  </si>
  <si>
    <t>SET DE VIA CENTRAL SIMPLE LUMEN 3  FRENCH   TIPO ARROW</t>
  </si>
  <si>
    <t>SET.P/CATET.VENA CENTRAL 5 FR/13 CM 2 LUM.20/18G T</t>
  </si>
  <si>
    <t>SET.P/CATET.VENA CENTRAL 5 FR/20 CM 2 LUM.</t>
  </si>
  <si>
    <t>SET.P/CATET.VENA CENTRAL 5 FR/30 CM 2 LUM.</t>
  </si>
  <si>
    <t>SONDA P/ASP.MUCUS C/REG.2,3 MM X 7 FR K-26P</t>
  </si>
  <si>
    <t>SONDA P/ASP.MUCUS C/REG.2,7 MM X 8 FR K-28P</t>
  </si>
  <si>
    <t>SONDA PARA ASPIRACION MUCUS K29P CON REGULADOR</t>
  </si>
  <si>
    <t>SONDA PARA ASPIRACION MUCUS K30P CON REGULADOR</t>
  </si>
  <si>
    <t>SONDA PARA ASPIRACION MUCUS K31P CON REGULADOR</t>
  </si>
  <si>
    <t>SONDA PARA ASPIRACION MUCUS K33P CON REGULADOR</t>
  </si>
  <si>
    <t>SONDA PARA ASPIRACION MUCUS K35P CON REGULADOR</t>
  </si>
  <si>
    <t>SONDA PARA MUESTRA DE SECRECION TRAQUEAL B-2941 TIPO TUBO DE LUKEN</t>
  </si>
  <si>
    <t>TERMOMETRO DIGITAL</t>
  </si>
  <si>
    <t>TUBO ENDOTRAQUEAL CON BALON Nº 3</t>
  </si>
  <si>
    <t>TUBO ENDOTRAQUEAL CON BALON Nº 3.5</t>
  </si>
  <si>
    <t>TUBO ENDOTRAQUEAL CON BALON Nº 7</t>
  </si>
  <si>
    <t>TUBO ENDOTRAQUEAL CON BALON Nº 71/2</t>
  </si>
  <si>
    <t>TUBO ENDOTRAQUEAL CON BALON Nº 8</t>
  </si>
  <si>
    <t>TUBO ENDOTRAQUEAL CON BALON Nº 81/2</t>
  </si>
  <si>
    <t>TUBO ENDOTRAQUEAL Nº 4 CON BALON</t>
  </si>
  <si>
    <t xml:space="preserve">TUBO ENDOTRAQUEAL Nº 41/2 CON BALON </t>
  </si>
  <si>
    <t>TUBO ENDOTRAQUEAL Nº 5 CON BALON</t>
  </si>
  <si>
    <t>TUBO ENDOTRAQUEAL Nº 51/2 CON BALON</t>
  </si>
  <si>
    <t>TUBO ENDOTRAQUEALES TIPO RUSH S/B 3</t>
  </si>
  <si>
    <t>TUBO ENDOTRAQUEALES TIPO RUSH S/B 3,5</t>
  </si>
  <si>
    <t>TUBO MAYO GUEDEL N 0</t>
  </si>
  <si>
    <t>TUBO MAYO GUEDEL N 00</t>
  </si>
  <si>
    <t>TUBO MAYO GUEDEL N 5</t>
  </si>
  <si>
    <t xml:space="preserve">TUBO MAYO GUEDEL N°1 </t>
  </si>
  <si>
    <t xml:space="preserve">TUBO MAYO GUEDEL N°2 </t>
  </si>
  <si>
    <t xml:space="preserve">TUBO MAYO GUEDEL N°3 </t>
  </si>
  <si>
    <t xml:space="preserve">TUBO MAYO GUEDEL N°4 </t>
  </si>
  <si>
    <t>TUBULADURA  PVC   9 X 6 X 50 USO MEDICINAL</t>
  </si>
  <si>
    <t>TUBULADURA  PVC.6,40 X 9,50 USO MEDICINAL</t>
  </si>
  <si>
    <t>TUBULADURA PVC 6X9 X 50 USO MEDICINAL</t>
  </si>
  <si>
    <t>TUBULADURA PVC 7,9 X 12,70  USO MEDICINAL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</si>
  <si>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20 días corridos de notificada la Orden de Compra. </t>
    </r>
  </si>
  <si>
    <t>91/2021</t>
  </si>
  <si>
    <t>Descartables Covid</t>
  </si>
  <si>
    <t>Costo total estimado: Veinticinco millones Seiscientos treinta y seis mil Novecientos sesenta y nueve Con 65/100.</t>
  </si>
  <si>
    <t>TOTAL DE PESOS: Veinticinco millones Seiscientos treinta y seis mil Novecientos sesenta y nueve Con 65/100.</t>
  </si>
  <si>
    <t>Para la adquisición de Descartables Covid destinados al Servicio de Farmacia del Hospital Interzonal de Niños Eva Peron, para el normal funcionamiento del organismo.</t>
  </si>
  <si>
    <t>COMPUESTOS QUIMICOS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</si>
</sst>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9">
    <xf numFmtId="0" fontId="0" fillId="0" borderId="0"/>
    <xf numFmtId="166" fontId="17" fillId="0" borderId="0" applyBorder="0" applyProtection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54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5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8" fillId="3" borderId="12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4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7" fillId="3" borderId="4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/>
    </xf>
    <xf numFmtId="168" fontId="5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7" fillId="3" borderId="56" xfId="0" applyFont="1" applyFill="1" applyBorder="1" applyAlignment="1">
      <alignment horizontal="left" vertical="center"/>
    </xf>
    <xf numFmtId="0" fontId="7" fillId="4" borderId="56" xfId="0" applyFont="1" applyFill="1" applyBorder="1" applyAlignment="1">
      <alignment horizontal="center" vertical="center"/>
    </xf>
    <xf numFmtId="0" fontId="7" fillId="3" borderId="58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center" wrapText="1"/>
    </xf>
    <xf numFmtId="0" fontId="18" fillId="0" borderId="0" xfId="0" applyFont="1" applyFill="1"/>
    <xf numFmtId="0" fontId="21" fillId="0" borderId="0" xfId="0" applyFont="1" applyFill="1" applyAlignment="1">
      <alignment horizontal="left" wrapText="1"/>
    </xf>
    <xf numFmtId="0" fontId="21" fillId="0" borderId="0" xfId="0" applyFont="1" applyFill="1" applyAlignment="1">
      <alignment horizontal="center" wrapText="1"/>
    </xf>
    <xf numFmtId="0" fontId="26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left" wrapText="1"/>
    </xf>
    <xf numFmtId="168" fontId="18" fillId="0" borderId="0" xfId="0" applyNumberFormat="1" applyFont="1" applyFill="1"/>
    <xf numFmtId="0" fontId="22" fillId="0" borderId="16" xfId="0" applyFont="1" applyFill="1" applyBorder="1" applyAlignment="1">
      <alignment horizontal="center" vertical="center" wrapText="1"/>
    </xf>
    <xf numFmtId="0" fontId="23" fillId="0" borderId="42" xfId="0" applyFont="1" applyFill="1" applyBorder="1" applyAlignment="1">
      <alignment horizontal="center" vertical="center"/>
    </xf>
    <xf numFmtId="0" fontId="0" fillId="0" borderId="2" xfId="0" applyFill="1" applyBorder="1"/>
    <xf numFmtId="0" fontId="17" fillId="0" borderId="2" xfId="0" applyFont="1" applyFill="1" applyBorder="1" applyAlignment="1">
      <alignment wrapText="1"/>
    </xf>
    <xf numFmtId="0" fontId="24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56" xfId="0" applyFill="1" applyBorder="1"/>
    <xf numFmtId="0" fontId="17" fillId="0" borderId="56" xfId="0" applyFont="1" applyFill="1" applyBorder="1" applyAlignment="1">
      <alignment wrapText="1"/>
    </xf>
    <xf numFmtId="0" fontId="24" fillId="0" borderId="56" xfId="0" applyFont="1" applyFill="1" applyBorder="1" applyAlignment="1">
      <alignment horizontal="center" vertical="center" wrapText="1"/>
    </xf>
    <xf numFmtId="167" fontId="18" fillId="0" borderId="0" xfId="0" applyNumberFormat="1" applyFont="1" applyFill="1"/>
    <xf numFmtId="0" fontId="25" fillId="0" borderId="4" xfId="0" applyFont="1" applyFill="1" applyBorder="1" applyAlignment="1">
      <alignment horizontal="left" indent="3"/>
    </xf>
    <xf numFmtId="0" fontId="18" fillId="0" borderId="5" xfId="0" applyFont="1" applyFill="1" applyBorder="1"/>
    <xf numFmtId="0" fontId="18" fillId="0" borderId="6" xfId="0" applyFont="1" applyFill="1" applyBorder="1"/>
    <xf numFmtId="0" fontId="18" fillId="0" borderId="0" xfId="0" applyFont="1" applyFill="1" applyBorder="1"/>
    <xf numFmtId="0" fontId="25" fillId="0" borderId="7" xfId="0" applyFont="1" applyFill="1" applyBorder="1" applyAlignment="1"/>
    <xf numFmtId="0" fontId="18" fillId="0" borderId="8" xfId="0" applyFont="1" applyFill="1" applyBorder="1" applyAlignment="1">
      <alignment horizontal="center" wrapText="1"/>
    </xf>
    <xf numFmtId="0" fontId="29" fillId="0" borderId="56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164" fontId="29" fillId="0" borderId="56" xfId="0" applyNumberFormat="1" applyFont="1" applyBorder="1" applyAlignment="1">
      <alignment horizontal="center" vertical="center"/>
    </xf>
    <xf numFmtId="164" fontId="23" fillId="0" borderId="3" xfId="1" applyNumberFormat="1" applyFont="1" applyFill="1" applyBorder="1" applyAlignment="1" applyProtection="1">
      <alignment horizontal="right" vertical="center" wrapText="1"/>
    </xf>
    <xf numFmtId="164" fontId="23" fillId="0" borderId="57" xfId="1" applyNumberFormat="1" applyFont="1" applyFill="1" applyBorder="1" applyAlignment="1" applyProtection="1">
      <alignment horizontal="right" vertical="center" wrapText="1"/>
    </xf>
    <xf numFmtId="164" fontId="0" fillId="0" borderId="56" xfId="0" applyNumberFormat="1" applyFont="1" applyBorder="1" applyAlignment="1">
      <alignment horizontal="center" vertical="center"/>
    </xf>
    <xf numFmtId="0" fontId="18" fillId="0" borderId="9" xfId="0" applyFont="1" applyFill="1" applyBorder="1"/>
    <xf numFmtId="0" fontId="18" fillId="0" borderId="10" xfId="0" applyFont="1" applyFill="1" applyBorder="1"/>
    <xf numFmtId="0" fontId="18" fillId="0" borderId="11" xfId="0" applyFont="1" applyFill="1" applyBorder="1"/>
    <xf numFmtId="164" fontId="23" fillId="0" borderId="0" xfId="0" applyNumberFormat="1" applyFont="1" applyFill="1"/>
    <xf numFmtId="164" fontId="24" fillId="0" borderId="0" xfId="0" applyNumberFormat="1" applyFont="1" applyFill="1" applyAlignment="1">
      <alignment horizontal="left" wrapText="1"/>
    </xf>
    <xf numFmtId="164" fontId="27" fillId="0" borderId="16" xfId="0" applyNumberFormat="1" applyFont="1" applyFill="1" applyBorder="1" applyAlignment="1">
      <alignment horizontal="center" vertical="center" wrapText="1"/>
    </xf>
    <xf numFmtId="164" fontId="0" fillId="0" borderId="56" xfId="0" applyNumberFormat="1" applyFont="1" applyFill="1" applyBorder="1" applyAlignment="1">
      <alignment horizontal="center" vertical="center"/>
    </xf>
    <xf numFmtId="0" fontId="29" fillId="0" borderId="60" xfId="0" applyFont="1" applyFill="1" applyBorder="1" applyAlignment="1">
      <alignment vertical="center"/>
    </xf>
    <xf numFmtId="0" fontId="29" fillId="0" borderId="56" xfId="0" applyFont="1" applyFill="1" applyBorder="1" applyAlignment="1">
      <alignment horizontal="center" vertical="center"/>
    </xf>
    <xf numFmtId="0" fontId="29" fillId="0" borderId="60" xfId="0" applyFont="1" applyFill="1" applyBorder="1" applyAlignment="1">
      <alignment vertical="center" wrapText="1"/>
    </xf>
    <xf numFmtId="0" fontId="29" fillId="0" borderId="60" xfId="0" applyFont="1" applyFill="1" applyBorder="1" applyAlignment="1">
      <alignment horizontal="left" vertical="center" wrapText="1"/>
    </xf>
    <xf numFmtId="0" fontId="29" fillId="0" borderId="59" xfId="0" applyFont="1" applyFill="1" applyBorder="1" applyAlignment="1">
      <alignment vertical="center"/>
    </xf>
    <xf numFmtId="0" fontId="0" fillId="0" borderId="56" xfId="0" applyFont="1" applyFill="1" applyBorder="1" applyAlignment="1">
      <alignment horizontal="center" vertical="center"/>
    </xf>
    <xf numFmtId="0" fontId="29" fillId="0" borderId="59" xfId="0" applyFont="1" applyFill="1" applyBorder="1" applyAlignment="1">
      <alignment vertical="center" wrapText="1"/>
    </xf>
    <xf numFmtId="0" fontId="9" fillId="0" borderId="13" xfId="0" applyFont="1" applyFill="1" applyBorder="1" applyAlignment="1">
      <alignment horizontal="center" vertical="center"/>
    </xf>
    <xf numFmtId="0" fontId="29" fillId="0" borderId="59" xfId="0" applyFont="1" applyFill="1" applyBorder="1" applyAlignment="1">
      <alignment horizontal="left" vertical="center"/>
    </xf>
    <xf numFmtId="0" fontId="30" fillId="0" borderId="59" xfId="0" applyFont="1" applyFill="1" applyBorder="1" applyAlignment="1">
      <alignment horizontal="left" vertical="center"/>
    </xf>
    <xf numFmtId="0" fontId="29" fillId="0" borderId="60" xfId="0" applyFont="1" applyFill="1" applyBorder="1" applyAlignment="1">
      <alignment horizontal="left" vertical="center"/>
    </xf>
    <xf numFmtId="0" fontId="0" fillId="0" borderId="60" xfId="0" applyFont="1" applyFill="1" applyBorder="1" applyAlignment="1">
      <alignment vertical="center" wrapText="1"/>
    </xf>
    <xf numFmtId="0" fontId="0" fillId="0" borderId="59" xfId="0" applyFont="1" applyFill="1" applyBorder="1" applyAlignment="1">
      <alignment vertical="center" wrapText="1"/>
    </xf>
    <xf numFmtId="0" fontId="29" fillId="0" borderId="61" xfId="0" applyFont="1" applyFill="1" applyBorder="1" applyAlignment="1">
      <alignment vertical="center"/>
    </xf>
    <xf numFmtId="0" fontId="29" fillId="0" borderId="56" xfId="0" applyFont="1" applyFill="1" applyBorder="1" applyAlignment="1">
      <alignment vertical="center"/>
    </xf>
    <xf numFmtId="164" fontId="0" fillId="0" borderId="53" xfId="3" applyNumberFormat="1" applyFont="1" applyBorder="1" applyAlignment="1" applyProtection="1">
      <alignment horizontal="center" vertical="center"/>
    </xf>
    <xf numFmtId="164" fontId="0" fillId="0" borderId="33" xfId="3" applyNumberFormat="1" applyFont="1" applyBorder="1" applyAlignment="1" applyProtection="1">
      <alignment horizontal="center" vertical="center"/>
    </xf>
    <xf numFmtId="164" fontId="0" fillId="0" borderId="37" xfId="3" applyNumberFormat="1" applyFont="1" applyBorder="1" applyAlignment="1" applyProtection="1">
      <alignment horizontal="center" vertical="center"/>
    </xf>
    <xf numFmtId="164" fontId="16" fillId="0" borderId="38" xfId="0" applyNumberFormat="1" applyFont="1" applyBorder="1" applyAlignment="1">
      <alignment horizontal="center" vertical="center"/>
    </xf>
    <xf numFmtId="164" fontId="7" fillId="3" borderId="2" xfId="1" applyNumberFormat="1" applyFont="1" applyFill="1" applyBorder="1" applyAlignment="1" applyProtection="1">
      <alignment horizontal="righ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8" fillId="0" borderId="7" xfId="5" applyFont="1" applyFill="1" applyBorder="1" applyAlignment="1">
      <alignment horizontal="left" wrapText="1"/>
    </xf>
    <xf numFmtId="0" fontId="18" fillId="0" borderId="0" xfId="5" applyFont="1" applyFill="1" applyBorder="1" applyAlignment="1">
      <alignment horizontal="left" wrapText="1"/>
    </xf>
    <xf numFmtId="0" fontId="18" fillId="0" borderId="8" xfId="5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left" wrapText="1" indent="1"/>
    </xf>
    <xf numFmtId="0" fontId="7" fillId="3" borderId="2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 indent="1"/>
    </xf>
    <xf numFmtId="164" fontId="10" fillId="3" borderId="16" xfId="0" applyNumberFormat="1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left" vertical="center" wrapText="1" indent="1"/>
    </xf>
    <xf numFmtId="0" fontId="11" fillId="3" borderId="18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left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4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2" fillId="0" borderId="38" xfId="0" applyFont="1" applyBorder="1" applyAlignment="1">
      <alignment horizontal="left" vertical="center" wrapText="1"/>
    </xf>
    <xf numFmtId="0" fontId="0" fillId="0" borderId="23" xfId="0" applyBorder="1"/>
    <xf numFmtId="0" fontId="28" fillId="0" borderId="30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/>
    </xf>
    <xf numFmtId="0" fontId="12" fillId="0" borderId="21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24" xfId="0" applyFont="1" applyBorder="1"/>
    <xf numFmtId="0" fontId="14" fillId="0" borderId="25" xfId="0" applyFont="1" applyBorder="1" applyAlignment="1">
      <alignment horizontal="left" vertical="center" wrapText="1" indent="1"/>
    </xf>
    <xf numFmtId="0" fontId="16" fillId="0" borderId="23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indent="1"/>
    </xf>
    <xf numFmtId="0" fontId="15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2" fillId="0" borderId="22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5" fillId="0" borderId="13" xfId="0" applyFont="1" applyBorder="1"/>
  </cellXfs>
  <cellStyles count="9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  <cellStyle name="Normal 4" xfId="8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129"/>
  <sheetViews>
    <sheetView tabSelected="1" zoomScale="93" zoomScaleNormal="93" workbookViewId="0">
      <selection activeCell="I15" sqref="I15:I122"/>
    </sheetView>
  </sheetViews>
  <sheetFormatPr baseColWidth="10" defaultColWidth="11" defaultRowHeight="12.75" x14ac:dyDescent="0.2"/>
  <cols>
    <col min="1" max="1" width="6.42578125" style="50" customWidth="1"/>
    <col min="2" max="2" width="15" style="50" customWidth="1"/>
    <col min="3" max="3" width="28.42578125" style="50" customWidth="1"/>
    <col min="4" max="4" width="8.42578125" style="50" customWidth="1"/>
    <col min="5" max="5" width="79.85546875" style="50" customWidth="1"/>
    <col min="6" max="6" width="11" style="50"/>
    <col min="7" max="7" width="10.42578125" style="50" bestFit="1" customWidth="1"/>
    <col min="8" max="8" width="13.85546875" style="81" customWidth="1"/>
    <col min="9" max="9" width="18.5703125" style="50" customWidth="1"/>
    <col min="10" max="11" width="11" style="50"/>
    <col min="12" max="12" width="13.140625" style="50" customWidth="1"/>
    <col min="13" max="16384" width="11" style="50"/>
  </cols>
  <sheetData>
    <row r="2" spans="1:10" ht="27" x14ac:dyDescent="0.35">
      <c r="B2" s="109" t="s">
        <v>0</v>
      </c>
      <c r="C2" s="109"/>
      <c r="D2" s="109"/>
      <c r="E2" s="109"/>
      <c r="F2" s="109"/>
      <c r="G2" s="109"/>
      <c r="H2" s="109"/>
    </row>
    <row r="3" spans="1:10" ht="12" customHeight="1" x14ac:dyDescent="0.2"/>
    <row r="4" spans="1:10" ht="28.5" customHeight="1" x14ac:dyDescent="0.25">
      <c r="A4" s="105" t="s">
        <v>1</v>
      </c>
      <c r="B4" s="105"/>
      <c r="C4" s="110" t="s">
        <v>52</v>
      </c>
      <c r="D4" s="110"/>
      <c r="E4" s="110"/>
      <c r="F4" s="51"/>
      <c r="G4" s="52"/>
      <c r="H4" s="82"/>
    </row>
    <row r="5" spans="1:10" ht="18" customHeight="1" x14ac:dyDescent="0.25">
      <c r="A5" s="105" t="s">
        <v>2</v>
      </c>
      <c r="B5" s="105"/>
      <c r="C5" s="110" t="s">
        <v>51</v>
      </c>
      <c r="D5" s="110"/>
      <c r="E5" s="110"/>
      <c r="F5" s="51"/>
      <c r="G5" s="52" t="s">
        <v>55</v>
      </c>
      <c r="H5" s="82"/>
    </row>
    <row r="6" spans="1:10" ht="16.5" customHeight="1" x14ac:dyDescent="0.25">
      <c r="A6" s="105" t="s">
        <v>3</v>
      </c>
      <c r="B6" s="105"/>
      <c r="C6" s="53">
        <v>2021</v>
      </c>
      <c r="D6" s="54"/>
      <c r="E6" s="54"/>
      <c r="F6" s="51"/>
      <c r="G6" s="52"/>
      <c r="H6" s="82"/>
    </row>
    <row r="7" spans="1:10" ht="16.5" customHeight="1" x14ac:dyDescent="0.25">
      <c r="A7" s="105" t="s">
        <v>4</v>
      </c>
      <c r="B7" s="105"/>
      <c r="C7" s="53">
        <v>2</v>
      </c>
      <c r="D7" s="54"/>
      <c r="E7" s="54"/>
      <c r="F7" s="51"/>
      <c r="G7" s="52"/>
      <c r="H7" s="82"/>
    </row>
    <row r="8" spans="1:10" ht="13.5" thickBot="1" x14ac:dyDescent="0.25">
      <c r="B8" s="51"/>
      <c r="C8" s="52"/>
      <c r="D8" s="51"/>
      <c r="E8" s="51"/>
      <c r="F8" s="51"/>
      <c r="G8" s="52"/>
      <c r="H8" s="82"/>
      <c r="J8" s="55"/>
    </row>
    <row r="9" spans="1:10" ht="36.75" thickBot="1" x14ac:dyDescent="0.25">
      <c r="A9" s="56" t="s">
        <v>5</v>
      </c>
      <c r="B9" s="56" t="s">
        <v>6</v>
      </c>
      <c r="C9" s="56" t="s">
        <v>7</v>
      </c>
      <c r="D9" s="56" t="s">
        <v>8</v>
      </c>
      <c r="E9" s="56" t="s">
        <v>9</v>
      </c>
      <c r="F9" s="56" t="s">
        <v>10</v>
      </c>
      <c r="G9" s="56" t="s">
        <v>11</v>
      </c>
      <c r="H9" s="83" t="s">
        <v>12</v>
      </c>
      <c r="I9" s="56" t="s">
        <v>13</v>
      </c>
    </row>
    <row r="10" spans="1:10" ht="26.25" thickBot="1" x14ac:dyDescent="0.25">
      <c r="A10" s="57">
        <v>1</v>
      </c>
      <c r="B10" s="58"/>
      <c r="C10" s="59" t="s">
        <v>57</v>
      </c>
      <c r="D10" s="60">
        <v>251</v>
      </c>
      <c r="E10" s="93" t="s">
        <v>64</v>
      </c>
      <c r="F10" s="61" t="s">
        <v>58</v>
      </c>
      <c r="G10" s="72">
        <v>4000</v>
      </c>
      <c r="H10" s="74">
        <v>194</v>
      </c>
      <c r="I10" s="75">
        <f>+G10*H10</f>
        <v>776000</v>
      </c>
    </row>
    <row r="11" spans="1:10" ht="26.25" thickBot="1" x14ac:dyDescent="0.25">
      <c r="A11" s="57">
        <v>2</v>
      </c>
      <c r="B11" s="62"/>
      <c r="C11" s="63" t="s">
        <v>57</v>
      </c>
      <c r="D11" s="60">
        <v>251</v>
      </c>
      <c r="E11" s="93" t="s">
        <v>65</v>
      </c>
      <c r="F11" s="61" t="s">
        <v>58</v>
      </c>
      <c r="G11" s="72">
        <v>8000</v>
      </c>
      <c r="H11" s="74">
        <v>90</v>
      </c>
      <c r="I11" s="76">
        <f t="shared" ref="I11:I122" si="0">+G11*H11</f>
        <v>720000</v>
      </c>
    </row>
    <row r="12" spans="1:10" ht="26.25" thickBot="1" x14ac:dyDescent="0.25">
      <c r="A12" s="57">
        <v>3</v>
      </c>
      <c r="B12" s="62"/>
      <c r="C12" s="63" t="s">
        <v>57</v>
      </c>
      <c r="D12" s="60">
        <v>251</v>
      </c>
      <c r="E12" s="93" t="s">
        <v>66</v>
      </c>
      <c r="F12" s="61" t="s">
        <v>58</v>
      </c>
      <c r="G12" s="72">
        <v>2500</v>
      </c>
      <c r="H12" s="74">
        <v>95</v>
      </c>
      <c r="I12" s="76">
        <f t="shared" si="0"/>
        <v>237500</v>
      </c>
    </row>
    <row r="13" spans="1:10" ht="26.25" thickBot="1" x14ac:dyDescent="0.25">
      <c r="A13" s="57">
        <v>4</v>
      </c>
      <c r="B13" s="62"/>
      <c r="C13" s="63" t="s">
        <v>57</v>
      </c>
      <c r="D13" s="60">
        <v>251</v>
      </c>
      <c r="E13" s="93" t="s">
        <v>67</v>
      </c>
      <c r="F13" s="61" t="s">
        <v>58</v>
      </c>
      <c r="G13" s="72">
        <v>2500</v>
      </c>
      <c r="H13" s="74">
        <v>145</v>
      </c>
      <c r="I13" s="76">
        <f t="shared" si="0"/>
        <v>362500</v>
      </c>
    </row>
    <row r="14" spans="1:10" ht="26.25" thickBot="1" x14ac:dyDescent="0.25">
      <c r="A14" s="57">
        <v>5</v>
      </c>
      <c r="B14" s="62"/>
      <c r="C14" s="63" t="s">
        <v>57</v>
      </c>
      <c r="D14" s="60">
        <v>251</v>
      </c>
      <c r="E14" s="89" t="s">
        <v>68</v>
      </c>
      <c r="F14" s="61" t="s">
        <v>58</v>
      </c>
      <c r="G14" s="72">
        <v>13</v>
      </c>
      <c r="H14" s="74">
        <v>7919.45</v>
      </c>
      <c r="I14" s="76">
        <f t="shared" si="0"/>
        <v>102952.84999999999</v>
      </c>
    </row>
    <row r="15" spans="1:10" ht="26.25" thickBot="1" x14ac:dyDescent="0.25">
      <c r="A15" s="57">
        <v>6</v>
      </c>
      <c r="B15" s="62"/>
      <c r="C15" s="63" t="s">
        <v>57</v>
      </c>
      <c r="D15" s="64">
        <v>295</v>
      </c>
      <c r="E15" s="93" t="s">
        <v>69</v>
      </c>
      <c r="F15" s="61" t="s">
        <v>58</v>
      </c>
      <c r="G15" s="72">
        <v>1300</v>
      </c>
      <c r="H15" s="74">
        <v>149.72999999999999</v>
      </c>
      <c r="I15" s="76">
        <f t="shared" si="0"/>
        <v>194649</v>
      </c>
    </row>
    <row r="16" spans="1:10" ht="26.25" thickBot="1" x14ac:dyDescent="0.25">
      <c r="A16" s="57">
        <v>7</v>
      </c>
      <c r="B16" s="62"/>
      <c r="C16" s="63" t="s">
        <v>57</v>
      </c>
      <c r="D16" s="64">
        <v>295</v>
      </c>
      <c r="E16" s="93" t="s">
        <v>70</v>
      </c>
      <c r="F16" s="61" t="s">
        <v>58</v>
      </c>
      <c r="G16" s="72">
        <v>52000</v>
      </c>
      <c r="H16" s="74">
        <v>12</v>
      </c>
      <c r="I16" s="76">
        <f t="shared" si="0"/>
        <v>624000</v>
      </c>
    </row>
    <row r="17" spans="1:9" ht="26.25" thickBot="1" x14ac:dyDescent="0.25">
      <c r="A17" s="57">
        <v>8</v>
      </c>
      <c r="B17" s="62"/>
      <c r="C17" s="63" t="s">
        <v>57</v>
      </c>
      <c r="D17" s="64">
        <v>295</v>
      </c>
      <c r="E17" s="93" t="s">
        <v>71</v>
      </c>
      <c r="F17" s="61" t="s">
        <v>58</v>
      </c>
      <c r="G17" s="72">
        <v>3800</v>
      </c>
      <c r="H17" s="74">
        <v>145.19999999999999</v>
      </c>
      <c r="I17" s="76">
        <f t="shared" si="0"/>
        <v>551760</v>
      </c>
    </row>
    <row r="18" spans="1:9" ht="26.25" thickBot="1" x14ac:dyDescent="0.25">
      <c r="A18" s="57">
        <v>9</v>
      </c>
      <c r="B18" s="62"/>
      <c r="C18" s="63" t="s">
        <v>57</v>
      </c>
      <c r="D18" s="64">
        <v>295</v>
      </c>
      <c r="E18" s="93" t="s">
        <v>72</v>
      </c>
      <c r="F18" s="61" t="s">
        <v>58</v>
      </c>
      <c r="G18" s="72">
        <v>6400</v>
      </c>
      <c r="H18" s="74">
        <v>12.7</v>
      </c>
      <c r="I18" s="76">
        <f t="shared" si="0"/>
        <v>81280</v>
      </c>
    </row>
    <row r="19" spans="1:9" ht="26.25" thickBot="1" x14ac:dyDescent="0.25">
      <c r="A19" s="57">
        <v>10</v>
      </c>
      <c r="B19" s="62"/>
      <c r="C19" s="63" t="s">
        <v>57</v>
      </c>
      <c r="D19" s="64">
        <v>295</v>
      </c>
      <c r="E19" s="94" t="s">
        <v>73</v>
      </c>
      <c r="F19" s="61" t="s">
        <v>58</v>
      </c>
      <c r="G19" s="72">
        <v>200</v>
      </c>
      <c r="H19" s="74">
        <v>2700</v>
      </c>
      <c r="I19" s="76">
        <f t="shared" si="0"/>
        <v>540000</v>
      </c>
    </row>
    <row r="20" spans="1:9" ht="26.25" thickBot="1" x14ac:dyDescent="0.25">
      <c r="A20" s="57">
        <v>11</v>
      </c>
      <c r="B20" s="62"/>
      <c r="C20" s="63" t="s">
        <v>57</v>
      </c>
      <c r="D20" s="64">
        <v>295</v>
      </c>
      <c r="E20" s="93" t="s">
        <v>74</v>
      </c>
      <c r="F20" s="61" t="s">
        <v>58</v>
      </c>
      <c r="G20" s="72">
        <v>6400</v>
      </c>
      <c r="H20" s="74">
        <v>190</v>
      </c>
      <c r="I20" s="76">
        <f>+G20*H20</f>
        <v>1216000</v>
      </c>
    </row>
    <row r="21" spans="1:9" ht="26.25" thickBot="1" x14ac:dyDescent="0.25">
      <c r="A21" s="57">
        <v>12</v>
      </c>
      <c r="B21" s="62"/>
      <c r="C21" s="63" t="s">
        <v>57</v>
      </c>
      <c r="D21" s="64">
        <v>295</v>
      </c>
      <c r="E21" s="93" t="s">
        <v>75</v>
      </c>
      <c r="F21" s="61" t="s">
        <v>58</v>
      </c>
      <c r="G21" s="72">
        <v>20</v>
      </c>
      <c r="H21" s="74">
        <v>11150</v>
      </c>
      <c r="I21" s="76">
        <f t="shared" si="0"/>
        <v>223000</v>
      </c>
    </row>
    <row r="22" spans="1:9" ht="26.25" thickBot="1" x14ac:dyDescent="0.25">
      <c r="A22" s="57">
        <v>13</v>
      </c>
      <c r="B22" s="62"/>
      <c r="C22" s="63" t="s">
        <v>57</v>
      </c>
      <c r="D22" s="64">
        <v>295</v>
      </c>
      <c r="E22" s="93" t="s">
        <v>76</v>
      </c>
      <c r="F22" s="61" t="s">
        <v>58</v>
      </c>
      <c r="G22" s="72">
        <v>20</v>
      </c>
      <c r="H22" s="74">
        <v>11150</v>
      </c>
      <c r="I22" s="76">
        <f t="shared" si="0"/>
        <v>223000</v>
      </c>
    </row>
    <row r="23" spans="1:9" ht="26.25" thickBot="1" x14ac:dyDescent="0.25">
      <c r="A23" s="57">
        <v>14</v>
      </c>
      <c r="B23" s="62"/>
      <c r="C23" s="63" t="s">
        <v>57</v>
      </c>
      <c r="D23" s="64">
        <v>295</v>
      </c>
      <c r="E23" s="91" t="s">
        <v>77</v>
      </c>
      <c r="F23" s="61" t="s">
        <v>58</v>
      </c>
      <c r="G23" s="72">
        <v>13</v>
      </c>
      <c r="H23" s="74">
        <v>4200</v>
      </c>
      <c r="I23" s="76">
        <f t="shared" si="0"/>
        <v>54600</v>
      </c>
    </row>
    <row r="24" spans="1:9" ht="26.25" thickBot="1" x14ac:dyDescent="0.25">
      <c r="A24" s="57">
        <v>15</v>
      </c>
      <c r="B24" s="62"/>
      <c r="C24" s="63" t="s">
        <v>57</v>
      </c>
      <c r="D24" s="64">
        <v>295</v>
      </c>
      <c r="E24" s="91" t="s">
        <v>78</v>
      </c>
      <c r="F24" s="61" t="s">
        <v>58</v>
      </c>
      <c r="G24" s="72">
        <v>13</v>
      </c>
      <c r="H24" s="77">
        <v>4200</v>
      </c>
      <c r="I24" s="76">
        <f t="shared" si="0"/>
        <v>54600</v>
      </c>
    </row>
    <row r="25" spans="1:9" ht="26.25" thickBot="1" x14ac:dyDescent="0.25">
      <c r="A25" s="57">
        <v>16</v>
      </c>
      <c r="B25" s="62"/>
      <c r="C25" s="63" t="s">
        <v>57</v>
      </c>
      <c r="D25" s="64">
        <v>295</v>
      </c>
      <c r="E25" s="91" t="s">
        <v>79</v>
      </c>
      <c r="F25" s="61" t="s">
        <v>58</v>
      </c>
      <c r="G25" s="72">
        <v>13</v>
      </c>
      <c r="H25" s="77">
        <v>4200</v>
      </c>
      <c r="I25" s="76">
        <f t="shared" si="0"/>
        <v>54600</v>
      </c>
    </row>
    <row r="26" spans="1:9" ht="26.25" thickBot="1" x14ac:dyDescent="0.25">
      <c r="A26" s="57">
        <v>17</v>
      </c>
      <c r="B26" s="62"/>
      <c r="C26" s="63" t="s">
        <v>57</v>
      </c>
      <c r="D26" s="64">
        <v>295</v>
      </c>
      <c r="E26" s="91" t="s">
        <v>80</v>
      </c>
      <c r="F26" s="61" t="s">
        <v>58</v>
      </c>
      <c r="G26" s="72">
        <v>13</v>
      </c>
      <c r="H26" s="77">
        <v>4200</v>
      </c>
      <c r="I26" s="76">
        <f t="shared" si="0"/>
        <v>54600</v>
      </c>
    </row>
    <row r="27" spans="1:9" ht="26.25" thickBot="1" x14ac:dyDescent="0.25">
      <c r="A27" s="57">
        <v>18</v>
      </c>
      <c r="B27" s="62"/>
      <c r="C27" s="63" t="s">
        <v>57</v>
      </c>
      <c r="D27" s="64">
        <v>295</v>
      </c>
      <c r="E27" s="91" t="s">
        <v>81</v>
      </c>
      <c r="F27" s="61" t="s">
        <v>58</v>
      </c>
      <c r="G27" s="72">
        <v>13</v>
      </c>
      <c r="H27" s="77">
        <v>5750</v>
      </c>
      <c r="I27" s="76">
        <f t="shared" si="0"/>
        <v>74750</v>
      </c>
    </row>
    <row r="28" spans="1:9" ht="26.25" thickBot="1" x14ac:dyDescent="0.25">
      <c r="A28" s="57">
        <v>19</v>
      </c>
      <c r="B28" s="62"/>
      <c r="C28" s="63" t="s">
        <v>57</v>
      </c>
      <c r="D28" s="64">
        <v>295</v>
      </c>
      <c r="E28" s="91" t="s">
        <v>82</v>
      </c>
      <c r="F28" s="61" t="s">
        <v>58</v>
      </c>
      <c r="G28" s="72">
        <v>13</v>
      </c>
      <c r="H28" s="77">
        <v>5750</v>
      </c>
      <c r="I28" s="76">
        <f t="shared" si="0"/>
        <v>74750</v>
      </c>
    </row>
    <row r="29" spans="1:9" ht="26.25" thickBot="1" x14ac:dyDescent="0.25">
      <c r="A29" s="57">
        <v>20</v>
      </c>
      <c r="B29" s="62"/>
      <c r="C29" s="63" t="s">
        <v>57</v>
      </c>
      <c r="D29" s="64">
        <v>295</v>
      </c>
      <c r="E29" s="89" t="s">
        <v>83</v>
      </c>
      <c r="F29" s="61" t="s">
        <v>58</v>
      </c>
      <c r="G29" s="73">
        <v>250</v>
      </c>
      <c r="H29" s="77">
        <v>109.8</v>
      </c>
      <c r="I29" s="76">
        <f t="shared" si="0"/>
        <v>27450</v>
      </c>
    </row>
    <row r="30" spans="1:9" ht="26.25" thickBot="1" x14ac:dyDescent="0.25">
      <c r="A30" s="57">
        <v>21</v>
      </c>
      <c r="B30" s="62"/>
      <c r="C30" s="63" t="s">
        <v>57</v>
      </c>
      <c r="D30" s="64">
        <v>295</v>
      </c>
      <c r="E30" s="89" t="s">
        <v>84</v>
      </c>
      <c r="F30" s="61" t="s">
        <v>58</v>
      </c>
      <c r="G30" s="73">
        <v>400</v>
      </c>
      <c r="H30" s="77">
        <v>65.36</v>
      </c>
      <c r="I30" s="76">
        <f t="shared" si="0"/>
        <v>26144</v>
      </c>
    </row>
    <row r="31" spans="1:9" ht="26.25" thickBot="1" x14ac:dyDescent="0.25">
      <c r="A31" s="57">
        <v>22</v>
      </c>
      <c r="B31" s="62"/>
      <c r="C31" s="63" t="s">
        <v>57</v>
      </c>
      <c r="D31" s="64">
        <v>295</v>
      </c>
      <c r="E31" s="89" t="s">
        <v>85</v>
      </c>
      <c r="F31" s="61" t="s">
        <v>58</v>
      </c>
      <c r="G31" s="72">
        <v>700</v>
      </c>
      <c r="H31" s="74">
        <v>65.36</v>
      </c>
      <c r="I31" s="76">
        <f t="shared" si="0"/>
        <v>45752</v>
      </c>
    </row>
    <row r="32" spans="1:9" ht="26.25" thickBot="1" x14ac:dyDescent="0.25">
      <c r="A32" s="57">
        <v>23</v>
      </c>
      <c r="B32" s="62"/>
      <c r="C32" s="63" t="s">
        <v>57</v>
      </c>
      <c r="D32" s="64">
        <v>295</v>
      </c>
      <c r="E32" s="89" t="s">
        <v>86</v>
      </c>
      <c r="F32" s="61" t="s">
        <v>58</v>
      </c>
      <c r="G32" s="72">
        <v>15</v>
      </c>
      <c r="H32" s="74">
        <v>589.4</v>
      </c>
      <c r="I32" s="76">
        <f t="shared" si="0"/>
        <v>8841</v>
      </c>
    </row>
    <row r="33" spans="1:9" ht="26.25" thickBot="1" x14ac:dyDescent="0.25">
      <c r="A33" s="57">
        <v>24</v>
      </c>
      <c r="B33" s="62"/>
      <c r="C33" s="63" t="s">
        <v>57</v>
      </c>
      <c r="D33" s="64">
        <v>295</v>
      </c>
      <c r="E33" s="89" t="s">
        <v>87</v>
      </c>
      <c r="F33" s="61" t="s">
        <v>58</v>
      </c>
      <c r="G33" s="72">
        <v>15</v>
      </c>
      <c r="H33" s="74">
        <v>589.4</v>
      </c>
      <c r="I33" s="76">
        <f t="shared" si="0"/>
        <v>8841</v>
      </c>
    </row>
    <row r="34" spans="1:9" ht="26.25" thickBot="1" x14ac:dyDescent="0.25">
      <c r="A34" s="57">
        <v>25</v>
      </c>
      <c r="B34" s="62"/>
      <c r="C34" s="63" t="s">
        <v>57</v>
      </c>
      <c r="D34" s="64">
        <v>295</v>
      </c>
      <c r="E34" s="89" t="s">
        <v>88</v>
      </c>
      <c r="F34" s="61" t="s">
        <v>58</v>
      </c>
      <c r="G34" s="72">
        <v>15</v>
      </c>
      <c r="H34" s="74">
        <v>589.4</v>
      </c>
      <c r="I34" s="76">
        <f t="shared" si="0"/>
        <v>8841</v>
      </c>
    </row>
    <row r="35" spans="1:9" ht="26.25" thickBot="1" x14ac:dyDescent="0.25">
      <c r="A35" s="57">
        <v>26</v>
      </c>
      <c r="B35" s="62"/>
      <c r="C35" s="63" t="s">
        <v>57</v>
      </c>
      <c r="D35" s="64">
        <v>295</v>
      </c>
      <c r="E35" s="89" t="s">
        <v>89</v>
      </c>
      <c r="F35" s="61" t="s">
        <v>58</v>
      </c>
      <c r="G35" s="73">
        <v>100</v>
      </c>
      <c r="H35" s="84">
        <v>6400</v>
      </c>
      <c r="I35" s="76">
        <f t="shared" si="0"/>
        <v>640000</v>
      </c>
    </row>
    <row r="36" spans="1:9" ht="26.25" thickBot="1" x14ac:dyDescent="0.25">
      <c r="A36" s="57">
        <v>27</v>
      </c>
      <c r="B36" s="62"/>
      <c r="C36" s="63" t="s">
        <v>57</v>
      </c>
      <c r="D36" s="64">
        <v>295</v>
      </c>
      <c r="E36" s="89" t="s">
        <v>90</v>
      </c>
      <c r="F36" s="61" t="s">
        <v>58</v>
      </c>
      <c r="G36" s="73">
        <v>800</v>
      </c>
      <c r="H36" s="84">
        <v>510</v>
      </c>
      <c r="I36" s="76">
        <f t="shared" si="0"/>
        <v>408000</v>
      </c>
    </row>
    <row r="37" spans="1:9" ht="26.25" thickBot="1" x14ac:dyDescent="0.25">
      <c r="A37" s="57">
        <v>28</v>
      </c>
      <c r="B37" s="62"/>
      <c r="C37" s="63" t="s">
        <v>57</v>
      </c>
      <c r="D37" s="64">
        <v>295</v>
      </c>
      <c r="E37" s="89" t="s">
        <v>91</v>
      </c>
      <c r="F37" s="61" t="s">
        <v>58</v>
      </c>
      <c r="G37" s="73">
        <v>100</v>
      </c>
      <c r="H37" s="84">
        <v>6400</v>
      </c>
      <c r="I37" s="76">
        <f t="shared" si="0"/>
        <v>640000</v>
      </c>
    </row>
    <row r="38" spans="1:9" ht="26.25" thickBot="1" x14ac:dyDescent="0.25">
      <c r="A38" s="57">
        <v>29</v>
      </c>
      <c r="B38" s="62"/>
      <c r="C38" s="63" t="s">
        <v>57</v>
      </c>
      <c r="D38" s="64">
        <v>295</v>
      </c>
      <c r="E38" s="89" t="s">
        <v>92</v>
      </c>
      <c r="F38" s="61" t="s">
        <v>58</v>
      </c>
      <c r="G38" s="73">
        <v>800</v>
      </c>
      <c r="H38" s="84">
        <v>510</v>
      </c>
      <c r="I38" s="76">
        <f t="shared" si="0"/>
        <v>408000</v>
      </c>
    </row>
    <row r="39" spans="1:9" ht="26.25" thickBot="1" x14ac:dyDescent="0.25">
      <c r="A39" s="57">
        <v>30</v>
      </c>
      <c r="B39" s="62"/>
      <c r="C39" s="63" t="s">
        <v>57</v>
      </c>
      <c r="D39" s="64">
        <v>295</v>
      </c>
      <c r="E39" s="89" t="s">
        <v>93</v>
      </c>
      <c r="F39" s="61" t="s">
        <v>58</v>
      </c>
      <c r="G39" s="73">
        <v>150</v>
      </c>
      <c r="H39" s="84">
        <v>6400</v>
      </c>
      <c r="I39" s="76">
        <f t="shared" si="0"/>
        <v>960000</v>
      </c>
    </row>
    <row r="40" spans="1:9" ht="26.25" thickBot="1" x14ac:dyDescent="0.25">
      <c r="A40" s="57">
        <v>31</v>
      </c>
      <c r="B40" s="62"/>
      <c r="C40" s="63" t="s">
        <v>57</v>
      </c>
      <c r="D40" s="64">
        <v>295</v>
      </c>
      <c r="E40" s="89" t="s">
        <v>94</v>
      </c>
      <c r="F40" s="61" t="s">
        <v>58</v>
      </c>
      <c r="G40" s="73">
        <v>800</v>
      </c>
      <c r="H40" s="84">
        <v>510</v>
      </c>
      <c r="I40" s="76">
        <f t="shared" si="0"/>
        <v>408000</v>
      </c>
    </row>
    <row r="41" spans="1:9" ht="26.25" thickBot="1" x14ac:dyDescent="0.25">
      <c r="A41" s="57">
        <v>32</v>
      </c>
      <c r="B41" s="62"/>
      <c r="C41" s="63" t="s">
        <v>57</v>
      </c>
      <c r="D41" s="64">
        <v>295</v>
      </c>
      <c r="E41" s="89" t="s">
        <v>95</v>
      </c>
      <c r="F41" s="61" t="s">
        <v>58</v>
      </c>
      <c r="G41" s="73">
        <v>23</v>
      </c>
      <c r="H41" s="84">
        <v>1200</v>
      </c>
      <c r="I41" s="76">
        <f t="shared" ref="I41:I52" si="1">+G41*H41</f>
        <v>27600</v>
      </c>
    </row>
    <row r="42" spans="1:9" ht="26.25" thickBot="1" x14ac:dyDescent="0.25">
      <c r="A42" s="57">
        <v>33</v>
      </c>
      <c r="B42" s="62"/>
      <c r="C42" s="63" t="s">
        <v>57</v>
      </c>
      <c r="D42" s="64">
        <v>295</v>
      </c>
      <c r="E42" s="89" t="s">
        <v>96</v>
      </c>
      <c r="F42" s="61" t="s">
        <v>58</v>
      </c>
      <c r="G42" s="73">
        <v>23</v>
      </c>
      <c r="H42" s="77">
        <v>1200</v>
      </c>
      <c r="I42" s="76">
        <f t="shared" si="1"/>
        <v>27600</v>
      </c>
    </row>
    <row r="43" spans="1:9" ht="26.25" thickBot="1" x14ac:dyDescent="0.25">
      <c r="A43" s="57">
        <v>34</v>
      </c>
      <c r="B43" s="62"/>
      <c r="C43" s="63" t="s">
        <v>57</v>
      </c>
      <c r="D43" s="64">
        <v>295</v>
      </c>
      <c r="E43" s="89" t="s">
        <v>97</v>
      </c>
      <c r="F43" s="61" t="s">
        <v>58</v>
      </c>
      <c r="G43" s="73">
        <v>23</v>
      </c>
      <c r="H43" s="77">
        <v>1200</v>
      </c>
      <c r="I43" s="76">
        <f t="shared" si="1"/>
        <v>27600</v>
      </c>
    </row>
    <row r="44" spans="1:9" ht="26.25" thickBot="1" x14ac:dyDescent="0.25">
      <c r="A44" s="57">
        <v>35</v>
      </c>
      <c r="B44" s="62"/>
      <c r="C44" s="63" t="s">
        <v>57</v>
      </c>
      <c r="D44" s="64">
        <v>295</v>
      </c>
      <c r="E44" s="89" t="s">
        <v>98</v>
      </c>
      <c r="F44" s="61" t="s">
        <v>58</v>
      </c>
      <c r="G44" s="90">
        <v>23</v>
      </c>
      <c r="H44" s="84">
        <v>1200</v>
      </c>
      <c r="I44" s="76">
        <f t="shared" si="1"/>
        <v>27600</v>
      </c>
    </row>
    <row r="45" spans="1:9" ht="26.25" thickBot="1" x14ac:dyDescent="0.25">
      <c r="A45" s="57">
        <v>36</v>
      </c>
      <c r="B45" s="62"/>
      <c r="C45" s="63" t="s">
        <v>57</v>
      </c>
      <c r="D45" s="64">
        <v>295</v>
      </c>
      <c r="E45" s="89" t="s">
        <v>99</v>
      </c>
      <c r="F45" s="61" t="s">
        <v>58</v>
      </c>
      <c r="G45" s="90">
        <v>23</v>
      </c>
      <c r="H45" s="84">
        <v>1200</v>
      </c>
      <c r="I45" s="76">
        <f t="shared" si="1"/>
        <v>27600</v>
      </c>
    </row>
    <row r="46" spans="1:9" ht="26.25" thickBot="1" x14ac:dyDescent="0.25">
      <c r="A46" s="57">
        <v>37</v>
      </c>
      <c r="B46" s="62"/>
      <c r="C46" s="63" t="s">
        <v>57</v>
      </c>
      <c r="D46" s="64">
        <v>295</v>
      </c>
      <c r="E46" s="89" t="s">
        <v>100</v>
      </c>
      <c r="F46" s="61" t="s">
        <v>58</v>
      </c>
      <c r="G46" s="90">
        <v>23</v>
      </c>
      <c r="H46" s="84">
        <v>1200</v>
      </c>
      <c r="I46" s="76">
        <f t="shared" si="1"/>
        <v>27600</v>
      </c>
    </row>
    <row r="47" spans="1:9" ht="26.25" thickBot="1" x14ac:dyDescent="0.25">
      <c r="A47" s="57">
        <v>38</v>
      </c>
      <c r="B47" s="62"/>
      <c r="C47" s="63" t="s">
        <v>57</v>
      </c>
      <c r="D47" s="64">
        <v>295</v>
      </c>
      <c r="E47" s="89" t="s">
        <v>101</v>
      </c>
      <c r="F47" s="61" t="s">
        <v>58</v>
      </c>
      <c r="G47" s="90">
        <v>32</v>
      </c>
      <c r="H47" s="84">
        <v>1200</v>
      </c>
      <c r="I47" s="76">
        <f t="shared" si="1"/>
        <v>38400</v>
      </c>
    </row>
    <row r="48" spans="1:9" ht="26.25" thickBot="1" x14ac:dyDescent="0.25">
      <c r="A48" s="57">
        <v>39</v>
      </c>
      <c r="B48" s="62"/>
      <c r="C48" s="63" t="s">
        <v>57</v>
      </c>
      <c r="D48" s="64">
        <v>295</v>
      </c>
      <c r="E48" s="91" t="s">
        <v>102</v>
      </c>
      <c r="F48" s="61" t="s">
        <v>58</v>
      </c>
      <c r="G48" s="90">
        <v>42</v>
      </c>
      <c r="H48" s="84">
        <v>18750</v>
      </c>
      <c r="I48" s="76">
        <f t="shared" si="1"/>
        <v>787500</v>
      </c>
    </row>
    <row r="49" spans="1:9" ht="26.25" thickBot="1" x14ac:dyDescent="0.25">
      <c r="A49" s="57">
        <v>40</v>
      </c>
      <c r="B49" s="62"/>
      <c r="C49" s="63" t="s">
        <v>57</v>
      </c>
      <c r="D49" s="64">
        <v>295</v>
      </c>
      <c r="E49" s="91" t="s">
        <v>103</v>
      </c>
      <c r="F49" s="61" t="s">
        <v>58</v>
      </c>
      <c r="G49" s="90">
        <v>15</v>
      </c>
      <c r="H49" s="84">
        <v>6700</v>
      </c>
      <c r="I49" s="76">
        <f t="shared" si="1"/>
        <v>100500</v>
      </c>
    </row>
    <row r="50" spans="1:9" ht="26.25" thickBot="1" x14ac:dyDescent="0.25">
      <c r="A50" s="57">
        <v>41</v>
      </c>
      <c r="B50" s="62"/>
      <c r="C50" s="63" t="s">
        <v>57</v>
      </c>
      <c r="D50" s="64">
        <v>295</v>
      </c>
      <c r="E50" s="89" t="s">
        <v>104</v>
      </c>
      <c r="F50" s="61" t="s">
        <v>58</v>
      </c>
      <c r="G50" s="90">
        <v>10</v>
      </c>
      <c r="H50" s="84">
        <v>16100</v>
      </c>
      <c r="I50" s="76">
        <f t="shared" si="1"/>
        <v>161000</v>
      </c>
    </row>
    <row r="51" spans="1:9" ht="26.25" thickBot="1" x14ac:dyDescent="0.25">
      <c r="A51" s="57">
        <v>42</v>
      </c>
      <c r="B51" s="62"/>
      <c r="C51" s="63" t="s">
        <v>57</v>
      </c>
      <c r="D51" s="64">
        <v>295</v>
      </c>
      <c r="E51" s="89" t="s">
        <v>105</v>
      </c>
      <c r="F51" s="61" t="s">
        <v>58</v>
      </c>
      <c r="G51" s="73">
        <v>10</v>
      </c>
      <c r="H51" s="77">
        <v>18000</v>
      </c>
      <c r="I51" s="76">
        <f t="shared" si="1"/>
        <v>180000</v>
      </c>
    </row>
    <row r="52" spans="1:9" ht="26.25" thickBot="1" x14ac:dyDescent="0.25">
      <c r="A52" s="57">
        <v>43</v>
      </c>
      <c r="B52" s="62"/>
      <c r="C52" s="63" t="s">
        <v>57</v>
      </c>
      <c r="D52" s="64">
        <v>295</v>
      </c>
      <c r="E52" s="89" t="s">
        <v>106</v>
      </c>
      <c r="F52" s="61" t="s">
        <v>58</v>
      </c>
      <c r="G52" s="73">
        <v>65</v>
      </c>
      <c r="H52" s="77">
        <v>1870</v>
      </c>
      <c r="I52" s="76">
        <f t="shared" si="1"/>
        <v>121550</v>
      </c>
    </row>
    <row r="53" spans="1:9" ht="26.25" thickBot="1" x14ac:dyDescent="0.25">
      <c r="A53" s="57">
        <v>44</v>
      </c>
      <c r="B53" s="62"/>
      <c r="C53" s="63" t="s">
        <v>57</v>
      </c>
      <c r="D53" s="64">
        <v>295</v>
      </c>
      <c r="E53" s="89" t="s">
        <v>107</v>
      </c>
      <c r="F53" s="61" t="s">
        <v>58</v>
      </c>
      <c r="G53" s="73">
        <v>260</v>
      </c>
      <c r="H53" s="77">
        <v>1877</v>
      </c>
      <c r="I53" s="76">
        <f t="shared" si="0"/>
        <v>488020</v>
      </c>
    </row>
    <row r="54" spans="1:9" ht="26.25" thickBot="1" x14ac:dyDescent="0.25">
      <c r="A54" s="57">
        <v>45</v>
      </c>
      <c r="B54" s="62"/>
      <c r="C54" s="63" t="s">
        <v>57</v>
      </c>
      <c r="D54" s="64">
        <v>251</v>
      </c>
      <c r="E54" s="93" t="s">
        <v>108</v>
      </c>
      <c r="F54" s="61" t="s">
        <v>58</v>
      </c>
      <c r="G54" s="72">
        <v>650</v>
      </c>
      <c r="H54" s="74">
        <v>466.8</v>
      </c>
      <c r="I54" s="76">
        <f t="shared" si="0"/>
        <v>303420</v>
      </c>
    </row>
    <row r="55" spans="1:9" ht="26.25" thickBot="1" x14ac:dyDescent="0.25">
      <c r="A55" s="57">
        <v>46</v>
      </c>
      <c r="B55" s="62"/>
      <c r="C55" s="63" t="s">
        <v>57</v>
      </c>
      <c r="D55" s="64">
        <v>295</v>
      </c>
      <c r="E55" s="93" t="s">
        <v>109</v>
      </c>
      <c r="F55" s="61" t="s">
        <v>58</v>
      </c>
      <c r="G55" s="72">
        <v>6400</v>
      </c>
      <c r="H55" s="74">
        <v>7.55</v>
      </c>
      <c r="I55" s="76">
        <f t="shared" si="0"/>
        <v>48320</v>
      </c>
    </row>
    <row r="56" spans="1:9" ht="26.25" thickBot="1" x14ac:dyDescent="0.25">
      <c r="A56" s="57">
        <v>47</v>
      </c>
      <c r="B56" s="62"/>
      <c r="C56" s="63" t="s">
        <v>57</v>
      </c>
      <c r="D56" s="64">
        <v>251</v>
      </c>
      <c r="E56" s="93" t="s">
        <v>110</v>
      </c>
      <c r="F56" s="61" t="s">
        <v>58</v>
      </c>
      <c r="G56" s="72">
        <v>35</v>
      </c>
      <c r="H56" s="74">
        <v>3966.38</v>
      </c>
      <c r="I56" s="76">
        <f t="shared" si="0"/>
        <v>138823.30000000002</v>
      </c>
    </row>
    <row r="57" spans="1:9" ht="26.25" thickBot="1" x14ac:dyDescent="0.25">
      <c r="A57" s="57">
        <v>48</v>
      </c>
      <c r="B57" s="62"/>
      <c r="C57" s="63" t="s">
        <v>57</v>
      </c>
      <c r="D57" s="64">
        <v>295</v>
      </c>
      <c r="E57" s="89" t="s">
        <v>111</v>
      </c>
      <c r="F57" s="61" t="s">
        <v>58</v>
      </c>
      <c r="G57" s="73">
        <v>1400</v>
      </c>
      <c r="H57" s="77">
        <v>180</v>
      </c>
      <c r="I57" s="76">
        <f t="shared" si="0"/>
        <v>252000</v>
      </c>
    </row>
    <row r="58" spans="1:9" ht="26.25" thickBot="1" x14ac:dyDescent="0.25">
      <c r="A58" s="57">
        <v>49</v>
      </c>
      <c r="B58" s="62"/>
      <c r="C58" s="63" t="s">
        <v>57</v>
      </c>
      <c r="D58" s="64">
        <v>295</v>
      </c>
      <c r="E58" s="89" t="s">
        <v>112</v>
      </c>
      <c r="F58" s="61" t="s">
        <v>58</v>
      </c>
      <c r="G58" s="73">
        <v>1500</v>
      </c>
      <c r="H58" s="77">
        <v>160</v>
      </c>
      <c r="I58" s="76">
        <f t="shared" si="0"/>
        <v>240000</v>
      </c>
    </row>
    <row r="59" spans="1:9" ht="26.25" thickBot="1" x14ac:dyDescent="0.25">
      <c r="A59" s="57">
        <v>50</v>
      </c>
      <c r="B59" s="62"/>
      <c r="C59" s="63" t="s">
        <v>57</v>
      </c>
      <c r="D59" s="64">
        <v>295</v>
      </c>
      <c r="E59" s="93" t="s">
        <v>113</v>
      </c>
      <c r="F59" s="61" t="s">
        <v>58</v>
      </c>
      <c r="G59" s="72">
        <v>1500</v>
      </c>
      <c r="H59" s="74">
        <v>31</v>
      </c>
      <c r="I59" s="76">
        <f t="shared" si="0"/>
        <v>46500</v>
      </c>
    </row>
    <row r="60" spans="1:9" ht="26.25" thickBot="1" x14ac:dyDescent="0.25">
      <c r="A60" s="57">
        <v>51</v>
      </c>
      <c r="B60" s="62"/>
      <c r="C60" s="63" t="s">
        <v>57</v>
      </c>
      <c r="D60" s="64">
        <v>295</v>
      </c>
      <c r="E60" s="93" t="s">
        <v>114</v>
      </c>
      <c r="F60" s="61" t="s">
        <v>58</v>
      </c>
      <c r="G60" s="72">
        <v>4000</v>
      </c>
      <c r="H60" s="74">
        <v>31</v>
      </c>
      <c r="I60" s="76">
        <f t="shared" si="0"/>
        <v>124000</v>
      </c>
    </row>
    <row r="61" spans="1:9" ht="26.25" thickBot="1" x14ac:dyDescent="0.25">
      <c r="A61" s="57">
        <v>52</v>
      </c>
      <c r="B61" s="62"/>
      <c r="C61" s="63" t="s">
        <v>57</v>
      </c>
      <c r="D61" s="64">
        <v>295</v>
      </c>
      <c r="E61" s="93" t="s">
        <v>115</v>
      </c>
      <c r="F61" s="61" t="s">
        <v>58</v>
      </c>
      <c r="G61" s="72">
        <v>5500</v>
      </c>
      <c r="H61" s="74">
        <v>31</v>
      </c>
      <c r="I61" s="76">
        <f t="shared" si="0"/>
        <v>170500</v>
      </c>
    </row>
    <row r="62" spans="1:9" ht="26.25" thickBot="1" x14ac:dyDescent="0.25">
      <c r="A62" s="57">
        <v>53</v>
      </c>
      <c r="B62" s="62"/>
      <c r="C62" s="63" t="s">
        <v>57</v>
      </c>
      <c r="D62" s="64">
        <v>295</v>
      </c>
      <c r="E62" s="93" t="s">
        <v>116</v>
      </c>
      <c r="F62" s="61" t="s">
        <v>58</v>
      </c>
      <c r="G62" s="72">
        <v>5500</v>
      </c>
      <c r="H62" s="74">
        <v>31</v>
      </c>
      <c r="I62" s="76">
        <f t="shared" si="0"/>
        <v>170500</v>
      </c>
    </row>
    <row r="63" spans="1:9" ht="26.25" thickBot="1" x14ac:dyDescent="0.25">
      <c r="A63" s="57">
        <v>54</v>
      </c>
      <c r="B63" s="62"/>
      <c r="C63" s="63" t="s">
        <v>57</v>
      </c>
      <c r="D63" s="64">
        <v>295</v>
      </c>
      <c r="E63" s="93" t="s">
        <v>117</v>
      </c>
      <c r="F63" s="61" t="s">
        <v>58</v>
      </c>
      <c r="G63" s="72">
        <v>2800</v>
      </c>
      <c r="H63" s="74">
        <v>31</v>
      </c>
      <c r="I63" s="76">
        <f t="shared" si="0"/>
        <v>86800</v>
      </c>
    </row>
    <row r="64" spans="1:9" ht="26.25" thickBot="1" x14ac:dyDescent="0.25">
      <c r="A64" s="57">
        <v>55</v>
      </c>
      <c r="B64" s="62"/>
      <c r="C64" s="63" t="s">
        <v>57</v>
      </c>
      <c r="D64" s="64">
        <v>295</v>
      </c>
      <c r="E64" s="93" t="s">
        <v>118</v>
      </c>
      <c r="F64" s="61" t="s">
        <v>58</v>
      </c>
      <c r="G64" s="72">
        <v>800</v>
      </c>
      <c r="H64" s="74">
        <v>31</v>
      </c>
      <c r="I64" s="76">
        <f t="shared" si="0"/>
        <v>24800</v>
      </c>
    </row>
    <row r="65" spans="1:9" ht="26.25" thickBot="1" x14ac:dyDescent="0.25">
      <c r="A65" s="57">
        <v>56</v>
      </c>
      <c r="B65" s="62"/>
      <c r="C65" s="63" t="s">
        <v>57</v>
      </c>
      <c r="D65" s="64">
        <v>295</v>
      </c>
      <c r="E65" s="93" t="s">
        <v>119</v>
      </c>
      <c r="F65" s="61" t="s">
        <v>58</v>
      </c>
      <c r="G65" s="72">
        <v>1000</v>
      </c>
      <c r="H65" s="74">
        <v>990</v>
      </c>
      <c r="I65" s="76">
        <f t="shared" si="0"/>
        <v>990000</v>
      </c>
    </row>
    <row r="66" spans="1:9" ht="26.25" thickBot="1" x14ac:dyDescent="0.25">
      <c r="A66" s="57">
        <v>57</v>
      </c>
      <c r="B66" s="62"/>
      <c r="C66" s="63" t="s">
        <v>57</v>
      </c>
      <c r="D66" s="64">
        <v>295</v>
      </c>
      <c r="E66" s="93" t="s">
        <v>120</v>
      </c>
      <c r="F66" s="61" t="s">
        <v>58</v>
      </c>
      <c r="G66" s="72">
        <v>1400</v>
      </c>
      <c r="H66" s="74">
        <v>990</v>
      </c>
      <c r="I66" s="76">
        <f t="shared" si="0"/>
        <v>1386000</v>
      </c>
    </row>
    <row r="67" spans="1:9" ht="26.25" thickBot="1" x14ac:dyDescent="0.25">
      <c r="A67" s="57">
        <v>58</v>
      </c>
      <c r="B67" s="62"/>
      <c r="C67" s="63" t="s">
        <v>57</v>
      </c>
      <c r="D67" s="64">
        <v>295</v>
      </c>
      <c r="E67" s="93" t="s">
        <v>121</v>
      </c>
      <c r="F67" s="61" t="s">
        <v>58</v>
      </c>
      <c r="G67" s="72">
        <v>1400</v>
      </c>
      <c r="H67" s="74">
        <v>990</v>
      </c>
      <c r="I67" s="76">
        <f t="shared" si="0"/>
        <v>1386000</v>
      </c>
    </row>
    <row r="68" spans="1:9" ht="26.25" thickBot="1" x14ac:dyDescent="0.25">
      <c r="A68" s="57">
        <v>59</v>
      </c>
      <c r="B68" s="62"/>
      <c r="C68" s="63" t="s">
        <v>57</v>
      </c>
      <c r="D68" s="64">
        <v>295</v>
      </c>
      <c r="E68" s="93" t="s">
        <v>122</v>
      </c>
      <c r="F68" s="61" t="s">
        <v>58</v>
      </c>
      <c r="G68" s="72">
        <v>70</v>
      </c>
      <c r="H68" s="74">
        <v>890</v>
      </c>
      <c r="I68" s="76">
        <f t="shared" si="0"/>
        <v>62300</v>
      </c>
    </row>
    <row r="69" spans="1:9" ht="26.25" thickBot="1" x14ac:dyDescent="0.25">
      <c r="A69" s="57">
        <v>60</v>
      </c>
      <c r="B69" s="62"/>
      <c r="C69" s="63" t="s">
        <v>57</v>
      </c>
      <c r="D69" s="64">
        <v>295</v>
      </c>
      <c r="E69" s="93" t="s">
        <v>123</v>
      </c>
      <c r="F69" s="61" t="s">
        <v>58</v>
      </c>
      <c r="G69" s="72">
        <v>70</v>
      </c>
      <c r="H69" s="74">
        <v>890</v>
      </c>
      <c r="I69" s="76">
        <f t="shared" si="0"/>
        <v>62300</v>
      </c>
    </row>
    <row r="70" spans="1:9" ht="26.25" thickBot="1" x14ac:dyDescent="0.25">
      <c r="A70" s="57">
        <v>61</v>
      </c>
      <c r="B70" s="62"/>
      <c r="C70" s="63" t="s">
        <v>57</v>
      </c>
      <c r="D70" s="64">
        <v>295</v>
      </c>
      <c r="E70" s="95" t="s">
        <v>124</v>
      </c>
      <c r="F70" s="61" t="s">
        <v>58</v>
      </c>
      <c r="G70" s="73">
        <v>7000</v>
      </c>
      <c r="H70" s="77">
        <v>230</v>
      </c>
      <c r="I70" s="76">
        <f t="shared" ref="I70:I92" si="2">+G70*H70</f>
        <v>1610000</v>
      </c>
    </row>
    <row r="71" spans="1:9" ht="26.25" thickBot="1" x14ac:dyDescent="0.25">
      <c r="A71" s="57">
        <v>62</v>
      </c>
      <c r="B71" s="62"/>
      <c r="C71" s="63" t="s">
        <v>57</v>
      </c>
      <c r="D71" s="64">
        <v>295</v>
      </c>
      <c r="E71" s="85" t="s">
        <v>125</v>
      </c>
      <c r="F71" s="61" t="s">
        <v>58</v>
      </c>
      <c r="G71" s="73">
        <v>4000</v>
      </c>
      <c r="H71" s="77">
        <v>24.55</v>
      </c>
      <c r="I71" s="76">
        <f t="shared" si="2"/>
        <v>98200</v>
      </c>
    </row>
    <row r="72" spans="1:9" ht="26.25" thickBot="1" x14ac:dyDescent="0.25">
      <c r="A72" s="57">
        <v>63</v>
      </c>
      <c r="B72" s="62"/>
      <c r="C72" s="63" t="s">
        <v>57</v>
      </c>
      <c r="D72" s="64">
        <v>295</v>
      </c>
      <c r="E72" s="85" t="s">
        <v>126</v>
      </c>
      <c r="F72" s="61" t="s">
        <v>58</v>
      </c>
      <c r="G72" s="86">
        <v>100</v>
      </c>
      <c r="H72" s="74">
        <v>1050</v>
      </c>
      <c r="I72" s="76">
        <f t="shared" si="2"/>
        <v>105000</v>
      </c>
    </row>
    <row r="73" spans="1:9" ht="26.25" thickBot="1" x14ac:dyDescent="0.25">
      <c r="A73" s="57">
        <v>64</v>
      </c>
      <c r="B73" s="62"/>
      <c r="C73" s="63" t="s">
        <v>57</v>
      </c>
      <c r="D73" s="64">
        <v>295</v>
      </c>
      <c r="E73" s="85" t="s">
        <v>127</v>
      </c>
      <c r="F73" s="61" t="s">
        <v>58</v>
      </c>
      <c r="G73" s="86">
        <v>1400</v>
      </c>
      <c r="H73" s="74">
        <v>357</v>
      </c>
      <c r="I73" s="76">
        <f t="shared" si="2"/>
        <v>499800</v>
      </c>
    </row>
    <row r="74" spans="1:9" ht="26.25" thickBot="1" x14ac:dyDescent="0.25">
      <c r="A74" s="57">
        <v>65</v>
      </c>
      <c r="B74" s="62"/>
      <c r="C74" s="63" t="s">
        <v>57</v>
      </c>
      <c r="D74" s="64">
        <v>295</v>
      </c>
      <c r="E74" s="85" t="s">
        <v>128</v>
      </c>
      <c r="F74" s="61" t="s">
        <v>58</v>
      </c>
      <c r="G74" s="86">
        <v>150</v>
      </c>
      <c r="H74" s="74">
        <v>187.2</v>
      </c>
      <c r="I74" s="76">
        <f t="shared" si="2"/>
        <v>28080</v>
      </c>
    </row>
    <row r="75" spans="1:9" ht="26.25" thickBot="1" x14ac:dyDescent="0.25">
      <c r="A75" s="57">
        <v>66</v>
      </c>
      <c r="B75" s="62"/>
      <c r="C75" s="63" t="s">
        <v>57</v>
      </c>
      <c r="D75" s="64">
        <v>295</v>
      </c>
      <c r="E75" s="85" t="s">
        <v>129</v>
      </c>
      <c r="F75" s="61" t="s">
        <v>58</v>
      </c>
      <c r="G75" s="86">
        <v>135</v>
      </c>
      <c r="H75" s="74">
        <v>325</v>
      </c>
      <c r="I75" s="76">
        <f t="shared" si="2"/>
        <v>43875</v>
      </c>
    </row>
    <row r="76" spans="1:9" ht="26.25" thickBot="1" x14ac:dyDescent="0.25">
      <c r="A76" s="57">
        <v>67</v>
      </c>
      <c r="B76" s="62"/>
      <c r="C76" s="63" t="s">
        <v>57</v>
      </c>
      <c r="D76" s="64">
        <v>295</v>
      </c>
      <c r="E76" s="85" t="s">
        <v>130</v>
      </c>
      <c r="F76" s="61" t="s">
        <v>58</v>
      </c>
      <c r="G76" s="86">
        <v>500</v>
      </c>
      <c r="H76" s="74">
        <v>130</v>
      </c>
      <c r="I76" s="76">
        <f t="shared" si="2"/>
        <v>65000</v>
      </c>
    </row>
    <row r="77" spans="1:9" ht="26.25" thickBot="1" x14ac:dyDescent="0.25">
      <c r="A77" s="57">
        <v>68</v>
      </c>
      <c r="B77" s="62"/>
      <c r="C77" s="63" t="s">
        <v>57</v>
      </c>
      <c r="D77" s="64">
        <v>295</v>
      </c>
      <c r="E77" s="87" t="s">
        <v>131</v>
      </c>
      <c r="F77" s="61" t="s">
        <v>58</v>
      </c>
      <c r="G77" s="86">
        <v>3</v>
      </c>
      <c r="H77" s="74">
        <v>29900</v>
      </c>
      <c r="I77" s="76">
        <f t="shared" si="2"/>
        <v>89700</v>
      </c>
    </row>
    <row r="78" spans="1:9" ht="26.25" thickBot="1" x14ac:dyDescent="0.25">
      <c r="A78" s="57">
        <v>69</v>
      </c>
      <c r="B78" s="62"/>
      <c r="C78" s="63" t="s">
        <v>57</v>
      </c>
      <c r="D78" s="64">
        <v>295</v>
      </c>
      <c r="E78" s="87" t="s">
        <v>132</v>
      </c>
      <c r="F78" s="61" t="s">
        <v>58</v>
      </c>
      <c r="G78" s="86">
        <v>3</v>
      </c>
      <c r="H78" s="74">
        <v>29900</v>
      </c>
      <c r="I78" s="76">
        <f t="shared" si="2"/>
        <v>89700</v>
      </c>
    </row>
    <row r="79" spans="1:9" ht="26.25" thickBot="1" x14ac:dyDescent="0.25">
      <c r="A79" s="57">
        <v>70</v>
      </c>
      <c r="B79" s="62"/>
      <c r="C79" s="63" t="s">
        <v>57</v>
      </c>
      <c r="D79" s="64">
        <v>251</v>
      </c>
      <c r="E79" s="88" t="s">
        <v>133</v>
      </c>
      <c r="F79" s="61" t="s">
        <v>58</v>
      </c>
      <c r="G79" s="86">
        <v>900</v>
      </c>
      <c r="H79" s="74">
        <v>160</v>
      </c>
      <c r="I79" s="76">
        <f t="shared" si="2"/>
        <v>144000</v>
      </c>
    </row>
    <row r="80" spans="1:9" ht="26.25" thickBot="1" x14ac:dyDescent="0.25">
      <c r="A80" s="57">
        <v>71</v>
      </c>
      <c r="B80" s="62"/>
      <c r="C80" s="63" t="s">
        <v>57</v>
      </c>
      <c r="D80" s="64">
        <v>295</v>
      </c>
      <c r="E80" s="87" t="s">
        <v>134</v>
      </c>
      <c r="F80" s="61" t="s">
        <v>58</v>
      </c>
      <c r="G80" s="73">
        <v>100</v>
      </c>
      <c r="H80" s="77">
        <v>2900</v>
      </c>
      <c r="I80" s="76">
        <f t="shared" si="2"/>
        <v>290000</v>
      </c>
    </row>
    <row r="81" spans="1:9" ht="26.25" thickBot="1" x14ac:dyDescent="0.25">
      <c r="A81" s="57">
        <v>72</v>
      </c>
      <c r="B81" s="62"/>
      <c r="C81" s="63" t="s">
        <v>57</v>
      </c>
      <c r="D81" s="64">
        <v>295</v>
      </c>
      <c r="E81" s="96" t="s">
        <v>135</v>
      </c>
      <c r="F81" s="61" t="s">
        <v>58</v>
      </c>
      <c r="G81" s="73">
        <v>150</v>
      </c>
      <c r="H81" s="77">
        <v>7200</v>
      </c>
      <c r="I81" s="76">
        <f t="shared" si="2"/>
        <v>1080000</v>
      </c>
    </row>
    <row r="82" spans="1:9" ht="26.25" thickBot="1" x14ac:dyDescent="0.25">
      <c r="A82" s="57">
        <v>73</v>
      </c>
      <c r="B82" s="62"/>
      <c r="C82" s="63" t="s">
        <v>57</v>
      </c>
      <c r="D82" s="64">
        <v>295</v>
      </c>
      <c r="E82" s="96" t="s">
        <v>136</v>
      </c>
      <c r="F82" s="61" t="s">
        <v>58</v>
      </c>
      <c r="G82" s="73">
        <v>160</v>
      </c>
      <c r="H82" s="77">
        <v>6500</v>
      </c>
      <c r="I82" s="76">
        <f t="shared" si="2"/>
        <v>1040000</v>
      </c>
    </row>
    <row r="83" spans="1:9" ht="26.25" thickBot="1" x14ac:dyDescent="0.25">
      <c r="A83" s="57">
        <v>74</v>
      </c>
      <c r="B83" s="62"/>
      <c r="C83" s="63" t="s">
        <v>57</v>
      </c>
      <c r="D83" s="64">
        <v>295</v>
      </c>
      <c r="E83" s="87" t="s">
        <v>137</v>
      </c>
      <c r="F83" s="61" t="s">
        <v>58</v>
      </c>
      <c r="G83" s="73">
        <v>40</v>
      </c>
      <c r="H83" s="84">
        <v>1940</v>
      </c>
      <c r="I83" s="76">
        <f t="shared" si="2"/>
        <v>77600</v>
      </c>
    </row>
    <row r="84" spans="1:9" ht="26.25" thickBot="1" x14ac:dyDescent="0.25">
      <c r="A84" s="57">
        <v>75</v>
      </c>
      <c r="B84" s="62"/>
      <c r="C84" s="63" t="s">
        <v>57</v>
      </c>
      <c r="D84" s="64">
        <v>295</v>
      </c>
      <c r="E84" s="87" t="s">
        <v>138</v>
      </c>
      <c r="F84" s="61" t="s">
        <v>58</v>
      </c>
      <c r="G84" s="73">
        <v>40</v>
      </c>
      <c r="H84" s="84">
        <v>1940</v>
      </c>
      <c r="I84" s="76">
        <f t="shared" si="2"/>
        <v>77600</v>
      </c>
    </row>
    <row r="85" spans="1:9" ht="26.25" thickBot="1" x14ac:dyDescent="0.25">
      <c r="A85" s="57">
        <v>76</v>
      </c>
      <c r="B85" s="62"/>
      <c r="C85" s="63" t="s">
        <v>57</v>
      </c>
      <c r="D85" s="64">
        <v>295</v>
      </c>
      <c r="E85" s="85" t="s">
        <v>139</v>
      </c>
      <c r="F85" s="61" t="s">
        <v>58</v>
      </c>
      <c r="G85" s="73">
        <v>75</v>
      </c>
      <c r="H85" s="77">
        <v>12275</v>
      </c>
      <c r="I85" s="76">
        <f t="shared" si="2"/>
        <v>920625</v>
      </c>
    </row>
    <row r="86" spans="1:9" ht="26.25" thickBot="1" x14ac:dyDescent="0.25">
      <c r="A86" s="57">
        <v>77</v>
      </c>
      <c r="B86" s="62"/>
      <c r="C86" s="63" t="s">
        <v>57</v>
      </c>
      <c r="D86" s="64">
        <v>295</v>
      </c>
      <c r="E86" s="85" t="s">
        <v>140</v>
      </c>
      <c r="F86" s="61" t="s">
        <v>58</v>
      </c>
      <c r="G86" s="73">
        <v>65</v>
      </c>
      <c r="H86" s="77">
        <v>4556</v>
      </c>
      <c r="I86" s="76">
        <f t="shared" si="2"/>
        <v>296140</v>
      </c>
    </row>
    <row r="87" spans="1:9" ht="26.25" thickBot="1" x14ac:dyDescent="0.25">
      <c r="A87" s="57">
        <v>78</v>
      </c>
      <c r="B87" s="62"/>
      <c r="C87" s="63" t="s">
        <v>57</v>
      </c>
      <c r="D87" s="64">
        <v>295</v>
      </c>
      <c r="E87" s="85" t="s">
        <v>141</v>
      </c>
      <c r="F87" s="61" t="s">
        <v>58</v>
      </c>
      <c r="G87" s="73">
        <v>7</v>
      </c>
      <c r="H87" s="77">
        <v>2499</v>
      </c>
      <c r="I87" s="76">
        <f t="shared" si="2"/>
        <v>17493</v>
      </c>
    </row>
    <row r="88" spans="1:9" ht="26.25" thickBot="1" x14ac:dyDescent="0.25">
      <c r="A88" s="57">
        <v>79</v>
      </c>
      <c r="B88" s="62"/>
      <c r="C88" s="63" t="s">
        <v>57</v>
      </c>
      <c r="D88" s="64">
        <v>295</v>
      </c>
      <c r="E88" s="85" t="s">
        <v>142</v>
      </c>
      <c r="F88" s="61" t="s">
        <v>58</v>
      </c>
      <c r="G88" s="73">
        <v>65</v>
      </c>
      <c r="H88" s="77">
        <v>4555</v>
      </c>
      <c r="I88" s="76">
        <f t="shared" si="2"/>
        <v>296075</v>
      </c>
    </row>
    <row r="89" spans="1:9" ht="26.25" thickBot="1" x14ac:dyDescent="0.25">
      <c r="A89" s="57">
        <v>80</v>
      </c>
      <c r="B89" s="62"/>
      <c r="C89" s="63" t="s">
        <v>57</v>
      </c>
      <c r="D89" s="64">
        <v>295</v>
      </c>
      <c r="E89" s="85" t="s">
        <v>143</v>
      </c>
      <c r="F89" s="61" t="s">
        <v>58</v>
      </c>
      <c r="G89" s="73">
        <v>7</v>
      </c>
      <c r="H89" s="77">
        <v>4555</v>
      </c>
      <c r="I89" s="76">
        <f t="shared" si="2"/>
        <v>31885</v>
      </c>
    </row>
    <row r="90" spans="1:9" ht="26.25" thickBot="1" x14ac:dyDescent="0.25">
      <c r="A90" s="57">
        <v>81</v>
      </c>
      <c r="B90" s="62"/>
      <c r="C90" s="63" t="s">
        <v>57</v>
      </c>
      <c r="D90" s="64">
        <v>295</v>
      </c>
      <c r="E90" s="85" t="s">
        <v>144</v>
      </c>
      <c r="F90" s="61" t="s">
        <v>58</v>
      </c>
      <c r="G90" s="73">
        <v>65</v>
      </c>
      <c r="H90" s="77">
        <v>5450</v>
      </c>
      <c r="I90" s="76">
        <f t="shared" si="2"/>
        <v>354250</v>
      </c>
    </row>
    <row r="91" spans="1:9" ht="26.25" thickBot="1" x14ac:dyDescent="0.25">
      <c r="A91" s="57">
        <v>82</v>
      </c>
      <c r="B91" s="62"/>
      <c r="C91" s="63" t="s">
        <v>57</v>
      </c>
      <c r="D91" s="64">
        <v>295</v>
      </c>
      <c r="E91" s="85" t="s">
        <v>145</v>
      </c>
      <c r="F91" s="61" t="s">
        <v>58</v>
      </c>
      <c r="G91" s="72">
        <v>5500</v>
      </c>
      <c r="H91" s="74">
        <v>36</v>
      </c>
      <c r="I91" s="76">
        <f t="shared" si="2"/>
        <v>198000</v>
      </c>
    </row>
    <row r="92" spans="1:9" ht="26.25" thickBot="1" x14ac:dyDescent="0.25">
      <c r="A92" s="57">
        <v>83</v>
      </c>
      <c r="B92" s="62"/>
      <c r="C92" s="63" t="s">
        <v>57</v>
      </c>
      <c r="D92" s="64">
        <v>295</v>
      </c>
      <c r="E92" s="85" t="s">
        <v>146</v>
      </c>
      <c r="F92" s="61" t="s">
        <v>58</v>
      </c>
      <c r="G92" s="72">
        <v>5500</v>
      </c>
      <c r="H92" s="74">
        <v>35</v>
      </c>
      <c r="I92" s="76">
        <f t="shared" si="2"/>
        <v>192500</v>
      </c>
    </row>
    <row r="93" spans="1:9" ht="26.25" thickBot="1" x14ac:dyDescent="0.25">
      <c r="A93" s="57">
        <v>84</v>
      </c>
      <c r="B93" s="62"/>
      <c r="C93" s="63" t="s">
        <v>57</v>
      </c>
      <c r="D93" s="64">
        <v>295</v>
      </c>
      <c r="E93" s="85" t="s">
        <v>147</v>
      </c>
      <c r="F93" s="61" t="s">
        <v>58</v>
      </c>
      <c r="G93" s="72">
        <v>1300</v>
      </c>
      <c r="H93" s="74">
        <v>37.950000000000003</v>
      </c>
      <c r="I93" s="76">
        <f t="shared" si="0"/>
        <v>49335.000000000007</v>
      </c>
    </row>
    <row r="94" spans="1:9" ht="26.25" thickBot="1" x14ac:dyDescent="0.25">
      <c r="A94" s="57">
        <v>85</v>
      </c>
      <c r="B94" s="62"/>
      <c r="C94" s="63" t="s">
        <v>57</v>
      </c>
      <c r="D94" s="64">
        <v>295</v>
      </c>
      <c r="E94" s="85" t="s">
        <v>148</v>
      </c>
      <c r="F94" s="61" t="s">
        <v>58</v>
      </c>
      <c r="G94" s="72">
        <v>250</v>
      </c>
      <c r="H94" s="74">
        <v>33.67</v>
      </c>
      <c r="I94" s="76">
        <f t="shared" si="0"/>
        <v>8417.5</v>
      </c>
    </row>
    <row r="95" spans="1:9" ht="26.25" thickBot="1" x14ac:dyDescent="0.25">
      <c r="A95" s="57">
        <v>86</v>
      </c>
      <c r="B95" s="62"/>
      <c r="C95" s="63" t="s">
        <v>57</v>
      </c>
      <c r="D95" s="64">
        <v>295</v>
      </c>
      <c r="E95" s="85" t="s">
        <v>149</v>
      </c>
      <c r="F95" s="61" t="s">
        <v>58</v>
      </c>
      <c r="G95" s="72">
        <v>250</v>
      </c>
      <c r="H95" s="74">
        <v>32.56</v>
      </c>
      <c r="I95" s="76">
        <f t="shared" si="0"/>
        <v>8140.0000000000009</v>
      </c>
    </row>
    <row r="96" spans="1:9" ht="26.25" thickBot="1" x14ac:dyDescent="0.25">
      <c r="A96" s="57">
        <v>87</v>
      </c>
      <c r="B96" s="62"/>
      <c r="C96" s="63" t="s">
        <v>57</v>
      </c>
      <c r="D96" s="64">
        <v>295</v>
      </c>
      <c r="E96" s="85" t="s">
        <v>150</v>
      </c>
      <c r="F96" s="61" t="s">
        <v>58</v>
      </c>
      <c r="G96" s="72">
        <v>250</v>
      </c>
      <c r="H96" s="74">
        <v>31.77</v>
      </c>
      <c r="I96" s="76">
        <f t="shared" si="0"/>
        <v>7942.5</v>
      </c>
    </row>
    <row r="97" spans="1:9" ht="26.25" thickBot="1" x14ac:dyDescent="0.25">
      <c r="A97" s="57">
        <v>88</v>
      </c>
      <c r="B97" s="62"/>
      <c r="C97" s="63" t="s">
        <v>57</v>
      </c>
      <c r="D97" s="64">
        <v>295</v>
      </c>
      <c r="E97" s="85" t="s">
        <v>151</v>
      </c>
      <c r="F97" s="61" t="s">
        <v>58</v>
      </c>
      <c r="G97" s="72">
        <v>250</v>
      </c>
      <c r="H97" s="74">
        <v>35.43</v>
      </c>
      <c r="I97" s="76">
        <f t="shared" si="0"/>
        <v>8857.5</v>
      </c>
    </row>
    <row r="98" spans="1:9" ht="26.25" thickBot="1" x14ac:dyDescent="0.25">
      <c r="A98" s="57">
        <v>89</v>
      </c>
      <c r="B98" s="62"/>
      <c r="C98" s="63" t="s">
        <v>57</v>
      </c>
      <c r="D98" s="64">
        <v>295</v>
      </c>
      <c r="E98" s="87" t="s">
        <v>152</v>
      </c>
      <c r="F98" s="61" t="s">
        <v>58</v>
      </c>
      <c r="G98" s="73">
        <v>40</v>
      </c>
      <c r="H98" s="77">
        <v>734</v>
      </c>
      <c r="I98" s="76">
        <f t="shared" si="0"/>
        <v>29360</v>
      </c>
    </row>
    <row r="99" spans="1:9" ht="26.25" thickBot="1" x14ac:dyDescent="0.25">
      <c r="A99" s="57">
        <v>90</v>
      </c>
      <c r="B99" s="62"/>
      <c r="C99" s="63" t="s">
        <v>57</v>
      </c>
      <c r="D99" s="64">
        <v>295</v>
      </c>
      <c r="E99" s="85" t="s">
        <v>153</v>
      </c>
      <c r="F99" s="61" t="s">
        <v>58</v>
      </c>
      <c r="G99" s="72">
        <v>400</v>
      </c>
      <c r="H99" s="74">
        <v>350</v>
      </c>
      <c r="I99" s="76">
        <f t="shared" si="0"/>
        <v>140000</v>
      </c>
    </row>
    <row r="100" spans="1:9" ht="26.25" thickBot="1" x14ac:dyDescent="0.25">
      <c r="A100" s="57">
        <v>91</v>
      </c>
      <c r="B100" s="62"/>
      <c r="C100" s="63" t="s">
        <v>57</v>
      </c>
      <c r="D100" s="64">
        <v>295</v>
      </c>
      <c r="E100" s="85" t="s">
        <v>154</v>
      </c>
      <c r="F100" s="61" t="s">
        <v>58</v>
      </c>
      <c r="G100" s="72">
        <v>130</v>
      </c>
      <c r="H100" s="74">
        <v>115</v>
      </c>
      <c r="I100" s="76">
        <f t="shared" si="0"/>
        <v>14950</v>
      </c>
    </row>
    <row r="101" spans="1:9" ht="26.25" thickBot="1" x14ac:dyDescent="0.25">
      <c r="A101" s="57">
        <v>92</v>
      </c>
      <c r="B101" s="62"/>
      <c r="C101" s="63" t="s">
        <v>57</v>
      </c>
      <c r="D101" s="64">
        <v>295</v>
      </c>
      <c r="E101" s="89" t="s">
        <v>155</v>
      </c>
      <c r="F101" s="61" t="s">
        <v>58</v>
      </c>
      <c r="G101" s="72">
        <v>130</v>
      </c>
      <c r="H101" s="74">
        <v>115</v>
      </c>
      <c r="I101" s="76">
        <f t="shared" si="0"/>
        <v>14950</v>
      </c>
    </row>
    <row r="102" spans="1:9" ht="26.25" thickBot="1" x14ac:dyDescent="0.25">
      <c r="A102" s="57">
        <v>93</v>
      </c>
      <c r="B102" s="62"/>
      <c r="C102" s="63" t="s">
        <v>57</v>
      </c>
      <c r="D102" s="64">
        <v>295</v>
      </c>
      <c r="E102" s="89" t="s">
        <v>156</v>
      </c>
      <c r="F102" s="61" t="s">
        <v>58</v>
      </c>
      <c r="G102" s="72">
        <v>65</v>
      </c>
      <c r="H102" s="74">
        <v>115</v>
      </c>
      <c r="I102" s="76">
        <f t="shared" si="0"/>
        <v>7475</v>
      </c>
    </row>
    <row r="103" spans="1:9" ht="26.25" thickBot="1" x14ac:dyDescent="0.25">
      <c r="A103" s="57">
        <v>94</v>
      </c>
      <c r="B103" s="62"/>
      <c r="C103" s="63" t="s">
        <v>57</v>
      </c>
      <c r="D103" s="64">
        <v>295</v>
      </c>
      <c r="E103" s="89" t="s">
        <v>157</v>
      </c>
      <c r="F103" s="61" t="s">
        <v>58</v>
      </c>
      <c r="G103" s="72">
        <v>65</v>
      </c>
      <c r="H103" s="74">
        <v>115</v>
      </c>
      <c r="I103" s="76">
        <f t="shared" si="0"/>
        <v>7475</v>
      </c>
    </row>
    <row r="104" spans="1:9" ht="26.25" thickBot="1" x14ac:dyDescent="0.25">
      <c r="A104" s="57">
        <v>95</v>
      </c>
      <c r="B104" s="62"/>
      <c r="C104" s="63" t="s">
        <v>57</v>
      </c>
      <c r="D104" s="64">
        <v>295</v>
      </c>
      <c r="E104" s="89" t="s">
        <v>158</v>
      </c>
      <c r="F104" s="61" t="s">
        <v>58</v>
      </c>
      <c r="G104" s="72">
        <v>65</v>
      </c>
      <c r="H104" s="74">
        <v>115</v>
      </c>
      <c r="I104" s="76">
        <f t="shared" si="0"/>
        <v>7475</v>
      </c>
    </row>
    <row r="105" spans="1:9" ht="26.25" thickBot="1" x14ac:dyDescent="0.25">
      <c r="A105" s="57">
        <v>96</v>
      </c>
      <c r="B105" s="62"/>
      <c r="C105" s="63" t="s">
        <v>57</v>
      </c>
      <c r="D105" s="64">
        <v>295</v>
      </c>
      <c r="E105" s="89" t="s">
        <v>159</v>
      </c>
      <c r="F105" s="61" t="s">
        <v>58</v>
      </c>
      <c r="G105" s="72">
        <v>65</v>
      </c>
      <c r="H105" s="74">
        <v>115</v>
      </c>
      <c r="I105" s="76">
        <f t="shared" si="0"/>
        <v>7475</v>
      </c>
    </row>
    <row r="106" spans="1:9" ht="26.25" thickBot="1" x14ac:dyDescent="0.25">
      <c r="A106" s="57">
        <v>97</v>
      </c>
      <c r="B106" s="62"/>
      <c r="C106" s="63" t="s">
        <v>57</v>
      </c>
      <c r="D106" s="64">
        <v>295</v>
      </c>
      <c r="E106" s="89" t="s">
        <v>160</v>
      </c>
      <c r="F106" s="61" t="s">
        <v>58</v>
      </c>
      <c r="G106" s="72">
        <v>400</v>
      </c>
      <c r="H106" s="74">
        <v>115</v>
      </c>
      <c r="I106" s="76">
        <f t="shared" si="0"/>
        <v>46000</v>
      </c>
    </row>
    <row r="107" spans="1:9" ht="26.25" thickBot="1" x14ac:dyDescent="0.25">
      <c r="A107" s="57">
        <v>98</v>
      </c>
      <c r="B107" s="62"/>
      <c r="C107" s="63" t="s">
        <v>57</v>
      </c>
      <c r="D107" s="64">
        <v>295</v>
      </c>
      <c r="E107" s="89" t="s">
        <v>161</v>
      </c>
      <c r="F107" s="61" t="s">
        <v>58</v>
      </c>
      <c r="G107" s="72">
        <v>400</v>
      </c>
      <c r="H107" s="74">
        <v>115</v>
      </c>
      <c r="I107" s="76">
        <f t="shared" ref="I107" si="3">+G107*H107</f>
        <v>46000</v>
      </c>
    </row>
    <row r="108" spans="1:9" ht="26.25" thickBot="1" x14ac:dyDescent="0.25">
      <c r="A108" s="57">
        <v>99</v>
      </c>
      <c r="B108" s="62"/>
      <c r="C108" s="63" t="s">
        <v>57</v>
      </c>
      <c r="D108" s="64">
        <v>295</v>
      </c>
      <c r="E108" s="89" t="s">
        <v>162</v>
      </c>
      <c r="F108" s="61" t="s">
        <v>58</v>
      </c>
      <c r="G108" s="72">
        <v>550</v>
      </c>
      <c r="H108" s="74">
        <v>115</v>
      </c>
      <c r="I108" s="76">
        <f t="shared" si="0"/>
        <v>63250</v>
      </c>
    </row>
    <row r="109" spans="1:9" ht="26.25" thickBot="1" x14ac:dyDescent="0.25">
      <c r="A109" s="57">
        <v>100</v>
      </c>
      <c r="B109" s="62"/>
      <c r="C109" s="63" t="s">
        <v>57</v>
      </c>
      <c r="D109" s="64">
        <v>295</v>
      </c>
      <c r="E109" s="89" t="s">
        <v>163</v>
      </c>
      <c r="F109" s="61" t="s">
        <v>58</v>
      </c>
      <c r="G109" s="72">
        <v>550</v>
      </c>
      <c r="H109" s="74">
        <v>115</v>
      </c>
      <c r="I109" s="76">
        <f t="shared" ref="I109:I117" si="4">+G109*H109</f>
        <v>63250</v>
      </c>
    </row>
    <row r="110" spans="1:9" ht="26.25" thickBot="1" x14ac:dyDescent="0.25">
      <c r="A110" s="57">
        <v>101</v>
      </c>
      <c r="B110" s="62"/>
      <c r="C110" s="63" t="s">
        <v>57</v>
      </c>
      <c r="D110" s="64">
        <v>295</v>
      </c>
      <c r="E110" s="89" t="s">
        <v>164</v>
      </c>
      <c r="F110" s="61" t="s">
        <v>58</v>
      </c>
      <c r="G110" s="72">
        <v>250</v>
      </c>
      <c r="H110" s="74">
        <v>250</v>
      </c>
      <c r="I110" s="76">
        <f t="shared" si="4"/>
        <v>62500</v>
      </c>
    </row>
    <row r="111" spans="1:9" ht="26.25" thickBot="1" x14ac:dyDescent="0.25">
      <c r="A111" s="57">
        <v>102</v>
      </c>
      <c r="B111" s="62"/>
      <c r="C111" s="63" t="s">
        <v>57</v>
      </c>
      <c r="D111" s="64">
        <v>295</v>
      </c>
      <c r="E111" s="89" t="s">
        <v>165</v>
      </c>
      <c r="F111" s="61" t="s">
        <v>58</v>
      </c>
      <c r="G111" s="72">
        <v>40</v>
      </c>
      <c r="H111" s="74">
        <v>250</v>
      </c>
      <c r="I111" s="76">
        <f t="shared" si="4"/>
        <v>10000</v>
      </c>
    </row>
    <row r="112" spans="1:9" ht="26.25" thickBot="1" x14ac:dyDescent="0.25">
      <c r="A112" s="57">
        <v>103</v>
      </c>
      <c r="B112" s="62"/>
      <c r="C112" s="63" t="s">
        <v>57</v>
      </c>
      <c r="D112" s="64">
        <v>295</v>
      </c>
      <c r="E112" s="97" t="s">
        <v>166</v>
      </c>
      <c r="F112" s="61" t="s">
        <v>58</v>
      </c>
      <c r="G112" s="72">
        <v>20</v>
      </c>
      <c r="H112" s="74">
        <v>62</v>
      </c>
      <c r="I112" s="76">
        <f t="shared" si="4"/>
        <v>1240</v>
      </c>
    </row>
    <row r="113" spans="1:9" ht="26.25" thickBot="1" x14ac:dyDescent="0.25">
      <c r="A113" s="57">
        <v>104</v>
      </c>
      <c r="B113" s="62"/>
      <c r="C113" s="63" t="s">
        <v>57</v>
      </c>
      <c r="D113" s="64">
        <v>295</v>
      </c>
      <c r="E113" s="89" t="s">
        <v>167</v>
      </c>
      <c r="F113" s="61" t="s">
        <v>58</v>
      </c>
      <c r="G113" s="72">
        <v>20</v>
      </c>
      <c r="H113" s="74">
        <v>58</v>
      </c>
      <c r="I113" s="76">
        <f t="shared" si="4"/>
        <v>1160</v>
      </c>
    </row>
    <row r="114" spans="1:9" ht="26.25" thickBot="1" x14ac:dyDescent="0.25">
      <c r="A114" s="57">
        <v>105</v>
      </c>
      <c r="B114" s="62"/>
      <c r="C114" s="63" t="s">
        <v>57</v>
      </c>
      <c r="D114" s="64">
        <v>295</v>
      </c>
      <c r="E114" s="97" t="s">
        <v>168</v>
      </c>
      <c r="F114" s="61" t="s">
        <v>58</v>
      </c>
      <c r="G114" s="72">
        <v>20</v>
      </c>
      <c r="H114" s="74">
        <v>58</v>
      </c>
      <c r="I114" s="76">
        <f t="shared" si="4"/>
        <v>1160</v>
      </c>
    </row>
    <row r="115" spans="1:9" ht="26.25" thickBot="1" x14ac:dyDescent="0.25">
      <c r="A115" s="57">
        <v>106</v>
      </c>
      <c r="B115" s="62"/>
      <c r="C115" s="63" t="s">
        <v>57</v>
      </c>
      <c r="D115" s="64">
        <v>295</v>
      </c>
      <c r="E115" s="97" t="s">
        <v>169</v>
      </c>
      <c r="F115" s="61" t="s">
        <v>58</v>
      </c>
      <c r="G115" s="72">
        <v>20</v>
      </c>
      <c r="H115" s="74">
        <v>58</v>
      </c>
      <c r="I115" s="76">
        <f t="shared" si="4"/>
        <v>1160</v>
      </c>
    </row>
    <row r="116" spans="1:9" ht="26.25" thickBot="1" x14ac:dyDescent="0.25">
      <c r="A116" s="57">
        <v>107</v>
      </c>
      <c r="B116" s="62"/>
      <c r="C116" s="63" t="s">
        <v>57</v>
      </c>
      <c r="D116" s="64">
        <v>295</v>
      </c>
      <c r="E116" s="97" t="s">
        <v>170</v>
      </c>
      <c r="F116" s="61" t="s">
        <v>58</v>
      </c>
      <c r="G116" s="72">
        <v>20</v>
      </c>
      <c r="H116" s="74">
        <v>58</v>
      </c>
      <c r="I116" s="76">
        <f t="shared" si="4"/>
        <v>1160</v>
      </c>
    </row>
    <row r="117" spans="1:9" ht="26.25" thickBot="1" x14ac:dyDescent="0.25">
      <c r="A117" s="57">
        <v>108</v>
      </c>
      <c r="B117" s="62"/>
      <c r="C117" s="63" t="s">
        <v>57</v>
      </c>
      <c r="D117" s="64">
        <v>295</v>
      </c>
      <c r="E117" s="97" t="s">
        <v>171</v>
      </c>
      <c r="F117" s="61" t="s">
        <v>58</v>
      </c>
      <c r="G117" s="72">
        <v>20</v>
      </c>
      <c r="H117" s="74">
        <v>58</v>
      </c>
      <c r="I117" s="76">
        <f t="shared" si="4"/>
        <v>1160</v>
      </c>
    </row>
    <row r="118" spans="1:9" ht="26.25" thickBot="1" x14ac:dyDescent="0.25">
      <c r="A118" s="57">
        <v>109</v>
      </c>
      <c r="B118" s="62"/>
      <c r="C118" s="63" t="s">
        <v>57</v>
      </c>
      <c r="D118" s="64">
        <v>295</v>
      </c>
      <c r="E118" s="97" t="s">
        <v>172</v>
      </c>
      <c r="F118" s="61" t="s">
        <v>58</v>
      </c>
      <c r="G118" s="72">
        <v>20</v>
      </c>
      <c r="H118" s="74">
        <v>58</v>
      </c>
      <c r="I118" s="76">
        <f t="shared" si="0"/>
        <v>1160</v>
      </c>
    </row>
    <row r="119" spans="1:9" ht="26.25" thickBot="1" x14ac:dyDescent="0.25">
      <c r="A119" s="57">
        <v>110</v>
      </c>
      <c r="B119" s="62"/>
      <c r="C119" s="63" t="s">
        <v>57</v>
      </c>
      <c r="D119" s="64">
        <v>295</v>
      </c>
      <c r="E119" s="89" t="s">
        <v>173</v>
      </c>
      <c r="F119" s="61" t="s">
        <v>58</v>
      </c>
      <c r="G119" s="72">
        <v>4</v>
      </c>
      <c r="H119" s="74">
        <v>1500</v>
      </c>
      <c r="I119" s="76">
        <f t="shared" si="0"/>
        <v>6000</v>
      </c>
    </row>
    <row r="120" spans="1:9" ht="26.25" thickBot="1" x14ac:dyDescent="0.25">
      <c r="A120" s="57">
        <v>111</v>
      </c>
      <c r="B120" s="62"/>
      <c r="C120" s="63" t="s">
        <v>57</v>
      </c>
      <c r="D120" s="64">
        <v>295</v>
      </c>
      <c r="E120" s="98" t="s">
        <v>174</v>
      </c>
      <c r="F120" s="61" t="s">
        <v>58</v>
      </c>
      <c r="G120" s="72">
        <v>4</v>
      </c>
      <c r="H120" s="77">
        <v>1600</v>
      </c>
      <c r="I120" s="76">
        <f t="shared" si="0"/>
        <v>6400</v>
      </c>
    </row>
    <row r="121" spans="1:9" ht="26.25" thickBot="1" x14ac:dyDescent="0.25">
      <c r="A121" s="57">
        <v>112</v>
      </c>
      <c r="B121" s="62"/>
      <c r="C121" s="63" t="s">
        <v>57</v>
      </c>
      <c r="D121" s="64">
        <v>295</v>
      </c>
      <c r="E121" s="99" t="s">
        <v>175</v>
      </c>
      <c r="F121" s="61" t="s">
        <v>58</v>
      </c>
      <c r="G121" s="72">
        <v>9</v>
      </c>
      <c r="H121" s="77">
        <v>1750</v>
      </c>
      <c r="I121" s="76">
        <f t="shared" si="0"/>
        <v>15750</v>
      </c>
    </row>
    <row r="122" spans="1:9" ht="25.5" x14ac:dyDescent="0.2">
      <c r="A122" s="57">
        <v>113</v>
      </c>
      <c r="B122" s="62"/>
      <c r="C122" s="63" t="s">
        <v>57</v>
      </c>
      <c r="D122" s="64">
        <v>295</v>
      </c>
      <c r="E122" s="99" t="s">
        <v>176</v>
      </c>
      <c r="F122" s="61" t="s">
        <v>58</v>
      </c>
      <c r="G122" s="73">
        <v>4</v>
      </c>
      <c r="H122" s="77">
        <v>1750</v>
      </c>
      <c r="I122" s="76">
        <f t="shared" si="0"/>
        <v>7000</v>
      </c>
    </row>
    <row r="123" spans="1:9" ht="13.5" thickBot="1" x14ac:dyDescent="0.25">
      <c r="I123" s="65"/>
    </row>
    <row r="124" spans="1:9" x14ac:dyDescent="0.2">
      <c r="B124" s="66" t="s">
        <v>60</v>
      </c>
      <c r="C124" s="67"/>
      <c r="D124" s="67"/>
      <c r="E124" s="68"/>
      <c r="I124" s="65"/>
    </row>
    <row r="125" spans="1:9" ht="13.5" customHeight="1" x14ac:dyDescent="0.2">
      <c r="B125" s="106" t="s">
        <v>61</v>
      </c>
      <c r="C125" s="107"/>
      <c r="D125" s="107"/>
      <c r="E125" s="108"/>
    </row>
    <row r="126" spans="1:9" ht="25.5" customHeight="1" x14ac:dyDescent="0.2">
      <c r="B126" s="106"/>
      <c r="C126" s="107"/>
      <c r="D126" s="107"/>
      <c r="E126" s="108"/>
      <c r="F126" s="69"/>
      <c r="G126" s="69"/>
    </row>
    <row r="127" spans="1:9" ht="17.25" customHeight="1" x14ac:dyDescent="0.2">
      <c r="B127" s="106" t="s">
        <v>177</v>
      </c>
      <c r="C127" s="107"/>
      <c r="D127" s="107"/>
      <c r="E127" s="108"/>
      <c r="F127" s="69"/>
      <c r="G127" s="69"/>
    </row>
    <row r="128" spans="1:9" x14ac:dyDescent="0.2">
      <c r="B128" s="70" t="s">
        <v>62</v>
      </c>
      <c r="C128" s="49"/>
      <c r="D128" s="49"/>
      <c r="E128" s="71"/>
      <c r="F128" s="69"/>
      <c r="G128" s="69"/>
    </row>
    <row r="129" spans="2:5" ht="12" customHeight="1" thickBot="1" x14ac:dyDescent="0.25">
      <c r="B129" s="78"/>
      <c r="C129" s="79"/>
      <c r="D129" s="79"/>
      <c r="E129" s="80"/>
    </row>
  </sheetData>
  <autoFilter ref="A9:I122" xr:uid="{00000000-0009-0000-0000-000000000000}"/>
  <mergeCells count="9">
    <mergeCell ref="A6:B6"/>
    <mergeCell ref="A7:B7"/>
    <mergeCell ref="B125:E126"/>
    <mergeCell ref="B127:E12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25"/>
  <sheetViews>
    <sheetView topLeftCell="A109" zoomScale="80" zoomScaleNormal="80" workbookViewId="0">
      <selection activeCell="J125" sqref="J125:K125"/>
    </sheetView>
  </sheetViews>
  <sheetFormatPr baseColWidth="10" defaultColWidth="9.140625" defaultRowHeight="12.75" x14ac:dyDescent="0.2"/>
  <cols>
    <col min="1" max="1" width="5.5703125" style="24" customWidth="1"/>
    <col min="2" max="2" width="15.140625" style="24" customWidth="1"/>
    <col min="3" max="3" width="14.140625" style="24" customWidth="1"/>
    <col min="4" max="4" width="26" style="24" customWidth="1"/>
    <col min="5" max="5" width="8" style="24" customWidth="1"/>
    <col min="6" max="6" width="7.85546875" style="24" customWidth="1"/>
    <col min="7" max="7" width="48.5703125" style="24" customWidth="1"/>
    <col min="8" max="8" width="9.28515625" style="24" customWidth="1"/>
    <col min="9" max="9" width="15.5703125" style="24" customWidth="1"/>
    <col min="10" max="10" width="14.7109375" style="24" customWidth="1"/>
    <col min="11" max="11" width="15.5703125" style="24" customWidth="1"/>
    <col min="12" max="12" width="13.7109375" style="24" customWidth="1"/>
    <col min="13" max="13" width="5.85546875" style="24" customWidth="1"/>
    <col min="14" max="14" width="14.140625" style="24" customWidth="1"/>
    <col min="15" max="15" width="12.5703125" style="24" customWidth="1"/>
    <col min="16" max="1024" width="9.140625" style="24"/>
    <col min="1025" max="16384" width="9.140625" style="25"/>
  </cols>
  <sheetData>
    <row r="1" spans="1:11" ht="18" customHeight="1" x14ac:dyDescent="0.2">
      <c r="A1" s="119" t="s">
        <v>14</v>
      </c>
      <c r="B1" s="119"/>
      <c r="C1" s="119"/>
      <c r="D1" s="119"/>
      <c r="E1" s="119"/>
      <c r="F1" s="119"/>
      <c r="G1" s="119"/>
      <c r="H1" s="119"/>
      <c r="I1" s="119"/>
      <c r="J1" s="23" t="s">
        <v>15</v>
      </c>
      <c r="K1" s="92" t="s">
        <v>178</v>
      </c>
    </row>
    <row r="2" spans="1:11" ht="18.75" customHeight="1" thickBot="1" x14ac:dyDescent="0.25">
      <c r="A2" s="26"/>
      <c r="B2" s="26"/>
      <c r="C2" s="26"/>
      <c r="D2" s="27"/>
      <c r="E2" s="27"/>
      <c r="F2" s="27"/>
      <c r="G2" s="27"/>
      <c r="H2" s="27"/>
      <c r="I2" s="27"/>
      <c r="J2" s="27"/>
      <c r="K2" s="27"/>
    </row>
    <row r="3" spans="1:11" ht="18.75" customHeight="1" thickBot="1" x14ac:dyDescent="0.25">
      <c r="A3" s="120" t="s">
        <v>48</v>
      </c>
      <c r="B3" s="120"/>
      <c r="C3" s="120"/>
      <c r="D3" s="112" t="str">
        <f>'Necesidades Trimestrales'!C4</f>
        <v>040 - Ministerio de Salud</v>
      </c>
      <c r="E3" s="112"/>
      <c r="F3" s="112"/>
      <c r="G3" s="112"/>
      <c r="H3" s="112"/>
      <c r="I3" s="112"/>
      <c r="J3" s="112"/>
      <c r="K3" s="112"/>
    </row>
    <row r="4" spans="1:11" ht="18.75" customHeight="1" thickBot="1" x14ac:dyDescent="0.25">
      <c r="A4" s="121" t="s">
        <v>49</v>
      </c>
      <c r="B4" s="121"/>
      <c r="C4" s="121"/>
      <c r="D4" s="112" t="str">
        <f>'Necesidades Trimestrales'!C5</f>
        <v>024 - Hospital Interzonal de Niños</v>
      </c>
      <c r="E4" s="112"/>
      <c r="F4" s="112"/>
      <c r="G4" s="112"/>
      <c r="H4" s="112"/>
      <c r="I4" s="112"/>
      <c r="J4" s="112"/>
      <c r="K4" s="112"/>
    </row>
    <row r="5" spans="1:11" ht="18.75" customHeight="1" thickBot="1" x14ac:dyDescent="0.25">
      <c r="A5" s="121" t="s">
        <v>27</v>
      </c>
      <c r="B5" s="121"/>
      <c r="C5" s="121"/>
      <c r="D5" s="112" t="s">
        <v>51</v>
      </c>
      <c r="E5" s="112"/>
      <c r="F5" s="112"/>
      <c r="G5" s="112"/>
      <c r="H5" s="112"/>
      <c r="I5" s="112"/>
      <c r="J5" s="112"/>
      <c r="K5" s="112"/>
    </row>
    <row r="6" spans="1:11" ht="16.5" customHeight="1" thickBot="1" x14ac:dyDescent="0.25">
      <c r="A6" s="120" t="s">
        <v>50</v>
      </c>
      <c r="B6" s="120"/>
      <c r="C6" s="120"/>
      <c r="D6" s="112" t="s">
        <v>56</v>
      </c>
      <c r="E6" s="112"/>
      <c r="F6" s="112"/>
      <c r="G6" s="112"/>
      <c r="H6" s="112"/>
      <c r="I6" s="112"/>
      <c r="J6" s="112"/>
      <c r="K6" s="112"/>
    </row>
    <row r="7" spans="1:11" ht="16.5" customHeight="1" x14ac:dyDescent="0.2">
      <c r="A7" s="121" t="s">
        <v>16</v>
      </c>
      <c r="B7" s="121"/>
      <c r="C7" s="121"/>
      <c r="D7" s="112" t="str">
        <f>'Necesidades Trimestrales'!C7 &amp; "° Trimestre - Año " &amp; 'Necesidades Trimestrales'!C6</f>
        <v>2° Trimestre - Año 2021</v>
      </c>
      <c r="E7" s="112"/>
      <c r="F7" s="112"/>
      <c r="G7" s="112"/>
      <c r="H7" s="112"/>
      <c r="I7" s="112"/>
      <c r="J7" s="112"/>
      <c r="K7" s="112"/>
    </row>
    <row r="8" spans="1:11" ht="16.5" customHeight="1" x14ac:dyDescent="0.2">
      <c r="A8" s="118" t="s">
        <v>17</v>
      </c>
      <c r="B8" s="118"/>
      <c r="C8" s="118"/>
      <c r="D8" s="114" t="s">
        <v>179</v>
      </c>
      <c r="E8" s="114"/>
      <c r="F8" s="114"/>
      <c r="G8" s="114"/>
      <c r="H8" s="114"/>
      <c r="I8" s="114"/>
      <c r="J8" s="114"/>
      <c r="K8" s="114"/>
    </row>
    <row r="9" spans="1:11" ht="15.75" x14ac:dyDescent="0.2">
      <c r="A9" s="28"/>
      <c r="B9" s="28"/>
      <c r="C9" s="28"/>
      <c r="D9" s="29"/>
      <c r="E9" s="29"/>
      <c r="F9" s="29"/>
      <c r="G9" s="29"/>
      <c r="H9" s="29"/>
      <c r="I9" s="29"/>
      <c r="J9" s="29"/>
      <c r="K9" s="29"/>
    </row>
    <row r="10" spans="1:11" ht="18.75" customHeight="1" x14ac:dyDescent="0.2">
      <c r="A10" s="115" t="s">
        <v>18</v>
      </c>
      <c r="B10" s="116" t="s">
        <v>19</v>
      </c>
      <c r="C10" s="116" t="s">
        <v>20</v>
      </c>
      <c r="D10" s="116"/>
      <c r="E10" s="116"/>
      <c r="F10" s="116"/>
      <c r="G10" s="116"/>
      <c r="H10" s="116" t="s">
        <v>21</v>
      </c>
      <c r="I10" s="116" t="s">
        <v>22</v>
      </c>
      <c r="J10" s="116" t="s">
        <v>23</v>
      </c>
      <c r="K10" s="117" t="s">
        <v>24</v>
      </c>
    </row>
    <row r="11" spans="1:11" ht="24" customHeight="1" thickBot="1" x14ac:dyDescent="0.25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7"/>
    </row>
    <row r="12" spans="1:11" ht="27.75" customHeight="1" thickBot="1" x14ac:dyDescent="0.25">
      <c r="A12" s="30">
        <v>1</v>
      </c>
      <c r="B12" s="31"/>
      <c r="C12" s="111" t="str">
        <f>'Necesidades Trimestrales'!E10</f>
        <v>ALCOHOL 70 % X 1000 ML</v>
      </c>
      <c r="D12" s="111"/>
      <c r="E12" s="111"/>
      <c r="F12" s="111"/>
      <c r="G12" s="111"/>
      <c r="H12" s="32" t="s">
        <v>54</v>
      </c>
      <c r="I12" s="33" t="str">
        <f>'Necesidades Trimestrales'!F10</f>
        <v>UNIDAD</v>
      </c>
      <c r="J12" s="104">
        <f>'Necesidades Trimestrales'!H10</f>
        <v>194</v>
      </c>
      <c r="K12" s="34">
        <f>'Necesidades Trimestrales'!G10</f>
        <v>4000</v>
      </c>
    </row>
    <row r="13" spans="1:11" ht="27.75" customHeight="1" thickBot="1" x14ac:dyDescent="0.25">
      <c r="A13" s="30">
        <v>2</v>
      </c>
      <c r="B13" s="46"/>
      <c r="C13" s="111" t="str">
        <f>'Necesidades Trimestrales'!E11</f>
        <v>ALCOHOL 70 % X 500 ML</v>
      </c>
      <c r="D13" s="111"/>
      <c r="E13" s="111"/>
      <c r="F13" s="111"/>
      <c r="G13" s="111"/>
      <c r="H13" s="47" t="s">
        <v>54</v>
      </c>
      <c r="I13" s="33" t="str">
        <f>'Necesidades Trimestrales'!F11</f>
        <v>UNIDAD</v>
      </c>
      <c r="J13" s="104">
        <f>'Necesidades Trimestrales'!H11</f>
        <v>90</v>
      </c>
      <c r="K13" s="34">
        <f>'Necesidades Trimestrales'!G11</f>
        <v>8000</v>
      </c>
    </row>
    <row r="14" spans="1:11" ht="27.75" customHeight="1" thickBot="1" x14ac:dyDescent="0.25">
      <c r="A14" s="30">
        <v>3</v>
      </c>
      <c r="B14" s="46"/>
      <c r="C14" s="111" t="str">
        <f>'Necesidades Trimestrales'!E12</f>
        <v>ALCOHOL EN GEL X 250 ML</v>
      </c>
      <c r="D14" s="111"/>
      <c r="E14" s="111"/>
      <c r="F14" s="111"/>
      <c r="G14" s="111"/>
      <c r="H14" s="47" t="s">
        <v>54</v>
      </c>
      <c r="I14" s="33" t="str">
        <f>'Necesidades Trimestrales'!F12</f>
        <v>UNIDAD</v>
      </c>
      <c r="J14" s="104">
        <f>'Necesidades Trimestrales'!H12</f>
        <v>95</v>
      </c>
      <c r="K14" s="34">
        <f>'Necesidades Trimestrales'!G12</f>
        <v>2500</v>
      </c>
    </row>
    <row r="15" spans="1:11" ht="27.75" customHeight="1" thickBot="1" x14ac:dyDescent="0.25">
      <c r="A15" s="30">
        <v>4</v>
      </c>
      <c r="B15" s="46"/>
      <c r="C15" s="111" t="str">
        <f>'Necesidades Trimestrales'!E13</f>
        <v>ALCOHOL EN GEL X 500 ML.</v>
      </c>
      <c r="D15" s="111"/>
      <c r="E15" s="111"/>
      <c r="F15" s="111"/>
      <c r="G15" s="111"/>
      <c r="H15" s="47" t="s">
        <v>54</v>
      </c>
      <c r="I15" s="33" t="str">
        <f>'Necesidades Trimestrales'!F13</f>
        <v>UNIDAD</v>
      </c>
      <c r="J15" s="104">
        <f>'Necesidades Trimestrales'!H13</f>
        <v>145</v>
      </c>
      <c r="K15" s="34">
        <f>'Necesidades Trimestrales'!G13</f>
        <v>2500</v>
      </c>
    </row>
    <row r="16" spans="1:11" ht="27.75" customHeight="1" thickBot="1" x14ac:dyDescent="0.25">
      <c r="A16" s="30">
        <v>5</v>
      </c>
      <c r="B16" s="46"/>
      <c r="C16" s="111" t="str">
        <f>'Necesidades Trimestrales'!E14</f>
        <v>AMONIO CUATERNARIO X 5 LITROS TIPO SURFANIOS</v>
      </c>
      <c r="D16" s="111"/>
      <c r="E16" s="111"/>
      <c r="F16" s="111"/>
      <c r="G16" s="111"/>
      <c r="H16" s="47" t="s">
        <v>54</v>
      </c>
      <c r="I16" s="33" t="str">
        <f>'Necesidades Trimestrales'!F14</f>
        <v>UNIDAD</v>
      </c>
      <c r="J16" s="104">
        <f>'Necesidades Trimestrales'!H14</f>
        <v>7919.45</v>
      </c>
      <c r="K16" s="34">
        <f>'Necesidades Trimestrales'!G14</f>
        <v>13</v>
      </c>
    </row>
    <row r="17" spans="1:11" ht="27.75" customHeight="1" thickBot="1" x14ac:dyDescent="0.25">
      <c r="A17" s="30">
        <v>6</v>
      </c>
      <c r="B17" s="46"/>
      <c r="C17" s="111" t="str">
        <f>'Necesidades Trimestrales'!E15</f>
        <v>BAJALENGUA X 100 UNIDADES</v>
      </c>
      <c r="D17" s="111"/>
      <c r="E17" s="111"/>
      <c r="F17" s="111"/>
      <c r="G17" s="111"/>
      <c r="H17" s="47" t="s">
        <v>63</v>
      </c>
      <c r="I17" s="33" t="str">
        <f>'Necesidades Trimestrales'!F15</f>
        <v>UNIDAD</v>
      </c>
      <c r="J17" s="104">
        <f>'Necesidades Trimestrales'!H15</f>
        <v>149.72999999999999</v>
      </c>
      <c r="K17" s="34">
        <f>'Necesidades Trimestrales'!G15</f>
        <v>1300</v>
      </c>
    </row>
    <row r="18" spans="1:11" ht="27.75" customHeight="1" thickBot="1" x14ac:dyDescent="0.25">
      <c r="A18" s="30">
        <v>7</v>
      </c>
      <c r="B18" s="46"/>
      <c r="C18" s="111" t="str">
        <f>'Necesidades Trimestrales'!E16</f>
        <v>BARBIJO HEMORREPELENTE QUIRURGICO TRIPLE CAPA</v>
      </c>
      <c r="D18" s="111"/>
      <c r="E18" s="111"/>
      <c r="F18" s="111"/>
      <c r="G18" s="111"/>
      <c r="H18" s="47" t="s">
        <v>63</v>
      </c>
      <c r="I18" s="33" t="str">
        <f>'Necesidades Trimestrales'!F16</f>
        <v>UNIDAD</v>
      </c>
      <c r="J18" s="104">
        <f>'Necesidades Trimestrales'!H16</f>
        <v>12</v>
      </c>
      <c r="K18" s="34">
        <f>'Necesidades Trimestrales'!G16</f>
        <v>52000</v>
      </c>
    </row>
    <row r="19" spans="1:11" ht="27.75" customHeight="1" thickBot="1" x14ac:dyDescent="0.25">
      <c r="A19" s="30">
        <v>8</v>
      </c>
      <c r="B19" s="46"/>
      <c r="C19" s="111" t="str">
        <f>'Necesidades Trimestrales'!E17</f>
        <v>BARBIJOS DE ALTA EFICIENCIA TIPO N95</v>
      </c>
      <c r="D19" s="111"/>
      <c r="E19" s="111"/>
      <c r="F19" s="111"/>
      <c r="G19" s="111"/>
      <c r="H19" s="47" t="s">
        <v>54</v>
      </c>
      <c r="I19" s="33" t="str">
        <f>'Necesidades Trimestrales'!F17</f>
        <v>UNIDAD</v>
      </c>
      <c r="J19" s="104">
        <f>'Necesidades Trimestrales'!H17</f>
        <v>145.19999999999999</v>
      </c>
      <c r="K19" s="34">
        <f>'Necesidades Trimestrales'!G17</f>
        <v>3800</v>
      </c>
    </row>
    <row r="20" spans="1:11" ht="27.75" customHeight="1" thickBot="1" x14ac:dyDescent="0.25">
      <c r="A20" s="30">
        <v>9</v>
      </c>
      <c r="B20" s="46"/>
      <c r="C20" s="111" t="str">
        <f>'Necesidades Trimestrales'!E18</f>
        <v>BOTAS ALTAS DESCARTABLES DE 30 GRAMOS CON TIRA EL PAR</v>
      </c>
      <c r="D20" s="111"/>
      <c r="E20" s="111"/>
      <c r="F20" s="111"/>
      <c r="G20" s="111"/>
      <c r="H20" s="47" t="s">
        <v>54</v>
      </c>
      <c r="I20" s="33" t="str">
        <f>'Necesidades Trimestrales'!F18</f>
        <v>UNIDAD</v>
      </c>
      <c r="J20" s="104">
        <f>'Necesidades Trimestrales'!H18</f>
        <v>12.7</v>
      </c>
      <c r="K20" s="34">
        <f>'Necesidades Trimestrales'!G18</f>
        <v>6400</v>
      </c>
    </row>
    <row r="21" spans="1:11" ht="27.75" customHeight="1" thickBot="1" x14ac:dyDescent="0.25">
      <c r="A21" s="30">
        <v>10</v>
      </c>
      <c r="B21" s="46"/>
      <c r="C21" s="111" t="str">
        <f>'Necesidades Trimestrales'!E19</f>
        <v xml:space="preserve">CAMARA HUMIDIFICADORA DESCARTABLE TIPO GGM  o FISHER PAIKEL </v>
      </c>
      <c r="D21" s="111"/>
      <c r="E21" s="111"/>
      <c r="F21" s="111"/>
      <c r="G21" s="111"/>
      <c r="H21" s="47" t="s">
        <v>54</v>
      </c>
      <c r="I21" s="33" t="str">
        <f>'Necesidades Trimestrales'!F19</f>
        <v>UNIDAD</v>
      </c>
      <c r="J21" s="104">
        <f>'Necesidades Trimestrales'!H19</f>
        <v>2700</v>
      </c>
      <c r="K21" s="34">
        <f>'Necesidades Trimestrales'!G19</f>
        <v>200</v>
      </c>
    </row>
    <row r="22" spans="1:11" ht="27.75" customHeight="1" thickBot="1" x14ac:dyDescent="0.25">
      <c r="A22" s="30">
        <v>11</v>
      </c>
      <c r="B22" s="46"/>
      <c r="C22" s="111" t="str">
        <f>'Necesidades Trimestrales'!E20</f>
        <v>CAMISOLIN DESCARTABLE DE TELA SMS 50 GRAMOS CON MANGA Y PUÑOS DE 1,4 M DE LARGO</v>
      </c>
      <c r="D22" s="111"/>
      <c r="E22" s="111"/>
      <c r="F22" s="111"/>
      <c r="G22" s="111"/>
      <c r="H22" s="47" t="s">
        <v>54</v>
      </c>
      <c r="I22" s="33" t="str">
        <f>'Necesidades Trimestrales'!F20</f>
        <v>UNIDAD</v>
      </c>
      <c r="J22" s="104">
        <f>'Necesidades Trimestrales'!H20</f>
        <v>190</v>
      </c>
      <c r="K22" s="34">
        <f>'Necesidades Trimestrales'!G20</f>
        <v>6400</v>
      </c>
    </row>
    <row r="23" spans="1:11" ht="27.75" customHeight="1" thickBot="1" x14ac:dyDescent="0.25">
      <c r="A23" s="30">
        <v>12</v>
      </c>
      <c r="B23" s="46"/>
      <c r="C23" s="111" t="str">
        <f>'Necesidades Trimestrales'!E21</f>
        <v>CANULA NASAL DE ALTO FLUJO TIPO OPTIFLOW INFANTIL F&amp;P OPT 316</v>
      </c>
      <c r="D23" s="111"/>
      <c r="E23" s="111"/>
      <c r="F23" s="111"/>
      <c r="G23" s="111"/>
      <c r="H23" s="47" t="s">
        <v>54</v>
      </c>
      <c r="I23" s="33" t="str">
        <f>'Necesidades Trimestrales'!F21</f>
        <v>UNIDAD</v>
      </c>
      <c r="J23" s="104">
        <f>'Necesidades Trimestrales'!H21</f>
        <v>11150</v>
      </c>
      <c r="K23" s="34">
        <f>'Necesidades Trimestrales'!G21</f>
        <v>20</v>
      </c>
    </row>
    <row r="24" spans="1:11" ht="27.75" customHeight="1" thickBot="1" x14ac:dyDescent="0.25">
      <c r="A24" s="30">
        <v>13</v>
      </c>
      <c r="B24" s="46"/>
      <c r="C24" s="111" t="str">
        <f>'Necesidades Trimestrales'!E22</f>
        <v>CANULA NASAL DE ALTO FLUJO TIPO OPTIFLOW PEDIATRICA F&amp;P OPT 318</v>
      </c>
      <c r="D24" s="111"/>
      <c r="E24" s="111"/>
      <c r="F24" s="111"/>
      <c r="G24" s="111"/>
      <c r="H24" s="47" t="s">
        <v>54</v>
      </c>
      <c r="I24" s="33" t="str">
        <f>'Necesidades Trimestrales'!F22</f>
        <v>UNIDAD</v>
      </c>
      <c r="J24" s="104">
        <f>'Necesidades Trimestrales'!H22</f>
        <v>11150</v>
      </c>
      <c r="K24" s="34">
        <f>'Necesidades Trimestrales'!G22</f>
        <v>20</v>
      </c>
    </row>
    <row r="25" spans="1:11" ht="27.75" customHeight="1" thickBot="1" x14ac:dyDescent="0.25">
      <c r="A25" s="30">
        <v>14</v>
      </c>
      <c r="B25" s="46"/>
      <c r="C25" s="111" t="str">
        <f>'Necesidades Trimestrales'!E23</f>
        <v>CANULA NASAL PARA ALTO FLUJO TIPO GGM  ADULTO 5 mm 4825R1V TAMANO M</v>
      </c>
      <c r="D25" s="111"/>
      <c r="E25" s="111"/>
      <c r="F25" s="111"/>
      <c r="G25" s="111"/>
      <c r="H25" s="47" t="s">
        <v>54</v>
      </c>
      <c r="I25" s="33" t="str">
        <f>'Necesidades Trimestrales'!F23</f>
        <v>UNIDAD</v>
      </c>
      <c r="J25" s="104">
        <f>'Necesidades Trimestrales'!H23</f>
        <v>4200</v>
      </c>
      <c r="K25" s="34">
        <f>'Necesidades Trimestrales'!G23</f>
        <v>13</v>
      </c>
    </row>
    <row r="26" spans="1:11" ht="27.75" customHeight="1" thickBot="1" x14ac:dyDescent="0.25">
      <c r="A26" s="30">
        <v>15</v>
      </c>
      <c r="B26" s="46"/>
      <c r="C26" s="111" t="str">
        <f>'Necesidades Trimestrales'!E24</f>
        <v xml:space="preserve">CANULA NASAL PARA ALTO FLUJO TIPO GGM  ADULTO 6 mm 4826R1V TAMANO L </v>
      </c>
      <c r="D26" s="111"/>
      <c r="E26" s="111"/>
      <c r="F26" s="111"/>
      <c r="G26" s="111"/>
      <c r="H26" s="47" t="s">
        <v>54</v>
      </c>
      <c r="I26" s="33" t="str">
        <f>'Necesidades Trimestrales'!F24</f>
        <v>UNIDAD</v>
      </c>
      <c r="J26" s="104">
        <f>'Necesidades Trimestrales'!H24</f>
        <v>4200</v>
      </c>
      <c r="K26" s="34">
        <f>'Necesidades Trimestrales'!G24</f>
        <v>13</v>
      </c>
    </row>
    <row r="27" spans="1:11" ht="27.75" customHeight="1" thickBot="1" x14ac:dyDescent="0.25">
      <c r="A27" s="30">
        <v>16</v>
      </c>
      <c r="B27" s="46"/>
      <c r="C27" s="111" t="str">
        <f>'Necesidades Trimestrales'!E25</f>
        <v xml:space="preserve">CANULA NASAL PARA ALTO FLUJO TIPO GGM  NEO  3.5 mm 4828 r1v </v>
      </c>
      <c r="D27" s="111"/>
      <c r="E27" s="111"/>
      <c r="F27" s="111"/>
      <c r="G27" s="111"/>
      <c r="H27" s="47" t="s">
        <v>54</v>
      </c>
      <c r="I27" s="33" t="str">
        <f>'Necesidades Trimestrales'!F25</f>
        <v>UNIDAD</v>
      </c>
      <c r="J27" s="104">
        <f>'Necesidades Trimestrales'!H25</f>
        <v>4200</v>
      </c>
      <c r="K27" s="34">
        <f>'Necesidades Trimestrales'!G25</f>
        <v>13</v>
      </c>
    </row>
    <row r="28" spans="1:11" ht="27.75" customHeight="1" thickBot="1" x14ac:dyDescent="0.25">
      <c r="A28" s="30">
        <v>17</v>
      </c>
      <c r="B28" s="46"/>
      <c r="C28" s="111" t="str">
        <f>'Necesidades Trimestrales'!E26</f>
        <v xml:space="preserve">CANULA NASAL PARA ALTO FLUJO TIPO GGM  PEDIATRICA 4mm 4824R1V </v>
      </c>
      <c r="D28" s="111"/>
      <c r="E28" s="111"/>
      <c r="F28" s="111"/>
      <c r="G28" s="111"/>
      <c r="H28" s="47" t="s">
        <v>54</v>
      </c>
      <c r="I28" s="33" t="str">
        <f>'Necesidades Trimestrales'!F26</f>
        <v>UNIDAD</v>
      </c>
      <c r="J28" s="104">
        <f>'Necesidades Trimestrales'!H26</f>
        <v>4200</v>
      </c>
      <c r="K28" s="34">
        <f>'Necesidades Trimestrales'!G26</f>
        <v>13</v>
      </c>
    </row>
    <row r="29" spans="1:11" ht="27.75" customHeight="1" thickBot="1" x14ac:dyDescent="0.25">
      <c r="A29" s="30">
        <v>18</v>
      </c>
      <c r="B29" s="46"/>
      <c r="C29" s="111" t="str">
        <f>'Necesidades Trimestrales'!E27</f>
        <v>CANULA NASAL PARA ALTO FLUJO TIPO OPT844 / OPT 944 FISHER PAYKEL</v>
      </c>
      <c r="D29" s="111"/>
      <c r="E29" s="111"/>
      <c r="F29" s="111"/>
      <c r="G29" s="111"/>
      <c r="H29" s="47" t="s">
        <v>54</v>
      </c>
      <c r="I29" s="33" t="str">
        <f>'Necesidades Trimestrales'!F27</f>
        <v>UNIDAD</v>
      </c>
      <c r="J29" s="104">
        <f>'Necesidades Trimestrales'!H27</f>
        <v>5750</v>
      </c>
      <c r="K29" s="34">
        <f>'Necesidades Trimestrales'!G27</f>
        <v>13</v>
      </c>
    </row>
    <row r="30" spans="1:11" ht="27.75" customHeight="1" thickBot="1" x14ac:dyDescent="0.25">
      <c r="A30" s="30">
        <v>19</v>
      </c>
      <c r="B30" s="46"/>
      <c r="C30" s="111" t="str">
        <f>'Necesidades Trimestrales'!E28</f>
        <v>CANULA NASAL PARA ALTO FLUJO TIPO OPT846/OPT 946  FISHER PAYKEL</v>
      </c>
      <c r="D30" s="111"/>
      <c r="E30" s="111"/>
      <c r="F30" s="111"/>
      <c r="G30" s="111"/>
      <c r="H30" s="47" t="s">
        <v>54</v>
      </c>
      <c r="I30" s="33" t="str">
        <f>'Necesidades Trimestrales'!F28</f>
        <v>UNIDAD</v>
      </c>
      <c r="J30" s="104">
        <f>'Necesidades Trimestrales'!H28</f>
        <v>5750</v>
      </c>
      <c r="K30" s="34">
        <f>'Necesidades Trimestrales'!G28</f>
        <v>13</v>
      </c>
    </row>
    <row r="31" spans="1:11" ht="27.75" customHeight="1" thickBot="1" x14ac:dyDescent="0.25">
      <c r="A31" s="30">
        <v>20</v>
      </c>
      <c r="B31" s="46"/>
      <c r="C31" s="111" t="str">
        <f>'Necesidades Trimestrales'!E29</f>
        <v>CANULA NASAL PARA OXIGENOTERAPIA ADULTO</v>
      </c>
      <c r="D31" s="111"/>
      <c r="E31" s="111"/>
      <c r="F31" s="111"/>
      <c r="G31" s="111"/>
      <c r="H31" s="47" t="s">
        <v>54</v>
      </c>
      <c r="I31" s="33" t="str">
        <f>'Necesidades Trimestrales'!F29</f>
        <v>UNIDAD</v>
      </c>
      <c r="J31" s="104">
        <f>'Necesidades Trimestrales'!H29</f>
        <v>109.8</v>
      </c>
      <c r="K31" s="34">
        <f>'Necesidades Trimestrales'!G29</f>
        <v>250</v>
      </c>
    </row>
    <row r="32" spans="1:11" ht="27.75" customHeight="1" thickBot="1" x14ac:dyDescent="0.25">
      <c r="A32" s="30">
        <v>21</v>
      </c>
      <c r="B32" s="48"/>
      <c r="C32" s="111" t="str">
        <f>'Necesidades Trimestrales'!E30</f>
        <v>CANULA NASAL PARA OXIGENOTERAPIA NEONATAL</v>
      </c>
      <c r="D32" s="111"/>
      <c r="E32" s="111"/>
      <c r="F32" s="111"/>
      <c r="G32" s="111"/>
      <c r="H32" s="47" t="s">
        <v>54</v>
      </c>
      <c r="I32" s="33" t="str">
        <f>'Necesidades Trimestrales'!F30</f>
        <v>UNIDAD</v>
      </c>
      <c r="J32" s="104">
        <f>'Necesidades Trimestrales'!H30</f>
        <v>65.36</v>
      </c>
      <c r="K32" s="34">
        <f>'Necesidades Trimestrales'!G30</f>
        <v>400</v>
      </c>
    </row>
    <row r="33" spans="1:14" ht="27.75" customHeight="1" thickBot="1" x14ac:dyDescent="0.25">
      <c r="A33" s="30">
        <v>22</v>
      </c>
      <c r="B33" s="48"/>
      <c r="C33" s="111" t="str">
        <f>'Necesidades Trimestrales'!E31</f>
        <v>CANULA NASAL PARA OXIGENOTERAPIA PEDIATRICO</v>
      </c>
      <c r="D33" s="111"/>
      <c r="E33" s="111"/>
      <c r="F33" s="111"/>
      <c r="G33" s="111"/>
      <c r="H33" s="47" t="s">
        <v>54</v>
      </c>
      <c r="I33" s="33" t="str">
        <f>'Necesidades Trimestrales'!F31</f>
        <v>UNIDAD</v>
      </c>
      <c r="J33" s="104">
        <f>'Necesidades Trimestrales'!H31</f>
        <v>65.36</v>
      </c>
      <c r="K33" s="34">
        <f>'Necesidades Trimestrales'!G31</f>
        <v>700</v>
      </c>
    </row>
    <row r="34" spans="1:14" ht="27.75" customHeight="1" thickBot="1" x14ac:dyDescent="0.25">
      <c r="A34" s="30">
        <v>23</v>
      </c>
      <c r="B34" s="48"/>
      <c r="C34" s="111" t="str">
        <f>'Necesidades Trimestrales'!E32</f>
        <v>CANULA PARA TRAQUEOSTOMIA Nº 7 1/2</v>
      </c>
      <c r="D34" s="111"/>
      <c r="E34" s="111"/>
      <c r="F34" s="111"/>
      <c r="G34" s="111"/>
      <c r="H34" s="47" t="s">
        <v>54</v>
      </c>
      <c r="I34" s="33" t="str">
        <f>'Necesidades Trimestrales'!F32</f>
        <v>UNIDAD</v>
      </c>
      <c r="J34" s="104">
        <f>'Necesidades Trimestrales'!H32</f>
        <v>589.4</v>
      </c>
      <c r="K34" s="34">
        <f>'Necesidades Trimestrales'!G32</f>
        <v>15</v>
      </c>
    </row>
    <row r="35" spans="1:14" ht="27.75" customHeight="1" thickBot="1" x14ac:dyDescent="0.25">
      <c r="A35" s="30">
        <v>24</v>
      </c>
      <c r="B35" s="48"/>
      <c r="C35" s="111" t="str">
        <f>'Necesidades Trimestrales'!E33</f>
        <v>CANULA PARA TRAQUEOSTOMIA Nº 8</v>
      </c>
      <c r="D35" s="111"/>
      <c r="E35" s="111"/>
      <c r="F35" s="111"/>
      <c r="G35" s="111"/>
      <c r="H35" s="47" t="s">
        <v>54</v>
      </c>
      <c r="I35" s="33" t="str">
        <f>'Necesidades Trimestrales'!F33</f>
        <v>UNIDAD</v>
      </c>
      <c r="J35" s="104">
        <f>'Necesidades Trimestrales'!H33</f>
        <v>589.4</v>
      </c>
      <c r="K35" s="34">
        <f>'Necesidades Trimestrales'!G33</f>
        <v>15</v>
      </c>
    </row>
    <row r="36" spans="1:14" ht="27.75" customHeight="1" thickBot="1" x14ac:dyDescent="0.25">
      <c r="A36" s="30">
        <v>25</v>
      </c>
      <c r="B36" s="48"/>
      <c r="C36" s="111" t="str">
        <f>'Necesidades Trimestrales'!E34</f>
        <v>CANULA PARA TRAQUEOTOMIA N° 9</v>
      </c>
      <c r="D36" s="111"/>
      <c r="E36" s="111"/>
      <c r="F36" s="111"/>
      <c r="G36" s="111"/>
      <c r="H36" s="47" t="s">
        <v>54</v>
      </c>
      <c r="I36" s="33" t="str">
        <f>'Necesidades Trimestrales'!F34</f>
        <v>UNIDAD</v>
      </c>
      <c r="J36" s="104">
        <f>'Necesidades Trimestrales'!H34</f>
        <v>589.4</v>
      </c>
      <c r="K36" s="34">
        <f>'Necesidades Trimestrales'!G34</f>
        <v>15</v>
      </c>
    </row>
    <row r="37" spans="1:14" ht="27.75" customHeight="1" thickBot="1" x14ac:dyDescent="0.25">
      <c r="A37" s="30">
        <v>26</v>
      </c>
      <c r="B37" s="48"/>
      <c r="C37" s="111" t="str">
        <f>'Necesidades Trimestrales'!E35</f>
        <v>CIRCUITO ANESTESIA EXTENSIBLE ADULTO AUTOCLAVABLE</v>
      </c>
      <c r="D37" s="111"/>
      <c r="E37" s="111"/>
      <c r="F37" s="111"/>
      <c r="G37" s="111"/>
      <c r="H37" s="47" t="s">
        <v>54</v>
      </c>
      <c r="I37" s="33" t="str">
        <f>'Necesidades Trimestrales'!F35</f>
        <v>UNIDAD</v>
      </c>
      <c r="J37" s="104">
        <f>'Necesidades Trimestrales'!H35</f>
        <v>6400</v>
      </c>
      <c r="K37" s="34">
        <f>'Necesidades Trimestrales'!G35</f>
        <v>100</v>
      </c>
    </row>
    <row r="38" spans="1:14" ht="27.75" customHeight="1" thickBot="1" x14ac:dyDescent="0.25">
      <c r="A38" s="30">
        <v>27</v>
      </c>
      <c r="B38" s="48"/>
      <c r="C38" s="111" t="str">
        <f>'Necesidades Trimestrales'!E36</f>
        <v>CIRCUITO ANESTESIA EXTENSIBLE ADULTO DESCARTABLE</v>
      </c>
      <c r="D38" s="111"/>
      <c r="E38" s="111"/>
      <c r="F38" s="111"/>
      <c r="G38" s="111"/>
      <c r="H38" s="47" t="s">
        <v>54</v>
      </c>
      <c r="I38" s="33" t="str">
        <f>'Necesidades Trimestrales'!F36</f>
        <v>UNIDAD</v>
      </c>
      <c r="J38" s="104">
        <f>'Necesidades Trimestrales'!H36</f>
        <v>510</v>
      </c>
      <c r="K38" s="34">
        <f>'Necesidades Trimestrales'!G36</f>
        <v>800</v>
      </c>
    </row>
    <row r="39" spans="1:14" ht="27.75" customHeight="1" thickBot="1" x14ac:dyDescent="0.25">
      <c r="A39" s="30">
        <v>28</v>
      </c>
      <c r="B39" s="48"/>
      <c r="C39" s="111" t="str">
        <f>'Necesidades Trimestrales'!E37</f>
        <v>CIRCUITO ANESTESIA EXTENSIBLE NEONATAL AUTOCLAVABLE</v>
      </c>
      <c r="D39" s="111"/>
      <c r="E39" s="111"/>
      <c r="F39" s="111"/>
      <c r="G39" s="111"/>
      <c r="H39" s="47" t="s">
        <v>54</v>
      </c>
      <c r="I39" s="33" t="str">
        <f>'Necesidades Trimestrales'!F37</f>
        <v>UNIDAD</v>
      </c>
      <c r="J39" s="104">
        <f>'Necesidades Trimestrales'!H37</f>
        <v>6400</v>
      </c>
      <c r="K39" s="34">
        <f>'Necesidades Trimestrales'!G37</f>
        <v>100</v>
      </c>
    </row>
    <row r="40" spans="1:14" ht="27.75" customHeight="1" thickBot="1" x14ac:dyDescent="0.25">
      <c r="A40" s="30">
        <v>29</v>
      </c>
      <c r="B40" s="48"/>
      <c r="C40" s="111" t="str">
        <f>'Necesidades Trimestrales'!E38</f>
        <v>CIRCUITO ANESTESIA EXTENSIBLE NEONATAL DESCARTABLE</v>
      </c>
      <c r="D40" s="111"/>
      <c r="E40" s="111"/>
      <c r="F40" s="111"/>
      <c r="G40" s="111"/>
      <c r="H40" s="47" t="s">
        <v>54</v>
      </c>
      <c r="I40" s="33" t="str">
        <f>'Necesidades Trimestrales'!F38</f>
        <v>UNIDAD</v>
      </c>
      <c r="J40" s="104">
        <f>'Necesidades Trimestrales'!H38</f>
        <v>510</v>
      </c>
      <c r="K40" s="34">
        <f>'Necesidades Trimestrales'!G38</f>
        <v>800</v>
      </c>
    </row>
    <row r="41" spans="1:14" ht="27.75" customHeight="1" thickBot="1" x14ac:dyDescent="0.25">
      <c r="A41" s="30">
        <v>30</v>
      </c>
      <c r="B41" s="48"/>
      <c r="C41" s="111" t="str">
        <f>'Necesidades Trimestrales'!E39</f>
        <v>CIRCUITO ANESTESIA EXTENSIBLE PEDIATRICO AUTOCLAVABLE</v>
      </c>
      <c r="D41" s="111"/>
      <c r="E41" s="111"/>
      <c r="F41" s="111"/>
      <c r="G41" s="111"/>
      <c r="H41" s="47" t="s">
        <v>54</v>
      </c>
      <c r="I41" s="33" t="str">
        <f>'Necesidades Trimestrales'!F39</f>
        <v>UNIDAD</v>
      </c>
      <c r="J41" s="104">
        <f>'Necesidades Trimestrales'!H39</f>
        <v>6400</v>
      </c>
      <c r="K41" s="34">
        <f>'Necesidades Trimestrales'!G39</f>
        <v>150</v>
      </c>
    </row>
    <row r="42" spans="1:14" ht="27.75" customHeight="1" thickBot="1" x14ac:dyDescent="0.25">
      <c r="A42" s="30">
        <v>31</v>
      </c>
      <c r="B42" s="48"/>
      <c r="C42" s="111" t="str">
        <f>'Necesidades Trimestrales'!E40</f>
        <v>CIRCUITO ANESTESIA EXTENSIBLE PEDIATRICO DESCARTABLE</v>
      </c>
      <c r="D42" s="111"/>
      <c r="E42" s="111"/>
      <c r="F42" s="111"/>
      <c r="G42" s="111"/>
      <c r="H42" s="47" t="s">
        <v>54</v>
      </c>
      <c r="I42" s="33" t="str">
        <f>'Necesidades Trimestrales'!F40</f>
        <v>UNIDAD</v>
      </c>
      <c r="J42" s="104">
        <f>'Necesidades Trimestrales'!H40</f>
        <v>510</v>
      </c>
      <c r="K42" s="34">
        <f>'Necesidades Trimestrales'!G40</f>
        <v>800</v>
      </c>
    </row>
    <row r="43" spans="1:14" ht="27.75" customHeight="1" thickBot="1" x14ac:dyDescent="0.25">
      <c r="A43" s="30">
        <v>32</v>
      </c>
      <c r="B43" s="48"/>
      <c r="C43" s="111" t="str">
        <f>'Necesidades Trimestrales'!E41</f>
        <v>CIRCUITO CERRADO P/ASPIRACION 10 FR</v>
      </c>
      <c r="D43" s="111"/>
      <c r="E43" s="111"/>
      <c r="F43" s="111"/>
      <c r="G43" s="111"/>
      <c r="H43" s="47" t="s">
        <v>54</v>
      </c>
      <c r="I43" s="33" t="str">
        <f>'Necesidades Trimestrales'!F41</f>
        <v>UNIDAD</v>
      </c>
      <c r="J43" s="104">
        <f>'Necesidades Trimestrales'!H41</f>
        <v>1200</v>
      </c>
      <c r="K43" s="34">
        <f>'Necesidades Trimestrales'!G41</f>
        <v>23</v>
      </c>
    </row>
    <row r="44" spans="1:14" ht="27.75" customHeight="1" thickBot="1" x14ac:dyDescent="0.25">
      <c r="A44" s="30">
        <v>33</v>
      </c>
      <c r="B44" s="48"/>
      <c r="C44" s="111" t="str">
        <f>'Necesidades Trimestrales'!E42</f>
        <v>CIRCUITO CERRADO P/ASPIRACION 12 FR</v>
      </c>
      <c r="D44" s="111"/>
      <c r="E44" s="111"/>
      <c r="F44" s="111"/>
      <c r="G44" s="111"/>
      <c r="H44" s="47" t="s">
        <v>54</v>
      </c>
      <c r="I44" s="33" t="str">
        <f>'Necesidades Trimestrales'!F42</f>
        <v>UNIDAD</v>
      </c>
      <c r="J44" s="104">
        <f>'Necesidades Trimestrales'!H42</f>
        <v>1200</v>
      </c>
      <c r="K44" s="34">
        <f>'Necesidades Trimestrales'!G42</f>
        <v>23</v>
      </c>
    </row>
    <row r="45" spans="1:14" ht="27.75" customHeight="1" thickBot="1" x14ac:dyDescent="0.25">
      <c r="A45" s="30">
        <v>34</v>
      </c>
      <c r="B45" s="48"/>
      <c r="C45" s="111" t="str">
        <f>'Necesidades Trimestrales'!E43</f>
        <v>CIRCUITO CERRADO P/ASPIRACION 14 FR</v>
      </c>
      <c r="D45" s="111"/>
      <c r="E45" s="111"/>
      <c r="F45" s="111"/>
      <c r="G45" s="111"/>
      <c r="H45" s="47" t="s">
        <v>54</v>
      </c>
      <c r="I45" s="33" t="str">
        <f>'Necesidades Trimestrales'!F43</f>
        <v>UNIDAD</v>
      </c>
      <c r="J45" s="104">
        <f>'Necesidades Trimestrales'!H43</f>
        <v>1200</v>
      </c>
      <c r="K45" s="34">
        <f>'Necesidades Trimestrales'!G43</f>
        <v>23</v>
      </c>
    </row>
    <row r="46" spans="1:14" ht="27.75" customHeight="1" thickBot="1" x14ac:dyDescent="0.25">
      <c r="A46" s="30">
        <v>35</v>
      </c>
      <c r="B46" s="48"/>
      <c r="C46" s="111" t="str">
        <f>'Necesidades Trimestrales'!E44</f>
        <v>CIRCUITO CERRADO P/ASPIRACION 16 FR</v>
      </c>
      <c r="D46" s="111"/>
      <c r="E46" s="111"/>
      <c r="F46" s="111"/>
      <c r="G46" s="111"/>
      <c r="H46" s="47" t="s">
        <v>54</v>
      </c>
      <c r="I46" s="33" t="str">
        <f>'Necesidades Trimestrales'!F44</f>
        <v>UNIDAD</v>
      </c>
      <c r="J46" s="104">
        <f>'Necesidades Trimestrales'!H44</f>
        <v>1200</v>
      </c>
      <c r="K46" s="34">
        <f>'Necesidades Trimestrales'!G44</f>
        <v>23</v>
      </c>
    </row>
    <row r="47" spans="1:14" ht="27.75" customHeight="1" thickBot="1" x14ac:dyDescent="0.25">
      <c r="A47" s="30">
        <v>36</v>
      </c>
      <c r="B47" s="48"/>
      <c r="C47" s="111" t="str">
        <f>'Necesidades Trimestrales'!E45</f>
        <v>CIRCUITO CERRADO P/ASPIRACION 6 FR</v>
      </c>
      <c r="D47" s="111"/>
      <c r="E47" s="111"/>
      <c r="F47" s="111"/>
      <c r="G47" s="111"/>
      <c r="H47" s="47" t="s">
        <v>54</v>
      </c>
      <c r="I47" s="33" t="str">
        <f>'Necesidades Trimestrales'!F45</f>
        <v>UNIDAD</v>
      </c>
      <c r="J47" s="104">
        <f>'Necesidades Trimestrales'!H45</f>
        <v>1200</v>
      </c>
      <c r="K47" s="34">
        <f>'Necesidades Trimestrales'!G45</f>
        <v>23</v>
      </c>
      <c r="N47" s="24" t="s">
        <v>55</v>
      </c>
    </row>
    <row r="48" spans="1:14" ht="27.75" customHeight="1" thickBot="1" x14ac:dyDescent="0.25">
      <c r="A48" s="30">
        <v>37</v>
      </c>
      <c r="B48" s="48"/>
      <c r="C48" s="111" t="str">
        <f>'Necesidades Trimestrales'!E46</f>
        <v>CIRCUITO CERRADO P/ASPIRACION 7 FR</v>
      </c>
      <c r="D48" s="111"/>
      <c r="E48" s="111"/>
      <c r="F48" s="111"/>
      <c r="G48" s="111"/>
      <c r="H48" s="47" t="s">
        <v>54</v>
      </c>
      <c r="I48" s="33" t="str">
        <f>'Necesidades Trimestrales'!F46</f>
        <v>UNIDAD</v>
      </c>
      <c r="J48" s="104">
        <f>'Necesidades Trimestrales'!H46</f>
        <v>1200</v>
      </c>
      <c r="K48" s="34">
        <f>'Necesidades Trimestrales'!G46</f>
        <v>23</v>
      </c>
    </row>
    <row r="49" spans="1:11" ht="27.75" customHeight="1" thickBot="1" x14ac:dyDescent="0.25">
      <c r="A49" s="30">
        <v>38</v>
      </c>
      <c r="B49" s="48"/>
      <c r="C49" s="111" t="str">
        <f>'Necesidades Trimestrales'!E47</f>
        <v>CIRCUITO CERRADO P/ASPIRACION 8 FR</v>
      </c>
      <c r="D49" s="111"/>
      <c r="E49" s="111"/>
      <c r="F49" s="111"/>
      <c r="G49" s="111"/>
      <c r="H49" s="47" t="s">
        <v>54</v>
      </c>
      <c r="I49" s="33" t="str">
        <f>'Necesidades Trimestrales'!F47</f>
        <v>UNIDAD</v>
      </c>
      <c r="J49" s="104">
        <f>'Necesidades Trimestrales'!H47</f>
        <v>1200</v>
      </c>
      <c r="K49" s="34">
        <f>'Necesidades Trimestrales'!G47</f>
        <v>32</v>
      </c>
    </row>
    <row r="50" spans="1:11" ht="27.75" customHeight="1" thickBot="1" x14ac:dyDescent="0.25">
      <c r="A50" s="30">
        <v>39</v>
      </c>
      <c r="B50" s="48"/>
      <c r="C50" s="111" t="str">
        <f>'Necesidades Trimestrales'!E48</f>
        <v>CIRCUITO PARA ALTO FLUJO TIPO  FISHER PAYKEL PEDIATRICO/ADULTO  AIRVO</v>
      </c>
      <c r="D50" s="111"/>
      <c r="E50" s="111"/>
      <c r="F50" s="111"/>
      <c r="G50" s="111"/>
      <c r="H50" s="47" t="s">
        <v>54</v>
      </c>
      <c r="I50" s="33" t="str">
        <f>'Necesidades Trimestrales'!F48</f>
        <v>UNIDAD</v>
      </c>
      <c r="J50" s="104">
        <f>'Necesidades Trimestrales'!H48</f>
        <v>18750</v>
      </c>
      <c r="K50" s="34">
        <f>'Necesidades Trimestrales'!G48</f>
        <v>42</v>
      </c>
    </row>
    <row r="51" spans="1:11" ht="27.75" customHeight="1" thickBot="1" x14ac:dyDescent="0.25">
      <c r="A51" s="30">
        <v>40</v>
      </c>
      <c r="B51" s="48"/>
      <c r="C51" s="111" t="str">
        <f>'Necesidades Trimestrales'!E49</f>
        <v>CIRCUITO PARA ALTO FLUJO TIPO  HUMIDOFLO  PEDIATRICO/ADULTO</v>
      </c>
      <c r="D51" s="111"/>
      <c r="E51" s="111"/>
      <c r="F51" s="111"/>
      <c r="G51" s="111"/>
      <c r="H51" s="47" t="s">
        <v>54</v>
      </c>
      <c r="I51" s="33" t="str">
        <f>'Necesidades Trimestrales'!F49</f>
        <v>UNIDAD</v>
      </c>
      <c r="J51" s="104">
        <f>'Necesidades Trimestrales'!H49</f>
        <v>6700</v>
      </c>
      <c r="K51" s="34">
        <f>'Necesidades Trimestrales'!G49</f>
        <v>15</v>
      </c>
    </row>
    <row r="52" spans="1:11" ht="27.75" customHeight="1" thickBot="1" x14ac:dyDescent="0.25">
      <c r="A52" s="30">
        <v>41</v>
      </c>
      <c r="B52" s="48"/>
      <c r="C52" s="111" t="str">
        <f>'Necesidades Trimestrales'!E50</f>
        <v>CIRCUITO RESPIRADOR CON TRAMPA DE AGUA AUTOCLAVABLE ADULTO</v>
      </c>
      <c r="D52" s="111"/>
      <c r="E52" s="111"/>
      <c r="F52" s="111"/>
      <c r="G52" s="111"/>
      <c r="H52" s="47" t="s">
        <v>54</v>
      </c>
      <c r="I52" s="33" t="str">
        <f>'Necesidades Trimestrales'!F50</f>
        <v>UNIDAD</v>
      </c>
      <c r="J52" s="104">
        <f>'Necesidades Trimestrales'!H50</f>
        <v>16100</v>
      </c>
      <c r="K52" s="34">
        <f>'Necesidades Trimestrales'!G50</f>
        <v>10</v>
      </c>
    </row>
    <row r="53" spans="1:11" ht="27.75" customHeight="1" thickBot="1" x14ac:dyDescent="0.25">
      <c r="A53" s="30">
        <v>42</v>
      </c>
      <c r="B53" s="48"/>
      <c r="C53" s="111" t="str">
        <f>'Necesidades Trimestrales'!E51</f>
        <v>CIRCUITO RESPIRADOR CON TRAMPA DE AGUA AUTOCLAVABLE PEDIATRICO</v>
      </c>
      <c r="D53" s="111"/>
      <c r="E53" s="111"/>
      <c r="F53" s="111"/>
      <c r="G53" s="111"/>
      <c r="H53" s="47" t="s">
        <v>54</v>
      </c>
      <c r="I53" s="33" t="str">
        <f>'Necesidades Trimestrales'!F51</f>
        <v>UNIDAD</v>
      </c>
      <c r="J53" s="104">
        <f>'Necesidades Trimestrales'!H51</f>
        <v>18000</v>
      </c>
      <c r="K53" s="34">
        <f>'Necesidades Trimestrales'!G51</f>
        <v>10</v>
      </c>
    </row>
    <row r="54" spans="1:11" ht="27.75" customHeight="1" thickBot="1" x14ac:dyDescent="0.25">
      <c r="A54" s="30">
        <v>43</v>
      </c>
      <c r="B54" s="48"/>
      <c r="C54" s="111" t="str">
        <f>'Necesidades Trimestrales'!E52</f>
        <v>CIRCUITO RESPIRADOR CON TRAMPA DE AGUA DESCARTABLE ADULTO</v>
      </c>
      <c r="D54" s="111"/>
      <c r="E54" s="111"/>
      <c r="F54" s="111"/>
      <c r="G54" s="111"/>
      <c r="H54" s="47" t="s">
        <v>54</v>
      </c>
      <c r="I54" s="33" t="str">
        <f>'Necesidades Trimestrales'!F52</f>
        <v>UNIDAD</v>
      </c>
      <c r="J54" s="104">
        <f>'Necesidades Trimestrales'!H52</f>
        <v>1870</v>
      </c>
      <c r="K54" s="34">
        <f>'Necesidades Trimestrales'!G52</f>
        <v>65</v>
      </c>
    </row>
    <row r="55" spans="1:11" ht="27.75" customHeight="1" thickBot="1" x14ac:dyDescent="0.25">
      <c r="A55" s="30">
        <v>44</v>
      </c>
      <c r="B55" s="48"/>
      <c r="C55" s="111" t="str">
        <f>'Necesidades Trimestrales'!E53</f>
        <v>CIRCUITO RESPIRADOR CON TRAMPA DE AGUA DESCARTABLE PEDIATRICO</v>
      </c>
      <c r="D55" s="111"/>
      <c r="E55" s="111"/>
      <c r="F55" s="111"/>
      <c r="G55" s="111"/>
      <c r="H55" s="47" t="s">
        <v>54</v>
      </c>
      <c r="I55" s="33" t="str">
        <f>'Necesidades Trimestrales'!F53</f>
        <v>UNIDAD</v>
      </c>
      <c r="J55" s="104">
        <f>'Necesidades Trimestrales'!H53</f>
        <v>1877</v>
      </c>
      <c r="K55" s="34">
        <f>'Necesidades Trimestrales'!G53</f>
        <v>260</v>
      </c>
    </row>
    <row r="56" spans="1:11" ht="27.75" customHeight="1" thickBot="1" x14ac:dyDescent="0.25">
      <c r="A56" s="30">
        <v>45</v>
      </c>
      <c r="B56" s="48"/>
      <c r="C56" s="111" t="str">
        <f>'Necesidades Trimestrales'!E54</f>
        <v xml:space="preserve">CLORHEXIDINA 4% JABON X 500 ML CON VALVULA DISPENSADORA </v>
      </c>
      <c r="D56" s="111"/>
      <c r="E56" s="111"/>
      <c r="F56" s="111"/>
      <c r="G56" s="111"/>
      <c r="H56" s="47" t="s">
        <v>54</v>
      </c>
      <c r="I56" s="33" t="str">
        <f>'Necesidades Trimestrales'!F54</f>
        <v>UNIDAD</v>
      </c>
      <c r="J56" s="104">
        <f>'Necesidades Trimestrales'!H54</f>
        <v>466.8</v>
      </c>
      <c r="K56" s="34">
        <f>'Necesidades Trimestrales'!G54</f>
        <v>650</v>
      </c>
    </row>
    <row r="57" spans="1:11" ht="27.75" customHeight="1" thickBot="1" x14ac:dyDescent="0.25">
      <c r="A57" s="30">
        <v>46</v>
      </c>
      <c r="B57" s="48"/>
      <c r="C57" s="111" t="str">
        <f>'Necesidades Trimestrales'!E55</f>
        <v>COFIAS PLIZADAS CON AJUSTE ELASTIZADO</v>
      </c>
      <c r="D57" s="111"/>
      <c r="E57" s="111"/>
      <c r="F57" s="111"/>
      <c r="G57" s="111"/>
      <c r="H57" s="47" t="s">
        <v>54</v>
      </c>
      <c r="I57" s="33" t="str">
        <f>'Necesidades Trimestrales'!F55</f>
        <v>UNIDAD</v>
      </c>
      <c r="J57" s="104">
        <f>'Necesidades Trimestrales'!H55</f>
        <v>7.55</v>
      </c>
      <c r="K57" s="34">
        <f>'Necesidades Trimestrales'!G55</f>
        <v>6400</v>
      </c>
    </row>
    <row r="58" spans="1:11" ht="27.75" customHeight="1" thickBot="1" x14ac:dyDescent="0.25">
      <c r="A58" s="30">
        <v>47</v>
      </c>
      <c r="B58" s="48"/>
      <c r="C58" s="111" t="str">
        <f>'Necesidades Trimestrales'!E56</f>
        <v>DETERGENTE TRES ENZIMAS ( LIPASA, AMILASA,PROTEASA ) BIDON X 5 LITROS</v>
      </c>
      <c r="D58" s="111"/>
      <c r="E58" s="111"/>
      <c r="F58" s="111"/>
      <c r="G58" s="111"/>
      <c r="H58" s="47" t="s">
        <v>54</v>
      </c>
      <c r="I58" s="33" t="str">
        <f>'Necesidades Trimestrales'!F56</f>
        <v>UNIDAD</v>
      </c>
      <c r="J58" s="104">
        <f>'Necesidades Trimestrales'!H56</f>
        <v>3966.38</v>
      </c>
      <c r="K58" s="34">
        <f>'Necesidades Trimestrales'!G56</f>
        <v>35</v>
      </c>
    </row>
    <row r="59" spans="1:11" ht="27.75" customHeight="1" thickBot="1" x14ac:dyDescent="0.25">
      <c r="A59" s="30">
        <v>48</v>
      </c>
      <c r="B59" s="48"/>
      <c r="C59" s="111" t="str">
        <f>'Necesidades Trimestrales'!E57</f>
        <v xml:space="preserve">FILTRO HME ADULTO HIGROBAC INTERCAMBIADOR CALOR/HUMEDAD </v>
      </c>
      <c r="D59" s="111"/>
      <c r="E59" s="111"/>
      <c r="F59" s="111"/>
      <c r="G59" s="111"/>
      <c r="H59" s="47" t="s">
        <v>54</v>
      </c>
      <c r="I59" s="33" t="str">
        <f>'Necesidades Trimestrales'!F57</f>
        <v>UNIDAD</v>
      </c>
      <c r="J59" s="104">
        <f>'Necesidades Trimestrales'!H57</f>
        <v>180</v>
      </c>
      <c r="K59" s="34">
        <f>'Necesidades Trimestrales'!G57</f>
        <v>1400</v>
      </c>
    </row>
    <row r="60" spans="1:11" ht="27.75" customHeight="1" thickBot="1" x14ac:dyDescent="0.25">
      <c r="A60" s="30">
        <v>49</v>
      </c>
      <c r="B60" s="48"/>
      <c r="C60" s="111" t="str">
        <f>'Necesidades Trimestrales'!E58</f>
        <v>FILTRO HME BACTERIAL VIRAL PARA CIRCUITO RESPIRADOR</v>
      </c>
      <c r="D60" s="111"/>
      <c r="E60" s="111"/>
      <c r="F60" s="111"/>
      <c r="G60" s="111"/>
      <c r="H60" s="47" t="s">
        <v>54</v>
      </c>
      <c r="I60" s="33" t="str">
        <f>'Necesidades Trimestrales'!F58</f>
        <v>UNIDAD</v>
      </c>
      <c r="J60" s="104">
        <f>'Necesidades Trimestrales'!H58</f>
        <v>160</v>
      </c>
      <c r="K60" s="34">
        <f>'Necesidades Trimestrales'!G58</f>
        <v>1500</v>
      </c>
    </row>
    <row r="61" spans="1:11" ht="27.75" customHeight="1" thickBot="1" x14ac:dyDescent="0.25">
      <c r="A61" s="30">
        <v>50</v>
      </c>
      <c r="B61" s="48"/>
      <c r="C61" s="111" t="str">
        <f>'Necesidades Trimestrales'!E59</f>
        <v>GUANTES DE CIRUGIA ESTERIL N° 7 1/2 PAR NITRILO CAÑA LARGA</v>
      </c>
      <c r="D61" s="111"/>
      <c r="E61" s="111"/>
      <c r="F61" s="111"/>
      <c r="G61" s="111"/>
      <c r="H61" s="47" t="s">
        <v>54</v>
      </c>
      <c r="I61" s="33" t="str">
        <f>'Necesidades Trimestrales'!F59</f>
        <v>UNIDAD</v>
      </c>
      <c r="J61" s="104">
        <f>'Necesidades Trimestrales'!H59</f>
        <v>31</v>
      </c>
      <c r="K61" s="34">
        <f>'Necesidades Trimestrales'!G59</f>
        <v>1500</v>
      </c>
    </row>
    <row r="62" spans="1:11" ht="27.75" customHeight="1" thickBot="1" x14ac:dyDescent="0.25">
      <c r="A62" s="30">
        <v>51</v>
      </c>
      <c r="B62" s="48"/>
      <c r="C62" s="111" t="str">
        <f>'Necesidades Trimestrales'!E60</f>
        <v>GUANTES DE CIRUGIA ESTERIL Nº 6 1/2 PAR. ANATOMICOS . CAÑA LARGA SIN TALCO</v>
      </c>
      <c r="D62" s="111"/>
      <c r="E62" s="111"/>
      <c r="F62" s="111"/>
      <c r="G62" s="111"/>
      <c r="H62" s="47" t="s">
        <v>54</v>
      </c>
      <c r="I62" s="33" t="str">
        <f>'Necesidades Trimestrales'!F60</f>
        <v>UNIDAD</v>
      </c>
      <c r="J62" s="104">
        <f>'Necesidades Trimestrales'!H60</f>
        <v>31</v>
      </c>
      <c r="K62" s="34">
        <f>'Necesidades Trimestrales'!G60</f>
        <v>4000</v>
      </c>
    </row>
    <row r="63" spans="1:11" ht="27.75" customHeight="1" thickBot="1" x14ac:dyDescent="0.25">
      <c r="A63" s="30">
        <v>52</v>
      </c>
      <c r="B63" s="48"/>
      <c r="C63" s="111" t="str">
        <f>'Necesidades Trimestrales'!E61</f>
        <v>GUANTES DE CIRUGIA ESTERIL Nº 7  PAR. ANATOMICOS . CAÑA LARGA SIN TALCO</v>
      </c>
      <c r="D63" s="111"/>
      <c r="E63" s="111"/>
      <c r="F63" s="111"/>
      <c r="G63" s="111"/>
      <c r="H63" s="47" t="s">
        <v>54</v>
      </c>
      <c r="I63" s="33" t="str">
        <f>'Necesidades Trimestrales'!F61</f>
        <v>UNIDAD</v>
      </c>
      <c r="J63" s="104">
        <f>'Necesidades Trimestrales'!H61</f>
        <v>31</v>
      </c>
      <c r="K63" s="34">
        <f>'Necesidades Trimestrales'!G61</f>
        <v>5500</v>
      </c>
    </row>
    <row r="64" spans="1:11" ht="27.75" customHeight="1" thickBot="1" x14ac:dyDescent="0.25">
      <c r="A64" s="30">
        <v>53</v>
      </c>
      <c r="B64" s="48"/>
      <c r="C64" s="111" t="str">
        <f>'Necesidades Trimestrales'!E62</f>
        <v>GUANTES DE CIRUGIA ESTERIL Nº 7 1/2 PAR.  ANATOMICOS . CAÑA LARGA SIN TALCO</v>
      </c>
      <c r="D64" s="111"/>
      <c r="E64" s="111"/>
      <c r="F64" s="111"/>
      <c r="G64" s="111"/>
      <c r="H64" s="47" t="s">
        <v>54</v>
      </c>
      <c r="I64" s="33" t="str">
        <f>'Necesidades Trimestrales'!F62</f>
        <v>UNIDAD</v>
      </c>
      <c r="J64" s="104">
        <f>'Necesidades Trimestrales'!H62</f>
        <v>31</v>
      </c>
      <c r="K64" s="34">
        <f>'Necesidades Trimestrales'!G62</f>
        <v>5500</v>
      </c>
    </row>
    <row r="65" spans="1:11" ht="27.75" customHeight="1" thickBot="1" x14ac:dyDescent="0.25">
      <c r="A65" s="30">
        <v>54</v>
      </c>
      <c r="B65" s="48"/>
      <c r="C65" s="111" t="str">
        <f>'Necesidades Trimestrales'!E63</f>
        <v>GUANTES DE CIRUGIA ESTERIL Nº 8 PAR.  ANATOMICOS . CAÑA LARGA SIN TALCO</v>
      </c>
      <c r="D65" s="111"/>
      <c r="E65" s="111"/>
      <c r="F65" s="111"/>
      <c r="G65" s="111"/>
      <c r="H65" s="47" t="s">
        <v>54</v>
      </c>
      <c r="I65" s="33" t="str">
        <f>'Necesidades Trimestrales'!F63</f>
        <v>UNIDAD</v>
      </c>
      <c r="J65" s="104">
        <f>'Necesidades Trimestrales'!H63</f>
        <v>31</v>
      </c>
      <c r="K65" s="34">
        <f>'Necesidades Trimestrales'!G63</f>
        <v>2800</v>
      </c>
    </row>
    <row r="66" spans="1:11" ht="27.75" customHeight="1" thickBot="1" x14ac:dyDescent="0.25">
      <c r="A66" s="30">
        <v>55</v>
      </c>
      <c r="B66" s="48"/>
      <c r="C66" s="111" t="str">
        <f>'Necesidades Trimestrales'!E64</f>
        <v>GUANTES DE CIRUGIA ESTERIL Nº 81/2 PAR. ANATOMICOS . CAÑA LARGA SIN TALCO</v>
      </c>
      <c r="D66" s="111"/>
      <c r="E66" s="111"/>
      <c r="F66" s="111"/>
      <c r="G66" s="111"/>
      <c r="H66" s="47" t="s">
        <v>54</v>
      </c>
      <c r="I66" s="33" t="str">
        <f>'Necesidades Trimestrales'!F64</f>
        <v>UNIDAD</v>
      </c>
      <c r="J66" s="104">
        <f>'Necesidades Trimestrales'!H64</f>
        <v>31</v>
      </c>
      <c r="K66" s="34">
        <f>'Necesidades Trimestrales'!G64</f>
        <v>800</v>
      </c>
    </row>
    <row r="67" spans="1:11" ht="27.75" customHeight="1" thickBot="1" x14ac:dyDescent="0.25">
      <c r="A67" s="30">
        <v>56</v>
      </c>
      <c r="B67" s="48"/>
      <c r="C67" s="111" t="str">
        <f>'Necesidades Trimestrales'!E65</f>
        <v>GUANTES DE EXAMINACION TAMAÑO L X 100</v>
      </c>
      <c r="D67" s="111"/>
      <c r="E67" s="111"/>
      <c r="F67" s="111"/>
      <c r="G67" s="111"/>
      <c r="H67" s="47" t="s">
        <v>54</v>
      </c>
      <c r="I67" s="33" t="str">
        <f>'Necesidades Trimestrales'!F65</f>
        <v>UNIDAD</v>
      </c>
      <c r="J67" s="104">
        <f>'Necesidades Trimestrales'!H65</f>
        <v>990</v>
      </c>
      <c r="K67" s="34">
        <f>'Necesidades Trimestrales'!G65</f>
        <v>1000</v>
      </c>
    </row>
    <row r="68" spans="1:11" ht="27.75" customHeight="1" thickBot="1" x14ac:dyDescent="0.25">
      <c r="A68" s="30">
        <v>57</v>
      </c>
      <c r="B68" s="48"/>
      <c r="C68" s="111" t="str">
        <f>'Necesidades Trimestrales'!E66</f>
        <v>GUANTES DE EXAMINACION TAMAÑO M X 100</v>
      </c>
      <c r="D68" s="111"/>
      <c r="E68" s="111"/>
      <c r="F68" s="111"/>
      <c r="G68" s="111"/>
      <c r="H68" s="47" t="s">
        <v>54</v>
      </c>
      <c r="I68" s="33" t="str">
        <f>'Necesidades Trimestrales'!F66</f>
        <v>UNIDAD</v>
      </c>
      <c r="J68" s="104">
        <f>'Necesidades Trimestrales'!H66</f>
        <v>990</v>
      </c>
      <c r="K68" s="34">
        <f>'Necesidades Trimestrales'!G66</f>
        <v>1400</v>
      </c>
    </row>
    <row r="69" spans="1:11" ht="27.75" customHeight="1" thickBot="1" x14ac:dyDescent="0.25">
      <c r="A69" s="30">
        <v>58</v>
      </c>
      <c r="B69" s="46"/>
      <c r="C69" s="111" t="str">
        <f>'Necesidades Trimestrales'!E67</f>
        <v>GUANTES DE EXAMINACON TAMAÑO S X 100</v>
      </c>
      <c r="D69" s="111"/>
      <c r="E69" s="111"/>
      <c r="F69" s="111"/>
      <c r="G69" s="111"/>
      <c r="H69" s="47" t="s">
        <v>54</v>
      </c>
      <c r="I69" s="33" t="str">
        <f>'Necesidades Trimestrales'!F67</f>
        <v>UNIDAD</v>
      </c>
      <c r="J69" s="104">
        <f>'Necesidades Trimestrales'!H67</f>
        <v>990</v>
      </c>
      <c r="K69" s="34">
        <f>'Necesidades Trimestrales'!G67</f>
        <v>1400</v>
      </c>
    </row>
    <row r="70" spans="1:11" ht="27.75" customHeight="1" thickBot="1" x14ac:dyDescent="0.25">
      <c r="A70" s="30">
        <v>59</v>
      </c>
      <c r="B70" s="46"/>
      <c r="C70" s="111" t="str">
        <f>'Necesidades Trimestrales'!E68</f>
        <v>GUANTES DE VINILO TAMAÑO L X 100</v>
      </c>
      <c r="D70" s="111"/>
      <c r="E70" s="111"/>
      <c r="F70" s="111"/>
      <c r="G70" s="111"/>
      <c r="H70" s="47" t="s">
        <v>54</v>
      </c>
      <c r="I70" s="33" t="str">
        <f>'Necesidades Trimestrales'!F68</f>
        <v>UNIDAD</v>
      </c>
      <c r="J70" s="104">
        <f>'Necesidades Trimestrales'!H68</f>
        <v>890</v>
      </c>
      <c r="K70" s="34">
        <f>'Necesidades Trimestrales'!G68</f>
        <v>70</v>
      </c>
    </row>
    <row r="71" spans="1:11" ht="27.75" customHeight="1" thickBot="1" x14ac:dyDescent="0.25">
      <c r="A71" s="30">
        <v>60</v>
      </c>
      <c r="B71" s="48"/>
      <c r="C71" s="111" t="str">
        <f>'Necesidades Trimestrales'!E69</f>
        <v>GUANTES DE VINILO TAMAÑO M X 100</v>
      </c>
      <c r="D71" s="111"/>
      <c r="E71" s="111"/>
      <c r="F71" s="111"/>
      <c r="G71" s="111"/>
      <c r="H71" s="47" t="s">
        <v>54</v>
      </c>
      <c r="I71" s="33" t="str">
        <f>'Necesidades Trimestrales'!F69</f>
        <v>UNIDAD</v>
      </c>
      <c r="J71" s="104">
        <f>'Necesidades Trimestrales'!H69</f>
        <v>890</v>
      </c>
      <c r="K71" s="34">
        <f>'Necesidades Trimestrales'!G69</f>
        <v>70</v>
      </c>
    </row>
    <row r="72" spans="1:11" ht="27.75" customHeight="1" thickBot="1" x14ac:dyDescent="0.25">
      <c r="A72" s="30">
        <v>61</v>
      </c>
      <c r="B72" s="48"/>
      <c r="C72" s="111" t="str">
        <f>'Necesidades Trimestrales'!E70</f>
        <v>KIT DESCARTABLE CAMISOLIN 50 GRS + COFIA + BOTAS PAR</v>
      </c>
      <c r="D72" s="111"/>
      <c r="E72" s="111"/>
      <c r="F72" s="111"/>
      <c r="G72" s="111"/>
      <c r="H72" s="47" t="s">
        <v>54</v>
      </c>
      <c r="I72" s="33" t="str">
        <f>'Necesidades Trimestrales'!F70</f>
        <v>UNIDAD</v>
      </c>
      <c r="J72" s="104">
        <f>'Necesidades Trimestrales'!H70</f>
        <v>230</v>
      </c>
      <c r="K72" s="34">
        <f>'Necesidades Trimestrales'!G70</f>
        <v>7000</v>
      </c>
    </row>
    <row r="73" spans="1:11" ht="27.75" customHeight="1" thickBot="1" x14ac:dyDescent="0.25">
      <c r="A73" s="30">
        <v>62</v>
      </c>
      <c r="B73" s="48"/>
      <c r="C73" s="111" t="str">
        <f>'Necesidades Trimestrales'!E71</f>
        <v>LLAVE DE TRES VIAS</v>
      </c>
      <c r="D73" s="111"/>
      <c r="E73" s="111"/>
      <c r="F73" s="111"/>
      <c r="G73" s="111"/>
      <c r="H73" s="47" t="s">
        <v>54</v>
      </c>
      <c r="I73" s="33" t="str">
        <f>'Necesidades Trimestrales'!F71</f>
        <v>UNIDAD</v>
      </c>
      <c r="J73" s="104">
        <f>'Necesidades Trimestrales'!H71</f>
        <v>24.55</v>
      </c>
      <c r="K73" s="34">
        <f>'Necesidades Trimestrales'!G71</f>
        <v>4000</v>
      </c>
    </row>
    <row r="74" spans="1:11" ht="27.75" customHeight="1" thickBot="1" x14ac:dyDescent="0.25">
      <c r="A74" s="30">
        <v>63</v>
      </c>
      <c r="B74" s="48"/>
      <c r="C74" s="111" t="str">
        <f>'Necesidades Trimestrales'!E72</f>
        <v>MAMELUCO LAMINADO TALLE XXL</v>
      </c>
      <c r="D74" s="111"/>
      <c r="E74" s="111"/>
      <c r="F74" s="111"/>
      <c r="G74" s="111"/>
      <c r="H74" s="47" t="s">
        <v>54</v>
      </c>
      <c r="I74" s="33" t="str">
        <f>'Necesidades Trimestrales'!F72</f>
        <v>UNIDAD</v>
      </c>
      <c r="J74" s="104">
        <f>'Necesidades Trimestrales'!H72</f>
        <v>1050</v>
      </c>
      <c r="K74" s="34">
        <f>'Necesidades Trimestrales'!G72</f>
        <v>100</v>
      </c>
    </row>
    <row r="75" spans="1:11" ht="27.75" customHeight="1" thickBot="1" x14ac:dyDescent="0.25">
      <c r="A75" s="30">
        <v>64</v>
      </c>
      <c r="B75" s="48"/>
      <c r="C75" s="111" t="str">
        <f>'Necesidades Trimestrales'!E73</f>
        <v>MASCARA CON BOLSA RESERVORIO</v>
      </c>
      <c r="D75" s="111"/>
      <c r="E75" s="111"/>
      <c r="F75" s="111"/>
      <c r="G75" s="111"/>
      <c r="H75" s="47" t="s">
        <v>54</v>
      </c>
      <c r="I75" s="33" t="str">
        <f>'Necesidades Trimestrales'!F73</f>
        <v>UNIDAD</v>
      </c>
      <c r="J75" s="104">
        <f>'Necesidades Trimestrales'!H73</f>
        <v>357</v>
      </c>
      <c r="K75" s="34">
        <f>'Necesidades Trimestrales'!G73</f>
        <v>1400</v>
      </c>
    </row>
    <row r="76" spans="1:11" ht="27.75" customHeight="1" thickBot="1" x14ac:dyDescent="0.25">
      <c r="A76" s="30">
        <v>65</v>
      </c>
      <c r="B76" s="48"/>
      <c r="C76" s="111" t="str">
        <f>'Necesidades Trimestrales'!E74</f>
        <v>MASCARA DE OXIGENO CON REGULADORES</v>
      </c>
      <c r="D76" s="111"/>
      <c r="E76" s="111"/>
      <c r="F76" s="111"/>
      <c r="G76" s="111"/>
      <c r="H76" s="47" t="s">
        <v>54</v>
      </c>
      <c r="I76" s="33" t="str">
        <f>'Necesidades Trimestrales'!F74</f>
        <v>UNIDAD</v>
      </c>
      <c r="J76" s="104">
        <f>'Necesidades Trimestrales'!H74</f>
        <v>187.2</v>
      </c>
      <c r="K76" s="34">
        <f>'Necesidades Trimestrales'!G74</f>
        <v>150</v>
      </c>
    </row>
    <row r="77" spans="1:11" ht="27.75" customHeight="1" thickBot="1" x14ac:dyDescent="0.25">
      <c r="A77" s="30">
        <v>66</v>
      </c>
      <c r="B77" s="48"/>
      <c r="C77" s="111" t="str">
        <f>'Necesidades Trimestrales'!E75</f>
        <v>MASCARA PARA NEBULIZAR ADULTO COMPLETA MASCARA+PIPETA+TUBULADURA</v>
      </c>
      <c r="D77" s="111"/>
      <c r="E77" s="111"/>
      <c r="F77" s="111"/>
      <c r="G77" s="111"/>
      <c r="H77" s="47" t="s">
        <v>54</v>
      </c>
      <c r="I77" s="33" t="str">
        <f>'Necesidades Trimestrales'!F75</f>
        <v>UNIDAD</v>
      </c>
      <c r="J77" s="104">
        <f>'Necesidades Trimestrales'!H75</f>
        <v>325</v>
      </c>
      <c r="K77" s="34">
        <f>'Necesidades Trimestrales'!G75</f>
        <v>135</v>
      </c>
    </row>
    <row r="78" spans="1:11" ht="27.75" customHeight="1" thickBot="1" x14ac:dyDescent="0.25">
      <c r="A78" s="30">
        <v>67</v>
      </c>
      <c r="B78" s="48"/>
      <c r="C78" s="111" t="str">
        <f>'Necesidades Trimestrales'!E76</f>
        <v>MASCARA PARA NEBULIZAR PEDIATRICA COMPLETA MASCARA+PIPETA+TUBULADURA</v>
      </c>
      <c r="D78" s="111"/>
      <c r="E78" s="111"/>
      <c r="F78" s="111"/>
      <c r="G78" s="111"/>
      <c r="H78" s="47" t="s">
        <v>54</v>
      </c>
      <c r="I78" s="33" t="str">
        <f>'Necesidades Trimestrales'!F76</f>
        <v>UNIDAD</v>
      </c>
      <c r="J78" s="104">
        <f>'Necesidades Trimestrales'!H76</f>
        <v>130</v>
      </c>
      <c r="K78" s="34">
        <f>'Necesidades Trimestrales'!G76</f>
        <v>500</v>
      </c>
    </row>
    <row r="79" spans="1:11" ht="27.75" customHeight="1" thickBot="1" x14ac:dyDescent="0.25">
      <c r="A79" s="30">
        <v>68</v>
      </c>
      <c r="B79" s="48"/>
      <c r="C79" s="111" t="str">
        <f>'Necesidades Trimestrales'!E77</f>
        <v>MASCARA PERFOMAX TOTAL FACE  TALLE G PARA VNI</v>
      </c>
      <c r="D79" s="111"/>
      <c r="E79" s="111"/>
      <c r="F79" s="111"/>
      <c r="G79" s="111"/>
      <c r="H79" s="47" t="s">
        <v>54</v>
      </c>
      <c r="I79" s="33" t="str">
        <f>'Necesidades Trimestrales'!F77</f>
        <v>UNIDAD</v>
      </c>
      <c r="J79" s="104">
        <f>'Necesidades Trimestrales'!H77</f>
        <v>29900</v>
      </c>
      <c r="K79" s="34">
        <f>'Necesidades Trimestrales'!G77</f>
        <v>3</v>
      </c>
    </row>
    <row r="80" spans="1:11" ht="27.75" customHeight="1" thickBot="1" x14ac:dyDescent="0.25">
      <c r="A80" s="30">
        <v>69</v>
      </c>
      <c r="B80" s="48"/>
      <c r="C80" s="111" t="str">
        <f>'Necesidades Trimestrales'!E78</f>
        <v>MASCARA PERFOMAX TOTAL FACE  TALLE XG PARA VNI</v>
      </c>
      <c r="D80" s="111"/>
      <c r="E80" s="111"/>
      <c r="F80" s="111"/>
      <c r="G80" s="111"/>
      <c r="H80" s="47" t="s">
        <v>54</v>
      </c>
      <c r="I80" s="33" t="str">
        <f>'Necesidades Trimestrales'!F78</f>
        <v>UNIDAD</v>
      </c>
      <c r="J80" s="104">
        <f>'Necesidades Trimestrales'!H78</f>
        <v>29900</v>
      </c>
      <c r="K80" s="34">
        <f>'Necesidades Trimestrales'!G78</f>
        <v>3</v>
      </c>
    </row>
    <row r="81" spans="1:14" ht="27.75" customHeight="1" thickBot="1" x14ac:dyDescent="0.25">
      <c r="A81" s="30">
        <v>70</v>
      </c>
      <c r="B81" s="48"/>
      <c r="C81" s="111" t="str">
        <f>'Necesidades Trimestrales'!E79</f>
        <v>MONOPERSUFATO DE POTASIO DESINFECTANTE DE SUPERFICIE SOBRE PARA PREPARAR UN LITRO DE SOLUCION TIPO LT8</v>
      </c>
      <c r="D81" s="111"/>
      <c r="E81" s="111"/>
      <c r="F81" s="111"/>
      <c r="G81" s="111"/>
      <c r="H81" s="47" t="s">
        <v>54</v>
      </c>
      <c r="I81" s="33" t="str">
        <f>'Necesidades Trimestrales'!F79</f>
        <v>UNIDAD</v>
      </c>
      <c r="J81" s="104">
        <f>'Necesidades Trimestrales'!H79</f>
        <v>160</v>
      </c>
      <c r="K81" s="34">
        <f>'Necesidades Trimestrales'!G79</f>
        <v>900</v>
      </c>
    </row>
    <row r="82" spans="1:14" ht="27.75" customHeight="1" thickBot="1" x14ac:dyDescent="0.25">
      <c r="A82" s="30">
        <v>71</v>
      </c>
      <c r="B82" s="48"/>
      <c r="C82" s="111" t="str">
        <f>'Necesidades Trimestrales'!E80</f>
        <v xml:space="preserve">OXIMETRO DE PULSO </v>
      </c>
      <c r="D82" s="111"/>
      <c r="E82" s="111"/>
      <c r="F82" s="111"/>
      <c r="G82" s="111"/>
      <c r="H82" s="47" t="s">
        <v>54</v>
      </c>
      <c r="I82" s="33" t="str">
        <f>'Necesidades Trimestrales'!F80</f>
        <v>UNIDAD</v>
      </c>
      <c r="J82" s="104">
        <f>'Necesidades Trimestrales'!H80</f>
        <v>2900</v>
      </c>
      <c r="K82" s="34">
        <f>'Necesidades Trimestrales'!G80</f>
        <v>100</v>
      </c>
    </row>
    <row r="83" spans="1:14" ht="27.75" customHeight="1" thickBot="1" x14ac:dyDescent="0.25">
      <c r="A83" s="30">
        <v>72</v>
      </c>
      <c r="B83" s="48"/>
      <c r="C83" s="111" t="str">
        <f>'Necesidades Trimestrales'!E81</f>
        <v>SENSOR ADULTO DESCARTABLE TIPO NELLCOR COVIDIEN X 12</v>
      </c>
      <c r="D83" s="111"/>
      <c r="E83" s="111"/>
      <c r="F83" s="111"/>
      <c r="G83" s="111"/>
      <c r="H83" s="47" t="s">
        <v>54</v>
      </c>
      <c r="I83" s="33" t="str">
        <f>'Necesidades Trimestrales'!F81</f>
        <v>UNIDAD</v>
      </c>
      <c r="J83" s="104">
        <f>'Necesidades Trimestrales'!H81</f>
        <v>7200</v>
      </c>
      <c r="K83" s="34">
        <f>'Necesidades Trimestrales'!G81</f>
        <v>150</v>
      </c>
    </row>
    <row r="84" spans="1:14" ht="27.75" customHeight="1" thickBot="1" x14ac:dyDescent="0.25">
      <c r="A84" s="30">
        <v>73</v>
      </c>
      <c r="B84" s="48"/>
      <c r="C84" s="111" t="str">
        <f>'Necesidades Trimestrales'!E82</f>
        <v xml:space="preserve">SENSOR NEONATAL DESCARTABLE TIPO NELLCOR COVIDIEN X 12 </v>
      </c>
      <c r="D84" s="111"/>
      <c r="E84" s="111"/>
      <c r="F84" s="111"/>
      <c r="G84" s="111"/>
      <c r="H84" s="47" t="s">
        <v>54</v>
      </c>
      <c r="I84" s="33" t="str">
        <f>'Necesidades Trimestrales'!F82</f>
        <v>UNIDAD</v>
      </c>
      <c r="J84" s="104">
        <f>'Necesidades Trimestrales'!H82</f>
        <v>6500</v>
      </c>
      <c r="K84" s="34">
        <f>'Necesidades Trimestrales'!G82</f>
        <v>160</v>
      </c>
    </row>
    <row r="85" spans="1:14" ht="27.75" customHeight="1" thickBot="1" x14ac:dyDescent="0.25">
      <c r="A85" s="30">
        <v>74</v>
      </c>
      <c r="B85" s="48"/>
      <c r="C85" s="111" t="str">
        <f>'Necesidades Trimestrales'!E83</f>
        <v>SENSOR P/SATUROMETRIA PEDIATRICO REUTILIZABLE 04-15KG T/PHILIPS</v>
      </c>
      <c r="D85" s="111"/>
      <c r="E85" s="111"/>
      <c r="F85" s="111"/>
      <c r="G85" s="111"/>
      <c r="H85" s="47" t="s">
        <v>54</v>
      </c>
      <c r="I85" s="33" t="str">
        <f>'Necesidades Trimestrales'!F83</f>
        <v>UNIDAD</v>
      </c>
      <c r="J85" s="104">
        <f>'Necesidades Trimestrales'!H83</f>
        <v>1940</v>
      </c>
      <c r="K85" s="34">
        <f>'Necesidades Trimestrales'!G83</f>
        <v>40</v>
      </c>
    </row>
    <row r="86" spans="1:14" ht="27.75" customHeight="1" thickBot="1" x14ac:dyDescent="0.25">
      <c r="A86" s="30">
        <v>75</v>
      </c>
      <c r="B86" s="48"/>
      <c r="C86" s="111" t="str">
        <f>'Necesidades Trimestrales'!E84</f>
        <v>SENSOR P/SATUROMETRIA PEDIATRICO REUTILIZABLE 15-50KG T/PHILIPS</v>
      </c>
      <c r="D86" s="111"/>
      <c r="E86" s="111"/>
      <c r="F86" s="111"/>
      <c r="G86" s="111"/>
      <c r="H86" s="47" t="s">
        <v>54</v>
      </c>
      <c r="I86" s="33" t="str">
        <f>'Necesidades Trimestrales'!F84</f>
        <v>UNIDAD</v>
      </c>
      <c r="J86" s="104">
        <f>'Necesidades Trimestrales'!H84</f>
        <v>1940</v>
      </c>
      <c r="K86" s="34">
        <f>'Necesidades Trimestrales'!G84</f>
        <v>40</v>
      </c>
      <c r="N86" s="24" t="s">
        <v>55</v>
      </c>
    </row>
    <row r="87" spans="1:14" ht="27.75" customHeight="1" thickBot="1" x14ac:dyDescent="0.25">
      <c r="A87" s="30">
        <v>76</v>
      </c>
      <c r="B87" s="48"/>
      <c r="C87" s="111" t="str">
        <f>'Necesidades Trimestrales'!E85</f>
        <v>SET DE VIA CENTRAL DOBLE LUMEN 4  FRENCH  /30 CM 22/22 G TIPO ARROW</v>
      </c>
      <c r="D87" s="111"/>
      <c r="E87" s="111"/>
      <c r="F87" s="111"/>
      <c r="G87" s="111"/>
      <c r="H87" s="47" t="s">
        <v>54</v>
      </c>
      <c r="I87" s="33" t="str">
        <f>'Necesidades Trimestrales'!F85</f>
        <v>UNIDAD</v>
      </c>
      <c r="J87" s="104">
        <f>'Necesidades Trimestrales'!H85</f>
        <v>12275</v>
      </c>
      <c r="K87" s="34">
        <f>'Necesidades Trimestrales'!G85</f>
        <v>75</v>
      </c>
    </row>
    <row r="88" spans="1:14" ht="27.75" customHeight="1" thickBot="1" x14ac:dyDescent="0.25">
      <c r="A88" s="30">
        <v>77</v>
      </c>
      <c r="B88" s="48"/>
      <c r="C88" s="111" t="str">
        <f>'Necesidades Trimestrales'!E86</f>
        <v>SET DE VIA CENTRAL DOBLE LUMEN 7 FRENCH TIPO ARROW</v>
      </c>
      <c r="D88" s="111"/>
      <c r="E88" s="111"/>
      <c r="F88" s="111"/>
      <c r="G88" s="111"/>
      <c r="H88" s="47" t="s">
        <v>54</v>
      </c>
      <c r="I88" s="33" t="str">
        <f>'Necesidades Trimestrales'!F86</f>
        <v>UNIDAD</v>
      </c>
      <c r="J88" s="104">
        <f>'Necesidades Trimestrales'!H86</f>
        <v>4556</v>
      </c>
      <c r="K88" s="34">
        <f>'Necesidades Trimestrales'!G86</f>
        <v>65</v>
      </c>
    </row>
    <row r="89" spans="1:14" ht="27.75" customHeight="1" thickBot="1" x14ac:dyDescent="0.25">
      <c r="A89" s="30">
        <v>78</v>
      </c>
      <c r="B89" s="48"/>
      <c r="C89" s="111" t="str">
        <f>'Necesidades Trimestrales'!E87</f>
        <v>SET DE VIA CENTRAL SIMPLE LUMEN 3  FRENCH   TIPO ARROW</v>
      </c>
      <c r="D89" s="111"/>
      <c r="E89" s="111"/>
      <c r="F89" s="111"/>
      <c r="G89" s="111"/>
      <c r="H89" s="47" t="s">
        <v>54</v>
      </c>
      <c r="I89" s="33" t="str">
        <f>'Necesidades Trimestrales'!F87</f>
        <v>UNIDAD</v>
      </c>
      <c r="J89" s="104">
        <f>'Necesidades Trimestrales'!H87</f>
        <v>2499</v>
      </c>
      <c r="K89" s="34">
        <f>'Necesidades Trimestrales'!G87</f>
        <v>7</v>
      </c>
    </row>
    <row r="90" spans="1:14" ht="27.75" customHeight="1" thickBot="1" x14ac:dyDescent="0.25">
      <c r="A90" s="30">
        <v>79</v>
      </c>
      <c r="B90" s="48"/>
      <c r="C90" s="111" t="str">
        <f>'Necesidades Trimestrales'!E88</f>
        <v>SET.P/CATET.VENA CENTRAL 5 FR/13 CM 2 LUM.20/18G T</v>
      </c>
      <c r="D90" s="111"/>
      <c r="E90" s="111"/>
      <c r="F90" s="111"/>
      <c r="G90" s="111"/>
      <c r="H90" s="47" t="s">
        <v>54</v>
      </c>
      <c r="I90" s="33" t="str">
        <f>'Necesidades Trimestrales'!F88</f>
        <v>UNIDAD</v>
      </c>
      <c r="J90" s="104">
        <f>'Necesidades Trimestrales'!H88</f>
        <v>4555</v>
      </c>
      <c r="K90" s="34">
        <f>'Necesidades Trimestrales'!G88</f>
        <v>65</v>
      </c>
    </row>
    <row r="91" spans="1:14" ht="27.75" customHeight="1" thickBot="1" x14ac:dyDescent="0.25">
      <c r="A91" s="30">
        <v>80</v>
      </c>
      <c r="B91" s="48"/>
      <c r="C91" s="111" t="str">
        <f>'Necesidades Trimestrales'!E89</f>
        <v>SET.P/CATET.VENA CENTRAL 5 FR/20 CM 2 LUM.</v>
      </c>
      <c r="D91" s="111"/>
      <c r="E91" s="111"/>
      <c r="F91" s="111"/>
      <c r="G91" s="111"/>
      <c r="H91" s="47" t="s">
        <v>54</v>
      </c>
      <c r="I91" s="33" t="str">
        <f>'Necesidades Trimestrales'!F89</f>
        <v>UNIDAD</v>
      </c>
      <c r="J91" s="104">
        <f>'Necesidades Trimestrales'!H89</f>
        <v>4555</v>
      </c>
      <c r="K91" s="34">
        <f>'Necesidades Trimestrales'!G89</f>
        <v>7</v>
      </c>
    </row>
    <row r="92" spans="1:14" ht="27.75" customHeight="1" thickBot="1" x14ac:dyDescent="0.25">
      <c r="A92" s="30">
        <v>81</v>
      </c>
      <c r="B92" s="48"/>
      <c r="C92" s="111" t="str">
        <f>'Necesidades Trimestrales'!E90</f>
        <v>SET.P/CATET.VENA CENTRAL 5 FR/30 CM 2 LUM.</v>
      </c>
      <c r="D92" s="111"/>
      <c r="E92" s="111"/>
      <c r="F92" s="111"/>
      <c r="G92" s="111"/>
      <c r="H92" s="47" t="s">
        <v>54</v>
      </c>
      <c r="I92" s="33" t="str">
        <f>'Necesidades Trimestrales'!F90</f>
        <v>UNIDAD</v>
      </c>
      <c r="J92" s="104">
        <f>'Necesidades Trimestrales'!H90</f>
        <v>5450</v>
      </c>
      <c r="K92" s="34">
        <f>'Necesidades Trimestrales'!G90</f>
        <v>65</v>
      </c>
    </row>
    <row r="93" spans="1:14" ht="27.75" customHeight="1" thickBot="1" x14ac:dyDescent="0.25">
      <c r="A93" s="30">
        <v>82</v>
      </c>
      <c r="B93" s="48"/>
      <c r="C93" s="111" t="str">
        <f>'Necesidades Trimestrales'!E91</f>
        <v>SONDA P/ASP.MUCUS C/REG.2,3 MM X 7 FR K-26P</v>
      </c>
      <c r="D93" s="111"/>
      <c r="E93" s="111"/>
      <c r="F93" s="111"/>
      <c r="G93" s="111"/>
      <c r="H93" s="47" t="s">
        <v>54</v>
      </c>
      <c r="I93" s="33" t="str">
        <f>'Necesidades Trimestrales'!F91</f>
        <v>UNIDAD</v>
      </c>
      <c r="J93" s="104">
        <f>'Necesidades Trimestrales'!H91</f>
        <v>36</v>
      </c>
      <c r="K93" s="34">
        <f>'Necesidades Trimestrales'!G91</f>
        <v>5500</v>
      </c>
    </row>
    <row r="94" spans="1:14" ht="27.75" customHeight="1" thickBot="1" x14ac:dyDescent="0.25">
      <c r="A94" s="30">
        <v>83</v>
      </c>
      <c r="B94" s="48"/>
      <c r="C94" s="111" t="str">
        <f>'Necesidades Trimestrales'!E92</f>
        <v>SONDA P/ASP.MUCUS C/REG.2,7 MM X 8 FR K-28P</v>
      </c>
      <c r="D94" s="111"/>
      <c r="E94" s="111"/>
      <c r="F94" s="111"/>
      <c r="G94" s="111"/>
      <c r="H94" s="47" t="s">
        <v>54</v>
      </c>
      <c r="I94" s="33" t="str">
        <f>'Necesidades Trimestrales'!F92</f>
        <v>UNIDAD</v>
      </c>
      <c r="J94" s="104">
        <f>'Necesidades Trimestrales'!H92</f>
        <v>35</v>
      </c>
      <c r="K94" s="34">
        <f>'Necesidades Trimestrales'!G92</f>
        <v>5500</v>
      </c>
    </row>
    <row r="95" spans="1:14" ht="27.75" customHeight="1" thickBot="1" x14ac:dyDescent="0.25">
      <c r="A95" s="30">
        <v>84</v>
      </c>
      <c r="B95" s="48"/>
      <c r="C95" s="111" t="str">
        <f>'Necesidades Trimestrales'!E93</f>
        <v>SONDA PARA ASPIRACION MUCUS K29P CON REGULADOR</v>
      </c>
      <c r="D95" s="111"/>
      <c r="E95" s="111"/>
      <c r="F95" s="111"/>
      <c r="G95" s="111"/>
      <c r="H95" s="47" t="s">
        <v>54</v>
      </c>
      <c r="I95" s="33" t="str">
        <f>'Necesidades Trimestrales'!F93</f>
        <v>UNIDAD</v>
      </c>
      <c r="J95" s="104">
        <f>'Necesidades Trimestrales'!H93</f>
        <v>37.950000000000003</v>
      </c>
      <c r="K95" s="34">
        <f>'Necesidades Trimestrales'!G93</f>
        <v>1300</v>
      </c>
    </row>
    <row r="96" spans="1:14" ht="27.75" customHeight="1" thickBot="1" x14ac:dyDescent="0.25">
      <c r="A96" s="30">
        <v>85</v>
      </c>
      <c r="B96" s="48"/>
      <c r="C96" s="111" t="str">
        <f>'Necesidades Trimestrales'!E94</f>
        <v>SONDA PARA ASPIRACION MUCUS K30P CON REGULADOR</v>
      </c>
      <c r="D96" s="111"/>
      <c r="E96" s="111"/>
      <c r="F96" s="111"/>
      <c r="G96" s="111"/>
      <c r="H96" s="47" t="s">
        <v>54</v>
      </c>
      <c r="I96" s="33" t="str">
        <f>'Necesidades Trimestrales'!F94</f>
        <v>UNIDAD</v>
      </c>
      <c r="J96" s="104">
        <f>'Necesidades Trimestrales'!H94</f>
        <v>33.67</v>
      </c>
      <c r="K96" s="34">
        <f>'Necesidades Trimestrales'!G94</f>
        <v>250</v>
      </c>
    </row>
    <row r="97" spans="1:11" ht="27.75" customHeight="1" thickBot="1" x14ac:dyDescent="0.25">
      <c r="A97" s="30">
        <v>86</v>
      </c>
      <c r="B97" s="48"/>
      <c r="C97" s="111" t="str">
        <f>'Necesidades Trimestrales'!E95</f>
        <v>SONDA PARA ASPIRACION MUCUS K31P CON REGULADOR</v>
      </c>
      <c r="D97" s="111"/>
      <c r="E97" s="111"/>
      <c r="F97" s="111"/>
      <c r="G97" s="111"/>
      <c r="H97" s="47" t="s">
        <v>54</v>
      </c>
      <c r="I97" s="33" t="str">
        <f>'Necesidades Trimestrales'!F95</f>
        <v>UNIDAD</v>
      </c>
      <c r="J97" s="104">
        <f>'Necesidades Trimestrales'!H95</f>
        <v>32.56</v>
      </c>
      <c r="K97" s="34">
        <f>'Necesidades Trimestrales'!G95</f>
        <v>250</v>
      </c>
    </row>
    <row r="98" spans="1:11" ht="27.75" customHeight="1" thickBot="1" x14ac:dyDescent="0.25">
      <c r="A98" s="30">
        <v>87</v>
      </c>
      <c r="B98" s="48"/>
      <c r="C98" s="111" t="str">
        <f>'Necesidades Trimestrales'!E96</f>
        <v>SONDA PARA ASPIRACION MUCUS K33P CON REGULADOR</v>
      </c>
      <c r="D98" s="111"/>
      <c r="E98" s="111"/>
      <c r="F98" s="111"/>
      <c r="G98" s="111"/>
      <c r="H98" s="47" t="s">
        <v>54</v>
      </c>
      <c r="I98" s="33" t="str">
        <f>'Necesidades Trimestrales'!F96</f>
        <v>UNIDAD</v>
      </c>
      <c r="J98" s="104">
        <f>'Necesidades Trimestrales'!H96</f>
        <v>31.77</v>
      </c>
      <c r="K98" s="34">
        <f>'Necesidades Trimestrales'!G96</f>
        <v>250</v>
      </c>
    </row>
    <row r="99" spans="1:11" ht="27.75" customHeight="1" thickBot="1" x14ac:dyDescent="0.25">
      <c r="A99" s="30">
        <v>88</v>
      </c>
      <c r="B99" s="48"/>
      <c r="C99" s="111" t="str">
        <f>'Necesidades Trimestrales'!E97</f>
        <v>SONDA PARA ASPIRACION MUCUS K35P CON REGULADOR</v>
      </c>
      <c r="D99" s="111"/>
      <c r="E99" s="111"/>
      <c r="F99" s="111"/>
      <c r="G99" s="111"/>
      <c r="H99" s="47" t="s">
        <v>54</v>
      </c>
      <c r="I99" s="33" t="str">
        <f>'Necesidades Trimestrales'!F97</f>
        <v>UNIDAD</v>
      </c>
      <c r="J99" s="104">
        <f>'Necesidades Trimestrales'!H97</f>
        <v>35.43</v>
      </c>
      <c r="K99" s="34">
        <f>'Necesidades Trimestrales'!G97</f>
        <v>250</v>
      </c>
    </row>
    <row r="100" spans="1:11" ht="27.75" customHeight="1" thickBot="1" x14ac:dyDescent="0.25">
      <c r="A100" s="30">
        <v>89</v>
      </c>
      <c r="B100" s="48"/>
      <c r="C100" s="111" t="str">
        <f>'Necesidades Trimestrales'!E98</f>
        <v>SONDA PARA MUESTRA DE SECRECION TRAQUEAL B-2941 TIPO TUBO DE LUKEN</v>
      </c>
      <c r="D100" s="111"/>
      <c r="E100" s="111"/>
      <c r="F100" s="111"/>
      <c r="G100" s="111"/>
      <c r="H100" s="47" t="s">
        <v>54</v>
      </c>
      <c r="I100" s="33" t="str">
        <f>'Necesidades Trimestrales'!F98</f>
        <v>UNIDAD</v>
      </c>
      <c r="J100" s="104">
        <f>'Necesidades Trimestrales'!H98</f>
        <v>734</v>
      </c>
      <c r="K100" s="34">
        <f>'Necesidades Trimestrales'!G98</f>
        <v>40</v>
      </c>
    </row>
    <row r="101" spans="1:11" ht="27.75" customHeight="1" thickBot="1" x14ac:dyDescent="0.25">
      <c r="A101" s="30">
        <v>90</v>
      </c>
      <c r="B101" s="48"/>
      <c r="C101" s="111" t="str">
        <f>'Necesidades Trimestrales'!E99</f>
        <v>TERMOMETRO DIGITAL</v>
      </c>
      <c r="D101" s="111"/>
      <c r="E101" s="111"/>
      <c r="F101" s="111"/>
      <c r="G101" s="111"/>
      <c r="H101" s="47" t="s">
        <v>54</v>
      </c>
      <c r="I101" s="33" t="str">
        <f>'Necesidades Trimestrales'!F99</f>
        <v>UNIDAD</v>
      </c>
      <c r="J101" s="104">
        <f>'Necesidades Trimestrales'!H99</f>
        <v>350</v>
      </c>
      <c r="K101" s="34">
        <f>'Necesidades Trimestrales'!G99</f>
        <v>400</v>
      </c>
    </row>
    <row r="102" spans="1:11" ht="27.75" customHeight="1" thickBot="1" x14ac:dyDescent="0.25">
      <c r="A102" s="30">
        <v>91</v>
      </c>
      <c r="B102" s="48"/>
      <c r="C102" s="111" t="str">
        <f>'Necesidades Trimestrales'!E100</f>
        <v>TUBO ENDOTRAQUEAL CON BALON Nº 3</v>
      </c>
      <c r="D102" s="111"/>
      <c r="E102" s="111"/>
      <c r="F102" s="111"/>
      <c r="G102" s="111"/>
      <c r="H102" s="47" t="s">
        <v>54</v>
      </c>
      <c r="I102" s="33" t="str">
        <f>'Necesidades Trimestrales'!F100</f>
        <v>UNIDAD</v>
      </c>
      <c r="J102" s="104">
        <f>'Necesidades Trimestrales'!H100</f>
        <v>115</v>
      </c>
      <c r="K102" s="34">
        <f>'Necesidades Trimestrales'!G100</f>
        <v>130</v>
      </c>
    </row>
    <row r="103" spans="1:11" ht="27.75" customHeight="1" thickBot="1" x14ac:dyDescent="0.25">
      <c r="A103" s="30">
        <v>92</v>
      </c>
      <c r="B103" s="48"/>
      <c r="C103" s="111" t="str">
        <f>'Necesidades Trimestrales'!E101</f>
        <v>TUBO ENDOTRAQUEAL CON BALON Nº 3.5</v>
      </c>
      <c r="D103" s="111"/>
      <c r="E103" s="111"/>
      <c r="F103" s="111"/>
      <c r="G103" s="111"/>
      <c r="H103" s="47" t="s">
        <v>54</v>
      </c>
      <c r="I103" s="33" t="str">
        <f>'Necesidades Trimestrales'!F101</f>
        <v>UNIDAD</v>
      </c>
      <c r="J103" s="104">
        <f>'Necesidades Trimestrales'!H101</f>
        <v>115</v>
      </c>
      <c r="K103" s="34">
        <f>'Necesidades Trimestrales'!G101</f>
        <v>130</v>
      </c>
    </row>
    <row r="104" spans="1:11" ht="27.75" customHeight="1" thickBot="1" x14ac:dyDescent="0.25">
      <c r="A104" s="30">
        <v>93</v>
      </c>
      <c r="B104" s="48"/>
      <c r="C104" s="111" t="str">
        <f>'Necesidades Trimestrales'!E102</f>
        <v>TUBO ENDOTRAQUEAL CON BALON Nº 7</v>
      </c>
      <c r="D104" s="111"/>
      <c r="E104" s="111"/>
      <c r="F104" s="111"/>
      <c r="G104" s="111"/>
      <c r="H104" s="47" t="s">
        <v>54</v>
      </c>
      <c r="I104" s="33" t="str">
        <f>'Necesidades Trimestrales'!F102</f>
        <v>UNIDAD</v>
      </c>
      <c r="J104" s="104">
        <f>'Necesidades Trimestrales'!H102</f>
        <v>115</v>
      </c>
      <c r="K104" s="34">
        <f>'Necesidades Trimestrales'!G102</f>
        <v>65</v>
      </c>
    </row>
    <row r="105" spans="1:11" ht="27.75" customHeight="1" thickBot="1" x14ac:dyDescent="0.25">
      <c r="A105" s="30">
        <v>94</v>
      </c>
      <c r="B105" s="48"/>
      <c r="C105" s="111" t="str">
        <f>'Necesidades Trimestrales'!E103</f>
        <v>TUBO ENDOTRAQUEAL CON BALON Nº 71/2</v>
      </c>
      <c r="D105" s="111"/>
      <c r="E105" s="111"/>
      <c r="F105" s="111"/>
      <c r="G105" s="111"/>
      <c r="H105" s="47" t="s">
        <v>54</v>
      </c>
      <c r="I105" s="33" t="str">
        <f>'Necesidades Trimestrales'!F103</f>
        <v>UNIDAD</v>
      </c>
      <c r="J105" s="104">
        <f>'Necesidades Trimestrales'!H103</f>
        <v>115</v>
      </c>
      <c r="K105" s="34">
        <f>'Necesidades Trimestrales'!G103</f>
        <v>65</v>
      </c>
    </row>
    <row r="106" spans="1:11" ht="27.75" customHeight="1" thickBot="1" x14ac:dyDescent="0.25">
      <c r="A106" s="30">
        <v>95</v>
      </c>
      <c r="B106" s="48"/>
      <c r="C106" s="111" t="str">
        <f>'Necesidades Trimestrales'!E104</f>
        <v>TUBO ENDOTRAQUEAL CON BALON Nº 8</v>
      </c>
      <c r="D106" s="111"/>
      <c r="E106" s="111"/>
      <c r="F106" s="111"/>
      <c r="G106" s="111"/>
      <c r="H106" s="47" t="s">
        <v>54</v>
      </c>
      <c r="I106" s="33" t="str">
        <f>'Necesidades Trimestrales'!F104</f>
        <v>UNIDAD</v>
      </c>
      <c r="J106" s="104">
        <f>'Necesidades Trimestrales'!H104</f>
        <v>115</v>
      </c>
      <c r="K106" s="34">
        <f>'Necesidades Trimestrales'!G104</f>
        <v>65</v>
      </c>
    </row>
    <row r="107" spans="1:11" ht="27.75" customHeight="1" thickBot="1" x14ac:dyDescent="0.25">
      <c r="A107" s="30">
        <v>96</v>
      </c>
      <c r="B107" s="48"/>
      <c r="C107" s="111" t="str">
        <f>'Necesidades Trimestrales'!E105</f>
        <v>TUBO ENDOTRAQUEAL CON BALON Nº 81/2</v>
      </c>
      <c r="D107" s="111"/>
      <c r="E107" s="111"/>
      <c r="F107" s="111"/>
      <c r="G107" s="111"/>
      <c r="H107" s="47" t="s">
        <v>54</v>
      </c>
      <c r="I107" s="33" t="str">
        <f>'Necesidades Trimestrales'!F105</f>
        <v>UNIDAD</v>
      </c>
      <c r="J107" s="104">
        <f>'Necesidades Trimestrales'!H105</f>
        <v>115</v>
      </c>
      <c r="K107" s="34">
        <f>'Necesidades Trimestrales'!G105</f>
        <v>65</v>
      </c>
    </row>
    <row r="108" spans="1:11" ht="27.75" customHeight="1" thickBot="1" x14ac:dyDescent="0.25">
      <c r="A108" s="30">
        <v>97</v>
      </c>
      <c r="B108" s="48"/>
      <c r="C108" s="111" t="str">
        <f>'Necesidades Trimestrales'!E106</f>
        <v>TUBO ENDOTRAQUEAL Nº 4 CON BALON</v>
      </c>
      <c r="D108" s="111"/>
      <c r="E108" s="111"/>
      <c r="F108" s="111"/>
      <c r="G108" s="111"/>
      <c r="H108" s="47" t="s">
        <v>54</v>
      </c>
      <c r="I108" s="33" t="str">
        <f>'Necesidades Trimestrales'!F106</f>
        <v>UNIDAD</v>
      </c>
      <c r="J108" s="104">
        <f>'Necesidades Trimestrales'!H106</f>
        <v>115</v>
      </c>
      <c r="K108" s="34">
        <f>'Necesidades Trimestrales'!G106</f>
        <v>400</v>
      </c>
    </row>
    <row r="109" spans="1:11" ht="27.75" customHeight="1" thickBot="1" x14ac:dyDescent="0.25">
      <c r="A109" s="30">
        <v>98</v>
      </c>
      <c r="B109" s="48"/>
      <c r="C109" s="111" t="str">
        <f>'Necesidades Trimestrales'!E107</f>
        <v xml:space="preserve">TUBO ENDOTRAQUEAL Nº 41/2 CON BALON </v>
      </c>
      <c r="D109" s="111"/>
      <c r="E109" s="111"/>
      <c r="F109" s="111"/>
      <c r="G109" s="111"/>
      <c r="H109" s="47" t="s">
        <v>54</v>
      </c>
      <c r="I109" s="33" t="str">
        <f>'Necesidades Trimestrales'!F107</f>
        <v>UNIDAD</v>
      </c>
      <c r="J109" s="104">
        <f>'Necesidades Trimestrales'!H107</f>
        <v>115</v>
      </c>
      <c r="K109" s="34">
        <f>'Necesidades Trimestrales'!G107</f>
        <v>400</v>
      </c>
    </row>
    <row r="110" spans="1:11" ht="27.75" customHeight="1" thickBot="1" x14ac:dyDescent="0.25">
      <c r="A110" s="30">
        <v>99</v>
      </c>
      <c r="B110" s="48"/>
      <c r="C110" s="111" t="str">
        <f>'Necesidades Trimestrales'!E108</f>
        <v>TUBO ENDOTRAQUEAL Nº 5 CON BALON</v>
      </c>
      <c r="D110" s="111"/>
      <c r="E110" s="111"/>
      <c r="F110" s="111"/>
      <c r="G110" s="111"/>
      <c r="H110" s="47" t="s">
        <v>54</v>
      </c>
      <c r="I110" s="33" t="str">
        <f>'Necesidades Trimestrales'!F108</f>
        <v>UNIDAD</v>
      </c>
      <c r="J110" s="104">
        <f>'Necesidades Trimestrales'!H108</f>
        <v>115</v>
      </c>
      <c r="K110" s="34">
        <f>'Necesidades Trimestrales'!G108</f>
        <v>550</v>
      </c>
    </row>
    <row r="111" spans="1:11" ht="27.75" customHeight="1" thickBot="1" x14ac:dyDescent="0.25">
      <c r="A111" s="30">
        <v>100</v>
      </c>
      <c r="B111" s="48"/>
      <c r="C111" s="111" t="str">
        <f>'Necesidades Trimestrales'!E109</f>
        <v>TUBO ENDOTRAQUEAL Nº 51/2 CON BALON</v>
      </c>
      <c r="D111" s="111"/>
      <c r="E111" s="111"/>
      <c r="F111" s="111"/>
      <c r="G111" s="111"/>
      <c r="H111" s="47" t="s">
        <v>54</v>
      </c>
      <c r="I111" s="33" t="str">
        <f>'Necesidades Trimestrales'!F109</f>
        <v>UNIDAD</v>
      </c>
      <c r="J111" s="104">
        <f>'Necesidades Trimestrales'!H109</f>
        <v>115</v>
      </c>
      <c r="K111" s="34">
        <f>'Necesidades Trimestrales'!G109</f>
        <v>550</v>
      </c>
    </row>
    <row r="112" spans="1:11" ht="27.75" customHeight="1" thickBot="1" x14ac:dyDescent="0.25">
      <c r="A112" s="30">
        <v>101</v>
      </c>
      <c r="B112" s="48"/>
      <c r="C112" s="111" t="str">
        <f>'Necesidades Trimestrales'!E110</f>
        <v>TUBO ENDOTRAQUEALES TIPO RUSH S/B 3</v>
      </c>
      <c r="D112" s="111"/>
      <c r="E112" s="111"/>
      <c r="F112" s="111"/>
      <c r="G112" s="111"/>
      <c r="H112" s="47" t="s">
        <v>54</v>
      </c>
      <c r="I112" s="33" t="str">
        <f>'Necesidades Trimestrales'!F110</f>
        <v>UNIDAD</v>
      </c>
      <c r="J112" s="104">
        <f>'Necesidades Trimestrales'!H110</f>
        <v>250</v>
      </c>
      <c r="K112" s="34">
        <f>'Necesidades Trimestrales'!G110</f>
        <v>250</v>
      </c>
    </row>
    <row r="113" spans="1:14" ht="27.75" customHeight="1" thickBot="1" x14ac:dyDescent="0.25">
      <c r="A113" s="30">
        <v>102</v>
      </c>
      <c r="B113" s="48"/>
      <c r="C113" s="111" t="str">
        <f>'Necesidades Trimestrales'!E111</f>
        <v>TUBO ENDOTRAQUEALES TIPO RUSH S/B 3,5</v>
      </c>
      <c r="D113" s="111"/>
      <c r="E113" s="111"/>
      <c r="F113" s="111"/>
      <c r="G113" s="111"/>
      <c r="H113" s="47" t="s">
        <v>54</v>
      </c>
      <c r="I113" s="33" t="str">
        <f>'Necesidades Trimestrales'!F111</f>
        <v>UNIDAD</v>
      </c>
      <c r="J113" s="104">
        <f>'Necesidades Trimestrales'!H111</f>
        <v>250</v>
      </c>
      <c r="K113" s="34">
        <f>'Necesidades Trimestrales'!G111</f>
        <v>40</v>
      </c>
    </row>
    <row r="114" spans="1:14" ht="27.75" customHeight="1" thickBot="1" x14ac:dyDescent="0.25">
      <c r="A114" s="30">
        <v>103</v>
      </c>
      <c r="B114" s="48"/>
      <c r="C114" s="111" t="str">
        <f>'Necesidades Trimestrales'!E112</f>
        <v>TUBO MAYO GUEDEL N 0</v>
      </c>
      <c r="D114" s="111"/>
      <c r="E114" s="111"/>
      <c r="F114" s="111"/>
      <c r="G114" s="111"/>
      <c r="H114" s="47" t="s">
        <v>54</v>
      </c>
      <c r="I114" s="33" t="str">
        <f>'Necesidades Trimestrales'!F112</f>
        <v>UNIDAD</v>
      </c>
      <c r="J114" s="104">
        <f>'Necesidades Trimestrales'!H112</f>
        <v>62</v>
      </c>
      <c r="K114" s="34">
        <f>'Necesidades Trimestrales'!G112</f>
        <v>20</v>
      </c>
    </row>
    <row r="115" spans="1:14" ht="27.75" customHeight="1" thickBot="1" x14ac:dyDescent="0.25">
      <c r="A115" s="30">
        <v>104</v>
      </c>
      <c r="B115" s="48"/>
      <c r="C115" s="111" t="str">
        <f>'Necesidades Trimestrales'!E113</f>
        <v>TUBO MAYO GUEDEL N 00</v>
      </c>
      <c r="D115" s="111"/>
      <c r="E115" s="111"/>
      <c r="F115" s="111"/>
      <c r="G115" s="111"/>
      <c r="H115" s="47" t="s">
        <v>54</v>
      </c>
      <c r="I115" s="33" t="str">
        <f>'Necesidades Trimestrales'!F113</f>
        <v>UNIDAD</v>
      </c>
      <c r="J115" s="104">
        <f>'Necesidades Trimestrales'!H113</f>
        <v>58</v>
      </c>
      <c r="K115" s="34">
        <f>'Necesidades Trimestrales'!G113</f>
        <v>20</v>
      </c>
    </row>
    <row r="116" spans="1:14" ht="27.75" customHeight="1" thickBot="1" x14ac:dyDescent="0.25">
      <c r="A116" s="30">
        <v>105</v>
      </c>
      <c r="B116" s="48"/>
      <c r="C116" s="111" t="str">
        <f>'Necesidades Trimestrales'!E114</f>
        <v>TUBO MAYO GUEDEL N 5</v>
      </c>
      <c r="D116" s="111"/>
      <c r="E116" s="111"/>
      <c r="F116" s="111"/>
      <c r="G116" s="111"/>
      <c r="H116" s="47" t="s">
        <v>54</v>
      </c>
      <c r="I116" s="33" t="str">
        <f>'Necesidades Trimestrales'!F114</f>
        <v>UNIDAD</v>
      </c>
      <c r="J116" s="104">
        <f>'Necesidades Trimestrales'!H114</f>
        <v>58</v>
      </c>
      <c r="K116" s="34">
        <f>'Necesidades Trimestrales'!G114</f>
        <v>20</v>
      </c>
    </row>
    <row r="117" spans="1:14" ht="27.75" customHeight="1" thickBot="1" x14ac:dyDescent="0.25">
      <c r="A117" s="30">
        <v>106</v>
      </c>
      <c r="B117" s="48"/>
      <c r="C117" s="111" t="str">
        <f>'Necesidades Trimestrales'!E115</f>
        <v xml:space="preserve">TUBO MAYO GUEDEL N°1 </v>
      </c>
      <c r="D117" s="111"/>
      <c r="E117" s="111"/>
      <c r="F117" s="111"/>
      <c r="G117" s="111"/>
      <c r="H117" s="47" t="s">
        <v>54</v>
      </c>
      <c r="I117" s="33" t="str">
        <f>'Necesidades Trimestrales'!F115</f>
        <v>UNIDAD</v>
      </c>
      <c r="J117" s="104">
        <f>'Necesidades Trimestrales'!H115</f>
        <v>58</v>
      </c>
      <c r="K117" s="34">
        <f>'Necesidades Trimestrales'!G115</f>
        <v>20</v>
      </c>
    </row>
    <row r="118" spans="1:14" ht="27.75" customHeight="1" thickBot="1" x14ac:dyDescent="0.25">
      <c r="A118" s="30">
        <v>107</v>
      </c>
      <c r="B118" s="48"/>
      <c r="C118" s="111" t="str">
        <f>'Necesidades Trimestrales'!E116</f>
        <v xml:space="preserve">TUBO MAYO GUEDEL N°2 </v>
      </c>
      <c r="D118" s="111"/>
      <c r="E118" s="111"/>
      <c r="F118" s="111"/>
      <c r="G118" s="111"/>
      <c r="H118" s="47" t="s">
        <v>54</v>
      </c>
      <c r="I118" s="33" t="str">
        <f>'Necesidades Trimestrales'!F116</f>
        <v>UNIDAD</v>
      </c>
      <c r="J118" s="104">
        <f>'Necesidades Trimestrales'!H116</f>
        <v>58</v>
      </c>
      <c r="K118" s="34">
        <f>'Necesidades Trimestrales'!G116</f>
        <v>20</v>
      </c>
    </row>
    <row r="119" spans="1:14" ht="27.75" customHeight="1" thickBot="1" x14ac:dyDescent="0.25">
      <c r="A119" s="30">
        <v>108</v>
      </c>
      <c r="B119" s="48"/>
      <c r="C119" s="111" t="str">
        <f>'Necesidades Trimestrales'!E117</f>
        <v xml:space="preserve">TUBO MAYO GUEDEL N°3 </v>
      </c>
      <c r="D119" s="111"/>
      <c r="E119" s="111"/>
      <c r="F119" s="111"/>
      <c r="G119" s="111"/>
      <c r="H119" s="47" t="s">
        <v>54</v>
      </c>
      <c r="I119" s="33" t="str">
        <f>'Necesidades Trimestrales'!F117</f>
        <v>UNIDAD</v>
      </c>
      <c r="J119" s="104">
        <f>'Necesidades Trimestrales'!H117</f>
        <v>58</v>
      </c>
      <c r="K119" s="34">
        <f>'Necesidades Trimestrales'!G117</f>
        <v>20</v>
      </c>
    </row>
    <row r="120" spans="1:14" ht="27.75" customHeight="1" thickBot="1" x14ac:dyDescent="0.25">
      <c r="A120" s="30">
        <v>109</v>
      </c>
      <c r="B120" s="48"/>
      <c r="C120" s="111" t="str">
        <f>'Necesidades Trimestrales'!E118</f>
        <v xml:space="preserve">TUBO MAYO GUEDEL N°4 </v>
      </c>
      <c r="D120" s="111"/>
      <c r="E120" s="111"/>
      <c r="F120" s="111"/>
      <c r="G120" s="111"/>
      <c r="H120" s="47" t="s">
        <v>54</v>
      </c>
      <c r="I120" s="33" t="str">
        <f>'Necesidades Trimestrales'!F118</f>
        <v>UNIDAD</v>
      </c>
      <c r="J120" s="104">
        <f>'Necesidades Trimestrales'!H118</f>
        <v>58</v>
      </c>
      <c r="K120" s="34">
        <f>'Necesidades Trimestrales'!G118</f>
        <v>20</v>
      </c>
    </row>
    <row r="121" spans="1:14" ht="27.75" customHeight="1" thickBot="1" x14ac:dyDescent="0.25">
      <c r="A121" s="30">
        <v>110</v>
      </c>
      <c r="B121" s="48"/>
      <c r="C121" s="111" t="str">
        <f>'Necesidades Trimestrales'!E119</f>
        <v>TUBULADURA  PVC   9 X 6 X 50 USO MEDICINAL</v>
      </c>
      <c r="D121" s="111"/>
      <c r="E121" s="111"/>
      <c r="F121" s="111"/>
      <c r="G121" s="111"/>
      <c r="H121" s="47" t="s">
        <v>54</v>
      </c>
      <c r="I121" s="33" t="str">
        <f>'Necesidades Trimestrales'!F119</f>
        <v>UNIDAD</v>
      </c>
      <c r="J121" s="104">
        <f>'Necesidades Trimestrales'!H119</f>
        <v>1500</v>
      </c>
      <c r="K121" s="34">
        <f>'Necesidades Trimestrales'!G119</f>
        <v>4</v>
      </c>
    </row>
    <row r="122" spans="1:14" ht="27.75" customHeight="1" thickBot="1" x14ac:dyDescent="0.25">
      <c r="A122" s="30">
        <v>111</v>
      </c>
      <c r="B122" s="48"/>
      <c r="C122" s="111" t="str">
        <f>'Necesidades Trimestrales'!E120</f>
        <v>TUBULADURA  PVC.6,40 X 9,50 USO MEDICINAL</v>
      </c>
      <c r="D122" s="111"/>
      <c r="E122" s="111"/>
      <c r="F122" s="111"/>
      <c r="G122" s="111"/>
      <c r="H122" s="47" t="s">
        <v>54</v>
      </c>
      <c r="I122" s="33" t="str">
        <f>'Necesidades Trimestrales'!F120</f>
        <v>UNIDAD</v>
      </c>
      <c r="J122" s="104">
        <f>'Necesidades Trimestrales'!H120</f>
        <v>1600</v>
      </c>
      <c r="K122" s="34">
        <f>'Necesidades Trimestrales'!G120</f>
        <v>4</v>
      </c>
    </row>
    <row r="123" spans="1:14" ht="27.75" customHeight="1" thickBot="1" x14ac:dyDescent="0.25">
      <c r="A123" s="30">
        <v>112</v>
      </c>
      <c r="B123" s="48"/>
      <c r="C123" s="111" t="str">
        <f>'Necesidades Trimestrales'!E121</f>
        <v>TUBULADURA PVC 6X9 X 50 USO MEDICINAL</v>
      </c>
      <c r="D123" s="111"/>
      <c r="E123" s="111"/>
      <c r="F123" s="111"/>
      <c r="G123" s="111"/>
      <c r="H123" s="47" t="s">
        <v>54</v>
      </c>
      <c r="I123" s="33" t="str">
        <f>'Necesidades Trimestrales'!F121</f>
        <v>UNIDAD</v>
      </c>
      <c r="J123" s="104">
        <f>'Necesidades Trimestrales'!H121</f>
        <v>1750</v>
      </c>
      <c r="K123" s="34">
        <f>'Necesidades Trimestrales'!G121</f>
        <v>9</v>
      </c>
    </row>
    <row r="124" spans="1:14" ht="27.75" customHeight="1" thickBot="1" x14ac:dyDescent="0.25">
      <c r="A124" s="30">
        <v>113</v>
      </c>
      <c r="B124" s="48"/>
      <c r="C124" s="111" t="str">
        <f>'Necesidades Trimestrales'!E122</f>
        <v>TUBULADURA PVC 7,9 X 12,70  USO MEDICINAL</v>
      </c>
      <c r="D124" s="111"/>
      <c r="E124" s="111"/>
      <c r="F124" s="111"/>
      <c r="G124" s="111"/>
      <c r="H124" s="47" t="s">
        <v>54</v>
      </c>
      <c r="I124" s="33" t="str">
        <f>'Necesidades Trimestrales'!F122</f>
        <v>UNIDAD</v>
      </c>
      <c r="J124" s="104">
        <f>'Necesidades Trimestrales'!H122</f>
        <v>1750</v>
      </c>
      <c r="K124" s="34">
        <f>'Necesidades Trimestrales'!G122</f>
        <v>4</v>
      </c>
    </row>
    <row r="125" spans="1:14" ht="20.25" customHeight="1" thickBot="1" x14ac:dyDescent="0.25">
      <c r="A125" s="112" t="s">
        <v>180</v>
      </c>
      <c r="B125" s="112"/>
      <c r="C125" s="112"/>
      <c r="D125" s="112"/>
      <c r="E125" s="112"/>
      <c r="F125" s="112"/>
      <c r="G125" s="112"/>
      <c r="H125" s="112"/>
      <c r="I125" s="112"/>
      <c r="J125" s="113">
        <f>SUMPRODUCT(J12:J124,K12:K124)</f>
        <v>25636969.649999999</v>
      </c>
      <c r="K125" s="113"/>
      <c r="N125" s="35"/>
    </row>
  </sheetData>
  <mergeCells count="135">
    <mergeCell ref="C124:G124"/>
    <mergeCell ref="C68:G68"/>
    <mergeCell ref="C120:G120"/>
    <mergeCell ref="C121:G121"/>
    <mergeCell ref="C122:G122"/>
    <mergeCell ref="C123:G123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46:G46"/>
    <mergeCell ref="C47:G47"/>
    <mergeCell ref="C41:G41"/>
    <mergeCell ref="C42:G42"/>
    <mergeCell ref="C43:G43"/>
    <mergeCell ref="C44:G44"/>
    <mergeCell ref="C45:G45"/>
    <mergeCell ref="C48:G48"/>
    <mergeCell ref="C49:G4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A8:C8"/>
    <mergeCell ref="C32:G32"/>
    <mergeCell ref="C33:G33"/>
    <mergeCell ref="C34:G34"/>
    <mergeCell ref="C35:G35"/>
    <mergeCell ref="C36:G36"/>
    <mergeCell ref="C31:G31"/>
    <mergeCell ref="C26:G26"/>
    <mergeCell ref="C27:G27"/>
    <mergeCell ref="C28:G28"/>
    <mergeCell ref="C29:G29"/>
    <mergeCell ref="C30:G30"/>
    <mergeCell ref="A125:I125"/>
    <mergeCell ref="J125:K125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38:G38"/>
    <mergeCell ref="C39:G39"/>
    <mergeCell ref="C40:G40"/>
    <mergeCell ref="C79:G79"/>
    <mergeCell ref="C80:G80"/>
    <mergeCell ref="C81:G81"/>
    <mergeCell ref="C82:G82"/>
    <mergeCell ref="C83:G83"/>
    <mergeCell ref="C78:G78"/>
    <mergeCell ref="C89:G89"/>
    <mergeCell ref="C90:G90"/>
    <mergeCell ref="C91:G91"/>
    <mergeCell ref="C92:G92"/>
    <mergeCell ref="C93:G93"/>
    <mergeCell ref="C84:G84"/>
    <mergeCell ref="C85:G85"/>
    <mergeCell ref="C86:G86"/>
    <mergeCell ref="C87:G87"/>
    <mergeCell ref="C88:G88"/>
    <mergeCell ref="C99:G99"/>
    <mergeCell ref="C100:G100"/>
    <mergeCell ref="C113:G113"/>
    <mergeCell ref="C114:G114"/>
    <mergeCell ref="C115:G115"/>
    <mergeCell ref="C94:G94"/>
    <mergeCell ref="C95:G95"/>
    <mergeCell ref="C96:G96"/>
    <mergeCell ref="C97:G97"/>
    <mergeCell ref="C98:G98"/>
    <mergeCell ref="C116:G116"/>
    <mergeCell ref="C117:G117"/>
    <mergeCell ref="C118:G118"/>
    <mergeCell ref="C119:G119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0" t="s">
        <v>3</v>
      </c>
      <c r="B1" s="150"/>
      <c r="C1" s="150"/>
      <c r="D1" s="151">
        <f>'Necesidades Trimestrales'!C6</f>
        <v>2021</v>
      </c>
      <c r="E1" s="151"/>
      <c r="F1" s="3"/>
      <c r="G1" s="3"/>
      <c r="H1" s="4"/>
      <c r="I1" s="4"/>
      <c r="J1" s="4"/>
      <c r="K1" s="4"/>
      <c r="L1" s="4"/>
      <c r="M1" s="4"/>
      <c r="N1" s="4"/>
      <c r="P1" s="152" t="s">
        <v>25</v>
      </c>
      <c r="Q1" s="152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52"/>
      <c r="Q2" s="152"/>
    </row>
    <row r="4" spans="1:17" s="5" customFormat="1" ht="18" customHeight="1" thickBot="1" x14ac:dyDescent="0.25">
      <c r="A4" s="153" t="s">
        <v>26</v>
      </c>
      <c r="B4" s="153"/>
      <c r="C4" s="153"/>
      <c r="D4" s="153"/>
      <c r="E4" s="153"/>
      <c r="F4" s="153"/>
      <c r="G4" s="148" t="str">
        <f>' NotaPedido'!D3</f>
        <v>040 - Ministerio de Salud</v>
      </c>
      <c r="H4" s="148"/>
      <c r="I4" s="148"/>
      <c r="J4" s="148"/>
      <c r="K4" s="148"/>
      <c r="L4" s="148"/>
      <c r="M4" s="148"/>
      <c r="N4" s="148"/>
      <c r="O4" s="148"/>
      <c r="P4" s="148"/>
      <c r="Q4" s="148"/>
    </row>
    <row r="5" spans="1:17" s="5" customFormat="1" ht="18" customHeight="1" thickBot="1" x14ac:dyDescent="0.25">
      <c r="A5" s="145" t="s">
        <v>49</v>
      </c>
      <c r="B5" s="146"/>
      <c r="C5" s="146"/>
      <c r="D5" s="146"/>
      <c r="E5" s="146"/>
      <c r="F5" s="147"/>
      <c r="G5" s="148" t="str">
        <f>' NotaPedido'!D4</f>
        <v>024 - Hospital Interzonal de Niños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</row>
    <row r="6" spans="1:17" s="5" customFormat="1" ht="18" customHeight="1" thickBot="1" x14ac:dyDescent="0.25">
      <c r="A6" s="145" t="s">
        <v>27</v>
      </c>
      <c r="B6" s="146"/>
      <c r="C6" s="146"/>
      <c r="D6" s="146"/>
      <c r="E6" s="146"/>
      <c r="F6" s="147"/>
      <c r="G6" s="148" t="str">
        <f>' NotaPedido'!D5</f>
        <v>024 - Hospital Interzonal de Niños</v>
      </c>
      <c r="H6" s="148"/>
      <c r="I6" s="148"/>
      <c r="J6" s="148"/>
      <c r="K6" s="148"/>
      <c r="L6" s="148"/>
      <c r="M6" s="148"/>
      <c r="N6" s="148"/>
      <c r="O6" s="148"/>
      <c r="P6" s="148"/>
      <c r="Q6" s="148"/>
    </row>
    <row r="7" spans="1:17" s="5" customFormat="1" ht="18" customHeight="1" thickBot="1" x14ac:dyDescent="0.25">
      <c r="A7" s="145" t="s">
        <v>50</v>
      </c>
      <c r="B7" s="146"/>
      <c r="C7" s="146"/>
      <c r="D7" s="146"/>
      <c r="E7" s="146"/>
      <c r="F7" s="147"/>
      <c r="G7" s="148" t="s">
        <v>56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</row>
    <row r="8" spans="1:17" ht="18" customHeight="1" thickBot="1" x14ac:dyDescent="0.25">
      <c r="A8" s="149" t="s">
        <v>28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</row>
    <row r="9" spans="1:17" ht="18" customHeight="1" x14ac:dyDescent="0.2">
      <c r="A9" s="134" t="s">
        <v>29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"/>
      <c r="P9" s="1"/>
      <c r="Q9" s="6"/>
    </row>
    <row r="10" spans="1:17" ht="54.75" customHeight="1" x14ac:dyDescent="0.2">
      <c r="A10" s="13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91/2021,  afectando la erogación resultante a los créditos presupuestarios aprobados a favor de esta Unidad Ejecutora, conforme al siguiente detalle: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6" t="s">
        <v>30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</row>
    <row r="13" spans="1:17" ht="15.75" customHeight="1" thickBot="1" x14ac:dyDescent="0.25">
      <c r="A13" s="137" t="s">
        <v>31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32</v>
      </c>
      <c r="P13" s="140"/>
      <c r="Q13" s="143" t="s">
        <v>33</v>
      </c>
    </row>
    <row r="14" spans="1:17" ht="15.75" customHeight="1" thickBot="1" x14ac:dyDescent="0.25">
      <c r="A14" s="40" t="s">
        <v>34</v>
      </c>
      <c r="B14" s="41" t="s">
        <v>35</v>
      </c>
      <c r="C14" s="41" t="s">
        <v>36</v>
      </c>
      <c r="D14" s="41" t="s">
        <v>37</v>
      </c>
      <c r="E14" s="41" t="s">
        <v>38</v>
      </c>
      <c r="F14" s="41" t="s">
        <v>39</v>
      </c>
      <c r="G14" s="42" t="s">
        <v>40</v>
      </c>
      <c r="H14" s="41" t="s">
        <v>41</v>
      </c>
      <c r="I14" s="41" t="s">
        <v>42</v>
      </c>
      <c r="J14" s="41" t="s">
        <v>43</v>
      </c>
      <c r="K14" s="41" t="s">
        <v>43</v>
      </c>
      <c r="L14" s="41" t="s">
        <v>44</v>
      </c>
      <c r="M14" s="43" t="s">
        <v>45</v>
      </c>
      <c r="N14" s="44" t="s">
        <v>46</v>
      </c>
      <c r="O14" s="141"/>
      <c r="P14" s="142"/>
      <c r="Q14" s="144"/>
    </row>
    <row r="15" spans="1:17" ht="26.25" customHeight="1" x14ac:dyDescent="0.2">
      <c r="A15" s="36">
        <v>36</v>
      </c>
      <c r="B15" s="37"/>
      <c r="C15" s="37"/>
      <c r="D15" s="37">
        <v>1</v>
      </c>
      <c r="E15" s="37"/>
      <c r="F15" s="37">
        <v>4901</v>
      </c>
      <c r="G15" s="37">
        <v>3</v>
      </c>
      <c r="H15" s="37">
        <v>310</v>
      </c>
      <c r="I15" s="37">
        <v>2</v>
      </c>
      <c r="J15" s="37">
        <v>9</v>
      </c>
      <c r="K15" s="37">
        <v>5</v>
      </c>
      <c r="L15" s="37"/>
      <c r="M15" s="38">
        <v>1</v>
      </c>
      <c r="N15" s="39" t="s">
        <v>53</v>
      </c>
      <c r="O15" s="128" t="s">
        <v>59</v>
      </c>
      <c r="P15" s="128"/>
      <c r="Q15" s="100">
        <v>22851773.5</v>
      </c>
    </row>
    <row r="16" spans="1:17" ht="17.25" customHeight="1" x14ac:dyDescent="0.2">
      <c r="A16" s="11">
        <v>36</v>
      </c>
      <c r="B16" s="12"/>
      <c r="C16" s="12"/>
      <c r="D16" s="12">
        <v>1</v>
      </c>
      <c r="E16" s="12"/>
      <c r="F16" s="12">
        <v>4901</v>
      </c>
      <c r="G16" s="12">
        <v>3</v>
      </c>
      <c r="H16" s="12">
        <v>310</v>
      </c>
      <c r="I16" s="12">
        <v>2</v>
      </c>
      <c r="J16" s="12">
        <v>5</v>
      </c>
      <c r="K16" s="12">
        <v>1</v>
      </c>
      <c r="L16" s="12"/>
      <c r="M16" s="13">
        <v>1</v>
      </c>
      <c r="N16" s="45" t="s">
        <v>53</v>
      </c>
      <c r="O16" s="129" t="s">
        <v>183</v>
      </c>
      <c r="P16" s="123"/>
      <c r="Q16" s="101">
        <v>2785196.15</v>
      </c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23"/>
      <c r="P17" s="123"/>
      <c r="Q17" s="101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23"/>
      <c r="P18" s="123"/>
      <c r="Q18" s="101"/>
    </row>
    <row r="19" spans="1:18" ht="17.25" customHeight="1" x14ac:dyDescent="0.2">
      <c r="A19" s="15"/>
      <c r="B19" s="16"/>
      <c r="C19" s="16"/>
      <c r="D19" s="16"/>
      <c r="E19" s="16"/>
      <c r="F19" s="17"/>
      <c r="G19" s="16"/>
      <c r="H19" s="16"/>
      <c r="I19" s="16"/>
      <c r="J19" s="16"/>
      <c r="K19" s="16"/>
      <c r="L19" s="16"/>
      <c r="M19" s="18"/>
      <c r="N19" s="19"/>
      <c r="O19" s="124"/>
      <c r="P19" s="124"/>
      <c r="Q19" s="101"/>
      <c r="R19" s="1"/>
    </row>
    <row r="20" spans="1:18" ht="17.25" customHeight="1" x14ac:dyDescent="0.2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2"/>
      <c r="N20" s="21"/>
      <c r="O20" s="125"/>
      <c r="P20" s="125"/>
      <c r="Q20" s="102"/>
    </row>
    <row r="21" spans="1:18" ht="29.25" customHeight="1" x14ac:dyDescent="0.2">
      <c r="A21" s="126" t="s">
        <v>181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03">
        <f>SUM(Q15:Q20)</f>
        <v>25636969.649999999</v>
      </c>
    </row>
    <row r="22" spans="1:18" ht="18" customHeight="1" thickBot="1" x14ac:dyDescent="0.25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</row>
    <row r="23" spans="1:18" ht="17.25" customHeight="1" thickBot="1" x14ac:dyDescent="0.25">
      <c r="A23" s="130" t="s">
        <v>47</v>
      </c>
      <c r="B23" s="131"/>
      <c r="C23" s="131"/>
      <c r="D23" s="131"/>
      <c r="E23" s="131"/>
      <c r="F23" s="132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</row>
    <row r="24" spans="1:18" ht="18" customHeight="1" thickBot="1" x14ac:dyDescent="0.25">
      <c r="A24" s="122" t="s">
        <v>182</v>
      </c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</row>
    <row r="25" spans="1:18" ht="26.25" customHeight="1" x14ac:dyDescent="0.2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2020-07-23T13:47:13Z</cp:lastPrinted>
  <dcterms:created xsi:type="dcterms:W3CDTF">2020-07-17T23:44:49Z</dcterms:created>
  <dcterms:modified xsi:type="dcterms:W3CDTF">2021-08-12T12:57:19Z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