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descartables desiertos 1 trim\corregido\"/>
    </mc:Choice>
  </mc:AlternateContent>
  <xr:revisionPtr revIDLastSave="0" documentId="13_ncr:1_{39874DDC-08F2-4287-8FED-F30BF495FE4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Trimestrales'!$A$9:$I$26</definedName>
    <definedName name="_xlnm.Print_Area" localSheetId="1">' NotaPedido'!$A$1:$K$29</definedName>
    <definedName name="_xlnm.Print_Area" localSheetId="2">'Autor Gastar'!$A$1:$Q$26</definedName>
    <definedName name="_xlnm.Print_Area" localSheetId="0">'Necesidades Trimestrales'!$E$9:$E$26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12" i="2"/>
  <c r="G7" i="3" l="1"/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12" i="2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10" i="1"/>
  <c r="J29" i="2"/>
  <c r="Q22" i="3" l="1"/>
  <c r="A10" i="3" l="1"/>
  <c r="G6" i="3" l="1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<sst xmlns="http://schemas.openxmlformats.org/spreadsheetml/2006/main" count="149" uniqueCount="95">
  <si>
    <t>Pedido de Necesidades Trimestrales</t>
  </si>
  <si>
    <t>JURISDICCION:</t>
  </si>
  <si>
    <t xml:space="preserve">SAF N°: </t>
  </si>
  <si>
    <t>EJERCICIO:</t>
  </si>
  <si>
    <t>TRIMESTRE: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</si>
  <si>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</si>
  <si>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</si>
  <si>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</si>
  <si>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</si>
  <si>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</si>
  <si>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</si>
  <si>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</si>
  <si>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</si>
  <si>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</si>
  <si>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</si>
  <si>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</si>
  <si>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</si>
  <si>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</si>
  <si>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</si>
  <si>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</si>
  <si>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</si>
  <si>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</si>
  <si>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</si>
  <si>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</si>
  <si>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</si>
  <si>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</si>
  <si>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</si>
  <si>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</si>
  <si>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</si>
  <si>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</si>
  <si>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</si>
  <si>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</si>
  <si>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</si>
  <si>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</si>
  <si>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</si>
  <si>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</si>
  <si>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</si>
  <si>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</si>
  <si>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</si>
  <si>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</si>
  <si>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</si>
  <si>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</si>
  <si>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</si>
  <si>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</si>
  <si>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</si>
  <si>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</si>
  <si>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</si>
  <si>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</si>
  <si>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</si>
  <si>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</si>
  <si>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</si>
  <si>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NO</t>
  </si>
  <si>
    <t>ACIDOS; COMPUESTO QUIMICO: AC. CITRICO, ESTADO: SOLIDO, CALIDAD: BIOLOGIA MOLECULAR, CONCENTRACION/PUREZA: 99,99 %, PRESENTACION: ENVASE X 1 Kg</t>
  </si>
  <si>
    <t>unidad</t>
  </si>
  <si>
    <t>BANDEJA PARA HEMOFILTRACION PEDIATRICA – HEMOFILTRO D150</t>
  </si>
  <si>
    <t>Bobina Baja Densidad 30 X 40 rollo x 200 un. Tipo Mapsa</t>
  </si>
  <si>
    <t xml:space="preserve">unidad  </t>
  </si>
  <si>
    <t>caja</t>
  </si>
  <si>
    <t>CATETER DOBLE J 4.7 FR x 26 CM TIPO COOK</t>
  </si>
  <si>
    <t>CATETERES/SONDAS; NUMERO: SIN, TIPO: TUBO DE LUKEN PARA TOMA DE MUESTRAS</t>
  </si>
  <si>
    <t>LUPAS; POTENCIA: 75 Diop, DIAMETRO: 65 mm, MATERIAL LENTE: VIDRIO, ACCESORIO: C/LUZ, ARMAZON: PLASTICO, ESTRUCTURA: PLASTICO</t>
  </si>
  <si>
    <t>MALLA ABSORBIBLE POLIGLICOLICO 30 X 30 TIPO VICRYL</t>
  </si>
  <si>
    <t>PAPEL PARA ELECTROCARDIOGRAFO PAGE WRITER TRIM RESMA TIPO PHILIPS 210 MM X 300 MM X 100 HOJAS</t>
  </si>
  <si>
    <t>resma</t>
  </si>
  <si>
    <t>PASTA CONDUCTORA PARA ELECTRODOS X 226 GRS</t>
  </si>
  <si>
    <t>PASTA CONDUCTORA PARA ELECTRODOS X 400 GRS</t>
  </si>
  <si>
    <t>rollo</t>
  </si>
  <si>
    <t>ROLLO EN PAPEL TERMICO ORIGINALES 57 mm. X 20 mts</t>
  </si>
  <si>
    <t>SONDA NELATON DE GOMA Nº 10</t>
  </si>
  <si>
    <t>TROCAR D/BIOPSIA D/MEDULA OSEA NEONATAL T/MONOJET- x 10 UNIDADES</t>
  </si>
  <si>
    <t>TROCAR D/BIOPSIA D/MEDULA OSEA PEDIATRICO T/MONOJE X 10 UNIDADES</t>
  </si>
  <si>
    <t>TROCAR D/PUNCION ASP.D/MEDULA OSEA NEONATAL T/GALL X 10 UNIDADES</t>
  </si>
  <si>
    <t>TROCAR D/PUNCION ASP.D/MEDULA OSEA PEDIATRICO T/GA X 10 UNIDADES</t>
  </si>
  <si>
    <t>ITEM</t>
  </si>
  <si>
    <t xml:space="preserve">2 TRIMESTRE </t>
  </si>
  <si>
    <t>Adquisición de Descartables</t>
  </si>
  <si>
    <t>CATETER DOBLE J 7 FRENCH X 26 CM TIPO COOK</t>
  </si>
  <si>
    <t>052/2022</t>
  </si>
  <si>
    <t>1.1</t>
  </si>
  <si>
    <t>Productos de Papel y Carton</t>
  </si>
  <si>
    <t>Compuestos Quimicos</t>
  </si>
  <si>
    <t>Productos Farmaceuticos y Medicinales</t>
  </si>
  <si>
    <t>Otros No Especificados Precedentemente</t>
  </si>
  <si>
    <t>Utiles Menores Medico, Quirurgico y de Laboratorio</t>
  </si>
  <si>
    <t>024 - Hospital Interzonal de Niños</t>
  </si>
  <si>
    <t>Farmacia</t>
  </si>
  <si>
    <t>TOTAL DE PESOS: UN MILLON DOSCIENTOS DIECISIETE MIL NOVECIENTOS DIEZ CON 00/100.</t>
  </si>
  <si>
    <t>Costo total estimado: Un Millon Doscientos Diecisiete Mil Novecientos Diez con 00/100.</t>
  </si>
  <si>
    <t>Para la adquisición de items desiertos y fracasados de descartables del 1º trimestre 2022, destinados al servico de Farmacia del Hospital Interzonal de Niños.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</si>
  <si>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</si>
  <si>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</si>
  <si>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</si>
  <si>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</si>
  <si>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rPr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Treinta (30) dias habiles.</t>
    </r>
  </si>
  <si>
    <t>PROD. MEDICO/ FARMACEUTICOS/LAB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</si>
</sst>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6" fontId="1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5" fillId="0" borderId="0"/>
    <xf numFmtId="0" fontId="15" fillId="0" borderId="0"/>
    <xf numFmtId="0" fontId="15" fillId="0" borderId="0"/>
    <xf numFmtId="0" fontId="1" fillId="0" borderId="0"/>
  </cellStyleXfs>
  <cellXfs count="15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3" fillId="0" borderId="0" xfId="0" applyFont="1"/>
    <xf numFmtId="0" fontId="0" fillId="0" borderId="11" xfId="0" applyBorder="1"/>
    <xf numFmtId="0" fontId="0" fillId="0" borderId="25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6" xfId="0" applyBorder="1"/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7" fontId="0" fillId="0" borderId="32" xfId="3" applyNumberFormat="1" applyFont="1" applyBorder="1" applyAlignment="1" applyProtection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6" xfId="3" applyNumberFormat="1" applyFont="1" applyBorder="1" applyAlignment="1" applyProtection="1">
      <alignment horizontal="center" vertical="center"/>
    </xf>
    <xf numFmtId="0" fontId="6" fillId="3" borderId="11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3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16" fillId="3" borderId="0" xfId="0" applyFont="1" applyFill="1"/>
    <xf numFmtId="0" fontId="19" fillId="3" borderId="0" xfId="0" applyFont="1" applyFill="1" applyAlignment="1">
      <alignment horizontal="left" wrapText="1"/>
    </xf>
    <xf numFmtId="0" fontId="19" fillId="3" borderId="0" xfId="0" applyFont="1" applyFill="1" applyAlignment="1">
      <alignment horizontal="center" wrapText="1"/>
    </xf>
    <xf numFmtId="0" fontId="16" fillId="3" borderId="0" xfId="0" applyFont="1" applyFill="1" applyAlignment="1">
      <alignment horizontal="center" vertical="center"/>
    </xf>
    <xf numFmtId="170" fontId="21" fillId="3" borderId="0" xfId="0" applyNumberFormat="1" applyFont="1" applyFill="1"/>
    <xf numFmtId="170" fontId="21" fillId="3" borderId="0" xfId="0" applyNumberFormat="1" applyFont="1" applyFill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 wrapText="1"/>
    </xf>
    <xf numFmtId="0" fontId="24" fillId="3" borderId="43" xfId="0" applyFont="1" applyFill="1" applyBorder="1" applyAlignment="1">
      <alignment horizontal="center" vertical="center" wrapText="1"/>
    </xf>
    <xf numFmtId="0" fontId="24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/>
    </xf>
    <xf numFmtId="164" fontId="16" fillId="3" borderId="0" xfId="0" applyNumberFormat="1" applyFont="1" applyFill="1"/>
    <xf numFmtId="164" fontId="24" fillId="3" borderId="2" xfId="0" applyNumberFormat="1" applyFont="1" applyFill="1" applyBorder="1" applyAlignment="1">
      <alignment horizontal="center" vertical="center" wrapText="1"/>
    </xf>
    <xf numFmtId="0" fontId="16" fillId="3" borderId="9" xfId="0" applyFont="1" applyFill="1" applyBorder="1"/>
    <xf numFmtId="0" fontId="16" fillId="3" borderId="10" xfId="0" applyFont="1" applyFill="1" applyBorder="1"/>
    <xf numFmtId="164" fontId="15" fillId="4" borderId="41" xfId="1" applyNumberFormat="1" applyFont="1" applyFill="1" applyBorder="1" applyAlignment="1" applyProtection="1">
      <alignment horizontal="right" vertical="center" wrapText="1"/>
    </xf>
    <xf numFmtId="167" fontId="0" fillId="0" borderId="47" xfId="3" applyNumberFormat="1" applyFont="1" applyBorder="1" applyAlignment="1" applyProtection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49" xfId="0" applyFont="1" applyBorder="1" applyAlignment="1">
      <alignment horizontal="left" vertical="center"/>
    </xf>
    <xf numFmtId="0" fontId="14" fillId="0" borderId="5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/>
    </xf>
    <xf numFmtId="167" fontId="14" fillId="3" borderId="51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left" vertical="center"/>
    </xf>
    <xf numFmtId="0" fontId="5" fillId="4" borderId="54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 wrapText="1"/>
    </xf>
    <xf numFmtId="167" fontId="5" fillId="3" borderId="54" xfId="1" applyNumberFormat="1" applyFont="1" applyFill="1" applyBorder="1" applyAlignment="1" applyProtection="1">
      <alignment horizontal="right" vertical="center" wrapText="1"/>
    </xf>
    <xf numFmtId="3" fontId="5" fillId="3" borderId="55" xfId="0" applyNumberFormat="1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left" vertical="center"/>
    </xf>
    <xf numFmtId="0" fontId="5" fillId="4" borderId="41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 wrapText="1"/>
    </xf>
    <xf numFmtId="167" fontId="5" fillId="3" borderId="41" xfId="1" applyNumberFormat="1" applyFont="1" applyFill="1" applyBorder="1" applyAlignment="1" applyProtection="1">
      <alignment horizontal="right" vertical="center" wrapText="1"/>
    </xf>
    <xf numFmtId="3" fontId="5" fillId="3" borderId="57" xfId="0" applyNumberFormat="1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left" vertical="center"/>
    </xf>
    <xf numFmtId="0" fontId="5" fillId="4" borderId="59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 wrapText="1"/>
    </xf>
    <xf numFmtId="167" fontId="5" fillId="3" borderId="59" xfId="1" applyNumberFormat="1" applyFont="1" applyFill="1" applyBorder="1" applyAlignment="1" applyProtection="1">
      <alignment horizontal="right" vertical="center" wrapText="1"/>
    </xf>
    <xf numFmtId="3" fontId="5" fillId="3" borderId="60" xfId="0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horizontal="left" indent="3"/>
    </xf>
    <xf numFmtId="0" fontId="16" fillId="0" borderId="4" xfId="0" applyFont="1" applyBorder="1"/>
    <xf numFmtId="0" fontId="16" fillId="0" borderId="5" xfId="0" applyFont="1" applyBorder="1"/>
    <xf numFmtId="0" fontId="22" fillId="0" borderId="6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3" borderId="8" xfId="0" applyFont="1" applyFill="1" applyBorder="1"/>
    <xf numFmtId="0" fontId="15" fillId="0" borderId="41" xfId="0" applyFont="1" applyBorder="1" applyAlignment="1">
      <alignment wrapText="1"/>
    </xf>
    <xf numFmtId="0" fontId="25" fillId="3" borderId="45" xfId="0" applyFont="1" applyFill="1" applyBorder="1" applyAlignment="1">
      <alignment horizontal="center" vertical="center" wrapText="1"/>
    </xf>
    <xf numFmtId="0" fontId="0" fillId="3" borderId="41" xfId="0" applyFill="1" applyBorder="1" applyAlignment="1">
      <alignment vertical="center" wrapText="1"/>
    </xf>
    <xf numFmtId="0" fontId="0" fillId="3" borderId="41" xfId="0" applyFill="1" applyBorder="1" applyAlignment="1">
      <alignment horizontal="center" vertical="center"/>
    </xf>
    <xf numFmtId="3" fontId="15" fillId="3" borderId="41" xfId="0" applyNumberFormat="1" applyFont="1" applyFill="1" applyBorder="1" applyAlignment="1">
      <alignment horizontal="center" vertical="center"/>
    </xf>
    <xf numFmtId="44" fontId="15" fillId="3" borderId="41" xfId="1" applyNumberFormat="1" applyFont="1" applyFill="1" applyBorder="1" applyAlignment="1">
      <alignment horizontal="center" vertical="center"/>
    </xf>
    <xf numFmtId="0" fontId="25" fillId="3" borderId="41" xfId="0" applyFont="1" applyFill="1" applyBorder="1" applyAlignment="1">
      <alignment horizontal="center" vertical="center" wrapText="1"/>
    </xf>
    <xf numFmtId="0" fontId="0" fillId="3" borderId="46" xfId="0" applyFill="1" applyBorder="1" applyAlignment="1">
      <alignment vertical="center" wrapText="1"/>
    </xf>
    <xf numFmtId="0" fontId="0" fillId="3" borderId="41" xfId="0" applyFill="1" applyBorder="1" applyAlignment="1">
      <alignment horizontal="center" wrapText="1"/>
    </xf>
    <xf numFmtId="0" fontId="15" fillId="3" borderId="46" xfId="0" applyFont="1" applyFill="1" applyBorder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16" fillId="4" borderId="6" xfId="6" applyFont="1" applyFill="1" applyBorder="1" applyAlignment="1">
      <alignment horizontal="left" wrapText="1"/>
    </xf>
    <xf numFmtId="0" fontId="16" fillId="4" borderId="0" xfId="6" applyFont="1" applyFill="1" applyBorder="1" applyAlignment="1">
      <alignment horizontal="left" wrapText="1"/>
    </xf>
    <xf numFmtId="0" fontId="16" fillId="4" borderId="7" xfId="6" applyFont="1" applyFill="1" applyBorder="1" applyAlignment="1">
      <alignment horizontal="left" wrapText="1"/>
    </xf>
    <xf numFmtId="0" fontId="18" fillId="3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6" fillId="3" borderId="0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left" vertical="center" wrapText="1"/>
    </xf>
    <xf numFmtId="0" fontId="7" fillId="3" borderId="44" xfId="0" applyFont="1" applyFill="1" applyBorder="1" applyAlignment="1">
      <alignment horizontal="left" vertical="center" wrapText="1" indent="1"/>
    </xf>
    <xf numFmtId="168" fontId="8" fillId="3" borderId="44" xfId="0" applyNumberFormat="1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 wrapText="1" indent="1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5" fillId="3" borderId="5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10" fillId="0" borderId="21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3" fillId="0" borderId="12" xfId="0" applyFont="1" applyBorder="1"/>
    <xf numFmtId="0" fontId="12" fillId="0" borderId="12" xfId="0" applyFont="1" applyBorder="1" applyAlignment="1">
      <alignment horizontal="left" indent="1"/>
    </xf>
    <xf numFmtId="0" fontId="5" fillId="3" borderId="14" xfId="0" applyFont="1" applyFill="1" applyBorder="1" applyAlignment="1">
      <alignment horizontal="left" vertical="center" wrapText="1"/>
    </xf>
    <xf numFmtId="0" fontId="5" fillId="3" borderId="38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indent="1"/>
    </xf>
    <xf numFmtId="0" fontId="13" fillId="0" borderId="12" xfId="0" applyFont="1" applyBorder="1" applyAlignment="1">
      <alignment horizontal="left"/>
    </xf>
    <xf numFmtId="0" fontId="15" fillId="0" borderId="29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12" fillId="0" borderId="23" xfId="0" applyFont="1" applyBorder="1"/>
    <xf numFmtId="0" fontId="12" fillId="3" borderId="24" xfId="0" applyFont="1" applyFill="1" applyBorder="1" applyAlignment="1">
      <alignment horizontal="left" vertical="center" wrapText="1" indent="1"/>
    </xf>
    <xf numFmtId="0" fontId="14" fillId="0" borderId="2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52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4" borderId="37" xfId="0" applyFont="1" applyFill="1" applyBorder="1" applyAlignment="1">
      <alignment horizontal="left" vertical="center" wrapText="1" indent="1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10" fillId="3" borderId="37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4" xfId="0" applyBorder="1"/>
    <xf numFmtId="0" fontId="0" fillId="3" borderId="0" xfId="0" applyFill="1" applyBorder="1" applyAlignment="1">
      <alignment vertical="center" wrapText="1"/>
    </xf>
  </cellXfs>
  <cellStyles count="9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  <cellStyle name="Normal 3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4"/>
  <sheetViews>
    <sheetView tabSelected="1" zoomScale="84" zoomScaleNormal="84" workbookViewId="0">
      <selection activeCell="P13" sqref="P13"/>
    </sheetView>
  </sheetViews>
  <sheetFormatPr baseColWidth="10" defaultColWidth="11" defaultRowHeight="12.75" x14ac:dyDescent="0.2"/>
  <cols>
    <col min="1" max="1" width="7.28515625" style="34" customWidth="1"/>
    <col min="2" max="2" width="14" style="34" customWidth="1"/>
    <col min="3" max="3" width="14.7109375" style="34" customWidth="1"/>
    <col min="4" max="4" width="8.42578125" style="34" customWidth="1"/>
    <col min="5" max="5" width="93.42578125" style="34" customWidth="1"/>
    <col min="6" max="6" width="13.140625" style="34" customWidth="1"/>
    <col min="7" max="7" width="12.7109375" style="34" customWidth="1"/>
    <col min="8" max="8" width="15.7109375" style="34" customWidth="1"/>
    <col min="9" max="9" width="18.5703125" style="46" customWidth="1"/>
    <col min="10" max="10" width="17.5703125" style="34" customWidth="1"/>
    <col min="11" max="11" width="15.28515625" style="34" customWidth="1"/>
    <col min="12" max="16384" width="11" style="34"/>
  </cols>
  <sheetData>
    <row r="2" spans="1:11" ht="27" x14ac:dyDescent="0.35">
      <c r="B2" s="101" t="s">
        <v>0</v>
      </c>
      <c r="C2" s="101"/>
      <c r="D2" s="101"/>
      <c r="E2" s="101"/>
      <c r="F2" s="101"/>
      <c r="G2" s="101"/>
      <c r="H2" s="101"/>
    </row>
    <row r="3" spans="1:11" ht="12" customHeight="1" x14ac:dyDescent="0.2"/>
    <row r="4" spans="1:11" ht="18" customHeight="1" x14ac:dyDescent="0.25">
      <c r="A4" s="100" t="s">
        <v>1</v>
      </c>
      <c r="B4" s="100"/>
      <c r="C4" s="102" t="s">
        <v>50</v>
      </c>
      <c r="D4" s="102"/>
      <c r="E4" s="102"/>
      <c r="F4" s="35"/>
      <c r="G4" s="36"/>
      <c r="H4" s="35"/>
    </row>
    <row r="5" spans="1:11" ht="18" customHeight="1" x14ac:dyDescent="0.25">
      <c r="A5" s="100" t="s">
        <v>2</v>
      </c>
      <c r="B5" s="100"/>
      <c r="C5" s="102" t="s">
        <v>84</v>
      </c>
      <c r="D5" s="102"/>
      <c r="E5" s="102"/>
      <c r="F5" s="35"/>
      <c r="G5" s="36"/>
      <c r="H5" s="35"/>
    </row>
    <row r="6" spans="1:11" ht="16.5" customHeight="1" x14ac:dyDescent="0.25">
      <c r="A6" s="100" t="s">
        <v>3</v>
      </c>
      <c r="B6" s="100"/>
      <c r="C6" s="32">
        <v>2022</v>
      </c>
      <c r="D6" s="33"/>
      <c r="E6" s="33"/>
      <c r="F6" s="35"/>
      <c r="G6" s="36"/>
      <c r="H6" s="35"/>
    </row>
    <row r="7" spans="1:11" ht="16.5" customHeight="1" x14ac:dyDescent="0.25">
      <c r="A7" s="100" t="s">
        <v>4</v>
      </c>
      <c r="B7" s="100"/>
      <c r="C7" s="32">
        <v>2</v>
      </c>
      <c r="D7" s="33"/>
      <c r="E7" s="33"/>
      <c r="F7" s="35"/>
      <c r="G7" s="36"/>
      <c r="H7" s="35"/>
    </row>
    <row r="8" spans="1:11" ht="13.5" thickBot="1" x14ac:dyDescent="0.25">
      <c r="B8" s="35"/>
      <c r="C8" s="36"/>
      <c r="D8" s="35"/>
      <c r="E8" s="35"/>
      <c r="F8" s="35"/>
      <c r="G8" s="36"/>
      <c r="H8" s="35"/>
    </row>
    <row r="9" spans="1:11" ht="39" thickTop="1" x14ac:dyDescent="0.2">
      <c r="A9" s="41" t="s">
        <v>73</v>
      </c>
      <c r="B9" s="41" t="s">
        <v>5</v>
      </c>
      <c r="C9" s="41" t="s">
        <v>6</v>
      </c>
      <c r="D9" s="42" t="s">
        <v>7</v>
      </c>
      <c r="E9" s="43" t="s">
        <v>8</v>
      </c>
      <c r="F9" s="44" t="s">
        <v>9</v>
      </c>
      <c r="G9" s="41" t="s">
        <v>10</v>
      </c>
      <c r="H9" s="41" t="s">
        <v>11</v>
      </c>
      <c r="I9" s="47" t="s">
        <v>12</v>
      </c>
    </row>
    <row r="10" spans="1:11" ht="45" customHeight="1" x14ac:dyDescent="0.2">
      <c r="A10" s="45">
        <v>1</v>
      </c>
      <c r="B10" s="45"/>
      <c r="C10" s="86" t="s">
        <v>94</v>
      </c>
      <c r="D10" s="87">
        <v>251</v>
      </c>
      <c r="E10" s="88" t="s">
        <v>52</v>
      </c>
      <c r="F10" s="89" t="s">
        <v>53</v>
      </c>
      <c r="G10" s="90">
        <v>1</v>
      </c>
      <c r="H10" s="91">
        <v>6300</v>
      </c>
      <c r="I10" s="50">
        <f t="shared" ref="I10:I21" si="0">+G10*H10</f>
        <v>6300</v>
      </c>
      <c r="K10" s="150"/>
    </row>
    <row r="11" spans="1:11" ht="38.25" customHeight="1" x14ac:dyDescent="0.2">
      <c r="A11" s="45">
        <v>2</v>
      </c>
      <c r="B11" s="45"/>
      <c r="C11" s="86" t="s">
        <v>94</v>
      </c>
      <c r="D11" s="92">
        <v>295</v>
      </c>
      <c r="E11" s="93" t="s">
        <v>54</v>
      </c>
      <c r="F11" s="89" t="s">
        <v>53</v>
      </c>
      <c r="G11" s="90">
        <v>10</v>
      </c>
      <c r="H11" s="91">
        <v>34000</v>
      </c>
      <c r="I11" s="50">
        <f t="shared" si="0"/>
        <v>340000</v>
      </c>
      <c r="K11" s="150"/>
    </row>
    <row r="12" spans="1:11" ht="37.5" customHeight="1" x14ac:dyDescent="0.2">
      <c r="A12" s="45">
        <v>3</v>
      </c>
      <c r="B12" s="45"/>
      <c r="C12" s="86" t="s">
        <v>94</v>
      </c>
      <c r="D12" s="92">
        <v>295</v>
      </c>
      <c r="E12" s="93" t="s">
        <v>55</v>
      </c>
      <c r="F12" s="94" t="s">
        <v>56</v>
      </c>
      <c r="G12" s="90">
        <v>5</v>
      </c>
      <c r="H12" s="91">
        <v>800</v>
      </c>
      <c r="I12" s="50">
        <f t="shared" si="0"/>
        <v>4000</v>
      </c>
      <c r="K12" s="150"/>
    </row>
    <row r="13" spans="1:11" ht="45" customHeight="1" x14ac:dyDescent="0.2">
      <c r="A13" s="45">
        <v>4</v>
      </c>
      <c r="B13" s="45"/>
      <c r="C13" s="86" t="s">
        <v>94</v>
      </c>
      <c r="D13" s="92">
        <v>295</v>
      </c>
      <c r="E13" s="93" t="s">
        <v>58</v>
      </c>
      <c r="F13" s="89" t="s">
        <v>53</v>
      </c>
      <c r="G13" s="90">
        <v>1</v>
      </c>
      <c r="H13" s="91">
        <v>12500</v>
      </c>
      <c r="I13" s="50">
        <f t="shared" si="0"/>
        <v>12500</v>
      </c>
      <c r="K13" s="150"/>
    </row>
    <row r="14" spans="1:11" ht="40.5" customHeight="1" x14ac:dyDescent="0.2">
      <c r="A14" s="45">
        <v>5</v>
      </c>
      <c r="B14" s="45"/>
      <c r="C14" s="86" t="s">
        <v>94</v>
      </c>
      <c r="D14" s="92">
        <v>295</v>
      </c>
      <c r="E14" s="95" t="s">
        <v>76</v>
      </c>
      <c r="F14" s="89" t="s">
        <v>53</v>
      </c>
      <c r="G14" s="90">
        <v>1</v>
      </c>
      <c r="H14" s="91">
        <v>12500</v>
      </c>
      <c r="I14" s="50">
        <f t="shared" si="0"/>
        <v>12500</v>
      </c>
      <c r="J14" s="96"/>
      <c r="K14" s="150"/>
    </row>
    <row r="15" spans="1:11" ht="41.25" customHeight="1" x14ac:dyDescent="0.2">
      <c r="A15" s="45">
        <v>6</v>
      </c>
      <c r="B15" s="45"/>
      <c r="C15" s="86" t="s">
        <v>94</v>
      </c>
      <c r="D15" s="92">
        <v>295</v>
      </c>
      <c r="E15" s="93" t="s">
        <v>59</v>
      </c>
      <c r="F15" s="89" t="s">
        <v>53</v>
      </c>
      <c r="G15" s="90">
        <v>5</v>
      </c>
      <c r="H15" s="91">
        <v>980</v>
      </c>
      <c r="I15" s="50">
        <f t="shared" si="0"/>
        <v>4900</v>
      </c>
      <c r="K15" s="150"/>
    </row>
    <row r="16" spans="1:11" ht="51" x14ac:dyDescent="0.2">
      <c r="A16" s="45">
        <v>7</v>
      </c>
      <c r="B16" s="45"/>
      <c r="C16" s="86" t="s">
        <v>94</v>
      </c>
      <c r="D16" s="92">
        <v>295</v>
      </c>
      <c r="E16" s="93" t="s">
        <v>60</v>
      </c>
      <c r="F16" s="89" t="s">
        <v>53</v>
      </c>
      <c r="G16" s="90">
        <v>1</v>
      </c>
      <c r="H16" s="91">
        <v>6500</v>
      </c>
      <c r="I16" s="50">
        <f t="shared" si="0"/>
        <v>6500</v>
      </c>
      <c r="K16" s="150"/>
    </row>
    <row r="17" spans="1:11" ht="39" customHeight="1" x14ac:dyDescent="0.2">
      <c r="A17" s="45">
        <v>8</v>
      </c>
      <c r="B17" s="45"/>
      <c r="C17" s="86" t="s">
        <v>94</v>
      </c>
      <c r="D17" s="92">
        <v>295</v>
      </c>
      <c r="E17" s="93" t="s">
        <v>61</v>
      </c>
      <c r="F17" s="89" t="s">
        <v>53</v>
      </c>
      <c r="G17" s="90">
        <v>5</v>
      </c>
      <c r="H17" s="91">
        <v>36970</v>
      </c>
      <c r="I17" s="50">
        <f t="shared" si="0"/>
        <v>184850</v>
      </c>
      <c r="K17" s="150"/>
    </row>
    <row r="18" spans="1:11" ht="51" x14ac:dyDescent="0.2">
      <c r="A18" s="45">
        <v>9</v>
      </c>
      <c r="B18" s="45"/>
      <c r="C18" s="86" t="s">
        <v>94</v>
      </c>
      <c r="D18" s="92">
        <v>234</v>
      </c>
      <c r="E18" s="95" t="s">
        <v>62</v>
      </c>
      <c r="F18" s="89" t="s">
        <v>63</v>
      </c>
      <c r="G18" s="90">
        <v>5</v>
      </c>
      <c r="H18" s="91">
        <v>1580</v>
      </c>
      <c r="I18" s="50">
        <f t="shared" si="0"/>
        <v>7900</v>
      </c>
      <c r="K18" s="150"/>
    </row>
    <row r="19" spans="1:11" ht="39" customHeight="1" x14ac:dyDescent="0.2">
      <c r="A19" s="45">
        <v>10</v>
      </c>
      <c r="B19" s="45"/>
      <c r="C19" s="86" t="s">
        <v>94</v>
      </c>
      <c r="D19" s="92">
        <v>252</v>
      </c>
      <c r="E19" s="93" t="s">
        <v>64</v>
      </c>
      <c r="F19" s="89" t="s">
        <v>53</v>
      </c>
      <c r="G19" s="90">
        <v>40</v>
      </c>
      <c r="H19" s="91">
        <v>6300</v>
      </c>
      <c r="I19" s="50">
        <f t="shared" si="0"/>
        <v>252000</v>
      </c>
      <c r="K19" s="150"/>
    </row>
    <row r="20" spans="1:11" ht="43.5" customHeight="1" x14ac:dyDescent="0.2">
      <c r="A20" s="45">
        <v>11</v>
      </c>
      <c r="B20" s="45"/>
      <c r="C20" s="86" t="s">
        <v>94</v>
      </c>
      <c r="D20" s="92">
        <v>252</v>
      </c>
      <c r="E20" s="93" t="s">
        <v>65</v>
      </c>
      <c r="F20" s="89" t="s">
        <v>53</v>
      </c>
      <c r="G20" s="90">
        <v>20</v>
      </c>
      <c r="H20" s="91">
        <v>12000</v>
      </c>
      <c r="I20" s="50">
        <f t="shared" si="0"/>
        <v>240000</v>
      </c>
      <c r="K20" s="150"/>
    </row>
    <row r="21" spans="1:11" ht="41.25" customHeight="1" x14ac:dyDescent="0.2">
      <c r="A21" s="45">
        <v>12</v>
      </c>
      <c r="B21" s="45"/>
      <c r="C21" s="86" t="s">
        <v>94</v>
      </c>
      <c r="D21" s="92">
        <v>259</v>
      </c>
      <c r="E21" s="95" t="s">
        <v>67</v>
      </c>
      <c r="F21" s="89" t="s">
        <v>66</v>
      </c>
      <c r="G21" s="90">
        <v>24</v>
      </c>
      <c r="H21" s="91">
        <v>90</v>
      </c>
      <c r="I21" s="50">
        <f t="shared" si="0"/>
        <v>2160</v>
      </c>
      <c r="K21" s="150"/>
    </row>
    <row r="22" spans="1:11" ht="38.25" customHeight="1" x14ac:dyDescent="0.2">
      <c r="A22" s="45">
        <v>13</v>
      </c>
      <c r="B22" s="45"/>
      <c r="C22" s="86" t="s">
        <v>94</v>
      </c>
      <c r="D22" s="92">
        <v>295</v>
      </c>
      <c r="E22" s="93" t="s">
        <v>68</v>
      </c>
      <c r="F22" s="89" t="s">
        <v>53</v>
      </c>
      <c r="G22" s="90">
        <v>50</v>
      </c>
      <c r="H22" s="91">
        <v>66</v>
      </c>
      <c r="I22" s="50">
        <f t="shared" ref="I22:I26" si="1">+G22*H22</f>
        <v>3300</v>
      </c>
      <c r="K22" s="150"/>
    </row>
    <row r="23" spans="1:11" ht="39" customHeight="1" x14ac:dyDescent="0.2">
      <c r="A23" s="45">
        <v>14</v>
      </c>
      <c r="B23" s="45"/>
      <c r="C23" s="86" t="s">
        <v>94</v>
      </c>
      <c r="D23" s="92">
        <v>295</v>
      </c>
      <c r="E23" s="93" t="s">
        <v>69</v>
      </c>
      <c r="F23" s="89" t="s">
        <v>57</v>
      </c>
      <c r="G23" s="90">
        <v>1</v>
      </c>
      <c r="H23" s="91">
        <v>38000</v>
      </c>
      <c r="I23" s="50">
        <f t="shared" si="1"/>
        <v>38000</v>
      </c>
      <c r="K23" s="150"/>
    </row>
    <row r="24" spans="1:11" ht="39" customHeight="1" x14ac:dyDescent="0.2">
      <c r="A24" s="45">
        <v>15</v>
      </c>
      <c r="B24" s="45"/>
      <c r="C24" s="86" t="s">
        <v>94</v>
      </c>
      <c r="D24" s="92">
        <v>295</v>
      </c>
      <c r="E24" s="93" t="s">
        <v>70</v>
      </c>
      <c r="F24" s="89" t="s">
        <v>57</v>
      </c>
      <c r="G24" s="90">
        <v>1</v>
      </c>
      <c r="H24" s="91">
        <v>38000</v>
      </c>
      <c r="I24" s="50">
        <f t="shared" si="1"/>
        <v>38000</v>
      </c>
      <c r="K24" s="150"/>
    </row>
    <row r="25" spans="1:11" ht="38.25" customHeight="1" x14ac:dyDescent="0.2">
      <c r="A25" s="45">
        <v>16</v>
      </c>
      <c r="B25" s="45"/>
      <c r="C25" s="86" t="s">
        <v>94</v>
      </c>
      <c r="D25" s="92">
        <v>295</v>
      </c>
      <c r="E25" s="93" t="s">
        <v>71</v>
      </c>
      <c r="F25" s="89" t="s">
        <v>57</v>
      </c>
      <c r="G25" s="90">
        <v>1</v>
      </c>
      <c r="H25" s="91">
        <v>38000</v>
      </c>
      <c r="I25" s="50">
        <f t="shared" si="1"/>
        <v>38000</v>
      </c>
      <c r="K25" s="150"/>
    </row>
    <row r="26" spans="1:11" ht="39" customHeight="1" x14ac:dyDescent="0.2">
      <c r="A26" s="45">
        <v>17</v>
      </c>
      <c r="B26" s="45"/>
      <c r="C26" s="86" t="s">
        <v>94</v>
      </c>
      <c r="D26" s="92">
        <v>295</v>
      </c>
      <c r="E26" s="93" t="s">
        <v>72</v>
      </c>
      <c r="F26" s="89" t="s">
        <v>57</v>
      </c>
      <c r="G26" s="90">
        <v>1</v>
      </c>
      <c r="H26" s="91">
        <v>27000</v>
      </c>
      <c r="I26" s="50">
        <f t="shared" si="1"/>
        <v>27000</v>
      </c>
      <c r="K26" s="150"/>
    </row>
    <row r="28" spans="1:11" ht="13.5" thickBot="1" x14ac:dyDescent="0.25"/>
    <row r="29" spans="1:11" ht="21.75" customHeight="1" x14ac:dyDescent="0.2">
      <c r="B29" s="78" t="s">
        <v>89</v>
      </c>
      <c r="C29" s="79"/>
      <c r="D29" s="79"/>
      <c r="E29" s="80"/>
      <c r="F29" s="37"/>
      <c r="G29" s="37"/>
      <c r="H29" s="38"/>
    </row>
    <row r="30" spans="1:11" ht="18" customHeight="1" x14ac:dyDescent="0.2">
      <c r="B30" s="97" t="s">
        <v>90</v>
      </c>
      <c r="C30" s="98"/>
      <c r="D30" s="98"/>
      <c r="E30" s="99"/>
      <c r="F30" s="37"/>
      <c r="G30" s="39"/>
      <c r="H30" s="38"/>
    </row>
    <row r="31" spans="1:11" ht="10.5" customHeight="1" x14ac:dyDescent="0.2">
      <c r="B31" s="97"/>
      <c r="C31" s="98"/>
      <c r="D31" s="98"/>
      <c r="E31" s="99"/>
      <c r="F31" s="40"/>
      <c r="G31" s="40"/>
      <c r="H31" s="38"/>
    </row>
    <row r="32" spans="1:11" ht="16.5" customHeight="1" x14ac:dyDescent="0.2">
      <c r="B32" s="97" t="s">
        <v>91</v>
      </c>
      <c r="C32" s="98"/>
      <c r="D32" s="98"/>
      <c r="E32" s="99"/>
      <c r="F32" s="40"/>
      <c r="G32" s="40"/>
      <c r="H32" s="38"/>
    </row>
    <row r="33" spans="2:8" ht="15" customHeight="1" x14ac:dyDescent="0.2">
      <c r="B33" s="81" t="s">
        <v>92</v>
      </c>
      <c r="C33" s="82"/>
      <c r="D33" s="83"/>
      <c r="E33" s="84"/>
      <c r="F33" s="40"/>
      <c r="G33" s="40"/>
      <c r="H33" s="38"/>
    </row>
    <row r="34" spans="2:8" ht="13.5" thickBot="1" x14ac:dyDescent="0.25">
      <c r="B34" s="85" t="s">
        <v>93</v>
      </c>
      <c r="C34" s="48"/>
      <c r="D34" s="48"/>
      <c r="E34" s="49"/>
    </row>
  </sheetData>
  <autoFilter ref="A9:I26" xr:uid="{00000000-0009-0000-0000-000000000000}"/>
  <sortState xmlns:xlrd2="http://schemas.microsoft.com/office/spreadsheetml/2017/richdata2" ref="A10:I53">
    <sortCondition ref="E10:E53"/>
  </sortState>
  <mergeCells count="9">
    <mergeCell ref="B30:E31"/>
    <mergeCell ref="B32:E32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9"/>
  <sheetViews>
    <sheetView zoomScale="80" zoomScaleNormal="80" workbookViewId="0">
      <selection activeCell="R29" sqref="R29"/>
    </sheetView>
  </sheetViews>
  <sheetFormatPr baseColWidth="10" defaultColWidth="9.140625" defaultRowHeight="12.75" x14ac:dyDescent="0.2"/>
  <cols>
    <col min="1" max="1" width="5.5703125" style="26" customWidth="1"/>
    <col min="2" max="2" width="15.140625" style="26" customWidth="1"/>
    <col min="3" max="3" width="14.140625" style="26" customWidth="1"/>
    <col min="4" max="4" width="26" style="26" customWidth="1"/>
    <col min="5" max="5" width="8" style="26" customWidth="1"/>
    <col min="6" max="6" width="7.85546875" style="26" customWidth="1"/>
    <col min="7" max="7" width="55.42578125" style="26" customWidth="1"/>
    <col min="8" max="8" width="9.28515625" style="26" customWidth="1"/>
    <col min="9" max="9" width="15.5703125" style="26" customWidth="1"/>
    <col min="10" max="10" width="14.7109375" style="26" customWidth="1"/>
    <col min="11" max="11" width="15.5703125" style="26" customWidth="1"/>
    <col min="12" max="14" width="5.85546875" style="26" customWidth="1"/>
    <col min="15" max="15" width="12.5703125" style="26" customWidth="1"/>
    <col min="16" max="1024" width="9.140625" style="26"/>
    <col min="1025" max="16384" width="9.140625" style="27"/>
  </cols>
  <sheetData>
    <row r="1" spans="1:11" ht="18" customHeight="1" x14ac:dyDescent="0.2">
      <c r="A1" s="103" t="s">
        <v>13</v>
      </c>
      <c r="B1" s="103"/>
      <c r="C1" s="103"/>
      <c r="D1" s="103"/>
      <c r="E1" s="103"/>
      <c r="F1" s="103"/>
      <c r="G1" s="103"/>
      <c r="H1" s="103"/>
      <c r="I1" s="103"/>
      <c r="J1" s="25" t="s">
        <v>14</v>
      </c>
      <c r="K1" s="59" t="s">
        <v>77</v>
      </c>
    </row>
    <row r="2" spans="1:11" ht="18.75" customHeight="1" thickBot="1" x14ac:dyDescent="0.25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8.75" customHeight="1" thickBot="1" x14ac:dyDescent="0.25">
      <c r="A3" s="104" t="s">
        <v>47</v>
      </c>
      <c r="B3" s="104"/>
      <c r="C3" s="104"/>
      <c r="D3" s="105" t="str">
        <f>'Necesidades Trimestrales'!C4</f>
        <v>040 - Ministerio de Salud</v>
      </c>
      <c r="E3" s="105"/>
      <c r="F3" s="105"/>
      <c r="G3" s="105"/>
      <c r="H3" s="105"/>
      <c r="I3" s="105"/>
      <c r="J3" s="105"/>
      <c r="K3" s="105"/>
    </row>
    <row r="4" spans="1:11" ht="18.75" customHeight="1" thickBot="1" x14ac:dyDescent="0.25">
      <c r="A4" s="106" t="s">
        <v>48</v>
      </c>
      <c r="B4" s="106"/>
      <c r="C4" s="106"/>
      <c r="D4" s="105" t="str">
        <f>'Necesidades Trimestrales'!C5</f>
        <v>024 - Hospital Interzonal de Niños</v>
      </c>
      <c r="E4" s="105"/>
      <c r="F4" s="105"/>
      <c r="G4" s="105"/>
      <c r="H4" s="105"/>
      <c r="I4" s="105"/>
      <c r="J4" s="105"/>
      <c r="K4" s="105"/>
    </row>
    <row r="5" spans="1:11" ht="18.75" customHeight="1" thickBot="1" x14ac:dyDescent="0.25">
      <c r="A5" s="106" t="s">
        <v>26</v>
      </c>
      <c r="B5" s="106"/>
      <c r="C5" s="106"/>
      <c r="D5" s="105" t="s">
        <v>84</v>
      </c>
      <c r="E5" s="105"/>
      <c r="F5" s="105"/>
      <c r="G5" s="105"/>
      <c r="H5" s="105"/>
      <c r="I5" s="105"/>
      <c r="J5" s="105"/>
      <c r="K5" s="105"/>
    </row>
    <row r="6" spans="1:11" ht="16.5" customHeight="1" thickBot="1" x14ac:dyDescent="0.25">
      <c r="A6" s="104" t="s">
        <v>49</v>
      </c>
      <c r="B6" s="104"/>
      <c r="C6" s="104"/>
      <c r="D6" s="105" t="s">
        <v>85</v>
      </c>
      <c r="E6" s="105"/>
      <c r="F6" s="105"/>
      <c r="G6" s="105"/>
      <c r="H6" s="105"/>
      <c r="I6" s="105"/>
      <c r="J6" s="105"/>
      <c r="K6" s="105"/>
    </row>
    <row r="7" spans="1:11" ht="16.5" customHeight="1" x14ac:dyDescent="0.2">
      <c r="A7" s="106" t="s">
        <v>15</v>
      </c>
      <c r="B7" s="106"/>
      <c r="C7" s="106"/>
      <c r="D7" s="105" t="s">
        <v>74</v>
      </c>
      <c r="E7" s="105"/>
      <c r="F7" s="105"/>
      <c r="G7" s="105"/>
      <c r="H7" s="105"/>
      <c r="I7" s="105"/>
      <c r="J7" s="105"/>
      <c r="K7" s="105"/>
    </row>
    <row r="8" spans="1:11" ht="16.5" customHeight="1" x14ac:dyDescent="0.2">
      <c r="A8" s="110" t="s">
        <v>16</v>
      </c>
      <c r="B8" s="110"/>
      <c r="C8" s="110"/>
      <c r="D8" s="111" t="s">
        <v>75</v>
      </c>
      <c r="E8" s="111"/>
      <c r="F8" s="111"/>
      <c r="G8" s="111"/>
      <c r="H8" s="111"/>
      <c r="I8" s="111"/>
      <c r="J8" s="111"/>
      <c r="K8" s="111"/>
    </row>
    <row r="9" spans="1:11" ht="15.75" x14ac:dyDescent="0.2">
      <c r="A9" s="30"/>
      <c r="B9" s="30"/>
      <c r="C9" s="30"/>
      <c r="D9" s="31"/>
      <c r="E9" s="31"/>
      <c r="F9" s="31"/>
      <c r="G9" s="31"/>
      <c r="H9" s="31"/>
      <c r="I9" s="31"/>
      <c r="J9" s="31"/>
      <c r="K9" s="31"/>
    </row>
    <row r="10" spans="1:11" ht="18.75" customHeight="1" x14ac:dyDescent="0.2">
      <c r="A10" s="112" t="s">
        <v>17</v>
      </c>
      <c r="B10" s="113" t="s">
        <v>18</v>
      </c>
      <c r="C10" s="113" t="s">
        <v>19</v>
      </c>
      <c r="D10" s="113"/>
      <c r="E10" s="113"/>
      <c r="F10" s="113"/>
      <c r="G10" s="113"/>
      <c r="H10" s="113" t="s">
        <v>20</v>
      </c>
      <c r="I10" s="113" t="s">
        <v>21</v>
      </c>
      <c r="J10" s="113" t="s">
        <v>22</v>
      </c>
      <c r="K10" s="114" t="s">
        <v>23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29.25" customHeight="1" x14ac:dyDescent="0.2">
      <c r="A12" s="60">
        <v>1</v>
      </c>
      <c r="B12" s="61"/>
      <c r="C12" s="109" t="str">
        <f>+'Necesidades Trimestrales'!E10</f>
        <v>ACIDOS; COMPUESTO QUIMICO: AC. CITRICO, ESTADO: SOLIDO, CALIDAD: BIOLOGIA MOLECULAR, CONCENTRACION/PUREZA: 99,99 %, PRESENTACION: ENVASE X 1 Kg</v>
      </c>
      <c r="D12" s="109"/>
      <c r="E12" s="109"/>
      <c r="F12" s="109"/>
      <c r="G12" s="109"/>
      <c r="H12" s="62" t="s">
        <v>51</v>
      </c>
      <c r="I12" s="63" t="str">
        <f>+'Necesidades Trimestrales'!F10</f>
        <v>unidad</v>
      </c>
      <c r="J12" s="64">
        <f>+'Necesidades Trimestrales'!H10</f>
        <v>6300</v>
      </c>
      <c r="K12" s="65">
        <f>'Necesidades Trimestrales'!G10</f>
        <v>1</v>
      </c>
    </row>
    <row r="13" spans="1:11" ht="13.5" customHeight="1" x14ac:dyDescent="0.2">
      <c r="A13" s="66">
        <v>2</v>
      </c>
      <c r="B13" s="67"/>
      <c r="C13" s="115" t="str">
        <f>+'Necesidades Trimestrales'!E11</f>
        <v>BANDEJA PARA HEMOFILTRACION PEDIATRICA – HEMOFILTRO D150</v>
      </c>
      <c r="D13" s="115"/>
      <c r="E13" s="115"/>
      <c r="F13" s="115"/>
      <c r="G13" s="115"/>
      <c r="H13" s="68" t="s">
        <v>51</v>
      </c>
      <c r="I13" s="69" t="str">
        <f>+'Necesidades Trimestrales'!F11</f>
        <v>unidad</v>
      </c>
      <c r="J13" s="70">
        <f>+'Necesidades Trimestrales'!H11</f>
        <v>34000</v>
      </c>
      <c r="K13" s="71">
        <f>'Necesidades Trimestrales'!G11</f>
        <v>10</v>
      </c>
    </row>
    <row r="14" spans="1:11" ht="13.5" customHeight="1" x14ac:dyDescent="0.2">
      <c r="A14" s="66">
        <v>3</v>
      </c>
      <c r="B14" s="67"/>
      <c r="C14" s="115" t="str">
        <f>+'Necesidades Trimestrales'!E12</f>
        <v>Bobina Baja Densidad 30 X 40 rollo x 200 un. Tipo Mapsa</v>
      </c>
      <c r="D14" s="115"/>
      <c r="E14" s="115"/>
      <c r="F14" s="115"/>
      <c r="G14" s="115"/>
      <c r="H14" s="68" t="s">
        <v>51</v>
      </c>
      <c r="I14" s="69" t="str">
        <f>+'Necesidades Trimestrales'!F12</f>
        <v xml:space="preserve">unidad  </v>
      </c>
      <c r="J14" s="70">
        <f>+'Necesidades Trimestrales'!H12</f>
        <v>800</v>
      </c>
      <c r="K14" s="71">
        <f>'Necesidades Trimestrales'!G12</f>
        <v>5</v>
      </c>
    </row>
    <row r="15" spans="1:11" ht="13.5" customHeight="1" x14ac:dyDescent="0.2">
      <c r="A15" s="66">
        <v>4</v>
      </c>
      <c r="B15" s="67"/>
      <c r="C15" s="115" t="str">
        <f>+'Necesidades Trimestrales'!E13</f>
        <v>CATETER DOBLE J 4.7 FR x 26 CM TIPO COOK</v>
      </c>
      <c r="D15" s="115"/>
      <c r="E15" s="115"/>
      <c r="F15" s="115"/>
      <c r="G15" s="115"/>
      <c r="H15" s="68" t="s">
        <v>51</v>
      </c>
      <c r="I15" s="69" t="str">
        <f>+'Necesidades Trimestrales'!F13</f>
        <v>unidad</v>
      </c>
      <c r="J15" s="70">
        <f>+'Necesidades Trimestrales'!H13</f>
        <v>12500</v>
      </c>
      <c r="K15" s="71">
        <f>'Necesidades Trimestrales'!G13</f>
        <v>1</v>
      </c>
    </row>
    <row r="16" spans="1:11" ht="13.5" customHeight="1" x14ac:dyDescent="0.2">
      <c r="A16" s="66">
        <v>5</v>
      </c>
      <c r="B16" s="67"/>
      <c r="C16" s="115" t="str">
        <f>+'Necesidades Trimestrales'!E14</f>
        <v>CATETER DOBLE J 7 FRENCH X 26 CM TIPO COOK</v>
      </c>
      <c r="D16" s="115"/>
      <c r="E16" s="115"/>
      <c r="F16" s="115"/>
      <c r="G16" s="115"/>
      <c r="H16" s="68" t="s">
        <v>51</v>
      </c>
      <c r="I16" s="69" t="str">
        <f>+'Necesidades Trimestrales'!F14</f>
        <v>unidad</v>
      </c>
      <c r="J16" s="70">
        <f>+'Necesidades Trimestrales'!H14</f>
        <v>12500</v>
      </c>
      <c r="K16" s="71">
        <f>'Necesidades Trimestrales'!G14</f>
        <v>1</v>
      </c>
    </row>
    <row r="17" spans="1:11" ht="13.5" customHeight="1" x14ac:dyDescent="0.2">
      <c r="A17" s="66">
        <v>6</v>
      </c>
      <c r="B17" s="67"/>
      <c r="C17" s="115" t="str">
        <f>+'Necesidades Trimestrales'!E15</f>
        <v>CATETERES/SONDAS; NUMERO: SIN, TIPO: TUBO DE LUKEN PARA TOMA DE MUESTRAS</v>
      </c>
      <c r="D17" s="115"/>
      <c r="E17" s="115"/>
      <c r="F17" s="115"/>
      <c r="G17" s="115"/>
      <c r="H17" s="68" t="s">
        <v>51</v>
      </c>
      <c r="I17" s="69" t="str">
        <f>+'Necesidades Trimestrales'!F15</f>
        <v>unidad</v>
      </c>
      <c r="J17" s="70">
        <f>+'Necesidades Trimestrales'!H15</f>
        <v>980</v>
      </c>
      <c r="K17" s="71">
        <f>'Necesidades Trimestrales'!G15</f>
        <v>5</v>
      </c>
    </row>
    <row r="18" spans="1:11" ht="13.5" customHeight="1" x14ac:dyDescent="0.2">
      <c r="A18" s="66">
        <v>7</v>
      </c>
      <c r="B18" s="67"/>
      <c r="C18" s="115" t="str">
        <f>+'Necesidades Trimestrales'!E16</f>
        <v>LUPAS; POTENCIA: 75 Diop, DIAMETRO: 65 mm, MATERIAL LENTE: VIDRIO, ACCESORIO: C/LUZ, ARMAZON: PLASTICO, ESTRUCTURA: PLASTICO</v>
      </c>
      <c r="D18" s="115"/>
      <c r="E18" s="115"/>
      <c r="F18" s="115"/>
      <c r="G18" s="115"/>
      <c r="H18" s="68" t="s">
        <v>51</v>
      </c>
      <c r="I18" s="69" t="str">
        <f>+'Necesidades Trimestrales'!F16</f>
        <v>unidad</v>
      </c>
      <c r="J18" s="70">
        <f>+'Necesidades Trimestrales'!H16</f>
        <v>6500</v>
      </c>
      <c r="K18" s="71">
        <f>'Necesidades Trimestrales'!G16</f>
        <v>1</v>
      </c>
    </row>
    <row r="19" spans="1:11" ht="13.5" customHeight="1" x14ac:dyDescent="0.2">
      <c r="A19" s="66">
        <v>8</v>
      </c>
      <c r="B19" s="67"/>
      <c r="C19" s="115" t="str">
        <f>+'Necesidades Trimestrales'!E17</f>
        <v>MALLA ABSORBIBLE POLIGLICOLICO 30 X 30 TIPO VICRYL</v>
      </c>
      <c r="D19" s="115"/>
      <c r="E19" s="115"/>
      <c r="F19" s="115"/>
      <c r="G19" s="115"/>
      <c r="H19" s="68" t="s">
        <v>51</v>
      </c>
      <c r="I19" s="69" t="str">
        <f>+'Necesidades Trimestrales'!F17</f>
        <v>unidad</v>
      </c>
      <c r="J19" s="70">
        <f>+'Necesidades Trimestrales'!H17</f>
        <v>36970</v>
      </c>
      <c r="K19" s="71">
        <f>'Necesidades Trimestrales'!G17</f>
        <v>5</v>
      </c>
    </row>
    <row r="20" spans="1:11" ht="13.5" customHeight="1" x14ac:dyDescent="0.2">
      <c r="A20" s="66">
        <v>9</v>
      </c>
      <c r="B20" s="67"/>
      <c r="C20" s="115" t="str">
        <f>+'Necesidades Trimestrales'!E18</f>
        <v>PAPEL PARA ELECTROCARDIOGRAFO PAGE WRITER TRIM RESMA TIPO PHILIPS 210 MM X 300 MM X 100 HOJAS</v>
      </c>
      <c r="D20" s="115"/>
      <c r="E20" s="115"/>
      <c r="F20" s="115"/>
      <c r="G20" s="115"/>
      <c r="H20" s="68" t="s">
        <v>51</v>
      </c>
      <c r="I20" s="69" t="str">
        <f>+'Necesidades Trimestrales'!F18</f>
        <v>resma</v>
      </c>
      <c r="J20" s="70">
        <f>+'Necesidades Trimestrales'!H18</f>
        <v>1580</v>
      </c>
      <c r="K20" s="71">
        <f>'Necesidades Trimestrales'!G18</f>
        <v>5</v>
      </c>
    </row>
    <row r="21" spans="1:11" ht="13.5" customHeight="1" x14ac:dyDescent="0.2">
      <c r="A21" s="66">
        <v>10</v>
      </c>
      <c r="B21" s="67"/>
      <c r="C21" s="115" t="str">
        <f>+'Necesidades Trimestrales'!E19</f>
        <v>PASTA CONDUCTORA PARA ELECTRODOS X 226 GRS</v>
      </c>
      <c r="D21" s="115"/>
      <c r="E21" s="115"/>
      <c r="F21" s="115"/>
      <c r="G21" s="115"/>
      <c r="H21" s="68" t="s">
        <v>51</v>
      </c>
      <c r="I21" s="69" t="str">
        <f>+'Necesidades Trimestrales'!F19</f>
        <v>unidad</v>
      </c>
      <c r="J21" s="70">
        <f>+'Necesidades Trimestrales'!H19</f>
        <v>6300</v>
      </c>
      <c r="K21" s="71">
        <f>'Necesidades Trimestrales'!G19</f>
        <v>40</v>
      </c>
    </row>
    <row r="22" spans="1:11" ht="13.5" customHeight="1" x14ac:dyDescent="0.2">
      <c r="A22" s="66">
        <v>11</v>
      </c>
      <c r="B22" s="67"/>
      <c r="C22" s="115" t="str">
        <f>+'Necesidades Trimestrales'!E20</f>
        <v>PASTA CONDUCTORA PARA ELECTRODOS X 400 GRS</v>
      </c>
      <c r="D22" s="115"/>
      <c r="E22" s="115"/>
      <c r="F22" s="115"/>
      <c r="G22" s="115"/>
      <c r="H22" s="68" t="s">
        <v>51</v>
      </c>
      <c r="I22" s="69" t="str">
        <f>+'Necesidades Trimestrales'!F20</f>
        <v>unidad</v>
      </c>
      <c r="J22" s="70">
        <f>+'Necesidades Trimestrales'!H20</f>
        <v>12000</v>
      </c>
      <c r="K22" s="71">
        <f>'Necesidades Trimestrales'!G20</f>
        <v>20</v>
      </c>
    </row>
    <row r="23" spans="1:11" ht="13.5" customHeight="1" x14ac:dyDescent="0.2">
      <c r="A23" s="66">
        <v>12</v>
      </c>
      <c r="B23" s="67"/>
      <c r="C23" s="115" t="str">
        <f>+'Necesidades Trimestrales'!E21</f>
        <v>ROLLO EN PAPEL TERMICO ORIGINALES 57 mm. X 20 mts</v>
      </c>
      <c r="D23" s="115"/>
      <c r="E23" s="115"/>
      <c r="F23" s="115"/>
      <c r="G23" s="115"/>
      <c r="H23" s="68" t="s">
        <v>51</v>
      </c>
      <c r="I23" s="69" t="str">
        <f>+'Necesidades Trimestrales'!F21</f>
        <v>rollo</v>
      </c>
      <c r="J23" s="70">
        <f>+'Necesidades Trimestrales'!H21</f>
        <v>90</v>
      </c>
      <c r="K23" s="71">
        <f>'Necesidades Trimestrales'!G21</f>
        <v>24</v>
      </c>
    </row>
    <row r="24" spans="1:11" ht="13.5" customHeight="1" x14ac:dyDescent="0.2">
      <c r="A24" s="66">
        <v>13</v>
      </c>
      <c r="B24" s="67"/>
      <c r="C24" s="115" t="str">
        <f>+'Necesidades Trimestrales'!E22</f>
        <v>SONDA NELATON DE GOMA Nº 10</v>
      </c>
      <c r="D24" s="115"/>
      <c r="E24" s="115"/>
      <c r="F24" s="115"/>
      <c r="G24" s="115"/>
      <c r="H24" s="68" t="s">
        <v>51</v>
      </c>
      <c r="I24" s="69" t="str">
        <f>+'Necesidades Trimestrales'!F22</f>
        <v>unidad</v>
      </c>
      <c r="J24" s="70">
        <f>+'Necesidades Trimestrales'!H22</f>
        <v>66</v>
      </c>
      <c r="K24" s="71">
        <f>'Necesidades Trimestrales'!G22</f>
        <v>50</v>
      </c>
    </row>
    <row r="25" spans="1:11" ht="13.5" customHeight="1" x14ac:dyDescent="0.2">
      <c r="A25" s="66">
        <v>14</v>
      </c>
      <c r="B25" s="67"/>
      <c r="C25" s="115" t="str">
        <f>+'Necesidades Trimestrales'!E23</f>
        <v>TROCAR D/BIOPSIA D/MEDULA OSEA NEONATAL T/MONOJET- x 10 UNIDADES</v>
      </c>
      <c r="D25" s="115"/>
      <c r="E25" s="115"/>
      <c r="F25" s="115"/>
      <c r="G25" s="115"/>
      <c r="H25" s="68" t="s">
        <v>51</v>
      </c>
      <c r="I25" s="69" t="str">
        <f>+'Necesidades Trimestrales'!F23</f>
        <v>caja</v>
      </c>
      <c r="J25" s="70">
        <f>+'Necesidades Trimestrales'!H23</f>
        <v>38000</v>
      </c>
      <c r="K25" s="71">
        <f>'Necesidades Trimestrales'!G23</f>
        <v>1</v>
      </c>
    </row>
    <row r="26" spans="1:11" ht="13.5" customHeight="1" x14ac:dyDescent="0.2">
      <c r="A26" s="66">
        <v>15</v>
      </c>
      <c r="B26" s="67"/>
      <c r="C26" s="115" t="str">
        <f>+'Necesidades Trimestrales'!E24</f>
        <v>TROCAR D/BIOPSIA D/MEDULA OSEA PEDIATRICO T/MONOJE X 10 UNIDADES</v>
      </c>
      <c r="D26" s="115"/>
      <c r="E26" s="115"/>
      <c r="F26" s="115"/>
      <c r="G26" s="115"/>
      <c r="H26" s="68" t="s">
        <v>51</v>
      </c>
      <c r="I26" s="69" t="str">
        <f>+'Necesidades Trimestrales'!F24</f>
        <v>caja</v>
      </c>
      <c r="J26" s="70">
        <f>+'Necesidades Trimestrales'!H24</f>
        <v>38000</v>
      </c>
      <c r="K26" s="71">
        <f>'Necesidades Trimestrales'!G24</f>
        <v>1</v>
      </c>
    </row>
    <row r="27" spans="1:11" ht="13.5" customHeight="1" x14ac:dyDescent="0.2">
      <c r="A27" s="66">
        <v>16</v>
      </c>
      <c r="B27" s="67"/>
      <c r="C27" s="115" t="str">
        <f>+'Necesidades Trimestrales'!E25</f>
        <v>TROCAR D/PUNCION ASP.D/MEDULA OSEA NEONATAL T/GALL X 10 UNIDADES</v>
      </c>
      <c r="D27" s="115"/>
      <c r="E27" s="115"/>
      <c r="F27" s="115"/>
      <c r="G27" s="115"/>
      <c r="H27" s="68" t="s">
        <v>51</v>
      </c>
      <c r="I27" s="69" t="str">
        <f>+'Necesidades Trimestrales'!F25</f>
        <v>caja</v>
      </c>
      <c r="J27" s="70">
        <f>+'Necesidades Trimestrales'!H25</f>
        <v>38000</v>
      </c>
      <c r="K27" s="71">
        <f>'Necesidades Trimestrales'!G25</f>
        <v>1</v>
      </c>
    </row>
    <row r="28" spans="1:11" ht="13.5" customHeight="1" thickBot="1" x14ac:dyDescent="0.25">
      <c r="A28" s="72">
        <v>17</v>
      </c>
      <c r="B28" s="73"/>
      <c r="C28" s="116" t="str">
        <f>+'Necesidades Trimestrales'!E26</f>
        <v>TROCAR D/PUNCION ASP.D/MEDULA OSEA PEDIATRICO T/GA X 10 UNIDADES</v>
      </c>
      <c r="D28" s="116"/>
      <c r="E28" s="116"/>
      <c r="F28" s="116"/>
      <c r="G28" s="116"/>
      <c r="H28" s="74" t="s">
        <v>51</v>
      </c>
      <c r="I28" s="75" t="str">
        <f>+'Necesidades Trimestrales'!F26</f>
        <v>caja</v>
      </c>
      <c r="J28" s="76">
        <f>+'Necesidades Trimestrales'!H26</f>
        <v>27000</v>
      </c>
      <c r="K28" s="77">
        <f>'Necesidades Trimestrales'!G26</f>
        <v>1</v>
      </c>
    </row>
    <row r="29" spans="1:11" ht="16.5" thickBot="1" x14ac:dyDescent="0.25">
      <c r="A29" s="107" t="s">
        <v>87</v>
      </c>
      <c r="B29" s="107"/>
      <c r="C29" s="107"/>
      <c r="D29" s="107"/>
      <c r="E29" s="107"/>
      <c r="F29" s="107"/>
      <c r="G29" s="107"/>
      <c r="H29" s="107"/>
      <c r="I29" s="107"/>
      <c r="J29" s="108">
        <f>SUMPRODUCT(J12:J28,K12:K28)</f>
        <v>1217910</v>
      </c>
      <c r="K29" s="108"/>
    </row>
  </sheetData>
  <mergeCells count="39">
    <mergeCell ref="C28:G28"/>
    <mergeCell ref="C24:G24"/>
    <mergeCell ref="C25:G25"/>
    <mergeCell ref="C26:G26"/>
    <mergeCell ref="C27:G27"/>
    <mergeCell ref="C14:G14"/>
    <mergeCell ref="C23:G23"/>
    <mergeCell ref="C21:G21"/>
    <mergeCell ref="C22:G22"/>
    <mergeCell ref="C18:G18"/>
    <mergeCell ref="C19:G19"/>
    <mergeCell ref="C20:G20"/>
    <mergeCell ref="A29:I29"/>
    <mergeCell ref="J29:K29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5:G15"/>
    <mergeCell ref="C16:G16"/>
    <mergeCell ref="C17:G17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22" zoomScale="130" zoomScaleNormal="130" workbookViewId="0">
      <selection activeCell="Q15" sqref="Q15:Q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7" t="s">
        <v>3</v>
      </c>
      <c r="B1" s="117"/>
      <c r="C1" s="117"/>
      <c r="D1" s="118">
        <f>'Necesidades Trimestrales'!C6</f>
        <v>2022</v>
      </c>
      <c r="E1" s="118"/>
      <c r="F1" s="3"/>
      <c r="G1" s="3"/>
      <c r="H1" s="4"/>
      <c r="I1" s="4"/>
      <c r="J1" s="4"/>
      <c r="K1" s="4"/>
      <c r="L1" s="4"/>
      <c r="M1" s="4"/>
      <c r="N1" s="4"/>
      <c r="P1" s="119" t="s">
        <v>24</v>
      </c>
      <c r="Q1" s="11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19"/>
      <c r="Q2" s="119"/>
    </row>
    <row r="4" spans="1:17" s="5" customFormat="1" ht="18" customHeight="1" thickBot="1" x14ac:dyDescent="0.25">
      <c r="A4" s="120" t="s">
        <v>25</v>
      </c>
      <c r="B4" s="120"/>
      <c r="C4" s="120"/>
      <c r="D4" s="120"/>
      <c r="E4" s="120"/>
      <c r="F4" s="120"/>
      <c r="G4" s="121" t="str">
        <f>' NotaPedido'!D3</f>
        <v>040 - Ministerio de Salud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s="5" customFormat="1" ht="18" customHeight="1" thickBot="1" x14ac:dyDescent="0.25">
      <c r="A5" s="122" t="s">
        <v>48</v>
      </c>
      <c r="B5" s="123"/>
      <c r="C5" s="123"/>
      <c r="D5" s="123"/>
      <c r="E5" s="123"/>
      <c r="F5" s="124"/>
      <c r="G5" s="125" t="str">
        <f>' NotaPedido'!D4</f>
        <v>024 - Hospital Interzonal de Niños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5" customFormat="1" ht="18" customHeight="1" thickBot="1" x14ac:dyDescent="0.25">
      <c r="A6" s="122" t="s">
        <v>26</v>
      </c>
      <c r="B6" s="123"/>
      <c r="C6" s="123"/>
      <c r="D6" s="123"/>
      <c r="E6" s="123"/>
      <c r="F6" s="124"/>
      <c r="G6" s="125" t="str">
        <f>' NotaPedido'!D5</f>
        <v>024 - Hospital Interzonal de Niños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5" customFormat="1" ht="18" customHeight="1" thickBot="1" x14ac:dyDescent="0.25">
      <c r="A7" s="122" t="s">
        <v>49</v>
      </c>
      <c r="B7" s="123"/>
      <c r="C7" s="123"/>
      <c r="D7" s="123"/>
      <c r="E7" s="123"/>
      <c r="F7" s="124"/>
      <c r="G7" s="125" t="str">
        <f>' NotaPedido'!D6</f>
        <v>Farmacia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25">
      <c r="A8" s="126" t="s">
        <v>27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 x14ac:dyDescent="0.2">
      <c r="A9" s="133" t="s">
        <v>28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6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052/2022,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5" t="s">
        <v>29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thickBot="1" x14ac:dyDescent="0.25">
      <c r="A13" s="136" t="s">
        <v>30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31</v>
      </c>
      <c r="P13" s="137"/>
      <c r="Q13" s="139" t="s">
        <v>32</v>
      </c>
    </row>
    <row r="14" spans="1:17" ht="15.75" customHeight="1" thickBot="1" x14ac:dyDescent="0.25">
      <c r="A14" s="52" t="s">
        <v>33</v>
      </c>
      <c r="B14" s="53" t="s">
        <v>34</v>
      </c>
      <c r="C14" s="53" t="s">
        <v>35</v>
      </c>
      <c r="D14" s="53" t="s">
        <v>36</v>
      </c>
      <c r="E14" s="53" t="s">
        <v>37</v>
      </c>
      <c r="F14" s="53" t="s">
        <v>38</v>
      </c>
      <c r="G14" s="54" t="s">
        <v>39</v>
      </c>
      <c r="H14" s="53" t="s">
        <v>40</v>
      </c>
      <c r="I14" s="53" t="s">
        <v>41</v>
      </c>
      <c r="J14" s="53" t="s">
        <v>42</v>
      </c>
      <c r="K14" s="53" t="s">
        <v>42</v>
      </c>
      <c r="L14" s="53" t="s">
        <v>43</v>
      </c>
      <c r="M14" s="55" t="s">
        <v>44</v>
      </c>
      <c r="N14" s="56" t="s">
        <v>45</v>
      </c>
      <c r="O14" s="138"/>
      <c r="P14" s="138"/>
      <c r="Q14" s="140"/>
    </row>
    <row r="15" spans="1:17" ht="17.25" customHeight="1" x14ac:dyDescent="0.2">
      <c r="A15" s="11">
        <v>36</v>
      </c>
      <c r="B15" s="12"/>
      <c r="C15" s="12"/>
      <c r="D15" s="12">
        <v>1</v>
      </c>
      <c r="E15" s="12"/>
      <c r="F15" s="12">
        <v>4901</v>
      </c>
      <c r="G15" s="12">
        <v>3</v>
      </c>
      <c r="H15" s="12">
        <v>310</v>
      </c>
      <c r="I15" s="57">
        <v>2</v>
      </c>
      <c r="J15" s="57">
        <v>3</v>
      </c>
      <c r="K15" s="57">
        <v>4</v>
      </c>
      <c r="L15" s="12"/>
      <c r="M15" s="13">
        <v>1</v>
      </c>
      <c r="N15" s="12" t="s">
        <v>78</v>
      </c>
      <c r="O15" s="127" t="s">
        <v>79</v>
      </c>
      <c r="P15" s="128"/>
      <c r="Q15" s="51">
        <v>7900</v>
      </c>
    </row>
    <row r="16" spans="1:17" ht="17.25" customHeight="1" x14ac:dyDescent="0.2">
      <c r="A16" s="11">
        <v>36</v>
      </c>
      <c r="B16" s="12"/>
      <c r="C16" s="12"/>
      <c r="D16" s="12">
        <v>1</v>
      </c>
      <c r="E16" s="12"/>
      <c r="F16" s="14">
        <v>4901</v>
      </c>
      <c r="G16" s="12">
        <v>3</v>
      </c>
      <c r="H16" s="12">
        <v>310</v>
      </c>
      <c r="I16" s="57">
        <v>2</v>
      </c>
      <c r="J16" s="57">
        <v>5</v>
      </c>
      <c r="K16" s="57">
        <v>1</v>
      </c>
      <c r="L16" s="12"/>
      <c r="M16" s="13">
        <v>1</v>
      </c>
      <c r="N16" s="14" t="s">
        <v>78</v>
      </c>
      <c r="O16" s="129" t="s">
        <v>80</v>
      </c>
      <c r="P16" s="130"/>
      <c r="Q16" s="15">
        <v>6300</v>
      </c>
    </row>
    <row r="17" spans="1:18" ht="22.5" customHeight="1" x14ac:dyDescent="0.2">
      <c r="A17" s="11">
        <v>36</v>
      </c>
      <c r="B17" s="12"/>
      <c r="C17" s="12"/>
      <c r="D17" s="12">
        <v>1</v>
      </c>
      <c r="E17" s="12"/>
      <c r="F17" s="12">
        <v>4901</v>
      </c>
      <c r="G17" s="12">
        <v>3</v>
      </c>
      <c r="H17" s="12">
        <v>310</v>
      </c>
      <c r="I17" s="57">
        <v>2</v>
      </c>
      <c r="J17" s="57">
        <v>5</v>
      </c>
      <c r="K17" s="57">
        <v>2</v>
      </c>
      <c r="L17" s="12"/>
      <c r="M17" s="13">
        <v>1</v>
      </c>
      <c r="N17" s="14" t="s">
        <v>78</v>
      </c>
      <c r="O17" s="131" t="s">
        <v>81</v>
      </c>
      <c r="P17" s="132"/>
      <c r="Q17" s="15">
        <v>492000</v>
      </c>
    </row>
    <row r="18" spans="1:18" ht="26.25" customHeight="1" x14ac:dyDescent="0.2">
      <c r="A18" s="11">
        <v>36</v>
      </c>
      <c r="B18" s="12"/>
      <c r="C18" s="12"/>
      <c r="D18" s="12">
        <v>1</v>
      </c>
      <c r="E18" s="12"/>
      <c r="F18" s="14">
        <v>4901</v>
      </c>
      <c r="G18" s="12">
        <v>3</v>
      </c>
      <c r="H18" s="12">
        <v>310</v>
      </c>
      <c r="I18" s="57">
        <v>2</v>
      </c>
      <c r="J18" s="57">
        <v>5</v>
      </c>
      <c r="K18" s="57">
        <v>9</v>
      </c>
      <c r="L18" s="12"/>
      <c r="M18" s="13">
        <v>1</v>
      </c>
      <c r="N18" s="14" t="s">
        <v>78</v>
      </c>
      <c r="O18" s="131" t="s">
        <v>82</v>
      </c>
      <c r="P18" s="132"/>
      <c r="Q18" s="15">
        <v>2160</v>
      </c>
    </row>
    <row r="19" spans="1:18" ht="25.5" customHeight="1" x14ac:dyDescent="0.2">
      <c r="A19" s="11">
        <v>36</v>
      </c>
      <c r="B19" s="12"/>
      <c r="C19" s="12"/>
      <c r="D19" s="12">
        <v>1</v>
      </c>
      <c r="E19" s="12"/>
      <c r="F19" s="14">
        <v>4901</v>
      </c>
      <c r="G19" s="12">
        <v>3</v>
      </c>
      <c r="H19" s="12">
        <v>310</v>
      </c>
      <c r="I19" s="57">
        <v>2</v>
      </c>
      <c r="J19" s="57">
        <v>9</v>
      </c>
      <c r="K19" s="57">
        <v>5</v>
      </c>
      <c r="L19" s="12"/>
      <c r="M19" s="13">
        <v>1</v>
      </c>
      <c r="N19" s="14" t="s">
        <v>78</v>
      </c>
      <c r="O19" s="131" t="s">
        <v>83</v>
      </c>
      <c r="P19" s="132"/>
      <c r="Q19" s="15">
        <v>709550</v>
      </c>
    </row>
    <row r="20" spans="1:18" ht="17.25" customHeight="1" x14ac:dyDescent="0.2">
      <c r="A20" s="16"/>
      <c r="B20" s="17"/>
      <c r="C20" s="17"/>
      <c r="D20" s="17"/>
      <c r="E20" s="17"/>
      <c r="F20" s="18"/>
      <c r="G20" s="17"/>
      <c r="H20" s="17"/>
      <c r="I20" s="17"/>
      <c r="J20" s="17"/>
      <c r="K20" s="17"/>
      <c r="L20" s="17"/>
      <c r="M20" s="19"/>
      <c r="N20" s="20"/>
      <c r="O20" s="145"/>
      <c r="P20" s="145"/>
      <c r="Q20" s="15"/>
      <c r="R20" s="1"/>
    </row>
    <row r="21" spans="1:18" ht="17.25" customHeight="1" thickBot="1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2"/>
      <c r="O21" s="146"/>
      <c r="P21" s="146"/>
      <c r="Q21" s="24"/>
    </row>
    <row r="22" spans="1:18" ht="29.25" customHeight="1" thickBot="1" x14ac:dyDescent="0.25">
      <c r="A22" s="147" t="s">
        <v>86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58">
        <f>SUM(Q15:Q21)</f>
        <v>1217910</v>
      </c>
    </row>
    <row r="23" spans="1:18" ht="18" customHeight="1" thickBot="1" x14ac:dyDescent="0.25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</row>
    <row r="24" spans="1:18" ht="17.25" customHeight="1" x14ac:dyDescent="0.2">
      <c r="A24" s="141" t="s">
        <v>46</v>
      </c>
      <c r="B24" s="142"/>
      <c r="C24" s="142"/>
      <c r="D24" s="142"/>
      <c r="E24" s="142"/>
      <c r="F24" s="142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</row>
    <row r="25" spans="1:18" ht="18" customHeight="1" thickBot="1" x14ac:dyDescent="0.25">
      <c r="A25" s="144" t="s">
        <v>88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</row>
    <row r="26" spans="1:18" ht="1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2022-05-02T13:37:31Z</cp:lastPrinted>
  <dcterms:created xsi:type="dcterms:W3CDTF">2020-07-17T23:44:49Z</dcterms:created>
  <dcterms:modified xsi:type="dcterms:W3CDTF">2022-05-19T14:40:28Z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