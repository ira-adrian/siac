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0B9A5AF6-A045-4F49-851D-48A1F360A9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67" i="2" l="1"/>
  <c r="M67" i="2"/>
</calcChain>
</file>

<file path=xl/sharedStrings.xml><?xml version="1.0" encoding="utf-8"?>
<sst xmlns="http://schemas.openxmlformats.org/spreadsheetml/2006/main" count="363" uniqueCount="231">
  <si>
    <t>Número expediente:</t>
  </si>
  <si>
    <t>EX-2022-00737090-   -CAT-DPCBS#MEC</t>
  </si>
  <si>
    <t>Número proceso de compra:</t>
  </si>
  <si>
    <t>100-0076-CDI22</t>
  </si>
  <si>
    <t>Nombre descriptivo proceso de compra:</t>
  </si>
  <si>
    <t>ADQUISICION DE TINTAS Y TONER (MAEMA-MP25M-PC)</t>
  </si>
  <si>
    <t>Unidad Operativa de Compras:</t>
  </si>
  <si>
    <t>Secretaria de Compras y Abastecimiento</t>
  </si>
  <si>
    <t>Fecha de Apertura:</t>
  </si>
  <si>
    <t>13/05/2022</t>
  </si>
  <si>
    <t>Renglón</t>
  </si>
  <si>
    <t>MIGUEL ANGEL MURO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</si>
  <si>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</si>
  <si>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</si>
  <si>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</si>
  <si>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</si>
  <si>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</si>
  <si>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</si>
  <si>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</si>
  <si>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</si>
  <si>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</si>
  <si>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</si>
  <si>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</si>
  <si>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2.9.6-401.2370 </t>
  </si>
  <si>
    <t xml:space="preserve">CARTUCHOS DE TONER; CODIGO: 006R01512, USO: XEROX </t>
  </si>
  <si>
    <t xml:space="preserve">UNIDAD </t>
  </si>
  <si>
    <t xml:space="preserve">2 </t>
  </si>
  <si>
    <t xml:space="preserve">2.9.6-401.350 </t>
  </si>
  <si>
    <t xml:space="preserve">CARTUCHOS DE TONER; CODIGO: HP92295A, PRODUCTO: TONER, USO: BROTHER, COLOR: 
NEGRO, DESCRIPCION: TONER </t>
  </si>
  <si>
    <t xml:space="preserve">3 </t>
  </si>
  <si>
    <t xml:space="preserve">2.9.6-401.1171 </t>
  </si>
  <si>
    <t xml:space="preserve">CARTUCHOS DE TONER; CODIGO: 1022, USO: HEWLETT PACKARD </t>
  </si>
  <si>
    <t xml:space="preserve">CARTUCHOS DE TONER; CODIGO: 1022, USO: HEWLETT PACKARD; TONER: ALTERNATIVO; 
COLOR: NEGRO- MARCA: GLOBAL   </t>
  </si>
  <si>
    <t xml:space="preserve">4 </t>
  </si>
  <si>
    <t xml:space="preserve">2.9.6-401.1213 </t>
  </si>
  <si>
    <t xml:space="preserve">CARTUCHOS DE TONER; CODIGO: DR 350, USO: BROTHER 2070 </t>
  </si>
  <si>
    <t xml:space="preserve">CARTUCHOS DE TONER; CODIGO: DR 350, USO: BROTHER 2070; TONER: 
ALTERNATIVO; COLOR: NEGRO - MARCA: GNEISS  </t>
  </si>
  <si>
    <t xml:space="preserve">5 </t>
  </si>
  <si>
    <t xml:space="preserve">2.9.6-401.1240 </t>
  </si>
  <si>
    <t xml:space="preserve">CARTUCHOS DE TONER; CODIGO: Q6003A, USO: HP LASER JET 2605DN 
</t>
  </si>
  <si>
    <t xml:space="preserve">CARTUCHOS DE TONER HP 124A M, COMPATIBLE CON Q6003A, USO: 
HP LASER JET 2605DN- TONER: ALTERNATIVO - COLOR: NEGRO - 
MARCA: GNEISS  </t>
  </si>
  <si>
    <t xml:space="preserve">6 </t>
  </si>
  <si>
    <t xml:space="preserve">2.9.6-401.1276 </t>
  </si>
  <si>
    <t xml:space="preserve">CARTUCHOS DE TONER; CODIGO: ML 1640, USO: SAMSUNG </t>
  </si>
  <si>
    <t xml:space="preserve">CARTUCHOS DE TONER; CODIGO: ML 1640, USO: SAMSUNG; TONER: ALTERNATIVO; 
COLOR: NEGRO - MARCA: GLOBAL  </t>
  </si>
  <si>
    <t xml:space="preserve">7 </t>
  </si>
  <si>
    <t xml:space="preserve">2.9.6-401.1293 </t>
  </si>
  <si>
    <t xml:space="preserve">CARTUCHOS DE TONER; CODIGO: 8436A, USO: HP LASER JET 1505 
</t>
  </si>
  <si>
    <t xml:space="preserve">CARTUCHOS DE TONER 85A-35A-36A COMPATIBLE CON CARTUCHO DE TONER CODIGO: 
8436A, USO: HP LASER JET 1505; TONER: ALTERNATIVO; COLOR: NEGRO 
- MARCA: GNEISS  </t>
  </si>
  <si>
    <t xml:space="preserve">8 </t>
  </si>
  <si>
    <t xml:space="preserve">2.9.6-401.1481 </t>
  </si>
  <si>
    <t xml:space="preserve">CARTUCHOS DE TONER; CODIGO: HP 12A, USO: HEWLETT PACKARD </t>
  </si>
  <si>
    <t xml:space="preserve">CARTUCHOS DE TONER; CODIGO: C 2612, USO: HP LASER JET 
1022- TONER: ALTERNATIVO- COLOR: NEGRO - MARCA: GNEISS  </t>
  </si>
  <si>
    <t xml:space="preserve">9 </t>
  </si>
  <si>
    <t xml:space="preserve">2.9.6-401.1721 </t>
  </si>
  <si>
    <t xml:space="preserve">CARTUCHOS DE TONER; CODIGO: P1102W-85-A, USO: HEWLETT PACKARD </t>
  </si>
  <si>
    <t xml:space="preserve">CARTUCHOS DE TONER; CODIGO: P1102W-85-A, USO: HEWLETT PACKARD-TONER: ALTERNATIVO COLOR: 
NEGRO - MARCA: GNEISS  </t>
  </si>
  <si>
    <t xml:space="preserve">10 </t>
  </si>
  <si>
    <t xml:space="preserve">2.9.6-401.1924 </t>
  </si>
  <si>
    <t xml:space="preserve">CARTUCHOS DE TONER; CODIGO: HP932, USO: HP OFFICEJET 7610 </t>
  </si>
  <si>
    <t xml:space="preserve">CARTUCHOS DE TONER; CODIGO: HP932, USO: HP OFFICEJET 7610-TONER: ALTERNATIVO 
- COLOR: NEGRO - MARCA: GNEISS.   </t>
  </si>
  <si>
    <t xml:space="preserve">11 </t>
  </si>
  <si>
    <t xml:space="preserve">2.9.6-401.1937 </t>
  </si>
  <si>
    <t xml:space="preserve">CARTUCHOS DE TONER; CODIGO: CE314A, USO: HP LASERJET PRO CP 
1025 </t>
  </si>
  <si>
    <t xml:space="preserve">CARTUCHOS DE TONER; CODIGO: CE314A, USO: HP LASERJET PRO CP 
1025- TONER: ALTERNATIVO COLOR: NEGRO - MARCA: GLOBAL  </t>
  </si>
  <si>
    <t xml:space="preserve">12 </t>
  </si>
  <si>
    <t xml:space="preserve">2.9.6-401.2006 </t>
  </si>
  <si>
    <t xml:space="preserve">CARTUCHOS DE TONER; CODIGO: CE285D, USO: HP LASER JET 1102 
N </t>
  </si>
  <si>
    <t xml:space="preserve">CARTUCHOS DE TONER; CODIGO: CE285D, USO: HP LASER JET 1102 
N- TONER: ALTERNATIVO - COLOR: NEGRO- MARCA: GNEISS .  
 </t>
  </si>
  <si>
    <t xml:space="preserve">13 </t>
  </si>
  <si>
    <t xml:space="preserve">2.9.6-401.2045 </t>
  </si>
  <si>
    <t xml:space="preserve">CARTUCHOS DE TONER; CODIGO: TN 1060, USO: BROTHER </t>
  </si>
  <si>
    <t xml:space="preserve">CARTUCHOS DE TONER; CODIGO: TN 1060, USO: BROTHER- TONER: ALTERNATIVO- 
COLOR: NEGRO - MARCA: GLOBAL  </t>
  </si>
  <si>
    <t xml:space="preserve">14 </t>
  </si>
  <si>
    <t xml:space="preserve">2.9.6-401.2173 </t>
  </si>
  <si>
    <t xml:space="preserve">CARTUCHOS DE TONER; CODIGO: 51645A, USO: HP DESKJET 895 CXI 
</t>
  </si>
  <si>
    <t xml:space="preserve">CARTUCHOS DE TONER; CODIGO: 51645A, USO: HP DESKJET 895 CXI- 
TONER: ALTERNATIVO - COLOR: NEGRO - MARCA: GNEISS.  </t>
  </si>
  <si>
    <t xml:space="preserve">15 </t>
  </si>
  <si>
    <t xml:space="preserve">2.9.6-401.2193 </t>
  </si>
  <si>
    <t xml:space="preserve">CARTUCHOS DE TONER; CODIGO: SP 310 DNW, USO: LASER RICOH 
</t>
  </si>
  <si>
    <t xml:space="preserve">CARTUCHOS DE TONER; CODIGO: SP 310 DNW, USO: LASER RICOH- 
TONER: ALTERNATIVO - COLOR: NEGRO - MARCA: GNEISS  </t>
  </si>
  <si>
    <t xml:space="preserve">16 </t>
  </si>
  <si>
    <t xml:space="preserve">2.9.6-401.2239 </t>
  </si>
  <si>
    <t xml:space="preserve">CARTUCHOS DE TONER; CODIGO: P2035N, USO: HEWLETT PACKARD </t>
  </si>
  <si>
    <t xml:space="preserve">CARTUCHOS DE TONER 05A- 80A COMPATIBLE CON CARTUCHO DE TONER; 
CODIGO: P2035N, USO: HEWLETT PACKARD- TONER: ALTERNATIVO - COLOR: NEGRO 
  </t>
  </si>
  <si>
    <t xml:space="preserve">17 </t>
  </si>
  <si>
    <t xml:space="preserve">2.9.6-401.2326 </t>
  </si>
  <si>
    <t xml:space="preserve">CARTUCHOS DE TONER; CODIGO: SPC830DN, USO: RICOH </t>
  </si>
  <si>
    <t xml:space="preserve">Toner Alternativo Ricoh Aficio Sp C830dn C831dn Negro. MARCA CET 
</t>
  </si>
  <si>
    <t xml:space="preserve">18 </t>
  </si>
  <si>
    <t xml:space="preserve">2.9.6-401.236 </t>
  </si>
  <si>
    <t xml:space="preserve">CARTUCHOS DE TONER; CODIGO: 51644M, COLOR: MAGENTA, PRODUCTO: TONER, USO: 
HEWLETT PACKARD, DESCRIPCION: TONER </t>
  </si>
  <si>
    <t xml:space="preserve">19 </t>
  </si>
  <si>
    <t xml:space="preserve">2.9.6-401.9 </t>
  </si>
  <si>
    <t xml:space="preserve">CARTUCHOS DE TONER; COLOR: NEGRO, PRODUCTO: PRINT, USO: EPSON, CODIGO: 
51011, DESCRIPCION: PRINT </t>
  </si>
  <si>
    <t xml:space="preserve">20 </t>
  </si>
  <si>
    <t xml:space="preserve">2.9.6-401.2228 </t>
  </si>
  <si>
    <t xml:space="preserve">CARTUCHOS DE TONER; CODIGO: CF217A, USO: HP LASERJET MFP </t>
  </si>
  <si>
    <t xml:space="preserve">CARTUCHOS DE TONER; CODIGO: CF217A, USO: HP LASERJET MFP- TONER: 
ALTERNATIVO - COLOR: NEGRO - MARCA: GNEISS.  </t>
  </si>
  <si>
    <t xml:space="preserve">21 </t>
  </si>
  <si>
    <t xml:space="preserve">2.9.6-401.1907 </t>
  </si>
  <si>
    <t xml:space="preserve">CARTUCHOS DE TONER; CODIGO: AL 2031, USO: SHARP </t>
  </si>
  <si>
    <t xml:space="preserve">22 </t>
  </si>
  <si>
    <t xml:space="preserve">2.9.6-401.2371 </t>
  </si>
  <si>
    <t xml:space="preserve">CARTUCHOS DE TONER; CODIGO: 006R01511, USO: XEROX </t>
  </si>
  <si>
    <t xml:space="preserve">23 </t>
  </si>
  <si>
    <t xml:space="preserve">2.9.6-401.2238 </t>
  </si>
  <si>
    <t xml:space="preserve">CARTUCHOS DE TONER; CODIGO: P1102W, USO: HEWLETT PACKARD </t>
  </si>
  <si>
    <t xml:space="preserve">CARTUCHOS DE TONER; CODIGO: P1102W, USO: HEWLETT PACKARD- TONER: ALTERNATIVO 
- COLOR: NEGRO - MARCA: GLOBAL   </t>
  </si>
  <si>
    <t xml:space="preserve">24 </t>
  </si>
  <si>
    <t xml:space="preserve">2.9.6-401.1311 </t>
  </si>
  <si>
    <t xml:space="preserve">CARTUCHOS DE TONER; CODIGO: C 2612, USO: HP LASER JET 
1022 </t>
  </si>
  <si>
    <t xml:space="preserve">25 </t>
  </si>
  <si>
    <t xml:space="preserve">2.9.6-401.2287 </t>
  </si>
  <si>
    <t xml:space="preserve">CARTUCHOS DE TONER; CODIGO: C404S, USO: SAMSUNG </t>
  </si>
  <si>
    <t xml:space="preserve">CARTUCHOS DE TONER; CODIGO: C404S, USO: SAMSUNG- TONER: ALTERNATIVO - 
COLOR: NEGRO - MARCA: GLOBAL  </t>
  </si>
  <si>
    <t xml:space="preserve">26 </t>
  </si>
  <si>
    <t xml:space="preserve">2.9.6-401.2267 </t>
  </si>
  <si>
    <t xml:space="preserve">CARTUCHOS DE TONER; CODIGO: 133/135, USO: EPSON </t>
  </si>
  <si>
    <t xml:space="preserve">CARTUCHOS DE TONER; CODIGO: 133/135, USO: EPSON- TONER: ATERNATIVO - 
COLOR: NEGRO - MARCA: GLOBAL  </t>
  </si>
  <si>
    <t xml:space="preserve">27 </t>
  </si>
  <si>
    <t xml:space="preserve">2.9.6-401.1958 </t>
  </si>
  <si>
    <t xml:space="preserve">CARTUCHOS DE TONER; CODIGO: 504, USO: LEXMARK </t>
  </si>
  <si>
    <t xml:space="preserve">CARTUCHOS DE TONER 310 COMPATIBLE CON  CARTUCHO DE TONER 
CODIGO: 504, USO: LEXMARK- TONER: ALTERNATIVO- COLOR: NEGRO - MARCA: 
GNEISS  </t>
  </si>
  <si>
    <t xml:space="preserve">28 </t>
  </si>
  <si>
    <t xml:space="preserve">2.9.6-401.1146 </t>
  </si>
  <si>
    <t xml:space="preserve">CARTUCHOS DE TONER; CODIGO: C8061A, USO: HEWLETT PACKARD </t>
  </si>
  <si>
    <t xml:space="preserve">29 </t>
  </si>
  <si>
    <t xml:space="preserve">2.9.6-401.2140 </t>
  </si>
  <si>
    <t xml:space="preserve">CARTUCHOS DE TONER; CODIGO: CF283X, USO: HP LASERJET 83X </t>
  </si>
  <si>
    <t xml:space="preserve">CARTUCHOS DE TONER; CODIGO: CF283X, USO: HP LASERJET 83X- TONER: 
ALTERNATIVO- COLOR: NEGRO - MARCA: GNEISS.  </t>
  </si>
  <si>
    <t xml:space="preserve">30 </t>
  </si>
  <si>
    <t xml:space="preserve">2.9.6-401.1979 </t>
  </si>
  <si>
    <t xml:space="preserve">CARTUCHOS DE TONER; CODIGO: 4015N, USO: HEWLETT-PACKARD LASER-JET 6L </t>
  </si>
  <si>
    <t xml:space="preserve">CARTUCHOS DE TONER 64A-90A COMPATIBLE CON CARTUCHO DE TONER; CODIGO: 
4015N, USO: HEWLETT-PACKARD LASER-JET 6L- TONER: ALTERNATIVO - COLOR: NEGRO 
-MARCA: GNEISS  </t>
  </si>
  <si>
    <t xml:space="preserve">31 </t>
  </si>
  <si>
    <t xml:space="preserve">2.9.6-401.1957 </t>
  </si>
  <si>
    <t xml:space="preserve">CARTUCHOS DE TONER; CODIGO: CE402A, USO: HEWLETT PACKARD </t>
  </si>
  <si>
    <t xml:space="preserve">32 </t>
  </si>
  <si>
    <t xml:space="preserve">2.9.6-401.2204 </t>
  </si>
  <si>
    <t xml:space="preserve">CARTUCHOS DE TONER; CODIGO: TN2370, USO: BROTHER </t>
  </si>
  <si>
    <t xml:space="preserve">CARTUCHOS DE TONER; CODIGO: TN2370, USO: BROTHER- TONER: ALTERNATIVO- COLOR: 
NEGRO - MARCA: GNEISS  </t>
  </si>
  <si>
    <t xml:space="preserve">33 </t>
  </si>
  <si>
    <t xml:space="preserve">2.9.6-401.2230 </t>
  </si>
  <si>
    <t xml:space="preserve">CARTUCHOS DE TONER; CODIGO: TN2010, USO: BROTHER </t>
  </si>
  <si>
    <t xml:space="preserve">34 </t>
  </si>
  <si>
    <t xml:space="preserve">2.9.6-401.1996 </t>
  </si>
  <si>
    <t xml:space="preserve">CARTUCHOS DE TONER; CODIGO: DCP 8150 DN, USO: BROTHER </t>
  </si>
  <si>
    <t xml:space="preserve">CARTUCHOS DE TONER 750 COMPATIBLE CON CARTUCHO DE TONER; CODIGO: 
DCP 8150 DN, USO: BROTHER- TONER: ALTERNATIVO - COLOR: NEGRO 
- MARCA: GNEISS  </t>
  </si>
  <si>
    <t xml:space="preserve">35 </t>
  </si>
  <si>
    <t xml:space="preserve">2.9.6-401.518 </t>
  </si>
  <si>
    <t xml:space="preserve">CARTUCHOS DE TONER; CODIGO: TYPE2200, COLOR: NEGRO, PRODUCTO: TONER, USO: 
RICOH, DESCRIPCION: TONER </t>
  </si>
  <si>
    <t xml:space="preserve">36 </t>
  </si>
  <si>
    <t xml:space="preserve">2.9.6-401.1328 </t>
  </si>
  <si>
    <t xml:space="preserve">CARTUCHOS DE TONER; CODIGO: ML-D2850B, USO: SAMSUNG ML2851ND </t>
  </si>
  <si>
    <t xml:space="preserve">CARTUCHOS DE TONER; CODIGO: ML-D2850B, USO: SAMSUNG ML2851ND-TONER: ALTERNATIVO COLOR: 
NEGRO - MARCA: GLOBAL  </t>
  </si>
  <si>
    <t xml:space="preserve">37 </t>
  </si>
  <si>
    <t xml:space="preserve">2.9.6-401.1859 </t>
  </si>
  <si>
    <t xml:space="preserve">CARTUCHOS DE TONER; CODIGO: MLT-D101S, USO: SAMSUNG 2165 </t>
  </si>
  <si>
    <t xml:space="preserve">CARTUCHOS DE TONER; CODIGO: MLT-D101S, USO: SAMSUNG 2165- TONER: ALTERNATIVO 
; COLOR: NEGRO - MARCA: GNEISS.  </t>
  </si>
  <si>
    <t xml:space="preserve">38 </t>
  </si>
  <si>
    <t xml:space="preserve">2.9.6-1891.587 </t>
  </si>
  <si>
    <t xml:space="preserve">REP. Y ACC. P/IMPRESORA; MODELO EQUIPO: LX-350, MARCA EQUIPO: EPSON, 
ELEMENTO: CINTA IMPRESION </t>
  </si>
  <si>
    <t xml:space="preserve">REP. Y ACC. P/IMPRESORA; MODELO EQUIPO: LX-350, MARCA EQUIPO: EPSON, 
ELEMENTO: CINTA IMPRESIÓN- CINTA DE IMPRESIÓN ALTERNATIVA - MARCA: GNEISS 
 </t>
  </si>
  <si>
    <t xml:space="preserve">39 </t>
  </si>
  <si>
    <t xml:space="preserve">2.9.6-1355.1988 </t>
  </si>
  <si>
    <t xml:space="preserve">CARTUCHOS DE TINTA; CODIGO: 664, USO: HEWLET PACKARD </t>
  </si>
  <si>
    <t xml:space="preserve">CARTUCHOS DE TINTA; CODIGO: 664, USO: HEWLET PACKARD; TONER: ALTERNATIVO 
COLOR: COLOR; MARCA: GLOBAL. </t>
  </si>
  <si>
    <t xml:space="preserve">40 </t>
  </si>
  <si>
    <t xml:space="preserve">CARTUCHOS DE TINTA; CODIGO: 664, USO: HEWLET PACKARD; TONER: ALTERNATIVO; 
COLOR: NEGRO- MARCA: GLOBAL  </t>
  </si>
  <si>
    <t xml:space="preserve">41 </t>
  </si>
  <si>
    <t xml:space="preserve">CARTUCHOS DE TONER; CODIGO: CF217A, USO: HP LASERJET MFP- TONER: 
ALTERNATIVO - COLOR: NEGRO - MARCA: GNEISS  </t>
  </si>
  <si>
    <t xml:space="preserve">42 </t>
  </si>
  <si>
    <t xml:space="preserve">2.9.6-1355.2065 </t>
  </si>
  <si>
    <t xml:space="preserve">CARTUCHOS DE TINTA; CODIGO: 667XL - NEGRO, USO: HP </t>
  </si>
  <si>
    <t xml:space="preserve">CARTUCHOS DE TINTA; CODIGO: 667XL; COLOR: NEGRO, USO: HP; TONER: 
ORIGINAL; MARCA: HP </t>
  </si>
  <si>
    <t xml:space="preserve">43 </t>
  </si>
  <si>
    <t xml:space="preserve">2.9.6-1355.2066 </t>
  </si>
  <si>
    <t xml:space="preserve">CARTUCHOS DE TINTA; CODIGO: 667XL - TRICOLOR, USO: HP </t>
  </si>
  <si>
    <t xml:space="preserve">CARTUCHOS DE TINTA; CODIGO: 667XL ; COLOR: TRICOLOR, USO: HP; 
TONER: ORIGINAL; COLOR:  TRICOLOR - MARCA: HP  </t>
  </si>
  <si>
    <t xml:space="preserve">44 </t>
  </si>
  <si>
    <t xml:space="preserve">CARTUCHOS DE TONER; CODIGO: MLT-D101S, USO: SAMSUNG 2165-TONER: ALTERNATIVO; COLOR: 
NEGRO- MARCA: GNEISS. GARANTIA: TRES MESES. ("Rendimiento aproximado: 1500 páginas, 
nuevos, alternativos, carga completa)  </t>
  </si>
  <si>
    <t xml:space="preserve">CARTUCHOS DE TONER; CODIGO: MLT-D101S, USO: SAMSUNG 2165 marca lion 
</t>
  </si>
  <si>
    <t xml:space="preserve">45 </t>
  </si>
  <si>
    <t xml:space="preserve">2.9.6-401.1362 </t>
  </si>
  <si>
    <t xml:space="preserve">CARTUCHOS DE TONER; CODIGO: CE285A, USO: HEWLETT PACKARD </t>
  </si>
  <si>
    <t xml:space="preserve">CARTUCHOS DE TONER; CODIGO: CE285A, USO: HEWLETT PACKARD-TONER: ALTERNATIVO- COLOR: 
NEGRO -MARCA: GNEISS. (Rendimiento aproximado: 1500 páginas , nuevos,alternativos, carga 
completa). GARANTIA : TRES MESES.   </t>
  </si>
  <si>
    <t xml:space="preserve">CARTUCHOS DE TONER; CODIGO: CE285A, USO: HEWLETT PACKARD marca global 
</t>
  </si>
  <si>
    <t xml:space="preserve">46 </t>
  </si>
  <si>
    <t xml:space="preserve">2.9.6-401.2095 </t>
  </si>
  <si>
    <t xml:space="preserve">CARTUCHOS DE TONER; CODIGO: CF283A, USO: HEWLETT PACKARD </t>
  </si>
  <si>
    <t xml:space="preserve">CARTUCHOS DE TONER; CODIGO: CF283A, USO: HEWLETT PACKARD- TONER: ALTERNATIVO- 
COLOR: NEGRO -MARCA: GNEISS- GARANTIA: TRES MESES (Rendimiento aproximado: 1500, 
nuevos, alternativos, carga completa)  </t>
  </si>
  <si>
    <t xml:space="preserve">47 </t>
  </si>
  <si>
    <t xml:space="preserve">2.9.6-401.2061 </t>
  </si>
  <si>
    <t xml:space="preserve">CARTUCHOS DE TONER; CODIGO: MLT-D111 S/XAA, USO: SAMSUNG M2020W </t>
  </si>
  <si>
    <t xml:space="preserve">CARTUCHOS DE TONER; CODIGO: MLT-D111 S/XAA, USO: SAMSUNG M2020W- TONER: 
ALTERNATIVO COLOR: NEGRO - MARCA: GLOBAL- GARANTIA: 3 MESES. (Rendimiento 
aproximado: 1500 páginas, nuevos, alternativos, carga completa)  </t>
  </si>
  <si>
    <t xml:space="preserve">48 </t>
  </si>
  <si>
    <t xml:space="preserve">CARTUCHOS DE TONER; CODIGO: TN 1060, USO: BROTHER- TONER: ALTERNATIVO- 
COLOR: NEGRO - MARCA: GLOBAL- GARANTIA: 3 MESES. (Rendimiento aproximado: 
1500, nuevos,alternativos, carga completa)  </t>
  </si>
  <si>
    <t xml:space="preserve">CARTUCHOS DE TONER; CODIGO: TN 1060, USO: BROTHER. marca global 
</t>
  </si>
  <si>
    <t xml:space="preserve">49 </t>
  </si>
  <si>
    <t xml:space="preserve">2.9.6-401.2377 </t>
  </si>
  <si>
    <t xml:space="preserve">CARTUCHOS DE TONER; CODIGO: CF279A, USO: HEWLETT PACKARD </t>
  </si>
  <si>
    <t xml:space="preserve">CARTUCHOS DE TONER; CODIGO: CF279A, USO: HEWLETT PACKARD- TONER: ALTERNATIVO 
- COLOR: NEGRO - MARCA: GNEISS- GARANTIA: 3 MESES. (Rendimiento 
aproximado: 1500 páginas, nuevos,alternativos, carga completa)  </t>
  </si>
  <si>
    <t xml:space="preserve">CARTUCHOS DE TONER; CODIGO: CF279A, USO: HEWLETT PACKARD. marca global 
</t>
  </si>
  <si>
    <t xml:space="preserve">50 </t>
  </si>
  <si>
    <t xml:space="preserve">2.9.6-401.2378 </t>
  </si>
  <si>
    <t xml:space="preserve">CARTUCHOS DE TONER; CODIGO: W1105A, USO: HEWLETT PACKARD </t>
  </si>
  <si>
    <t xml:space="preserve">CARTUCHOS DE TONER; CODIGO: W1105A, USO: HEWLETT PACKARD-TONER: ALTERNATIVO - 
COLOR: NEGRO - MARCA: GLOBAL - GARANTIA: 3 MESES. (Rendimiento 
aproximado: 1500 páginas, nuevos,alternativos, carga completa)  </t>
  </si>
  <si>
    <t xml:space="preserve">51 </t>
  </si>
  <si>
    <t xml:space="preserve">2.9.6-401.1026 </t>
  </si>
  <si>
    <t xml:space="preserve">CARTUCHOS DE TONER; CODIGO: 2612A, COLOR: SIN VALOR, DESCRIPCION: SIN 
VALOR, USO: HEWLETT PACKARD </t>
  </si>
  <si>
    <t xml:space="preserve">CARTUCHOS DE TONER; CODIGO: 2612A, COLOR: NEGRO, USO: HEWLETT PACKARD; 
TONER: ALTERNATIVO; COLOR: NEGRO - MARCA: GNEISS; GARANTIA: 3 MESES. 
(Rendimiento aproximado: 1500 páginas, nuevos,alternativos, carga completa)  </t>
  </si>
  <si>
    <t xml:space="preserve">52 </t>
  </si>
  <si>
    <t xml:space="preserve">2.9.6-401.1860 </t>
  </si>
  <si>
    <t xml:space="preserve">CARTUCHOS DE TONER; CODIGO: CF280A, USO: HEWLETT PACKARD </t>
  </si>
  <si>
    <t xml:space="preserve">CARTUCHOS DE TONER; CODIGO: CF280A, USO: HEWLETT PACKARD-TONER: ALTERNATIVO- COLOR: 
NEGRO - MARCA: GNEISS. GARANTIA : 3 MESES. (Rendimiento aproximado: 
1500 páginas, nuevos,alternativos, carga completa)  </t>
  </si>
  <si>
    <t xml:space="preserve">53 </t>
  </si>
  <si>
    <t xml:space="preserve">CARTUCHOS DE TINTA; CODIGO: 664, USO: HEWLET PACKARD; TONER: ALTERNATIVO; 
COLOR: NEGRO- MARCA: GLOBAL ; GARANTIA: TRES MESES. (Rendimiento aproximado: 
360 páginas, nuevos,alternativos, carga completa)  </t>
  </si>
  <si>
    <t xml:space="preserve">54 </t>
  </si>
  <si>
    <t xml:space="preserve">CARTUCHOS DE TINTA; CODIGO: 664, USO: HEWLET PACKARD; TONER: ALTERNATIVO; 
COLOR:  COLOR; MARCA: GLOBAL; GARANTIA: TRES MESES. (Rendimiento aproximado: 
360 páginas, nuevos,alternativos, carga completa)  </t>
  </si>
  <si>
    <t xml:space="preserve">55 </t>
  </si>
  <si>
    <t xml:space="preserve">2.9.6-401.932 </t>
  </si>
  <si>
    <t xml:space="preserve">CARTUCHOS DE TONER; CODIGO: Q7551A, COLOR: NEGRO, DESCRIPCION: CARTUCHO TONER, 
USO: HEWLETT PACKARD </t>
  </si>
  <si>
    <t xml:space="preserve">CARTUCHOS DE TONER; CODIGO: Q7551A, COLOR: NEGRO, DESCRIPCION: CARTUCHO TONER, 
USO: HEWLETT PACKARD- TONER: ALTERNATIVO - COLOR: NEGRO- MARCA: GNEISS- 
GARANTIA: 3 MESES. (Rendimiento aproximado:6500 páginas, nuevos,alternativos, carga completa)  
</t>
  </si>
  <si>
    <t xml:space="preserve">56 </t>
  </si>
  <si>
    <t xml:space="preserve">2.9.6-1355.1808 </t>
  </si>
  <si>
    <t xml:space="preserve">CARTUCHOS DE TINTA; CODIGO: HP662, USO: HP </t>
  </si>
  <si>
    <t xml:space="preserve">CARTUCHOS DE TINTA; CODIGO: HP662, USO: HP; TONER: ALTERNATIVO; COLOR: 
NEGRO- MARCA: GLOBAL, GARANTIA: TRES MESES. (Rendimiento aproximado: 100 páginas, 
nuevos,alternativos, carga completa)  </t>
  </si>
  <si>
    <t xml:space="preserve">57 </t>
  </si>
  <si>
    <t xml:space="preserve">CARTUCHOS DE TINTA; CODIGO: HP662, USO: HP- TONER: ALTERNATIVO; COLOR: 
COLOR- MARCA: GLOBAL; GARANTIA: TRES MESES. (Rendimiento aproximado: 100 páginas, 
nuevos,alternativos, carga completa)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</si>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</sst>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67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67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67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1.85546875" customWidth="1"/>
    <col min="5" max="5" width="50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1.5703125" customWidth="1"/>
    <col min="11" max="11" width="14.28515625" customWidth="1"/>
    <col min="12" max="12" width="17.28515625" customWidth="1"/>
    <col min="13" max="13" width="16.5703125" customWidth="1"/>
    <col min="14" max="14" width="71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x14ac:dyDescent="0.25">
      <c r="A10" t="s">
        <v>22</v>
      </c>
      <c r="B10" t="s">
        <v>22</v>
      </c>
      <c r="C10" t="s">
        <v>23</v>
      </c>
      <c r="D10" t="s">
        <v>24</v>
      </c>
      <c r="E10">
        <v>2</v>
      </c>
      <c r="F10" t="s">
        <v>25</v>
      </c>
      <c r="G10" s="3"/>
      <c r="H10" s="3"/>
      <c r="I10" s="4"/>
      <c r="K10" s="3"/>
      <c r="L10" s="3"/>
      <c r="M10" s="4"/>
    </row>
    <row r="11" spans="1:14" ht="30" x14ac:dyDescent="0.25">
      <c r="A11" t="s">
        <v>26</v>
      </c>
      <c r="B11" t="s">
        <v>22</v>
      </c>
      <c r="C11" t="s">
        <v>27</v>
      </c>
      <c r="D11" s="5" t="s">
        <v>28</v>
      </c>
      <c r="E11">
        <v>2</v>
      </c>
      <c r="F11" t="s">
        <v>25</v>
      </c>
      <c r="G11" s="3"/>
      <c r="H11" s="3"/>
      <c r="I11" s="4"/>
      <c r="K11" s="3"/>
      <c r="L11" s="3"/>
      <c r="M11" s="4"/>
    </row>
    <row r="12" spans="1:14" ht="30" x14ac:dyDescent="0.25">
      <c r="A12" t="s">
        <v>29</v>
      </c>
      <c r="B12" t="s">
        <v>22</v>
      </c>
      <c r="C12" t="s">
        <v>30</v>
      </c>
      <c r="D12" t="s">
        <v>31</v>
      </c>
      <c r="E12">
        <v>6</v>
      </c>
      <c r="F12" t="s">
        <v>25</v>
      </c>
      <c r="G12" s="3">
        <v>1445</v>
      </c>
      <c r="H12" s="3">
        <v>6</v>
      </c>
      <c r="I12" s="4">
        <v>8670</v>
      </c>
      <c r="J12" s="5" t="s">
        <v>32</v>
      </c>
      <c r="K12" s="3"/>
      <c r="L12" s="3"/>
      <c r="M12" s="4"/>
    </row>
    <row r="13" spans="1:14" ht="30" x14ac:dyDescent="0.25">
      <c r="A13" t="s">
        <v>33</v>
      </c>
      <c r="B13" t="s">
        <v>22</v>
      </c>
      <c r="C13" t="s">
        <v>34</v>
      </c>
      <c r="D13" t="s">
        <v>35</v>
      </c>
      <c r="E13">
        <v>2</v>
      </c>
      <c r="F13" t="s">
        <v>25</v>
      </c>
      <c r="G13" s="3">
        <v>2797</v>
      </c>
      <c r="H13" s="3">
        <v>2</v>
      </c>
      <c r="I13" s="4">
        <v>5594</v>
      </c>
      <c r="J13" s="5" t="s">
        <v>36</v>
      </c>
      <c r="K13" s="3"/>
      <c r="L13" s="3"/>
      <c r="M13" s="4"/>
    </row>
    <row r="14" spans="1:14" ht="45" x14ac:dyDescent="0.25">
      <c r="A14" t="s">
        <v>37</v>
      </c>
      <c r="B14" t="s">
        <v>22</v>
      </c>
      <c r="C14" t="s">
        <v>38</v>
      </c>
      <c r="D14" s="5" t="s">
        <v>39</v>
      </c>
      <c r="E14">
        <v>2</v>
      </c>
      <c r="F14" t="s">
        <v>25</v>
      </c>
      <c r="G14" s="3">
        <v>5280</v>
      </c>
      <c r="H14" s="3">
        <v>2</v>
      </c>
      <c r="I14" s="4">
        <v>10560</v>
      </c>
      <c r="J14" s="5" t="s">
        <v>40</v>
      </c>
      <c r="K14" s="3"/>
      <c r="L14" s="3"/>
      <c r="M14" s="4"/>
    </row>
    <row r="15" spans="1:14" ht="30" x14ac:dyDescent="0.25">
      <c r="A15" t="s">
        <v>41</v>
      </c>
      <c r="B15" t="s">
        <v>22</v>
      </c>
      <c r="C15" t="s">
        <v>42</v>
      </c>
      <c r="D15" t="s">
        <v>43</v>
      </c>
      <c r="E15">
        <v>2</v>
      </c>
      <c r="F15" t="s">
        <v>25</v>
      </c>
      <c r="G15" s="3">
        <v>1950</v>
      </c>
      <c r="H15" s="3">
        <v>2</v>
      </c>
      <c r="I15" s="4">
        <v>3900</v>
      </c>
      <c r="J15" s="5" t="s">
        <v>44</v>
      </c>
      <c r="K15" s="3"/>
      <c r="L15" s="3"/>
      <c r="M15" s="4"/>
    </row>
    <row r="16" spans="1:14" ht="45" x14ac:dyDescent="0.25">
      <c r="A16" t="s">
        <v>45</v>
      </c>
      <c r="B16" t="s">
        <v>22</v>
      </c>
      <c r="C16" t="s">
        <v>46</v>
      </c>
      <c r="D16" s="5" t="s">
        <v>47</v>
      </c>
      <c r="E16">
        <v>6</v>
      </c>
      <c r="F16" t="s">
        <v>25</v>
      </c>
      <c r="G16" s="3">
        <v>1370</v>
      </c>
      <c r="H16" s="3">
        <v>6</v>
      </c>
      <c r="I16" s="4">
        <v>8220</v>
      </c>
      <c r="J16" s="5" t="s">
        <v>48</v>
      </c>
      <c r="K16" s="3"/>
      <c r="L16" s="3"/>
      <c r="M16" s="4"/>
    </row>
    <row r="17" spans="1:13" ht="30" x14ac:dyDescent="0.25">
      <c r="A17" t="s">
        <v>49</v>
      </c>
      <c r="B17" t="s">
        <v>22</v>
      </c>
      <c r="C17" t="s">
        <v>50</v>
      </c>
      <c r="D17" t="s">
        <v>51</v>
      </c>
      <c r="E17">
        <v>2</v>
      </c>
      <c r="F17" t="s">
        <v>25</v>
      </c>
      <c r="G17" s="3">
        <v>1000</v>
      </c>
      <c r="H17" s="3">
        <v>2</v>
      </c>
      <c r="I17" s="4">
        <v>2000</v>
      </c>
      <c r="J17" s="5" t="s">
        <v>52</v>
      </c>
      <c r="K17" s="3"/>
      <c r="L17" s="3"/>
      <c r="M17" s="4"/>
    </row>
    <row r="18" spans="1:13" ht="45" x14ac:dyDescent="0.25">
      <c r="A18" t="s">
        <v>53</v>
      </c>
      <c r="B18" t="s">
        <v>22</v>
      </c>
      <c r="C18" t="s">
        <v>54</v>
      </c>
      <c r="D18" t="s">
        <v>55</v>
      </c>
      <c r="E18">
        <v>4</v>
      </c>
      <c r="F18" t="s">
        <v>25</v>
      </c>
      <c r="G18" s="3">
        <v>1000</v>
      </c>
      <c r="H18" s="3">
        <v>4</v>
      </c>
      <c r="I18" s="4">
        <v>4000</v>
      </c>
      <c r="J18" s="5" t="s">
        <v>56</v>
      </c>
      <c r="K18" s="3"/>
      <c r="L18" s="3"/>
      <c r="M18" s="4"/>
    </row>
    <row r="19" spans="1:13" ht="30" x14ac:dyDescent="0.25">
      <c r="A19" t="s">
        <v>57</v>
      </c>
      <c r="B19" t="s">
        <v>22</v>
      </c>
      <c r="C19" t="s">
        <v>58</v>
      </c>
      <c r="D19" t="s">
        <v>59</v>
      </c>
      <c r="E19">
        <v>4</v>
      </c>
      <c r="F19" t="s">
        <v>25</v>
      </c>
      <c r="G19" s="3">
        <v>725</v>
      </c>
      <c r="H19" s="3">
        <v>4</v>
      </c>
      <c r="I19" s="4">
        <v>2900</v>
      </c>
      <c r="J19" s="5" t="s">
        <v>60</v>
      </c>
      <c r="K19" s="3"/>
      <c r="L19" s="3"/>
      <c r="M19" s="4"/>
    </row>
    <row r="20" spans="1:13" ht="30" x14ac:dyDescent="0.25">
      <c r="A20" t="s">
        <v>61</v>
      </c>
      <c r="B20" t="s">
        <v>22</v>
      </c>
      <c r="C20" t="s">
        <v>62</v>
      </c>
      <c r="D20" s="5" t="s">
        <v>63</v>
      </c>
      <c r="E20">
        <v>11</v>
      </c>
      <c r="F20" t="s">
        <v>25</v>
      </c>
      <c r="G20" s="3">
        <v>1568</v>
      </c>
      <c r="H20" s="3">
        <v>11</v>
      </c>
      <c r="I20" s="4">
        <v>17248</v>
      </c>
      <c r="J20" s="5" t="s">
        <v>64</v>
      </c>
      <c r="K20" s="3"/>
      <c r="L20" s="3"/>
      <c r="M20" s="4"/>
    </row>
    <row r="21" spans="1:13" ht="45" x14ac:dyDescent="0.25">
      <c r="A21" t="s">
        <v>65</v>
      </c>
      <c r="B21" t="s">
        <v>22</v>
      </c>
      <c r="C21" t="s">
        <v>66</v>
      </c>
      <c r="D21" s="5" t="s">
        <v>67</v>
      </c>
      <c r="E21">
        <v>2</v>
      </c>
      <c r="F21" t="s">
        <v>25</v>
      </c>
      <c r="G21" s="3">
        <v>1200</v>
      </c>
      <c r="H21" s="3">
        <v>2</v>
      </c>
      <c r="I21" s="4">
        <v>2400</v>
      </c>
      <c r="J21" s="5" t="s">
        <v>68</v>
      </c>
      <c r="K21" s="3"/>
      <c r="L21" s="3"/>
      <c r="M21" s="4"/>
    </row>
    <row r="22" spans="1:13" ht="30" x14ac:dyDescent="0.25">
      <c r="A22" t="s">
        <v>69</v>
      </c>
      <c r="B22" t="s">
        <v>22</v>
      </c>
      <c r="C22" t="s">
        <v>70</v>
      </c>
      <c r="D22" t="s">
        <v>71</v>
      </c>
      <c r="E22">
        <v>2</v>
      </c>
      <c r="F22" t="s">
        <v>25</v>
      </c>
      <c r="G22" s="3">
        <v>764</v>
      </c>
      <c r="H22" s="3">
        <v>2</v>
      </c>
      <c r="I22" s="4">
        <v>1528</v>
      </c>
      <c r="J22" s="5" t="s">
        <v>72</v>
      </c>
      <c r="K22" s="3"/>
      <c r="L22" s="3"/>
      <c r="M22" s="4"/>
    </row>
    <row r="23" spans="1:13" ht="30" x14ac:dyDescent="0.25">
      <c r="A23" t="s">
        <v>73</v>
      </c>
      <c r="B23" t="s">
        <v>22</v>
      </c>
      <c r="C23" t="s">
        <v>74</v>
      </c>
      <c r="D23" s="5" t="s">
        <v>75</v>
      </c>
      <c r="E23">
        <v>2</v>
      </c>
      <c r="F23" t="s">
        <v>25</v>
      </c>
      <c r="G23" s="3">
        <v>3084</v>
      </c>
      <c r="H23" s="3">
        <v>2</v>
      </c>
      <c r="I23" s="4">
        <v>6168</v>
      </c>
      <c r="J23" s="5" t="s">
        <v>76</v>
      </c>
      <c r="K23" s="3"/>
      <c r="L23" s="3"/>
      <c r="M23" s="4"/>
    </row>
    <row r="24" spans="1:13" ht="30" x14ac:dyDescent="0.25">
      <c r="A24" t="s">
        <v>77</v>
      </c>
      <c r="B24" t="s">
        <v>22</v>
      </c>
      <c r="C24" t="s">
        <v>78</v>
      </c>
      <c r="D24" s="5" t="s">
        <v>79</v>
      </c>
      <c r="E24">
        <v>4</v>
      </c>
      <c r="F24" t="s">
        <v>25</v>
      </c>
      <c r="G24" s="3">
        <v>3294</v>
      </c>
      <c r="H24" s="3">
        <v>4</v>
      </c>
      <c r="I24" s="4">
        <v>13176</v>
      </c>
      <c r="J24" s="5" t="s">
        <v>80</v>
      </c>
      <c r="K24" s="3"/>
      <c r="L24" s="3"/>
      <c r="M24" s="4"/>
    </row>
    <row r="25" spans="1:13" ht="45" x14ac:dyDescent="0.25">
      <c r="A25" t="s">
        <v>81</v>
      </c>
      <c r="B25" t="s">
        <v>22</v>
      </c>
      <c r="C25" t="s">
        <v>82</v>
      </c>
      <c r="D25" t="s">
        <v>83</v>
      </c>
      <c r="E25">
        <v>12</v>
      </c>
      <c r="F25" t="s">
        <v>25</v>
      </c>
      <c r="G25" s="3">
        <v>1515</v>
      </c>
      <c r="H25" s="3">
        <v>12</v>
      </c>
      <c r="I25" s="4">
        <v>18180</v>
      </c>
      <c r="J25" s="5" t="s">
        <v>84</v>
      </c>
      <c r="K25" s="3"/>
      <c r="L25" s="3"/>
      <c r="M25" s="4"/>
    </row>
    <row r="26" spans="1:13" ht="30" x14ac:dyDescent="0.25">
      <c r="A26" t="s">
        <v>85</v>
      </c>
      <c r="B26" t="s">
        <v>22</v>
      </c>
      <c r="C26" t="s">
        <v>86</v>
      </c>
      <c r="D26" t="s">
        <v>87</v>
      </c>
      <c r="E26">
        <v>2</v>
      </c>
      <c r="F26" t="s">
        <v>25</v>
      </c>
      <c r="G26" s="3">
        <v>13000</v>
      </c>
      <c r="H26" s="3">
        <v>2</v>
      </c>
      <c r="I26" s="4">
        <v>26000</v>
      </c>
      <c r="J26" s="5" t="s">
        <v>88</v>
      </c>
      <c r="K26" s="3"/>
      <c r="L26" s="3"/>
      <c r="M26" s="4"/>
    </row>
    <row r="27" spans="1:13" ht="30" x14ac:dyDescent="0.25">
      <c r="A27" t="s">
        <v>89</v>
      </c>
      <c r="B27" t="s">
        <v>22</v>
      </c>
      <c r="C27" t="s">
        <v>90</v>
      </c>
      <c r="D27" s="5" t="s">
        <v>91</v>
      </c>
      <c r="E27">
        <v>4</v>
      </c>
      <c r="F27" t="s">
        <v>25</v>
      </c>
      <c r="G27" s="3"/>
      <c r="H27" s="3"/>
      <c r="I27" s="4"/>
      <c r="K27" s="3"/>
      <c r="L27" s="3"/>
      <c r="M27" s="4"/>
    </row>
    <row r="28" spans="1:13" ht="30" x14ac:dyDescent="0.25">
      <c r="A28" t="s">
        <v>92</v>
      </c>
      <c r="B28" t="s">
        <v>22</v>
      </c>
      <c r="C28" t="s">
        <v>93</v>
      </c>
      <c r="D28" s="5" t="s">
        <v>94</v>
      </c>
      <c r="E28">
        <v>2</v>
      </c>
      <c r="F28" t="s">
        <v>25</v>
      </c>
      <c r="G28" s="3"/>
      <c r="H28" s="3"/>
      <c r="I28" s="4"/>
      <c r="K28" s="3"/>
      <c r="L28" s="3"/>
      <c r="M28" s="4"/>
    </row>
    <row r="29" spans="1:13" ht="30" x14ac:dyDescent="0.25">
      <c r="A29" t="s">
        <v>95</v>
      </c>
      <c r="B29" t="s">
        <v>22</v>
      </c>
      <c r="C29" t="s">
        <v>96</v>
      </c>
      <c r="D29" t="s">
        <v>97</v>
      </c>
      <c r="E29">
        <v>2</v>
      </c>
      <c r="F29" t="s">
        <v>25</v>
      </c>
      <c r="G29" s="3">
        <v>1100</v>
      </c>
      <c r="H29" s="3">
        <v>2</v>
      </c>
      <c r="I29" s="4">
        <v>2200</v>
      </c>
      <c r="J29" s="5" t="s">
        <v>98</v>
      </c>
      <c r="K29" s="3"/>
      <c r="L29" s="3"/>
      <c r="M29" s="4"/>
    </row>
    <row r="30" spans="1:13" x14ac:dyDescent="0.25">
      <c r="A30" t="s">
        <v>99</v>
      </c>
      <c r="B30" t="s">
        <v>22</v>
      </c>
      <c r="C30" t="s">
        <v>100</v>
      </c>
      <c r="D30" t="s">
        <v>101</v>
      </c>
      <c r="E30">
        <v>2</v>
      </c>
      <c r="F30" t="s">
        <v>25</v>
      </c>
      <c r="G30" s="3"/>
      <c r="H30" s="3"/>
      <c r="I30" s="4"/>
      <c r="K30" s="3"/>
      <c r="L30" s="3"/>
      <c r="M30" s="4"/>
    </row>
    <row r="31" spans="1:13" x14ac:dyDescent="0.25">
      <c r="A31" t="s">
        <v>102</v>
      </c>
      <c r="B31" t="s">
        <v>22</v>
      </c>
      <c r="C31" t="s">
        <v>103</v>
      </c>
      <c r="D31" t="s">
        <v>104</v>
      </c>
      <c r="E31">
        <v>2</v>
      </c>
      <c r="F31" t="s">
        <v>25</v>
      </c>
      <c r="G31" s="3"/>
      <c r="H31" s="3"/>
      <c r="I31" s="4"/>
      <c r="K31" s="3"/>
      <c r="L31" s="3"/>
      <c r="M31" s="4"/>
    </row>
    <row r="32" spans="1:13" ht="30" x14ac:dyDescent="0.25">
      <c r="A32" t="s">
        <v>105</v>
      </c>
      <c r="B32" t="s">
        <v>22</v>
      </c>
      <c r="C32" t="s">
        <v>106</v>
      </c>
      <c r="D32" t="s">
        <v>107</v>
      </c>
      <c r="E32">
        <v>34</v>
      </c>
      <c r="F32" t="s">
        <v>25</v>
      </c>
      <c r="G32" s="3">
        <v>1120</v>
      </c>
      <c r="H32" s="3">
        <v>34</v>
      </c>
      <c r="I32" s="4">
        <v>38080</v>
      </c>
      <c r="J32" s="5" t="s">
        <v>108</v>
      </c>
      <c r="K32" s="3"/>
      <c r="L32" s="3"/>
      <c r="M32" s="4"/>
    </row>
    <row r="33" spans="1:13" ht="30" x14ac:dyDescent="0.25">
      <c r="A33" t="s">
        <v>109</v>
      </c>
      <c r="B33" t="s">
        <v>22</v>
      </c>
      <c r="C33" t="s">
        <v>110</v>
      </c>
      <c r="D33" s="5" t="s">
        <v>111</v>
      </c>
      <c r="E33">
        <v>2</v>
      </c>
      <c r="F33" t="s">
        <v>25</v>
      </c>
      <c r="G33" s="3"/>
      <c r="H33" s="3"/>
      <c r="I33" s="4"/>
      <c r="K33" s="3"/>
      <c r="L33" s="3"/>
      <c r="M33" s="4"/>
    </row>
    <row r="34" spans="1:13" ht="30" x14ac:dyDescent="0.25">
      <c r="A34" t="s">
        <v>112</v>
      </c>
      <c r="B34" t="s">
        <v>22</v>
      </c>
      <c r="C34" t="s">
        <v>113</v>
      </c>
      <c r="D34" t="s">
        <v>114</v>
      </c>
      <c r="E34">
        <v>2</v>
      </c>
      <c r="F34" t="s">
        <v>25</v>
      </c>
      <c r="G34" s="3">
        <v>1940</v>
      </c>
      <c r="H34" s="3">
        <v>2</v>
      </c>
      <c r="I34" s="4">
        <v>3880</v>
      </c>
      <c r="J34" s="5" t="s">
        <v>115</v>
      </c>
      <c r="K34" s="3"/>
      <c r="L34" s="3"/>
      <c r="M34" s="4"/>
    </row>
    <row r="35" spans="1:13" ht="30" x14ac:dyDescent="0.25">
      <c r="A35" t="s">
        <v>116</v>
      </c>
      <c r="B35" t="s">
        <v>22</v>
      </c>
      <c r="C35" t="s">
        <v>117</v>
      </c>
      <c r="D35" t="s">
        <v>118</v>
      </c>
      <c r="E35">
        <v>2</v>
      </c>
      <c r="F35" t="s">
        <v>25</v>
      </c>
      <c r="G35" s="3">
        <v>123</v>
      </c>
      <c r="H35" s="3">
        <v>2</v>
      </c>
      <c r="I35" s="4">
        <v>246</v>
      </c>
      <c r="J35" s="5" t="s">
        <v>119</v>
      </c>
      <c r="K35" s="3"/>
      <c r="L35" s="3"/>
      <c r="M35" s="4"/>
    </row>
    <row r="36" spans="1:13" ht="45" x14ac:dyDescent="0.25">
      <c r="A36" t="s">
        <v>120</v>
      </c>
      <c r="B36" t="s">
        <v>22</v>
      </c>
      <c r="C36" t="s">
        <v>121</v>
      </c>
      <c r="D36" t="s">
        <v>122</v>
      </c>
      <c r="E36">
        <v>2</v>
      </c>
      <c r="F36" t="s">
        <v>25</v>
      </c>
      <c r="G36" s="3">
        <v>6324</v>
      </c>
      <c r="H36" s="3">
        <v>2</v>
      </c>
      <c r="I36" s="4">
        <v>12648</v>
      </c>
      <c r="J36" s="5" t="s">
        <v>123</v>
      </c>
      <c r="K36" s="3"/>
      <c r="L36" s="3"/>
      <c r="M36" s="4"/>
    </row>
    <row r="37" spans="1:13" x14ac:dyDescent="0.25">
      <c r="A37" t="s">
        <v>124</v>
      </c>
      <c r="B37" t="s">
        <v>22</v>
      </c>
      <c r="C37" t="s">
        <v>125</v>
      </c>
      <c r="D37" t="s">
        <v>126</v>
      </c>
      <c r="E37">
        <v>2</v>
      </c>
      <c r="F37" t="s">
        <v>25</v>
      </c>
      <c r="G37" s="3"/>
      <c r="H37" s="3"/>
      <c r="I37" s="4"/>
      <c r="K37" s="3"/>
      <c r="L37" s="3"/>
      <c r="M37" s="4"/>
    </row>
    <row r="38" spans="1:13" ht="30" x14ac:dyDescent="0.25">
      <c r="A38" t="s">
        <v>127</v>
      </c>
      <c r="B38" t="s">
        <v>22</v>
      </c>
      <c r="C38" t="s">
        <v>128</v>
      </c>
      <c r="D38" t="s">
        <v>129</v>
      </c>
      <c r="E38">
        <v>8</v>
      </c>
      <c r="F38" t="s">
        <v>25</v>
      </c>
      <c r="G38" s="3">
        <v>1120</v>
      </c>
      <c r="H38" s="3">
        <v>8</v>
      </c>
      <c r="I38" s="4">
        <v>8960</v>
      </c>
      <c r="J38" s="5" t="s">
        <v>130</v>
      </c>
      <c r="K38" s="3"/>
      <c r="L38" s="3"/>
      <c r="M38" s="4"/>
    </row>
    <row r="39" spans="1:13" ht="45" x14ac:dyDescent="0.25">
      <c r="A39" t="s">
        <v>131</v>
      </c>
      <c r="B39" t="s">
        <v>22</v>
      </c>
      <c r="C39" t="s">
        <v>132</v>
      </c>
      <c r="D39" t="s">
        <v>133</v>
      </c>
      <c r="E39">
        <v>2</v>
      </c>
      <c r="F39" t="s">
        <v>25</v>
      </c>
      <c r="G39" s="3">
        <v>3945</v>
      </c>
      <c r="H39" s="3">
        <v>2</v>
      </c>
      <c r="I39" s="4">
        <v>7890</v>
      </c>
      <c r="J39" s="5" t="s">
        <v>134</v>
      </c>
      <c r="K39" s="3"/>
      <c r="L39" s="3"/>
      <c r="M39" s="4"/>
    </row>
    <row r="40" spans="1:13" x14ac:dyDescent="0.25">
      <c r="A40" t="s">
        <v>135</v>
      </c>
      <c r="B40" t="s">
        <v>22</v>
      </c>
      <c r="C40" t="s">
        <v>136</v>
      </c>
      <c r="D40" t="s">
        <v>137</v>
      </c>
      <c r="E40">
        <v>2</v>
      </c>
      <c r="F40" t="s">
        <v>25</v>
      </c>
      <c r="G40" s="3"/>
      <c r="H40" s="3"/>
      <c r="I40" s="4"/>
      <c r="K40" s="3"/>
      <c r="L40" s="3"/>
      <c r="M40" s="4"/>
    </row>
    <row r="41" spans="1:13" ht="30" x14ac:dyDescent="0.25">
      <c r="A41" t="s">
        <v>138</v>
      </c>
      <c r="B41" t="s">
        <v>22</v>
      </c>
      <c r="C41" t="s">
        <v>139</v>
      </c>
      <c r="D41" t="s">
        <v>140</v>
      </c>
      <c r="E41">
        <v>2</v>
      </c>
      <c r="F41" t="s">
        <v>25</v>
      </c>
      <c r="G41" s="3">
        <v>1870</v>
      </c>
      <c r="H41" s="3">
        <v>2</v>
      </c>
      <c r="I41" s="4">
        <v>3740</v>
      </c>
      <c r="J41" s="5" t="s">
        <v>141</v>
      </c>
      <c r="K41" s="3"/>
      <c r="L41" s="3"/>
      <c r="M41" s="4"/>
    </row>
    <row r="42" spans="1:13" x14ac:dyDescent="0.25">
      <c r="A42" t="s">
        <v>142</v>
      </c>
      <c r="B42" t="s">
        <v>22</v>
      </c>
      <c r="C42" t="s">
        <v>143</v>
      </c>
      <c r="D42" t="s">
        <v>144</v>
      </c>
      <c r="E42">
        <v>6</v>
      </c>
      <c r="F42" t="s">
        <v>25</v>
      </c>
      <c r="G42" s="3"/>
      <c r="H42" s="3"/>
      <c r="I42" s="4"/>
      <c r="K42" s="3"/>
      <c r="L42" s="3"/>
      <c r="M42" s="4"/>
    </row>
    <row r="43" spans="1:13" ht="45" x14ac:dyDescent="0.25">
      <c r="A43" t="s">
        <v>145</v>
      </c>
      <c r="B43" t="s">
        <v>22</v>
      </c>
      <c r="C43" t="s">
        <v>146</v>
      </c>
      <c r="D43" t="s">
        <v>147</v>
      </c>
      <c r="E43">
        <v>2</v>
      </c>
      <c r="F43" t="s">
        <v>25</v>
      </c>
      <c r="G43" s="3">
        <v>3347.5</v>
      </c>
      <c r="H43" s="3">
        <v>2</v>
      </c>
      <c r="I43" s="4">
        <v>6695</v>
      </c>
      <c r="J43" s="5" t="s">
        <v>148</v>
      </c>
      <c r="K43" s="3"/>
      <c r="L43" s="3"/>
      <c r="M43" s="4"/>
    </row>
    <row r="44" spans="1:13" ht="30" x14ac:dyDescent="0.25">
      <c r="A44" t="s">
        <v>149</v>
      </c>
      <c r="B44" t="s">
        <v>22</v>
      </c>
      <c r="C44" t="s">
        <v>150</v>
      </c>
      <c r="D44" s="5" t="s">
        <v>151</v>
      </c>
      <c r="E44">
        <v>2</v>
      </c>
      <c r="F44" t="s">
        <v>25</v>
      </c>
      <c r="G44" s="3"/>
      <c r="H44" s="3"/>
      <c r="I44" s="4"/>
      <c r="K44" s="3"/>
      <c r="L44" s="3"/>
      <c r="M44" s="4"/>
    </row>
    <row r="45" spans="1:13" ht="45" x14ac:dyDescent="0.25">
      <c r="A45" t="s">
        <v>152</v>
      </c>
      <c r="B45" t="s">
        <v>22</v>
      </c>
      <c r="C45" t="s">
        <v>153</v>
      </c>
      <c r="D45" t="s">
        <v>154</v>
      </c>
      <c r="E45">
        <v>2</v>
      </c>
      <c r="F45" t="s">
        <v>25</v>
      </c>
      <c r="G45" s="3">
        <v>2611.5</v>
      </c>
      <c r="H45" s="3">
        <v>2</v>
      </c>
      <c r="I45" s="4">
        <v>5223</v>
      </c>
      <c r="J45" s="5" t="s">
        <v>155</v>
      </c>
      <c r="K45" s="3"/>
      <c r="L45" s="3"/>
      <c r="M45" s="4"/>
    </row>
    <row r="46" spans="1:13" ht="30" x14ac:dyDescent="0.25">
      <c r="A46" t="s">
        <v>156</v>
      </c>
      <c r="B46" t="s">
        <v>22</v>
      </c>
      <c r="C46" t="s">
        <v>157</v>
      </c>
      <c r="D46" t="s">
        <v>158</v>
      </c>
      <c r="E46">
        <v>2</v>
      </c>
      <c r="F46" t="s">
        <v>25</v>
      </c>
      <c r="G46" s="3">
        <v>2160</v>
      </c>
      <c r="H46" s="3">
        <v>2</v>
      </c>
      <c r="I46" s="4">
        <v>4320</v>
      </c>
      <c r="J46" s="5" t="s">
        <v>159</v>
      </c>
      <c r="K46" s="3"/>
      <c r="L46" s="3"/>
      <c r="M46" s="4"/>
    </row>
    <row r="47" spans="1:13" ht="45" x14ac:dyDescent="0.25">
      <c r="A47" t="s">
        <v>160</v>
      </c>
      <c r="B47" t="s">
        <v>22</v>
      </c>
      <c r="C47" t="s">
        <v>161</v>
      </c>
      <c r="D47" s="5" t="s">
        <v>162</v>
      </c>
      <c r="E47">
        <v>2</v>
      </c>
      <c r="F47" t="s">
        <v>25</v>
      </c>
      <c r="G47" s="3">
        <v>564</v>
      </c>
      <c r="H47" s="3">
        <v>2</v>
      </c>
      <c r="I47" s="4">
        <v>1128</v>
      </c>
      <c r="J47" s="5" t="s">
        <v>163</v>
      </c>
      <c r="K47" s="3"/>
      <c r="L47" s="3"/>
      <c r="M47" s="4"/>
    </row>
    <row r="48" spans="1:13" ht="30" x14ac:dyDescent="0.25">
      <c r="A48" t="s">
        <v>164</v>
      </c>
      <c r="B48" t="s">
        <v>22</v>
      </c>
      <c r="C48" t="s">
        <v>165</v>
      </c>
      <c r="D48" t="s">
        <v>166</v>
      </c>
      <c r="E48">
        <v>30</v>
      </c>
      <c r="F48" t="s">
        <v>25</v>
      </c>
      <c r="G48" s="3">
        <v>2845</v>
      </c>
      <c r="H48" s="3">
        <v>30</v>
      </c>
      <c r="I48" s="4">
        <v>85350</v>
      </c>
      <c r="J48" s="5" t="s">
        <v>167</v>
      </c>
      <c r="K48" s="3"/>
      <c r="L48" s="3"/>
      <c r="M48" s="4"/>
    </row>
    <row r="49" spans="1:14" ht="30" x14ac:dyDescent="0.25">
      <c r="A49" t="s">
        <v>168</v>
      </c>
      <c r="B49" t="s">
        <v>22</v>
      </c>
      <c r="C49" t="s">
        <v>165</v>
      </c>
      <c r="D49" t="s">
        <v>166</v>
      </c>
      <c r="E49">
        <v>30</v>
      </c>
      <c r="F49" t="s">
        <v>25</v>
      </c>
      <c r="G49" s="3">
        <v>3106</v>
      </c>
      <c r="H49" s="3">
        <v>30</v>
      </c>
      <c r="I49" s="4">
        <v>93180</v>
      </c>
      <c r="J49" s="5" t="s">
        <v>169</v>
      </c>
      <c r="K49" s="3"/>
      <c r="L49" s="3"/>
      <c r="M49" s="4"/>
    </row>
    <row r="50" spans="1:14" ht="30" x14ac:dyDescent="0.25">
      <c r="A50" t="s">
        <v>170</v>
      </c>
      <c r="B50" t="s">
        <v>22</v>
      </c>
      <c r="C50" t="s">
        <v>96</v>
      </c>
      <c r="D50" t="s">
        <v>97</v>
      </c>
      <c r="E50">
        <v>20</v>
      </c>
      <c r="F50" t="s">
        <v>25</v>
      </c>
      <c r="G50" s="3">
        <v>1360</v>
      </c>
      <c r="H50" s="3">
        <v>20</v>
      </c>
      <c r="I50" s="4">
        <v>27200</v>
      </c>
      <c r="J50" s="5" t="s">
        <v>171</v>
      </c>
      <c r="K50" s="3"/>
      <c r="L50" s="3"/>
      <c r="M50" s="4"/>
    </row>
    <row r="51" spans="1:14" ht="30" x14ac:dyDescent="0.25">
      <c r="A51" t="s">
        <v>172</v>
      </c>
      <c r="B51" t="s">
        <v>22</v>
      </c>
      <c r="C51" t="s">
        <v>173</v>
      </c>
      <c r="D51" t="s">
        <v>174</v>
      </c>
      <c r="E51">
        <v>20</v>
      </c>
      <c r="F51" t="s">
        <v>25</v>
      </c>
      <c r="G51" s="3">
        <v>8193</v>
      </c>
      <c r="H51" s="3">
        <v>20</v>
      </c>
      <c r="I51" s="4">
        <v>163860</v>
      </c>
      <c r="J51" s="5" t="s">
        <v>175</v>
      </c>
      <c r="K51" s="3"/>
      <c r="L51" s="3"/>
      <c r="M51" s="4"/>
    </row>
    <row r="52" spans="1:14" ht="30" x14ac:dyDescent="0.25">
      <c r="A52" t="s">
        <v>176</v>
      </c>
      <c r="B52" t="s">
        <v>22</v>
      </c>
      <c r="C52" t="s">
        <v>177</v>
      </c>
      <c r="D52" t="s">
        <v>178</v>
      </c>
      <c r="E52">
        <v>20</v>
      </c>
      <c r="F52" t="s">
        <v>25</v>
      </c>
      <c r="G52" s="3">
        <v>11210</v>
      </c>
      <c r="H52" s="3">
        <v>20</v>
      </c>
      <c r="I52" s="4">
        <v>224200</v>
      </c>
      <c r="J52" s="5" t="s">
        <v>179</v>
      </c>
      <c r="K52" s="3"/>
      <c r="L52" s="3"/>
      <c r="M52" s="4"/>
    </row>
    <row r="53" spans="1:14" ht="45" x14ac:dyDescent="0.25">
      <c r="A53" t="s">
        <v>180</v>
      </c>
      <c r="B53" t="s">
        <v>22</v>
      </c>
      <c r="C53" t="s">
        <v>157</v>
      </c>
      <c r="D53" t="s">
        <v>158</v>
      </c>
      <c r="E53">
        <v>350</v>
      </c>
      <c r="F53" t="s">
        <v>25</v>
      </c>
      <c r="G53" s="3">
        <v>2540</v>
      </c>
      <c r="H53" s="3">
        <v>350</v>
      </c>
      <c r="I53" s="4">
        <v>889000</v>
      </c>
      <c r="J53" s="5" t="s">
        <v>181</v>
      </c>
      <c r="K53" s="3">
        <v>4700</v>
      </c>
      <c r="L53" s="3">
        <v>350</v>
      </c>
      <c r="M53" s="4">
        <v>1645000</v>
      </c>
      <c r="N53" s="5" t="s">
        <v>182</v>
      </c>
    </row>
    <row r="54" spans="1:14" ht="45" x14ac:dyDescent="0.25">
      <c r="A54" t="s">
        <v>183</v>
      </c>
      <c r="B54" t="s">
        <v>22</v>
      </c>
      <c r="C54" t="s">
        <v>184</v>
      </c>
      <c r="D54" t="s">
        <v>185</v>
      </c>
      <c r="E54">
        <v>350</v>
      </c>
      <c r="F54" t="s">
        <v>25</v>
      </c>
      <c r="G54" s="3">
        <v>1500</v>
      </c>
      <c r="H54" s="3">
        <v>350</v>
      </c>
      <c r="I54" s="4">
        <v>525000</v>
      </c>
      <c r="J54" s="5" t="s">
        <v>186</v>
      </c>
      <c r="K54" s="3">
        <v>2300</v>
      </c>
      <c r="L54" s="3">
        <v>350</v>
      </c>
      <c r="M54" s="4">
        <v>805000</v>
      </c>
      <c r="N54" s="5" t="s">
        <v>187</v>
      </c>
    </row>
    <row r="55" spans="1:14" ht="45" x14ac:dyDescent="0.25">
      <c r="A55" t="s">
        <v>188</v>
      </c>
      <c r="B55" t="s">
        <v>22</v>
      </c>
      <c r="C55" t="s">
        <v>189</v>
      </c>
      <c r="D55" t="s">
        <v>190</v>
      </c>
      <c r="E55">
        <v>205</v>
      </c>
      <c r="F55" t="s">
        <v>25</v>
      </c>
      <c r="G55" s="3">
        <v>1800</v>
      </c>
      <c r="H55" s="3">
        <v>205</v>
      </c>
      <c r="I55" s="4">
        <v>369000</v>
      </c>
      <c r="J55" s="5" t="s">
        <v>191</v>
      </c>
      <c r="K55" s="3"/>
      <c r="L55" s="3"/>
      <c r="M55" s="4"/>
    </row>
    <row r="56" spans="1:14" ht="45" x14ac:dyDescent="0.25">
      <c r="A56" t="s">
        <v>192</v>
      </c>
      <c r="B56" t="s">
        <v>22</v>
      </c>
      <c r="C56" t="s">
        <v>193</v>
      </c>
      <c r="D56" t="s">
        <v>194</v>
      </c>
      <c r="E56">
        <v>205</v>
      </c>
      <c r="F56" t="s">
        <v>25</v>
      </c>
      <c r="G56" s="3">
        <v>1847.5</v>
      </c>
      <c r="H56" s="3">
        <v>205</v>
      </c>
      <c r="I56" s="4">
        <v>378737.5</v>
      </c>
      <c r="J56" s="5" t="s">
        <v>195</v>
      </c>
      <c r="K56" s="3"/>
      <c r="L56" s="3"/>
      <c r="M56" s="4"/>
    </row>
    <row r="57" spans="1:14" ht="45" x14ac:dyDescent="0.25">
      <c r="A57" t="s">
        <v>196</v>
      </c>
      <c r="B57" t="s">
        <v>22</v>
      </c>
      <c r="C57" t="s">
        <v>70</v>
      </c>
      <c r="D57" t="s">
        <v>71</v>
      </c>
      <c r="E57">
        <v>410</v>
      </c>
      <c r="F57" t="s">
        <v>25</v>
      </c>
      <c r="G57" s="3">
        <v>1092</v>
      </c>
      <c r="H57" s="3">
        <v>410</v>
      </c>
      <c r="I57" s="4">
        <v>447720</v>
      </c>
      <c r="J57" s="5" t="s">
        <v>197</v>
      </c>
      <c r="K57" s="3">
        <v>2350</v>
      </c>
      <c r="L57" s="3">
        <v>410</v>
      </c>
      <c r="M57" s="4">
        <v>963500</v>
      </c>
      <c r="N57" s="5" t="s">
        <v>198</v>
      </c>
    </row>
    <row r="58" spans="1:14" ht="45" x14ac:dyDescent="0.25">
      <c r="A58" t="s">
        <v>199</v>
      </c>
      <c r="B58" t="s">
        <v>22</v>
      </c>
      <c r="C58" t="s">
        <v>200</v>
      </c>
      <c r="D58" t="s">
        <v>201</v>
      </c>
      <c r="E58">
        <v>115</v>
      </c>
      <c r="F58" t="s">
        <v>25</v>
      </c>
      <c r="G58" s="3">
        <v>1605</v>
      </c>
      <c r="H58" s="3">
        <v>115</v>
      </c>
      <c r="I58" s="4">
        <v>184575</v>
      </c>
      <c r="J58" s="5" t="s">
        <v>202</v>
      </c>
      <c r="K58" s="3">
        <v>3300</v>
      </c>
      <c r="L58" s="3">
        <v>115</v>
      </c>
      <c r="M58" s="4">
        <v>379500</v>
      </c>
      <c r="N58" s="5" t="s">
        <v>203</v>
      </c>
    </row>
    <row r="59" spans="1:14" ht="45" x14ac:dyDescent="0.25">
      <c r="A59" t="s">
        <v>204</v>
      </c>
      <c r="B59" t="s">
        <v>22</v>
      </c>
      <c r="C59" t="s">
        <v>205</v>
      </c>
      <c r="D59" t="s">
        <v>206</v>
      </c>
      <c r="E59">
        <v>50</v>
      </c>
      <c r="F59" t="s">
        <v>25</v>
      </c>
      <c r="G59" s="3">
        <v>2617</v>
      </c>
      <c r="H59" s="3">
        <v>50</v>
      </c>
      <c r="I59" s="4">
        <v>130850</v>
      </c>
      <c r="J59" s="5" t="s">
        <v>207</v>
      </c>
      <c r="K59" s="3"/>
      <c r="L59" s="3"/>
      <c r="M59" s="4"/>
    </row>
    <row r="60" spans="1:14" ht="45" x14ac:dyDescent="0.25">
      <c r="A60" t="s">
        <v>208</v>
      </c>
      <c r="B60" t="s">
        <v>22</v>
      </c>
      <c r="C60" t="s">
        <v>209</v>
      </c>
      <c r="D60" s="5" t="s">
        <v>210</v>
      </c>
      <c r="E60">
        <v>310</v>
      </c>
      <c r="F60" t="s">
        <v>25</v>
      </c>
      <c r="G60" s="3">
        <v>1531.5</v>
      </c>
      <c r="H60" s="3">
        <v>310</v>
      </c>
      <c r="I60" s="4">
        <v>474765</v>
      </c>
      <c r="J60" s="5" t="s">
        <v>211</v>
      </c>
      <c r="K60" s="3"/>
      <c r="L60" s="3"/>
      <c r="M60" s="4"/>
    </row>
    <row r="61" spans="1:14" ht="45" x14ac:dyDescent="0.25">
      <c r="A61" t="s">
        <v>212</v>
      </c>
      <c r="B61" t="s">
        <v>22</v>
      </c>
      <c r="C61" t="s">
        <v>213</v>
      </c>
      <c r="D61" t="s">
        <v>214</v>
      </c>
      <c r="E61">
        <v>21</v>
      </c>
      <c r="F61" t="s">
        <v>25</v>
      </c>
      <c r="G61" s="3">
        <v>2165</v>
      </c>
      <c r="H61" s="3">
        <v>21</v>
      </c>
      <c r="I61" s="4">
        <v>45465</v>
      </c>
      <c r="J61" s="5" t="s">
        <v>215</v>
      </c>
      <c r="K61" s="3"/>
      <c r="L61" s="3"/>
      <c r="M61" s="4"/>
    </row>
    <row r="62" spans="1:14" ht="45" x14ac:dyDescent="0.25">
      <c r="A62" t="s">
        <v>216</v>
      </c>
      <c r="B62" t="s">
        <v>22</v>
      </c>
      <c r="C62" t="s">
        <v>165</v>
      </c>
      <c r="D62" t="s">
        <v>166</v>
      </c>
      <c r="E62">
        <v>75</v>
      </c>
      <c r="F62" t="s">
        <v>25</v>
      </c>
      <c r="G62" s="3">
        <v>3315</v>
      </c>
      <c r="H62" s="3">
        <v>75</v>
      </c>
      <c r="I62" s="4">
        <v>248625</v>
      </c>
      <c r="J62" s="5" t="s">
        <v>217</v>
      </c>
      <c r="K62" s="3"/>
      <c r="L62" s="3"/>
      <c r="M62" s="4"/>
    </row>
    <row r="63" spans="1:14" ht="45" x14ac:dyDescent="0.25">
      <c r="A63" t="s">
        <v>218</v>
      </c>
      <c r="B63" t="s">
        <v>22</v>
      </c>
      <c r="C63" t="s">
        <v>165</v>
      </c>
      <c r="D63" t="s">
        <v>166</v>
      </c>
      <c r="E63">
        <v>45</v>
      </c>
      <c r="F63" t="s">
        <v>25</v>
      </c>
      <c r="G63" s="3">
        <v>3515</v>
      </c>
      <c r="H63" s="3">
        <v>45</v>
      </c>
      <c r="I63" s="4">
        <v>158175</v>
      </c>
      <c r="J63" s="5" t="s">
        <v>219</v>
      </c>
      <c r="K63" s="3"/>
      <c r="L63" s="3"/>
      <c r="M63" s="4"/>
    </row>
    <row r="64" spans="1:14" ht="60" x14ac:dyDescent="0.25">
      <c r="A64" t="s">
        <v>220</v>
      </c>
      <c r="B64" t="s">
        <v>22</v>
      </c>
      <c r="C64" t="s">
        <v>221</v>
      </c>
      <c r="D64" s="5" t="s">
        <v>222</v>
      </c>
      <c r="E64">
        <v>5</v>
      </c>
      <c r="F64" t="s">
        <v>25</v>
      </c>
      <c r="G64" s="3">
        <v>5983</v>
      </c>
      <c r="H64" s="3">
        <v>5</v>
      </c>
      <c r="I64" s="4">
        <v>29915</v>
      </c>
      <c r="J64" s="5" t="s">
        <v>223</v>
      </c>
      <c r="K64" s="3"/>
      <c r="L64" s="3"/>
      <c r="M64" s="4"/>
    </row>
    <row r="65" spans="1:13" ht="45" x14ac:dyDescent="0.25">
      <c r="A65" t="s">
        <v>224</v>
      </c>
      <c r="B65" t="s">
        <v>22</v>
      </c>
      <c r="C65" t="s">
        <v>225</v>
      </c>
      <c r="D65" t="s">
        <v>226</v>
      </c>
      <c r="E65">
        <v>80</v>
      </c>
      <c r="F65" t="s">
        <v>25</v>
      </c>
      <c r="G65" s="3">
        <v>2790</v>
      </c>
      <c r="H65" s="3">
        <v>80</v>
      </c>
      <c r="I65" s="4">
        <v>223200</v>
      </c>
      <c r="J65" s="5" t="s">
        <v>227</v>
      </c>
      <c r="K65" s="3"/>
      <c r="L65" s="3"/>
      <c r="M65" s="4"/>
    </row>
    <row r="66" spans="1:13" ht="45" x14ac:dyDescent="0.25">
      <c r="A66" t="s">
        <v>228</v>
      </c>
      <c r="B66" t="s">
        <v>22</v>
      </c>
      <c r="C66" t="s">
        <v>225</v>
      </c>
      <c r="D66" t="s">
        <v>226</v>
      </c>
      <c r="E66">
        <v>30</v>
      </c>
      <c r="F66" t="s">
        <v>25</v>
      </c>
      <c r="G66" s="3">
        <v>3499</v>
      </c>
      <c r="H66" s="3">
        <v>30</v>
      </c>
      <c r="I66" s="4">
        <v>104970</v>
      </c>
      <c r="J66" s="5" t="s">
        <v>229</v>
      </c>
      <c r="K66" s="3"/>
      <c r="L66" s="3"/>
      <c r="M66" s="4"/>
    </row>
    <row r="67" spans="1:13" x14ac:dyDescent="0.25">
      <c r="C67" t="s">
        <v>230</v>
      </c>
      <c r="G67" s="3"/>
      <c r="H67" s="3"/>
      <c r="I67" s="4">
        <f>SUBTOTAL(109,Table2[Total por renglón])</f>
        <v>5029341.5</v>
      </c>
      <c r="J67" s="5"/>
      <c r="K67" s="3"/>
      <c r="L67" s="3"/>
      <c r="M67" s="4">
        <f>SUBTOTAL(109,Table3[Total por renglón])</f>
        <v>3793000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2022-05-17T16:36:28Z</dcterms:created>
  <dcterms:modified xsi:type="dcterms:W3CDTF">2022-05-17T16:38:14Z</dcterms:modified>
</cp:coreProperties>
</file>