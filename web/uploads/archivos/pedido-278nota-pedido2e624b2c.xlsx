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E21D4FD9-ADE6-438B-8009-1FBD42B537BF}"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NotaPedido" sheetId="2" r:id="rId2"/>
    <sheet name="Autor Gastar" sheetId="3" r:id="rId3"/>
  </sheets>
  <definedNames>
    <definedName name="_xlnm._FilterDatabase" localSheetId="0" hidden="1">'Necesidades Trimestrales'!$A$9:$I$40</definedName>
    <definedName name="_xlnm.Print_Area" localSheetId="2">'Autor Gastar'!$A$1:$Q$28</definedName>
    <definedName name="_xlnm.Print_Area" localSheetId="1">NotaPedido!$A$1:$K$43</definedName>
  </definedNames>
  <calcPr calcId="181029"/>
</workbook>
</file>

<file path=xl/calcChain.xml><?xml version="1.0" encoding="utf-8"?>
<calcChain xmlns="http://schemas.openxmlformats.org/spreadsheetml/2006/main">
  <c r="B15" i="2" l="1"/>
  <c r="B16" i="2"/>
  <c r="B17" i="2"/>
  <c r="B18" i="2"/>
  <c r="B19" i="2"/>
  <c r="B20" i="2"/>
  <c r="B21" i="2"/>
  <c r="B22" i="2"/>
  <c r="B23" i="2"/>
  <c r="B24" i="2"/>
  <c r="B25" i="2"/>
  <c r="B26" i="2"/>
  <c r="B27" i="2"/>
  <c r="B28" i="2"/>
  <c r="B29" i="2"/>
  <c r="B30" i="2"/>
  <c r="B31" i="2"/>
  <c r="B32" i="2"/>
  <c r="B33" i="2"/>
  <c r="B34" i="2"/>
  <c r="B35" i="2"/>
  <c r="B36" i="2"/>
  <c r="B37" i="2"/>
  <c r="B38" i="2"/>
  <c r="B39" i="2"/>
  <c r="B40" i="2"/>
  <c r="B41" i="2"/>
  <c r="B42" i="2"/>
  <c r="K17" i="2"/>
  <c r="K18" i="2"/>
  <c r="K19" i="2"/>
  <c r="K20" i="2"/>
  <c r="K21" i="2"/>
  <c r="K22" i="2"/>
  <c r="K23" i="2"/>
  <c r="K24" i="2"/>
  <c r="K25" i="2"/>
  <c r="K26" i="2"/>
  <c r="K27" i="2"/>
  <c r="K28" i="2"/>
  <c r="K29" i="2"/>
  <c r="K30" i="2"/>
  <c r="K31" i="2"/>
  <c r="K32" i="2"/>
  <c r="K33" i="2"/>
  <c r="K34" i="2"/>
  <c r="K35" i="2"/>
  <c r="K36" i="2"/>
  <c r="K37" i="2"/>
  <c r="K38" i="2"/>
  <c r="K39" i="2"/>
  <c r="K40" i="2"/>
  <c r="K41" i="2"/>
  <c r="K42" i="2"/>
  <c r="C16" i="2"/>
  <c r="C17" i="2"/>
  <c r="C18" i="2"/>
  <c r="C19" i="2"/>
  <c r="C20" i="2"/>
  <c r="C21" i="2"/>
  <c r="C22" i="2"/>
  <c r="C23" i="2"/>
  <c r="C24" i="2"/>
  <c r="C25" i="2"/>
  <c r="C26" i="2"/>
  <c r="C27" i="2"/>
  <c r="C28" i="2"/>
  <c r="C29" i="2"/>
  <c r="C30" i="2"/>
  <c r="C31" i="2"/>
  <c r="C32" i="2"/>
  <c r="C33" i="2"/>
  <c r="C34" i="2"/>
  <c r="C35" i="2"/>
  <c r="C36" i="2"/>
  <c r="C37" i="2"/>
  <c r="C38" i="2"/>
  <c r="C39" i="2"/>
  <c r="C40" i="2"/>
  <c r="C41" i="2"/>
  <c r="C42" i="2"/>
  <c r="J18" i="2"/>
  <c r="J19" i="2"/>
  <c r="J20" i="2"/>
  <c r="J21" i="2"/>
  <c r="J22" i="2"/>
  <c r="J23" i="2"/>
  <c r="J24" i="2"/>
  <c r="J25" i="2"/>
  <c r="J26" i="2"/>
  <c r="J27" i="2"/>
  <c r="J28" i="2"/>
  <c r="J29" i="2"/>
  <c r="J30" i="2"/>
  <c r="J31" i="2"/>
  <c r="J32" i="2"/>
  <c r="J33" i="2"/>
  <c r="J34" i="2"/>
  <c r="J35" i="2"/>
  <c r="J36" i="2"/>
  <c r="J37" i="2"/>
  <c r="J38" i="2"/>
  <c r="J39" i="2"/>
  <c r="J40" i="2"/>
  <c r="J41" i="2"/>
  <c r="J42" i="2"/>
  <c r="I17" i="2"/>
  <c r="I18" i="2"/>
  <c r="I19" i="2"/>
  <c r="I20" i="2"/>
  <c r="I21" i="2"/>
  <c r="I22" i="2"/>
  <c r="I23" i="2"/>
  <c r="I24" i="2"/>
  <c r="I25" i="2"/>
  <c r="I26" i="2"/>
  <c r="I27" i="2"/>
  <c r="I28" i="2"/>
  <c r="I29" i="2"/>
  <c r="I30" i="2"/>
  <c r="I31" i="2"/>
  <c r="I32" i="2"/>
  <c r="I33" i="2"/>
  <c r="I34" i="2"/>
  <c r="I35" i="2"/>
  <c r="I36" i="2"/>
  <c r="I37" i="2"/>
  <c r="I38" i="2"/>
  <c r="I39" i="2"/>
  <c r="I40" i="2"/>
  <c r="I41" i="2"/>
  <c r="I42" i="2"/>
  <c r="A27" i="3"/>
  <c r="A10" i="3"/>
  <c r="J17" i="2"/>
  <c r="K16" i="2"/>
  <c r="J16" i="2"/>
  <c r="I16" i="2"/>
  <c r="K15" i="2"/>
  <c r="J15" i="2"/>
  <c r="I15" i="2"/>
  <c r="C15" i="2"/>
  <c r="K14" i="2"/>
  <c r="J14" i="2"/>
  <c r="I14" i="2"/>
  <c r="C14" i="2"/>
  <c r="B14" i="2"/>
  <c r="K13" i="2"/>
  <c r="J13" i="2"/>
  <c r="I13" i="2"/>
  <c r="C13" i="2"/>
  <c r="B13" i="2"/>
  <c r="K12" i="2"/>
  <c r="J12" i="2"/>
  <c r="I12" i="2"/>
  <c r="C12" i="2"/>
  <c r="B12" i="2"/>
  <c r="I23" i="1"/>
  <c r="I22" i="1"/>
  <c r="I21" i="1"/>
  <c r="I40" i="1"/>
  <c r="I38" i="1"/>
  <c r="I37" i="1"/>
  <c r="I36" i="1"/>
  <c r="I35" i="1"/>
  <c r="I34" i="1"/>
  <c r="I33" i="1"/>
  <c r="I32" i="1"/>
  <c r="I31" i="1"/>
  <c r="I39" i="1"/>
  <c r="I30" i="1"/>
  <c r="I29" i="1"/>
  <c r="I28" i="1"/>
  <c r="I27" i="1"/>
  <c r="I26" i="1"/>
  <c r="I25" i="1"/>
  <c r="I24" i="1"/>
  <c r="I20" i="1"/>
  <c r="I19" i="1"/>
  <c r="I18" i="1"/>
  <c r="I17" i="1"/>
  <c r="I16" i="1"/>
  <c r="I15" i="1"/>
  <c r="I14" i="1"/>
  <c r="I13" i="1"/>
  <c r="I12" i="1"/>
  <c r="I10" i="1"/>
  <c r="I11" i="1"/>
  <c r="J43" i="2" l="1"/>
  <c r="G6" i="3" l="1"/>
  <c r="G7" i="3"/>
  <c r="D7" i="2"/>
  <c r="D3" i="2"/>
  <c r="G4" i="3" s="1"/>
  <c r="D4" i="2"/>
  <c r="G5" i="3" s="1"/>
  <c r="D1" i="3" l="1"/>
  <c r="Q24" i="3"/>
</calcChain>
</file>

<file path=xl/sharedStrings.xml><?xml version="1.0" encoding="utf-8"?>
<sst xmlns="http://schemas.openxmlformats.org/spreadsheetml/2006/main" count="255" uniqueCount="120">
  <si>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</si>
  <si>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</si>
  <si>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</si>
  <si>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</si>
  <si>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</si>
  <si>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</si>
  <si>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</si>
  <si>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</si>
  <si>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</si>
  <si>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</si>
  <si>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</si>
  <si>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</si>
  <si>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</si>
  <si>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</si>
  <si>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</si>
  <si>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</si>
  <si>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</si>
  <si>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</si>
  <si>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</si>
  <si>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</si>
  <si>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</si>
  <si>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</si>
  <si>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</si>
  <si>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</si>
  <si>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</si>
  <si>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</si>
  <si>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</si>
  <si>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</si>
  <si>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</si>
  <si>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</si>
  <si>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</si>
  <si>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</si>
  <si>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</si>
  <si>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</si>
  <si>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</si>
  <si>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</si>
  <si>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</si>
  <si>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</si>
  <si>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</si>
  <si>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</si>
  <si>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</si>
  <si>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</si>
  <si>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</si>
  <si>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</si>
  <si>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</si>
  <si>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</si>
  <si>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</si>
  <si>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</si>
  <si>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</si>
  <si>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</si>
  <si>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</si>
  <si>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</si>
  <si>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</si>
  <si>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</si>
  <si>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</si>
  <si>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</si>
  <si>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</si>
  <si>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</si>
  <si>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</si>
  <si>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</si>
  <si>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Compuestos Quimicos</t>
  </si>
  <si>
    <t xml:space="preserve">45 dias habiles </t>
  </si>
  <si>
    <t>3.1</t>
  </si>
  <si>
    <t>1.1</t>
  </si>
  <si>
    <t>Utiles Menores Med. Quir. y de Lab.</t>
  </si>
  <si>
    <t>Bolsas  de Cloruro de Sodio de 25 kg (sal gruesa seca, lavada, limpia, sin iodo, lidad del agua que alimenta los Autoclaves.</t>
  </si>
  <si>
    <t>UNIDAD</t>
  </si>
  <si>
    <t>Bobina Baja Densidad 30 X 40 rollo x 200 un. Tipo Mapsa</t>
  </si>
  <si>
    <t>Camisolin P/Cirugia de tela verde brin con puño caña larga</t>
  </si>
  <si>
    <t>2.5.8</t>
  </si>
  <si>
    <t>Productos de Material Plastico</t>
  </si>
  <si>
    <t>Cartucho de Oxido de Etileno x 160 grs. Diam. 50mm. X 174mm.</t>
  </si>
  <si>
    <t>2.9.5</t>
  </si>
  <si>
    <t>Ut. Menores Med. Quirurg. Y de Lab.</t>
  </si>
  <si>
    <t>CEPILLO P/LAVAR TUBOS GRANDES X 1</t>
  </si>
  <si>
    <t>CEPILLO P/LAVAR TUBOS MEDIANOS X 1</t>
  </si>
  <si>
    <t>Cinta Papel Pintor 18 mm. X 50 mts. Tipo Stiko</t>
  </si>
  <si>
    <t>Cinta Testigo p/calor humedo  (en rollo) Tipo Kims</t>
  </si>
  <si>
    <t>Cinta Testigo p/calor seco  (en rollo) Tipo Kims</t>
  </si>
  <si>
    <t xml:space="preserve">Envoltorio para esterilización de Tela no tejida 100% a base de Polipropileno SMS. Gramaje 45 gr/m2 Bobina x 200 metros </t>
  </si>
  <si>
    <t>GASA HIDROFILA PIEZA X 1,8 KGS. TIPO HIDROSAN</t>
  </si>
  <si>
    <t>INDICADOR BIOLOGICO METODO OXIDO DE ETILENO X 100 AMPOLLAS</t>
  </si>
  <si>
    <t>Indicador Biologico Para Calor Humedo x 100 Ampollas</t>
  </si>
  <si>
    <t>INDICADORES DE ESTERILIZACION,CALOR SECO,TIRAS INTEGRADORAS CAJA X 100</t>
  </si>
  <si>
    <t xml:space="preserve">INDICADORES DE ESTERILIZACION; METODO DE ESTERILIZACION: AUTOCLAVE DE VAPOR, TIRAS INTEGRADORAS, CAJA X 100 UN, </t>
  </si>
  <si>
    <t>LUPAS; POTENCIA: 75 Diop, DIAMETRO: 65 mm, MATERIAL LENTE: VIDRIO, ACCESORIO: C/LUZ, ARMAZON: PLASTICO, ESTRUCTURA: PLASTICO</t>
  </si>
  <si>
    <t>PAPEL GRADO MEDICO 60 GR ANCHO 60 CM X 100 MTS</t>
  </si>
  <si>
    <t>PAPEL GRADO MEDICO 80 CM X 330 MTS</t>
  </si>
  <si>
    <t>TUBULADURA  PVC  USO MEDICINAL 9 X 6 X 50</t>
  </si>
  <si>
    <t>PAPEL GRADO MEDICO CREPADO ROLLO X 80X 100 MTS</t>
  </si>
  <si>
    <t>PAPELES P/ESTERILIZACION; TIPO: PAPEL CREPPE, PRESENTACION: 100 X 100 Cm</t>
  </si>
  <si>
    <t>Polipropileno Paquete x 100 hojas 1 mt. x 1 mt. Tipo ST PACK</t>
  </si>
  <si>
    <t>Pouch Rollo de 200 mm x 200 mt.</t>
  </si>
  <si>
    <t>Ropa Equipo Cirugia Universal DESCARTABLE 17 Elementos Esteril</t>
  </si>
  <si>
    <t>Tela verde brin de algodón rollo 50 mtrs largo (doble ancho) Indantrend</t>
  </si>
  <si>
    <t>2.2.1</t>
  </si>
  <si>
    <t xml:space="preserve">Hilados y Telas </t>
  </si>
  <si>
    <t>Testigo p/calor humedo  (en Tiras) Tipo Kims</t>
  </si>
  <si>
    <t>Testigo p/calor seco  (en Tiras) Tipo Kims</t>
  </si>
  <si>
    <t>TUBULADURA PVC 6X9 X 50 USO MEDICINAL</t>
  </si>
  <si>
    <t>2.5.1</t>
  </si>
  <si>
    <t xml:space="preserve">Compuestos Quimicos </t>
  </si>
  <si>
    <t>2.5.9</t>
  </si>
  <si>
    <t>Otros NEP</t>
  </si>
  <si>
    <t>GASAS; TIPO: CORTADA, MEDIDA: 40 X 40 Cm, PRESENTACION: X KILO</t>
  </si>
  <si>
    <t>GUANTES DE NITRILO CANA LARGA CAJAS X 100</t>
  </si>
  <si>
    <t>GUANTES DE NITRILO CAÑA LARGA X 100 UNIDADES TAMAÑO S</t>
  </si>
  <si>
    <t xml:space="preserve">10 dias - Servicio de Esterilización del HISJB - Avda. Illia y Mariano Moreno </t>
  </si>
  <si>
    <t>GUANTES DE NITRILO CAÑA LARGA X 100 UNIDADES TAMAÑO M</t>
  </si>
  <si>
    <t xml:space="preserve">Servicio de Esterilización </t>
  </si>
  <si>
    <t xml:space="preserve">Adquisición de Insumos para Esterilización </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</si>
  <si>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</si>
  <si>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Especificidades Item N° 13:</t>
  </si>
  <si>
    <t>Especificidades Item N° 14:</t>
  </si>
  <si>
    <t>032 - 2021</t>
  </si>
  <si>
    <t>Costo total estimado: SEIS MILLONES QUINIENTOS VEINTINUEVE MIL CUATROCIENTOS CINCUENTA Y OCHO CON 94/100.----</t>
  </si>
  <si>
    <t xml:space="preserve">Productos de Material Plastico </t>
  </si>
  <si>
    <t>TOTAL DE PESOS: SEIS MILLONES QUINIENTOS VEINTINUEVE MIL CUATROCIENTOS CINCUENTA Y OCHO CON 94/100.--</t>
  </si>
  <si>
    <t xml:space="preserve">PLAZO DE MANTENIMIENTO DE OFERTA: 45 DIAS HABILES </t>
  </si>
  <si>
    <t xml:space="preserve">PLAZOS Y LUGAR DE ENTREGA: 10 DIAS - SERVICIO DE ESTERILIZACION DEL HISJB - AVDA. ILLIA Y MARIANO MORENO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</si>
</sst>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8"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2"/>
      <name val="Calibri"/>
      <family val="2"/>
    </font>
    <font>
      <sz val="9"/>
      <name val="Arial"/>
      <family val="2"/>
    </font>
    <font>
      <sz val="11"/>
      <name val="Arial"/>
      <family val="2"/>
    </font>
    <font>
      <b/>
      <sz val="8"/>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5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indexed="64"/>
      </left>
      <right style="thin">
        <color indexed="64"/>
      </right>
      <top/>
      <bottom style="thin">
        <color indexed="64"/>
      </bottom>
      <diagonal/>
    </border>
    <border>
      <left style="thin">
        <color rgb="FF3D3D3D"/>
      </left>
      <right style="medium">
        <color rgb="FF3D3D3D"/>
      </right>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right/>
      <top style="medium">
        <color auto="1"/>
      </top>
      <bottom style="medium">
        <color auto="1"/>
      </bottom>
      <diagonal/>
    </border>
  </borders>
  <cellStyleXfs count="6">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xf numFmtId="0" fontId="14" fillId="0" borderId="0"/>
  </cellStyleXfs>
  <cellXfs count="150">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0" fillId="0" borderId="14" xfId="0" applyFont="1" applyBorder="1" applyAlignment="1">
      <alignment horizontal="center" vertical="center"/>
    </xf>
    <xf numFmtId="0" fontId="21" fillId="0" borderId="14" xfId="0" applyFont="1" applyBorder="1" applyAlignment="1">
      <alignment horizontal="left" vertical="center" wrapText="1"/>
    </xf>
    <xf numFmtId="0" fontId="21" fillId="0" borderId="14" xfId="0" applyFont="1" applyBorder="1" applyAlignment="1">
      <alignment horizontal="center" vertical="center" wrapText="1"/>
    </xf>
    <xf numFmtId="0" fontId="24" fillId="0" borderId="14" xfId="0" applyFont="1" applyFill="1" applyBorder="1" applyAlignment="1">
      <alignment vertical="center" wrapText="1"/>
    </xf>
    <xf numFmtId="0" fontId="21" fillId="4" borderId="14" xfId="0" applyFont="1" applyFill="1" applyBorder="1" applyAlignment="1">
      <alignment horizontal="center" vertical="center" wrapText="1"/>
    </xf>
    <xf numFmtId="166" fontId="20" fillId="4" borderId="14" xfId="1" applyNumberFormat="1" applyFont="1" applyFill="1" applyBorder="1" applyAlignment="1" applyProtection="1">
      <alignment horizontal="center" vertical="center" wrapText="1"/>
    </xf>
    <xf numFmtId="166" fontId="20" fillId="4" borderId="14" xfId="1" applyNumberFormat="1" applyFont="1" applyFill="1" applyBorder="1" applyAlignment="1" applyProtection="1">
      <alignment horizontal="right"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0" fontId="6" fillId="4" borderId="11" xfId="0" applyFont="1" applyFill="1" applyBorder="1" applyAlignment="1">
      <alignment horizontal="center" vertical="center"/>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166" fontId="4" fillId="5" borderId="19" xfId="1" applyNumberFormat="1" applyFont="1" applyFill="1" applyBorder="1" applyAlignment="1" applyProtection="1">
      <alignment horizontal="right"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4"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166" fontId="0" fillId="0" borderId="0" xfId="0" applyNumberFormat="1"/>
    <xf numFmtId="0" fontId="26" fillId="5" borderId="14" xfId="5" applyFont="1" applyFill="1" applyBorder="1" applyAlignment="1">
      <alignment horizontal="left" vertical="center" wrapText="1"/>
    </xf>
    <xf numFmtId="0" fontId="26" fillId="5" borderId="14" xfId="5" applyFont="1" applyFill="1" applyBorder="1" applyAlignment="1">
      <alignment horizontal="left" vertical="center"/>
    </xf>
    <xf numFmtId="0" fontId="21" fillId="0" borderId="14" xfId="0" applyFont="1" applyBorder="1" applyAlignment="1">
      <alignment horizontal="center" vertical="center"/>
    </xf>
    <xf numFmtId="0" fontId="24" fillId="0" borderId="14" xfId="0" applyFont="1" applyFill="1" applyBorder="1" applyAlignment="1">
      <alignment vertical="center"/>
    </xf>
    <xf numFmtId="0" fontId="24" fillId="0" borderId="48" xfId="0" applyFont="1" applyFill="1" applyBorder="1" applyAlignment="1">
      <alignment vertical="center" wrapText="1"/>
    </xf>
    <xf numFmtId="0" fontId="21" fillId="5" borderId="14" xfId="0" applyFont="1" applyFill="1" applyBorder="1" applyAlignment="1">
      <alignment horizontal="left" vertical="center" wrapText="1"/>
    </xf>
    <xf numFmtId="0" fontId="21" fillId="5" borderId="14" xfId="0" applyFont="1" applyFill="1" applyBorder="1" applyAlignment="1">
      <alignment horizontal="center" vertical="center" wrapText="1"/>
    </xf>
    <xf numFmtId="0" fontId="24" fillId="5" borderId="14" xfId="0" applyFont="1" applyFill="1" applyBorder="1" applyAlignment="1">
      <alignment vertical="center" wrapText="1"/>
    </xf>
    <xf numFmtId="0" fontId="15" fillId="5" borderId="0" xfId="0" applyFont="1" applyFill="1"/>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4" fillId="4" borderId="36" xfId="0" applyFont="1" applyFill="1" applyBorder="1" applyAlignment="1">
      <alignment horizontal="center" vertical="center"/>
    </xf>
    <xf numFmtId="0" fontId="0" fillId="5" borderId="36" xfId="0" applyFont="1" applyFill="1" applyBorder="1" applyAlignment="1">
      <alignment horizontal="center" vertical="center"/>
    </xf>
    <xf numFmtId="0" fontId="0" fillId="4" borderId="37" xfId="0" applyFont="1" applyFill="1" applyBorder="1" applyAlignment="1">
      <alignment horizontal="center" vertical="center"/>
    </xf>
    <xf numFmtId="166" fontId="0" fillId="0" borderId="49" xfId="3" applyNumberFormat="1" applyFont="1" applyBorder="1" applyAlignment="1" applyProtection="1">
      <alignment horizontal="center" vertical="center"/>
    </xf>
    <xf numFmtId="0" fontId="16" fillId="0" borderId="0" xfId="0" applyFont="1" applyBorder="1" applyAlignment="1">
      <alignment horizontal="center"/>
    </xf>
    <xf numFmtId="0" fontId="17" fillId="0" borderId="0" xfId="0" applyFont="1" applyBorder="1" applyAlignment="1">
      <alignment horizontal="left" vertical="center" wrapText="1"/>
    </xf>
    <xf numFmtId="0" fontId="23" fillId="4" borderId="0" xfId="0" applyFont="1" applyFill="1" applyBorder="1" applyAlignment="1">
      <alignment horizontal="left" wrapText="1" indent="1"/>
    </xf>
    <xf numFmtId="0" fontId="15" fillId="3" borderId="6" xfId="0" applyFont="1" applyFill="1" applyBorder="1" applyAlignment="1">
      <alignment horizontal="center" wrapText="1"/>
    </xf>
    <xf numFmtId="0" fontId="15" fillId="4" borderId="6" xfId="0" applyFont="1" applyFill="1" applyBorder="1" applyAlignment="1">
      <alignment horizontal="left"/>
    </xf>
    <xf numFmtId="0" fontId="15" fillId="4" borderId="6" xfId="0" applyFont="1" applyFill="1" applyBorder="1" applyAlignment="1">
      <alignment horizontal="center"/>
    </xf>
    <xf numFmtId="0" fontId="15" fillId="6" borderId="20" xfId="0" applyFont="1" applyFill="1" applyBorder="1" applyAlignment="1">
      <alignment horizontal="center" vertical="center"/>
    </xf>
    <xf numFmtId="0" fontId="15" fillId="6" borderId="52" xfId="0" applyFont="1" applyFill="1" applyBorder="1" applyAlignment="1">
      <alignment horizontal="center" vertical="center"/>
    </xf>
    <xf numFmtId="0" fontId="15" fillId="6" borderId="21" xfId="0" applyFont="1" applyFill="1" applyBorder="1" applyAlignment="1">
      <alignment horizontal="center" vertical="center"/>
    </xf>
    <xf numFmtId="0" fontId="15" fillId="6" borderId="20" xfId="0" applyFont="1" applyFill="1" applyBorder="1" applyAlignment="1">
      <alignment horizontal="center" vertical="center" wrapText="1"/>
    </xf>
    <xf numFmtId="0" fontId="15" fillId="6" borderId="52"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3" borderId="6" xfId="0" applyFont="1" applyFill="1" applyBorder="1" applyAlignment="1">
      <alignment horizontal="center"/>
    </xf>
    <xf numFmtId="0" fontId="15" fillId="4" borderId="6" xfId="0" applyFont="1" applyFill="1" applyBorder="1" applyAlignment="1">
      <alignment horizontal="left"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4" fillId="5" borderId="19" xfId="0" applyFont="1" applyFill="1" applyBorder="1" applyAlignment="1">
      <alignment horizontal="left" vertical="center" wrapText="1"/>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11" fillId="0" borderId="11" xfId="0" applyFont="1" applyBorder="1" applyAlignment="1">
      <alignment horizontal="left" indent="1"/>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2" fillId="0" borderId="11" xfId="0" applyFont="1" applyBorder="1" applyAlignment="1">
      <alignment horizontal="left"/>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25" fillId="0" borderId="32" xfId="0" applyFont="1" applyBorder="1" applyAlignment="1">
      <alignment horizontal="left" vertical="center" wrapText="1"/>
    </xf>
    <xf numFmtId="0" fontId="25" fillId="0" borderId="36" xfId="0" applyFont="1" applyBorder="1" applyAlignment="1">
      <alignment horizontal="left" vertical="center" wrapText="1"/>
    </xf>
    <xf numFmtId="0" fontId="25" fillId="0" borderId="38" xfId="0" applyFont="1" applyBorder="1" applyAlignment="1">
      <alignment horizontal="left" vertical="center"/>
    </xf>
    <xf numFmtId="0" fontId="0" fillId="0" borderId="38" xfId="0" applyFont="1" applyBorder="1" applyAlignment="1">
      <alignment horizontal="left" vertical="center"/>
    </xf>
    <xf numFmtId="0" fontId="25" fillId="0" borderId="50" xfId="0" applyFont="1" applyBorder="1" applyAlignment="1">
      <alignment horizontal="left" vertical="center" wrapText="1"/>
    </xf>
    <xf numFmtId="0" fontId="25" fillId="0" borderId="51" xfId="0" applyFont="1" applyBorder="1" applyAlignment="1">
      <alignment horizontal="left" vertical="center" wrapText="1"/>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Border="1" applyAlignment="1">
      <alignment horizontal="left" vertical="center"/>
    </xf>
    <xf numFmtId="0" fontId="0" fillId="0" borderId="41" xfId="0" applyBorder="1" applyAlignment="1">
      <alignment horizontal="left" vertical="center"/>
    </xf>
    <xf numFmtId="0" fontId="27" fillId="0" borderId="44" xfId="0" applyFont="1" applyBorder="1" applyAlignment="1">
      <alignment horizontal="left" vertical="center" wrapText="1"/>
    </xf>
    <xf numFmtId="0" fontId="0" fillId="0" borderId="22" xfId="0" applyBorder="1"/>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73"/>
  <sheetViews>
    <sheetView tabSelected="1" zoomScale="85" zoomScaleNormal="85" workbookViewId="0">
      <selection activeCell="I44" sqref="I44"/>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39" customWidth="1"/>
    <col min="8" max="8" width="13.85546875" style="39" customWidth="1"/>
    <col min="9" max="9" width="18.5703125" style="39" customWidth="1"/>
    <col min="10" max="16384" width="11" style="39"/>
  </cols>
  <sheetData>
    <row r="2" spans="1:9" ht="27" x14ac:dyDescent="0.35">
      <c r="B2" s="94" t="s">
        <v>0</v>
      </c>
      <c r="C2" s="94"/>
      <c r="D2" s="94"/>
      <c r="E2" s="94"/>
      <c r="F2" s="94"/>
      <c r="G2" s="94"/>
      <c r="H2" s="94"/>
    </row>
    <row r="4" spans="1:9" ht="18" customHeight="1" x14ac:dyDescent="0.25">
      <c r="A4" s="95" t="s">
        <v>1</v>
      </c>
      <c r="B4" s="95"/>
      <c r="C4" s="96" t="s">
        <v>57</v>
      </c>
      <c r="D4" s="96"/>
      <c r="E4" s="96"/>
      <c r="F4" s="40"/>
      <c r="G4" s="41"/>
      <c r="H4" s="40"/>
    </row>
    <row r="5" spans="1:9" ht="18" customHeight="1" x14ac:dyDescent="0.25">
      <c r="A5" s="95" t="s">
        <v>2</v>
      </c>
      <c r="B5" s="95"/>
      <c r="C5" s="96" t="s">
        <v>58</v>
      </c>
      <c r="D5" s="96"/>
      <c r="E5" s="96"/>
      <c r="F5" s="40"/>
      <c r="G5" s="41"/>
      <c r="H5" s="40"/>
    </row>
    <row r="6" spans="1:9" ht="16.5" customHeight="1" x14ac:dyDescent="0.25">
      <c r="A6" s="95" t="s">
        <v>3</v>
      </c>
      <c r="B6" s="95"/>
      <c r="C6" s="63">
        <v>2021</v>
      </c>
      <c r="D6" s="64"/>
      <c r="E6" s="64"/>
      <c r="F6" s="40"/>
      <c r="G6" s="41"/>
      <c r="H6" s="40"/>
    </row>
    <row r="7" spans="1:9" ht="16.5" customHeight="1" x14ac:dyDescent="0.25">
      <c r="A7" s="95" t="s">
        <v>4</v>
      </c>
      <c r="B7" s="95"/>
      <c r="C7" s="63">
        <v>2</v>
      </c>
      <c r="D7" s="64"/>
      <c r="E7" s="64"/>
      <c r="F7" s="40"/>
      <c r="G7" s="41"/>
      <c r="H7" s="40"/>
    </row>
    <row r="8" spans="1:9" ht="13.5" thickBot="1" x14ac:dyDescent="0.25">
      <c r="B8" s="40"/>
      <c r="C8" s="41"/>
      <c r="D8" s="40"/>
      <c r="E8" s="40"/>
      <c r="F8" s="40"/>
      <c r="G8" s="41"/>
      <c r="H8" s="40"/>
    </row>
    <row r="9" spans="1:9" ht="39" thickBot="1" x14ac:dyDescent="0.25">
      <c r="A9" s="55" t="s">
        <v>5</v>
      </c>
      <c r="B9" s="55" t="s">
        <v>6</v>
      </c>
      <c r="C9" s="55" t="s">
        <v>7</v>
      </c>
      <c r="D9" s="55" t="s">
        <v>8</v>
      </c>
      <c r="E9" s="55" t="s">
        <v>9</v>
      </c>
      <c r="F9" s="55" t="s">
        <v>10</v>
      </c>
      <c r="G9" s="55" t="s">
        <v>11</v>
      </c>
      <c r="H9" s="55" t="s">
        <v>12</v>
      </c>
      <c r="I9" s="55" t="s">
        <v>13</v>
      </c>
    </row>
    <row r="10" spans="1:9" ht="31.9" customHeight="1" thickBot="1" x14ac:dyDescent="0.25">
      <c r="A10" s="56">
        <v>1</v>
      </c>
      <c r="B10" s="60"/>
      <c r="C10" s="57" t="s">
        <v>70</v>
      </c>
      <c r="D10" s="58" t="s">
        <v>69</v>
      </c>
      <c r="E10" s="59" t="s">
        <v>67</v>
      </c>
      <c r="F10" s="60" t="s">
        <v>66</v>
      </c>
      <c r="G10" s="60">
        <v>2</v>
      </c>
      <c r="H10" s="61">
        <v>1502.47</v>
      </c>
      <c r="I10" s="62">
        <f t="shared" ref="I10:I40" si="0">G10*H10</f>
        <v>3004.94</v>
      </c>
    </row>
    <row r="11" spans="1:9" ht="31.9" customHeight="1" thickBot="1" x14ac:dyDescent="0.25">
      <c r="A11" s="56">
        <v>2</v>
      </c>
      <c r="B11" s="60"/>
      <c r="C11" s="57" t="s">
        <v>101</v>
      </c>
      <c r="D11" s="58" t="s">
        <v>100</v>
      </c>
      <c r="E11" s="59" t="s">
        <v>65</v>
      </c>
      <c r="F11" s="60" t="s">
        <v>66</v>
      </c>
      <c r="G11" s="60">
        <v>10</v>
      </c>
      <c r="H11" s="61">
        <v>1925</v>
      </c>
      <c r="I11" s="62">
        <f t="shared" si="0"/>
        <v>19250</v>
      </c>
    </row>
    <row r="12" spans="1:9" ht="31.9" customHeight="1" thickBot="1" x14ac:dyDescent="0.25">
      <c r="A12" s="56">
        <v>3</v>
      </c>
      <c r="B12" s="60"/>
      <c r="C12" s="57" t="s">
        <v>73</v>
      </c>
      <c r="D12" s="58" t="s">
        <v>72</v>
      </c>
      <c r="E12" s="59" t="s">
        <v>68</v>
      </c>
      <c r="F12" s="60" t="s">
        <v>66</v>
      </c>
      <c r="G12" s="60">
        <v>80</v>
      </c>
      <c r="H12" s="61">
        <v>1990</v>
      </c>
      <c r="I12" s="62">
        <f t="shared" si="0"/>
        <v>159200</v>
      </c>
    </row>
    <row r="13" spans="1:9" ht="31.9" customHeight="1" thickBot="1" x14ac:dyDescent="0.25">
      <c r="A13" s="56">
        <v>4</v>
      </c>
      <c r="B13" s="60"/>
      <c r="C13" s="57" t="s">
        <v>73</v>
      </c>
      <c r="D13" s="58" t="s">
        <v>72</v>
      </c>
      <c r="E13" s="59" t="s">
        <v>71</v>
      </c>
      <c r="F13" s="60" t="s">
        <v>66</v>
      </c>
      <c r="G13" s="60">
        <v>120</v>
      </c>
      <c r="H13" s="61">
        <v>1222</v>
      </c>
      <c r="I13" s="62">
        <f t="shared" si="0"/>
        <v>146640</v>
      </c>
    </row>
    <row r="14" spans="1:9" ht="31.9" customHeight="1" thickBot="1" x14ac:dyDescent="0.25">
      <c r="A14" s="56">
        <v>5</v>
      </c>
      <c r="B14" s="60"/>
      <c r="C14" s="57" t="s">
        <v>73</v>
      </c>
      <c r="D14" s="58" t="s">
        <v>72</v>
      </c>
      <c r="E14" s="59" t="s">
        <v>74</v>
      </c>
      <c r="F14" s="60" t="s">
        <v>66</v>
      </c>
      <c r="G14" s="60">
        <v>3</v>
      </c>
      <c r="H14" s="61">
        <v>359</v>
      </c>
      <c r="I14" s="62">
        <f t="shared" si="0"/>
        <v>1077</v>
      </c>
    </row>
    <row r="15" spans="1:9" ht="31.9" customHeight="1" thickBot="1" x14ac:dyDescent="0.25">
      <c r="A15" s="56">
        <v>6</v>
      </c>
      <c r="B15" s="60"/>
      <c r="C15" s="57" t="s">
        <v>73</v>
      </c>
      <c r="D15" s="58" t="s">
        <v>72</v>
      </c>
      <c r="E15" s="59" t="s">
        <v>75</v>
      </c>
      <c r="F15" s="60" t="s">
        <v>66</v>
      </c>
      <c r="G15" s="60">
        <v>3</v>
      </c>
      <c r="H15" s="61">
        <v>359</v>
      </c>
      <c r="I15" s="62">
        <f t="shared" si="0"/>
        <v>1077</v>
      </c>
    </row>
    <row r="16" spans="1:9" ht="31.9" customHeight="1" thickBot="1" x14ac:dyDescent="0.25">
      <c r="A16" s="56">
        <v>7</v>
      </c>
      <c r="B16" s="60"/>
      <c r="C16" s="57" t="s">
        <v>73</v>
      </c>
      <c r="D16" s="58" t="s">
        <v>72</v>
      </c>
      <c r="E16" s="59" t="s">
        <v>76</v>
      </c>
      <c r="F16" s="60" t="s">
        <v>66</v>
      </c>
      <c r="G16" s="60">
        <v>252</v>
      </c>
      <c r="H16" s="61">
        <v>129</v>
      </c>
      <c r="I16" s="62">
        <f t="shared" si="0"/>
        <v>32508</v>
      </c>
    </row>
    <row r="17" spans="1:9" ht="31.9" customHeight="1" thickBot="1" x14ac:dyDescent="0.25">
      <c r="A17" s="56">
        <v>8</v>
      </c>
      <c r="B17" s="60"/>
      <c r="C17" s="57" t="s">
        <v>73</v>
      </c>
      <c r="D17" s="58" t="s">
        <v>72</v>
      </c>
      <c r="E17" s="79" t="s">
        <v>77</v>
      </c>
      <c r="F17" s="60" t="s">
        <v>66</v>
      </c>
      <c r="G17" s="60">
        <v>240</v>
      </c>
      <c r="H17" s="61">
        <v>315</v>
      </c>
      <c r="I17" s="62">
        <f t="shared" si="0"/>
        <v>75600</v>
      </c>
    </row>
    <row r="18" spans="1:9" ht="31.9" customHeight="1" thickBot="1" x14ac:dyDescent="0.25">
      <c r="A18" s="56">
        <v>9</v>
      </c>
      <c r="B18" s="60"/>
      <c r="C18" s="57" t="s">
        <v>73</v>
      </c>
      <c r="D18" s="58" t="s">
        <v>72</v>
      </c>
      <c r="E18" s="80" t="s">
        <v>78</v>
      </c>
      <c r="F18" s="60" t="s">
        <v>66</v>
      </c>
      <c r="G18" s="60">
        <v>30</v>
      </c>
      <c r="H18" s="61">
        <v>478</v>
      </c>
      <c r="I18" s="62">
        <f t="shared" si="0"/>
        <v>14340</v>
      </c>
    </row>
    <row r="19" spans="1:9" ht="31.9" customHeight="1" thickBot="1" x14ac:dyDescent="0.25">
      <c r="A19" s="56">
        <v>10</v>
      </c>
      <c r="B19" s="60"/>
      <c r="C19" s="57" t="s">
        <v>73</v>
      </c>
      <c r="D19" s="58" t="s">
        <v>72</v>
      </c>
      <c r="E19" s="59" t="s">
        <v>79</v>
      </c>
      <c r="F19" s="60" t="s">
        <v>66</v>
      </c>
      <c r="G19" s="60">
        <v>15</v>
      </c>
      <c r="H19" s="61">
        <v>30000</v>
      </c>
      <c r="I19" s="62">
        <f t="shared" si="0"/>
        <v>450000</v>
      </c>
    </row>
    <row r="20" spans="1:9" ht="31.9" customHeight="1" thickBot="1" x14ac:dyDescent="0.25">
      <c r="A20" s="56">
        <v>11</v>
      </c>
      <c r="B20" s="60"/>
      <c r="C20" s="57" t="s">
        <v>73</v>
      </c>
      <c r="D20" s="58" t="s">
        <v>72</v>
      </c>
      <c r="E20" s="59" t="s">
        <v>80</v>
      </c>
      <c r="F20" s="60" t="s">
        <v>66</v>
      </c>
      <c r="G20" s="60">
        <v>1500</v>
      </c>
      <c r="H20" s="61">
        <v>2950</v>
      </c>
      <c r="I20" s="62">
        <f t="shared" si="0"/>
        <v>4425000</v>
      </c>
    </row>
    <row r="21" spans="1:9" ht="31.9" customHeight="1" thickBot="1" x14ac:dyDescent="0.25">
      <c r="A21" s="56">
        <v>12</v>
      </c>
      <c r="B21" s="60"/>
      <c r="C21" s="84" t="s">
        <v>73</v>
      </c>
      <c r="D21" s="85" t="s">
        <v>72</v>
      </c>
      <c r="E21" s="86" t="s">
        <v>104</v>
      </c>
      <c r="F21" s="60" t="s">
        <v>66</v>
      </c>
      <c r="G21" s="60">
        <v>12</v>
      </c>
      <c r="H21" s="61">
        <v>1355</v>
      </c>
      <c r="I21" s="62">
        <f t="shared" si="0"/>
        <v>16260</v>
      </c>
    </row>
    <row r="22" spans="1:9" ht="31.9" customHeight="1" thickBot="1" x14ac:dyDescent="0.25">
      <c r="A22" s="56">
        <v>13</v>
      </c>
      <c r="B22" s="60"/>
      <c r="C22" s="84" t="s">
        <v>73</v>
      </c>
      <c r="D22" s="85" t="s">
        <v>72</v>
      </c>
      <c r="E22" s="86" t="s">
        <v>105</v>
      </c>
      <c r="F22" s="60" t="s">
        <v>66</v>
      </c>
      <c r="G22" s="60">
        <v>8</v>
      </c>
      <c r="H22" s="61">
        <v>2199</v>
      </c>
      <c r="I22" s="62">
        <f t="shared" si="0"/>
        <v>17592</v>
      </c>
    </row>
    <row r="23" spans="1:9" ht="31.9" customHeight="1" thickBot="1" x14ac:dyDescent="0.25">
      <c r="A23" s="56">
        <v>14</v>
      </c>
      <c r="B23" s="60"/>
      <c r="C23" s="84" t="s">
        <v>73</v>
      </c>
      <c r="D23" s="85" t="s">
        <v>72</v>
      </c>
      <c r="E23" s="86" t="s">
        <v>105</v>
      </c>
      <c r="F23" s="60" t="s">
        <v>66</v>
      </c>
      <c r="G23" s="60">
        <v>8</v>
      </c>
      <c r="H23" s="61">
        <v>2199</v>
      </c>
      <c r="I23" s="62">
        <f t="shared" si="0"/>
        <v>17592</v>
      </c>
    </row>
    <row r="24" spans="1:9" ht="38.25" customHeight="1" thickBot="1" x14ac:dyDescent="0.25">
      <c r="A24" s="56">
        <v>15</v>
      </c>
      <c r="B24" s="60"/>
      <c r="C24" s="57" t="s">
        <v>101</v>
      </c>
      <c r="D24" s="58" t="s">
        <v>100</v>
      </c>
      <c r="E24" s="59" t="s">
        <v>81</v>
      </c>
      <c r="F24" s="60" t="s">
        <v>66</v>
      </c>
      <c r="G24" s="60">
        <v>2</v>
      </c>
      <c r="H24" s="61">
        <v>17900</v>
      </c>
      <c r="I24" s="62">
        <f t="shared" si="0"/>
        <v>35800</v>
      </c>
    </row>
    <row r="25" spans="1:9" ht="38.25" customHeight="1" thickBot="1" x14ac:dyDescent="0.25">
      <c r="A25" s="56">
        <v>16</v>
      </c>
      <c r="B25" s="60"/>
      <c r="C25" s="57" t="s">
        <v>101</v>
      </c>
      <c r="D25" s="58" t="s">
        <v>100</v>
      </c>
      <c r="E25" s="59" t="s">
        <v>82</v>
      </c>
      <c r="F25" s="60" t="s">
        <v>66</v>
      </c>
      <c r="G25" s="60">
        <v>1</v>
      </c>
      <c r="H25" s="61">
        <v>17900</v>
      </c>
      <c r="I25" s="62">
        <f t="shared" si="0"/>
        <v>17900</v>
      </c>
    </row>
    <row r="26" spans="1:9" ht="31.9" customHeight="1" thickBot="1" x14ac:dyDescent="0.25">
      <c r="A26" s="56">
        <v>17</v>
      </c>
      <c r="B26" s="60"/>
      <c r="C26" s="57" t="s">
        <v>101</v>
      </c>
      <c r="D26" s="81" t="s">
        <v>100</v>
      </c>
      <c r="E26" s="82" t="s">
        <v>83</v>
      </c>
      <c r="F26" s="60" t="s">
        <v>66</v>
      </c>
      <c r="G26" s="60">
        <v>2</v>
      </c>
      <c r="H26" s="61">
        <v>637.20000000000005</v>
      </c>
      <c r="I26" s="62">
        <f t="shared" si="0"/>
        <v>1274.4000000000001</v>
      </c>
    </row>
    <row r="27" spans="1:9" ht="31.9" customHeight="1" thickBot="1" x14ac:dyDescent="0.25">
      <c r="A27" s="56">
        <v>18</v>
      </c>
      <c r="B27" s="60"/>
      <c r="C27" s="57" t="s">
        <v>101</v>
      </c>
      <c r="D27" s="58" t="s">
        <v>100</v>
      </c>
      <c r="E27" s="59" t="s">
        <v>84</v>
      </c>
      <c r="F27" s="60" t="s">
        <v>66</v>
      </c>
      <c r="G27" s="60">
        <v>8</v>
      </c>
      <c r="H27" s="61">
        <v>637.20000000000005</v>
      </c>
      <c r="I27" s="62">
        <f t="shared" si="0"/>
        <v>5097.6000000000004</v>
      </c>
    </row>
    <row r="28" spans="1:9" ht="31.9" customHeight="1" thickBot="1" x14ac:dyDescent="0.25">
      <c r="A28" s="56">
        <v>19</v>
      </c>
      <c r="B28" s="60"/>
      <c r="C28" s="57" t="s">
        <v>73</v>
      </c>
      <c r="D28" s="58" t="s">
        <v>72</v>
      </c>
      <c r="E28" s="59" t="s">
        <v>85</v>
      </c>
      <c r="F28" s="60" t="s">
        <v>66</v>
      </c>
      <c r="G28" s="60">
        <v>3</v>
      </c>
      <c r="H28" s="61">
        <v>368</v>
      </c>
      <c r="I28" s="62">
        <f t="shared" si="0"/>
        <v>1104</v>
      </c>
    </row>
    <row r="29" spans="1:9" ht="31.9" customHeight="1" thickBot="1" x14ac:dyDescent="0.25">
      <c r="A29" s="56">
        <v>20</v>
      </c>
      <c r="B29" s="60"/>
      <c r="C29" s="57" t="s">
        <v>103</v>
      </c>
      <c r="D29" s="58" t="s">
        <v>102</v>
      </c>
      <c r="E29" s="59" t="s">
        <v>86</v>
      </c>
      <c r="F29" s="60" t="s">
        <v>66</v>
      </c>
      <c r="G29" s="60">
        <v>80</v>
      </c>
      <c r="H29" s="61">
        <v>2823</v>
      </c>
      <c r="I29" s="62">
        <f t="shared" si="0"/>
        <v>225840</v>
      </c>
    </row>
    <row r="30" spans="1:9" ht="31.9" customHeight="1" thickBot="1" x14ac:dyDescent="0.25">
      <c r="A30" s="56">
        <v>21</v>
      </c>
      <c r="B30" s="60"/>
      <c r="C30" s="57" t="s">
        <v>103</v>
      </c>
      <c r="D30" s="58" t="s">
        <v>102</v>
      </c>
      <c r="E30" s="59" t="s">
        <v>87</v>
      </c>
      <c r="F30" s="60" t="s">
        <v>66</v>
      </c>
      <c r="G30" s="60">
        <v>20</v>
      </c>
      <c r="H30" s="61">
        <v>18912</v>
      </c>
      <c r="I30" s="62">
        <f t="shared" si="0"/>
        <v>378240</v>
      </c>
    </row>
    <row r="31" spans="1:9" ht="31.9" customHeight="1" thickBot="1" x14ac:dyDescent="0.25">
      <c r="A31" s="56">
        <v>22</v>
      </c>
      <c r="B31" s="60"/>
      <c r="C31" s="57" t="s">
        <v>103</v>
      </c>
      <c r="D31" s="58" t="s">
        <v>102</v>
      </c>
      <c r="E31" s="59" t="s">
        <v>89</v>
      </c>
      <c r="F31" s="60" t="s">
        <v>66</v>
      </c>
      <c r="G31" s="60">
        <v>20</v>
      </c>
      <c r="H31" s="61">
        <v>5231</v>
      </c>
      <c r="I31" s="62">
        <f t="shared" si="0"/>
        <v>104620</v>
      </c>
    </row>
    <row r="32" spans="1:9" ht="31.9" customHeight="1" thickBot="1" x14ac:dyDescent="0.25">
      <c r="A32" s="56">
        <v>23</v>
      </c>
      <c r="B32" s="60"/>
      <c r="C32" s="57" t="s">
        <v>103</v>
      </c>
      <c r="D32" s="58" t="s">
        <v>102</v>
      </c>
      <c r="E32" s="59" t="s">
        <v>90</v>
      </c>
      <c r="F32" s="60" t="s">
        <v>66</v>
      </c>
      <c r="G32" s="60">
        <v>20</v>
      </c>
      <c r="H32" s="61">
        <v>9414</v>
      </c>
      <c r="I32" s="62">
        <f t="shared" si="0"/>
        <v>188280</v>
      </c>
    </row>
    <row r="33" spans="1:10" ht="31.9" customHeight="1" thickBot="1" x14ac:dyDescent="0.25">
      <c r="A33" s="56">
        <v>24</v>
      </c>
      <c r="B33" s="60"/>
      <c r="C33" s="57" t="s">
        <v>70</v>
      </c>
      <c r="D33" s="58" t="s">
        <v>69</v>
      </c>
      <c r="E33" s="59" t="s">
        <v>91</v>
      </c>
      <c r="F33" s="60" t="s">
        <v>66</v>
      </c>
      <c r="G33" s="60">
        <v>20</v>
      </c>
      <c r="H33" s="61">
        <v>3450</v>
      </c>
      <c r="I33" s="62">
        <f t="shared" si="0"/>
        <v>69000</v>
      </c>
    </row>
    <row r="34" spans="1:10" ht="31.9" customHeight="1" thickBot="1" x14ac:dyDescent="0.25">
      <c r="A34" s="56">
        <v>25</v>
      </c>
      <c r="B34" s="60"/>
      <c r="C34" s="57" t="s">
        <v>70</v>
      </c>
      <c r="D34" s="58" t="s">
        <v>69</v>
      </c>
      <c r="E34" s="59" t="s">
        <v>92</v>
      </c>
      <c r="F34" s="60" t="s">
        <v>66</v>
      </c>
      <c r="G34" s="60">
        <v>6</v>
      </c>
      <c r="H34" s="61">
        <v>5699</v>
      </c>
      <c r="I34" s="62">
        <f t="shared" si="0"/>
        <v>34194</v>
      </c>
    </row>
    <row r="35" spans="1:10" ht="31.9" customHeight="1" thickBot="1" x14ac:dyDescent="0.25">
      <c r="A35" s="56">
        <v>26</v>
      </c>
      <c r="B35" s="60"/>
      <c r="C35" s="57" t="s">
        <v>73</v>
      </c>
      <c r="D35" s="58" t="s">
        <v>72</v>
      </c>
      <c r="E35" s="59" t="s">
        <v>93</v>
      </c>
      <c r="F35" s="60" t="s">
        <v>66</v>
      </c>
      <c r="G35" s="60">
        <v>10</v>
      </c>
      <c r="H35" s="61">
        <v>2700</v>
      </c>
      <c r="I35" s="62">
        <f t="shared" si="0"/>
        <v>27000</v>
      </c>
    </row>
    <row r="36" spans="1:10" ht="31.9" customHeight="1" thickBot="1" x14ac:dyDescent="0.25">
      <c r="A36" s="56">
        <v>27</v>
      </c>
      <c r="B36" s="60"/>
      <c r="C36" s="57" t="s">
        <v>96</v>
      </c>
      <c r="D36" s="58" t="s">
        <v>95</v>
      </c>
      <c r="E36" s="83" t="s">
        <v>94</v>
      </c>
      <c r="F36" s="60" t="s">
        <v>66</v>
      </c>
      <c r="G36" s="60">
        <v>2</v>
      </c>
      <c r="H36" s="61">
        <v>20000</v>
      </c>
      <c r="I36" s="62">
        <f t="shared" si="0"/>
        <v>40000</v>
      </c>
    </row>
    <row r="37" spans="1:10" ht="31.9" customHeight="1" thickBot="1" x14ac:dyDescent="0.25">
      <c r="A37" s="56">
        <v>28</v>
      </c>
      <c r="B37" s="60"/>
      <c r="C37" s="57" t="s">
        <v>73</v>
      </c>
      <c r="D37" s="58" t="s">
        <v>72</v>
      </c>
      <c r="E37" s="79" t="s">
        <v>97</v>
      </c>
      <c r="F37" s="60" t="s">
        <v>66</v>
      </c>
      <c r="G37" s="60">
        <v>700</v>
      </c>
      <c r="H37" s="61">
        <v>15.5</v>
      </c>
      <c r="I37" s="62">
        <f t="shared" si="0"/>
        <v>10850</v>
      </c>
    </row>
    <row r="38" spans="1:10" ht="31.9" customHeight="1" thickBot="1" x14ac:dyDescent="0.25">
      <c r="A38" s="56">
        <v>29</v>
      </c>
      <c r="B38" s="60"/>
      <c r="C38" s="57" t="s">
        <v>73</v>
      </c>
      <c r="D38" s="58" t="s">
        <v>72</v>
      </c>
      <c r="E38" s="80" t="s">
        <v>98</v>
      </c>
      <c r="F38" s="60" t="s">
        <v>66</v>
      </c>
      <c r="G38" s="60">
        <v>100</v>
      </c>
      <c r="H38" s="61">
        <v>15.5</v>
      </c>
      <c r="I38" s="62">
        <f t="shared" si="0"/>
        <v>1550</v>
      </c>
      <c r="J38" s="87"/>
    </row>
    <row r="39" spans="1:10" ht="31.9" customHeight="1" thickBot="1" x14ac:dyDescent="0.25">
      <c r="A39" s="56">
        <v>30</v>
      </c>
      <c r="B39" s="60"/>
      <c r="C39" s="57" t="s">
        <v>73</v>
      </c>
      <c r="D39" s="58" t="s">
        <v>72</v>
      </c>
      <c r="E39" s="59" t="s">
        <v>88</v>
      </c>
      <c r="F39" s="60" t="s">
        <v>66</v>
      </c>
      <c r="G39" s="60">
        <v>4</v>
      </c>
      <c r="H39" s="61">
        <v>1196</v>
      </c>
      <c r="I39" s="62">
        <f t="shared" si="0"/>
        <v>4784</v>
      </c>
    </row>
    <row r="40" spans="1:10" ht="31.9" customHeight="1" thickBot="1" x14ac:dyDescent="0.25">
      <c r="A40" s="56">
        <v>31</v>
      </c>
      <c r="B40" s="60"/>
      <c r="C40" s="57" t="s">
        <v>73</v>
      </c>
      <c r="D40" s="58" t="s">
        <v>72</v>
      </c>
      <c r="E40" s="59" t="s">
        <v>99</v>
      </c>
      <c r="F40" s="60" t="s">
        <v>66</v>
      </c>
      <c r="G40" s="60">
        <v>4</v>
      </c>
      <c r="H40" s="61">
        <v>1196</v>
      </c>
      <c r="I40" s="62">
        <f t="shared" si="0"/>
        <v>4784</v>
      </c>
    </row>
    <row r="41" spans="1:10" ht="13.5" thickBot="1" x14ac:dyDescent="0.25"/>
    <row r="42" spans="1:10" ht="36" customHeight="1" thickBot="1" x14ac:dyDescent="0.25">
      <c r="C42" s="100" t="s">
        <v>119</v>
      </c>
      <c r="D42" s="101"/>
      <c r="E42" s="101"/>
      <c r="F42" s="102"/>
    </row>
    <row r="43" spans="1:10" ht="27.75" customHeight="1" thickBot="1" x14ac:dyDescent="0.25">
      <c r="C43" s="100" t="s">
        <v>118</v>
      </c>
      <c r="D43" s="101"/>
      <c r="E43" s="101"/>
      <c r="F43" s="102"/>
    </row>
    <row r="44" spans="1:10" ht="128.25" customHeight="1" thickBot="1" x14ac:dyDescent="0.25">
      <c r="C44" s="103" t="s">
        <v>111</v>
      </c>
      <c r="D44" s="104"/>
      <c r="E44" s="104"/>
      <c r="F44" s="105"/>
    </row>
    <row r="45" spans="1:10" x14ac:dyDescent="0.2">
      <c r="B45" s="42" t="s">
        <v>112</v>
      </c>
      <c r="C45" s="46"/>
      <c r="D45" s="46"/>
      <c r="E45" s="47"/>
    </row>
    <row r="46" spans="1:10" ht="5.25" customHeight="1" x14ac:dyDescent="0.2">
      <c r="B46" s="45"/>
      <c r="C46" s="46"/>
      <c r="D46" s="46"/>
      <c r="E46" s="47"/>
    </row>
    <row r="47" spans="1:10" x14ac:dyDescent="0.2">
      <c r="B47" s="48" t="s">
        <v>14</v>
      </c>
      <c r="C47" s="46"/>
      <c r="D47" s="46"/>
      <c r="E47" s="47"/>
    </row>
    <row r="48" spans="1:10" ht="41.25" customHeight="1" x14ac:dyDescent="0.2">
      <c r="B48" s="48"/>
      <c r="C48" s="97" t="s">
        <v>106</v>
      </c>
      <c r="D48" s="97"/>
      <c r="E48" s="97"/>
    </row>
    <row r="49" spans="2:5" x14ac:dyDescent="0.2">
      <c r="B49" s="48" t="s">
        <v>15</v>
      </c>
      <c r="C49" s="46"/>
      <c r="D49" s="46"/>
      <c r="E49" s="47"/>
    </row>
    <row r="50" spans="2:5" x14ac:dyDescent="0.2">
      <c r="B50" s="49"/>
      <c r="C50" s="98" t="s">
        <v>107</v>
      </c>
      <c r="D50" s="98"/>
      <c r="E50" s="98"/>
    </row>
    <row r="51" spans="2:5" x14ac:dyDescent="0.2">
      <c r="B51" s="49"/>
      <c r="C51" s="99"/>
      <c r="D51" s="99"/>
      <c r="E51" s="99"/>
    </row>
    <row r="52" spans="2:5" x14ac:dyDescent="0.2">
      <c r="B52" s="48" t="s">
        <v>16</v>
      </c>
      <c r="C52" s="46"/>
      <c r="D52" s="46"/>
      <c r="E52" s="47"/>
    </row>
    <row r="53" spans="2:5" ht="26.25" customHeight="1" x14ac:dyDescent="0.2">
      <c r="B53" s="49"/>
      <c r="C53" s="97"/>
      <c r="D53" s="97"/>
      <c r="E53" s="97"/>
    </row>
    <row r="54" spans="2:5" x14ac:dyDescent="0.2">
      <c r="B54" s="48" t="s">
        <v>17</v>
      </c>
      <c r="C54" s="50"/>
      <c r="D54" s="50"/>
      <c r="E54" s="51"/>
    </row>
    <row r="55" spans="2:5" ht="26.25" customHeight="1" x14ac:dyDescent="0.2">
      <c r="B55" s="49"/>
      <c r="C55" s="107" t="s">
        <v>61</v>
      </c>
      <c r="D55" s="107"/>
      <c r="E55" s="107"/>
    </row>
    <row r="56" spans="2:5" x14ac:dyDescent="0.2">
      <c r="B56" s="48" t="s">
        <v>18</v>
      </c>
      <c r="C56" s="46"/>
      <c r="D56" s="46"/>
      <c r="E56" s="47"/>
    </row>
    <row r="57" spans="2:5" ht="23.25" customHeight="1" x14ac:dyDescent="0.2">
      <c r="B57" s="48"/>
      <c r="C57" s="106"/>
      <c r="D57" s="106"/>
      <c r="E57" s="106"/>
    </row>
    <row r="58" spans="2:5" x14ac:dyDescent="0.2">
      <c r="B58" s="52"/>
      <c r="C58" s="53"/>
      <c r="D58" s="53"/>
      <c r="E58" s="54"/>
    </row>
    <row r="60" spans="2:5" x14ac:dyDescent="0.2">
      <c r="B60" s="42" t="s">
        <v>113</v>
      </c>
      <c r="C60" s="43"/>
      <c r="D60" s="43"/>
      <c r="E60" s="44"/>
    </row>
    <row r="61" spans="2:5" ht="7.5" customHeight="1" x14ac:dyDescent="0.2">
      <c r="B61" s="45"/>
      <c r="C61" s="46"/>
      <c r="D61" s="46"/>
      <c r="E61" s="47"/>
    </row>
    <row r="62" spans="2:5" x14ac:dyDescent="0.2">
      <c r="B62" s="48" t="s">
        <v>14</v>
      </c>
      <c r="C62" s="46"/>
      <c r="D62" s="46"/>
      <c r="E62" s="47"/>
    </row>
    <row r="63" spans="2:5" ht="39" customHeight="1" x14ac:dyDescent="0.2">
      <c r="B63" s="48"/>
      <c r="C63" s="97" t="s">
        <v>108</v>
      </c>
      <c r="D63" s="97"/>
      <c r="E63" s="97"/>
    </row>
    <row r="64" spans="2:5" x14ac:dyDescent="0.2">
      <c r="B64" s="48" t="s">
        <v>15</v>
      </c>
      <c r="C64" s="46"/>
      <c r="D64" s="46"/>
      <c r="E64" s="47"/>
    </row>
    <row r="65" spans="2:5" x14ac:dyDescent="0.2">
      <c r="B65" s="49"/>
      <c r="C65" s="98" t="s">
        <v>107</v>
      </c>
      <c r="D65" s="98"/>
      <c r="E65" s="98"/>
    </row>
    <row r="66" spans="2:5" x14ac:dyDescent="0.2">
      <c r="B66" s="49"/>
      <c r="C66" s="106"/>
      <c r="D66" s="106"/>
      <c r="E66" s="106"/>
    </row>
    <row r="67" spans="2:5" x14ac:dyDescent="0.2">
      <c r="B67" s="48" t="s">
        <v>16</v>
      </c>
      <c r="C67" s="46"/>
      <c r="D67" s="46"/>
      <c r="E67" s="47"/>
    </row>
    <row r="68" spans="2:5" x14ac:dyDescent="0.2">
      <c r="B68" s="49"/>
      <c r="C68" s="97"/>
      <c r="D68" s="97"/>
      <c r="E68" s="97"/>
    </row>
    <row r="69" spans="2:5" x14ac:dyDescent="0.2">
      <c r="B69" s="48" t="s">
        <v>17</v>
      </c>
      <c r="C69" s="50"/>
      <c r="D69" s="50"/>
      <c r="E69" s="51"/>
    </row>
    <row r="70" spans="2:5" ht="27" customHeight="1" x14ac:dyDescent="0.2">
      <c r="B70" s="49"/>
      <c r="C70" s="107" t="s">
        <v>61</v>
      </c>
      <c r="D70" s="107"/>
      <c r="E70" s="107"/>
    </row>
    <row r="71" spans="2:5" x14ac:dyDescent="0.2">
      <c r="B71" s="48" t="s">
        <v>18</v>
      </c>
      <c r="C71" s="46"/>
      <c r="D71" s="46"/>
      <c r="E71" s="47"/>
    </row>
    <row r="72" spans="2:5" x14ac:dyDescent="0.2">
      <c r="B72" s="48"/>
      <c r="C72" s="106"/>
      <c r="D72" s="106"/>
      <c r="E72" s="106"/>
    </row>
    <row r="73" spans="2:5" x14ac:dyDescent="0.2">
      <c r="B73" s="52"/>
      <c r="C73" s="53"/>
      <c r="D73" s="53"/>
      <c r="E73" s="54"/>
    </row>
  </sheetData>
  <sortState xmlns:xlrd2="http://schemas.microsoft.com/office/spreadsheetml/2017/richdata2" ref="B10:I40">
    <sortCondition ref="E10:E40"/>
  </sortState>
  <mergeCells count="22">
    <mergeCell ref="C66:E66"/>
    <mergeCell ref="C68:E68"/>
    <mergeCell ref="C70:E70"/>
    <mergeCell ref="C72:E72"/>
    <mergeCell ref="C53:E53"/>
    <mergeCell ref="C55:E55"/>
    <mergeCell ref="C57:E57"/>
    <mergeCell ref="C63:E63"/>
    <mergeCell ref="C65:E65"/>
    <mergeCell ref="A6:B6"/>
    <mergeCell ref="A7:B7"/>
    <mergeCell ref="C48:E48"/>
    <mergeCell ref="C50:E50"/>
    <mergeCell ref="C51:E51"/>
    <mergeCell ref="C42:F42"/>
    <mergeCell ref="C43:F43"/>
    <mergeCell ref="C44:F44"/>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3"/>
  <sheetViews>
    <sheetView topLeftCell="A34" zoomScale="70" zoomScaleNormal="70" workbookViewId="0">
      <selection activeCell="H55" sqref="H55"/>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08" t="s">
        <v>19</v>
      </c>
      <c r="B1" s="108"/>
      <c r="C1" s="108"/>
      <c r="D1" s="108"/>
      <c r="E1" s="108"/>
      <c r="F1" s="108"/>
      <c r="G1" s="108"/>
      <c r="H1" s="108"/>
      <c r="I1" s="108"/>
      <c r="J1" s="3" t="s">
        <v>20</v>
      </c>
      <c r="K1" s="65" t="s">
        <v>114</v>
      </c>
    </row>
    <row r="2" spans="1:11" ht="18.75" customHeight="1" thickBot="1" x14ac:dyDescent="0.25">
      <c r="A2" s="4"/>
      <c r="B2" s="4"/>
      <c r="C2" s="4"/>
      <c r="D2" s="5"/>
      <c r="E2" s="5"/>
      <c r="F2" s="5"/>
      <c r="G2" s="5"/>
      <c r="H2" s="5"/>
      <c r="I2" s="5"/>
      <c r="J2" s="5"/>
      <c r="K2" s="5"/>
    </row>
    <row r="3" spans="1:11" ht="18.75" customHeight="1" thickBot="1" x14ac:dyDescent="0.25">
      <c r="A3" s="109" t="s">
        <v>53</v>
      </c>
      <c r="B3" s="109"/>
      <c r="C3" s="109"/>
      <c r="D3" s="110" t="str">
        <f>'Necesidades Trimestrales'!C4</f>
        <v>40 - Ministerio de Salud</v>
      </c>
      <c r="E3" s="110"/>
      <c r="F3" s="110"/>
      <c r="G3" s="110"/>
      <c r="H3" s="110"/>
      <c r="I3" s="110"/>
      <c r="J3" s="110"/>
      <c r="K3" s="110"/>
    </row>
    <row r="4" spans="1:11" ht="18.75" customHeight="1" thickBot="1" x14ac:dyDescent="0.25">
      <c r="A4" s="111" t="s">
        <v>54</v>
      </c>
      <c r="B4" s="111"/>
      <c r="C4" s="111"/>
      <c r="D4" s="110" t="str">
        <f>'Necesidades Trimestrales'!C5</f>
        <v>23 - Hospital Interzonal San Juan Bautista</v>
      </c>
      <c r="E4" s="110"/>
      <c r="F4" s="110"/>
      <c r="G4" s="110"/>
      <c r="H4" s="110"/>
      <c r="I4" s="110"/>
      <c r="J4" s="110"/>
      <c r="K4" s="110"/>
    </row>
    <row r="5" spans="1:11" ht="18.75" customHeight="1" thickBot="1" x14ac:dyDescent="0.25">
      <c r="A5" s="111" t="s">
        <v>32</v>
      </c>
      <c r="B5" s="111"/>
      <c r="C5" s="111"/>
      <c r="D5" s="110" t="s">
        <v>59</v>
      </c>
      <c r="E5" s="110"/>
      <c r="F5" s="110"/>
      <c r="G5" s="110"/>
      <c r="H5" s="110"/>
      <c r="I5" s="110"/>
      <c r="J5" s="110"/>
      <c r="K5" s="110"/>
    </row>
    <row r="6" spans="1:11" ht="16.5" customHeight="1" thickBot="1" x14ac:dyDescent="0.25">
      <c r="A6" s="109" t="s">
        <v>55</v>
      </c>
      <c r="B6" s="109"/>
      <c r="C6" s="109"/>
      <c r="D6" s="110" t="s">
        <v>109</v>
      </c>
      <c r="E6" s="110"/>
      <c r="F6" s="110"/>
      <c r="G6" s="110"/>
      <c r="H6" s="110"/>
      <c r="I6" s="110"/>
      <c r="J6" s="110"/>
      <c r="K6" s="110"/>
    </row>
    <row r="7" spans="1:11" ht="16.5" customHeight="1" x14ac:dyDescent="0.2">
      <c r="A7" s="111" t="s">
        <v>21</v>
      </c>
      <c r="B7" s="111"/>
      <c r="C7" s="111"/>
      <c r="D7" s="110" t="str">
        <f>'Necesidades Trimestrales'!C7 &amp; "° Trimestre - Año " &amp; 'Necesidades Trimestrales'!C6</f>
        <v>2° Trimestre - Año 2021</v>
      </c>
      <c r="E7" s="110"/>
      <c r="F7" s="110"/>
      <c r="G7" s="110"/>
      <c r="H7" s="110"/>
      <c r="I7" s="110"/>
      <c r="J7" s="110"/>
      <c r="K7" s="110"/>
    </row>
    <row r="8" spans="1:11" ht="16.5" customHeight="1" x14ac:dyDescent="0.2">
      <c r="A8" s="114" t="s">
        <v>22</v>
      </c>
      <c r="B8" s="114"/>
      <c r="C8" s="114"/>
      <c r="D8" s="115" t="s">
        <v>110</v>
      </c>
      <c r="E8" s="115"/>
      <c r="F8" s="115"/>
      <c r="G8" s="115"/>
      <c r="H8" s="115"/>
      <c r="I8" s="115"/>
      <c r="J8" s="115"/>
      <c r="K8" s="115"/>
    </row>
    <row r="9" spans="1:11" ht="15.75" x14ac:dyDescent="0.2">
      <c r="A9" s="6"/>
      <c r="B9" s="6"/>
      <c r="C9" s="6"/>
      <c r="D9" s="7"/>
      <c r="E9" s="7"/>
      <c r="F9" s="7"/>
      <c r="G9" s="7"/>
      <c r="H9" s="7"/>
      <c r="I9" s="7"/>
      <c r="J9" s="7"/>
      <c r="K9" s="7"/>
    </row>
    <row r="10" spans="1:11" ht="18.75" customHeight="1" x14ac:dyDescent="0.2">
      <c r="A10" s="116" t="s">
        <v>23</v>
      </c>
      <c r="B10" s="117" t="s">
        <v>24</v>
      </c>
      <c r="C10" s="117" t="s">
        <v>25</v>
      </c>
      <c r="D10" s="117"/>
      <c r="E10" s="117"/>
      <c r="F10" s="117"/>
      <c r="G10" s="117"/>
      <c r="H10" s="117" t="s">
        <v>26</v>
      </c>
      <c r="I10" s="117" t="s">
        <v>27</v>
      </c>
      <c r="J10" s="117" t="s">
        <v>28</v>
      </c>
      <c r="K10" s="118" t="s">
        <v>29</v>
      </c>
    </row>
    <row r="11" spans="1:11" ht="24" customHeight="1" thickBot="1" x14ac:dyDescent="0.25">
      <c r="A11" s="116"/>
      <c r="B11" s="117"/>
      <c r="C11" s="117"/>
      <c r="D11" s="117"/>
      <c r="E11" s="117"/>
      <c r="F11" s="117"/>
      <c r="G11" s="117"/>
      <c r="H11" s="117"/>
      <c r="I11" s="117"/>
      <c r="J11" s="117"/>
      <c r="K11" s="118"/>
    </row>
    <row r="12" spans="1:11" ht="20.25" customHeight="1" thickBot="1" x14ac:dyDescent="0.25">
      <c r="A12" s="8">
        <v>1</v>
      </c>
      <c r="B12" s="66">
        <f>'Necesidades Trimestrales'!B10</f>
        <v>0</v>
      </c>
      <c r="C12" s="119" t="str">
        <f>'Necesidades Trimestrales'!E10</f>
        <v>Bobina Baja Densidad 30 X 40 rollo x 200 un. Tipo Mapsa</v>
      </c>
      <c r="D12" s="119"/>
      <c r="E12" s="119"/>
      <c r="F12" s="119"/>
      <c r="G12" s="119"/>
      <c r="H12" s="67" t="s">
        <v>56</v>
      </c>
      <c r="I12" s="68" t="str">
        <f>'Necesidades Trimestrales'!F10</f>
        <v>UNIDAD</v>
      </c>
      <c r="J12" s="69">
        <f>'Necesidades Trimestrales'!H10</f>
        <v>1502.47</v>
      </c>
      <c r="K12" s="70">
        <f>'Necesidades Trimestrales'!G10</f>
        <v>2</v>
      </c>
    </row>
    <row r="13" spans="1:11" ht="20.25" customHeight="1" thickBot="1" x14ac:dyDescent="0.25">
      <c r="A13" s="8">
        <v>2</v>
      </c>
      <c r="B13" s="66">
        <f>'Necesidades Trimestrales'!B11</f>
        <v>0</v>
      </c>
      <c r="C13" s="119" t="str">
        <f>'Necesidades Trimestrales'!E11</f>
        <v>Bolsas  de Cloruro de Sodio de 25 kg (sal gruesa seca, lavada, limpia, sin iodo, lidad del agua que alimenta los Autoclaves.</v>
      </c>
      <c r="D13" s="119"/>
      <c r="E13" s="119"/>
      <c r="F13" s="119"/>
      <c r="G13" s="119"/>
      <c r="H13" s="67" t="s">
        <v>56</v>
      </c>
      <c r="I13" s="68" t="str">
        <f>'Necesidades Trimestrales'!F11</f>
        <v>UNIDAD</v>
      </c>
      <c r="J13" s="69">
        <f>'Necesidades Trimestrales'!H11</f>
        <v>1925</v>
      </c>
      <c r="K13" s="70">
        <f>'Necesidades Trimestrales'!G11</f>
        <v>10</v>
      </c>
    </row>
    <row r="14" spans="1:11" ht="20.25" customHeight="1" thickBot="1" x14ac:dyDescent="0.25">
      <c r="A14" s="8">
        <v>3</v>
      </c>
      <c r="B14" s="66">
        <f>'Necesidades Trimestrales'!B12</f>
        <v>0</v>
      </c>
      <c r="C14" s="119" t="str">
        <f>'Necesidades Trimestrales'!E12</f>
        <v>Camisolin P/Cirugia de tela verde brin con puño caña larga</v>
      </c>
      <c r="D14" s="119"/>
      <c r="E14" s="119"/>
      <c r="F14" s="119"/>
      <c r="G14" s="119"/>
      <c r="H14" s="67" t="s">
        <v>56</v>
      </c>
      <c r="I14" s="68" t="str">
        <f>'Necesidades Trimestrales'!F12</f>
        <v>UNIDAD</v>
      </c>
      <c r="J14" s="69">
        <f>'Necesidades Trimestrales'!H12</f>
        <v>1990</v>
      </c>
      <c r="K14" s="70">
        <f>'Necesidades Trimestrales'!G12</f>
        <v>80</v>
      </c>
    </row>
    <row r="15" spans="1:11" ht="20.25" customHeight="1" thickBot="1" x14ac:dyDescent="0.25">
      <c r="A15" s="8">
        <v>4</v>
      </c>
      <c r="B15" s="66">
        <f>'Necesidades Trimestrales'!B13</f>
        <v>0</v>
      </c>
      <c r="C15" s="119" t="str">
        <f>'Necesidades Trimestrales'!E13</f>
        <v>Cartucho de Oxido de Etileno x 160 grs. Diam. 50mm. X 174mm.</v>
      </c>
      <c r="D15" s="119"/>
      <c r="E15" s="119"/>
      <c r="F15" s="119"/>
      <c r="G15" s="119"/>
      <c r="H15" s="67" t="s">
        <v>56</v>
      </c>
      <c r="I15" s="68" t="str">
        <f>'Necesidades Trimestrales'!F13</f>
        <v>UNIDAD</v>
      </c>
      <c r="J15" s="69">
        <f>'Necesidades Trimestrales'!H13</f>
        <v>1222</v>
      </c>
      <c r="K15" s="70">
        <f>'Necesidades Trimestrales'!G13</f>
        <v>120</v>
      </c>
    </row>
    <row r="16" spans="1:11" ht="20.25" customHeight="1" thickBot="1" x14ac:dyDescent="0.25">
      <c r="A16" s="8">
        <v>5</v>
      </c>
      <c r="B16" s="66">
        <f>'Necesidades Trimestrales'!B14</f>
        <v>0</v>
      </c>
      <c r="C16" s="119" t="str">
        <f>'Necesidades Trimestrales'!E14</f>
        <v>CEPILLO P/LAVAR TUBOS GRANDES X 1</v>
      </c>
      <c r="D16" s="119"/>
      <c r="E16" s="119"/>
      <c r="F16" s="119"/>
      <c r="G16" s="119"/>
      <c r="H16" s="67" t="s">
        <v>56</v>
      </c>
      <c r="I16" s="68" t="str">
        <f>'Necesidades Trimestrales'!F14</f>
        <v>UNIDAD</v>
      </c>
      <c r="J16" s="69">
        <f>'Necesidades Trimestrales'!H14</f>
        <v>359</v>
      </c>
      <c r="K16" s="70">
        <f>'Necesidades Trimestrales'!G14</f>
        <v>3</v>
      </c>
    </row>
    <row r="17" spans="1:11" ht="20.25" customHeight="1" thickBot="1" x14ac:dyDescent="0.25">
      <c r="A17" s="8">
        <v>6</v>
      </c>
      <c r="B17" s="66">
        <f>'Necesidades Trimestrales'!B15</f>
        <v>0</v>
      </c>
      <c r="C17" s="119" t="str">
        <f>'Necesidades Trimestrales'!E15</f>
        <v>CEPILLO P/LAVAR TUBOS MEDIANOS X 1</v>
      </c>
      <c r="D17" s="119"/>
      <c r="E17" s="119"/>
      <c r="F17" s="119"/>
      <c r="G17" s="119"/>
      <c r="H17" s="67" t="s">
        <v>56</v>
      </c>
      <c r="I17" s="68" t="str">
        <f>'Necesidades Trimestrales'!F15</f>
        <v>UNIDAD</v>
      </c>
      <c r="J17" s="69">
        <f>'Necesidades Trimestrales'!H15</f>
        <v>359</v>
      </c>
      <c r="K17" s="70">
        <f>'Necesidades Trimestrales'!G15</f>
        <v>3</v>
      </c>
    </row>
    <row r="18" spans="1:11" ht="20.25" customHeight="1" thickBot="1" x14ac:dyDescent="0.25">
      <c r="A18" s="8">
        <v>7</v>
      </c>
      <c r="B18" s="66">
        <f>'Necesidades Trimestrales'!B16</f>
        <v>0</v>
      </c>
      <c r="C18" s="119" t="str">
        <f>'Necesidades Trimestrales'!E16</f>
        <v>Cinta Papel Pintor 18 mm. X 50 mts. Tipo Stiko</v>
      </c>
      <c r="D18" s="119"/>
      <c r="E18" s="119"/>
      <c r="F18" s="119"/>
      <c r="G18" s="119"/>
      <c r="H18" s="67" t="s">
        <v>56</v>
      </c>
      <c r="I18" s="68" t="str">
        <f>'Necesidades Trimestrales'!F16</f>
        <v>UNIDAD</v>
      </c>
      <c r="J18" s="69">
        <f>'Necesidades Trimestrales'!H16</f>
        <v>129</v>
      </c>
      <c r="K18" s="70">
        <f>'Necesidades Trimestrales'!G16</f>
        <v>252</v>
      </c>
    </row>
    <row r="19" spans="1:11" ht="20.25" customHeight="1" thickBot="1" x14ac:dyDescent="0.25">
      <c r="A19" s="8">
        <v>8</v>
      </c>
      <c r="B19" s="66">
        <f>'Necesidades Trimestrales'!B17</f>
        <v>0</v>
      </c>
      <c r="C19" s="119" t="str">
        <f>'Necesidades Trimestrales'!E17</f>
        <v>Cinta Testigo p/calor humedo  (en rollo) Tipo Kims</v>
      </c>
      <c r="D19" s="119"/>
      <c r="E19" s="119"/>
      <c r="F19" s="119"/>
      <c r="G19" s="119"/>
      <c r="H19" s="67" t="s">
        <v>56</v>
      </c>
      <c r="I19" s="68" t="str">
        <f>'Necesidades Trimestrales'!F17</f>
        <v>UNIDAD</v>
      </c>
      <c r="J19" s="69">
        <f>'Necesidades Trimestrales'!H17</f>
        <v>315</v>
      </c>
      <c r="K19" s="70">
        <f>'Necesidades Trimestrales'!G17</f>
        <v>240</v>
      </c>
    </row>
    <row r="20" spans="1:11" ht="20.25" customHeight="1" thickBot="1" x14ac:dyDescent="0.25">
      <c r="A20" s="8">
        <v>9</v>
      </c>
      <c r="B20" s="66">
        <f>'Necesidades Trimestrales'!B18</f>
        <v>0</v>
      </c>
      <c r="C20" s="119" t="str">
        <f>'Necesidades Trimestrales'!E18</f>
        <v>Cinta Testigo p/calor seco  (en rollo) Tipo Kims</v>
      </c>
      <c r="D20" s="119"/>
      <c r="E20" s="119"/>
      <c r="F20" s="119"/>
      <c r="G20" s="119"/>
      <c r="H20" s="67" t="s">
        <v>56</v>
      </c>
      <c r="I20" s="68" t="str">
        <f>'Necesidades Trimestrales'!F18</f>
        <v>UNIDAD</v>
      </c>
      <c r="J20" s="69">
        <f>'Necesidades Trimestrales'!H18</f>
        <v>478</v>
      </c>
      <c r="K20" s="70">
        <f>'Necesidades Trimestrales'!G18</f>
        <v>30</v>
      </c>
    </row>
    <row r="21" spans="1:11" ht="20.25" customHeight="1" thickBot="1" x14ac:dyDescent="0.25">
      <c r="A21" s="8">
        <v>10</v>
      </c>
      <c r="B21" s="66">
        <f>'Necesidades Trimestrales'!B19</f>
        <v>0</v>
      </c>
      <c r="C21" s="119" t="str">
        <f>'Necesidades Trimestrales'!E19</f>
        <v xml:space="preserve">Envoltorio para esterilización de Tela no tejida 100% a base de Polipropileno SMS. Gramaje 45 gr/m2 Bobina x 200 metros </v>
      </c>
      <c r="D21" s="119"/>
      <c r="E21" s="119"/>
      <c r="F21" s="119"/>
      <c r="G21" s="119"/>
      <c r="H21" s="67" t="s">
        <v>56</v>
      </c>
      <c r="I21" s="68" t="str">
        <f>'Necesidades Trimestrales'!F19</f>
        <v>UNIDAD</v>
      </c>
      <c r="J21" s="69">
        <f>'Necesidades Trimestrales'!H19</f>
        <v>30000</v>
      </c>
      <c r="K21" s="70">
        <f>'Necesidades Trimestrales'!G19</f>
        <v>15</v>
      </c>
    </row>
    <row r="22" spans="1:11" ht="20.25" customHeight="1" thickBot="1" x14ac:dyDescent="0.25">
      <c r="A22" s="8">
        <v>11</v>
      </c>
      <c r="B22" s="66">
        <f>'Necesidades Trimestrales'!B20</f>
        <v>0</v>
      </c>
      <c r="C22" s="119" t="str">
        <f>'Necesidades Trimestrales'!E20</f>
        <v>GASA HIDROFILA PIEZA X 1,8 KGS. TIPO HIDROSAN</v>
      </c>
      <c r="D22" s="119"/>
      <c r="E22" s="119"/>
      <c r="F22" s="119"/>
      <c r="G22" s="119"/>
      <c r="H22" s="67" t="s">
        <v>56</v>
      </c>
      <c r="I22" s="68" t="str">
        <f>'Necesidades Trimestrales'!F20</f>
        <v>UNIDAD</v>
      </c>
      <c r="J22" s="69">
        <f>'Necesidades Trimestrales'!H20</f>
        <v>2950</v>
      </c>
      <c r="K22" s="70">
        <f>'Necesidades Trimestrales'!G20</f>
        <v>1500</v>
      </c>
    </row>
    <row r="23" spans="1:11" ht="20.25" customHeight="1" thickBot="1" x14ac:dyDescent="0.25">
      <c r="A23" s="8">
        <v>12</v>
      </c>
      <c r="B23" s="66">
        <f>'Necesidades Trimestrales'!B21</f>
        <v>0</v>
      </c>
      <c r="C23" s="119" t="str">
        <f>'Necesidades Trimestrales'!E21</f>
        <v>GASAS; TIPO: CORTADA, MEDIDA: 40 X 40 Cm, PRESENTACION: X KILO</v>
      </c>
      <c r="D23" s="119"/>
      <c r="E23" s="119"/>
      <c r="F23" s="119"/>
      <c r="G23" s="119"/>
      <c r="H23" s="67" t="s">
        <v>56</v>
      </c>
      <c r="I23" s="68" t="str">
        <f>'Necesidades Trimestrales'!F21</f>
        <v>UNIDAD</v>
      </c>
      <c r="J23" s="69">
        <f>'Necesidades Trimestrales'!H21</f>
        <v>1355</v>
      </c>
      <c r="K23" s="70">
        <f>'Necesidades Trimestrales'!G21</f>
        <v>12</v>
      </c>
    </row>
    <row r="24" spans="1:11" ht="20.25" customHeight="1" thickBot="1" x14ac:dyDescent="0.25">
      <c r="A24" s="8">
        <v>13</v>
      </c>
      <c r="B24" s="66">
        <f>'Necesidades Trimestrales'!B22</f>
        <v>0</v>
      </c>
      <c r="C24" s="119" t="str">
        <f>'Necesidades Trimestrales'!E22</f>
        <v>GUANTES DE NITRILO CANA LARGA CAJAS X 100</v>
      </c>
      <c r="D24" s="119"/>
      <c r="E24" s="119"/>
      <c r="F24" s="119"/>
      <c r="G24" s="119"/>
      <c r="H24" s="67" t="s">
        <v>56</v>
      </c>
      <c r="I24" s="68" t="str">
        <f>'Necesidades Trimestrales'!F22</f>
        <v>UNIDAD</v>
      </c>
      <c r="J24" s="69">
        <f>'Necesidades Trimestrales'!H22</f>
        <v>2199</v>
      </c>
      <c r="K24" s="70">
        <f>'Necesidades Trimestrales'!G22</f>
        <v>8</v>
      </c>
    </row>
    <row r="25" spans="1:11" ht="20.25" customHeight="1" thickBot="1" x14ac:dyDescent="0.25">
      <c r="A25" s="8">
        <v>14</v>
      </c>
      <c r="B25" s="66">
        <f>'Necesidades Trimestrales'!B23</f>
        <v>0</v>
      </c>
      <c r="C25" s="119" t="str">
        <f>'Necesidades Trimestrales'!E23</f>
        <v>GUANTES DE NITRILO CANA LARGA CAJAS X 100</v>
      </c>
      <c r="D25" s="119"/>
      <c r="E25" s="119"/>
      <c r="F25" s="119"/>
      <c r="G25" s="119"/>
      <c r="H25" s="67" t="s">
        <v>56</v>
      </c>
      <c r="I25" s="68" t="str">
        <f>'Necesidades Trimestrales'!F23</f>
        <v>UNIDAD</v>
      </c>
      <c r="J25" s="69">
        <f>'Necesidades Trimestrales'!H23</f>
        <v>2199</v>
      </c>
      <c r="K25" s="70">
        <f>'Necesidades Trimestrales'!G23</f>
        <v>8</v>
      </c>
    </row>
    <row r="26" spans="1:11" ht="28.5" customHeight="1" thickBot="1" x14ac:dyDescent="0.25">
      <c r="A26" s="8">
        <v>15</v>
      </c>
      <c r="B26" s="66">
        <f>'Necesidades Trimestrales'!B24</f>
        <v>0</v>
      </c>
      <c r="C26" s="119" t="str">
        <f>'Necesidades Trimestrales'!E24</f>
        <v>INDICADOR BIOLOGICO METODO OXIDO DE ETILENO X 100 AMPOLLAS</v>
      </c>
      <c r="D26" s="119"/>
      <c r="E26" s="119"/>
      <c r="F26" s="119"/>
      <c r="G26" s="119"/>
      <c r="H26" s="67" t="s">
        <v>56</v>
      </c>
      <c r="I26" s="68" t="str">
        <f>'Necesidades Trimestrales'!F24</f>
        <v>UNIDAD</v>
      </c>
      <c r="J26" s="69">
        <f>'Necesidades Trimestrales'!H24</f>
        <v>17900</v>
      </c>
      <c r="K26" s="70">
        <f>'Necesidades Trimestrales'!G24</f>
        <v>2</v>
      </c>
    </row>
    <row r="27" spans="1:11" ht="25.5" customHeight="1" thickBot="1" x14ac:dyDescent="0.25">
      <c r="A27" s="8">
        <v>16</v>
      </c>
      <c r="B27" s="66">
        <f>'Necesidades Trimestrales'!B25</f>
        <v>0</v>
      </c>
      <c r="C27" s="119" t="str">
        <f>'Necesidades Trimestrales'!E25</f>
        <v>Indicador Biologico Para Calor Humedo x 100 Ampollas</v>
      </c>
      <c r="D27" s="119"/>
      <c r="E27" s="119"/>
      <c r="F27" s="119"/>
      <c r="G27" s="119"/>
      <c r="H27" s="67" t="s">
        <v>56</v>
      </c>
      <c r="I27" s="68" t="str">
        <f>'Necesidades Trimestrales'!F25</f>
        <v>UNIDAD</v>
      </c>
      <c r="J27" s="69">
        <f>'Necesidades Trimestrales'!H25</f>
        <v>17900</v>
      </c>
      <c r="K27" s="70">
        <f>'Necesidades Trimestrales'!G25</f>
        <v>1</v>
      </c>
    </row>
    <row r="28" spans="1:11" ht="20.25" customHeight="1" thickBot="1" x14ac:dyDescent="0.25">
      <c r="A28" s="8">
        <v>17</v>
      </c>
      <c r="B28" s="66">
        <f>'Necesidades Trimestrales'!B26</f>
        <v>0</v>
      </c>
      <c r="C28" s="119" t="str">
        <f>'Necesidades Trimestrales'!E26</f>
        <v>INDICADORES DE ESTERILIZACION,CALOR SECO,TIRAS INTEGRADORAS CAJA X 100</v>
      </c>
      <c r="D28" s="119"/>
      <c r="E28" s="119"/>
      <c r="F28" s="119"/>
      <c r="G28" s="119"/>
      <c r="H28" s="67" t="s">
        <v>56</v>
      </c>
      <c r="I28" s="68" t="str">
        <f>'Necesidades Trimestrales'!F26</f>
        <v>UNIDAD</v>
      </c>
      <c r="J28" s="69">
        <f>'Necesidades Trimestrales'!H26</f>
        <v>637.20000000000005</v>
      </c>
      <c r="K28" s="70">
        <f>'Necesidades Trimestrales'!G26</f>
        <v>2</v>
      </c>
    </row>
    <row r="29" spans="1:11" ht="36" customHeight="1" thickBot="1" x14ac:dyDescent="0.25">
      <c r="A29" s="8">
        <v>18</v>
      </c>
      <c r="B29" s="66">
        <f>'Necesidades Trimestrales'!B27</f>
        <v>0</v>
      </c>
      <c r="C29" s="119" t="str">
        <f>'Necesidades Trimestrales'!E27</f>
        <v xml:space="preserve">INDICADORES DE ESTERILIZACION; METODO DE ESTERILIZACION: AUTOCLAVE DE VAPOR, TIRAS INTEGRADORAS, CAJA X 100 UN, </v>
      </c>
      <c r="D29" s="119"/>
      <c r="E29" s="119"/>
      <c r="F29" s="119"/>
      <c r="G29" s="119"/>
      <c r="H29" s="67" t="s">
        <v>56</v>
      </c>
      <c r="I29" s="68" t="str">
        <f>'Necesidades Trimestrales'!F27</f>
        <v>UNIDAD</v>
      </c>
      <c r="J29" s="69">
        <f>'Necesidades Trimestrales'!H27</f>
        <v>637.20000000000005</v>
      </c>
      <c r="K29" s="70">
        <f>'Necesidades Trimestrales'!G27</f>
        <v>8</v>
      </c>
    </row>
    <row r="30" spans="1:11" ht="34.5" customHeight="1" thickBot="1" x14ac:dyDescent="0.25">
      <c r="A30" s="8">
        <v>19</v>
      </c>
      <c r="B30" s="66">
        <f>'Necesidades Trimestrales'!B28</f>
        <v>0</v>
      </c>
      <c r="C30" s="119" t="str">
        <f>'Necesidades Trimestrales'!E28</f>
        <v>LUPAS; POTENCIA: 75 Diop, DIAMETRO: 65 mm, MATERIAL LENTE: VIDRIO, ACCESORIO: C/LUZ, ARMAZON: PLASTICO, ESTRUCTURA: PLASTICO</v>
      </c>
      <c r="D30" s="119"/>
      <c r="E30" s="119"/>
      <c r="F30" s="119"/>
      <c r="G30" s="119"/>
      <c r="H30" s="67" t="s">
        <v>56</v>
      </c>
      <c r="I30" s="68" t="str">
        <f>'Necesidades Trimestrales'!F28</f>
        <v>UNIDAD</v>
      </c>
      <c r="J30" s="69">
        <f>'Necesidades Trimestrales'!H28</f>
        <v>368</v>
      </c>
      <c r="K30" s="70">
        <f>'Necesidades Trimestrales'!G28</f>
        <v>3</v>
      </c>
    </row>
    <row r="31" spans="1:11" ht="20.25" customHeight="1" thickBot="1" x14ac:dyDescent="0.25">
      <c r="A31" s="8">
        <v>20</v>
      </c>
      <c r="B31" s="66">
        <f>'Necesidades Trimestrales'!B29</f>
        <v>0</v>
      </c>
      <c r="C31" s="119" t="str">
        <f>'Necesidades Trimestrales'!E29</f>
        <v>PAPEL GRADO MEDICO 60 GR ANCHO 60 CM X 100 MTS</v>
      </c>
      <c r="D31" s="119"/>
      <c r="E31" s="119"/>
      <c r="F31" s="119"/>
      <c r="G31" s="119"/>
      <c r="H31" s="67" t="s">
        <v>56</v>
      </c>
      <c r="I31" s="68" t="str">
        <f>'Necesidades Trimestrales'!F29</f>
        <v>UNIDAD</v>
      </c>
      <c r="J31" s="69">
        <f>'Necesidades Trimestrales'!H29</f>
        <v>2823</v>
      </c>
      <c r="K31" s="70">
        <f>'Necesidades Trimestrales'!G29</f>
        <v>80</v>
      </c>
    </row>
    <row r="32" spans="1:11" ht="20.25" customHeight="1" thickBot="1" x14ac:dyDescent="0.25">
      <c r="A32" s="8">
        <v>21</v>
      </c>
      <c r="B32" s="66">
        <f>'Necesidades Trimestrales'!B30</f>
        <v>0</v>
      </c>
      <c r="C32" s="119" t="str">
        <f>'Necesidades Trimestrales'!E30</f>
        <v>PAPEL GRADO MEDICO 80 CM X 330 MTS</v>
      </c>
      <c r="D32" s="119"/>
      <c r="E32" s="119"/>
      <c r="F32" s="119"/>
      <c r="G32" s="119"/>
      <c r="H32" s="67" t="s">
        <v>56</v>
      </c>
      <c r="I32" s="68" t="str">
        <f>'Necesidades Trimestrales'!F30</f>
        <v>UNIDAD</v>
      </c>
      <c r="J32" s="69">
        <f>'Necesidades Trimestrales'!H30</f>
        <v>18912</v>
      </c>
      <c r="K32" s="70">
        <f>'Necesidades Trimestrales'!G30</f>
        <v>20</v>
      </c>
    </row>
    <row r="33" spans="1:1024" ht="20.25" customHeight="1" thickBot="1" x14ac:dyDescent="0.25">
      <c r="A33" s="8">
        <v>22</v>
      </c>
      <c r="B33" s="66">
        <f>'Necesidades Trimestrales'!B31</f>
        <v>0</v>
      </c>
      <c r="C33" s="119" t="str">
        <f>'Necesidades Trimestrales'!E31</f>
        <v>PAPEL GRADO MEDICO CREPADO ROLLO X 80X 100 MTS</v>
      </c>
      <c r="D33" s="119"/>
      <c r="E33" s="119"/>
      <c r="F33" s="119"/>
      <c r="G33" s="119"/>
      <c r="H33" s="67" t="s">
        <v>56</v>
      </c>
      <c r="I33" s="68" t="str">
        <f>'Necesidades Trimestrales'!F31</f>
        <v>UNIDAD</v>
      </c>
      <c r="J33" s="69">
        <f>'Necesidades Trimestrales'!H31</f>
        <v>5231</v>
      </c>
      <c r="K33" s="70">
        <f>'Necesidades Trimestrales'!G31</f>
        <v>20</v>
      </c>
    </row>
    <row r="34" spans="1:1024" ht="20.25" customHeight="1" thickBot="1" x14ac:dyDescent="0.25">
      <c r="A34" s="8">
        <v>23</v>
      </c>
      <c r="B34" s="66">
        <f>'Necesidades Trimestrales'!B32</f>
        <v>0</v>
      </c>
      <c r="C34" s="119" t="str">
        <f>'Necesidades Trimestrales'!E32</f>
        <v>PAPELES P/ESTERILIZACION; TIPO: PAPEL CREPPE, PRESENTACION: 100 X 100 Cm</v>
      </c>
      <c r="D34" s="119"/>
      <c r="E34" s="119"/>
      <c r="F34" s="119"/>
      <c r="G34" s="119"/>
      <c r="H34" s="67" t="s">
        <v>56</v>
      </c>
      <c r="I34" s="68" t="str">
        <f>'Necesidades Trimestrales'!F32</f>
        <v>UNIDAD</v>
      </c>
      <c r="J34" s="69">
        <f>'Necesidades Trimestrales'!H32</f>
        <v>9414</v>
      </c>
      <c r="K34" s="70">
        <f>'Necesidades Trimestrales'!G32</f>
        <v>20</v>
      </c>
    </row>
    <row r="35" spans="1:1024" ht="20.25" customHeight="1" thickBot="1" x14ac:dyDescent="0.25">
      <c r="A35" s="8">
        <v>24</v>
      </c>
      <c r="B35" s="66">
        <f>'Necesidades Trimestrales'!B33</f>
        <v>0</v>
      </c>
      <c r="C35" s="119" t="str">
        <f>'Necesidades Trimestrales'!E33</f>
        <v>Polipropileno Paquete x 100 hojas 1 mt. x 1 mt. Tipo ST PACK</v>
      </c>
      <c r="D35" s="119"/>
      <c r="E35" s="119"/>
      <c r="F35" s="119"/>
      <c r="G35" s="119"/>
      <c r="H35" s="67" t="s">
        <v>56</v>
      </c>
      <c r="I35" s="68" t="str">
        <f>'Necesidades Trimestrales'!F33</f>
        <v>UNIDAD</v>
      </c>
      <c r="J35" s="69">
        <f>'Necesidades Trimestrales'!H33</f>
        <v>3450</v>
      </c>
      <c r="K35" s="70">
        <f>'Necesidades Trimestrales'!G33</f>
        <v>20</v>
      </c>
    </row>
    <row r="36" spans="1:1024" ht="20.25" customHeight="1" thickBot="1" x14ac:dyDescent="0.25">
      <c r="A36" s="8">
        <v>25</v>
      </c>
      <c r="B36" s="66">
        <f>'Necesidades Trimestrales'!B34</f>
        <v>0</v>
      </c>
      <c r="C36" s="119" t="str">
        <f>'Necesidades Trimestrales'!E34</f>
        <v>Pouch Rollo de 200 mm x 200 mt.</v>
      </c>
      <c r="D36" s="119"/>
      <c r="E36" s="119"/>
      <c r="F36" s="119"/>
      <c r="G36" s="119"/>
      <c r="H36" s="67" t="s">
        <v>56</v>
      </c>
      <c r="I36" s="68" t="str">
        <f>'Necesidades Trimestrales'!F34</f>
        <v>UNIDAD</v>
      </c>
      <c r="J36" s="69">
        <f>'Necesidades Trimestrales'!H34</f>
        <v>5699</v>
      </c>
      <c r="K36" s="70">
        <f>'Necesidades Trimestrales'!G34</f>
        <v>6</v>
      </c>
    </row>
    <row r="37" spans="1:1024" ht="20.25" customHeight="1" thickBot="1" x14ac:dyDescent="0.25">
      <c r="A37" s="8">
        <v>26</v>
      </c>
      <c r="B37" s="66">
        <f>'Necesidades Trimestrales'!B35</f>
        <v>0</v>
      </c>
      <c r="C37" s="119" t="str">
        <f>'Necesidades Trimestrales'!E35</f>
        <v>Ropa Equipo Cirugia Universal DESCARTABLE 17 Elementos Esteril</v>
      </c>
      <c r="D37" s="119"/>
      <c r="E37" s="119"/>
      <c r="F37" s="119"/>
      <c r="G37" s="119"/>
      <c r="H37" s="67" t="s">
        <v>56</v>
      </c>
      <c r="I37" s="68" t="str">
        <f>'Necesidades Trimestrales'!F35</f>
        <v>UNIDAD</v>
      </c>
      <c r="J37" s="69">
        <f>'Necesidades Trimestrales'!H35</f>
        <v>2700</v>
      </c>
      <c r="K37" s="70">
        <f>'Necesidades Trimestrales'!G35</f>
        <v>10</v>
      </c>
    </row>
    <row r="38" spans="1:1024" ht="20.25" customHeight="1" thickBot="1" x14ac:dyDescent="0.25">
      <c r="A38" s="8">
        <v>27</v>
      </c>
      <c r="B38" s="66">
        <f>'Necesidades Trimestrales'!B36</f>
        <v>0</v>
      </c>
      <c r="C38" s="119" t="str">
        <f>'Necesidades Trimestrales'!E36</f>
        <v>Tela verde brin de algodón rollo 50 mtrs largo (doble ancho) Indantrend</v>
      </c>
      <c r="D38" s="119"/>
      <c r="E38" s="119"/>
      <c r="F38" s="119"/>
      <c r="G38" s="119"/>
      <c r="H38" s="67" t="s">
        <v>56</v>
      </c>
      <c r="I38" s="68" t="str">
        <f>'Necesidades Trimestrales'!F36</f>
        <v>UNIDAD</v>
      </c>
      <c r="J38" s="69">
        <f>'Necesidades Trimestrales'!H36</f>
        <v>20000</v>
      </c>
      <c r="K38" s="70">
        <f>'Necesidades Trimestrales'!G36</f>
        <v>2</v>
      </c>
    </row>
    <row r="39" spans="1:1024" ht="20.25" customHeight="1" thickBot="1" x14ac:dyDescent="0.25">
      <c r="A39" s="8">
        <v>28</v>
      </c>
      <c r="B39" s="66">
        <f>'Necesidades Trimestrales'!B37</f>
        <v>0</v>
      </c>
      <c r="C39" s="119" t="str">
        <f>'Necesidades Trimestrales'!E37</f>
        <v>Testigo p/calor humedo  (en Tiras) Tipo Kims</v>
      </c>
      <c r="D39" s="119"/>
      <c r="E39" s="119"/>
      <c r="F39" s="119"/>
      <c r="G39" s="119"/>
      <c r="H39" s="67" t="s">
        <v>56</v>
      </c>
      <c r="I39" s="68" t="str">
        <f>'Necesidades Trimestrales'!F37</f>
        <v>UNIDAD</v>
      </c>
      <c r="J39" s="69">
        <f>'Necesidades Trimestrales'!H37</f>
        <v>15.5</v>
      </c>
      <c r="K39" s="70">
        <f>'Necesidades Trimestrales'!G37</f>
        <v>700</v>
      </c>
    </row>
    <row r="40" spans="1:1024" ht="20.25" customHeight="1" thickBot="1" x14ac:dyDescent="0.25">
      <c r="A40" s="8">
        <v>29</v>
      </c>
      <c r="B40" s="66">
        <f>'Necesidades Trimestrales'!B38</f>
        <v>0</v>
      </c>
      <c r="C40" s="119" t="str">
        <f>'Necesidades Trimestrales'!E38</f>
        <v>Testigo p/calor seco  (en Tiras) Tipo Kims</v>
      </c>
      <c r="D40" s="119"/>
      <c r="E40" s="119"/>
      <c r="F40" s="119"/>
      <c r="G40" s="119"/>
      <c r="H40" s="67" t="s">
        <v>56</v>
      </c>
      <c r="I40" s="68" t="str">
        <f>'Necesidades Trimestrales'!F38</f>
        <v>UNIDAD</v>
      </c>
      <c r="J40" s="69">
        <f>'Necesidades Trimestrales'!H38</f>
        <v>15.5</v>
      </c>
      <c r="K40" s="70">
        <f>'Necesidades Trimestrales'!G38</f>
        <v>100</v>
      </c>
    </row>
    <row r="41" spans="1:1024" ht="20.25" customHeight="1" thickBot="1" x14ac:dyDescent="0.25">
      <c r="A41" s="8">
        <v>30</v>
      </c>
      <c r="B41" s="66">
        <f>'Necesidades Trimestrales'!B39</f>
        <v>0</v>
      </c>
      <c r="C41" s="119" t="str">
        <f>'Necesidades Trimestrales'!E39</f>
        <v>TUBULADURA  PVC  USO MEDICINAL 9 X 6 X 50</v>
      </c>
      <c r="D41" s="119"/>
      <c r="E41" s="119"/>
      <c r="F41" s="119"/>
      <c r="G41" s="119"/>
      <c r="H41" s="67" t="s">
        <v>56</v>
      </c>
      <c r="I41" s="68" t="str">
        <f>'Necesidades Trimestrales'!F39</f>
        <v>UNIDAD</v>
      </c>
      <c r="J41" s="69">
        <f>'Necesidades Trimestrales'!H39</f>
        <v>1196</v>
      </c>
      <c r="K41" s="70">
        <f>'Necesidades Trimestrales'!G39</f>
        <v>4</v>
      </c>
    </row>
    <row r="42" spans="1:1024" ht="20.25" customHeight="1" thickBot="1" x14ac:dyDescent="0.25">
      <c r="A42" s="8">
        <v>31</v>
      </c>
      <c r="B42" s="66">
        <f>'Necesidades Trimestrales'!B40</f>
        <v>0</v>
      </c>
      <c r="C42" s="119" t="str">
        <f>'Necesidades Trimestrales'!E40</f>
        <v>TUBULADURA PVC 6X9 X 50 USO MEDICINAL</v>
      </c>
      <c r="D42" s="119"/>
      <c r="E42" s="119"/>
      <c r="F42" s="119"/>
      <c r="G42" s="119"/>
      <c r="H42" s="67" t="s">
        <v>56</v>
      </c>
      <c r="I42" s="68" t="str">
        <f>'Necesidades Trimestrales'!F40</f>
        <v>UNIDAD</v>
      </c>
      <c r="J42" s="69">
        <f>'Necesidades Trimestrales'!H40</f>
        <v>1196</v>
      </c>
      <c r="K42" s="70">
        <f>'Necesidades Trimestrales'!G40</f>
        <v>4</v>
      </c>
    </row>
    <row r="43" spans="1:1024" ht="20.25" customHeight="1" thickBot="1" x14ac:dyDescent="0.25">
      <c r="A43" s="112" t="s">
        <v>115</v>
      </c>
      <c r="B43" s="112"/>
      <c r="C43" s="112"/>
      <c r="D43" s="112"/>
      <c r="E43" s="112"/>
      <c r="F43" s="112"/>
      <c r="G43" s="112"/>
      <c r="H43" s="112"/>
      <c r="I43" s="112"/>
      <c r="J43" s="113">
        <f>SUMPRODUCT(J12:J42,K12:K42)</f>
        <v>6529458.9399999995</v>
      </c>
      <c r="K43" s="11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row>
  </sheetData>
  <mergeCells count="53">
    <mergeCell ref="C41:G41"/>
    <mergeCell ref="C42:G42"/>
    <mergeCell ref="C30:G30"/>
    <mergeCell ref="C31:G31"/>
    <mergeCell ref="C32:G32"/>
    <mergeCell ref="C33:G33"/>
    <mergeCell ref="C34:G34"/>
    <mergeCell ref="C35:G35"/>
    <mergeCell ref="C36:G36"/>
    <mergeCell ref="C37:G37"/>
    <mergeCell ref="C38:G38"/>
    <mergeCell ref="C23:G23"/>
    <mergeCell ref="C24:G24"/>
    <mergeCell ref="C25:G25"/>
    <mergeCell ref="C39:G39"/>
    <mergeCell ref="C40:G40"/>
    <mergeCell ref="C18:G18"/>
    <mergeCell ref="C19:G19"/>
    <mergeCell ref="C20:G20"/>
    <mergeCell ref="C21:G21"/>
    <mergeCell ref="C22:G22"/>
    <mergeCell ref="C13:G13"/>
    <mergeCell ref="C14:G14"/>
    <mergeCell ref="C15:G15"/>
    <mergeCell ref="C16:G16"/>
    <mergeCell ref="C17:G17"/>
    <mergeCell ref="A43:I43"/>
    <mergeCell ref="J43:K43"/>
    <mergeCell ref="A8:C8"/>
    <mergeCell ref="D8:K8"/>
    <mergeCell ref="A10:A11"/>
    <mergeCell ref="B10:B11"/>
    <mergeCell ref="C10:G11"/>
    <mergeCell ref="H10:H11"/>
    <mergeCell ref="I10:I11"/>
    <mergeCell ref="J10:J11"/>
    <mergeCell ref="K10:K11"/>
    <mergeCell ref="C26:G26"/>
    <mergeCell ref="C27:G27"/>
    <mergeCell ref="C28:G28"/>
    <mergeCell ref="C29:G29"/>
    <mergeCell ref="C12:G12"/>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zoomScale="130" zoomScaleNormal="130" workbookViewId="0">
      <selection activeCell="S25" sqref="S25"/>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20" t="s">
        <v>3</v>
      </c>
      <c r="B1" s="120"/>
      <c r="C1" s="120"/>
      <c r="D1" s="121">
        <f>'Necesidades Trimestrales'!C6</f>
        <v>2021</v>
      </c>
      <c r="E1" s="121"/>
      <c r="F1" s="10"/>
      <c r="G1" s="10"/>
      <c r="H1" s="11"/>
      <c r="I1" s="11"/>
      <c r="J1" s="11"/>
      <c r="K1" s="11"/>
      <c r="L1" s="11"/>
      <c r="M1" s="11"/>
      <c r="N1" s="11"/>
      <c r="P1" s="122" t="s">
        <v>30</v>
      </c>
      <c r="Q1" s="122"/>
    </row>
    <row r="2" spans="1:17" ht="15.75" customHeight="1" x14ac:dyDescent="0.2">
      <c r="H2" s="11"/>
      <c r="I2" s="11"/>
      <c r="J2" s="11"/>
      <c r="K2" s="11"/>
      <c r="L2" s="11"/>
      <c r="M2" s="11"/>
      <c r="N2" s="11"/>
      <c r="P2" s="122"/>
      <c r="Q2" s="122"/>
    </row>
    <row r="4" spans="1:17" s="12" customFormat="1" ht="18" customHeight="1" thickBot="1" x14ac:dyDescent="0.25">
      <c r="A4" s="123" t="s">
        <v>31</v>
      </c>
      <c r="B4" s="123"/>
      <c r="C4" s="123"/>
      <c r="D4" s="123"/>
      <c r="E4" s="123"/>
      <c r="F4" s="123"/>
      <c r="G4" s="124" t="str">
        <f>NotaPedido!D3</f>
        <v>40 - Ministerio de Salud</v>
      </c>
      <c r="H4" s="124"/>
      <c r="I4" s="124"/>
      <c r="J4" s="124"/>
      <c r="K4" s="124"/>
      <c r="L4" s="124"/>
      <c r="M4" s="124"/>
      <c r="N4" s="124"/>
      <c r="O4" s="124"/>
      <c r="P4" s="124"/>
      <c r="Q4" s="124"/>
    </row>
    <row r="5" spans="1:17" s="12" customFormat="1" ht="18" customHeight="1" thickBot="1" x14ac:dyDescent="0.25">
      <c r="A5" s="125" t="s">
        <v>54</v>
      </c>
      <c r="B5" s="126"/>
      <c r="C5" s="126"/>
      <c r="D5" s="126"/>
      <c r="E5" s="126"/>
      <c r="F5" s="127"/>
      <c r="G5" s="124" t="str">
        <f>NotaPedido!D4</f>
        <v>23 - Hospital Interzonal San Juan Bautista</v>
      </c>
      <c r="H5" s="124"/>
      <c r="I5" s="124"/>
      <c r="J5" s="124"/>
      <c r="K5" s="124"/>
      <c r="L5" s="124"/>
      <c r="M5" s="124"/>
      <c r="N5" s="124"/>
      <c r="O5" s="124"/>
      <c r="P5" s="124"/>
      <c r="Q5" s="124"/>
    </row>
    <row r="6" spans="1:17" s="12" customFormat="1" ht="18" customHeight="1" thickBot="1" x14ac:dyDescent="0.25">
      <c r="A6" s="125" t="s">
        <v>32</v>
      </c>
      <c r="B6" s="126"/>
      <c r="C6" s="126"/>
      <c r="D6" s="126"/>
      <c r="E6" s="126"/>
      <c r="F6" s="127"/>
      <c r="G6" s="124" t="str">
        <f>NotaPedido!D5</f>
        <v>168 - Direccion Asistencial</v>
      </c>
      <c r="H6" s="124"/>
      <c r="I6" s="124"/>
      <c r="J6" s="124"/>
      <c r="K6" s="124"/>
      <c r="L6" s="124"/>
      <c r="M6" s="124"/>
      <c r="N6" s="124"/>
      <c r="O6" s="124"/>
      <c r="P6" s="124"/>
      <c r="Q6" s="124"/>
    </row>
    <row r="7" spans="1:17" s="12" customFormat="1" ht="18" customHeight="1" thickBot="1" x14ac:dyDescent="0.25">
      <c r="A7" s="125" t="s">
        <v>55</v>
      </c>
      <c r="B7" s="126"/>
      <c r="C7" s="126"/>
      <c r="D7" s="126"/>
      <c r="E7" s="126"/>
      <c r="F7" s="127"/>
      <c r="G7" s="124" t="str">
        <f>NotaPedido!D6</f>
        <v xml:space="preserve">Servicio de Esterilización </v>
      </c>
      <c r="H7" s="124"/>
      <c r="I7" s="124"/>
      <c r="J7" s="124"/>
      <c r="K7" s="124"/>
      <c r="L7" s="124"/>
      <c r="M7" s="124"/>
      <c r="N7" s="124"/>
      <c r="O7" s="124"/>
      <c r="P7" s="124"/>
      <c r="Q7" s="124"/>
    </row>
    <row r="8" spans="1:17" ht="18" customHeight="1" thickBot="1" x14ac:dyDescent="0.25">
      <c r="A8" s="128" t="s">
        <v>33</v>
      </c>
      <c r="B8" s="128"/>
      <c r="C8" s="128"/>
      <c r="D8" s="128"/>
      <c r="E8" s="128"/>
      <c r="F8" s="128"/>
      <c r="G8" s="128"/>
      <c r="H8" s="128"/>
      <c r="I8" s="128"/>
      <c r="J8" s="128"/>
      <c r="K8" s="128"/>
      <c r="L8" s="128"/>
      <c r="M8" s="128"/>
      <c r="N8" s="128"/>
      <c r="O8" s="128"/>
      <c r="P8" s="128"/>
      <c r="Q8" s="128"/>
    </row>
    <row r="9" spans="1:17" ht="18" customHeight="1" x14ac:dyDescent="0.2">
      <c r="A9" s="129" t="s">
        <v>34</v>
      </c>
      <c r="B9" s="129"/>
      <c r="C9" s="129"/>
      <c r="D9" s="129"/>
      <c r="E9" s="129"/>
      <c r="F9" s="129"/>
      <c r="G9" s="129"/>
      <c r="H9" s="129"/>
      <c r="I9" s="129"/>
      <c r="J9" s="129"/>
      <c r="K9" s="129"/>
      <c r="L9" s="129"/>
      <c r="M9" s="129"/>
      <c r="N9" s="129"/>
      <c r="O9" s="1"/>
      <c r="P9" s="1"/>
      <c r="Q9" s="13"/>
    </row>
    <row r="10" spans="1:17" ht="54.75" customHeight="1" x14ac:dyDescent="0.2">
      <c r="A10" s="130"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032 - 2021,  afectando la erogación resultante a los créditos presupuestarios aprobados a favor de esta Unidad Ejecutora, conforme al siguiente detalle:</v>
      </c>
      <c r="B10" s="130"/>
      <c r="C10" s="130"/>
      <c r="D10" s="130"/>
      <c r="E10" s="130"/>
      <c r="F10" s="130"/>
      <c r="G10" s="130"/>
      <c r="H10" s="130"/>
      <c r="I10" s="130"/>
      <c r="J10" s="130"/>
      <c r="K10" s="130"/>
      <c r="L10" s="130"/>
      <c r="M10" s="130"/>
      <c r="N10" s="130"/>
      <c r="O10" s="130"/>
      <c r="P10" s="130"/>
      <c r="Q10" s="130"/>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31" t="s">
        <v>35</v>
      </c>
      <c r="B12" s="131"/>
      <c r="C12" s="131"/>
      <c r="D12" s="131"/>
      <c r="E12" s="131"/>
      <c r="F12" s="131"/>
      <c r="G12" s="131"/>
      <c r="H12" s="131"/>
      <c r="I12" s="131"/>
      <c r="J12" s="131"/>
      <c r="K12" s="131"/>
      <c r="L12" s="131"/>
      <c r="M12" s="131"/>
      <c r="N12" s="131"/>
      <c r="O12" s="131"/>
      <c r="P12" s="131"/>
      <c r="Q12" s="131"/>
    </row>
    <row r="13" spans="1:17" ht="15.75" customHeight="1" x14ac:dyDescent="0.2">
      <c r="A13" s="132" t="s">
        <v>36</v>
      </c>
      <c r="B13" s="132"/>
      <c r="C13" s="132"/>
      <c r="D13" s="132"/>
      <c r="E13" s="132"/>
      <c r="F13" s="132"/>
      <c r="G13" s="132"/>
      <c r="H13" s="132"/>
      <c r="I13" s="132"/>
      <c r="J13" s="132"/>
      <c r="K13" s="132"/>
      <c r="L13" s="132"/>
      <c r="M13" s="132"/>
      <c r="N13" s="132"/>
      <c r="O13" s="133" t="s">
        <v>37</v>
      </c>
      <c r="P13" s="133"/>
      <c r="Q13" s="134" t="s">
        <v>38</v>
      </c>
    </row>
    <row r="14" spans="1:17" ht="15.75" customHeight="1" thickBot="1" x14ac:dyDescent="0.25">
      <c r="A14" s="18" t="s">
        <v>39</v>
      </c>
      <c r="B14" s="19" t="s">
        <v>40</v>
      </c>
      <c r="C14" s="19" t="s">
        <v>41</v>
      </c>
      <c r="D14" s="19" t="s">
        <v>42</v>
      </c>
      <c r="E14" s="19" t="s">
        <v>43</v>
      </c>
      <c r="F14" s="19" t="s">
        <v>44</v>
      </c>
      <c r="G14" s="20" t="s">
        <v>45</v>
      </c>
      <c r="H14" s="19" t="s">
        <v>46</v>
      </c>
      <c r="I14" s="19" t="s">
        <v>47</v>
      </c>
      <c r="J14" s="19" t="s">
        <v>48</v>
      </c>
      <c r="K14" s="19" t="s">
        <v>48</v>
      </c>
      <c r="L14" s="19" t="s">
        <v>49</v>
      </c>
      <c r="M14" s="21" t="s">
        <v>50</v>
      </c>
      <c r="N14" s="22" t="s">
        <v>51</v>
      </c>
      <c r="O14" s="133"/>
      <c r="P14" s="133"/>
      <c r="Q14" s="134"/>
    </row>
    <row r="15" spans="1:17" ht="17.25" customHeight="1" x14ac:dyDescent="0.2">
      <c r="A15" s="73">
        <v>33</v>
      </c>
      <c r="B15" s="74"/>
      <c r="C15" s="74"/>
      <c r="D15" s="74">
        <v>2</v>
      </c>
      <c r="E15" s="74"/>
      <c r="F15" s="74">
        <v>4901</v>
      </c>
      <c r="G15" s="74">
        <v>3</v>
      </c>
      <c r="H15" s="75" t="s">
        <v>62</v>
      </c>
      <c r="I15" s="76">
        <v>2</v>
      </c>
      <c r="J15" s="76">
        <v>2</v>
      </c>
      <c r="K15" s="76">
        <v>1</v>
      </c>
      <c r="L15" s="74"/>
      <c r="M15" s="77">
        <v>1</v>
      </c>
      <c r="N15" s="75" t="s">
        <v>63</v>
      </c>
      <c r="O15" s="135" t="s">
        <v>96</v>
      </c>
      <c r="P15" s="135"/>
      <c r="Q15" s="23">
        <v>40000</v>
      </c>
    </row>
    <row r="16" spans="1:17" ht="17.25" customHeight="1" x14ac:dyDescent="0.2">
      <c r="A16" s="88">
        <v>33</v>
      </c>
      <c r="B16" s="89"/>
      <c r="C16" s="89"/>
      <c r="D16" s="89">
        <v>2</v>
      </c>
      <c r="E16" s="89"/>
      <c r="F16" s="89">
        <v>4901</v>
      </c>
      <c r="G16" s="89">
        <v>3</v>
      </c>
      <c r="H16" s="90" t="s">
        <v>62</v>
      </c>
      <c r="I16" s="91">
        <v>2</v>
      </c>
      <c r="J16" s="91">
        <v>5</v>
      </c>
      <c r="K16" s="91">
        <v>1</v>
      </c>
      <c r="L16" s="89"/>
      <c r="M16" s="92">
        <v>1</v>
      </c>
      <c r="N16" s="90" t="s">
        <v>63</v>
      </c>
      <c r="O16" s="136" t="s">
        <v>60</v>
      </c>
      <c r="P16" s="136"/>
      <c r="Q16" s="93">
        <v>79322</v>
      </c>
    </row>
    <row r="17" spans="1:19" ht="17.25" customHeight="1" x14ac:dyDescent="0.2">
      <c r="A17" s="88">
        <v>33</v>
      </c>
      <c r="B17" s="89"/>
      <c r="C17" s="89"/>
      <c r="D17" s="89">
        <v>2</v>
      </c>
      <c r="E17" s="89"/>
      <c r="F17" s="89">
        <v>4901</v>
      </c>
      <c r="G17" s="89">
        <v>3</v>
      </c>
      <c r="H17" s="90" t="s">
        <v>62</v>
      </c>
      <c r="I17" s="91">
        <v>2</v>
      </c>
      <c r="J17" s="91">
        <v>5</v>
      </c>
      <c r="K17" s="91">
        <v>8</v>
      </c>
      <c r="L17" s="89"/>
      <c r="M17" s="92">
        <v>1</v>
      </c>
      <c r="N17" s="90" t="s">
        <v>63</v>
      </c>
      <c r="O17" s="139" t="s">
        <v>116</v>
      </c>
      <c r="P17" s="140"/>
      <c r="Q17" s="93">
        <v>106198.94</v>
      </c>
    </row>
    <row r="18" spans="1:19" ht="17.25" customHeight="1" x14ac:dyDescent="0.2">
      <c r="A18" s="24">
        <v>33</v>
      </c>
      <c r="B18" s="25"/>
      <c r="C18" s="25"/>
      <c r="D18" s="25">
        <v>2</v>
      </c>
      <c r="E18" s="25"/>
      <c r="F18" s="27">
        <v>4901</v>
      </c>
      <c r="G18" s="25">
        <v>3</v>
      </c>
      <c r="H18" s="71" t="s">
        <v>62</v>
      </c>
      <c r="I18" s="25">
        <v>2</v>
      </c>
      <c r="J18" s="25">
        <v>5</v>
      </c>
      <c r="K18" s="25">
        <v>9</v>
      </c>
      <c r="L18" s="25"/>
      <c r="M18" s="26">
        <v>1</v>
      </c>
      <c r="N18" s="72" t="s">
        <v>63</v>
      </c>
      <c r="O18" s="137" t="s">
        <v>103</v>
      </c>
      <c r="P18" s="137"/>
      <c r="Q18" s="28">
        <v>896980</v>
      </c>
      <c r="S18" s="78"/>
    </row>
    <row r="19" spans="1:19" ht="17.25" customHeight="1" x14ac:dyDescent="0.2">
      <c r="A19" s="24">
        <v>33</v>
      </c>
      <c r="B19" s="25"/>
      <c r="C19" s="25"/>
      <c r="D19" s="25">
        <v>2</v>
      </c>
      <c r="E19" s="25"/>
      <c r="F19" s="27">
        <v>4901</v>
      </c>
      <c r="G19" s="25">
        <v>3</v>
      </c>
      <c r="H19" s="71" t="s">
        <v>62</v>
      </c>
      <c r="I19" s="25">
        <v>2</v>
      </c>
      <c r="J19" s="25">
        <v>9</v>
      </c>
      <c r="K19" s="25">
        <v>5</v>
      </c>
      <c r="L19" s="25"/>
      <c r="M19" s="26">
        <v>1</v>
      </c>
      <c r="N19" s="72" t="s">
        <v>63</v>
      </c>
      <c r="O19" s="137" t="s">
        <v>64</v>
      </c>
      <c r="P19" s="137"/>
      <c r="Q19" s="28">
        <v>5406958</v>
      </c>
    </row>
    <row r="20" spans="1:19" ht="17.25" customHeight="1" x14ac:dyDescent="0.2">
      <c r="A20" s="24"/>
      <c r="B20" s="25"/>
      <c r="C20" s="25"/>
      <c r="D20" s="25"/>
      <c r="E20" s="25"/>
      <c r="F20" s="27"/>
      <c r="G20" s="25"/>
      <c r="H20" s="25"/>
      <c r="I20" s="25"/>
      <c r="J20" s="25"/>
      <c r="K20" s="25"/>
      <c r="L20" s="25"/>
      <c r="M20" s="26"/>
      <c r="N20" s="27"/>
      <c r="O20" s="138"/>
      <c r="P20" s="138"/>
      <c r="Q20" s="28"/>
    </row>
    <row r="21" spans="1:19" ht="17.25" customHeight="1" x14ac:dyDescent="0.2">
      <c r="A21" s="24"/>
      <c r="B21" s="25"/>
      <c r="C21" s="25"/>
      <c r="D21" s="25"/>
      <c r="E21" s="25"/>
      <c r="F21" s="27"/>
      <c r="G21" s="25"/>
      <c r="H21" s="25"/>
      <c r="I21" s="25"/>
      <c r="J21" s="25"/>
      <c r="K21" s="25"/>
      <c r="L21" s="25"/>
      <c r="M21" s="26"/>
      <c r="N21" s="27"/>
      <c r="O21" s="138"/>
      <c r="P21" s="138"/>
      <c r="Q21" s="28"/>
    </row>
    <row r="22" spans="1:19" ht="17.25" customHeight="1" x14ac:dyDescent="0.2">
      <c r="A22" s="29"/>
      <c r="B22" s="30"/>
      <c r="C22" s="30"/>
      <c r="D22" s="30"/>
      <c r="E22" s="30"/>
      <c r="F22" s="31"/>
      <c r="G22" s="30"/>
      <c r="H22" s="30"/>
      <c r="I22" s="30"/>
      <c r="J22" s="30"/>
      <c r="K22" s="30"/>
      <c r="L22" s="30"/>
      <c r="M22" s="32"/>
      <c r="N22" s="33"/>
      <c r="O22" s="146"/>
      <c r="P22" s="146"/>
      <c r="Q22" s="28"/>
      <c r="R22" s="1"/>
    </row>
    <row r="23" spans="1:19" ht="17.25" customHeight="1" x14ac:dyDescent="0.2">
      <c r="A23" s="34"/>
      <c r="B23" s="35"/>
      <c r="C23" s="35"/>
      <c r="D23" s="35"/>
      <c r="E23" s="35"/>
      <c r="F23" s="35"/>
      <c r="G23" s="35"/>
      <c r="H23" s="35"/>
      <c r="I23" s="35"/>
      <c r="J23" s="35"/>
      <c r="K23" s="35"/>
      <c r="L23" s="35"/>
      <c r="M23" s="36"/>
      <c r="N23" s="35"/>
      <c r="O23" s="147"/>
      <c r="P23" s="147"/>
      <c r="Q23" s="37"/>
    </row>
    <row r="24" spans="1:19" ht="20.25" customHeight="1" x14ac:dyDescent="0.2">
      <c r="A24" s="148" t="s">
        <v>117</v>
      </c>
      <c r="B24" s="148"/>
      <c r="C24" s="148"/>
      <c r="D24" s="148"/>
      <c r="E24" s="148"/>
      <c r="F24" s="148"/>
      <c r="G24" s="148"/>
      <c r="H24" s="148"/>
      <c r="I24" s="148"/>
      <c r="J24" s="148"/>
      <c r="K24" s="148"/>
      <c r="L24" s="148"/>
      <c r="M24" s="148"/>
      <c r="N24" s="148"/>
      <c r="O24" s="148"/>
      <c r="P24" s="148"/>
      <c r="Q24" s="38">
        <f>SUM(Q15:Q23)</f>
        <v>6529458.9399999995</v>
      </c>
    </row>
    <row r="25" spans="1:19" ht="18" customHeight="1" thickBot="1" x14ac:dyDescent="0.25">
      <c r="A25" s="149"/>
      <c r="B25" s="149"/>
      <c r="C25" s="149"/>
      <c r="D25" s="149"/>
      <c r="E25" s="149"/>
      <c r="F25" s="149"/>
      <c r="G25" s="149"/>
      <c r="H25" s="149"/>
      <c r="I25" s="149"/>
      <c r="J25" s="149"/>
      <c r="K25" s="149"/>
      <c r="L25" s="149"/>
      <c r="M25" s="149"/>
      <c r="N25" s="149"/>
      <c r="O25" s="149"/>
      <c r="P25" s="149"/>
      <c r="Q25" s="149"/>
    </row>
    <row r="26" spans="1:19" ht="17.25" customHeight="1" thickBot="1" x14ac:dyDescent="0.25">
      <c r="A26" s="141" t="s">
        <v>52</v>
      </c>
      <c r="B26" s="142"/>
      <c r="C26" s="142"/>
      <c r="D26" s="142"/>
      <c r="E26" s="142"/>
      <c r="F26" s="143"/>
      <c r="G26" s="144"/>
      <c r="H26" s="144"/>
      <c r="I26" s="144"/>
      <c r="J26" s="144"/>
      <c r="K26" s="144"/>
      <c r="L26" s="144"/>
      <c r="M26" s="144"/>
      <c r="N26" s="144"/>
      <c r="O26" s="144"/>
      <c r="P26" s="144"/>
      <c r="Q26" s="144"/>
    </row>
    <row r="27" spans="1:19" ht="18" customHeight="1" thickBot="1" x14ac:dyDescent="0.25">
      <c r="A27" s="145" t="str">
        <f>"Para la "&amp; NotaPedido!D8 &amp;" para ser destinados al " &amp; NotaPedido!D6 &amp;"  del HISJB del Ministerio de Salud."</f>
        <v>Para la Adquisición de Insumos para Esterilización  para ser destinados al Servicio de Esterilización   del HISJB del Ministerio de Salud.</v>
      </c>
      <c r="B27" s="145"/>
      <c r="C27" s="145"/>
      <c r="D27" s="145"/>
      <c r="E27" s="145"/>
      <c r="F27" s="145"/>
      <c r="G27" s="145"/>
      <c r="H27" s="145"/>
      <c r="I27" s="145"/>
      <c r="J27" s="145"/>
      <c r="K27" s="145"/>
      <c r="L27" s="145"/>
      <c r="M27" s="145"/>
      <c r="N27" s="145"/>
      <c r="O27" s="145"/>
      <c r="P27" s="145"/>
      <c r="Q27" s="145"/>
    </row>
    <row r="28" spans="1:19" ht="15" customHeight="1" x14ac:dyDescent="0.2">
      <c r="A28" s="145"/>
      <c r="B28" s="145"/>
      <c r="C28" s="145"/>
      <c r="D28" s="145"/>
      <c r="E28" s="145"/>
      <c r="F28" s="145"/>
      <c r="G28" s="145"/>
      <c r="H28" s="145"/>
      <c r="I28" s="145"/>
      <c r="J28" s="145"/>
      <c r="K28" s="145"/>
      <c r="L28" s="145"/>
      <c r="M28" s="145"/>
      <c r="N28" s="145"/>
      <c r="O28" s="145"/>
      <c r="P28" s="145"/>
      <c r="Q28" s="145"/>
    </row>
  </sheetData>
  <mergeCells count="32">
    <mergeCell ref="A26:F26"/>
    <mergeCell ref="G26:Q26"/>
    <mergeCell ref="A27:Q28"/>
    <mergeCell ref="O21:P21"/>
    <mergeCell ref="O22:P22"/>
    <mergeCell ref="O23:P23"/>
    <mergeCell ref="A24:P24"/>
    <mergeCell ref="A25:Q25"/>
    <mergeCell ref="O15:P15"/>
    <mergeCell ref="O16:P16"/>
    <mergeCell ref="O18:P18"/>
    <mergeCell ref="O19:P19"/>
    <mergeCell ref="O20:P20"/>
    <mergeCell ref="O17:P17"/>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COMPRAS</cp:lastModifiedBy>
  <cp:revision>2</cp:revision>
  <cp:lastPrinted>2020-07-17T22:18:48Z</cp:lastPrinted>
  <dcterms:created xsi:type="dcterms:W3CDTF">2020-07-17T23:44:49Z</dcterms:created>
  <dcterms:modified xsi:type="dcterms:W3CDTF">2021-08-13T13:35:43Z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