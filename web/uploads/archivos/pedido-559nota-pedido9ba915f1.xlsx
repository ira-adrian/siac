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1\Adq.Serv.Lavandería Malbrán\Adjuntos\"/>
    </mc:Choice>
  </mc:AlternateContent>
  <xr:revisionPtr revIDLastSave="0" documentId="8_{D81D3443-216F-4F6D-9A4B-E518B46B80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F 011" sheetId="1" r:id="rId1"/>
    <sheet name="NP" sheetId="2" r:id="rId2"/>
    <sheet name="APG" sheetId="3" r:id="rId3"/>
    <sheet name="ANEXO I" sheetId="4" r:id="rId4"/>
  </sheets>
  <definedNames>
    <definedName name="_xlnm._FilterDatabase" localSheetId="0" hidden="1">'SAF 011'!$A$9:$AU$9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1" i="3" l="1"/>
  <c r="K13" i="2"/>
  <c r="K14" i="2"/>
  <c r="K15" i="2"/>
  <c r="K16" i="2"/>
  <c r="K17" i="2"/>
  <c r="K18" i="2"/>
  <c r="K12" i="2"/>
  <c r="J13" i="2"/>
  <c r="J14" i="2"/>
  <c r="J15" i="2"/>
  <c r="J16" i="2"/>
  <c r="M16" i="2" s="1"/>
  <c r="J17" i="2"/>
  <c r="J18" i="2"/>
  <c r="J12" i="2"/>
  <c r="I13" i="2"/>
  <c r="I14" i="2"/>
  <c r="I15" i="2"/>
  <c r="I16" i="2"/>
  <c r="I17" i="2"/>
  <c r="I18" i="2"/>
  <c r="I12" i="2"/>
  <c r="C13" i="2"/>
  <c r="C14" i="2"/>
  <c r="C15" i="2"/>
  <c r="C16" i="2"/>
  <c r="C17" i="2"/>
  <c r="C18" i="2"/>
  <c r="C12" i="2"/>
  <c r="B13" i="2"/>
  <c r="B14" i="2"/>
  <c r="B15" i="2"/>
  <c r="B16" i="2"/>
  <c r="B17" i="2"/>
  <c r="B18" i="2"/>
  <c r="B12" i="2"/>
  <c r="G5" i="3"/>
  <c r="G6" i="3"/>
  <c r="G7" i="3"/>
  <c r="G4" i="3"/>
  <c r="M12" i="2" l="1"/>
  <c r="M17" i="2"/>
  <c r="M15" i="2"/>
  <c r="M13" i="2"/>
  <c r="M18" i="2"/>
  <c r="M14" i="2"/>
  <c r="M19" i="2" s="1"/>
  <c r="Z11" i="1"/>
  <c r="Z12" i="1"/>
  <c r="Z13" i="1"/>
  <c r="Z14" i="1"/>
  <c r="Z15" i="1"/>
  <c r="Z16" i="1"/>
  <c r="Z10" i="1"/>
  <c r="AS10" i="1"/>
  <c r="AU10" i="1" s="1"/>
  <c r="AS11" i="1"/>
  <c r="AU11" i="1" s="1"/>
  <c r="AS12" i="1"/>
  <c r="AU12" i="1" s="1"/>
  <c r="AS13" i="1"/>
  <c r="AU13" i="1" s="1"/>
  <c r="AS14" i="1"/>
  <c r="AU14" i="1" s="1"/>
  <c r="AS15" i="1"/>
  <c r="AU15" i="1" s="1"/>
  <c r="AS16" i="1"/>
  <c r="AU16" i="1" s="1"/>
  <c r="Q15" i="3" l="1"/>
  <c r="Q38" i="3" s="1"/>
  <c r="J19" i="2"/>
  <c r="AU17" i="1"/>
  <c r="Z17" i="1"/>
  <c r="P17" i="1" l="1"/>
  <c r="AL17" i="1" l="1"/>
</calcChain>
</file>

<file path=xl/sharedStrings.xml><?xml version="1.0" encoding="utf-8"?>
<sst xmlns="http://schemas.openxmlformats.org/spreadsheetml/2006/main" count="166" uniqueCount="125">
  <si>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</si>
  <si>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</si>
  <si>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</si>
  <si>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</si>
  <si>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</si>
  <si>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</si>
  <si>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</si>
  <si>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</si>
  <si>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</si>
  <si>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</si>
  <si>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</si>
  <si>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DIR. LAB. CENTRAL</t>
  </si>
  <si>
    <t>TOTAL DE LAB CENTRAL</t>
  </si>
  <si>
    <t xml:space="preserve">BCO DE SANGRE </t>
  </si>
  <si>
    <t xml:space="preserve">TOTAL BANCO DE SANGRE 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</si>
  <si>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</si>
  <si>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</si>
  <si>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</si>
  <si>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</si>
  <si>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</si>
  <si>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</si>
  <si>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</si>
  <si>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</si>
  <si>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</si>
  <si>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</si>
  <si>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</si>
  <si>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</si>
  <si>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</si>
  <si>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</si>
  <si>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</si>
  <si>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</si>
  <si>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</si>
  <si>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</si>
  <si>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</si>
  <si>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</si>
  <si>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</si>
  <si>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</si>
  <si>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</si>
  <si>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011 - DIRECCION PROVINCIAL DE ADMINISTRACION - MINISTERIO DE SALUD</t>
  </si>
  <si>
    <t>040 - MINISTERIO DE SALUD</t>
  </si>
  <si>
    <t>TOTAL S.A.</t>
  </si>
  <si>
    <t>SMPyPS</t>
  </si>
  <si>
    <t>TOTAL SMPyPS</t>
  </si>
  <si>
    <t>TOTAL A.P.S.</t>
  </si>
  <si>
    <t>HPTAL MALBRAN</t>
  </si>
  <si>
    <t>TOTAL HPTAL MALBRAN</t>
  </si>
  <si>
    <t>MATERNIDAD E INFANCIA</t>
  </si>
  <si>
    <t>TOTAL MATERNIDAD E INFANCIA</t>
  </si>
  <si>
    <t>APS</t>
  </si>
  <si>
    <t>SASP</t>
  </si>
  <si>
    <t>TOTAL SASP</t>
  </si>
  <si>
    <t>SPyGS</t>
  </si>
  <si>
    <t>TOTAL SPyGS</t>
  </si>
  <si>
    <t>SECRETARIA DE ADMINISTRACION</t>
  </si>
  <si>
    <t>3.3.9-5924.1</t>
  </si>
  <si>
    <t>SERV. PROFESIONAL Y COMERCIAL</t>
  </si>
  <si>
    <t>3.3.9.</t>
  </si>
  <si>
    <t>LAVADO Y PLANCHADO DE PRENDAS; DESCRIPCION: LAVADO Y PLANCHADO PRENDAS</t>
  </si>
  <si>
    <t>PRENDA</t>
  </si>
  <si>
    <t>TOTAL RUBRO LAVANDERIA</t>
  </si>
  <si>
    <t xml:space="preserve">CUARTO </t>
  </si>
  <si>
    <t>Especificidades Item N° 1 al 7:</t>
  </si>
  <si>
    <t>VER ANEXO I</t>
  </si>
  <si>
    <t>Plazos de entrega:</t>
  </si>
  <si>
    <t>Lugar de entrega:</t>
  </si>
  <si>
    <t>HOSPITAL MONOVALENTE CARLOS MALBRAN</t>
  </si>
  <si>
    <t>Mantenimiento:</t>
  </si>
  <si>
    <t>CUARENTA Y CINCO (45) DIAS</t>
  </si>
  <si>
    <t>Garantia:</t>
  </si>
  <si>
    <t>NOTA DE PEDIDO</t>
  </si>
  <si>
    <t>N°</t>
  </si>
  <si>
    <t xml:space="preserve">JURISDICCIÓN: </t>
  </si>
  <si>
    <t>40 - MINISTERIO DE SALUD</t>
  </si>
  <si>
    <t>SAF:</t>
  </si>
  <si>
    <t>011 - DIRECCION PROVINCIAL DE ADMINISTRACION - M.S.</t>
  </si>
  <si>
    <t>UNIDAD EJECUTORA:</t>
  </si>
  <si>
    <t>752 - HOSPITAL MONOVALENTE CARLOS MALBRAN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</si>
  <si>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</si>
  <si>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</si>
  <si>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</si>
  <si>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</si>
  <si>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</si>
  <si>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</si>
  <si>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</si>
  <si>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</si>
  <si>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</si>
  <si>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</si>
  <si>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</si>
  <si>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EJERCICIO: 2021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</si>
  <si>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</si>
  <si>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</si>
  <si>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</si>
  <si>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</si>
  <si>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</si>
  <si>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</si>
  <si>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</si>
  <si>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</si>
  <si>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</si>
  <si>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</si>
  <si>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</si>
  <si>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</si>
  <si>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</si>
  <si>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</si>
  <si>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</si>
  <si>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</si>
  <si>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</si>
  <si>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</si>
  <si>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</si>
  <si>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</si>
  <si>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</si>
  <si>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</si>
  <si>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OTROS N.E.P.</t>
  </si>
  <si>
    <t>Costo total estimado: PESOS CINCO MILLONES DOSCIENTOS NOVENTA Y NUEVE MIL OCHOCIENTOS CUARENTA Y SEIS CON 20/100.-</t>
  </si>
  <si>
    <t xml:space="preserve">JUSTIFICACIÓN: </t>
  </si>
  <si>
    <t>CONTRATACION SERVICIO DE LAVANDERIA Y DESINFECCION DE TEXTILES PARA EL HOSPITAL MONOVALENTE DR. CARLOS MALBRAN</t>
  </si>
  <si>
    <t>TOTAL DE PESOS: CINCO MILLONES DOSCIENTOS NOVENTA Y NUEVE MIL OCHOCIENTOS CUARENTA Y SEIS CON 20/100.-</t>
  </si>
  <si>
    <t xml:space="preserve"> 32/2021</t>
  </si>
  <si>
    <t>Autorizo la realización de los  trámites correspondientes, a fin de proveer a  este Organismo los bienes que se detallan en Nota  de Pedido N°  32/2021, afectando la erogación resultante a los créditos presupuestarios aprobados a favor de esta Unidad Ejecutora, conforme al siguiente detalle:</t>
  </si>
  <si>
    <r>
      <t xml:space="preserve">A partir de la notificacion de la </t>
    </r>
    <r>
      <rPr>
        <b/>
        <sz val="10"/>
        <rFont val="Times New Roman"/>
        <family val="1"/>
      </rPr>
      <t>ORDEN DE COMPRA ABIERTA</t>
    </r>
    <r>
      <rPr>
        <sz val="10"/>
        <rFont val="Times New Roman"/>
        <family val="1"/>
      </rPr>
      <t xml:space="preserve">. Se realizaran pedidos a requerimiento de acuerdo a las necesidades del Hospital Monovalente Carlos Malbran durante el lapso de duracion del contrato y al precio unitario adjudicado, hasta el limite del monto adjudicado. </t>
    </r>
    <r>
      <rPr>
        <b/>
        <sz val="10"/>
        <rFont val="Times New Roman"/>
        <family val="1"/>
      </rPr>
      <t>CON OPCION A PRORROGA POR IGUAL PERIODO.</t>
    </r>
  </si>
  <si>
    <t>4TO TRIMESTRE</t>
  </si>
  <si>
    <r>
      <rPr>
        <b/>
        <u/>
        <sz val="10"/>
        <rFont val="Arial"/>
        <family val="2"/>
      </rPr>
      <t>ANEXO I – Detalle de Servicios para el “Hospital Carlos Malbrán”</t>
    </r>
    <r>
      <rPr>
        <sz val="11"/>
        <color theme="1"/>
        <rFont val="Calibri"/>
        <family val="2"/>
        <scheme val="minor"/>
      </rPr>
      <t xml:space="preserve">
•	ITEM 1: SERVICIO DE LAVADO Y PLANCHADO DE FUNDAS
•	ITEM 2: SERVICIO DE LAVADO Y PLANCHADO DE  SABANAS
•	ITEM 3: SERVICIO DE LAVADO Y PLANCHADO DE ALMOHADAS
•	ITEM 4: SERVICIO DE LAVADO Y PLANCHADO DE FRAZADAS
•	ITEM 5: SERVICIO DE LAVADO Y PLANCHADO DE CUBRECAMAS
•	ITEM 6: SERVICIO DE LAVADO Y PLANCHADO DE CORTINAS
•	ITEM 7: SERVICIO DE LAVADO Y PLANCHADO DE IMPERMEABLES
</t>
    </r>
    <r>
      <rPr>
        <b/>
        <u/>
        <sz val="10"/>
        <rFont val="Arial"/>
        <family val="2"/>
      </rPr>
      <t>CONDICIONES GENERALES</t>
    </r>
    <r>
      <rPr>
        <sz val="11"/>
        <color theme="1"/>
        <rFont val="Calibri"/>
        <family val="2"/>
        <scheme val="minor"/>
      </rPr>
      <t xml:space="preserve">
•	Provisión de dos (2) lavadoras trifásicas automáticas de alta revolución y alto rendimiento con capacidad de desinfectar, bomba con hidroesfera, dos (2) carros para ropa sucia, un (1) carro de ropa limpia y los insumos necesarios para el correcto tratamiento de la ropería y sus desechos (dispense de detergentes, dispenses de toalleros de papel y bolsas patógenas).
•	Deberán fumigarse las bolsas de traslado y el salón de lavado del “Hospital Monovalente Carlos Malbrán”.
•	Lavado de mínimo 70° con hipoclorito para desinfección de las prendas.
•	Capacidad de carga: 15 kgs mínimo.
•	Planchado: temperatura de 150° mínimo para sábanas y 90° para almohadas y frazadas.
•	La manipulación de las prendas y su traslado serán competencia del proveedor y sus trabajadores. El personal llevará: Ambo de trabajo, delantal impermeable, guantes, barbijos, y todo otro elemento que considere adecuado para la taréa.
•	Ingreso y clasificación de ropa sucia. Carga de ropa sucia a lavadora. Depósito de ropa limpia.</t>
    </r>
  </si>
  <si>
    <t>Duracion de la Prestacion del Servicio:</t>
  </si>
  <si>
    <t>noventa (90) dias corridos con opcion de prorroga por igual plazo</t>
  </si>
  <si>
    <t>Inicio de la prestacion de Servicio:</t>
  </si>
  <si>
    <t>23 de Noviembre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</si>
</sst>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dd\-mm\-yy;@"/>
    <numFmt numFmtId="169" formatCode="_(\$* #,##0.00_);_(\$* \(#,##0.00\);_(\$* \-??_);_(@_)"/>
    <numFmt numFmtId="170" formatCode="[$$-2C0A]\ #,##0.00;[$$-2C0A]&quot; -&quot;#,##0.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name val="Times New Roman"/>
      <family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Arial"/>
      <family val="2"/>
    </font>
    <font>
      <sz val="11"/>
      <name val="Arial"/>
      <family val="2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sz val="10"/>
      <name val="Arial"/>
      <charset val="1"/>
    </font>
    <font>
      <b/>
      <u/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auto="1"/>
      </right>
      <top style="medium">
        <color indexed="64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4" fontId="3" fillId="0" borderId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25" fillId="0" borderId="0" applyBorder="0" applyProtection="0"/>
    <xf numFmtId="0" fontId="30" fillId="0" borderId="0"/>
    <xf numFmtId="0" fontId="32" fillId="0" borderId="8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4" borderId="0" applyBorder="0" applyProtection="0"/>
    <xf numFmtId="0" fontId="3" fillId="0" borderId="0"/>
    <xf numFmtId="0" fontId="1" fillId="0" borderId="0"/>
  </cellStyleXfs>
  <cellXfs count="2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7" fontId="2" fillId="0" borderId="0" xfId="1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67" fontId="6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7" fontId="0" fillId="0" borderId="0" xfId="0" applyNumberFormat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167" fontId="9" fillId="0" borderId="6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center" vertical="center"/>
    </xf>
    <xf numFmtId="167" fontId="9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7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7" fontId="8" fillId="0" borderId="0" xfId="0" applyNumberFormat="1" applyFont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67" fontId="8" fillId="0" borderId="0" xfId="0" applyNumberFormat="1" applyFont="1" applyBorder="1" applyAlignment="1">
      <alignment horizontal="center" vertical="center"/>
    </xf>
    <xf numFmtId="3" fontId="8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11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vertical="center" wrapText="1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13" fillId="0" borderId="17" xfId="0" applyFont="1" applyBorder="1" applyAlignment="1">
      <alignment horizontal="right" vertical="center"/>
    </xf>
    <xf numFmtId="0" fontId="14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7" fillId="0" borderId="12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 indent="1"/>
    </xf>
    <xf numFmtId="0" fontId="14" fillId="0" borderId="13" xfId="0" applyFont="1" applyBorder="1" applyAlignment="1">
      <alignment horizontal="left" vertical="center" wrapText="1" indent="1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 wrapText="1"/>
    </xf>
    <xf numFmtId="44" fontId="19" fillId="0" borderId="38" xfId="0" applyNumberFormat="1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4" fontId="19" fillId="0" borderId="1" xfId="0" applyNumberFormat="1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3" fontId="23" fillId="0" borderId="10" xfId="5" applyNumberFormat="1" applyFont="1" applyBorder="1" applyAlignment="1"/>
    <xf numFmtId="168" fontId="3" fillId="0" borderId="10" xfId="5" applyNumberFormat="1" applyBorder="1" applyAlignment="1">
      <alignment horizontal="left"/>
    </xf>
    <xf numFmtId="0" fontId="3" fillId="0" borderId="10" xfId="5" applyBorder="1"/>
    <xf numFmtId="0" fontId="3" fillId="0" borderId="12" xfId="5" applyBorder="1"/>
    <xf numFmtId="0" fontId="3" fillId="0" borderId="0" xfId="5" applyBorder="1"/>
    <xf numFmtId="0" fontId="3" fillId="0" borderId="0" xfId="5" applyBorder="1" applyAlignment="1">
      <alignment horizontal="left"/>
    </xf>
    <xf numFmtId="168" fontId="3" fillId="0" borderId="0" xfId="5" applyNumberFormat="1" applyBorder="1" applyAlignment="1">
      <alignment horizontal="left"/>
    </xf>
    <xf numFmtId="0" fontId="3" fillId="0" borderId="13" xfId="5" applyBorder="1"/>
    <xf numFmtId="0" fontId="3" fillId="0" borderId="19" xfId="5" applyBorder="1"/>
    <xf numFmtId="0" fontId="3" fillId="0" borderId="20" xfId="5" applyBorder="1"/>
    <xf numFmtId="0" fontId="3" fillId="0" borderId="20" xfId="5" applyBorder="1" applyAlignment="1">
      <alignment horizontal="left"/>
    </xf>
    <xf numFmtId="0" fontId="3" fillId="0" borderId="52" xfId="5" applyBorder="1"/>
    <xf numFmtId="0" fontId="28" fillId="0" borderId="55" xfId="5" applyFont="1" applyBorder="1" applyAlignment="1">
      <alignment horizontal="center" vertical="center"/>
    </xf>
    <xf numFmtId="0" fontId="28" fillId="0" borderId="56" xfId="5" applyFont="1" applyBorder="1" applyAlignment="1">
      <alignment horizontal="center" vertical="center"/>
    </xf>
    <xf numFmtId="0" fontId="28" fillId="0" borderId="56" xfId="5" applyFont="1" applyBorder="1" applyAlignment="1">
      <alignment horizontal="left" vertical="center"/>
    </xf>
    <xf numFmtId="0" fontId="28" fillId="0" borderId="57" xfId="5" applyFont="1" applyBorder="1" applyAlignment="1">
      <alignment horizontal="center" vertical="center"/>
    </xf>
    <xf numFmtId="0" fontId="28" fillId="0" borderId="58" xfId="5" applyFont="1" applyBorder="1" applyAlignment="1">
      <alignment horizontal="center" vertical="center"/>
    </xf>
    <xf numFmtId="0" fontId="3" fillId="0" borderId="59" xfId="5" applyFont="1" applyBorder="1" applyAlignment="1">
      <alignment horizontal="center" vertical="center"/>
    </xf>
    <xf numFmtId="0" fontId="3" fillId="0" borderId="60" xfId="5" applyFont="1" applyBorder="1" applyAlignment="1">
      <alignment horizontal="center" vertical="center"/>
    </xf>
    <xf numFmtId="0" fontId="3" fillId="0" borderId="61" xfId="5" applyFont="1" applyBorder="1" applyAlignment="1">
      <alignment horizontal="center" vertical="center"/>
    </xf>
    <xf numFmtId="170" fontId="0" fillId="0" borderId="63" xfId="8" applyNumberFormat="1" applyFont="1" applyBorder="1" applyAlignment="1" applyProtection="1">
      <alignment horizontal="center" vertical="center"/>
    </xf>
    <xf numFmtId="0" fontId="3" fillId="0" borderId="64" xfId="5" applyFont="1" applyBorder="1" applyAlignment="1">
      <alignment horizontal="center" vertical="center"/>
    </xf>
    <xf numFmtId="0" fontId="3" fillId="0" borderId="65" xfId="5" applyFont="1" applyBorder="1" applyAlignment="1">
      <alignment horizontal="center" vertical="center"/>
    </xf>
    <xf numFmtId="0" fontId="3" fillId="0" borderId="66" xfId="5" applyFont="1" applyBorder="1" applyAlignment="1">
      <alignment horizontal="center" vertical="center"/>
    </xf>
    <xf numFmtId="0" fontId="3" fillId="0" borderId="67" xfId="5" applyFont="1" applyBorder="1" applyAlignment="1">
      <alignment horizontal="center" vertical="center"/>
    </xf>
    <xf numFmtId="170" fontId="0" fillId="0" borderId="68" xfId="8" applyNumberFormat="1" applyFont="1" applyBorder="1" applyAlignment="1" applyProtection="1">
      <alignment horizontal="center" vertical="center"/>
    </xf>
    <xf numFmtId="0" fontId="26" fillId="0" borderId="64" xfId="5" applyFont="1" applyBorder="1" applyAlignment="1">
      <alignment horizontal="center" vertical="center"/>
    </xf>
    <xf numFmtId="0" fontId="26" fillId="0" borderId="65" xfId="5" applyFont="1" applyBorder="1" applyAlignment="1">
      <alignment horizontal="center" vertical="center"/>
    </xf>
    <xf numFmtId="0" fontId="3" fillId="0" borderId="67" xfId="5" applyBorder="1" applyAlignment="1">
      <alignment horizontal="center" vertical="center"/>
    </xf>
    <xf numFmtId="0" fontId="26" fillId="0" borderId="66" xfId="5" applyFont="1" applyBorder="1" applyAlignment="1">
      <alignment horizontal="center" vertical="center"/>
    </xf>
    <xf numFmtId="0" fontId="26" fillId="0" borderId="67" xfId="5" applyFont="1" applyBorder="1" applyAlignment="1">
      <alignment horizontal="center" vertical="center"/>
    </xf>
    <xf numFmtId="0" fontId="3" fillId="0" borderId="69" xfId="5" applyBorder="1" applyAlignment="1">
      <alignment horizontal="center" vertical="center"/>
    </xf>
    <xf numFmtId="0" fontId="3" fillId="0" borderId="70" xfId="5" applyBorder="1" applyAlignment="1">
      <alignment horizontal="center" vertical="center"/>
    </xf>
    <xf numFmtId="0" fontId="3" fillId="0" borderId="71" xfId="5" applyBorder="1" applyAlignment="1">
      <alignment horizontal="center" vertical="center"/>
    </xf>
    <xf numFmtId="170" fontId="0" fillId="0" borderId="72" xfId="8" applyNumberFormat="1" applyFont="1" applyBorder="1" applyAlignment="1" applyProtection="1">
      <alignment horizontal="center" vertical="center"/>
    </xf>
    <xf numFmtId="170" fontId="28" fillId="0" borderId="74" xfId="5" applyNumberFormat="1" applyFont="1" applyBorder="1" applyAlignment="1">
      <alignment horizontal="center" vertical="center"/>
    </xf>
    <xf numFmtId="167" fontId="0" fillId="0" borderId="0" xfId="0" applyNumberFormat="1"/>
    <xf numFmtId="167" fontId="10" fillId="0" borderId="0" xfId="0" applyNumberFormat="1" applyFont="1"/>
    <xf numFmtId="0" fontId="3" fillId="0" borderId="0" xfId="9" applyFont="1" applyAlignment="1">
      <alignment wrapText="1"/>
    </xf>
    <xf numFmtId="0" fontId="30" fillId="0" borderId="0" xfId="9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19" fillId="0" borderId="75" xfId="0" applyFont="1" applyBorder="1" applyAlignment="1">
      <alignment vertical="center" wrapText="1"/>
    </xf>
    <xf numFmtId="0" fontId="19" fillId="0" borderId="76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9" fillId="0" borderId="77" xfId="0" applyFont="1" applyBorder="1" applyAlignment="1">
      <alignment vertical="center" wrapText="1"/>
    </xf>
    <xf numFmtId="0" fontId="19" fillId="0" borderId="78" xfId="0" applyFont="1" applyBorder="1" applyAlignment="1">
      <alignment vertical="center" wrapText="1"/>
    </xf>
    <xf numFmtId="0" fontId="19" fillId="0" borderId="79" xfId="0" applyFont="1" applyBorder="1" applyAlignment="1">
      <alignment vertical="center" wrapText="1"/>
    </xf>
    <xf numFmtId="0" fontId="20" fillId="0" borderId="3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 wrapText="1"/>
    </xf>
    <xf numFmtId="166" fontId="21" fillId="0" borderId="34" xfId="0" applyNumberFormat="1" applyFont="1" applyBorder="1" applyAlignment="1">
      <alignment horizontal="center" vertical="center"/>
    </xf>
    <xf numFmtId="166" fontId="21" fillId="0" borderId="46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9" fillId="0" borderId="39" xfId="0" applyFont="1" applyBorder="1" applyAlignment="1">
      <alignment vertical="center" wrapText="1"/>
    </xf>
    <xf numFmtId="0" fontId="19" fillId="0" borderId="40" xfId="0" applyFont="1" applyBorder="1" applyAlignment="1">
      <alignment vertical="center" wrapText="1"/>
    </xf>
    <xf numFmtId="0" fontId="19" fillId="0" borderId="41" xfId="0" applyFont="1" applyBorder="1" applyAlignment="1">
      <alignment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 indent="1"/>
    </xf>
    <xf numFmtId="0" fontId="15" fillId="0" borderId="25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 wrapText="1" indent="1"/>
    </xf>
    <xf numFmtId="0" fontId="16" fillId="0" borderId="21" xfId="5" applyFont="1" applyBorder="1" applyAlignment="1">
      <alignment horizontal="left" wrapText="1" indent="1"/>
    </xf>
    <xf numFmtId="0" fontId="16" fillId="0" borderId="26" xfId="5" applyFont="1" applyBorder="1" applyAlignment="1">
      <alignment horizontal="left" wrapText="1" indent="1"/>
    </xf>
    <xf numFmtId="0" fontId="16" fillId="0" borderId="27" xfId="5" applyFont="1" applyBorder="1" applyAlignment="1">
      <alignment horizontal="left" wrapText="1" indent="1"/>
    </xf>
    <xf numFmtId="0" fontId="12" fillId="0" borderId="9" xfId="0" applyFont="1" applyBorder="1" applyAlignment="1">
      <alignment horizontal="center" vertical="center"/>
    </xf>
    <xf numFmtId="0" fontId="16" fillId="0" borderId="22" xfId="5" applyFont="1" applyBorder="1" applyAlignment="1">
      <alignment horizontal="left" wrapText="1" indent="1"/>
    </xf>
    <xf numFmtId="0" fontId="16" fillId="0" borderId="23" xfId="5" applyFont="1" applyBorder="1" applyAlignment="1">
      <alignment horizontal="left" wrapText="1" indent="1"/>
    </xf>
    <xf numFmtId="0" fontId="16" fillId="0" borderId="24" xfId="5" applyFont="1" applyBorder="1" applyAlignment="1">
      <alignment horizontal="left" wrapText="1" indent="1"/>
    </xf>
    <xf numFmtId="0" fontId="23" fillId="0" borderId="12" xfId="5" applyFont="1" applyBorder="1" applyAlignment="1">
      <alignment horizontal="left" vertical="top" wrapText="1"/>
    </xf>
    <xf numFmtId="0" fontId="23" fillId="0" borderId="0" xfId="5" applyFont="1" applyBorder="1" applyAlignment="1">
      <alignment horizontal="left" vertical="top" wrapText="1"/>
    </xf>
    <xf numFmtId="0" fontId="23" fillId="0" borderId="13" xfId="5" applyFont="1" applyBorder="1" applyAlignment="1">
      <alignment horizontal="left" vertical="top" wrapText="1"/>
    </xf>
    <xf numFmtId="0" fontId="23" fillId="0" borderId="12" xfId="5" applyFont="1" applyBorder="1" applyAlignment="1">
      <alignment horizontal="left" vertical="center" wrapText="1"/>
    </xf>
    <xf numFmtId="0" fontId="23" fillId="0" borderId="0" xfId="5" applyFont="1" applyBorder="1" applyAlignment="1">
      <alignment horizontal="left" vertical="center" wrapText="1"/>
    </xf>
    <xf numFmtId="0" fontId="23" fillId="0" borderId="13" xfId="5" applyFont="1" applyBorder="1" applyAlignment="1">
      <alignment horizontal="left" vertical="center" wrapText="1"/>
    </xf>
    <xf numFmtId="0" fontId="23" fillId="0" borderId="14" xfId="5" applyFont="1" applyBorder="1" applyAlignment="1">
      <alignment horizontal="left" vertical="center" wrapText="1"/>
    </xf>
    <xf numFmtId="0" fontId="23" fillId="0" borderId="15" xfId="5" applyFont="1" applyBorder="1" applyAlignment="1">
      <alignment horizontal="left" vertical="center" wrapText="1"/>
    </xf>
    <xf numFmtId="0" fontId="23" fillId="0" borderId="16" xfId="5" applyFont="1" applyBorder="1" applyAlignment="1">
      <alignment horizontal="left" vertical="center" wrapText="1"/>
    </xf>
    <xf numFmtId="0" fontId="3" fillId="0" borderId="67" xfId="5" applyFont="1" applyBorder="1" applyAlignment="1">
      <alignment horizontal="left" vertical="center"/>
    </xf>
    <xf numFmtId="0" fontId="3" fillId="0" borderId="67" xfId="5" applyBorder="1" applyAlignment="1">
      <alignment horizontal="left" vertical="center"/>
    </xf>
    <xf numFmtId="0" fontId="3" fillId="0" borderId="70" xfId="5" applyBorder="1" applyAlignment="1">
      <alignment horizontal="left" vertical="center"/>
    </xf>
    <xf numFmtId="0" fontId="23" fillId="0" borderId="73" xfId="5" applyFont="1" applyBorder="1" applyAlignment="1">
      <alignment horizontal="left" vertical="center" wrapText="1"/>
    </xf>
    <xf numFmtId="0" fontId="3" fillId="0" borderId="50" xfId="5" applyBorder="1"/>
    <xf numFmtId="0" fontId="3" fillId="0" borderId="67" xfId="5" applyFont="1" applyBorder="1" applyAlignment="1">
      <alignment horizontal="center" vertical="center"/>
    </xf>
    <xf numFmtId="0" fontId="26" fillId="0" borderId="51" xfId="5" applyNumberFormat="1" applyFont="1" applyBorder="1" applyAlignment="1">
      <alignment horizontal="justify" vertical="center" wrapText="1"/>
    </xf>
    <xf numFmtId="0" fontId="28" fillId="0" borderId="50" xfId="5" applyFont="1" applyBorder="1" applyAlignment="1">
      <alignment horizontal="center" vertical="center"/>
    </xf>
    <xf numFmtId="0" fontId="28" fillId="0" borderId="47" xfId="5" applyFont="1" applyBorder="1" applyAlignment="1">
      <alignment horizontal="center" vertical="center"/>
    </xf>
    <xf numFmtId="0" fontId="28" fillId="0" borderId="53" xfId="5" applyFont="1" applyBorder="1" applyAlignment="1">
      <alignment horizontal="center" vertical="center" wrapText="1"/>
    </xf>
    <xf numFmtId="0" fontId="28" fillId="0" borderId="54" xfId="5" applyFont="1" applyBorder="1" applyAlignment="1">
      <alignment horizontal="center" vertical="center"/>
    </xf>
    <xf numFmtId="0" fontId="3" fillId="0" borderId="61" xfId="5" applyFont="1" applyBorder="1" applyAlignment="1">
      <alignment horizontal="center" vertical="center" wrapText="1"/>
    </xf>
    <xf numFmtId="0" fontId="3" fillId="0" borderId="62" xfId="5" applyFont="1" applyBorder="1" applyAlignment="1">
      <alignment horizontal="center" vertical="center" wrapText="1"/>
    </xf>
    <xf numFmtId="0" fontId="3" fillId="0" borderId="67" xfId="5" applyBorder="1" applyAlignment="1">
      <alignment horizontal="center"/>
    </xf>
    <xf numFmtId="0" fontId="26" fillId="0" borderId="50" xfId="5" applyFont="1" applyBorder="1" applyAlignment="1">
      <alignment horizontal="left"/>
    </xf>
    <xf numFmtId="0" fontId="22" fillId="0" borderId="34" xfId="5" applyFont="1" applyBorder="1" applyAlignment="1">
      <alignment horizontal="center"/>
    </xf>
    <xf numFmtId="0" fontId="22" fillId="0" borderId="45" xfId="5" applyFont="1" applyBorder="1" applyAlignment="1">
      <alignment horizontal="center"/>
    </xf>
    <xf numFmtId="0" fontId="22" fillId="0" borderId="46" xfId="5" applyFont="1" applyBorder="1" applyAlignment="1">
      <alignment horizontal="center"/>
    </xf>
    <xf numFmtId="0" fontId="24" fillId="0" borderId="18" xfId="5" applyFont="1" applyBorder="1" applyAlignment="1">
      <alignment horizontal="center" vertical="center" wrapText="1"/>
    </xf>
    <xf numFmtId="0" fontId="2" fillId="0" borderId="47" xfId="5" applyFont="1" applyBorder="1"/>
    <xf numFmtId="0" fontId="29" fillId="0" borderId="48" xfId="5" applyFont="1" applyBorder="1" applyAlignment="1">
      <alignment horizontal="left" indent="1"/>
    </xf>
    <xf numFmtId="0" fontId="2" fillId="0" borderId="47" xfId="5" applyFont="1" applyBorder="1" applyAlignment="1">
      <alignment horizontal="left" vertical="center" wrapText="1"/>
    </xf>
    <xf numFmtId="0" fontId="27" fillId="0" borderId="49" xfId="5" applyFont="1" applyBorder="1" applyAlignment="1">
      <alignment horizontal="left"/>
    </xf>
  </cellXfs>
  <cellStyles count="16">
    <cellStyle name="Encabezado 1" xfId="10" xr:uid="{00000000-0005-0000-0000-000000000000}"/>
    <cellStyle name="Millares 2" xfId="11" xr:uid="{00000000-0005-0000-0000-000001000000}"/>
    <cellStyle name="Millares 2 2" xfId="12" xr:uid="{00000000-0005-0000-0000-000002000000}"/>
    <cellStyle name="Moneda" xfId="1" builtinId="4"/>
    <cellStyle name="Moneda 2" xfId="3" xr:uid="{00000000-0005-0000-0000-000004000000}"/>
    <cellStyle name="Moneda_AUTORIZACION Y NOTA DE PEDIDO" xfId="8" xr:uid="{00000000-0005-0000-0000-000005000000}"/>
    <cellStyle name="Neutral 1" xfId="13" xr:uid="{00000000-0005-0000-0000-000006000000}"/>
    <cellStyle name="Normal" xfId="0" builtinId="0"/>
    <cellStyle name="Normal 2" xfId="2" xr:uid="{00000000-0005-0000-0000-000008000000}"/>
    <cellStyle name="Normal 2 2" xfId="5" xr:uid="{00000000-0005-0000-0000-000009000000}"/>
    <cellStyle name="Normal 3" xfId="7" xr:uid="{00000000-0005-0000-0000-00000A000000}"/>
    <cellStyle name="Normal 3 2" xfId="14" xr:uid="{00000000-0005-0000-0000-00000B000000}"/>
    <cellStyle name="Normal 4" xfId="6" xr:uid="{00000000-0005-0000-0000-00000C000000}"/>
    <cellStyle name="Normal 5" xfId="4" xr:uid="{00000000-0005-0000-0000-00000D000000}"/>
    <cellStyle name="Normal 5 2" xfId="15" xr:uid="{00000000-0005-0000-0000-00000E000000}"/>
    <cellStyle name="Normal 6" xfId="9" xr:uid="{00000000-0005-0000-0000-00000F000000}"/>
  </cellStyles>
  <dxfs count="1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3"/>
  <sheetViews>
    <sheetView tabSelected="1" topLeftCell="B16" zoomScale="110" zoomScaleNormal="110" workbookViewId="0">
      <selection activeCell="C23" sqref="C23"/>
    </sheetView>
  </sheetViews>
  <sheetFormatPr baseColWidth="10" defaultRowHeight="15" x14ac:dyDescent="0.25"/>
  <cols>
    <col min="1" max="1" width="5.42578125" style="24" bestFit="1" customWidth="1"/>
    <col min="2" max="2" width="14.42578125" style="24" bestFit="1" customWidth="1"/>
    <col min="3" max="3" width="37" style="24" bestFit="1" customWidth="1"/>
    <col min="4" max="4" width="5.85546875" style="24" bestFit="1" customWidth="1"/>
    <col min="5" max="5" width="90" style="32" customWidth="1"/>
    <col min="6" max="6" width="17.28515625" style="24" customWidth="1"/>
    <col min="7" max="7" width="19.85546875" style="24" hidden="1" customWidth="1"/>
    <col min="8" max="8" width="11.5703125" style="24" hidden="1" customWidth="1"/>
    <col min="9" max="9" width="8.5703125" style="24" hidden="1" customWidth="1"/>
    <col min="10" max="10" width="15.5703125" style="24" hidden="1" customWidth="1"/>
    <col min="11" max="11" width="12.85546875" style="24" hidden="1" customWidth="1"/>
    <col min="12" max="12" width="14.7109375" style="24" hidden="1" customWidth="1"/>
    <col min="13" max="13" width="8.85546875" style="24" hidden="1" customWidth="1"/>
    <col min="14" max="14" width="15" style="24" hidden="1" customWidth="1"/>
    <col min="15" max="15" width="14.42578125" style="24" hidden="1" customWidth="1"/>
    <col min="16" max="16" width="13.85546875" style="24" hidden="1" customWidth="1"/>
    <col min="17" max="17" width="15.85546875" style="24" hidden="1" customWidth="1"/>
    <col min="18" max="18" width="14.42578125" style="24" hidden="1" customWidth="1"/>
    <col min="19" max="19" width="11.140625" style="24" hidden="1" customWidth="1"/>
    <col min="20" max="20" width="17.140625" style="24" hidden="1" customWidth="1"/>
    <col min="21" max="21" width="16" style="24" hidden="1" customWidth="1"/>
    <col min="22" max="22" width="14.140625" style="24" hidden="1" customWidth="1"/>
    <col min="23" max="23" width="6.42578125" style="24" hidden="1" customWidth="1"/>
    <col min="24" max="24" width="13.140625" style="24" hidden="1" customWidth="1"/>
    <col min="25" max="25" width="11.85546875" style="24" hidden="1" customWidth="1"/>
    <col min="26" max="26" width="15.42578125" style="24" hidden="1" customWidth="1"/>
    <col min="27" max="28" width="15.5703125" style="24" hidden="1" customWidth="1"/>
    <col min="29" max="29" width="6" style="24" hidden="1" customWidth="1"/>
    <col min="30" max="30" width="14.85546875" style="24" hidden="1" customWidth="1"/>
    <col min="31" max="31" width="11" style="24" hidden="1" customWidth="1"/>
    <col min="32" max="32" width="14.42578125" style="24" hidden="1" customWidth="1"/>
    <col min="33" max="33" width="13.140625" style="24" hidden="1" customWidth="1"/>
    <col min="34" max="34" width="14.140625" style="24" hidden="1" customWidth="1"/>
    <col min="35" max="35" width="7.85546875" style="24" hidden="1" customWidth="1"/>
    <col min="36" max="36" width="14.85546875" style="24" hidden="1" customWidth="1"/>
    <col min="37" max="37" width="5" style="24" hidden="1" customWidth="1"/>
    <col min="38" max="38" width="12" style="24" hidden="1" customWidth="1"/>
    <col min="39" max="39" width="7.140625" style="24" hidden="1" customWidth="1"/>
    <col min="40" max="40" width="14.140625" style="24" hidden="1" customWidth="1"/>
    <col min="41" max="41" width="15.85546875" style="24" hidden="1" customWidth="1"/>
    <col min="42" max="42" width="14.42578125" style="24" hidden="1" customWidth="1"/>
    <col min="43" max="43" width="14.5703125" style="24" hidden="1" customWidth="1"/>
    <col min="44" max="44" width="13.140625" style="24" hidden="1" customWidth="1"/>
    <col min="45" max="45" width="18.42578125" style="62" bestFit="1" customWidth="1"/>
    <col min="46" max="46" width="13.85546875" style="28" customWidth="1"/>
    <col min="47" max="47" width="17.28515625" style="28" bestFit="1" customWidth="1"/>
  </cols>
  <sheetData>
    <row r="1" spans="1:47" x14ac:dyDescent="0.25">
      <c r="A1" s="7">
        <v>2021</v>
      </c>
      <c r="B1" s="2"/>
      <c r="C1" s="1"/>
      <c r="D1" s="1"/>
      <c r="E1" s="25"/>
      <c r="F1" s="1"/>
      <c r="G1" s="1"/>
      <c r="H1" s="1"/>
      <c r="I1" s="1"/>
      <c r="J1" s="1"/>
      <c r="K1" s="1"/>
      <c r="L1" s="1"/>
      <c r="M1" s="15"/>
      <c r="N1" s="16"/>
      <c r="O1" s="3"/>
      <c r="P1" s="1"/>
      <c r="Q1" s="15"/>
      <c r="R1" s="1"/>
      <c r="S1" s="3"/>
      <c r="T1" s="17"/>
      <c r="U1" s="15"/>
      <c r="V1" s="1"/>
      <c r="W1" s="3"/>
      <c r="X1" s="1"/>
      <c r="Y1" s="3"/>
      <c r="Z1" s="1"/>
      <c r="AA1" s="3"/>
      <c r="AB1" s="1"/>
      <c r="AC1" s="3"/>
      <c r="AD1" s="1"/>
      <c r="AE1" s="3"/>
      <c r="AF1" s="1"/>
      <c r="AG1" s="3"/>
      <c r="AH1" s="1"/>
      <c r="AI1" s="3"/>
      <c r="AJ1" s="1"/>
      <c r="AK1" s="3"/>
      <c r="AL1" s="1"/>
      <c r="AM1" s="3"/>
      <c r="AN1" s="1"/>
      <c r="AO1" s="3"/>
      <c r="AP1" s="1"/>
      <c r="AQ1" s="3"/>
      <c r="AR1" s="1"/>
      <c r="AS1" s="3"/>
      <c r="AT1" s="21"/>
      <c r="AU1" s="30"/>
    </row>
    <row r="2" spans="1:47" x14ac:dyDescent="0.25">
      <c r="A2" s="1"/>
      <c r="B2" s="144" t="s">
        <v>0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30"/>
    </row>
    <row r="3" spans="1:47" x14ac:dyDescent="0.25">
      <c r="A3" s="1"/>
      <c r="B3" s="2"/>
      <c r="C3" s="1"/>
      <c r="D3" s="1"/>
      <c r="E3" s="25"/>
      <c r="F3" s="1"/>
      <c r="G3" s="1"/>
      <c r="H3" s="1"/>
      <c r="I3" s="1"/>
      <c r="J3" s="1"/>
      <c r="K3" s="1"/>
      <c r="L3" s="1"/>
      <c r="M3" s="15"/>
      <c r="N3" s="16"/>
      <c r="O3" s="3"/>
      <c r="P3" s="1"/>
      <c r="Q3" s="15"/>
      <c r="R3" s="1"/>
      <c r="S3" s="3"/>
      <c r="T3" s="17"/>
      <c r="U3" s="15"/>
      <c r="V3" s="1"/>
      <c r="W3" s="3"/>
      <c r="X3" s="1"/>
      <c r="Y3" s="3"/>
      <c r="Z3" s="1"/>
      <c r="AA3" s="3"/>
      <c r="AB3" s="1"/>
      <c r="AC3" s="3"/>
      <c r="AD3" s="1"/>
      <c r="AE3" s="3"/>
      <c r="AF3" s="1"/>
      <c r="AG3" s="3"/>
      <c r="AH3" s="1"/>
      <c r="AI3" s="3"/>
      <c r="AJ3" s="1"/>
      <c r="AK3" s="3"/>
      <c r="AL3" s="1"/>
      <c r="AM3" s="3"/>
      <c r="AN3" s="1"/>
      <c r="AO3" s="3"/>
      <c r="AP3" s="1"/>
      <c r="AQ3" s="3"/>
      <c r="AR3" s="1"/>
      <c r="AS3" s="3"/>
      <c r="AT3" s="21"/>
      <c r="AU3" s="30"/>
    </row>
    <row r="4" spans="1:47" x14ac:dyDescent="0.25">
      <c r="A4" s="143" t="s">
        <v>1</v>
      </c>
      <c r="B4" s="143"/>
      <c r="C4" s="145" t="s">
        <v>39</v>
      </c>
      <c r="D4" s="145"/>
      <c r="E4" s="145"/>
      <c r="F4" s="6"/>
      <c r="G4" s="6"/>
      <c r="H4" s="6"/>
      <c r="I4" s="6"/>
      <c r="J4" s="6"/>
      <c r="K4" s="6"/>
      <c r="L4" s="6"/>
      <c r="M4" s="18"/>
      <c r="N4" s="19"/>
      <c r="O4" s="4"/>
      <c r="P4" s="6"/>
      <c r="Q4" s="18"/>
      <c r="R4" s="6"/>
      <c r="S4" s="4"/>
      <c r="T4" s="20"/>
      <c r="U4" s="18"/>
      <c r="V4" s="6"/>
      <c r="W4" s="4"/>
      <c r="X4" s="6"/>
      <c r="Y4" s="4"/>
      <c r="Z4" s="6"/>
      <c r="AA4" s="4"/>
      <c r="AB4" s="6"/>
      <c r="AC4" s="4"/>
      <c r="AD4" s="6"/>
      <c r="AE4" s="4"/>
      <c r="AF4" s="6"/>
      <c r="AG4" s="4"/>
      <c r="AH4" s="6"/>
      <c r="AI4" s="4"/>
      <c r="AJ4" s="6"/>
      <c r="AK4" s="4"/>
      <c r="AL4" s="6"/>
      <c r="AM4" s="4"/>
      <c r="AN4" s="6"/>
      <c r="AO4" s="4"/>
      <c r="AP4" s="6"/>
      <c r="AQ4" s="4"/>
      <c r="AR4" s="6"/>
      <c r="AS4" s="4"/>
      <c r="AT4" s="21"/>
      <c r="AU4" s="30"/>
    </row>
    <row r="5" spans="1:47" x14ac:dyDescent="0.25">
      <c r="A5" s="143" t="s">
        <v>2</v>
      </c>
      <c r="B5" s="143"/>
      <c r="C5" s="146" t="s">
        <v>38</v>
      </c>
      <c r="D5" s="146"/>
      <c r="E5" s="146"/>
      <c r="F5" s="6"/>
      <c r="G5" s="6"/>
      <c r="H5" s="6"/>
      <c r="I5" s="6"/>
      <c r="J5" s="6"/>
      <c r="K5" s="6"/>
      <c r="L5" s="6"/>
      <c r="M5" s="18"/>
      <c r="N5" s="19"/>
      <c r="O5" s="4"/>
      <c r="P5" s="6"/>
      <c r="Q5" s="18"/>
      <c r="R5" s="6"/>
      <c r="S5" s="4"/>
      <c r="T5" s="20"/>
      <c r="U5" s="18"/>
      <c r="V5" s="6"/>
      <c r="W5" s="4"/>
      <c r="X5" s="6"/>
      <c r="Y5" s="4"/>
      <c r="Z5" s="6"/>
      <c r="AA5" s="4"/>
      <c r="AB5" s="6"/>
      <c r="AC5" s="4"/>
      <c r="AD5" s="6"/>
      <c r="AE5" s="4"/>
      <c r="AF5" s="6"/>
      <c r="AG5" s="4"/>
      <c r="AH5" s="6"/>
      <c r="AI5" s="4"/>
      <c r="AJ5" s="6"/>
      <c r="AK5" s="4"/>
      <c r="AL5" s="6"/>
      <c r="AM5" s="4"/>
      <c r="AN5" s="6"/>
      <c r="AO5" s="4"/>
      <c r="AP5" s="6"/>
      <c r="AQ5" s="4"/>
      <c r="AR5" s="6"/>
      <c r="AS5" s="4"/>
      <c r="AT5" s="21"/>
      <c r="AU5" s="30"/>
    </row>
    <row r="6" spans="1:47" x14ac:dyDescent="0.25">
      <c r="A6" s="143" t="s">
        <v>3</v>
      </c>
      <c r="B6" s="143"/>
      <c r="C6" s="5">
        <v>2021</v>
      </c>
      <c r="D6" s="22"/>
      <c r="E6" s="5"/>
      <c r="F6" s="6"/>
      <c r="G6" s="6"/>
      <c r="H6" s="6"/>
      <c r="I6" s="6"/>
      <c r="J6" s="6"/>
      <c r="K6" s="6"/>
      <c r="L6" s="6"/>
      <c r="M6" s="18"/>
      <c r="N6" s="19"/>
      <c r="O6" s="4"/>
      <c r="P6" s="6"/>
      <c r="Q6" s="18"/>
      <c r="R6" s="6"/>
      <c r="S6" s="4"/>
      <c r="T6" s="20"/>
      <c r="U6" s="18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  <c r="AL6" s="6"/>
      <c r="AM6" s="4"/>
      <c r="AN6" s="6"/>
      <c r="AO6" s="4"/>
      <c r="AP6" s="6"/>
      <c r="AQ6" s="4"/>
      <c r="AR6" s="6"/>
      <c r="AS6" s="4"/>
      <c r="AT6" s="21"/>
      <c r="AU6" s="30"/>
    </row>
    <row r="7" spans="1:47" x14ac:dyDescent="0.25">
      <c r="A7" s="143" t="s">
        <v>4</v>
      </c>
      <c r="B7" s="143"/>
      <c r="C7" s="5" t="s">
        <v>60</v>
      </c>
      <c r="D7" s="22"/>
      <c r="E7" s="5"/>
      <c r="F7" s="6"/>
      <c r="G7" s="6"/>
      <c r="H7" s="6"/>
      <c r="I7" s="6"/>
      <c r="J7" s="6"/>
      <c r="K7" s="6"/>
      <c r="L7" s="6"/>
      <c r="M7" s="18"/>
      <c r="N7" s="19"/>
      <c r="O7" s="4"/>
      <c r="P7" s="6"/>
      <c r="Q7" s="18"/>
      <c r="R7" s="6"/>
      <c r="S7" s="4"/>
      <c r="T7" s="20"/>
      <c r="U7" s="18"/>
      <c r="V7" s="6"/>
      <c r="W7" s="4"/>
      <c r="X7" s="6"/>
      <c r="Y7" s="4"/>
      <c r="Z7" s="6"/>
      <c r="AA7" s="4"/>
      <c r="AB7" s="6"/>
      <c r="AC7" s="4"/>
      <c r="AD7" s="6"/>
      <c r="AE7" s="4"/>
      <c r="AF7" s="6"/>
      <c r="AG7" s="4"/>
      <c r="AH7" s="6"/>
      <c r="AI7" s="4"/>
      <c r="AJ7" s="6"/>
      <c r="AK7" s="4"/>
      <c r="AL7" s="6"/>
      <c r="AM7" s="4"/>
      <c r="AN7" s="6"/>
      <c r="AO7" s="4"/>
      <c r="AP7" s="6"/>
      <c r="AQ7" s="4"/>
      <c r="AR7" s="6"/>
      <c r="AS7" s="4"/>
      <c r="AT7" s="21"/>
      <c r="AU7" s="30"/>
    </row>
    <row r="8" spans="1:47" x14ac:dyDescent="0.25">
      <c r="A8" s="1"/>
      <c r="B8" s="6"/>
      <c r="C8" s="6"/>
      <c r="D8" s="6"/>
      <c r="E8" s="26"/>
      <c r="F8" s="6"/>
      <c r="G8" s="6"/>
      <c r="H8" s="6"/>
      <c r="I8" s="6"/>
      <c r="J8" s="6"/>
      <c r="K8" s="6"/>
      <c r="L8" s="6"/>
      <c r="M8" s="18"/>
      <c r="N8" s="19"/>
      <c r="O8" s="4"/>
      <c r="P8" s="6"/>
      <c r="Q8" s="18"/>
      <c r="R8" s="6"/>
      <c r="S8" s="4"/>
      <c r="T8" s="20"/>
      <c r="U8" s="18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  <c r="AL8" s="6"/>
      <c r="AM8" s="4"/>
      <c r="AN8" s="6"/>
      <c r="AO8" s="4"/>
      <c r="AP8" s="6"/>
      <c r="AQ8" s="4"/>
      <c r="AR8" s="6"/>
      <c r="AS8" s="4"/>
      <c r="AT8" s="21"/>
      <c r="AU8" s="30"/>
    </row>
    <row r="9" spans="1:47" ht="38.25" x14ac:dyDescent="0.25">
      <c r="A9" s="8" t="s">
        <v>5</v>
      </c>
      <c r="B9" s="8" t="s">
        <v>6</v>
      </c>
      <c r="C9" s="9" t="s">
        <v>7</v>
      </c>
      <c r="D9" s="8" t="s">
        <v>8</v>
      </c>
      <c r="E9" s="27" t="s">
        <v>9</v>
      </c>
      <c r="F9" s="9" t="s">
        <v>10</v>
      </c>
      <c r="G9" s="9" t="s">
        <v>53</v>
      </c>
      <c r="H9" s="9" t="s">
        <v>40</v>
      </c>
      <c r="I9" s="9" t="s">
        <v>41</v>
      </c>
      <c r="J9" s="9" t="s">
        <v>42</v>
      </c>
      <c r="K9" s="9" t="s">
        <v>11</v>
      </c>
      <c r="L9" s="9" t="s">
        <v>12</v>
      </c>
      <c r="M9" s="10" t="s">
        <v>13</v>
      </c>
      <c r="N9" s="11" t="s">
        <v>14</v>
      </c>
      <c r="O9" s="12" t="s">
        <v>48</v>
      </c>
      <c r="P9" s="9" t="s">
        <v>43</v>
      </c>
      <c r="Q9" s="10" t="s">
        <v>15</v>
      </c>
      <c r="R9" s="9" t="s">
        <v>16</v>
      </c>
      <c r="S9" s="12" t="s">
        <v>17</v>
      </c>
      <c r="T9" s="13" t="s">
        <v>18</v>
      </c>
      <c r="U9" s="10" t="s">
        <v>19</v>
      </c>
      <c r="V9" s="9" t="s">
        <v>20</v>
      </c>
      <c r="W9" s="12" t="s">
        <v>21</v>
      </c>
      <c r="X9" s="9" t="s">
        <v>22</v>
      </c>
      <c r="Y9" s="12" t="s">
        <v>44</v>
      </c>
      <c r="Z9" s="9" t="s">
        <v>45</v>
      </c>
      <c r="AA9" s="12" t="s">
        <v>46</v>
      </c>
      <c r="AB9" s="9" t="s">
        <v>47</v>
      </c>
      <c r="AC9" s="14" t="s">
        <v>49</v>
      </c>
      <c r="AD9" s="9" t="s">
        <v>50</v>
      </c>
      <c r="AE9" s="12" t="s">
        <v>23</v>
      </c>
      <c r="AF9" s="9" t="s">
        <v>24</v>
      </c>
      <c r="AG9" s="12" t="s">
        <v>25</v>
      </c>
      <c r="AH9" s="9" t="s">
        <v>26</v>
      </c>
      <c r="AI9" s="12" t="s">
        <v>27</v>
      </c>
      <c r="AJ9" s="9" t="s">
        <v>28</v>
      </c>
      <c r="AK9" s="12" t="s">
        <v>29</v>
      </c>
      <c r="AL9" s="9" t="s">
        <v>30</v>
      </c>
      <c r="AM9" s="14" t="s">
        <v>51</v>
      </c>
      <c r="AN9" s="9" t="s">
        <v>52</v>
      </c>
      <c r="AO9" s="12" t="s">
        <v>31</v>
      </c>
      <c r="AP9" s="9" t="s">
        <v>32</v>
      </c>
      <c r="AQ9" s="12" t="s">
        <v>33</v>
      </c>
      <c r="AR9" s="9" t="s">
        <v>34</v>
      </c>
      <c r="AS9" s="12" t="s">
        <v>35</v>
      </c>
      <c r="AT9" s="23" t="s">
        <v>36</v>
      </c>
      <c r="AU9" s="29" t="s">
        <v>37</v>
      </c>
    </row>
    <row r="10" spans="1:47" x14ac:dyDescent="0.25">
      <c r="A10" s="43">
        <v>1</v>
      </c>
      <c r="B10" s="43" t="s">
        <v>54</v>
      </c>
      <c r="C10" s="43" t="s">
        <v>55</v>
      </c>
      <c r="D10" s="43" t="s">
        <v>56</v>
      </c>
      <c r="E10" s="50" t="s">
        <v>57</v>
      </c>
      <c r="F10" s="43" t="s">
        <v>58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>
        <v>6000</v>
      </c>
      <c r="Z10" s="51">
        <f t="shared" ref="Z10:Z16" si="0">+Y10*AT10</f>
        <v>611040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57">
        <f t="shared" ref="AS10:AS16" si="1">+G10+I10+K10+M10+O10+Q10+S10+U10+W10+Y10++AA10+AC10+AE10+AG10+AI10+AK10+AM10+AO10+AQ10</f>
        <v>6000</v>
      </c>
      <c r="AT10" s="51">
        <v>101.84</v>
      </c>
      <c r="AU10" s="51">
        <f t="shared" ref="AU10:AU16" si="2">+AS10*AT10</f>
        <v>611040</v>
      </c>
    </row>
    <row r="11" spans="1:47" x14ac:dyDescent="0.25">
      <c r="A11" s="44">
        <v>2</v>
      </c>
      <c r="B11" s="44" t="s">
        <v>54</v>
      </c>
      <c r="C11" s="44" t="s">
        <v>55</v>
      </c>
      <c r="D11" s="44" t="s">
        <v>56</v>
      </c>
      <c r="E11" s="53" t="s">
        <v>57</v>
      </c>
      <c r="F11" s="44" t="s">
        <v>58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>
        <v>11500</v>
      </c>
      <c r="Z11" s="45">
        <f t="shared" si="0"/>
        <v>1171160</v>
      </c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58">
        <f t="shared" si="1"/>
        <v>11500</v>
      </c>
      <c r="AT11" s="45">
        <v>101.84</v>
      </c>
      <c r="AU11" s="45">
        <f t="shared" si="2"/>
        <v>1171160</v>
      </c>
    </row>
    <row r="12" spans="1:47" x14ac:dyDescent="0.25">
      <c r="A12" s="44">
        <v>3</v>
      </c>
      <c r="B12" s="44" t="s">
        <v>54</v>
      </c>
      <c r="C12" s="44" t="s">
        <v>55</v>
      </c>
      <c r="D12" s="44" t="s">
        <v>56</v>
      </c>
      <c r="E12" s="53" t="s">
        <v>57</v>
      </c>
      <c r="F12" s="44" t="s">
        <v>58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>
        <v>2600</v>
      </c>
      <c r="Z12" s="45">
        <f t="shared" si="0"/>
        <v>1461044.0000000002</v>
      </c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58">
        <f t="shared" si="1"/>
        <v>2600</v>
      </c>
      <c r="AT12" s="45">
        <v>561.94000000000005</v>
      </c>
      <c r="AU12" s="45">
        <f t="shared" si="2"/>
        <v>1461044.0000000002</v>
      </c>
    </row>
    <row r="13" spans="1:47" x14ac:dyDescent="0.25">
      <c r="A13" s="44">
        <v>4</v>
      </c>
      <c r="B13" s="44" t="s">
        <v>54</v>
      </c>
      <c r="C13" s="44" t="s">
        <v>55</v>
      </c>
      <c r="D13" s="44" t="s">
        <v>56</v>
      </c>
      <c r="E13" s="53" t="s">
        <v>57</v>
      </c>
      <c r="F13" s="44" t="s">
        <v>58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>
        <v>1900</v>
      </c>
      <c r="Z13" s="45">
        <f t="shared" si="0"/>
        <v>1067686</v>
      </c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58">
        <f t="shared" si="1"/>
        <v>1900</v>
      </c>
      <c r="AT13" s="45">
        <v>561.94000000000005</v>
      </c>
      <c r="AU13" s="45">
        <f t="shared" si="2"/>
        <v>1067686</v>
      </c>
    </row>
    <row r="14" spans="1:47" x14ac:dyDescent="0.25">
      <c r="A14" s="44">
        <v>5</v>
      </c>
      <c r="B14" s="44" t="s">
        <v>54</v>
      </c>
      <c r="C14" s="44" t="s">
        <v>55</v>
      </c>
      <c r="D14" s="44" t="s">
        <v>56</v>
      </c>
      <c r="E14" s="53" t="s">
        <v>57</v>
      </c>
      <c r="F14" s="44" t="s">
        <v>58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>
        <v>1700</v>
      </c>
      <c r="Z14" s="45">
        <f t="shared" si="0"/>
        <v>955298.00000000012</v>
      </c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58">
        <f t="shared" si="1"/>
        <v>1700</v>
      </c>
      <c r="AT14" s="45">
        <v>561.94000000000005</v>
      </c>
      <c r="AU14" s="45">
        <f t="shared" si="2"/>
        <v>955298.00000000012</v>
      </c>
    </row>
    <row r="15" spans="1:47" x14ac:dyDescent="0.25">
      <c r="A15" s="44">
        <v>6</v>
      </c>
      <c r="B15" s="44" t="s">
        <v>54</v>
      </c>
      <c r="C15" s="44" t="s">
        <v>55</v>
      </c>
      <c r="D15" s="44" t="s">
        <v>56</v>
      </c>
      <c r="E15" s="53" t="s">
        <v>57</v>
      </c>
      <c r="F15" s="44" t="s">
        <v>58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>
        <v>50</v>
      </c>
      <c r="Z15" s="45">
        <f t="shared" si="0"/>
        <v>28097.000000000004</v>
      </c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58">
        <f t="shared" si="1"/>
        <v>50</v>
      </c>
      <c r="AT15" s="45">
        <v>561.94000000000005</v>
      </c>
      <c r="AU15" s="45">
        <f t="shared" si="2"/>
        <v>28097.000000000004</v>
      </c>
    </row>
    <row r="16" spans="1:47" ht="15.75" thickBot="1" x14ac:dyDescent="0.3">
      <c r="A16" s="46">
        <v>7</v>
      </c>
      <c r="B16" s="46" t="s">
        <v>54</v>
      </c>
      <c r="C16" s="46" t="s">
        <v>55</v>
      </c>
      <c r="D16" s="46" t="s">
        <v>56</v>
      </c>
      <c r="E16" s="52" t="s">
        <v>57</v>
      </c>
      <c r="F16" s="46" t="s">
        <v>58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>
        <v>30</v>
      </c>
      <c r="Z16" s="47">
        <f t="shared" si="0"/>
        <v>5521.2</v>
      </c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60">
        <f t="shared" si="1"/>
        <v>30</v>
      </c>
      <c r="AT16" s="47">
        <v>184.04</v>
      </c>
      <c r="AU16" s="47">
        <f t="shared" si="2"/>
        <v>5521.2</v>
      </c>
    </row>
    <row r="17" spans="1:47" ht="15.75" thickBot="1" x14ac:dyDescent="0.3">
      <c r="A17" s="33"/>
      <c r="B17" s="34"/>
      <c r="C17" s="35"/>
      <c r="D17" s="35"/>
      <c r="E17" s="36" t="s">
        <v>59</v>
      </c>
      <c r="F17" s="37"/>
      <c r="G17" s="37"/>
      <c r="H17" s="37"/>
      <c r="I17" s="37"/>
      <c r="J17" s="37"/>
      <c r="K17" s="37"/>
      <c r="L17" s="38"/>
      <c r="M17" s="39"/>
      <c r="N17" s="38"/>
      <c r="O17" s="40"/>
      <c r="P17" s="49">
        <f>SUM(P15:P16)</f>
        <v>0</v>
      </c>
      <c r="Q17" s="39"/>
      <c r="R17" s="37"/>
      <c r="S17" s="40"/>
      <c r="T17" s="41"/>
      <c r="U17" s="39"/>
      <c r="V17" s="38"/>
      <c r="W17" s="40"/>
      <c r="X17" s="37"/>
      <c r="Y17" s="40"/>
      <c r="Z17" s="49">
        <f>SUM(Z10:Z16)</f>
        <v>5299846.2</v>
      </c>
      <c r="AA17" s="40"/>
      <c r="AB17" s="37"/>
      <c r="AC17" s="40"/>
      <c r="AD17" s="37"/>
      <c r="AE17" s="40"/>
      <c r="AF17" s="37"/>
      <c r="AG17" s="40"/>
      <c r="AH17" s="37"/>
      <c r="AI17" s="40"/>
      <c r="AJ17" s="37"/>
      <c r="AK17" s="40"/>
      <c r="AL17" s="38">
        <f>SUM(AL10:AL16)</f>
        <v>0</v>
      </c>
      <c r="AM17" s="40"/>
      <c r="AN17" s="37"/>
      <c r="AO17" s="40"/>
      <c r="AP17" s="37"/>
      <c r="AQ17" s="40"/>
      <c r="AR17" s="37"/>
      <c r="AS17" s="59"/>
      <c r="AT17" s="42"/>
      <c r="AU17" s="48">
        <f>SUM(AU10:AU16)</f>
        <v>5299846.2</v>
      </c>
    </row>
    <row r="18" spans="1:47" s="67" customFormat="1" ht="15.75" thickBot="1" x14ac:dyDescent="0.3">
      <c r="A18" s="63"/>
      <c r="B18" s="63"/>
      <c r="C18" s="63"/>
      <c r="D18" s="63"/>
      <c r="E18" s="64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5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6"/>
      <c r="AT18" s="65"/>
      <c r="AU18" s="65"/>
    </row>
    <row r="19" spans="1:47" s="67" customFormat="1" x14ac:dyDescent="0.25">
      <c r="A19" s="63"/>
      <c r="B19" s="63"/>
      <c r="C19" s="68" t="s">
        <v>61</v>
      </c>
      <c r="D19" s="69" t="s">
        <v>62</v>
      </c>
      <c r="E19" s="69"/>
      <c r="F19" s="70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5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6"/>
      <c r="AT19" s="65"/>
      <c r="AU19" s="65"/>
    </row>
    <row r="20" spans="1:47" s="67" customFormat="1" x14ac:dyDescent="0.25">
      <c r="A20" s="63"/>
      <c r="B20" s="63"/>
      <c r="C20" s="71"/>
      <c r="D20" s="72"/>
      <c r="E20" s="72"/>
      <c r="F20" s="7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5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6"/>
      <c r="AT20" s="65"/>
      <c r="AU20" s="65"/>
    </row>
    <row r="21" spans="1:47" s="67" customFormat="1" x14ac:dyDescent="0.25">
      <c r="A21" s="63"/>
      <c r="B21" s="63"/>
      <c r="C21" s="74" t="s">
        <v>121</v>
      </c>
      <c r="D21" s="139" t="s">
        <v>122</v>
      </c>
      <c r="E21" s="139"/>
      <c r="F21" s="140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5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6"/>
      <c r="AT21" s="65"/>
      <c r="AU21" s="65"/>
    </row>
    <row r="22" spans="1:47" s="67" customFormat="1" x14ac:dyDescent="0.25">
      <c r="A22" s="63"/>
      <c r="B22" s="63"/>
      <c r="C22" s="74"/>
      <c r="D22" s="139"/>
      <c r="E22" s="139"/>
      <c r="F22" s="140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5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6"/>
      <c r="AT22" s="65"/>
      <c r="AU22" s="65"/>
    </row>
    <row r="23" spans="1:47" s="67" customFormat="1" ht="50.25" customHeight="1" x14ac:dyDescent="0.25">
      <c r="A23" s="63"/>
      <c r="B23" s="63"/>
      <c r="C23" s="74" t="s">
        <v>63</v>
      </c>
      <c r="D23" s="139" t="s">
        <v>118</v>
      </c>
      <c r="E23" s="139"/>
      <c r="F23" s="140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5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6"/>
      <c r="AT23" s="65"/>
      <c r="AU23" s="65"/>
    </row>
    <row r="24" spans="1:47" s="67" customFormat="1" x14ac:dyDescent="0.25">
      <c r="A24" s="63"/>
      <c r="B24" s="63"/>
      <c r="C24" s="71"/>
      <c r="D24" s="75"/>
      <c r="E24" s="75"/>
      <c r="F24" s="76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6"/>
      <c r="AT24" s="65"/>
      <c r="AU24" s="65"/>
    </row>
    <row r="25" spans="1:47" s="67" customFormat="1" x14ac:dyDescent="0.25">
      <c r="A25" s="63"/>
      <c r="B25" s="63"/>
      <c r="C25" s="74" t="s">
        <v>64</v>
      </c>
      <c r="D25" s="142" t="s">
        <v>65</v>
      </c>
      <c r="E25" s="142"/>
      <c r="F25" s="141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6"/>
      <c r="AT25" s="65"/>
      <c r="AU25" s="65"/>
    </row>
    <row r="26" spans="1:47" s="67" customFormat="1" x14ac:dyDescent="0.25">
      <c r="A26" s="63"/>
      <c r="B26" s="63"/>
      <c r="C26" s="71"/>
      <c r="D26" s="72"/>
      <c r="E26" s="72"/>
      <c r="F26" s="7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6"/>
      <c r="AT26" s="65"/>
      <c r="AU26" s="65"/>
    </row>
    <row r="27" spans="1:47" s="67" customFormat="1" x14ac:dyDescent="0.25">
      <c r="A27" s="63"/>
      <c r="B27" s="63"/>
      <c r="C27" s="74" t="s">
        <v>123</v>
      </c>
      <c r="D27" s="138" t="s">
        <v>124</v>
      </c>
      <c r="E27" s="72"/>
      <c r="F27" s="7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6"/>
      <c r="AT27" s="65"/>
      <c r="AU27" s="65"/>
    </row>
    <row r="28" spans="1:47" s="67" customFormat="1" x14ac:dyDescent="0.25">
      <c r="A28" s="63"/>
      <c r="B28" s="63"/>
      <c r="C28" s="71"/>
      <c r="D28" s="139"/>
      <c r="E28" s="139"/>
      <c r="F28" s="140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6"/>
      <c r="AT28" s="65"/>
      <c r="AU28" s="65"/>
    </row>
    <row r="29" spans="1:47" s="67" customFormat="1" x14ac:dyDescent="0.25">
      <c r="A29" s="63"/>
      <c r="B29" s="63"/>
      <c r="C29" s="74" t="s">
        <v>66</v>
      </c>
      <c r="D29" s="139" t="s">
        <v>67</v>
      </c>
      <c r="E29" s="139"/>
      <c r="F29" s="140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6"/>
      <c r="AT29" s="65"/>
      <c r="AU29" s="65"/>
    </row>
    <row r="30" spans="1:47" s="67" customFormat="1" x14ac:dyDescent="0.25">
      <c r="A30" s="63"/>
      <c r="B30" s="63"/>
      <c r="C30" s="71"/>
      <c r="D30" s="140"/>
      <c r="E30" s="140"/>
      <c r="F30" s="140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6"/>
      <c r="AT30" s="65"/>
      <c r="AU30" s="65"/>
    </row>
    <row r="31" spans="1:47" s="67" customFormat="1" x14ac:dyDescent="0.25">
      <c r="A31" s="63"/>
      <c r="B31" s="63"/>
      <c r="C31" s="74" t="s">
        <v>68</v>
      </c>
      <c r="D31" s="72"/>
      <c r="E31" s="72"/>
      <c r="F31" s="7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6"/>
      <c r="AT31" s="65"/>
      <c r="AU31" s="65"/>
    </row>
    <row r="32" spans="1:47" s="67" customFormat="1" x14ac:dyDescent="0.25">
      <c r="A32" s="63"/>
      <c r="B32" s="63"/>
      <c r="C32" s="74"/>
      <c r="D32" s="141"/>
      <c r="E32" s="141"/>
      <c r="F32" s="141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6"/>
      <c r="AT32" s="65"/>
      <c r="AU32" s="65"/>
    </row>
    <row r="33" spans="1:47" s="67" customFormat="1" ht="15.75" thickBot="1" x14ac:dyDescent="0.3">
      <c r="A33" s="63"/>
      <c r="B33" s="63"/>
      <c r="C33" s="77"/>
      <c r="D33" s="78"/>
      <c r="E33" s="78"/>
      <c r="F33" s="79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6"/>
      <c r="AT33" s="65"/>
      <c r="AU33" s="65"/>
    </row>
    <row r="34" spans="1:47" s="67" customFormat="1" x14ac:dyDescent="0.25">
      <c r="A34" s="63"/>
      <c r="B34" s="63"/>
      <c r="C34" s="63"/>
      <c r="D34" s="63"/>
      <c r="E34" s="64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6"/>
      <c r="AT34" s="65"/>
      <c r="AU34" s="65"/>
    </row>
    <row r="35" spans="1:47" s="67" customFormat="1" x14ac:dyDescent="0.25">
      <c r="A35" s="63"/>
      <c r="B35" s="63"/>
      <c r="C35" s="63"/>
      <c r="D35" s="63"/>
      <c r="E35" s="64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6"/>
      <c r="AT35" s="65"/>
      <c r="AU35" s="65"/>
    </row>
    <row r="36" spans="1:47" s="67" customFormat="1" x14ac:dyDescent="0.25">
      <c r="A36" s="63"/>
      <c r="B36" s="63"/>
      <c r="C36" s="63"/>
      <c r="D36" s="63"/>
      <c r="E36" s="64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6"/>
      <c r="AT36" s="65"/>
      <c r="AU36" s="65"/>
    </row>
    <row r="37" spans="1:47" s="67" customFormat="1" x14ac:dyDescent="0.25">
      <c r="A37" s="63"/>
      <c r="B37" s="63"/>
      <c r="C37" s="63"/>
      <c r="D37" s="63"/>
      <c r="E37" s="64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6"/>
      <c r="AT37" s="65"/>
      <c r="AU37" s="65"/>
    </row>
    <row r="38" spans="1:47" s="67" customFormat="1" x14ac:dyDescent="0.25">
      <c r="A38" s="63"/>
      <c r="B38" s="63"/>
      <c r="C38" s="63"/>
      <c r="D38" s="63"/>
      <c r="E38" s="64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6"/>
      <c r="AT38" s="65"/>
      <c r="AU38" s="65"/>
    </row>
    <row r="39" spans="1:47" s="67" customFormat="1" x14ac:dyDescent="0.25">
      <c r="A39" s="63"/>
      <c r="B39" s="63"/>
      <c r="C39" s="63"/>
      <c r="D39" s="63"/>
      <c r="E39" s="64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6"/>
      <c r="AT39" s="65"/>
      <c r="AU39" s="65"/>
    </row>
    <row r="40" spans="1:47" s="67" customFormat="1" x14ac:dyDescent="0.25">
      <c r="A40" s="63"/>
      <c r="B40" s="63"/>
      <c r="C40" s="63"/>
      <c r="D40" s="63"/>
      <c r="E40" s="64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6"/>
      <c r="AT40" s="65"/>
      <c r="AU40" s="65"/>
    </row>
    <row r="41" spans="1:47" s="67" customFormat="1" x14ac:dyDescent="0.25">
      <c r="A41" s="63"/>
      <c r="B41" s="63"/>
      <c r="C41" s="63"/>
      <c r="D41" s="63"/>
      <c r="E41" s="64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6"/>
      <c r="AT41" s="65"/>
      <c r="AU41" s="65"/>
    </row>
    <row r="42" spans="1:47" s="67" customFormat="1" x14ac:dyDescent="0.25">
      <c r="A42" s="63"/>
      <c r="B42" s="63"/>
      <c r="C42" s="63"/>
      <c r="D42" s="63"/>
      <c r="E42" s="64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6"/>
      <c r="AT42" s="65"/>
      <c r="AU42" s="65"/>
    </row>
    <row r="43" spans="1:47" s="67" customFormat="1" x14ac:dyDescent="0.25">
      <c r="A43" s="63"/>
      <c r="B43" s="63"/>
      <c r="C43" s="63"/>
      <c r="D43" s="63"/>
      <c r="E43" s="64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6"/>
      <c r="AT43" s="65"/>
      <c r="AU43" s="65"/>
    </row>
    <row r="44" spans="1:47" s="67" customFormat="1" x14ac:dyDescent="0.25">
      <c r="A44" s="63"/>
      <c r="B44" s="63"/>
      <c r="C44" s="63"/>
      <c r="D44" s="63"/>
      <c r="E44" s="64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6"/>
      <c r="AT44" s="65"/>
      <c r="AU44" s="65"/>
    </row>
    <row r="45" spans="1:47" s="67" customFormat="1" x14ac:dyDescent="0.25">
      <c r="A45" s="63"/>
      <c r="B45" s="63"/>
      <c r="C45" s="63"/>
      <c r="D45" s="63"/>
      <c r="E45" s="64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6"/>
      <c r="AT45" s="65"/>
      <c r="AU45" s="65"/>
    </row>
    <row r="46" spans="1:47" s="67" customFormat="1" x14ac:dyDescent="0.25">
      <c r="A46" s="63"/>
      <c r="B46" s="63"/>
      <c r="C46" s="63"/>
      <c r="D46" s="63"/>
      <c r="E46" s="64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6"/>
      <c r="AT46" s="65"/>
      <c r="AU46" s="65"/>
    </row>
    <row r="47" spans="1:47" s="67" customFormat="1" x14ac:dyDescent="0.25">
      <c r="A47" s="63"/>
      <c r="B47" s="63"/>
      <c r="C47" s="63"/>
      <c r="D47" s="63"/>
      <c r="E47" s="64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6"/>
      <c r="AT47" s="65"/>
      <c r="AU47" s="65"/>
    </row>
    <row r="48" spans="1:47" s="67" customFormat="1" x14ac:dyDescent="0.25">
      <c r="A48" s="63"/>
      <c r="B48" s="63"/>
      <c r="C48" s="63"/>
      <c r="D48" s="63"/>
      <c r="E48" s="64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6"/>
      <c r="AT48" s="65"/>
      <c r="AU48" s="65"/>
    </row>
    <row r="49" spans="1:47" s="67" customFormat="1" x14ac:dyDescent="0.25">
      <c r="A49" s="63"/>
      <c r="B49" s="63"/>
      <c r="C49" s="63"/>
      <c r="D49" s="63"/>
      <c r="E49" s="64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6"/>
      <c r="AT49" s="65"/>
      <c r="AU49" s="65"/>
    </row>
    <row r="50" spans="1:47" s="67" customFormat="1" x14ac:dyDescent="0.25">
      <c r="A50" s="63"/>
      <c r="B50" s="63"/>
      <c r="C50" s="63"/>
      <c r="D50" s="63"/>
      <c r="E50" s="64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6"/>
      <c r="AT50" s="65"/>
      <c r="AU50" s="65"/>
    </row>
    <row r="51" spans="1:47" s="67" customFormat="1" x14ac:dyDescent="0.25">
      <c r="A51" s="63"/>
      <c r="B51" s="63"/>
      <c r="C51" s="63"/>
      <c r="D51" s="63"/>
      <c r="E51" s="64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6"/>
      <c r="AT51" s="65"/>
      <c r="AU51" s="65"/>
    </row>
    <row r="52" spans="1:47" s="67" customFormat="1" x14ac:dyDescent="0.25">
      <c r="A52" s="63"/>
      <c r="B52" s="63"/>
      <c r="C52" s="63"/>
      <c r="D52" s="63"/>
      <c r="E52" s="64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6"/>
      <c r="AT52" s="65"/>
      <c r="AU52" s="65"/>
    </row>
    <row r="53" spans="1:47" s="67" customFormat="1" x14ac:dyDescent="0.25">
      <c r="A53" s="63"/>
      <c r="B53" s="63"/>
      <c r="C53" s="63"/>
      <c r="D53" s="63"/>
      <c r="E53" s="64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6"/>
      <c r="AT53" s="65"/>
      <c r="AU53" s="65"/>
    </row>
    <row r="54" spans="1:47" s="67" customFormat="1" x14ac:dyDescent="0.25">
      <c r="A54" s="63"/>
      <c r="B54" s="63"/>
      <c r="C54" s="63"/>
      <c r="D54" s="63"/>
      <c r="E54" s="64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6"/>
      <c r="AT54" s="65"/>
      <c r="AU54" s="65"/>
    </row>
    <row r="55" spans="1:47" s="67" customFormat="1" x14ac:dyDescent="0.25">
      <c r="A55" s="63"/>
      <c r="B55" s="63"/>
      <c r="C55" s="63"/>
      <c r="D55" s="63"/>
      <c r="E55" s="64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6"/>
      <c r="AT55" s="65"/>
      <c r="AU55" s="65"/>
    </row>
    <row r="56" spans="1:47" s="67" customFormat="1" x14ac:dyDescent="0.25">
      <c r="A56" s="63"/>
      <c r="B56" s="63"/>
      <c r="C56" s="63"/>
      <c r="D56" s="63"/>
      <c r="E56" s="64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6"/>
      <c r="AT56" s="65"/>
      <c r="AU56" s="65"/>
    </row>
    <row r="57" spans="1:47" s="67" customFormat="1" x14ac:dyDescent="0.25">
      <c r="A57" s="63"/>
      <c r="B57" s="63"/>
      <c r="C57" s="63"/>
      <c r="D57" s="63"/>
      <c r="E57" s="64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6"/>
      <c r="AT57" s="65"/>
      <c r="AU57" s="65"/>
    </row>
    <row r="58" spans="1:47" s="67" customFormat="1" x14ac:dyDescent="0.25">
      <c r="A58" s="63"/>
      <c r="B58" s="63"/>
      <c r="C58" s="63"/>
      <c r="D58" s="63"/>
      <c r="E58" s="64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6"/>
      <c r="AT58" s="65"/>
      <c r="AU58" s="65"/>
    </row>
    <row r="59" spans="1:47" s="67" customFormat="1" x14ac:dyDescent="0.25">
      <c r="A59" s="63"/>
      <c r="B59" s="63"/>
      <c r="C59" s="63"/>
      <c r="D59" s="63"/>
      <c r="E59" s="64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6"/>
      <c r="AT59" s="65"/>
      <c r="AU59" s="65"/>
    </row>
    <row r="60" spans="1:47" s="67" customFormat="1" x14ac:dyDescent="0.25">
      <c r="A60" s="63"/>
      <c r="B60" s="63"/>
      <c r="C60" s="63"/>
      <c r="D60" s="63"/>
      <c r="E60" s="64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6"/>
      <c r="AT60" s="65"/>
      <c r="AU60" s="65"/>
    </row>
    <row r="61" spans="1:47" s="67" customFormat="1" x14ac:dyDescent="0.25">
      <c r="A61" s="63"/>
      <c r="B61" s="63"/>
      <c r="C61" s="63"/>
      <c r="D61" s="63"/>
      <c r="E61" s="64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6"/>
      <c r="AT61" s="65"/>
      <c r="AU61" s="65"/>
    </row>
    <row r="62" spans="1:47" s="67" customFormat="1" x14ac:dyDescent="0.25">
      <c r="A62" s="63"/>
      <c r="B62" s="63"/>
      <c r="C62" s="63"/>
      <c r="D62" s="63"/>
      <c r="E62" s="64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6"/>
      <c r="AT62" s="65"/>
      <c r="AU62" s="65"/>
    </row>
    <row r="63" spans="1:47" s="67" customFormat="1" x14ac:dyDescent="0.25">
      <c r="A63" s="63"/>
      <c r="B63" s="63"/>
      <c r="C63" s="63"/>
      <c r="D63" s="63"/>
      <c r="E63" s="64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6"/>
      <c r="AT63" s="65"/>
      <c r="AU63" s="65"/>
    </row>
    <row r="64" spans="1:47" s="67" customFormat="1" x14ac:dyDescent="0.25">
      <c r="A64" s="63"/>
      <c r="B64" s="63"/>
      <c r="C64" s="63"/>
      <c r="D64" s="63"/>
      <c r="E64" s="64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6"/>
      <c r="AT64" s="65"/>
      <c r="AU64" s="65"/>
    </row>
    <row r="65" spans="1:47" s="67" customFormat="1" x14ac:dyDescent="0.25">
      <c r="A65" s="63"/>
      <c r="B65" s="63"/>
      <c r="C65" s="63"/>
      <c r="D65" s="63"/>
      <c r="E65" s="64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6"/>
      <c r="AT65" s="65"/>
      <c r="AU65" s="65"/>
    </row>
    <row r="66" spans="1:47" x14ac:dyDescent="0.25">
      <c r="A66" s="54"/>
      <c r="B66" s="54"/>
      <c r="C66" s="54"/>
      <c r="D66" s="54"/>
      <c r="E66" s="55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61"/>
      <c r="AT66" s="56"/>
      <c r="AU66" s="56"/>
    </row>
    <row r="67" spans="1:47" x14ac:dyDescent="0.25">
      <c r="A67" s="54"/>
      <c r="B67" s="54"/>
      <c r="C67" s="54"/>
      <c r="D67" s="54"/>
      <c r="E67" s="55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61"/>
      <c r="AT67" s="56"/>
      <c r="AU67" s="56"/>
    </row>
    <row r="68" spans="1:47" x14ac:dyDescent="0.25">
      <c r="A68" s="54"/>
      <c r="B68" s="54"/>
      <c r="C68" s="54"/>
      <c r="D68" s="54"/>
      <c r="E68" s="55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61"/>
      <c r="AT68" s="56"/>
      <c r="AU68" s="56"/>
    </row>
    <row r="69" spans="1:47" x14ac:dyDescent="0.25">
      <c r="A69" s="54"/>
      <c r="B69" s="54"/>
      <c r="C69" s="54"/>
      <c r="D69" s="54"/>
      <c r="E69" s="55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61"/>
      <c r="AT69" s="56"/>
      <c r="AU69" s="56"/>
    </row>
    <row r="70" spans="1:47" x14ac:dyDescent="0.25">
      <c r="A70" s="54"/>
      <c r="B70" s="54"/>
      <c r="C70" s="54"/>
      <c r="D70" s="54"/>
      <c r="E70" s="55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61"/>
      <c r="AT70" s="56"/>
      <c r="AU70" s="56"/>
    </row>
    <row r="71" spans="1:47" x14ac:dyDescent="0.25">
      <c r="A71" s="54"/>
      <c r="B71" s="54"/>
      <c r="C71" s="54"/>
      <c r="D71" s="54"/>
      <c r="E71" s="55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61"/>
      <c r="AT71" s="56"/>
      <c r="AU71" s="56"/>
    </row>
    <row r="72" spans="1:47" x14ac:dyDescent="0.25">
      <c r="A72" s="54"/>
      <c r="B72" s="54"/>
      <c r="C72" s="54"/>
      <c r="D72" s="54"/>
      <c r="E72" s="55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61"/>
      <c r="AT72" s="56"/>
      <c r="AU72" s="56"/>
    </row>
    <row r="73" spans="1:47" x14ac:dyDescent="0.25">
      <c r="A73" s="54"/>
      <c r="B73" s="54"/>
      <c r="C73" s="54"/>
      <c r="D73" s="54"/>
      <c r="E73" s="55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61"/>
      <c r="AT73" s="56"/>
      <c r="AU73" s="56"/>
    </row>
    <row r="74" spans="1:47" x14ac:dyDescent="0.25">
      <c r="A74" s="54"/>
      <c r="B74" s="54"/>
      <c r="C74" s="54"/>
      <c r="D74" s="54"/>
      <c r="E74" s="55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61"/>
      <c r="AT74" s="56"/>
      <c r="AU74" s="56"/>
    </row>
    <row r="75" spans="1:47" x14ac:dyDescent="0.25">
      <c r="A75" s="54"/>
      <c r="B75" s="54"/>
      <c r="C75" s="54"/>
      <c r="D75" s="54"/>
      <c r="E75" s="55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61"/>
      <c r="AT75" s="56"/>
      <c r="AU75" s="56"/>
    </row>
    <row r="76" spans="1:47" x14ac:dyDescent="0.25">
      <c r="A76" s="54"/>
      <c r="B76" s="54"/>
      <c r="C76" s="54"/>
      <c r="D76" s="54"/>
      <c r="E76" s="55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61"/>
      <c r="AT76" s="56"/>
      <c r="AU76" s="56"/>
    </row>
    <row r="77" spans="1:47" x14ac:dyDescent="0.25">
      <c r="A77" s="54"/>
      <c r="B77" s="54"/>
      <c r="C77" s="54"/>
      <c r="D77" s="54"/>
      <c r="E77" s="55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61"/>
      <c r="AT77" s="56"/>
      <c r="AU77" s="56"/>
    </row>
    <row r="78" spans="1:47" x14ac:dyDescent="0.25">
      <c r="A78" s="54"/>
      <c r="B78" s="54"/>
      <c r="C78" s="54"/>
      <c r="D78" s="54"/>
      <c r="E78" s="55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61"/>
      <c r="AT78" s="56"/>
      <c r="AU78" s="56"/>
    </row>
    <row r="79" spans="1:47" x14ac:dyDescent="0.25">
      <c r="A79" s="54"/>
      <c r="B79" s="54"/>
      <c r="C79" s="54"/>
      <c r="D79" s="54"/>
      <c r="E79" s="55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61"/>
      <c r="AT79" s="56"/>
      <c r="AU79" s="56"/>
    </row>
    <row r="80" spans="1:47" x14ac:dyDescent="0.25">
      <c r="A80" s="54"/>
      <c r="B80" s="54"/>
      <c r="C80" s="54"/>
      <c r="D80" s="54"/>
      <c r="E80" s="55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61"/>
      <c r="AT80" s="56"/>
      <c r="AU80" s="56"/>
    </row>
    <row r="81" spans="1:47" x14ac:dyDescent="0.25">
      <c r="A81" s="54"/>
      <c r="B81" s="54"/>
      <c r="C81" s="54"/>
      <c r="D81" s="54"/>
      <c r="E81" s="55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61"/>
      <c r="AT81" s="56"/>
      <c r="AU81" s="56"/>
    </row>
    <row r="82" spans="1:47" x14ac:dyDescent="0.25">
      <c r="A82" s="54"/>
      <c r="B82" s="54"/>
      <c r="C82" s="54"/>
      <c r="D82" s="54"/>
      <c r="E82" s="55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61"/>
      <c r="AT82" s="56"/>
      <c r="AU82" s="56"/>
    </row>
    <row r="83" spans="1:47" x14ac:dyDescent="0.25">
      <c r="A83" s="54"/>
      <c r="B83" s="54"/>
      <c r="C83" s="54"/>
      <c r="D83" s="54"/>
      <c r="E83" s="55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61"/>
      <c r="AT83" s="56"/>
      <c r="AU83" s="56"/>
    </row>
    <row r="84" spans="1:47" x14ac:dyDescent="0.25">
      <c r="A84" s="54"/>
      <c r="B84" s="54"/>
      <c r="C84" s="54"/>
      <c r="D84" s="54"/>
      <c r="E84" s="55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61"/>
      <c r="AT84" s="56"/>
      <c r="AU84" s="56"/>
    </row>
    <row r="85" spans="1:47" x14ac:dyDescent="0.25">
      <c r="A85" s="54"/>
      <c r="B85" s="54"/>
      <c r="C85" s="54"/>
      <c r="D85" s="54"/>
      <c r="E85" s="55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61"/>
      <c r="AT85" s="56"/>
      <c r="AU85" s="56"/>
    </row>
    <row r="86" spans="1:47" x14ac:dyDescent="0.25">
      <c r="A86" s="54"/>
      <c r="B86" s="54"/>
      <c r="C86" s="54"/>
      <c r="D86" s="54"/>
      <c r="E86" s="55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61"/>
      <c r="AT86" s="56"/>
      <c r="AU86" s="56"/>
    </row>
    <row r="87" spans="1:47" x14ac:dyDescent="0.25">
      <c r="A87" s="54"/>
      <c r="B87" s="54"/>
      <c r="C87" s="54"/>
      <c r="D87" s="54"/>
      <c r="E87" s="55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61"/>
      <c r="AT87" s="56"/>
      <c r="AU87" s="56"/>
    </row>
    <row r="88" spans="1:47" x14ac:dyDescent="0.25">
      <c r="A88" s="54"/>
      <c r="B88" s="54"/>
      <c r="C88" s="54"/>
      <c r="D88" s="54"/>
      <c r="E88" s="55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61"/>
      <c r="AT88" s="56"/>
      <c r="AU88" s="56"/>
    </row>
    <row r="89" spans="1:47" x14ac:dyDescent="0.25">
      <c r="A89" s="54"/>
      <c r="B89" s="54"/>
      <c r="C89" s="54"/>
      <c r="D89" s="54"/>
      <c r="E89" s="55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61"/>
      <c r="AT89" s="56"/>
      <c r="AU89" s="56"/>
    </row>
    <row r="90" spans="1:47" x14ac:dyDescent="0.25">
      <c r="A90" s="54"/>
      <c r="B90" s="54"/>
      <c r="C90" s="54"/>
      <c r="D90" s="54"/>
      <c r="E90" s="55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61"/>
      <c r="AT90" s="56"/>
      <c r="AU90" s="56"/>
    </row>
    <row r="91" spans="1:47" x14ac:dyDescent="0.25">
      <c r="A91" s="54"/>
      <c r="B91" s="54"/>
      <c r="C91" s="54"/>
      <c r="D91" s="54"/>
      <c r="E91" s="55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61"/>
      <c r="AT91" s="56"/>
      <c r="AU91" s="56"/>
    </row>
    <row r="92" spans="1:47" x14ac:dyDescent="0.25">
      <c r="A92" s="54"/>
      <c r="B92" s="54"/>
      <c r="C92" s="54"/>
      <c r="D92" s="54"/>
      <c r="E92" s="55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61"/>
      <c r="AT92" s="56"/>
      <c r="AU92" s="56"/>
    </row>
    <row r="93" spans="1:47" x14ac:dyDescent="0.25">
      <c r="A93" s="54"/>
      <c r="B93" s="54"/>
      <c r="C93" s="54"/>
      <c r="D93" s="54"/>
      <c r="E93" s="55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61"/>
      <c r="AT93" s="56"/>
      <c r="AU93" s="56"/>
    </row>
  </sheetData>
  <mergeCells count="15">
    <mergeCell ref="A7:B7"/>
    <mergeCell ref="B2:AT2"/>
    <mergeCell ref="A4:B4"/>
    <mergeCell ref="C4:E4"/>
    <mergeCell ref="A5:B5"/>
    <mergeCell ref="C5:E5"/>
    <mergeCell ref="A6:B6"/>
    <mergeCell ref="D21:F21"/>
    <mergeCell ref="D30:F30"/>
    <mergeCell ref="D32:F32"/>
    <mergeCell ref="D22:F22"/>
    <mergeCell ref="D23:F23"/>
    <mergeCell ref="D25:F25"/>
    <mergeCell ref="D28:F28"/>
    <mergeCell ref="D29:F29"/>
  </mergeCells>
  <conditionalFormatting sqref="B1:B9 E1:E9">
    <cfRule type="duplicateValues" dxfId="11" priority="1002"/>
  </conditionalFormatting>
  <conditionalFormatting sqref="E1:E9 B1:B9">
    <cfRule type="duplicateValues" dxfId="10" priority="1004"/>
  </conditionalFormatting>
  <conditionalFormatting sqref="B1:B9">
    <cfRule type="duplicateValues" dxfId="9" priority="1009"/>
  </conditionalFormatting>
  <conditionalFormatting sqref="E1:E9">
    <cfRule type="duplicateValues" dxfId="8" priority="1010"/>
  </conditionalFormatting>
  <conditionalFormatting sqref="E1:E9">
    <cfRule type="duplicateValues" dxfId="7" priority="1011"/>
    <cfRule type="duplicateValues" dxfId="6" priority="1012"/>
  </conditionalFormatting>
  <conditionalFormatting sqref="B17">
    <cfRule type="duplicateValues" dxfId="5" priority="1013"/>
  </conditionalFormatting>
  <conditionalFormatting sqref="E17">
    <cfRule type="duplicateValues" dxfId="4" priority="1014"/>
  </conditionalFormatting>
  <conditionalFormatting sqref="E17">
    <cfRule type="duplicateValues" dxfId="3" priority="1015"/>
    <cfRule type="duplicateValues" dxfId="2" priority="1016"/>
  </conditionalFormatting>
  <conditionalFormatting sqref="E17 B17">
    <cfRule type="duplicateValues" dxfId="1" priority="1017"/>
  </conditionalFormatting>
  <conditionalFormatting sqref="E17">
    <cfRule type="duplicateValues" dxfId="0" priority="1019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opLeftCell="A13" zoomScale="120" zoomScaleNormal="120" workbookViewId="0">
      <selection activeCell="D8" sqref="D8:K8"/>
    </sheetView>
  </sheetViews>
  <sheetFormatPr baseColWidth="10" defaultRowHeight="15" x14ac:dyDescent="0.25"/>
  <cols>
    <col min="1" max="1" width="5.5703125" style="31" customWidth="1"/>
    <col min="2" max="2" width="15.140625" customWidth="1"/>
    <col min="3" max="3" width="14.140625" style="31" customWidth="1"/>
    <col min="4" max="4" width="26" customWidth="1"/>
    <col min="5" max="5" width="8" customWidth="1"/>
    <col min="6" max="6" width="7.85546875" customWidth="1"/>
    <col min="7" max="7" width="33.5703125" customWidth="1"/>
    <col min="8" max="8" width="9.28515625" customWidth="1"/>
    <col min="9" max="9" width="15.5703125" customWidth="1"/>
    <col min="10" max="10" width="16.42578125" customWidth="1"/>
    <col min="11" max="11" width="15.5703125" customWidth="1"/>
    <col min="13" max="13" width="15.42578125" style="134" bestFit="1" customWidth="1"/>
  </cols>
  <sheetData>
    <row r="1" spans="1:13" ht="30.75" thickBot="1" x14ac:dyDescent="0.3">
      <c r="A1" s="179" t="s">
        <v>69</v>
      </c>
      <c r="B1" s="179"/>
      <c r="C1" s="179"/>
      <c r="D1" s="179"/>
      <c r="E1" s="179"/>
      <c r="F1" s="179"/>
      <c r="G1" s="179"/>
      <c r="H1" s="179"/>
      <c r="I1" s="179"/>
      <c r="J1" s="80" t="s">
        <v>70</v>
      </c>
      <c r="K1" s="81" t="s">
        <v>116</v>
      </c>
    </row>
    <row r="2" spans="1:13" ht="16.5" thickBot="1" x14ac:dyDescent="0.3">
      <c r="A2" s="82"/>
      <c r="B2" s="83"/>
      <c r="C2" s="83"/>
      <c r="D2" s="84"/>
      <c r="E2" s="84"/>
      <c r="F2" s="84"/>
      <c r="G2" s="84"/>
      <c r="H2" s="84"/>
      <c r="I2" s="84"/>
      <c r="J2" s="84"/>
      <c r="K2" s="85"/>
    </row>
    <row r="3" spans="1:13" ht="16.5" thickBot="1" x14ac:dyDescent="0.3">
      <c r="A3" s="171" t="s">
        <v>71</v>
      </c>
      <c r="B3" s="171"/>
      <c r="C3" s="171"/>
      <c r="D3" s="180" t="s">
        <v>72</v>
      </c>
      <c r="E3" s="181"/>
      <c r="F3" s="181"/>
      <c r="G3" s="181"/>
      <c r="H3" s="181"/>
      <c r="I3" s="181"/>
      <c r="J3" s="181"/>
      <c r="K3" s="182"/>
    </row>
    <row r="4" spans="1:13" ht="16.5" thickBot="1" x14ac:dyDescent="0.3">
      <c r="A4" s="173" t="s">
        <v>73</v>
      </c>
      <c r="B4" s="173"/>
      <c r="C4" s="173"/>
      <c r="D4" s="176" t="s">
        <v>74</v>
      </c>
      <c r="E4" s="177"/>
      <c r="F4" s="177"/>
      <c r="G4" s="177"/>
      <c r="H4" s="177"/>
      <c r="I4" s="177"/>
      <c r="J4" s="177"/>
      <c r="K4" s="178"/>
    </row>
    <row r="5" spans="1:13" ht="16.5" thickBot="1" x14ac:dyDescent="0.3">
      <c r="A5" s="173" t="s">
        <v>75</v>
      </c>
      <c r="B5" s="173"/>
      <c r="C5" s="173"/>
      <c r="D5" s="176" t="s">
        <v>76</v>
      </c>
      <c r="E5" s="177"/>
      <c r="F5" s="177"/>
      <c r="G5" s="177"/>
      <c r="H5" s="177"/>
      <c r="I5" s="177"/>
      <c r="J5" s="177"/>
      <c r="K5" s="178"/>
    </row>
    <row r="6" spans="1:13" ht="15.75" thickBot="1" x14ac:dyDescent="0.3">
      <c r="A6" s="171" t="s">
        <v>77</v>
      </c>
      <c r="B6" s="171"/>
      <c r="C6" s="171"/>
      <c r="D6" s="172" t="s">
        <v>76</v>
      </c>
      <c r="E6" s="172"/>
      <c r="F6" s="172"/>
      <c r="G6" s="172"/>
      <c r="H6" s="172"/>
      <c r="I6" s="172"/>
      <c r="J6" s="172"/>
      <c r="K6" s="172"/>
    </row>
    <row r="7" spans="1:13" ht="15.75" thickBot="1" x14ac:dyDescent="0.3">
      <c r="A7" s="173" t="s">
        <v>78</v>
      </c>
      <c r="B7" s="173"/>
      <c r="C7" s="173"/>
      <c r="D7" s="172" t="s">
        <v>119</v>
      </c>
      <c r="E7" s="172"/>
      <c r="F7" s="172"/>
      <c r="G7" s="172"/>
      <c r="H7" s="172"/>
      <c r="I7" s="172"/>
      <c r="J7" s="172"/>
      <c r="K7" s="172"/>
    </row>
    <row r="8" spans="1:13" ht="30.75" customHeight="1" thickBot="1" x14ac:dyDescent="0.3">
      <c r="A8" s="174" t="s">
        <v>79</v>
      </c>
      <c r="B8" s="174"/>
      <c r="C8" s="174"/>
      <c r="D8" s="175" t="s">
        <v>114</v>
      </c>
      <c r="E8" s="175"/>
      <c r="F8" s="175"/>
      <c r="G8" s="175"/>
      <c r="H8" s="175"/>
      <c r="I8" s="175"/>
      <c r="J8" s="175"/>
      <c r="K8" s="175"/>
    </row>
    <row r="9" spans="1:13" ht="16.5" thickBot="1" x14ac:dyDescent="0.3">
      <c r="A9" s="86"/>
      <c r="B9" s="87"/>
      <c r="C9" s="87"/>
      <c r="D9" s="88"/>
      <c r="E9" s="88"/>
      <c r="F9" s="88"/>
      <c r="G9" s="88"/>
      <c r="H9" s="88"/>
      <c r="I9" s="88"/>
      <c r="J9" s="88"/>
      <c r="K9" s="89"/>
    </row>
    <row r="10" spans="1:13" ht="15.75" thickBot="1" x14ac:dyDescent="0.3">
      <c r="A10" s="163" t="s">
        <v>80</v>
      </c>
      <c r="B10" s="165" t="s">
        <v>81</v>
      </c>
      <c r="C10" s="167" t="s">
        <v>82</v>
      </c>
      <c r="D10" s="168"/>
      <c r="E10" s="168"/>
      <c r="F10" s="168"/>
      <c r="G10" s="168"/>
      <c r="H10" s="168" t="s">
        <v>83</v>
      </c>
      <c r="I10" s="168" t="s">
        <v>84</v>
      </c>
      <c r="J10" s="168" t="s">
        <v>85</v>
      </c>
      <c r="K10" s="158" t="s">
        <v>86</v>
      </c>
    </row>
    <row r="11" spans="1:13" ht="31.5" customHeight="1" thickBot="1" x14ac:dyDescent="0.3">
      <c r="A11" s="164"/>
      <c r="B11" s="166"/>
      <c r="C11" s="169"/>
      <c r="D11" s="170"/>
      <c r="E11" s="170"/>
      <c r="F11" s="170"/>
      <c r="G11" s="170"/>
      <c r="H11" s="170"/>
      <c r="I11" s="170"/>
      <c r="J11" s="170"/>
      <c r="K11" s="159"/>
    </row>
    <row r="12" spans="1:13" ht="15.75" x14ac:dyDescent="0.25">
      <c r="A12" s="90">
        <v>1</v>
      </c>
      <c r="B12" s="91" t="str">
        <f>'SAF 011'!B10</f>
        <v>3.3.9-5924.1</v>
      </c>
      <c r="C12" s="160" t="str">
        <f>'SAF 011'!E10</f>
        <v>LAVADO Y PLANCHADO DE PRENDAS; DESCRIPCION: LAVADO Y PLANCHADO PRENDAS</v>
      </c>
      <c r="D12" s="161"/>
      <c r="E12" s="161"/>
      <c r="F12" s="161"/>
      <c r="G12" s="162"/>
      <c r="H12" s="91" t="s">
        <v>87</v>
      </c>
      <c r="I12" s="91" t="str">
        <f>'SAF 011'!F10</f>
        <v>PRENDA</v>
      </c>
      <c r="J12" s="92">
        <f>'SAF 011'!AT10</f>
        <v>101.84</v>
      </c>
      <c r="K12" s="93">
        <f>'SAF 011'!Y10</f>
        <v>6000</v>
      </c>
      <c r="M12" s="135">
        <f>+J12*K12</f>
        <v>611040</v>
      </c>
    </row>
    <row r="13" spans="1:13" ht="15.75" customHeight="1" x14ac:dyDescent="0.25">
      <c r="A13" s="94">
        <v>2</v>
      </c>
      <c r="B13" s="95" t="str">
        <f>'SAF 011'!B11</f>
        <v>3.3.9-5924.1</v>
      </c>
      <c r="C13" s="147" t="str">
        <f>'SAF 011'!E11</f>
        <v>LAVADO Y PLANCHADO DE PRENDAS; DESCRIPCION: LAVADO Y PLANCHADO PRENDAS</v>
      </c>
      <c r="D13" s="148"/>
      <c r="E13" s="148"/>
      <c r="F13" s="148"/>
      <c r="G13" s="149"/>
      <c r="H13" s="95" t="s">
        <v>87</v>
      </c>
      <c r="I13" s="95" t="str">
        <f>'SAF 011'!F11</f>
        <v>PRENDA</v>
      </c>
      <c r="J13" s="96">
        <f>'SAF 011'!AT11</f>
        <v>101.84</v>
      </c>
      <c r="K13" s="97">
        <f>'SAF 011'!Y11</f>
        <v>11500</v>
      </c>
      <c r="M13" s="135">
        <f t="shared" ref="M13:M18" si="0">+J13*K13</f>
        <v>1171160</v>
      </c>
    </row>
    <row r="14" spans="1:13" ht="15.75" customHeight="1" x14ac:dyDescent="0.25">
      <c r="A14" s="94">
        <v>3</v>
      </c>
      <c r="B14" s="95" t="str">
        <f>'SAF 011'!B12</f>
        <v>3.3.9-5924.1</v>
      </c>
      <c r="C14" s="147" t="str">
        <f>'SAF 011'!E12</f>
        <v>LAVADO Y PLANCHADO DE PRENDAS; DESCRIPCION: LAVADO Y PLANCHADO PRENDAS</v>
      </c>
      <c r="D14" s="148"/>
      <c r="E14" s="148"/>
      <c r="F14" s="148"/>
      <c r="G14" s="149"/>
      <c r="H14" s="95" t="s">
        <v>87</v>
      </c>
      <c r="I14" s="95" t="str">
        <f>'SAF 011'!F12</f>
        <v>PRENDA</v>
      </c>
      <c r="J14" s="96">
        <f>'SAF 011'!AT12</f>
        <v>561.94000000000005</v>
      </c>
      <c r="K14" s="97">
        <f>'SAF 011'!Y12</f>
        <v>2600</v>
      </c>
      <c r="M14" s="135">
        <f t="shared" si="0"/>
        <v>1461044.0000000002</v>
      </c>
    </row>
    <row r="15" spans="1:13" ht="15.75" customHeight="1" x14ac:dyDescent="0.25">
      <c r="A15" s="94">
        <v>4</v>
      </c>
      <c r="B15" s="95" t="str">
        <f>'SAF 011'!B13</f>
        <v>3.3.9-5924.1</v>
      </c>
      <c r="C15" s="147" t="str">
        <f>'SAF 011'!E13</f>
        <v>LAVADO Y PLANCHADO DE PRENDAS; DESCRIPCION: LAVADO Y PLANCHADO PRENDAS</v>
      </c>
      <c r="D15" s="148"/>
      <c r="E15" s="148"/>
      <c r="F15" s="148"/>
      <c r="G15" s="149"/>
      <c r="H15" s="95" t="s">
        <v>87</v>
      </c>
      <c r="I15" s="95" t="str">
        <f>'SAF 011'!F13</f>
        <v>PRENDA</v>
      </c>
      <c r="J15" s="96">
        <f>'SAF 011'!AT13</f>
        <v>561.94000000000005</v>
      </c>
      <c r="K15" s="97">
        <f>'SAF 011'!Y13</f>
        <v>1900</v>
      </c>
      <c r="M15" s="135">
        <f t="shared" si="0"/>
        <v>1067686</v>
      </c>
    </row>
    <row r="16" spans="1:13" ht="15.75" customHeight="1" x14ac:dyDescent="0.25">
      <c r="A16" s="94">
        <v>5</v>
      </c>
      <c r="B16" s="95" t="str">
        <f>'SAF 011'!B14</f>
        <v>3.3.9-5924.1</v>
      </c>
      <c r="C16" s="147" t="str">
        <f>'SAF 011'!E14</f>
        <v>LAVADO Y PLANCHADO DE PRENDAS; DESCRIPCION: LAVADO Y PLANCHADO PRENDAS</v>
      </c>
      <c r="D16" s="148"/>
      <c r="E16" s="148"/>
      <c r="F16" s="148"/>
      <c r="G16" s="149"/>
      <c r="H16" s="95" t="s">
        <v>87</v>
      </c>
      <c r="I16" s="95" t="str">
        <f>'SAF 011'!F14</f>
        <v>PRENDA</v>
      </c>
      <c r="J16" s="96">
        <f>'SAF 011'!AT14</f>
        <v>561.94000000000005</v>
      </c>
      <c r="K16" s="97">
        <f>'SAF 011'!Y14</f>
        <v>1700</v>
      </c>
      <c r="M16" s="135">
        <f t="shared" si="0"/>
        <v>955298.00000000012</v>
      </c>
    </row>
    <row r="17" spans="1:13" ht="15.75" customHeight="1" x14ac:dyDescent="0.25">
      <c r="A17" s="94">
        <v>6</v>
      </c>
      <c r="B17" s="95" t="str">
        <f>'SAF 011'!B15</f>
        <v>3.3.9-5924.1</v>
      </c>
      <c r="C17" s="147" t="str">
        <f>'SAF 011'!E15</f>
        <v>LAVADO Y PLANCHADO DE PRENDAS; DESCRIPCION: LAVADO Y PLANCHADO PRENDAS</v>
      </c>
      <c r="D17" s="148"/>
      <c r="E17" s="148"/>
      <c r="F17" s="148"/>
      <c r="G17" s="149"/>
      <c r="H17" s="95" t="s">
        <v>87</v>
      </c>
      <c r="I17" s="95" t="str">
        <f>'SAF 011'!F15</f>
        <v>PRENDA</v>
      </c>
      <c r="J17" s="96">
        <f>'SAF 011'!AT15</f>
        <v>561.94000000000005</v>
      </c>
      <c r="K17" s="97">
        <f>'SAF 011'!Y15</f>
        <v>50</v>
      </c>
      <c r="M17" s="135">
        <f t="shared" si="0"/>
        <v>28097.000000000004</v>
      </c>
    </row>
    <row r="18" spans="1:13" ht="16.5" customHeight="1" thickBot="1" x14ac:dyDescent="0.3">
      <c r="A18" s="94">
        <v>7</v>
      </c>
      <c r="B18" s="95" t="str">
        <f>'SAF 011'!B16</f>
        <v>3.3.9-5924.1</v>
      </c>
      <c r="C18" s="150" t="str">
        <f>'SAF 011'!E16</f>
        <v>LAVADO Y PLANCHADO DE PRENDAS; DESCRIPCION: LAVADO Y PLANCHADO PRENDAS</v>
      </c>
      <c r="D18" s="151"/>
      <c r="E18" s="151"/>
      <c r="F18" s="151"/>
      <c r="G18" s="152"/>
      <c r="H18" s="95" t="s">
        <v>87</v>
      </c>
      <c r="I18" s="95" t="str">
        <f>'SAF 011'!F16</f>
        <v>PRENDA</v>
      </c>
      <c r="J18" s="96">
        <f>'SAF 011'!AT16</f>
        <v>184.04</v>
      </c>
      <c r="K18" s="97">
        <f>'SAF 011'!Y16</f>
        <v>30</v>
      </c>
      <c r="M18" s="135">
        <f t="shared" si="0"/>
        <v>5521.2</v>
      </c>
    </row>
    <row r="19" spans="1:13" ht="45.75" customHeight="1" thickBot="1" x14ac:dyDescent="0.3">
      <c r="A19" s="153" t="s">
        <v>112</v>
      </c>
      <c r="B19" s="154"/>
      <c r="C19" s="154"/>
      <c r="D19" s="154"/>
      <c r="E19" s="154"/>
      <c r="F19" s="154"/>
      <c r="G19" s="154"/>
      <c r="H19" s="154"/>
      <c r="I19" s="155"/>
      <c r="J19" s="156">
        <f>+M19</f>
        <v>5299846.2</v>
      </c>
      <c r="K19" s="157"/>
      <c r="M19" s="135">
        <f>SUM(M12:M18)</f>
        <v>5299846.2</v>
      </c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7:G17"/>
    <mergeCell ref="C18:G18"/>
    <mergeCell ref="A19:I19"/>
    <mergeCell ref="J19:K19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22" workbookViewId="0">
      <selection activeCell="A12" sqref="A12:Q12"/>
    </sheetView>
  </sheetViews>
  <sheetFormatPr baseColWidth="10" defaultRowHeight="15" x14ac:dyDescent="0.25"/>
  <cols>
    <col min="1" max="5" width="5" customWidth="1"/>
    <col min="6" max="6" width="6.42578125" customWidth="1"/>
    <col min="7" max="14" width="5" customWidth="1"/>
    <col min="17" max="17" width="13.7109375" bestFit="1" customWidth="1"/>
  </cols>
  <sheetData>
    <row r="1" spans="1:17" ht="15.75" thickBot="1" x14ac:dyDescent="0.3">
      <c r="A1" s="207" t="s">
        <v>88</v>
      </c>
      <c r="B1" s="208"/>
      <c r="C1" s="208"/>
      <c r="D1" s="208"/>
      <c r="E1" s="209"/>
      <c r="F1" s="98"/>
      <c r="G1" s="98"/>
      <c r="H1" s="99"/>
      <c r="I1" s="99"/>
      <c r="J1" s="99"/>
      <c r="K1" s="99"/>
      <c r="L1" s="99"/>
      <c r="M1" s="99"/>
      <c r="N1" s="99"/>
      <c r="O1" s="100"/>
      <c r="P1" s="210" t="s">
        <v>89</v>
      </c>
      <c r="Q1" s="210"/>
    </row>
    <row r="2" spans="1:17" ht="15.75" thickBot="1" x14ac:dyDescent="0.3">
      <c r="A2" s="101"/>
      <c r="B2" s="102"/>
      <c r="C2" s="102"/>
      <c r="D2" s="102"/>
      <c r="E2" s="102"/>
      <c r="F2" s="102"/>
      <c r="G2" s="103"/>
      <c r="H2" s="104"/>
      <c r="I2" s="104"/>
      <c r="J2" s="104"/>
      <c r="K2" s="104"/>
      <c r="L2" s="104"/>
      <c r="M2" s="104"/>
      <c r="N2" s="104"/>
      <c r="O2" s="102"/>
      <c r="P2" s="210"/>
      <c r="Q2" s="210"/>
    </row>
    <row r="3" spans="1:17" ht="15.75" thickBot="1" x14ac:dyDescent="0.3">
      <c r="A3" s="101"/>
      <c r="B3" s="102"/>
      <c r="C3" s="102"/>
      <c r="D3" s="102"/>
      <c r="E3" s="102"/>
      <c r="F3" s="102"/>
      <c r="G3" s="103"/>
      <c r="H3" s="102"/>
      <c r="I3" s="102"/>
      <c r="J3" s="102"/>
      <c r="K3" s="102"/>
      <c r="L3" s="102"/>
      <c r="M3" s="102"/>
      <c r="N3" s="102"/>
      <c r="O3" s="102"/>
      <c r="P3" s="102"/>
      <c r="Q3" s="105"/>
    </row>
    <row r="4" spans="1:17" ht="15.75" thickBot="1" x14ac:dyDescent="0.3">
      <c r="A4" s="211" t="s">
        <v>90</v>
      </c>
      <c r="B4" s="211"/>
      <c r="C4" s="211"/>
      <c r="D4" s="211"/>
      <c r="E4" s="211"/>
      <c r="F4" s="211"/>
      <c r="G4" s="212" t="str">
        <f>NP!D3</f>
        <v>40 - MINISTERIO DE SALUD</v>
      </c>
      <c r="H4" s="212"/>
      <c r="I4" s="212"/>
      <c r="J4" s="212"/>
      <c r="K4" s="212"/>
      <c r="L4" s="212"/>
      <c r="M4" s="212"/>
      <c r="N4" s="212"/>
      <c r="O4" s="212"/>
      <c r="P4" s="212"/>
      <c r="Q4" s="212"/>
    </row>
    <row r="5" spans="1:17" ht="19.5" customHeight="1" thickBot="1" x14ac:dyDescent="0.3">
      <c r="A5" s="213" t="s">
        <v>73</v>
      </c>
      <c r="B5" s="213"/>
      <c r="C5" s="213"/>
      <c r="D5" s="213"/>
      <c r="E5" s="213"/>
      <c r="F5" s="213"/>
      <c r="G5" s="212" t="str">
        <f>NP!D4</f>
        <v>011 - DIRECCION PROVINCIAL DE ADMINISTRACION - M.S.</v>
      </c>
      <c r="H5" s="212"/>
      <c r="I5" s="212"/>
      <c r="J5" s="212"/>
      <c r="K5" s="212"/>
      <c r="L5" s="212"/>
      <c r="M5" s="212"/>
      <c r="N5" s="212"/>
      <c r="O5" s="212"/>
      <c r="P5" s="212"/>
      <c r="Q5" s="212"/>
    </row>
    <row r="6" spans="1:17" ht="18.75" customHeight="1" thickBot="1" x14ac:dyDescent="0.3">
      <c r="A6" s="213" t="s">
        <v>75</v>
      </c>
      <c r="B6" s="213"/>
      <c r="C6" s="213"/>
      <c r="D6" s="213"/>
      <c r="E6" s="213"/>
      <c r="F6" s="213"/>
      <c r="G6" s="212" t="str">
        <f>NP!D5</f>
        <v>752 - HOSPITAL MONOVALENTE CARLOS MALBRAN</v>
      </c>
      <c r="H6" s="212"/>
      <c r="I6" s="212"/>
      <c r="J6" s="212"/>
      <c r="K6" s="212"/>
      <c r="L6" s="212"/>
      <c r="M6" s="212"/>
      <c r="N6" s="212"/>
      <c r="O6" s="212"/>
      <c r="P6" s="212"/>
      <c r="Q6" s="212"/>
    </row>
    <row r="7" spans="1:17" ht="23.25" customHeight="1" thickBot="1" x14ac:dyDescent="0.3">
      <c r="A7" s="213" t="s">
        <v>77</v>
      </c>
      <c r="B7" s="213"/>
      <c r="C7" s="213"/>
      <c r="D7" s="213"/>
      <c r="E7" s="213"/>
      <c r="F7" s="213"/>
      <c r="G7" s="212" t="str">
        <f>NP!D6</f>
        <v>752 - HOSPITAL MONOVALENTE CARLOS MALBRAN</v>
      </c>
      <c r="H7" s="212"/>
      <c r="I7" s="212"/>
      <c r="J7" s="212"/>
      <c r="K7" s="212"/>
      <c r="L7" s="212"/>
      <c r="M7" s="212"/>
      <c r="N7" s="212"/>
      <c r="O7" s="212"/>
      <c r="P7" s="212"/>
      <c r="Q7" s="212"/>
    </row>
    <row r="8" spans="1:17" ht="15.75" thickBot="1" x14ac:dyDescent="0.3">
      <c r="A8" s="214" t="s">
        <v>91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</row>
    <row r="9" spans="1:17" x14ac:dyDescent="0.25">
      <c r="A9" s="206" t="s">
        <v>92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</row>
    <row r="10" spans="1:17" ht="50.25" customHeight="1" x14ac:dyDescent="0.25">
      <c r="A10" s="198" t="s">
        <v>117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</row>
    <row r="11" spans="1:17" ht="15.75" thickBot="1" x14ac:dyDescent="0.3">
      <c r="A11" s="106"/>
      <c r="B11" s="107"/>
      <c r="C11" s="107"/>
      <c r="D11" s="107"/>
      <c r="E11" s="107"/>
      <c r="F11" s="107"/>
      <c r="G11" s="108"/>
      <c r="H11" s="107"/>
      <c r="I11" s="107"/>
      <c r="J11" s="107"/>
      <c r="K11" s="107"/>
      <c r="L11" s="107"/>
      <c r="M11" s="107"/>
      <c r="N11" s="107"/>
      <c r="O11" s="107"/>
      <c r="P11" s="107"/>
      <c r="Q11" s="109"/>
    </row>
    <row r="12" spans="1:17" ht="15.75" thickBot="1" x14ac:dyDescent="0.3">
      <c r="A12" s="199" t="s">
        <v>93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</row>
    <row r="13" spans="1:17" ht="15.75" thickBot="1" x14ac:dyDescent="0.3">
      <c r="A13" s="200" t="s">
        <v>94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1" t="s">
        <v>95</v>
      </c>
      <c r="P13" s="201"/>
      <c r="Q13" s="202" t="s">
        <v>96</v>
      </c>
    </row>
    <row r="14" spans="1:17" ht="33" customHeight="1" thickBot="1" x14ac:dyDescent="0.3">
      <c r="A14" s="110" t="s">
        <v>97</v>
      </c>
      <c r="B14" s="111" t="s">
        <v>98</v>
      </c>
      <c r="C14" s="111" t="s">
        <v>99</v>
      </c>
      <c r="D14" s="111" t="s">
        <v>100</v>
      </c>
      <c r="E14" s="111" t="s">
        <v>101</v>
      </c>
      <c r="F14" s="111" t="s">
        <v>102</v>
      </c>
      <c r="G14" s="112" t="s">
        <v>103</v>
      </c>
      <c r="H14" s="111" t="s">
        <v>104</v>
      </c>
      <c r="I14" s="111" t="s">
        <v>105</v>
      </c>
      <c r="J14" s="111" t="s">
        <v>106</v>
      </c>
      <c r="K14" s="111" t="s">
        <v>106</v>
      </c>
      <c r="L14" s="111" t="s">
        <v>107</v>
      </c>
      <c r="M14" s="113" t="s">
        <v>108</v>
      </c>
      <c r="N14" s="114" t="s">
        <v>109</v>
      </c>
      <c r="O14" s="201"/>
      <c r="P14" s="201"/>
      <c r="Q14" s="202"/>
    </row>
    <row r="15" spans="1:17" ht="29.25" customHeight="1" x14ac:dyDescent="0.25">
      <c r="A15" s="115">
        <v>53</v>
      </c>
      <c r="B15" s="116"/>
      <c r="C15" s="116"/>
      <c r="D15" s="116">
        <v>1</v>
      </c>
      <c r="E15" s="116"/>
      <c r="F15" s="116">
        <v>4901</v>
      </c>
      <c r="G15" s="116">
        <v>3</v>
      </c>
      <c r="H15" s="116">
        <v>1</v>
      </c>
      <c r="I15" s="116">
        <v>3</v>
      </c>
      <c r="J15" s="116">
        <v>3</v>
      </c>
      <c r="K15" s="116">
        <v>9</v>
      </c>
      <c r="L15" s="116"/>
      <c r="M15" s="117">
        <v>1</v>
      </c>
      <c r="N15" s="116" t="s">
        <v>110</v>
      </c>
      <c r="O15" s="203" t="s">
        <v>111</v>
      </c>
      <c r="P15" s="204"/>
      <c r="Q15" s="118">
        <f>NP!M19</f>
        <v>5299846.2</v>
      </c>
    </row>
    <row r="16" spans="1:17" x14ac:dyDescent="0.25">
      <c r="A16" s="119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1"/>
      <c r="N16" s="122"/>
      <c r="O16" s="192"/>
      <c r="P16" s="192"/>
      <c r="Q16" s="123"/>
    </row>
    <row r="17" spans="1:17" x14ac:dyDescent="0.25">
      <c r="A17" s="119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1"/>
      <c r="N17" s="122"/>
      <c r="O17" s="205"/>
      <c r="P17" s="205"/>
      <c r="Q17" s="123"/>
    </row>
    <row r="18" spans="1:17" x14ac:dyDescent="0.25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1"/>
      <c r="N18" s="122"/>
      <c r="O18" s="197"/>
      <c r="P18" s="197"/>
      <c r="Q18" s="123"/>
    </row>
    <row r="19" spans="1:17" x14ac:dyDescent="0.25">
      <c r="A19" s="119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1"/>
      <c r="N19" s="122"/>
      <c r="O19" s="197"/>
      <c r="P19" s="197"/>
      <c r="Q19" s="123"/>
    </row>
    <row r="20" spans="1:17" x14ac:dyDescent="0.25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1"/>
      <c r="N20" s="122"/>
      <c r="O20" s="197"/>
      <c r="P20" s="197"/>
      <c r="Q20" s="123"/>
    </row>
    <row r="21" spans="1:17" x14ac:dyDescent="0.25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  <c r="N21" s="122"/>
      <c r="O21" s="197"/>
      <c r="P21" s="197"/>
      <c r="Q21" s="123"/>
    </row>
    <row r="22" spans="1:17" x14ac:dyDescent="0.25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1"/>
      <c r="N22" s="122"/>
      <c r="O22" s="197"/>
      <c r="P22" s="197"/>
      <c r="Q22" s="123"/>
    </row>
    <row r="23" spans="1:17" x14ac:dyDescent="0.25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1"/>
      <c r="N23" s="122"/>
      <c r="O23" s="197"/>
      <c r="P23" s="197"/>
      <c r="Q23" s="123"/>
    </row>
    <row r="24" spans="1:17" x14ac:dyDescent="0.25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1"/>
      <c r="N24" s="122"/>
      <c r="O24" s="197"/>
      <c r="P24" s="197"/>
      <c r="Q24" s="123"/>
    </row>
    <row r="25" spans="1:17" x14ac:dyDescent="0.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1"/>
      <c r="N25" s="122"/>
      <c r="O25" s="197"/>
      <c r="P25" s="197"/>
      <c r="Q25" s="123"/>
    </row>
    <row r="26" spans="1:17" x14ac:dyDescent="0.25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1"/>
      <c r="N26" s="122"/>
      <c r="O26" s="197"/>
      <c r="P26" s="197"/>
      <c r="Q26" s="123"/>
    </row>
    <row r="27" spans="1:17" x14ac:dyDescent="0.25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1"/>
      <c r="N27" s="122"/>
      <c r="O27" s="197"/>
      <c r="P27" s="197"/>
      <c r="Q27" s="123"/>
    </row>
    <row r="28" spans="1:17" x14ac:dyDescent="0.25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1"/>
      <c r="N28" s="122"/>
      <c r="O28" s="197"/>
      <c r="P28" s="197"/>
      <c r="Q28" s="123"/>
    </row>
    <row r="29" spans="1:17" x14ac:dyDescent="0.25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1"/>
      <c r="N29" s="122"/>
      <c r="O29" s="197"/>
      <c r="P29" s="197"/>
      <c r="Q29" s="123"/>
    </row>
    <row r="30" spans="1:17" x14ac:dyDescent="0.25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1"/>
      <c r="N30" s="122"/>
      <c r="O30" s="197"/>
      <c r="P30" s="197"/>
      <c r="Q30" s="123"/>
    </row>
    <row r="31" spans="1:17" x14ac:dyDescent="0.25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1"/>
      <c r="N31" s="122"/>
      <c r="O31" s="197"/>
      <c r="P31" s="197"/>
      <c r="Q31" s="123"/>
    </row>
    <row r="32" spans="1:17" x14ac:dyDescent="0.25">
      <c r="A32" s="119"/>
      <c r="B32" s="120"/>
      <c r="C32" s="120"/>
      <c r="D32" s="120"/>
      <c r="E32" s="120"/>
      <c r="F32" s="122"/>
      <c r="G32" s="120"/>
      <c r="H32" s="120"/>
      <c r="I32" s="120"/>
      <c r="J32" s="120"/>
      <c r="K32" s="120"/>
      <c r="L32" s="120"/>
      <c r="M32" s="121"/>
      <c r="N32" s="122"/>
      <c r="O32" s="192"/>
      <c r="P32" s="192"/>
      <c r="Q32" s="123"/>
    </row>
    <row r="33" spans="1:17" x14ac:dyDescent="0.25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  <c r="N33" s="122"/>
      <c r="O33" s="192"/>
      <c r="P33" s="192"/>
      <c r="Q33" s="123"/>
    </row>
    <row r="34" spans="1:17" x14ac:dyDescent="0.25">
      <c r="A34" s="119"/>
      <c r="B34" s="120"/>
      <c r="C34" s="120"/>
      <c r="D34" s="120"/>
      <c r="E34" s="120"/>
      <c r="F34" s="122"/>
      <c r="G34" s="120"/>
      <c r="H34" s="120"/>
      <c r="I34" s="120"/>
      <c r="J34" s="120"/>
      <c r="K34" s="120"/>
      <c r="L34" s="120"/>
      <c r="M34" s="121"/>
      <c r="N34" s="122"/>
      <c r="O34" s="192"/>
      <c r="P34" s="192"/>
      <c r="Q34" s="123"/>
    </row>
    <row r="35" spans="1:17" x14ac:dyDescent="0.25">
      <c r="A35" s="119"/>
      <c r="B35" s="120"/>
      <c r="C35" s="120"/>
      <c r="D35" s="120"/>
      <c r="E35" s="120"/>
      <c r="F35" s="122"/>
      <c r="G35" s="120"/>
      <c r="H35" s="120"/>
      <c r="I35" s="120"/>
      <c r="J35" s="120"/>
      <c r="K35" s="120"/>
      <c r="L35" s="120"/>
      <c r="M35" s="121"/>
      <c r="N35" s="122"/>
      <c r="O35" s="192"/>
      <c r="P35" s="192"/>
      <c r="Q35" s="123"/>
    </row>
    <row r="36" spans="1:17" x14ac:dyDescent="0.25">
      <c r="A36" s="124"/>
      <c r="B36" s="125"/>
      <c r="C36" s="125"/>
      <c r="D36" s="125"/>
      <c r="E36" s="125"/>
      <c r="F36" s="126"/>
      <c r="G36" s="125"/>
      <c r="H36" s="125"/>
      <c r="I36" s="125"/>
      <c r="J36" s="125"/>
      <c r="K36" s="125"/>
      <c r="L36" s="125"/>
      <c r="M36" s="127"/>
      <c r="N36" s="128"/>
      <c r="O36" s="193"/>
      <c r="P36" s="193"/>
      <c r="Q36" s="123"/>
    </row>
    <row r="37" spans="1:17" ht="15.75" thickBot="1" x14ac:dyDescent="0.3">
      <c r="A37" s="129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1"/>
      <c r="N37" s="130"/>
      <c r="O37" s="194"/>
      <c r="P37" s="194"/>
      <c r="Q37" s="132"/>
    </row>
    <row r="38" spans="1:17" ht="39" customHeight="1" thickBot="1" x14ac:dyDescent="0.3">
      <c r="A38" s="195" t="s">
        <v>115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33">
        <f>+Q15</f>
        <v>5299846.2</v>
      </c>
    </row>
    <row r="39" spans="1:17" x14ac:dyDescent="0.25">
      <c r="A39" s="196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</row>
    <row r="40" spans="1:17" ht="15" customHeight="1" x14ac:dyDescent="0.25">
      <c r="A40" s="183" t="s">
        <v>113</v>
      </c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5"/>
    </row>
    <row r="41" spans="1:17" x14ac:dyDescent="0.25">
      <c r="A41" s="186" t="str">
        <f>NP!D8</f>
        <v>CONTRATACION SERVICIO DE LAVANDERIA Y DESINFECCION DE TEXTILES PARA EL HOSPITAL MONOVALENTE DR. CARLOS MALBRAN</v>
      </c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8"/>
    </row>
    <row r="42" spans="1:17" ht="37.5" customHeight="1" thickBot="1" x14ac:dyDescent="0.3">
      <c r="A42" s="189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1"/>
    </row>
  </sheetData>
  <mergeCells count="44">
    <mergeCell ref="A9:Q9"/>
    <mergeCell ref="A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D1" sqref="D1"/>
    </sheetView>
  </sheetViews>
  <sheetFormatPr baseColWidth="10" defaultRowHeight="12.75" x14ac:dyDescent="0.2"/>
  <cols>
    <col min="1" max="1" width="118.42578125" style="137" customWidth="1"/>
    <col min="2" max="16384" width="11.42578125" style="137"/>
  </cols>
  <sheetData>
    <row r="1" spans="1:1" ht="288.95" customHeight="1" x14ac:dyDescent="0.25">
      <c r="A1" s="136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SAF 011</vt:lpstr>
      <vt:lpstr>NP</vt:lpstr>
      <vt:lpstr>APG</vt:lpstr>
      <vt:lpstr>ANEXO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USUARIO</cp:lastModifiedBy>
  <dcterms:created xsi:type="dcterms:W3CDTF">2021-08-30T13:24:26Z</dcterms:created>
  <dcterms:modified xsi:type="dcterms:W3CDTF">2021-09-27T15:43:39Z</dcterms:modified>
</cp:coreProperties>
</file>