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Trimestrales'!$A$9:$I$25</definedName>
    <definedName name="_xlnm.Print_Area" localSheetId="2">'Autor Gastar'!$A$1:$Q$26</definedName>
    <definedName name="_xlnm.Print_Area" localSheetId="1">NotaPedido!$A$1:$K$28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4" i="1" l="1"/>
  <c r="I25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A25" i="3" l="1"/>
  <c r="A10" i="3"/>
  <c r="K12" i="2"/>
  <c r="J12" i="2"/>
  <c r="I12" i="2"/>
  <c r="C12" i="2"/>
  <c r="B12" i="2"/>
  <c r="J28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<sst xmlns="http://schemas.openxmlformats.org/spreadsheetml/2006/main" count="170" uniqueCount="118">
  <si>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</si>
  <si>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</si>
  <si>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</si>
  <si>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</si>
  <si>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</si>
  <si>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</si>
  <si>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</si>
  <si>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</si>
  <si>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</si>
  <si>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</si>
  <si>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</si>
  <si>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</si>
  <si>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</si>
  <si>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</si>
  <si>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</si>
  <si>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</si>
  <si>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</si>
  <si>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</si>
  <si>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</si>
  <si>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</si>
  <si>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</si>
  <si>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</si>
  <si>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</si>
  <si>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</si>
  <si>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</si>
  <si>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</si>
  <si>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</si>
  <si>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</si>
  <si>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</si>
  <si>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</si>
  <si>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</si>
  <si>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</si>
  <si>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</si>
  <si>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</si>
  <si>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</si>
  <si>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</si>
  <si>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</si>
  <si>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</si>
  <si>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</si>
  <si>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</si>
  <si>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</si>
  <si>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</si>
  <si>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</si>
  <si>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</si>
  <si>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</si>
  <si>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</si>
  <si>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</si>
  <si>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</si>
  <si>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</si>
  <si>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</si>
  <si>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</si>
  <si>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</si>
  <si>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</si>
  <si>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</si>
  <si>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</si>
  <si>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</si>
  <si>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</si>
  <si>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</si>
  <si>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</si>
  <si>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</si>
  <si>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</si>
  <si>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Compuestos Quimicos</t>
  </si>
  <si>
    <t>Productos Farmaceuticos y Medicinales</t>
  </si>
  <si>
    <t>3.1</t>
  </si>
  <si>
    <t>1.1</t>
  </si>
  <si>
    <t>Utiles Menores Med. Quir. y de Lab.</t>
  </si>
  <si>
    <t>2.5.1-5771.12</t>
  </si>
  <si>
    <t>PROD. MEDICO/FARMACEUTICOS/LAB</t>
  </si>
  <si>
    <t>ANTISEPTICOS P/ MATERIALES; COMPUESTO QUIMICO: AC.ACETICO, ESTADO SOLIDO, CALIDAD FARMACEUTICA, CONCENTRACION/PUREZA 25/30 % , PRESENTACION: 5 KG, USO: EQUIPO</t>
  </si>
  <si>
    <t>BIDON</t>
  </si>
  <si>
    <t>2.5.1-5771.13</t>
  </si>
  <si>
    <t>ANTISEPTICOS P/ MATERIALES ; COMPUESTO QUIMICO: AC. CITRICO, ESTADO: SOLIDO, CALIDAD: BIOLOGIA MOLECULAR, CONCENTRACION/PUREZA: 99,99 %, PRESENTACION: ENVASE X 1 KG</t>
  </si>
  <si>
    <t>UNIDAD</t>
  </si>
  <si>
    <t>2.5.2-2481.38</t>
  </si>
  <si>
    <t>LAXANTES; TIPO: MONODROGA, DROGA GENERICA: LIMONADA, FORMA FARMACEUTICA: POLVO, PRESENTACION: 60 GR</t>
  </si>
  <si>
    <t>FRASCO</t>
  </si>
  <si>
    <t>2.5.2-8078.68</t>
  </si>
  <si>
    <t>QUIMICOS</t>
  </si>
  <si>
    <t>EXCIPIENTES; TIPO: MONODROGA, PRESENTACION: ENVASE X 1 Kg, COMPUESTO: CARBON ACTIVADO, CONCENTRACION/PUREZA: 100 %</t>
  </si>
  <si>
    <t>2.5.2-1901.7</t>
  </si>
  <si>
    <t>VITAMINAS; FORMA FARMACEUTICA: AMPOLLA, PRESENTACION: 2 mL, TIPO: MONODROGA, DROGA GENERICA: VITAMINA B</t>
  </si>
  <si>
    <t>AMPOLLA</t>
  </si>
  <si>
    <t>2.9.5-2204.25</t>
  </si>
  <si>
    <t>GUÍAS DE SUERO; USO: ADMINISTRACIÓN DE SOLUCIONES; AGUJA: CON; MODELO: V13; TIPO: FOTOSENSIBLE; MACROGOTERO CON CONEXIÓN ROLLER LUER SLIP</t>
  </si>
  <si>
    <t>2.9.5-6379.9</t>
  </si>
  <si>
    <t>CLAVIJAS DE CIRUGÍA; TIPO: STEIMANN; DIÁMETRO: 3,5 MM; MATERIAL: ACERO INOXIDABLE; PRESENTACIÓN: UNIDAD</t>
  </si>
  <si>
    <t>2.9.5-6379.7</t>
  </si>
  <si>
    <t>CLAVIJAS DE CIRUGIA; TIPO: STEIMANN, MATERIAL: ACERO INOXIDABLE, DIAMETRO: 4 mm, PRESENTACION: UNIDAD</t>
  </si>
  <si>
    <t>2.5.2-4817.30</t>
  </si>
  <si>
    <t>ANTIHIPERTENSIVOS; TIPO: MONODROGA, DROGA GENERICA: CLONIDINA, FORMA FARMACEUTICA: AMPOLLA, PRESENTACION: 0,15 mGr</t>
  </si>
  <si>
    <t>2.5.2-1839.31</t>
  </si>
  <si>
    <t>VASODILATADORES CORONARIOS; TIPO: MONODROGA, DROGA GENERICA: DILTIAZEM, FORMA FARMACEUTICA: COMPRIMIDO, PRESENTACION: 60 mGr</t>
  </si>
  <si>
    <t>COMPRIMIDO</t>
  </si>
  <si>
    <t>2.5.2-1872.27</t>
  </si>
  <si>
    <t>ANTIANEMICOS; TIPO: MONODROGA, DROGA GENERICA: ERITROPOYETINA HUMANA, FORMA FARMACEUTICA: FRASCO AMPOLLA 4000UI, PRESENTACION: UNIDAD</t>
  </si>
  <si>
    <t>2.5.2-4817.44</t>
  </si>
  <si>
    <t>ANTIHIPERTENSIVOS; TIPO: MONODROGA, DROGA GENERICA: NIFEDIPINA 30 MG, FORMA FARMACEUTICA: COMPRIMIDO, PRESENTACION: UNIDAD</t>
  </si>
  <si>
    <t>2.9.5-2366.2</t>
  </si>
  <si>
    <t>HISOPOS; MATERIAL DE EXTREMOS: ALGODON, PRESENTACION: CAJA X 100</t>
  </si>
  <si>
    <t>CAJA</t>
  </si>
  <si>
    <t>2.5.2-1821.5</t>
  </si>
  <si>
    <t>ANTIBIOTICOS P/PERSONAS; TIPO: MONODROGA, DROGA GENERICA: AMPICILINA, FORMA FARMACEUTICA: COMPRIMIDOS, PRESENTACION: 500 mGr</t>
  </si>
  <si>
    <t>2.5.2-1865.2</t>
  </si>
  <si>
    <t>ANTIEPILEPTICOS; TIPO: MONODROGA, FORMA FARMACEUTICA: AMPOLLA, PRESENTACION: 200 mGr, DROGA GENERICA: FENOBARBITAL</t>
  </si>
  <si>
    <t>tipo OXIDIAL</t>
  </si>
  <si>
    <t>VITAMINAS; FORMA FARMACEUTICA: AMPOLLA, PRESENTACION: 2 mL, TIPO: BECOZYM NF AMPOLLAS NICOTINAMIDA 40 MG/2 ML + PIRIDOXIMA CLORHIDRATO 4 MG/2 ML , VITAMINA B 1 10 MG/2 ML, VITAMINA B 2 5,47 MG/2ML, DEXPANTENOL 6 MG/2 ML VIA DE ADMINISTRACION ENDOVENOSO / INTRAMUSCULAR</t>
  </si>
  <si>
    <t>Especificidades Item N° 5:</t>
  </si>
  <si>
    <t>SI</t>
  </si>
  <si>
    <t xml:space="preserve">Adquisición de Insumos Desiertos y Fracasados para Farmacia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</si>
  <si>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</si>
  <si>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</si>
  <si>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AVDA. ILLIA Y MARIANO MORENO - DE LUNES A VIERNES DE 08:00 A 11:00 HORAS DEBIENDO CORRER LOS GASTOS DE FLETES, ACARREO, CARGA, DESCARGA Y SEGURO A CARGO DEL ADJUDICATARIO.</t>
  </si>
  <si>
    <t>NOTA DE PEDIDO 136</t>
  </si>
  <si>
    <t>2.1.1-4227.56</t>
  </si>
  <si>
    <t>SUPLEMENTOS DIETARIOS; TIPO: ASOCIACION, DROGA GENERICA: S. PARENTERAL ADULTO 1501-2000 ML, PRESENTACION: UNIDAD</t>
  </si>
  <si>
    <t>Costo total estimado: CUATRO MILLONES DOSCIENTOS SETENTA Y TRES MIL OCHOCIENTOS DIEZ CON 40/100.-</t>
  </si>
  <si>
    <t>TOTAL DE PESOS: CUATRO MILLONES DOSCIENTOS SETENTA Y TRES MIL OCHOCIENTOS DIEZ CON 40/100.-</t>
  </si>
  <si>
    <t>DOCFI-2022-02130441-CAT-DASIS#HSJB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</si>
</sst>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* #,##0.00_-;\-&quot;$&quot;* #,##0.00_-;_-&quot;$&quot;* &quot;-&quot;??_-;_-@_-"/>
    <numFmt numFmtId="170" formatCode="_-&quot;$&quot;\ * #,##0.00_-;\-&quot;$&quot;\ * #,##0.00_-;_-&quot;$&quot;\ * &quot;-&quot;??_-;_-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  <font>
      <b/>
      <sz val="10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C000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5" borderId="14" xfId="0" applyFont="1" applyFill="1" applyBorder="1" applyAlignment="1">
      <alignment horizontal="center" vertical="center"/>
    </xf>
    <xf numFmtId="0" fontId="15" fillId="5" borderId="0" xfId="0" applyFont="1" applyFill="1"/>
    <xf numFmtId="0" fontId="0" fillId="5" borderId="14" xfId="0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vertical="center" wrapText="1"/>
    </xf>
    <xf numFmtId="0" fontId="14" fillId="5" borderId="14" xfId="0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ill="1" applyBorder="1" applyAlignment="1">
      <alignment horizontal="left" vertical="center"/>
    </xf>
    <xf numFmtId="169" fontId="14" fillId="4" borderId="14" xfId="1" applyNumberFormat="1" applyFill="1" applyBorder="1" applyAlignment="1" applyProtection="1">
      <alignment horizontal="right" vertical="center" wrapText="1"/>
    </xf>
    <xf numFmtId="0" fontId="25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left" vertical="center" wrapText="1"/>
    </xf>
    <xf numFmtId="44" fontId="14" fillId="5" borderId="14" xfId="1" applyNumberForma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 wrapText="1"/>
    </xf>
    <xf numFmtId="169" fontId="14" fillId="4" borderId="14" xfId="1" applyNumberFormat="1" applyFill="1" applyBorder="1" applyAlignment="1" applyProtection="1">
      <alignment horizontal="center" vertical="center" wrapText="1"/>
    </xf>
    <xf numFmtId="0" fontId="14" fillId="5" borderId="14" xfId="0" applyFont="1" applyFill="1" applyBorder="1" applyAlignment="1">
      <alignment horizontal="left" vertical="center"/>
    </xf>
    <xf numFmtId="0" fontId="25" fillId="7" borderId="14" xfId="0" applyFont="1" applyFill="1" applyBorder="1" applyAlignment="1">
      <alignment vertical="center" wrapText="1"/>
    </xf>
    <xf numFmtId="0" fontId="14" fillId="5" borderId="14" xfId="5" applyFill="1" applyBorder="1" applyAlignment="1">
      <alignment horizontal="left" vertical="center"/>
    </xf>
    <xf numFmtId="0" fontId="24" fillId="5" borderId="14" xfId="5" applyFont="1" applyFill="1" applyBorder="1" applyAlignment="1">
      <alignment horizontal="center" vertical="center" wrapText="1"/>
    </xf>
    <xf numFmtId="0" fontId="14" fillId="5" borderId="14" xfId="5" applyFill="1" applyBorder="1" applyAlignment="1">
      <alignment vertical="center" wrapText="1"/>
    </xf>
    <xf numFmtId="0" fontId="14" fillId="5" borderId="14" xfId="5" applyFill="1" applyBorder="1" applyAlignment="1">
      <alignment horizontal="center" vertical="center"/>
    </xf>
    <xf numFmtId="3" fontId="14" fillId="5" borderId="14" xfId="5" applyNumberFormat="1" applyFill="1" applyBorder="1" applyAlignment="1">
      <alignment horizontal="center" vertical="center"/>
    </xf>
    <xf numFmtId="44" fontId="14" fillId="5" borderId="14" xfId="1" applyNumberFormat="1" applyFill="1" applyBorder="1" applyAlignment="1">
      <alignment horizontal="right" vertical="center"/>
    </xf>
    <xf numFmtId="170" fontId="14" fillId="5" borderId="14" xfId="0" applyNumberFormat="1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6" borderId="20" xfId="0" applyFont="1" applyFill="1" applyBorder="1" applyAlignment="1">
      <alignment horizontal="center" wrapText="1"/>
    </xf>
    <xf numFmtId="0" fontId="15" fillId="6" borderId="48" xfId="0" applyFont="1" applyFill="1" applyBorder="1" applyAlignment="1">
      <alignment horizontal="center" wrapText="1"/>
    </xf>
    <xf numFmtId="0" fontId="15" fillId="6" borderId="21" xfId="0" applyFont="1" applyFill="1" applyBorder="1" applyAlignment="1">
      <alignment horizont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  <xf numFmtId="0" fontId="23" fillId="0" borderId="32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0"/>
  <sheetViews>
    <sheetView tabSelected="1" topLeftCell="A3" zoomScale="85" zoomScaleNormal="85" workbookViewId="0">
      <selection activeCell="E14" sqref="E14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3.140625" style="39" customWidth="1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11" t="s">
        <v>0</v>
      </c>
      <c r="C2" s="111"/>
      <c r="D2" s="111"/>
      <c r="E2" s="111"/>
      <c r="F2" s="111"/>
      <c r="G2" s="111"/>
      <c r="H2" s="111"/>
    </row>
    <row r="4" spans="1:9" ht="18" customHeight="1" x14ac:dyDescent="0.25">
      <c r="A4" s="100" t="s">
        <v>1</v>
      </c>
      <c r="B4" s="100"/>
      <c r="C4" s="112" t="s">
        <v>57</v>
      </c>
      <c r="D4" s="112"/>
      <c r="E4" s="112"/>
      <c r="F4" s="40"/>
      <c r="G4" s="41"/>
      <c r="H4" s="40"/>
    </row>
    <row r="5" spans="1:9" ht="18" customHeight="1" x14ac:dyDescent="0.25">
      <c r="A5" s="100" t="s">
        <v>2</v>
      </c>
      <c r="B5" s="100"/>
      <c r="C5" s="112" t="s">
        <v>58</v>
      </c>
      <c r="D5" s="112"/>
      <c r="E5" s="112"/>
      <c r="F5" s="40"/>
      <c r="G5" s="41"/>
      <c r="H5" s="40"/>
    </row>
    <row r="6" spans="1:9" ht="16.5" customHeight="1" x14ac:dyDescent="0.25">
      <c r="A6" s="100" t="s">
        <v>3</v>
      </c>
      <c r="B6" s="100"/>
      <c r="C6" s="56">
        <v>2022</v>
      </c>
      <c r="D6" s="57"/>
      <c r="E6" s="57"/>
      <c r="F6" s="40"/>
      <c r="G6" s="41"/>
      <c r="H6" s="40"/>
    </row>
    <row r="7" spans="1:9" ht="16.5" customHeight="1" x14ac:dyDescent="0.25">
      <c r="A7" s="100" t="s">
        <v>4</v>
      </c>
      <c r="B7" s="100"/>
      <c r="C7" s="56">
        <v>4</v>
      </c>
      <c r="D7" s="57"/>
      <c r="E7" s="57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2" customFormat="1" ht="43.5" customHeight="1" thickBot="1" x14ac:dyDescent="0.25">
      <c r="A10" s="71">
        <v>1</v>
      </c>
      <c r="B10" s="77" t="s">
        <v>66</v>
      </c>
      <c r="C10" s="74" t="s">
        <v>67</v>
      </c>
      <c r="D10" s="75">
        <v>251</v>
      </c>
      <c r="E10" s="76" t="s">
        <v>68</v>
      </c>
      <c r="F10" s="77" t="s">
        <v>69</v>
      </c>
      <c r="G10" s="78">
        <v>5</v>
      </c>
      <c r="H10" s="79">
        <v>10590</v>
      </c>
      <c r="I10" s="80">
        <v>52950</v>
      </c>
    </row>
    <row r="11" spans="1:9" s="72" customFormat="1" ht="56.25" customHeight="1" thickBot="1" x14ac:dyDescent="0.25">
      <c r="A11" s="71">
        <v>2</v>
      </c>
      <c r="B11" s="81" t="s">
        <v>70</v>
      </c>
      <c r="C11" s="74" t="s">
        <v>67</v>
      </c>
      <c r="D11" s="75">
        <v>251</v>
      </c>
      <c r="E11" s="76" t="s">
        <v>71</v>
      </c>
      <c r="F11" s="77" t="s">
        <v>72</v>
      </c>
      <c r="G11" s="78">
        <v>20</v>
      </c>
      <c r="H11" s="79">
        <v>6800</v>
      </c>
      <c r="I11" s="80">
        <v>136000</v>
      </c>
    </row>
    <row r="12" spans="1:9" s="72" customFormat="1" ht="31.9" customHeight="1" thickBot="1" x14ac:dyDescent="0.25">
      <c r="A12" s="71">
        <v>3</v>
      </c>
      <c r="B12" s="74" t="s">
        <v>73</v>
      </c>
      <c r="C12" s="82" t="s">
        <v>67</v>
      </c>
      <c r="D12" s="75">
        <v>252</v>
      </c>
      <c r="E12" s="85" t="s">
        <v>74</v>
      </c>
      <c r="F12" s="74" t="s">
        <v>75</v>
      </c>
      <c r="G12" s="78">
        <v>100</v>
      </c>
      <c r="H12" s="84">
        <v>280</v>
      </c>
      <c r="I12" s="80">
        <v>28000</v>
      </c>
    </row>
    <row r="13" spans="1:9" s="72" customFormat="1" ht="31.9" customHeight="1" thickBot="1" x14ac:dyDescent="0.25">
      <c r="A13" s="71">
        <v>4</v>
      </c>
      <c r="B13" s="74" t="s">
        <v>76</v>
      </c>
      <c r="C13" s="73" t="s">
        <v>77</v>
      </c>
      <c r="D13" s="75">
        <v>252</v>
      </c>
      <c r="E13" s="85" t="s">
        <v>78</v>
      </c>
      <c r="F13" s="74" t="s">
        <v>72</v>
      </c>
      <c r="G13" s="78">
        <v>2</v>
      </c>
      <c r="H13" s="84">
        <v>6500</v>
      </c>
      <c r="I13" s="80">
        <v>13000</v>
      </c>
    </row>
    <row r="14" spans="1:9" s="72" customFormat="1" ht="31.9" customHeight="1" thickBot="1" x14ac:dyDescent="0.25">
      <c r="A14" s="71">
        <v>5</v>
      </c>
      <c r="B14" s="74" t="s">
        <v>79</v>
      </c>
      <c r="C14" s="82" t="s">
        <v>67</v>
      </c>
      <c r="D14" s="75">
        <v>252</v>
      </c>
      <c r="E14" s="85" t="s">
        <v>80</v>
      </c>
      <c r="F14" s="74" t="s">
        <v>81</v>
      </c>
      <c r="G14" s="78">
        <v>6000</v>
      </c>
      <c r="H14" s="84">
        <v>170</v>
      </c>
      <c r="I14" s="80">
        <v>1020000</v>
      </c>
    </row>
    <row r="15" spans="1:9" s="72" customFormat="1" ht="31.9" customHeight="1" thickBot="1" x14ac:dyDescent="0.25">
      <c r="A15" s="71">
        <v>6</v>
      </c>
      <c r="B15" s="87" t="s">
        <v>82</v>
      </c>
      <c r="C15" s="83" t="s">
        <v>67</v>
      </c>
      <c r="D15" s="75">
        <v>295</v>
      </c>
      <c r="E15" s="85" t="s">
        <v>83</v>
      </c>
      <c r="F15" s="73" t="s">
        <v>72</v>
      </c>
      <c r="G15" s="78">
        <v>500</v>
      </c>
      <c r="H15" s="84">
        <v>150</v>
      </c>
      <c r="I15" s="86">
        <v>75000</v>
      </c>
    </row>
    <row r="16" spans="1:9" s="72" customFormat="1" ht="31.9" customHeight="1" thickBot="1" x14ac:dyDescent="0.25">
      <c r="A16" s="71">
        <v>7</v>
      </c>
      <c r="B16" s="87" t="s">
        <v>84</v>
      </c>
      <c r="C16" s="83" t="s">
        <v>67</v>
      </c>
      <c r="D16" s="75">
        <v>295</v>
      </c>
      <c r="E16" s="76" t="s">
        <v>85</v>
      </c>
      <c r="F16" s="77" t="s">
        <v>72</v>
      </c>
      <c r="G16" s="78">
        <v>60</v>
      </c>
      <c r="H16" s="84">
        <v>690</v>
      </c>
      <c r="I16" s="80">
        <v>41400</v>
      </c>
    </row>
    <row r="17" spans="1:9" s="72" customFormat="1" ht="31.9" customHeight="1" thickBot="1" x14ac:dyDescent="0.25">
      <c r="A17" s="71">
        <v>8</v>
      </c>
      <c r="B17" s="87" t="s">
        <v>86</v>
      </c>
      <c r="C17" s="83" t="s">
        <v>67</v>
      </c>
      <c r="D17" s="75">
        <v>295</v>
      </c>
      <c r="E17" s="88" t="s">
        <v>87</v>
      </c>
      <c r="F17" s="77" t="s">
        <v>72</v>
      </c>
      <c r="G17" s="78">
        <v>120</v>
      </c>
      <c r="H17" s="84">
        <v>690</v>
      </c>
      <c r="I17" s="80">
        <v>82800</v>
      </c>
    </row>
    <row r="18" spans="1:9" s="72" customFormat="1" ht="31.9" customHeight="1" thickBot="1" x14ac:dyDescent="0.25">
      <c r="A18" s="71">
        <v>9</v>
      </c>
      <c r="B18" s="89" t="s">
        <v>88</v>
      </c>
      <c r="C18" s="89" t="s">
        <v>67</v>
      </c>
      <c r="D18" s="90">
        <v>252</v>
      </c>
      <c r="E18" s="91" t="s">
        <v>89</v>
      </c>
      <c r="F18" s="92" t="s">
        <v>81</v>
      </c>
      <c r="G18" s="93">
        <v>200</v>
      </c>
      <c r="H18" s="84">
        <v>75</v>
      </c>
      <c r="I18" s="80">
        <v>15000</v>
      </c>
    </row>
    <row r="19" spans="1:9" s="72" customFormat="1" ht="31.9" customHeight="1" thickBot="1" x14ac:dyDescent="0.25">
      <c r="A19" s="71">
        <v>10</v>
      </c>
      <c r="B19" s="89" t="s">
        <v>90</v>
      </c>
      <c r="C19" s="89" t="s">
        <v>67</v>
      </c>
      <c r="D19" s="90">
        <v>252</v>
      </c>
      <c r="E19" s="91" t="s">
        <v>91</v>
      </c>
      <c r="F19" s="92" t="s">
        <v>92</v>
      </c>
      <c r="G19" s="93">
        <v>180</v>
      </c>
      <c r="H19" s="84">
        <v>33.78</v>
      </c>
      <c r="I19" s="80">
        <v>6080.4000000000005</v>
      </c>
    </row>
    <row r="20" spans="1:9" s="72" customFormat="1" ht="31.9" customHeight="1" thickBot="1" x14ac:dyDescent="0.25">
      <c r="A20" s="71">
        <v>11</v>
      </c>
      <c r="B20" s="77" t="s">
        <v>93</v>
      </c>
      <c r="C20" s="89" t="s">
        <v>67</v>
      </c>
      <c r="D20" s="90">
        <v>252</v>
      </c>
      <c r="E20" s="91" t="s">
        <v>94</v>
      </c>
      <c r="F20" s="92" t="s">
        <v>72</v>
      </c>
      <c r="G20" s="93">
        <v>3000</v>
      </c>
      <c r="H20" s="84">
        <v>525</v>
      </c>
      <c r="I20" s="80">
        <v>1575000</v>
      </c>
    </row>
    <row r="21" spans="1:9" s="72" customFormat="1" ht="31.9" customHeight="1" thickBot="1" x14ac:dyDescent="0.25">
      <c r="A21" s="71">
        <v>12</v>
      </c>
      <c r="B21" s="89" t="s">
        <v>95</v>
      </c>
      <c r="C21" s="89" t="s">
        <v>67</v>
      </c>
      <c r="D21" s="90">
        <v>252</v>
      </c>
      <c r="E21" s="91" t="s">
        <v>96</v>
      </c>
      <c r="F21" s="92" t="s">
        <v>92</v>
      </c>
      <c r="G21" s="93">
        <v>180</v>
      </c>
      <c r="H21" s="94">
        <v>23</v>
      </c>
      <c r="I21" s="80">
        <v>4140</v>
      </c>
    </row>
    <row r="22" spans="1:9" s="72" customFormat="1" ht="31.9" customHeight="1" thickBot="1" x14ac:dyDescent="0.25">
      <c r="A22" s="71">
        <v>13</v>
      </c>
      <c r="B22" s="87" t="s">
        <v>97</v>
      </c>
      <c r="C22" s="89" t="s">
        <v>67</v>
      </c>
      <c r="D22" s="90">
        <v>295</v>
      </c>
      <c r="E22" s="85" t="s">
        <v>98</v>
      </c>
      <c r="F22" s="77" t="s">
        <v>99</v>
      </c>
      <c r="G22" s="93">
        <v>4</v>
      </c>
      <c r="H22" s="95">
        <v>650</v>
      </c>
      <c r="I22" s="80">
        <v>2600</v>
      </c>
    </row>
    <row r="23" spans="1:9" s="72" customFormat="1" ht="31.9" customHeight="1" thickBot="1" x14ac:dyDescent="0.25">
      <c r="A23" s="71">
        <v>14</v>
      </c>
      <c r="B23" s="87" t="s">
        <v>100</v>
      </c>
      <c r="C23" s="89" t="s">
        <v>67</v>
      </c>
      <c r="D23" s="90">
        <v>252</v>
      </c>
      <c r="E23" s="74" t="s">
        <v>101</v>
      </c>
      <c r="F23" s="77" t="s">
        <v>92</v>
      </c>
      <c r="G23" s="93">
        <v>160</v>
      </c>
      <c r="H23" s="95">
        <v>24</v>
      </c>
      <c r="I23" s="80">
        <v>3840</v>
      </c>
    </row>
    <row r="24" spans="1:9" s="72" customFormat="1" ht="31.9" customHeight="1" thickBot="1" x14ac:dyDescent="0.25">
      <c r="A24" s="71">
        <v>15</v>
      </c>
      <c r="B24" s="87" t="s">
        <v>102</v>
      </c>
      <c r="C24" s="89" t="s">
        <v>67</v>
      </c>
      <c r="D24" s="90">
        <v>252</v>
      </c>
      <c r="E24" s="74" t="s">
        <v>103</v>
      </c>
      <c r="F24" s="77" t="s">
        <v>81</v>
      </c>
      <c r="G24" s="93">
        <v>600</v>
      </c>
      <c r="H24" s="84">
        <v>480</v>
      </c>
      <c r="I24" s="80">
        <f>+G24*H24</f>
        <v>288000</v>
      </c>
    </row>
    <row r="25" spans="1:9" s="72" customFormat="1" ht="31.9" customHeight="1" thickBot="1" x14ac:dyDescent="0.25">
      <c r="A25" s="71">
        <v>16</v>
      </c>
      <c r="B25" s="87" t="s">
        <v>113</v>
      </c>
      <c r="C25" s="89" t="s">
        <v>67</v>
      </c>
      <c r="D25" s="90">
        <v>252</v>
      </c>
      <c r="E25" s="74" t="s">
        <v>114</v>
      </c>
      <c r="F25" s="77" t="s">
        <v>72</v>
      </c>
      <c r="G25" s="93">
        <v>60</v>
      </c>
      <c r="H25" s="84">
        <v>15500</v>
      </c>
      <c r="I25" s="80">
        <f>+G25*H25</f>
        <v>930000</v>
      </c>
    </row>
    <row r="26" spans="1:9" ht="13.5" thickBot="1" x14ac:dyDescent="0.25"/>
    <row r="27" spans="1:9" ht="62.25" customHeight="1" thickBot="1" x14ac:dyDescent="0.25">
      <c r="B27" s="105" t="s">
        <v>109</v>
      </c>
      <c r="C27" s="106"/>
      <c r="D27" s="106"/>
      <c r="E27" s="107"/>
    </row>
    <row r="28" spans="1:9" ht="36.75" customHeight="1" thickBot="1" x14ac:dyDescent="0.25">
      <c r="B28" s="108" t="s">
        <v>110</v>
      </c>
      <c r="C28" s="109"/>
      <c r="D28" s="109"/>
      <c r="E28" s="110"/>
    </row>
    <row r="29" spans="1:9" ht="50.25" customHeight="1" thickBot="1" x14ac:dyDescent="0.25">
      <c r="B29" s="108" t="s">
        <v>111</v>
      </c>
      <c r="C29" s="109"/>
      <c r="D29" s="109"/>
      <c r="E29" s="110"/>
    </row>
    <row r="31" spans="1:9" ht="13.5" thickBot="1" x14ac:dyDescent="0.25"/>
    <row r="32" spans="1:9" x14ac:dyDescent="0.2">
      <c r="B32" s="42" t="s">
        <v>14</v>
      </c>
      <c r="C32" s="43"/>
      <c r="D32" s="43"/>
      <c r="E32" s="44"/>
    </row>
    <row r="33" spans="2:5" ht="5.25" customHeight="1" x14ac:dyDescent="0.2">
      <c r="B33" s="45"/>
      <c r="C33" s="46"/>
      <c r="D33" s="46"/>
      <c r="E33" s="47"/>
    </row>
    <row r="34" spans="2:5" x14ac:dyDescent="0.2">
      <c r="B34" s="48" t="s">
        <v>15</v>
      </c>
      <c r="C34" s="46"/>
      <c r="D34" s="46"/>
      <c r="E34" s="47"/>
    </row>
    <row r="35" spans="2:5" ht="41.25" customHeight="1" x14ac:dyDescent="0.2">
      <c r="B35" s="48"/>
      <c r="C35" s="101" t="s">
        <v>104</v>
      </c>
      <c r="D35" s="101"/>
      <c r="E35" s="102"/>
    </row>
    <row r="36" spans="2:5" x14ac:dyDescent="0.2">
      <c r="B36" s="48" t="s">
        <v>16</v>
      </c>
      <c r="C36" s="46"/>
      <c r="D36" s="46"/>
      <c r="E36" s="47"/>
    </row>
    <row r="37" spans="2:5" x14ac:dyDescent="0.2">
      <c r="B37" s="49"/>
      <c r="C37" s="103"/>
      <c r="D37" s="103"/>
      <c r="E37" s="103"/>
    </row>
    <row r="38" spans="2:5" x14ac:dyDescent="0.2">
      <c r="B38" s="49"/>
      <c r="C38" s="104"/>
      <c r="D38" s="104"/>
      <c r="E38" s="104"/>
    </row>
    <row r="39" spans="2:5" x14ac:dyDescent="0.2">
      <c r="B39" s="48" t="s">
        <v>17</v>
      </c>
      <c r="C39" s="46"/>
      <c r="D39" s="46"/>
      <c r="E39" s="47"/>
    </row>
    <row r="40" spans="2:5" ht="26.25" customHeight="1" x14ac:dyDescent="0.2">
      <c r="B40" s="49"/>
      <c r="C40" s="98"/>
      <c r="D40" s="98"/>
      <c r="E40" s="98"/>
    </row>
    <row r="41" spans="2:5" x14ac:dyDescent="0.2">
      <c r="B41" s="48" t="s">
        <v>18</v>
      </c>
      <c r="C41" s="50"/>
      <c r="D41" s="50"/>
      <c r="E41" s="51"/>
    </row>
    <row r="42" spans="2:5" ht="26.25" customHeight="1" x14ac:dyDescent="0.2">
      <c r="B42" s="49"/>
      <c r="C42" s="99"/>
      <c r="D42" s="99"/>
      <c r="E42" s="99"/>
    </row>
    <row r="43" spans="2:5" x14ac:dyDescent="0.2">
      <c r="B43" s="48" t="s">
        <v>19</v>
      </c>
      <c r="C43" s="46"/>
      <c r="D43" s="46"/>
      <c r="E43" s="47"/>
    </row>
    <row r="44" spans="2:5" ht="23.25" customHeight="1" x14ac:dyDescent="0.2">
      <c r="B44" s="48"/>
      <c r="C44" s="97"/>
      <c r="D44" s="97"/>
      <c r="E44" s="97"/>
    </row>
    <row r="45" spans="2:5" x14ac:dyDescent="0.2">
      <c r="B45" s="52"/>
      <c r="C45" s="53"/>
      <c r="D45" s="53"/>
      <c r="E45" s="54"/>
    </row>
    <row r="47" spans="2:5" x14ac:dyDescent="0.2">
      <c r="B47" s="42" t="s">
        <v>106</v>
      </c>
      <c r="C47" s="43"/>
      <c r="D47" s="43"/>
      <c r="E47" s="44"/>
    </row>
    <row r="48" spans="2:5" ht="7.5" customHeight="1" x14ac:dyDescent="0.2">
      <c r="B48" s="45"/>
      <c r="C48" s="46"/>
      <c r="D48" s="46"/>
      <c r="E48" s="47"/>
    </row>
    <row r="49" spans="2:5" x14ac:dyDescent="0.2">
      <c r="B49" s="48" t="s">
        <v>15</v>
      </c>
      <c r="C49" s="46"/>
      <c r="D49" s="46"/>
      <c r="E49" s="47"/>
    </row>
    <row r="50" spans="2:5" ht="52.5" customHeight="1" x14ac:dyDescent="0.2">
      <c r="B50" s="48"/>
      <c r="C50" s="98" t="s">
        <v>105</v>
      </c>
      <c r="D50" s="98"/>
      <c r="E50" s="98"/>
    </row>
    <row r="51" spans="2:5" x14ac:dyDescent="0.2">
      <c r="B51" s="48" t="s">
        <v>16</v>
      </c>
      <c r="C51" s="46"/>
      <c r="D51" s="46"/>
      <c r="E51" s="47"/>
    </row>
    <row r="52" spans="2:5" x14ac:dyDescent="0.2">
      <c r="B52" s="49"/>
      <c r="C52" s="97"/>
      <c r="D52" s="97"/>
      <c r="E52" s="97"/>
    </row>
    <row r="53" spans="2:5" x14ac:dyDescent="0.2">
      <c r="B53" s="49"/>
      <c r="C53" s="97"/>
      <c r="D53" s="97"/>
      <c r="E53" s="97"/>
    </row>
    <row r="54" spans="2:5" x14ac:dyDescent="0.2">
      <c r="B54" s="48" t="s">
        <v>17</v>
      </c>
      <c r="C54" s="46"/>
      <c r="D54" s="46"/>
      <c r="E54" s="47"/>
    </row>
    <row r="55" spans="2:5" x14ac:dyDescent="0.2">
      <c r="B55" s="49"/>
      <c r="C55" s="98"/>
      <c r="D55" s="98"/>
      <c r="E55" s="98"/>
    </row>
    <row r="56" spans="2:5" x14ac:dyDescent="0.2">
      <c r="B56" s="48" t="s">
        <v>18</v>
      </c>
      <c r="C56" s="50"/>
      <c r="D56" s="50"/>
      <c r="E56" s="51"/>
    </row>
    <row r="57" spans="2:5" x14ac:dyDescent="0.2">
      <c r="B57" s="49"/>
      <c r="C57" s="98"/>
      <c r="D57" s="98"/>
      <c r="E57" s="98"/>
    </row>
    <row r="58" spans="2:5" x14ac:dyDescent="0.2">
      <c r="B58" s="48" t="s">
        <v>19</v>
      </c>
      <c r="C58" s="46"/>
      <c r="D58" s="46"/>
      <c r="E58" s="47"/>
    </row>
    <row r="59" spans="2:5" x14ac:dyDescent="0.2">
      <c r="B59" s="48"/>
      <c r="C59" s="97"/>
      <c r="D59" s="97"/>
      <c r="E59" s="97"/>
    </row>
    <row r="60" spans="2:5" x14ac:dyDescent="0.2">
      <c r="B60" s="52"/>
      <c r="C60" s="53"/>
      <c r="D60" s="53"/>
      <c r="E60" s="54"/>
    </row>
  </sheetData>
  <mergeCells count="22">
    <mergeCell ref="B2:H2"/>
    <mergeCell ref="A4:B4"/>
    <mergeCell ref="C4:E4"/>
    <mergeCell ref="A5:B5"/>
    <mergeCell ref="C5:E5"/>
    <mergeCell ref="A6:B6"/>
    <mergeCell ref="A7:B7"/>
    <mergeCell ref="C35:E35"/>
    <mergeCell ref="C37:E37"/>
    <mergeCell ref="C38:E38"/>
    <mergeCell ref="B27:E27"/>
    <mergeCell ref="B28:E28"/>
    <mergeCell ref="B29:E29"/>
    <mergeCell ref="C53:E53"/>
    <mergeCell ref="C55:E55"/>
    <mergeCell ref="C57:E57"/>
    <mergeCell ref="C59:E59"/>
    <mergeCell ref="C40:E40"/>
    <mergeCell ref="C42:E42"/>
    <mergeCell ref="C44:E44"/>
    <mergeCell ref="C50:E50"/>
    <mergeCell ref="C52:E5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8"/>
  <sheetViews>
    <sheetView zoomScale="70" zoomScaleNormal="70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39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1" t="s">
        <v>112</v>
      </c>
      <c r="B1" s="121"/>
      <c r="C1" s="121"/>
      <c r="D1" s="121"/>
      <c r="E1" s="121"/>
      <c r="F1" s="121"/>
      <c r="G1" s="121"/>
      <c r="H1" s="121"/>
      <c r="I1" s="121"/>
      <c r="J1" s="3" t="s">
        <v>20</v>
      </c>
      <c r="K1" s="96" t="s">
        <v>117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2" t="s">
        <v>53</v>
      </c>
      <c r="B3" s="122"/>
      <c r="C3" s="122"/>
      <c r="D3" s="123" t="str">
        <f>'Necesidades Trimestrales'!C4</f>
        <v>40 - Ministerio de Salud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25">
      <c r="A4" s="124" t="s">
        <v>54</v>
      </c>
      <c r="B4" s="124"/>
      <c r="C4" s="124"/>
      <c r="D4" s="123" t="str">
        <f>'Necesidades Trimestrales'!C5</f>
        <v>23 - Hospital Interzonal San Juan Bautista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25">
      <c r="A5" s="124" t="s">
        <v>32</v>
      </c>
      <c r="B5" s="124"/>
      <c r="C5" s="124"/>
      <c r="D5" s="123" t="s">
        <v>59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25">
      <c r="A6" s="122" t="s">
        <v>55</v>
      </c>
      <c r="B6" s="122"/>
      <c r="C6" s="122"/>
      <c r="D6" s="123" t="s">
        <v>60</v>
      </c>
      <c r="E6" s="123"/>
      <c r="F6" s="123"/>
      <c r="G6" s="123"/>
      <c r="H6" s="123"/>
      <c r="I6" s="123"/>
      <c r="J6" s="123"/>
      <c r="K6" s="123"/>
    </row>
    <row r="7" spans="1:11" ht="16.5" customHeight="1" x14ac:dyDescent="0.2">
      <c r="A7" s="124" t="s">
        <v>21</v>
      </c>
      <c r="B7" s="124"/>
      <c r="C7" s="124"/>
      <c r="D7" s="123" t="str">
        <f>'Necesidades Trimestrales'!C7 &amp; "° Trimestre - Año " &amp; 'Necesidades Trimestrales'!C6</f>
        <v>4° Trimestre - Año 2022</v>
      </c>
      <c r="E7" s="123"/>
      <c r="F7" s="123"/>
      <c r="G7" s="123"/>
      <c r="H7" s="123"/>
      <c r="I7" s="123"/>
      <c r="J7" s="123"/>
      <c r="K7" s="123"/>
    </row>
    <row r="8" spans="1:11" ht="16.5" customHeight="1" x14ac:dyDescent="0.2">
      <c r="A8" s="116" t="s">
        <v>22</v>
      </c>
      <c r="B8" s="116"/>
      <c r="C8" s="116"/>
      <c r="D8" s="117" t="s">
        <v>108</v>
      </c>
      <c r="E8" s="117"/>
      <c r="F8" s="117"/>
      <c r="G8" s="117"/>
      <c r="H8" s="117"/>
      <c r="I8" s="117"/>
      <c r="J8" s="117"/>
      <c r="K8" s="11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8" t="s">
        <v>23</v>
      </c>
      <c r="B10" s="119" t="s">
        <v>24</v>
      </c>
      <c r="C10" s="119" t="s">
        <v>25</v>
      </c>
      <c r="D10" s="119"/>
      <c r="E10" s="119"/>
      <c r="F10" s="119"/>
      <c r="G10" s="119"/>
      <c r="H10" s="119" t="s">
        <v>26</v>
      </c>
      <c r="I10" s="119" t="s">
        <v>27</v>
      </c>
      <c r="J10" s="119" t="s">
        <v>28</v>
      </c>
      <c r="K10" s="120" t="s">
        <v>29</v>
      </c>
    </row>
    <row r="11" spans="1:11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36" customHeight="1" thickBot="1" x14ac:dyDescent="0.25">
      <c r="A12" s="8">
        <v>1</v>
      </c>
      <c r="B12" s="58" t="str">
        <f>'Necesidades Trimestrales'!B10</f>
        <v>2.5.1-5771.12</v>
      </c>
      <c r="C12" s="113" t="str">
        <f>'Necesidades Trimestrales'!E10</f>
        <v>ANTISEPTICOS P/ MATERIALES; COMPUESTO QUIMICO: AC.ACETICO, ESTADO SOLIDO, CALIDAD FARMACEUTICA, CONCENTRACION/PUREZA 25/30 % , PRESENTACION: 5 KG, USO: EQUIPO</v>
      </c>
      <c r="D12" s="113"/>
      <c r="E12" s="113"/>
      <c r="F12" s="113"/>
      <c r="G12" s="113"/>
      <c r="H12" s="59" t="s">
        <v>107</v>
      </c>
      <c r="I12" s="60" t="str">
        <f>'Necesidades Trimestrales'!F10</f>
        <v>BIDON</v>
      </c>
      <c r="J12" s="61">
        <f>'Necesidades Trimestrales'!H10</f>
        <v>10590</v>
      </c>
      <c r="K12" s="62">
        <f>'Necesidades Trimestrales'!G10</f>
        <v>5</v>
      </c>
    </row>
    <row r="13" spans="1:11" ht="40.5" customHeight="1" thickBot="1" x14ac:dyDescent="0.25">
      <c r="A13" s="8">
        <v>2</v>
      </c>
      <c r="B13" s="58" t="str">
        <f>'Necesidades Trimestrales'!B11</f>
        <v>2.5.1-5771.13</v>
      </c>
      <c r="C13" s="113" t="str">
        <f>'Necesidades Trimestrales'!E11</f>
        <v>ANTISEPTICOS P/ MATERIALES ; COMPUESTO QUIMICO: AC. CITRICO, ESTADO: SOLIDO, CALIDAD: BIOLOGIA MOLECULAR, CONCENTRACION/PUREZA: 99,99 %, PRESENTACION: ENVASE X 1 KG</v>
      </c>
      <c r="D13" s="113"/>
      <c r="E13" s="113"/>
      <c r="F13" s="113"/>
      <c r="G13" s="113"/>
      <c r="H13" s="59" t="s">
        <v>56</v>
      </c>
      <c r="I13" s="60" t="str">
        <f>'Necesidades Trimestrales'!F11</f>
        <v>UNIDAD</v>
      </c>
      <c r="J13" s="61">
        <f>'Necesidades Trimestrales'!H11</f>
        <v>6800</v>
      </c>
      <c r="K13" s="62">
        <f>'Necesidades Trimestrales'!G11</f>
        <v>20</v>
      </c>
    </row>
    <row r="14" spans="1:11" ht="36" customHeight="1" thickBot="1" x14ac:dyDescent="0.25">
      <c r="A14" s="8">
        <v>3</v>
      </c>
      <c r="B14" s="58" t="str">
        <f>'Necesidades Trimestrales'!B12</f>
        <v>2.5.2-2481.38</v>
      </c>
      <c r="C14" s="113" t="str">
        <f>'Necesidades Trimestrales'!E12</f>
        <v>LAXANTES; TIPO: MONODROGA, DROGA GENERICA: LIMONADA, FORMA FARMACEUTICA: POLVO, PRESENTACION: 60 GR</v>
      </c>
      <c r="D14" s="113"/>
      <c r="E14" s="113"/>
      <c r="F14" s="113"/>
      <c r="G14" s="113"/>
      <c r="H14" s="59" t="s">
        <v>56</v>
      </c>
      <c r="I14" s="60" t="str">
        <f>'Necesidades Trimestrales'!F12</f>
        <v>FRASCO</v>
      </c>
      <c r="J14" s="61">
        <f>'Necesidades Trimestrales'!H12</f>
        <v>280</v>
      </c>
      <c r="K14" s="62">
        <f>'Necesidades Trimestrales'!G12</f>
        <v>100</v>
      </c>
    </row>
    <row r="15" spans="1:11" ht="35.25" customHeight="1" thickBot="1" x14ac:dyDescent="0.25">
      <c r="A15" s="8">
        <v>4</v>
      </c>
      <c r="B15" s="58" t="str">
        <f>'Necesidades Trimestrales'!B13</f>
        <v>2.5.2-8078.68</v>
      </c>
      <c r="C15" s="113" t="str">
        <f>'Necesidades Trimestrales'!E13</f>
        <v>EXCIPIENTES; TIPO: MONODROGA, PRESENTACION: ENVASE X 1 Kg, COMPUESTO: CARBON ACTIVADO, CONCENTRACION/PUREZA: 100 %</v>
      </c>
      <c r="D15" s="113"/>
      <c r="E15" s="113"/>
      <c r="F15" s="113"/>
      <c r="G15" s="113"/>
      <c r="H15" s="59" t="s">
        <v>56</v>
      </c>
      <c r="I15" s="60" t="str">
        <f>'Necesidades Trimestrales'!F13</f>
        <v>UNIDAD</v>
      </c>
      <c r="J15" s="61">
        <f>'Necesidades Trimestrales'!H13</f>
        <v>6500</v>
      </c>
      <c r="K15" s="62">
        <f>'Necesidades Trimestrales'!G13</f>
        <v>2</v>
      </c>
    </row>
    <row r="16" spans="1:11" ht="36" customHeight="1" thickBot="1" x14ac:dyDescent="0.25">
      <c r="A16" s="8">
        <v>5</v>
      </c>
      <c r="B16" s="58" t="str">
        <f>'Necesidades Trimestrales'!B14</f>
        <v>2.5.2-1901.7</v>
      </c>
      <c r="C16" s="113" t="str">
        <f>'Necesidades Trimestrales'!E14</f>
        <v>VITAMINAS; FORMA FARMACEUTICA: AMPOLLA, PRESENTACION: 2 mL, TIPO: MONODROGA, DROGA GENERICA: VITAMINA B</v>
      </c>
      <c r="D16" s="113"/>
      <c r="E16" s="113"/>
      <c r="F16" s="113"/>
      <c r="G16" s="113"/>
      <c r="H16" s="59" t="s">
        <v>107</v>
      </c>
      <c r="I16" s="60" t="str">
        <f>'Necesidades Trimestrales'!F14</f>
        <v>AMPOLLA</v>
      </c>
      <c r="J16" s="61">
        <f>'Necesidades Trimestrales'!H14</f>
        <v>170</v>
      </c>
      <c r="K16" s="62">
        <f>'Necesidades Trimestrales'!G14</f>
        <v>6000</v>
      </c>
    </row>
    <row r="17" spans="1:1024" ht="37.5" customHeight="1" thickBot="1" x14ac:dyDescent="0.25">
      <c r="A17" s="8">
        <v>6</v>
      </c>
      <c r="B17" s="58" t="str">
        <f>'Necesidades Trimestrales'!B15</f>
        <v>2.9.5-2204.25</v>
      </c>
      <c r="C17" s="113" t="str">
        <f>'Necesidades Trimestrales'!E15</f>
        <v>GUÍAS DE SUERO; USO: ADMINISTRACIÓN DE SOLUCIONES; AGUJA: CON; MODELO: V13; TIPO: FOTOSENSIBLE; MACROGOTERO CON CONEXIÓN ROLLER LUER SLIP</v>
      </c>
      <c r="D17" s="113"/>
      <c r="E17" s="113"/>
      <c r="F17" s="113"/>
      <c r="G17" s="113"/>
      <c r="H17" s="59" t="s">
        <v>56</v>
      </c>
      <c r="I17" s="60" t="str">
        <f>'Necesidades Trimestrales'!F15</f>
        <v>UNIDAD</v>
      </c>
      <c r="J17" s="61">
        <f>'Necesidades Trimestrales'!H15</f>
        <v>150</v>
      </c>
      <c r="K17" s="62">
        <f>'Necesidades Trimestrales'!G15</f>
        <v>500</v>
      </c>
    </row>
    <row r="18" spans="1:1024" ht="34.5" customHeight="1" thickBot="1" x14ac:dyDescent="0.25">
      <c r="A18" s="8">
        <v>7</v>
      </c>
      <c r="B18" s="58" t="str">
        <f>'Necesidades Trimestrales'!B16</f>
        <v>2.9.5-6379.9</v>
      </c>
      <c r="C18" s="113" t="str">
        <f>'Necesidades Trimestrales'!E16</f>
        <v>CLAVIJAS DE CIRUGÍA; TIPO: STEIMANN; DIÁMETRO: 3,5 MM; MATERIAL: ACERO INOXIDABLE; PRESENTACIÓN: UNIDAD</v>
      </c>
      <c r="D18" s="113"/>
      <c r="E18" s="113"/>
      <c r="F18" s="113"/>
      <c r="G18" s="113"/>
      <c r="H18" s="59" t="s">
        <v>56</v>
      </c>
      <c r="I18" s="60" t="str">
        <f>'Necesidades Trimestrales'!F16</f>
        <v>UNIDAD</v>
      </c>
      <c r="J18" s="61">
        <f>'Necesidades Trimestrales'!H16</f>
        <v>690</v>
      </c>
      <c r="K18" s="62">
        <f>'Necesidades Trimestrales'!G16</f>
        <v>60</v>
      </c>
    </row>
    <row r="19" spans="1:1024" ht="42" customHeight="1" thickBot="1" x14ac:dyDescent="0.25">
      <c r="A19" s="8">
        <v>8</v>
      </c>
      <c r="B19" s="58" t="str">
        <f>'Necesidades Trimestrales'!B17</f>
        <v>2.9.5-6379.7</v>
      </c>
      <c r="C19" s="113" t="str">
        <f>'Necesidades Trimestrales'!E17</f>
        <v>CLAVIJAS DE CIRUGIA; TIPO: STEIMANN, MATERIAL: ACERO INOXIDABLE, DIAMETRO: 4 mm, PRESENTACION: UNIDAD</v>
      </c>
      <c r="D19" s="113"/>
      <c r="E19" s="113"/>
      <c r="F19" s="113"/>
      <c r="G19" s="113"/>
      <c r="H19" s="59" t="s">
        <v>56</v>
      </c>
      <c r="I19" s="60" t="str">
        <f>'Necesidades Trimestrales'!F17</f>
        <v>UNIDAD</v>
      </c>
      <c r="J19" s="61">
        <f>'Necesidades Trimestrales'!H17</f>
        <v>690</v>
      </c>
      <c r="K19" s="62">
        <f>'Necesidades Trimestrales'!G17</f>
        <v>120</v>
      </c>
    </row>
    <row r="20" spans="1:1024" ht="42.75" customHeight="1" thickBot="1" x14ac:dyDescent="0.25">
      <c r="A20" s="8">
        <v>9</v>
      </c>
      <c r="B20" s="58" t="str">
        <f>'Necesidades Trimestrales'!B18</f>
        <v>2.5.2-4817.30</v>
      </c>
      <c r="C20" s="113" t="str">
        <f>'Necesidades Trimestrales'!E18</f>
        <v>ANTIHIPERTENSIVOS; TIPO: MONODROGA, DROGA GENERICA: CLONIDINA, FORMA FARMACEUTICA: AMPOLLA, PRESENTACION: 0,15 mGr</v>
      </c>
      <c r="D20" s="113"/>
      <c r="E20" s="113"/>
      <c r="F20" s="113"/>
      <c r="G20" s="113"/>
      <c r="H20" s="59" t="s">
        <v>56</v>
      </c>
      <c r="I20" s="60" t="str">
        <f>'Necesidades Trimestrales'!F18</f>
        <v>AMPOLLA</v>
      </c>
      <c r="J20" s="61">
        <f>'Necesidades Trimestrales'!H18</f>
        <v>75</v>
      </c>
      <c r="K20" s="62">
        <f>'Necesidades Trimestrales'!G18</f>
        <v>200</v>
      </c>
    </row>
    <row r="21" spans="1:1024" ht="47.25" customHeight="1" thickBot="1" x14ac:dyDescent="0.25">
      <c r="A21" s="8">
        <v>10</v>
      </c>
      <c r="B21" s="58" t="str">
        <f>'Necesidades Trimestrales'!B19</f>
        <v>2.5.2-1839.31</v>
      </c>
      <c r="C21" s="113" t="str">
        <f>'Necesidades Trimestrales'!E19</f>
        <v>VASODILATADORES CORONARIOS; TIPO: MONODROGA, DROGA GENERICA: DILTIAZEM, FORMA FARMACEUTICA: COMPRIMIDO, PRESENTACION: 60 mGr</v>
      </c>
      <c r="D21" s="113"/>
      <c r="E21" s="113"/>
      <c r="F21" s="113"/>
      <c r="G21" s="113"/>
      <c r="H21" s="59" t="s">
        <v>56</v>
      </c>
      <c r="I21" s="60" t="str">
        <f>'Necesidades Trimestrales'!F19</f>
        <v>COMPRIMIDO</v>
      </c>
      <c r="J21" s="61">
        <f>'Necesidades Trimestrales'!H19</f>
        <v>33.78</v>
      </c>
      <c r="K21" s="62">
        <f>'Necesidades Trimestrales'!G19</f>
        <v>180</v>
      </c>
    </row>
    <row r="22" spans="1:1024" ht="40.5" customHeight="1" thickBot="1" x14ac:dyDescent="0.25">
      <c r="A22" s="8">
        <v>11</v>
      </c>
      <c r="B22" s="58" t="str">
        <f>'Necesidades Trimestrales'!B20</f>
        <v>2.5.2-1872.27</v>
      </c>
      <c r="C22" s="113" t="str">
        <f>'Necesidades Trimestrales'!E20</f>
        <v>ANTIANEMICOS; TIPO: MONODROGA, DROGA GENERICA: ERITROPOYETINA HUMANA, FORMA FARMACEUTICA: FRASCO AMPOLLA 4000UI, PRESENTACION: UNIDAD</v>
      </c>
      <c r="D22" s="113"/>
      <c r="E22" s="113"/>
      <c r="F22" s="113"/>
      <c r="G22" s="113"/>
      <c r="H22" s="59" t="s">
        <v>56</v>
      </c>
      <c r="I22" s="60" t="str">
        <f>'Necesidades Trimestrales'!F20</f>
        <v>UNIDAD</v>
      </c>
      <c r="J22" s="61">
        <f>'Necesidades Trimestrales'!H20</f>
        <v>525</v>
      </c>
      <c r="K22" s="62">
        <f>'Necesidades Trimestrales'!G20</f>
        <v>3000</v>
      </c>
    </row>
    <row r="23" spans="1:1024" ht="45" customHeight="1" thickBot="1" x14ac:dyDescent="0.25">
      <c r="A23" s="8">
        <v>12</v>
      </c>
      <c r="B23" s="58" t="str">
        <f>'Necesidades Trimestrales'!B21</f>
        <v>2.5.2-4817.44</v>
      </c>
      <c r="C23" s="113" t="str">
        <f>'Necesidades Trimestrales'!E21</f>
        <v>ANTIHIPERTENSIVOS; TIPO: MONODROGA, DROGA GENERICA: NIFEDIPINA 30 MG, FORMA FARMACEUTICA: COMPRIMIDO, PRESENTACION: UNIDAD</v>
      </c>
      <c r="D23" s="113"/>
      <c r="E23" s="113"/>
      <c r="F23" s="113"/>
      <c r="G23" s="113"/>
      <c r="H23" s="59" t="s">
        <v>56</v>
      </c>
      <c r="I23" s="60" t="str">
        <f>'Necesidades Trimestrales'!F21</f>
        <v>COMPRIMIDO</v>
      </c>
      <c r="J23" s="61">
        <f>'Necesidades Trimestrales'!H21</f>
        <v>23</v>
      </c>
      <c r="K23" s="62">
        <f>'Necesidades Trimestrales'!G21</f>
        <v>180</v>
      </c>
    </row>
    <row r="24" spans="1:1024" ht="43.5" customHeight="1" thickBot="1" x14ac:dyDescent="0.25">
      <c r="A24" s="8">
        <v>13</v>
      </c>
      <c r="B24" s="58" t="str">
        <f>'Necesidades Trimestrales'!B22</f>
        <v>2.9.5-2366.2</v>
      </c>
      <c r="C24" s="113" t="str">
        <f>'Necesidades Trimestrales'!E22</f>
        <v>HISOPOS; MATERIAL DE EXTREMOS: ALGODON, PRESENTACION: CAJA X 100</v>
      </c>
      <c r="D24" s="113"/>
      <c r="E24" s="113"/>
      <c r="F24" s="113"/>
      <c r="G24" s="113"/>
      <c r="H24" s="59" t="s">
        <v>56</v>
      </c>
      <c r="I24" s="60" t="str">
        <f>'Necesidades Trimestrales'!F22</f>
        <v>CAJA</v>
      </c>
      <c r="J24" s="61">
        <f>'Necesidades Trimestrales'!H22</f>
        <v>650</v>
      </c>
      <c r="K24" s="62">
        <f>'Necesidades Trimestrales'!G22</f>
        <v>4</v>
      </c>
    </row>
    <row r="25" spans="1:1024" ht="50.25" customHeight="1" thickBot="1" x14ac:dyDescent="0.25">
      <c r="A25" s="8">
        <v>14</v>
      </c>
      <c r="B25" s="58" t="str">
        <f>'Necesidades Trimestrales'!B23</f>
        <v>2.5.2-1821.5</v>
      </c>
      <c r="C25" s="113" t="str">
        <f>'Necesidades Trimestrales'!E23</f>
        <v>ANTIBIOTICOS P/PERSONAS; TIPO: MONODROGA, DROGA GENERICA: AMPICILINA, FORMA FARMACEUTICA: COMPRIMIDOS, PRESENTACION: 500 mGr</v>
      </c>
      <c r="D25" s="113"/>
      <c r="E25" s="113"/>
      <c r="F25" s="113"/>
      <c r="G25" s="113"/>
      <c r="H25" s="59" t="s">
        <v>56</v>
      </c>
      <c r="I25" s="60" t="str">
        <f>'Necesidades Trimestrales'!F23</f>
        <v>COMPRIMIDO</v>
      </c>
      <c r="J25" s="61">
        <f>'Necesidades Trimestrales'!H23</f>
        <v>24</v>
      </c>
      <c r="K25" s="62">
        <f>'Necesidades Trimestrales'!G23</f>
        <v>160</v>
      </c>
    </row>
    <row r="26" spans="1:1024" ht="50.25" customHeight="1" thickBot="1" x14ac:dyDescent="0.25">
      <c r="A26" s="8">
        <v>15</v>
      </c>
      <c r="B26" s="58" t="str">
        <f>'Necesidades Trimestrales'!B24</f>
        <v>2.5.2-1865.2</v>
      </c>
      <c r="C26" s="113" t="str">
        <f>'Necesidades Trimestrales'!E24</f>
        <v>ANTIEPILEPTICOS; TIPO: MONODROGA, FORMA FARMACEUTICA: AMPOLLA, PRESENTACION: 200 mGr, DROGA GENERICA: FENOBARBITAL</v>
      </c>
      <c r="D26" s="113"/>
      <c r="E26" s="113"/>
      <c r="F26" s="113"/>
      <c r="G26" s="113"/>
      <c r="H26" s="59" t="s">
        <v>56</v>
      </c>
      <c r="I26" s="60" t="str">
        <f>'Necesidades Trimestrales'!F24</f>
        <v>AMPOLLA</v>
      </c>
      <c r="J26" s="61">
        <f>'Necesidades Trimestrales'!H24</f>
        <v>480</v>
      </c>
      <c r="K26" s="62">
        <f>'Necesidades Trimestrales'!G24</f>
        <v>600</v>
      </c>
    </row>
    <row r="27" spans="1:1024" ht="36" customHeight="1" thickBot="1" x14ac:dyDescent="0.25">
      <c r="A27" s="8">
        <v>16</v>
      </c>
      <c r="B27" s="58" t="str">
        <f>'Necesidades Trimestrales'!B25</f>
        <v>2.1.1-4227.56</v>
      </c>
      <c r="C27" s="113" t="str">
        <f>'Necesidades Trimestrales'!E25</f>
        <v>SUPLEMENTOS DIETARIOS; TIPO: ASOCIACION, DROGA GENERICA: S. PARENTERAL ADULTO 1501-2000 ML, PRESENTACION: UNIDAD</v>
      </c>
      <c r="D27" s="113"/>
      <c r="E27" s="113"/>
      <c r="F27" s="113"/>
      <c r="G27" s="113"/>
      <c r="H27" s="59" t="s">
        <v>56</v>
      </c>
      <c r="I27" s="60" t="str">
        <f>'Necesidades Trimestrales'!F25</f>
        <v>UNIDAD</v>
      </c>
      <c r="J27" s="61">
        <f>'Necesidades Trimestrales'!H25</f>
        <v>15500</v>
      </c>
      <c r="K27" s="62">
        <f>'Necesidades Trimestrales'!G25</f>
        <v>60</v>
      </c>
    </row>
    <row r="28" spans="1:1024" ht="20.25" customHeight="1" thickBot="1" x14ac:dyDescent="0.25">
      <c r="A28" s="114" t="s">
        <v>115</v>
      </c>
      <c r="B28" s="114"/>
      <c r="C28" s="114"/>
      <c r="D28" s="114"/>
      <c r="E28" s="114"/>
      <c r="F28" s="114"/>
      <c r="G28" s="114"/>
      <c r="H28" s="114"/>
      <c r="I28" s="114"/>
      <c r="J28" s="115">
        <f>SUMPRODUCT(J12:J27,K12:K27)</f>
        <v>4273810.4000000004</v>
      </c>
      <c r="K28" s="115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</sheetData>
  <mergeCells count="3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8:I28"/>
    <mergeCell ref="J28:K2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1" zoomScale="130" zoomScaleNormal="130" workbookViewId="0">
      <selection activeCell="A25" sqref="A25:Q2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50" t="s">
        <v>3</v>
      </c>
      <c r="B1" s="150"/>
      <c r="C1" s="150"/>
      <c r="D1" s="151">
        <f>'Necesidades Trimestrales'!C6</f>
        <v>2022</v>
      </c>
      <c r="E1" s="151"/>
      <c r="F1" s="10"/>
      <c r="G1" s="10"/>
      <c r="H1" s="11"/>
      <c r="I1" s="11"/>
      <c r="J1" s="11"/>
      <c r="K1" s="11"/>
      <c r="L1" s="11"/>
      <c r="M1" s="11"/>
      <c r="N1" s="11"/>
      <c r="P1" s="152" t="s">
        <v>30</v>
      </c>
      <c r="Q1" s="15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52"/>
      <c r="Q2" s="152"/>
    </row>
    <row r="4" spans="1:17" s="12" customFormat="1" ht="18" customHeight="1" thickBot="1" x14ac:dyDescent="0.25">
      <c r="A4" s="153" t="s">
        <v>31</v>
      </c>
      <c r="B4" s="153"/>
      <c r="C4" s="153"/>
      <c r="D4" s="153"/>
      <c r="E4" s="153"/>
      <c r="F4" s="153"/>
      <c r="G4" s="148" t="str">
        <f>NotaPedido!D3</f>
        <v>40 - Ministerio de Salud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</row>
    <row r="5" spans="1:17" s="12" customFormat="1" ht="18" customHeight="1" thickBot="1" x14ac:dyDescent="0.25">
      <c r="A5" s="145" t="s">
        <v>54</v>
      </c>
      <c r="B5" s="146"/>
      <c r="C5" s="146"/>
      <c r="D5" s="146"/>
      <c r="E5" s="146"/>
      <c r="F5" s="147"/>
      <c r="G5" s="148" t="str">
        <f>NotaPedido!D4</f>
        <v>23 - Hospital Interzonal San Juan Bautista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s="12" customFormat="1" ht="18" customHeight="1" thickBot="1" x14ac:dyDescent="0.25">
      <c r="A6" s="145" t="s">
        <v>32</v>
      </c>
      <c r="B6" s="146"/>
      <c r="C6" s="146"/>
      <c r="D6" s="146"/>
      <c r="E6" s="146"/>
      <c r="F6" s="147"/>
      <c r="G6" s="148" t="str">
        <f>NotaPedido!D5</f>
        <v>168 - Direccion Asistencial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s="12" customFormat="1" ht="18" customHeight="1" thickBot="1" x14ac:dyDescent="0.25">
      <c r="A7" s="145" t="s">
        <v>55</v>
      </c>
      <c r="B7" s="146"/>
      <c r="C7" s="146"/>
      <c r="D7" s="146"/>
      <c r="E7" s="146"/>
      <c r="F7" s="147"/>
      <c r="G7" s="148" t="str">
        <f>NotaPedido!D6</f>
        <v>Servicio de Farmacia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</row>
    <row r="8" spans="1:17" ht="18" customHeight="1" thickBot="1" x14ac:dyDescent="0.25">
      <c r="A8" s="149" t="s">
        <v>33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  <row r="9" spans="1:17" ht="18" customHeight="1" x14ac:dyDescent="0.2">
      <c r="A9" s="139" t="s">
        <v>34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"/>
      <c r="P9" s="1"/>
      <c r="Q9" s="13"/>
    </row>
    <row r="10" spans="1:17" ht="54.75" customHeight="1" x14ac:dyDescent="0.2">
      <c r="A10" s="14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DOCFI-2022-02130441-CAT-DASIS#HSJB,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1" t="s">
        <v>35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x14ac:dyDescent="0.2">
      <c r="A13" s="142" t="s">
        <v>36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37</v>
      </c>
      <c r="P13" s="143"/>
      <c r="Q13" s="144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3"/>
      <c r="P14" s="143"/>
      <c r="Q14" s="144"/>
    </row>
    <row r="15" spans="1:17" ht="17.25" customHeight="1" x14ac:dyDescent="0.2">
      <c r="A15" s="65">
        <v>33</v>
      </c>
      <c r="B15" s="66"/>
      <c r="C15" s="66"/>
      <c r="D15" s="66">
        <v>2</v>
      </c>
      <c r="E15" s="66"/>
      <c r="F15" s="66">
        <v>4901</v>
      </c>
      <c r="G15" s="66">
        <v>3</v>
      </c>
      <c r="H15" s="67" t="s">
        <v>63</v>
      </c>
      <c r="I15" s="68">
        <v>2</v>
      </c>
      <c r="J15" s="68">
        <v>5</v>
      </c>
      <c r="K15" s="68">
        <v>1</v>
      </c>
      <c r="L15" s="66"/>
      <c r="M15" s="69">
        <v>1</v>
      </c>
      <c r="N15" s="67" t="s">
        <v>64</v>
      </c>
      <c r="O15" s="135" t="s">
        <v>61</v>
      </c>
      <c r="P15" s="135"/>
      <c r="Q15" s="23">
        <v>188950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3" t="s">
        <v>63</v>
      </c>
      <c r="I16" s="25">
        <v>2</v>
      </c>
      <c r="J16" s="25">
        <v>5</v>
      </c>
      <c r="K16" s="25">
        <v>2</v>
      </c>
      <c r="L16" s="25"/>
      <c r="M16" s="26">
        <v>1</v>
      </c>
      <c r="N16" s="64" t="s">
        <v>64</v>
      </c>
      <c r="O16" s="136" t="s">
        <v>62</v>
      </c>
      <c r="P16" s="136"/>
      <c r="Q16" s="28">
        <v>3883060.4</v>
      </c>
    </row>
    <row r="17" spans="1:19" ht="17.25" customHeight="1" x14ac:dyDescent="0.2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63" t="s">
        <v>63</v>
      </c>
      <c r="I17" s="25">
        <v>2</v>
      </c>
      <c r="J17" s="25">
        <v>9</v>
      </c>
      <c r="K17" s="25">
        <v>5</v>
      </c>
      <c r="L17" s="25"/>
      <c r="M17" s="26">
        <v>1</v>
      </c>
      <c r="N17" s="64" t="s">
        <v>64</v>
      </c>
      <c r="O17" s="137" t="s">
        <v>65</v>
      </c>
      <c r="P17" s="137"/>
      <c r="Q17" s="28">
        <v>201800</v>
      </c>
      <c r="S17" s="70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3"/>
      <c r="I18" s="25"/>
      <c r="J18" s="25"/>
      <c r="K18" s="25"/>
      <c r="L18" s="25"/>
      <c r="M18" s="26"/>
      <c r="N18" s="64"/>
      <c r="O18" s="138"/>
      <c r="P18" s="130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0"/>
      <c r="P19" s="130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31"/>
      <c r="P20" s="131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32"/>
      <c r="P21" s="132"/>
      <c r="Q21" s="37"/>
    </row>
    <row r="22" spans="1:19" ht="20.25" customHeight="1" x14ac:dyDescent="0.2">
      <c r="A22" s="133" t="s">
        <v>116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38">
        <f>SUM(Q15:Q21)</f>
        <v>4273810.4000000004</v>
      </c>
    </row>
    <row r="23" spans="1:19" ht="18" customHeight="1" thickBot="1" x14ac:dyDescent="0.25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</row>
    <row r="24" spans="1:19" ht="17.25" customHeight="1" thickBot="1" x14ac:dyDescent="0.25">
      <c r="A24" s="125" t="s">
        <v>52</v>
      </c>
      <c r="B24" s="126"/>
      <c r="C24" s="126"/>
      <c r="D24" s="126"/>
      <c r="E24" s="126"/>
      <c r="F24" s="127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9" ht="18" customHeight="1" thickBot="1" x14ac:dyDescent="0.25">
      <c r="A25" s="129" t="str">
        <f>"Para la "&amp; NotaPedido!D8 &amp;" para ser destinados al " &amp; NotaPedido!D6 &amp;"  del HISJB del Ministerio de Salud."</f>
        <v>Para la Adquisición de Insumos Desiertos y Fracasados para Farmacia  para ser destinados al Servicio de Farmacia  del HISJB del Ministerio de Salud.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</row>
    <row r="26" spans="1:19" ht="15" customHeight="1" x14ac:dyDescent="0.2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2022-11-03T16:39:36Z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