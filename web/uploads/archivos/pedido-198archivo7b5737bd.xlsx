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Desarrollo Social y Deportes\AÑO 2022\Adq.Alimentos-Espacio de 1ra Infancia\"/>
    </mc:Choice>
  </mc:AlternateContent>
  <xr:revisionPtr revIDLastSave="0" documentId="13_ncr:1_{40C902AC-FCB5-4232-84BE-E6004B3B34CA}" xr6:coauthVersionLast="47" xr6:coauthVersionMax="47" xr10:uidLastSave="{00000000-0000-0000-0000-000000000000}"/>
  <bookViews>
    <workbookView xWindow="-120" yWindow="-120" windowWidth="20730" windowHeight="11160" xr2:uid="{31F644FE-4BA0-465F-87EC-20A5979837AB}"/>
  </bookViews>
  <sheets>
    <sheet name="Control Items" sheetId="1" r:id="rId1"/>
    <sheet name="Especificidades" sheetId="2" r:id="rId2"/>
    <sheet name="Cronog.entregas" sheetId="3" r:id="rId3"/>
    <sheet name="S.G N°177-SAF 25" sheetId="4" r:id="rId4"/>
  </sheets>
  <definedNames>
    <definedName name="_xlnm._FilterDatabase" localSheetId="2" hidden="1">'Cronog.entregas'!$A$3:$O$65</definedName>
    <definedName name="_xlnm._FilterDatabase" localSheetId="1" hidden="1">Especificidades!$B$2:$D$64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5" i="3" l="1"/>
  <c r="L65" i="3" s="1"/>
  <c r="M65" i="3" s="1"/>
  <c r="I64" i="3"/>
  <c r="L64" i="3" s="1"/>
  <c r="M64" i="3" s="1"/>
  <c r="I63" i="3"/>
  <c r="L63" i="3" s="1"/>
  <c r="M63" i="3" s="1"/>
  <c r="I62" i="3"/>
  <c r="L62" i="3" s="1"/>
  <c r="M62" i="3" s="1"/>
  <c r="I61" i="3"/>
  <c r="L61" i="3" s="1"/>
  <c r="M61" i="3" s="1"/>
  <c r="I60" i="3"/>
  <c r="L60" i="3" s="1"/>
  <c r="M60" i="3" s="1"/>
  <c r="I59" i="3"/>
  <c r="L59" i="3" s="1"/>
  <c r="M59" i="3" s="1"/>
  <c r="I58" i="3"/>
  <c r="L58" i="3" s="1"/>
  <c r="M58" i="3" s="1"/>
  <c r="I57" i="3"/>
  <c r="L57" i="3" s="1"/>
  <c r="M57" i="3" s="1"/>
  <c r="I56" i="3"/>
  <c r="L56" i="3" s="1"/>
  <c r="M56" i="3" s="1"/>
  <c r="I55" i="3"/>
  <c r="L55" i="3" s="1"/>
  <c r="M55" i="3" s="1"/>
  <c r="I54" i="3"/>
  <c r="L54" i="3" s="1"/>
  <c r="M54" i="3" s="1"/>
  <c r="I53" i="3"/>
  <c r="L53" i="3" s="1"/>
  <c r="M53" i="3" s="1"/>
  <c r="I52" i="3"/>
  <c r="L52" i="3" s="1"/>
  <c r="M52" i="3" s="1"/>
  <c r="I51" i="3"/>
  <c r="L51" i="3" s="1"/>
  <c r="M51" i="3" s="1"/>
  <c r="I50" i="3"/>
  <c r="L50" i="3" s="1"/>
  <c r="M50" i="3" s="1"/>
  <c r="I49" i="3"/>
  <c r="L49" i="3" s="1"/>
  <c r="M49" i="3" s="1"/>
  <c r="I48" i="3"/>
  <c r="L48" i="3" s="1"/>
  <c r="M48" i="3" s="1"/>
  <c r="I47" i="3"/>
  <c r="L47" i="3" s="1"/>
  <c r="M47" i="3" s="1"/>
  <c r="I46" i="3"/>
  <c r="L46" i="3" s="1"/>
  <c r="M46" i="3" s="1"/>
  <c r="I45" i="3"/>
  <c r="L45" i="3" s="1"/>
  <c r="M45" i="3" s="1"/>
  <c r="I44" i="3"/>
  <c r="L44" i="3" s="1"/>
  <c r="M44" i="3" s="1"/>
  <c r="I43" i="3"/>
  <c r="L43" i="3" s="1"/>
  <c r="M43" i="3" s="1"/>
  <c r="I42" i="3"/>
  <c r="L42" i="3" s="1"/>
  <c r="M42" i="3" s="1"/>
  <c r="I41" i="3"/>
  <c r="L41" i="3" s="1"/>
  <c r="M41" i="3" s="1"/>
  <c r="I40" i="3"/>
  <c r="L40" i="3" s="1"/>
  <c r="M40" i="3" s="1"/>
  <c r="I39" i="3"/>
  <c r="L39" i="3" s="1"/>
  <c r="M39" i="3" s="1"/>
  <c r="I38" i="3"/>
  <c r="L38" i="3" s="1"/>
  <c r="M38" i="3" s="1"/>
  <c r="I37" i="3"/>
  <c r="L37" i="3" s="1"/>
  <c r="M37" i="3" s="1"/>
  <c r="I36" i="3"/>
  <c r="L36" i="3" s="1"/>
  <c r="M36" i="3" s="1"/>
  <c r="I35" i="3"/>
  <c r="L35" i="3" s="1"/>
  <c r="M35" i="3" s="1"/>
  <c r="I34" i="3"/>
  <c r="L34" i="3" s="1"/>
  <c r="M34" i="3" s="1"/>
  <c r="I33" i="3"/>
  <c r="L33" i="3" s="1"/>
  <c r="M33" i="3" s="1"/>
  <c r="I32" i="3"/>
  <c r="L32" i="3" s="1"/>
  <c r="M32" i="3" s="1"/>
  <c r="I31" i="3"/>
  <c r="L31" i="3" s="1"/>
  <c r="M31" i="3" s="1"/>
  <c r="I30" i="3"/>
  <c r="L30" i="3" s="1"/>
  <c r="M30" i="3" s="1"/>
  <c r="I29" i="3"/>
  <c r="L29" i="3" s="1"/>
  <c r="M29" i="3" s="1"/>
  <c r="I28" i="3"/>
  <c r="L28" i="3" s="1"/>
  <c r="M28" i="3" s="1"/>
  <c r="I27" i="3"/>
  <c r="L27" i="3" s="1"/>
  <c r="M27" i="3" s="1"/>
  <c r="I26" i="3"/>
  <c r="L26" i="3" s="1"/>
  <c r="M26" i="3" s="1"/>
  <c r="I25" i="3"/>
  <c r="L25" i="3" s="1"/>
  <c r="M25" i="3" s="1"/>
  <c r="I24" i="3"/>
  <c r="L24" i="3" s="1"/>
  <c r="M24" i="3" s="1"/>
  <c r="I23" i="3"/>
  <c r="L23" i="3" s="1"/>
  <c r="M23" i="3" s="1"/>
  <c r="I22" i="3"/>
  <c r="L22" i="3" s="1"/>
  <c r="M22" i="3" s="1"/>
  <c r="I21" i="3"/>
  <c r="L21" i="3" s="1"/>
  <c r="M21" i="3" s="1"/>
  <c r="I20" i="3"/>
  <c r="L20" i="3" s="1"/>
  <c r="M20" i="3" s="1"/>
  <c r="I19" i="3"/>
  <c r="L19" i="3" s="1"/>
  <c r="M19" i="3" s="1"/>
  <c r="I18" i="3"/>
  <c r="L18" i="3" s="1"/>
  <c r="M18" i="3" s="1"/>
  <c r="I17" i="3"/>
  <c r="L17" i="3" s="1"/>
  <c r="M17" i="3" s="1"/>
  <c r="I16" i="3"/>
  <c r="L16" i="3" s="1"/>
  <c r="M16" i="3" s="1"/>
  <c r="I15" i="3"/>
  <c r="L15" i="3" s="1"/>
  <c r="M15" i="3" s="1"/>
  <c r="I14" i="3"/>
  <c r="L14" i="3" s="1"/>
  <c r="M14" i="3" s="1"/>
  <c r="I13" i="3"/>
  <c r="L13" i="3" s="1"/>
  <c r="M13" i="3" s="1"/>
  <c r="I12" i="3"/>
  <c r="L12" i="3" s="1"/>
  <c r="M12" i="3" s="1"/>
  <c r="I11" i="3"/>
  <c r="L11" i="3" s="1"/>
  <c r="M11" i="3" s="1"/>
  <c r="I10" i="3"/>
  <c r="L10" i="3" s="1"/>
  <c r="M10" i="3" s="1"/>
  <c r="I9" i="3"/>
  <c r="L9" i="3" s="1"/>
  <c r="M9" i="3" s="1"/>
  <c r="I8" i="3"/>
  <c r="L8" i="3" s="1"/>
  <c r="M8" i="3" s="1"/>
  <c r="I7" i="3"/>
  <c r="L7" i="3" s="1"/>
  <c r="M7" i="3" s="1"/>
  <c r="I6" i="3"/>
  <c r="L6" i="3" s="1"/>
  <c r="M6" i="3" s="1"/>
  <c r="I5" i="3"/>
  <c r="L5" i="3" s="1"/>
  <c r="M5" i="3" s="1"/>
  <c r="I4" i="3"/>
  <c r="L4" i="3" s="1"/>
  <c r="M4" i="3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4" i="2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<sst xmlns="http://schemas.openxmlformats.org/spreadsheetml/2006/main" count="1100" uniqueCount="342">
  <si>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</si>
  <si>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</si>
  <si>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</si>
  <si>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</si>
  <si>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</si>
  <si>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</si>
  <si>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</si>
  <si>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</si>
  <si>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>2.1.1-541.7</t>
  </si>
  <si>
    <t>ALIMENTOS</t>
  </si>
  <si>
    <t>2.1.1</t>
  </si>
  <si>
    <t>CARNES; ESPECIE: VACUNA, CORTE: PICADA ESPECIAL, TIPO: VACUNA</t>
  </si>
  <si>
    <t>KG</t>
  </si>
  <si>
    <t>2.1.1-541.154</t>
  </si>
  <si>
    <t>CARNES; ESPECIE: CARNE VACUNA, CORTE: MILANESA NALGA, TIPO: CARNE VACUNA</t>
  </si>
  <si>
    <t>2.1.1-541.134</t>
  </si>
  <si>
    <t>CARNES; ESPECIE: CARNE VACUNA, CORTE: CUAD,CARN,C.DE LOMO,Y OTROS, TIPO: CARNE VACUNA</t>
  </si>
  <si>
    <t>2.1.1-621.15</t>
  </si>
  <si>
    <t>AVES; ESPECIE: PECHUGA DE POLLO, PRESENTACION: A GRANEL, EVISCERADO: SIN MENUDOS, TIPO: PECHUGA DE POLLO</t>
  </si>
  <si>
    <t>2.1.1-621.19</t>
  </si>
  <si>
    <t>AVES; TIPO: POLLO, PRESENTACION: PATA MUSLO, EVISCERADO: SI, ELEM. TRANSPORTE: SIN, MATERIAL ELEM. TRANSPORTE: SIN, LIBRE DE GLUTEN: SIN VALOR</t>
  </si>
  <si>
    <t>2.1.1-6546.100</t>
  </si>
  <si>
    <t>VERDURAS Y HORTALIZAS; ESTADO: NATURAL, PRESENTACION: GRANEL, VARIEDAD: PAPA BLANCA, PESO: SIN VALOR</t>
  </si>
  <si>
    <t>2.1.1-6546.46</t>
  </si>
  <si>
    <t>VERDURAS Y HORTALIZAS; VARIEDAD: CEBOLLA, ESTADO: NATURAL, PRESENTACION: GRANEL, PESO: SIN VALOR</t>
  </si>
  <si>
    <t>2.1.1-6546.1</t>
  </si>
  <si>
    <t>VERDURAS Y HORTALIZAS; VARIEDAD: TOMATE PERITA, ESTADO: NATURAL, PRESENTACION: GRANEL, PESO: SIN VALOR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</si>
  <si>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</si>
  <si>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</si>
  <si>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BOLSA</t>
  </si>
  <si>
    <t>2.1.1-6546.158</t>
  </si>
  <si>
    <t>VERDURAS Y HORTALIZAS; ESTADO: NATURAL, VARIEDAD: ZAPALLO ANCO, PRESENTACION: GRANEL, PESO: SIN VALOR</t>
  </si>
  <si>
    <t>2.1.1-6546.162</t>
  </si>
  <si>
    <t>VERDURAS Y HORTALIZAS; VARIEDAD: ZAPALLO CRIOLLO, ESTADO: NATURAL, PRESENTACION: UNIDAD, PESO: SIN VALOR</t>
  </si>
  <si>
    <t>2.1.1-6546.150</t>
  </si>
  <si>
    <t>VERDURAS Y HORTALIZAS; ESTADO: NATURAL, PESO: SIN VALOR, VARIEDAD: ZAPALLITO REDONDO, PRESENTACION: GRANEL</t>
  </si>
  <si>
    <t>2.1.1-6546.34</t>
  </si>
  <si>
    <t>VERDURAS Y HORTALIZAS; VARIEDAD: ACELGA, ESTADO: EN HOJA, PRESENTACION: ATADO, PESO: SIN VALOR</t>
  </si>
  <si>
    <t>UNIDAD</t>
  </si>
  <si>
    <t>2.1.1-6539.16</t>
  </si>
  <si>
    <t>FRUTAS; VARIEDAD: MANZANA RED DELICIOSA, ESTADO: NATURAL, PRESENTACION: GRANEL, PESO: SIN VALOR</t>
  </si>
  <si>
    <t>2.1.1-6539.7</t>
  </si>
  <si>
    <t>FRUTAS; ESTADO: NATURAL, VARIEDAD: NARANJA PARA JUGO, PRESENTACION: A GRANEL, PESO: SIN VALOR</t>
  </si>
  <si>
    <t>2.1.1-6539.29</t>
  </si>
  <si>
    <t>FRUTAS; VARIEDAD: BANANA, ESTADO: NATURAL, PRESENTACION: GRANEL, PESO: SIN VALOR</t>
  </si>
  <si>
    <t>2.1.1-6539.31</t>
  </si>
  <si>
    <t>FRUTAS; VARIEDAD: PERA AMARILLA, PRESENTACION: GRANEL, ESTADO: NATURAL, PESO: SIN VALOR</t>
  </si>
  <si>
    <t>2.1.1-669.25</t>
  </si>
  <si>
    <t>PANES; TIPO: RALLADO, PRESENTACION: BOLSA DE 1000 GR</t>
  </si>
  <si>
    <t>2.1.1-542.207</t>
  </si>
  <si>
    <t>QUESOS; TIPO: SARDO, PRESENTACION: HORMA X 3 Kg, ELEM. TRANSPORTE: SIN, MATERIAL ELEM. TRANSPORTE: SIN, MATERIAL ENVASE: SIN, CERTIFICADO FORESTAL (GFS): SIN, LIBRE DE GLUTEN: NO</t>
  </si>
  <si>
    <t>2.1.1-542.205</t>
  </si>
  <si>
    <t>QUESOS; TIPO: CREMOSO, PRESENTACION: ENVASE X 4 Kg, ELEM. TRANSPORTE: SIN, MATERIAL ELEM. TRANSPORTE: SIN, MATERIAL ENVASE: BOLSA TERMOCONTRAIBLE, CERTIFICADO FORESTAL (GFS): SIN, LIBRE DE GLUTEN: SI</t>
  </si>
  <si>
    <t>2.1.1-434.12</t>
  </si>
  <si>
    <t>MARGARINAS; TIPO: VEGETAL, ENVASE: PAPEL, PESO UNITARIO: PAPEL X 500 GR, PRESENTACION: PAPEL X 500 GR</t>
  </si>
  <si>
    <t>2.1.1-456.22</t>
  </si>
  <si>
    <t>YOGHURT; CAPACIDAD: 1 L, SABOR: FRUTILLA, TIPO: ENTERO, ENVASE: SACHET, AGREGADO: SIN VALOR, CONSISTENCIA: BEBIBLE, PRESENTACION: SACHET X 1 L</t>
  </si>
  <si>
    <t>SACHET</t>
  </si>
  <si>
    <t>2.1.1-483.33</t>
  </si>
  <si>
    <t>HUEVO DE GALLINA; TAMAÑO: MEDIANOS, COLOR: BLANCOS, PRESENTACION: 30</t>
  </si>
  <si>
    <t>MAPLE</t>
  </si>
  <si>
    <t>2.1.1-6546.95</t>
  </si>
  <si>
    <t>VERDURAS Y HORTALIZAS; VARIEDAD: MORRON VERDE, ESTADO: NATURAL, PRESENTACION: GRANEL, PESO: SIN VALOR</t>
  </si>
  <si>
    <t>2.1.1-6546.401</t>
  </si>
  <si>
    <t>VERDURAS Y HORTALIZAS; VARIEDAD: AJO, ESTADO: NATURAL, PRESENTACION: UNIDAD, PESO: NO CORRESPONDE, ELEM. TRANSPORTE: SIN, MATERIAL ELEM. TRANSPORTE: SIN, LIBRE DE GLUTEN: SI, ORGANICO: NO</t>
  </si>
  <si>
    <t>CABEZA</t>
  </si>
  <si>
    <t>2.1.1-481.38</t>
  </si>
  <si>
    <t>AZUCARES; TIPO: "A" COMUN, ESTADO: MOLIDA, PESO: 1 Kg, MATERIAL ENVASE: PLASTICO, CERTIFICADO FORESTAL (GFS): SIN, ELEM. TRANSPORTE: SIN, MATERIAL ELEM. TRANSPORTE: SIN</t>
  </si>
  <si>
    <t>2.1.1-454.26</t>
  </si>
  <si>
    <t>YERBAS; PALO: CON, PESO: 500 GR, MATERIAL ENVASE : PAPEL, CERTIFICADO FORESTAL (GFS): CON, ELEM. TRANSPORTE: SIN, MATERIAL ELEM. TRANSPORTE: SIN, LIBRE DE GLUTEN: SI</t>
  </si>
  <si>
    <t>2.1.1-439.67</t>
  </si>
  <si>
    <t>ACEITES COMESTIBLES; TIPO: GIRASOL, PRESENTACION: ENVASE X 900 CM3, MATERIAL ENVASE: PLASTICO 1 (PET), ELEM. TRANSPORTE: SIN, MATERIAL ELEM. TRANSPORTE : SIN, LIBRE DE GLUTEN: NO</t>
  </si>
  <si>
    <t>POTE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</si>
  <si>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</si>
  <si>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</si>
  <si>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</si>
  <si>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</si>
  <si>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</si>
  <si>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</si>
  <si>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</si>
  <si>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</si>
  <si>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</si>
  <si>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</si>
  <si>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2.1.1-482.70</t>
  </si>
  <si>
    <t>HARINAS; TIPO: 000, PRESENTACION: ENVASE X 1 Kg, MATERIAL ENVASE: PAPEL, CERTICADO FORESTAL (GFS): SI, ELEM. TRANSPORTE: SIN, MATERIAL ELEM. TRANSPORTE: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</si>
  <si>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</si>
  <si>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</si>
  <si>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</si>
  <si>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</si>
  <si>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</si>
  <si>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2.1.1-2431.31</t>
  </si>
  <si>
    <t>CALDOS; GUSTO: CARNE, TIPO: DESHIDRATADO, PRESENTACION: CAJA CON CUBOS X 9,5 GR, LIBRE DE GLUTEN: NO</t>
  </si>
  <si>
    <t>CAJA</t>
  </si>
  <si>
    <t>2.1.1-482.89</t>
  </si>
  <si>
    <t>HARINAS; TIPO: MAIZ PRECOCIDA O DE COCCION RAPIDA. PRESENTACION: ENVASE POR 500 GR. LIBRE DE GLUTEN: SI</t>
  </si>
  <si>
    <t>2.1.1-2126.13</t>
  </si>
  <si>
    <t>SEMOLAS; TIPO: VITINA, PRESENTACION: BOLSA, PESO: 500 GR, MATERIAL ENVASE: PLASTICO 1 (PET), CERTICADO FORESTAL (GFS): SIN, LIBRE DE GLUTEN: NO</t>
  </si>
  <si>
    <t>2.1.1-514.31</t>
  </si>
  <si>
    <t>SAL DE MESA; CONSISTENCIA: GRUESA, ENVASE: PAQUETE, PESO: 1 Kg, TIPO: COMUN, LIBRE DE GLUTEN: NO</t>
  </si>
  <si>
    <t>PAQUETE</t>
  </si>
  <si>
    <t>2.1.1-514.2</t>
  </si>
  <si>
    <t>SAL DE MESA; CONSISTENCIA: FINA, PESO: 500 GR, TIPO: SIN VALOR, ENVASE: PAQUETE</t>
  </si>
  <si>
    <t>2.1.1-6546.260</t>
  </si>
  <si>
    <t>VERDURAS Y HORTALIZAS; VARIEDAD: TOMATE, ESTADO: PURE, PRESENTACION: TETRABRIK, PESO: 520 GR</t>
  </si>
  <si>
    <t>2.1.1-6546.4</t>
  </si>
  <si>
    <t>VERDURAS Y HORTALIZAS; VARIEDAD: TOMATE PERITA, ESTADO: TRITURADO, PRESENTACION: BOTELLA, PESO: 950 GR</t>
  </si>
  <si>
    <t>BOTELLA</t>
  </si>
  <si>
    <t>2.1.1-519.24</t>
  </si>
  <si>
    <t>VINAGRES; TIPO: ALCOHOL, PRESENTACION: BOTELLA X 1  L, MATERIAL ENVASE: PLASTICO</t>
  </si>
  <si>
    <t>2.1.1-2124.8</t>
  </si>
  <si>
    <t>AVENAS; TIPO: INSTANTANEA, ESTADO: EXTRAFINA, PRESENTACION: ENVASE X 400 GR, PESO: SIN VALOR</t>
  </si>
  <si>
    <t>2.1.1-2616.9</t>
  </si>
  <si>
    <t>MAIZ; TIPO: BLANCO PISADO, PRESENTACION: ENVASE X 500 GR, FORMA DE PRESENTACION: SIN VALOR</t>
  </si>
  <si>
    <t>2.1.1-6547.31</t>
  </si>
  <si>
    <t>LEGUMBRES; VARIEDAD: POROTO ALUBIA, ESTADO: NATURAL, PRESENTACION: BOLSA PLASTICA, PESO: 500 GR</t>
  </si>
  <si>
    <t>2.1.1-708.23</t>
  </si>
  <si>
    <t>CONSERVAS PESCADO Y FRUTOS MAR; ESTADO: AL NATURAL, PESO: 380 GR, ENVASE: LATA, TIPO: CABALLA, ESPECIE: CABALLA</t>
  </si>
  <si>
    <t>2.1.1-489.67</t>
  </si>
  <si>
    <t>ESPECIAS; TIPO: PIMENTON, PRESENTACION: BOLSA DE 1 Kg</t>
  </si>
  <si>
    <t>2.1.1-489.109</t>
  </si>
  <si>
    <t>ESPECIAS; TIPO: PROVENZAL, PRESENTACION: PAQUETE X 1 Kg</t>
  </si>
  <si>
    <t>2.1.1-731.13</t>
  </si>
  <si>
    <t>CONSERVAS DE CARNE; TIPO: PICADILLO, PESO: 90 GR, VARIEDAD: SIN VALOR, ENVASE: LATA</t>
  </si>
  <si>
    <t>2.1.1-788.264</t>
  </si>
  <si>
    <t>GALLETITAS; VARIEDAD: VAINILLA, RELLENO: SIN, PRESENTACION: ENVASE X 150 GR, ELEM. TRANSPORTE: SIN, MATERIAL ELEM. TRANSPORTE: SIN, LIBRE DE GLUTEN: NO</t>
  </si>
  <si>
    <t>2.1.1-6539.47</t>
  </si>
  <si>
    <t>FRUTAS; VARIEDAD: DURAZNO, ESTADO: CONSERVA, PRESENTACION: ENVASE X 820 GR, PESO: 820 GR</t>
  </si>
  <si>
    <t>2.1.1-788.224</t>
  </si>
  <si>
    <t>GALLETITAS; VARIEDAD: SALADA, RELLENO: SIN, PRESENTACION: ENVASE X 275 GR, ELEM. TRANSPORTE: SIN, MATERIAL ELEM. TRANSPORTE: SIN, LIBRE DE GLUTEN: SI</t>
  </si>
  <si>
    <t>2.1.1-788.257</t>
  </si>
  <si>
    <t>GALLETITAS; VARIEDAD: DULCE, RELLENO: SIN, PRESENTACION: ENVASE X 400 GR, ELEM. TRANSPORTE: SIN, MATERIAL ELEM. TRANSPORTE: SIN, LIBRE DE GLUTEN: NO</t>
  </si>
  <si>
    <t>2.1.1-455.24</t>
  </si>
  <si>
    <t>DULCE DE LECHE; TIPO: COMUN, ENVASE: PLASTICO, CAPACIDAD: 1 Kg, PRESENTACION: ENVASE PLASTICO X 1 Kg</t>
  </si>
  <si>
    <t>2.1.1-2125.77</t>
  </si>
  <si>
    <t>MERMELADAS; SABOR: DURAZNO, TIPO: UNTABLE, PRESENTACION: ENVASE X 454 GR, MATERIAL ENVASE: VIDRIO, ELEM. TRANSPORTE: SIN, MATERIAL ELEM. TRANSPORTE: SIN, LIBRE DE GLUTEN: SI</t>
  </si>
  <si>
    <t>FRASCO</t>
  </si>
  <si>
    <t>2.1.1-513.9</t>
  </si>
  <si>
    <t>FLANES; PESO: 60 GR, ENVASE: CAJA CARTON, ESTADO PREPARACION: CON COCCION, SABOR: VAINILLA, TIPO: SIN VALOR, PRESENTACION: 60 GR</t>
  </si>
  <si>
    <t>2.1.1-513.8</t>
  </si>
  <si>
    <t>FLANES; PESO: ENVASE X 60 GR, ESTADO PREPARACION: CON COCCION, ENVASE: CAJA CARTON, TIPO: SIN VALOR, SABOR: DULCE DE LECHE, PRESENTACION: ENVASE X 60 GR</t>
  </si>
  <si>
    <t xml:space="preserve">CAJA </t>
  </si>
  <si>
    <t>2.1.1-510.67</t>
  </si>
  <si>
    <t>GELATINAS; TIPO: COMUN, PESO: 50 GR, SABOR: FRUTILLA, ENVASE: CAJA DE CARTON, LIBRE DE GLUTEN: SI</t>
  </si>
  <si>
    <t>2.1.1-510.63</t>
  </si>
  <si>
    <t>GELATINAS; TIPO: COMUN, PESO: 50 GR, SABOR: NARANJA, ENVASE: CAJA DE CARTON, LIBRE DE GLUTEN: NO</t>
  </si>
  <si>
    <t>2.1.1-3390.124</t>
  </si>
  <si>
    <t>JUGOS; TIPO: EN POLVO, SABOR: NARANJA, PRESENTACION: SOBRE X 20 GR, MATERIAL ENVASE: TETRAFILM, CERTIFICADO FORESTAL (GFS): SIN, LIBRE DE GLUTEN: SI</t>
  </si>
  <si>
    <t>SOBRE</t>
  </si>
  <si>
    <t xml:space="preserve">IMPORTE TOTAL ESTIMADO </t>
  </si>
  <si>
    <r>
      <rPr>
        <b/>
        <u/>
        <sz val="14"/>
        <color theme="1"/>
        <rFont val="Calibri"/>
        <family val="2"/>
        <scheme val="minor"/>
      </rPr>
      <t>NO-2022-00607753-CAT-DPGARH#MDS</t>
    </r>
    <r>
      <rPr>
        <b/>
        <sz val="14"/>
        <color theme="1"/>
        <rFont val="Calibri"/>
        <family val="2"/>
        <scheme val="minor"/>
      </rPr>
      <t xml:space="preserve"> (Adq.de alimentos para los Espacios de 1ra Infancia-MDS)</t>
    </r>
  </si>
  <si>
    <r>
      <rPr>
        <b/>
        <u/>
        <sz val="11"/>
        <color theme="1"/>
        <rFont val="Calibri"/>
        <family val="2"/>
        <scheme val="minor"/>
      </rPr>
      <t>Calidad Minima esperada:</t>
    </r>
    <r>
      <rPr>
        <sz val="11"/>
        <color theme="1"/>
        <rFont val="Calibri"/>
        <family val="2"/>
        <scheme val="minor"/>
      </rPr>
      <t xml:space="preserve"> ALTA</t>
    </r>
  </si>
  <si>
    <r>
      <rPr>
        <b/>
        <u/>
        <sz val="11"/>
        <color theme="1"/>
        <rFont val="Calibri"/>
        <family val="2"/>
        <scheme val="minor"/>
      </rPr>
      <t xml:space="preserve">Mantenimiento: </t>
    </r>
    <r>
      <rPr>
        <sz val="11"/>
        <color theme="1"/>
        <rFont val="Calibri"/>
        <family val="2"/>
        <scheme val="minor"/>
      </rPr>
      <t>90 DÍAS</t>
    </r>
  </si>
  <si>
    <r>
      <rPr>
        <b/>
        <u/>
        <sz val="11"/>
        <color theme="1"/>
        <rFont val="Calibri"/>
        <family val="2"/>
        <scheme val="minor"/>
      </rPr>
      <t>Garantia:</t>
    </r>
    <r>
      <rPr>
        <sz val="11"/>
        <color theme="1"/>
        <rFont val="Calibri"/>
        <family val="2"/>
        <scheme val="minor"/>
      </rPr>
      <t xml:space="preserve"> S/E</t>
    </r>
  </si>
  <si>
    <t>Especificidades Item N° 1:</t>
  </si>
  <si>
    <t xml:space="preserve">CARNE VACUNA PICADA </t>
  </si>
  <si>
    <t>Especificidades Item N° 2:</t>
  </si>
  <si>
    <t xml:space="preserve">CARNE VACUNA NALGA CORTADA PARA MILANESAS </t>
  </si>
  <si>
    <t>Especificidades Item N° 3:</t>
  </si>
  <si>
    <t xml:space="preserve">CARNE VACUNA CUADRADA EN TROZO </t>
  </si>
  <si>
    <t>Especificidades Item N° 4:</t>
  </si>
  <si>
    <t xml:space="preserve">PECHUGA DE POLLO SIN VICERAS; SIN MENUDOS </t>
  </si>
  <si>
    <t>Especificidades Item N° 5:</t>
  </si>
  <si>
    <t xml:space="preserve"> PATA MUSLO DE POLLO SIN VICERAS; SIN MENUDOS</t>
  </si>
  <si>
    <t>Especificidades Item N° 6:</t>
  </si>
  <si>
    <t xml:space="preserve"> PAPA CEPILLADA, ESTADO: NATURAL, PRESENTACION: GRANEL, PESO: SIN VALOR</t>
  </si>
  <si>
    <t>Especificidades Item N° 7:</t>
  </si>
  <si>
    <t>CEBOLLA BLANCA X KILOGRAMOS</t>
  </si>
  <si>
    <t>Especificidades Item N° 8:</t>
  </si>
  <si>
    <t xml:space="preserve">TOMATE PERITA X KILOGRAMO </t>
  </si>
  <si>
    <t>Especificidades Item N° 9:</t>
  </si>
  <si>
    <t>BOLSA X 1 KILOGRAMO - PESO APROXIMADO POR CADA ZANHORIA 100 GRS</t>
  </si>
  <si>
    <t>Especificidades Item N° 10:</t>
  </si>
  <si>
    <t>ZAPALLO ANCO -PESO APROXIMADO POR UNIDAD 1,500 GRAMOS</t>
  </si>
  <si>
    <t>Especificidades Item N° 11:</t>
  </si>
  <si>
    <t xml:space="preserve">ZAPALLO CRIOLLO </t>
  </si>
  <si>
    <t>Especificidades Item N° 12:</t>
  </si>
  <si>
    <t xml:space="preserve">ZAPALLITO VERDE REDONDO TIERNO </t>
  </si>
  <si>
    <t>Especificidades Item N° 13:</t>
  </si>
  <si>
    <t xml:space="preserve">ACELGA EN HOJA - ATADO X 500 GRS APROXIMADO </t>
  </si>
  <si>
    <t>Especificidades Item N° 14:</t>
  </si>
  <si>
    <t>MANZANA  - PESO APROXIMADO POR MANZANA 200 GRS</t>
  </si>
  <si>
    <t>Especificidades Item N° 15:</t>
  </si>
  <si>
    <t xml:space="preserve">NARANJA CRIOLLA PARA JUGO PESO APROXIMADO POR NARANJA 200 GRS </t>
  </si>
  <si>
    <t>Especificidades Item N° 16:</t>
  </si>
  <si>
    <t xml:space="preserve"> BANANA PESO  APROXIMADO 200 GRS POR CADA BANANA </t>
  </si>
  <si>
    <t>Especificidades Item N° 17:</t>
  </si>
  <si>
    <t xml:space="preserve">PERA AMARILLA PESO 166,66 GRS APROXIMADO X PERA </t>
  </si>
  <si>
    <t>Especificidades Item N° 18:</t>
  </si>
  <si>
    <t>PAN RALLADO BOLSA X 1.000 GRS</t>
  </si>
  <si>
    <t>Especificidades Item N° 19:</t>
  </si>
  <si>
    <t xml:space="preserve">QUESOS SARDO PIEZA X 3 KILOGRAMOS APROXIMADOS </t>
  </si>
  <si>
    <t>Especificidades Item N° 20:</t>
  </si>
  <si>
    <t>QUESO CREMOSO; PIEZA X 4 KILOGRAMOS APROXIMADOS</t>
  </si>
  <si>
    <t>Especificidades Item N° 21:</t>
  </si>
  <si>
    <t>MARGARINA VEGETAL ENVASE X 500 GRS</t>
  </si>
  <si>
    <t>Especificidades Item N° 22:</t>
  </si>
  <si>
    <t>YOGHURT BEBIBLE SABOR FRUTILLA - SACHET X 1 LITRO</t>
  </si>
  <si>
    <t>Especificidades Item N° 23:</t>
  </si>
  <si>
    <t>HUEVOS DE GALLINA TAMAÑO MEDIANO - MAPLE X 30 UNIDADES</t>
  </si>
  <si>
    <t>Especificidades Item N° 24:</t>
  </si>
  <si>
    <t xml:space="preserve">MORRON VERDE - PESO APROXIMADO 200 GRS POR CADA MORRON </t>
  </si>
  <si>
    <t>Especificidades Item N° 25:</t>
  </si>
  <si>
    <t xml:space="preserve">AJO - PESO APROXIMADO 120 GRS X CABEZA </t>
  </si>
  <si>
    <t>Especificidades Item N° 26:</t>
  </si>
  <si>
    <t>AZUCAR TIPO  "A"X 1 KILOGRAMO</t>
  </si>
  <si>
    <t>Especificidades Item N° 27:</t>
  </si>
  <si>
    <t>YERBA CON PALO X  500 GR</t>
  </si>
  <si>
    <t>Especificidades Item N° 28:</t>
  </si>
  <si>
    <t xml:space="preserve">ACEITE COMESTIBLE DE GIRASOL - POTE X 900 CC </t>
  </si>
  <si>
    <t>Especificidades Item N° 29:</t>
  </si>
  <si>
    <t xml:space="preserve">ARROZ LARGO FINO - BLANCO X 1 KILOGRAMO </t>
  </si>
  <si>
    <t>Especificidades Item N° 30:</t>
  </si>
  <si>
    <t>FIDEOS GUISEROS "TIRABUZON"  X 500 GRS</t>
  </si>
  <si>
    <t>Especificidades Item N° 31:</t>
  </si>
  <si>
    <t>FIDEOS SECOS SOPERO "MUNICIONES" ENVASE X 500 GR</t>
  </si>
  <si>
    <t>Especificidades Item N° 32:</t>
  </si>
  <si>
    <t>FIDEOS SECOS CABELLO DE ANGEL ENVASE X 500 GRS</t>
  </si>
  <si>
    <t>Especificidades Item N° 33:</t>
  </si>
  <si>
    <t>FIDEOS SECOS TIPO TALLARIN  ENVASE X 500 GR</t>
  </si>
  <si>
    <t>Especificidades Item N° 34:</t>
  </si>
  <si>
    <t>HARINA DE TRIGO 000 X 1 KILOGRAMO</t>
  </si>
  <si>
    <t>Especificidades Item N° 35:</t>
  </si>
  <si>
    <t>HARINA LEUDANTE X 1 KILOGRAMO</t>
  </si>
  <si>
    <t>Especificidades Item N° 36:</t>
  </si>
  <si>
    <t xml:space="preserve">ARVEJA REMOJADA; LATA X 350 GRS </t>
  </si>
  <si>
    <t>Especificidades Item N° 37:</t>
  </si>
  <si>
    <t>CALDOS DESHIDRATADO EN CUBO PESO APROXIMADO 9,5 GRS - CAJA X 12 UNIDADES</t>
  </si>
  <si>
    <t>Especificidades Item N° 38:</t>
  </si>
  <si>
    <t>HARINAS DE MAIZ PRE-COCIDA -DE COCCION RAPIDA X 500 GRS</t>
  </si>
  <si>
    <t>Especificidades Item N° 39:</t>
  </si>
  <si>
    <t>SEMOLA DE TRIGO TIPO VITINA X  500 GR</t>
  </si>
  <si>
    <t>Especificidades Item N° 40</t>
  </si>
  <si>
    <t xml:space="preserve">SAL GRUESA DE MESA PAQUETE X  1 Kg, </t>
  </si>
  <si>
    <t>Especificidades Item N° 41</t>
  </si>
  <si>
    <t>SAL FINA DE MESA PAQUETE  X 500 GR</t>
  </si>
  <si>
    <t>Especificidades Item N° 42</t>
  </si>
  <si>
    <t xml:space="preserve">PURE DE TOMATE CAJA X 520 GRS </t>
  </si>
  <si>
    <t>Especificidades Item N° 43</t>
  </si>
  <si>
    <t>TOMATE PERITA TRITURADO BOTELLA X 950 GRS</t>
  </si>
  <si>
    <t xml:space="preserve">Especificidades Item N° 44 </t>
  </si>
  <si>
    <t>VINAGRE DE ALCOHOL BOTELLA X 1  LITRO</t>
  </si>
  <si>
    <t>Especificidades Item N° 45</t>
  </si>
  <si>
    <t>AVENA INSTANTANEA EXTRAFINA ENVASE X 400 GR</t>
  </si>
  <si>
    <t>Especificidades Item N° 46</t>
  </si>
  <si>
    <t xml:space="preserve">MAIZ BLANCO PISADO  X 500 GRS </t>
  </si>
  <si>
    <t>Especificidades Item N° 47</t>
  </si>
  <si>
    <t xml:space="preserve"> POROTO ALUBIA BOLSA X 500 GR</t>
  </si>
  <si>
    <t>Especificidades Item N° 48</t>
  </si>
  <si>
    <t>CABALLA  AL NATURAL LATA X 380 GRS</t>
  </si>
  <si>
    <t>Especificidades Item N° 49</t>
  </si>
  <si>
    <t>PIMENTON BOLSA X 1 KILOGRAMO</t>
  </si>
  <si>
    <t>Especificidades Item N° 50</t>
  </si>
  <si>
    <t>PROVENZAL PAQUETE X 1 KILOGRAMO</t>
  </si>
  <si>
    <t>Especificidades Item N° 51</t>
  </si>
  <si>
    <t xml:space="preserve"> PICADILLO DE CARNE LATA X 90 GRS</t>
  </si>
  <si>
    <t>Especificidades Item N° 52</t>
  </si>
  <si>
    <t>GALLETITAS TIPO VAINILLA SIN RELLENO ENVASE X 150 GR</t>
  </si>
  <si>
    <t>Especificidades Item N° 53</t>
  </si>
  <si>
    <t xml:space="preserve"> DURAZNO EN ALMIBAR LATA X 820 GRS</t>
  </si>
  <si>
    <t>Especificidades Item N° 54</t>
  </si>
  <si>
    <t>GALLETITAS SALADAS PAQUETE X 275 GRAMOS</t>
  </si>
  <si>
    <t>Especificidades Item N° 55</t>
  </si>
  <si>
    <t xml:space="preserve">GALLETAS DULCES TIPO VARIEDAD PAQUETE X 400 GRS </t>
  </si>
  <si>
    <t>Especificidades Item N° 56</t>
  </si>
  <si>
    <t>DULCE DE LECHE - POTE X 1 KILOGRAMO</t>
  </si>
  <si>
    <t>Especificidades Item N° 57</t>
  </si>
  <si>
    <t>MERMELADA SABOR DURAZNO FRASCO DE VIDRIO X 454 GRS</t>
  </si>
  <si>
    <t>Especificidades Item N° 58</t>
  </si>
  <si>
    <t>FLAN SABOR VAINILLA CAJA X  60 GR</t>
  </si>
  <si>
    <t>Especificidades Item N° 59</t>
  </si>
  <si>
    <t xml:space="preserve">FLAN SABOR DULCE DE LECHE CAJA X 60 GRS </t>
  </si>
  <si>
    <t>Especificidades Item N° 60</t>
  </si>
  <si>
    <t>Especificidades Item N° 61</t>
  </si>
  <si>
    <t>Especificidades Item N° 62</t>
  </si>
  <si>
    <t>especificidades</t>
  </si>
  <si>
    <t>descripción</t>
  </si>
  <si>
    <t>CAF  Nº 1 - 1.000 vv</t>
  </si>
  <si>
    <t>CAF Nº II - EPI</t>
  </si>
  <si>
    <t>NIÑARY</t>
  </si>
  <si>
    <t>KUSICUNA</t>
  </si>
  <si>
    <t>WAWA WASI</t>
  </si>
  <si>
    <t>SEMANAL</t>
  </si>
  <si>
    <t xml:space="preserve">SEMANAL </t>
  </si>
  <si>
    <t xml:space="preserve">MENSUAL </t>
  </si>
  <si>
    <t>MENSUAL</t>
  </si>
  <si>
    <t>Observaciones</t>
  </si>
  <si>
    <t>CAF  Nº 1 - 1.000vv</t>
  </si>
  <si>
    <t>ÍTEMS</t>
  </si>
  <si>
    <t>Tipo de distribución</t>
  </si>
  <si>
    <t>INSTITUCIONES</t>
  </si>
  <si>
    <t>Subtotal 1</t>
  </si>
  <si>
    <t>Total mensual</t>
  </si>
  <si>
    <t>Total Trimestral</t>
  </si>
  <si>
    <t>Control</t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</si>
  <si>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38 KILOGRAMOS POR SEMANA</t>
    </r>
    <r>
      <rPr>
        <sz val="8"/>
        <color theme="1"/>
        <rFont val="Calibri"/>
        <family val="2"/>
        <scheme val="minor"/>
      </rPr>
      <t xml:space="preserve"> ( DISTRIBUIDOS SEGÚN DETALLE PARA CADA INSTITUCION)   LO QUE HACE UNA SUMA DE 152 KILOGRAMOS MENSUALES  QUE REPRESENTAN UN TOTAL DE 456 KILOGRAMMOS 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</si>
  <si>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38 KILOGRAMOS POR SEMANA</t>
    </r>
    <r>
      <rPr>
        <sz val="8"/>
        <color theme="1"/>
        <rFont val="Calibri"/>
        <family val="2"/>
        <scheme val="minor"/>
      </rPr>
      <t xml:space="preserve"> ( DISTRIBUIDOS SEGÚN DETALLE PARA CADA INSTITUCION)   LO QUE HACE UNA SUMA DE 152 KILOGRAMOS  MENSUALES  QUE REPRESENTAN UN TOTAL DE 456 KILOGRAMMOS 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</si>
  <si>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140 KG POR SEMANA</t>
    </r>
    <r>
      <rPr>
        <sz val="8"/>
        <color theme="1"/>
        <rFont val="Calibri"/>
        <family val="2"/>
        <scheme val="minor"/>
      </rPr>
      <t xml:space="preserve"> ( DISTRIBUIDOS SEGÚN DETALLE PARA CADA INSTITUCION)   LO QUE HACE UNA SUMA DE 560  KG MENSUALES  QUE REPRESENTA UN TOTAL DE 1680 KG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</si>
  <si>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48 KG POR SEMANA</t>
    </r>
    <r>
      <rPr>
        <sz val="8"/>
        <color theme="1"/>
        <rFont val="Calibri"/>
        <family val="2"/>
        <scheme val="minor"/>
      </rPr>
      <t xml:space="preserve"> ( DISTRIBUIDOS SEGÚN DETALLE PARA CADA INSTITUCION)   LO QUE HACE UNA SUMA DE 192 KG MENSUALES  QUE REPRESENTA UN TOTAL DE 576 KG TRIMESTRALES</t>
    </r>
  </si>
  <si>
    <r>
      <t>*SE REALIZA LA ENTREGA DE</t>
    </r>
    <r>
      <rPr>
        <b/>
        <u/>
        <sz val="8"/>
        <color theme="1"/>
        <rFont val="Calibri"/>
        <family val="2"/>
        <scheme val="minor"/>
      </rPr>
      <t xml:space="preserve"> 44 KG POR SEMANA</t>
    </r>
    <r>
      <rPr>
        <sz val="8"/>
        <color theme="1"/>
        <rFont val="Calibri"/>
        <family val="2"/>
        <scheme val="minor"/>
      </rPr>
      <t xml:space="preserve"> ( DISTRIBUIDOS SEGÚN DETALLE PARA CADA INSTITUCION)   LO QUE HACE UNA SUMA DE 176 KG MENSUALES  QUE REPRESENTA UN TOTAL DE 528 KG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</si>
  <si>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24 KG POR SEMANA</t>
    </r>
    <r>
      <rPr>
        <sz val="8"/>
        <color theme="1"/>
        <rFont val="Calibri"/>
        <family val="2"/>
        <scheme val="minor"/>
      </rPr>
      <t xml:space="preserve"> ( DISTRIBUIDOS SEGÚN DETALLE PARA CADA COMEDOR)   LO QUE HACE UNA SUMA DE 96 KG MENSUALES  QUE REPRESENTA UN TOTAL DE 288 KG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</si>
  <si>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40 KG POR SEMANA</t>
    </r>
    <r>
      <rPr>
        <sz val="8"/>
        <color theme="1"/>
        <rFont val="Calibri"/>
        <family val="2"/>
        <scheme val="minor"/>
      </rPr>
      <t xml:space="preserve"> ( DISTRIBUIDOS SEGÚN DETALLE PARA CADA COMEDOR)   LO QUE HACE UNA SUMA DE 160 KG MENSUALES  QUE REPRESENTA UN TOTAL DE 480 KG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</si>
  <si>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34 ATADOS  POR SEMANA</t>
    </r>
    <r>
      <rPr>
        <sz val="8"/>
        <color theme="1"/>
        <rFont val="Calibri"/>
        <family val="2"/>
        <scheme val="minor"/>
      </rPr>
      <t xml:space="preserve"> ( DISTRIBUIDOS SEGÚN DETALLE PARA CADA COMEDOR)   LO QUE HACE UNA SUMA DE 136  ATADOS  MENSUALES  QUE REPRESENTA UN TOTAL DE 408 UNIDADES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</si>
  <si>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44 KG POR SEMANA</t>
    </r>
    <r>
      <rPr>
        <sz val="8"/>
        <color theme="1"/>
        <rFont val="Calibri"/>
        <family val="2"/>
        <scheme val="minor"/>
      </rPr>
      <t xml:space="preserve"> ( DISTRIBUIDOS SEGÚN DETALLE PARA CADA COMEDOR)   LO QUE HACE UNA SUMA DE 176 KG MENSUALES  QUE REPRESENTA UN TOTAL DE 528 KG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</si>
  <si>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31 KG POR SEMANA</t>
    </r>
    <r>
      <rPr>
        <sz val="8"/>
        <color theme="1"/>
        <rFont val="Calibri"/>
        <family val="2"/>
        <scheme val="minor"/>
      </rPr>
      <t xml:space="preserve"> ( DISTRIBUIDOS SEGÚN DETALLE PARA CADA COMEDOR)   LO QUE HACE UNA SUMA DE 124 KG MENSUALES  QUE REPRESENTA UN TOTAL DE 372 KG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</si>
  <si>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5  UNIDADES POR SEMANA</t>
    </r>
    <r>
      <rPr>
        <sz val="8"/>
        <color theme="1"/>
        <rFont val="Calibri"/>
        <family val="2"/>
        <scheme val="minor"/>
      </rPr>
      <t xml:space="preserve"> ( DISTRIBUIDOS SEGÚN DETALLE PARA CADA COMEDOR)   LO QUE HACE UNA SUMA DE  20 UNIDADES MENSUALES  QUE REPRESENTA UN TOTAL DE 60 KG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</si>
  <si>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5  UNIDADES POR SEMANA</t>
    </r>
    <r>
      <rPr>
        <sz val="8"/>
        <color theme="1"/>
        <rFont val="Calibri"/>
        <family val="2"/>
        <scheme val="minor"/>
      </rPr>
      <t xml:space="preserve"> ( DISTRIBUIDOS SEGÚN DETALLE PARA CADA COMEDOR)   LO QUE HACE UNA SUMA DE  20 UNIDADES MENSUALES  QUE REPRESENTA UN TOTAL DE 60 UNIDADES TRIMESTRALES 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</si>
  <si>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70 UNIDADES POR SEMANA</t>
    </r>
    <r>
      <rPr>
        <sz val="8"/>
        <color theme="1"/>
        <rFont val="Calibri"/>
        <family val="2"/>
        <scheme val="minor"/>
      </rPr>
      <t xml:space="preserve"> ( DISTRIBUIDOS SEGÚN DETALLE PARA CADA COMEDOR)   LO QUE HACE UNA SUMA DE 280 UNIDADES MENSUALES  QUE REPRESENTA UN TOTAL DE 840 UNIDADES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</si>
  <si>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20 UNIDADES POR SEMANA</t>
    </r>
    <r>
      <rPr>
        <sz val="8"/>
        <color theme="1"/>
        <rFont val="Calibri"/>
        <family val="2"/>
        <scheme val="minor"/>
      </rPr>
      <t xml:space="preserve"> ( DISTRIBUIDOS SEGÚN DETALLE PARA CADA COMEDOR)   LO QUE HACE UNA SUMA DE 80 UNIDADES MENSUALES  QUE REPRESENTA UN TOTAL DE 240 UNIDADES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</si>
  <si>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60 UNIDADES POR SEMANA</t>
    </r>
    <r>
      <rPr>
        <sz val="8"/>
        <color theme="1"/>
        <rFont val="Calibri"/>
        <family val="2"/>
        <scheme val="minor"/>
      </rPr>
      <t xml:space="preserve">  ( DISTRIBUIDOS SEGÚN DETALLE PARA CADA COMEDOR)   LO QUE HACE UNA SUMA DE 240 UNIDADES MENSUALES QUE REPRESENTA UN TOTAL DE 720 UNIDADES TRIMESTRALES</t>
    </r>
  </si>
  <si>
    <r>
      <t xml:space="preserve">*SE REALIZA LA ENTREGA DE </t>
    </r>
    <r>
      <rPr>
        <b/>
        <u/>
        <sz val="8"/>
        <color theme="1"/>
        <rFont val="Calibri"/>
        <family val="2"/>
        <scheme val="minor"/>
      </rPr>
      <t>15 UNIDADES POR SEMANA</t>
    </r>
    <r>
      <rPr>
        <sz val="8"/>
        <color theme="1"/>
        <rFont val="Calibri"/>
        <family val="2"/>
        <scheme val="minor"/>
      </rPr>
      <t xml:space="preserve">  ( DISTRIBUIDOS SEGÚN DETALLE PARA CADA COMEDOR)   LO QUE HACE UNA SUMA DE 60 UNIDADES MENSUALES QUE REPRESENTA UN TOTAL DE 180 UNIDADES TRIMESTRALES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</si>
  <si>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280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 840 UNIDADES TRIMESTRALES.</t>
    </r>
  </si>
  <si>
    <r>
      <t>*SE REALIZA LA ENTREGA DE</t>
    </r>
    <r>
      <rPr>
        <b/>
        <u/>
        <sz val="8"/>
        <color rgb="FF0070C0"/>
        <rFont val="Calibri"/>
        <family val="2"/>
        <scheme val="minor"/>
      </rPr>
      <t xml:space="preserve"> 84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252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</si>
  <si>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224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672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</si>
  <si>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112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336 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</si>
  <si>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144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432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</si>
  <si>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140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420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</si>
  <si>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336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1008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</si>
  <si>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56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168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</si>
  <si>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190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570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</si>
  <si>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38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114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</si>
  <si>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26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78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</si>
  <si>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172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516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</si>
  <si>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112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336 UNIDADES TRIMESTRALES.</t>
    </r>
  </si>
  <si>
    <r>
      <t>*SE REALIZA LA ENTREGA DE</t>
    </r>
    <r>
      <rPr>
        <b/>
        <u/>
        <sz val="8"/>
        <color rgb="FF0070C0"/>
        <rFont val="Calibri"/>
        <family val="2"/>
        <scheme val="minor"/>
      </rPr>
      <t xml:space="preserve"> 112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336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</si>
  <si>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7  KG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 21 KG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</si>
  <si>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96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288 UNIDADES TRIMESTRALES.</t>
    </r>
  </si>
  <si>
    <r>
      <t xml:space="preserve">*SE REALIZA LA ENTREGA DE </t>
    </r>
    <r>
      <rPr>
        <b/>
        <u/>
        <sz val="8"/>
        <color rgb="FF0070C0"/>
        <rFont val="Calibri"/>
        <family val="2"/>
        <scheme val="minor"/>
      </rPr>
      <t>420 UNIDADES MENSUALES</t>
    </r>
    <r>
      <rPr>
        <sz val="8"/>
        <color theme="1"/>
        <rFont val="Calibri"/>
        <family val="2"/>
        <scheme val="minor"/>
      </rPr>
      <t xml:space="preserve"> ( DISTRIBUIDOS SEGÚN DETALLE PARA CADA COMEDOR)   QUE REPRESENTA UN TOTAL DE 1.260 UNIDADES TRIMESTRALES.</t>
    </r>
  </si>
  <si>
    <t>Barro Libertador II Peatonal 16 Avenida Ahumada y Barros esquina.</t>
  </si>
  <si>
    <t>Avenida Virgen del Valle Norte esquina Calle Los Tilos.</t>
  </si>
  <si>
    <t>Calle Araucarias esquina Las Orquides Barrio Los Ceibos.</t>
  </si>
  <si>
    <t>Calle Francia entre España y Av. San Juan Bautista Casa Nº 47 Bº 100 vv Norte.</t>
  </si>
  <si>
    <t>Caseros Nº 1001 Barrio Centro (Casa Cuna).</t>
  </si>
  <si>
    <t>Domicilios de entregas (por Institución):</t>
  </si>
  <si>
    <t>VINAGRES; TIPO: ALCOHOL, PRESENTACION: BOTELLA X 1 L, MATERIAL ENVASE: PLASTICO</t>
  </si>
  <si>
    <t>Código</t>
  </si>
  <si>
    <t>DESCRIPCION S/CATALOGO COMPR.AR</t>
  </si>
  <si>
    <t>N°</t>
  </si>
  <si>
    <t>NO PERECED.</t>
  </si>
  <si>
    <t>Clasificación</t>
  </si>
  <si>
    <t>PERECEDERO</t>
  </si>
  <si>
    <t>Especificidades de los ítems:</t>
  </si>
  <si>
    <t>DESCRIPCION S/FORM.DE NEC.TRIMESTRALES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</si>
</sst>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\ 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/>
      <sz val="8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1" fillId="2" borderId="7" xfId="0" applyNumberFormat="1" applyFont="1" applyFill="1" applyBorder="1"/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0" xfId="0" applyFont="1"/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8" fillId="0" borderId="0" xfId="0" applyFont="1" applyAlignment="1">
      <alignment vertical="center" wrapText="1"/>
    </xf>
    <xf numFmtId="165" fontId="0" fillId="0" borderId="19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0" fillId="0" borderId="26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0" fontId="2" fillId="0" borderId="30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0" fillId="7" borderId="41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0" fontId="0" fillId="8" borderId="45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0" fillId="4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4" xfId="0" applyFill="1" applyBorder="1" applyAlignment="1">
      <alignment horizontal="left"/>
    </xf>
    <xf numFmtId="0" fontId="0" fillId="8" borderId="15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12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" fillId="0" borderId="38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8" fillId="0" borderId="38" xfId="0" applyFont="1" applyBorder="1" applyAlignment="1">
      <alignment vertical="center" wrapText="1"/>
    </xf>
    <xf numFmtId="0" fontId="8" fillId="0" borderId="39" xfId="0" applyFont="1" applyBorder="1" applyAlignment="1">
      <alignment vertical="center" wrapText="1"/>
    </xf>
    <xf numFmtId="0" fontId="8" fillId="0" borderId="39" xfId="0" applyFont="1" applyBorder="1" applyAlignment="1">
      <alignment horizontal="left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vertical="center" wrapText="1"/>
    </xf>
    <xf numFmtId="0" fontId="4" fillId="3" borderId="39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vertical="center" wrapText="1"/>
    </xf>
    <xf numFmtId="0" fontId="4" fillId="3" borderId="3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left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left" vertical="center" wrapText="1"/>
    </xf>
    <xf numFmtId="0" fontId="2" fillId="3" borderId="37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left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34" xfId="0" applyFill="1" applyBorder="1" applyAlignment="1">
      <alignment horizontal="left" vertical="center"/>
    </xf>
    <xf numFmtId="0" fontId="0" fillId="0" borderId="35" xfId="0" applyFill="1" applyBorder="1" applyAlignment="1">
      <alignment horizontal="left" vertical="center"/>
    </xf>
    <xf numFmtId="0" fontId="0" fillId="0" borderId="36" xfId="0" applyFill="1" applyBorder="1" applyAlignment="1">
      <alignment horizontal="left" vertical="center"/>
    </xf>
    <xf numFmtId="0" fontId="1" fillId="3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10" fillId="3" borderId="29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horizontal="center" vertical="center"/>
    </xf>
    <xf numFmtId="0" fontId="16" fillId="10" borderId="27" xfId="0" applyFont="1" applyFill="1" applyBorder="1" applyAlignment="1">
      <alignment horizontal="center" vertical="center"/>
    </xf>
    <xf numFmtId="0" fontId="16" fillId="6" borderId="27" xfId="0" applyFont="1" applyFill="1" applyBorder="1" applyAlignment="1">
      <alignment horizontal="center" vertical="center"/>
    </xf>
    <xf numFmtId="0" fontId="16" fillId="6" borderId="28" xfId="0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/>
    </xf>
    <xf numFmtId="0" fontId="13" fillId="3" borderId="22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12</xdr:col>
      <xdr:colOff>238125</xdr:colOff>
      <xdr:row>66</xdr:row>
      <xdr:rowOff>147716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581708-9049-4E21-B39F-2C9119CC2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8915400" cy="12625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1215-E865-43AD-9AB7-18C05BD8C40E}">
  <dimension ref="A2:P77"/>
  <sheetViews>
    <sheetView tabSelected="1" workbookViewId="0">
      <selection activeCell="A2" sqref="A2"/>
    </sheetView>
  </sheetViews>
  <sheetFormatPr baseColWidth="10" defaultRowHeight="15" x14ac:dyDescent="0.25"/>
  <cols>
    <col min="1" max="1" width="3" bestFit="1" customWidth="1"/>
    <col min="2" max="2" width="13.42578125" bestFit="1" customWidth="1"/>
    <col min="3" max="3" width="12.5703125" customWidth="1"/>
    <col min="4" max="4" width="6" bestFit="1" customWidth="1"/>
    <col min="5" max="5" width="69" customWidth="1"/>
    <col min="6" max="6" width="8.28515625" customWidth="1"/>
    <col min="7" max="7" width="10.140625" customWidth="1"/>
    <col min="8" max="8" width="9.42578125" customWidth="1"/>
    <col min="9" max="9" width="13.140625" customWidth="1"/>
    <col min="10" max="10" width="11.5703125" customWidth="1"/>
    <col min="11" max="11" width="29" customWidth="1"/>
    <col min="12" max="12" width="11.42578125" style="40" customWidth="1"/>
    <col min="13" max="13" width="11.42578125" customWidth="1"/>
    <col min="15" max="15" width="14.7109375" customWidth="1"/>
    <col min="16" max="16" width="69" customWidth="1"/>
  </cols>
  <sheetData>
    <row r="2" spans="1:16" ht="18.75" x14ac:dyDescent="0.3">
      <c r="B2" s="13" t="s">
        <v>149</v>
      </c>
    </row>
    <row r="3" spans="1:16" ht="15.75" thickBot="1" x14ac:dyDescent="0.3"/>
    <row r="4" spans="1:16" ht="36.75" thickBot="1" x14ac:dyDescent="0.3">
      <c r="A4" s="16" t="s">
        <v>0</v>
      </c>
      <c r="B4" s="174" t="s">
        <v>1</v>
      </c>
      <c r="C4" s="14" t="s">
        <v>2</v>
      </c>
      <c r="D4" s="15" t="s">
        <v>3</v>
      </c>
      <c r="E4" s="16" t="s">
        <v>341</v>
      </c>
      <c r="F4" s="17" t="s">
        <v>5</v>
      </c>
      <c r="G4" s="18" t="s">
        <v>6</v>
      </c>
      <c r="H4" s="32" t="s">
        <v>7</v>
      </c>
      <c r="I4" s="33" t="s">
        <v>148</v>
      </c>
      <c r="L4" s="163" t="s">
        <v>338</v>
      </c>
      <c r="O4" s="117" t="s">
        <v>334</v>
      </c>
      <c r="P4" s="116" t="s">
        <v>335</v>
      </c>
    </row>
    <row r="5" spans="1:16" ht="22.5" x14ac:dyDescent="0.25">
      <c r="A5" s="29">
        <v>1</v>
      </c>
      <c r="B5" s="154" t="s">
        <v>8</v>
      </c>
      <c r="C5" s="168" t="s">
        <v>9</v>
      </c>
      <c r="D5" s="155" t="s">
        <v>10</v>
      </c>
      <c r="E5" s="7" t="s">
        <v>11</v>
      </c>
      <c r="F5" s="10" t="s">
        <v>12</v>
      </c>
      <c r="G5" s="6">
        <v>456</v>
      </c>
      <c r="H5" s="23">
        <v>1150</v>
      </c>
      <c r="I5" s="34">
        <f>G5*H5</f>
        <v>524400</v>
      </c>
      <c r="J5" s="26" t="s">
        <v>153</v>
      </c>
      <c r="K5" s="160" t="s">
        <v>154</v>
      </c>
      <c r="L5" s="164" t="s">
        <v>339</v>
      </c>
      <c r="O5" s="118" t="s">
        <v>8</v>
      </c>
      <c r="P5" s="7" t="s">
        <v>11</v>
      </c>
    </row>
    <row r="6" spans="1:16" ht="30" x14ac:dyDescent="0.25">
      <c r="A6" s="30">
        <v>2</v>
      </c>
      <c r="B6" s="156" t="s">
        <v>13</v>
      </c>
      <c r="C6" s="169" t="s">
        <v>9</v>
      </c>
      <c r="D6" s="157" t="s">
        <v>10</v>
      </c>
      <c r="E6" s="8" t="s">
        <v>14</v>
      </c>
      <c r="F6" s="11" t="s">
        <v>12</v>
      </c>
      <c r="G6" s="4">
        <v>456</v>
      </c>
      <c r="H6" s="24">
        <v>1350</v>
      </c>
      <c r="I6" s="35">
        <f t="shared" ref="I6:I66" si="0">G6*H6</f>
        <v>615600</v>
      </c>
      <c r="J6" s="27" t="s">
        <v>155</v>
      </c>
      <c r="K6" s="161" t="s">
        <v>156</v>
      </c>
      <c r="L6" s="165" t="s">
        <v>339</v>
      </c>
      <c r="O6" s="119" t="s">
        <v>13</v>
      </c>
      <c r="P6" s="8" t="s">
        <v>14</v>
      </c>
    </row>
    <row r="7" spans="1:16" ht="30" x14ac:dyDescent="0.25">
      <c r="A7" s="30">
        <v>3</v>
      </c>
      <c r="B7" s="156" t="s">
        <v>15</v>
      </c>
      <c r="C7" s="169" t="s">
        <v>9</v>
      </c>
      <c r="D7" s="157" t="s">
        <v>10</v>
      </c>
      <c r="E7" s="8" t="s">
        <v>16</v>
      </c>
      <c r="F7" s="11" t="s">
        <v>12</v>
      </c>
      <c r="G7" s="4">
        <v>456</v>
      </c>
      <c r="H7" s="24">
        <v>1350</v>
      </c>
      <c r="I7" s="35">
        <f t="shared" si="0"/>
        <v>615600</v>
      </c>
      <c r="J7" s="27" t="s">
        <v>157</v>
      </c>
      <c r="K7" s="161" t="s">
        <v>158</v>
      </c>
      <c r="L7" s="165" t="s">
        <v>339</v>
      </c>
      <c r="O7" s="119" t="s">
        <v>15</v>
      </c>
      <c r="P7" s="8" t="s">
        <v>16</v>
      </c>
    </row>
    <row r="8" spans="1:16" ht="30" x14ac:dyDescent="0.25">
      <c r="A8" s="30">
        <v>4</v>
      </c>
      <c r="B8" s="156" t="s">
        <v>17</v>
      </c>
      <c r="C8" s="169" t="s">
        <v>9</v>
      </c>
      <c r="D8" s="157" t="s">
        <v>10</v>
      </c>
      <c r="E8" s="8" t="s">
        <v>18</v>
      </c>
      <c r="F8" s="11" t="s">
        <v>12</v>
      </c>
      <c r="G8" s="4">
        <v>456</v>
      </c>
      <c r="H8" s="24">
        <v>810</v>
      </c>
      <c r="I8" s="35">
        <f t="shared" si="0"/>
        <v>369360</v>
      </c>
      <c r="J8" s="27" t="s">
        <v>159</v>
      </c>
      <c r="K8" s="161" t="s">
        <v>160</v>
      </c>
      <c r="L8" s="165" t="s">
        <v>339</v>
      </c>
      <c r="O8" s="119" t="s">
        <v>17</v>
      </c>
      <c r="P8" s="8" t="s">
        <v>18</v>
      </c>
    </row>
    <row r="9" spans="1:16" ht="45" x14ac:dyDescent="0.25">
      <c r="A9" s="30">
        <v>5</v>
      </c>
      <c r="B9" s="156" t="s">
        <v>19</v>
      </c>
      <c r="C9" s="169" t="s">
        <v>9</v>
      </c>
      <c r="D9" s="157" t="s">
        <v>10</v>
      </c>
      <c r="E9" s="8" t="s">
        <v>20</v>
      </c>
      <c r="F9" s="11" t="s">
        <v>12</v>
      </c>
      <c r="G9" s="4">
        <v>456</v>
      </c>
      <c r="H9" s="24">
        <v>385</v>
      </c>
      <c r="I9" s="35">
        <f t="shared" si="0"/>
        <v>175560</v>
      </c>
      <c r="J9" s="27" t="s">
        <v>161</v>
      </c>
      <c r="K9" s="161" t="s">
        <v>162</v>
      </c>
      <c r="L9" s="165" t="s">
        <v>339</v>
      </c>
      <c r="O9" s="119" t="s">
        <v>19</v>
      </c>
      <c r="P9" s="8" t="s">
        <v>20</v>
      </c>
    </row>
    <row r="10" spans="1:16" ht="30" x14ac:dyDescent="0.25">
      <c r="A10" s="30">
        <v>6</v>
      </c>
      <c r="B10" s="156" t="s">
        <v>21</v>
      </c>
      <c r="C10" s="169" t="s">
        <v>9</v>
      </c>
      <c r="D10" s="157" t="s">
        <v>10</v>
      </c>
      <c r="E10" s="8" t="s">
        <v>22</v>
      </c>
      <c r="F10" s="11" t="s">
        <v>12</v>
      </c>
      <c r="G10" s="4">
        <v>1680</v>
      </c>
      <c r="H10" s="24">
        <v>85</v>
      </c>
      <c r="I10" s="35">
        <f t="shared" si="0"/>
        <v>142800</v>
      </c>
      <c r="J10" s="27" t="s">
        <v>163</v>
      </c>
      <c r="K10" s="161" t="s">
        <v>164</v>
      </c>
      <c r="L10" s="165" t="s">
        <v>339</v>
      </c>
      <c r="O10" s="119" t="s">
        <v>21</v>
      </c>
      <c r="P10" s="8" t="s">
        <v>22</v>
      </c>
    </row>
    <row r="11" spans="1:16" ht="30" x14ac:dyDescent="0.25">
      <c r="A11" s="30">
        <v>7</v>
      </c>
      <c r="B11" s="156" t="s">
        <v>23</v>
      </c>
      <c r="C11" s="169" t="s">
        <v>9</v>
      </c>
      <c r="D11" s="157" t="s">
        <v>10</v>
      </c>
      <c r="E11" s="8" t="s">
        <v>24</v>
      </c>
      <c r="F11" s="11" t="s">
        <v>12</v>
      </c>
      <c r="G11" s="4">
        <v>576</v>
      </c>
      <c r="H11" s="24">
        <v>85</v>
      </c>
      <c r="I11" s="35">
        <f t="shared" si="0"/>
        <v>48960</v>
      </c>
      <c r="J11" s="27" t="s">
        <v>165</v>
      </c>
      <c r="K11" s="161" t="s">
        <v>166</v>
      </c>
      <c r="L11" s="165" t="s">
        <v>339</v>
      </c>
      <c r="O11" s="119" t="s">
        <v>23</v>
      </c>
      <c r="P11" s="8" t="s">
        <v>24</v>
      </c>
    </row>
    <row r="12" spans="1:16" ht="30" x14ac:dyDescent="0.25">
      <c r="A12" s="30">
        <v>8</v>
      </c>
      <c r="B12" s="156" t="s">
        <v>25</v>
      </c>
      <c r="C12" s="169" t="s">
        <v>9</v>
      </c>
      <c r="D12" s="157" t="s">
        <v>10</v>
      </c>
      <c r="E12" s="8" t="s">
        <v>26</v>
      </c>
      <c r="F12" s="11" t="s">
        <v>12</v>
      </c>
      <c r="G12" s="4">
        <v>528</v>
      </c>
      <c r="H12" s="24">
        <v>190</v>
      </c>
      <c r="I12" s="35">
        <f t="shared" si="0"/>
        <v>100320</v>
      </c>
      <c r="J12" s="27" t="s">
        <v>167</v>
      </c>
      <c r="K12" s="161" t="s">
        <v>168</v>
      </c>
      <c r="L12" s="165" t="s">
        <v>339</v>
      </c>
      <c r="O12" s="119" t="s">
        <v>25</v>
      </c>
      <c r="P12" s="8" t="s">
        <v>26</v>
      </c>
    </row>
    <row r="13" spans="1:16" ht="45" x14ac:dyDescent="0.25">
      <c r="A13" s="30">
        <v>9</v>
      </c>
      <c r="B13" s="156" t="s">
        <v>27</v>
      </c>
      <c r="C13" s="169" t="s">
        <v>9</v>
      </c>
      <c r="D13" s="157" t="s">
        <v>10</v>
      </c>
      <c r="E13" s="8" t="s">
        <v>28</v>
      </c>
      <c r="F13" s="11" t="s">
        <v>29</v>
      </c>
      <c r="G13" s="4">
        <v>288</v>
      </c>
      <c r="H13" s="24">
        <v>135</v>
      </c>
      <c r="I13" s="35">
        <f t="shared" si="0"/>
        <v>38880</v>
      </c>
      <c r="J13" s="27" t="s">
        <v>169</v>
      </c>
      <c r="K13" s="161" t="s">
        <v>170</v>
      </c>
      <c r="L13" s="165" t="s">
        <v>339</v>
      </c>
      <c r="O13" s="119" t="s">
        <v>27</v>
      </c>
      <c r="P13" s="8" t="s">
        <v>28</v>
      </c>
    </row>
    <row r="14" spans="1:16" ht="30" x14ac:dyDescent="0.25">
      <c r="A14" s="30">
        <v>10</v>
      </c>
      <c r="B14" s="156" t="s">
        <v>30</v>
      </c>
      <c r="C14" s="169" t="s">
        <v>9</v>
      </c>
      <c r="D14" s="157" t="s">
        <v>10</v>
      </c>
      <c r="E14" s="8" t="s">
        <v>31</v>
      </c>
      <c r="F14" s="11" t="s">
        <v>12</v>
      </c>
      <c r="G14" s="4">
        <v>480</v>
      </c>
      <c r="H14" s="24">
        <v>80</v>
      </c>
      <c r="I14" s="35">
        <f t="shared" si="0"/>
        <v>38400</v>
      </c>
      <c r="J14" s="27" t="s">
        <v>171</v>
      </c>
      <c r="K14" s="161" t="s">
        <v>172</v>
      </c>
      <c r="L14" s="165" t="s">
        <v>339</v>
      </c>
      <c r="O14" s="119" t="s">
        <v>30</v>
      </c>
      <c r="P14" s="8" t="s">
        <v>31</v>
      </c>
    </row>
    <row r="15" spans="1:16" ht="30" x14ac:dyDescent="0.25">
      <c r="A15" s="30">
        <v>11</v>
      </c>
      <c r="B15" s="156" t="s">
        <v>32</v>
      </c>
      <c r="C15" s="169" t="s">
        <v>9</v>
      </c>
      <c r="D15" s="157" t="s">
        <v>10</v>
      </c>
      <c r="E15" s="8" t="s">
        <v>33</v>
      </c>
      <c r="F15" s="11" t="s">
        <v>12</v>
      </c>
      <c r="G15" s="4">
        <v>480</v>
      </c>
      <c r="H15" s="24">
        <v>80</v>
      </c>
      <c r="I15" s="35">
        <f t="shared" si="0"/>
        <v>38400</v>
      </c>
      <c r="J15" s="27" t="s">
        <v>173</v>
      </c>
      <c r="K15" s="161" t="s">
        <v>174</v>
      </c>
      <c r="L15" s="165" t="s">
        <v>339</v>
      </c>
      <c r="O15" s="119" t="s">
        <v>32</v>
      </c>
      <c r="P15" s="8" t="s">
        <v>33</v>
      </c>
    </row>
    <row r="16" spans="1:16" ht="30" x14ac:dyDescent="0.25">
      <c r="A16" s="30">
        <v>12</v>
      </c>
      <c r="B16" s="156" t="s">
        <v>34</v>
      </c>
      <c r="C16" s="169" t="s">
        <v>9</v>
      </c>
      <c r="D16" s="157" t="s">
        <v>10</v>
      </c>
      <c r="E16" s="8" t="s">
        <v>35</v>
      </c>
      <c r="F16" s="11" t="s">
        <v>12</v>
      </c>
      <c r="G16" s="4">
        <v>480</v>
      </c>
      <c r="H16" s="24">
        <v>90</v>
      </c>
      <c r="I16" s="35">
        <f t="shared" si="0"/>
        <v>43200</v>
      </c>
      <c r="J16" s="27" t="s">
        <v>175</v>
      </c>
      <c r="K16" s="161" t="s">
        <v>176</v>
      </c>
      <c r="L16" s="165" t="s">
        <v>339</v>
      </c>
      <c r="O16" s="119" t="s">
        <v>34</v>
      </c>
      <c r="P16" s="8" t="s">
        <v>35</v>
      </c>
    </row>
    <row r="17" spans="1:16" ht="30" x14ac:dyDescent="0.25">
      <c r="A17" s="30">
        <v>13</v>
      </c>
      <c r="B17" s="156" t="s">
        <v>36</v>
      </c>
      <c r="C17" s="169" t="s">
        <v>9</v>
      </c>
      <c r="D17" s="157" t="s">
        <v>10</v>
      </c>
      <c r="E17" s="8" t="s">
        <v>37</v>
      </c>
      <c r="F17" s="11" t="s">
        <v>38</v>
      </c>
      <c r="G17" s="4">
        <v>408</v>
      </c>
      <c r="H17" s="24">
        <v>45</v>
      </c>
      <c r="I17" s="35">
        <f t="shared" si="0"/>
        <v>18360</v>
      </c>
      <c r="J17" s="27" t="s">
        <v>177</v>
      </c>
      <c r="K17" s="161" t="s">
        <v>178</v>
      </c>
      <c r="L17" s="165" t="s">
        <v>339</v>
      </c>
      <c r="O17" s="119" t="s">
        <v>36</v>
      </c>
      <c r="P17" s="8" t="s">
        <v>37</v>
      </c>
    </row>
    <row r="18" spans="1:16" ht="30" x14ac:dyDescent="0.25">
      <c r="A18" s="30">
        <v>14</v>
      </c>
      <c r="B18" s="156" t="s">
        <v>39</v>
      </c>
      <c r="C18" s="169" t="s">
        <v>9</v>
      </c>
      <c r="D18" s="157" t="s">
        <v>10</v>
      </c>
      <c r="E18" s="8" t="s">
        <v>40</v>
      </c>
      <c r="F18" s="11" t="s">
        <v>12</v>
      </c>
      <c r="G18" s="4">
        <v>528</v>
      </c>
      <c r="H18" s="24">
        <v>230</v>
      </c>
      <c r="I18" s="35">
        <f t="shared" si="0"/>
        <v>121440</v>
      </c>
      <c r="J18" s="27" t="s">
        <v>179</v>
      </c>
      <c r="K18" s="161" t="s">
        <v>180</v>
      </c>
      <c r="L18" s="165" t="s">
        <v>339</v>
      </c>
      <c r="O18" s="119" t="s">
        <v>39</v>
      </c>
      <c r="P18" s="8" t="s">
        <v>40</v>
      </c>
    </row>
    <row r="19" spans="1:16" ht="30" x14ac:dyDescent="0.25">
      <c r="A19" s="30">
        <v>15</v>
      </c>
      <c r="B19" s="156" t="s">
        <v>41</v>
      </c>
      <c r="C19" s="169" t="s">
        <v>9</v>
      </c>
      <c r="D19" s="157" t="s">
        <v>10</v>
      </c>
      <c r="E19" s="8" t="s">
        <v>42</v>
      </c>
      <c r="F19" s="11" t="s">
        <v>12</v>
      </c>
      <c r="G19" s="4">
        <v>528</v>
      </c>
      <c r="H19" s="24">
        <v>80</v>
      </c>
      <c r="I19" s="35">
        <f t="shared" si="0"/>
        <v>42240</v>
      </c>
      <c r="J19" s="27" t="s">
        <v>181</v>
      </c>
      <c r="K19" s="161" t="s">
        <v>182</v>
      </c>
      <c r="L19" s="165" t="s">
        <v>339</v>
      </c>
      <c r="O19" s="119" t="s">
        <v>41</v>
      </c>
      <c r="P19" s="8" t="s">
        <v>42</v>
      </c>
    </row>
    <row r="20" spans="1:16" ht="30" x14ac:dyDescent="0.25">
      <c r="A20" s="30">
        <v>16</v>
      </c>
      <c r="B20" s="156" t="s">
        <v>43</v>
      </c>
      <c r="C20" s="169" t="s">
        <v>9</v>
      </c>
      <c r="D20" s="157" t="s">
        <v>10</v>
      </c>
      <c r="E20" s="8" t="s">
        <v>44</v>
      </c>
      <c r="F20" s="11" t="s">
        <v>12</v>
      </c>
      <c r="G20" s="4">
        <v>528</v>
      </c>
      <c r="H20" s="24">
        <v>250</v>
      </c>
      <c r="I20" s="35">
        <f t="shared" si="0"/>
        <v>132000</v>
      </c>
      <c r="J20" s="27" t="s">
        <v>183</v>
      </c>
      <c r="K20" s="161" t="s">
        <v>184</v>
      </c>
      <c r="L20" s="165" t="s">
        <v>339</v>
      </c>
      <c r="O20" s="119" t="s">
        <v>43</v>
      </c>
      <c r="P20" s="8" t="s">
        <v>44</v>
      </c>
    </row>
    <row r="21" spans="1:16" ht="30" x14ac:dyDescent="0.25">
      <c r="A21" s="30">
        <v>17</v>
      </c>
      <c r="B21" s="156" t="s">
        <v>45</v>
      </c>
      <c r="C21" s="169" t="s">
        <v>9</v>
      </c>
      <c r="D21" s="157" t="s">
        <v>10</v>
      </c>
      <c r="E21" s="8" t="s">
        <v>46</v>
      </c>
      <c r="F21" s="11" t="s">
        <v>12</v>
      </c>
      <c r="G21" s="4">
        <v>528</v>
      </c>
      <c r="H21" s="24">
        <v>230</v>
      </c>
      <c r="I21" s="35">
        <f t="shared" si="0"/>
        <v>121440</v>
      </c>
      <c r="J21" s="27" t="s">
        <v>185</v>
      </c>
      <c r="K21" s="161" t="s">
        <v>186</v>
      </c>
      <c r="L21" s="165" t="s">
        <v>339</v>
      </c>
      <c r="O21" s="119" t="s">
        <v>45</v>
      </c>
      <c r="P21" s="8" t="s">
        <v>46</v>
      </c>
    </row>
    <row r="22" spans="1:16" ht="22.5" x14ac:dyDescent="0.25">
      <c r="A22" s="30">
        <v>18</v>
      </c>
      <c r="B22" s="156" t="s">
        <v>47</v>
      </c>
      <c r="C22" s="169" t="s">
        <v>9</v>
      </c>
      <c r="D22" s="157" t="s">
        <v>10</v>
      </c>
      <c r="E22" s="8" t="s">
        <v>48</v>
      </c>
      <c r="F22" s="11" t="s">
        <v>29</v>
      </c>
      <c r="G22" s="4">
        <v>372</v>
      </c>
      <c r="H22" s="24">
        <v>200</v>
      </c>
      <c r="I22" s="35">
        <f t="shared" si="0"/>
        <v>74400</v>
      </c>
      <c r="J22" s="27" t="s">
        <v>187</v>
      </c>
      <c r="K22" s="161" t="s">
        <v>188</v>
      </c>
      <c r="L22" s="165" t="s">
        <v>339</v>
      </c>
      <c r="O22" s="119" t="s">
        <v>47</v>
      </c>
      <c r="P22" s="8" t="s">
        <v>48</v>
      </c>
    </row>
    <row r="23" spans="1:16" ht="45" x14ac:dyDescent="0.25">
      <c r="A23" s="30">
        <v>19</v>
      </c>
      <c r="B23" s="156" t="s">
        <v>49</v>
      </c>
      <c r="C23" s="169" t="s">
        <v>9</v>
      </c>
      <c r="D23" s="157" t="s">
        <v>10</v>
      </c>
      <c r="E23" s="8" t="s">
        <v>50</v>
      </c>
      <c r="F23" s="11" t="s">
        <v>38</v>
      </c>
      <c r="G23" s="4">
        <v>60</v>
      </c>
      <c r="H23" s="24">
        <v>4700</v>
      </c>
      <c r="I23" s="35">
        <f t="shared" si="0"/>
        <v>282000</v>
      </c>
      <c r="J23" s="27" t="s">
        <v>189</v>
      </c>
      <c r="K23" s="161" t="s">
        <v>190</v>
      </c>
      <c r="L23" s="165" t="s">
        <v>339</v>
      </c>
      <c r="O23" s="119" t="s">
        <v>49</v>
      </c>
      <c r="P23" s="8" t="s">
        <v>50</v>
      </c>
    </row>
    <row r="24" spans="1:16" ht="60" x14ac:dyDescent="0.25">
      <c r="A24" s="30">
        <v>20</v>
      </c>
      <c r="B24" s="156" t="s">
        <v>51</v>
      </c>
      <c r="C24" s="169" t="s">
        <v>9</v>
      </c>
      <c r="D24" s="157" t="s">
        <v>10</v>
      </c>
      <c r="E24" s="8" t="s">
        <v>52</v>
      </c>
      <c r="F24" s="11" t="s">
        <v>38</v>
      </c>
      <c r="G24" s="4">
        <v>60</v>
      </c>
      <c r="H24" s="24">
        <v>3050</v>
      </c>
      <c r="I24" s="35">
        <f t="shared" si="0"/>
        <v>183000</v>
      </c>
      <c r="J24" s="27" t="s">
        <v>191</v>
      </c>
      <c r="K24" s="161" t="s">
        <v>192</v>
      </c>
      <c r="L24" s="165" t="s">
        <v>339</v>
      </c>
      <c r="O24" s="119" t="s">
        <v>51</v>
      </c>
      <c r="P24" s="8" t="s">
        <v>52</v>
      </c>
    </row>
    <row r="25" spans="1:16" ht="30" x14ac:dyDescent="0.25">
      <c r="A25" s="30">
        <v>21</v>
      </c>
      <c r="B25" s="156" t="s">
        <v>53</v>
      </c>
      <c r="C25" s="169" t="s">
        <v>9</v>
      </c>
      <c r="D25" s="157" t="s">
        <v>10</v>
      </c>
      <c r="E25" s="8" t="s">
        <v>54</v>
      </c>
      <c r="F25" s="11" t="s">
        <v>38</v>
      </c>
      <c r="G25" s="4">
        <v>60</v>
      </c>
      <c r="H25" s="24">
        <v>250</v>
      </c>
      <c r="I25" s="35">
        <f t="shared" si="0"/>
        <v>15000</v>
      </c>
      <c r="J25" s="27" t="s">
        <v>193</v>
      </c>
      <c r="K25" s="161" t="s">
        <v>194</v>
      </c>
      <c r="L25" s="165" t="s">
        <v>339</v>
      </c>
      <c r="O25" s="119" t="s">
        <v>53</v>
      </c>
      <c r="P25" s="8" t="s">
        <v>54</v>
      </c>
    </row>
    <row r="26" spans="1:16" ht="45" x14ac:dyDescent="0.25">
      <c r="A26" s="30">
        <v>22</v>
      </c>
      <c r="B26" s="156" t="s">
        <v>55</v>
      </c>
      <c r="C26" s="169" t="s">
        <v>9</v>
      </c>
      <c r="D26" s="157" t="s">
        <v>10</v>
      </c>
      <c r="E26" s="8" t="s">
        <v>56</v>
      </c>
      <c r="F26" s="11" t="s">
        <v>57</v>
      </c>
      <c r="G26" s="4">
        <v>840</v>
      </c>
      <c r="H26" s="24">
        <v>160</v>
      </c>
      <c r="I26" s="35">
        <f t="shared" si="0"/>
        <v>134400</v>
      </c>
      <c r="J26" s="27" t="s">
        <v>195</v>
      </c>
      <c r="K26" s="161" t="s">
        <v>196</v>
      </c>
      <c r="L26" s="165" t="s">
        <v>339</v>
      </c>
      <c r="O26" s="119" t="s">
        <v>55</v>
      </c>
      <c r="P26" s="8" t="s">
        <v>56</v>
      </c>
    </row>
    <row r="27" spans="1:16" ht="30" x14ac:dyDescent="0.25">
      <c r="A27" s="30">
        <v>23</v>
      </c>
      <c r="B27" s="156" t="s">
        <v>58</v>
      </c>
      <c r="C27" s="169" t="s">
        <v>9</v>
      </c>
      <c r="D27" s="157" t="s">
        <v>10</v>
      </c>
      <c r="E27" s="8" t="s">
        <v>59</v>
      </c>
      <c r="F27" s="11" t="s">
        <v>60</v>
      </c>
      <c r="G27" s="4">
        <v>240</v>
      </c>
      <c r="H27" s="24">
        <v>660</v>
      </c>
      <c r="I27" s="35">
        <f t="shared" si="0"/>
        <v>158400</v>
      </c>
      <c r="J27" s="27" t="s">
        <v>197</v>
      </c>
      <c r="K27" s="161" t="s">
        <v>198</v>
      </c>
      <c r="L27" s="165" t="s">
        <v>339</v>
      </c>
      <c r="O27" s="119" t="s">
        <v>58</v>
      </c>
      <c r="P27" s="8" t="s">
        <v>59</v>
      </c>
    </row>
    <row r="28" spans="1:16" ht="30" x14ac:dyDescent="0.25">
      <c r="A28" s="30">
        <v>24</v>
      </c>
      <c r="B28" s="156" t="s">
        <v>61</v>
      </c>
      <c r="C28" s="169" t="s">
        <v>9</v>
      </c>
      <c r="D28" s="157" t="s">
        <v>10</v>
      </c>
      <c r="E28" s="8" t="s">
        <v>62</v>
      </c>
      <c r="F28" s="11" t="s">
        <v>38</v>
      </c>
      <c r="G28" s="4">
        <v>720</v>
      </c>
      <c r="H28" s="24">
        <v>390</v>
      </c>
      <c r="I28" s="35">
        <f t="shared" si="0"/>
        <v>280800</v>
      </c>
      <c r="J28" s="27" t="s">
        <v>199</v>
      </c>
      <c r="K28" s="161" t="s">
        <v>200</v>
      </c>
      <c r="L28" s="165" t="s">
        <v>339</v>
      </c>
      <c r="O28" s="119" t="s">
        <v>61</v>
      </c>
      <c r="P28" s="8" t="s">
        <v>62</v>
      </c>
    </row>
    <row r="29" spans="1:16" ht="60" x14ac:dyDescent="0.25">
      <c r="A29" s="30">
        <v>25</v>
      </c>
      <c r="B29" s="156" t="s">
        <v>63</v>
      </c>
      <c r="C29" s="169" t="s">
        <v>9</v>
      </c>
      <c r="D29" s="157" t="s">
        <v>10</v>
      </c>
      <c r="E29" s="8" t="s">
        <v>64</v>
      </c>
      <c r="F29" s="11" t="s">
        <v>65</v>
      </c>
      <c r="G29" s="4">
        <v>180</v>
      </c>
      <c r="H29" s="24">
        <v>85</v>
      </c>
      <c r="I29" s="35">
        <f t="shared" si="0"/>
        <v>15300</v>
      </c>
      <c r="J29" s="27" t="s">
        <v>201</v>
      </c>
      <c r="K29" s="161" t="s">
        <v>202</v>
      </c>
      <c r="L29" s="165" t="s">
        <v>339</v>
      </c>
      <c r="O29" s="119" t="s">
        <v>63</v>
      </c>
      <c r="P29" s="8" t="s">
        <v>64</v>
      </c>
    </row>
    <row r="30" spans="1:16" ht="45" x14ac:dyDescent="0.25">
      <c r="A30" s="30">
        <v>26</v>
      </c>
      <c r="B30" s="156" t="s">
        <v>66</v>
      </c>
      <c r="C30" s="170" t="s">
        <v>9</v>
      </c>
      <c r="D30" s="157" t="s">
        <v>10</v>
      </c>
      <c r="E30" s="8" t="s">
        <v>67</v>
      </c>
      <c r="F30" s="11" t="s">
        <v>38</v>
      </c>
      <c r="G30" s="4">
        <v>840</v>
      </c>
      <c r="H30" s="24">
        <v>95</v>
      </c>
      <c r="I30" s="35">
        <f t="shared" si="0"/>
        <v>79800</v>
      </c>
      <c r="J30" s="27" t="s">
        <v>203</v>
      </c>
      <c r="K30" s="161" t="s">
        <v>204</v>
      </c>
      <c r="L30" s="166" t="s">
        <v>337</v>
      </c>
      <c r="O30" s="119" t="s">
        <v>66</v>
      </c>
      <c r="P30" s="8" t="s">
        <v>67</v>
      </c>
    </row>
    <row r="31" spans="1:16" ht="45" x14ac:dyDescent="0.25">
      <c r="A31" s="30">
        <v>27</v>
      </c>
      <c r="B31" s="156" t="s">
        <v>68</v>
      </c>
      <c r="C31" s="170" t="s">
        <v>9</v>
      </c>
      <c r="D31" s="157" t="s">
        <v>10</v>
      </c>
      <c r="E31" s="8" t="s">
        <v>69</v>
      </c>
      <c r="F31" s="11" t="s">
        <v>38</v>
      </c>
      <c r="G31" s="4">
        <v>252</v>
      </c>
      <c r="H31" s="24">
        <v>245</v>
      </c>
      <c r="I31" s="35">
        <f t="shared" si="0"/>
        <v>61740</v>
      </c>
      <c r="J31" s="27" t="s">
        <v>205</v>
      </c>
      <c r="K31" s="161" t="s">
        <v>206</v>
      </c>
      <c r="L31" s="166" t="s">
        <v>337</v>
      </c>
      <c r="O31" s="119" t="s">
        <v>68</v>
      </c>
      <c r="P31" s="8" t="s">
        <v>69</v>
      </c>
    </row>
    <row r="32" spans="1:16" ht="45" x14ac:dyDescent="0.25">
      <c r="A32" s="30">
        <v>28</v>
      </c>
      <c r="B32" s="156" t="s">
        <v>70</v>
      </c>
      <c r="C32" s="170" t="s">
        <v>9</v>
      </c>
      <c r="D32" s="157" t="s">
        <v>10</v>
      </c>
      <c r="E32" s="8" t="s">
        <v>71</v>
      </c>
      <c r="F32" s="172" t="s">
        <v>72</v>
      </c>
      <c r="G32" s="4">
        <v>672</v>
      </c>
      <c r="H32" s="24">
        <v>225</v>
      </c>
      <c r="I32" s="35">
        <f t="shared" si="0"/>
        <v>151200</v>
      </c>
      <c r="J32" s="27" t="s">
        <v>207</v>
      </c>
      <c r="K32" s="161" t="s">
        <v>208</v>
      </c>
      <c r="L32" s="166" t="s">
        <v>337</v>
      </c>
      <c r="O32" s="119" t="s">
        <v>70</v>
      </c>
      <c r="P32" s="8" t="s">
        <v>71</v>
      </c>
    </row>
    <row r="33" spans="1:16" ht="60" x14ac:dyDescent="0.25">
      <c r="A33" s="30">
        <v>29</v>
      </c>
      <c r="B33" s="156" t="s">
        <v>73</v>
      </c>
      <c r="C33" s="170" t="s">
        <v>9</v>
      </c>
      <c r="D33" s="157" t="s">
        <v>10</v>
      </c>
      <c r="E33" s="8" t="s">
        <v>74</v>
      </c>
      <c r="F33" s="11" t="s">
        <v>38</v>
      </c>
      <c r="G33" s="4">
        <v>336</v>
      </c>
      <c r="H33" s="24">
        <v>120</v>
      </c>
      <c r="I33" s="35">
        <f t="shared" si="0"/>
        <v>40320</v>
      </c>
      <c r="J33" s="27" t="s">
        <v>209</v>
      </c>
      <c r="K33" s="161" t="s">
        <v>210</v>
      </c>
      <c r="L33" s="166" t="s">
        <v>337</v>
      </c>
      <c r="O33" s="119" t="s">
        <v>73</v>
      </c>
      <c r="P33" s="8" t="s">
        <v>74</v>
      </c>
    </row>
    <row r="34" spans="1:16" ht="60" x14ac:dyDescent="0.25">
      <c r="A34" s="30">
        <v>30</v>
      </c>
      <c r="B34" s="156" t="s">
        <v>75</v>
      </c>
      <c r="C34" s="170" t="s">
        <v>9</v>
      </c>
      <c r="D34" s="157" t="s">
        <v>10</v>
      </c>
      <c r="E34" s="8" t="s">
        <v>76</v>
      </c>
      <c r="F34" s="11" t="s">
        <v>38</v>
      </c>
      <c r="G34" s="4">
        <v>672</v>
      </c>
      <c r="H34" s="24">
        <v>65</v>
      </c>
      <c r="I34" s="35">
        <f t="shared" si="0"/>
        <v>43680</v>
      </c>
      <c r="J34" s="27" t="s">
        <v>211</v>
      </c>
      <c r="K34" s="161" t="s">
        <v>212</v>
      </c>
      <c r="L34" s="166" t="s">
        <v>337</v>
      </c>
      <c r="O34" s="119" t="s">
        <v>75</v>
      </c>
      <c r="P34" s="8" t="s">
        <v>76</v>
      </c>
    </row>
    <row r="35" spans="1:16" ht="60" x14ac:dyDescent="0.25">
      <c r="A35" s="30">
        <v>31</v>
      </c>
      <c r="B35" s="156" t="s">
        <v>77</v>
      </c>
      <c r="C35" s="170" t="s">
        <v>9</v>
      </c>
      <c r="D35" s="157" t="s">
        <v>10</v>
      </c>
      <c r="E35" s="8" t="s">
        <v>78</v>
      </c>
      <c r="F35" s="11" t="s">
        <v>38</v>
      </c>
      <c r="G35" s="4">
        <v>672</v>
      </c>
      <c r="H35" s="24">
        <v>65</v>
      </c>
      <c r="I35" s="35">
        <f t="shared" si="0"/>
        <v>43680</v>
      </c>
      <c r="J35" s="27" t="s">
        <v>213</v>
      </c>
      <c r="K35" s="161" t="s">
        <v>214</v>
      </c>
      <c r="L35" s="166" t="s">
        <v>337</v>
      </c>
      <c r="O35" s="119" t="s">
        <v>77</v>
      </c>
      <c r="P35" s="8" t="s">
        <v>78</v>
      </c>
    </row>
    <row r="36" spans="1:16" ht="60" x14ac:dyDescent="0.25">
      <c r="A36" s="30">
        <v>32</v>
      </c>
      <c r="B36" s="156" t="s">
        <v>79</v>
      </c>
      <c r="C36" s="170" t="s">
        <v>9</v>
      </c>
      <c r="D36" s="157" t="s">
        <v>10</v>
      </c>
      <c r="E36" s="8" t="s">
        <v>80</v>
      </c>
      <c r="F36" s="11" t="s">
        <v>38</v>
      </c>
      <c r="G36" s="4">
        <v>432</v>
      </c>
      <c r="H36" s="24">
        <v>65</v>
      </c>
      <c r="I36" s="35">
        <f t="shared" si="0"/>
        <v>28080</v>
      </c>
      <c r="J36" s="27" t="s">
        <v>215</v>
      </c>
      <c r="K36" s="161" t="s">
        <v>216</v>
      </c>
      <c r="L36" s="166" t="s">
        <v>337</v>
      </c>
      <c r="O36" s="119" t="s">
        <v>79</v>
      </c>
      <c r="P36" s="8" t="s">
        <v>80</v>
      </c>
    </row>
    <row r="37" spans="1:16" ht="60" x14ac:dyDescent="0.25">
      <c r="A37" s="30">
        <v>33</v>
      </c>
      <c r="B37" s="156" t="s">
        <v>81</v>
      </c>
      <c r="C37" s="170" t="s">
        <v>9</v>
      </c>
      <c r="D37" s="157" t="s">
        <v>10</v>
      </c>
      <c r="E37" s="8" t="s">
        <v>82</v>
      </c>
      <c r="F37" s="11" t="s">
        <v>38</v>
      </c>
      <c r="G37" s="4">
        <v>672</v>
      </c>
      <c r="H37" s="24">
        <v>65</v>
      </c>
      <c r="I37" s="35">
        <f t="shared" si="0"/>
        <v>43680</v>
      </c>
      <c r="J37" s="27" t="s">
        <v>217</v>
      </c>
      <c r="K37" s="161" t="s">
        <v>218</v>
      </c>
      <c r="L37" s="166" t="s">
        <v>337</v>
      </c>
      <c r="O37" s="119" t="s">
        <v>81</v>
      </c>
      <c r="P37" s="8" t="s">
        <v>82</v>
      </c>
    </row>
    <row r="38" spans="1:16" ht="45" x14ac:dyDescent="0.25">
      <c r="A38" s="30">
        <v>34</v>
      </c>
      <c r="B38" s="156" t="s">
        <v>83</v>
      </c>
      <c r="C38" s="170" t="s">
        <v>9</v>
      </c>
      <c r="D38" s="157" t="s">
        <v>10</v>
      </c>
      <c r="E38" s="8" t="s">
        <v>84</v>
      </c>
      <c r="F38" s="11" t="s">
        <v>38</v>
      </c>
      <c r="G38" s="4">
        <v>420</v>
      </c>
      <c r="H38" s="24">
        <v>115</v>
      </c>
      <c r="I38" s="35">
        <f t="shared" si="0"/>
        <v>48300</v>
      </c>
      <c r="J38" s="27" t="s">
        <v>219</v>
      </c>
      <c r="K38" s="161" t="s">
        <v>220</v>
      </c>
      <c r="L38" s="166" t="s">
        <v>337</v>
      </c>
      <c r="O38" s="119" t="s">
        <v>83</v>
      </c>
      <c r="P38" s="8" t="s">
        <v>84</v>
      </c>
    </row>
    <row r="39" spans="1:16" ht="45" x14ac:dyDescent="0.25">
      <c r="A39" s="30">
        <v>35</v>
      </c>
      <c r="B39" s="156" t="s">
        <v>85</v>
      </c>
      <c r="C39" s="170" t="s">
        <v>9</v>
      </c>
      <c r="D39" s="157" t="s">
        <v>10</v>
      </c>
      <c r="E39" s="8" t="s">
        <v>86</v>
      </c>
      <c r="F39" s="11" t="s">
        <v>38</v>
      </c>
      <c r="G39" s="4">
        <v>420</v>
      </c>
      <c r="H39" s="24">
        <v>140</v>
      </c>
      <c r="I39" s="35">
        <f t="shared" si="0"/>
        <v>58800</v>
      </c>
      <c r="J39" s="27" t="s">
        <v>221</v>
      </c>
      <c r="K39" s="161" t="s">
        <v>222</v>
      </c>
      <c r="L39" s="166" t="s">
        <v>337</v>
      </c>
      <c r="O39" s="119" t="s">
        <v>85</v>
      </c>
      <c r="P39" s="8" t="s">
        <v>86</v>
      </c>
    </row>
    <row r="40" spans="1:16" ht="45" x14ac:dyDescent="0.25">
      <c r="A40" s="30">
        <v>36</v>
      </c>
      <c r="B40" s="156" t="s">
        <v>87</v>
      </c>
      <c r="C40" s="170" t="s">
        <v>9</v>
      </c>
      <c r="D40" s="157" t="s">
        <v>10</v>
      </c>
      <c r="E40" s="8" t="s">
        <v>88</v>
      </c>
      <c r="F40" s="11" t="s">
        <v>89</v>
      </c>
      <c r="G40" s="4">
        <v>1008</v>
      </c>
      <c r="H40" s="24">
        <v>60</v>
      </c>
      <c r="I40" s="35">
        <f t="shared" si="0"/>
        <v>60480</v>
      </c>
      <c r="J40" s="27" t="s">
        <v>223</v>
      </c>
      <c r="K40" s="161" t="s">
        <v>224</v>
      </c>
      <c r="L40" s="166" t="s">
        <v>337</v>
      </c>
      <c r="O40" s="119" t="s">
        <v>87</v>
      </c>
      <c r="P40" s="8" t="s">
        <v>88</v>
      </c>
    </row>
    <row r="41" spans="1:16" ht="33.75" x14ac:dyDescent="0.25">
      <c r="A41" s="30">
        <v>37</v>
      </c>
      <c r="B41" s="156" t="s">
        <v>90</v>
      </c>
      <c r="C41" s="170" t="s">
        <v>9</v>
      </c>
      <c r="D41" s="157" t="s">
        <v>10</v>
      </c>
      <c r="E41" s="8" t="s">
        <v>91</v>
      </c>
      <c r="F41" s="11" t="s">
        <v>92</v>
      </c>
      <c r="G41" s="4">
        <v>168</v>
      </c>
      <c r="H41" s="24">
        <v>128</v>
      </c>
      <c r="I41" s="35">
        <f t="shared" si="0"/>
        <v>21504</v>
      </c>
      <c r="J41" s="27" t="s">
        <v>225</v>
      </c>
      <c r="K41" s="161" t="s">
        <v>226</v>
      </c>
      <c r="L41" s="166" t="s">
        <v>337</v>
      </c>
      <c r="O41" s="119" t="s">
        <v>90</v>
      </c>
      <c r="P41" s="8" t="s">
        <v>91</v>
      </c>
    </row>
    <row r="42" spans="1:16" ht="30" x14ac:dyDescent="0.25">
      <c r="A42" s="30">
        <v>38</v>
      </c>
      <c r="B42" s="156" t="s">
        <v>93</v>
      </c>
      <c r="C42" s="170" t="s">
        <v>9</v>
      </c>
      <c r="D42" s="157" t="s">
        <v>10</v>
      </c>
      <c r="E42" s="8" t="s">
        <v>94</v>
      </c>
      <c r="F42" s="11" t="s">
        <v>38</v>
      </c>
      <c r="G42" s="4">
        <v>570</v>
      </c>
      <c r="H42" s="24">
        <v>195</v>
      </c>
      <c r="I42" s="35">
        <f t="shared" si="0"/>
        <v>111150</v>
      </c>
      <c r="J42" s="27" t="s">
        <v>227</v>
      </c>
      <c r="K42" s="161" t="s">
        <v>228</v>
      </c>
      <c r="L42" s="166" t="s">
        <v>337</v>
      </c>
      <c r="O42" s="119" t="s">
        <v>93</v>
      </c>
      <c r="P42" s="8" t="s">
        <v>94</v>
      </c>
    </row>
    <row r="43" spans="1:16" ht="45" x14ac:dyDescent="0.25">
      <c r="A43" s="30">
        <v>39</v>
      </c>
      <c r="B43" s="156" t="s">
        <v>95</v>
      </c>
      <c r="C43" s="170" t="s">
        <v>9</v>
      </c>
      <c r="D43" s="157" t="s">
        <v>10</v>
      </c>
      <c r="E43" s="8" t="s">
        <v>96</v>
      </c>
      <c r="F43" s="11" t="s">
        <v>38</v>
      </c>
      <c r="G43" s="4">
        <v>168</v>
      </c>
      <c r="H43" s="24">
        <v>450</v>
      </c>
      <c r="I43" s="35">
        <f t="shared" si="0"/>
        <v>75600</v>
      </c>
      <c r="J43" s="27" t="s">
        <v>229</v>
      </c>
      <c r="K43" s="161" t="s">
        <v>230</v>
      </c>
      <c r="L43" s="166" t="s">
        <v>337</v>
      </c>
      <c r="O43" s="119" t="s">
        <v>95</v>
      </c>
      <c r="P43" s="8" t="s">
        <v>96</v>
      </c>
    </row>
    <row r="44" spans="1:16" ht="30" x14ac:dyDescent="0.25">
      <c r="A44" s="30">
        <v>40</v>
      </c>
      <c r="B44" s="156" t="s">
        <v>97</v>
      </c>
      <c r="C44" s="170" t="s">
        <v>9</v>
      </c>
      <c r="D44" s="157" t="s">
        <v>10</v>
      </c>
      <c r="E44" s="8" t="s">
        <v>98</v>
      </c>
      <c r="F44" s="11" t="s">
        <v>99</v>
      </c>
      <c r="G44" s="4">
        <v>114</v>
      </c>
      <c r="H44" s="24">
        <v>55</v>
      </c>
      <c r="I44" s="35">
        <f t="shared" si="0"/>
        <v>6270</v>
      </c>
      <c r="J44" s="27" t="s">
        <v>231</v>
      </c>
      <c r="K44" s="161" t="s">
        <v>232</v>
      </c>
      <c r="L44" s="166" t="s">
        <v>337</v>
      </c>
      <c r="O44" s="119" t="s">
        <v>97</v>
      </c>
      <c r="P44" s="8" t="s">
        <v>98</v>
      </c>
    </row>
    <row r="45" spans="1:16" ht="30" x14ac:dyDescent="0.25">
      <c r="A45" s="30">
        <v>41</v>
      </c>
      <c r="B45" s="156" t="s">
        <v>100</v>
      </c>
      <c r="C45" s="170" t="s">
        <v>9</v>
      </c>
      <c r="D45" s="157" t="s">
        <v>10</v>
      </c>
      <c r="E45" s="8" t="s">
        <v>101</v>
      </c>
      <c r="F45" s="11" t="s">
        <v>99</v>
      </c>
      <c r="G45" s="4">
        <v>78</v>
      </c>
      <c r="H45" s="24">
        <v>47</v>
      </c>
      <c r="I45" s="35">
        <f t="shared" si="0"/>
        <v>3666</v>
      </c>
      <c r="J45" s="27" t="s">
        <v>233</v>
      </c>
      <c r="K45" s="161" t="s">
        <v>234</v>
      </c>
      <c r="L45" s="166" t="s">
        <v>337</v>
      </c>
      <c r="O45" s="119" t="s">
        <v>100</v>
      </c>
      <c r="P45" s="8" t="s">
        <v>101</v>
      </c>
    </row>
    <row r="46" spans="1:16" ht="30" x14ac:dyDescent="0.25">
      <c r="A46" s="30">
        <v>42</v>
      </c>
      <c r="B46" s="156" t="s">
        <v>102</v>
      </c>
      <c r="C46" s="170" t="s">
        <v>9</v>
      </c>
      <c r="D46" s="157" t="s">
        <v>10</v>
      </c>
      <c r="E46" s="8" t="s">
        <v>103</v>
      </c>
      <c r="F46" s="11" t="s">
        <v>38</v>
      </c>
      <c r="G46" s="4">
        <v>516</v>
      </c>
      <c r="H46" s="24">
        <v>85</v>
      </c>
      <c r="I46" s="35">
        <f t="shared" si="0"/>
        <v>43860</v>
      </c>
      <c r="J46" s="27" t="s">
        <v>235</v>
      </c>
      <c r="K46" s="161" t="s">
        <v>236</v>
      </c>
      <c r="L46" s="166" t="s">
        <v>337</v>
      </c>
      <c r="O46" s="119" t="s">
        <v>102</v>
      </c>
      <c r="P46" s="8" t="s">
        <v>103</v>
      </c>
    </row>
    <row r="47" spans="1:16" ht="30" x14ac:dyDescent="0.25">
      <c r="A47" s="30">
        <v>43</v>
      </c>
      <c r="B47" s="156" t="s">
        <v>104</v>
      </c>
      <c r="C47" s="170" t="s">
        <v>9</v>
      </c>
      <c r="D47" s="157" t="s">
        <v>10</v>
      </c>
      <c r="E47" s="8" t="s">
        <v>105</v>
      </c>
      <c r="F47" s="11" t="s">
        <v>106</v>
      </c>
      <c r="G47" s="4">
        <v>336</v>
      </c>
      <c r="H47" s="24">
        <v>194</v>
      </c>
      <c r="I47" s="35">
        <f t="shared" si="0"/>
        <v>65184</v>
      </c>
      <c r="J47" s="27" t="s">
        <v>237</v>
      </c>
      <c r="K47" s="161" t="s">
        <v>238</v>
      </c>
      <c r="L47" s="166" t="s">
        <v>337</v>
      </c>
      <c r="O47" s="119" t="s">
        <v>104</v>
      </c>
      <c r="P47" s="8" t="s">
        <v>105</v>
      </c>
    </row>
    <row r="48" spans="1:16" ht="30" x14ac:dyDescent="0.25">
      <c r="A48" s="30">
        <v>44</v>
      </c>
      <c r="B48" s="156" t="s">
        <v>107</v>
      </c>
      <c r="C48" s="170" t="s">
        <v>9</v>
      </c>
      <c r="D48" s="157" t="s">
        <v>10</v>
      </c>
      <c r="E48" s="8" t="s">
        <v>108</v>
      </c>
      <c r="F48" s="11" t="s">
        <v>106</v>
      </c>
      <c r="G48" s="4">
        <v>78</v>
      </c>
      <c r="H48" s="24">
        <v>85</v>
      </c>
      <c r="I48" s="35">
        <f t="shared" si="0"/>
        <v>6630</v>
      </c>
      <c r="J48" s="27" t="s">
        <v>239</v>
      </c>
      <c r="K48" s="161" t="s">
        <v>240</v>
      </c>
      <c r="L48" s="166" t="s">
        <v>337</v>
      </c>
      <c r="O48" s="119" t="s">
        <v>107</v>
      </c>
      <c r="P48" s="8" t="s">
        <v>333</v>
      </c>
    </row>
    <row r="49" spans="1:16" ht="30" x14ac:dyDescent="0.25">
      <c r="A49" s="30">
        <v>45</v>
      </c>
      <c r="B49" s="156" t="s">
        <v>109</v>
      </c>
      <c r="C49" s="170" t="s">
        <v>9</v>
      </c>
      <c r="D49" s="157" t="s">
        <v>10</v>
      </c>
      <c r="E49" s="8" t="s">
        <v>110</v>
      </c>
      <c r="F49" s="11" t="s">
        <v>38</v>
      </c>
      <c r="G49" s="4">
        <v>168</v>
      </c>
      <c r="H49" s="24">
        <v>235</v>
      </c>
      <c r="I49" s="35">
        <f t="shared" si="0"/>
        <v>39480</v>
      </c>
      <c r="J49" s="27" t="s">
        <v>241</v>
      </c>
      <c r="K49" s="161" t="s">
        <v>242</v>
      </c>
      <c r="L49" s="166" t="s">
        <v>337</v>
      </c>
      <c r="O49" s="119" t="s">
        <v>109</v>
      </c>
      <c r="P49" s="8" t="s">
        <v>110</v>
      </c>
    </row>
    <row r="50" spans="1:16" ht="30" x14ac:dyDescent="0.25">
      <c r="A50" s="30">
        <v>46</v>
      </c>
      <c r="B50" s="156" t="s">
        <v>111</v>
      </c>
      <c r="C50" s="170" t="s">
        <v>9</v>
      </c>
      <c r="D50" s="157" t="s">
        <v>10</v>
      </c>
      <c r="E50" s="8" t="s">
        <v>112</v>
      </c>
      <c r="F50" s="11" t="s">
        <v>38</v>
      </c>
      <c r="G50" s="4">
        <v>336</v>
      </c>
      <c r="H50" s="24">
        <v>125</v>
      </c>
      <c r="I50" s="35">
        <f t="shared" si="0"/>
        <v>42000</v>
      </c>
      <c r="J50" s="27" t="s">
        <v>243</v>
      </c>
      <c r="K50" s="161" t="s">
        <v>244</v>
      </c>
      <c r="L50" s="166" t="s">
        <v>337</v>
      </c>
      <c r="O50" s="119" t="s">
        <v>111</v>
      </c>
      <c r="P50" s="8" t="s">
        <v>112</v>
      </c>
    </row>
    <row r="51" spans="1:16" ht="30" x14ac:dyDescent="0.25">
      <c r="A51" s="30">
        <v>47</v>
      </c>
      <c r="B51" s="156" t="s">
        <v>113</v>
      </c>
      <c r="C51" s="170" t="s">
        <v>9</v>
      </c>
      <c r="D51" s="157" t="s">
        <v>10</v>
      </c>
      <c r="E51" s="8" t="s">
        <v>114</v>
      </c>
      <c r="F51" s="11" t="s">
        <v>38</v>
      </c>
      <c r="G51" s="4">
        <v>336</v>
      </c>
      <c r="H51" s="24">
        <v>147</v>
      </c>
      <c r="I51" s="35">
        <f t="shared" si="0"/>
        <v>49392</v>
      </c>
      <c r="J51" s="27" t="s">
        <v>245</v>
      </c>
      <c r="K51" s="161" t="s">
        <v>246</v>
      </c>
      <c r="L51" s="166" t="s">
        <v>337</v>
      </c>
      <c r="O51" s="119" t="s">
        <v>113</v>
      </c>
      <c r="P51" s="8" t="s">
        <v>114</v>
      </c>
    </row>
    <row r="52" spans="1:16" ht="30" x14ac:dyDescent="0.25">
      <c r="A52" s="30">
        <v>48</v>
      </c>
      <c r="B52" s="156" t="s">
        <v>115</v>
      </c>
      <c r="C52" s="170" t="s">
        <v>9</v>
      </c>
      <c r="D52" s="157" t="s">
        <v>10</v>
      </c>
      <c r="E52" s="8" t="s">
        <v>116</v>
      </c>
      <c r="F52" s="11" t="s">
        <v>89</v>
      </c>
      <c r="G52" s="4">
        <v>336</v>
      </c>
      <c r="H52" s="24">
        <v>410</v>
      </c>
      <c r="I52" s="35">
        <f t="shared" si="0"/>
        <v>137760</v>
      </c>
      <c r="J52" s="27" t="s">
        <v>247</v>
      </c>
      <c r="K52" s="161" t="s">
        <v>248</v>
      </c>
      <c r="L52" s="166" t="s">
        <v>337</v>
      </c>
      <c r="O52" s="119" t="s">
        <v>115</v>
      </c>
      <c r="P52" s="8" t="s">
        <v>116</v>
      </c>
    </row>
    <row r="53" spans="1:16" ht="22.5" x14ac:dyDescent="0.25">
      <c r="A53" s="30">
        <v>49</v>
      </c>
      <c r="B53" s="156" t="s">
        <v>117</v>
      </c>
      <c r="C53" s="170" t="s">
        <v>9</v>
      </c>
      <c r="D53" s="157" t="s">
        <v>10</v>
      </c>
      <c r="E53" s="8" t="s">
        <v>118</v>
      </c>
      <c r="F53" s="11" t="s">
        <v>29</v>
      </c>
      <c r="G53" s="4">
        <v>21</v>
      </c>
      <c r="H53" s="24">
        <v>800</v>
      </c>
      <c r="I53" s="35">
        <f t="shared" si="0"/>
        <v>16800</v>
      </c>
      <c r="J53" s="27" t="s">
        <v>249</v>
      </c>
      <c r="K53" s="161" t="s">
        <v>250</v>
      </c>
      <c r="L53" s="166" t="s">
        <v>337</v>
      </c>
      <c r="O53" s="119" t="s">
        <v>117</v>
      </c>
      <c r="P53" s="8" t="s">
        <v>118</v>
      </c>
    </row>
    <row r="54" spans="1:16" ht="22.5" x14ac:dyDescent="0.25">
      <c r="A54" s="30">
        <v>50</v>
      </c>
      <c r="B54" s="156" t="s">
        <v>119</v>
      </c>
      <c r="C54" s="170" t="s">
        <v>9</v>
      </c>
      <c r="D54" s="157" t="s">
        <v>10</v>
      </c>
      <c r="E54" s="8" t="s">
        <v>120</v>
      </c>
      <c r="F54" s="11" t="s">
        <v>99</v>
      </c>
      <c r="G54" s="4">
        <v>21</v>
      </c>
      <c r="H54" s="24">
        <v>1300</v>
      </c>
      <c r="I54" s="35">
        <f t="shared" si="0"/>
        <v>27300</v>
      </c>
      <c r="J54" s="27" t="s">
        <v>251</v>
      </c>
      <c r="K54" s="161" t="s">
        <v>252</v>
      </c>
      <c r="L54" s="166" t="s">
        <v>337</v>
      </c>
      <c r="O54" s="119" t="s">
        <v>119</v>
      </c>
      <c r="P54" s="8" t="s">
        <v>120</v>
      </c>
    </row>
    <row r="55" spans="1:16" ht="30" x14ac:dyDescent="0.25">
      <c r="A55" s="30">
        <v>51</v>
      </c>
      <c r="B55" s="156" t="s">
        <v>121</v>
      </c>
      <c r="C55" s="170" t="s">
        <v>9</v>
      </c>
      <c r="D55" s="157" t="s">
        <v>10</v>
      </c>
      <c r="E55" s="8" t="s">
        <v>122</v>
      </c>
      <c r="F55" s="11" t="s">
        <v>89</v>
      </c>
      <c r="G55" s="4">
        <v>1008</v>
      </c>
      <c r="H55" s="24">
        <v>70</v>
      </c>
      <c r="I55" s="35">
        <f t="shared" si="0"/>
        <v>70560</v>
      </c>
      <c r="J55" s="27" t="s">
        <v>253</v>
      </c>
      <c r="K55" s="161" t="s">
        <v>254</v>
      </c>
      <c r="L55" s="166" t="s">
        <v>337</v>
      </c>
      <c r="O55" s="119" t="s">
        <v>121</v>
      </c>
      <c r="P55" s="8" t="s">
        <v>122</v>
      </c>
    </row>
    <row r="56" spans="1:16" ht="45" x14ac:dyDescent="0.25">
      <c r="A56" s="30">
        <v>52</v>
      </c>
      <c r="B56" s="156" t="s">
        <v>123</v>
      </c>
      <c r="C56" s="170" t="s">
        <v>9</v>
      </c>
      <c r="D56" s="157" t="s">
        <v>10</v>
      </c>
      <c r="E56" s="8" t="s">
        <v>124</v>
      </c>
      <c r="F56" s="11" t="s">
        <v>99</v>
      </c>
      <c r="G56" s="4">
        <v>420</v>
      </c>
      <c r="H56" s="24">
        <v>140</v>
      </c>
      <c r="I56" s="35">
        <f t="shared" si="0"/>
        <v>58800</v>
      </c>
      <c r="J56" s="27" t="s">
        <v>255</v>
      </c>
      <c r="K56" s="161" t="s">
        <v>256</v>
      </c>
      <c r="L56" s="166" t="s">
        <v>337</v>
      </c>
      <c r="O56" s="119" t="s">
        <v>123</v>
      </c>
      <c r="P56" s="8" t="s">
        <v>124</v>
      </c>
    </row>
    <row r="57" spans="1:16" ht="30" x14ac:dyDescent="0.25">
      <c r="A57" s="30">
        <v>53</v>
      </c>
      <c r="B57" s="156" t="s">
        <v>125</v>
      </c>
      <c r="C57" s="170" t="s">
        <v>9</v>
      </c>
      <c r="D57" s="157" t="s">
        <v>10</v>
      </c>
      <c r="E57" s="8" t="s">
        <v>126</v>
      </c>
      <c r="F57" s="11" t="s">
        <v>89</v>
      </c>
      <c r="G57" s="4">
        <v>336</v>
      </c>
      <c r="H57" s="24">
        <v>375</v>
      </c>
      <c r="I57" s="35">
        <f t="shared" si="0"/>
        <v>126000</v>
      </c>
      <c r="J57" s="27" t="s">
        <v>257</v>
      </c>
      <c r="K57" s="161" t="s">
        <v>258</v>
      </c>
      <c r="L57" s="166" t="s">
        <v>337</v>
      </c>
      <c r="O57" s="119" t="s">
        <v>125</v>
      </c>
      <c r="P57" s="8" t="s">
        <v>126</v>
      </c>
    </row>
    <row r="58" spans="1:16" ht="45" x14ac:dyDescent="0.25">
      <c r="A58" s="30">
        <v>54</v>
      </c>
      <c r="B58" s="156" t="s">
        <v>127</v>
      </c>
      <c r="C58" s="170" t="s">
        <v>9</v>
      </c>
      <c r="D58" s="157" t="s">
        <v>10</v>
      </c>
      <c r="E58" s="8" t="s">
        <v>128</v>
      </c>
      <c r="F58" s="11" t="s">
        <v>38</v>
      </c>
      <c r="G58" s="4">
        <v>336</v>
      </c>
      <c r="H58" s="24">
        <v>140</v>
      </c>
      <c r="I58" s="35">
        <f t="shared" si="0"/>
        <v>47040</v>
      </c>
      <c r="J58" s="27" t="s">
        <v>259</v>
      </c>
      <c r="K58" s="161" t="s">
        <v>260</v>
      </c>
      <c r="L58" s="166" t="s">
        <v>337</v>
      </c>
      <c r="O58" s="119" t="s">
        <v>127</v>
      </c>
      <c r="P58" s="8" t="s">
        <v>128</v>
      </c>
    </row>
    <row r="59" spans="1:16" ht="45" x14ac:dyDescent="0.25">
      <c r="A59" s="30">
        <v>55</v>
      </c>
      <c r="B59" s="156" t="s">
        <v>129</v>
      </c>
      <c r="C59" s="170" t="s">
        <v>9</v>
      </c>
      <c r="D59" s="157" t="s">
        <v>10</v>
      </c>
      <c r="E59" s="8" t="s">
        <v>130</v>
      </c>
      <c r="F59" s="11" t="s">
        <v>38</v>
      </c>
      <c r="G59" s="4">
        <v>420</v>
      </c>
      <c r="H59" s="24">
        <v>196</v>
      </c>
      <c r="I59" s="35">
        <f t="shared" si="0"/>
        <v>82320</v>
      </c>
      <c r="J59" s="27" t="s">
        <v>261</v>
      </c>
      <c r="K59" s="161" t="s">
        <v>262</v>
      </c>
      <c r="L59" s="166" t="s">
        <v>337</v>
      </c>
      <c r="O59" s="119" t="s">
        <v>129</v>
      </c>
      <c r="P59" s="8" t="s">
        <v>130</v>
      </c>
    </row>
    <row r="60" spans="1:16" ht="30" x14ac:dyDescent="0.25">
      <c r="A60" s="30">
        <v>56</v>
      </c>
      <c r="B60" s="156" t="s">
        <v>131</v>
      </c>
      <c r="C60" s="170" t="s">
        <v>9</v>
      </c>
      <c r="D60" s="157" t="s">
        <v>10</v>
      </c>
      <c r="E60" s="8" t="s">
        <v>132</v>
      </c>
      <c r="F60" s="11" t="s">
        <v>72</v>
      </c>
      <c r="G60" s="4">
        <v>288</v>
      </c>
      <c r="H60" s="24">
        <v>425</v>
      </c>
      <c r="I60" s="35">
        <f t="shared" si="0"/>
        <v>122400</v>
      </c>
      <c r="J60" s="27" t="s">
        <v>263</v>
      </c>
      <c r="K60" s="161" t="s">
        <v>264</v>
      </c>
      <c r="L60" s="166" t="s">
        <v>337</v>
      </c>
      <c r="O60" s="119" t="s">
        <v>131</v>
      </c>
      <c r="P60" s="8" t="s">
        <v>132</v>
      </c>
    </row>
    <row r="61" spans="1:16" ht="45" x14ac:dyDescent="0.25">
      <c r="A61" s="30">
        <v>57</v>
      </c>
      <c r="B61" s="156" t="s">
        <v>133</v>
      </c>
      <c r="C61" s="170" t="s">
        <v>9</v>
      </c>
      <c r="D61" s="157" t="s">
        <v>10</v>
      </c>
      <c r="E61" s="8" t="s">
        <v>134</v>
      </c>
      <c r="F61" s="11" t="s">
        <v>135</v>
      </c>
      <c r="G61" s="4">
        <v>288</v>
      </c>
      <c r="H61" s="24">
        <v>117</v>
      </c>
      <c r="I61" s="35">
        <f t="shared" si="0"/>
        <v>33696</v>
      </c>
      <c r="J61" s="27" t="s">
        <v>265</v>
      </c>
      <c r="K61" s="161" t="s">
        <v>266</v>
      </c>
      <c r="L61" s="166" t="s">
        <v>337</v>
      </c>
      <c r="O61" s="119" t="s">
        <v>133</v>
      </c>
      <c r="P61" s="8" t="s">
        <v>134</v>
      </c>
    </row>
    <row r="62" spans="1:16" ht="30" x14ac:dyDescent="0.25">
      <c r="A62" s="30">
        <v>58</v>
      </c>
      <c r="B62" s="156" t="s">
        <v>136</v>
      </c>
      <c r="C62" s="170" t="s">
        <v>9</v>
      </c>
      <c r="D62" s="157" t="s">
        <v>10</v>
      </c>
      <c r="E62" s="8" t="s">
        <v>137</v>
      </c>
      <c r="F62" s="11" t="s">
        <v>92</v>
      </c>
      <c r="G62" s="4">
        <v>1260</v>
      </c>
      <c r="H62" s="24">
        <v>60</v>
      </c>
      <c r="I62" s="35">
        <f t="shared" si="0"/>
        <v>75600</v>
      </c>
      <c r="J62" s="27" t="s">
        <v>267</v>
      </c>
      <c r="K62" s="161" t="s">
        <v>268</v>
      </c>
      <c r="L62" s="166" t="s">
        <v>337</v>
      </c>
      <c r="O62" s="119" t="s">
        <v>136</v>
      </c>
      <c r="P62" s="8" t="s">
        <v>137</v>
      </c>
    </row>
    <row r="63" spans="1:16" ht="45" x14ac:dyDescent="0.25">
      <c r="A63" s="30">
        <v>59</v>
      </c>
      <c r="B63" s="156" t="s">
        <v>138</v>
      </c>
      <c r="C63" s="170" t="s">
        <v>9</v>
      </c>
      <c r="D63" s="157" t="s">
        <v>10</v>
      </c>
      <c r="E63" s="8" t="s">
        <v>139</v>
      </c>
      <c r="F63" s="11" t="s">
        <v>140</v>
      </c>
      <c r="G63" s="4">
        <v>1260</v>
      </c>
      <c r="H63" s="24">
        <v>60</v>
      </c>
      <c r="I63" s="35">
        <f t="shared" si="0"/>
        <v>75600</v>
      </c>
      <c r="J63" s="27" t="s">
        <v>269</v>
      </c>
      <c r="K63" s="161" t="s">
        <v>270</v>
      </c>
      <c r="L63" s="166" t="s">
        <v>337</v>
      </c>
      <c r="O63" s="119" t="s">
        <v>138</v>
      </c>
      <c r="P63" s="8" t="s">
        <v>139</v>
      </c>
    </row>
    <row r="64" spans="1:16" ht="33.75" x14ac:dyDescent="0.25">
      <c r="A64" s="30">
        <v>60</v>
      </c>
      <c r="B64" s="156" t="s">
        <v>141</v>
      </c>
      <c r="C64" s="170" t="s">
        <v>9</v>
      </c>
      <c r="D64" s="157" t="s">
        <v>10</v>
      </c>
      <c r="E64" s="8" t="s">
        <v>142</v>
      </c>
      <c r="F64" s="11" t="s">
        <v>92</v>
      </c>
      <c r="G64" s="4">
        <v>1260</v>
      </c>
      <c r="H64" s="24">
        <v>76</v>
      </c>
      <c r="I64" s="35">
        <f t="shared" si="0"/>
        <v>95760</v>
      </c>
      <c r="J64" s="27" t="s">
        <v>271</v>
      </c>
      <c r="K64" s="161" t="s">
        <v>142</v>
      </c>
      <c r="L64" s="166" t="s">
        <v>337</v>
      </c>
      <c r="O64" s="119" t="s">
        <v>141</v>
      </c>
      <c r="P64" s="8" t="s">
        <v>142</v>
      </c>
    </row>
    <row r="65" spans="1:16" ht="33.75" x14ac:dyDescent="0.25">
      <c r="A65" s="30">
        <v>61</v>
      </c>
      <c r="B65" s="156" t="s">
        <v>143</v>
      </c>
      <c r="C65" s="170" t="s">
        <v>9</v>
      </c>
      <c r="D65" s="157" t="s">
        <v>10</v>
      </c>
      <c r="E65" s="8" t="s">
        <v>144</v>
      </c>
      <c r="F65" s="11" t="s">
        <v>140</v>
      </c>
      <c r="G65" s="4">
        <v>1260</v>
      </c>
      <c r="H65" s="24">
        <v>76</v>
      </c>
      <c r="I65" s="35">
        <f t="shared" si="0"/>
        <v>95760</v>
      </c>
      <c r="J65" s="27" t="s">
        <v>272</v>
      </c>
      <c r="K65" s="161" t="s">
        <v>144</v>
      </c>
      <c r="L65" s="166" t="s">
        <v>337</v>
      </c>
      <c r="O65" s="119" t="s">
        <v>143</v>
      </c>
      <c r="P65" s="8" t="s">
        <v>144</v>
      </c>
    </row>
    <row r="66" spans="1:16" ht="45.75" thickBot="1" x14ac:dyDescent="0.3">
      <c r="A66" s="31">
        <v>62</v>
      </c>
      <c r="B66" s="158" t="s">
        <v>145</v>
      </c>
      <c r="C66" s="171" t="s">
        <v>9</v>
      </c>
      <c r="D66" s="159" t="s">
        <v>10</v>
      </c>
      <c r="E66" s="9" t="s">
        <v>146</v>
      </c>
      <c r="F66" s="12" t="s">
        <v>147</v>
      </c>
      <c r="G66" s="5">
        <v>1260</v>
      </c>
      <c r="H66" s="25">
        <v>25</v>
      </c>
      <c r="I66" s="36">
        <f t="shared" si="0"/>
        <v>31500</v>
      </c>
      <c r="J66" s="28" t="s">
        <v>273</v>
      </c>
      <c r="K66" s="162" t="s">
        <v>146</v>
      </c>
      <c r="L66" s="167" t="s">
        <v>337</v>
      </c>
      <c r="O66" s="120" t="s">
        <v>145</v>
      </c>
      <c r="P66" s="9" t="s">
        <v>146</v>
      </c>
    </row>
    <row r="67" spans="1:16" ht="15.75" thickBot="1" x14ac:dyDescent="0.3">
      <c r="I67" s="3">
        <f>SUM(I5:I66)</f>
        <v>6551652</v>
      </c>
    </row>
    <row r="68" spans="1:16" ht="15.75" thickBot="1" x14ac:dyDescent="0.3">
      <c r="B68" s="173" t="s">
        <v>340</v>
      </c>
    </row>
    <row r="69" spans="1:16" x14ac:dyDescent="0.25">
      <c r="B69" s="90" t="s">
        <v>150</v>
      </c>
      <c r="C69" s="91"/>
      <c r="D69" s="91"/>
      <c r="E69" s="91"/>
      <c r="F69" s="91"/>
      <c r="G69" s="91"/>
      <c r="H69" s="92"/>
    </row>
    <row r="70" spans="1:16" x14ac:dyDescent="0.25">
      <c r="B70" s="93" t="s">
        <v>151</v>
      </c>
      <c r="C70" s="89"/>
      <c r="D70" s="89"/>
      <c r="E70" s="89"/>
      <c r="F70" s="89"/>
      <c r="G70" s="89"/>
      <c r="H70" s="94"/>
    </row>
    <row r="71" spans="1:16" x14ac:dyDescent="0.25">
      <c r="B71" s="93" t="s">
        <v>152</v>
      </c>
      <c r="C71" s="89"/>
      <c r="D71" s="89"/>
      <c r="E71" s="89"/>
      <c r="F71" s="89"/>
      <c r="G71" s="89"/>
      <c r="H71" s="94"/>
    </row>
    <row r="72" spans="1:16" x14ac:dyDescent="0.25">
      <c r="B72" s="95" t="s">
        <v>332</v>
      </c>
      <c r="C72" s="89"/>
      <c r="D72" s="89"/>
      <c r="E72" s="89"/>
      <c r="F72" s="89"/>
      <c r="G72" s="89"/>
      <c r="H72" s="94"/>
    </row>
    <row r="73" spans="1:16" x14ac:dyDescent="0.25">
      <c r="B73" s="96" t="s">
        <v>276</v>
      </c>
      <c r="C73" s="97"/>
      <c r="D73" s="114" t="s">
        <v>327</v>
      </c>
      <c r="E73" s="114"/>
      <c r="F73" s="114"/>
      <c r="G73" s="114"/>
      <c r="H73" s="115"/>
    </row>
    <row r="74" spans="1:16" x14ac:dyDescent="0.25">
      <c r="B74" s="98" t="s">
        <v>277</v>
      </c>
      <c r="C74" s="99"/>
      <c r="D74" s="112" t="s">
        <v>328</v>
      </c>
      <c r="E74" s="112"/>
      <c r="F74" s="112"/>
      <c r="G74" s="112"/>
      <c r="H74" s="113"/>
    </row>
    <row r="75" spans="1:16" x14ac:dyDescent="0.25">
      <c r="B75" s="100" t="s">
        <v>278</v>
      </c>
      <c r="C75" s="101"/>
      <c r="D75" s="110" t="s">
        <v>329</v>
      </c>
      <c r="E75" s="110"/>
      <c r="F75" s="110"/>
      <c r="G75" s="110"/>
      <c r="H75" s="111"/>
    </row>
    <row r="76" spans="1:16" x14ac:dyDescent="0.25">
      <c r="B76" s="102" t="s">
        <v>279</v>
      </c>
      <c r="C76" s="103"/>
      <c r="D76" s="108" t="s">
        <v>330</v>
      </c>
      <c r="E76" s="108"/>
      <c r="F76" s="108"/>
      <c r="G76" s="108"/>
      <c r="H76" s="109"/>
    </row>
    <row r="77" spans="1:16" ht="15.75" thickBot="1" x14ac:dyDescent="0.3">
      <c r="B77" s="104" t="s">
        <v>280</v>
      </c>
      <c r="C77" s="105"/>
      <c r="D77" s="106" t="s">
        <v>331</v>
      </c>
      <c r="E77" s="106"/>
      <c r="F77" s="106"/>
      <c r="G77" s="106"/>
      <c r="H77" s="107"/>
    </row>
  </sheetData>
  <mergeCells count="14">
    <mergeCell ref="B74:C74"/>
    <mergeCell ref="B75:C75"/>
    <mergeCell ref="B76:C76"/>
    <mergeCell ref="B77:C77"/>
    <mergeCell ref="D73:H73"/>
    <mergeCell ref="D74:H74"/>
    <mergeCell ref="D75:H75"/>
    <mergeCell ref="D76:H76"/>
    <mergeCell ref="D77:H77"/>
    <mergeCell ref="B69:H69"/>
    <mergeCell ref="B70:H70"/>
    <mergeCell ref="B72:H72"/>
    <mergeCell ref="B71:H71"/>
    <mergeCell ref="B73:C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5E9A-65B6-4A90-96F3-213183E30FE2}">
  <dimension ref="A1:D64"/>
  <sheetViews>
    <sheetView workbookViewId="0"/>
  </sheetViews>
  <sheetFormatPr baseColWidth="10" defaultRowHeight="15" x14ac:dyDescent="0.25"/>
  <cols>
    <col min="1" max="1" width="4" style="2" customWidth="1"/>
    <col min="2" max="2" width="25.5703125" customWidth="1"/>
    <col min="3" max="3" width="7.28515625" customWidth="1"/>
    <col min="4" max="4" width="47.140625" customWidth="1"/>
  </cols>
  <sheetData>
    <row r="1" spans="1:4" ht="15.75" thickBot="1" x14ac:dyDescent="0.3"/>
    <row r="2" spans="1:4" ht="15.75" thickBot="1" x14ac:dyDescent="0.3">
      <c r="A2" s="152" t="s">
        <v>336</v>
      </c>
      <c r="B2" s="147" t="s">
        <v>274</v>
      </c>
      <c r="C2" s="148"/>
      <c r="D2" s="147" t="s">
        <v>275</v>
      </c>
    </row>
    <row r="3" spans="1:4" x14ac:dyDescent="0.25">
      <c r="A3" s="153">
        <v>1</v>
      </c>
      <c r="B3" s="149" t="s">
        <v>153</v>
      </c>
      <c r="C3" s="19"/>
      <c r="D3" s="37" t="s">
        <v>154</v>
      </c>
    </row>
    <row r="4" spans="1:4" x14ac:dyDescent="0.25">
      <c r="A4" s="68">
        <f>A3+1</f>
        <v>2</v>
      </c>
      <c r="B4" s="150" t="s">
        <v>155</v>
      </c>
      <c r="C4" s="20"/>
      <c r="D4" s="38" t="s">
        <v>156</v>
      </c>
    </row>
    <row r="5" spans="1:4" x14ac:dyDescent="0.25">
      <c r="A5" s="68">
        <f t="shared" ref="A5:A64" si="0">A4+1</f>
        <v>3</v>
      </c>
      <c r="B5" s="150" t="s">
        <v>157</v>
      </c>
      <c r="C5" s="20"/>
      <c r="D5" s="38" t="s">
        <v>158</v>
      </c>
    </row>
    <row r="6" spans="1:4" x14ac:dyDescent="0.25">
      <c r="A6" s="68">
        <f t="shared" si="0"/>
        <v>4</v>
      </c>
      <c r="B6" s="150" t="s">
        <v>159</v>
      </c>
      <c r="C6" s="20"/>
      <c r="D6" s="38" t="s">
        <v>160</v>
      </c>
    </row>
    <row r="7" spans="1:4" x14ac:dyDescent="0.25">
      <c r="A7" s="68">
        <f t="shared" si="0"/>
        <v>5</v>
      </c>
      <c r="B7" s="150" t="s">
        <v>161</v>
      </c>
      <c r="C7" s="20"/>
      <c r="D7" s="38" t="s">
        <v>162</v>
      </c>
    </row>
    <row r="8" spans="1:4" ht="24" x14ac:dyDescent="0.25">
      <c r="A8" s="68">
        <f t="shared" si="0"/>
        <v>6</v>
      </c>
      <c r="B8" s="150" t="s">
        <v>163</v>
      </c>
      <c r="C8" s="20"/>
      <c r="D8" s="38" t="s">
        <v>164</v>
      </c>
    </row>
    <row r="9" spans="1:4" x14ac:dyDescent="0.25">
      <c r="A9" s="68">
        <f t="shared" si="0"/>
        <v>7</v>
      </c>
      <c r="B9" s="150" t="s">
        <v>165</v>
      </c>
      <c r="C9" s="20"/>
      <c r="D9" s="38" t="s">
        <v>166</v>
      </c>
    </row>
    <row r="10" spans="1:4" x14ac:dyDescent="0.25">
      <c r="A10" s="68">
        <f t="shared" si="0"/>
        <v>8</v>
      </c>
      <c r="B10" s="150" t="s">
        <v>167</v>
      </c>
      <c r="C10" s="20"/>
      <c r="D10" s="38" t="s">
        <v>168</v>
      </c>
    </row>
    <row r="11" spans="1:4" ht="24" x14ac:dyDescent="0.25">
      <c r="A11" s="68">
        <f t="shared" si="0"/>
        <v>9</v>
      </c>
      <c r="B11" s="150" t="s">
        <v>169</v>
      </c>
      <c r="C11" s="20"/>
      <c r="D11" s="38" t="s">
        <v>170</v>
      </c>
    </row>
    <row r="12" spans="1:4" ht="24" x14ac:dyDescent="0.25">
      <c r="A12" s="68">
        <f t="shared" si="0"/>
        <v>10</v>
      </c>
      <c r="B12" s="150" t="s">
        <v>171</v>
      </c>
      <c r="C12" s="20"/>
      <c r="D12" s="38" t="s">
        <v>172</v>
      </c>
    </row>
    <row r="13" spans="1:4" x14ac:dyDescent="0.25">
      <c r="A13" s="68">
        <f t="shared" si="0"/>
        <v>11</v>
      </c>
      <c r="B13" s="150" t="s">
        <v>173</v>
      </c>
      <c r="C13" s="20"/>
      <c r="D13" s="38" t="s">
        <v>174</v>
      </c>
    </row>
    <row r="14" spans="1:4" x14ac:dyDescent="0.25">
      <c r="A14" s="68">
        <f t="shared" si="0"/>
        <v>12</v>
      </c>
      <c r="B14" s="150" t="s">
        <v>175</v>
      </c>
      <c r="C14" s="20"/>
      <c r="D14" s="38" t="s">
        <v>176</v>
      </c>
    </row>
    <row r="15" spans="1:4" x14ac:dyDescent="0.25">
      <c r="A15" s="68">
        <f t="shared" si="0"/>
        <v>13</v>
      </c>
      <c r="B15" s="150" t="s">
        <v>177</v>
      </c>
      <c r="C15" s="20"/>
      <c r="D15" s="38" t="s">
        <v>178</v>
      </c>
    </row>
    <row r="16" spans="1:4" x14ac:dyDescent="0.25">
      <c r="A16" s="68">
        <f t="shared" si="0"/>
        <v>14</v>
      </c>
      <c r="B16" s="150" t="s">
        <v>179</v>
      </c>
      <c r="C16" s="20"/>
      <c r="D16" s="38" t="s">
        <v>180</v>
      </c>
    </row>
    <row r="17" spans="1:4" ht="24" x14ac:dyDescent="0.25">
      <c r="A17" s="68">
        <f t="shared" si="0"/>
        <v>15</v>
      </c>
      <c r="B17" s="150" t="s">
        <v>181</v>
      </c>
      <c r="C17" s="20"/>
      <c r="D17" s="38" t="s">
        <v>182</v>
      </c>
    </row>
    <row r="18" spans="1:4" x14ac:dyDescent="0.25">
      <c r="A18" s="68">
        <f t="shared" si="0"/>
        <v>16</v>
      </c>
      <c r="B18" s="150" t="s">
        <v>183</v>
      </c>
      <c r="C18" s="20"/>
      <c r="D18" s="38" t="s">
        <v>184</v>
      </c>
    </row>
    <row r="19" spans="1:4" x14ac:dyDescent="0.25">
      <c r="A19" s="68">
        <f t="shared" si="0"/>
        <v>17</v>
      </c>
      <c r="B19" s="150" t="s">
        <v>185</v>
      </c>
      <c r="C19" s="20"/>
      <c r="D19" s="38" t="s">
        <v>186</v>
      </c>
    </row>
    <row r="20" spans="1:4" x14ac:dyDescent="0.25">
      <c r="A20" s="68">
        <f t="shared" si="0"/>
        <v>18</v>
      </c>
      <c r="B20" s="150" t="s">
        <v>187</v>
      </c>
      <c r="C20" s="20"/>
      <c r="D20" s="38" t="s">
        <v>188</v>
      </c>
    </row>
    <row r="21" spans="1:4" x14ac:dyDescent="0.25">
      <c r="A21" s="68">
        <f t="shared" si="0"/>
        <v>19</v>
      </c>
      <c r="B21" s="150" t="s">
        <v>189</v>
      </c>
      <c r="C21" s="20"/>
      <c r="D21" s="38" t="s">
        <v>190</v>
      </c>
    </row>
    <row r="22" spans="1:4" x14ac:dyDescent="0.25">
      <c r="A22" s="68">
        <f t="shared" si="0"/>
        <v>20</v>
      </c>
      <c r="B22" s="150" t="s">
        <v>191</v>
      </c>
      <c r="C22" s="20"/>
      <c r="D22" s="38" t="s">
        <v>192</v>
      </c>
    </row>
    <row r="23" spans="1:4" x14ac:dyDescent="0.25">
      <c r="A23" s="68">
        <f t="shared" si="0"/>
        <v>21</v>
      </c>
      <c r="B23" s="150" t="s">
        <v>193</v>
      </c>
      <c r="C23" s="20"/>
      <c r="D23" s="38" t="s">
        <v>194</v>
      </c>
    </row>
    <row r="24" spans="1:4" x14ac:dyDescent="0.25">
      <c r="A24" s="68">
        <f t="shared" si="0"/>
        <v>22</v>
      </c>
      <c r="B24" s="150" t="s">
        <v>195</v>
      </c>
      <c r="C24" s="20"/>
      <c r="D24" s="38" t="s">
        <v>196</v>
      </c>
    </row>
    <row r="25" spans="1:4" ht="24" x14ac:dyDescent="0.25">
      <c r="A25" s="68">
        <f t="shared" si="0"/>
        <v>23</v>
      </c>
      <c r="B25" s="150" t="s">
        <v>197</v>
      </c>
      <c r="C25" s="20"/>
      <c r="D25" s="38" t="s">
        <v>198</v>
      </c>
    </row>
    <row r="26" spans="1:4" ht="24" x14ac:dyDescent="0.25">
      <c r="A26" s="68">
        <f t="shared" si="0"/>
        <v>24</v>
      </c>
      <c r="B26" s="150" t="s">
        <v>199</v>
      </c>
      <c r="C26" s="20"/>
      <c r="D26" s="38" t="s">
        <v>200</v>
      </c>
    </row>
    <row r="27" spans="1:4" x14ac:dyDescent="0.25">
      <c r="A27" s="68">
        <f t="shared" si="0"/>
        <v>25</v>
      </c>
      <c r="B27" s="150" t="s">
        <v>201</v>
      </c>
      <c r="C27" s="20"/>
      <c r="D27" s="38" t="s">
        <v>202</v>
      </c>
    </row>
    <row r="28" spans="1:4" x14ac:dyDescent="0.25">
      <c r="A28" s="68">
        <f t="shared" si="0"/>
        <v>26</v>
      </c>
      <c r="B28" s="150" t="s">
        <v>203</v>
      </c>
      <c r="C28" s="20"/>
      <c r="D28" s="38" t="s">
        <v>204</v>
      </c>
    </row>
    <row r="29" spans="1:4" x14ac:dyDescent="0.25">
      <c r="A29" s="68">
        <f t="shared" si="0"/>
        <v>27</v>
      </c>
      <c r="B29" s="150" t="s">
        <v>205</v>
      </c>
      <c r="C29" s="20"/>
      <c r="D29" s="38" t="s">
        <v>206</v>
      </c>
    </row>
    <row r="30" spans="1:4" x14ac:dyDescent="0.25">
      <c r="A30" s="68">
        <f t="shared" si="0"/>
        <v>28</v>
      </c>
      <c r="B30" s="150" t="s">
        <v>207</v>
      </c>
      <c r="C30" s="20"/>
      <c r="D30" s="38" t="s">
        <v>208</v>
      </c>
    </row>
    <row r="31" spans="1:4" x14ac:dyDescent="0.25">
      <c r="A31" s="68">
        <f t="shared" si="0"/>
        <v>29</v>
      </c>
      <c r="B31" s="150" t="s">
        <v>209</v>
      </c>
      <c r="C31" s="20"/>
      <c r="D31" s="38" t="s">
        <v>210</v>
      </c>
    </row>
    <row r="32" spans="1:4" x14ac:dyDescent="0.25">
      <c r="A32" s="68">
        <f t="shared" si="0"/>
        <v>30</v>
      </c>
      <c r="B32" s="150" t="s">
        <v>211</v>
      </c>
      <c r="C32" s="20"/>
      <c r="D32" s="38" t="s">
        <v>212</v>
      </c>
    </row>
    <row r="33" spans="1:4" x14ac:dyDescent="0.25">
      <c r="A33" s="68">
        <f t="shared" si="0"/>
        <v>31</v>
      </c>
      <c r="B33" s="150" t="s">
        <v>213</v>
      </c>
      <c r="C33" s="20"/>
      <c r="D33" s="38" t="s">
        <v>214</v>
      </c>
    </row>
    <row r="34" spans="1:4" x14ac:dyDescent="0.25">
      <c r="A34" s="68">
        <f t="shared" si="0"/>
        <v>32</v>
      </c>
      <c r="B34" s="150" t="s">
        <v>215</v>
      </c>
      <c r="C34" s="20"/>
      <c r="D34" s="38" t="s">
        <v>216</v>
      </c>
    </row>
    <row r="35" spans="1:4" x14ac:dyDescent="0.25">
      <c r="A35" s="68">
        <f t="shared" si="0"/>
        <v>33</v>
      </c>
      <c r="B35" s="150" t="s">
        <v>217</v>
      </c>
      <c r="C35" s="20"/>
      <c r="D35" s="38" t="s">
        <v>218</v>
      </c>
    </row>
    <row r="36" spans="1:4" x14ac:dyDescent="0.25">
      <c r="A36" s="68">
        <f t="shared" si="0"/>
        <v>34</v>
      </c>
      <c r="B36" s="150" t="s">
        <v>219</v>
      </c>
      <c r="C36" s="20"/>
      <c r="D36" s="38" t="s">
        <v>220</v>
      </c>
    </row>
    <row r="37" spans="1:4" x14ac:dyDescent="0.25">
      <c r="A37" s="68">
        <f t="shared" si="0"/>
        <v>35</v>
      </c>
      <c r="B37" s="150" t="s">
        <v>221</v>
      </c>
      <c r="C37" s="20"/>
      <c r="D37" s="38" t="s">
        <v>222</v>
      </c>
    </row>
    <row r="38" spans="1:4" x14ac:dyDescent="0.25">
      <c r="A38" s="68">
        <f t="shared" si="0"/>
        <v>36</v>
      </c>
      <c r="B38" s="150" t="s">
        <v>223</v>
      </c>
      <c r="C38" s="20"/>
      <c r="D38" s="38" t="s">
        <v>224</v>
      </c>
    </row>
    <row r="39" spans="1:4" ht="24" x14ac:dyDescent="0.25">
      <c r="A39" s="68">
        <f t="shared" si="0"/>
        <v>37</v>
      </c>
      <c r="B39" s="150" t="s">
        <v>225</v>
      </c>
      <c r="C39" s="20"/>
      <c r="D39" s="38" t="s">
        <v>226</v>
      </c>
    </row>
    <row r="40" spans="1:4" ht="24" x14ac:dyDescent="0.25">
      <c r="A40" s="68">
        <f t="shared" si="0"/>
        <v>38</v>
      </c>
      <c r="B40" s="150" t="s">
        <v>227</v>
      </c>
      <c r="C40" s="20"/>
      <c r="D40" s="38" t="s">
        <v>228</v>
      </c>
    </row>
    <row r="41" spans="1:4" x14ac:dyDescent="0.25">
      <c r="A41" s="68">
        <f t="shared" si="0"/>
        <v>39</v>
      </c>
      <c r="B41" s="150" t="s">
        <v>229</v>
      </c>
      <c r="C41" s="20"/>
      <c r="D41" s="38" t="s">
        <v>230</v>
      </c>
    </row>
    <row r="42" spans="1:4" x14ac:dyDescent="0.25">
      <c r="A42" s="68">
        <f t="shared" si="0"/>
        <v>40</v>
      </c>
      <c r="B42" s="150" t="s">
        <v>231</v>
      </c>
      <c r="C42" s="20"/>
      <c r="D42" s="38" t="s">
        <v>232</v>
      </c>
    </row>
    <row r="43" spans="1:4" x14ac:dyDescent="0.25">
      <c r="A43" s="68">
        <f t="shared" si="0"/>
        <v>41</v>
      </c>
      <c r="B43" s="150" t="s">
        <v>233</v>
      </c>
      <c r="C43" s="20"/>
      <c r="D43" s="38" t="s">
        <v>234</v>
      </c>
    </row>
    <row r="44" spans="1:4" x14ac:dyDescent="0.25">
      <c r="A44" s="68">
        <f t="shared" si="0"/>
        <v>42</v>
      </c>
      <c r="B44" s="150" t="s">
        <v>235</v>
      </c>
      <c r="C44" s="20"/>
      <c r="D44" s="38" t="s">
        <v>236</v>
      </c>
    </row>
    <row r="45" spans="1:4" x14ac:dyDescent="0.25">
      <c r="A45" s="68">
        <f t="shared" si="0"/>
        <v>43</v>
      </c>
      <c r="B45" s="150" t="s">
        <v>237</v>
      </c>
      <c r="C45" s="20"/>
      <c r="D45" s="38" t="s">
        <v>238</v>
      </c>
    </row>
    <row r="46" spans="1:4" x14ac:dyDescent="0.25">
      <c r="A46" s="68">
        <f t="shared" si="0"/>
        <v>44</v>
      </c>
      <c r="B46" s="150" t="s">
        <v>239</v>
      </c>
      <c r="C46" s="20"/>
      <c r="D46" s="38" t="s">
        <v>240</v>
      </c>
    </row>
    <row r="47" spans="1:4" x14ac:dyDescent="0.25">
      <c r="A47" s="68">
        <f t="shared" si="0"/>
        <v>45</v>
      </c>
      <c r="B47" s="150" t="s">
        <v>241</v>
      </c>
      <c r="C47" s="20"/>
      <c r="D47" s="38" t="s">
        <v>242</v>
      </c>
    </row>
    <row r="48" spans="1:4" x14ac:dyDescent="0.25">
      <c r="A48" s="68">
        <f t="shared" si="0"/>
        <v>46</v>
      </c>
      <c r="B48" s="150" t="s">
        <v>243</v>
      </c>
      <c r="C48" s="20"/>
      <c r="D48" s="38" t="s">
        <v>244</v>
      </c>
    </row>
    <row r="49" spans="1:4" x14ac:dyDescent="0.25">
      <c r="A49" s="68">
        <f t="shared" si="0"/>
        <v>47</v>
      </c>
      <c r="B49" s="150" t="s">
        <v>245</v>
      </c>
      <c r="C49" s="20"/>
      <c r="D49" s="38" t="s">
        <v>246</v>
      </c>
    </row>
    <row r="50" spans="1:4" x14ac:dyDescent="0.25">
      <c r="A50" s="68">
        <f t="shared" si="0"/>
        <v>48</v>
      </c>
      <c r="B50" s="150" t="s">
        <v>247</v>
      </c>
      <c r="C50" s="20"/>
      <c r="D50" s="38" t="s">
        <v>248</v>
      </c>
    </row>
    <row r="51" spans="1:4" x14ac:dyDescent="0.25">
      <c r="A51" s="68">
        <f t="shared" si="0"/>
        <v>49</v>
      </c>
      <c r="B51" s="150" t="s">
        <v>249</v>
      </c>
      <c r="C51" s="20"/>
      <c r="D51" s="38" t="s">
        <v>250</v>
      </c>
    </row>
    <row r="52" spans="1:4" x14ac:dyDescent="0.25">
      <c r="A52" s="68">
        <f t="shared" si="0"/>
        <v>50</v>
      </c>
      <c r="B52" s="150" t="s">
        <v>251</v>
      </c>
      <c r="C52" s="20"/>
      <c r="D52" s="38" t="s">
        <v>252</v>
      </c>
    </row>
    <row r="53" spans="1:4" x14ac:dyDescent="0.25">
      <c r="A53" s="68">
        <f t="shared" si="0"/>
        <v>51</v>
      </c>
      <c r="B53" s="150" t="s">
        <v>253</v>
      </c>
      <c r="C53" s="20"/>
      <c r="D53" s="38" t="s">
        <v>254</v>
      </c>
    </row>
    <row r="54" spans="1:4" x14ac:dyDescent="0.25">
      <c r="A54" s="68">
        <f t="shared" si="0"/>
        <v>52</v>
      </c>
      <c r="B54" s="150" t="s">
        <v>255</v>
      </c>
      <c r="C54" s="20"/>
      <c r="D54" s="38" t="s">
        <v>256</v>
      </c>
    </row>
    <row r="55" spans="1:4" x14ac:dyDescent="0.25">
      <c r="A55" s="68">
        <f t="shared" si="0"/>
        <v>53</v>
      </c>
      <c r="B55" s="150" t="s">
        <v>257</v>
      </c>
      <c r="C55" s="20"/>
      <c r="D55" s="38" t="s">
        <v>258</v>
      </c>
    </row>
    <row r="56" spans="1:4" x14ac:dyDescent="0.25">
      <c r="A56" s="68">
        <f t="shared" si="0"/>
        <v>54</v>
      </c>
      <c r="B56" s="150" t="s">
        <v>259</v>
      </c>
      <c r="C56" s="20"/>
      <c r="D56" s="38" t="s">
        <v>260</v>
      </c>
    </row>
    <row r="57" spans="1:4" x14ac:dyDescent="0.25">
      <c r="A57" s="68">
        <f t="shared" si="0"/>
        <v>55</v>
      </c>
      <c r="B57" s="150" t="s">
        <v>261</v>
      </c>
      <c r="C57" s="20"/>
      <c r="D57" s="38" t="s">
        <v>262</v>
      </c>
    </row>
    <row r="58" spans="1:4" x14ac:dyDescent="0.25">
      <c r="A58" s="68">
        <f t="shared" si="0"/>
        <v>56</v>
      </c>
      <c r="B58" s="150" t="s">
        <v>263</v>
      </c>
      <c r="C58" s="20"/>
      <c r="D58" s="38" t="s">
        <v>264</v>
      </c>
    </row>
    <row r="59" spans="1:4" x14ac:dyDescent="0.25">
      <c r="A59" s="68">
        <f t="shared" si="0"/>
        <v>57</v>
      </c>
      <c r="B59" s="150" t="s">
        <v>265</v>
      </c>
      <c r="C59" s="20"/>
      <c r="D59" s="38" t="s">
        <v>266</v>
      </c>
    </row>
    <row r="60" spans="1:4" x14ac:dyDescent="0.25">
      <c r="A60" s="68">
        <f t="shared" si="0"/>
        <v>58</v>
      </c>
      <c r="B60" s="150" t="s">
        <v>267</v>
      </c>
      <c r="C60" s="20"/>
      <c r="D60" s="38" t="s">
        <v>268</v>
      </c>
    </row>
    <row r="61" spans="1:4" x14ac:dyDescent="0.25">
      <c r="A61" s="68">
        <f t="shared" si="0"/>
        <v>59</v>
      </c>
      <c r="B61" s="150" t="s">
        <v>269</v>
      </c>
      <c r="C61" s="20"/>
      <c r="D61" s="38" t="s">
        <v>270</v>
      </c>
    </row>
    <row r="62" spans="1:4" ht="24" x14ac:dyDescent="0.25">
      <c r="A62" s="68">
        <f t="shared" si="0"/>
        <v>60</v>
      </c>
      <c r="B62" s="150" t="s">
        <v>271</v>
      </c>
      <c r="C62" s="20"/>
      <c r="D62" s="38" t="s">
        <v>142</v>
      </c>
    </row>
    <row r="63" spans="1:4" ht="24" x14ac:dyDescent="0.25">
      <c r="A63" s="68">
        <f t="shared" si="0"/>
        <v>61</v>
      </c>
      <c r="B63" s="150" t="s">
        <v>272</v>
      </c>
      <c r="C63" s="20"/>
      <c r="D63" s="38" t="s">
        <v>144</v>
      </c>
    </row>
    <row r="64" spans="1:4" ht="36.75" thickBot="1" x14ac:dyDescent="0.3">
      <c r="A64" s="69">
        <f t="shared" si="0"/>
        <v>62</v>
      </c>
      <c r="B64" s="151" t="s">
        <v>273</v>
      </c>
      <c r="C64" s="21"/>
      <c r="D64" s="39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7245-3DD1-4DBD-8451-E44162205A7C}">
  <dimension ref="A1:M65"/>
  <sheetViews>
    <sheetView workbookViewId="0"/>
  </sheetViews>
  <sheetFormatPr baseColWidth="10" defaultRowHeight="15" x14ac:dyDescent="0.25"/>
  <cols>
    <col min="1" max="1" width="22" style="2" customWidth="1"/>
    <col min="2" max="2" width="25.140625" style="1" customWidth="1"/>
    <col min="3" max="3" width="8.28515625" style="2" customWidth="1"/>
    <col min="10" max="10" width="11.42578125" style="2"/>
    <col min="11" max="11" width="68.85546875" style="22" customWidth="1"/>
    <col min="12" max="12" width="8.28515625" customWidth="1"/>
    <col min="13" max="13" width="10" customWidth="1"/>
  </cols>
  <sheetData>
    <row r="1" spans="1:13" ht="15.75" thickBot="1" x14ac:dyDescent="0.3">
      <c r="L1" s="87" t="s">
        <v>293</v>
      </c>
      <c r="M1" s="88"/>
    </row>
    <row r="2" spans="1:13" ht="19.5" customHeight="1" thickBot="1" x14ac:dyDescent="0.3">
      <c r="A2" s="60" t="s">
        <v>287</v>
      </c>
      <c r="B2" s="130" t="s">
        <v>4</v>
      </c>
      <c r="C2" s="125" t="s">
        <v>5</v>
      </c>
      <c r="D2" s="74" t="s">
        <v>289</v>
      </c>
      <c r="E2" s="75"/>
      <c r="F2" s="75"/>
      <c r="G2" s="75"/>
      <c r="H2" s="76"/>
      <c r="I2" s="65" t="s">
        <v>290</v>
      </c>
      <c r="J2" s="70" t="s">
        <v>288</v>
      </c>
      <c r="K2" s="77" t="s">
        <v>285</v>
      </c>
      <c r="L2" s="79" t="s">
        <v>291</v>
      </c>
      <c r="M2" s="80" t="s">
        <v>292</v>
      </c>
    </row>
    <row r="3" spans="1:13" ht="24.75" thickBot="1" x14ac:dyDescent="0.3">
      <c r="A3" s="41"/>
      <c r="B3" s="131"/>
      <c r="C3" s="126"/>
      <c r="D3" s="44" t="s">
        <v>286</v>
      </c>
      <c r="E3" s="48" t="s">
        <v>277</v>
      </c>
      <c r="F3" s="52" t="s">
        <v>278</v>
      </c>
      <c r="G3" s="56" t="s">
        <v>279</v>
      </c>
      <c r="H3" s="61" t="s">
        <v>280</v>
      </c>
      <c r="I3" s="66"/>
      <c r="J3" s="71"/>
      <c r="K3" s="78"/>
      <c r="L3" s="81"/>
      <c r="M3" s="82"/>
    </row>
    <row r="4" spans="1:13" ht="33.75" x14ac:dyDescent="0.25">
      <c r="A4" s="42" t="s">
        <v>153</v>
      </c>
      <c r="B4" s="121" t="s">
        <v>154</v>
      </c>
      <c r="C4" s="123" t="s">
        <v>12</v>
      </c>
      <c r="D4" s="45">
        <v>10</v>
      </c>
      <c r="E4" s="49">
        <v>6</v>
      </c>
      <c r="F4" s="53">
        <v>10</v>
      </c>
      <c r="G4" s="57">
        <v>6</v>
      </c>
      <c r="H4" s="62">
        <v>6</v>
      </c>
      <c r="I4" s="67">
        <f>SUM(D4:H4)</f>
        <v>38</v>
      </c>
      <c r="J4" s="72" t="s">
        <v>281</v>
      </c>
      <c r="K4" s="127" t="s">
        <v>294</v>
      </c>
      <c r="L4" s="83">
        <f>I4*4</f>
        <v>152</v>
      </c>
      <c r="M4" s="84">
        <f>L4*3</f>
        <v>456</v>
      </c>
    </row>
    <row r="5" spans="1:13" ht="33.75" x14ac:dyDescent="0.25">
      <c r="A5" s="140" t="s">
        <v>155</v>
      </c>
      <c r="B5" s="141" t="s">
        <v>156</v>
      </c>
      <c r="C5" s="142" t="s">
        <v>12</v>
      </c>
      <c r="D5" s="46">
        <v>10</v>
      </c>
      <c r="E5" s="50">
        <v>6</v>
      </c>
      <c r="F5" s="54">
        <v>10</v>
      </c>
      <c r="G5" s="58">
        <v>6</v>
      </c>
      <c r="H5" s="63">
        <v>6</v>
      </c>
      <c r="I5" s="30">
        <f t="shared" ref="I5:I65" si="0">SUM(D5:H5)</f>
        <v>38</v>
      </c>
      <c r="J5" s="132" t="s">
        <v>281</v>
      </c>
      <c r="K5" s="133" t="s">
        <v>295</v>
      </c>
      <c r="L5" s="134">
        <f t="shared" ref="L5:L28" si="1">I5*4</f>
        <v>152</v>
      </c>
      <c r="M5" s="135">
        <f t="shared" ref="M5:M65" si="2">L5*3</f>
        <v>456</v>
      </c>
    </row>
    <row r="6" spans="1:13" ht="33.75" x14ac:dyDescent="0.25">
      <c r="A6" s="43" t="s">
        <v>157</v>
      </c>
      <c r="B6" s="122" t="s">
        <v>158</v>
      </c>
      <c r="C6" s="124" t="s">
        <v>12</v>
      </c>
      <c r="D6" s="46">
        <v>10</v>
      </c>
      <c r="E6" s="50">
        <v>6</v>
      </c>
      <c r="F6" s="54">
        <v>10</v>
      </c>
      <c r="G6" s="58">
        <v>6</v>
      </c>
      <c r="H6" s="63">
        <v>6</v>
      </c>
      <c r="I6" s="68">
        <f t="shared" si="0"/>
        <v>38</v>
      </c>
      <c r="J6" s="73" t="s">
        <v>281</v>
      </c>
      <c r="K6" s="128" t="s">
        <v>294</v>
      </c>
      <c r="L6" s="85">
        <f t="shared" si="1"/>
        <v>152</v>
      </c>
      <c r="M6" s="86">
        <f t="shared" si="2"/>
        <v>456</v>
      </c>
    </row>
    <row r="7" spans="1:13" ht="33.75" x14ac:dyDescent="0.25">
      <c r="A7" s="140" t="s">
        <v>159</v>
      </c>
      <c r="B7" s="141" t="s">
        <v>160</v>
      </c>
      <c r="C7" s="142" t="s">
        <v>12</v>
      </c>
      <c r="D7" s="46">
        <v>10</v>
      </c>
      <c r="E7" s="50">
        <v>6</v>
      </c>
      <c r="F7" s="54">
        <v>10</v>
      </c>
      <c r="G7" s="58">
        <v>6</v>
      </c>
      <c r="H7" s="63">
        <v>6</v>
      </c>
      <c r="I7" s="30">
        <f t="shared" si="0"/>
        <v>38</v>
      </c>
      <c r="J7" s="132" t="s">
        <v>281</v>
      </c>
      <c r="K7" s="133" t="s">
        <v>294</v>
      </c>
      <c r="L7" s="134">
        <f t="shared" si="1"/>
        <v>152</v>
      </c>
      <c r="M7" s="135">
        <f t="shared" si="2"/>
        <v>456</v>
      </c>
    </row>
    <row r="8" spans="1:13" ht="33.75" x14ac:dyDescent="0.25">
      <c r="A8" s="43" t="s">
        <v>161</v>
      </c>
      <c r="B8" s="122" t="s">
        <v>162</v>
      </c>
      <c r="C8" s="124" t="s">
        <v>12</v>
      </c>
      <c r="D8" s="46">
        <v>10</v>
      </c>
      <c r="E8" s="50">
        <v>6</v>
      </c>
      <c r="F8" s="54">
        <v>10</v>
      </c>
      <c r="G8" s="58">
        <v>6</v>
      </c>
      <c r="H8" s="63">
        <v>6</v>
      </c>
      <c r="I8" s="68">
        <f t="shared" si="0"/>
        <v>38</v>
      </c>
      <c r="J8" s="73" t="s">
        <v>281</v>
      </c>
      <c r="K8" s="128" t="s">
        <v>295</v>
      </c>
      <c r="L8" s="85">
        <f t="shared" si="1"/>
        <v>152</v>
      </c>
      <c r="M8" s="86">
        <f t="shared" si="2"/>
        <v>456</v>
      </c>
    </row>
    <row r="9" spans="1:13" ht="36" x14ac:dyDescent="0.25">
      <c r="A9" s="140" t="s">
        <v>163</v>
      </c>
      <c r="B9" s="141" t="s">
        <v>164</v>
      </c>
      <c r="C9" s="142" t="s">
        <v>12</v>
      </c>
      <c r="D9" s="46">
        <v>40</v>
      </c>
      <c r="E9" s="50">
        <v>20</v>
      </c>
      <c r="F9" s="54">
        <v>40</v>
      </c>
      <c r="G9" s="58">
        <v>20</v>
      </c>
      <c r="H9" s="63">
        <v>20</v>
      </c>
      <c r="I9" s="30">
        <f t="shared" si="0"/>
        <v>140</v>
      </c>
      <c r="J9" s="132" t="s">
        <v>281</v>
      </c>
      <c r="K9" s="133" t="s">
        <v>296</v>
      </c>
      <c r="L9" s="134">
        <f t="shared" si="1"/>
        <v>560</v>
      </c>
      <c r="M9" s="135">
        <f t="shared" si="2"/>
        <v>1680</v>
      </c>
    </row>
    <row r="10" spans="1:13" ht="33.75" x14ac:dyDescent="0.25">
      <c r="A10" s="43" t="s">
        <v>165</v>
      </c>
      <c r="B10" s="122" t="s">
        <v>166</v>
      </c>
      <c r="C10" s="124" t="s">
        <v>12</v>
      </c>
      <c r="D10" s="46">
        <v>12</v>
      </c>
      <c r="E10" s="50">
        <v>8</v>
      </c>
      <c r="F10" s="54">
        <v>12</v>
      </c>
      <c r="G10" s="58">
        <v>8</v>
      </c>
      <c r="H10" s="63">
        <v>8</v>
      </c>
      <c r="I10" s="68">
        <f t="shared" si="0"/>
        <v>48</v>
      </c>
      <c r="J10" s="73" t="s">
        <v>281</v>
      </c>
      <c r="K10" s="128" t="s">
        <v>297</v>
      </c>
      <c r="L10" s="85">
        <f t="shared" si="1"/>
        <v>192</v>
      </c>
      <c r="M10" s="86">
        <f t="shared" si="2"/>
        <v>576</v>
      </c>
    </row>
    <row r="11" spans="1:13" ht="33.75" x14ac:dyDescent="0.25">
      <c r="A11" s="140" t="s">
        <v>167</v>
      </c>
      <c r="B11" s="141" t="s">
        <v>168</v>
      </c>
      <c r="C11" s="142" t="s">
        <v>12</v>
      </c>
      <c r="D11" s="46">
        <v>10</v>
      </c>
      <c r="E11" s="50">
        <v>8</v>
      </c>
      <c r="F11" s="54">
        <v>10</v>
      </c>
      <c r="G11" s="58">
        <v>8</v>
      </c>
      <c r="H11" s="63">
        <v>8</v>
      </c>
      <c r="I11" s="30">
        <f t="shared" si="0"/>
        <v>44</v>
      </c>
      <c r="J11" s="132" t="s">
        <v>281</v>
      </c>
      <c r="K11" s="133" t="s">
        <v>298</v>
      </c>
      <c r="L11" s="134">
        <f t="shared" si="1"/>
        <v>176</v>
      </c>
      <c r="M11" s="135">
        <f t="shared" si="2"/>
        <v>528</v>
      </c>
    </row>
    <row r="12" spans="1:13" ht="36" x14ac:dyDescent="0.25">
      <c r="A12" s="43" t="s">
        <v>169</v>
      </c>
      <c r="B12" s="122" t="s">
        <v>170</v>
      </c>
      <c r="C12" s="124" t="s">
        <v>29</v>
      </c>
      <c r="D12" s="46">
        <v>6</v>
      </c>
      <c r="E12" s="50">
        <v>4</v>
      </c>
      <c r="F12" s="54">
        <v>6</v>
      </c>
      <c r="G12" s="58">
        <v>4</v>
      </c>
      <c r="H12" s="63">
        <v>4</v>
      </c>
      <c r="I12" s="68">
        <f t="shared" si="0"/>
        <v>24</v>
      </c>
      <c r="J12" s="73" t="s">
        <v>281</v>
      </c>
      <c r="K12" s="128" t="s">
        <v>299</v>
      </c>
      <c r="L12" s="85">
        <f t="shared" si="1"/>
        <v>96</v>
      </c>
      <c r="M12" s="86">
        <f t="shared" si="2"/>
        <v>288</v>
      </c>
    </row>
    <row r="13" spans="1:13" ht="36" x14ac:dyDescent="0.25">
      <c r="A13" s="140" t="s">
        <v>171</v>
      </c>
      <c r="B13" s="141" t="s">
        <v>172</v>
      </c>
      <c r="C13" s="142" t="s">
        <v>12</v>
      </c>
      <c r="D13" s="46">
        <v>8</v>
      </c>
      <c r="E13" s="50">
        <v>8</v>
      </c>
      <c r="F13" s="54">
        <v>8</v>
      </c>
      <c r="G13" s="58">
        <v>8</v>
      </c>
      <c r="H13" s="63">
        <v>8</v>
      </c>
      <c r="I13" s="30">
        <f t="shared" si="0"/>
        <v>40</v>
      </c>
      <c r="J13" s="132" t="s">
        <v>281</v>
      </c>
      <c r="K13" s="133" t="s">
        <v>300</v>
      </c>
      <c r="L13" s="134">
        <f t="shared" si="1"/>
        <v>160</v>
      </c>
      <c r="M13" s="135">
        <f t="shared" si="2"/>
        <v>480</v>
      </c>
    </row>
    <row r="14" spans="1:13" ht="33.75" x14ac:dyDescent="0.25">
      <c r="A14" s="43" t="s">
        <v>173</v>
      </c>
      <c r="B14" s="122" t="s">
        <v>174</v>
      </c>
      <c r="C14" s="124" t="s">
        <v>12</v>
      </c>
      <c r="D14" s="46">
        <v>8</v>
      </c>
      <c r="E14" s="50">
        <v>8</v>
      </c>
      <c r="F14" s="54">
        <v>8</v>
      </c>
      <c r="G14" s="58">
        <v>8</v>
      </c>
      <c r="H14" s="63">
        <v>8</v>
      </c>
      <c r="I14" s="68">
        <f t="shared" si="0"/>
        <v>40</v>
      </c>
      <c r="J14" s="73" t="s">
        <v>281</v>
      </c>
      <c r="K14" s="128" t="s">
        <v>300</v>
      </c>
      <c r="L14" s="85">
        <f t="shared" si="1"/>
        <v>160</v>
      </c>
      <c r="M14" s="86">
        <f t="shared" si="2"/>
        <v>480</v>
      </c>
    </row>
    <row r="15" spans="1:13" ht="33.75" x14ac:dyDescent="0.25">
      <c r="A15" s="140" t="s">
        <v>175</v>
      </c>
      <c r="B15" s="141" t="s">
        <v>176</v>
      </c>
      <c r="C15" s="142" t="s">
        <v>12</v>
      </c>
      <c r="D15" s="46">
        <v>8</v>
      </c>
      <c r="E15" s="50">
        <v>8</v>
      </c>
      <c r="F15" s="54">
        <v>8</v>
      </c>
      <c r="G15" s="58">
        <v>8</v>
      </c>
      <c r="H15" s="63">
        <v>8</v>
      </c>
      <c r="I15" s="30">
        <f t="shared" si="0"/>
        <v>40</v>
      </c>
      <c r="J15" s="132" t="s">
        <v>281</v>
      </c>
      <c r="K15" s="133" t="s">
        <v>300</v>
      </c>
      <c r="L15" s="134">
        <f t="shared" si="1"/>
        <v>160</v>
      </c>
      <c r="M15" s="135">
        <f t="shared" si="2"/>
        <v>480</v>
      </c>
    </row>
    <row r="16" spans="1:13" ht="33.75" x14ac:dyDescent="0.25">
      <c r="A16" s="43" t="s">
        <v>177</v>
      </c>
      <c r="B16" s="122" t="s">
        <v>178</v>
      </c>
      <c r="C16" s="124" t="s">
        <v>38</v>
      </c>
      <c r="D16" s="46">
        <v>8</v>
      </c>
      <c r="E16" s="50">
        <v>6</v>
      </c>
      <c r="F16" s="54">
        <v>8</v>
      </c>
      <c r="G16" s="58">
        <v>6</v>
      </c>
      <c r="H16" s="63">
        <v>6</v>
      </c>
      <c r="I16" s="68">
        <f t="shared" si="0"/>
        <v>34</v>
      </c>
      <c r="J16" s="73" t="s">
        <v>281</v>
      </c>
      <c r="K16" s="128" t="s">
        <v>301</v>
      </c>
      <c r="L16" s="85">
        <f t="shared" si="1"/>
        <v>136</v>
      </c>
      <c r="M16" s="86">
        <f t="shared" si="2"/>
        <v>408</v>
      </c>
    </row>
    <row r="17" spans="1:13" ht="33.75" x14ac:dyDescent="0.25">
      <c r="A17" s="140" t="s">
        <v>179</v>
      </c>
      <c r="B17" s="141" t="s">
        <v>180</v>
      </c>
      <c r="C17" s="142" t="s">
        <v>12</v>
      </c>
      <c r="D17" s="46">
        <v>10</v>
      </c>
      <c r="E17" s="50">
        <v>8</v>
      </c>
      <c r="F17" s="54">
        <v>10</v>
      </c>
      <c r="G17" s="58">
        <v>8</v>
      </c>
      <c r="H17" s="63">
        <v>8</v>
      </c>
      <c r="I17" s="30">
        <f t="shared" si="0"/>
        <v>44</v>
      </c>
      <c r="J17" s="132" t="s">
        <v>281</v>
      </c>
      <c r="K17" s="133" t="s">
        <v>302</v>
      </c>
      <c r="L17" s="134">
        <f t="shared" si="1"/>
        <v>176</v>
      </c>
      <c r="M17" s="135">
        <f t="shared" si="2"/>
        <v>528</v>
      </c>
    </row>
    <row r="18" spans="1:13" ht="36" x14ac:dyDescent="0.25">
      <c r="A18" s="43" t="s">
        <v>181</v>
      </c>
      <c r="B18" s="122" t="s">
        <v>182</v>
      </c>
      <c r="C18" s="124" t="s">
        <v>12</v>
      </c>
      <c r="D18" s="46">
        <v>10</v>
      </c>
      <c r="E18" s="50">
        <v>8</v>
      </c>
      <c r="F18" s="54">
        <v>10</v>
      </c>
      <c r="G18" s="58">
        <v>8</v>
      </c>
      <c r="H18" s="63">
        <v>8</v>
      </c>
      <c r="I18" s="68">
        <f t="shared" si="0"/>
        <v>44</v>
      </c>
      <c r="J18" s="73" t="s">
        <v>281</v>
      </c>
      <c r="K18" s="128" t="s">
        <v>302</v>
      </c>
      <c r="L18" s="85">
        <f t="shared" si="1"/>
        <v>176</v>
      </c>
      <c r="M18" s="86">
        <f t="shared" si="2"/>
        <v>528</v>
      </c>
    </row>
    <row r="19" spans="1:13" ht="33.75" x14ac:dyDescent="0.25">
      <c r="A19" s="140" t="s">
        <v>183</v>
      </c>
      <c r="B19" s="141" t="s">
        <v>184</v>
      </c>
      <c r="C19" s="142" t="s">
        <v>12</v>
      </c>
      <c r="D19" s="46">
        <v>10</v>
      </c>
      <c r="E19" s="50">
        <v>8</v>
      </c>
      <c r="F19" s="54">
        <v>10</v>
      </c>
      <c r="G19" s="58">
        <v>8</v>
      </c>
      <c r="H19" s="63">
        <v>8</v>
      </c>
      <c r="I19" s="30">
        <f t="shared" si="0"/>
        <v>44</v>
      </c>
      <c r="J19" s="132" t="s">
        <v>281</v>
      </c>
      <c r="K19" s="133" t="s">
        <v>302</v>
      </c>
      <c r="L19" s="134">
        <f t="shared" si="1"/>
        <v>176</v>
      </c>
      <c r="M19" s="135">
        <f t="shared" si="2"/>
        <v>528</v>
      </c>
    </row>
    <row r="20" spans="1:13" ht="33.75" x14ac:dyDescent="0.25">
      <c r="A20" s="43" t="s">
        <v>185</v>
      </c>
      <c r="B20" s="122" t="s">
        <v>186</v>
      </c>
      <c r="C20" s="124" t="s">
        <v>12</v>
      </c>
      <c r="D20" s="46">
        <v>10</v>
      </c>
      <c r="E20" s="50">
        <v>8</v>
      </c>
      <c r="F20" s="54">
        <v>10</v>
      </c>
      <c r="G20" s="58">
        <v>8</v>
      </c>
      <c r="H20" s="63">
        <v>8</v>
      </c>
      <c r="I20" s="68">
        <f t="shared" si="0"/>
        <v>44</v>
      </c>
      <c r="J20" s="73" t="s">
        <v>281</v>
      </c>
      <c r="K20" s="128" t="s">
        <v>302</v>
      </c>
      <c r="L20" s="85">
        <f t="shared" si="1"/>
        <v>176</v>
      </c>
      <c r="M20" s="86">
        <f t="shared" si="2"/>
        <v>528</v>
      </c>
    </row>
    <row r="21" spans="1:13" ht="33.75" x14ac:dyDescent="0.25">
      <c r="A21" s="140" t="s">
        <v>187</v>
      </c>
      <c r="B21" s="141" t="s">
        <v>188</v>
      </c>
      <c r="C21" s="142" t="s">
        <v>29</v>
      </c>
      <c r="D21" s="46">
        <v>8</v>
      </c>
      <c r="E21" s="50">
        <v>5</v>
      </c>
      <c r="F21" s="54">
        <v>8</v>
      </c>
      <c r="G21" s="58">
        <v>5</v>
      </c>
      <c r="H21" s="63">
        <v>5</v>
      </c>
      <c r="I21" s="30">
        <f t="shared" si="0"/>
        <v>31</v>
      </c>
      <c r="J21" s="132" t="s">
        <v>281</v>
      </c>
      <c r="K21" s="133" t="s">
        <v>303</v>
      </c>
      <c r="L21" s="134">
        <f t="shared" si="1"/>
        <v>124</v>
      </c>
      <c r="M21" s="135">
        <f t="shared" si="2"/>
        <v>372</v>
      </c>
    </row>
    <row r="22" spans="1:13" ht="33.75" x14ac:dyDescent="0.25">
      <c r="A22" s="43" t="s">
        <v>189</v>
      </c>
      <c r="B22" s="122" t="s">
        <v>190</v>
      </c>
      <c r="C22" s="124" t="s">
        <v>38</v>
      </c>
      <c r="D22" s="46">
        <v>1</v>
      </c>
      <c r="E22" s="50">
        <v>1</v>
      </c>
      <c r="F22" s="54">
        <v>1</v>
      </c>
      <c r="G22" s="58">
        <v>1</v>
      </c>
      <c r="H22" s="63">
        <v>1</v>
      </c>
      <c r="I22" s="68">
        <f t="shared" si="0"/>
        <v>5</v>
      </c>
      <c r="J22" s="73" t="s">
        <v>281</v>
      </c>
      <c r="K22" s="128" t="s">
        <v>304</v>
      </c>
      <c r="L22" s="85">
        <f t="shared" si="1"/>
        <v>20</v>
      </c>
      <c r="M22" s="86">
        <f t="shared" si="2"/>
        <v>60</v>
      </c>
    </row>
    <row r="23" spans="1:13" ht="33.75" x14ac:dyDescent="0.25">
      <c r="A23" s="140" t="s">
        <v>191</v>
      </c>
      <c r="B23" s="141" t="s">
        <v>192</v>
      </c>
      <c r="C23" s="142" t="s">
        <v>38</v>
      </c>
      <c r="D23" s="46">
        <v>1</v>
      </c>
      <c r="E23" s="50">
        <v>1</v>
      </c>
      <c r="F23" s="54">
        <v>1</v>
      </c>
      <c r="G23" s="58">
        <v>1</v>
      </c>
      <c r="H23" s="63">
        <v>1</v>
      </c>
      <c r="I23" s="30">
        <f t="shared" si="0"/>
        <v>5</v>
      </c>
      <c r="J23" s="132" t="s">
        <v>281</v>
      </c>
      <c r="K23" s="133" t="s">
        <v>304</v>
      </c>
      <c r="L23" s="134">
        <f t="shared" si="1"/>
        <v>20</v>
      </c>
      <c r="M23" s="135">
        <f t="shared" si="2"/>
        <v>60</v>
      </c>
    </row>
    <row r="24" spans="1:13" ht="33.75" x14ac:dyDescent="0.25">
      <c r="A24" s="43" t="s">
        <v>193</v>
      </c>
      <c r="B24" s="122" t="s">
        <v>194</v>
      </c>
      <c r="C24" s="124" t="s">
        <v>38</v>
      </c>
      <c r="D24" s="46">
        <v>1</v>
      </c>
      <c r="E24" s="50">
        <v>1</v>
      </c>
      <c r="F24" s="54">
        <v>1</v>
      </c>
      <c r="G24" s="58">
        <v>1</v>
      </c>
      <c r="H24" s="63">
        <v>1</v>
      </c>
      <c r="I24" s="68">
        <f t="shared" si="0"/>
        <v>5</v>
      </c>
      <c r="J24" s="73" t="s">
        <v>282</v>
      </c>
      <c r="K24" s="128" t="s">
        <v>305</v>
      </c>
      <c r="L24" s="85">
        <f t="shared" si="1"/>
        <v>20</v>
      </c>
      <c r="M24" s="86">
        <f t="shared" si="2"/>
        <v>60</v>
      </c>
    </row>
    <row r="25" spans="1:13" ht="33.75" x14ac:dyDescent="0.25">
      <c r="A25" s="140" t="s">
        <v>195</v>
      </c>
      <c r="B25" s="141" t="s">
        <v>196</v>
      </c>
      <c r="C25" s="142" t="s">
        <v>57</v>
      </c>
      <c r="D25" s="46">
        <v>20</v>
      </c>
      <c r="E25" s="50">
        <v>10</v>
      </c>
      <c r="F25" s="54">
        <v>20</v>
      </c>
      <c r="G25" s="58">
        <v>10</v>
      </c>
      <c r="H25" s="63">
        <v>10</v>
      </c>
      <c r="I25" s="30">
        <f t="shared" si="0"/>
        <v>70</v>
      </c>
      <c r="J25" s="132" t="s">
        <v>281</v>
      </c>
      <c r="K25" s="133" t="s">
        <v>306</v>
      </c>
      <c r="L25" s="134">
        <f t="shared" si="1"/>
        <v>280</v>
      </c>
      <c r="M25" s="135">
        <f t="shared" si="2"/>
        <v>840</v>
      </c>
    </row>
    <row r="26" spans="1:13" ht="36" x14ac:dyDescent="0.25">
      <c r="A26" s="43" t="s">
        <v>197</v>
      </c>
      <c r="B26" s="122" t="s">
        <v>198</v>
      </c>
      <c r="C26" s="124" t="s">
        <v>60</v>
      </c>
      <c r="D26" s="46">
        <v>4</v>
      </c>
      <c r="E26" s="50">
        <v>4</v>
      </c>
      <c r="F26" s="54">
        <v>4</v>
      </c>
      <c r="G26" s="58">
        <v>4</v>
      </c>
      <c r="H26" s="63">
        <v>4</v>
      </c>
      <c r="I26" s="68">
        <f t="shared" si="0"/>
        <v>20</v>
      </c>
      <c r="J26" s="73" t="s">
        <v>281</v>
      </c>
      <c r="K26" s="128" t="s">
        <v>307</v>
      </c>
      <c r="L26" s="85">
        <f t="shared" si="1"/>
        <v>80</v>
      </c>
      <c r="M26" s="86">
        <f t="shared" si="2"/>
        <v>240</v>
      </c>
    </row>
    <row r="27" spans="1:13" ht="36" x14ac:dyDescent="0.25">
      <c r="A27" s="140" t="s">
        <v>199</v>
      </c>
      <c r="B27" s="141" t="s">
        <v>200</v>
      </c>
      <c r="C27" s="142" t="s">
        <v>38</v>
      </c>
      <c r="D27" s="46">
        <v>12</v>
      </c>
      <c r="E27" s="50">
        <v>12</v>
      </c>
      <c r="F27" s="54">
        <v>12</v>
      </c>
      <c r="G27" s="58">
        <v>12</v>
      </c>
      <c r="H27" s="63">
        <v>12</v>
      </c>
      <c r="I27" s="30">
        <f t="shared" si="0"/>
        <v>60</v>
      </c>
      <c r="J27" s="132" t="s">
        <v>281</v>
      </c>
      <c r="K27" s="133" t="s">
        <v>308</v>
      </c>
      <c r="L27" s="134">
        <f t="shared" si="1"/>
        <v>240</v>
      </c>
      <c r="M27" s="135">
        <f t="shared" si="2"/>
        <v>720</v>
      </c>
    </row>
    <row r="28" spans="1:13" ht="33.75" x14ac:dyDescent="0.25">
      <c r="A28" s="43" t="s">
        <v>201</v>
      </c>
      <c r="B28" s="122" t="s">
        <v>202</v>
      </c>
      <c r="C28" s="124" t="s">
        <v>65</v>
      </c>
      <c r="D28" s="46">
        <v>3</v>
      </c>
      <c r="E28" s="50">
        <v>3</v>
      </c>
      <c r="F28" s="54">
        <v>3</v>
      </c>
      <c r="G28" s="58">
        <v>3</v>
      </c>
      <c r="H28" s="63">
        <v>3</v>
      </c>
      <c r="I28" s="68">
        <f t="shared" si="0"/>
        <v>15</v>
      </c>
      <c r="J28" s="73" t="s">
        <v>281</v>
      </c>
      <c r="K28" s="128" t="s">
        <v>309</v>
      </c>
      <c r="L28" s="85">
        <f t="shared" si="1"/>
        <v>60</v>
      </c>
      <c r="M28" s="86">
        <f t="shared" si="2"/>
        <v>180</v>
      </c>
    </row>
    <row r="29" spans="1:13" ht="24" x14ac:dyDescent="0.25">
      <c r="A29" s="140" t="s">
        <v>203</v>
      </c>
      <c r="B29" s="141" t="s">
        <v>204</v>
      </c>
      <c r="C29" s="142" t="s">
        <v>38</v>
      </c>
      <c r="D29" s="46">
        <v>80</v>
      </c>
      <c r="E29" s="50">
        <v>40</v>
      </c>
      <c r="F29" s="54">
        <v>80</v>
      </c>
      <c r="G29" s="58">
        <v>40</v>
      </c>
      <c r="H29" s="63">
        <v>40</v>
      </c>
      <c r="I29" s="30">
        <f t="shared" si="0"/>
        <v>280</v>
      </c>
      <c r="J29" s="132" t="s">
        <v>283</v>
      </c>
      <c r="K29" s="133" t="s">
        <v>310</v>
      </c>
      <c r="L29" s="134">
        <f>I29*1</f>
        <v>280</v>
      </c>
      <c r="M29" s="135">
        <f t="shared" si="2"/>
        <v>840</v>
      </c>
    </row>
    <row r="30" spans="1:13" ht="22.5" x14ac:dyDescent="0.25">
      <c r="A30" s="43" t="s">
        <v>205</v>
      </c>
      <c r="B30" s="122" t="s">
        <v>206</v>
      </c>
      <c r="C30" s="124" t="s">
        <v>38</v>
      </c>
      <c r="D30" s="46">
        <v>24</v>
      </c>
      <c r="E30" s="50">
        <v>12</v>
      </c>
      <c r="F30" s="54">
        <v>24</v>
      </c>
      <c r="G30" s="58">
        <v>12</v>
      </c>
      <c r="H30" s="63">
        <v>12</v>
      </c>
      <c r="I30" s="68">
        <f t="shared" si="0"/>
        <v>84</v>
      </c>
      <c r="J30" s="73" t="s">
        <v>284</v>
      </c>
      <c r="K30" s="128" t="s">
        <v>311</v>
      </c>
      <c r="L30" s="85">
        <f t="shared" ref="L30:L65" si="3">I30*1</f>
        <v>84</v>
      </c>
      <c r="M30" s="86">
        <f t="shared" si="2"/>
        <v>252</v>
      </c>
    </row>
    <row r="31" spans="1:13" ht="24" x14ac:dyDescent="0.25">
      <c r="A31" s="140" t="s">
        <v>207</v>
      </c>
      <c r="B31" s="141" t="s">
        <v>208</v>
      </c>
      <c r="C31" s="142" t="s">
        <v>72</v>
      </c>
      <c r="D31" s="46">
        <v>64</v>
      </c>
      <c r="E31" s="50">
        <v>32</v>
      </c>
      <c r="F31" s="54">
        <v>64</v>
      </c>
      <c r="G31" s="58">
        <v>32</v>
      </c>
      <c r="H31" s="63">
        <v>32</v>
      </c>
      <c r="I31" s="30">
        <f t="shared" si="0"/>
        <v>224</v>
      </c>
      <c r="J31" s="132" t="s">
        <v>284</v>
      </c>
      <c r="K31" s="133" t="s">
        <v>312</v>
      </c>
      <c r="L31" s="134">
        <f t="shared" si="3"/>
        <v>224</v>
      </c>
      <c r="M31" s="135">
        <f t="shared" si="2"/>
        <v>672</v>
      </c>
    </row>
    <row r="32" spans="1:13" ht="24" x14ac:dyDescent="0.25">
      <c r="A32" s="43" t="s">
        <v>209</v>
      </c>
      <c r="B32" s="122" t="s">
        <v>210</v>
      </c>
      <c r="C32" s="124" t="s">
        <v>38</v>
      </c>
      <c r="D32" s="46">
        <v>32</v>
      </c>
      <c r="E32" s="50">
        <v>16</v>
      </c>
      <c r="F32" s="54">
        <v>32</v>
      </c>
      <c r="G32" s="58">
        <v>16</v>
      </c>
      <c r="H32" s="63">
        <v>16</v>
      </c>
      <c r="I32" s="68">
        <f t="shared" si="0"/>
        <v>112</v>
      </c>
      <c r="J32" s="73" t="s">
        <v>284</v>
      </c>
      <c r="K32" s="128" t="s">
        <v>313</v>
      </c>
      <c r="L32" s="85">
        <f t="shared" si="3"/>
        <v>112</v>
      </c>
      <c r="M32" s="86">
        <f t="shared" si="2"/>
        <v>336</v>
      </c>
    </row>
    <row r="33" spans="1:13" ht="24" x14ac:dyDescent="0.25">
      <c r="A33" s="140" t="s">
        <v>211</v>
      </c>
      <c r="B33" s="141" t="s">
        <v>212</v>
      </c>
      <c r="C33" s="142" t="s">
        <v>38</v>
      </c>
      <c r="D33" s="46">
        <v>64</v>
      </c>
      <c r="E33" s="50">
        <v>32</v>
      </c>
      <c r="F33" s="54">
        <v>64</v>
      </c>
      <c r="G33" s="58">
        <v>32</v>
      </c>
      <c r="H33" s="63">
        <v>32</v>
      </c>
      <c r="I33" s="30">
        <f t="shared" si="0"/>
        <v>224</v>
      </c>
      <c r="J33" s="132" t="s">
        <v>283</v>
      </c>
      <c r="K33" s="133" t="s">
        <v>312</v>
      </c>
      <c r="L33" s="134">
        <f t="shared" si="3"/>
        <v>224</v>
      </c>
      <c r="M33" s="135">
        <f t="shared" si="2"/>
        <v>672</v>
      </c>
    </row>
    <row r="34" spans="1:13" ht="36" x14ac:dyDescent="0.25">
      <c r="A34" s="43" t="s">
        <v>213</v>
      </c>
      <c r="B34" s="122" t="s">
        <v>214</v>
      </c>
      <c r="C34" s="124" t="s">
        <v>38</v>
      </c>
      <c r="D34" s="46">
        <v>64</v>
      </c>
      <c r="E34" s="50">
        <v>32</v>
      </c>
      <c r="F34" s="54">
        <v>64</v>
      </c>
      <c r="G34" s="58">
        <v>32</v>
      </c>
      <c r="H34" s="63">
        <v>32</v>
      </c>
      <c r="I34" s="68">
        <f t="shared" si="0"/>
        <v>224</v>
      </c>
      <c r="J34" s="73" t="s">
        <v>283</v>
      </c>
      <c r="K34" s="128" t="s">
        <v>312</v>
      </c>
      <c r="L34" s="85">
        <f t="shared" si="3"/>
        <v>224</v>
      </c>
      <c r="M34" s="86">
        <f t="shared" si="2"/>
        <v>672</v>
      </c>
    </row>
    <row r="35" spans="1:13" ht="24" x14ac:dyDescent="0.25">
      <c r="A35" s="140" t="s">
        <v>215</v>
      </c>
      <c r="B35" s="141" t="s">
        <v>216</v>
      </c>
      <c r="C35" s="142" t="s">
        <v>38</v>
      </c>
      <c r="D35" s="46">
        <v>30</v>
      </c>
      <c r="E35" s="50">
        <v>28</v>
      </c>
      <c r="F35" s="54">
        <v>30</v>
      </c>
      <c r="G35" s="58">
        <v>28</v>
      </c>
      <c r="H35" s="63">
        <v>28</v>
      </c>
      <c r="I35" s="30">
        <f t="shared" si="0"/>
        <v>144</v>
      </c>
      <c r="J35" s="132" t="s">
        <v>283</v>
      </c>
      <c r="K35" s="133" t="s">
        <v>314</v>
      </c>
      <c r="L35" s="134">
        <f t="shared" si="3"/>
        <v>144</v>
      </c>
      <c r="M35" s="135">
        <f t="shared" si="2"/>
        <v>432</v>
      </c>
    </row>
    <row r="36" spans="1:13" ht="24" x14ac:dyDescent="0.25">
      <c r="A36" s="43" t="s">
        <v>217</v>
      </c>
      <c r="B36" s="122" t="s">
        <v>218</v>
      </c>
      <c r="C36" s="124" t="s">
        <v>38</v>
      </c>
      <c r="D36" s="46">
        <v>64</v>
      </c>
      <c r="E36" s="50">
        <v>32</v>
      </c>
      <c r="F36" s="54">
        <v>64</v>
      </c>
      <c r="G36" s="58">
        <v>32</v>
      </c>
      <c r="H36" s="63">
        <v>32</v>
      </c>
      <c r="I36" s="68">
        <f t="shared" si="0"/>
        <v>224</v>
      </c>
      <c r="J36" s="73" t="s">
        <v>283</v>
      </c>
      <c r="K36" s="128" t="s">
        <v>312</v>
      </c>
      <c r="L36" s="85">
        <f t="shared" si="3"/>
        <v>224</v>
      </c>
      <c r="M36" s="86">
        <f t="shared" si="2"/>
        <v>672</v>
      </c>
    </row>
    <row r="37" spans="1:13" ht="24" x14ac:dyDescent="0.25">
      <c r="A37" s="140" t="s">
        <v>219</v>
      </c>
      <c r="B37" s="141" t="s">
        <v>220</v>
      </c>
      <c r="C37" s="142" t="s">
        <v>38</v>
      </c>
      <c r="D37" s="46">
        <v>40</v>
      </c>
      <c r="E37" s="50">
        <v>20</v>
      </c>
      <c r="F37" s="54">
        <v>40</v>
      </c>
      <c r="G37" s="58">
        <v>20</v>
      </c>
      <c r="H37" s="63">
        <v>20</v>
      </c>
      <c r="I37" s="30">
        <f t="shared" si="0"/>
        <v>140</v>
      </c>
      <c r="J37" s="132" t="s">
        <v>283</v>
      </c>
      <c r="K37" s="133" t="s">
        <v>315</v>
      </c>
      <c r="L37" s="134">
        <f t="shared" si="3"/>
        <v>140</v>
      </c>
      <c r="M37" s="135">
        <f t="shared" si="2"/>
        <v>420</v>
      </c>
    </row>
    <row r="38" spans="1:13" ht="24" x14ac:dyDescent="0.25">
      <c r="A38" s="43" t="s">
        <v>221</v>
      </c>
      <c r="B38" s="122" t="s">
        <v>222</v>
      </c>
      <c r="C38" s="124" t="s">
        <v>38</v>
      </c>
      <c r="D38" s="46">
        <v>40</v>
      </c>
      <c r="E38" s="50">
        <v>20</v>
      </c>
      <c r="F38" s="54">
        <v>40</v>
      </c>
      <c r="G38" s="58">
        <v>20</v>
      </c>
      <c r="H38" s="63">
        <v>20</v>
      </c>
      <c r="I38" s="68">
        <f t="shared" si="0"/>
        <v>140</v>
      </c>
      <c r="J38" s="73" t="s">
        <v>283</v>
      </c>
      <c r="K38" s="128" t="s">
        <v>315</v>
      </c>
      <c r="L38" s="85">
        <f t="shared" si="3"/>
        <v>140</v>
      </c>
      <c r="M38" s="86">
        <f t="shared" si="2"/>
        <v>420</v>
      </c>
    </row>
    <row r="39" spans="1:13" ht="24" x14ac:dyDescent="0.25">
      <c r="A39" s="140" t="s">
        <v>223</v>
      </c>
      <c r="B39" s="141" t="s">
        <v>224</v>
      </c>
      <c r="C39" s="142" t="s">
        <v>89</v>
      </c>
      <c r="D39" s="46">
        <v>96</v>
      </c>
      <c r="E39" s="50">
        <v>48</v>
      </c>
      <c r="F39" s="54">
        <v>96</v>
      </c>
      <c r="G39" s="58">
        <v>48</v>
      </c>
      <c r="H39" s="63">
        <v>48</v>
      </c>
      <c r="I39" s="30">
        <f t="shared" si="0"/>
        <v>336</v>
      </c>
      <c r="J39" s="132" t="s">
        <v>283</v>
      </c>
      <c r="K39" s="133" t="s">
        <v>316</v>
      </c>
      <c r="L39" s="134">
        <f t="shared" si="3"/>
        <v>336</v>
      </c>
      <c r="M39" s="135">
        <f t="shared" si="2"/>
        <v>1008</v>
      </c>
    </row>
    <row r="40" spans="1:13" ht="36" x14ac:dyDescent="0.25">
      <c r="A40" s="43" t="s">
        <v>225</v>
      </c>
      <c r="B40" s="122" t="s">
        <v>226</v>
      </c>
      <c r="C40" s="124" t="s">
        <v>92</v>
      </c>
      <c r="D40" s="46">
        <v>16</v>
      </c>
      <c r="E40" s="50">
        <v>8</v>
      </c>
      <c r="F40" s="54">
        <v>16</v>
      </c>
      <c r="G40" s="58">
        <v>8</v>
      </c>
      <c r="H40" s="63">
        <v>8</v>
      </c>
      <c r="I40" s="68">
        <f t="shared" si="0"/>
        <v>56</v>
      </c>
      <c r="J40" s="73" t="s">
        <v>283</v>
      </c>
      <c r="K40" s="128" t="s">
        <v>317</v>
      </c>
      <c r="L40" s="85">
        <f t="shared" si="3"/>
        <v>56</v>
      </c>
      <c r="M40" s="86">
        <f t="shared" si="2"/>
        <v>168</v>
      </c>
    </row>
    <row r="41" spans="1:13" ht="24" x14ac:dyDescent="0.25">
      <c r="A41" s="140" t="s">
        <v>227</v>
      </c>
      <c r="B41" s="141" t="s">
        <v>228</v>
      </c>
      <c r="C41" s="142" t="s">
        <v>38</v>
      </c>
      <c r="D41" s="46">
        <v>50</v>
      </c>
      <c r="E41" s="50">
        <v>30</v>
      </c>
      <c r="F41" s="54">
        <v>50</v>
      </c>
      <c r="G41" s="58">
        <v>30</v>
      </c>
      <c r="H41" s="63">
        <v>30</v>
      </c>
      <c r="I41" s="30">
        <f t="shared" si="0"/>
        <v>190</v>
      </c>
      <c r="J41" s="132" t="s">
        <v>283</v>
      </c>
      <c r="K41" s="133" t="s">
        <v>318</v>
      </c>
      <c r="L41" s="134">
        <f t="shared" si="3"/>
        <v>190</v>
      </c>
      <c r="M41" s="135">
        <f t="shared" si="2"/>
        <v>570</v>
      </c>
    </row>
    <row r="42" spans="1:13" ht="24" x14ac:dyDescent="0.25">
      <c r="A42" s="43" t="s">
        <v>229</v>
      </c>
      <c r="B42" s="122" t="s">
        <v>230</v>
      </c>
      <c r="C42" s="124" t="s">
        <v>38</v>
      </c>
      <c r="D42" s="46">
        <v>16</v>
      </c>
      <c r="E42" s="50">
        <v>8</v>
      </c>
      <c r="F42" s="54">
        <v>16</v>
      </c>
      <c r="G42" s="58">
        <v>8</v>
      </c>
      <c r="H42" s="63">
        <v>8</v>
      </c>
      <c r="I42" s="68">
        <f t="shared" si="0"/>
        <v>56</v>
      </c>
      <c r="J42" s="73" t="s">
        <v>283</v>
      </c>
      <c r="K42" s="128" t="s">
        <v>317</v>
      </c>
      <c r="L42" s="85">
        <f t="shared" si="3"/>
        <v>56</v>
      </c>
      <c r="M42" s="86">
        <f t="shared" si="2"/>
        <v>168</v>
      </c>
    </row>
    <row r="43" spans="1:13" ht="24" x14ac:dyDescent="0.25">
      <c r="A43" s="140" t="s">
        <v>231</v>
      </c>
      <c r="B43" s="141" t="s">
        <v>232</v>
      </c>
      <c r="C43" s="142" t="s">
        <v>99</v>
      </c>
      <c r="D43" s="46">
        <v>10</v>
      </c>
      <c r="E43" s="50">
        <v>6</v>
      </c>
      <c r="F43" s="54">
        <v>10</v>
      </c>
      <c r="G43" s="58">
        <v>6</v>
      </c>
      <c r="H43" s="63">
        <v>6</v>
      </c>
      <c r="I43" s="30">
        <f t="shared" si="0"/>
        <v>38</v>
      </c>
      <c r="J43" s="132" t="s">
        <v>283</v>
      </c>
      <c r="K43" s="133" t="s">
        <v>319</v>
      </c>
      <c r="L43" s="134">
        <f t="shared" si="3"/>
        <v>38</v>
      </c>
      <c r="M43" s="135">
        <f t="shared" si="2"/>
        <v>114</v>
      </c>
    </row>
    <row r="44" spans="1:13" ht="24" x14ac:dyDescent="0.25">
      <c r="A44" s="43" t="s">
        <v>233</v>
      </c>
      <c r="B44" s="122" t="s">
        <v>234</v>
      </c>
      <c r="C44" s="124" t="s">
        <v>99</v>
      </c>
      <c r="D44" s="46">
        <v>7</v>
      </c>
      <c r="E44" s="50">
        <v>4</v>
      </c>
      <c r="F44" s="54">
        <v>7</v>
      </c>
      <c r="G44" s="58">
        <v>4</v>
      </c>
      <c r="H44" s="63">
        <v>4</v>
      </c>
      <c r="I44" s="68">
        <f t="shared" si="0"/>
        <v>26</v>
      </c>
      <c r="J44" s="73" t="s">
        <v>283</v>
      </c>
      <c r="K44" s="128" t="s">
        <v>320</v>
      </c>
      <c r="L44" s="85">
        <f t="shared" si="3"/>
        <v>26</v>
      </c>
      <c r="M44" s="86">
        <f t="shared" si="2"/>
        <v>78</v>
      </c>
    </row>
    <row r="45" spans="1:13" ht="24" x14ac:dyDescent="0.25">
      <c r="A45" s="140" t="s">
        <v>235</v>
      </c>
      <c r="B45" s="141" t="s">
        <v>236</v>
      </c>
      <c r="C45" s="142" t="s">
        <v>38</v>
      </c>
      <c r="D45" s="46">
        <v>50</v>
      </c>
      <c r="E45" s="50">
        <v>24</v>
      </c>
      <c r="F45" s="54">
        <v>50</v>
      </c>
      <c r="G45" s="58">
        <v>24</v>
      </c>
      <c r="H45" s="63">
        <v>24</v>
      </c>
      <c r="I45" s="30">
        <f t="shared" si="0"/>
        <v>172</v>
      </c>
      <c r="J45" s="132" t="s">
        <v>283</v>
      </c>
      <c r="K45" s="133" t="s">
        <v>321</v>
      </c>
      <c r="L45" s="134">
        <f t="shared" si="3"/>
        <v>172</v>
      </c>
      <c r="M45" s="135">
        <f t="shared" si="2"/>
        <v>516</v>
      </c>
    </row>
    <row r="46" spans="1:13" ht="24" x14ac:dyDescent="0.25">
      <c r="A46" s="43" t="s">
        <v>237</v>
      </c>
      <c r="B46" s="122" t="s">
        <v>238</v>
      </c>
      <c r="C46" s="124" t="s">
        <v>106</v>
      </c>
      <c r="D46" s="46">
        <v>32</v>
      </c>
      <c r="E46" s="50">
        <v>16</v>
      </c>
      <c r="F46" s="54">
        <v>32</v>
      </c>
      <c r="G46" s="58">
        <v>16</v>
      </c>
      <c r="H46" s="63">
        <v>16</v>
      </c>
      <c r="I46" s="68">
        <f t="shared" si="0"/>
        <v>112</v>
      </c>
      <c r="J46" s="73" t="s">
        <v>283</v>
      </c>
      <c r="K46" s="128" t="s">
        <v>322</v>
      </c>
      <c r="L46" s="85">
        <f t="shared" si="3"/>
        <v>112</v>
      </c>
      <c r="M46" s="86">
        <f t="shared" si="2"/>
        <v>336</v>
      </c>
    </row>
    <row r="47" spans="1:13" ht="24" x14ac:dyDescent="0.25">
      <c r="A47" s="140" t="s">
        <v>239</v>
      </c>
      <c r="B47" s="141" t="s">
        <v>240</v>
      </c>
      <c r="C47" s="142" t="s">
        <v>106</v>
      </c>
      <c r="D47" s="46">
        <v>7</v>
      </c>
      <c r="E47" s="50">
        <v>4</v>
      </c>
      <c r="F47" s="54">
        <v>7</v>
      </c>
      <c r="G47" s="58">
        <v>4</v>
      </c>
      <c r="H47" s="63">
        <v>4</v>
      </c>
      <c r="I47" s="30">
        <f t="shared" si="0"/>
        <v>26</v>
      </c>
      <c r="J47" s="132" t="s">
        <v>283</v>
      </c>
      <c r="K47" s="133" t="s">
        <v>320</v>
      </c>
      <c r="L47" s="134">
        <f t="shared" si="3"/>
        <v>26</v>
      </c>
      <c r="M47" s="135">
        <f t="shared" si="2"/>
        <v>78</v>
      </c>
    </row>
    <row r="48" spans="1:13" ht="24" x14ac:dyDescent="0.25">
      <c r="A48" s="43" t="s">
        <v>241</v>
      </c>
      <c r="B48" s="122" t="s">
        <v>242</v>
      </c>
      <c r="C48" s="124" t="s">
        <v>38</v>
      </c>
      <c r="D48" s="46">
        <v>16</v>
      </c>
      <c r="E48" s="50">
        <v>8</v>
      </c>
      <c r="F48" s="54">
        <v>16</v>
      </c>
      <c r="G48" s="58">
        <v>8</v>
      </c>
      <c r="H48" s="63">
        <v>8</v>
      </c>
      <c r="I48" s="68">
        <f t="shared" si="0"/>
        <v>56</v>
      </c>
      <c r="J48" s="73" t="s">
        <v>283</v>
      </c>
      <c r="K48" s="128" t="s">
        <v>317</v>
      </c>
      <c r="L48" s="85">
        <f t="shared" si="3"/>
        <v>56</v>
      </c>
      <c r="M48" s="86">
        <f t="shared" si="2"/>
        <v>168</v>
      </c>
    </row>
    <row r="49" spans="1:13" ht="24" x14ac:dyDescent="0.25">
      <c r="A49" s="140" t="s">
        <v>243</v>
      </c>
      <c r="B49" s="141" t="s">
        <v>244</v>
      </c>
      <c r="C49" s="142" t="s">
        <v>38</v>
      </c>
      <c r="D49" s="46">
        <v>32</v>
      </c>
      <c r="E49" s="50">
        <v>16</v>
      </c>
      <c r="F49" s="54">
        <v>32</v>
      </c>
      <c r="G49" s="58">
        <v>16</v>
      </c>
      <c r="H49" s="63">
        <v>16</v>
      </c>
      <c r="I49" s="30">
        <f t="shared" si="0"/>
        <v>112</v>
      </c>
      <c r="J49" s="132" t="s">
        <v>283</v>
      </c>
      <c r="K49" s="133" t="s">
        <v>322</v>
      </c>
      <c r="L49" s="134">
        <f t="shared" si="3"/>
        <v>112</v>
      </c>
      <c r="M49" s="135">
        <f t="shared" si="2"/>
        <v>336</v>
      </c>
    </row>
    <row r="50" spans="1:13" ht="24" x14ac:dyDescent="0.25">
      <c r="A50" s="43" t="s">
        <v>245</v>
      </c>
      <c r="B50" s="122" t="s">
        <v>246</v>
      </c>
      <c r="C50" s="124" t="s">
        <v>38</v>
      </c>
      <c r="D50" s="46">
        <v>32</v>
      </c>
      <c r="E50" s="50">
        <v>16</v>
      </c>
      <c r="F50" s="54">
        <v>32</v>
      </c>
      <c r="G50" s="58">
        <v>16</v>
      </c>
      <c r="H50" s="63">
        <v>16</v>
      </c>
      <c r="I50" s="68">
        <f t="shared" si="0"/>
        <v>112</v>
      </c>
      <c r="J50" s="73" t="s">
        <v>283</v>
      </c>
      <c r="K50" s="128" t="s">
        <v>323</v>
      </c>
      <c r="L50" s="85">
        <f t="shared" si="3"/>
        <v>112</v>
      </c>
      <c r="M50" s="86">
        <f t="shared" si="2"/>
        <v>336</v>
      </c>
    </row>
    <row r="51" spans="1:13" ht="24" x14ac:dyDescent="0.25">
      <c r="A51" s="140" t="s">
        <v>247</v>
      </c>
      <c r="B51" s="141" t="s">
        <v>248</v>
      </c>
      <c r="C51" s="142" t="s">
        <v>89</v>
      </c>
      <c r="D51" s="46">
        <v>32</v>
      </c>
      <c r="E51" s="50">
        <v>16</v>
      </c>
      <c r="F51" s="54">
        <v>32</v>
      </c>
      <c r="G51" s="58">
        <v>16</v>
      </c>
      <c r="H51" s="63">
        <v>16</v>
      </c>
      <c r="I51" s="30">
        <f t="shared" si="0"/>
        <v>112</v>
      </c>
      <c r="J51" s="132" t="s">
        <v>283</v>
      </c>
      <c r="K51" s="133" t="s">
        <v>322</v>
      </c>
      <c r="L51" s="134">
        <f t="shared" si="3"/>
        <v>112</v>
      </c>
      <c r="M51" s="135">
        <f t="shared" si="2"/>
        <v>336</v>
      </c>
    </row>
    <row r="52" spans="1:13" ht="24" x14ac:dyDescent="0.25">
      <c r="A52" s="43" t="s">
        <v>249</v>
      </c>
      <c r="B52" s="122" t="s">
        <v>250</v>
      </c>
      <c r="C52" s="124" t="s">
        <v>29</v>
      </c>
      <c r="D52" s="46">
        <v>2</v>
      </c>
      <c r="E52" s="50">
        <v>1</v>
      </c>
      <c r="F52" s="54">
        <v>2</v>
      </c>
      <c r="G52" s="58">
        <v>1</v>
      </c>
      <c r="H52" s="63">
        <v>1</v>
      </c>
      <c r="I52" s="68">
        <f t="shared" si="0"/>
        <v>7</v>
      </c>
      <c r="J52" s="73" t="s">
        <v>283</v>
      </c>
      <c r="K52" s="128" t="s">
        <v>324</v>
      </c>
      <c r="L52" s="85">
        <f t="shared" si="3"/>
        <v>7</v>
      </c>
      <c r="M52" s="86">
        <f t="shared" si="2"/>
        <v>21</v>
      </c>
    </row>
    <row r="53" spans="1:13" ht="24" x14ac:dyDescent="0.25">
      <c r="A53" s="140" t="s">
        <v>251</v>
      </c>
      <c r="B53" s="141" t="s">
        <v>252</v>
      </c>
      <c r="C53" s="142" t="s">
        <v>99</v>
      </c>
      <c r="D53" s="46">
        <v>2</v>
      </c>
      <c r="E53" s="50">
        <v>1</v>
      </c>
      <c r="F53" s="54">
        <v>2</v>
      </c>
      <c r="G53" s="58">
        <v>1</v>
      </c>
      <c r="H53" s="63">
        <v>1</v>
      </c>
      <c r="I53" s="30">
        <f t="shared" si="0"/>
        <v>7</v>
      </c>
      <c r="J53" s="132" t="s">
        <v>283</v>
      </c>
      <c r="K53" s="133" t="s">
        <v>324</v>
      </c>
      <c r="L53" s="134">
        <f t="shared" si="3"/>
        <v>7</v>
      </c>
      <c r="M53" s="135">
        <f t="shared" si="2"/>
        <v>21</v>
      </c>
    </row>
    <row r="54" spans="1:13" ht="24" x14ac:dyDescent="0.25">
      <c r="A54" s="43" t="s">
        <v>253</v>
      </c>
      <c r="B54" s="122" t="s">
        <v>254</v>
      </c>
      <c r="C54" s="124" t="s">
        <v>89</v>
      </c>
      <c r="D54" s="46">
        <v>96</v>
      </c>
      <c r="E54" s="50">
        <v>48</v>
      </c>
      <c r="F54" s="54">
        <v>96</v>
      </c>
      <c r="G54" s="58">
        <v>48</v>
      </c>
      <c r="H54" s="63">
        <v>48</v>
      </c>
      <c r="I54" s="68">
        <f t="shared" si="0"/>
        <v>336</v>
      </c>
      <c r="J54" s="73" t="s">
        <v>283</v>
      </c>
      <c r="K54" s="128" t="s">
        <v>316</v>
      </c>
      <c r="L54" s="85">
        <f t="shared" si="3"/>
        <v>336</v>
      </c>
      <c r="M54" s="86">
        <f t="shared" si="2"/>
        <v>1008</v>
      </c>
    </row>
    <row r="55" spans="1:13" ht="24" x14ac:dyDescent="0.25">
      <c r="A55" s="140" t="s">
        <v>255</v>
      </c>
      <c r="B55" s="141" t="s">
        <v>256</v>
      </c>
      <c r="C55" s="142" t="s">
        <v>99</v>
      </c>
      <c r="D55" s="46">
        <v>40</v>
      </c>
      <c r="E55" s="50">
        <v>20</v>
      </c>
      <c r="F55" s="54">
        <v>40</v>
      </c>
      <c r="G55" s="58">
        <v>20</v>
      </c>
      <c r="H55" s="63">
        <v>20</v>
      </c>
      <c r="I55" s="30">
        <f t="shared" si="0"/>
        <v>140</v>
      </c>
      <c r="J55" s="132" t="s">
        <v>283</v>
      </c>
      <c r="K55" s="133" t="s">
        <v>315</v>
      </c>
      <c r="L55" s="134">
        <f t="shared" si="3"/>
        <v>140</v>
      </c>
      <c r="M55" s="135">
        <f t="shared" si="2"/>
        <v>420</v>
      </c>
    </row>
    <row r="56" spans="1:13" ht="24" x14ac:dyDescent="0.25">
      <c r="A56" s="43" t="s">
        <v>257</v>
      </c>
      <c r="B56" s="122" t="s">
        <v>258</v>
      </c>
      <c r="C56" s="124" t="s">
        <v>89</v>
      </c>
      <c r="D56" s="46">
        <v>32</v>
      </c>
      <c r="E56" s="50">
        <v>16</v>
      </c>
      <c r="F56" s="54">
        <v>32</v>
      </c>
      <c r="G56" s="58">
        <v>16</v>
      </c>
      <c r="H56" s="63">
        <v>16</v>
      </c>
      <c r="I56" s="68">
        <f t="shared" si="0"/>
        <v>112</v>
      </c>
      <c r="J56" s="73" t="s">
        <v>283</v>
      </c>
      <c r="K56" s="128" t="s">
        <v>322</v>
      </c>
      <c r="L56" s="85">
        <f t="shared" si="3"/>
        <v>112</v>
      </c>
      <c r="M56" s="86">
        <f t="shared" si="2"/>
        <v>336</v>
      </c>
    </row>
    <row r="57" spans="1:13" ht="24" x14ac:dyDescent="0.25">
      <c r="A57" s="140" t="s">
        <v>259</v>
      </c>
      <c r="B57" s="141" t="s">
        <v>260</v>
      </c>
      <c r="C57" s="142" t="s">
        <v>38</v>
      </c>
      <c r="D57" s="46">
        <v>32</v>
      </c>
      <c r="E57" s="50">
        <v>16</v>
      </c>
      <c r="F57" s="54">
        <v>32</v>
      </c>
      <c r="G57" s="58">
        <v>16</v>
      </c>
      <c r="H57" s="63">
        <v>16</v>
      </c>
      <c r="I57" s="30">
        <f t="shared" si="0"/>
        <v>112</v>
      </c>
      <c r="J57" s="132" t="s">
        <v>283</v>
      </c>
      <c r="K57" s="133" t="s">
        <v>322</v>
      </c>
      <c r="L57" s="134">
        <f t="shared" si="3"/>
        <v>112</v>
      </c>
      <c r="M57" s="135">
        <f t="shared" si="2"/>
        <v>336</v>
      </c>
    </row>
    <row r="58" spans="1:13" ht="24" x14ac:dyDescent="0.25">
      <c r="A58" s="43" t="s">
        <v>261</v>
      </c>
      <c r="B58" s="122" t="s">
        <v>262</v>
      </c>
      <c r="C58" s="124" t="s">
        <v>38</v>
      </c>
      <c r="D58" s="46">
        <v>40</v>
      </c>
      <c r="E58" s="50">
        <v>20</v>
      </c>
      <c r="F58" s="54">
        <v>40</v>
      </c>
      <c r="G58" s="58">
        <v>20</v>
      </c>
      <c r="H58" s="63">
        <v>20</v>
      </c>
      <c r="I58" s="68">
        <f t="shared" si="0"/>
        <v>140</v>
      </c>
      <c r="J58" s="73" t="s">
        <v>283</v>
      </c>
      <c r="K58" s="128" t="s">
        <v>315</v>
      </c>
      <c r="L58" s="85">
        <f t="shared" si="3"/>
        <v>140</v>
      </c>
      <c r="M58" s="86">
        <f t="shared" si="2"/>
        <v>420</v>
      </c>
    </row>
    <row r="59" spans="1:13" ht="24" x14ac:dyDescent="0.25">
      <c r="A59" s="140" t="s">
        <v>263</v>
      </c>
      <c r="B59" s="141" t="s">
        <v>264</v>
      </c>
      <c r="C59" s="142" t="s">
        <v>72</v>
      </c>
      <c r="D59" s="46">
        <v>27</v>
      </c>
      <c r="E59" s="50">
        <v>14</v>
      </c>
      <c r="F59" s="54">
        <v>27</v>
      </c>
      <c r="G59" s="58">
        <v>14</v>
      </c>
      <c r="H59" s="63">
        <v>14</v>
      </c>
      <c r="I59" s="30">
        <f t="shared" si="0"/>
        <v>96</v>
      </c>
      <c r="J59" s="132" t="s">
        <v>283</v>
      </c>
      <c r="K59" s="133" t="s">
        <v>325</v>
      </c>
      <c r="L59" s="134">
        <f t="shared" si="3"/>
        <v>96</v>
      </c>
      <c r="M59" s="135">
        <f t="shared" si="2"/>
        <v>288</v>
      </c>
    </row>
    <row r="60" spans="1:13" ht="24" x14ac:dyDescent="0.25">
      <c r="A60" s="43" t="s">
        <v>265</v>
      </c>
      <c r="B60" s="122" t="s">
        <v>266</v>
      </c>
      <c r="C60" s="124" t="s">
        <v>135</v>
      </c>
      <c r="D60" s="46">
        <v>27</v>
      </c>
      <c r="E60" s="50">
        <v>14</v>
      </c>
      <c r="F60" s="54">
        <v>27</v>
      </c>
      <c r="G60" s="58">
        <v>14</v>
      </c>
      <c r="H60" s="63">
        <v>14</v>
      </c>
      <c r="I60" s="68">
        <f t="shared" si="0"/>
        <v>96</v>
      </c>
      <c r="J60" s="73" t="s">
        <v>283</v>
      </c>
      <c r="K60" s="128" t="s">
        <v>325</v>
      </c>
      <c r="L60" s="85">
        <f t="shared" si="3"/>
        <v>96</v>
      </c>
      <c r="M60" s="86">
        <f t="shared" si="2"/>
        <v>288</v>
      </c>
    </row>
    <row r="61" spans="1:13" ht="24" x14ac:dyDescent="0.25">
      <c r="A61" s="140" t="s">
        <v>267</v>
      </c>
      <c r="B61" s="141" t="s">
        <v>268</v>
      </c>
      <c r="C61" s="142" t="s">
        <v>92</v>
      </c>
      <c r="D61" s="46">
        <v>120</v>
      </c>
      <c r="E61" s="50">
        <v>60</v>
      </c>
      <c r="F61" s="54">
        <v>120</v>
      </c>
      <c r="G61" s="58">
        <v>60</v>
      </c>
      <c r="H61" s="63">
        <v>60</v>
      </c>
      <c r="I61" s="30">
        <f t="shared" si="0"/>
        <v>420</v>
      </c>
      <c r="J61" s="132" t="s">
        <v>283</v>
      </c>
      <c r="K61" s="133" t="s">
        <v>326</v>
      </c>
      <c r="L61" s="134">
        <f t="shared" si="3"/>
        <v>420</v>
      </c>
      <c r="M61" s="135">
        <f t="shared" si="2"/>
        <v>1260</v>
      </c>
    </row>
    <row r="62" spans="1:13" ht="24" x14ac:dyDescent="0.25">
      <c r="A62" s="43" t="s">
        <v>269</v>
      </c>
      <c r="B62" s="122" t="s">
        <v>270</v>
      </c>
      <c r="C62" s="124" t="s">
        <v>140</v>
      </c>
      <c r="D62" s="46">
        <v>120</v>
      </c>
      <c r="E62" s="50">
        <v>60</v>
      </c>
      <c r="F62" s="54">
        <v>120</v>
      </c>
      <c r="G62" s="58">
        <v>60</v>
      </c>
      <c r="H62" s="63">
        <v>60</v>
      </c>
      <c r="I62" s="68">
        <f t="shared" si="0"/>
        <v>420</v>
      </c>
      <c r="J62" s="73" t="s">
        <v>283</v>
      </c>
      <c r="K62" s="128" t="s">
        <v>326</v>
      </c>
      <c r="L62" s="85">
        <f t="shared" si="3"/>
        <v>420</v>
      </c>
      <c r="M62" s="86">
        <f t="shared" si="2"/>
        <v>1260</v>
      </c>
    </row>
    <row r="63" spans="1:13" ht="33.75" x14ac:dyDescent="0.25">
      <c r="A63" s="140" t="s">
        <v>271</v>
      </c>
      <c r="B63" s="143" t="s">
        <v>142</v>
      </c>
      <c r="C63" s="142" t="s">
        <v>92</v>
      </c>
      <c r="D63" s="46">
        <v>120</v>
      </c>
      <c r="E63" s="50">
        <v>60</v>
      </c>
      <c r="F63" s="54">
        <v>120</v>
      </c>
      <c r="G63" s="58">
        <v>60</v>
      </c>
      <c r="H63" s="63">
        <v>60</v>
      </c>
      <c r="I63" s="30">
        <f t="shared" si="0"/>
        <v>420</v>
      </c>
      <c r="J63" s="132" t="s">
        <v>283</v>
      </c>
      <c r="K63" s="133" t="s">
        <v>326</v>
      </c>
      <c r="L63" s="134">
        <f t="shared" si="3"/>
        <v>420</v>
      </c>
      <c r="M63" s="135">
        <f t="shared" si="2"/>
        <v>1260</v>
      </c>
    </row>
    <row r="64" spans="1:13" ht="33.75" x14ac:dyDescent="0.25">
      <c r="A64" s="43" t="s">
        <v>272</v>
      </c>
      <c r="B64" s="129" t="s">
        <v>144</v>
      </c>
      <c r="C64" s="124" t="s">
        <v>140</v>
      </c>
      <c r="D64" s="46">
        <v>120</v>
      </c>
      <c r="E64" s="50">
        <v>60</v>
      </c>
      <c r="F64" s="54">
        <v>120</v>
      </c>
      <c r="G64" s="58">
        <v>60</v>
      </c>
      <c r="H64" s="63">
        <v>60</v>
      </c>
      <c r="I64" s="68">
        <f t="shared" si="0"/>
        <v>420</v>
      </c>
      <c r="J64" s="73" t="s">
        <v>283</v>
      </c>
      <c r="K64" s="128" t="s">
        <v>326</v>
      </c>
      <c r="L64" s="85">
        <f t="shared" si="3"/>
        <v>420</v>
      </c>
      <c r="M64" s="86">
        <f t="shared" si="2"/>
        <v>1260</v>
      </c>
    </row>
    <row r="65" spans="1:13" ht="57" thickBot="1" x14ac:dyDescent="0.3">
      <c r="A65" s="144" t="s">
        <v>273</v>
      </c>
      <c r="B65" s="145" t="s">
        <v>146</v>
      </c>
      <c r="C65" s="146" t="s">
        <v>147</v>
      </c>
      <c r="D65" s="47">
        <v>120</v>
      </c>
      <c r="E65" s="51">
        <v>60</v>
      </c>
      <c r="F65" s="55">
        <v>120</v>
      </c>
      <c r="G65" s="59">
        <v>60</v>
      </c>
      <c r="H65" s="64">
        <v>60</v>
      </c>
      <c r="I65" s="31">
        <f t="shared" si="0"/>
        <v>420</v>
      </c>
      <c r="J65" s="136" t="s">
        <v>283</v>
      </c>
      <c r="K65" s="137" t="s">
        <v>326</v>
      </c>
      <c r="L65" s="138">
        <f t="shared" si="3"/>
        <v>420</v>
      </c>
      <c r="M65" s="139">
        <f t="shared" si="2"/>
        <v>1260</v>
      </c>
    </row>
  </sheetData>
  <mergeCells count="10">
    <mergeCell ref="M2:M3"/>
    <mergeCell ref="L1:M1"/>
    <mergeCell ref="C2:C3"/>
    <mergeCell ref="B2:B3"/>
    <mergeCell ref="D2:H2"/>
    <mergeCell ref="I2:I3"/>
    <mergeCell ref="J2:J3"/>
    <mergeCell ref="A2:A3"/>
    <mergeCell ref="K2:K3"/>
    <mergeCell ref="L2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C5BA-C860-4F30-AC0A-14B8E522200A}">
  <dimension ref="A1:M68"/>
  <sheetViews>
    <sheetView workbookViewId="0"/>
  </sheetViews>
  <sheetFormatPr baseColWidth="10" defaultRowHeight="15" x14ac:dyDescent="0.25"/>
  <sheetData>
    <row r="1" spans="1:13" x14ac:dyDescent="0.25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</row>
    <row r="2" spans="1:13" x14ac:dyDescent="0.25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</row>
    <row r="3" spans="1:13" x14ac:dyDescent="0.25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</row>
    <row r="4" spans="1:13" x14ac:dyDescent="0.25">
      <c r="A4" s="175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</row>
    <row r="5" spans="1:13" x14ac:dyDescent="0.25">
      <c r="A5" s="175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</row>
    <row r="6" spans="1:13" x14ac:dyDescent="0.25">
      <c r="A6" s="175"/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</row>
    <row r="7" spans="1:13" x14ac:dyDescent="0.25">
      <c r="A7" s="175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</row>
    <row r="8" spans="1:13" x14ac:dyDescent="0.25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</row>
    <row r="9" spans="1:13" x14ac:dyDescent="0.25">
      <c r="A9" s="175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</row>
    <row r="10" spans="1:13" x14ac:dyDescent="0.25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</row>
    <row r="11" spans="1:13" x14ac:dyDescent="0.25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</row>
    <row r="12" spans="1:13" x14ac:dyDescent="0.25">
      <c r="A12" s="175"/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</row>
    <row r="13" spans="1:13" x14ac:dyDescent="0.25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</row>
    <row r="14" spans="1:13" x14ac:dyDescent="0.25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</row>
    <row r="15" spans="1:13" x14ac:dyDescent="0.25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</row>
    <row r="16" spans="1:13" x14ac:dyDescent="0.25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</row>
    <row r="17" spans="1:13" x14ac:dyDescent="0.25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</row>
    <row r="18" spans="1:13" x14ac:dyDescent="0.25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1:13" x14ac:dyDescent="0.25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</row>
    <row r="20" spans="1:13" x14ac:dyDescent="0.25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1:13" x14ac:dyDescent="0.25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1:13" x14ac:dyDescent="0.25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1:13" x14ac:dyDescent="0.25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1:13" x14ac:dyDescent="0.25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</row>
    <row r="25" spans="1:13" x14ac:dyDescent="0.25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</row>
    <row r="26" spans="1:13" x14ac:dyDescent="0.25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</row>
    <row r="27" spans="1:13" x14ac:dyDescent="0.25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</row>
    <row r="28" spans="1:13" x14ac:dyDescent="0.25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</row>
    <row r="29" spans="1:13" x14ac:dyDescent="0.25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</row>
    <row r="30" spans="1:13" x14ac:dyDescent="0.25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</row>
    <row r="31" spans="1:13" x14ac:dyDescent="0.25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</row>
    <row r="32" spans="1:13" x14ac:dyDescent="0.25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</row>
    <row r="33" spans="1:13" x14ac:dyDescent="0.25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</row>
    <row r="34" spans="1:13" x14ac:dyDescent="0.25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</row>
    <row r="35" spans="1:13" x14ac:dyDescent="0.25">
      <c r="A35" s="175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</row>
    <row r="36" spans="1:13" x14ac:dyDescent="0.25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</row>
    <row r="37" spans="1:13" x14ac:dyDescent="0.25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</row>
    <row r="38" spans="1:13" x14ac:dyDescent="0.25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</row>
    <row r="39" spans="1:13" x14ac:dyDescent="0.25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</row>
    <row r="40" spans="1:13" x14ac:dyDescent="0.25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</row>
    <row r="41" spans="1:13" x14ac:dyDescent="0.25">
      <c r="A41" s="175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  <row r="43" spans="1:13" x14ac:dyDescent="0.25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</row>
    <row r="44" spans="1:13" x14ac:dyDescent="0.25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</row>
    <row r="45" spans="1:13" x14ac:dyDescent="0.25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</row>
    <row r="46" spans="1:13" x14ac:dyDescent="0.25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</row>
    <row r="47" spans="1:13" x14ac:dyDescent="0.25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</row>
    <row r="48" spans="1:13" x14ac:dyDescent="0.25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</row>
    <row r="49" spans="1:13" x14ac:dyDescent="0.25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</row>
    <row r="50" spans="1:13" x14ac:dyDescent="0.25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</row>
    <row r="51" spans="1:13" x14ac:dyDescent="0.25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</row>
    <row r="52" spans="1:13" x14ac:dyDescent="0.25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</row>
    <row r="53" spans="1:13" x14ac:dyDescent="0.25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</row>
    <row r="54" spans="1:13" x14ac:dyDescent="0.25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</row>
    <row r="55" spans="1:13" x14ac:dyDescent="0.25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</row>
    <row r="56" spans="1:13" x14ac:dyDescent="0.25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</row>
    <row r="57" spans="1:13" x14ac:dyDescent="0.25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</row>
    <row r="58" spans="1:13" x14ac:dyDescent="0.25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</row>
    <row r="59" spans="1:13" x14ac:dyDescent="0.25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</row>
    <row r="60" spans="1:13" x14ac:dyDescent="0.25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</row>
    <row r="61" spans="1:13" x14ac:dyDescent="0.25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</row>
    <row r="62" spans="1:13" x14ac:dyDescent="0.25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</row>
    <row r="63" spans="1:13" x14ac:dyDescent="0.25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</row>
    <row r="64" spans="1:13" x14ac:dyDescent="0.25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</row>
    <row r="65" spans="1:13" x14ac:dyDescent="0.25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</row>
    <row r="66" spans="1:13" x14ac:dyDescent="0.25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</row>
    <row r="67" spans="1:13" x14ac:dyDescent="0.25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</row>
    <row r="68" spans="1:13" x14ac:dyDescent="0.25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Items</vt:lpstr>
      <vt:lpstr>Especificidades</vt:lpstr>
      <vt:lpstr>Cronog.entregas</vt:lpstr>
      <vt:lpstr>S.G N°177-SAF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2022-04-20T11:46:20Z</dcterms:created>
  <dcterms:modified xsi:type="dcterms:W3CDTF">2022-04-20T16:27:01Z</dcterms:modified>
</cp:coreProperties>
</file>