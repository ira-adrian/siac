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Ambulancias. MS\2º Pedido de ambulancia\"/>
    </mc:Choice>
  </mc:AlternateContent>
  <bookViews>
    <workbookView xWindow="-15" yWindow="6390" windowWidth="28830" windowHeight="6435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TRIMESTRAL'!$A$9:$I$9</definedName>
  </definedNames>
  <calcPr calcId="162913"/>
</workbook>
</file>

<file path=xl/calcChain.xml><?xml version="1.0" encoding="utf-8"?>
<calcChain xmlns="http://schemas.openxmlformats.org/spreadsheetml/2006/main">
  <c r="J14" i="2" l="1"/>
  <c r="I10" i="1"/>
  <c r="J12" i="2" l="1"/>
  <c r="I12" i="2"/>
  <c r="C12" i="2"/>
  <c r="B12" i="2"/>
  <c r="Q15" i="3" l="1"/>
  <c r="A41" i="3"/>
  <c r="G5" i="3" l="1"/>
  <c r="G6" i="3"/>
  <c r="G7" i="3"/>
  <c r="G4" i="3"/>
  <c r="Q38" i="3"/>
  <c r="I11" i="1" l="1"/>
</calcChain>
</file>

<file path=xl/sharedStrings.xml><?xml version="1.0" encoding="utf-8"?>
<sst xmlns="http://schemas.openxmlformats.org/spreadsheetml/2006/main" count="90" uniqueCount="83">
  <si>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</si>
  <si>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</si>
  <si>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</si>
  <si>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</si>
  <si>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</si>
  <si>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</si>
  <si>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</si>
  <si>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</si>
  <si>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</si>
  <si>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</si>
  <si>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</si>
  <si>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</si>
  <si>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</si>
  <si>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</si>
  <si>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 xml:space="preserve">IMPORTE TOTAL ESTIMADO </t>
  </si>
  <si>
    <t>ESPECIFICACION TECNICA</t>
  </si>
  <si>
    <t>UNIDAD</t>
  </si>
  <si>
    <t>EQUIPOS</t>
  </si>
  <si>
    <t>TOTAL RUBRO VEHICULOS</t>
  </si>
  <si>
    <t>SEGUNDO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</si>
  <si>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</si>
  <si>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</si>
  <si>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</si>
  <si>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</si>
  <si>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</si>
  <si>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</si>
  <si>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</si>
  <si>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</si>
  <si>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</si>
  <si>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</si>
  <si>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</si>
  <si>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</si>
  <si>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</si>
  <si>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</si>
  <si>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</si>
  <si>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</si>
  <si>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</si>
  <si>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</si>
  <si>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</si>
  <si>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</si>
  <si>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</si>
  <si>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</si>
  <si>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</si>
  <si>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</si>
  <si>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</si>
  <si>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</si>
  <si>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</si>
  <si>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</si>
  <si>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</si>
  <si>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</si>
  <si>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</si>
  <si>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</si>
  <si>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</si>
  <si>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</si>
  <si>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</si>
  <si>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</si>
  <si>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</si>
  <si>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</si>
  <si>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</si>
  <si>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4.3.2-215.451</t>
  </si>
  <si>
    <t>4.3.2</t>
  </si>
  <si>
    <t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t>
  </si>
  <si>
    <t>Especificidades Item N° 1:</t>
  </si>
  <si>
    <t>VER ANEXO I</t>
  </si>
  <si>
    <t>Descripción técnica</t>
  </si>
  <si>
    <t>Calidad Minima esperada</t>
  </si>
  <si>
    <t>Mantenimiento</t>
  </si>
  <si>
    <t>Garantia</t>
  </si>
  <si>
    <t>Cuarenta y cinco (45) días habiles, renovables por igual periodo automáticamente.</t>
  </si>
  <si>
    <t>352 - MINISTERIO DE SALUD</t>
  </si>
  <si>
    <t>CINCO (5) AÑOS</t>
  </si>
  <si>
    <t>ADQUISICION DE AMBULANCIAS PARA FORTALECER EL SERVICIO DE TRASLADO Y/O DERIVACIONES EN EL SECTOR PUBLICO PROVINCIAL.</t>
  </si>
  <si>
    <t xml:space="preserve"> 06/2022</t>
  </si>
  <si>
    <t>1.1</t>
  </si>
  <si>
    <t>EQUIPO DE TRANSPORTE, TRACCION Y ELEVACION</t>
  </si>
  <si>
    <t>Autorizo la realización de los  trámites correspondientes, a fin de proveer a  este Organismo los bienes, servicios o ejecución de obras públicas que se detallan en Nota  de Pedido N° 06/2022 , afectando la erogación resultante a los créditos presupuestarios aprobados a favor de esta Unidad Ejecutora, conforme al siguiente detalle:</t>
  </si>
  <si>
    <t>TOTAL DE PESOS: CIENTO CUARENTA Y OCHO MILLONES SETECIENTOS TREINTA Y TRES MIL VEINTE CON 00/100.-</t>
  </si>
  <si>
    <t>Costo total estimado: PESOS CIENTO CUARENTA Y OCHO MILLONES SETECIENTOS TREINTA Y TRES MIL VEINTE CON 00/100.-</t>
  </si>
  <si>
    <t xml:space="preserve"> Lugar de Entrega: </t>
  </si>
  <si>
    <t>Plazo de entrega</t>
  </si>
  <si>
    <t xml:space="preserve">Treinta (30) días hábiles - </t>
  </si>
  <si>
    <t>Ministerio de Salud - Chacabuco N° 169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</si>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</sst>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9"/>
      <name val="Times New Roman"/>
      <family val="1"/>
    </font>
    <font>
      <u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8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  <xf numFmtId="44" fontId="8" fillId="0" borderId="0" applyBorder="0" applyAlignment="0" applyProtection="0"/>
    <xf numFmtId="168" fontId="8" fillId="0" borderId="0" applyBorder="0" applyProtection="0"/>
    <xf numFmtId="0" fontId="1" fillId="0" borderId="0"/>
    <xf numFmtId="44" fontId="8" fillId="0" borderId="0" applyFont="0" applyFill="0" applyBorder="0" applyAlignment="0" applyProtection="0"/>
  </cellStyleXfs>
  <cellXfs count="18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0" applyNumberFormat="1" applyFont="1" applyBorder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167" fontId="10" fillId="0" borderId="7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wrapText="1"/>
    </xf>
    <xf numFmtId="0" fontId="10" fillId="0" borderId="0" xfId="0" applyFont="1" applyFill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3" fontId="10" fillId="0" borderId="4" xfId="2" applyNumberFormat="1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3" fillId="0" borderId="26" xfId="0" applyFont="1" applyBorder="1" applyAlignment="1">
      <alignment horizontal="center" vertical="center"/>
    </xf>
    <xf numFmtId="3" fontId="25" fillId="0" borderId="30" xfId="0" applyNumberFormat="1" applyFont="1" applyBorder="1" applyAlignment="1"/>
    <xf numFmtId="169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58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3" xfId="0" applyNumberFormat="1" applyFont="1" applyBorder="1" applyAlignment="1">
      <alignment horizontal="right" vertical="center"/>
    </xf>
    <xf numFmtId="167" fontId="19" fillId="0" borderId="0" xfId="0" applyNumberFormat="1" applyFont="1" applyBorder="1" applyAlignment="1">
      <alignment vertical="center"/>
    </xf>
    <xf numFmtId="167" fontId="20" fillId="0" borderId="58" xfId="0" applyNumberFormat="1" applyFont="1" applyBorder="1" applyAlignment="1">
      <alignment vertical="center"/>
    </xf>
    <xf numFmtId="167" fontId="20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3" fillId="0" borderId="10" xfId="0" applyFont="1" applyBorder="1" applyAlignment="1">
      <alignment horizontal="center" vertical="center" wrapText="1"/>
    </xf>
    <xf numFmtId="167" fontId="23" fillId="0" borderId="10" xfId="0" applyNumberFormat="1" applyFont="1" applyBorder="1" applyAlignment="1">
      <alignment horizontal="center" vertical="center" wrapText="1"/>
    </xf>
    <xf numFmtId="3" fontId="23" fillId="0" borderId="27" xfId="0" applyNumberFormat="1" applyFont="1" applyBorder="1" applyAlignment="1">
      <alignment horizontal="center" vertical="center"/>
    </xf>
    <xf numFmtId="0" fontId="0" fillId="0" borderId="0" xfId="0" applyFont="1"/>
    <xf numFmtId="167" fontId="0" fillId="0" borderId="17" xfId="0" applyNumberFormat="1" applyBorder="1"/>
    <xf numFmtId="167" fontId="0" fillId="0" borderId="36" xfId="0" applyNumberFormat="1" applyBorder="1"/>
    <xf numFmtId="167" fontId="0" fillId="0" borderId="46" xfId="33" applyNumberFormat="1" applyFont="1" applyBorder="1" applyAlignment="1" applyProtection="1">
      <alignment horizontal="center" vertical="center"/>
    </xf>
    <xf numFmtId="167" fontId="0" fillId="0" borderId="51" xfId="33" applyNumberFormat="1" applyFont="1" applyBorder="1" applyAlignment="1" applyProtection="1">
      <alignment horizontal="center" vertical="center"/>
    </xf>
    <xf numFmtId="167" fontId="0" fillId="0" borderId="55" xfId="33" applyNumberFormat="1" applyFont="1" applyBorder="1" applyAlignment="1" applyProtection="1">
      <alignment horizontal="center" vertical="center"/>
    </xf>
    <xf numFmtId="167" fontId="30" fillId="0" borderId="57" xfId="0" applyNumberFormat="1" applyFont="1" applyBorder="1" applyAlignment="1">
      <alignment horizontal="center" vertical="center"/>
    </xf>
    <xf numFmtId="0" fontId="32" fillId="0" borderId="0" xfId="2" applyFont="1" applyBorder="1" applyAlignment="1">
      <alignment horizontal="center" vertical="center" wrapText="1"/>
    </xf>
    <xf numFmtId="0" fontId="3" fillId="0" borderId="0" xfId="2" applyFont="1" applyFill="1" applyBorder="1" applyAlignment="1"/>
    <xf numFmtId="0" fontId="0" fillId="0" borderId="0" xfId="0" applyFont="1" applyBorder="1" applyAlignment="1">
      <alignment horizontal="center" vertical="center"/>
    </xf>
    <xf numFmtId="0" fontId="34" fillId="0" borderId="0" xfId="2" applyFont="1" applyBorder="1" applyAlignment="1">
      <alignment horizontal="left" vertical="center"/>
    </xf>
    <xf numFmtId="3" fontId="0" fillId="0" borderId="0" xfId="0" applyNumberFormat="1" applyFont="1" applyBorder="1" applyAlignment="1">
      <alignment horizontal="center" vertical="center"/>
    </xf>
    <xf numFmtId="167" fontId="0" fillId="0" borderId="0" xfId="0" applyNumberFormat="1" applyFont="1" applyBorder="1" applyAlignment="1">
      <alignment horizontal="center" vertical="center"/>
    </xf>
    <xf numFmtId="0" fontId="34" fillId="0" borderId="22" xfId="2" applyFont="1" applyBorder="1" applyAlignment="1">
      <alignment horizontal="center" vertical="center" wrapText="1"/>
    </xf>
    <xf numFmtId="0" fontId="33" fillId="0" borderId="22" xfId="2" applyFont="1" applyBorder="1" applyAlignment="1">
      <alignment horizontal="center" vertical="center" wrapText="1"/>
    </xf>
    <xf numFmtId="0" fontId="34" fillId="0" borderId="0" xfId="2" applyFont="1" applyBorder="1" applyAlignment="1">
      <alignment vertical="center"/>
    </xf>
    <xf numFmtId="0" fontId="34" fillId="0" borderId="17" xfId="2" applyFont="1" applyBorder="1" applyAlignment="1">
      <alignment vertical="center"/>
    </xf>
    <xf numFmtId="0" fontId="34" fillId="0" borderId="0" xfId="2" applyFont="1" applyFill="1" applyBorder="1" applyAlignment="1">
      <alignment vertical="center"/>
    </xf>
    <xf numFmtId="0" fontId="34" fillId="0" borderId="17" xfId="2" applyFont="1" applyFill="1" applyBorder="1" applyAlignment="1">
      <alignment vertical="center"/>
    </xf>
    <xf numFmtId="0" fontId="34" fillId="0" borderId="0" xfId="2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33" fillId="0" borderId="61" xfId="2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4" fillId="0" borderId="17" xfId="2" applyFont="1" applyBorder="1" applyAlignment="1">
      <alignment horizontal="center" vertical="center"/>
    </xf>
    <xf numFmtId="0" fontId="34" fillId="0" borderId="0" xfId="2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4" fillId="0" borderId="62" xfId="2" applyFont="1" applyFill="1" applyBorder="1" applyAlignment="1">
      <alignment vertical="center"/>
    </xf>
    <xf numFmtId="0" fontId="34" fillId="0" borderId="63" xfId="2" applyFont="1" applyFill="1" applyBorder="1" applyAlignment="1">
      <alignment vertical="center"/>
    </xf>
    <xf numFmtId="0" fontId="23" fillId="0" borderId="6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3" fontId="23" fillId="0" borderId="65" xfId="0" applyNumberFormat="1" applyFont="1" applyBorder="1" applyAlignment="1">
      <alignment horizontal="center" vertical="center"/>
    </xf>
    <xf numFmtId="0" fontId="33" fillId="0" borderId="12" xfId="2" applyFont="1" applyBorder="1" applyAlignment="1">
      <alignment horizontal="center" vertical="center" wrapText="1"/>
    </xf>
    <xf numFmtId="0" fontId="33" fillId="0" borderId="30" xfId="2" applyFont="1" applyBorder="1" applyAlignment="1">
      <alignment horizontal="center" vertical="center" wrapText="1"/>
    </xf>
    <xf numFmtId="0" fontId="33" fillId="0" borderId="60" xfId="2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167" fontId="22" fillId="0" borderId="24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29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3" fontId="25" fillId="0" borderId="29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 vertical="center" wrapText="1"/>
    </xf>
    <xf numFmtId="0" fontId="27" fillId="0" borderId="31" xfId="0" applyFont="1" applyBorder="1"/>
    <xf numFmtId="0" fontId="28" fillId="0" borderId="32" xfId="0" applyFont="1" applyBorder="1" applyAlignment="1">
      <alignment horizontal="left" indent="1"/>
    </xf>
    <xf numFmtId="0" fontId="17" fillId="0" borderId="31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/>
    </xf>
    <xf numFmtId="0" fontId="0" fillId="0" borderId="50" xfId="0" applyFont="1" applyBorder="1" applyAlignment="1">
      <alignment horizontal="center" vertical="center"/>
    </xf>
    <xf numFmtId="49" fontId="28" fillId="0" borderId="35" xfId="0" applyNumberFormat="1" applyFont="1" applyBorder="1" applyAlignment="1">
      <alignment horizontal="justify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167" fontId="30" fillId="0" borderId="38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/>
    </xf>
    <xf numFmtId="0" fontId="25" fillId="0" borderId="19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28" xfId="0" applyFont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0" fillId="0" borderId="34" xfId="0" applyBorder="1"/>
  </cellXfs>
  <cellStyles count="38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2 3" xfId="35"/>
    <cellStyle name="Moneda 3" xfId="14"/>
    <cellStyle name="Moneda 3 2" xfId="37"/>
    <cellStyle name="Moneda 4" xfId="21"/>
    <cellStyle name="Moneda 5" xfId="9"/>
    <cellStyle name="Moneda 6" xfId="34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2 4" xfId="36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0"/>
  <sheetViews>
    <sheetView tabSelected="1" zoomScaleNormal="100" workbookViewId="0">
      <selection activeCell="I21" sqref="I21"/>
    </sheetView>
  </sheetViews>
  <sheetFormatPr baseColWidth="10" defaultRowHeight="15" x14ac:dyDescent="0.25"/>
  <cols>
    <col min="1" max="1" width="4.85546875" style="13" bestFit="1" customWidth="1"/>
    <col min="2" max="2" width="13.85546875" style="13" bestFit="1" customWidth="1"/>
    <col min="3" max="3" width="35.7109375" style="13" customWidth="1"/>
    <col min="4" max="4" width="5.5703125" style="13" bestFit="1" customWidth="1"/>
    <col min="5" max="5" width="91.85546875" style="14" customWidth="1"/>
    <col min="6" max="6" width="13" style="13" customWidth="1"/>
    <col min="7" max="7" width="10.42578125" style="15" bestFit="1" customWidth="1"/>
    <col min="8" max="8" width="15.5703125" style="16" bestFit="1" customWidth="1"/>
    <col min="9" max="9" width="16.7109375" style="16" bestFit="1" customWidth="1"/>
    <col min="10" max="10" width="60.5703125" style="32" hidden="1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ht="18.75" x14ac:dyDescent="0.25">
      <c r="A2" s="3"/>
      <c r="B2" s="145" t="s">
        <v>0</v>
      </c>
      <c r="C2" s="145"/>
      <c r="D2" s="145"/>
      <c r="E2" s="145"/>
      <c r="F2" s="145"/>
      <c r="G2" s="145"/>
      <c r="H2" s="145"/>
      <c r="I2" s="7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ht="15" customHeight="1" x14ac:dyDescent="0.25">
      <c r="A4" s="144" t="s">
        <v>1</v>
      </c>
      <c r="B4" s="144"/>
      <c r="C4" s="146" t="s">
        <v>2</v>
      </c>
      <c r="D4" s="146"/>
      <c r="E4" s="146"/>
      <c r="F4" s="8"/>
      <c r="G4" s="9"/>
      <c r="H4" s="6"/>
      <c r="I4" s="7"/>
    </row>
    <row r="5" spans="1:11" ht="15" customHeight="1" x14ac:dyDescent="0.25">
      <c r="A5" s="144" t="s">
        <v>3</v>
      </c>
      <c r="B5" s="144"/>
      <c r="C5" s="147" t="s">
        <v>4</v>
      </c>
      <c r="D5" s="147"/>
      <c r="E5" s="147"/>
      <c r="F5" s="8"/>
      <c r="G5" s="9"/>
      <c r="H5" s="6"/>
      <c r="I5" s="7"/>
    </row>
    <row r="6" spans="1:11" ht="15" customHeight="1" x14ac:dyDescent="0.25">
      <c r="A6" s="144" t="s">
        <v>5</v>
      </c>
      <c r="B6" s="144"/>
      <c r="C6" s="10">
        <v>2022</v>
      </c>
      <c r="D6" s="11"/>
      <c r="E6" s="10"/>
      <c r="F6" s="8"/>
      <c r="G6" s="9"/>
      <c r="H6" s="6"/>
      <c r="I6" s="7"/>
    </row>
    <row r="7" spans="1:11" ht="15" customHeight="1" x14ac:dyDescent="0.25">
      <c r="A7" s="144" t="s">
        <v>6</v>
      </c>
      <c r="B7" s="144"/>
      <c r="C7" s="10" t="s">
        <v>19</v>
      </c>
      <c r="D7" s="11"/>
      <c r="E7" s="10"/>
      <c r="F7" s="8"/>
      <c r="G7" s="9"/>
      <c r="H7" s="6"/>
      <c r="I7" s="7"/>
    </row>
    <row r="8" spans="1:11" ht="15.75" thickBot="1" x14ac:dyDescent="0.3">
      <c r="A8" s="3"/>
      <c r="B8" s="8"/>
      <c r="C8" s="8"/>
      <c r="D8" s="8"/>
      <c r="E8" s="12"/>
      <c r="F8" s="8"/>
      <c r="G8" s="9"/>
      <c r="H8" s="6"/>
      <c r="I8" s="7"/>
    </row>
    <row r="9" spans="1:11" ht="26.25" thickBot="1" x14ac:dyDescent="0.3">
      <c r="A9" s="25" t="s">
        <v>7</v>
      </c>
      <c r="B9" s="26" t="s">
        <v>8</v>
      </c>
      <c r="C9" s="27" t="s">
        <v>9</v>
      </c>
      <c r="D9" s="26" t="s">
        <v>10</v>
      </c>
      <c r="E9" s="28" t="s">
        <v>11</v>
      </c>
      <c r="F9" s="27" t="s">
        <v>12</v>
      </c>
      <c r="G9" s="29" t="s">
        <v>13</v>
      </c>
      <c r="H9" s="31" t="s">
        <v>82</v>
      </c>
      <c r="I9" s="30" t="s">
        <v>14</v>
      </c>
      <c r="J9" s="33" t="s">
        <v>15</v>
      </c>
      <c r="K9" s="17"/>
    </row>
    <row r="10" spans="1:11" s="34" customFormat="1" ht="39" thickBot="1" x14ac:dyDescent="0.3">
      <c r="A10" s="21">
        <v>1</v>
      </c>
      <c r="B10" s="21" t="s">
        <v>59</v>
      </c>
      <c r="C10" s="21" t="s">
        <v>17</v>
      </c>
      <c r="D10" s="21" t="s">
        <v>60</v>
      </c>
      <c r="E10" s="22" t="s">
        <v>61</v>
      </c>
      <c r="F10" s="21" t="s">
        <v>16</v>
      </c>
      <c r="G10" s="19">
        <v>10</v>
      </c>
      <c r="H10" s="18">
        <v>14873302</v>
      </c>
      <c r="I10" s="18">
        <f>+G10*H10</f>
        <v>148733020</v>
      </c>
      <c r="J10" s="23"/>
    </row>
    <row r="11" spans="1:11" s="41" customFormat="1" ht="13.5" thickBot="1" x14ac:dyDescent="0.25">
      <c r="A11" s="35"/>
      <c r="B11" s="36"/>
      <c r="C11" s="36"/>
      <c r="D11" s="36"/>
      <c r="E11" s="37" t="s">
        <v>18</v>
      </c>
      <c r="F11" s="36"/>
      <c r="G11" s="47"/>
      <c r="H11" s="38"/>
      <c r="I11" s="39">
        <f>+I10</f>
        <v>148733020</v>
      </c>
      <c r="J11" s="40"/>
    </row>
    <row r="12" spans="1:11" s="24" customFormat="1" ht="12.75" x14ac:dyDescent="0.2">
      <c r="A12" s="42"/>
      <c r="B12" s="42"/>
      <c r="C12" s="42"/>
      <c r="D12" s="42"/>
      <c r="E12" s="43"/>
      <c r="F12" s="42"/>
      <c r="G12" s="44"/>
      <c r="H12" s="45"/>
      <c r="I12" s="45"/>
      <c r="J12" s="46"/>
    </row>
    <row r="13" spans="1:11" s="24" customFormat="1" ht="12.75" x14ac:dyDescent="0.2">
      <c r="A13" s="42"/>
      <c r="B13" s="42"/>
      <c r="C13" s="42"/>
      <c r="D13" s="42"/>
      <c r="E13" s="43"/>
      <c r="F13" s="42"/>
      <c r="G13" s="44"/>
      <c r="H13" s="45"/>
      <c r="I13" s="45"/>
      <c r="J13" s="46"/>
    </row>
    <row r="14" spans="1:11" s="24" customFormat="1" ht="13.5" thickBot="1" x14ac:dyDescent="0.25">
      <c r="A14" s="42"/>
      <c r="B14" s="42"/>
      <c r="C14" s="42"/>
      <c r="D14" s="42"/>
      <c r="E14" s="43"/>
      <c r="F14" s="42"/>
      <c r="G14" s="44"/>
      <c r="H14" s="45"/>
      <c r="I14" s="45"/>
      <c r="J14" s="46"/>
    </row>
    <row r="15" spans="1:11" s="129" customFormat="1" x14ac:dyDescent="0.25">
      <c r="A15" s="113"/>
      <c r="B15" s="113"/>
      <c r="C15" s="141" t="s">
        <v>62</v>
      </c>
      <c r="D15" s="142"/>
      <c r="E15" s="143"/>
      <c r="F15" s="114"/>
      <c r="G15" s="115"/>
      <c r="H15" s="116"/>
      <c r="I15" s="116"/>
      <c r="J15" s="128"/>
    </row>
    <row r="16" spans="1:11" s="129" customFormat="1" x14ac:dyDescent="0.25">
      <c r="A16" s="113"/>
      <c r="B16" s="113"/>
      <c r="C16" s="117"/>
      <c r="D16" s="114"/>
      <c r="E16" s="130"/>
      <c r="F16" s="114"/>
      <c r="G16" s="115"/>
      <c r="H16" s="116"/>
      <c r="I16" s="116"/>
      <c r="J16" s="128"/>
    </row>
    <row r="17" spans="1:10" s="129" customFormat="1" x14ac:dyDescent="0.25">
      <c r="A17" s="113"/>
      <c r="B17" s="113"/>
      <c r="C17" s="118" t="s">
        <v>64</v>
      </c>
      <c r="D17" s="114" t="s">
        <v>63</v>
      </c>
      <c r="E17" s="120"/>
      <c r="F17" s="119"/>
      <c r="G17" s="115"/>
      <c r="H17" s="116"/>
      <c r="I17" s="116"/>
      <c r="J17" s="128"/>
    </row>
    <row r="18" spans="1:10" s="129" customFormat="1" x14ac:dyDescent="0.25">
      <c r="A18" s="113"/>
      <c r="B18" s="113"/>
      <c r="C18" s="118"/>
      <c r="D18" s="121"/>
      <c r="E18" s="122"/>
      <c r="F18" s="123"/>
      <c r="G18" s="115"/>
      <c r="H18" s="116"/>
      <c r="I18" s="116"/>
      <c r="J18" s="128"/>
    </row>
    <row r="19" spans="1:10" s="129" customFormat="1" x14ac:dyDescent="0.25">
      <c r="A19" s="113"/>
      <c r="B19" s="113"/>
      <c r="C19" s="118" t="s">
        <v>78</v>
      </c>
      <c r="D19" s="121" t="s">
        <v>81</v>
      </c>
      <c r="E19" s="122"/>
      <c r="F19" s="123"/>
      <c r="G19" s="115"/>
      <c r="H19" s="116"/>
      <c r="I19" s="116"/>
      <c r="J19" s="128"/>
    </row>
    <row r="20" spans="1:10" s="129" customFormat="1" x14ac:dyDescent="0.25">
      <c r="A20" s="113"/>
      <c r="B20" s="113"/>
      <c r="C20" s="118"/>
      <c r="D20" s="121"/>
      <c r="E20" s="122"/>
      <c r="F20" s="123"/>
      <c r="G20" s="115"/>
      <c r="H20" s="116"/>
      <c r="I20" s="116"/>
      <c r="J20" s="128"/>
    </row>
    <row r="21" spans="1:10" s="129" customFormat="1" ht="18" customHeight="1" x14ac:dyDescent="0.25">
      <c r="A21" s="113"/>
      <c r="B21" s="113"/>
      <c r="C21" s="118" t="s">
        <v>79</v>
      </c>
      <c r="D21" s="119" t="s">
        <v>80</v>
      </c>
      <c r="E21" s="120"/>
      <c r="F21" s="131"/>
      <c r="G21" s="115"/>
      <c r="H21" s="116"/>
      <c r="I21" s="116"/>
      <c r="J21" s="128"/>
    </row>
    <row r="22" spans="1:10" s="129" customFormat="1" x14ac:dyDescent="0.25">
      <c r="A22" s="113"/>
      <c r="B22" s="113"/>
      <c r="C22" s="118"/>
      <c r="D22" s="119"/>
      <c r="E22" s="120"/>
      <c r="F22" s="119"/>
      <c r="G22" s="115"/>
      <c r="H22" s="116"/>
      <c r="I22" s="116"/>
      <c r="J22" s="128"/>
    </row>
    <row r="23" spans="1:10" s="129" customFormat="1" x14ac:dyDescent="0.25">
      <c r="A23" s="113"/>
      <c r="B23" s="113"/>
      <c r="C23" s="118" t="s">
        <v>65</v>
      </c>
      <c r="D23" s="121"/>
      <c r="E23" s="122"/>
      <c r="F23" s="121"/>
      <c r="G23" s="115"/>
      <c r="H23" s="116"/>
      <c r="I23" s="116"/>
      <c r="J23" s="128"/>
    </row>
    <row r="24" spans="1:10" s="129" customFormat="1" x14ac:dyDescent="0.25">
      <c r="A24" s="113"/>
      <c r="B24" s="113"/>
      <c r="C24" s="117"/>
      <c r="D24" s="121"/>
      <c r="E24" s="122"/>
      <c r="F24" s="123"/>
      <c r="G24" s="115"/>
      <c r="H24" s="116"/>
      <c r="I24" s="116"/>
      <c r="J24" s="128"/>
    </row>
    <row r="25" spans="1:10" s="129" customFormat="1" ht="12.75" customHeight="1" x14ac:dyDescent="0.25">
      <c r="A25" s="113"/>
      <c r="B25" s="113"/>
      <c r="C25" s="118" t="s">
        <v>66</v>
      </c>
      <c r="D25" s="121" t="s">
        <v>68</v>
      </c>
      <c r="E25" s="122"/>
      <c r="F25" s="123"/>
      <c r="G25" s="115"/>
      <c r="H25" s="116"/>
      <c r="I25" s="116"/>
      <c r="J25" s="128"/>
    </row>
    <row r="26" spans="1:10" s="129" customFormat="1" x14ac:dyDescent="0.25">
      <c r="A26" s="113"/>
      <c r="B26" s="113"/>
      <c r="C26" s="117"/>
      <c r="D26" s="121"/>
      <c r="E26" s="122"/>
      <c r="F26" s="123"/>
      <c r="G26" s="115"/>
      <c r="H26" s="116"/>
      <c r="I26" s="116"/>
      <c r="J26" s="128"/>
    </row>
    <row r="27" spans="1:10" s="133" customFormat="1" x14ac:dyDescent="0.25">
      <c r="A27" s="124"/>
      <c r="B27" s="124"/>
      <c r="C27" s="118" t="s">
        <v>67</v>
      </c>
      <c r="D27" s="119"/>
      <c r="E27" s="120"/>
      <c r="F27" s="119"/>
      <c r="G27" s="125"/>
      <c r="H27" s="126"/>
      <c r="I27" s="126"/>
      <c r="J27" s="132"/>
    </row>
    <row r="28" spans="1:10" s="133" customFormat="1" ht="15.75" thickBot="1" x14ac:dyDescent="0.3">
      <c r="A28" s="124"/>
      <c r="B28" s="124"/>
      <c r="C28" s="127"/>
      <c r="D28" s="134"/>
      <c r="E28" s="135"/>
      <c r="F28" s="121"/>
      <c r="G28" s="125"/>
      <c r="H28" s="126"/>
      <c r="I28" s="126"/>
      <c r="J28" s="132"/>
    </row>
    <row r="29" spans="1:10" x14ac:dyDescent="0.25">
      <c r="C29" s="111"/>
      <c r="D29" s="112"/>
      <c r="E29" s="112"/>
      <c r="F29" s="112"/>
    </row>
    <row r="30" spans="1:10" x14ac:dyDescent="0.25">
      <c r="D30" s="20"/>
      <c r="F30" s="20"/>
    </row>
  </sheetData>
  <mergeCells count="8">
    <mergeCell ref="C15:E15"/>
    <mergeCell ref="A7:B7"/>
    <mergeCell ref="B2:H2"/>
    <mergeCell ref="A4:B4"/>
    <mergeCell ref="C4:E4"/>
    <mergeCell ref="A5:B5"/>
    <mergeCell ref="C5:E5"/>
    <mergeCell ref="A6:B6"/>
  </mergeCells>
  <conditionalFormatting sqref="B1:B9 E1:E9">
    <cfRule type="duplicateValues" dxfId="5" priority="231"/>
  </conditionalFormatting>
  <conditionalFormatting sqref="E1:E9 B1:B9">
    <cfRule type="duplicateValues" dxfId="4" priority="232"/>
  </conditionalFormatting>
  <conditionalFormatting sqref="B1:B9">
    <cfRule type="duplicateValues" dxfId="3" priority="435"/>
  </conditionalFormatting>
  <conditionalFormatting sqref="E1:E9">
    <cfRule type="duplicateValues" dxfId="2" priority="436"/>
  </conditionalFormatting>
  <conditionalFormatting sqref="E1:E9">
    <cfRule type="duplicateValues" dxfId="1" priority="437"/>
    <cfRule type="duplicateValues" dxfId="0" priority="43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20" sqref="J20"/>
    </sheetView>
  </sheetViews>
  <sheetFormatPr baseColWidth="10" defaultRowHeight="15" x14ac:dyDescent="0.25"/>
  <cols>
    <col min="1" max="1" width="5.5703125" customWidth="1"/>
    <col min="2" max="2" width="15.140625" style="9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15.5703125" customWidth="1"/>
    <col min="10" max="10" width="25.7109375" style="100" customWidth="1"/>
    <col min="11" max="11" width="14" customWidth="1"/>
  </cols>
  <sheetData>
    <row r="1" spans="1:11" ht="30.75" thickBot="1" x14ac:dyDescent="0.3">
      <c r="A1" s="151" t="s">
        <v>20</v>
      </c>
      <c r="B1" s="151"/>
      <c r="C1" s="151"/>
      <c r="D1" s="151"/>
      <c r="E1" s="151"/>
      <c r="F1" s="151"/>
      <c r="G1" s="151"/>
      <c r="H1" s="151"/>
      <c r="I1" s="151"/>
      <c r="J1" s="96" t="s">
        <v>21</v>
      </c>
      <c r="K1" s="48" t="s">
        <v>72</v>
      </c>
    </row>
    <row r="2" spans="1:11" ht="16.5" thickBot="1" x14ac:dyDescent="0.3">
      <c r="A2" s="49"/>
      <c r="B2" s="92"/>
      <c r="C2" s="50"/>
      <c r="D2" s="51"/>
      <c r="E2" s="51"/>
      <c r="F2" s="51"/>
      <c r="G2" s="51"/>
      <c r="H2" s="51"/>
      <c r="I2" s="51"/>
      <c r="J2" s="97"/>
      <c r="K2" s="52"/>
    </row>
    <row r="3" spans="1:11" ht="16.5" customHeight="1" thickBot="1" x14ac:dyDescent="0.3">
      <c r="A3" s="148" t="s">
        <v>22</v>
      </c>
      <c r="B3" s="148"/>
      <c r="C3" s="148"/>
      <c r="D3" s="88" t="s">
        <v>2</v>
      </c>
      <c r="E3" s="89"/>
      <c r="F3" s="89"/>
      <c r="G3" s="89"/>
      <c r="H3" s="89"/>
      <c r="I3" s="89"/>
      <c r="J3" s="98"/>
      <c r="K3" s="90"/>
    </row>
    <row r="4" spans="1:11" ht="16.5" customHeight="1" thickBot="1" x14ac:dyDescent="0.3">
      <c r="A4" s="149" t="s">
        <v>23</v>
      </c>
      <c r="B4" s="149"/>
      <c r="C4" s="149"/>
      <c r="D4" s="88" t="s">
        <v>57</v>
      </c>
      <c r="E4" s="89"/>
      <c r="F4" s="89"/>
      <c r="G4" s="89"/>
      <c r="H4" s="89"/>
      <c r="I4" s="89"/>
      <c r="J4" s="98"/>
      <c r="K4" s="90"/>
    </row>
    <row r="5" spans="1:11" ht="16.5" thickBot="1" x14ac:dyDescent="0.3">
      <c r="A5" s="149" t="s">
        <v>24</v>
      </c>
      <c r="B5" s="149"/>
      <c r="C5" s="149"/>
      <c r="D5" s="88" t="s">
        <v>69</v>
      </c>
      <c r="E5" s="89"/>
      <c r="F5" s="89"/>
      <c r="G5" s="89"/>
      <c r="H5" s="89"/>
      <c r="I5" s="89"/>
      <c r="J5" s="98"/>
      <c r="K5" s="90"/>
    </row>
    <row r="6" spans="1:11" ht="16.5" thickBot="1" x14ac:dyDescent="0.3">
      <c r="A6" s="148" t="s">
        <v>25</v>
      </c>
      <c r="B6" s="148"/>
      <c r="C6" s="148"/>
      <c r="D6" s="88" t="s">
        <v>69</v>
      </c>
      <c r="E6" s="89"/>
      <c r="F6" s="89"/>
      <c r="G6" s="89"/>
      <c r="H6" s="89"/>
      <c r="I6" s="89"/>
      <c r="J6" s="98"/>
      <c r="K6" s="90"/>
    </row>
    <row r="7" spans="1:11" ht="16.5" thickBot="1" x14ac:dyDescent="0.3">
      <c r="A7" s="149" t="s">
        <v>26</v>
      </c>
      <c r="B7" s="149"/>
      <c r="C7" s="149"/>
      <c r="D7" s="88" t="s">
        <v>70</v>
      </c>
      <c r="E7" s="89"/>
      <c r="F7" s="89"/>
      <c r="G7" s="89"/>
      <c r="H7" s="89"/>
      <c r="I7" s="89"/>
      <c r="J7" s="98"/>
      <c r="K7" s="90"/>
    </row>
    <row r="8" spans="1:11" ht="16.5" customHeight="1" thickBot="1" x14ac:dyDescent="0.3">
      <c r="A8" s="150" t="s">
        <v>27</v>
      </c>
      <c r="B8" s="150"/>
      <c r="C8" s="150"/>
      <c r="D8" s="91" t="s">
        <v>71</v>
      </c>
      <c r="E8" s="89"/>
      <c r="F8" s="89"/>
      <c r="G8" s="89"/>
      <c r="H8" s="89"/>
      <c r="I8" s="89"/>
      <c r="J8" s="98"/>
      <c r="K8" s="90"/>
    </row>
    <row r="9" spans="1:11" ht="16.5" thickBot="1" x14ac:dyDescent="0.3">
      <c r="A9" s="53"/>
      <c r="B9" s="93"/>
      <c r="C9" s="54"/>
      <c r="D9" s="55"/>
      <c r="E9" s="55"/>
      <c r="F9" s="55"/>
      <c r="G9" s="55"/>
      <c r="H9" s="55"/>
      <c r="I9" s="55"/>
      <c r="J9" s="99"/>
      <c r="K9" s="56"/>
    </row>
    <row r="10" spans="1:11" ht="15.75" thickBot="1" x14ac:dyDescent="0.3">
      <c r="A10" s="158" t="s">
        <v>28</v>
      </c>
      <c r="B10" s="156" t="s">
        <v>29</v>
      </c>
      <c r="C10" s="156" t="s">
        <v>30</v>
      </c>
      <c r="D10" s="156"/>
      <c r="E10" s="156"/>
      <c r="F10" s="156"/>
      <c r="G10" s="156"/>
      <c r="H10" s="156" t="s">
        <v>31</v>
      </c>
      <c r="I10" s="156" t="s">
        <v>32</v>
      </c>
      <c r="J10" s="157" t="s">
        <v>33</v>
      </c>
      <c r="K10" s="154" t="s">
        <v>34</v>
      </c>
    </row>
    <row r="11" spans="1:11" ht="36.75" customHeight="1" thickBot="1" x14ac:dyDescent="0.3">
      <c r="A11" s="158"/>
      <c r="B11" s="156"/>
      <c r="C11" s="156"/>
      <c r="D11" s="156"/>
      <c r="E11" s="156"/>
      <c r="F11" s="156"/>
      <c r="G11" s="156"/>
      <c r="H11" s="156"/>
      <c r="I11" s="156"/>
      <c r="J11" s="157"/>
      <c r="K11" s="154"/>
    </row>
    <row r="12" spans="1:11" s="104" customFormat="1" ht="91.5" customHeight="1" x14ac:dyDescent="0.25">
      <c r="A12" s="57">
        <v>1</v>
      </c>
      <c r="B12" s="94" t="str">
        <f>'SAF 011 - NECESIDAD TRIMESTRAL'!B10</f>
        <v>4.3.2-215.451</v>
      </c>
      <c r="C12" s="155" t="str">
        <f>'SAF 011 - NECESIDAD TRIMESTRAL'!E10</f>
        <v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v>
      </c>
      <c r="D12" s="155"/>
      <c r="E12" s="155"/>
      <c r="F12" s="155"/>
      <c r="G12" s="155"/>
      <c r="H12" s="94" t="s">
        <v>58</v>
      </c>
      <c r="I12" s="101" t="str">
        <f>'SAF 011 - NECESIDAD TRIMESTRAL'!F10</f>
        <v>UNIDAD</v>
      </c>
      <c r="J12" s="102">
        <f>'SAF 011 - NECESIDAD TRIMESTRAL'!H10</f>
        <v>14873302</v>
      </c>
      <c r="K12" s="103">
        <v>10</v>
      </c>
    </row>
    <row r="13" spans="1:11" s="104" customFormat="1" ht="15.75" thickBot="1" x14ac:dyDescent="0.3">
      <c r="A13" s="136"/>
      <c r="B13" s="137"/>
      <c r="C13" s="153"/>
      <c r="D13" s="153"/>
      <c r="E13" s="153"/>
      <c r="F13" s="153"/>
      <c r="G13" s="153"/>
      <c r="H13" s="137"/>
      <c r="I13" s="138"/>
      <c r="J13" s="139"/>
      <c r="K13" s="140"/>
    </row>
    <row r="14" spans="1:11" ht="36.75" customHeight="1" thickBot="1" x14ac:dyDescent="0.3">
      <c r="A14" s="152" t="s">
        <v>77</v>
      </c>
      <c r="B14" s="152"/>
      <c r="C14" s="152"/>
      <c r="D14" s="152"/>
      <c r="E14" s="152"/>
      <c r="F14" s="152"/>
      <c r="G14" s="152"/>
      <c r="H14" s="152"/>
      <c r="I14" s="152"/>
      <c r="J14" s="159">
        <f>+J12*K12</f>
        <v>148733020</v>
      </c>
      <c r="K14" s="160"/>
    </row>
  </sheetData>
  <mergeCells count="18">
    <mergeCell ref="A14:I14"/>
    <mergeCell ref="C13:G13"/>
    <mergeCell ref="K10:K11"/>
    <mergeCell ref="C12:G12"/>
    <mergeCell ref="I10:I11"/>
    <mergeCell ref="J10:J11"/>
    <mergeCell ref="A10:A11"/>
    <mergeCell ref="B10:B11"/>
    <mergeCell ref="C10:G11"/>
    <mergeCell ref="H10:H11"/>
    <mergeCell ref="J14:K14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4" workbookViewId="0">
      <selection activeCell="T38" sqref="A37:T38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7.140625" customWidth="1"/>
    <col min="17" max="17" width="16.7109375" style="100" bestFit="1" customWidth="1"/>
  </cols>
  <sheetData>
    <row r="1" spans="1:17" ht="15.75" thickBot="1" x14ac:dyDescent="0.3">
      <c r="A1" s="162" t="s">
        <v>5</v>
      </c>
      <c r="B1" s="162"/>
      <c r="C1" s="162"/>
      <c r="D1" s="163">
        <v>2022</v>
      </c>
      <c r="E1" s="163"/>
      <c r="F1" s="58"/>
      <c r="G1" s="58"/>
      <c r="H1" s="59"/>
      <c r="I1" s="59"/>
      <c r="J1" s="59"/>
      <c r="K1" s="59"/>
      <c r="L1" s="59"/>
      <c r="M1" s="59"/>
      <c r="N1" s="59"/>
      <c r="O1" s="60"/>
      <c r="P1" s="164" t="s">
        <v>35</v>
      </c>
      <c r="Q1" s="164"/>
    </row>
    <row r="2" spans="1:17" ht="15.75" thickBot="1" x14ac:dyDescent="0.3">
      <c r="A2" s="61"/>
      <c r="B2" s="62"/>
      <c r="C2" s="62"/>
      <c r="D2" s="62"/>
      <c r="E2" s="62"/>
      <c r="F2" s="62"/>
      <c r="G2" s="63"/>
      <c r="H2" s="64"/>
      <c r="I2" s="64"/>
      <c r="J2" s="64"/>
      <c r="K2" s="64"/>
      <c r="L2" s="64"/>
      <c r="M2" s="64"/>
      <c r="N2" s="64"/>
      <c r="O2" s="62"/>
      <c r="P2" s="164"/>
      <c r="Q2" s="164"/>
    </row>
    <row r="3" spans="1:17" ht="15.75" thickBot="1" x14ac:dyDescent="0.3">
      <c r="A3" s="61"/>
      <c r="B3" s="62"/>
      <c r="C3" s="62"/>
      <c r="D3" s="62"/>
      <c r="E3" s="62"/>
      <c r="F3" s="62"/>
      <c r="G3" s="63"/>
      <c r="H3" s="62"/>
      <c r="I3" s="62"/>
      <c r="J3" s="62"/>
      <c r="K3" s="62"/>
      <c r="L3" s="62"/>
      <c r="M3" s="62"/>
      <c r="N3" s="62"/>
      <c r="O3" s="62"/>
      <c r="P3" s="62"/>
      <c r="Q3" s="105"/>
    </row>
    <row r="4" spans="1:17" ht="15.75" thickBot="1" x14ac:dyDescent="0.3">
      <c r="A4" s="165" t="s">
        <v>36</v>
      </c>
      <c r="B4" s="165"/>
      <c r="C4" s="165"/>
      <c r="D4" s="165"/>
      <c r="E4" s="165"/>
      <c r="F4" s="165"/>
      <c r="G4" s="166" t="str">
        <f>NP!D3</f>
        <v>040 - 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ht="15.75" thickBot="1" x14ac:dyDescent="0.3">
      <c r="A5" s="167" t="s">
        <v>23</v>
      </c>
      <c r="B5" s="167"/>
      <c r="C5" s="167"/>
      <c r="D5" s="167"/>
      <c r="E5" s="167"/>
      <c r="F5" s="167"/>
      <c r="G5" s="166" t="str">
        <f>NP!D4</f>
        <v>011 - DIRECCION PROVINCIAL DE ADMINISTRACION DEL MINISTERIO DE SALUD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ht="15.75" thickBot="1" x14ac:dyDescent="0.3">
      <c r="A6" s="167" t="s">
        <v>24</v>
      </c>
      <c r="B6" s="167"/>
      <c r="C6" s="167"/>
      <c r="D6" s="167"/>
      <c r="E6" s="167"/>
      <c r="F6" s="167"/>
      <c r="G6" s="166" t="str">
        <f>NP!D5</f>
        <v>352 - MINISTERIO DE SALUD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ht="15.75" thickBot="1" x14ac:dyDescent="0.3">
      <c r="A7" s="167" t="s">
        <v>25</v>
      </c>
      <c r="B7" s="167"/>
      <c r="C7" s="167"/>
      <c r="D7" s="167"/>
      <c r="E7" s="167"/>
      <c r="F7" s="167"/>
      <c r="G7" s="166" t="str">
        <f>NP!D6</f>
        <v>352 - MINISTERIO DE SALUD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5.75" thickBot="1" x14ac:dyDescent="0.3">
      <c r="A8" s="168" t="s">
        <v>37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</row>
    <row r="9" spans="1:17" x14ac:dyDescent="0.25">
      <c r="A9" s="161" t="s">
        <v>38</v>
      </c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</row>
    <row r="10" spans="1:17" ht="75" customHeight="1" x14ac:dyDescent="0.25">
      <c r="A10" s="170" t="s">
        <v>75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15.75" thickBot="1" x14ac:dyDescent="0.3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106"/>
    </row>
    <row r="12" spans="1:17" ht="15.75" thickBot="1" x14ac:dyDescent="0.3">
      <c r="A12" s="171" t="s">
        <v>39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thickBot="1" x14ac:dyDescent="0.3">
      <c r="A13" s="172" t="s">
        <v>40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41</v>
      </c>
      <c r="P13" s="173"/>
      <c r="Q13" s="174" t="s">
        <v>42</v>
      </c>
    </row>
    <row r="14" spans="1:17" ht="15.75" thickBot="1" x14ac:dyDescent="0.3">
      <c r="A14" s="68" t="s">
        <v>43</v>
      </c>
      <c r="B14" s="69" t="s">
        <v>44</v>
      </c>
      <c r="C14" s="69" t="s">
        <v>45</v>
      </c>
      <c r="D14" s="69" t="s">
        <v>46</v>
      </c>
      <c r="E14" s="69" t="s">
        <v>47</v>
      </c>
      <c r="F14" s="69" t="s">
        <v>48</v>
      </c>
      <c r="G14" s="70" t="s">
        <v>49</v>
      </c>
      <c r="H14" s="69" t="s">
        <v>50</v>
      </c>
      <c r="I14" s="69" t="s">
        <v>51</v>
      </c>
      <c r="J14" s="69" t="s">
        <v>52</v>
      </c>
      <c r="K14" s="69" t="s">
        <v>52</v>
      </c>
      <c r="L14" s="69" t="s">
        <v>53</v>
      </c>
      <c r="M14" s="71" t="s">
        <v>54</v>
      </c>
      <c r="N14" s="72" t="s">
        <v>55</v>
      </c>
      <c r="O14" s="173"/>
      <c r="P14" s="173"/>
      <c r="Q14" s="174"/>
    </row>
    <row r="15" spans="1:17" ht="36" customHeight="1" x14ac:dyDescent="0.25">
      <c r="A15" s="73">
        <v>1</v>
      </c>
      <c r="B15" s="74"/>
      <c r="C15" s="74"/>
      <c r="D15" s="74">
        <v>1</v>
      </c>
      <c r="E15" s="74"/>
      <c r="F15" s="74">
        <v>4901</v>
      </c>
      <c r="G15" s="74">
        <v>3</v>
      </c>
      <c r="H15" s="74">
        <v>1</v>
      </c>
      <c r="I15" s="74">
        <v>4</v>
      </c>
      <c r="J15" s="74">
        <v>3</v>
      </c>
      <c r="K15" s="74">
        <v>2</v>
      </c>
      <c r="L15" s="74"/>
      <c r="M15" s="75">
        <v>1</v>
      </c>
      <c r="N15" s="74" t="s">
        <v>73</v>
      </c>
      <c r="O15" s="175" t="s">
        <v>74</v>
      </c>
      <c r="P15" s="175"/>
      <c r="Q15" s="107">
        <f>NP!J14</f>
        <v>148733020</v>
      </c>
    </row>
    <row r="16" spans="1:17" x14ac:dyDescent="0.25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8"/>
      <c r="N16" s="79"/>
      <c r="O16" s="176"/>
      <c r="P16" s="176"/>
      <c r="Q16" s="108"/>
    </row>
    <row r="17" spans="1:17" x14ac:dyDescent="0.25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8"/>
      <c r="N17" s="79"/>
      <c r="O17" s="177"/>
      <c r="P17" s="177"/>
      <c r="Q17" s="108"/>
    </row>
    <row r="18" spans="1:17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9"/>
      <c r="O18" s="169"/>
      <c r="P18" s="169"/>
      <c r="Q18" s="108"/>
    </row>
    <row r="19" spans="1:17" x14ac:dyDescent="0.25">
      <c r="A19" s="76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8"/>
      <c r="N19" s="79"/>
      <c r="O19" s="169"/>
      <c r="P19" s="169"/>
      <c r="Q19" s="108"/>
    </row>
    <row r="20" spans="1:17" x14ac:dyDescent="0.25">
      <c r="A20" s="76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8"/>
      <c r="N20" s="79"/>
      <c r="O20" s="169"/>
      <c r="P20" s="169"/>
      <c r="Q20" s="108"/>
    </row>
    <row r="21" spans="1:17" x14ac:dyDescent="0.25">
      <c r="A21" s="76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8"/>
      <c r="N21" s="79"/>
      <c r="O21" s="169"/>
      <c r="P21" s="169"/>
      <c r="Q21" s="108"/>
    </row>
    <row r="22" spans="1:17" x14ac:dyDescent="0.25">
      <c r="A22" s="76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8"/>
      <c r="N22" s="79"/>
      <c r="O22" s="169"/>
      <c r="P22" s="169"/>
      <c r="Q22" s="108"/>
    </row>
    <row r="23" spans="1:17" x14ac:dyDescent="0.2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  <c r="N23" s="79"/>
      <c r="O23" s="169"/>
      <c r="P23" s="169"/>
      <c r="Q23" s="108"/>
    </row>
    <row r="24" spans="1:17" x14ac:dyDescent="0.25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169"/>
      <c r="P24" s="169"/>
      <c r="Q24" s="108"/>
    </row>
    <row r="25" spans="1:17" x14ac:dyDescent="0.25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169"/>
      <c r="P25" s="169"/>
      <c r="Q25" s="108"/>
    </row>
    <row r="26" spans="1:17" x14ac:dyDescent="0.25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8"/>
      <c r="N26" s="79"/>
      <c r="O26" s="169"/>
      <c r="P26" s="169"/>
      <c r="Q26" s="108"/>
    </row>
    <row r="27" spans="1:17" x14ac:dyDescent="0.25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79"/>
      <c r="O27" s="169"/>
      <c r="P27" s="169"/>
      <c r="Q27" s="108"/>
    </row>
    <row r="28" spans="1:17" x14ac:dyDescent="0.2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8"/>
      <c r="N28" s="79"/>
      <c r="O28" s="169"/>
      <c r="P28" s="169"/>
      <c r="Q28" s="108"/>
    </row>
    <row r="29" spans="1:17" x14ac:dyDescent="0.2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8"/>
      <c r="N29" s="79"/>
      <c r="O29" s="169"/>
      <c r="P29" s="169"/>
      <c r="Q29" s="108"/>
    </row>
    <row r="30" spans="1:17" x14ac:dyDescent="0.25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  <c r="N30" s="79"/>
      <c r="O30" s="169"/>
      <c r="P30" s="169"/>
      <c r="Q30" s="108"/>
    </row>
    <row r="31" spans="1:17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  <c r="N31" s="79"/>
      <c r="O31" s="169"/>
      <c r="P31" s="169"/>
      <c r="Q31" s="108"/>
    </row>
    <row r="32" spans="1:17" x14ac:dyDescent="0.25">
      <c r="A32" s="76"/>
      <c r="B32" s="77"/>
      <c r="C32" s="77"/>
      <c r="D32" s="77"/>
      <c r="E32" s="77"/>
      <c r="F32" s="79"/>
      <c r="G32" s="77"/>
      <c r="H32" s="77"/>
      <c r="I32" s="77"/>
      <c r="J32" s="77"/>
      <c r="K32" s="77"/>
      <c r="L32" s="77"/>
      <c r="M32" s="78"/>
      <c r="N32" s="79"/>
      <c r="O32" s="176"/>
      <c r="P32" s="176"/>
      <c r="Q32" s="108"/>
    </row>
    <row r="33" spans="1:17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8"/>
      <c r="N33" s="79"/>
      <c r="O33" s="176"/>
      <c r="P33" s="176"/>
      <c r="Q33" s="108"/>
    </row>
    <row r="34" spans="1:17" x14ac:dyDescent="0.25">
      <c r="A34" s="76"/>
      <c r="B34" s="77"/>
      <c r="C34" s="77"/>
      <c r="D34" s="77"/>
      <c r="E34" s="77"/>
      <c r="F34" s="79"/>
      <c r="G34" s="77"/>
      <c r="H34" s="77"/>
      <c r="I34" s="77"/>
      <c r="J34" s="77"/>
      <c r="K34" s="77"/>
      <c r="L34" s="77"/>
      <c r="M34" s="78"/>
      <c r="N34" s="79"/>
      <c r="O34" s="176"/>
      <c r="P34" s="176"/>
      <c r="Q34" s="108"/>
    </row>
    <row r="35" spans="1:17" x14ac:dyDescent="0.25">
      <c r="A35" s="76"/>
      <c r="B35" s="77"/>
      <c r="C35" s="77"/>
      <c r="D35" s="77"/>
      <c r="E35" s="77"/>
      <c r="F35" s="79"/>
      <c r="G35" s="77"/>
      <c r="H35" s="77"/>
      <c r="I35" s="77"/>
      <c r="J35" s="77"/>
      <c r="K35" s="77"/>
      <c r="L35" s="77"/>
      <c r="M35" s="78"/>
      <c r="N35" s="79"/>
      <c r="O35" s="176"/>
      <c r="P35" s="176"/>
      <c r="Q35" s="108"/>
    </row>
    <row r="36" spans="1:17" x14ac:dyDescent="0.25">
      <c r="A36" s="80"/>
      <c r="B36" s="81"/>
      <c r="C36" s="81"/>
      <c r="D36" s="81"/>
      <c r="E36" s="81"/>
      <c r="F36" s="82"/>
      <c r="G36" s="81"/>
      <c r="H36" s="81"/>
      <c r="I36" s="81"/>
      <c r="J36" s="81"/>
      <c r="K36" s="81"/>
      <c r="L36" s="81"/>
      <c r="M36" s="83"/>
      <c r="N36" s="84"/>
      <c r="O36" s="181"/>
      <c r="P36" s="181"/>
      <c r="Q36" s="108"/>
    </row>
    <row r="37" spans="1:17" ht="15.75" thickBot="1" x14ac:dyDescent="0.3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  <c r="N37" s="86"/>
      <c r="O37" s="182"/>
      <c r="P37" s="182"/>
      <c r="Q37" s="109"/>
    </row>
    <row r="38" spans="1:17" ht="41.25" customHeight="1" thickBot="1" x14ac:dyDescent="0.3">
      <c r="A38" s="183" t="s">
        <v>76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10">
        <f>SUM(Q15:Q37)</f>
        <v>148733020</v>
      </c>
    </row>
    <row r="39" spans="1:17" ht="15.75" thickBot="1" x14ac:dyDescent="0.3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78" t="s">
        <v>56</v>
      </c>
      <c r="B40" s="178"/>
      <c r="C40" s="178"/>
      <c r="D40" s="178"/>
      <c r="E40" s="178"/>
      <c r="F40" s="178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</row>
    <row r="41" spans="1:17" ht="15.75" thickBot="1" x14ac:dyDescent="0.3">
      <c r="A41" s="180" t="str">
        <f>NP!D8</f>
        <v>ADQUISICION DE AMBULANCIAS PARA FORTALECER EL SERVICIO DE TRASLADO Y/O DERIVACIONES EN EL SECTOR PUBLICO PROVINCIAL.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</row>
    <row r="42" spans="1:17" ht="39.75" customHeight="1" thickBot="1" x14ac:dyDescent="0.3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2022-05-16T15:27:41Z</dcterms:modified>
</cp:coreProperties>
</file>