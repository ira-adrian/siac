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HSJB\AÑO 2022\Adq. Repuestos para Respiradores\"/>
    </mc:Choice>
  </mc:AlternateContent>
  <xr:revisionPtr revIDLastSave="0" documentId="8_{6D659653-9778-4B35-8C41-FB620FBBBA4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Gastar'!$A$1:$Q$24</definedName>
    <definedName name="_xlnm.Print_Area" localSheetId="1">NotaPedido!$A$1:$K$15</definedName>
  </definedNames>
  <calcPr calcId="181029"/>
</workbook>
</file>

<file path=xl/calcChain.xml><?xml version="1.0" encoding="utf-8"?>
<calcChain xmlns="http://schemas.openxmlformats.org/spreadsheetml/2006/main">
  <c r="A23" i="3" l="1"/>
  <c r="A10" i="3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2" i="1"/>
  <c r="I11" i="1"/>
  <c r="I10" i="1"/>
  <c r="J15" i="2" l="1"/>
  <c r="G6" i="3"/>
  <c r="G7" i="3"/>
  <c r="D7" i="2"/>
  <c r="D3" i="2"/>
  <c r="G4" i="3" s="1"/>
  <c r="D4" i="2"/>
  <c r="G5" i="3" s="1"/>
  <c r="D1" i="3" l="1"/>
  <c r="Q20" i="3"/>
</calcChain>
</file>

<file path=xl/sharedStrings.xml><?xml version="1.0" encoding="utf-8"?>
<sst xmlns="http://schemas.openxmlformats.org/spreadsheetml/2006/main" count="114" uniqueCount="85">
  <si>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</si>
  <si>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</si>
  <si>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</si>
  <si>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</si>
  <si>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</si>
  <si>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</si>
  <si>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</si>
  <si>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</si>
  <si>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</si>
  <si>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</si>
  <si>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</si>
  <si>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</si>
  <si>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</si>
  <si>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</si>
  <si>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</si>
  <si>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</si>
  <si>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</si>
  <si>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</si>
  <si>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</si>
  <si>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</si>
  <si>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</si>
  <si>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</si>
  <si>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</si>
  <si>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</si>
  <si>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</si>
  <si>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</si>
  <si>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</si>
  <si>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</si>
  <si>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</si>
  <si>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</si>
  <si>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</si>
  <si>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</si>
  <si>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</si>
  <si>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</si>
  <si>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</si>
  <si>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</si>
  <si>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</si>
  <si>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</si>
  <si>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</si>
  <si>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</si>
  <si>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</si>
  <si>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</si>
  <si>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</si>
  <si>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</si>
  <si>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</si>
  <si>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</si>
  <si>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</si>
  <si>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</si>
  <si>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</si>
  <si>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</si>
  <si>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</si>
  <si>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</si>
  <si>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</si>
  <si>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</si>
  <si>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</si>
  <si>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</si>
  <si>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</si>
  <si>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</si>
  <si>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</si>
  <si>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3.1</t>
  </si>
  <si>
    <t>1.1</t>
  </si>
  <si>
    <t>2.9.6</t>
  </si>
  <si>
    <t>UNIDAD</t>
  </si>
  <si>
    <t>REP. Y ACC. P/EQUIPO MEDICO; USO: RESPIRADOR, MARCA EQUIPO: MAQUET, ELEMENTO: CIRCUIT BOARD PC 1785, MODELO EQUIPO: SERVO S</t>
  </si>
  <si>
    <t>REP. Y ACC. P/EQUIPO MEDICO; USO: RESPIRADOR, MARCA EQUIPO: MAQUET, ELEMENTO: CIRCUIT BOARD PC 1781, MODELO EQUIPO: SERVO S</t>
  </si>
  <si>
    <t xml:space="preserve">REPUESTOS Y ACCESORIOS </t>
  </si>
  <si>
    <t xml:space="preserve">237 - Direccion de Mantenimiento </t>
  </si>
  <si>
    <t xml:space="preserve">Departamento Electromedicina </t>
  </si>
  <si>
    <t xml:space="preserve">Adquisición de Repuestos para Respiradores </t>
  </si>
  <si>
    <t xml:space="preserve">Repuestos y Accesorios </t>
  </si>
  <si>
    <t>2.9.6-8875.255</t>
  </si>
  <si>
    <t>2.9.6-8875.256</t>
  </si>
  <si>
    <t>2.9.6-8875.257</t>
  </si>
  <si>
    <t xml:space="preserve">PLAZO DE MANTENIMIENTO DE OFERTA: 45 DIAS HABILES </t>
  </si>
  <si>
    <t>Especificidades Item N° 2:</t>
  </si>
  <si>
    <t>CASSETTE EXPIRATORIO - EXPIRATORY CASSETTE</t>
  </si>
  <si>
    <t>Especificidades Item N° 3:</t>
  </si>
  <si>
    <t>SENSOR DE PRESION - CIRCUIT BOARD PC 1781</t>
  </si>
  <si>
    <t>PLACA INTERCONEXION - CIRCUIT BOARD PC 1785</t>
  </si>
  <si>
    <t>Costo total estimado: DOS MILLONES SEISCIENTOS DIECISIETE MIL OCHENTA Y UNO CON 68/100.---</t>
  </si>
  <si>
    <t>REP. Y ACC. P/EQUIPO MEDICO; USO: RESPIRADOR, ELEMENTO: EXPIRATORY CASSETTE, MARCA EQUIPO: MAQUET SERVO, MODELO EQUIPO: S</t>
  </si>
  <si>
    <t xml:space="preserve">PLAZO Y LUGAR DE ENTREGA: 20 DIAS HABILES - DEPARTAMENTO ELECTROMEDICINA - Avda. ILLIA Y MARIANO MORENO </t>
  </si>
  <si>
    <t>TOTAL DE PESOS:DOS MILLONES SEISCIENTOS DIECISIETE MIL OCHENTA Y UNO CON 68/100</t>
  </si>
  <si>
    <t>NOTA DE PEDIDO 77</t>
  </si>
  <si>
    <t>DOCFI-2022-01130914-CAT-DMAN#HSJB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</si>
</sst>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6" fillId="0" borderId="0" xfId="0" applyFont="1"/>
    <xf numFmtId="0" fontId="15" fillId="3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7" fillId="0" borderId="0" xfId="0" applyFont="1" applyBorder="1" applyAlignment="1">
      <alignment horizontal="left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8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2"/>
  <sheetViews>
    <sheetView tabSelected="1" zoomScale="85" zoomScaleNormal="85" workbookViewId="0">
      <selection activeCell="A4" sqref="A4:B4"/>
    </sheetView>
  </sheetViews>
  <sheetFormatPr baseColWidth="10" defaultColWidth="11" defaultRowHeight="12.75" x14ac:dyDescent="0.2"/>
  <cols>
    <col min="1" max="1" width="4.5703125" style="39" customWidth="1"/>
    <col min="2" max="2" width="13.570312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7" t="s">
        <v>0</v>
      </c>
      <c r="C2" s="87"/>
      <c r="D2" s="87"/>
      <c r="E2" s="87"/>
      <c r="F2" s="87"/>
      <c r="G2" s="87"/>
      <c r="H2" s="87"/>
    </row>
    <row r="4" spans="1:9" ht="18" customHeight="1" x14ac:dyDescent="0.25">
      <c r="A4" s="83" t="s">
        <v>1</v>
      </c>
      <c r="B4" s="83"/>
      <c r="C4" s="88" t="s">
        <v>57</v>
      </c>
      <c r="D4" s="88"/>
      <c r="E4" s="88"/>
      <c r="F4" s="40"/>
      <c r="G4" s="41"/>
      <c r="H4" s="40"/>
    </row>
    <row r="5" spans="1:9" ht="18" customHeight="1" x14ac:dyDescent="0.25">
      <c r="A5" s="83" t="s">
        <v>2</v>
      </c>
      <c r="B5" s="83"/>
      <c r="C5" s="88" t="s">
        <v>58</v>
      </c>
      <c r="D5" s="88"/>
      <c r="E5" s="88"/>
      <c r="F5" s="40"/>
      <c r="G5" s="41"/>
      <c r="H5" s="40"/>
    </row>
    <row r="6" spans="1:9" ht="16.5" customHeight="1" x14ac:dyDescent="0.25">
      <c r="A6" s="83" t="s">
        <v>3</v>
      </c>
      <c r="B6" s="83"/>
      <c r="C6" s="63">
        <v>2022</v>
      </c>
      <c r="D6" s="64"/>
      <c r="E6" s="64"/>
      <c r="F6" s="40"/>
      <c r="G6" s="41"/>
      <c r="H6" s="40"/>
    </row>
    <row r="7" spans="1:9" ht="16.5" customHeight="1" x14ac:dyDescent="0.25">
      <c r="A7" s="83" t="s">
        <v>4</v>
      </c>
      <c r="B7" s="83"/>
      <c r="C7" s="63">
        <v>3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45" customHeight="1" thickBot="1" x14ac:dyDescent="0.25">
      <c r="A10" s="56">
        <v>1</v>
      </c>
      <c r="B10" s="60" t="s">
        <v>70</v>
      </c>
      <c r="C10" s="57" t="s">
        <v>65</v>
      </c>
      <c r="D10" s="58" t="s">
        <v>61</v>
      </c>
      <c r="E10" s="59" t="s">
        <v>80</v>
      </c>
      <c r="F10" s="60" t="s">
        <v>62</v>
      </c>
      <c r="G10" s="60">
        <v>5</v>
      </c>
      <c r="H10" s="61">
        <v>458883.22</v>
      </c>
      <c r="I10" s="62">
        <f t="shared" ref="I10:I12" si="0">G10*H10</f>
        <v>2294416.0999999996</v>
      </c>
    </row>
    <row r="11" spans="1:9" ht="45" customHeight="1" thickBot="1" x14ac:dyDescent="0.25">
      <c r="A11" s="56">
        <v>2</v>
      </c>
      <c r="B11" s="60" t="s">
        <v>71</v>
      </c>
      <c r="C11" s="57" t="s">
        <v>65</v>
      </c>
      <c r="D11" s="58" t="s">
        <v>61</v>
      </c>
      <c r="E11" s="59" t="s">
        <v>64</v>
      </c>
      <c r="F11" s="60" t="s">
        <v>62</v>
      </c>
      <c r="G11" s="60">
        <v>2</v>
      </c>
      <c r="H11" s="61">
        <v>104189.8</v>
      </c>
      <c r="I11" s="62">
        <f t="shared" si="0"/>
        <v>208379.6</v>
      </c>
    </row>
    <row r="12" spans="1:9" ht="50.25" customHeight="1" thickBot="1" x14ac:dyDescent="0.25">
      <c r="A12" s="56">
        <v>3</v>
      </c>
      <c r="B12" s="60" t="s">
        <v>72</v>
      </c>
      <c r="C12" s="57" t="s">
        <v>65</v>
      </c>
      <c r="D12" s="58" t="s">
        <v>61</v>
      </c>
      <c r="E12" s="59" t="s">
        <v>63</v>
      </c>
      <c r="F12" s="60" t="s">
        <v>62</v>
      </c>
      <c r="G12" s="60">
        <v>2</v>
      </c>
      <c r="H12" s="61">
        <v>57142.99</v>
      </c>
      <c r="I12" s="62">
        <f t="shared" si="0"/>
        <v>114285.98</v>
      </c>
    </row>
    <row r="13" spans="1:9" ht="13.5" thickBot="1" x14ac:dyDescent="0.25"/>
    <row r="14" spans="1:9" ht="28.5" customHeight="1" thickBot="1" x14ac:dyDescent="0.25">
      <c r="C14" s="84" t="s">
        <v>81</v>
      </c>
      <c r="D14" s="85"/>
      <c r="E14" s="86"/>
    </row>
    <row r="15" spans="1:9" ht="29.25" customHeight="1" thickBot="1" x14ac:dyDescent="0.25">
      <c r="C15" s="84" t="s">
        <v>73</v>
      </c>
      <c r="D15" s="85"/>
      <c r="E15" s="86"/>
    </row>
    <row r="17" spans="2:5" ht="13.5" thickBot="1" x14ac:dyDescent="0.25"/>
    <row r="18" spans="2:5" x14ac:dyDescent="0.2">
      <c r="B18" s="42" t="s">
        <v>14</v>
      </c>
      <c r="C18" s="43"/>
      <c r="D18" s="43"/>
      <c r="E18" s="44"/>
    </row>
    <row r="19" spans="2:5" ht="5.25" customHeight="1" x14ac:dyDescent="0.2">
      <c r="B19" s="45"/>
      <c r="C19" s="46"/>
      <c r="D19" s="46"/>
      <c r="E19" s="47"/>
    </row>
    <row r="20" spans="2:5" x14ac:dyDescent="0.2">
      <c r="B20" s="48" t="s">
        <v>15</v>
      </c>
      <c r="C20" s="46"/>
      <c r="D20" s="46"/>
      <c r="E20" s="47"/>
    </row>
    <row r="21" spans="2:5" ht="26.25" customHeight="1" x14ac:dyDescent="0.2">
      <c r="B21" s="48"/>
      <c r="C21" s="79" t="s">
        <v>75</v>
      </c>
      <c r="D21" s="79"/>
      <c r="E21" s="77"/>
    </row>
    <row r="22" spans="2:5" x14ac:dyDescent="0.2">
      <c r="B22" s="48" t="s">
        <v>16</v>
      </c>
      <c r="C22" s="46"/>
      <c r="D22" s="46"/>
      <c r="E22" s="47"/>
    </row>
    <row r="23" spans="2:5" ht="19.5" customHeight="1" x14ac:dyDescent="0.2">
      <c r="B23" s="49"/>
      <c r="C23" s="80" t="s">
        <v>81</v>
      </c>
      <c r="D23" s="80"/>
      <c r="E23" s="80"/>
    </row>
    <row r="24" spans="2:5" x14ac:dyDescent="0.2">
      <c r="B24" s="49"/>
      <c r="C24" s="81"/>
      <c r="D24" s="81"/>
      <c r="E24" s="81"/>
    </row>
    <row r="25" spans="2:5" x14ac:dyDescent="0.2">
      <c r="B25" s="48" t="s">
        <v>17</v>
      </c>
      <c r="C25" s="46"/>
      <c r="D25" s="46"/>
      <c r="E25" s="47"/>
    </row>
    <row r="26" spans="2:5" ht="26.25" customHeight="1" x14ac:dyDescent="0.2">
      <c r="B26" s="49"/>
      <c r="C26" s="82"/>
      <c r="D26" s="82"/>
      <c r="E26" s="82"/>
    </row>
    <row r="27" spans="2:5" x14ac:dyDescent="0.2">
      <c r="B27" s="48" t="s">
        <v>18</v>
      </c>
      <c r="C27" s="50"/>
      <c r="D27" s="50"/>
      <c r="E27" s="51"/>
    </row>
    <row r="28" spans="2:5" ht="26.25" customHeight="1" x14ac:dyDescent="0.2">
      <c r="B28" s="49"/>
      <c r="C28" s="77" t="s">
        <v>73</v>
      </c>
      <c r="D28" s="77"/>
      <c r="E28" s="77"/>
    </row>
    <row r="29" spans="2:5" x14ac:dyDescent="0.2">
      <c r="B29" s="48" t="s">
        <v>19</v>
      </c>
      <c r="C29" s="46"/>
      <c r="D29" s="46"/>
      <c r="E29" s="47"/>
    </row>
    <row r="30" spans="2:5" ht="23.25" customHeight="1" x14ac:dyDescent="0.2">
      <c r="B30" s="48"/>
      <c r="C30" s="78"/>
      <c r="D30" s="78"/>
      <c r="E30" s="78"/>
    </row>
    <row r="31" spans="2:5" x14ac:dyDescent="0.2">
      <c r="B31" s="52"/>
      <c r="C31" s="53"/>
      <c r="D31" s="53"/>
      <c r="E31" s="54"/>
    </row>
    <row r="32" spans="2:5" ht="13.5" thickBot="1" x14ac:dyDescent="0.25"/>
    <row r="33" spans="2:5" x14ac:dyDescent="0.2">
      <c r="B33" s="42" t="s">
        <v>74</v>
      </c>
      <c r="C33" s="43"/>
      <c r="D33" s="43"/>
      <c r="E33" s="44"/>
    </row>
    <row r="34" spans="2:5" x14ac:dyDescent="0.2">
      <c r="B34" s="45"/>
      <c r="C34" s="46"/>
      <c r="D34" s="46"/>
      <c r="E34" s="47"/>
    </row>
    <row r="35" spans="2:5" x14ac:dyDescent="0.2">
      <c r="B35" s="48" t="s">
        <v>15</v>
      </c>
      <c r="C35" s="46"/>
      <c r="D35" s="46"/>
      <c r="E35" s="47"/>
    </row>
    <row r="36" spans="2:5" ht="24.75" customHeight="1" x14ac:dyDescent="0.2">
      <c r="B36" s="48"/>
      <c r="C36" s="79" t="s">
        <v>77</v>
      </c>
      <c r="D36" s="79"/>
      <c r="E36" s="77"/>
    </row>
    <row r="37" spans="2:5" x14ac:dyDescent="0.2">
      <c r="B37" s="48" t="s">
        <v>16</v>
      </c>
      <c r="C37" s="46"/>
      <c r="D37" s="46"/>
      <c r="E37" s="47"/>
    </row>
    <row r="38" spans="2:5" ht="24" customHeight="1" x14ac:dyDescent="0.2">
      <c r="B38" s="49"/>
      <c r="C38" s="80" t="s">
        <v>81</v>
      </c>
      <c r="D38" s="80"/>
      <c r="E38" s="80"/>
    </row>
    <row r="39" spans="2:5" x14ac:dyDescent="0.2">
      <c r="B39" s="49"/>
      <c r="C39" s="81"/>
      <c r="D39" s="81"/>
      <c r="E39" s="81"/>
    </row>
    <row r="40" spans="2:5" x14ac:dyDescent="0.2">
      <c r="B40" s="48" t="s">
        <v>17</v>
      </c>
      <c r="C40" s="46"/>
      <c r="D40" s="46"/>
      <c r="E40" s="47"/>
    </row>
    <row r="41" spans="2:5" ht="21.75" customHeight="1" x14ac:dyDescent="0.2">
      <c r="B41" s="49"/>
      <c r="C41" s="82"/>
      <c r="D41" s="82"/>
      <c r="E41" s="82"/>
    </row>
    <row r="42" spans="2:5" x14ac:dyDescent="0.2">
      <c r="B42" s="48" t="s">
        <v>18</v>
      </c>
      <c r="C42" s="50"/>
      <c r="D42" s="50"/>
      <c r="E42" s="51"/>
    </row>
    <row r="43" spans="2:5" ht="24.75" customHeight="1" x14ac:dyDescent="0.2">
      <c r="B43" s="49"/>
      <c r="C43" s="77" t="s">
        <v>73</v>
      </c>
      <c r="D43" s="77"/>
      <c r="E43" s="77"/>
    </row>
    <row r="44" spans="2:5" x14ac:dyDescent="0.2">
      <c r="B44" s="48" t="s">
        <v>19</v>
      </c>
      <c r="C44" s="46"/>
      <c r="D44" s="46"/>
      <c r="E44" s="47"/>
    </row>
    <row r="45" spans="2:5" x14ac:dyDescent="0.2">
      <c r="B45" s="48"/>
      <c r="C45" s="78"/>
      <c r="D45" s="78"/>
      <c r="E45" s="78"/>
    </row>
    <row r="46" spans="2:5" ht="13.5" thickBot="1" x14ac:dyDescent="0.25">
      <c r="B46" s="52"/>
      <c r="C46" s="53"/>
      <c r="D46" s="53"/>
      <c r="E46" s="54"/>
    </row>
    <row r="48" spans="2:5" ht="13.5" thickBot="1" x14ac:dyDescent="0.25"/>
    <row r="49" spans="2:5" x14ac:dyDescent="0.2">
      <c r="B49" s="42" t="s">
        <v>76</v>
      </c>
      <c r="C49" s="43"/>
      <c r="D49" s="43"/>
      <c r="E49" s="44"/>
    </row>
    <row r="50" spans="2:5" x14ac:dyDescent="0.2">
      <c r="B50" s="45"/>
      <c r="C50" s="46"/>
      <c r="D50" s="46"/>
      <c r="E50" s="47"/>
    </row>
    <row r="51" spans="2:5" x14ac:dyDescent="0.2">
      <c r="B51" s="48" t="s">
        <v>15</v>
      </c>
      <c r="C51" s="46"/>
      <c r="D51" s="46"/>
      <c r="E51" s="47"/>
    </row>
    <row r="52" spans="2:5" ht="21.75" customHeight="1" x14ac:dyDescent="0.2">
      <c r="B52" s="48"/>
      <c r="C52" s="79" t="s">
        <v>78</v>
      </c>
      <c r="D52" s="79"/>
      <c r="E52" s="77"/>
    </row>
    <row r="53" spans="2:5" x14ac:dyDescent="0.2">
      <c r="B53" s="48" t="s">
        <v>16</v>
      </c>
      <c r="C53" s="46"/>
      <c r="D53" s="46"/>
      <c r="E53" s="47"/>
    </row>
    <row r="54" spans="2:5" ht="29.25" customHeight="1" x14ac:dyDescent="0.2">
      <c r="B54" s="49"/>
      <c r="C54" s="80" t="s">
        <v>81</v>
      </c>
      <c r="D54" s="80"/>
      <c r="E54" s="80"/>
    </row>
    <row r="55" spans="2:5" x14ac:dyDescent="0.2">
      <c r="B55" s="49"/>
      <c r="C55" s="81"/>
      <c r="D55" s="81"/>
      <c r="E55" s="81"/>
    </row>
    <row r="56" spans="2:5" x14ac:dyDescent="0.2">
      <c r="B56" s="48" t="s">
        <v>17</v>
      </c>
      <c r="C56" s="46"/>
      <c r="D56" s="46"/>
      <c r="E56" s="47"/>
    </row>
    <row r="57" spans="2:5" ht="21" customHeight="1" x14ac:dyDescent="0.2">
      <c r="B57" s="49"/>
      <c r="C57" s="82"/>
      <c r="D57" s="82"/>
      <c r="E57" s="82"/>
    </row>
    <row r="58" spans="2:5" x14ac:dyDescent="0.2">
      <c r="B58" s="48" t="s">
        <v>18</v>
      </c>
      <c r="C58" s="50"/>
      <c r="D58" s="50"/>
      <c r="E58" s="51"/>
    </row>
    <row r="59" spans="2:5" ht="22.5" customHeight="1" x14ac:dyDescent="0.2">
      <c r="B59" s="49"/>
      <c r="C59" s="77" t="s">
        <v>73</v>
      </c>
      <c r="D59" s="77"/>
      <c r="E59" s="77"/>
    </row>
    <row r="60" spans="2:5" x14ac:dyDescent="0.2">
      <c r="B60" s="48" t="s">
        <v>19</v>
      </c>
      <c r="C60" s="46"/>
      <c r="D60" s="46"/>
      <c r="E60" s="47"/>
    </row>
    <row r="61" spans="2:5" x14ac:dyDescent="0.2">
      <c r="B61" s="48"/>
      <c r="C61" s="78"/>
      <c r="D61" s="78"/>
      <c r="E61" s="78"/>
    </row>
    <row r="62" spans="2:5" ht="13.5" thickBot="1" x14ac:dyDescent="0.25">
      <c r="B62" s="52"/>
      <c r="C62" s="53"/>
      <c r="D62" s="53"/>
      <c r="E62" s="54"/>
    </row>
  </sheetData>
  <mergeCells count="27">
    <mergeCell ref="B2:H2"/>
    <mergeCell ref="A4:B4"/>
    <mergeCell ref="C4:E4"/>
    <mergeCell ref="A5:B5"/>
    <mergeCell ref="C5:E5"/>
    <mergeCell ref="C26:E26"/>
    <mergeCell ref="C28:E28"/>
    <mergeCell ref="C30:E30"/>
    <mergeCell ref="A6:B6"/>
    <mergeCell ref="A7:B7"/>
    <mergeCell ref="C21:E21"/>
    <mergeCell ref="C23:E23"/>
    <mergeCell ref="C24:E24"/>
    <mergeCell ref="C14:E14"/>
    <mergeCell ref="C15:E15"/>
    <mergeCell ref="C36:E36"/>
    <mergeCell ref="C38:E38"/>
    <mergeCell ref="C39:E39"/>
    <mergeCell ref="C41:E41"/>
    <mergeCell ref="C43:E43"/>
    <mergeCell ref="C59:E59"/>
    <mergeCell ref="C61:E61"/>
    <mergeCell ref="C45:E45"/>
    <mergeCell ref="C52:E52"/>
    <mergeCell ref="C54:E54"/>
    <mergeCell ref="C55:E55"/>
    <mergeCell ref="C57:E5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"/>
  <sheetViews>
    <sheetView zoomScale="70" zoomScaleNormal="70" workbookViewId="0">
      <selection activeCell="G25" sqref="G2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3.140625" style="2" customWidth="1"/>
    <col min="10" max="10" width="14" style="2" customWidth="1"/>
    <col min="11" max="11" width="46.28515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97" t="s">
        <v>83</v>
      </c>
      <c r="B1" s="97"/>
      <c r="C1" s="97"/>
      <c r="D1" s="97"/>
      <c r="E1" s="97"/>
      <c r="F1" s="97"/>
      <c r="G1" s="97"/>
      <c r="H1" s="97"/>
      <c r="I1" s="97"/>
      <c r="J1" s="3" t="s">
        <v>20</v>
      </c>
      <c r="K1" s="75" t="s">
        <v>84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98" t="s">
        <v>53</v>
      </c>
      <c r="B3" s="98"/>
      <c r="C3" s="98"/>
      <c r="D3" s="99" t="str">
        <f>'Necesidades Trimestrales'!C4</f>
        <v>40 - Ministerio de Salud</v>
      </c>
      <c r="E3" s="99"/>
      <c r="F3" s="99"/>
      <c r="G3" s="99"/>
      <c r="H3" s="99"/>
      <c r="I3" s="99"/>
      <c r="J3" s="99"/>
      <c r="K3" s="99"/>
    </row>
    <row r="4" spans="1:1024" ht="18.75" customHeight="1" thickBot="1" x14ac:dyDescent="0.25">
      <c r="A4" s="100" t="s">
        <v>54</v>
      </c>
      <c r="B4" s="100"/>
      <c r="C4" s="100"/>
      <c r="D4" s="99" t="str">
        <f>'Necesidades Trimestrales'!C5</f>
        <v>23 - Hospital Interzonal San Juan Bautista</v>
      </c>
      <c r="E4" s="99"/>
      <c r="F4" s="99"/>
      <c r="G4" s="99"/>
      <c r="H4" s="99"/>
      <c r="I4" s="99"/>
      <c r="J4" s="99"/>
      <c r="K4" s="99"/>
    </row>
    <row r="5" spans="1:1024" ht="18.75" customHeight="1" thickBot="1" x14ac:dyDescent="0.25">
      <c r="A5" s="100" t="s">
        <v>32</v>
      </c>
      <c r="B5" s="100"/>
      <c r="C5" s="100"/>
      <c r="D5" s="99" t="s">
        <v>66</v>
      </c>
      <c r="E5" s="99"/>
      <c r="F5" s="99"/>
      <c r="G5" s="99"/>
      <c r="H5" s="99"/>
      <c r="I5" s="99"/>
      <c r="J5" s="99"/>
      <c r="K5" s="99"/>
    </row>
    <row r="6" spans="1:1024" ht="16.5" customHeight="1" thickBot="1" x14ac:dyDescent="0.25">
      <c r="A6" s="98" t="s">
        <v>55</v>
      </c>
      <c r="B6" s="98"/>
      <c r="C6" s="98"/>
      <c r="D6" s="99" t="s">
        <v>67</v>
      </c>
      <c r="E6" s="99"/>
      <c r="F6" s="99"/>
      <c r="G6" s="99"/>
      <c r="H6" s="99"/>
      <c r="I6" s="99"/>
      <c r="J6" s="99"/>
      <c r="K6" s="99"/>
    </row>
    <row r="7" spans="1:1024" ht="16.5" customHeight="1" x14ac:dyDescent="0.2">
      <c r="A7" s="100" t="s">
        <v>21</v>
      </c>
      <c r="B7" s="100"/>
      <c r="C7" s="100"/>
      <c r="D7" s="99" t="str">
        <f>'Necesidades Trimestrales'!C7 &amp; "° Trimestre - Año " &amp; 'Necesidades Trimestrales'!C6</f>
        <v>3° Trimestre - Año 2022</v>
      </c>
      <c r="E7" s="99"/>
      <c r="F7" s="99"/>
      <c r="G7" s="99"/>
      <c r="H7" s="99"/>
      <c r="I7" s="99"/>
      <c r="J7" s="99"/>
      <c r="K7" s="99"/>
    </row>
    <row r="8" spans="1:1024" ht="16.5" customHeight="1" x14ac:dyDescent="0.2">
      <c r="A8" s="90" t="s">
        <v>22</v>
      </c>
      <c r="B8" s="90"/>
      <c r="C8" s="90"/>
      <c r="D8" s="91" t="s">
        <v>68</v>
      </c>
      <c r="E8" s="91"/>
      <c r="F8" s="91"/>
      <c r="G8" s="91"/>
      <c r="H8" s="91"/>
      <c r="I8" s="91"/>
      <c r="J8" s="91"/>
      <c r="K8" s="91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92" t="s">
        <v>23</v>
      </c>
      <c r="B10" s="93" t="s">
        <v>24</v>
      </c>
      <c r="C10" s="93" t="s">
        <v>25</v>
      </c>
      <c r="D10" s="93"/>
      <c r="E10" s="93"/>
      <c r="F10" s="93"/>
      <c r="G10" s="93"/>
      <c r="H10" s="93" t="s">
        <v>26</v>
      </c>
      <c r="I10" s="93" t="s">
        <v>27</v>
      </c>
      <c r="J10" s="93" t="s">
        <v>28</v>
      </c>
      <c r="K10" s="94" t="s">
        <v>29</v>
      </c>
    </row>
    <row r="11" spans="1:1024" ht="24" customHeight="1" thickBot="1" x14ac:dyDescent="0.25">
      <c r="A11" s="92"/>
      <c r="B11" s="93"/>
      <c r="C11" s="93"/>
      <c r="D11" s="93"/>
      <c r="E11" s="93"/>
      <c r="F11" s="93"/>
      <c r="G11" s="93"/>
      <c r="H11" s="93"/>
      <c r="I11" s="93"/>
      <c r="J11" s="93"/>
      <c r="K11" s="94"/>
    </row>
    <row r="12" spans="1:1024" ht="36" customHeight="1" thickBot="1" x14ac:dyDescent="0.25">
      <c r="A12" s="8">
        <v>1</v>
      </c>
      <c r="B12" s="65" t="str">
        <f>'Necesidades Trimestrales'!B10</f>
        <v>2.9.6-8875.255</v>
      </c>
      <c r="C12" s="95" t="str">
        <f>'Necesidades Trimestrales'!E10</f>
        <v>REP. Y ACC. P/EQUIPO MEDICO; USO: RESPIRADOR, ELEMENTO: EXPIRATORY CASSETTE, MARCA EQUIPO: MAQUET SERVO, MODELO EQUIPO: S</v>
      </c>
      <c r="D12" s="95"/>
      <c r="E12" s="95"/>
      <c r="F12" s="95"/>
      <c r="G12" s="95"/>
      <c r="H12" s="66" t="s">
        <v>56</v>
      </c>
      <c r="I12" s="67" t="str">
        <f>'Necesidades Trimestrales'!F10</f>
        <v>UNIDAD</v>
      </c>
      <c r="J12" s="68">
        <f>'Necesidades Trimestrales'!H10</f>
        <v>458883.22</v>
      </c>
      <c r="K12" s="69">
        <f>'Necesidades Trimestrales'!G10</f>
        <v>5</v>
      </c>
    </row>
    <row r="13" spans="1:1024" ht="32.25" customHeight="1" thickBot="1" x14ac:dyDescent="0.25">
      <c r="A13" s="8">
        <v>2</v>
      </c>
      <c r="B13" s="65" t="str">
        <f>'Necesidades Trimestrales'!B11</f>
        <v>2.9.6-8875.256</v>
      </c>
      <c r="C13" s="95" t="str">
        <f>'Necesidades Trimestrales'!E11</f>
        <v>REP. Y ACC. P/EQUIPO MEDICO; USO: RESPIRADOR, MARCA EQUIPO: MAQUET, ELEMENTO: CIRCUIT BOARD PC 1781, MODELO EQUIPO: SERVO S</v>
      </c>
      <c r="D13" s="95"/>
      <c r="E13" s="95"/>
      <c r="F13" s="95"/>
      <c r="G13" s="95"/>
      <c r="H13" s="66" t="s">
        <v>56</v>
      </c>
      <c r="I13" s="67" t="str">
        <f>'Necesidades Trimestrales'!F11</f>
        <v>UNIDAD</v>
      </c>
      <c r="J13" s="68">
        <f>'Necesidades Trimestrales'!H11</f>
        <v>104189.8</v>
      </c>
      <c r="K13" s="69">
        <f>'Necesidades Trimestrales'!G11</f>
        <v>2</v>
      </c>
    </row>
    <row r="14" spans="1:1024" ht="44.25" customHeight="1" thickBot="1" x14ac:dyDescent="0.25">
      <c r="A14" s="8">
        <v>3</v>
      </c>
      <c r="B14" s="65" t="str">
        <f>'Necesidades Trimestrales'!B12</f>
        <v>2.9.6-8875.257</v>
      </c>
      <c r="C14" s="95" t="str">
        <f>'Necesidades Trimestrales'!E12</f>
        <v>REP. Y ACC. P/EQUIPO MEDICO; USO: RESPIRADOR, MARCA EQUIPO: MAQUET, ELEMENTO: CIRCUIT BOARD PC 1785, MODELO EQUIPO: SERVO S</v>
      </c>
      <c r="D14" s="95"/>
      <c r="E14" s="95"/>
      <c r="F14" s="95"/>
      <c r="G14" s="95"/>
      <c r="H14" s="66" t="s">
        <v>56</v>
      </c>
      <c r="I14" s="67" t="str">
        <f>'Necesidades Trimestrales'!F12</f>
        <v>UNIDAD</v>
      </c>
      <c r="J14" s="68">
        <f>'Necesidades Trimestrales'!H12</f>
        <v>57142.99</v>
      </c>
      <c r="K14" s="69">
        <f>'Necesidades Trimestrales'!G12</f>
        <v>2</v>
      </c>
    </row>
    <row r="15" spans="1:1024" ht="20.25" customHeight="1" thickBot="1" x14ac:dyDescent="0.25">
      <c r="A15" s="96" t="s">
        <v>79</v>
      </c>
      <c r="B15" s="96"/>
      <c r="C15" s="96"/>
      <c r="D15" s="96"/>
      <c r="E15" s="96"/>
      <c r="F15" s="96"/>
      <c r="G15" s="96"/>
      <c r="H15" s="96"/>
      <c r="I15" s="96"/>
      <c r="J15" s="89">
        <f>SUMPRODUCT(J12:J14,K12:K14)</f>
        <v>2617081.6799999997</v>
      </c>
      <c r="K15" s="89"/>
      <c r="L15"/>
      <c r="M15"/>
      <c r="N15"/>
      <c r="O15"/>
      <c r="P15"/>
      <c r="Q15"/>
      <c r="R15" s="76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15:K1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A15:I1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topLeftCell="A10" zoomScale="130" zoomScaleNormal="130" workbookViewId="0">
      <selection activeCell="S17" sqref="S17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3" t="s">
        <v>3</v>
      </c>
      <c r="B1" s="123"/>
      <c r="C1" s="123"/>
      <c r="D1" s="124">
        <f>'Necesidades Trimestrales'!C6</f>
        <v>2022</v>
      </c>
      <c r="E1" s="124"/>
      <c r="F1" s="10"/>
      <c r="G1" s="10"/>
      <c r="H1" s="11"/>
      <c r="I1" s="11"/>
      <c r="J1" s="11"/>
      <c r="K1" s="11"/>
      <c r="L1" s="11"/>
      <c r="M1" s="11"/>
      <c r="N1" s="11"/>
      <c r="P1" s="125" t="s">
        <v>30</v>
      </c>
      <c r="Q1" s="12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5"/>
      <c r="Q2" s="125"/>
    </row>
    <row r="4" spans="1:17" s="12" customFormat="1" ht="18" customHeight="1" thickBot="1" x14ac:dyDescent="0.25">
      <c r="A4" s="126" t="s">
        <v>31</v>
      </c>
      <c r="B4" s="126"/>
      <c r="C4" s="126"/>
      <c r="D4" s="126"/>
      <c r="E4" s="126"/>
      <c r="F4" s="126"/>
      <c r="G4" s="121" t="str">
        <f>NotaPedido!D3</f>
        <v>40 - Ministerio de Salud</v>
      </c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1:17" s="12" customFormat="1" ht="18" customHeight="1" thickBot="1" x14ac:dyDescent="0.25">
      <c r="A5" s="118" t="s">
        <v>54</v>
      </c>
      <c r="B5" s="119"/>
      <c r="C5" s="119"/>
      <c r="D5" s="119"/>
      <c r="E5" s="119"/>
      <c r="F5" s="120"/>
      <c r="G5" s="121" t="str">
        <f>NotaPedido!D4</f>
        <v>23 - Hospital Interzonal San Juan Bautista</v>
      </c>
      <c r="H5" s="121"/>
      <c r="I5" s="121"/>
      <c r="J5" s="121"/>
      <c r="K5" s="121"/>
      <c r="L5" s="121"/>
      <c r="M5" s="121"/>
      <c r="N5" s="121"/>
      <c r="O5" s="121"/>
      <c r="P5" s="121"/>
      <c r="Q5" s="121"/>
    </row>
    <row r="6" spans="1:17" s="12" customFormat="1" ht="18" customHeight="1" thickBot="1" x14ac:dyDescent="0.25">
      <c r="A6" s="118" t="s">
        <v>32</v>
      </c>
      <c r="B6" s="119"/>
      <c r="C6" s="119"/>
      <c r="D6" s="119"/>
      <c r="E6" s="119"/>
      <c r="F6" s="120"/>
      <c r="G6" s="121" t="str">
        <f>NotaPedido!D5</f>
        <v xml:space="preserve">237 - Direccion de Mantenimiento </v>
      </c>
      <c r="H6" s="121"/>
      <c r="I6" s="121"/>
      <c r="J6" s="121"/>
      <c r="K6" s="121"/>
      <c r="L6" s="121"/>
      <c r="M6" s="121"/>
      <c r="N6" s="121"/>
      <c r="O6" s="121"/>
      <c r="P6" s="121"/>
      <c r="Q6" s="121"/>
    </row>
    <row r="7" spans="1:17" s="12" customFormat="1" ht="18" customHeight="1" thickBot="1" x14ac:dyDescent="0.25">
      <c r="A7" s="118" t="s">
        <v>55</v>
      </c>
      <c r="B7" s="119"/>
      <c r="C7" s="119"/>
      <c r="D7" s="119"/>
      <c r="E7" s="119"/>
      <c r="F7" s="120"/>
      <c r="G7" s="121" t="str">
        <f>NotaPedido!D6</f>
        <v xml:space="preserve">Departamento Electromedicina </v>
      </c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8" customHeight="1" thickBot="1" x14ac:dyDescent="0.25">
      <c r="A8" s="122" t="s">
        <v>33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</row>
    <row r="9" spans="1:17" ht="18" customHeight="1" x14ac:dyDescent="0.2">
      <c r="A9" s="112" t="s">
        <v>34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"/>
      <c r="P9" s="1"/>
      <c r="Q9" s="13"/>
    </row>
    <row r="10" spans="1:17" ht="54.75" customHeight="1" x14ac:dyDescent="0.2">
      <c r="A10" s="11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DOCFI-2022-01130914-CAT-DMAN#HSJB,  afectando la erogación resultante a los créditos presupuestarios aprobados a favor de esta Unidad Ejecutora, conforme al siguiente detalle: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4" t="s">
        <v>35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customHeight="1" x14ac:dyDescent="0.2">
      <c r="A13" s="115" t="s">
        <v>36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 t="s">
        <v>37</v>
      </c>
      <c r="P13" s="116"/>
      <c r="Q13" s="117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16"/>
      <c r="P14" s="116"/>
      <c r="Q14" s="117"/>
    </row>
    <row r="15" spans="1:17" ht="17.25" customHeight="1" x14ac:dyDescent="0.2">
      <c r="A15" s="70">
        <v>33</v>
      </c>
      <c r="B15" s="71"/>
      <c r="C15" s="71"/>
      <c r="D15" s="71">
        <v>2</v>
      </c>
      <c r="E15" s="71"/>
      <c r="F15" s="71">
        <v>4901</v>
      </c>
      <c r="G15" s="71">
        <v>3</v>
      </c>
      <c r="H15" s="72" t="s">
        <v>59</v>
      </c>
      <c r="I15" s="73">
        <v>2</v>
      </c>
      <c r="J15" s="73">
        <v>9</v>
      </c>
      <c r="K15" s="73">
        <v>6</v>
      </c>
      <c r="L15" s="71"/>
      <c r="M15" s="74">
        <v>1</v>
      </c>
      <c r="N15" s="72" t="s">
        <v>60</v>
      </c>
      <c r="O15" s="111" t="s">
        <v>69</v>
      </c>
      <c r="P15" s="111"/>
      <c r="Q15" s="23">
        <v>2617081.6800000002</v>
      </c>
    </row>
    <row r="16" spans="1:17" ht="17.25" customHeight="1" x14ac:dyDescent="0.2">
      <c r="A16" s="24"/>
      <c r="B16" s="25"/>
      <c r="C16" s="25"/>
      <c r="D16" s="25"/>
      <c r="E16" s="25"/>
      <c r="F16" s="27"/>
      <c r="G16" s="25"/>
      <c r="H16" s="25"/>
      <c r="I16" s="25"/>
      <c r="J16" s="25"/>
      <c r="K16" s="25"/>
      <c r="L16" s="25"/>
      <c r="M16" s="26"/>
      <c r="N16" s="27"/>
      <c r="O16" s="106"/>
      <c r="P16" s="106"/>
      <c r="Q16" s="28"/>
    </row>
    <row r="17" spans="1:18" ht="17.25" customHeight="1" x14ac:dyDescent="0.2">
      <c r="A17" s="24"/>
      <c r="B17" s="25"/>
      <c r="C17" s="25"/>
      <c r="D17" s="25"/>
      <c r="E17" s="25"/>
      <c r="F17" s="27"/>
      <c r="G17" s="25"/>
      <c r="H17" s="25"/>
      <c r="I17" s="25"/>
      <c r="J17" s="25"/>
      <c r="K17" s="25"/>
      <c r="L17" s="25"/>
      <c r="M17" s="26"/>
      <c r="N17" s="27"/>
      <c r="O17" s="106"/>
      <c r="P17" s="106"/>
      <c r="Q17" s="28"/>
    </row>
    <row r="18" spans="1:18" ht="17.25" customHeight="1" x14ac:dyDescent="0.2">
      <c r="A18" s="29"/>
      <c r="B18" s="30"/>
      <c r="C18" s="30"/>
      <c r="D18" s="30"/>
      <c r="E18" s="30"/>
      <c r="F18" s="31"/>
      <c r="G18" s="30"/>
      <c r="H18" s="30"/>
      <c r="I18" s="30"/>
      <c r="J18" s="30"/>
      <c r="K18" s="30"/>
      <c r="L18" s="30"/>
      <c r="M18" s="32"/>
      <c r="N18" s="33"/>
      <c r="O18" s="107"/>
      <c r="P18" s="107"/>
      <c r="Q18" s="28"/>
      <c r="R18" s="1"/>
    </row>
    <row r="19" spans="1:18" ht="17.25" customHeight="1" x14ac:dyDescent="0.2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6"/>
      <c r="N19" s="35"/>
      <c r="O19" s="108"/>
      <c r="P19" s="108"/>
      <c r="Q19" s="37"/>
    </row>
    <row r="20" spans="1:18" ht="20.25" customHeight="1" x14ac:dyDescent="0.2">
      <c r="A20" s="109" t="s">
        <v>82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38">
        <f>SUM(Q15:Q19)</f>
        <v>2617081.6800000002</v>
      </c>
    </row>
    <row r="21" spans="1:18" ht="18" customHeight="1" thickBot="1" x14ac:dyDescent="0.25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</row>
    <row r="22" spans="1:18" ht="17.25" customHeight="1" thickBot="1" x14ac:dyDescent="0.25">
      <c r="A22" s="101" t="s">
        <v>52</v>
      </c>
      <c r="B22" s="102"/>
      <c r="C22" s="102"/>
      <c r="D22" s="102"/>
      <c r="E22" s="102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</row>
    <row r="23" spans="1:18" ht="18" customHeight="1" thickBot="1" x14ac:dyDescent="0.25">
      <c r="A23" s="105" t="str">
        <f>"Para la "&amp; NotaPedido!D8 &amp;" para ser destinados al " &amp; NotaPedido!D6 &amp;"  del HISJB del Ministerio de Salud."</f>
        <v>Para la Adquisición de Repuestos para Respiradores  para ser destinados al Departamento Electromedicina   del HISJB del Ministerio de Salud.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</row>
    <row r="24" spans="1:18" ht="15" customHeight="1" x14ac:dyDescent="0.2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</row>
  </sheetData>
  <mergeCells count="28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A9:N9"/>
    <mergeCell ref="A10:Q10"/>
    <mergeCell ref="A12:Q12"/>
    <mergeCell ref="A13:N13"/>
    <mergeCell ref="O13:P14"/>
    <mergeCell ref="Q13:Q14"/>
    <mergeCell ref="A22:F22"/>
    <mergeCell ref="G22:Q22"/>
    <mergeCell ref="A23:Q24"/>
    <mergeCell ref="O17:P17"/>
    <mergeCell ref="O18:P18"/>
    <mergeCell ref="O19:P19"/>
    <mergeCell ref="A20:P20"/>
    <mergeCell ref="A21:Q21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2022-07-04T16:06:55Z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