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mc:AlternateContent xmlns:mc="http://schemas.openxmlformats.org/markup-compatibility/2006">
    <mc:Choice Requires="x15">
      <x15ac:absPath xmlns:x15ac="http://schemas.microsoft.com/office/spreadsheetml/2010/11/ac" url="C:\Users\USUARIO\Downloads\"/>
    </mc:Choice>
  </mc:AlternateContent>
  <xr:revisionPtr revIDLastSave="0" documentId="13_ncr:1_{0990ADB7-63C6-4E7E-8047-3D8AC91EE8B0}"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definedName>
    <definedName name="Titles">'Cuadro comparativo'!$A$8:$F$8</definedName>
  </definedNames>
  <calcPr calcId="181029"/>
</workbook>
</file>

<file path=xl/calcChain.xml><?xml version="1.0" encoding="utf-8"?>
<calcChain xmlns="http://schemas.openxmlformats.org/spreadsheetml/2006/main">
  <c r="I13" i="2" l="1"/>
  <c r="M13" i="2"/>
</calcChain>
</file>

<file path=xl/sharedStrings.xml><?xml version="1.0" encoding="utf-8"?>
<sst xmlns="http://schemas.openxmlformats.org/spreadsheetml/2006/main" count="49" uniqueCount="37">
  <si>
    <t>Número expediente:</t>
  </si>
  <si>
    <t>EX-2022-02224721-   -CAT-DPCBS#MEC</t>
  </si>
  <si>
    <t>Número proceso de compra:</t>
  </si>
  <si>
    <t>100-0221-CDI22</t>
  </si>
  <si>
    <t>Nombre descriptivo proceso de compra:</t>
  </si>
  <si>
    <t>ADQUISICION DE AGUA MINERAL/MESA para la Policia Catamarca</t>
  </si>
  <si>
    <t>Unidad Operativa de Compras:</t>
  </si>
  <si>
    <t>Secretaria de Compras y Abastecimiento</t>
  </si>
  <si>
    <t>Fecha de Apertura:</t>
  </si>
  <si>
    <t>29/11/2022</t>
  </si>
  <si>
    <t>Renglón</t>
  </si>
  <si>
    <t>RAMÓN HECTOR LEAL</t>
  </si>
  <si>
    <t>CHIFLON S.A.</t>
  </si>
  <si>
    <t>Alternativa</t>
  </si>
  <si>
    <t>Código</t>
  </si>
  <si>
    <t>Descripción</t>
  </si>
  <si>
    <t>Cantidad solicitada</t>
  </si>
  <si>
    <t>Unidad de medida</t>
  </si>
  <si>
    <t>Precio unitario</t>
  </si>
  <si>
    <t>Cantidad ofertada</t>
  </si>
  <si>
    <t>Total por renglón</t>
  </si>
  <si>
    <t>Especificacion técnica</t>
  </si>
  <si>
    <t xml:space="preserve">1 </t>
  </si>
  <si>
    <t xml:space="preserve">2.1.1-7915.14 </t>
  </si>
  <si>
    <t xml:space="preserve">AGUA POTABLE; TIPO: POTABILIZADA SIN GASIFICAR; PRESENTACION: SEGÚN PLIEGO, MATERIAL 
ENVASE: SEGÚN PLIEGO, TIPO ENVASE: SEGÚN PLIEGO </t>
  </si>
  <si>
    <t xml:space="preserve">UNIDAD </t>
  </si>
  <si>
    <t xml:space="preserve">Agua Mineral Natural de Manatial - Vertiente, marca "Manantial del 
tala", especificaciones segun pliego más 150 equipos dispenser  </t>
  </si>
  <si>
    <t xml:space="preserve">Bidones Retornables de Agua de Mesa, capacidad de 20 lts. 
c/u, MARCA IVESS AGUA DE MESA ENVASADA BAJO NORMAS IVESS, 
SUPERANDO AMPLIAMENTE LAS NORMAS IMPUESTAS EN EL CÓDIGO ALIMENTARIO ARGENTINO. 
LA OFERTA INCLUYE 150 (CIENTO CINCUENTA) DISPENSER FRÍO/CALOR A PRÉSTAMO 
SIN CARGO INCLUYENDO SU MANTENIMIENTO Y REPARACIÓN DE DESPERFECTOS Y 
FALLAS DE LOS EQUIPOS EN CONDICIONES DE USO NORMAL Y 
HABITUAL - NO INCLUYE REPARACIONES POR MAL USO O MALTRATO 
DE LOS EQUIPOS.  EXIGENCIAS DEL CÓDIGO, ALIMENTARIO PARA LA 
ACTIVIDAD SE PRESENTAN TODOS LOS ANÁLISIS SEGÚN EXIGENCIAS DEL CÓDIGO 
ALIMENTARIO ARGENTINO QUE RIGE LA ACTIVIDAD: FÍSICO QUÍMICO ACTUALIZADO, BACTERIOLÓGICO 
Y OTRAS SUSTANCIAS SEGÚN REQUERIMIENTO DEL CÓDIGO ALIMENTARIO CAPÍTULO XII 
ARTÍCULO 982 CON EL FALTANTE DE ALGUNO DE ESTOS ANÁLISIS 
NO SE DÁ CUMPLIMIENTO AL CÓDIGO ALIMENTARIO NUESTRA PLANTA ELABORADORA 
ES ÚNICA EN LA PROVINCIA EN CUMPLIR CON TODOS LOS 
REQUISITOS EXIGIDOS POR EL CÓDIGO ALIMENTARIO, COMO SER: SALONES INDEPENDIENTES 
PARA EL LLENADO, Y LAVADO DE ENVASES, LLENADO PRESURIZADO, TRATAMIENTO 
BACTERIOLÓGICO Y FÍSICO QUÍMICO DEL AGUA , PROCESOS AUTOMÁTICOS DE 
LLENADO Y LAVADO DE ENVASES UTILIZACIÓN DE PRODUCTOS CÁUSTICOS Y 
TEMPERATURA PARA EL CORRECTO SANEADO  Y DEMÁS ESPECIFICACIONES IMPOSIBLES 
DE ENUMERAR, ADEMAS DE ESTAR  PRODUCIENDO AGUAS Y SODAS 
EN NUESTRA PROVINCIA POR MÁS DE 35 AÑOS </t>
  </si>
  <si>
    <t xml:space="preserve">2 </t>
  </si>
  <si>
    <t xml:space="preserve">2.1.1-478.69 </t>
  </si>
  <si>
    <t xml:space="preserve">AGUA MINERAL; TIPO: MINERALIZADA ARTIFICIALMENTE SIN GASIFICAR, PRESENTACION: SEGUN PLIEGO, 
MATERIAL ENVASE: SEGÚN PLIEGO, TIPO ENVASE: SEGÚN PLIEGO </t>
  </si>
  <si>
    <t xml:space="preserve">Agua Mineral Natural de Manantial - Vertiente Marca "Manantial del 
Tala", se adjunta ilustracion con rotulo de producto  </t>
  </si>
  <si>
    <t xml:space="preserve">AGUA MINERAL; TIPO: SIN GASIFICAR,  MATERIAL ENVASE: PLÁSTICO (PVC), 
 TIPO ENVASE: NO RETORNABLE - Presentación: PACK POR 12 
BOTELLAS POR 500 c.c. MARCA : LAGOA </t>
  </si>
  <si>
    <t xml:space="preserve">3 </t>
  </si>
  <si>
    <t xml:space="preserve">Agua Mineral Natural de Manantial - Vertiente Marca "Manantial del 
Tala", se adjutna foto con rotulo de producto </t>
  </si>
  <si>
    <t xml:space="preserve">AGUA MINERAL; TIPO: SIN GASIFICAR,  MATERIAL ENVASE: PLASTICO (PVC), 
 TIPO ENVASE: NO RETORNABLE -  Presentación: PACK POR 
6 BOTELLAS POR 1.500 c.c.  MARCA: LAGOA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</si>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</sst>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13"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13"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13"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3.5703125" customWidth="1"/>
    <col min="4" max="4" width="91.5703125" customWidth="1"/>
    <col min="5" max="5" width="59.28515625" customWidth="1"/>
    <col min="6" max="6" width="17.42578125" customWidth="1"/>
    <col min="7" max="7" width="14.28515625" customWidth="1"/>
    <col min="8" max="8" width="17.28515625" customWidth="1"/>
    <col min="9" max="9" width="16.5703125" customWidth="1"/>
    <col min="10" max="10" width="59.7109375" customWidth="1"/>
    <col min="11" max="11" width="14.28515625" customWidth="1"/>
    <col min="12" max="12" width="17.28515625" customWidth="1"/>
    <col min="13" max="13" width="16.5703125" customWidth="1"/>
    <col min="14" max="14" width="89.85546875" customWidth="1"/>
  </cols>
  <sheetData>
    <row r="1" spans="1:14" x14ac:dyDescent="0.25">
      <c r="D1" s="2" t="s">
        <v>0</v>
      </c>
      <c r="E1" s="2" t="s">
        <v>1</v>
      </c>
    </row>
    <row r="2" spans="1:14" x14ac:dyDescent="0.25">
      <c r="D2" s="2" t="s">
        <v>2</v>
      </c>
      <c r="E2" s="2" t="s">
        <v>3</v>
      </c>
    </row>
    <row r="3" spans="1:14" x14ac:dyDescent="0.25">
      <c r="D3" s="2" t="s">
        <v>4</v>
      </c>
      <c r="E3" s="2" t="s">
        <v>5</v>
      </c>
    </row>
    <row r="4" spans="1:14" x14ac:dyDescent="0.25">
      <c r="D4" s="2" t="s">
        <v>6</v>
      </c>
      <c r="E4" s="2" t="s">
        <v>7</v>
      </c>
    </row>
    <row r="5" spans="1:14" x14ac:dyDescent="0.25">
      <c r="D5" s="2" t="s">
        <v>8</v>
      </c>
      <c r="E5" s="2" t="s">
        <v>9</v>
      </c>
    </row>
    <row r="8" spans="1:14" x14ac:dyDescent="0.25">
      <c r="A8" s="1" t="s">
        <v>10</v>
      </c>
      <c r="B8" s="1"/>
      <c r="C8" s="1"/>
      <c r="D8" s="1"/>
      <c r="E8" s="1"/>
      <c r="F8" s="1"/>
      <c r="G8" s="1" t="s">
        <v>11</v>
      </c>
      <c r="H8" s="1"/>
      <c r="I8" s="1"/>
      <c r="J8" s="1"/>
      <c r="K8" s="1" t="s">
        <v>12</v>
      </c>
      <c r="L8" s="1"/>
      <c r="M8" s="1"/>
      <c r="N8" s="1"/>
    </row>
    <row r="9" spans="1:14" x14ac:dyDescent="0.25">
      <c r="A9" t="s">
        <v>10</v>
      </c>
      <c r="B9" t="s">
        <v>13</v>
      </c>
      <c r="C9" t="s">
        <v>14</v>
      </c>
      <c r="D9" t="s">
        <v>15</v>
      </c>
      <c r="E9" t="s">
        <v>16</v>
      </c>
      <c r="F9" t="s">
        <v>17</v>
      </c>
      <c r="G9" s="3" t="s">
        <v>18</v>
      </c>
      <c r="H9" s="3" t="s">
        <v>19</v>
      </c>
      <c r="I9" t="s">
        <v>20</v>
      </c>
      <c r="J9" t="s">
        <v>21</v>
      </c>
      <c r="K9" s="3" t="s">
        <v>18</v>
      </c>
      <c r="L9" s="3" t="s">
        <v>19</v>
      </c>
      <c r="M9" t="s">
        <v>20</v>
      </c>
      <c r="N9" t="s">
        <v>21</v>
      </c>
    </row>
    <row r="10" spans="1:14" ht="330" x14ac:dyDescent="0.25">
      <c r="A10" t="s">
        <v>22</v>
      </c>
      <c r="B10" t="s">
        <v>22</v>
      </c>
      <c r="C10" t="s">
        <v>23</v>
      </c>
      <c r="D10" s="4" t="s">
        <v>24</v>
      </c>
      <c r="E10">
        <v>2500</v>
      </c>
      <c r="F10" t="s">
        <v>25</v>
      </c>
      <c r="G10" s="3">
        <v>700</v>
      </c>
      <c r="H10" s="3">
        <v>2500</v>
      </c>
      <c r="I10" s="5">
        <v>1750000</v>
      </c>
      <c r="J10" s="4" t="s">
        <v>26</v>
      </c>
      <c r="K10" s="3">
        <v>850</v>
      </c>
      <c r="L10" s="3">
        <v>2500</v>
      </c>
      <c r="M10" s="5">
        <v>2125000</v>
      </c>
      <c r="N10" s="4" t="s">
        <v>27</v>
      </c>
    </row>
    <row r="11" spans="1:14" ht="45" x14ac:dyDescent="0.25">
      <c r="A11" t="s">
        <v>28</v>
      </c>
      <c r="B11" t="s">
        <v>22</v>
      </c>
      <c r="C11" t="s">
        <v>29</v>
      </c>
      <c r="D11" s="4" t="s">
        <v>30</v>
      </c>
      <c r="E11">
        <v>150</v>
      </c>
      <c r="F11" t="s">
        <v>25</v>
      </c>
      <c r="G11" s="3">
        <v>800</v>
      </c>
      <c r="H11" s="3">
        <v>150</v>
      </c>
      <c r="I11" s="5">
        <v>120000</v>
      </c>
      <c r="J11" s="4" t="s">
        <v>31</v>
      </c>
      <c r="K11" s="3">
        <v>1070</v>
      </c>
      <c r="L11" s="3">
        <v>150</v>
      </c>
      <c r="M11" s="5">
        <v>160500</v>
      </c>
      <c r="N11" s="4" t="s">
        <v>32</v>
      </c>
    </row>
    <row r="12" spans="1:14" ht="45" x14ac:dyDescent="0.25">
      <c r="A12" t="s">
        <v>33</v>
      </c>
      <c r="B12" t="s">
        <v>22</v>
      </c>
      <c r="C12" t="s">
        <v>29</v>
      </c>
      <c r="D12" s="4" t="s">
        <v>30</v>
      </c>
      <c r="E12">
        <v>150</v>
      </c>
      <c r="F12" t="s">
        <v>25</v>
      </c>
      <c r="G12" s="3">
        <v>550</v>
      </c>
      <c r="H12" s="3">
        <v>150</v>
      </c>
      <c r="I12" s="5">
        <v>82500</v>
      </c>
      <c r="J12" s="4" t="s">
        <v>34</v>
      </c>
      <c r="K12" s="3">
        <v>1020</v>
      </c>
      <c r="L12" s="3">
        <v>150</v>
      </c>
      <c r="M12" s="5">
        <v>153000</v>
      </c>
      <c r="N12" s="4" t="s">
        <v>35</v>
      </c>
    </row>
    <row r="13" spans="1:14" x14ac:dyDescent="0.25">
      <c r="C13" t="s">
        <v>36</v>
      </c>
      <c r="D13" s="4"/>
      <c r="G13" s="3"/>
      <c r="H13" s="3"/>
      <c r="I13" s="5">
        <f>SUBTOTAL(109,Table2[Total por renglón])</f>
        <v>1952500</v>
      </c>
      <c r="J13" s="4"/>
      <c r="K13" s="3"/>
      <c r="L13" s="3"/>
      <c r="M13" s="5">
        <f>SUBTOTAL(109,Table3[Total por renglón])</f>
        <v>2438500</v>
      </c>
      <c r="N13" s="4"/>
    </row>
  </sheetData>
  <mergeCells count="3">
    <mergeCell ref="G8:J8"/>
    <mergeCell ref="K8:N8"/>
    <mergeCell ref="A8:F8"/>
  </mergeCells>
  <pageMargins left="0.75" right="0.75" top="0.75" bottom="0.5" header="0.5" footer="0.75"/>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2022-12-14T11:49:40Z</dcterms:created>
  <dcterms:modified xsi:type="dcterms:W3CDTF">2022-12-14T11:50:55Z</dcterms:modified>
</cp:coreProperties>
</file>