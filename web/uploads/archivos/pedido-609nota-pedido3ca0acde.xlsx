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 MALDONADO\Downloads\"/>
    </mc:Choice>
  </mc:AlternateContent>
  <xr:revisionPtr revIDLastSave="0" documentId="8_{53525A34-8E15-4697-A557-99067730A07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F 011" sheetId="1" r:id="rId1"/>
    <sheet name="NP" sheetId="2" r:id="rId2"/>
    <sheet name="APG" sheetId="3" r:id="rId3"/>
  </sheets>
  <definedNames>
    <definedName name="_xlnm._FilterDatabase" localSheetId="0" hidden="1">'SAF 011'!$A$9:$I$11</definedName>
  </definedNames>
  <calcPr calcId="181029"/>
</workbook>
</file>

<file path=xl/calcChain.xml><?xml version="1.0" encoding="utf-8"?>
<calcChain xmlns="http://schemas.openxmlformats.org/spreadsheetml/2006/main">
  <c r="I11" i="1" l="1"/>
  <c r="I10" i="1"/>
  <c r="A41" i="3" l="1"/>
  <c r="G6" i="3"/>
  <c r="G7" i="3"/>
  <c r="K12" i="2"/>
  <c r="J12" i="2"/>
  <c r="I12" i="2"/>
  <c r="C12" i="2"/>
  <c r="B12" i="2"/>
  <c r="D4" i="2"/>
  <c r="G5" i="3" s="1"/>
  <c r="D3" i="2"/>
  <c r="G4" i="3" s="1"/>
  <c r="J14" i="2" l="1"/>
  <c r="Q15" i="3" s="1"/>
  <c r="Q38" i="3" s="1"/>
</calcChain>
</file>

<file path=xl/sharedStrings.xml><?xml version="1.0" encoding="utf-8"?>
<sst xmlns="http://schemas.openxmlformats.org/spreadsheetml/2006/main" count="85" uniqueCount="79">
  <si>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</si>
  <si>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</si>
  <si>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</si>
  <si>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</si>
  <si>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</si>
  <si>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</si>
  <si>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</si>
  <si>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</si>
  <si>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</si>
  <si>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</si>
  <si>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</si>
  <si>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</si>
  <si>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</si>
  <si>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 xml:space="preserve">IMPORTE TOTAL ESTIMADO </t>
  </si>
  <si>
    <t>UNIDAD</t>
  </si>
  <si>
    <t>ALIMENTOS</t>
  </si>
  <si>
    <t>2.1.1</t>
  </si>
  <si>
    <t>2.1.1-705.137</t>
  </si>
  <si>
    <t>LECHE; ESTADO: POLVO, TIPO: ENTERA, PROCESO: PASTEURIZADA, AGREGADO: HIERRO, ZINC Y ACIDO ASCORBICO, PRESENTACION: SIN, MATERIAL ENVASE: SIN, ELEM. TRANSPORTE: SIN, MATERIAL ELEM. TRANSPORTE: SIN, CERTIFICADO FORESTAL (GFS): SIN, LIBRE DE GLUTEN: SIN VALOR</t>
  </si>
  <si>
    <t>TOTAL RUBRO ALIMENTOS (LECHE FORTIFICADA)</t>
  </si>
  <si>
    <t>NOTA DE PEDIDO</t>
  </si>
  <si>
    <t>N°</t>
  </si>
  <si>
    <t xml:space="preserve">JURISDICCIÓN: </t>
  </si>
  <si>
    <t>SAF:</t>
  </si>
  <si>
    <t>UNIDAD EJECUTORA:</t>
  </si>
  <si>
    <t xml:space="preserve">DEPENDENCIA SOLICITANTE: 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</si>
  <si>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</si>
  <si>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</si>
  <si>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</si>
  <si>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</si>
  <si>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</si>
  <si>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</si>
  <si>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</si>
  <si>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</si>
  <si>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</si>
  <si>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</si>
  <si>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</si>
  <si>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</si>
  <si>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</si>
  <si>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</si>
  <si>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</si>
  <si>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</si>
  <si>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</si>
  <si>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</si>
  <si>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</si>
  <si>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</si>
  <si>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</si>
  <si>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</si>
  <si>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</si>
  <si>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</si>
  <si>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</si>
  <si>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</si>
  <si>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</si>
  <si>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</si>
  <si>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</si>
  <si>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</si>
  <si>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</si>
  <si>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>ITEM 1                                        DETALLE TECNICO Y ESPECIFICACIONES</t>
  </si>
  <si>
    <t>VER ANEXO I</t>
  </si>
  <si>
    <t>Plazos de entrega</t>
  </si>
  <si>
    <t>diez (10) dias habiles</t>
  </si>
  <si>
    <t>Lugar de Entrega:</t>
  </si>
  <si>
    <t>DIR. PROV. DE MATERNIDAD, INFANCIA Y ADOLESCENCIA - CHACABUCO N° 169 - en el horario de 8:00hs a 12:00hs de lunes a viernes</t>
  </si>
  <si>
    <t>Calidad Minima esperada</t>
  </si>
  <si>
    <t>Mantenimiento</t>
  </si>
  <si>
    <t>cuarenta y cinco (45) días</t>
  </si>
  <si>
    <t>ADQ. DEL RUBRO ALIMENTOS PARA PERSONAS (LECHE FORTIFICADA)</t>
  </si>
  <si>
    <t>SI</t>
  </si>
  <si>
    <t>1.1</t>
  </si>
  <si>
    <t>ALIMENTOS PARA PERSONAS</t>
  </si>
  <si>
    <t>XX/2022</t>
  </si>
  <si>
    <t>Autorizo la realización de los  trámites correspondientes, a fin de proveer a  este Organismo los bienes que se detallan en Nota  de Pedido N° XX/2022, afectando la erogación resultante a los créditos presupuestarios aprobados a favor de esta Unidad Ejecutora, conforme al siguiente detalle:</t>
  </si>
  <si>
    <t>162 - DIRECCION PROVINCIAL DE MATERNIDAD, INFANCIA Y ADOLESCENCIA</t>
  </si>
  <si>
    <t>TRES (3) MESES</t>
  </si>
  <si>
    <t>CUARTO</t>
  </si>
  <si>
    <t>Costo total estimado: PESOS SEIS MILLONES SEISCIENTOS SESENTA Y NUEVE MIL TRESCIENTOS SETENTA Y CINCO CON 00/100.-</t>
  </si>
  <si>
    <t>TOTAL DE PESOS: CINCO MILLONES SEISCIENTOS SESENTA Y NUEVE MIL TRESCIENTOS SETENTA Y CINCO CON 00/100.-</t>
  </si>
  <si>
    <t xml:space="preserve">PRECIO UNITARIO </t>
  </si>
  <si>
    <t>CANTIDAD SOLICITADA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</si>
</sst>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[$$-2C0A]\ #,##0.00"/>
    <numFmt numFmtId="166" formatCode="_-[$$-2C0A]\ * #,##0.00_-;\-[$$-2C0A]\ * #,##0.00_-;_-[$$-2C0A]\ * &quot;-&quot;??_-;_-@_-"/>
    <numFmt numFmtId="167" formatCode="_-* #,##0.00&quot; €&quot;_-;\-* #,##0.00&quot; €&quot;_-;_-* \-??&quot; €&quot;_-;_-@_-"/>
    <numFmt numFmtId="168" formatCode="_(\$* #,##0.00_);_(\$* \(#,##0.00\);_(\$* \-??_);_(@_)"/>
    <numFmt numFmtId="169" formatCode="dd\-mm\-yy;@"/>
    <numFmt numFmtId="170" formatCode="[$$-2C0A]\ #,##0.00;[$$-2C0A]&quot; -&quot;#,##0.00"/>
    <numFmt numFmtId="172" formatCode="&quot;$&quot;\ #,##0.00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  <charset val="1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1"/>
      <name val="Times New Roman"/>
      <family val="1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rgb="FFFFFFCC"/>
      </patternFill>
    </fill>
  </fills>
  <borders count="6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auto="1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7" fillId="0" borderId="0"/>
    <xf numFmtId="164" fontId="7" fillId="0" borderId="0" applyBorder="0" applyAlignment="0" applyProtection="0"/>
    <xf numFmtId="0" fontId="1" fillId="0" borderId="0"/>
    <xf numFmtId="0" fontId="7" fillId="0" borderId="0"/>
    <xf numFmtId="0" fontId="7" fillId="0" borderId="0"/>
    <xf numFmtId="0" fontId="7" fillId="0" borderId="0"/>
    <xf numFmtId="0" fontId="10" fillId="0" borderId="0"/>
    <xf numFmtId="167" fontId="7" fillId="0" borderId="0" applyBorder="0" applyProtection="0"/>
    <xf numFmtId="0" fontId="11" fillId="0" borderId="7" applyProtection="0"/>
    <xf numFmtId="0" fontId="12" fillId="3" borderId="0" applyBorder="0" applyProtection="0"/>
    <xf numFmtId="0" fontId="7" fillId="0" borderId="0"/>
    <xf numFmtId="0" fontId="7" fillId="0" borderId="0"/>
    <xf numFmtId="167" fontId="7" fillId="0" borderId="0" applyBorder="0" applyProtection="0"/>
    <xf numFmtId="0" fontId="11" fillId="0" borderId="7" applyProtection="0"/>
    <xf numFmtId="164" fontId="7" fillId="0" borderId="0" applyBorder="0" applyAlignment="0" applyProtection="0"/>
    <xf numFmtId="0" fontId="7" fillId="0" borderId="0"/>
    <xf numFmtId="0" fontId="7" fillId="0" borderId="0"/>
    <xf numFmtId="0" fontId="7" fillId="0" borderId="0"/>
    <xf numFmtId="43" fontId="1" fillId="0" borderId="0" applyFont="0" applyFill="0" applyBorder="0" applyAlignment="0" applyProtection="0"/>
    <xf numFmtId="167" fontId="7" fillId="0" borderId="0" applyBorder="0" applyProtection="0"/>
    <xf numFmtId="0" fontId="1" fillId="0" borderId="0"/>
    <xf numFmtId="0" fontId="1" fillId="0" borderId="0"/>
    <xf numFmtId="0" fontId="7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7" fillId="0" borderId="0"/>
    <xf numFmtId="0" fontId="14" fillId="0" borderId="0"/>
    <xf numFmtId="0" fontId="15" fillId="0" borderId="0"/>
    <xf numFmtId="0" fontId="7" fillId="0" borderId="0"/>
    <xf numFmtId="168" fontId="16" fillId="0" borderId="0" applyBorder="0" applyProtection="0"/>
  </cellStyleXfs>
  <cellXfs count="165">
    <xf numFmtId="0" fontId="0" fillId="0" borderId="0" xfId="0"/>
    <xf numFmtId="3" fontId="2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166" fontId="3" fillId="0" borderId="1" xfId="1" applyNumberFormat="1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0" fontId="9" fillId="0" borderId="4" xfId="0" applyFont="1" applyFill="1" applyBorder="1" applyAlignment="1">
      <alignment horizontal="left" vertical="center" wrapText="1"/>
    </xf>
    <xf numFmtId="0" fontId="9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center" vertical="center"/>
    </xf>
    <xf numFmtId="0" fontId="0" fillId="0" borderId="0" xfId="0"/>
    <xf numFmtId="0" fontId="9" fillId="0" borderId="3" xfId="0" applyFont="1" applyBorder="1" applyAlignment="1">
      <alignment horizontal="center" vertical="center"/>
    </xf>
    <xf numFmtId="0" fontId="8" fillId="0" borderId="0" xfId="0" applyFont="1" applyFill="1"/>
    <xf numFmtId="0" fontId="9" fillId="0" borderId="0" xfId="0" applyFont="1" applyFill="1"/>
    <xf numFmtId="166" fontId="5" fillId="0" borderId="0" xfId="0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vertical="center" wrapText="1"/>
    </xf>
    <xf numFmtId="166" fontId="9" fillId="2" borderId="6" xfId="2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0" fontId="19" fillId="0" borderId="0" xfId="0" applyFont="1"/>
    <xf numFmtId="166" fontId="9" fillId="0" borderId="4" xfId="0" applyNumberFormat="1" applyFont="1" applyFill="1" applyBorder="1" applyAlignment="1">
      <alignment horizontal="center" vertical="center" wrapText="1"/>
    </xf>
    <xf numFmtId="3" fontId="9" fillId="0" borderId="4" xfId="0" applyNumberFormat="1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vertical="center"/>
    </xf>
    <xf numFmtId="0" fontId="21" fillId="0" borderId="13" xfId="0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21" fillId="0" borderId="14" xfId="0" applyFont="1" applyBorder="1" applyAlignment="1">
      <alignment vertical="center"/>
    </xf>
    <xf numFmtId="0" fontId="23" fillId="0" borderId="19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horizontal="left" vertical="center" wrapText="1" indent="1"/>
    </xf>
    <xf numFmtId="0" fontId="22" fillId="0" borderId="14" xfId="0" applyFont="1" applyBorder="1" applyAlignment="1">
      <alignment horizontal="left" vertical="center" wrapText="1" indent="1"/>
    </xf>
    <xf numFmtId="0" fontId="25" fillId="0" borderId="23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/>
    </xf>
    <xf numFmtId="0" fontId="26" fillId="0" borderId="8" xfId="0" applyFont="1" applyBorder="1" applyAlignment="1">
      <alignment horizontal="center" vertical="center" wrapText="1"/>
    </xf>
    <xf numFmtId="3" fontId="26" fillId="0" borderId="24" xfId="0" applyNumberFormat="1" applyFont="1" applyBorder="1" applyAlignment="1">
      <alignment horizontal="center" vertical="center"/>
    </xf>
    <xf numFmtId="3" fontId="28" fillId="0" borderId="28" xfId="0" applyNumberFormat="1" applyFont="1" applyBorder="1" applyAlignment="1"/>
    <xf numFmtId="169" fontId="0" fillId="0" borderId="28" xfId="0" applyNumberFormat="1" applyBorder="1" applyAlignment="1">
      <alignment horizontal="left"/>
    </xf>
    <xf numFmtId="0" fontId="0" fillId="0" borderId="28" xfId="0" applyBorder="1"/>
    <xf numFmtId="0" fontId="0" fillId="0" borderId="19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 applyAlignment="1">
      <alignment horizontal="left"/>
    </xf>
    <xf numFmtId="0" fontId="0" fillId="0" borderId="14" xfId="0" applyBorder="1"/>
    <xf numFmtId="0" fontId="0" fillId="0" borderId="12" xfId="0" applyBorder="1"/>
    <xf numFmtId="0" fontId="0" fillId="0" borderId="13" xfId="0" applyBorder="1"/>
    <xf numFmtId="0" fontId="0" fillId="0" borderId="13" xfId="0" applyBorder="1" applyAlignment="1">
      <alignment horizontal="left"/>
    </xf>
    <xf numFmtId="0" fontId="0" fillId="0" borderId="34" xfId="0" applyBorder="1"/>
    <xf numFmtId="0" fontId="32" fillId="0" borderId="37" xfId="0" applyFont="1" applyBorder="1" applyAlignment="1">
      <alignment horizontal="center" vertical="center"/>
    </xf>
    <xf numFmtId="0" fontId="32" fillId="0" borderId="38" xfId="0" applyFont="1" applyBorder="1" applyAlignment="1">
      <alignment horizontal="center" vertical="center"/>
    </xf>
    <xf numFmtId="0" fontId="32" fillId="0" borderId="38" xfId="0" applyFont="1" applyBorder="1" applyAlignment="1">
      <alignment horizontal="left" vertical="center"/>
    </xf>
    <xf numFmtId="0" fontId="32" fillId="0" borderId="39" xfId="0" applyFont="1" applyBorder="1" applyAlignment="1">
      <alignment horizontal="center" vertical="center"/>
    </xf>
    <xf numFmtId="0" fontId="32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170" fontId="0" fillId="0" borderId="44" xfId="33" applyNumberFormat="1" applyFont="1" applyBorder="1" applyAlignment="1" applyProtection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6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48" xfId="0" applyFont="1" applyBorder="1" applyAlignment="1">
      <alignment horizontal="center" vertical="center"/>
    </xf>
    <xf numFmtId="170" fontId="0" fillId="0" borderId="49" xfId="33" applyNumberFormat="1" applyFont="1" applyBorder="1" applyAlignment="1" applyProtection="1">
      <alignment horizontal="center" vertical="center"/>
    </xf>
    <xf numFmtId="0" fontId="30" fillId="0" borderId="45" xfId="0" applyFont="1" applyBorder="1" applyAlignment="1">
      <alignment horizontal="center" vertical="center"/>
    </xf>
    <xf numFmtId="0" fontId="30" fillId="0" borderId="46" xfId="0" applyFon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30" fillId="0" borderId="47" xfId="0" applyFont="1" applyBorder="1" applyAlignment="1">
      <alignment horizontal="center" vertical="center"/>
    </xf>
    <xf numFmtId="0" fontId="30" fillId="0" borderId="48" xfId="0" applyFon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170" fontId="0" fillId="0" borderId="53" xfId="33" applyNumberFormat="1" applyFont="1" applyBorder="1" applyAlignment="1" applyProtection="1">
      <alignment horizontal="center" vertical="center"/>
    </xf>
    <xf numFmtId="170" fontId="32" fillId="0" borderId="55" xfId="0" applyNumberFormat="1" applyFont="1" applyBorder="1" applyAlignment="1">
      <alignment horizontal="center" vertical="center"/>
    </xf>
    <xf numFmtId="0" fontId="33" fillId="0" borderId="9" xfId="5" applyFont="1" applyFill="1" applyBorder="1" applyAlignment="1">
      <alignment horizontal="center" vertical="center" wrapText="1"/>
    </xf>
    <xf numFmtId="0" fontId="33" fillId="0" borderId="19" xfId="5" applyFont="1" applyFill="1" applyBorder="1" applyAlignment="1">
      <alignment horizontal="center" vertical="center" wrapText="1"/>
    </xf>
    <xf numFmtId="0" fontId="2" fillId="0" borderId="0" xfId="5" applyFont="1" applyFill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2" fillId="0" borderId="0" xfId="5" applyFont="1" applyFill="1" applyBorder="1" applyAlignment="1">
      <alignment horizontal="left" vertical="center"/>
    </xf>
    <xf numFmtId="0" fontId="2" fillId="0" borderId="0" xfId="5" applyFont="1" applyFill="1" applyBorder="1" applyAlignment="1">
      <alignment vertical="center"/>
    </xf>
    <xf numFmtId="0" fontId="33" fillId="0" borderId="19" xfId="5" applyFont="1" applyBorder="1" applyAlignment="1">
      <alignment horizontal="center" vertical="center" wrapText="1"/>
    </xf>
    <xf numFmtId="0" fontId="2" fillId="0" borderId="0" xfId="5" applyFont="1" applyBorder="1" applyAlignment="1">
      <alignment horizontal="center" vertical="center"/>
    </xf>
    <xf numFmtId="0" fontId="2" fillId="0" borderId="0" xfId="5" applyFont="1" applyBorder="1" applyAlignment="1">
      <alignment horizontal="left" vertical="center"/>
    </xf>
    <xf numFmtId="0" fontId="33" fillId="0" borderId="57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/>
    </xf>
    <xf numFmtId="0" fontId="0" fillId="0" borderId="59" xfId="0" applyBorder="1" applyAlignment="1">
      <alignment horizontal="left" vertical="center" wrapTex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25" fillId="0" borderId="60" xfId="0" applyFont="1" applyBorder="1" applyAlignment="1">
      <alignment horizontal="center" vertical="center"/>
    </xf>
    <xf numFmtId="0" fontId="25" fillId="0" borderId="2" xfId="0" applyFont="1" applyBorder="1" applyAlignment="1">
      <alignment horizontal="left" vertical="center"/>
    </xf>
    <xf numFmtId="0" fontId="26" fillId="0" borderId="2" xfId="0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3" fontId="26" fillId="0" borderId="61" xfId="0" applyNumberFormat="1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166" fontId="21" fillId="0" borderId="10" xfId="0" applyNumberFormat="1" applyFont="1" applyBorder="1" applyAlignment="1">
      <alignment horizontal="right" vertical="center"/>
    </xf>
    <xf numFmtId="166" fontId="21" fillId="0" borderId="0" xfId="0" applyNumberFormat="1" applyFont="1" applyBorder="1" applyAlignment="1">
      <alignment vertical="center"/>
    </xf>
    <xf numFmtId="166" fontId="22" fillId="0" borderId="0" xfId="0" applyNumberFormat="1" applyFont="1" applyBorder="1" applyAlignment="1">
      <alignment horizontal="left" vertical="center" wrapText="1" indent="1"/>
    </xf>
    <xf numFmtId="166" fontId="26" fillId="0" borderId="8" xfId="0" applyNumberFormat="1" applyFont="1" applyBorder="1" applyAlignment="1">
      <alignment horizontal="center" vertical="center" wrapText="1"/>
    </xf>
    <xf numFmtId="166" fontId="26" fillId="0" borderId="2" xfId="0" applyNumberFormat="1" applyFont="1" applyBorder="1" applyAlignment="1">
      <alignment horizontal="center" vertical="center" wrapText="1"/>
    </xf>
    <xf numFmtId="166" fontId="0" fillId="0" borderId="0" xfId="0" applyNumberFormat="1"/>
    <xf numFmtId="0" fontId="22" fillId="0" borderId="26" xfId="0" applyFont="1" applyBorder="1" applyAlignment="1">
      <alignment vertical="center"/>
    </xf>
    <xf numFmtId="0" fontId="22" fillId="0" borderId="62" xfId="0" applyFont="1" applyBorder="1" applyAlignment="1">
      <alignment vertical="center"/>
    </xf>
    <xf numFmtId="0" fontId="22" fillId="0" borderId="27" xfId="0" applyFont="1" applyBorder="1" applyAlignment="1">
      <alignment vertical="center"/>
    </xf>
    <xf numFmtId="0" fontId="22" fillId="0" borderId="63" xfId="0" applyFont="1" applyBorder="1" applyAlignment="1">
      <alignment vertical="center"/>
    </xf>
    <xf numFmtId="0" fontId="2" fillId="0" borderId="28" xfId="5" applyFont="1" applyFill="1" applyBorder="1" applyAlignment="1">
      <alignment horizontal="left" vertical="center" wrapText="1"/>
    </xf>
    <xf numFmtId="0" fontId="2" fillId="0" borderId="56" xfId="5" applyFont="1" applyFill="1" applyBorder="1" applyAlignment="1">
      <alignment horizontal="left" vertical="center" wrapText="1"/>
    </xf>
    <xf numFmtId="0" fontId="2" fillId="0" borderId="0" xfId="5" applyFont="1" applyFill="1" applyBorder="1" applyAlignment="1">
      <alignment horizontal="left" vertical="center"/>
    </xf>
    <xf numFmtId="0" fontId="2" fillId="0" borderId="14" xfId="5" applyFont="1" applyFill="1" applyBorder="1" applyAlignment="1">
      <alignment horizontal="left" vertical="center"/>
    </xf>
    <xf numFmtId="0" fontId="2" fillId="0" borderId="0" xfId="5" applyFont="1" applyFill="1" applyBorder="1" applyAlignment="1">
      <alignment horizontal="left" vertical="center" wrapText="1"/>
    </xf>
    <xf numFmtId="0" fontId="2" fillId="0" borderId="14" xfId="5" applyFont="1" applyFill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/>
    </xf>
    <xf numFmtId="0" fontId="23" fillId="0" borderId="17" xfId="0" applyFont="1" applyBorder="1" applyAlignment="1">
      <alignment horizontal="left" vertical="center" wrapText="1"/>
    </xf>
    <xf numFmtId="0" fontId="20" fillId="0" borderId="9" xfId="0" applyFont="1" applyBorder="1" applyAlignment="1">
      <alignment horizontal="center" vertical="center"/>
    </xf>
    <xf numFmtId="0" fontId="23" fillId="0" borderId="15" xfId="0" applyFont="1" applyBorder="1" applyAlignment="1">
      <alignment horizontal="left" vertical="center" wrapText="1"/>
    </xf>
    <xf numFmtId="0" fontId="23" fillId="0" borderId="18" xfId="0" applyFont="1" applyBorder="1" applyAlignment="1">
      <alignment horizontal="left" vertical="center"/>
    </xf>
    <xf numFmtId="0" fontId="24" fillId="0" borderId="20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left" vertical="center" wrapText="1" indent="1"/>
    </xf>
    <xf numFmtId="165" fontId="34" fillId="0" borderId="26" xfId="0" applyNumberFormat="1" applyFont="1" applyBorder="1" applyAlignment="1">
      <alignment horizontal="center" vertical="center"/>
    </xf>
    <xf numFmtId="165" fontId="34" fillId="0" borderId="27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 wrapText="1"/>
    </xf>
    <xf numFmtId="0" fontId="23" fillId="0" borderId="8" xfId="0" applyFont="1" applyBorder="1" applyAlignment="1">
      <alignment horizontal="center" vertical="center" wrapText="1"/>
    </xf>
    <xf numFmtId="166" fontId="24" fillId="0" borderId="21" xfId="0" applyNumberFormat="1" applyFont="1" applyBorder="1" applyAlignment="1">
      <alignment horizontal="center" vertical="center" wrapText="1"/>
    </xf>
    <xf numFmtId="0" fontId="30" fillId="0" borderId="32" xfId="0" applyFont="1" applyBorder="1" applyAlignment="1">
      <alignment horizontal="left"/>
    </xf>
    <xf numFmtId="0" fontId="0" fillId="0" borderId="26" xfId="0" applyFont="1" applyBorder="1" applyAlignment="1">
      <alignment horizontal="center"/>
    </xf>
    <xf numFmtId="3" fontId="28" fillId="0" borderId="27" xfId="0" applyNumberFormat="1" applyFont="1" applyBorder="1" applyAlignment="1">
      <alignment horizontal="center"/>
    </xf>
    <xf numFmtId="0" fontId="29" fillId="0" borderId="11" xfId="0" applyFont="1" applyBorder="1" applyAlignment="1">
      <alignment horizontal="center" vertical="center" wrapText="1"/>
    </xf>
    <xf numFmtId="0" fontId="16" fillId="0" borderId="29" xfId="0" applyFont="1" applyBorder="1"/>
    <xf numFmtId="0" fontId="30" fillId="0" borderId="30" xfId="0" applyFont="1" applyBorder="1" applyAlignment="1">
      <alignment horizontal="left" indent="1"/>
    </xf>
    <xf numFmtId="0" fontId="26" fillId="0" borderId="29" xfId="0" applyFont="1" applyBorder="1" applyAlignment="1">
      <alignment horizontal="left" vertical="center" wrapText="1"/>
    </xf>
    <xf numFmtId="0" fontId="31" fillId="0" borderId="31" xfId="0" applyFont="1" applyBorder="1" applyAlignment="1">
      <alignment horizontal="left"/>
    </xf>
    <xf numFmtId="0" fontId="0" fillId="0" borderId="48" xfId="0" applyFont="1" applyBorder="1" applyAlignment="1">
      <alignment horizontal="center" vertical="center"/>
    </xf>
    <xf numFmtId="49" fontId="30" fillId="0" borderId="33" xfId="0" applyNumberFormat="1" applyFont="1" applyBorder="1" applyAlignment="1">
      <alignment horizontal="justify" vertical="center" wrapText="1"/>
    </xf>
    <xf numFmtId="0" fontId="32" fillId="0" borderId="32" xfId="0" applyFont="1" applyBorder="1" applyAlignment="1">
      <alignment horizontal="center" vertical="center"/>
    </xf>
    <xf numFmtId="0" fontId="32" fillId="0" borderId="29" xfId="0" applyFont="1" applyBorder="1" applyAlignment="1">
      <alignment horizontal="center" vertical="center"/>
    </xf>
    <xf numFmtId="0" fontId="32" fillId="0" borderId="35" xfId="0" applyFont="1" applyBorder="1" applyAlignment="1">
      <alignment horizontal="center" vertical="center" wrapText="1"/>
    </xf>
    <xf numFmtId="0" fontId="32" fillId="0" borderId="36" xfId="0" applyFont="1" applyBorder="1" applyAlignment="1">
      <alignment horizontal="center" vertical="center"/>
    </xf>
    <xf numFmtId="0" fontId="0" fillId="0" borderId="42" xfId="0" applyFont="1" applyBorder="1" applyAlignment="1">
      <alignment horizontal="left" vertical="center" wrapText="1"/>
    </xf>
    <xf numFmtId="0" fontId="0" fillId="0" borderId="48" xfId="0" applyFont="1" applyBorder="1" applyAlignment="1">
      <alignment horizontal="left" vertical="center"/>
    </xf>
    <xf numFmtId="0" fontId="0" fillId="0" borderId="48" xfId="0" applyBorder="1" applyAlignment="1">
      <alignment horizontal="center"/>
    </xf>
    <xf numFmtId="0" fontId="28" fillId="0" borderId="16" xfId="0" applyFont="1" applyBorder="1" applyAlignment="1">
      <alignment vertical="center" wrapText="1"/>
    </xf>
    <xf numFmtId="0" fontId="30" fillId="0" borderId="36" xfId="0" applyFont="1" applyBorder="1" applyAlignment="1">
      <alignment vertical="center" wrapText="1"/>
    </xf>
    <xf numFmtId="0" fontId="30" fillId="0" borderId="25" xfId="0" applyFont="1" applyBorder="1" applyAlignment="1">
      <alignment horizontal="left" vertical="center" wrapText="1" indent="1"/>
    </xf>
    <xf numFmtId="0" fontId="0" fillId="0" borderId="48" xfId="0" applyBorder="1" applyAlignment="1">
      <alignment horizontal="left" vertical="center"/>
    </xf>
    <xf numFmtId="0" fontId="0" fillId="0" borderId="51" xfId="0" applyBorder="1" applyAlignment="1">
      <alignment horizontal="left" vertical="center"/>
    </xf>
    <xf numFmtId="0" fontId="28" fillId="0" borderId="54" xfId="0" applyFont="1" applyBorder="1" applyAlignment="1">
      <alignment horizontal="left" vertical="center" wrapText="1"/>
    </xf>
    <xf numFmtId="0" fontId="0" fillId="0" borderId="32" xfId="0" applyBorder="1"/>
    <xf numFmtId="172" fontId="6" fillId="2" borderId="5" xfId="2" applyNumberFormat="1" applyFont="1" applyFill="1" applyBorder="1" applyAlignment="1">
      <alignment horizontal="center" vertical="center" wrapText="1"/>
    </xf>
    <xf numFmtId="172" fontId="8" fillId="0" borderId="5" xfId="1" applyNumberFormat="1" applyFont="1" applyFill="1" applyBorder="1" applyAlignment="1">
      <alignment horizontal="center" vertical="center"/>
    </xf>
    <xf numFmtId="0" fontId="6" fillId="0" borderId="5" xfId="0" applyNumberFormat="1" applyFont="1" applyFill="1" applyBorder="1" applyAlignment="1">
      <alignment horizontal="center" vertical="center" wrapText="1"/>
    </xf>
  </cellXfs>
  <cellStyles count="34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Moneda_AUTORIZACION Y NOTA DE PEDIDO" xfId="33" xr:uid="{00000000-0005-0000-0000-00000A000000}"/>
    <cellStyle name="Neutral 1" xfId="11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2 3" xfId="32" xr:uid="{00000000-0005-0000-0000-00000F000000}"/>
    <cellStyle name="Normal 3" xfId="7" xr:uid="{00000000-0005-0000-0000-000010000000}"/>
    <cellStyle name="Normal 3 2" xfId="12" xr:uid="{00000000-0005-0000-0000-000011000000}"/>
    <cellStyle name="Normal 3 2 2" xfId="18" xr:uid="{00000000-0005-0000-0000-000012000000}"/>
    <cellStyle name="Normal 3 3" xfId="17" xr:uid="{00000000-0005-0000-0000-000013000000}"/>
    <cellStyle name="Normal 3 4" xfId="22" xr:uid="{00000000-0005-0000-0000-000014000000}"/>
    <cellStyle name="Normal 3 4 2" xfId="27" xr:uid="{00000000-0005-0000-0000-000015000000}"/>
    <cellStyle name="Normal 4" xfId="6" xr:uid="{00000000-0005-0000-0000-000016000000}"/>
    <cellStyle name="Normal 4 2" xfId="19" xr:uid="{00000000-0005-0000-0000-000017000000}"/>
    <cellStyle name="Normal 4 3" xfId="23" xr:uid="{00000000-0005-0000-0000-000018000000}"/>
    <cellStyle name="Normal 4 3 2" xfId="28" xr:uid="{00000000-0005-0000-0000-000019000000}"/>
    <cellStyle name="Normal 5" xfId="4" xr:uid="{00000000-0005-0000-0000-00001A000000}"/>
    <cellStyle name="Normal 5 2" xfId="25" xr:uid="{00000000-0005-0000-0000-00001B000000}"/>
    <cellStyle name="Normal 6" xfId="13" xr:uid="{00000000-0005-0000-0000-00001C000000}"/>
    <cellStyle name="Normal 7" xfId="24" xr:uid="{00000000-0005-0000-0000-00001D000000}"/>
    <cellStyle name="Normal 8" xfId="8" xr:uid="{00000000-0005-0000-0000-00001E000000}"/>
    <cellStyle name="Normal 8 2" xfId="29" xr:uid="{00000000-0005-0000-0000-00001F000000}"/>
    <cellStyle name="Normal 8 3" xfId="30" xr:uid="{00000000-0005-0000-0000-000020000000}"/>
    <cellStyle name="Normal 8 4" xfId="31" xr:uid="{00000000-0005-0000-0000-000021000000}"/>
  </cellStyles>
  <dxfs count="2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68483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topLeftCell="D1" zoomScale="90" zoomScaleNormal="90" workbookViewId="0">
      <selection activeCell="I12" sqref="I12"/>
    </sheetView>
  </sheetViews>
  <sheetFormatPr baseColWidth="10" defaultRowHeight="15" x14ac:dyDescent="0.25"/>
  <cols>
    <col min="1" max="1" width="5.42578125" style="18" bestFit="1" customWidth="1"/>
    <col min="2" max="2" width="13.85546875" style="18" bestFit="1" customWidth="1"/>
    <col min="3" max="3" width="27.5703125" style="18" customWidth="1"/>
    <col min="4" max="4" width="5.5703125" style="18" customWidth="1"/>
    <col min="5" max="5" width="89.85546875" style="19" bestFit="1" customWidth="1"/>
    <col min="6" max="6" width="30.42578125" style="18" customWidth="1"/>
    <col min="7" max="7" width="14.42578125" style="18" customWidth="1"/>
    <col min="8" max="8" width="14.42578125" style="26" customWidth="1"/>
    <col min="9" max="9" width="25.85546875" style="20" customWidth="1"/>
  </cols>
  <sheetData>
    <row r="1" spans="1:12" x14ac:dyDescent="0.25">
      <c r="A1" s="1">
        <v>2022</v>
      </c>
      <c r="B1" s="2"/>
      <c r="C1" s="3"/>
      <c r="D1" s="3"/>
      <c r="E1" s="4"/>
      <c r="F1" s="3"/>
      <c r="G1" s="5"/>
      <c r="H1" s="6"/>
      <c r="I1" s="6"/>
    </row>
    <row r="2" spans="1:12" s="34" customFormat="1" ht="18.75" x14ac:dyDescent="0.3">
      <c r="A2" s="32"/>
      <c r="B2" s="124" t="s">
        <v>0</v>
      </c>
      <c r="C2" s="124"/>
      <c r="D2" s="124"/>
      <c r="E2" s="124"/>
      <c r="F2" s="124"/>
      <c r="G2" s="124"/>
      <c r="H2" s="124"/>
      <c r="I2" s="33"/>
    </row>
    <row r="3" spans="1:12" x14ac:dyDescent="0.25">
      <c r="A3" s="3"/>
      <c r="B3" s="2"/>
      <c r="C3" s="3"/>
      <c r="D3" s="3"/>
      <c r="E3" s="4"/>
      <c r="F3" s="3"/>
      <c r="G3" s="5"/>
      <c r="H3" s="6"/>
      <c r="I3" s="6"/>
    </row>
    <row r="4" spans="1:12" x14ac:dyDescent="0.25">
      <c r="A4" s="123" t="s">
        <v>1</v>
      </c>
      <c r="B4" s="123"/>
      <c r="C4" s="98" t="s">
        <v>2</v>
      </c>
      <c r="D4" s="98"/>
      <c r="E4" s="98"/>
      <c r="F4" s="7"/>
      <c r="G4" s="8"/>
      <c r="H4" s="25"/>
      <c r="I4" s="6"/>
    </row>
    <row r="5" spans="1:12" ht="15" customHeight="1" x14ac:dyDescent="0.25">
      <c r="A5" s="123" t="s">
        <v>3</v>
      </c>
      <c r="B5" s="123"/>
      <c r="C5" s="98" t="s">
        <v>4</v>
      </c>
      <c r="D5" s="98"/>
      <c r="E5" s="98"/>
      <c r="F5" s="7"/>
      <c r="G5" s="8"/>
      <c r="H5" s="25"/>
      <c r="I5" s="6"/>
    </row>
    <row r="6" spans="1:12" x14ac:dyDescent="0.25">
      <c r="A6" s="123" t="s">
        <v>5</v>
      </c>
      <c r="B6" s="123"/>
      <c r="C6" s="99">
        <v>2022</v>
      </c>
      <c r="D6" s="100"/>
      <c r="E6" s="99"/>
      <c r="F6" s="7"/>
      <c r="G6" s="8"/>
      <c r="H6" s="25"/>
      <c r="I6" s="6"/>
    </row>
    <row r="7" spans="1:12" x14ac:dyDescent="0.25">
      <c r="A7" s="123" t="s">
        <v>6</v>
      </c>
      <c r="B7" s="123"/>
      <c r="C7" s="99" t="s">
        <v>74</v>
      </c>
      <c r="D7" s="100"/>
      <c r="E7" s="99"/>
      <c r="F7" s="7"/>
      <c r="G7" s="8"/>
      <c r="H7" s="25"/>
      <c r="I7" s="6"/>
    </row>
    <row r="8" spans="1:12" x14ac:dyDescent="0.25">
      <c r="A8" s="3"/>
      <c r="B8" s="7"/>
      <c r="C8" s="7"/>
      <c r="D8" s="7"/>
      <c r="E8" s="9"/>
      <c r="F8" s="7"/>
      <c r="G8" s="8"/>
      <c r="H8" s="25"/>
      <c r="I8" s="6"/>
    </row>
    <row r="9" spans="1:12" ht="25.5" x14ac:dyDescent="0.25">
      <c r="A9" s="10" t="s">
        <v>7</v>
      </c>
      <c r="B9" s="10" t="s">
        <v>8</v>
      </c>
      <c r="C9" s="11" t="s">
        <v>9</v>
      </c>
      <c r="D9" s="10" t="s">
        <v>10</v>
      </c>
      <c r="E9" s="12" t="s">
        <v>11</v>
      </c>
      <c r="F9" s="11" t="s">
        <v>12</v>
      </c>
      <c r="G9" s="13" t="s">
        <v>78</v>
      </c>
      <c r="H9" s="14" t="s">
        <v>77</v>
      </c>
      <c r="I9" s="15" t="s">
        <v>13</v>
      </c>
      <c r="J9" s="21"/>
      <c r="L9" s="15"/>
    </row>
    <row r="10" spans="1:12" s="23" customFormat="1" ht="308.25" customHeight="1" thickBot="1" x14ac:dyDescent="0.25">
      <c r="A10" s="27">
        <v>1</v>
      </c>
      <c r="B10" s="27" t="s">
        <v>17</v>
      </c>
      <c r="C10" s="28" t="s">
        <v>15</v>
      </c>
      <c r="D10" s="27" t="s">
        <v>16</v>
      </c>
      <c r="E10" s="29" t="s">
        <v>18</v>
      </c>
      <c r="F10" s="27" t="s">
        <v>14</v>
      </c>
      <c r="G10" s="164">
        <v>5875</v>
      </c>
      <c r="H10" s="163">
        <v>965</v>
      </c>
      <c r="I10" s="162">
        <f>G10*H10</f>
        <v>5669375</v>
      </c>
    </row>
    <row r="11" spans="1:12" s="24" customFormat="1" ht="20.25" customHeight="1" thickBot="1" x14ac:dyDescent="0.25">
      <c r="A11" s="22"/>
      <c r="B11" s="17"/>
      <c r="C11" s="31"/>
      <c r="D11" s="17"/>
      <c r="E11" s="16" t="s">
        <v>19</v>
      </c>
      <c r="F11" s="17"/>
      <c r="G11" s="36"/>
      <c r="H11" s="35"/>
      <c r="I11" s="30">
        <f>G10*H10</f>
        <v>5669375</v>
      </c>
    </row>
    <row r="14" spans="1:12" ht="15.75" thickBot="1" x14ac:dyDescent="0.3"/>
    <row r="15" spans="1:12" ht="45" x14ac:dyDescent="0.25">
      <c r="C15" s="86" t="s">
        <v>57</v>
      </c>
      <c r="D15" s="117" t="s">
        <v>58</v>
      </c>
      <c r="E15" s="118"/>
    </row>
    <row r="16" spans="1:12" x14ac:dyDescent="0.25">
      <c r="C16" s="87"/>
      <c r="D16" s="88"/>
      <c r="E16" s="89"/>
    </row>
    <row r="17" spans="3:5" x14ac:dyDescent="0.25">
      <c r="C17" s="87" t="s">
        <v>59</v>
      </c>
      <c r="D17" s="119" t="s">
        <v>60</v>
      </c>
      <c r="E17" s="120"/>
    </row>
    <row r="18" spans="3:5" x14ac:dyDescent="0.25">
      <c r="C18" s="87"/>
      <c r="D18" s="90"/>
      <c r="E18" s="89"/>
    </row>
    <row r="19" spans="3:5" ht="42" customHeight="1" x14ac:dyDescent="0.25">
      <c r="C19" s="87" t="s">
        <v>61</v>
      </c>
      <c r="D19" s="121" t="s">
        <v>62</v>
      </c>
      <c r="E19" s="122"/>
    </row>
    <row r="20" spans="3:5" x14ac:dyDescent="0.25">
      <c r="C20" s="87"/>
      <c r="D20" s="91"/>
      <c r="E20" s="89"/>
    </row>
    <row r="21" spans="3:5" x14ac:dyDescent="0.25">
      <c r="C21" s="92" t="s">
        <v>63</v>
      </c>
      <c r="D21" s="93"/>
      <c r="E21" s="89"/>
    </row>
    <row r="22" spans="3:5" x14ac:dyDescent="0.25">
      <c r="C22" s="92"/>
      <c r="D22" s="93"/>
      <c r="E22" s="89"/>
    </row>
    <row r="23" spans="3:5" x14ac:dyDescent="0.25">
      <c r="C23" s="92" t="s">
        <v>64</v>
      </c>
      <c r="D23" s="94" t="s">
        <v>65</v>
      </c>
      <c r="E23" s="89"/>
    </row>
    <row r="24" spans="3:5" ht="15.75" thickBot="1" x14ac:dyDescent="0.3">
      <c r="C24" s="95"/>
      <c r="D24" s="96"/>
      <c r="E24" s="97"/>
    </row>
  </sheetData>
  <mergeCells count="8">
    <mergeCell ref="D15:E15"/>
    <mergeCell ref="D17:E17"/>
    <mergeCell ref="D19:E19"/>
    <mergeCell ref="A7:B7"/>
    <mergeCell ref="B2:H2"/>
    <mergeCell ref="A4:B4"/>
    <mergeCell ref="A5:B5"/>
    <mergeCell ref="A6:B6"/>
  </mergeCells>
  <conditionalFormatting sqref="B1:B9 E1:E9">
    <cfRule type="duplicateValues" dxfId="19" priority="245"/>
  </conditionalFormatting>
  <conditionalFormatting sqref="E1:E9 B1:B9">
    <cfRule type="duplicateValues" dxfId="18" priority="246"/>
  </conditionalFormatting>
  <conditionalFormatting sqref="E11">
    <cfRule type="duplicateValues" dxfId="17" priority="10"/>
  </conditionalFormatting>
  <conditionalFormatting sqref="E11">
    <cfRule type="duplicateValues" dxfId="16" priority="11"/>
  </conditionalFormatting>
  <conditionalFormatting sqref="E11">
    <cfRule type="duplicateValues" dxfId="15" priority="12"/>
  </conditionalFormatting>
  <conditionalFormatting sqref="E11">
    <cfRule type="duplicateValues" dxfId="14" priority="13"/>
    <cfRule type="duplicateValues" dxfId="13" priority="14"/>
  </conditionalFormatting>
  <conditionalFormatting sqref="E11">
    <cfRule type="duplicateValues" dxfId="12" priority="9"/>
  </conditionalFormatting>
  <conditionalFormatting sqref="B1:B9">
    <cfRule type="duplicateValues" dxfId="11" priority="579"/>
  </conditionalFormatting>
  <conditionalFormatting sqref="E1:E9">
    <cfRule type="duplicateValues" dxfId="10" priority="580"/>
  </conditionalFormatting>
  <conditionalFormatting sqref="E1:E9">
    <cfRule type="duplicateValues" dxfId="9" priority="581"/>
    <cfRule type="duplicateValues" dxfId="8" priority="582"/>
  </conditionalFormatting>
  <conditionalFormatting sqref="C24">
    <cfRule type="duplicateValues" dxfId="7" priority="5"/>
  </conditionalFormatting>
  <conditionalFormatting sqref="C24">
    <cfRule type="duplicateValues" dxfId="6" priority="6"/>
  </conditionalFormatting>
  <conditionalFormatting sqref="C24">
    <cfRule type="duplicateValues" dxfId="5" priority="7"/>
  </conditionalFormatting>
  <conditionalFormatting sqref="C24">
    <cfRule type="duplicateValues" dxfId="4" priority="8"/>
  </conditionalFormatting>
  <conditionalFormatting sqref="C17:C23">
    <cfRule type="duplicateValues" dxfId="3" priority="1"/>
  </conditionalFormatting>
  <conditionalFormatting sqref="C17:C23">
    <cfRule type="duplicateValues" dxfId="2" priority="2"/>
  </conditionalFormatting>
  <conditionalFormatting sqref="C17:C23">
    <cfRule type="duplicateValues" dxfId="1" priority="3"/>
  </conditionalFormatting>
  <conditionalFormatting sqref="C17:C23">
    <cfRule type="duplicateValues" dxfId="0" priority="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"/>
  <sheetViews>
    <sheetView zoomScale="120" zoomScaleNormal="120" workbookViewId="0">
      <selection activeCell="A15" sqref="A15"/>
    </sheetView>
  </sheetViews>
  <sheetFormatPr baseColWidth="10" defaultRowHeight="15" x14ac:dyDescent="0.25"/>
  <cols>
    <col min="1" max="1" width="5.5703125" customWidth="1"/>
    <col min="2" max="2" width="15.140625" customWidth="1"/>
    <col min="3" max="3" width="14.140625" customWidth="1"/>
    <col min="4" max="4" width="26" customWidth="1"/>
    <col min="5" max="5" width="8" customWidth="1"/>
    <col min="6" max="6" width="7.85546875" customWidth="1"/>
    <col min="7" max="7" width="48.85546875" customWidth="1"/>
    <col min="8" max="8" width="9.28515625" customWidth="1"/>
    <col min="9" max="9" width="15.5703125" customWidth="1"/>
    <col min="10" max="10" width="14.7109375" style="112" customWidth="1"/>
    <col min="11" max="11" width="15.5703125" customWidth="1"/>
  </cols>
  <sheetData>
    <row r="1" spans="1:11" ht="30.75" thickBot="1" x14ac:dyDescent="0.3">
      <c r="A1" s="126" t="s">
        <v>20</v>
      </c>
      <c r="B1" s="126"/>
      <c r="C1" s="126"/>
      <c r="D1" s="126"/>
      <c r="E1" s="126"/>
      <c r="F1" s="126"/>
      <c r="G1" s="126"/>
      <c r="H1" s="126"/>
      <c r="I1" s="126"/>
      <c r="J1" s="107" t="s">
        <v>21</v>
      </c>
      <c r="K1" s="37" t="s">
        <v>70</v>
      </c>
    </row>
    <row r="2" spans="1:11" ht="16.5" thickBot="1" x14ac:dyDescent="0.3">
      <c r="A2" s="38"/>
      <c r="B2" s="39"/>
      <c r="C2" s="39"/>
      <c r="D2" s="40"/>
      <c r="E2" s="40"/>
      <c r="F2" s="40"/>
      <c r="G2" s="40"/>
      <c r="H2" s="40"/>
      <c r="I2" s="40"/>
      <c r="J2" s="108"/>
      <c r="K2" s="41"/>
    </row>
    <row r="3" spans="1:11" ht="16.5" customHeight="1" thickBot="1" x14ac:dyDescent="0.3">
      <c r="A3" s="127" t="s">
        <v>22</v>
      </c>
      <c r="B3" s="127"/>
      <c r="C3" s="127"/>
      <c r="D3" s="113" t="str">
        <f>'SAF 011'!C4</f>
        <v>040 - MINISTERIO DE SALUD</v>
      </c>
      <c r="E3" s="114"/>
      <c r="F3" s="114"/>
      <c r="G3" s="114"/>
      <c r="H3" s="114"/>
      <c r="I3" s="114"/>
      <c r="J3" s="114"/>
      <c r="K3" s="115"/>
    </row>
    <row r="4" spans="1:11" ht="16.5" customHeight="1" thickBot="1" x14ac:dyDescent="0.3">
      <c r="A4" s="125" t="s">
        <v>23</v>
      </c>
      <c r="B4" s="125"/>
      <c r="C4" s="125"/>
      <c r="D4" s="113" t="str">
        <f>'SAF 011'!C5</f>
        <v>011 - DIRECCION PROVINCIAL DE ADMINISTRACION - MINISTERIO DE SALUD</v>
      </c>
      <c r="E4" s="114"/>
      <c r="F4" s="114"/>
      <c r="G4" s="114"/>
      <c r="H4" s="114"/>
      <c r="I4" s="114"/>
      <c r="J4" s="114"/>
      <c r="K4" s="115"/>
    </row>
    <row r="5" spans="1:11" ht="16.5" customHeight="1" thickBot="1" x14ac:dyDescent="0.3">
      <c r="A5" s="125" t="s">
        <v>24</v>
      </c>
      <c r="B5" s="125"/>
      <c r="C5" s="125"/>
      <c r="D5" s="113" t="s">
        <v>72</v>
      </c>
      <c r="E5" s="114"/>
      <c r="F5" s="114"/>
      <c r="G5" s="114"/>
      <c r="H5" s="114"/>
      <c r="I5" s="114"/>
      <c r="J5" s="114"/>
      <c r="K5" s="115"/>
    </row>
    <row r="6" spans="1:11" ht="16.5" customHeight="1" thickBot="1" x14ac:dyDescent="0.3">
      <c r="A6" s="127" t="s">
        <v>25</v>
      </c>
      <c r="B6" s="127"/>
      <c r="C6" s="127"/>
      <c r="D6" s="113" t="s">
        <v>72</v>
      </c>
      <c r="E6" s="114"/>
      <c r="F6" s="114"/>
      <c r="G6" s="114"/>
      <c r="H6" s="114"/>
      <c r="I6" s="114"/>
      <c r="J6" s="114"/>
      <c r="K6" s="115"/>
    </row>
    <row r="7" spans="1:11" ht="16.5" thickBot="1" x14ac:dyDescent="0.3">
      <c r="A7" s="125" t="s">
        <v>26</v>
      </c>
      <c r="B7" s="125"/>
      <c r="C7" s="125"/>
      <c r="D7" s="113" t="s">
        <v>73</v>
      </c>
      <c r="E7" s="114"/>
      <c r="F7" s="114"/>
      <c r="G7" s="114"/>
      <c r="H7" s="114"/>
      <c r="I7" s="114"/>
      <c r="J7" s="114"/>
      <c r="K7" s="115"/>
    </row>
    <row r="8" spans="1:11" ht="16.5" customHeight="1" thickBot="1" x14ac:dyDescent="0.3">
      <c r="A8" s="128" t="s">
        <v>27</v>
      </c>
      <c r="B8" s="128"/>
      <c r="C8" s="128"/>
      <c r="D8" s="116" t="s">
        <v>66</v>
      </c>
      <c r="E8" s="114"/>
      <c r="F8" s="114"/>
      <c r="G8" s="114"/>
      <c r="H8" s="114"/>
      <c r="I8" s="114"/>
      <c r="J8" s="114"/>
      <c r="K8" s="115"/>
    </row>
    <row r="9" spans="1:11" ht="16.5" thickBot="1" x14ac:dyDescent="0.3">
      <c r="A9" s="42"/>
      <c r="B9" s="43"/>
      <c r="C9" s="43"/>
      <c r="D9" s="44"/>
      <c r="E9" s="44"/>
      <c r="F9" s="44"/>
      <c r="G9" s="44"/>
      <c r="H9" s="44"/>
      <c r="I9" s="44"/>
      <c r="J9" s="109"/>
      <c r="K9" s="45"/>
    </row>
    <row r="10" spans="1:11" ht="15.75" thickBot="1" x14ac:dyDescent="0.3">
      <c r="A10" s="129" t="s">
        <v>28</v>
      </c>
      <c r="B10" s="130" t="s">
        <v>29</v>
      </c>
      <c r="C10" s="130" t="s">
        <v>30</v>
      </c>
      <c r="D10" s="130"/>
      <c r="E10" s="130"/>
      <c r="F10" s="130"/>
      <c r="G10" s="130"/>
      <c r="H10" s="130" t="s">
        <v>31</v>
      </c>
      <c r="I10" s="130" t="s">
        <v>32</v>
      </c>
      <c r="J10" s="137" t="s">
        <v>33</v>
      </c>
      <c r="K10" s="135" t="s">
        <v>34</v>
      </c>
    </row>
    <row r="11" spans="1:11" ht="28.5" customHeight="1" thickBot="1" x14ac:dyDescent="0.3">
      <c r="A11" s="129"/>
      <c r="B11" s="130"/>
      <c r="C11" s="130"/>
      <c r="D11" s="130"/>
      <c r="E11" s="130"/>
      <c r="F11" s="130"/>
      <c r="G11" s="130"/>
      <c r="H11" s="130"/>
      <c r="I11" s="130"/>
      <c r="J11" s="137"/>
      <c r="K11" s="135"/>
    </row>
    <row r="12" spans="1:11" ht="85.5" customHeight="1" x14ac:dyDescent="0.25">
      <c r="A12" s="46">
        <v>1</v>
      </c>
      <c r="B12" s="106" t="str">
        <f>'SAF 011'!B10</f>
        <v>2.1.1-705.137</v>
      </c>
      <c r="C12" s="136" t="str">
        <f>'SAF 011'!E10</f>
        <v>LECHE; ESTADO: POLVO, TIPO: ENTERA, PROCESO: PASTEURIZADA, AGREGADO: HIERRO, ZINC Y ACIDO ASCORBICO, PRESENTACION: SIN, MATERIAL ENVASE: SIN, ELEM. TRANSPORTE: SIN, MATERIAL ELEM. TRANSPORTE: SIN, CERTIFICADO FORESTAL (GFS): SIN, LIBRE DE GLUTEN: SIN VALOR</v>
      </c>
      <c r="D12" s="136"/>
      <c r="E12" s="136"/>
      <c r="F12" s="136"/>
      <c r="G12" s="136"/>
      <c r="H12" s="47" t="s">
        <v>67</v>
      </c>
      <c r="I12" s="48" t="str">
        <f>'SAF 011'!F10</f>
        <v>UNIDAD</v>
      </c>
      <c r="J12" s="110" t="e">
        <f>'SAF 011'!#REF!</f>
        <v>#REF!</v>
      </c>
      <c r="K12" s="49">
        <f>'SAF 011'!G10</f>
        <v>5875</v>
      </c>
    </row>
    <row r="13" spans="1:11" ht="16.5" thickBot="1" x14ac:dyDescent="0.3">
      <c r="A13" s="101"/>
      <c r="B13" s="102"/>
      <c r="C13" s="134"/>
      <c r="D13" s="134"/>
      <c r="E13" s="134"/>
      <c r="F13" s="134"/>
      <c r="G13" s="134"/>
      <c r="H13" s="103"/>
      <c r="I13" s="104"/>
      <c r="J13" s="111"/>
      <c r="K13" s="105"/>
    </row>
    <row r="14" spans="1:11" ht="37.5" customHeight="1" thickBot="1" x14ac:dyDescent="0.3">
      <c r="A14" s="131" t="s">
        <v>75</v>
      </c>
      <c r="B14" s="131"/>
      <c r="C14" s="131"/>
      <c r="D14" s="131"/>
      <c r="E14" s="131"/>
      <c r="F14" s="131"/>
      <c r="G14" s="131"/>
      <c r="H14" s="131"/>
      <c r="I14" s="131"/>
      <c r="J14" s="132" t="e">
        <f>+J12*K12</f>
        <v>#REF!</v>
      </c>
      <c r="K14" s="133"/>
    </row>
  </sheetData>
  <mergeCells count="18">
    <mergeCell ref="A14:I14"/>
    <mergeCell ref="J14:K14"/>
    <mergeCell ref="C13:G13"/>
    <mergeCell ref="H10:H11"/>
    <mergeCell ref="K10:K11"/>
    <mergeCell ref="C12:G12"/>
    <mergeCell ref="I10:I11"/>
    <mergeCell ref="J10:J11"/>
    <mergeCell ref="A7:C7"/>
    <mergeCell ref="A8:C8"/>
    <mergeCell ref="A10:A11"/>
    <mergeCell ref="B10:B11"/>
    <mergeCell ref="C10:G11"/>
    <mergeCell ref="A5:C5"/>
    <mergeCell ref="A1:I1"/>
    <mergeCell ref="A3:C3"/>
    <mergeCell ref="A4:C4"/>
    <mergeCell ref="A6:C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42"/>
  <sheetViews>
    <sheetView workbookViewId="0">
      <selection activeCell="R16" sqref="R16"/>
    </sheetView>
  </sheetViews>
  <sheetFormatPr baseColWidth="10" defaultRowHeight="15" x14ac:dyDescent="0.25"/>
  <cols>
    <col min="1" max="5" width="4.42578125" customWidth="1"/>
    <col min="6" max="6" width="5" bestFit="1" customWidth="1"/>
    <col min="7" max="14" width="4.42578125" customWidth="1"/>
    <col min="15" max="16" width="14.85546875" customWidth="1"/>
    <col min="17" max="17" width="14.7109375" customWidth="1"/>
  </cols>
  <sheetData>
    <row r="1" spans="1:17" ht="15.75" thickBot="1" x14ac:dyDescent="0.3">
      <c r="A1" s="139" t="s">
        <v>5</v>
      </c>
      <c r="B1" s="139"/>
      <c r="C1" s="139"/>
      <c r="D1" s="140">
        <v>2022</v>
      </c>
      <c r="E1" s="140"/>
      <c r="F1" s="50"/>
      <c r="G1" s="50"/>
      <c r="H1" s="51"/>
      <c r="I1" s="51"/>
      <c r="J1" s="51"/>
      <c r="K1" s="51"/>
      <c r="L1" s="51"/>
      <c r="M1" s="51"/>
      <c r="N1" s="51"/>
      <c r="O1" s="52"/>
      <c r="P1" s="141" t="s">
        <v>35</v>
      </c>
      <c r="Q1" s="141"/>
    </row>
    <row r="2" spans="1:17" ht="15.75" thickBot="1" x14ac:dyDescent="0.3">
      <c r="A2" s="53"/>
      <c r="B2" s="54"/>
      <c r="C2" s="54"/>
      <c r="D2" s="54"/>
      <c r="E2" s="54"/>
      <c r="F2" s="54"/>
      <c r="G2" s="55"/>
      <c r="H2" s="56"/>
      <c r="I2" s="56"/>
      <c r="J2" s="56"/>
      <c r="K2" s="56"/>
      <c r="L2" s="56"/>
      <c r="M2" s="56"/>
      <c r="N2" s="56"/>
      <c r="O2" s="54"/>
      <c r="P2" s="141"/>
      <c r="Q2" s="141"/>
    </row>
    <row r="3" spans="1:17" ht="15.75" thickBot="1" x14ac:dyDescent="0.3">
      <c r="A3" s="53"/>
      <c r="B3" s="54"/>
      <c r="C3" s="54"/>
      <c r="D3" s="54"/>
      <c r="E3" s="54"/>
      <c r="F3" s="54"/>
      <c r="G3" s="55"/>
      <c r="H3" s="54"/>
      <c r="I3" s="54"/>
      <c r="J3" s="54"/>
      <c r="K3" s="54"/>
      <c r="L3" s="54"/>
      <c r="M3" s="54"/>
      <c r="N3" s="54"/>
      <c r="O3" s="54"/>
      <c r="P3" s="54"/>
      <c r="Q3" s="57"/>
    </row>
    <row r="4" spans="1:17" ht="15.75" thickBot="1" x14ac:dyDescent="0.3">
      <c r="A4" s="142" t="s">
        <v>36</v>
      </c>
      <c r="B4" s="142"/>
      <c r="C4" s="142"/>
      <c r="D4" s="142"/>
      <c r="E4" s="142"/>
      <c r="F4" s="142"/>
      <c r="G4" s="143" t="str">
        <f>NP!D3</f>
        <v>040 - MINISTERIO DE SALUD</v>
      </c>
      <c r="H4" s="143"/>
      <c r="I4" s="143"/>
      <c r="J4" s="143"/>
      <c r="K4" s="143"/>
      <c r="L4" s="143"/>
      <c r="M4" s="143"/>
      <c r="N4" s="143"/>
      <c r="O4" s="143"/>
      <c r="P4" s="143"/>
      <c r="Q4" s="143"/>
    </row>
    <row r="5" spans="1:17" ht="15.75" thickBot="1" x14ac:dyDescent="0.3">
      <c r="A5" s="144" t="s">
        <v>23</v>
      </c>
      <c r="B5" s="144"/>
      <c r="C5" s="144"/>
      <c r="D5" s="144"/>
      <c r="E5" s="144"/>
      <c r="F5" s="144"/>
      <c r="G5" s="143" t="str">
        <f>NP!D4</f>
        <v>011 - DIRECCION PROVINCIAL DE ADMINISTRACION - MINISTERIO DE SALUD</v>
      </c>
      <c r="H5" s="143"/>
      <c r="I5" s="143"/>
      <c r="J5" s="143"/>
      <c r="K5" s="143"/>
      <c r="L5" s="143"/>
      <c r="M5" s="143"/>
      <c r="N5" s="143"/>
      <c r="O5" s="143"/>
      <c r="P5" s="143"/>
      <c r="Q5" s="143"/>
    </row>
    <row r="6" spans="1:17" ht="15.75" thickBot="1" x14ac:dyDescent="0.3">
      <c r="A6" s="144" t="s">
        <v>24</v>
      </c>
      <c r="B6" s="144"/>
      <c r="C6" s="144"/>
      <c r="D6" s="144"/>
      <c r="E6" s="144"/>
      <c r="F6" s="144"/>
      <c r="G6" s="143" t="str">
        <f>NP!D5</f>
        <v>162 - DIRECCION PROVINCIAL DE MATERNIDAD, INFANCIA Y ADOLESCENCIA</v>
      </c>
      <c r="H6" s="143"/>
      <c r="I6" s="143"/>
      <c r="J6" s="143"/>
      <c r="K6" s="143"/>
      <c r="L6" s="143"/>
      <c r="M6" s="143"/>
      <c r="N6" s="143"/>
      <c r="O6" s="143"/>
      <c r="P6" s="143"/>
      <c r="Q6" s="143"/>
    </row>
    <row r="7" spans="1:17" ht="15.75" thickBot="1" x14ac:dyDescent="0.3">
      <c r="A7" s="144" t="s">
        <v>25</v>
      </c>
      <c r="B7" s="144"/>
      <c r="C7" s="144"/>
      <c r="D7" s="144"/>
      <c r="E7" s="144"/>
      <c r="F7" s="144"/>
      <c r="G7" s="143" t="str">
        <f>NP!D6</f>
        <v>162 - DIRECCION PROVINCIAL DE MATERNIDAD, INFANCIA Y ADOLESCENCIA</v>
      </c>
      <c r="H7" s="143"/>
      <c r="I7" s="143"/>
      <c r="J7" s="143"/>
      <c r="K7" s="143"/>
      <c r="L7" s="143"/>
      <c r="M7" s="143"/>
      <c r="N7" s="143"/>
      <c r="O7" s="143"/>
      <c r="P7" s="143"/>
      <c r="Q7" s="143"/>
    </row>
    <row r="8" spans="1:17" ht="15.75" thickBot="1" x14ac:dyDescent="0.3">
      <c r="A8" s="145" t="s">
        <v>37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P8" s="145"/>
      <c r="Q8" s="145"/>
    </row>
    <row r="9" spans="1:17" ht="27.75" customHeight="1" x14ac:dyDescent="0.25">
      <c r="A9" s="138" t="s">
        <v>38</v>
      </c>
      <c r="B9" s="138"/>
      <c r="C9" s="138"/>
      <c r="D9" s="138"/>
      <c r="E9" s="138"/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</row>
    <row r="10" spans="1:17" ht="57" customHeight="1" x14ac:dyDescent="0.25">
      <c r="A10" s="147" t="s">
        <v>71</v>
      </c>
      <c r="B10" s="147"/>
      <c r="C10" s="147"/>
      <c r="D10" s="147"/>
      <c r="E10" s="147"/>
      <c r="F10" s="147"/>
      <c r="G10" s="147"/>
      <c r="H10" s="147"/>
      <c r="I10" s="147"/>
      <c r="J10" s="147"/>
      <c r="K10" s="147"/>
      <c r="L10" s="147"/>
      <c r="M10" s="147"/>
      <c r="N10" s="147"/>
      <c r="O10" s="147"/>
      <c r="P10" s="147"/>
      <c r="Q10" s="147"/>
    </row>
    <row r="11" spans="1:17" ht="15.75" thickBot="1" x14ac:dyDescent="0.3">
      <c r="A11" s="58"/>
      <c r="B11" s="59"/>
      <c r="C11" s="59"/>
      <c r="D11" s="59"/>
      <c r="E11" s="59"/>
      <c r="F11" s="59"/>
      <c r="G11" s="60"/>
      <c r="H11" s="59"/>
      <c r="I11" s="59"/>
      <c r="J11" s="59"/>
      <c r="K11" s="59"/>
      <c r="L11" s="59"/>
      <c r="M11" s="59"/>
      <c r="N11" s="59"/>
      <c r="O11" s="59"/>
      <c r="P11" s="59"/>
      <c r="Q11" s="61"/>
    </row>
    <row r="12" spans="1:17" ht="15.75" thickBot="1" x14ac:dyDescent="0.3">
      <c r="A12" s="148" t="s">
        <v>39</v>
      </c>
      <c r="B12" s="148"/>
      <c r="C12" s="148"/>
      <c r="D12" s="148"/>
      <c r="E12" s="148"/>
      <c r="F12" s="148"/>
      <c r="G12" s="148"/>
      <c r="H12" s="148"/>
      <c r="I12" s="148"/>
      <c r="J12" s="148"/>
      <c r="K12" s="148"/>
      <c r="L12" s="148"/>
      <c r="M12" s="148"/>
      <c r="N12" s="148"/>
      <c r="O12" s="148"/>
      <c r="P12" s="148"/>
      <c r="Q12" s="148"/>
    </row>
    <row r="13" spans="1:17" ht="15.75" thickBot="1" x14ac:dyDescent="0.3">
      <c r="A13" s="149" t="s">
        <v>40</v>
      </c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50" t="s">
        <v>41</v>
      </c>
      <c r="P13" s="150"/>
      <c r="Q13" s="151" t="s">
        <v>42</v>
      </c>
    </row>
    <row r="14" spans="1:17" ht="15.75" thickBot="1" x14ac:dyDescent="0.3">
      <c r="A14" s="62" t="s">
        <v>43</v>
      </c>
      <c r="B14" s="63" t="s">
        <v>44</v>
      </c>
      <c r="C14" s="63" t="s">
        <v>45</v>
      </c>
      <c r="D14" s="63" t="s">
        <v>46</v>
      </c>
      <c r="E14" s="63" t="s">
        <v>47</v>
      </c>
      <c r="F14" s="63" t="s">
        <v>48</v>
      </c>
      <c r="G14" s="64" t="s">
        <v>49</v>
      </c>
      <c r="H14" s="63" t="s">
        <v>50</v>
      </c>
      <c r="I14" s="63" t="s">
        <v>51</v>
      </c>
      <c r="J14" s="63" t="s">
        <v>52</v>
      </c>
      <c r="K14" s="63" t="s">
        <v>52</v>
      </c>
      <c r="L14" s="63" t="s">
        <v>53</v>
      </c>
      <c r="M14" s="65" t="s">
        <v>54</v>
      </c>
      <c r="N14" s="66" t="s">
        <v>55</v>
      </c>
      <c r="O14" s="150"/>
      <c r="P14" s="150"/>
      <c r="Q14" s="151"/>
    </row>
    <row r="15" spans="1:17" x14ac:dyDescent="0.25">
      <c r="A15" s="67">
        <v>20</v>
      </c>
      <c r="B15" s="68"/>
      <c r="C15" s="68"/>
      <c r="D15" s="68">
        <v>1</v>
      </c>
      <c r="E15" s="68"/>
      <c r="F15" s="68">
        <v>4901</v>
      </c>
      <c r="G15" s="68">
        <v>3</v>
      </c>
      <c r="H15" s="68">
        <v>1</v>
      </c>
      <c r="I15" s="68">
        <v>2</v>
      </c>
      <c r="J15" s="68">
        <v>1</v>
      </c>
      <c r="K15" s="68">
        <v>1</v>
      </c>
      <c r="L15" s="68"/>
      <c r="M15" s="69">
        <v>1</v>
      </c>
      <c r="N15" s="68" t="s">
        <v>68</v>
      </c>
      <c r="O15" s="152" t="s">
        <v>69</v>
      </c>
      <c r="P15" s="152"/>
      <c r="Q15" s="70" t="e">
        <f>NP!J14</f>
        <v>#REF!</v>
      </c>
    </row>
    <row r="16" spans="1:17" x14ac:dyDescent="0.25">
      <c r="A16" s="71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3"/>
      <c r="N16" s="74"/>
      <c r="O16" s="153"/>
      <c r="P16" s="153"/>
      <c r="Q16" s="75"/>
    </row>
    <row r="17" spans="1:17" x14ac:dyDescent="0.25">
      <c r="A17" s="71"/>
      <c r="B17" s="72"/>
      <c r="C17" s="72"/>
      <c r="D17" s="72"/>
      <c r="E17" s="72"/>
      <c r="F17" s="72"/>
      <c r="G17" s="72"/>
      <c r="H17" s="72"/>
      <c r="I17" s="72"/>
      <c r="J17" s="72"/>
      <c r="K17" s="72"/>
      <c r="L17" s="72"/>
      <c r="M17" s="73"/>
      <c r="N17" s="74"/>
      <c r="O17" s="154"/>
      <c r="P17" s="154"/>
      <c r="Q17" s="75"/>
    </row>
    <row r="18" spans="1:17" x14ac:dyDescent="0.25">
      <c r="A18" s="71"/>
      <c r="B18" s="72"/>
      <c r="C18" s="72"/>
      <c r="D18" s="72"/>
      <c r="E18" s="72"/>
      <c r="F18" s="72"/>
      <c r="G18" s="72"/>
      <c r="H18" s="72"/>
      <c r="I18" s="72"/>
      <c r="J18" s="72"/>
      <c r="K18" s="72"/>
      <c r="L18" s="72"/>
      <c r="M18" s="73"/>
      <c r="N18" s="74"/>
      <c r="O18" s="146"/>
      <c r="P18" s="146"/>
      <c r="Q18" s="75"/>
    </row>
    <row r="19" spans="1:17" x14ac:dyDescent="0.25">
      <c r="A19" s="71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3"/>
      <c r="N19" s="74"/>
      <c r="O19" s="146"/>
      <c r="P19" s="146"/>
      <c r="Q19" s="75"/>
    </row>
    <row r="20" spans="1:17" x14ac:dyDescent="0.25">
      <c r="A20" s="71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3"/>
      <c r="N20" s="74"/>
      <c r="O20" s="146"/>
      <c r="P20" s="146"/>
      <c r="Q20" s="75"/>
    </row>
    <row r="21" spans="1:17" x14ac:dyDescent="0.25">
      <c r="A21" s="71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3"/>
      <c r="N21" s="74"/>
      <c r="O21" s="146"/>
      <c r="P21" s="146"/>
      <c r="Q21" s="75"/>
    </row>
    <row r="22" spans="1:17" x14ac:dyDescent="0.25">
      <c r="A22" s="71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3"/>
      <c r="N22" s="74"/>
      <c r="O22" s="146"/>
      <c r="P22" s="146"/>
      <c r="Q22" s="75"/>
    </row>
    <row r="23" spans="1:17" x14ac:dyDescent="0.25">
      <c r="A23" s="71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3"/>
      <c r="N23" s="74"/>
      <c r="O23" s="146"/>
      <c r="P23" s="146"/>
      <c r="Q23" s="75"/>
    </row>
    <row r="24" spans="1:17" x14ac:dyDescent="0.25">
      <c r="A24" s="71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3"/>
      <c r="N24" s="74"/>
      <c r="O24" s="146"/>
      <c r="P24" s="146"/>
      <c r="Q24" s="75"/>
    </row>
    <row r="25" spans="1:17" x14ac:dyDescent="0.25">
      <c r="A25" s="71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3"/>
      <c r="N25" s="74"/>
      <c r="O25" s="146"/>
      <c r="P25" s="146"/>
      <c r="Q25" s="75"/>
    </row>
    <row r="26" spans="1:17" x14ac:dyDescent="0.25">
      <c r="A26" s="71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3"/>
      <c r="N26" s="74"/>
      <c r="O26" s="146"/>
      <c r="P26" s="146"/>
      <c r="Q26" s="75"/>
    </row>
    <row r="27" spans="1:17" x14ac:dyDescent="0.25">
      <c r="A27" s="71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3"/>
      <c r="N27" s="74"/>
      <c r="O27" s="146"/>
      <c r="P27" s="146"/>
      <c r="Q27" s="75"/>
    </row>
    <row r="28" spans="1:17" x14ac:dyDescent="0.25">
      <c r="A28" s="71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3"/>
      <c r="N28" s="74"/>
      <c r="O28" s="146"/>
      <c r="P28" s="146"/>
      <c r="Q28" s="75"/>
    </row>
    <row r="29" spans="1:17" x14ac:dyDescent="0.25">
      <c r="A29" s="71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3"/>
      <c r="N29" s="74"/>
      <c r="O29" s="146"/>
      <c r="P29" s="146"/>
      <c r="Q29" s="75"/>
    </row>
    <row r="30" spans="1:17" x14ac:dyDescent="0.25">
      <c r="A30" s="71"/>
      <c r="B30" s="72"/>
      <c r="C30" s="72"/>
      <c r="D30" s="72"/>
      <c r="E30" s="72"/>
      <c r="F30" s="72"/>
      <c r="G30" s="72"/>
      <c r="H30" s="72"/>
      <c r="I30" s="72"/>
      <c r="J30" s="72"/>
      <c r="K30" s="72"/>
      <c r="L30" s="72"/>
      <c r="M30" s="73"/>
      <c r="N30" s="74"/>
      <c r="O30" s="146"/>
      <c r="P30" s="146"/>
      <c r="Q30" s="75"/>
    </row>
    <row r="31" spans="1:17" x14ac:dyDescent="0.25">
      <c r="A31" s="71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3"/>
      <c r="N31" s="74"/>
      <c r="O31" s="146"/>
      <c r="P31" s="146"/>
      <c r="Q31" s="75"/>
    </row>
    <row r="32" spans="1:17" x14ac:dyDescent="0.25">
      <c r="A32" s="71"/>
      <c r="B32" s="72"/>
      <c r="C32" s="72"/>
      <c r="D32" s="72"/>
      <c r="E32" s="72"/>
      <c r="F32" s="74"/>
      <c r="G32" s="72"/>
      <c r="H32" s="72"/>
      <c r="I32" s="72"/>
      <c r="J32" s="72"/>
      <c r="K32" s="72"/>
      <c r="L32" s="72"/>
      <c r="M32" s="73"/>
      <c r="N32" s="74"/>
      <c r="O32" s="153"/>
      <c r="P32" s="153"/>
      <c r="Q32" s="75"/>
    </row>
    <row r="33" spans="1:17" x14ac:dyDescent="0.25">
      <c r="A33" s="71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3"/>
      <c r="N33" s="74"/>
      <c r="O33" s="153"/>
      <c r="P33" s="153"/>
      <c r="Q33" s="75"/>
    </row>
    <row r="34" spans="1:17" x14ac:dyDescent="0.25">
      <c r="A34" s="71"/>
      <c r="B34" s="72"/>
      <c r="C34" s="72"/>
      <c r="D34" s="72"/>
      <c r="E34" s="72"/>
      <c r="F34" s="74"/>
      <c r="G34" s="72"/>
      <c r="H34" s="72"/>
      <c r="I34" s="72"/>
      <c r="J34" s="72"/>
      <c r="K34" s="72"/>
      <c r="L34" s="72"/>
      <c r="M34" s="73"/>
      <c r="N34" s="74"/>
      <c r="O34" s="153"/>
      <c r="P34" s="153"/>
      <c r="Q34" s="75"/>
    </row>
    <row r="35" spans="1:17" x14ac:dyDescent="0.25">
      <c r="A35" s="71"/>
      <c r="B35" s="72"/>
      <c r="C35" s="72"/>
      <c r="D35" s="72"/>
      <c r="E35" s="72"/>
      <c r="F35" s="74"/>
      <c r="G35" s="72"/>
      <c r="H35" s="72"/>
      <c r="I35" s="72"/>
      <c r="J35" s="72"/>
      <c r="K35" s="72"/>
      <c r="L35" s="72"/>
      <c r="M35" s="73"/>
      <c r="N35" s="74"/>
      <c r="O35" s="153"/>
      <c r="P35" s="153"/>
      <c r="Q35" s="75"/>
    </row>
    <row r="36" spans="1:17" x14ac:dyDescent="0.25">
      <c r="A36" s="76"/>
      <c r="B36" s="77"/>
      <c r="C36" s="77"/>
      <c r="D36" s="77"/>
      <c r="E36" s="77"/>
      <c r="F36" s="78"/>
      <c r="G36" s="77"/>
      <c r="H36" s="77"/>
      <c r="I36" s="77"/>
      <c r="J36" s="77"/>
      <c r="K36" s="77"/>
      <c r="L36" s="77"/>
      <c r="M36" s="79"/>
      <c r="N36" s="80"/>
      <c r="O36" s="158"/>
      <c r="P36" s="158"/>
      <c r="Q36" s="75"/>
    </row>
    <row r="37" spans="1:17" ht="15.75" thickBot="1" x14ac:dyDescent="0.3">
      <c r="A37" s="81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3"/>
      <c r="N37" s="82"/>
      <c r="O37" s="159"/>
      <c r="P37" s="159"/>
      <c r="Q37" s="84"/>
    </row>
    <row r="38" spans="1:17" ht="30" customHeight="1" thickBot="1" x14ac:dyDescent="0.3">
      <c r="A38" s="160" t="s">
        <v>76</v>
      </c>
      <c r="B38" s="160"/>
      <c r="C38" s="160"/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  <c r="O38" s="160"/>
      <c r="P38" s="160"/>
      <c r="Q38" s="85" t="e">
        <f>SUM(Q15:Q37)</f>
        <v>#REF!</v>
      </c>
    </row>
    <row r="39" spans="1:17" ht="15.75" thickBot="1" x14ac:dyDescent="0.3">
      <c r="A39" s="161"/>
      <c r="B39" s="161"/>
      <c r="C39" s="161"/>
      <c r="D39" s="161"/>
      <c r="E39" s="161"/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</row>
    <row r="40" spans="1:17" ht="15.75" thickBot="1" x14ac:dyDescent="0.3">
      <c r="A40" s="155" t="s">
        <v>56</v>
      </c>
      <c r="B40" s="155"/>
      <c r="C40" s="155"/>
      <c r="D40" s="155"/>
      <c r="E40" s="155"/>
      <c r="F40" s="155"/>
      <c r="G40" s="156"/>
      <c r="H40" s="156"/>
      <c r="I40" s="156"/>
      <c r="J40" s="156"/>
      <c r="K40" s="156"/>
      <c r="L40" s="156"/>
      <c r="M40" s="156"/>
      <c r="N40" s="156"/>
      <c r="O40" s="156"/>
      <c r="P40" s="156"/>
      <c r="Q40" s="156"/>
    </row>
    <row r="41" spans="1:17" ht="15.75" thickBot="1" x14ac:dyDescent="0.3">
      <c r="A41" s="157" t="str">
        <f>NP!D8</f>
        <v>ADQ. DEL RUBRO ALIMENTOS PARA PERSONAS (LECHE FORTIFICADA)</v>
      </c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</row>
    <row r="42" spans="1:17" ht="15.75" thickBot="1" x14ac:dyDescent="0.3">
      <c r="A42" s="157"/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SAF 011</vt:lpstr>
      <vt:lpstr>NP</vt:lpstr>
      <vt:lpstr>APG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MARIA MALDONADO</cp:lastModifiedBy>
  <dcterms:created xsi:type="dcterms:W3CDTF">2021-11-12T17:27:33Z</dcterms:created>
  <dcterms:modified xsi:type="dcterms:W3CDTF">2022-11-11T13:39:38Z</dcterms:modified>
</cp:coreProperties>
</file>